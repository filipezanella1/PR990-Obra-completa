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31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5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Contrato × Projeto" sheetId="2" state="visible" r:id="rId4"/>
    <sheet name="Discrepâncias" sheetId="3" state="visible" r:id="rId5"/>
    <sheet name="Leia-me" sheetId="4" state="visible" r:id="rId6"/>
    <sheet name="Parâmetros" sheetId="5" state="visible" r:id="rId7"/>
    <sheet name="Resumo por segmento" sheetId="6" state="visible" r:id="rId8"/>
    <sheet name="Estacas" sheetId="7" state="visible" r:id="rId9"/>
    <sheet name="Volumes por intervalo" sheetId="8" state="visible" r:id="rId10"/>
    <sheet name="Seções tipo" sheetId="9" state="visible" r:id="rId11"/>
    <sheet name="Drenagem linear" sheetId="10" state="visible" r:id="rId12"/>
    <sheet name="Drenagem pontual" sheetId="11" state="visible" r:id="rId13"/>
    <sheet name="Sinalização – quadro" sheetId="12" state="visible" r:id="rId14"/>
    <sheet name="Sinalização – placas" sheetId="13" state="visible" r:id="rId15"/>
    <sheet name="Sinalização – defensas" sheetId="14" state="visible" r:id="rId16"/>
    <sheet name="Terraplenagem por estaca" sheetId="15" state="visible" r:id="rId17"/>
    <sheet name="Terrapl. – ramos e solo mole" sheetId="16" state="visible" r:id="rId18"/>
    <sheet name="Terraplenagem – quadro" sheetId="17" state="visible" r:id="rId19"/>
    <sheet name="Geometria por estaca" sheetId="18" state="visible" r:id="rId20"/>
    <sheet name="Geometria – curvas" sheetId="19" state="visible" r:id="rId21"/>
    <sheet name="Paisagismo – áreas" sheetId="20" state="visible" r:id="rId22"/>
    <sheet name="Paisagismo – bordo e árvores" sheetId="21" state="visible" r:id="rId23"/>
    <sheet name="OAE – ponte" sheetId="22" state="visible" r:id="rId24"/>
    <sheet name="Contenções" sheetId="23" state="visible" r:id="rId25"/>
    <sheet name="Iluminação" sheetId="24" state="visible" r:id="rId26"/>
    <sheet name="Obras compl. – cercas" sheetId="25" state="visible" r:id="rId27"/>
    <sheet name="Obras compl. – pontuais" sheetId="26" state="visible" r:id="rId28"/>
    <sheet name="Drenagem – remoções DR-3" sheetId="27" state="visible" r:id="rId29"/>
    <sheet name="Drenagem – canais DR-5" sheetId="28" state="visible" r:id="rId30"/>
    <sheet name="MJ – sinalização horizontal" sheetId="29" state="visible" r:id="rId31"/>
    <sheet name="MJ – placas" sheetId="30" state="visible" r:id="rId32"/>
    <sheet name="MJ – quantidades por estaca" sheetId="31" state="visible" r:id="rId33"/>
    <sheet name="Interferências" sheetId="32" state="visible" r:id="rId34"/>
  </sheets>
  <definedNames>
    <definedName function="false" hidden="false" localSheetId="1" name="_xlnm.Print_Titles" vbProcedure="false">'Contrato × Projeto'!$11:$11</definedName>
    <definedName function="false" hidden="true" localSheetId="1" name="_xlnm._FilterDatabase" vbProcedure="false">'Contrato × Projeto'!$B$11:$R$358</definedName>
    <definedName function="false" hidden="true" localSheetId="9" name="_xlnm._FilterDatabase" vbProcedure="false">'Drenagem linear'!$A$1:$M$518</definedName>
    <definedName function="false" hidden="true" localSheetId="10" name="_xlnm._FilterDatabase" vbProcedure="false">'Drenagem pontual'!$A$1:$O$450</definedName>
    <definedName function="false" hidden="true" localSheetId="6" name="_xlnm._FilterDatabase" vbProcedure="false">Estacas!$A$1:$AD$650</definedName>
    <definedName function="false" hidden="true" localSheetId="17" name="_xlnm._FilterDatabase" vbProcedure="false">'Geometria por estaca'!$A$1:$M$645</definedName>
    <definedName function="false" hidden="true" localSheetId="30" name="_xlnm._FilterDatabase" vbProcedure="false">'MJ – quantidades por estaca'!$A$1:$H$974</definedName>
    <definedName function="false" hidden="false" localSheetId="0" name="_xlnm.Print_Area" vbProcedure="false">Painel!$A$1:$R$497</definedName>
    <definedName function="false" hidden="false" localSheetId="0" name="_xlnm.Print_Titles" vbProcedure="false">Painel!$41:$41</definedName>
    <definedName function="false" hidden="true" localSheetId="19" name="_xlnm._FilterDatabase" vbProcedure="false">'Paisagismo – áreas'!$A$1:$J$76</definedName>
    <definedName function="false" hidden="true" localSheetId="12" name="_xlnm._FilterDatabase" vbProcedure="false">'Sinalização – placas'!$A$1:$H$175</definedName>
    <definedName function="false" hidden="true" localSheetId="14" name="_xlnm._FilterDatabase" vbProcedure="false">'Terraplenagem por estaca'!$A$1:$O$744</definedName>
    <definedName function="false" hidden="true" localSheetId="7" name="_xlnm._FilterDatabase" vbProcedure="false">'Volumes por intervalo'!$A$1:$S$649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<sst xmlns="http://schemas.openxmlformats.org/spreadsheetml/2006/main" count="30022" uniqueCount="6742">
  <si>
    <t xml:space="preserve">aux</t>
  </si>
  <si>
    <t xml:space="preserve">PAINEL DE QUANTIDADES E VALORES POR TRECHO – PR-990</t>
  </si>
  <si>
    <t xml:space="preserve">x</t>
  </si>
  <si>
    <t xml:space="preserve">Rodovia PR-990 · entre a PR-364 e Rebouças · km 0+000 a 12+883,96 · Est. 0+0,00 a 642+15,817 · quantidades das memórias do projeto e valores da planilha contratual (R$ 87.300.000,00)</t>
  </si>
  <si>
    <t xml:space="preserve">linha</t>
  </si>
  <si>
    <t xml:space="preserve">t</t>
  </si>
  <si>
    <t xml:space="preserve">SELECIONE O TRECHO</t>
  </si>
  <si>
    <t xml:space="preserve">PREMISSAS (editáveis)</t>
  </si>
  <si>
    <t xml:space="preserve">L</t>
  </si>
  <si>
    <t xml:space="preserve">Estaca</t>
  </si>
  <si>
    <t xml:space="preserve">+ metros</t>
  </si>
  <si>
    <t xml:space="preserve">Notação</t>
  </si>
  <si>
    <t xml:space="preserve">Teor de CAP executado no CBUQ (contrato 5,7%) – ajusta o item 589000</t>
  </si>
  <si>
    <t xml:space="preserve">erro</t>
  </si>
  <si>
    <t xml:space="preserve">Estaca inicial</t>
  </si>
  <si>
    <t xml:space="preserve">Taxa de EAI na imprimação (kg/m²)</t>
  </si>
  <si>
    <t xml:space="preserve">ext. sel.</t>
  </si>
  <si>
    <t xml:space="preserve">Estaca final</t>
  </si>
  <si>
    <t xml:space="preserve">Taxa de RR-1C na pintura de ligação (kg/m²)</t>
  </si>
  <si>
    <t xml:space="preserve">ext. total</t>
  </si>
  <si>
    <t xml:space="preserve">Digite só nas células amarelas. Ex.: 100 a 108 → 100 / 0 e 108 / 0 · estaca 100+10 → 100 / 10 · trecho inteiro → 0 / 0 e 642 / 15,817</t>
  </si>
  <si>
    <t xml:space="preserve">Densidade do CBUQ (t/m³) – vem de Parâmetros</t>
  </si>
  <si>
    <t xml:space="preserve">fração</t>
  </si>
  <si>
    <t xml:space="preserve">CAP contrato</t>
  </si>
  <si>
    <t xml:space="preserve">RESUMO DO TRECHO</t>
  </si>
  <si>
    <t xml:space="preserve">full</t>
  </si>
  <si>
    <t xml:space="preserve">EXTENSÃO</t>
  </si>
  <si>
    <t xml:space="preserve">CBUQ</t>
  </si>
  <si>
    <t xml:space="preserve">CORTE (1ª+2ª+3ª)</t>
  </si>
  <si>
    <t xml:space="preserve">CONSUMO REAL (PROJETO)</t>
  </si>
  <si>
    <t xml:space="preserve">AJUSTADO AO CONTRATO</t>
  </si>
  <si>
    <t xml:space="preserve">volume geométrico</t>
  </si>
  <si>
    <t xml:space="preserve">quantidades encontradas × preço do contrato</t>
  </si>
  <si>
    <t xml:space="preserve">DADOS DO TRECHO</t>
  </si>
  <si>
    <t xml:space="preserve">Estaca inicial / final</t>
  </si>
  <si>
    <t xml:space="preserve">Seção tipo (início / fim)</t>
  </si>
  <si>
    <t xml:space="preserve">Extensão</t>
  </si>
  <si>
    <t xml:space="preserve">Segmento (início / fim)</t>
  </si>
  <si>
    <t xml:space="preserve">Largura média do CBUQ acabado</t>
  </si>
  <si>
    <t xml:space="preserve">Cota de projeto (início / fim)</t>
  </si>
  <si>
    <t xml:space="preserve">Área de CBUQ acabado</t>
  </si>
  <si>
    <t xml:space="preserve">Rampa média</t>
  </si>
  <si>
    <t xml:space="preserve">RESUMO POR DISCIPLINA</t>
  </si>
  <si>
    <t xml:space="preserve">#</t>
  </si>
  <si>
    <t xml:space="preserve">Disciplina (clique para ir ao detalhe)</t>
  </si>
  <si>
    <t xml:space="preserve">Itens</t>
  </si>
  <si>
    <t xml:space="preserve">% do saldo</t>
  </si>
  <si>
    <t xml:space="preserve">Ajustado ao contrato (R$)</t>
  </si>
  <si>
    <t xml:space="preserve">Consumo real (R$)</t>
  </si>
  <si>
    <t xml:space="preserve">Real − ajustado</t>
  </si>
  <si>
    <t xml:space="preserve">Total</t>
  </si>
  <si>
    <t xml:space="preserve">DETALHAMENTO POR SERVIÇO</t>
  </si>
  <si>
    <t xml:space="preserve">LE / LD / Projeto = quantidades das memórias do projeto · Contrato = quantidade contratual distribuída pelo critério da última coluna</t>
  </si>
  <si>
    <t xml:space="preserve">QUANTIDADES DO PROJETO</t>
  </si>
  <si>
    <t xml:space="preserve">CONSUMO REAL ENCONTRADO NO PROJETO</t>
  </si>
  <si>
    <t xml:space="preserve">DIFERENÇA</t>
  </si>
  <si>
    <t xml:space="preserve">Código</t>
  </si>
  <si>
    <t xml:space="preserve">Serviço</t>
  </si>
  <si>
    <t xml:space="preserve">Un</t>
  </si>
  <si>
    <t xml:space="preserve">LE</t>
  </si>
  <si>
    <t xml:space="preserve">LD</t>
  </si>
  <si>
    <t xml:space="preserve">Projeto no trecho</t>
  </si>
  <si>
    <t xml:space="preserve">Qtd. real</t>
  </si>
  <si>
    <t xml:space="preserve">Preço contrato (R$)</t>
  </si>
  <si>
    <t xml:space="preserve">Valor real (R$)</t>
  </si>
  <si>
    <t xml:space="preserve">Qtd. ajustada</t>
  </si>
  <si>
    <t xml:space="preserve">Valor ajustado (R$)</t>
  </si>
  <si>
    <t xml:space="preserve">Real − ajustado (R$)</t>
  </si>
  <si>
    <t xml:space="preserve">Base da quantidade · critério / fonte</t>
  </si>
  <si>
    <t xml:space="preserve">1  ·  TERRAPLENAGEM</t>
  </si>
  <si>
    <t xml:space="preserve">Limpeza</t>
  </si>
  <si>
    <t xml:space="preserve">400000</t>
  </si>
  <si>
    <t xml:space="preserve">Desmatamento e limpeza (árvores Ø até 30 cm)</t>
  </si>
  <si>
    <t xml:space="preserve">m²</t>
  </si>
  <si>
    <t xml:space="preserve">Projeto · REV04 por intervalo; ramos IN-01 na Est. 326</t>
  </si>
  <si>
    <t xml:space="preserve">493647</t>
  </si>
  <si>
    <t xml:space="preserve">Carga e transporte do material de limpeza para bota-fora</t>
  </si>
  <si>
    <t xml:space="preserve">m³</t>
  </si>
  <si>
    <t xml:space="preserve">Projeto · volume de limpeza (área × 0,20 m)</t>
  </si>
  <si>
    <t xml:space="preserve">Árvores Ø &gt; 30 cm a remover – projeto de interferências (exóticas + nativas)</t>
  </si>
  <si>
    <t xml:space="preserve">un</t>
  </si>
  <si>
    <t xml:space="preserve">IT-2-0001: 85 exóticas + 174 nativas, localizadas pelas coordenadas</t>
  </si>
  <si>
    <t xml:space="preserve">400300</t>
  </si>
  <si>
    <t xml:space="preserve">Destocamento árvores diam. &gt; 30cm</t>
  </si>
  <si>
    <t xml:space="preserve">Projeto · árvores do projeto de interferências (IT-2-0001)</t>
  </si>
  <si>
    <t xml:space="preserve">Escavação, carga e transporte – volumes do projeto e faixas de DMT do contrato</t>
  </si>
  <si>
    <t xml:space="preserve">Corte em 1ª categoria – volume geométrico do projeto</t>
  </si>
  <si>
    <t xml:space="preserve">REV04 por intervalo + ramos</t>
  </si>
  <si>
    <t xml:space="preserve">410200</t>
  </si>
  <si>
    <t xml:space="preserve">Esc. carga e transp. 1a. cat. 0-200m</t>
  </si>
  <si>
    <t xml:space="preserve">Projeto · corte 1ª cat. do projeto × participação da faixa de DMT no contrato</t>
  </si>
  <si>
    <t xml:space="preserve">410400</t>
  </si>
  <si>
    <t xml:space="preserve">Esc. carga e transp. 1a. cat. 200-400m</t>
  </si>
  <si>
    <t xml:space="preserve">410800</t>
  </si>
  <si>
    <t xml:space="preserve">Esc. carga e transp. 1a. cat. 600-800m</t>
  </si>
  <si>
    <t xml:space="preserve">411000</t>
  </si>
  <si>
    <t xml:space="preserve">Esc. carga e transp. 1a. cat. 800-1000m</t>
  </si>
  <si>
    <t xml:space="preserve">411200</t>
  </si>
  <si>
    <t xml:space="preserve">Esc. carga e transp. 1a. cat. 1000-1200m</t>
  </si>
  <si>
    <t xml:space="preserve">411400</t>
  </si>
  <si>
    <t xml:space="preserve">Esc. carga e transp. 1a. cat. 1200-1400m</t>
  </si>
  <si>
    <t xml:space="preserve">411600</t>
  </si>
  <si>
    <t xml:space="preserve">Esc. carga e transp. 1a. cat. 1400-1600m</t>
  </si>
  <si>
    <t xml:space="preserve">412000</t>
  </si>
  <si>
    <t xml:space="preserve">Esc. carga e transp. 1a. cat. 1600-2000m</t>
  </si>
  <si>
    <t xml:space="preserve">413000</t>
  </si>
  <si>
    <t xml:space="preserve">Esc. carga e transp. 1a. cat. 2000-3000m</t>
  </si>
  <si>
    <t xml:space="preserve">414000</t>
  </si>
  <si>
    <t xml:space="preserve">Esc. carga e transp. 1a. cat. 3000-4000m</t>
  </si>
  <si>
    <t xml:space="preserve">415000</t>
  </si>
  <si>
    <t xml:space="preserve">Esc. carga e transp. 1a. cat. 4000-5000m</t>
  </si>
  <si>
    <t xml:space="preserve">416010</t>
  </si>
  <si>
    <t xml:space="preserve">Esc. carga e transp. 1a. cat. 5000-6000m</t>
  </si>
  <si>
    <t xml:space="preserve">418000</t>
  </si>
  <si>
    <t xml:space="preserve">Esc. carga e transp. 1a. cat. 6000-8000m</t>
  </si>
  <si>
    <t xml:space="preserve">Corte em 2ª categoria – volume geométrico do projeto</t>
  </si>
  <si>
    <t xml:space="preserve">REV04 por intervalo</t>
  </si>
  <si>
    <t xml:space="preserve">420400</t>
  </si>
  <si>
    <t xml:space="preserve">Esc. carga e transp. 2a. cat. 200-400m</t>
  </si>
  <si>
    <t xml:space="preserve">Projeto · corte 2ª cat. do projeto × participação da faixa de DMT no contrato</t>
  </si>
  <si>
    <t xml:space="preserve">420800</t>
  </si>
  <si>
    <t xml:space="preserve">Esc. carga e transp. 2a. cat. 600-800m</t>
  </si>
  <si>
    <t xml:space="preserve">422000</t>
  </si>
  <si>
    <t xml:space="preserve">Esc. carga e transp. 2a. cat. 1600-2000m</t>
  </si>
  <si>
    <t xml:space="preserve">423000</t>
  </si>
  <si>
    <t xml:space="preserve">Esc. carga e transp. 2a. cat. 2000-3000m</t>
  </si>
  <si>
    <t xml:space="preserve">Corte em 3ª categoria – volume geométrico do projeto</t>
  </si>
  <si>
    <t xml:space="preserve">430410</t>
  </si>
  <si>
    <t xml:space="preserve">Esc. carga e transp. 3a. cat. 200-400m</t>
  </si>
  <si>
    <t xml:space="preserve">Projeto · corte 3ª cat. do projeto × participação da faixa de DMT no contrato</t>
  </si>
  <si>
    <t xml:space="preserve">430610</t>
  </si>
  <si>
    <t xml:space="preserve">Esc. carga e transp. 3a. cat. 400-600m</t>
  </si>
  <si>
    <t xml:space="preserve">431410</t>
  </si>
  <si>
    <t xml:space="preserve">Esc. carga e transp. 3a. cat. 1200-1400m</t>
  </si>
  <si>
    <t xml:space="preserve">432010</t>
  </si>
  <si>
    <t xml:space="preserve">Esc. carga e transp. 3a. cat. 1600-2000m</t>
  </si>
  <si>
    <t xml:space="preserve">433010</t>
  </si>
  <si>
    <t xml:space="preserve">Esc. carga e transp. 3a. cat. 2000-3000m</t>
  </si>
  <si>
    <t xml:space="preserve">434010</t>
  </si>
  <si>
    <t xml:space="preserve">Esc. carga e transp. 3a. cat. 3000-4000m</t>
  </si>
  <si>
    <t xml:space="preserve">404000</t>
  </si>
  <si>
    <t xml:space="preserve">Remoção de solos moles</t>
  </si>
  <si>
    <t xml:space="preserve">Projeto · REV04 / aba SOLO MOLE</t>
  </si>
  <si>
    <t xml:space="preserve">404300</t>
  </si>
  <si>
    <t xml:space="preserve">Espalhamento e conformação de bota-fora</t>
  </si>
  <si>
    <t xml:space="preserve">Projeto · volume de limpeza + solo mole removido</t>
  </si>
  <si>
    <t xml:space="preserve">Aterros e fundações</t>
  </si>
  <si>
    <t xml:space="preserve">401950</t>
  </si>
  <si>
    <t xml:space="preserve">Compactação de aterros 95% PN (corpo de aterro)</t>
  </si>
  <si>
    <t xml:space="preserve">Projeto · REV04 por intervalo + ramos</t>
  </si>
  <si>
    <t xml:space="preserve">401100</t>
  </si>
  <si>
    <t xml:space="preserve">Compactação de aterros 100% PN (camada final)</t>
  </si>
  <si>
    <t xml:space="preserve">403000</t>
  </si>
  <si>
    <t xml:space="preserve">Compactação de aterros em 3a. cat.</t>
  </si>
  <si>
    <t xml:space="preserve">Projeto (memória, total) · quadro de terraplenagem 16.881,88 m³ – distribuído pelo corte 3ª cat.</t>
  </si>
  <si>
    <t xml:space="preserve">495161</t>
  </si>
  <si>
    <t xml:space="preserve">Fundação de aterro com rachão / 3ª cat.</t>
  </si>
  <si>
    <t xml:space="preserve">Projeto · REV04 por intervalo</t>
  </si>
  <si>
    <t xml:space="preserve">400500</t>
  </si>
  <si>
    <t xml:space="preserve">Colchão drenante de areia (fundação em solo mole)</t>
  </si>
  <si>
    <t xml:space="preserve">Projeto · 10 trechos de solo mole</t>
  </si>
  <si>
    <t xml:space="preserve">495160</t>
  </si>
  <si>
    <t xml:space="preserve">Fundação de aterro com brita – fechamento (solo mole)</t>
  </si>
  <si>
    <t xml:space="preserve">Tratamento de corte em rocha – solo grampeado (só total no projeto)</t>
  </si>
  <si>
    <t xml:space="preserve">791117</t>
  </si>
  <si>
    <t xml:space="preserve">Bate choco e limpeza de talude com bota fora de pedras soltas</t>
  </si>
  <si>
    <t xml:space="preserve">Projeto (memória, total) · quadro de terraplenagem (tratamento de corte em rocha) – distribuído pelo corte 3ª cat.</t>
  </si>
  <si>
    <t xml:space="preserve">794433</t>
  </si>
  <si>
    <t xml:space="preserve">Dreno de PVC reforçado 0,30m a 0,55m Ø=75mm - barbacã</t>
  </si>
  <si>
    <t xml:space="preserve">792400</t>
  </si>
  <si>
    <t xml:space="preserve">Fornecimento e aplicação de concreto projetado via seca Fck = 20 mPa, volume passado na máquina</t>
  </si>
  <si>
    <t xml:space="preserve">792600</t>
  </si>
  <si>
    <t xml:space="preserve">Fornecimento e colocação de Tela Telcon Q-138 ou equivalente, para OAE</t>
  </si>
  <si>
    <t xml:space="preserve">kg</t>
  </si>
  <si>
    <t xml:space="preserve">795482</t>
  </si>
  <si>
    <t xml:space="preserve">Fornecimento, perfuração, instalação e protensão de tirante INCO 22 D em rocha, inclusive injeção de nata de cimento, acessórios e proteção das cabeças dos tirantes, ou equivalente</t>
  </si>
  <si>
    <t xml:space="preserve">m</t>
  </si>
  <si>
    <t xml:space="preserve">Subtotal – Terraplenagem</t>
  </si>
  <si>
    <t xml:space="preserve">2  ·  PAVIMENTAÇÃO</t>
  </si>
  <si>
    <t xml:space="preserve">Estrutura do pavimento (seções tipo PV-2)</t>
  </si>
  <si>
    <t xml:space="preserve">511200</t>
  </si>
  <si>
    <t xml:space="preserve">Regularização e compactação do subleito 100% PN</t>
  </si>
  <si>
    <t xml:space="preserve">Projeto · largura medida + Detalhe "A" · áreas médias</t>
  </si>
  <si>
    <t xml:space="preserve">Reforço do subleito – bica corrida (2 × 15 cm) – projeto</t>
  </si>
  <si>
    <t xml:space="preserve">espessura em Parâmetros C4</t>
  </si>
  <si>
    <t xml:space="preserve">Sub-base – bica corrida (20 cm) – projeto</t>
  </si>
  <si>
    <t xml:space="preserve">espessura em Parâmetros C3</t>
  </si>
  <si>
    <t xml:space="preserve">530200</t>
  </si>
  <si>
    <t xml:space="preserve">Bica corrida</t>
  </si>
  <si>
    <t xml:space="preserve">Projeto · reforço + sub-base do projeto</t>
  </si>
  <si>
    <t xml:space="preserve">531100</t>
  </si>
  <si>
    <t xml:space="preserve">Base – brita graduada 100% PM (16 cm)</t>
  </si>
  <si>
    <t xml:space="preserve">Projeto · espessura em Parâmetros C2</t>
  </si>
  <si>
    <t xml:space="preserve">560100</t>
  </si>
  <si>
    <t xml:space="preserve">Imprimação impermeabilizante (exclusive emulsão)</t>
  </si>
  <si>
    <t xml:space="preserve">Projeto · topo da base</t>
  </si>
  <si>
    <t xml:space="preserve">561100</t>
  </si>
  <si>
    <t xml:space="preserve">Pintura de ligação (exclusive emulsão)</t>
  </si>
  <si>
    <t xml:space="preserve">CBUQ Faixa C – volume compactado (5 cm) – projeto</t>
  </si>
  <si>
    <t xml:space="preserve">referência para a tonelagem</t>
  </si>
  <si>
    <t xml:space="preserve">570400</t>
  </si>
  <si>
    <t xml:space="preserve">CBUQ Faixa C – massa (exclusive CAP)</t>
  </si>
  <si>
    <t xml:space="preserve">Projeto · projeto: volume × densidade (premissa)</t>
  </si>
  <si>
    <t xml:space="preserve">575000</t>
  </si>
  <si>
    <t xml:space="preserve">Camada de fechamento do pavimento – saia (contenção lateral solo local)</t>
  </si>
  <si>
    <t xml:space="preserve">Projeto · aba COBRIM. SAIA (terraplenagem)</t>
  </si>
  <si>
    <t xml:space="preserve">516300</t>
  </si>
  <si>
    <t xml:space="preserve">Preenchimento de rebaixo em rocha c/ aproveitamento de corte 3ª cat.</t>
  </si>
  <si>
    <t xml:space="preserve">Projeto · REV04 por intervalo (terraplenagem)</t>
  </si>
  <si>
    <t xml:space="preserve">Pavimento existente</t>
  </si>
  <si>
    <t xml:space="preserve">512050</t>
  </si>
  <si>
    <t xml:space="preserve">Demolição mecânica de pavimento existente (T09 – estimativa)</t>
  </si>
  <si>
    <t xml:space="preserve">Projeto · ≈ 6,50 m × 0,41 m (Parâmetros C10)</t>
  </si>
  <si>
    <t xml:space="preserve">591490</t>
  </si>
  <si>
    <t xml:space="preserve">Corte de pavimento asfáltico / concreto c/serra disco</t>
  </si>
  <si>
    <t xml:space="preserve">Projeto (memória, total) · memória de pavimentação 17 m – distribuído pela demolição de pavimento</t>
  </si>
  <si>
    <t xml:space="preserve">505100</t>
  </si>
  <si>
    <t xml:space="preserve">Fresagem descontínua a frio</t>
  </si>
  <si>
    <t xml:space="preserve">Projeto (memória, total) · memória de pavimentação 172,50 m³ – distribuído pela demolição de pavimento</t>
  </si>
  <si>
    <t xml:space="preserve">Subtotal – Pavimentação</t>
  </si>
  <si>
    <t xml:space="preserve">3  ·  LIGANTES BETUMINOSOS</t>
  </si>
  <si>
    <t xml:space="preserve">589000</t>
  </si>
  <si>
    <t xml:space="preserve">Fornecimento de CAP 50/70</t>
  </si>
  <si>
    <t xml:space="preserve">Projeto · CBUQ (t) × teor executado; contrato ajustado de 5,7% para o teor executado</t>
  </si>
  <si>
    <t xml:space="preserve">589190</t>
  </si>
  <si>
    <t xml:space="preserve">Fornecimento de emulsão EAI para imprimação</t>
  </si>
  <si>
    <t xml:space="preserve">Projeto · área × taxa (premissa)</t>
  </si>
  <si>
    <t xml:space="preserve">589420</t>
  </si>
  <si>
    <t xml:space="preserve">Fornecimento de emulsão RR-1C para pintura de ligação</t>
  </si>
  <si>
    <t xml:space="preserve">Subtotal – Ligantes betuminosos</t>
  </si>
  <si>
    <t xml:space="preserve">4  ·  DRENAGEM E OBRAS DE ARTE CORRENTES</t>
  </si>
  <si>
    <t xml:space="preserve">Dispositivos lineares (notas de serviço DR-9)</t>
  </si>
  <si>
    <t xml:space="preserve">650000</t>
  </si>
  <si>
    <t xml:space="preserve">Sarjeta triangular de concreto – tipo 1</t>
  </si>
  <si>
    <t xml:space="preserve">Projeto · nota de serviço, proporcional ao trecho</t>
  </si>
  <si>
    <t xml:space="preserve">Sarjeta triangular de concreto STC 05</t>
  </si>
  <si>
    <t xml:space="preserve">nota de serviço, proporcional ao trecho · sem item no contrato</t>
  </si>
  <si>
    <t xml:space="preserve">Sarjeta triangular de concreto STC 11</t>
  </si>
  <si>
    <t xml:space="preserve">Sarjeta triangular de borda de aterro STB 01 (medida no item 653400)</t>
  </si>
  <si>
    <t xml:space="preserve">nota de serviço, proporcional ao trecho</t>
  </si>
  <si>
    <t xml:space="preserve">Sarjeta trapezoidal de concreto – tipo 3 (SZC 03)</t>
  </si>
  <si>
    <t xml:space="preserve">653600</t>
  </si>
  <si>
    <t xml:space="preserve">Sarjeta trapezoidal de concreto – tipo 4 (SZC 04)</t>
  </si>
  <si>
    <t xml:space="preserve">810200</t>
  </si>
  <si>
    <t xml:space="preserve">Meio-fio de concreto tipo 2 (extrusora)</t>
  </si>
  <si>
    <t xml:space="preserve">810700</t>
  </si>
  <si>
    <t xml:space="preserve">Meio-fio de concreto tipo 7 (extrusora)</t>
  </si>
  <si>
    <t xml:space="preserve">661100</t>
  </si>
  <si>
    <t xml:space="preserve">Valeta de proteção de corte – tipo 5A</t>
  </si>
  <si>
    <t xml:space="preserve">661300</t>
  </si>
  <si>
    <t xml:space="preserve">Valeta de proteção de corte – tipo 6A</t>
  </si>
  <si>
    <t xml:space="preserve">661500</t>
  </si>
  <si>
    <t xml:space="preserve">Valeta de proteção de corte – tipo 7A</t>
  </si>
  <si>
    <t xml:space="preserve">660100</t>
  </si>
  <si>
    <t xml:space="preserve">Valeta de proteção de aterro – tipo 5A</t>
  </si>
  <si>
    <t xml:space="preserve">660300</t>
  </si>
  <si>
    <t xml:space="preserve">Valeta de proteção de aterro – tipo 6A</t>
  </si>
  <si>
    <t xml:space="preserve">660500</t>
  </si>
  <si>
    <t xml:space="preserve">Valeta de proteção de aterro – tipo 7A</t>
  </si>
  <si>
    <t xml:space="preserve">655500</t>
  </si>
  <si>
    <t xml:space="preserve">Transposição de segmento de sarjeta (TSS 01)</t>
  </si>
  <si>
    <t xml:space="preserve">641800</t>
  </si>
  <si>
    <t xml:space="preserve">Dreno profundo em solo – tipo 6A</t>
  </si>
  <si>
    <t xml:space="preserve">643100</t>
  </si>
  <si>
    <t xml:space="preserve">Dreno profundo em rocha – tipo 2</t>
  </si>
  <si>
    <t xml:space="preserve">Dreno sub-superficial DSS 04 (sem item no contrato)</t>
  </si>
  <si>
    <t xml:space="preserve">Rede pluvial – tubo de concreto Ø 0,40 – projeto</t>
  </si>
  <si>
    <t xml:space="preserve">LE + LD + travessias transversais</t>
  </si>
  <si>
    <t xml:space="preserve">Rede pluvial – tubo de concreto Ø 0,60 – projeto</t>
  </si>
  <si>
    <t xml:space="preserve">Rede pluvial – tubo de concreto Ø 0,80 – projeto</t>
  </si>
  <si>
    <t xml:space="preserve">Rede pluvial – tubo de concreto Ø 1,00 – projeto</t>
  </si>
  <si>
    <t xml:space="preserve">Rede pluvial – tubo de concreto Ø 1,20 – projeto</t>
  </si>
  <si>
    <t xml:space="preserve">653400</t>
  </si>
  <si>
    <t xml:space="preserve">Sarjeta trapezoidal concreto - tipo 3</t>
  </si>
  <si>
    <t xml:space="preserve">Projeto · SZC 03 + STB 01 (a medição paga a STB 01 no item 653400)</t>
  </si>
  <si>
    <t xml:space="preserve">Valetas de proteção – consumos dos detalhes DR-4-0001/0002 (concreto e formas incluídos no preço por metro)</t>
  </si>
  <si>
    <t xml:space="preserve">Valetas VPA/VPC 5A, 6A e 7A – concreto fck 11 mpa – projeto</t>
  </si>
  <si>
    <t xml:space="preserve">extensão das valetas × consumo por metro (DR-4-0001/0002)</t>
  </si>
  <si>
    <t xml:space="preserve">Valetas VPA/VPC 5A, 6A e 7A – formas – projeto</t>
  </si>
  <si>
    <t xml:space="preserve">Valetas VPA/VPC 5A, 6A e 7A – escavação em solo – projeto</t>
  </si>
  <si>
    <t xml:space="preserve">Bueiros tubulares (corpo e bocas)</t>
  </si>
  <si>
    <t xml:space="preserve">Corpo de BSTC Ø 0,60 – projeto</t>
  </si>
  <si>
    <t xml:space="preserve">nota de serviço DR-9 (L do bueiro)</t>
  </si>
  <si>
    <t xml:space="preserve">620100</t>
  </si>
  <si>
    <t xml:space="preserve">Boca de BSTC Ø 0,60</t>
  </si>
  <si>
    <t xml:space="preserve">Projeto · projeto: 2 bocas por bueiro</t>
  </si>
  <si>
    <t xml:space="preserve">Corpo de BSTC Ø 0,80 – projeto</t>
  </si>
  <si>
    <t xml:space="preserve">620200</t>
  </si>
  <si>
    <t xml:space="preserve">Boca de BSTC Ø 0,80</t>
  </si>
  <si>
    <t xml:space="preserve">Corpo de BSTC Ø 1,00 – projeto</t>
  </si>
  <si>
    <t xml:space="preserve">620300</t>
  </si>
  <si>
    <t xml:space="preserve">Boca de BSTC Ø 1,00</t>
  </si>
  <si>
    <t xml:space="preserve">Corpo de BSTC Ø 1,20 – projeto</t>
  </si>
  <si>
    <t xml:space="preserve">620400</t>
  </si>
  <si>
    <t xml:space="preserve">Boca de BSTC Ø 1,20</t>
  </si>
  <si>
    <t xml:space="preserve">Corpo de BSTC Ø 1,50 – projeto</t>
  </si>
  <si>
    <t xml:space="preserve">620500</t>
  </si>
  <si>
    <t xml:space="preserve">Boca de BSTC Ø 1,50</t>
  </si>
  <si>
    <t xml:space="preserve">Corpo de BDTC Ø 1,50 – projeto</t>
  </si>
  <si>
    <t xml:space="preserve">620900</t>
  </si>
  <si>
    <t xml:space="preserve">Boca de BDTC Ø 1,50</t>
  </si>
  <si>
    <t xml:space="preserve">Corpo de BTTC Ø 1,50 – projeto</t>
  </si>
  <si>
    <t xml:space="preserve">621300</t>
  </si>
  <si>
    <t xml:space="preserve">Boca de BTTC Ø 1,50</t>
  </si>
  <si>
    <t xml:space="preserve">610500</t>
  </si>
  <si>
    <t xml:space="preserve">Corpo de BSTC 0,40m com berço</t>
  </si>
  <si>
    <t xml:space="preserve">Projeto · rede BSTC Ø 0,40 do projeto</t>
  </si>
  <si>
    <t xml:space="preserve">610700</t>
  </si>
  <si>
    <t xml:space="preserve">Corpo de BSTC 0,60m com berço</t>
  </si>
  <si>
    <t xml:space="preserve">Projeto · BSTC Ø 0,60 + rede BSTC Ø 0,60 do projeto</t>
  </si>
  <si>
    <t xml:space="preserve">610900</t>
  </si>
  <si>
    <t xml:space="preserve">Corpo de BSTC 0,80m com berço</t>
  </si>
  <si>
    <t xml:space="preserve">Projeto · BSTC Ø 0,80 + rede BSTC Ø 0,80 do projeto</t>
  </si>
  <si>
    <t xml:space="preserve">611100</t>
  </si>
  <si>
    <t xml:space="preserve">Corpo de BSTC 1,00m com berço</t>
  </si>
  <si>
    <t xml:space="preserve">Projeto · BSTC Ø 1,00 + rede BSTC Ø 1,00 do projeto</t>
  </si>
  <si>
    <t xml:space="preserve">611300</t>
  </si>
  <si>
    <t xml:space="preserve">Corpo de BSTC 1,20m com berço</t>
  </si>
  <si>
    <t xml:space="preserve">Projeto · BSTC Ø 1,20 + rede BSTC Ø 1,20 do projeto</t>
  </si>
  <si>
    <t xml:space="preserve">611500</t>
  </si>
  <si>
    <t xml:space="preserve">Corpo de BSTC 1,50m com berço</t>
  </si>
  <si>
    <t xml:space="preserve">Projeto · BSTC Ø 1,50 do projeto</t>
  </si>
  <si>
    <t xml:space="preserve">612000</t>
  </si>
  <si>
    <t xml:space="preserve">Corpo de BDTC 1,50m com berço</t>
  </si>
  <si>
    <t xml:space="preserve">Projeto · BDTC Ø 1,50 do projeto</t>
  </si>
  <si>
    <t xml:space="preserve">612400</t>
  </si>
  <si>
    <t xml:space="preserve">Corpo de BTTC 1,50m com berço</t>
  </si>
  <si>
    <t xml:space="preserve">Projeto · BTTC Ø 1,50 do projeto</t>
  </si>
  <si>
    <t xml:space="preserve">Lastro de brita sob bueiros e rede pluvial – projeto (DR-4-0036/0037)</t>
  </si>
  <si>
    <t xml:space="preserve">extensão × consumo por metro (bueiro duplo/triplo = 2/3 linhas)</t>
  </si>
  <si>
    <t xml:space="preserve">603900</t>
  </si>
  <si>
    <t xml:space="preserve">Lastro de brita</t>
  </si>
  <si>
    <t xml:space="preserve">Projeto · lastro de brita dos detalhes de assentamento DR-4-0036/0037</t>
  </si>
  <si>
    <t xml:space="preserve">Remoção de drenagem existente (memória – anexo 1.3; metros de tubo)</t>
  </si>
  <si>
    <t xml:space="preserve">Remoção de bueiro Ø 0,40 – projeto</t>
  </si>
  <si>
    <t xml:space="preserve">memória – remoção ou substituição de drenagem existente</t>
  </si>
  <si>
    <t xml:space="preserve">Remoção de bueiro Ø 0,60 – projeto</t>
  </si>
  <si>
    <t xml:space="preserve">Remoção de bueiro duplo Ø 0,80 (2 linhas) – projeto</t>
  </si>
  <si>
    <t xml:space="preserve">Remoção de bueiro Ø 1,00 – projeto</t>
  </si>
  <si>
    <t xml:space="preserve">Demolição de concreto armado (bocas) – projeto</t>
  </si>
  <si>
    <t xml:space="preserve">Demolição de concreto simples (caixas e bocas de lobo) – projeto</t>
  </si>
  <si>
    <t xml:space="preserve">630400</t>
  </si>
  <si>
    <t xml:space="preserve">Remoção de bueiro 0,40m</t>
  </si>
  <si>
    <t xml:space="preserve">Projeto · memória – remoção de drenagem existente</t>
  </si>
  <si>
    <t xml:space="preserve">630600</t>
  </si>
  <si>
    <t xml:space="preserve">Remoção de bueiro 0,60m</t>
  </si>
  <si>
    <t xml:space="preserve">630800</t>
  </si>
  <si>
    <t xml:space="preserve">Remoção de bueiro 0,80m</t>
  </si>
  <si>
    <t xml:space="preserve">631000</t>
  </si>
  <si>
    <t xml:space="preserve">Remoção de bueiro 1,00m</t>
  </si>
  <si>
    <t xml:space="preserve">606600</t>
  </si>
  <si>
    <t xml:space="preserve">Demolição de concreto armado</t>
  </si>
  <si>
    <t xml:space="preserve">606700</t>
  </si>
  <si>
    <t xml:space="preserve">Demolição de concreto simples</t>
  </si>
  <si>
    <t xml:space="preserve">Canais projetados – DR-5 (quantidades da seção tipo × extensão)</t>
  </si>
  <si>
    <t xml:space="preserve">Extensão de canais – projeto</t>
  </si>
  <si>
    <t xml:space="preserve">pranchas DR-5 (Rio do Salto no total)</t>
  </si>
  <si>
    <t xml:space="preserve">Gabião caixa h = 0,50 m (canais) – projeto</t>
  </si>
  <si>
    <t xml:space="preserve">pranchas DR-5</t>
  </si>
  <si>
    <t xml:space="preserve">Gabião caixa h = 1,00 m (canais) – projeto</t>
  </si>
  <si>
    <t xml:space="preserve">Colchão Reno (canais) – projeto</t>
  </si>
  <si>
    <t xml:space="preserve">Lastro de rachão e = 0,40 m (canais) – sem item no contrato – projeto</t>
  </si>
  <si>
    <t xml:space="preserve">Geotêxtil MacTex (canais) – projeto</t>
  </si>
  <si>
    <t xml:space="preserve">Pedra argamassada e = 0,20 m (canal longitudinal 312–323) – projeto</t>
  </si>
  <si>
    <t xml:space="preserve">Enleivamento (canais em terra) – projeto</t>
  </si>
  <si>
    <t xml:space="preserve">Escavação dos canais (seção × extensão) – projeto</t>
  </si>
  <si>
    <t xml:space="preserve">860200</t>
  </si>
  <si>
    <t xml:space="preserve">Gabião tipo caixa 2x1x0,50m ZN/AL + PVC (NBR 8964) – dispositivos/canais</t>
  </si>
  <si>
    <t xml:space="preserve">Projeto · gabião h=0,50 dos canais DR-5</t>
  </si>
  <si>
    <t xml:space="preserve">860150</t>
  </si>
  <si>
    <t xml:space="preserve">Gabião tipo caixa 2x1x1,00m ZN/AL + PVC (NBR 8964) – dispositivos/canais</t>
  </si>
  <si>
    <t xml:space="preserve">Projeto · gabião h=1,00 dos canais DR-5</t>
  </si>
  <si>
    <t xml:space="preserve">860023</t>
  </si>
  <si>
    <t xml:space="preserve">Gabião tipo colchão ZN/AL + PVC e=0,23m (NBR 8964) – dispositivos/canais</t>
  </si>
  <si>
    <t xml:space="preserve">Projeto · colchão Reno dos canais DR-5</t>
  </si>
  <si>
    <t xml:space="preserve">603600</t>
  </si>
  <si>
    <t xml:space="preserve">Alvenaria pedra de mão argamassada – dispositivos/canais</t>
  </si>
  <si>
    <t xml:space="preserve">Projeto · pedra argamassada do canal longitudinal DR-5</t>
  </si>
  <si>
    <t xml:space="preserve">Dispositivos com item próprio no contrato</t>
  </si>
  <si>
    <t xml:space="preserve">644200</t>
  </si>
  <si>
    <t xml:space="preserve">Dreno sub-superficial tipo 2 (espinha de peixe)</t>
  </si>
  <si>
    <t xml:space="preserve">Projeto · nota de serviço DR-9 (L)</t>
  </si>
  <si>
    <t xml:space="preserve">622100</t>
  </si>
  <si>
    <t xml:space="preserve">Boca de saída de dreno profundo – tipo 2</t>
  </si>
  <si>
    <t xml:space="preserve">Projeto · nota de serviço DR-9</t>
  </si>
  <si>
    <t xml:space="preserve">691104</t>
  </si>
  <si>
    <t xml:space="preserve">Poço de visita PV 2 – tampão de ferro fundido Ø 0,60 m</t>
  </si>
  <si>
    <t xml:space="preserve">622200</t>
  </si>
  <si>
    <t xml:space="preserve">Boca de saída dreno sub-superficial</t>
  </si>
  <si>
    <t xml:space="preserve">Contrato · distribuído pelo DSS 02</t>
  </si>
  <si>
    <t xml:space="preserve">Dispositivos remunerados por aço, forma e concreto (quantidade de projeto → insumos do contrato)</t>
  </si>
  <si>
    <t xml:space="preserve">Bacia de captação</t>
  </si>
  <si>
    <t xml:space="preserve">nota de serviço DR-9 · remunerado por aço, forma e concreto</t>
  </si>
  <si>
    <t xml:space="preserve">Vala de captação – grama curta</t>
  </si>
  <si>
    <t xml:space="preserve">Vala de captação – pedra argamassada</t>
  </si>
  <si>
    <t xml:space="preserve">Vala de descarga – grama curta</t>
  </si>
  <si>
    <t xml:space="preserve">EDA 01 – Entrada d'água</t>
  </si>
  <si>
    <t xml:space="preserve">EDA 02 – Entrada d'água</t>
  </si>
  <si>
    <t xml:space="preserve">DAD 02 – Descida d'água</t>
  </si>
  <si>
    <t xml:space="preserve">DCD 02 – Descida d'água</t>
  </si>
  <si>
    <t xml:space="preserve">DCD 04 – Descida d'água</t>
  </si>
  <si>
    <t xml:space="preserve">DR 13A – Descida d'água</t>
  </si>
  <si>
    <t xml:space="preserve">DAR 01 – Descida d'água rápida (ponto de ônibus)</t>
  </si>
  <si>
    <t xml:space="preserve">DES 02 – Dissipador de energia</t>
  </si>
  <si>
    <t xml:space="preserve">DES 03 – Dissipador de energia</t>
  </si>
  <si>
    <t xml:space="preserve">DES 05 – Dissipador de energia</t>
  </si>
  <si>
    <t xml:space="preserve">DES 06 – Dissipador de energia</t>
  </si>
  <si>
    <t xml:space="preserve">DEB 01 – Dissipador de energia</t>
  </si>
  <si>
    <t xml:space="preserve">DEB 02 – Dissipador de energia</t>
  </si>
  <si>
    <t xml:space="preserve">BLS – Boca de lobo simples</t>
  </si>
  <si>
    <t xml:space="preserve">BLD – Boca de lobo dupla</t>
  </si>
  <si>
    <t xml:space="preserve">CCS – Caixa coletora de sarjeta</t>
  </si>
  <si>
    <t xml:space="preserve">CLP – Caixa de ligação e passagem</t>
  </si>
  <si>
    <t xml:space="preserve">Dispositivos – concreto estrutural (fck 11–15 mpa) – projeto (DR-4)</t>
  </si>
  <si>
    <t xml:space="preserve">quantidade de dispositivos × consumo unitário dos detalhes-tipo DR-4</t>
  </si>
  <si>
    <t xml:space="preserve">Dispositivos – concreto magro e enchimento – projeto (DR-4)</t>
  </si>
  <si>
    <t xml:space="preserve">Dispositivos – formas – projeto (DR-4)</t>
  </si>
  <si>
    <t xml:space="preserve">Dispositivos – aço ca-50 – projeto (DR-4)</t>
  </si>
  <si>
    <t xml:space="preserve">Dispositivos – aço ca-60 – projeto (DR-4)</t>
  </si>
  <si>
    <t xml:space="preserve">Dispositivos – escavação – projeto (DR-4)</t>
  </si>
  <si>
    <t xml:space="preserve">Dispositivos – apiloamento – projeto (DR-4)</t>
  </si>
  <si>
    <t xml:space="preserve">Dispositivos – pedra argamassada (dissipadores) – projeto (DR-4)</t>
  </si>
  <si>
    <t xml:space="preserve">603000</t>
  </si>
  <si>
    <t xml:space="preserve">Aço CA-50 fornec. dobr. colocação – dispositivos</t>
  </si>
  <si>
    <t xml:space="preserve">Projeto · consumos DR-4 × dispositivos</t>
  </si>
  <si>
    <t xml:space="preserve">603300</t>
  </si>
  <si>
    <t xml:space="preserve">Aço CA-60 fornec. dobr. colocação – dispositivos</t>
  </si>
  <si>
    <t xml:space="preserve">601100</t>
  </si>
  <si>
    <t xml:space="preserve">Apiloamento manual – dispositivos</t>
  </si>
  <si>
    <t xml:space="preserve">605300</t>
  </si>
  <si>
    <t xml:space="preserve">Concreto Fck = 15 mPa, preparo em betoneira e lanç. – dispositivos</t>
  </si>
  <si>
    <t xml:space="preserve">605000</t>
  </si>
  <si>
    <t xml:space="preserve">Concreto magro, preparo em betoneira e lanç. – dispositivos</t>
  </si>
  <si>
    <t xml:space="preserve">800000</t>
  </si>
  <si>
    <t xml:space="preserve">Enleivamento – dispositivos</t>
  </si>
  <si>
    <t xml:space="preserve">Projeto · consumos DR-4 × dispositivos + canais DR-5</t>
  </si>
  <si>
    <t xml:space="preserve">600600</t>
  </si>
  <si>
    <t xml:space="preserve">Escavação valas de drenagem 1a. cat. – dispositivos</t>
  </si>
  <si>
    <t xml:space="preserve">602000</t>
  </si>
  <si>
    <t xml:space="preserve">Formas de madeira comum – dispositivos</t>
  </si>
  <si>
    <t xml:space="preserve">605500</t>
  </si>
  <si>
    <t xml:space="preserve">Concreto Fck = 20 mPa, preparo em betoneira e lanç. – dispositivos</t>
  </si>
  <si>
    <t xml:space="preserve">Contrato · não consta dos detalhes DR-4 – contrato distribuído pela contagem de dispositivos</t>
  </si>
  <si>
    <t xml:space="preserve">600800</t>
  </si>
  <si>
    <t xml:space="preserve">Escavação valas de drenagem 3a. cat. – dispositivos</t>
  </si>
  <si>
    <t xml:space="preserve">Drenos sub-superficiais DSS 02/04 – manta geotêxtil – projeto</t>
  </si>
  <si>
    <t xml:space="preserve">extensão × 2,15 m²/m (DR-4-0016)</t>
  </si>
  <si>
    <t xml:space="preserve">Drenos sub-superficiais DSS 02/04 – material drenante – projeto</t>
  </si>
  <si>
    <t xml:space="preserve">extensão × 0,16 m³/m (DR-4-0016)</t>
  </si>
  <si>
    <t xml:space="preserve">607000</t>
  </si>
  <si>
    <t xml:space="preserve">Fornecimento e colocação geotextil n/tecido(GNT)</t>
  </si>
  <si>
    <t xml:space="preserve">Projeto · manta dos drenos sub-superficiais (DR-4-0016)</t>
  </si>
  <si>
    <t xml:space="preserve">690051</t>
  </si>
  <si>
    <t xml:space="preserve">Fornecimento e transporte de brita para dreno</t>
  </si>
  <si>
    <t xml:space="preserve">Projeto · material drenante dos drenos sub-superficiais (DR-4-0016)</t>
  </si>
  <si>
    <t xml:space="preserve">Serviços de bueiros, rede, valas e bacias</t>
  </si>
  <si>
    <t xml:space="preserve">600300</t>
  </si>
  <si>
    <t xml:space="preserve">Escavação de bueiros em 1ª categoria</t>
  </si>
  <si>
    <t xml:space="preserve">Projeto · bueiros + rede pluvial + valas + bacias</t>
  </si>
  <si>
    <t xml:space="preserve">Reaterro manual (apiloamento manual)</t>
  </si>
  <si>
    <t xml:space="preserve">601200</t>
  </si>
  <si>
    <t xml:space="preserve">Reaterro e apiloamento mecânico</t>
  </si>
  <si>
    <t xml:space="preserve">602200</t>
  </si>
  <si>
    <t xml:space="preserve">Escoramento de cavas de fundação</t>
  </si>
  <si>
    <t xml:space="preserve">Alvenaria de pedra argamassada (valas e bacias)</t>
  </si>
  <si>
    <t xml:space="preserve">valas e bacias de captação</t>
  </si>
  <si>
    <t xml:space="preserve">Enleivamento (valas)</t>
  </si>
  <si>
    <t xml:space="preserve">Projeto · valas e bacias de captação</t>
  </si>
  <si>
    <t xml:space="preserve">696420</t>
  </si>
  <si>
    <t xml:space="preserve">Tubo PEAD Ø 100 mm para dreno (bacias)</t>
  </si>
  <si>
    <t xml:space="preserve">Alvenaria pedra de mão argamassada</t>
  </si>
  <si>
    <t xml:space="preserve">Projeto · pedra das valas e bacias (DR-9) + dissipadores (DR-4)</t>
  </si>
  <si>
    <t xml:space="preserve">600500</t>
  </si>
  <si>
    <t xml:space="preserve">Escavação de bueiros em 3a. cat.</t>
  </si>
  <si>
    <t xml:space="preserve">Contrato · distribuído pela escavação de bueiros</t>
  </si>
  <si>
    <t xml:space="preserve">Escavação valas de drenagem 1a. cat.</t>
  </si>
  <si>
    <t xml:space="preserve">Projeto · escavação das valetas VPA/VPC (DR-4-0001/0002)</t>
  </si>
  <si>
    <t xml:space="preserve">692450</t>
  </si>
  <si>
    <t xml:space="preserve">Dreno de Talvegue</t>
  </si>
  <si>
    <t xml:space="preserve">Contrato · sem localização no projeto – rateio por extensão</t>
  </si>
  <si>
    <t xml:space="preserve">791195</t>
  </si>
  <si>
    <t xml:space="preserve">Fornecimento e colocação de meia cana de concreto 0,30m</t>
  </si>
  <si>
    <t xml:space="preserve">Gabião tipo caixa 2x1x0,50m ZN/AL + PVC (NBR 8964)</t>
  </si>
  <si>
    <t xml:space="preserve">Subtotal – Drenagem e OAC</t>
  </si>
  <si>
    <t xml:space="preserve">5  ·  GALERIAS CELULARES E PASSA-FAUNA</t>
  </si>
  <si>
    <t xml:space="preserve">Galerias celulares (contrato por insumos)</t>
  </si>
  <si>
    <t xml:space="preserve">Galeria celular BSCC 2,00 x 2,00 (corpo) – projeto</t>
  </si>
  <si>
    <t xml:space="preserve">nota de serviço DR-9</t>
  </si>
  <si>
    <t xml:space="preserve">Galeria celular BSCC 2,50 x 2,50 (corpo) – projeto</t>
  </si>
  <si>
    <t xml:space="preserve">Galeria celular BSCC 3,00 x 3,00 (corpo) – projeto</t>
  </si>
  <si>
    <t xml:space="preserve">Galeria celular BTCC 3,00 x 3,00 (corpo) – projeto</t>
  </si>
  <si>
    <t xml:space="preserve">Galeria celular BTCC 3,00 x 4,00 (corpo) – projeto</t>
  </si>
  <si>
    <t xml:space="preserve">Galerias – concreto fck ≥ 20 mpa (corpo + 2 cabeceiras) – projeto</t>
  </si>
  <si>
    <t xml:space="preserve">corpo: tabelas por metro DR-4-0039 a 0044/0055/0056; cabeceiras: DR-4-0046/0047/0054</t>
  </si>
  <si>
    <t xml:space="preserve">Galerias – lastro de concreto magro (corpo + 2 cabeceiras) – projeto</t>
  </si>
  <si>
    <t xml:space="preserve">Galerias – formas (corpo + 2 cabeceiras) – projeto</t>
  </si>
  <si>
    <t xml:space="preserve">Galerias – revestimento – argamassa 1:3 (corpo + 2 cabeceiras) – projeto</t>
  </si>
  <si>
    <t xml:space="preserve">Galerias – aço ca-50 (corpo + 2 cabeceiras) – projeto</t>
  </si>
  <si>
    <t xml:space="preserve">730000</t>
  </si>
  <si>
    <t xml:space="preserve">Aço CA-50 fornec. dobr. colocação – galerias</t>
  </si>
  <si>
    <t xml:space="preserve">Projeto · tabelas DNIT/DER-PR das galerias (série DR-4)</t>
  </si>
  <si>
    <t xml:space="preserve">792140</t>
  </si>
  <si>
    <t xml:space="preserve">Concreto usinado Fck = 20 mPa, exclusive bombeamento – galerias</t>
  </si>
  <si>
    <t xml:space="preserve">792340</t>
  </si>
  <si>
    <t xml:space="preserve">Concreto magro usinado, exclusive bombeamento – galerias</t>
  </si>
  <si>
    <t xml:space="preserve">711000</t>
  </si>
  <si>
    <t xml:space="preserve">Formas de madeira compensada resinada – galerias</t>
  </si>
  <si>
    <t xml:space="preserve">745000</t>
  </si>
  <si>
    <t xml:space="preserve">Argamassa cimento e areia 1:3 – galerias</t>
  </si>
  <si>
    <t xml:space="preserve">795890</t>
  </si>
  <si>
    <t xml:space="preserve">Bombeamento de concreto – galerias</t>
  </si>
  <si>
    <t xml:space="preserve">Projeto · tabelas DNIT/DER-PR das galerias (série DR-4) (concreto + lastro)</t>
  </si>
  <si>
    <t xml:space="preserve">Galerias – escoramento das cabeceiras – projeto (DR-4-0059)</t>
  </si>
  <si>
    <t xml:space="preserve">2 cabeceiras por galeria, boca normal (0°); triplas pela tabela d1</t>
  </si>
  <si>
    <t xml:space="preserve">712100</t>
  </si>
  <si>
    <t xml:space="preserve">Escoramento cavas de fundação – galerias</t>
  </si>
  <si>
    <t xml:space="preserve">Projeto · escoramento das cabeceiras (DR-4-0059)</t>
  </si>
  <si>
    <t xml:space="preserve">Passa-fauna BSCC 2,00 × 2,00 (161+13 e 235+1 – memória)</t>
  </si>
  <si>
    <t xml:space="preserve">Passa-fauna BSCC 2,00 × 2,00 (corpo) – projeto</t>
  </si>
  <si>
    <t xml:space="preserve">memória – dados do passa-fauna (2 × 18 m)</t>
  </si>
  <si>
    <t xml:space="preserve">896340</t>
  </si>
  <si>
    <t xml:space="preserve">Cerca de tela galvanizada – passa-fauna</t>
  </si>
  <si>
    <t xml:space="preserve">Projeto · memória – obras complementares</t>
  </si>
  <si>
    <t xml:space="preserve">Aço CA-50 fornec. dobr. colocação – corpo de bscc 2,00 x 2,00</t>
  </si>
  <si>
    <t xml:space="preserve">Projeto (memória, total) · quadro de obras complementares (Tomo II, tab. 78) – distribuído pelos passa-faunas</t>
  </si>
  <si>
    <t xml:space="preserve">Argamassa cimento e areia 1:3 – corpo de bscc 2,00 x 2,00</t>
  </si>
  <si>
    <t xml:space="preserve">741500</t>
  </si>
  <si>
    <t xml:space="preserve">Concreto Fck = 15 mPa, preparo em betoneira e lanç. – corpo de bscc 2,00 x 2,00</t>
  </si>
  <si>
    <t xml:space="preserve">742000</t>
  </si>
  <si>
    <t xml:space="preserve">Concreto Fck = 20 mPa, preparo em betoneira e lanç. – corpo de bscc 2,00 x 2,00</t>
  </si>
  <si>
    <t xml:space="preserve">Formas de madeira compensada resinada – corpo de bscc 2,00 x 2,00</t>
  </si>
  <si>
    <t xml:space="preserve">30000</t>
  </si>
  <si>
    <t xml:space="preserve">Aço CA-50 fornec. dobr. colocação – boca de bscc 2,00 x 2,00</t>
  </si>
  <si>
    <t xml:space="preserve">Apiloamento manual – boca de bscc 2,00 x 2,00</t>
  </si>
  <si>
    <t xml:space="preserve">Argamassa cimento e areia 1:3 – boca de bscc 2,00 x 2,00</t>
  </si>
  <si>
    <t xml:space="preserve">Concreto Fck = 15 mPa, preparo em betoneira e lanç. – boca de bscc 2,00 x 2,00</t>
  </si>
  <si>
    <t xml:space="preserve">Concreto Fck = 20 mPa, preparo em betoneira e lanç. – boca de bscc 2,00 x 2,00</t>
  </si>
  <si>
    <t xml:space="preserve">Escavação de bueiros em 1a. cat. – boca de bscc 2,00 x 2,00</t>
  </si>
  <si>
    <t xml:space="preserve">Formas de madeira compensada resinada – boca de bscc 2,00 x 2,00</t>
  </si>
  <si>
    <t xml:space="preserve">743900</t>
  </si>
  <si>
    <t xml:space="preserve">Lastro de brita – boca de bscc 2,00 x 2,00</t>
  </si>
  <si>
    <t xml:space="preserve">Subtotal – Galerias e passa-fauna</t>
  </si>
  <si>
    <t xml:space="preserve">6  ·  OAE – PONTE SOBRE O RIO DO SALTO (235+6 a 237+1)</t>
  </si>
  <si>
    <t xml:space="preserve">Extensão da ponte dentro do trecho</t>
  </si>
  <si>
    <t xml:space="preserve">Est. 235+6,000 a 237+1,000 (ES-2)</t>
  </si>
  <si>
    <t xml:space="preserve">Infraestrutura e mesoestrutura</t>
  </si>
  <si>
    <t xml:space="preserve">Aço CA-50 fornec. dobr. colocação</t>
  </si>
  <si>
    <t xml:space="preserve">Projeto (memória, total) · Quantitativo Executivo OAE REV02 – proporcional à extensão da ponte no trecho</t>
  </si>
  <si>
    <t xml:space="preserve">722500</t>
  </si>
  <si>
    <t xml:space="preserve">Argamassa fluída para estaca raiz (volume efetivamente aplicado)</t>
  </si>
  <si>
    <t xml:space="preserve">Bombeamento de concreto</t>
  </si>
  <si>
    <t xml:space="preserve">792320</t>
  </si>
  <si>
    <t xml:space="preserve">Concreto usinado Fck = 25 mPa, exclusive bombeamento</t>
  </si>
  <si>
    <t xml:space="preserve">792350</t>
  </si>
  <si>
    <t xml:space="preserve">Concreto usinado Fck = 15 mPa, exclusive bombeamento</t>
  </si>
  <si>
    <t xml:space="preserve">790305</t>
  </si>
  <si>
    <t xml:space="preserve">Execução de estaca raiz em rocha ø=305mm, exclusive materiais</t>
  </si>
  <si>
    <t xml:space="preserve">793410</t>
  </si>
  <si>
    <t xml:space="preserve">Execução de estaca raiz em solo ø=410mm, exclusive materiais</t>
  </si>
  <si>
    <t xml:space="preserve">Formas de madeira compensada resinada</t>
  </si>
  <si>
    <t xml:space="preserve">797881</t>
  </si>
  <si>
    <t xml:space="preserve">Fornecimento e colocação de junta de dilatação em elastômero e perfil VV - L=50mm e H=80mm</t>
  </si>
  <si>
    <t xml:space="preserve">Superestrutura</t>
  </si>
  <si>
    <t xml:space="preserve">756000</t>
  </si>
  <si>
    <t xml:space="preserve">Apoio elastomérico fretado fornec.colocação</t>
  </si>
  <si>
    <t xml:space="preserve">795528</t>
  </si>
  <si>
    <t xml:space="preserve">Carga, transporte e posicionamento de pré-lajes pré-moldadas, P=280 kg</t>
  </si>
  <si>
    <t xml:space="preserve">794545</t>
  </si>
  <si>
    <t xml:space="preserve">Carga, transporte e posicionamento de pré-lajes pré-moldadas, P=450 kg</t>
  </si>
  <si>
    <t xml:space="preserve">794571</t>
  </si>
  <si>
    <t xml:space="preserve">Carga, transporte, lançamento e posicionamento no vão de vigas pré-moldadas, P=71, 0tf, L=35,90m</t>
  </si>
  <si>
    <t xml:space="preserve">793210</t>
  </si>
  <si>
    <t xml:space="preserve">Concreto usinado Fck = 40 mPa, exclusive bombeamento</t>
  </si>
  <si>
    <t xml:space="preserve">754400</t>
  </si>
  <si>
    <t xml:space="preserve">Dreno ferro galvanizado 0,40m 4"</t>
  </si>
  <si>
    <t xml:space="preserve">793270</t>
  </si>
  <si>
    <t xml:space="preserve">Fornec. e colocação de treliça metálica TG-16 ou equivalente</t>
  </si>
  <si>
    <t xml:space="preserve">795980</t>
  </si>
  <si>
    <t xml:space="preserve">Fornecimento, colocação e protensão de ancoragem ativa p/ 7 ø 15,2mm</t>
  </si>
  <si>
    <t xml:space="preserve">796414</t>
  </si>
  <si>
    <t xml:space="preserve">Fornecimento, colocação e protensão de ancoragem passiva p/ 13 ø 15,2mm</t>
  </si>
  <si>
    <t xml:space="preserve">796971</t>
  </si>
  <si>
    <t xml:space="preserve">Fornecimento, colocação e protensão de ancoragem passiva p/ 14 ø 15,2mm</t>
  </si>
  <si>
    <t xml:space="preserve">796310</t>
  </si>
  <si>
    <t xml:space="preserve">Fornecimento, corte e colocação de aço CP 190 RB Ø=15,2mm, inclusive protensão</t>
  </si>
  <si>
    <t xml:space="preserve">796970</t>
  </si>
  <si>
    <t xml:space="preserve">Fornecimento e colocação de ancoragens ativas 14 ø 15,2mm</t>
  </si>
  <si>
    <t xml:space="preserve">796470</t>
  </si>
  <si>
    <t xml:space="preserve">Fornecimento e colocação de bainha metálica galvanizada semi-rígida ø=65mm, inclusive injeção de nata de cimento</t>
  </si>
  <si>
    <t xml:space="preserve">796200</t>
  </si>
  <si>
    <t xml:space="preserve">Fornecimento e colocação de bainha semi-rígida metálica galvanizada øint=90mm, inclusive injeção com nata de cimento</t>
  </si>
  <si>
    <t xml:space="preserve">796913</t>
  </si>
  <si>
    <t xml:space="preserve">Fornecimento, instalação e protensão de ancoragem ativa 13 ø 15,20mm</t>
  </si>
  <si>
    <t xml:space="preserve">Subtotal – OAE – ponte</t>
  </si>
  <si>
    <t xml:space="preserve">7  ·  CONTENÇÕES – MUROS DE GABIÃO E TERRAMESH (CO-2)</t>
  </si>
  <si>
    <t xml:space="preserve">896150</t>
  </si>
  <si>
    <t xml:space="preserve">Terramesh 0,50x1,00x4,00 m</t>
  </si>
  <si>
    <t xml:space="preserve">Projeto · quadro de materiais CO-2 (revisão com Terramesh)</t>
  </si>
  <si>
    <t xml:space="preserve">896135</t>
  </si>
  <si>
    <t xml:space="preserve">Terramesh 0,50x1,00x5,00 m</t>
  </si>
  <si>
    <t xml:space="preserve">896160</t>
  </si>
  <si>
    <t xml:space="preserve">Terramesh 1,00x1,00x4,00 m</t>
  </si>
  <si>
    <t xml:space="preserve">896145</t>
  </si>
  <si>
    <t xml:space="preserve">Terramesh 1,00x1,00x5,00 m</t>
  </si>
  <si>
    <t xml:space="preserve">Gabião tipo caixa h=0,50 m</t>
  </si>
  <si>
    <t xml:space="preserve">Gabião tipo caixa h=1,00 m</t>
  </si>
  <si>
    <t xml:space="preserve">Filtro geotêxtil</t>
  </si>
  <si>
    <t xml:space="preserve">Rachão para preparação da base</t>
  </si>
  <si>
    <t xml:space="preserve">quadro de materiais CO-2 (revisão com Terramesh)</t>
  </si>
  <si>
    <t xml:space="preserve">Área de face do muro</t>
  </si>
  <si>
    <t xml:space="preserve">Subtotal – Contenções</t>
  </si>
  <si>
    <t xml:space="preserve">8  ·  SINALIZAÇÃO</t>
  </si>
  <si>
    <t xml:space="preserve">Vertical (memória: placas por estaca)</t>
  </si>
  <si>
    <t xml:space="preserve">820000</t>
  </si>
  <si>
    <t xml:space="preserve">Placa de sinalização com película refletiva</t>
  </si>
  <si>
    <t xml:space="preserve">Projeto · memória – sinalização vertical</t>
  </si>
  <si>
    <t xml:space="preserve">Suportes de placas – memória (un)</t>
  </si>
  <si>
    <t xml:space="preserve">memória – coluna "Suporte"</t>
  </si>
  <si>
    <t xml:space="preserve">822010</t>
  </si>
  <si>
    <t xml:space="preserve">Suporte metálico perfil "C" 110×70 – h = 3,00 m</t>
  </si>
  <si>
    <t xml:space="preserve">Projeto (memória, total) · quadro de sinalização (Tomo II, tab. 74) – distribuído pelos suportes da memória</t>
  </si>
  <si>
    <t xml:space="preserve">821110</t>
  </si>
  <si>
    <t xml:space="preserve">Suporte metálico perfil "C" 110×70 – h = 3,50 m</t>
  </si>
  <si>
    <t xml:space="preserve">821020</t>
  </si>
  <si>
    <t xml:space="preserve">Suporte metálico perfil "C" 150×85 – h = 4,00 m</t>
  </si>
  <si>
    <t xml:space="preserve">822020</t>
  </si>
  <si>
    <t xml:space="preserve">Suporte metálico perfil "C" 150×85 – h = 4,50 m</t>
  </si>
  <si>
    <t xml:space="preserve">871500</t>
  </si>
  <si>
    <t xml:space="preserve">Pórtico simples 11 a 15 m</t>
  </si>
  <si>
    <t xml:space="preserve">Projeto · só total no quadro – rateio por extensão</t>
  </si>
  <si>
    <t xml:space="preserve">878300</t>
  </si>
  <si>
    <t xml:space="preserve">Semi-pórtico simples 8,30 m</t>
  </si>
  <si>
    <t xml:space="preserve">897310</t>
  </si>
  <si>
    <t xml:space="preserve">Remoção de placas</t>
  </si>
  <si>
    <t xml:space="preserve">Remoção de pórtico – projeto</t>
  </si>
  <si>
    <t xml:space="preserve">só total no quadro – rateio por extensão</t>
  </si>
  <si>
    <t xml:space="preserve">Remoção de semi-pórtico – projeto</t>
  </si>
  <si>
    <t xml:space="preserve">890770</t>
  </si>
  <si>
    <t xml:space="preserve">Remoção de pórtico c/ transporte</t>
  </si>
  <si>
    <t xml:space="preserve">Projeto · remoções de pórtico e semi-pórtico do quadro</t>
  </si>
  <si>
    <t xml:space="preserve">Horizontal (memória: faixas por estaca)</t>
  </si>
  <si>
    <t xml:space="preserve">822100</t>
  </si>
  <si>
    <t xml:space="preserve">Faixas – termoplástico por aspersão e = 1,5 mm</t>
  </si>
  <si>
    <t xml:space="preserve">Projeto · memória – sinalização horizontal (eixo no total)</t>
  </si>
  <si>
    <t xml:space="preserve">822330</t>
  </si>
  <si>
    <t xml:space="preserve">Setas, zebrados, legendas e faixas de pedestre – termoplástico por extrusão e = 3 mm</t>
  </si>
  <si>
    <t xml:space="preserve">871000</t>
  </si>
  <si>
    <t xml:space="preserve">Tacha refletiva bidirecional</t>
  </si>
  <si>
    <t xml:space="preserve">873000</t>
  </si>
  <si>
    <t xml:space="preserve">Tachão refletivo bidirecional</t>
  </si>
  <si>
    <t xml:space="preserve">870000</t>
  </si>
  <si>
    <t xml:space="preserve">Tacha refletiva monodirecional</t>
  </si>
  <si>
    <t xml:space="preserve">Dispositivos de segurança (memória)</t>
  </si>
  <si>
    <t xml:space="preserve">823000</t>
  </si>
  <si>
    <t xml:space="preserve">Defensa metálica semi-maleável (inclui terminal abatido)</t>
  </si>
  <si>
    <t xml:space="preserve">Projeto · memória – defensas + terminais abatidos</t>
  </si>
  <si>
    <t xml:space="preserve">807080</t>
  </si>
  <si>
    <t xml:space="preserve">Terminal absorvedor de energia</t>
  </si>
  <si>
    <t xml:space="preserve">Projeto · memória – dispositivos de segurança</t>
  </si>
  <si>
    <t xml:space="preserve">801925</t>
  </si>
  <si>
    <t xml:space="preserve">Elemento retrorrefletivo para defensa</t>
  </si>
  <si>
    <t xml:space="preserve">Projeto · 326 un proporcionais à defensa da memória</t>
  </si>
  <si>
    <t xml:space="preserve">806080</t>
  </si>
  <si>
    <t xml:space="preserve">Atenuador / terminal amortecedor de impacto</t>
  </si>
  <si>
    <t xml:space="preserve">Projeto · memória (ramos da interseção → Est. 326)</t>
  </si>
  <si>
    <t xml:space="preserve">Barreira New Jersey simples (extrusora) – projeto</t>
  </si>
  <si>
    <t xml:space="preserve">só total no quadro – rateio</t>
  </si>
  <si>
    <t xml:space="preserve">801926</t>
  </si>
  <si>
    <t xml:space="preserve">Fornecimento e colocação de dispositivo refletivo para barreira New Jersey</t>
  </si>
  <si>
    <t xml:space="preserve">Contrato · distribuído pela barreira New Jersey</t>
  </si>
  <si>
    <t xml:space="preserve">Subtotal – Sinalização</t>
  </si>
  <si>
    <t xml:space="preserve">9  ·  ILUMINAÇÃO – INTERSEÇÃO 01 (IL-1)</t>
  </si>
  <si>
    <t xml:space="preserve">Postes com luminária LED 153 W – projeto</t>
  </si>
  <si>
    <t xml:space="preserve">planta IL-1 (estaca aproximada)</t>
  </si>
  <si>
    <t xml:space="preserve">Postes com luminária LED 233 W – projeto</t>
  </si>
  <si>
    <t xml:space="preserve">Postes de iluminação – projeto</t>
  </si>
  <si>
    <t xml:space="preserve">planta IL-1</t>
  </si>
  <si>
    <t xml:space="preserve">862</t>
  </si>
  <si>
    <t xml:space="preserve">Cabo elétrico cobre nú 16mm²</t>
  </si>
  <si>
    <t xml:space="preserve">Contrato · distribuído pelos postes do projeto</t>
  </si>
  <si>
    <t xml:space="preserve">1022</t>
  </si>
  <si>
    <t xml:space="preserve">Cabo elétrico flexível PVC 0,6/1kv - 2,5mm²</t>
  </si>
  <si>
    <t xml:space="preserve">COT-101</t>
  </si>
  <si>
    <t xml:space="preserve">Cabo Flexível 1kV Alumínio Triplex - 16mm²</t>
  </si>
  <si>
    <t xml:space="preserve">COT-102</t>
  </si>
  <si>
    <t xml:space="preserve">Caixa de passagem 30 x 30 x 30cm com tampa</t>
  </si>
  <si>
    <t xml:space="preserve">pç</t>
  </si>
  <si>
    <t xml:space="preserve">COT-103</t>
  </si>
  <si>
    <t xml:space="preserve">Caixa de passagem 60 x 60 x 60 cm com tampa em ferro fundido padrão COPEL</t>
  </si>
  <si>
    <t xml:space="preserve">11854</t>
  </si>
  <si>
    <t xml:space="preserve">Conector de derivação</t>
  </si>
  <si>
    <t xml:space="preserve">11821</t>
  </si>
  <si>
    <t xml:space="preserve">Conector split bolt bimetálico até 25mm²</t>
  </si>
  <si>
    <t xml:space="preserve">21130</t>
  </si>
  <si>
    <t xml:space="preserve">Eletroduto aço galvanizado 40mm</t>
  </si>
  <si>
    <t xml:space="preserve">br</t>
  </si>
  <si>
    <t xml:space="preserve">2446</t>
  </si>
  <si>
    <t xml:space="preserve">Eletroduto corrugado 50mm PEAD</t>
  </si>
  <si>
    <t xml:space="preserve">406</t>
  </si>
  <si>
    <t xml:space="preserve">Fita aço inox 19,5mm</t>
  </si>
  <si>
    <t xml:space="preserve">rl</t>
  </si>
  <si>
    <t xml:space="preserve">404</t>
  </si>
  <si>
    <t xml:space="preserve">Fita isolante autofusão</t>
  </si>
  <si>
    <t xml:space="preserve">20111</t>
  </si>
  <si>
    <t xml:space="preserve">Fita isolante pvc 750v</t>
  </si>
  <si>
    <t xml:space="preserve">425</t>
  </si>
  <si>
    <t xml:space="preserve">Grampo de aterramento</t>
  </si>
  <si>
    <t xml:space="preserve">11991</t>
  </si>
  <si>
    <t xml:space="preserve">Haste de aterramento</t>
  </si>
  <si>
    <t xml:space="preserve">42247</t>
  </si>
  <si>
    <t xml:space="preserve">Luminária led 153w</t>
  </si>
  <si>
    <t xml:space="preserve">42248</t>
  </si>
  <si>
    <t xml:space="preserve">Luminária led 233w</t>
  </si>
  <si>
    <t xml:space="preserve">COT-104</t>
  </si>
  <si>
    <t xml:space="preserve">Poste conico curvo de 12,0m de altura útil em aço galvanizado a fogo, engastado</t>
  </si>
  <si>
    <t xml:space="preserve">COT-105</t>
  </si>
  <si>
    <t xml:space="preserve">Poste conico reto de 12,0m de altura útil em aço galvanizado a fogo, engastado</t>
  </si>
  <si>
    <t xml:space="preserve">2510</t>
  </si>
  <si>
    <t xml:space="preserve">Relé fotoelétrico</t>
  </si>
  <si>
    <t xml:space="preserve">COT-106</t>
  </si>
  <si>
    <t xml:space="preserve">Suporte triplo para luminária aço galvanizado</t>
  </si>
  <si>
    <t xml:space="preserve">US-003</t>
  </si>
  <si>
    <t xml:space="preserve">ABERTURA DE VALETA PARA REDE SUBTERRÂNEA, POR m3</t>
  </si>
  <si>
    <t xml:space="preserve">us</t>
  </si>
  <si>
    <t xml:space="preserve">Subtotal – Iluminação</t>
  </si>
  <si>
    <t xml:space="preserve">10  ·  PAISAGISMO</t>
  </si>
  <si>
    <t xml:space="preserve">800100</t>
  </si>
  <si>
    <t xml:space="preserve">Hidrossemeadura (taludes de corte)</t>
  </si>
  <si>
    <t xml:space="preserve">Projeto · memória – paisagismo</t>
  </si>
  <si>
    <t xml:space="preserve">790558</t>
  </si>
  <si>
    <t xml:space="preserve">Geomanta / manta antierosiva</t>
  </si>
  <si>
    <t xml:space="preserve">Enleivamento em aterros – projeto</t>
  </si>
  <si>
    <t xml:space="preserve">memória – paisagismo</t>
  </si>
  <si>
    <t xml:space="preserve">Enleivamento em canteiros e área de terraplenagem – projeto</t>
  </si>
  <si>
    <t xml:space="preserve">Enleivamento no canteiro de obras (1.700 m²) e no DME (19.200 m²) – memória, sem estaca</t>
  </si>
  <si>
    <t xml:space="preserve">quadro de paisagismo (Tomo II, tab. 76) – rateio por extensão</t>
  </si>
  <si>
    <t xml:space="preserve">Enleivamento</t>
  </si>
  <si>
    <t xml:space="preserve">Projeto · enleivamento em aterros + canteiros + canteiro de obras/DME da memória</t>
  </si>
  <si>
    <t xml:space="preserve">Árvores a remover – projeto</t>
  </si>
  <si>
    <t xml:space="preserve">símbolo na planta PG-01 (destocamento em Terraplenagem)</t>
  </si>
  <si>
    <t xml:space="preserve">Subtotal – Paisagismo</t>
  </si>
  <si>
    <t xml:space="preserve">11  ·  SERVIÇOS E OBRAS COMPLEMENTARES</t>
  </si>
  <si>
    <t xml:space="preserve">831000</t>
  </si>
  <si>
    <t xml:space="preserve">Cerca de 4 fios com mourões de concreto – implantar</t>
  </si>
  <si>
    <t xml:space="preserve">841000</t>
  </si>
  <si>
    <t xml:space="preserve">Remoção de cercas</t>
  </si>
  <si>
    <t xml:space="preserve">850000</t>
  </si>
  <si>
    <t xml:space="preserve">Abrigo em parada de ônibus</t>
  </si>
  <si>
    <t xml:space="preserve">890400</t>
  </si>
  <si>
    <t xml:space="preserve">Remoção de abrigo de ônibus</t>
  </si>
  <si>
    <t xml:space="preserve">890022</t>
  </si>
  <si>
    <t xml:space="preserve">Relocação de portão</t>
  </si>
  <si>
    <t xml:space="preserve">Demolição de concreto simples (passeios)</t>
  </si>
  <si>
    <t xml:space="preserve">893550</t>
  </si>
  <si>
    <t xml:space="preserve">Barreira de siltagem</t>
  </si>
  <si>
    <t xml:space="preserve">Passeios, rampas e travessias (memória)</t>
  </si>
  <si>
    <t xml:space="preserve">534916</t>
  </si>
  <si>
    <t xml:space="preserve">Passeio – bloco intertravado e = 6 cm</t>
  </si>
  <si>
    <t xml:space="preserve">534918</t>
  </si>
  <si>
    <t xml:space="preserve">Passeio / acesso – bloco intertravado e = 8 cm</t>
  </si>
  <si>
    <t xml:space="preserve">892105</t>
  </si>
  <si>
    <t xml:space="preserve">Guarda-corpo / gradil metálico</t>
  </si>
  <si>
    <t xml:space="preserve">Piso podotátil – projeto (m)</t>
  </si>
  <si>
    <t xml:space="preserve">memória (m) – contrato mede em m²</t>
  </si>
  <si>
    <t xml:space="preserve">Rampas PcD tipos 1 e 2 – projeto</t>
  </si>
  <si>
    <t xml:space="preserve">memória – obras complementares</t>
  </si>
  <si>
    <t xml:space="preserve">834907</t>
  </si>
  <si>
    <t xml:space="preserve">Fornecimento e assentamento de piso tátil de concreto alerta/direcional 40x40cm vermelho</t>
  </si>
  <si>
    <t xml:space="preserve">Contrato · distribuído pelo piso podotátil da memória</t>
  </si>
  <si>
    <t xml:space="preserve">Fornecimento e assentamento de piso tátil de concreto alerta/direcional 40x40cm vermelho – travessias</t>
  </si>
  <si>
    <t xml:space="preserve">Aço CA-50 fornec. dobr. colocação – passeio</t>
  </si>
  <si>
    <t xml:space="preserve">Contrato · distribuído pelo passeio da memória</t>
  </si>
  <si>
    <t xml:space="preserve">Aço CA-60 fornec. dobr. colocação – passeio</t>
  </si>
  <si>
    <t xml:space="preserve">Brita graduada 100% Pm – passeio</t>
  </si>
  <si>
    <t xml:space="preserve">Projeto (memória, total) · distribuído pelo passeio da memória</t>
  </si>
  <si>
    <t xml:space="preserve">Concreto Fck = 20 mPa, preparo em betoneira e lanç. – passeio</t>
  </si>
  <si>
    <t xml:space="preserve">600000</t>
  </si>
  <si>
    <t xml:space="preserve">Escavação manual de vala 1a. cat. – passeio</t>
  </si>
  <si>
    <t xml:space="preserve">Formas de madeira comum – passeio</t>
  </si>
  <si>
    <t xml:space="preserve">Regularização compac.subleito 100% PN (B) – passeio</t>
  </si>
  <si>
    <t xml:space="preserve">604000</t>
  </si>
  <si>
    <t xml:space="preserve">Argamassa cimento e areia 1:3 – rampas</t>
  </si>
  <si>
    <t xml:space="preserve">Contrato · distribuído pelas rampas PcD da memória</t>
  </si>
  <si>
    <t xml:space="preserve">Concreto Fck = 20 mPa, preparo em betoneira e lanç. – rampas</t>
  </si>
  <si>
    <t xml:space="preserve">Formas de madeira comum – rampas</t>
  </si>
  <si>
    <t xml:space="preserve">Fornecimento e assentamento de piso tátil de concreto alerta/direcional 40x40cm vermelho – rampas</t>
  </si>
  <si>
    <t xml:space="preserve">504920</t>
  </si>
  <si>
    <t xml:space="preserve">Fornecimento e colocação de Tela Telcon Q-138 ou equivalente – rampas</t>
  </si>
  <si>
    <t xml:space="preserve">Lastro de brita – rampas</t>
  </si>
  <si>
    <t xml:space="preserve">Subtotal – Obras complementares</t>
  </si>
  <si>
    <t xml:space="preserve">12  ·  SERVIÇOS GERAIS, AMBIENTAIS E INTERFERÊNCIAS</t>
  </si>
  <si>
    <t xml:space="preserve">Sinalização provisória</t>
  </si>
  <si>
    <t xml:space="preserve">801943</t>
  </si>
  <si>
    <t xml:space="preserve">Bandeirinha</t>
  </si>
  <si>
    <t xml:space="preserve">h</t>
  </si>
  <si>
    <t xml:space="preserve">Contrato · rateio por extensão</t>
  </si>
  <si>
    <t xml:space="preserve">801947</t>
  </si>
  <si>
    <t xml:space="preserve">Barreira contínua classe I</t>
  </si>
  <si>
    <t xml:space="preserve">801963</t>
  </si>
  <si>
    <t xml:space="preserve">Bastão vermelho sinalizador</t>
  </si>
  <si>
    <t xml:space="preserve">801964</t>
  </si>
  <si>
    <t xml:space="preserve">Boneco sinalizador de obra</t>
  </si>
  <si>
    <t xml:space="preserve">801940</t>
  </si>
  <si>
    <t xml:space="preserve">Cone sinalizador tipo conão/bolo de noiva h=1,10m, base 50x50cm para sinalização provisória</t>
  </si>
  <si>
    <t xml:space="preserve">822200</t>
  </si>
  <si>
    <t xml:space="preserve">Faixa de sinalização horizontal provisória</t>
  </si>
  <si>
    <t xml:space="preserve">801961</t>
  </si>
  <si>
    <t xml:space="preserve">Luz intermitente (piscante)</t>
  </si>
  <si>
    <t xml:space="preserve">802160</t>
  </si>
  <si>
    <t xml:space="preserve">Placa de sinalização provisória</t>
  </si>
  <si>
    <t xml:space="preserve">802161</t>
  </si>
  <si>
    <t xml:space="preserve">Suporte de madeira 3" x 3" para sinalização provisória</t>
  </si>
  <si>
    <t xml:space="preserve">Melhorias ambientais (medição mensal – entra só com o trecho completo 0 a 642+15,817)</t>
  </si>
  <si>
    <t xml:space="preserve">897890</t>
  </si>
  <si>
    <t xml:space="preserve">Elaboração e implantação de programa de atendimento à emergências e plano de contingência</t>
  </si>
  <si>
    <t xml:space="preserve">mês</t>
  </si>
  <si>
    <t xml:space="preserve">Contrato · medido mês a mês, não por estaca – só entra quando o trecho selecionado é a obra inteira</t>
  </si>
  <si>
    <t xml:space="preserve">897893</t>
  </si>
  <si>
    <t xml:space="preserve">Elaboração e implantação do programa de comunicação social</t>
  </si>
  <si>
    <t xml:space="preserve">897888</t>
  </si>
  <si>
    <t xml:space="preserve">Programa de diagnóstico e monitoramento de atropelamento de fauna</t>
  </si>
  <si>
    <t xml:space="preserve">897883</t>
  </si>
  <si>
    <t xml:space="preserve">monitoramento da qualidade das águas superficiais - 3 rios</t>
  </si>
  <si>
    <t xml:space="preserve">897896</t>
  </si>
  <si>
    <t xml:space="preserve">monitoramento de ruídos</t>
  </si>
  <si>
    <t xml:space="preserve">897998</t>
  </si>
  <si>
    <t xml:space="preserve">Programa de monitoramento dos Poluentes Atmosféricos</t>
  </si>
  <si>
    <t xml:space="preserve">897879</t>
  </si>
  <si>
    <t xml:space="preserve">Programa de monitoramento arqueológico</t>
  </si>
  <si>
    <t xml:space="preserve">Interferências (COPEL, SANEPAR, rede de água)</t>
  </si>
  <si>
    <t xml:space="preserve">Postes a remover / relocar – projeto</t>
  </si>
  <si>
    <t xml:space="preserve">IT-2-0001: 70 postes, localizados pelas coordenadas</t>
  </si>
  <si>
    <t xml:space="preserve">304</t>
  </si>
  <si>
    <t xml:space="preserve">Execução de obra no sistema de distribuição de energia elétrica - COPEL</t>
  </si>
  <si>
    <t xml:space="preserve">VB</t>
  </si>
  <si>
    <t xml:space="preserve">Projeto (memória, total) · verba distribuída pelos postes a remover/relocar do projeto</t>
  </si>
  <si>
    <t xml:space="preserve">Rede SANEPAR Ø 40 mm a remanejar – projeto</t>
  </si>
  <si>
    <t xml:space="preserve">IT-2-0001 (aba REDE SANEPAR)</t>
  </si>
  <si>
    <t xml:space="preserve">306</t>
  </si>
  <si>
    <t xml:space="preserve">Remanejamento do abastecimento SANEPAR perímetro urbano</t>
  </si>
  <si>
    <t xml:space="preserve">Projeto (memória, total) · verba distribuída pela rede Ø 40 mm do perímetro urbano</t>
  </si>
  <si>
    <t xml:space="preserve">308</t>
  </si>
  <si>
    <t xml:space="preserve">Tubulação de água Ø 85 mm (PVC DN 75) a remanejar</t>
  </si>
  <si>
    <t xml:space="preserve">Projeto · IT-2-0001 (aba TUBULAÇÃO ÁGUA)</t>
  </si>
  <si>
    <t xml:space="preserve">309</t>
  </si>
  <si>
    <t xml:space="preserve">Projeto · extensão de rede do projeto × consumo por metro do contrato (5.00 m²/m)</t>
  </si>
  <si>
    <t xml:space="preserve">310</t>
  </si>
  <si>
    <t xml:space="preserve">Projeto · extensão de rede do projeto × consumo por metro do contrato (6.00 m³/m)</t>
  </si>
  <si>
    <t xml:space="preserve">311</t>
  </si>
  <si>
    <t xml:space="preserve">Projeto · extensão de rede do projeto × consumo por metro do contrato (0.15 m³/m)</t>
  </si>
  <si>
    <t xml:space="preserve">312</t>
  </si>
  <si>
    <t xml:space="preserve">Mobilização e desmobilização (entra quando a seleção inclui a estaca final)</t>
  </si>
  <si>
    <t xml:space="preserve">999999</t>
  </si>
  <si>
    <t xml:space="preserve">Mobilização e desmobilização</t>
  </si>
  <si>
    <t xml:space="preserve">Contrato · medida no início e no fim do contrato – só entra quando a seleção chega à estaca final 642+15,817</t>
  </si>
  <si>
    <t xml:space="preserve">Subtotal – Serviços gerais e interferências</t>
  </si>
  <si>
    <t xml:space="preserve">TOTAL DO TRECHO – SALDO REAL (PROJETO) A PREÇO DO CONTRATO</t>
  </si>
  <si>
    <t xml:space="preserve">Consumo real (H–J): quantidade encontrada nos projetos × preço do contrato; sem quantidade no projeto, vale a do contrato. Ajustado ao contrato (K–P): quantidade do contrato repartida no trecho pelo mesmo critério – no trecho inteiro soma R$ 87.300.000,00. Base PROJETO (verde): quantidade encontrada nas memórias do projeto × preço do contrato (CAP pelo teor executado; faixas de DMT e paver 6/8 cm na proporção do contrato). Base CONTRATO (laranja): serviço sem quantidade no projeto – quantidade do contrato distribuída;</t>
  </si>
  <si>
    <t xml:space="preserve">pelo serviço que o comanda ou, sem localização (sinalização provisória, interferências…), pela extensão. Mobilização entra só quando a seleção chega à estaca final; melhorias ambientais (medição mensal) só com o trecho completo. Planilha contratual completa no trecho inteiro = R$ 87.300.000,00 (ago/2026).</t>
  </si>
  <si>
    <t xml:space="preserve">INDICADORES GEOMÉTRICOS DO TRECHO (GM-1)</t>
  </si>
  <si>
    <t xml:space="preserve">Cota de projeto no início</t>
  </si>
  <si>
    <t xml:space="preserve">interpolada entre estacas</t>
  </si>
  <si>
    <t xml:space="preserve">Cota de projeto no fim</t>
  </si>
  <si>
    <t xml:space="preserve">Desnível (fim − início)</t>
  </si>
  <si>
    <t xml:space="preserve">%</t>
  </si>
  <si>
    <t xml:space="preserve">desnível / extensão</t>
  </si>
  <si>
    <t xml:space="preserve">Rampa máxima em aclive</t>
  </si>
  <si>
    <t xml:space="preserve">sentido do estaqueamento</t>
  </si>
  <si>
    <t xml:space="preserve">Rampa máxima em declive</t>
  </si>
  <si>
    <t xml:space="preserve">Maior altura de aterro</t>
  </si>
  <si>
    <t xml:space="preserve">cota de projeto − terreno</t>
  </si>
  <si>
    <t xml:space="preserve">Maior altura de corte</t>
  </si>
  <si>
    <t xml:space="preserve">terreno − cota de projeto</t>
  </si>
  <si>
    <t xml:space="preserve">Estacas em aterro</t>
  </si>
  <si>
    <t xml:space="preserve">estacas inteiras no trecho</t>
  </si>
  <si>
    <t xml:space="preserve">Estacas em corte</t>
  </si>
  <si>
    <t xml:space="preserve">Curvas horizontais no trecho</t>
  </si>
  <si>
    <t xml:space="preserve">PC–PT cruzando o trecho</t>
  </si>
  <si>
    <t xml:space="preserve">Menor raio de curva horizontal</t>
  </si>
  <si>
    <t xml:space="preserve">Curvas verticais no trecho</t>
  </si>
  <si>
    <t xml:space="preserve">PCV–PTV cruzando o trecho</t>
  </si>
  <si>
    <t xml:space="preserve">Menor K de curva vertical</t>
  </si>
  <si>
    <t xml:space="preserve">CONTRATO × PROJETO – SERVIÇOS DA PLANILHA CONTRATUAL CONFRONTADOS COM AS QUANTIDADES E CONSUMOS DOS PROJETOS</t>
  </si>
  <si>
    <t xml:space="preserve">Trecho inteiro 0+000 a 642+15,817 · Contrato = medição provisória ago/2026 (R$ 87.300.000,00) · Memória = total impresso nos quadros do Vol. 3 (Tomo II) e pranchas · Consumo real = apurado por estaca no Painel (atualiza com as premissas)</t>
  </si>
  <si>
    <t xml:space="preserve">RESUMO</t>
  </si>
  <si>
    <t xml:space="preserve">VALOR DO CONTRATO</t>
  </si>
  <si>
    <t xml:space="preserve">CONSUMO REAL A PREÇO DO CONTRATO</t>
  </si>
  <si>
    <t xml:space="preserve">REAL − CONTRATO</t>
  </si>
  <si>
    <t xml:space="preserve">SITUAÇÃO DOS ITENS</t>
  </si>
  <si>
    <t xml:space="preserve">Como ler</t>
  </si>
  <si>
    <t xml:space="preserve">Verde = consumo real encontrado nos projetos · laranja = quantidade do contrato · amarelo na coluna "Quadro da memória" = total impresso diferente do contrato.</t>
  </si>
  <si>
    <t xml:space="preserve">projeto onde encontrado; contrato onde não</t>
  </si>
  <si>
    <t xml:space="preserve">Situação: "Confere" = diferença de até ±2%. Detalhes das divergências na aba Discrepâncias; o link da última coluna leva à linha do Painel.</t>
  </si>
  <si>
    <t xml:space="preserve">REFERÊNCIAS</t>
  </si>
  <si>
    <t xml:space="preserve">CONSUMO REAL × CONTRATO</t>
  </si>
  <si>
    <t xml:space="preserve">VALORES A PREÇO DO CONTRATO</t>
  </si>
  <si>
    <t xml:space="preserve">ANÁLISE</t>
  </si>
  <si>
    <t xml:space="preserve">Linha med.</t>
  </si>
  <si>
    <t xml:space="preserve">Qtd. contrato</t>
  </si>
  <si>
    <t xml:space="preserve">Quadro da memória</t>
  </si>
  <si>
    <t xml:space="preserve">Consumo real (projeto)</t>
  </si>
  <si>
    <t xml:space="preserve">Real − contrato</t>
  </si>
  <si>
    <t xml:space="preserve">Dif. %</t>
  </si>
  <si>
    <t xml:space="preserve">Preço (R$)</t>
  </si>
  <si>
    <t xml:space="preserve">Valor contrato (R$)</t>
  </si>
  <si>
    <t xml:space="preserve">Valor consumo real (R$)</t>
  </si>
  <si>
    <t xml:space="preserve">Real − contrato (R$)</t>
  </si>
  <si>
    <t xml:space="preserve">Situação</t>
  </si>
  <si>
    <t xml:space="preserve">Como foi apurado · fonte</t>
  </si>
  <si>
    <t xml:space="preserve">Discrepância / observação</t>
  </si>
  <si>
    <t xml:space="preserve">Painel</t>
  </si>
  <si>
    <t xml:space="preserve">Terraplenagem</t>
  </si>
  <si>
    <t xml:space="preserve">Carga e transporte de material para bota fora</t>
  </si>
  <si>
    <t xml:space="preserve">Projeto por estaca · volume de limpeza (área × 0,20 m) · memória: Quadro de terraplenagem (NCT-001)</t>
  </si>
  <si>
    <t xml:space="preserve">Quadro = contrato. Por estaca (área de limpeza × 0,20 m) dá 47.263,47 m³.</t>
  </si>
  <si>
    <t xml:space="preserve">Colchão drenante de areia para fundação de aterros</t>
  </si>
  <si>
    <t xml:space="preserve">Projeto por estaca · 10 trechos de solo mole · memória: Quadro de terraplenagem 1.1.35</t>
  </si>
  <si>
    <t xml:space="preserve">Compactação de aterros 95% PN (B)</t>
  </si>
  <si>
    <t xml:space="preserve">Projeto por estaca · REV04 por intervalo + ramos · memória: Quadro de terraplenagem 1.1.41</t>
  </si>
  <si>
    <t xml:space="preserve">Compactação de aterros 100% PN (B)</t>
  </si>
  <si>
    <t xml:space="preserve">Projeto por estaca · REV04 por intervalo + ramos · memória: Quadro de terraplenagem 1.1.40</t>
  </si>
  <si>
    <t xml:space="preserve">Contrato = quadro (101.065,34) + 1.412,35 m³. A mesma parcela de 1.412,35 m³ (preenchimento de rebaixo com material de 3ª, quadro 1.1.33) foi somada também ao 403000 e lançada como transporte 3ª cat. 400–600 m (430610).</t>
  </si>
  <si>
    <t xml:space="preserve">Total da memória (sem localização) · quadro de terraplenagem 16.881,88 m³ – distribuído pelo corte 3ª cat. · memória: Quadro de terraplenagem 1.1.38</t>
  </si>
  <si>
    <t xml:space="preserve">Contrato = quadro (16.881,88) + 1.412,35 m³ – mesma parcela somada ao 401100 e ao 430610.</t>
  </si>
  <si>
    <t xml:space="preserve">Desmatamento e limpeza diam. até 30cm</t>
  </si>
  <si>
    <t xml:space="preserve">Projeto por estaca · REV04 por intervalo; ramos IN-01 na Est. 326 · memória: Quadro de terraplenagem 1.1.1</t>
  </si>
  <si>
    <t xml:space="preserve">Projeto por estaca – grupo repartido na proporção do contrato · árvores do projeto de interferências (IT-2-0001) · memória: IT-2-0001 – resumo 3.1</t>
  </si>
  <si>
    <t xml:space="preserve">Projeto de interferências IT-2-0001: 85 exóticas + 174 nativas = 259 árvores (= contrato), localizadas por coordenada. O paisagismo PG-01 só marca 16 delas na planta.</t>
  </si>
  <si>
    <t xml:space="preserve">Projeto por estaca – grupo repartido na proporção do contrato · corte 1ª cat. do projeto × participação da faixa de DMT no contrato · memória: Quadro de terraplenagem (mesma faixa de DMT)</t>
  </si>
  <si>
    <t xml:space="preserve">Corte 1ª cat. por estaca (REV04 + ramos) repartido entre as faixas na proporção do contrato: −1,4% em todas as faixas.</t>
  </si>
  <si>
    <t xml:space="preserve">Projeto por estaca – grupo repartido na proporção do contrato · corte 2ª cat. do projeto × participação da faixa de DMT no contrato · memória: Quadro de terraplenagem (mesma faixa de DMT)</t>
  </si>
  <si>
    <t xml:space="preserve">Corte 2ª cat. por estaca = quadro = contrato (31.637,58 m³).</t>
  </si>
  <si>
    <t xml:space="preserve">Projeto por estaca – grupo repartido na proporção do contrato · corte 3ª cat. do projeto × participação da faixa de DMT no contrato · memória: Quadro de terraplenagem (mesma faixa de DMT)</t>
  </si>
  <si>
    <t xml:space="preserve">Corte 3ª cat. por estaca: 17.477,51 m³ contra 14.398,41 m³ das faixas do contrato (+21,4%), repartido na proporção do contrato. Note que o quadro soma 12.986,06 m³ sem o 430610.</t>
  </si>
  <si>
    <t xml:space="preserve">Projeto por estaca – grupo repartido na proporção do contrato · corte 3ª cat. do projeto × participação da faixa de DMT no contrato · memória: Faixa 400–600 m inexistente no quadro de terraplenagem</t>
  </si>
  <si>
    <t xml:space="preserve">Faixa de DMT que não existe no quadro de terraplenagem; os 1.412,35 m³ são o preenchimento de rebaixo com material de 3ª (quadro 1.1.33), que já está no 495161.</t>
  </si>
  <si>
    <t xml:space="preserve">Projeto por estaca · volume de limpeza + solo mole removido · memória: Quadro de terraplenagem 1.1.42</t>
  </si>
  <si>
    <t xml:space="preserve">Quadro = contrato. Por estaca (limpeza + solo mole removido) dá 75.884,54 m³ (+1,1%).</t>
  </si>
  <si>
    <t xml:space="preserve">Projeto por estaca · REV04 / aba SOLO MOLE · memória: Quadro de terraplenagem 1.1.25 a 1.1.30</t>
  </si>
  <si>
    <t xml:space="preserve">Fundação de aterro com brita</t>
  </si>
  <si>
    <t xml:space="preserve">Projeto por estaca · 10 trechos de solo mole · memória: Quadro de terraplenagem 1.1.36</t>
  </si>
  <si>
    <t xml:space="preserve">Fundação de aterro com rachão</t>
  </si>
  <si>
    <t xml:space="preserve">Projeto por estaca · REV04 por intervalo · memória: Quadro de terraplenagem 1.1.32 + 1.1.33</t>
  </si>
  <si>
    <t xml:space="preserve">Quadro: rachão 25.822,95 + material de 3ª 1.412,35 = 27.235,29 m³ (igual ao apurado por estaca); contrato 28.703,95 (+1.468,66).</t>
  </si>
  <si>
    <t xml:space="preserve">Pavimentação</t>
  </si>
  <si>
    <t xml:space="preserve">Projeto por estaca – grupo repartido na proporção do contrato · reforço + sub-base do projeto · memória: Tab. 71 (sub-base 33.325 + reforço 51.317)</t>
  </si>
  <si>
    <t xml:space="preserve">Tab. 71 = contrato. Por estaca (larguras medidas × espessuras PV-2): 82.744,39 m³ (−2,2%).</t>
  </si>
  <si>
    <t xml:space="preserve">Brita graduada 100% Pm</t>
  </si>
  <si>
    <t xml:space="preserve">Projeto por estaca · espessura em Parâmetros C2 · memória: Tab. 71 item 4</t>
  </si>
  <si>
    <t xml:space="preserve">Tab. 71 = contrato. Por estaca (larguras medidas × 0,16 m): −5,5%.</t>
  </si>
  <si>
    <t xml:space="preserve">C.B.U.Q. excl. fornec. do CAP (acima de 10.000 t)</t>
  </si>
  <si>
    <t xml:space="preserve">Projeto por estaca · projeto: volume × densidade (premissa) · memória: Tab. 71 item 1</t>
  </si>
  <si>
    <t xml:space="preserve">Tab. 71 = contrato. Por estaca: volume de CBUQ × densidade = −4,7%.</t>
  </si>
  <si>
    <t xml:space="preserve">Contenção lateral com solo local</t>
  </si>
  <si>
    <t xml:space="preserve">Projeto por estaca · aba COBRIM. SAIA (terraplenagem) · memória: Quadro de terraplenagem 1.1.37</t>
  </si>
  <si>
    <t xml:space="preserve">Contrato usa o número do item 401200 (2.514,01 m³, compactação c/ controle visual); o quadro traz 3.519,61 m³ de material para camada de fechamento (NCT-002).</t>
  </si>
  <si>
    <t xml:space="preserve">Total da memória (sem localização) · memória de pavimentação 17 m – distribuído pela demolição de pavimento · memória: Tab. 71 item 10</t>
  </si>
  <si>
    <t xml:space="preserve">Demolição mecânica de pavimento</t>
  </si>
  <si>
    <t xml:space="preserve">Projeto por estaca · ≈ 6,50 m × 0,41 m (Parâmetros C10) · memória: Tab. 71 item 9</t>
  </si>
  <si>
    <t xml:space="preserve">Tab. 71: 689 m³ (remoção mecanizada de camada granular). Estimativa por estaca (T09, 6,50 m × 0,41 m): 1.028,20 m³ – confirmar em campo.</t>
  </si>
  <si>
    <t xml:space="preserve">Total da memória (sem localização) · memória de pavimentação 172,50 m³ – distribuído pela demolição de pavimento · memória: Tab. 71 item 8</t>
  </si>
  <si>
    <t xml:space="preserve">Imprimação impermeab. exclusive fornec. da emulsão</t>
  </si>
  <si>
    <t xml:space="preserve">Projeto por estaca · topo da base · memória: Tab. 71 item 3</t>
  </si>
  <si>
    <t xml:space="preserve">Tab. 71: 161.734 m² (contrato +22 m² a mais que a pintura). Por estaca, topo da base: 150.833,15 m² (−6,8%).</t>
  </si>
  <si>
    <t xml:space="preserve">Pintura de ligação exclusive fornec. da emulsão</t>
  </si>
  <si>
    <t xml:space="preserve">Projeto por estaca · topo da base · memória: Tab. 71 item 2</t>
  </si>
  <si>
    <t xml:space="preserve">Tab. 71 = contrato. Por estaca, topo da base: −6,7%.</t>
  </si>
  <si>
    <t xml:space="preserve">Preenchimento rebaixo c/ aprov. corte 3a. cat.</t>
  </si>
  <si>
    <t xml:space="preserve">Projeto por estaca · REV04 por intervalo (terraplenagem) · memória: Quadro de terraplenagem 1.1.39</t>
  </si>
  <si>
    <t xml:space="preserve">Regularização compac.subleito 100% PN (B)</t>
  </si>
  <si>
    <t xml:space="preserve">Projeto por estaca · largura medida + Detalhe "A" · áreas médias · memória: Tab. 71 item 7</t>
  </si>
  <si>
    <t xml:space="preserve">Ligantes Betuminosos</t>
  </si>
  <si>
    <t xml:space="preserve">Fornecimento de CAP-50/70</t>
  </si>
  <si>
    <t xml:space="preserve">Projeto por estaca · CBUQ (t) × teor executado; contrato ajustado de 5,7% para o teor executado · memória: Tab. 71 item 11.1 (teor 5,7%)</t>
  </si>
  <si>
    <t xml:space="preserve">Contrato a 5,7% de CAP (Tab. 70). Painel usa o teor executado (premissa, 4,8%) sobre o CBUQ apurado por estaca.</t>
  </si>
  <si>
    <t xml:space="preserve">Fornecimento de emulsão asfáltica EAI p/ imprimação</t>
  </si>
  <si>
    <t xml:space="preserve">Projeto por estaca · área × taxa (premissa) · memória: Tab. 71 item 11.2</t>
  </si>
  <si>
    <t xml:space="preserve">Tab. 70 indica 1,2 l/m² e a Tab. 71 usa 1,2 kg/m² × 161.734 m². Painel: área por estaca × taxa (premissa).</t>
  </si>
  <si>
    <t xml:space="preserve">Fornecimento de emulsão asfáltica RR-1C</t>
  </si>
  <si>
    <t xml:space="preserve">Projeto por estaca · área × taxa (premissa) · memória: Tab. 71 item 11.3</t>
  </si>
  <si>
    <t xml:space="preserve">Tab. 70 indica 0,00045 t/m² (→ 72,78 t), mas a Tab. 71 e o contrato usam 0,50 kg/m² (80,87 t). Painel: área por estaca × 0,50 kg/m² (premissa).</t>
  </si>
  <si>
    <t xml:space="preserve">Subtotal – Ligantes Betuminosos</t>
  </si>
  <si>
    <t xml:space="preserve">Drenagem E Obras Arte Correntes</t>
  </si>
  <si>
    <t xml:space="preserve">Projeto por estaca – grupo repartido na proporção do contrato · pedra das valas e bacias (DR-9) + dissipadores (DR-4)</t>
  </si>
  <si>
    <t xml:space="preserve">Apiloamento manual</t>
  </si>
  <si>
    <t xml:space="preserve">Projeto por estaca · bueiros + rede pluvial + valas + bacias</t>
  </si>
  <si>
    <t xml:space="preserve">Boca de BDTC 1,50m</t>
  </si>
  <si>
    <t xml:space="preserve">Projeto por estaca · projeto: 2 bocas por bueiro</t>
  </si>
  <si>
    <t xml:space="preserve">Boca de BSTC 0,60m</t>
  </si>
  <si>
    <t xml:space="preserve">Boca de BSTC 0,80m</t>
  </si>
  <si>
    <t xml:space="preserve">Boca de BSTC 1,00m</t>
  </si>
  <si>
    <t xml:space="preserve">Projeto estimado em 2 bocas por bueiro (24); contrato 17.</t>
  </si>
  <si>
    <t xml:space="preserve">Boca de BSTC 1,20m</t>
  </si>
  <si>
    <t xml:space="preserve">Boca de BSTC 1,50m</t>
  </si>
  <si>
    <t xml:space="preserve">Boca de BTTC 1,50m</t>
  </si>
  <si>
    <t xml:space="preserve">Projeto estimado em 2 bocas por bueiro (2); contrato 1.</t>
  </si>
  <si>
    <t xml:space="preserve">Boca de saída dreno profundo - tipo 2</t>
  </si>
  <si>
    <t xml:space="preserve">Projeto por estaca · nota de serviço DR-9</t>
  </si>
  <si>
    <t xml:space="preserve">Notas de serviço DR-9: 70 bocas BSD 02; contrato 58.</t>
  </si>
  <si>
    <t xml:space="preserve">Não encontrado</t>
  </si>
  <si>
    <t xml:space="preserve">Sem quantidade no projeto – contrato distribuído pelo serviço que o comanda · distribuído pelo DSS 02</t>
  </si>
  <si>
    <t xml:space="preserve">Projeto por estaca – grupo repartido na proporção do contrato · BDTC Ø 1,50 do projeto</t>
  </si>
  <si>
    <t xml:space="preserve">Projeto por estaca – grupo repartido na proporção do contrato · rede BSTC Ø 0,40 do projeto</t>
  </si>
  <si>
    <t xml:space="preserve">Projeto por estaca – grupo repartido na proporção do contrato · BSTC Ø 0,60 + rede BSTC Ø 0,60 do projeto</t>
  </si>
  <si>
    <t xml:space="preserve">Projeto por estaca – grupo repartido na proporção do contrato · BSTC Ø 0,80 + rede BSTC Ø 0,80 do projeto</t>
  </si>
  <si>
    <t xml:space="preserve">Projeto por estaca – grupo repartido na proporção do contrato · BSTC Ø 1,00 + rede BSTC Ø 1,00 do projeto</t>
  </si>
  <si>
    <t xml:space="preserve">Projeto por estaca – grupo repartido na proporção do contrato · BSTC Ø 1,20 + rede BSTC Ø 1,20 do projeto</t>
  </si>
  <si>
    <t xml:space="preserve">Notas de serviço: 183,67 m de BSTC Ø 1,20 (bueiros + rede); contrato 228 m.</t>
  </si>
  <si>
    <t xml:space="preserve">Projeto por estaca – grupo repartido na proporção do contrato · BSTC Ø 1,50 do projeto</t>
  </si>
  <si>
    <t xml:space="preserve">Projeto por estaca – grupo repartido na proporção do contrato · BTTC Ø 1,50 do projeto</t>
  </si>
  <si>
    <t xml:space="preserve">Projeto por estaca – grupo repartido na proporção do contrato · memória – remoção de drenagem existente</t>
  </si>
  <si>
    <t xml:space="preserve">Sem quantidade no projeto – contrato rateado pela extensão · sem localização no projeto – rateio por extensão</t>
  </si>
  <si>
    <t xml:space="preserve">Memória (3.4.6) cita drenos de talvegue nos canais 312+6,30–323+5,00 e 568+14,28, sem comprimento nem detalhe.</t>
  </si>
  <si>
    <t xml:space="preserve">Dreno profundo em rocha - tipo 2(GNT)</t>
  </si>
  <si>
    <t xml:space="preserve">Projeto por estaca · nota de serviço, proporcional ao trecho</t>
  </si>
  <si>
    <t xml:space="preserve">Dreno profundo em solo - tipo 6A(GNT)</t>
  </si>
  <si>
    <t xml:space="preserve">Dreno sub-superficial - tipo 2</t>
  </si>
  <si>
    <t xml:space="preserve">Projeto por estaca · nota de serviço DR-9 (L)</t>
  </si>
  <si>
    <t xml:space="preserve">Projeto por estaca · valas e bacias de captação</t>
  </si>
  <si>
    <t xml:space="preserve">Valas e bacias de captação (DR-9): 897,90 m²; contrato 3.412 m².</t>
  </si>
  <si>
    <t xml:space="preserve">Escavação de bueiros em 1a. cat.</t>
  </si>
  <si>
    <t xml:space="preserve">Bueiros + redes + valas + bacias: 12.943,55 m³ (+10,6%).</t>
  </si>
  <si>
    <t xml:space="preserve">Sem quantidade no projeto – contrato distribuído pelo serviço que o comanda · distribuído pela escavação de bueiros</t>
  </si>
  <si>
    <t xml:space="preserve">Nenhuma escavação de bueiro em 3ª cat. nas notas de serviço.</t>
  </si>
  <si>
    <t xml:space="preserve">Projeto por estaca – grupo repartido na proporção do contrato · escavação das valetas VPA/VPC (DR-4-0001/0002)</t>
  </si>
  <si>
    <t xml:space="preserve">Escoramento das notas de serviço: 587,77 m²; contrato 1.808 m² (−67,5%).</t>
  </si>
  <si>
    <t xml:space="preserve">Memória remete a meia-cana ao projeto de contenções; o CO-2 não a quantifica.</t>
  </si>
  <si>
    <t xml:space="preserve">Gabião 0,50 m do grupo Drenagem: sem localização nem quantidade no projeto (o dos canais está no grupo Dispositivos).</t>
  </si>
  <si>
    <t xml:space="preserve">Projeto por estaca – grupo repartido na proporção do contrato · lastro de brita dos detalhes de assentamento DR-4-0036/0037</t>
  </si>
  <si>
    <t xml:space="preserve">Lastro dos detalhes de assentamento DR-4-0036/0037: 291,73 m³ (−24%).</t>
  </si>
  <si>
    <t xml:space="preserve">Meio fio de concreto tipo 2 (executado c/ extrusora)</t>
  </si>
  <si>
    <t xml:space="preserve">Meio fio de concreto tipo 7 (executado c/ extrusora)</t>
  </si>
  <si>
    <t xml:space="preserve">Projeto por estaca – grupo repartido na proporção do contrato · SZC 03 + STB 01 (a medição paga a STB 01 no item 653400)</t>
  </si>
  <si>
    <t xml:space="preserve">Contrato 109 m = só SZC 03 (108 m no projeto). A STB 01 (1.659 m, sarjeta de borda de aterro) não tem item próprio e é medida neste item: +1.658 m.</t>
  </si>
  <si>
    <t xml:space="preserve">Sarjeta trapezoidal concreto - tipo 4</t>
  </si>
  <si>
    <t xml:space="preserve">Notas de serviço: 122 m de SZC 04; contrato 74 m.</t>
  </si>
  <si>
    <t xml:space="preserve">Sarjeta triangular concreto - tipo 1</t>
  </si>
  <si>
    <t xml:space="preserve">Transp.segmento sarjeta tipo- 5 (ST-1/SZ-2) c/ placas</t>
  </si>
  <si>
    <t xml:space="preserve">Notas de serviço: 426 m de TSS; contrato 381 m.</t>
  </si>
  <si>
    <t xml:space="preserve">Valeta concreto proteção aterro - tipo 5A</t>
  </si>
  <si>
    <t xml:space="preserve">Valeta concreto proteção aterro - tipo 6A</t>
  </si>
  <si>
    <t xml:space="preserve">Valeta concreto proteção aterro - tipo 7A</t>
  </si>
  <si>
    <t xml:space="preserve">Valeta concreto proteção corte - tipo 5A</t>
  </si>
  <si>
    <t xml:space="preserve">Valeta concreto proteção corte - tipo 6A</t>
  </si>
  <si>
    <t xml:space="preserve">Valeta concreto proteção corte - tipo 7A</t>
  </si>
  <si>
    <t xml:space="preserve">Subtotal – Drenagem E Obras Arte Correntes</t>
  </si>
  <si>
    <t xml:space="preserve">Dispositivos</t>
  </si>
  <si>
    <t xml:space="preserve">Projeto por estaca – grupo repartido na proporção do contrato · consumos DR-4 × dispositivos</t>
  </si>
  <si>
    <t xml:space="preserve">Consumos dos detalhes DR-4: 4.682,66 kg de CA-50 (contrato 1.999,81). A proporção CA-50/CA-60 do contrato é a inversa da dos detalhes.</t>
  </si>
  <si>
    <t xml:space="preserve">Aço CA-60 fornec. dobr. colocação</t>
  </si>
  <si>
    <t xml:space="preserve">Consumos dos detalhes DR-4: 2.083,63 kg de CA-60 (contrato 8.435,50).</t>
  </si>
  <si>
    <t xml:space="preserve">Projeto por estaca – grupo repartido na proporção do contrato · pedra argamassada do canal longitudinal DR-5</t>
  </si>
  <si>
    <t xml:space="preserve">Consumos DR-4: 73,98 m³ (contrato 211,15).</t>
  </si>
  <si>
    <t xml:space="preserve">Concreto Fck = 15 mPa, preparo em betoneira e lanç.</t>
  </si>
  <si>
    <t xml:space="preserve">Concreto fck 15 dos dispositivos pelos consumos DR-4 × quantidades das notas de serviço: 139,48 m³ – 15% do contrato (920,67 m³). Maior diferença física da drenagem; o contrato não detalha a origem.</t>
  </si>
  <si>
    <t xml:space="preserve">Concreto Fck = 20 mPa, preparo em betoneira e lanç.</t>
  </si>
  <si>
    <t xml:space="preserve">Sem quantidade no projeto – contrato distribuído pelo serviço que o comanda · não consta dos detalhes DR-4 – contrato distribuído pela contagem de dispositivos</t>
  </si>
  <si>
    <t xml:space="preserve">Detalhes DR-4 especificam fck 11 a 15 MPa; não há concreto fck 20 MPa nos dispositivos.</t>
  </si>
  <si>
    <t xml:space="preserve">Concreto magro, preparo em betoneira e lanç.</t>
  </si>
  <si>
    <t xml:space="preserve">Consumos DR-4: 4,07 m³ (contrato 12,57).</t>
  </si>
  <si>
    <t xml:space="preserve">Projeto por estaca – grupo repartido na proporção do contrato · consumos DR-4 × dispositivos + canais DR-5</t>
  </si>
  <si>
    <t xml:space="preserve">Consumos DR-4 + canais DR-5: 1.001,99 m² (contrato 3.207).</t>
  </si>
  <si>
    <t xml:space="preserve">Consumos DR-4 + escavação dos canais DR-5: 17.983,19 m³ (−10,8%).</t>
  </si>
  <si>
    <t xml:space="preserve">Escavação valas de drenagem 3a. cat.</t>
  </si>
  <si>
    <t xml:space="preserve">Detalhes DR-4 sem escavação em 3ª cat.</t>
  </si>
  <si>
    <t xml:space="preserve">Formas de madeira comum</t>
  </si>
  <si>
    <t xml:space="preserve">Consumos DR-4: 1.483,99 m² (contrato 3.752,70).</t>
  </si>
  <si>
    <t xml:space="preserve">Fornec. e colocação tampão ferro fundido Ø=0,60m , Classe 400, p/poço de visita</t>
  </si>
  <si>
    <t xml:space="preserve">Notas de serviço DR-9: 5 PV 2; contrato 36 tampões.</t>
  </si>
  <si>
    <t xml:space="preserve">Fornecimento e colocação de tubo PEAD para dreno Ø=100mm</t>
  </si>
  <si>
    <t xml:space="preserve">Projeto: 57 m de PEAD nas bacias (DR-9); contrato 1.539 m.</t>
  </si>
  <si>
    <t xml:space="preserve">Projeto por estaca – grupo repartido na proporção do contrato · manta dos drenos sub-superficiais (DR-4-0016)</t>
  </si>
  <si>
    <t xml:space="preserve">Manta dos drenos sub-superficiais DSS 02/04 (2,15 m²/m, DR-4-0016) = 6.545,29 m², 2× o contrato. Os canais DR-5 têm ainda 7.654 m² de geotêxtil MacTex sem item.</t>
  </si>
  <si>
    <t xml:space="preserve">Projeto por estaca – grupo repartido na proporção do contrato · material drenante dos drenos sub-superficiais (DR-4-0016)</t>
  </si>
  <si>
    <t xml:space="preserve">Material drenante dos DSS 02/04 (0,16 m³/m) = 487,09 m³, 2× o contrato.</t>
  </si>
  <si>
    <t xml:space="preserve">Projeto por estaca – grupo repartido na proporção do contrato · gabião h=0,50 dos canais DR-5</t>
  </si>
  <si>
    <t xml:space="preserve">Canais DR-5: 166,5 m³ de gabião h = 0,50 (contrato 360,5).</t>
  </si>
  <si>
    <t xml:space="preserve">Gabião tipo caixa 2x1x1,00m ZN/AL + PVC (NBR 8964)</t>
  </si>
  <si>
    <t xml:space="preserve">Projeto por estaca – grupo repartido na proporção do contrato · gabião h=1,00 dos canais DR-5</t>
  </si>
  <si>
    <t xml:space="preserve">Canais DR-5: 863 m³ (−4,3%).</t>
  </si>
  <si>
    <t xml:space="preserve">Gabião tipo colchão ZN/AL + PVC e=0,23m (NBR 8964)</t>
  </si>
  <si>
    <t xml:space="preserve">Projeto por estaca – grupo repartido na proporção do contrato · colchão Reno dos canais DR-5</t>
  </si>
  <si>
    <t xml:space="preserve">Canais DR-5: 6.266 m² de colchão Reno (−8,6%).</t>
  </si>
  <si>
    <t xml:space="preserve">Subtotal – Dispositivos</t>
  </si>
  <si>
    <t xml:space="preserve">Obras De Arte Especiais - Solo Grampeado</t>
  </si>
  <si>
    <t xml:space="preserve">Total da memória (sem localização) · quadro de terraplenagem (tratamento de corte em rocha) – distribuído pelo corte 3ª cat. · memória: Quadro de terraplenagem 1.2.5</t>
  </si>
  <si>
    <t xml:space="preserve">Total da memória (sem localização) · quadro de terraplenagem (tratamento de corte em rocha) – distribuído pelo corte 3ª cat. · memória: Quadro de terraplenagem 1.2.3</t>
  </si>
  <si>
    <t xml:space="preserve">Total da memória (sem localização) · quadro de terraplenagem (tratamento de corte em rocha) – distribuído pelo corte 3ª cat. · memória: Quadro de terraplenagem 1.2.1</t>
  </si>
  <si>
    <t xml:space="preserve">Total da memória (sem localização) · quadro de terraplenagem (tratamento de corte em rocha) – distribuído pelo corte 3ª cat. · memória: Quadro 1.2.2 – linha geral (total impresso 2.928,56)</t>
  </si>
  <si>
    <t xml:space="preserve">Quadro da memória incoerente: linha geral 2.409,47 kg × coluna total 2.928,56 kg (planilha de distribuição 2.928,555). Contrato adotou 2.409,47.</t>
  </si>
  <si>
    <t xml:space="preserve">Total da memória (sem localização) · quadro de terraplenagem (tratamento de corte em rocha) – distribuído pelo corte 3ª cat. · memória: Quadro de terraplenagem 1.2.4</t>
  </si>
  <si>
    <t xml:space="preserve">Subtotal – Obras De Arte Especiais - Solo Grampeado</t>
  </si>
  <si>
    <t xml:space="preserve">Infraestrutura e Mesoestrutura</t>
  </si>
  <si>
    <t xml:space="preserve">Total da memória (sem localização) · Quantitativo Executivo OAE REV02 – proporcional à extensão da ponte no trecho</t>
  </si>
  <si>
    <t xml:space="preserve">Quantitativo Executivo OAE REV02 = contrato.</t>
  </si>
  <si>
    <t xml:space="preserve">Subtotal – Infraestrutura e Mesoestrutura</t>
  </si>
  <si>
    <t xml:space="preserve">Subtotal – Superestrutura</t>
  </si>
  <si>
    <t xml:space="preserve">Contenções</t>
  </si>
  <si>
    <t xml:space="preserve">Fornec. e instalação de elemento de contenção gabião ancorado (Terramesh, LandPro ou equivalente) 1,00x1,00x4,00m ou equivalente, inclusive enchimento com rachão</t>
  </si>
  <si>
    <t xml:space="preserve">Projeto por estaca · quadro de materiais CO-2 (revisão com Terramesh) · memória: CO-2</t>
  </si>
  <si>
    <t xml:space="preserve">Fornec. e instalação de elemento de contenção gabião ancorado (Terramesh, LandPro ou equivalente) 1,00x1,00x5,00m ou equivalente, inclusive enchimento com rachão</t>
  </si>
  <si>
    <t xml:space="preserve">Fornec. e instalação de elemento de contenção gabião ancorado (Terramesh, LandPro ou equivalente) 0,50x1,00x4,00m ou equivalente, inclusive enchimento com rachão</t>
  </si>
  <si>
    <t xml:space="preserve">Fornec. e instalação de elemento de contenção gabião ancorado (Terramesh, LandPro ou equivalente) 0,50x1,00x5,00 ou equivalente, inclusive enchimento com rachão</t>
  </si>
  <si>
    <t xml:space="preserve">Projeto por estaca · quadro de materiais CO-2 (revisão com Terramesh) · memória: CO-2: 475 (LE) + 740 (LD); total impresso 1.380</t>
  </si>
  <si>
    <t xml:space="preserve">Quadro de materiais do CO-2 soma 740 + 475 = 1.215 m², mas imprime 1.380 m² (erro de soma, levado ao contrato).</t>
  </si>
  <si>
    <t xml:space="preserve">Projeto por estaca · quadro de materiais CO-2 (revisão com Terramesh) · memória: CO-2 (revisão Terramesh)</t>
  </si>
  <si>
    <t xml:space="preserve">Galerias Celulares</t>
  </si>
  <si>
    <t xml:space="preserve">Projeto por estaca – grupo repartido na proporção do contrato · tabelas DNIT/DER-PR das galerias (série DR-4)</t>
  </si>
  <si>
    <t xml:space="preserve">Tabelas DNIT/DER-PR das galerias (DR-4-0039 a 0056): 55.281,76 kg (−8,1%).</t>
  </si>
  <si>
    <t xml:space="preserve">Concreto usinado Fck = 20 mPa, exclusive bombeamento</t>
  </si>
  <si>
    <t xml:space="preserve">Tabelas das galerias: 804,22 m³ (−14,2%).</t>
  </si>
  <si>
    <t xml:space="preserve">Argamassa cimento e areia 1:3</t>
  </si>
  <si>
    <t xml:space="preserve">Projeto por estaca – grupo repartido na proporção do contrato · tabelas DNIT/DER-PR das galerias (série DR-4) (concreto + lastro)</t>
  </si>
  <si>
    <t xml:space="preserve">Concreto + lastro das galerias: 961,98 m³ (−13,5%).</t>
  </si>
  <si>
    <t xml:space="preserve">Concreto magro usinado, exclusive bombeamento</t>
  </si>
  <si>
    <t xml:space="preserve">Tabelas das galerias: 157,76 m³ (−9,7%).</t>
  </si>
  <si>
    <t xml:space="preserve">Escoramento cavas de fundação</t>
  </si>
  <si>
    <t xml:space="preserve">Projeto por estaca – grupo repartido na proporção do contrato · escoramento das cabeceiras (DR-4-0059)</t>
  </si>
  <si>
    <t xml:space="preserve">Só a seção 3,00 × 4,00 traz escoramento (DR-4-0059): 1.323,28 m² (+17,8%).</t>
  </si>
  <si>
    <t xml:space="preserve">Tabelas das galerias: 4.179,41 m² (−10,1%).</t>
  </si>
  <si>
    <t xml:space="preserve">Subtotal – Galerias Celulares</t>
  </si>
  <si>
    <t xml:space="preserve">Passa Fauna</t>
  </si>
  <si>
    <t xml:space="preserve">Fornecimento e colocação de Cerca de tela arame galvanizado para passa fauna h=2,00m, inclusive reforço, mourões de concreto</t>
  </si>
  <si>
    <t xml:space="preserve">Projeto por estaca · memória – obras complementares · memória: Tab. 78 item 20</t>
  </si>
  <si>
    <t xml:space="preserve">Subtotal – Passa Fauna</t>
  </si>
  <si>
    <t xml:space="preserve">Corpo de BSCC 2,00 x 2,00 H=0,00 a 1,00m 36m</t>
  </si>
  <si>
    <t xml:space="preserve">Total da memória (sem localização) · quadro de obras complementares (Tomo II, tab. 78) – distribuído pelos passa-faunas · memória: Tab. 78 item 15.5</t>
  </si>
  <si>
    <t xml:space="preserve">Total da memória (sem localização) · quadro de obras complementares (Tomo II, tab. 78) – distribuído pelos passa-faunas · memória: Tab. 78 item 15.4</t>
  </si>
  <si>
    <t xml:space="preserve">Total da memória (sem localização) · quadro de obras complementares (Tomo II, tab. 78) – distribuído pelos passa-faunas · memória: Tab. 78 item 15.1</t>
  </si>
  <si>
    <t xml:space="preserve">Total da memória (sem localização) · quadro de obras complementares (Tomo II, tab. 78) – distribuído pelos passa-faunas · memória: Tab. 78 item 15.3</t>
  </si>
  <si>
    <t xml:space="preserve">Total da memória (sem localização) · quadro de obras complementares (Tomo II, tab. 78) – distribuído pelos passa-faunas · memória: Tab. 78 item 15.2</t>
  </si>
  <si>
    <t xml:space="preserve">Subtotal – Corpo de BSCC 2,00 x 2,00 H=0,00 a 1,00m 36m</t>
  </si>
  <si>
    <t xml:space="preserve">Boca de BSCC 2,00 x 2,00 2m</t>
  </si>
  <si>
    <t xml:space="preserve">Total da memória (sem localização) · quadro de obras complementares (Tomo II, tab. 78) – distribuído pelos passa-faunas · memória: Tab. 78 item 16.5</t>
  </si>
  <si>
    <t xml:space="preserve">Total da memória (sem localização) · quadro de obras complementares (Tomo II, tab. 78) – distribuído pelos passa-faunas · memória: Tab. 78 item 18</t>
  </si>
  <si>
    <t xml:space="preserve">Total da memória (sem localização) · quadro de obras complementares (Tomo II, tab. 78) – distribuído pelos passa-faunas · memória: Tab. 78 item 16.4</t>
  </si>
  <si>
    <t xml:space="preserve">Total da memória (sem localização) · quadro de obras complementares (Tomo II, tab. 78) – distribuído pelos passa-faunas · memória: Tab. 78 item 16.1</t>
  </si>
  <si>
    <t xml:space="preserve">Total da memória (sem localização) · quadro de obras complementares (Tomo II, tab. 78) – distribuído pelos passa-faunas · memória: Tab. 78 item 16.3</t>
  </si>
  <si>
    <t xml:space="preserve">Total da memória (sem localização) · quadro de obras complementares (Tomo II, tab. 78) – distribuído pelos passa-faunas · memória: Tab. 78 item 17</t>
  </si>
  <si>
    <t xml:space="preserve">Total da memória (sem localização) · quadro de obras complementares (Tomo II, tab. 78) – distribuído pelos passa-faunas · memória: Tab. 78 item 16.2</t>
  </si>
  <si>
    <t xml:space="preserve">Total da memória (sem localização) · quadro de obras complementares (Tomo II, tab. 78) – distribuído pelos passa-faunas · memória: Tab. 78 item 19</t>
  </si>
  <si>
    <t xml:space="preserve">Subtotal – Boca de BSCC 2,00 x 2,00 2m</t>
  </si>
  <si>
    <t xml:space="preserve">Serviços Complementares</t>
  </si>
  <si>
    <t xml:space="preserve">Projeto por estaca · memória – obras complementares · memória: Tab. 78 item 7</t>
  </si>
  <si>
    <t xml:space="preserve">Projeto por estaca · memória – obras complementares · memória: Tab. 78 item 21</t>
  </si>
  <si>
    <t xml:space="preserve">Cerca 4 fios c/ mourões de concreto</t>
  </si>
  <si>
    <t xml:space="preserve">Projeto por estaca · memória – obras complementares · memória: Tab. 78 item 1</t>
  </si>
  <si>
    <t xml:space="preserve">Tab. 78 e tabela por estaca da memória: 27.243,64 m; contrato 15.906,82 m (+71%). Maior diferença a maior do projeto.</t>
  </si>
  <si>
    <t xml:space="preserve">Projeto por estaca · memória – obras complementares · memória: Tab. 78 item 9</t>
  </si>
  <si>
    <t xml:space="preserve">Projeto por estaca · memória – obras complementares · memória: Tab. 78 item 6</t>
  </si>
  <si>
    <t xml:space="preserve">Projeto por estaca · memória – obras complementares · memória: Tab. 78 item 10</t>
  </si>
  <si>
    <t xml:space="preserve">Projeto por estaca · memória – obras complementares · memória: Tab. 78 item 8</t>
  </si>
  <si>
    <t xml:space="preserve">Tab. 78: 7.211,72 m; contrato 6.304,50 m.</t>
  </si>
  <si>
    <t xml:space="preserve">Subtotal – Serviços Complementares</t>
  </si>
  <si>
    <t xml:space="preserve">Passeio</t>
  </si>
  <si>
    <t xml:space="preserve">Sem quantidade no projeto – contrato distribuído pelo serviço que o comanda · distribuído pelo passeio da memória</t>
  </si>
  <si>
    <t xml:space="preserve">Total da memória (sem localização) · distribuído pelo passeio da memória · memória: Tab. 78 item 13</t>
  </si>
  <si>
    <t xml:space="preserve">Escavação manual de vala 1a. cat.</t>
  </si>
  <si>
    <t xml:space="preserve">Sem quantidade no projeto – contrato distribuído pelo serviço que o comanda · distribuído pelo piso podotátil da memória</t>
  </si>
  <si>
    <t xml:space="preserve">Memória quantifica piso podotátil em metros (83 m); contrato em m².</t>
  </si>
  <si>
    <t xml:space="preserve">Fornecimento e colocação de gradil metálico c/ jateamento e pintura a base de epóxi c/preparo de fundo e disp. de fixação</t>
  </si>
  <si>
    <t xml:space="preserve">Projeto por estaca · memória – obras complementares · memória: Tab. 78 item 2</t>
  </si>
  <si>
    <t xml:space="preserve">Pavimento c/ bloco intertravado concreto (Pavercor natural) e=6cm, incl. colchão pó de pedra</t>
  </si>
  <si>
    <t xml:space="preserve">Projeto por estaca · memória – obras complementares · memória: Tab. 78 item 11</t>
  </si>
  <si>
    <t xml:space="preserve">Pavimento c/ bloco intertravado concreto (Pavercor natural) e=8cm, incl. colchão pó de pedra</t>
  </si>
  <si>
    <t xml:space="preserve">Projeto por estaca · memória – obras complementares · memória: Tab. 78 item 12</t>
  </si>
  <si>
    <t xml:space="preserve">Tab. 78: 526 m²; contrato 581 m².</t>
  </si>
  <si>
    <t xml:space="preserve">Total da memória (sem localização) · distribuído pelo passeio da memória · memória: Tab. 78 item 14</t>
  </si>
  <si>
    <t xml:space="preserve">Subtotal – Passeio</t>
  </si>
  <si>
    <t xml:space="preserve">Rampas</t>
  </si>
  <si>
    <t xml:space="preserve">Sem quantidade no projeto – contrato distribuído pelo serviço que o comanda · distribuído pelas rampas PcD da memória</t>
  </si>
  <si>
    <t xml:space="preserve">Fornecimento e colocação de Tela Telcon Q-138 ou equivalente</t>
  </si>
  <si>
    <t xml:space="preserve">Subtotal – Rampas</t>
  </si>
  <si>
    <t xml:space="preserve">Travessias elevadas</t>
  </si>
  <si>
    <t xml:space="preserve">Subtotal – Travessias elevadas</t>
  </si>
  <si>
    <t xml:space="preserve">Paisagismo</t>
  </si>
  <si>
    <t xml:space="preserve">Projeto por estaca – grupo repartido na proporção do contrato · enleivamento em aterros + canteiros + canteiro de obras/DME da memória · memória: Tab. 76 (90.156,76 + 1.700 + 19.200)</t>
  </si>
  <si>
    <t xml:space="preserve">Tab. 76: 90.156,76 + 1.700 (canteiro) + 19.200 (DME) = 111.056,76 m²; contrato 128.450 m² (+17.393,24). A Tab. 76 tem ainda adubação de cobertura (27.047,03 m²) sem item no contrato.</t>
  </si>
  <si>
    <t xml:space="preserve">Fornecimento e colocação de geomanta ecológica</t>
  </si>
  <si>
    <t xml:space="preserve">Projeto por estaca · memória – paisagismo · memória: Tab. 76</t>
  </si>
  <si>
    <t xml:space="preserve">Hidrossemeadura</t>
  </si>
  <si>
    <t xml:space="preserve">Tab. 76: 39.601,86 m²; contrato 47.522 m² (+7.920,14). Adubação de cobertura (11.880,56 m²) sem item no contrato.</t>
  </si>
  <si>
    <t xml:space="preserve">Sinalização</t>
  </si>
  <si>
    <t xml:space="preserve">Defensa simples semi-maleável c/ espaçador e calço</t>
  </si>
  <si>
    <t xml:space="preserve">Projeto por estaca · memória – defensas + terminais abatidos · memória: Tab. 74 (4.735 + 304 terminal abatido)</t>
  </si>
  <si>
    <t xml:space="preserve">Tab. 74: 4.735 m + 304 m de terminal abatido = 5.039 m (contrato). A tabela por estaca da memória soma 4.947 m e tem linhas incoerentes (370 m em 52 m de estaca na 268+14,7; 92 m em 315 m na 309+15).</t>
  </si>
  <si>
    <t xml:space="preserve">Faixa de sinalização horizontal c/tinta resina acrílica base água</t>
  </si>
  <si>
    <t xml:space="preserve">Projeto por estaca · memória – sinalização horizontal (eixo no total) · memória: Tab. 74</t>
  </si>
  <si>
    <t xml:space="preserve">Sem quantidade no projeto – contrato distribuído pelo serviço que o comanda · distribuído pela barreira New Jersey</t>
  </si>
  <si>
    <t xml:space="preserve">Memória: 64 m de barreira New Jersey (813000) sem item no contrato; os refletivos (4) não são quantificados.</t>
  </si>
  <si>
    <t xml:space="preserve">Fornecimento e colocação de dispositivo refletivo para defensa metálica</t>
  </si>
  <si>
    <t xml:space="preserve">Projeto por estaca · 326 un proporcionais à defensa da memória · memória: Tab. 74</t>
  </si>
  <si>
    <t xml:space="preserve">Tab. 74: 326 un; contrato 322.</t>
  </si>
  <si>
    <t xml:space="preserve">Fornecimento e instalação de terminal absorvedor de energia p/ velocidade de 80 km/h de acordo com ABNT NBR-15486-2016</t>
  </si>
  <si>
    <t xml:space="preserve">Projeto por estaca · memória – dispositivos de segurança · memória: Tab. 74</t>
  </si>
  <si>
    <t xml:space="preserve">Fornecimento e instalação de terminal amortecedor de impacto p/ velocidade de 80 km/h de acordo com ABNT NBR-15486-2016</t>
  </si>
  <si>
    <t xml:space="preserve">Projeto por estaca · memória (ramos da interseção → Est. 326) · memória: Tab. 74</t>
  </si>
  <si>
    <t xml:space="preserve">Pintura de setas e zebrados - termoplástico por extrusão - e=3mm</t>
  </si>
  <si>
    <t xml:space="preserve">Placa sinalização c/ película refletiva</t>
  </si>
  <si>
    <t xml:space="preserve">Projeto por estaca · memória – sinalização vertical · memória: Tab. 74</t>
  </si>
  <si>
    <t xml:space="preserve">Pórtico simples 11,00 a 15,00m p/placa até 24m2( exclusive placa)</t>
  </si>
  <si>
    <t xml:space="preserve">Projeto por estaca · só total no quadro – rateio por extensão · memória: Tab. 74</t>
  </si>
  <si>
    <t xml:space="preserve">Remoção de placa de sinalização</t>
  </si>
  <si>
    <t xml:space="preserve">Projeto por estaca · só total no quadro – rateio por extensão · memória: Tab. 74 (em un)</t>
  </si>
  <si>
    <t xml:space="preserve">Memória em unidades (5 placas); contrato em m² (5) – unidade divergente.</t>
  </si>
  <si>
    <t xml:space="preserve">Projeto por estaca – grupo repartido na proporção do contrato · remoções de pórtico e semi-pórtico do quadro · memória: Tab. 74 (1 pórtico + 1 semi-pórtico)</t>
  </si>
  <si>
    <t xml:space="preserve">Memória: 1 pórtico + 1 semi-pórtico a remover; contrato 2,68 un (quantidade fracionária).</t>
  </si>
  <si>
    <t xml:space="preserve">Semi-pórtico simples 8,30m p/placa até 12m2( exclusive placa)</t>
  </si>
  <si>
    <t xml:space="preserve">Suporte metálico galv. fogo perfil "C" 110x70x25x2, 00mm, h=3,00m</t>
  </si>
  <si>
    <t xml:space="preserve">Total da memória (sem localização) · quadro de sinalização (Tomo II, tab. 74) – distribuído pelos suportes da memória · memória: Tab. 74</t>
  </si>
  <si>
    <t xml:space="preserve">Suporte metálico galv. fogo perfil "C" 110x70x25x2, 00mm, h=3,50m</t>
  </si>
  <si>
    <t xml:space="preserve">Suporte metálico galv. fogo perfil "C" 150x85x25x2, 70mm, h=4,00m</t>
  </si>
  <si>
    <t xml:space="preserve">Suporte metálico galv. fogo perfil "C" 150x85x25x3, 40mm, h=4,50m</t>
  </si>
  <si>
    <t xml:space="preserve">Sinalização Provisória</t>
  </si>
  <si>
    <t xml:space="preserve">Sem quantidade no projeto – contrato rateado pela extensão · rateio por extensão</t>
  </si>
  <si>
    <t xml:space="preserve">Subtotal – Sinalização Provisória</t>
  </si>
  <si>
    <t xml:space="preserve">Melhorias Ambientais</t>
  </si>
  <si>
    <t xml:space="preserve">Medição mensal</t>
  </si>
  <si>
    <t xml:space="preserve">Medição mensal – contrato (só trecho completo) · medido mês a mês, não por estaca – só entra quando o trecho selecionado é a obra inteira</t>
  </si>
  <si>
    <t xml:space="preserve">Subtotal – Melhorias Ambientais</t>
  </si>
  <si>
    <t xml:space="preserve">Iluminação</t>
  </si>
  <si>
    <t xml:space="preserve">Sem quantidade no projeto – contrato distribuído pelo serviço que o comanda · distribuído pelos postes do projeto</t>
  </si>
  <si>
    <t xml:space="preserve">Copel</t>
  </si>
  <si>
    <t xml:space="preserve">Total da memória (sem localização) · verba distribuída pelos postes a remover/relocar do projeto</t>
  </si>
  <si>
    <t xml:space="preserve">Verba COPEL distribuída pelos 70 postes a remover/relocar do IT-2-0001 (localizados por coordenada).</t>
  </si>
  <si>
    <t xml:space="preserve">Subtotal – Copel</t>
  </si>
  <si>
    <t xml:space="preserve">Sanepar</t>
  </si>
  <si>
    <t xml:space="preserve">Total da memória (sem localização) · verba distribuída pela rede Ø 40 mm do perímetro urbano</t>
  </si>
  <si>
    <t xml:space="preserve">Verba SANEPAR (perímetro urbano) distribuída pelos 724 m de rede Ø 40 mm do IT-2-0001 (608+2 a 642+16, LD).</t>
  </si>
  <si>
    <t xml:space="preserve">Subtotal – Sanepar</t>
  </si>
  <si>
    <t xml:space="preserve">Remanejamento Da Rede Pública De Sanemaneto E Esgoto</t>
  </si>
  <si>
    <t xml:space="preserve">Assentamento de tubulação de PVC JE / JEI para água DN 75</t>
  </si>
  <si>
    <t xml:space="preserve">Projeto por estaca · IT-2-0001 (aba TUBULAÇÃO ÁGUA) · memória: IT-2-0001 – resumo 3.4 (Ø 85 mm)</t>
  </si>
  <si>
    <t xml:space="preserve">IT-2-0001: 4.808 m de tubulação de água Ø 85 mm (PVC DN 75) a remanejar, 229+1 a 465+14 LE; contrato 1.150 m (4,2×).</t>
  </si>
  <si>
    <t xml:space="preserve">Projeto por estaca – grupo repartido na proporção do contrato · extensão de rede do projeto × consumo por metro do contrato (5.00 m²/m)</t>
  </si>
  <si>
    <t xml:space="preserve">Contrato 5,00 m²/m de rede × 4.808 m do projeto.</t>
  </si>
  <si>
    <t xml:space="preserve">Projeto por estaca – grupo repartido na proporção do contrato · extensão de rede do projeto × consumo por metro do contrato (6.00 m³/m)</t>
  </si>
  <si>
    <t xml:space="preserve">Contrato 6,00 m³/m de rede × 4.808 m do projeto.</t>
  </si>
  <si>
    <t xml:space="preserve">Projeto por estaca – grupo repartido na proporção do contrato · extensão de rede do projeto × consumo por metro do contrato (0.15 m³/m)</t>
  </si>
  <si>
    <t xml:space="preserve">Contrato 0,15 m³/m de rede × 4.808 m do projeto.</t>
  </si>
  <si>
    <t xml:space="preserve">Subtotal – Remanejamento Da Rede Pública De Sanemaneto E Esgoto</t>
  </si>
  <si>
    <t xml:space="preserve">MOBILIZAÇÃO e DESMOBILIZAÇÃO</t>
  </si>
  <si>
    <t xml:space="preserve">Mobilização</t>
  </si>
  <si>
    <t xml:space="preserve">Mobilização – contrato (entra na estaca final) · medida no início e no fim do contrato – só entra quando a seleção chega à estaca final 642+15,817</t>
  </si>
  <si>
    <t xml:space="preserve">Subtotal – MOBILIZAÇÃO e DESMOBILIZAÇÃO</t>
  </si>
  <si>
    <t xml:space="preserve">TOTAL – PLANILHA CONTRATUAL × CONSUMO REAL DOS PROJETOS</t>
  </si>
  <si>
    <t xml:space="preserve">DISCREPÂNCIAS ENCONTRADAS NA ANÁLISE DA PLANILHA, DO CONTRATO E DOS PROJETOS – PR-990</t>
  </si>
  <si>
    <t xml:space="preserve">Valores a preço do contrato, trecho inteiro. Colunas de contrato, memória e projeto em unidades do serviço; impacto (R$) = consumo real − contrato, vindo da aba Contrato × Projeto (atualiza com as premissas).</t>
  </si>
  <si>
    <t xml:space="preserve">1 · CONTRATO × PROJETO – PRINCIPAIS DIVERGÊNCIAS DE QUANTIDADE</t>
  </si>
  <si>
    <t xml:space="preserve">Disciplina</t>
  </si>
  <si>
    <t xml:space="preserve">Código / item</t>
  </si>
  <si>
    <t xml:space="preserve">Contrato</t>
  </si>
  <si>
    <t xml:space="preserve">Memória (quadro)</t>
  </si>
  <si>
    <t xml:space="preserve">Consumo real</t>
  </si>
  <si>
    <t xml:space="preserve">Impacto (R$)</t>
  </si>
  <si>
    <t xml:space="preserve">Descrição da discrepância</t>
  </si>
  <si>
    <t xml:space="preserve">Tratamento no painel / ação sugerida</t>
  </si>
  <si>
    <t xml:space="preserve">Ligantes</t>
  </si>
  <si>
    <t xml:space="preserve">CAP 50/70 (t)</t>
  </si>
  <si>
    <t xml:space="preserve">Teor de CAP: contrato e memória a 5,7%; o executado é 4,8%. Somado ao CBUQ apurado por estaca (−4,7%), o CAP cai 19,7%.</t>
  </si>
  <si>
    <t xml:space="preserve">Painel usa a premissa editável H6 (teor executado). Ajustar o 589000 por apostilamento/aditivo de quantidades.</t>
  </si>
  <si>
    <t xml:space="preserve">Drenagem – dispositivos</t>
  </si>
  <si>
    <t xml:space="preserve">605300 · 602000 · 603000 · 603300</t>
  </si>
  <si>
    <t xml:space="preserve">Concreto, formas e aço dos dispositivos</t>
  </si>
  <si>
    <t xml:space="preserve">vários</t>
  </si>
  <si>
    <t xml:space="preserve">Pelos consumos unitários dos detalhes DR-4 × quantidades das notas de serviço, o concreto fck 15 é 15% do contrato (139,48 × 920,67 m³), as formas 40% e o CA-60 25%; o CA-50 é 2,3×. A proporção CA-50/CA-60 do contrato é a inversa da dos detalhes.</t>
  </si>
  <si>
    <t xml:space="preserve">Painel valora pelos consumos dos detalhes. Pedir à projetista a memória dos insumos dos dispositivos.</t>
  </si>
  <si>
    <t xml:space="preserve">Obras complementares</t>
  </si>
  <si>
    <t xml:space="preserve">Cerca de 4 fios</t>
  </si>
  <si>
    <t xml:space="preserve">A Tab. 78 e a tabela por estaca da memória somam 27.243,64 m; o contrato tem 15.906,82 m (+11.336,82 m).</t>
  </si>
  <si>
    <t xml:space="preserve">Painel usa a memória por estaca. Rever o quantitativo contratual (provável omissão de um lado ou de trechos).</t>
  </si>
  <si>
    <t xml:space="preserve">Drenagem</t>
  </si>
  <si>
    <t xml:space="preserve">Sarjeta trapezoidal tipo 3 + STB 01</t>
  </si>
  <si>
    <t xml:space="preserve">Contrato 109 m (só SZC 03). A sarjeta de borda de aterro STB 01 (1.659 m nas notas de serviço) não tem item próprio e é medida no 653400.</t>
  </si>
  <si>
    <t xml:space="preserve">Painel soma SZC 03 + STB 01 no 653400. Criar item para a STB 01 ou formalizar a equivalência de preço.</t>
  </si>
  <si>
    <t xml:space="preserve">530200 · 531100 · 570400</t>
  </si>
  <si>
    <t xml:space="preserve">Bica corrida, BGS e CBUQ</t>
  </si>
  <si>
    <t xml:space="preserve">O contrato segue a Tab. 71 da memória; o cálculo por estaca (larguras medidas × espessuras PV-2) dá −2,2% (bica), −5,5% (BGS) e −4,7% (CBUQ).</t>
  </si>
  <si>
    <t xml:space="preserve">Painel usa o cálculo por estaca. Conferir as larguras dos trechos de interseção e acessos.</t>
  </si>
  <si>
    <t xml:space="preserve">430610 · 401100 · 403000</t>
  </si>
  <si>
    <t xml:space="preserve">Parcela de 1.412,35 m³ repetida</t>
  </si>
  <si>
    <t xml:space="preserve">1.412,35 m³ (preenchimento de rebaixo com material de 3ª, quadro 1.1.33) aparecem no contrato três vezes: como transporte 3ª cat. 400–600 m (faixa que não existe no quadro), somados à compactação 100% PN (102.477,69 × 101.065,34) e à compactação em 3ª cat. (18.294,23 × 16.881,88).</t>
  </si>
  <si>
    <t xml:space="preserve">Painel usa o corte por estaca e o quadro. Excluir a duplicidade no contrato.</t>
  </si>
  <si>
    <t xml:space="preserve">430410 a 434010</t>
  </si>
  <si>
    <t xml:space="preserve">Transporte de 3ª categoria</t>
  </si>
  <si>
    <t xml:space="preserve">Corte em 3ª cat. por estaca (REV04): 17.477,51 m³; faixas do contrato: 14.398,41 m³ (+21,4%). O quadro soma 12.986,06 m³.</t>
  </si>
  <si>
    <t xml:space="preserve">Painel reparte o corte de 3ª por estaca na proporção das faixas do contrato.</t>
  </si>
  <si>
    <t xml:space="preserve">Quadro: 25.822,95 + 1.412,35 = 27.235,29 m³ (igual ao apurado por estaca); contrato 28.703,95 (+1.468,66).</t>
  </si>
  <si>
    <t xml:space="preserve">Painel usa a REV04.</t>
  </si>
  <si>
    <t xml:space="preserve">800000 · 800100</t>
  </si>
  <si>
    <t xml:space="preserve">Enleivamento e hidrossemeadura</t>
  </si>
  <si>
    <t xml:space="preserve">Tab. 76: enleivamento 111.056,76 m² (com canteiro e DME) e hidrossemeadura 39.601,86 m²; contrato 128.450 e 47.522 m². A Tab. 76 tem adubação de cobertura (38.927,59 m²) sem item no contrato.</t>
  </si>
  <si>
    <t xml:space="preserve">Painel usa a memória por estaca.</t>
  </si>
  <si>
    <t xml:space="preserve">Drenagem – canais</t>
  </si>
  <si>
    <t xml:space="preserve">860200 · 860023 · 860150</t>
  </si>
  <si>
    <t xml:space="preserve">Gabiões e colchão dos canais</t>
  </si>
  <si>
    <t xml:space="preserve">Canais DR-5 (seção tipo × extensão): gabião h 0,50 166,5 m³ (contrato 360,5), colchão 6.266 m² (6.854), gabião h 1,00 863 m³ (902).</t>
  </si>
  <si>
    <t xml:space="preserve">Painel usa as pranchas DR-5.</t>
  </si>
  <si>
    <t xml:space="preserve">602200 · 800000 · 696420</t>
  </si>
  <si>
    <t xml:space="preserve">Escoramento, enleivamento de valas e PEAD</t>
  </si>
  <si>
    <t xml:space="preserve">Notas de serviço: escoramento 587,77 m² (contrato 1.808), enleivamento das valas 897,90 m² (3.412), PEAD das bacias 57 m (1.539).</t>
  </si>
  <si>
    <t xml:space="preserve">Painel usa as notas de serviço.</t>
  </si>
  <si>
    <t xml:space="preserve">607000 · 690051</t>
  </si>
  <si>
    <t xml:space="preserve">Manta e brita dos drenos sub-superficiais</t>
  </si>
  <si>
    <t xml:space="preserve">DSS 02/04 × detalhe DR-4-0016 (2,15 m²/m e 0,16 m³/m): 6.545,29 m² e 487,09 m³ – o dobro do contrato. O DSS 04 (1.450,47 m) não tem item próprio.</t>
  </si>
  <si>
    <t xml:space="preserve">Painel valora pelo detalhe. Confirmar se o contrato considerou só o DSS 02.</t>
  </si>
  <si>
    <t xml:space="preserve">Galerias</t>
  </si>
  <si>
    <t xml:space="preserve">730000 · 792140 · 711000</t>
  </si>
  <si>
    <t xml:space="preserve">Insumos das galerias celulares</t>
  </si>
  <si>
    <t xml:space="preserve">Tabelas DNIT/DER-PR (DR-4-0039 a 0056) dão aço −8,1%, concreto −14,2%, formas −10,1%; o escoramento (só a seção 3,00 × 4,00 traz) é +17,8%.</t>
  </si>
  <si>
    <t xml:space="preserve">Painel usa as tabelas das galerias.</t>
  </si>
  <si>
    <t xml:space="preserve">691104 · 622100 · 611300</t>
  </si>
  <si>
    <t xml:space="preserve">PV, bocas de dreno e BSTC Ø 1,20</t>
  </si>
  <si>
    <t xml:space="preserve">Notas de serviço: 5 PV 2 (contrato 36), 70 bocas BSD 02 (58), 183,67 m de BSTC Ø 1,20 (228).</t>
  </si>
  <si>
    <t xml:space="preserve">Painel usa as notas de serviço DR-9.</t>
  </si>
  <si>
    <t xml:space="preserve">Interferências</t>
  </si>
  <si>
    <t xml:space="preserve">308 a 312</t>
  </si>
  <si>
    <t xml:space="preserve">Remanejamento da rede de água (DN 75)</t>
  </si>
  <si>
    <t xml:space="preserve">O projeto de interferências (IT-2-0001) tem 4.808 m de tubulação Ø 85 mm (PVC DN 75) a remanejar, de 229+1 a 465+14 LE; o contrato prevê 1.150 m. Enleivamento, escavação, lastro e reaterro foram levados na mesma proporção (consumo por metro do contrato).</t>
  </si>
  <si>
    <t xml:space="preserve">Painel usa a extensão do projeto. Confirmar com a SANEPAR a extensão real e a seção de vala – os consumos do contrato (6 m³/m de escavação) parecem altos para DN 75.</t>
  </si>
  <si>
    <t xml:space="preserve">Defensa metálica</t>
  </si>
  <si>
    <t xml:space="preserve">Tab. 74: 4.735 + 304 (terminal abatido) = 5.039 m = contrato. A tabela por estaca da memória soma 4.947 m, com linhas incoerentes (370 m em 52 m de estaca; 92 m em 315 m).</t>
  </si>
  <si>
    <t xml:space="preserve">Painel usa a tabela por estaca (4.947 m). Pedir a correção da tabela.</t>
  </si>
  <si>
    <t xml:space="preserve">Geotêxtil dos muros (CO-2)</t>
  </si>
  <si>
    <t xml:space="preserve">O quadro de materiais do CO-2 imprime 1.380 m², mas as parcelas somam 475 + 740 = 1.215 m² (erro de soma levado ao contrato).</t>
  </si>
  <si>
    <t xml:space="preserve">Painel usa 1.215 m².</t>
  </si>
  <si>
    <t xml:space="preserve">Soma</t>
  </si>
  <si>
    <t xml:space="preserve">2 · SERVIÇOS QUANTIFICADOS NO PROJETO SEM ITEM NA PLANILHA CONTRATUAL</t>
  </si>
  <si>
    <t xml:space="preserve">Fonte</t>
  </si>
  <si>
    <t xml:space="preserve">—</t>
  </si>
  <si>
    <t xml:space="preserve">Qtd. projeto</t>
  </si>
  <si>
    <t xml:space="preserve">Estimativa (R$)</t>
  </si>
  <si>
    <t xml:space="preserve">Observação</t>
  </si>
  <si>
    <t xml:space="preserve">Preço de referência usado na estimativa</t>
  </si>
  <si>
    <t xml:space="preserve">DR-9 (notas de serviço)</t>
  </si>
  <si>
    <t xml:space="preserve">1.928 m nas notas de serviço; nenhum item de sarjeta STC 05 no contrato.</t>
  </si>
  <si>
    <t xml:space="preserve">650000 – sarjeta triangular tipo 1 (similar) · R$ 176,99</t>
  </si>
  <si>
    <t xml:space="preserve">1.273 m nas notas de serviço; nenhum item de sarjeta STC 11 no contrato.</t>
  </si>
  <si>
    <t xml:space="preserve">DR-9 / DR-4-0016</t>
  </si>
  <si>
    <t xml:space="preserve">Dreno sub-superficial DSS 04</t>
  </si>
  <si>
    <t xml:space="preserve">O contrato tem só o 644200 (DSS 02, 1.594 m); o DSS 04 não tem item.</t>
  </si>
  <si>
    <t xml:space="preserve">644200 – dreno sub-superficial tipo 2 (similar) · R$ 25,59</t>
  </si>
  <si>
    <t xml:space="preserve">DR-5-0002 a 0011</t>
  </si>
  <si>
    <t xml:space="preserve">Lastro de rachão e = 0,40 m dos canais</t>
  </si>
  <si>
    <t xml:space="preserve">Sem item de rachão no grupo Dispositivos.</t>
  </si>
  <si>
    <t xml:space="preserve">495161 – fundação de aterro com rachão (similar) · R$ 169,76</t>
  </si>
  <si>
    <t xml:space="preserve">Geotêxtil MacTex dos canais</t>
  </si>
  <si>
    <t xml:space="preserve">Se o 607000 do grupo Dispositivos for só dos drenos (6.545 m² no projeto), o geotêxtil dos canais fica sem item.</t>
  </si>
  <si>
    <t xml:space="preserve">607000 – geotêxtil não tecido · R$ 10,13</t>
  </si>
  <si>
    <t xml:space="preserve">Tab. 74 / SI-1-0016</t>
  </si>
  <si>
    <t xml:space="preserve">Barreira New Jersey simples (813000)</t>
  </si>
  <si>
    <t xml:space="preserve">–</t>
  </si>
  <si>
    <t xml:space="preserve">Quantificada na memória; o contrato só tem os refletivos de barreira (801926).</t>
  </si>
  <si>
    <t xml:space="preserve">sem preço no contrato</t>
  </si>
  <si>
    <t xml:space="preserve">Tab. 76</t>
  </si>
  <si>
    <t xml:space="preserve">Adubação de cobertura (hidrossemeadura + enleivamento)</t>
  </si>
  <si>
    <t xml:space="preserve">11.880,56 m² (hidrossemeadura) + 27.047,03 m² (enleivamento).</t>
  </si>
  <si>
    <t xml:space="preserve">Tab. 78 item 22</t>
  </si>
  <si>
    <t xml:space="preserve">Travessia elevada para pedestres</t>
  </si>
  <si>
    <t xml:space="preserve">Contrato só tem o piso tátil das travessias (834907, 10 m²).</t>
  </si>
  <si>
    <t xml:space="preserve">CO-2 (revisão Terramesh)</t>
  </si>
  <si>
    <t xml:space="preserve">Rachão para preparação da base dos muros</t>
  </si>
  <si>
    <t xml:space="preserve">Quadro de materiais do CO-2: 430,50 m³.</t>
  </si>
  <si>
    <t xml:space="preserve">Estimativa só para dimensionar o impacto (preço de item similar do contrato); não entra no total do painel.</t>
  </si>
  <si>
    <t xml:space="preserve">3 · INCONSISTÊNCIAS INTERNAS DAS MEMÓRIAS E PRANCHAS</t>
  </si>
  <si>
    <t xml:space="preserve">Documento</t>
  </si>
  <si>
    <t xml:space="preserve">Assunto</t>
  </si>
  <si>
    <t xml:space="preserve">Descrição</t>
  </si>
  <si>
    <t xml:space="preserve">Efeito no painel</t>
  </si>
  <si>
    <t xml:space="preserve">Tomo II – quadro 1.2.2</t>
  </si>
  <si>
    <t xml:space="preserve">Tela de proteção de talude</t>
  </si>
  <si>
    <t xml:space="preserve">Linha geral 2.409,47 kg e coluna total 2.928,56 kg no mesmo item; a planilha de distribuição usa 2.928,555 kg. O contrato adotou 2.409,47.</t>
  </si>
  <si>
    <t xml:space="preserve">Painel usa 2.409,47 (= contrato).</t>
  </si>
  <si>
    <t xml:space="preserve">Tomo II – Tab. 70 × Tab. 71</t>
  </si>
  <si>
    <t xml:space="preserve">Taxas de ligantes</t>
  </si>
  <si>
    <t xml:space="preserve">Tab. 70 indica RR-1C 0,00045 t/m² (→ 72,78 t), mas a Tab. 71 usa 0,50 kg/m² (80,87 t). A EAI vem em l/m² na Tab. 70 e em kg/m² na Tab. 71.</t>
  </si>
  <si>
    <t xml:space="preserve">Taxas são premissas editáveis (H7, H8).</t>
  </si>
  <si>
    <t xml:space="preserve">Tomo II – Tab. 71 × contrato</t>
  </si>
  <si>
    <t xml:space="preserve">Imprimação</t>
  </si>
  <si>
    <t xml:space="preserve">Imprimação 161.734 m² na memória e 161.756 m² no contrato (+22 m²); a pintura de ligação, de mesma área, ficou 161.734.</t>
  </si>
  <si>
    <t xml:space="preserve">CO-2 – quadro resumo</t>
  </si>
  <si>
    <t xml:space="preserve">Geotêxtil</t>
  </si>
  <si>
    <t xml:space="preserve">Total impresso 1.380 m²; parcelas 740 + 475 = 1.215 m².</t>
  </si>
  <si>
    <t xml:space="preserve">Tomo III – defensas por estaca</t>
  </si>
  <si>
    <t xml:space="preserve">Soma das linhas 4.947 m × total 5.039 m da Tab. 74; linhas com extensão incompatível com as estacas (268+14,70 a 271+6,70: 370 m em 52 m; 309+15 a 325+10: 92 m em 315 m; 168+8 a 169+18: 8 m em 30 m).</t>
  </si>
  <si>
    <t xml:space="preserve">Painel distribui pela tabela por estaca.</t>
  </si>
  <si>
    <t xml:space="preserve">Tomo III – sinalização horizontal</t>
  </si>
  <si>
    <t xml:space="preserve">Legendas repetidas</t>
  </si>
  <si>
    <t xml:space="preserve">Linhas idênticas de PINTURA DE LEGENDA (7,5 m²) nas estacas 323 e 324 (LD) e 329+6 (LE) – possível duplicidade (22,5 m²).</t>
  </si>
  <si>
    <t xml:space="preserve">Entram como estão (diferença de 0,6% no 822330).</t>
  </si>
  <si>
    <t xml:space="preserve">Tomo III – placas</t>
  </si>
  <si>
    <t xml:space="preserve">Placas repetidas</t>
  </si>
  <si>
    <t xml:space="preserve">R-2 e R-33 lançadas duas vezes na estaca 326 LD (rotatória) – podem ser aproximações diferentes.</t>
  </si>
  <si>
    <t xml:space="preserve">Entram como estão.</t>
  </si>
  <si>
    <t xml:space="preserve">Tab. 74 × contrato</t>
  </si>
  <si>
    <t xml:space="preserve">Unidades</t>
  </si>
  <si>
    <t xml:space="preserve">Remoção de placas em un na memória e em m² no contrato; remoção de pórtico 2,68 un no contrato (memória: 1 pórtico + 1 semi-pórtico).</t>
  </si>
  <si>
    <t xml:space="preserve">Tomo III – cercas</t>
  </si>
  <si>
    <t xml:space="preserve">Remoção de cerca repetida</t>
  </si>
  <si>
    <t xml:space="preserve">Linha REMOÇÃO DE CERCA 599+8,90 a 599+8,90 LD (9,39 m) aparece duas vezes.</t>
  </si>
  <si>
    <t xml:space="preserve">Diferença de 9,39 m.</t>
  </si>
  <si>
    <t xml:space="preserve">Tab. 78 × contrato</t>
  </si>
  <si>
    <t xml:space="preserve">Piso podotátil</t>
  </si>
  <si>
    <t xml:space="preserve">Memória em metros (83 m); contrato em m² (13,28 + 15,68 + 10).</t>
  </si>
  <si>
    <t xml:space="preserve">Painel distribui o contrato pelo piso da memória.</t>
  </si>
  <si>
    <t xml:space="preserve">DR-9 – notas de serviço</t>
  </si>
  <si>
    <t xml:space="preserve">Extensão L × estacas</t>
  </si>
  <si>
    <t xml:space="preserve">66 dispositivos lineares com L da nota de serviço diferente (&gt; 10%) da distância entre as estacas de início e fim – a maioria na interseção (Est. 316 a 340) e em sarjetas de concordância. Ex.: STC 01 LD 1+7,43 a 3+10,12 com L = 220 m em 42,7 m de estaca.</t>
  </si>
  <si>
    <t xml:space="preserve">Painel usa o L da nota de serviço, distribuído entre as estacas de início e fim.</t>
  </si>
  <si>
    <t xml:space="preserve">Quadro × contrato</t>
  </si>
  <si>
    <t xml:space="preserve">Camada de fechamento</t>
  </si>
  <si>
    <t xml:space="preserve">O contrato (575000) usa 2.514,01 m³, que no quadro é a compactação c/ controle visual (401200); o material para camada de fechamento (NCT-002) é 3.519,61 m³.</t>
  </si>
  <si>
    <t xml:space="preserve">Painel usa 2.514,01 (aba COBRIM. SAIA).</t>
  </si>
  <si>
    <t xml:space="preserve">4 · VERIFICAÇÕES DA PLANILHA (CONSISTÊNCIA INTERNA)</t>
  </si>
  <si>
    <t xml:space="preserve">Verificação</t>
  </si>
  <si>
    <t xml:space="preserve">Resultado</t>
  </si>
  <si>
    <t xml:space="preserve">Status</t>
  </si>
  <si>
    <t xml:space="preserve">Como foi verificado</t>
  </si>
  <si>
    <t xml:space="preserve">Erros de fórmula no Painel</t>
  </si>
  <si>
    <t xml:space="preserve">Contagem de células com erro (fórmula viva).</t>
  </si>
  <si>
    <t xml:space="preserve">Erros de fórmula na aba Contrato × Projeto</t>
  </si>
  <si>
    <t xml:space="preserve">Soma da planilha contratual (269 itens)</t>
  </si>
  <si>
    <t xml:space="preserve">Deve ser R$ 87.300.000,04 (medição ago/2026).</t>
  </si>
  <si>
    <t xml:space="preserve">Itens do contrato sem linha no Painel</t>
  </si>
  <si>
    <t xml:space="preserve">Verificado na geração (todas as 269 linhas da medição têm linha no Painel).</t>
  </si>
  <si>
    <t xml:space="preserve">Consumo real (aba) = Painel no trecho inteiro</t>
  </si>
  <si>
    <t xml:space="preserve">Com o Painel em 0+0 a 642+15,817, o total do Painel (coluna J) é igual a este valor.</t>
  </si>
  <si>
    <t xml:space="preserve">Aditividade dos trechos</t>
  </si>
  <si>
    <t xml:space="preserve">0–300 + 300–642 = total</t>
  </si>
  <si>
    <t xml:space="preserve">Verificado na geração: a soma de dois trechos consecutivos é igual ao trecho inteiro (exceto melhorias ambientais, que só entram com o trecho completo, e mobilização, que entra com a estaca final).</t>
  </si>
  <si>
    <t xml:space="preserve">Linhas de origem fora do trecho / extensão zero / estaca vazia</t>
  </si>
  <si>
    <t xml:space="preserve">0</t>
  </si>
  <si>
    <t xml:space="preserve">Varredura das 12 abas por intervalo e 6 abas pontuais: nenhum intervalo invertido, vazio ou fora de 0 a 642+15,817.</t>
  </si>
  <si>
    <t xml:space="preserve">Linhas repetidas nas abas de origem</t>
  </si>
  <si>
    <t xml:space="preserve">7 linhas</t>
  </si>
  <si>
    <t xml:space="preserve">Legendas (3), placas na rotatória (2), remoção de cerca (1) – ver seção 3. Na OAE, códigos repetidos são itens distintos (infra × superestrutura).</t>
  </si>
  <si>
    <t xml:space="preserve">Base de volumes de pavimentação – PR-990, Est. 0+0,00 a 642+15,817</t>
  </si>
  <si>
    <t xml:space="preserve">Fontes: plantas de pavimentação PV-1-0001 a 0009 (larguras medidas por estaca) e seções tipo PV-2-0001 e 0002 (camadas, espessuras, alargamentos e segmentos).</t>
  </si>
  <si>
    <t xml:space="preserve">Como a base funciona</t>
  </si>
  <si>
    <t xml:space="preserve">1) Aba "Estacas": largura W do CBUQ acabado em cada estaca (20 m) e nos limites de segmento. Em zona urbana o passeio foi separado de W. As áreas de cada camada são calculadas por fórmula a partir de W e dos parâmetros.</t>
  </si>
  <si>
    <t xml:space="preserve">2) Aba "Parâmetros": espessura, alargamento do topo e talude de cada camada, tirados do Detalhe "A" das seções tipo. Cada camada fica mais larga que a de cima: CBUQ com borda a 45°, BGS começando 10 cm além do bordo do CBUQ, sub-base 10 cm além do pé da BGS, reforço 10 cm além do pé da sub-base.</t>
  </si>
  <si>
    <t xml:space="preserve">   Larguras resultantes para W = 11,00 m: CBUQ 11,00 (topo) / 11,10 (base); BGS 11,20 / 11,52; sub-base 11,72 / 12,12; reforço 12,32 / 12,92.</t>
  </si>
  <si>
    <t xml:space="preserve">3) Aba "Volumes por intervalo": volume entre cada par de estacas consecutivas pelo método das áreas médias. Cada intervalo recebe o segmento/seção tipo do seu ponto médio.</t>
  </si>
  <si>
    <t xml:space="preserve">4) Aba "Resumo por segmento": soma por segmento de seção tipo (SUMIFS) e total geral.</t>
  </si>
  <si>
    <t xml:space="preserve">Ajustes feitos na largura medida</t>
  </si>
  <si>
    <t xml:space="preserve">• Bocas de acesso: linhas do pavimento do acesso captadas na seção foram descartadas (o acesso tem estrutura própria – 15 cm de BGS + EAI, nota 1 das pranchas – e não entra nesta base).</t>
  </si>
  <si>
    <t xml:space="preserve">• Estacas onde a borda de um acesso corta a seção junto ao eixo, ou com pico isolado na boca do acesso: largura interpolada entre as estacas vizinhas (coluna "Origem da largura").</t>
  </si>
  <si>
    <t xml:space="preserve">• Interseção 01 (Barra dos Andrades): largura limitada a 18,40 m (seção tipo 02); o pavimento da via transversal fica fora.</t>
  </si>
  <si>
    <t xml:space="preserve">• Limites de segmento em +10,00 (392+10, 487+10, 516+10, 623+10): largura interpolada.</t>
  </si>
  <si>
    <t xml:space="preserve">• Larguras arredondadas a 0,10 m.</t>
  </si>
  <si>
    <t xml:space="preserve">Limitações</t>
  </si>
  <si>
    <t xml:space="preserve">• Áreas calculadas com larguras horizontais; o efeito do abaulamento/superelevação (2% a 8%) na área é desprezível (&lt; 0,3%).</t>
  </si>
  <si>
    <t xml:space="preserve">• Remoção de pavimento existente (T09) é uma ESTIMATIVA medida na seção tipo (≈ 6,50 m x 0,41 m); confirme com o cadastro do pavimento existente e ajuste em Parâmetros.</t>
  </si>
  <si>
    <t xml:space="preserve">• Refúgios de ônibus (T10/T11) e faixas adicionais já estão na largura medida W; as estacas são sinalizadas nas observações.</t>
  </si>
  <si>
    <t xml:space="preserve">• Acessos laterais, Ramo 300 (T05) e camada final de terraplenagem não estão incluídos.</t>
  </si>
  <si>
    <t xml:space="preserve">• A largura W pode ser corrigida manualmente na aba "Estacas" (células amarelas); tudo se recalcula.</t>
  </si>
  <si>
    <t xml:space="preserve">• Fonte principal: notas de serviço DE-E-PR-990-000-012-2-DR-9-0001 a 0004 (meios-fios, entradas d'água, bueiros, descidas, dissipadores, transposições, sarjetas e valetas, valas, bacias, rede pluvial, drenos DPS/DPR/DSS e bocas de saída).</t>
  </si>
  <si>
    <t xml:space="preserve">• Aba "Drenagem linear": cada trecho da nota de serviço com estaca inicial, final, lado e L. No painel, um trecho cortado pela seleção entra com a parte proporcional de L (distribuição uniforme entre as estacas).</t>
  </si>
  <si>
    <t xml:space="preserve">• Aba "Drenagem pontual": dispositivos por estaca com quantidade, L e volumes (escavação, reaterro, escoramento, pedra argamassada, enleivamento, dreno PEAD) quando a nota de serviço traz.</t>
  </si>
  <si>
    <t xml:space="preserve">• Ajustes: nos meios-fios, "515+15,90" foi lido como 615+15,90 (L = 4 m); a tabela "MEIO FIO - LD" repete "LE" na coluna lado e foi tratada como LD; das duas tabelas de transposições, foi usada a de transposições tubulares (mais completa, 32 trechos).</t>
  </si>
  <si>
    <t xml:space="preserve">• Bueiros a remover não constam das notas de serviço: vêm das plantas DR-1, marcados "(planta) – REMOVER". Ramo 300 (estacas 3000+) e canais (dimensionamento sem extensão) não entram nas somas.</t>
  </si>
  <si>
    <t xml:space="preserve">Sinalização (pranchas SI-1-0001 a 0016)</t>
  </si>
  <si>
    <t xml:space="preserve">• Placas: lidas dos rótulos da planta (código, dimensões e estaca). Área calculada pela forma: círculo (D), octógono R-1, triângulo R-2, losango/retângulo (L). Soma: 160,27 m² contra 161,58 m² do quadro; I-022 e I-024 não têm dimensão no rótulo.</t>
  </si>
  <si>
    <t xml:space="preserve">• Placas da rotatória com a PR-364 (prancha SI-1-0002, sem estaqueamento) entram na Est. 0; placas com estaca de ramo da interseção (1005, 2000, 2005) entram na Est. 326.</t>
  </si>
  <si>
    <t xml:space="preserve">• Defensa: medida no desenho por estaca e lado (5.334 m, que incluem trechos de terminal; o quadro tem 4.735 m de defensa + 304 m de terminal abatido). Terminais absorvedores: 85 localizados contra 83 do quadro.</t>
  </si>
  <si>
    <t xml:space="preserve">• Sinalização horizontal e tachas não têm estaca no projeto: entram por rateio uniforme da extensão. Suportes, pórticos, semi-pórticos, remoções, barreira e atenuadores só têm o total (aba "Sinalização – quadro").</t>
  </si>
  <si>
    <t xml:space="preserve">• Fonte: VOLUMES_DE_TERRAPLENAGEM_REV04.xlsx (abas LINHA GERAL, IN 01, COBRIM. SAIA) e TERRAPLENAGEM_DISTRIBUIÇÃO_LG_R04.xlsm (abas SOLO MOLE e QUANTIDADES). Os totais do painel para o trecho inteiro batem com o resumo da planilha de volumes.</t>
  </si>
  <si>
    <t xml:space="preserve">• Aba "Terraplenagem por estaca": volume de cada serviço no intervalo entre duas estacas da planilha (método do projeto). Área de limpeza = volume / espessura (0,20 m, editável em Parâmetros).</t>
  </si>
  <si>
    <t xml:space="preserve">• Ramos 1000, 2000 e 3000 da interseção 01 entram na Est. 326. Colchão drenante de areia e fechamento com BGS dos 10 trechos de solo mole são distribuídos dentro de cada trecho; o trecho 7 foi lido como 439+0,00 a 443+0,00 (a aba SOLO MOLE traz 449-443).</t>
  </si>
  <si>
    <t xml:space="preserve">• Volumes geométricos, sem empolamento. Transportes por faixa de DMT, bota-fora, empréstimos e tratamento de corte em rocha só têm total (aba "Terraplenagem – quadro").</t>
  </si>
  <si>
    <t xml:space="preserve">Geometria (pranchas GM-1-0001 a 0018)</t>
  </si>
  <si>
    <t xml:space="preserve">• Aba "Geometria por estaca": cotas de terreno e de projeto lidas na faixa do perfil, altura de corte/aterro, rampa do greide e curvas horizontal e vertical em que a estaca está. A cota de projeto foi identificada conferindo com o greide recalculado pelos PIV (22 de 644 estacas diferem mais de 5 cm do greide calculado).</t>
  </si>
  <si>
    <t xml:space="preserve">• Aba "Geometria – curvas": quadro de curvas horizontais (C-1 a C-25 do eixo) e curvas verticais (PIV, cota, Y, K, flecha). Curvas de acessos e ramos e os perfis dos acessos (GM-1-0019/0020) não entram.</t>
  </si>
  <si>
    <t xml:space="preserve">Paisagismo (pranchas PG-01-0001 a 0009)</t>
  </si>
  <si>
    <t xml:space="preserve">• Hidrossemeadura, manta antierosiva e enleivamento de aterro: áreas dos rótulos AE da planta; o tipo foi identificado pela hachura onde a seta do rótulo aponta, e a área é distribuída entre a estaca inicial e a final do contorno da área (quando não há contorno, entra na estaca da seta). Rótulos repetidos nos dois quadros da mesma prancha foram contados uma vez (112 rótulos -&gt; 75 áreas).</t>
  </si>
  <si>
    <t xml:space="preserve">• Enleivamento de bordo de terraplenagem e canteiros: quase não tem rótulo; a área foi medida no desenho pela hachura (malha de 0,5 m), por estaca e lado – 108.680 m² no trecho. É uma medição planimétrica do desenho, sem quadro do projeto para conferir.</t>
  </si>
  <si>
    <t xml:space="preserve">• Árvores a remover: símbolos da planta (16 localizados).</t>
  </si>
  <si>
    <t xml:space="preserve">OAE, contenções e iluminação</t>
  </si>
  <si>
    <t xml:space="preserve">• Ponte sobre o Rio do Salto (Est. 235+6,000 a 237+1,000, projeto ES-2): o projeto estrutural não traz quadro de quantidades; a aba "OAE – ponte" usa as quantidades da planilha contratual, distribuídas uniformemente ao longo da ponte.</t>
  </si>
  <si>
    <t xml:space="preserve">• Contenções (projeto CO-2): Muro LE 1 de 436+3 a 438+4 e Muro LD 1 de 438+5 a 442+5 (primeira e última seção transversal), com os quadros de materiais do projeto. Valor só dos gabiões e do geotêxtil a preço do contrato.</t>
  </si>
  <si>
    <t xml:space="preserve">• Iluminação (projeto IL-1): 26 postes na interseção 01 (≈ 316+10 a 334+15), estaca aproximada pela posição do rótulo da luminária; o valor do grupo Iluminação do contrato foi rateado igualmente por poste.</t>
  </si>
  <si>
    <t xml:space="preserve">Obras complementares (pranchas OC-01-0001 a 0011)</t>
  </si>
  <si>
    <t xml:space="preserve">• Cercas: medidas no desenho pelo símbolo de cerca (X azul = implantar, X vermelho = demolir), por estaca e lado, sem contar duas vezes os trechos repetidos entre quadros. Projeto: ≈ 26.860 m a implantar e ≈ 6.870 m a remover (contrato: 15.906,82 m e 6.304,50 m).</t>
  </si>
  <si>
    <t xml:space="preserve">• Abrigos de ônibus: rótulos "A=1,50 m²" dos pontos projetados (16 localizados; contrato 17). Passeios: áreas rotuladas na planta urbana OC-01-0009 (5.640 m² a implantar, incluindo acessos de veículos; 43,5 m² a demolir).</t>
  </si>
  <si>
    <t xml:space="preserve">• Guarda-corpo, relocação de portões, rampas PcD e piso podotátil aparecem só como símbolo, sem rótulo de quantidade, e não foram quantificados.</t>
  </si>
  <si>
    <t xml:space="preserve">Painel (aba inicial)</t>
  </si>
  <si>
    <t xml:space="preserve">• Digite a estaca inicial e final (estaca + metros) nas células amarelas; as premissas (teor de CAP, taxas de EAI e RR-1C) também são editáveis.</t>
  </si>
  <si>
    <t xml:space="preserve">• Detalhamento: para cada serviço, as quantidades do projeto (LE, LD, total no trecho) e cada item da planilha contratual com a quantidade e o valor distribuídos no trecho. O item do contrato é distribuído pela quantidade de projeto do mesmo serviço (ou do serviço que o comanda, ex.: faixas de DMT pelo corte, insumos de galerias pelas galerias); sem localização, rateio pela extensão. O trecho inteiro soma o valor do contrato, R$ 87.300.000,00.</t>
  </si>
  <si>
    <t xml:space="preserve">• Disciplinas: terraplenagem, pavimentação, ligantes, drenagem, OAE, contenções, sinalização, iluminação, paisagismo e obras complementares; indicadores geométricos no fim.</t>
  </si>
  <si>
    <t xml:space="preserve">• Drenagem complementar: remoções de bueiros pelos perfis DR-3-0002 a 0005 (metros de tubo; bueiro duplo = 2 linhas), canais projetados DR-5-0002 a 0011 (gabiões, colchão Reno, rachão, geotêxtil, pedra argamassada, enleivamento, pela seção tipo × extensão; a pedra argamassada do canal longitudinal, 227,04 m³, confere com os 226,82 m³ do contrato) e consumos das VPA pelo detalhe DR-4-0001. As redes coletoras do DR-3-0006/0007 já estavam na nota de serviço DR-9-0004.</t>
  </si>
  <si>
    <t xml:space="preserve">• Memória Justificativa (Vol. 3, Tomo III – Anexos): sinalização horizontal, vertical e dispositivos de segurança, paisagismo, obras complementares e remoção de drenagem existente passaram a vir das tabelas por estaca da memória (abas "MJ – …"), no lugar das medições de desenho e dos rateios por extensão. As abas antigas ficam como conferência.</t>
  </si>
  <si>
    <t xml:space="preserve">• Painel – duas leituras por item do contrato: CONSUMO REAL (colunas H a J: quantidade encontrada nos projetos e memórias × preço do contrato) e AJUSTADO AO CONTRATO (colunas K a P: quantidade da planilha contratual repartida no trecho pelo mesmo critério, que no trecho inteiro fecha os R$ 87.300.000,00); a coluna Q mostra a diferença.</t>
  </si>
  <si>
    <t xml:space="preserve">• Aba Contrato × Projeto: os 269 itens da planilha contratual com quantidade do contrato, total impresso nos quadros da memória (quando há), consumo real apurado por estaca, diferenças em quantidade, % e R$, situação (confere ±2% / projeto maior / menor / não encontrado) e a observação de cada divergência. O link da última coluna leva à linha do Painel.</t>
  </si>
  <si>
    <t xml:space="preserve">• Aba Discrepâncias: principais divergências contrato × projeto com impacto em R$, serviços do projeto sem item no contrato, inconsistências internas das memórias e pranchas e as verificações de consistência da planilha.</t>
  </si>
  <si>
    <t xml:space="preserve">• Linhas em itálico cinza são quantidades de projeto rateadas (o projeto só dá o total). Bocas de bueiro do projeto estimadas em 2 por bueiro. Linhas com quantidade zero ficam esmaecidas.</t>
  </si>
  <si>
    <t xml:space="preserve">PARÂMETROS DAS CAMADAS – Seções tipo DE-E-PR-990-000-012-2-PV-2-0001/0002 (Detalhe "A")</t>
  </si>
  <si>
    <t xml:space="preserve">Item</t>
  </si>
  <si>
    <t xml:space="preserve">Camada / serviço</t>
  </si>
  <si>
    <t xml:space="preserve">Espessura (m)</t>
  </si>
  <si>
    <t xml:space="preserve">Alargamento do topo da camada, por lado, além do bordo do CBUQ acabado (m)</t>
  </si>
  <si>
    <t xml:space="preserve">Talude da borda (H:V)</t>
  </si>
  <si>
    <t xml:space="preserve">Unidade de medição</t>
  </si>
  <si>
    <t xml:space="preserve">Especificação</t>
  </si>
  <si>
    <t xml:space="preserve">Fonte / observação</t>
  </si>
  <si>
    <t xml:space="preserve">C1</t>
  </si>
  <si>
    <t xml:space="preserve">CBUQ Faixa C – asfalto convencional</t>
  </si>
  <si>
    <t xml:space="preserve">DER-ES-TE-21-23</t>
  </si>
  <si>
    <t xml:space="preserve">Topo = largura acabada medida na planta; borda a 45° (Detalhe A: 5 cm)</t>
  </si>
  <si>
    <t xml:space="preserve">C2</t>
  </si>
  <si>
    <t xml:space="preserve">Base – BGS 100% PM</t>
  </si>
  <si>
    <t xml:space="preserve">DER-ES-TE-05-23</t>
  </si>
  <si>
    <t xml:space="preserve">Detalhe A: 5+5 cm além do bordo do CBUQ no topo; borda 1:1 (16 cm)</t>
  </si>
  <si>
    <t xml:space="preserve">C3</t>
  </si>
  <si>
    <t xml:space="preserve">Sub-base – bica corrida</t>
  </si>
  <si>
    <t xml:space="preserve">DER-ES-TE-06-23</t>
  </si>
  <si>
    <t xml:space="preserve">Detalhe A: topo 10 cm além do pé da BGS (0,10+0,16+0,10); borda 1:1 (20 cm)</t>
  </si>
  <si>
    <t xml:space="preserve">C4</t>
  </si>
  <si>
    <t xml:space="preserve">Reforço do subleito – bica corrida (2 x 15 cm)</t>
  </si>
  <si>
    <t xml:space="preserve">Detalhe A: topo 10 cm além do pé da sub-base (0,36+0,20+0,10); borda 1:1 (30 cm)</t>
  </si>
  <si>
    <t xml:space="preserve">C5</t>
  </si>
  <si>
    <t xml:space="preserve">Imprimação asfáltica – EAI</t>
  </si>
  <si>
    <t xml:space="preserve">DER-ES-TE-17-23</t>
  </si>
  <si>
    <t xml:space="preserve">Aplicada no topo da BGS (largura = CBUQ + 2 x 0,10)</t>
  </si>
  <si>
    <t xml:space="preserve">C6</t>
  </si>
  <si>
    <t xml:space="preserve">Pintura de ligação – RR-1C</t>
  </si>
  <si>
    <t xml:space="preserve">Representada na seção sobre a imprimação, mesma largura (CBUQ + 2 x 0,10)</t>
  </si>
  <si>
    <t xml:space="preserve">C7</t>
  </si>
  <si>
    <t xml:space="preserve">DER-ES-TE-01-23</t>
  </si>
  <si>
    <t xml:space="preserve">Largura do pé do reforço (0,66 + 0,30 por lado)</t>
  </si>
  <si>
    <t xml:space="preserve">C8</t>
  </si>
  <si>
    <t xml:space="preserve">Bloco de concreto (paver) – passeio</t>
  </si>
  <si>
    <t xml:space="preserve">ABNT NBR 9050/2023</t>
  </si>
  <si>
    <t xml:space="preserve">Só seções urbanas (T07, T08, T09); largura do passeio medida na planta</t>
  </si>
  <si>
    <t xml:space="preserve">C9</t>
  </si>
  <si>
    <t xml:space="preserve">Colchão de pó de pedra – passeio</t>
  </si>
  <si>
    <t xml:space="preserve">Idem</t>
  </si>
  <si>
    <t xml:space="preserve">C10</t>
  </si>
  <si>
    <t xml:space="preserve">Remoção mecanizada de pavimento existente (T09)</t>
  </si>
  <si>
    <t xml:space="preserve">DER-ES-TE-27-23</t>
  </si>
  <si>
    <t xml:space="preserve">ESTIMATIVA: largura total (coluna D) e profundidade (coluna C) medidas na hachura da seção tipo 09 (≈6,5 m x 0,41 m). Ajustar com levantamento do pavimento existente.</t>
  </si>
  <si>
    <t xml:space="preserve">C11</t>
  </si>
  <si>
    <t xml:space="preserve">Densidade do CBUQ (para tonelagem)</t>
  </si>
  <si>
    <t xml:space="preserve">t/m³</t>
  </si>
  <si>
    <t xml:space="preserve">Valor de referência – substituir pela densidade do projeto de mistura</t>
  </si>
  <si>
    <t xml:space="preserve">Células amarelas (azul) são entradas editáveis; todas as áreas e volumes das outras abas se recalculam.</t>
  </si>
  <si>
    <t xml:space="preserve">Área de cada camada (m²) = e × (W + 2a + e × t), onde W = largura do CBUQ acabado, e = espessura, a = alargamento do topo, t = talude.</t>
  </si>
  <si>
    <t xml:space="preserve">Volume entre duas estacas = extensão × média das áreas (método das áreas médias).</t>
  </si>
  <si>
    <t xml:space="preserve">TERRAPLENAGEM</t>
  </si>
  <si>
    <t xml:space="preserve">Espessura média de limpeza (área = volume / espessura)</t>
  </si>
  <si>
    <t xml:space="preserve">Planilha VOLUMES DE TERRAPLENAGEM REV04 – Resumo: área 232.329,70 m² x 0,20 = 46.465,94 m³</t>
  </si>
  <si>
    <t xml:space="preserve">Segmento</t>
  </si>
  <si>
    <t xml:space="preserve">Seção tipo</t>
  </si>
  <si>
    <t xml:space="preserve">Extensão (m)</t>
  </si>
  <si>
    <t xml:space="preserve">CBUQ (m³)</t>
  </si>
  <si>
    <t xml:space="preserve">CBUQ (t)</t>
  </si>
  <si>
    <t xml:space="preserve">BGS (m³)</t>
  </si>
  <si>
    <t xml:space="preserve">Sub-base (m³)</t>
  </si>
  <si>
    <t xml:space="preserve">Reforço (m³)</t>
  </si>
  <si>
    <t xml:space="preserve">Imprimação EAI (m²)</t>
  </si>
  <si>
    <t xml:space="preserve">Pintura RR-1C (m²)</t>
  </si>
  <si>
    <t xml:space="preserve">Regularização subleito (m²)</t>
  </si>
  <si>
    <t xml:space="preserve">Paver (m³)</t>
  </si>
  <si>
    <t xml:space="preserve">Pó de pedra (m³)</t>
  </si>
  <si>
    <t xml:space="preserve">Paver / passeio (m²)</t>
  </si>
  <si>
    <t xml:space="preserve">Remoção pav. existente (m³)</t>
  </si>
  <si>
    <t xml:space="preserve">S01</t>
  </si>
  <si>
    <t xml:space="preserve">T01</t>
  </si>
  <si>
    <t xml:space="preserve">Linha geral c/ acostamento LE e LD</t>
  </si>
  <si>
    <t xml:space="preserve">0+0,00</t>
  </si>
  <si>
    <t xml:space="preserve">319+0,00</t>
  </si>
  <si>
    <t xml:space="preserve">S02</t>
  </si>
  <si>
    <t xml:space="preserve">T02</t>
  </si>
  <si>
    <t xml:space="preserve">IN 01 – LG c/ 2 faixas LE e LD (interseção Barra dos Andrades)</t>
  </si>
  <si>
    <t xml:space="preserve">332+0,00</t>
  </si>
  <si>
    <t xml:space="preserve">S03</t>
  </si>
  <si>
    <t xml:space="preserve">392+10,00</t>
  </si>
  <si>
    <t xml:space="preserve">S04</t>
  </si>
  <si>
    <t xml:space="preserve">T01*</t>
  </si>
  <si>
    <t xml:space="preserve">Sem seção tipo na prancha (faixas de acel./desacel. – Estrada Rodeio); adotada estrutura da T01</t>
  </si>
  <si>
    <t xml:space="preserve">402+0,00</t>
  </si>
  <si>
    <t xml:space="preserve">S05</t>
  </si>
  <si>
    <t xml:space="preserve">487+10,00</t>
  </si>
  <si>
    <t xml:space="preserve">S06</t>
  </si>
  <si>
    <t xml:space="preserve">T03</t>
  </si>
  <si>
    <t xml:space="preserve">LG c/ 2 faixas LD e acostamento LE e LD</t>
  </si>
  <si>
    <t xml:space="preserve">492+0,00</t>
  </si>
  <si>
    <t xml:space="preserve">S07</t>
  </si>
  <si>
    <t xml:space="preserve">T04</t>
  </si>
  <si>
    <t xml:space="preserve">LG c/ 2 faixas LE e LD e acostamento LD</t>
  </si>
  <si>
    <t xml:space="preserve">496+0,00</t>
  </si>
  <si>
    <t xml:space="preserve">S08</t>
  </si>
  <si>
    <t xml:space="preserve">T06</t>
  </si>
  <si>
    <t xml:space="preserve">LG c/ 2 faixas LE e acostamento LD</t>
  </si>
  <si>
    <t xml:space="preserve">516+10,00</t>
  </si>
  <si>
    <t xml:space="preserve">S09</t>
  </si>
  <si>
    <t xml:space="preserve">598+0,00</t>
  </si>
  <si>
    <t xml:space="preserve">S10</t>
  </si>
  <si>
    <t xml:space="preserve">T07</t>
  </si>
  <si>
    <t xml:space="preserve">Início área urbana Rebouças c/ passeio LD</t>
  </si>
  <si>
    <t xml:space="preserve">602+0,00</t>
  </si>
  <si>
    <t xml:space="preserve">S11</t>
  </si>
  <si>
    <t xml:space="preserve">T08</t>
  </si>
  <si>
    <t xml:space="preserve">Área urbana Rebouças c/ passeio LE e LD</t>
  </si>
  <si>
    <t xml:space="preserve">623+10,00</t>
  </si>
  <si>
    <t xml:space="preserve">S12</t>
  </si>
  <si>
    <t xml:space="preserve">T09</t>
  </si>
  <si>
    <t xml:space="preserve">Área urbana c/ passeio LE e LD e remoção de pavimento existente</t>
  </si>
  <si>
    <t xml:space="preserve">642+0,00</t>
  </si>
  <si>
    <t xml:space="preserve">S13</t>
  </si>
  <si>
    <t xml:space="preserve">T09*</t>
  </si>
  <si>
    <t xml:space="preserve">Após 642+0,00 (fim do trecho) – sem seção tipo; adotada T09</t>
  </si>
  <si>
    <t xml:space="preserve">642+15,817</t>
  </si>
  <si>
    <t xml:space="preserve">TOTAL</t>
  </si>
  <si>
    <t xml:space="preserve">Encaixes pavimento novo/existente (início Est. 0 e fim Est. 642+15,817): remoção mecanizada de revestimento 0,50 m x 0,05 m na largura da pista (detalhe da folha 02/02):</t>
  </si>
  <si>
    <t xml:space="preserve">Remoção de revestimento nos encaixes (m³)</t>
  </si>
  <si>
    <t xml:space="preserve">Corte com serra nos encaixes (m)</t>
  </si>
  <si>
    <t xml:space="preserve">Estaca (decimal)</t>
  </si>
  <si>
    <t xml:space="preserve">Distância (m)</t>
  </si>
  <si>
    <t xml:space="preserve">Largura CBUQ acabado W (m)</t>
  </si>
  <si>
    <t xml:space="preserve">Passeio LE (m)</t>
  </si>
  <si>
    <t xml:space="preserve">Passeio LD (m)</t>
  </si>
  <si>
    <t xml:space="preserve">Origem da largura</t>
  </si>
  <si>
    <t xml:space="preserve">Observações</t>
  </si>
  <si>
    <t xml:space="preserve">Área CBUQ (m²)</t>
  </si>
  <si>
    <t xml:space="preserve">Área BGS (m²)</t>
  </si>
  <si>
    <t xml:space="preserve">Área sub-base (m²)</t>
  </si>
  <si>
    <t xml:space="preserve">Área reforço (m²)</t>
  </si>
  <si>
    <t xml:space="preserve">Largura imprimação / pintura (m)</t>
  </si>
  <si>
    <t xml:space="preserve">Largura regularização subleito (m)</t>
  </si>
  <si>
    <t xml:space="preserve">Largura total de passeio (m)</t>
  </si>
  <si>
    <t xml:space="preserve">Acum. W·m (m²)</t>
  </si>
  <si>
    <t xml:space="preserve">Acum. CBUQ (m³)</t>
  </si>
  <si>
    <t xml:space="preserve">Acum. BGS (m³)</t>
  </si>
  <si>
    <t xml:space="preserve">Acum. sub-base (m³)</t>
  </si>
  <si>
    <t xml:space="preserve">Acum. reforço (m³)</t>
  </si>
  <si>
    <t xml:space="preserve">Acum. imprimação (m²)</t>
  </si>
  <si>
    <t xml:space="preserve">Acum. pintura (m²)</t>
  </si>
  <si>
    <t xml:space="preserve">Acum. regularização (m²)</t>
  </si>
  <si>
    <t xml:space="preserve">Acum. paver (m³)</t>
  </si>
  <si>
    <t xml:space="preserve">Acum. pó de pedra (m³)</t>
  </si>
  <si>
    <t xml:space="preserve">Acum. passeio (m²)</t>
  </si>
  <si>
    <t xml:space="preserve">Acum. remoção (m³)</t>
  </si>
  <si>
    <t xml:space="preserve">Medida</t>
  </si>
  <si>
    <t xml:space="preserve">1+0,00</t>
  </si>
  <si>
    <t xml:space="preserve">2+0,00</t>
  </si>
  <si>
    <t xml:space="preserve">3+0,00</t>
  </si>
  <si>
    <t xml:space="preserve">4+0,00</t>
  </si>
  <si>
    <t xml:space="preserve">5+0,00</t>
  </si>
  <si>
    <t xml:space="preserve">6+0,00</t>
  </si>
  <si>
    <t xml:space="preserve">7+0,00</t>
  </si>
  <si>
    <t xml:space="preserve">8+0,00</t>
  </si>
  <si>
    <t xml:space="preserve">9+0,00</t>
  </si>
  <si>
    <t xml:space="preserve">10+0,00</t>
  </si>
  <si>
    <t xml:space="preserve">11+0,00</t>
  </si>
  <si>
    <t xml:space="preserve">12+0,00</t>
  </si>
  <si>
    <t xml:space="preserve">13+0,00</t>
  </si>
  <si>
    <t xml:space="preserve">14+0,00</t>
  </si>
  <si>
    <t xml:space="preserve">15+0,00</t>
  </si>
  <si>
    <t xml:space="preserve">16+0,00</t>
  </si>
  <si>
    <t xml:space="preserve">17+0,00</t>
  </si>
  <si>
    <t xml:space="preserve">18+0,00</t>
  </si>
  <si>
    <t xml:space="preserve">19+0,00</t>
  </si>
  <si>
    <t xml:space="preserve">20+0,00</t>
  </si>
  <si>
    <t xml:space="preserve">21+0,00</t>
  </si>
  <si>
    <t xml:space="preserve">22+0,00</t>
  </si>
  <si>
    <t xml:space="preserve">23+0,00</t>
  </si>
  <si>
    <t xml:space="preserve">24+0,00</t>
  </si>
  <si>
    <t xml:space="preserve">25+0,00</t>
  </si>
  <si>
    <t xml:space="preserve">26+0,00</t>
  </si>
  <si>
    <t xml:space="preserve">27+0,00</t>
  </si>
  <si>
    <t xml:space="preserve">28+0,00</t>
  </si>
  <si>
    <t xml:space="preserve">29+0,00</t>
  </si>
  <si>
    <t xml:space="preserve">30+0,00</t>
  </si>
  <si>
    <t xml:space="preserve">31+0,00</t>
  </si>
  <si>
    <t xml:space="preserve">32+0,00</t>
  </si>
  <si>
    <t xml:space="preserve">33+0,00</t>
  </si>
  <si>
    <t xml:space="preserve">34+0,00</t>
  </si>
  <si>
    <t xml:space="preserve">35+0,00</t>
  </si>
  <si>
    <t xml:space="preserve">36+0,00</t>
  </si>
  <si>
    <t xml:space="preserve">37+0,00</t>
  </si>
  <si>
    <t xml:space="preserve">38+0,00</t>
  </si>
  <si>
    <t xml:space="preserve">39+0,00</t>
  </si>
  <si>
    <t xml:space="preserve">40+0,00</t>
  </si>
  <si>
    <t xml:space="preserve">41+0,00</t>
  </si>
  <si>
    <t xml:space="preserve">42+0,00</t>
  </si>
  <si>
    <t xml:space="preserve">LD: elemento de 7.40 m (acesso/ilha) descartado</t>
  </si>
  <si>
    <t xml:space="preserve">43+0,00</t>
  </si>
  <si>
    <t xml:space="preserve">44+0,00</t>
  </si>
  <si>
    <t xml:space="preserve">45+0,00</t>
  </si>
  <si>
    <t xml:space="preserve">46+0,00</t>
  </si>
  <si>
    <t xml:space="preserve">47+0,00</t>
  </si>
  <si>
    <t xml:space="preserve">48+0,00</t>
  </si>
  <si>
    <t xml:space="preserve">49+0,00</t>
  </si>
  <si>
    <t xml:space="preserve">50+0,00</t>
  </si>
  <si>
    <t xml:space="preserve">51+0,00</t>
  </si>
  <si>
    <t xml:space="preserve">52+0,00</t>
  </si>
  <si>
    <t xml:space="preserve">53+0,00</t>
  </si>
  <si>
    <t xml:space="preserve">54+0,00</t>
  </si>
  <si>
    <t xml:space="preserve">55+0,00</t>
  </si>
  <si>
    <t xml:space="preserve">56+0,00</t>
  </si>
  <si>
    <t xml:space="preserve">57+0,00</t>
  </si>
  <si>
    <t xml:space="preserve">58+0,00</t>
  </si>
  <si>
    <t xml:space="preserve">59+0,00</t>
  </si>
  <si>
    <t xml:space="preserve">60+0,00</t>
  </si>
  <si>
    <t xml:space="preserve">61+0,00</t>
  </si>
  <si>
    <t xml:space="preserve">62+0,00</t>
  </si>
  <si>
    <t xml:space="preserve">63+0,00</t>
  </si>
  <si>
    <t xml:space="preserve">64+0,00</t>
  </si>
  <si>
    <t xml:space="preserve">65+0,00</t>
  </si>
  <si>
    <t xml:space="preserve">66+0,00</t>
  </si>
  <si>
    <t xml:space="preserve">67+0,00</t>
  </si>
  <si>
    <t xml:space="preserve">68+0,00</t>
  </si>
  <si>
    <t xml:space="preserve">69+0,00</t>
  </si>
  <si>
    <t xml:space="preserve">70+0,00</t>
  </si>
  <si>
    <t xml:space="preserve">71+0,00</t>
  </si>
  <si>
    <t xml:space="preserve">72+0,00</t>
  </si>
  <si>
    <t xml:space="preserve">73+0,00</t>
  </si>
  <si>
    <t xml:space="preserve">74+0,00</t>
  </si>
  <si>
    <t xml:space="preserve">75+0,00</t>
  </si>
  <si>
    <t xml:space="preserve">76+0,00</t>
  </si>
  <si>
    <t xml:space="preserve">77+0,00</t>
  </si>
  <si>
    <t xml:space="preserve">78+0,00</t>
  </si>
  <si>
    <t xml:space="preserve">79+0,00</t>
  </si>
  <si>
    <t xml:space="preserve">80+0,00</t>
  </si>
  <si>
    <t xml:space="preserve">81+0,00</t>
  </si>
  <si>
    <t xml:space="preserve">82+0,00</t>
  </si>
  <si>
    <t xml:space="preserve">83+0,00</t>
  </si>
  <si>
    <t xml:space="preserve">84+0,00</t>
  </si>
  <si>
    <t xml:space="preserve">85+0,00</t>
  </si>
  <si>
    <t xml:space="preserve">86+0,00</t>
  </si>
  <si>
    <t xml:space="preserve">87+0,00</t>
  </si>
  <si>
    <t xml:space="preserve">88+0,00</t>
  </si>
  <si>
    <t xml:space="preserve">89+0,00</t>
  </si>
  <si>
    <t xml:space="preserve">90+0,00</t>
  </si>
  <si>
    <t xml:space="preserve">91+0,00</t>
  </si>
  <si>
    <t xml:space="preserve">92+0,00</t>
  </si>
  <si>
    <t xml:space="preserve">93+0,00</t>
  </si>
  <si>
    <t xml:space="preserve">94+0,00</t>
  </si>
  <si>
    <t xml:space="preserve">95+0,00</t>
  </si>
  <si>
    <t xml:space="preserve">LD: elemento de 0.20 m (linha de acesso) descartado</t>
  </si>
  <si>
    <t xml:space="preserve">96+0,00</t>
  </si>
  <si>
    <t xml:space="preserve">97+0,00</t>
  </si>
  <si>
    <t xml:space="preserve">98+0,00</t>
  </si>
  <si>
    <t xml:space="preserve">99+0,00</t>
  </si>
  <si>
    <t xml:space="preserve">100+0,00</t>
  </si>
  <si>
    <t xml:space="preserve">101+0,00</t>
  </si>
  <si>
    <t xml:space="preserve">102+0,00</t>
  </si>
  <si>
    <t xml:space="preserve">103+0,00</t>
  </si>
  <si>
    <t xml:space="preserve">104+0,00</t>
  </si>
  <si>
    <t xml:space="preserve">105+0,00</t>
  </si>
  <si>
    <t xml:space="preserve">106+0,00</t>
  </si>
  <si>
    <t xml:space="preserve">107+0,00</t>
  </si>
  <si>
    <t xml:space="preserve">108+0,00</t>
  </si>
  <si>
    <t xml:space="preserve">109+0,00</t>
  </si>
  <si>
    <t xml:space="preserve">110+0,00</t>
  </si>
  <si>
    <t xml:space="preserve">111+0,00</t>
  </si>
  <si>
    <t xml:space="preserve">112+0,00</t>
  </si>
  <si>
    <t xml:space="preserve">113+0,00</t>
  </si>
  <si>
    <t xml:space="preserve">114+0,00</t>
  </si>
  <si>
    <t xml:space="preserve">115+0,00</t>
  </si>
  <si>
    <t xml:space="preserve">116+0,00</t>
  </si>
  <si>
    <t xml:space="preserve">117+0,00</t>
  </si>
  <si>
    <t xml:space="preserve">118+0,00</t>
  </si>
  <si>
    <t xml:space="preserve">119+0,00</t>
  </si>
  <si>
    <t xml:space="preserve">trecho de refúgio de ônibus LD (seção tipo 10)</t>
  </si>
  <si>
    <t xml:space="preserve">120+0,00</t>
  </si>
  <si>
    <t xml:space="preserve">trecho de refúgio de ônibus LD (seção tipo 10); trecho de refúgio de ônibus LE (seção tipo 11)</t>
  </si>
  <si>
    <t xml:space="preserve">121+0,00</t>
  </si>
  <si>
    <t xml:space="preserve">122+0,00</t>
  </si>
  <si>
    <t xml:space="preserve">LE: elemento de 12.40 m (acesso/ilha) descartado; trecho de refúgio de ônibus LD (seção tipo 10); trecho de refúgio de ônibus LE (seção tipo 11)</t>
  </si>
  <si>
    <t xml:space="preserve">123+0,00</t>
  </si>
  <si>
    <t xml:space="preserve">LE: elemento de 8.10 m (acesso/ilha) descartado; trecho de refúgio de ônibus LD (seção tipo 10); trecho de refúgio de ônibus LE (seção tipo 11)</t>
  </si>
  <si>
    <t xml:space="preserve">124+0,00</t>
  </si>
  <si>
    <t xml:space="preserve">trecho de refúgio de ônibus LE (seção tipo 11)</t>
  </si>
  <si>
    <t xml:space="preserve">125+0,00</t>
  </si>
  <si>
    <t xml:space="preserve">126+0,00</t>
  </si>
  <si>
    <t xml:space="preserve">127+0,00</t>
  </si>
  <si>
    <t xml:space="preserve">128+0,00</t>
  </si>
  <si>
    <t xml:space="preserve">129+0,00</t>
  </si>
  <si>
    <t xml:space="preserve">130+0,00</t>
  </si>
  <si>
    <t xml:space="preserve">131+0,00</t>
  </si>
  <si>
    <t xml:space="preserve">132+0,00</t>
  </si>
  <si>
    <t xml:space="preserve">133+0,00</t>
  </si>
  <si>
    <t xml:space="preserve">134+0,00</t>
  </si>
  <si>
    <t xml:space="preserve">135+0,00</t>
  </si>
  <si>
    <t xml:space="preserve">136+0,00</t>
  </si>
  <si>
    <t xml:space="preserve">137+0,00</t>
  </si>
  <si>
    <t xml:space="preserve">138+0,00</t>
  </si>
  <si>
    <t xml:space="preserve">139+0,00</t>
  </si>
  <si>
    <t xml:space="preserve">140+0,00</t>
  </si>
  <si>
    <t xml:space="preserve">141+0,00</t>
  </si>
  <si>
    <t xml:space="preserve">142+0,00</t>
  </si>
  <si>
    <t xml:space="preserve">143+0,00</t>
  </si>
  <si>
    <t xml:space="preserve">144+0,00</t>
  </si>
  <si>
    <t xml:space="preserve">145+0,00</t>
  </si>
  <si>
    <t xml:space="preserve">146+0,00</t>
  </si>
  <si>
    <t xml:space="preserve">147+0,00</t>
  </si>
  <si>
    <t xml:space="preserve">148+0,00</t>
  </si>
  <si>
    <t xml:space="preserve">149+0,00</t>
  </si>
  <si>
    <t xml:space="preserve">150+0,00</t>
  </si>
  <si>
    <t xml:space="preserve">151+0,00</t>
  </si>
  <si>
    <t xml:space="preserve">152+0,00</t>
  </si>
  <si>
    <t xml:space="preserve">153+0,00</t>
  </si>
  <si>
    <t xml:space="preserve">154+0,00</t>
  </si>
  <si>
    <t xml:space="preserve">155+0,00</t>
  </si>
  <si>
    <t xml:space="preserve">156+0,00</t>
  </si>
  <si>
    <t xml:space="preserve">157+0,00</t>
  </si>
  <si>
    <t xml:space="preserve">158+0,00</t>
  </si>
  <si>
    <t xml:space="preserve">159+0,00</t>
  </si>
  <si>
    <t xml:space="preserve">160+0,00</t>
  </si>
  <si>
    <t xml:space="preserve">161+0,00</t>
  </si>
  <si>
    <t xml:space="preserve">162+0,00</t>
  </si>
  <si>
    <t xml:space="preserve">163+0,00</t>
  </si>
  <si>
    <t xml:space="preserve">164+0,00</t>
  </si>
  <si>
    <t xml:space="preserve">165+0,00</t>
  </si>
  <si>
    <t xml:space="preserve">166+0,00</t>
  </si>
  <si>
    <t xml:space="preserve">167+0,00</t>
  </si>
  <si>
    <t xml:space="preserve">168+0,00</t>
  </si>
  <si>
    <t xml:space="preserve">169+0,00</t>
  </si>
  <si>
    <t xml:space="preserve">170+0,00</t>
  </si>
  <si>
    <t xml:space="preserve">171+0,00</t>
  </si>
  <si>
    <t xml:space="preserve">172+0,00</t>
  </si>
  <si>
    <t xml:space="preserve">173+0,00</t>
  </si>
  <si>
    <t xml:space="preserve">174+0,00</t>
  </si>
  <si>
    <t xml:space="preserve">175+0,00</t>
  </si>
  <si>
    <t xml:space="preserve">176+0,00</t>
  </si>
  <si>
    <t xml:space="preserve">177+0,00</t>
  </si>
  <si>
    <t xml:space="preserve">178+0,00</t>
  </si>
  <si>
    <t xml:space="preserve">179+0,00</t>
  </si>
  <si>
    <t xml:space="preserve">180+0,00</t>
  </si>
  <si>
    <t xml:space="preserve">181+0,00</t>
  </si>
  <si>
    <t xml:space="preserve">182+0,00</t>
  </si>
  <si>
    <t xml:space="preserve">183+0,00</t>
  </si>
  <si>
    <t xml:space="preserve">184+0,00</t>
  </si>
  <si>
    <t xml:space="preserve">185+0,00</t>
  </si>
  <si>
    <t xml:space="preserve">186+0,00</t>
  </si>
  <si>
    <t xml:space="preserve">187+0,00</t>
  </si>
  <si>
    <t xml:space="preserve">188+0,00</t>
  </si>
  <si>
    <t xml:space="preserve">189+0,00</t>
  </si>
  <si>
    <t xml:space="preserve">190+0,00</t>
  </si>
  <si>
    <t xml:space="preserve">191+0,00</t>
  </si>
  <si>
    <t xml:space="preserve">192+0,00</t>
  </si>
  <si>
    <t xml:space="preserve">193+0,00</t>
  </si>
  <si>
    <t xml:space="preserve">194+0,00</t>
  </si>
  <si>
    <t xml:space="preserve">195+0,00</t>
  </si>
  <si>
    <t xml:space="preserve">196+0,00</t>
  </si>
  <si>
    <t xml:space="preserve">197+0,00</t>
  </si>
  <si>
    <t xml:space="preserve">198+0,00</t>
  </si>
  <si>
    <t xml:space="preserve">199+0,00</t>
  </si>
  <si>
    <t xml:space="preserve">200+0,00</t>
  </si>
  <si>
    <t xml:space="preserve">201+0,00</t>
  </si>
  <si>
    <t xml:space="preserve">202+0,00</t>
  </si>
  <si>
    <t xml:space="preserve">203+0,00</t>
  </si>
  <si>
    <t xml:space="preserve">204+0,00</t>
  </si>
  <si>
    <t xml:space="preserve">205+0,00</t>
  </si>
  <si>
    <t xml:space="preserve">206+0,00</t>
  </si>
  <si>
    <t xml:space="preserve">Interpolada</t>
  </si>
  <si>
    <t xml:space="preserve">LD: elemento de 7.00 m (acesso/ilha) descartado e externos; seção cortada por borda de acesso junto ao eixo – largura interpolada entre 205+0,00 e 207+0,00</t>
  </si>
  <si>
    <t xml:space="preserve">207+0,00</t>
  </si>
  <si>
    <t xml:space="preserve">LE: elemento de 11.10 m (acesso/ilha) descartado</t>
  </si>
  <si>
    <t xml:space="preserve">208+0,00</t>
  </si>
  <si>
    <t xml:space="preserve">209+0,00</t>
  </si>
  <si>
    <t xml:space="preserve">210+0,00</t>
  </si>
  <si>
    <t xml:space="preserve">211+0,00</t>
  </si>
  <si>
    <t xml:space="preserve">212+0,00</t>
  </si>
  <si>
    <t xml:space="preserve">213+0,00</t>
  </si>
  <si>
    <t xml:space="preserve">214+0,00</t>
  </si>
  <si>
    <t xml:space="preserve">215+0,00</t>
  </si>
  <si>
    <t xml:space="preserve">216+0,00</t>
  </si>
  <si>
    <t xml:space="preserve">217+0,00</t>
  </si>
  <si>
    <t xml:space="preserve">218+0,00</t>
  </si>
  <si>
    <t xml:space="preserve">219+0,00</t>
  </si>
  <si>
    <t xml:space="preserve">220+0,00</t>
  </si>
  <si>
    <t xml:space="preserve">221+0,00</t>
  </si>
  <si>
    <t xml:space="preserve">222+0,00</t>
  </si>
  <si>
    <t xml:space="preserve">223+0,00</t>
  </si>
  <si>
    <t xml:space="preserve">224+0,00</t>
  </si>
  <si>
    <t xml:space="preserve">225+0,00</t>
  </si>
  <si>
    <t xml:space="preserve">226+0,00</t>
  </si>
  <si>
    <t xml:space="preserve">227+0,00</t>
  </si>
  <si>
    <t xml:space="preserve">228+0,00</t>
  </si>
  <si>
    <t xml:space="preserve">229+0,00</t>
  </si>
  <si>
    <t xml:space="preserve">230+0,00</t>
  </si>
  <si>
    <t xml:space="preserve">231+0,00</t>
  </si>
  <si>
    <t xml:space="preserve">232+0,00</t>
  </si>
  <si>
    <t xml:space="preserve">233+0,00</t>
  </si>
  <si>
    <t xml:space="preserve">234+0,00</t>
  </si>
  <si>
    <t xml:space="preserve">235+0,00</t>
  </si>
  <si>
    <t xml:space="preserve">LE: elemento de 7.50 m (acesso/ilha) descartado</t>
  </si>
  <si>
    <t xml:space="preserve">236+0,00</t>
  </si>
  <si>
    <t xml:space="preserve">237+0,00</t>
  </si>
  <si>
    <t xml:space="preserve">238+0,00</t>
  </si>
  <si>
    <t xml:space="preserve">239+0,00</t>
  </si>
  <si>
    <t xml:space="preserve">240+0,00</t>
  </si>
  <si>
    <t xml:space="preserve">241+0,00</t>
  </si>
  <si>
    <t xml:space="preserve">242+0,00</t>
  </si>
  <si>
    <t xml:space="preserve">243+0,00</t>
  </si>
  <si>
    <t xml:space="preserve">244+0,00</t>
  </si>
  <si>
    <t xml:space="preserve">245+0,00</t>
  </si>
  <si>
    <t xml:space="preserve">246+0,00</t>
  </si>
  <si>
    <t xml:space="preserve">247+0,00</t>
  </si>
  <si>
    <t xml:space="preserve">248+0,00</t>
  </si>
  <si>
    <t xml:space="preserve">249+0,00</t>
  </si>
  <si>
    <t xml:space="preserve">250+0,00</t>
  </si>
  <si>
    <t xml:space="preserve">251+0,00</t>
  </si>
  <si>
    <t xml:space="preserve">252+0,00</t>
  </si>
  <si>
    <t xml:space="preserve">253+0,00</t>
  </si>
  <si>
    <t xml:space="preserve">254+0,00</t>
  </si>
  <si>
    <t xml:space="preserve">255+0,00</t>
  </si>
  <si>
    <t xml:space="preserve">256+0,00</t>
  </si>
  <si>
    <t xml:space="preserve">257+0,00</t>
  </si>
  <si>
    <t xml:space="preserve">258+0,00</t>
  </si>
  <si>
    <t xml:space="preserve">259+0,00</t>
  </si>
  <si>
    <t xml:space="preserve">LD: elemento de 5.10 m (acesso/ilha) descartado; trecho de refúgio de ônibus LE (seção tipo 11)</t>
  </si>
  <si>
    <t xml:space="preserve">260+0,00</t>
  </si>
  <si>
    <t xml:space="preserve">LD: elemento de 0.20 m (linha de acesso) descartado; trecho de refúgio de ônibus LE (seção tipo 11)</t>
  </si>
  <si>
    <t xml:space="preserve">261+0,00</t>
  </si>
  <si>
    <t xml:space="preserve">262+0,00</t>
  </si>
  <si>
    <t xml:space="preserve">263+0,00</t>
  </si>
  <si>
    <t xml:space="preserve">264+0,00</t>
  </si>
  <si>
    <t xml:space="preserve">265+0,00</t>
  </si>
  <si>
    <t xml:space="preserve">266+0,00</t>
  </si>
  <si>
    <t xml:space="preserve">267+0,00</t>
  </si>
  <si>
    <t xml:space="preserve">268+0,00</t>
  </si>
  <si>
    <t xml:space="preserve">269+0,00</t>
  </si>
  <si>
    <t xml:space="preserve">270+0,00</t>
  </si>
  <si>
    <t xml:space="preserve">271+0,00</t>
  </si>
  <si>
    <t xml:space="preserve">272+0,00</t>
  </si>
  <si>
    <t xml:space="preserve">273+0,00</t>
  </si>
  <si>
    <t xml:space="preserve">274+0,00</t>
  </si>
  <si>
    <t xml:space="preserve">275+0,00</t>
  </si>
  <si>
    <t xml:space="preserve">276+0,00</t>
  </si>
  <si>
    <t xml:space="preserve">277+0,00</t>
  </si>
  <si>
    <t xml:space="preserve">278+0,00</t>
  </si>
  <si>
    <t xml:space="preserve">279+0,00</t>
  </si>
  <si>
    <t xml:space="preserve">280+0,00</t>
  </si>
  <si>
    <t xml:space="preserve">281+0,00</t>
  </si>
  <si>
    <t xml:space="preserve">282+0,00</t>
  </si>
  <si>
    <t xml:space="preserve">283+0,00</t>
  </si>
  <si>
    <t xml:space="preserve">284+0,00</t>
  </si>
  <si>
    <t xml:space="preserve">285+0,00</t>
  </si>
  <si>
    <t xml:space="preserve">286+0,00</t>
  </si>
  <si>
    <t xml:space="preserve">287+0,00</t>
  </si>
  <si>
    <t xml:space="preserve">288+0,00</t>
  </si>
  <si>
    <t xml:space="preserve">289+0,00</t>
  </si>
  <si>
    <t xml:space="preserve">290+0,00</t>
  </si>
  <si>
    <t xml:space="preserve">291+0,00</t>
  </si>
  <si>
    <t xml:space="preserve">292+0,00</t>
  </si>
  <si>
    <t xml:space="preserve">293+0,00</t>
  </si>
  <si>
    <t xml:space="preserve">294+0,00</t>
  </si>
  <si>
    <t xml:space="preserve">295+0,00</t>
  </si>
  <si>
    <t xml:space="preserve">296+0,00</t>
  </si>
  <si>
    <t xml:space="preserve">297+0,00</t>
  </si>
  <si>
    <t xml:space="preserve">298+0,00</t>
  </si>
  <si>
    <t xml:space="preserve">299+0,00</t>
  </si>
  <si>
    <t xml:space="preserve">300+0,00</t>
  </si>
  <si>
    <t xml:space="preserve">301+0,00</t>
  </si>
  <si>
    <t xml:space="preserve">302+0,00</t>
  </si>
  <si>
    <t xml:space="preserve">303+0,00</t>
  </si>
  <si>
    <t xml:space="preserve">304+0,00</t>
  </si>
  <si>
    <t xml:space="preserve">305+0,00</t>
  </si>
  <si>
    <t xml:space="preserve">306+0,00</t>
  </si>
  <si>
    <t xml:space="preserve">307+0,00</t>
  </si>
  <si>
    <t xml:space="preserve">308+0,00</t>
  </si>
  <si>
    <t xml:space="preserve">309+0,00</t>
  </si>
  <si>
    <t xml:space="preserve">310+0,00</t>
  </si>
  <si>
    <t xml:space="preserve">311+0,00</t>
  </si>
  <si>
    <t xml:space="preserve">312+0,00</t>
  </si>
  <si>
    <t xml:space="preserve">LD: elemento de 7.00 m (acesso/ilha) descartado e externos; seção cortada por borda de acesso junto ao eixo – largura interpolada entre 311+0,00 e 313+0,00</t>
  </si>
  <si>
    <t xml:space="preserve">313+0,00</t>
  </si>
  <si>
    <t xml:space="preserve">314+0,00</t>
  </si>
  <si>
    <t xml:space="preserve">315+0,00</t>
  </si>
  <si>
    <t xml:space="preserve">316+0,00</t>
  </si>
  <si>
    <t xml:space="preserve">317+0,00</t>
  </si>
  <si>
    <t xml:space="preserve">seção cortada por borda de acesso junto ao eixo – largura interpolada entre 316+0,00 e 318+0,00</t>
  </si>
  <si>
    <t xml:space="preserve">318+0,00</t>
  </si>
  <si>
    <t xml:space="preserve">320+0,00</t>
  </si>
  <si>
    <t xml:space="preserve">321+0,00</t>
  </si>
  <si>
    <t xml:space="preserve">322+0,00</t>
  </si>
  <si>
    <t xml:space="preserve">323+0,00</t>
  </si>
  <si>
    <t xml:space="preserve">324+0,00</t>
  </si>
  <si>
    <t xml:space="preserve">325+0,00</t>
  </si>
  <si>
    <t xml:space="preserve">Limitada (T02)</t>
  </si>
  <si>
    <t xml:space="preserve">largura medida 21.20 m inclui o pavimento da via transversal (Barra dos Andrades) – limitada a 18,40 m (seção tipo 02)</t>
  </si>
  <si>
    <t xml:space="preserve">326+0,00</t>
  </si>
  <si>
    <t xml:space="preserve">faixa central de 20.70 m (cruzamento de acesso) – largura interpolada entre 325+0,00 e 327+0,00; largura medida 20.80 m inclui o pavimento da via transversal (Barra dos Andrades) – limitada a 18,40 m (seção tipo 02)</t>
  </si>
  <si>
    <t xml:space="preserve">327+0,00</t>
  </si>
  <si>
    <t xml:space="preserve">largura medida 20.50 m inclui o pavimento da via transversal (Barra dos Andrades) – limitada a 18,40 m (seção tipo 02)</t>
  </si>
  <si>
    <t xml:space="preserve">328+0,00</t>
  </si>
  <si>
    <t xml:space="preserve">329+0,00</t>
  </si>
  <si>
    <t xml:space="preserve">330+0,00</t>
  </si>
  <si>
    <t xml:space="preserve">331+0,00</t>
  </si>
  <si>
    <t xml:space="preserve">333+0,00</t>
  </si>
  <si>
    <t xml:space="preserve">334+0,00</t>
  </si>
  <si>
    <t xml:space="preserve">seção cortada por borda de acesso junto ao eixo – largura interpolada entre 333+0,00 e 335+0,00</t>
  </si>
  <si>
    <t xml:space="preserve">335+0,00</t>
  </si>
  <si>
    <t xml:space="preserve">336+0,00</t>
  </si>
  <si>
    <t xml:space="preserve">337+0,00</t>
  </si>
  <si>
    <t xml:space="preserve">338+0,00</t>
  </si>
  <si>
    <t xml:space="preserve">339+0,00</t>
  </si>
  <si>
    <t xml:space="preserve">340+0,00</t>
  </si>
  <si>
    <t xml:space="preserve">341+0,00</t>
  </si>
  <si>
    <t xml:space="preserve">342+0,00</t>
  </si>
  <si>
    <t xml:space="preserve">343+0,00</t>
  </si>
  <si>
    <t xml:space="preserve">344+0,00</t>
  </si>
  <si>
    <t xml:space="preserve">345+0,00</t>
  </si>
  <si>
    <t xml:space="preserve">346+0,00</t>
  </si>
  <si>
    <t xml:space="preserve">347+0,00</t>
  </si>
  <si>
    <t xml:space="preserve">348+0,00</t>
  </si>
  <si>
    <t xml:space="preserve">349+0,00</t>
  </si>
  <si>
    <t xml:space="preserve">350+0,00</t>
  </si>
  <si>
    <t xml:space="preserve">351+0,00</t>
  </si>
  <si>
    <t xml:space="preserve">352+0,00</t>
  </si>
  <si>
    <t xml:space="preserve">353+0,00</t>
  </si>
  <si>
    <t xml:space="preserve">354+0,00</t>
  </si>
  <si>
    <t xml:space="preserve">355+0,00</t>
  </si>
  <si>
    <t xml:space="preserve">356+0,00</t>
  </si>
  <si>
    <t xml:space="preserve">357+0,00</t>
  </si>
  <si>
    <t xml:space="preserve">358+0,00</t>
  </si>
  <si>
    <t xml:space="preserve">359+0,00</t>
  </si>
  <si>
    <t xml:space="preserve">LE: elemento de 6.00 m (acesso/ilha) descartado</t>
  </si>
  <si>
    <t xml:space="preserve">360+0,00</t>
  </si>
  <si>
    <t xml:space="preserve">361+0,00</t>
  </si>
  <si>
    <t xml:space="preserve">362+0,00</t>
  </si>
  <si>
    <t xml:space="preserve">363+0,00</t>
  </si>
  <si>
    <t xml:space="preserve">364+0,00</t>
  </si>
  <si>
    <t xml:space="preserve">365+0,00</t>
  </si>
  <si>
    <t xml:space="preserve">366+0,00</t>
  </si>
  <si>
    <t xml:space="preserve">367+0,00</t>
  </si>
  <si>
    <t xml:space="preserve">368+0,00</t>
  </si>
  <si>
    <t xml:space="preserve">369+0,00</t>
  </si>
  <si>
    <t xml:space="preserve">370+0,00</t>
  </si>
  <si>
    <t xml:space="preserve">371+0,00</t>
  </si>
  <si>
    <t xml:space="preserve">372+0,00</t>
  </si>
  <si>
    <t xml:space="preserve">373+0,00</t>
  </si>
  <si>
    <t xml:space="preserve">374+0,00</t>
  </si>
  <si>
    <t xml:space="preserve">375+0,00</t>
  </si>
  <si>
    <t xml:space="preserve">376+0,00</t>
  </si>
  <si>
    <t xml:space="preserve">377+0,00</t>
  </si>
  <si>
    <t xml:space="preserve">378+0,00</t>
  </si>
  <si>
    <t xml:space="preserve">379+0,00</t>
  </si>
  <si>
    <t xml:space="preserve">380+0,00</t>
  </si>
  <si>
    <t xml:space="preserve">381+0,00</t>
  </si>
  <si>
    <t xml:space="preserve">382+0,00</t>
  </si>
  <si>
    <t xml:space="preserve">383+0,00</t>
  </si>
  <si>
    <t xml:space="preserve">384+0,00</t>
  </si>
  <si>
    <t xml:space="preserve">385+0,00</t>
  </si>
  <si>
    <t xml:space="preserve">386+0,00</t>
  </si>
  <si>
    <t xml:space="preserve">387+0,00</t>
  </si>
  <si>
    <t xml:space="preserve">388+0,00</t>
  </si>
  <si>
    <t xml:space="preserve">389+0,00</t>
  </si>
  <si>
    <t xml:space="preserve">390+0,00</t>
  </si>
  <si>
    <t xml:space="preserve">391+0,00</t>
  </si>
  <si>
    <t xml:space="preserve">392+0,00</t>
  </si>
  <si>
    <t xml:space="preserve">limite de segmento – largura interpolada entre estacas vizinhas</t>
  </si>
  <si>
    <t xml:space="preserve">393+0,00</t>
  </si>
  <si>
    <t xml:space="preserve">394+0,00</t>
  </si>
  <si>
    <t xml:space="preserve">395+0,00</t>
  </si>
  <si>
    <t xml:space="preserve">396+0,00</t>
  </si>
  <si>
    <t xml:space="preserve">397+0,00</t>
  </si>
  <si>
    <t xml:space="preserve">LD: elemento de 9.30 m (acesso/ilha) descartado</t>
  </si>
  <si>
    <t xml:space="preserve">398+0,00</t>
  </si>
  <si>
    <t xml:space="preserve">faixa central de 15.30 m (cruzamento de acesso) – largura interpolada entre 397+0,00 e 399+0,00</t>
  </si>
  <si>
    <t xml:space="preserve">399+0,00</t>
  </si>
  <si>
    <t xml:space="preserve">400+0,00</t>
  </si>
  <si>
    <t xml:space="preserve">401+0,00</t>
  </si>
  <si>
    <t xml:space="preserve">403+0,00</t>
  </si>
  <si>
    <t xml:space="preserve">404+0,00</t>
  </si>
  <si>
    <t xml:space="preserve">405+0,00</t>
  </si>
  <si>
    <t xml:space="preserve">406+0,00</t>
  </si>
  <si>
    <t xml:space="preserve">407+0,00</t>
  </si>
  <si>
    <t xml:space="preserve">408+0,00</t>
  </si>
  <si>
    <t xml:space="preserve">409+0,00</t>
  </si>
  <si>
    <t xml:space="preserve">410+0,00</t>
  </si>
  <si>
    <t xml:space="preserve">411+0,00</t>
  </si>
  <si>
    <t xml:space="preserve">412+0,00</t>
  </si>
  <si>
    <t xml:space="preserve">413+0,00</t>
  </si>
  <si>
    <t xml:space="preserve">414+0,00</t>
  </si>
  <si>
    <t xml:space="preserve">415+0,00</t>
  </si>
  <si>
    <t xml:space="preserve">416+0,00</t>
  </si>
  <si>
    <t xml:space="preserve">417+0,00</t>
  </si>
  <si>
    <t xml:space="preserve">418+0,00</t>
  </si>
  <si>
    <t xml:space="preserve">419+0,00</t>
  </si>
  <si>
    <t xml:space="preserve">LE: elemento de 5.20 m (acesso/ilha) descartado; pico isolado de 16.10 m na boca de acesso (pavimento do acesso) – largura interpolada; trecho de refúgio de ônibus LE (seção tipo 11)</t>
  </si>
  <si>
    <t xml:space="preserve">420+0,00</t>
  </si>
  <si>
    <t xml:space="preserve">421+0,00</t>
  </si>
  <si>
    <t xml:space="preserve">422+0,00</t>
  </si>
  <si>
    <t xml:space="preserve">423+0,00</t>
  </si>
  <si>
    <t xml:space="preserve">424+0,00</t>
  </si>
  <si>
    <t xml:space="preserve">425+0,00</t>
  </si>
  <si>
    <t xml:space="preserve">426+0,00</t>
  </si>
  <si>
    <t xml:space="preserve">427+0,00</t>
  </si>
  <si>
    <t xml:space="preserve">428+0,00</t>
  </si>
  <si>
    <t xml:space="preserve">429+0,00</t>
  </si>
  <si>
    <t xml:space="preserve">430+0,00</t>
  </si>
  <si>
    <t xml:space="preserve">431+0,00</t>
  </si>
  <si>
    <t xml:space="preserve">432+0,00</t>
  </si>
  <si>
    <t xml:space="preserve">433+0,00</t>
  </si>
  <si>
    <t xml:space="preserve">434+0,00</t>
  </si>
  <si>
    <t xml:space="preserve">435+0,00</t>
  </si>
  <si>
    <t xml:space="preserve">436+0,00</t>
  </si>
  <si>
    <t xml:space="preserve">437+0,00</t>
  </si>
  <si>
    <t xml:space="preserve">438+0,00</t>
  </si>
  <si>
    <t xml:space="preserve">439+0,00</t>
  </si>
  <si>
    <t xml:space="preserve">440+0,00</t>
  </si>
  <si>
    <t xml:space="preserve">441+0,00</t>
  </si>
  <si>
    <t xml:space="preserve">442+0,00</t>
  </si>
  <si>
    <t xml:space="preserve">443+0,00</t>
  </si>
  <si>
    <t xml:space="preserve">444+0,00</t>
  </si>
  <si>
    <t xml:space="preserve">445+0,00</t>
  </si>
  <si>
    <t xml:space="preserve">446+0,00</t>
  </si>
  <si>
    <t xml:space="preserve">447+0,00</t>
  </si>
  <si>
    <t xml:space="preserve">448+0,00</t>
  </si>
  <si>
    <t xml:space="preserve">449+0,00</t>
  </si>
  <si>
    <t xml:space="preserve">450+0,00</t>
  </si>
  <si>
    <t xml:space="preserve">451+0,00</t>
  </si>
  <si>
    <t xml:space="preserve">452+0,00</t>
  </si>
  <si>
    <t xml:space="preserve">453+0,00</t>
  </si>
  <si>
    <t xml:space="preserve">454+0,00</t>
  </si>
  <si>
    <t xml:space="preserve">455+0,00</t>
  </si>
  <si>
    <t xml:space="preserve">LD: elemento de 5.10 m (acesso/ilha) descartado</t>
  </si>
  <si>
    <t xml:space="preserve">456+0,00</t>
  </si>
  <si>
    <t xml:space="preserve">457+0,00</t>
  </si>
  <si>
    <t xml:space="preserve">458+0,00</t>
  </si>
  <si>
    <t xml:space="preserve">459+0,00</t>
  </si>
  <si>
    <t xml:space="preserve">460+0,00</t>
  </si>
  <si>
    <t xml:space="preserve">pico isolado de 14.80 m na boca de acesso (pavimento do acesso) – largura interpolada</t>
  </si>
  <si>
    <t xml:space="preserve">461+0,00</t>
  </si>
  <si>
    <t xml:space="preserve">462+0,00</t>
  </si>
  <si>
    <t xml:space="preserve">463+0,00</t>
  </si>
  <si>
    <t xml:space="preserve">464+0,00</t>
  </si>
  <si>
    <t xml:space="preserve">465+0,00</t>
  </si>
  <si>
    <t xml:space="preserve">LE: elemento de 7.80 m (acesso/ilha) descartado e externos</t>
  </si>
  <si>
    <t xml:space="preserve">466+0,00</t>
  </si>
  <si>
    <t xml:space="preserve">pico isolado de 14.20 m na boca de acesso (pavimento do acesso) – largura interpolada</t>
  </si>
  <si>
    <t xml:space="preserve">467+0,00</t>
  </si>
  <si>
    <t xml:space="preserve">468+0,00</t>
  </si>
  <si>
    <t xml:space="preserve">469+0,00</t>
  </si>
  <si>
    <t xml:space="preserve">470+0,00</t>
  </si>
  <si>
    <t xml:space="preserve">471+0,00</t>
  </si>
  <si>
    <t xml:space="preserve">472+0,00</t>
  </si>
  <si>
    <t xml:space="preserve">473+0,00</t>
  </si>
  <si>
    <t xml:space="preserve">474+0,00</t>
  </si>
  <si>
    <t xml:space="preserve">475+0,00</t>
  </si>
  <si>
    <t xml:space="preserve">476+0,00</t>
  </si>
  <si>
    <t xml:space="preserve">LE: elemento de 11.30 m (acesso/ilha) descartado; trecho de refúgio de ônibus LD (seção tipo 10); trecho de refúgio de ônibus LE (seção tipo 11)</t>
  </si>
  <si>
    <t xml:space="preserve">477+0,00</t>
  </si>
  <si>
    <t xml:space="preserve">478+0,00</t>
  </si>
  <si>
    <t xml:space="preserve">479+0,00</t>
  </si>
  <si>
    <t xml:space="preserve">480+0,00</t>
  </si>
  <si>
    <t xml:space="preserve">481+0,00</t>
  </si>
  <si>
    <t xml:space="preserve">482+0,00</t>
  </si>
  <si>
    <t xml:space="preserve">483+0,00</t>
  </si>
  <si>
    <t xml:space="preserve">484+0,00</t>
  </si>
  <si>
    <t xml:space="preserve">pico isolado de 15.50 m na boca de acesso (pavimento do acesso) – largura interpolada</t>
  </si>
  <si>
    <t xml:space="preserve">485+0,00</t>
  </si>
  <si>
    <t xml:space="preserve">486+0,00</t>
  </si>
  <si>
    <t xml:space="preserve">487+0,00</t>
  </si>
  <si>
    <t xml:space="preserve">488+0,00</t>
  </si>
  <si>
    <t xml:space="preserve">489+0,00</t>
  </si>
  <si>
    <t xml:space="preserve">490+0,00</t>
  </si>
  <si>
    <t xml:space="preserve">491+0,00</t>
  </si>
  <si>
    <t xml:space="preserve">493+0,00</t>
  </si>
  <si>
    <t xml:space="preserve">494+0,00</t>
  </si>
  <si>
    <t xml:space="preserve">495+0,00</t>
  </si>
  <si>
    <t xml:space="preserve">faixa central de 22.30 m (cruzamento de acesso) – largura interpolada entre 494+0,00 e 497+0,00</t>
  </si>
  <si>
    <t xml:space="preserve">faixa central de 18.40 m (cruzamento de acesso) – largura interpolada entre 494+0,00 e 497+0,00</t>
  </si>
  <si>
    <t xml:space="preserve">497+0,00</t>
  </si>
  <si>
    <t xml:space="preserve">498+0,00</t>
  </si>
  <si>
    <t xml:space="preserve">499+0,00</t>
  </si>
  <si>
    <t xml:space="preserve">500+0,00</t>
  </si>
  <si>
    <t xml:space="preserve">501+0,00</t>
  </si>
  <si>
    <t xml:space="preserve">502+0,00</t>
  </si>
  <si>
    <t xml:space="preserve">503+0,00</t>
  </si>
  <si>
    <t xml:space="preserve">504+0,00</t>
  </si>
  <si>
    <t xml:space="preserve">505+0,00</t>
  </si>
  <si>
    <t xml:space="preserve">506+0,00</t>
  </si>
  <si>
    <t xml:space="preserve">507+0,00</t>
  </si>
  <si>
    <t xml:space="preserve">508+0,00</t>
  </si>
  <si>
    <t xml:space="preserve">509+0,00</t>
  </si>
  <si>
    <t xml:space="preserve">510+0,00</t>
  </si>
  <si>
    <t xml:space="preserve">pico isolado de 18.00 m na boca de acesso (pavimento do acesso) – largura interpolada</t>
  </si>
  <si>
    <t xml:space="preserve">511+0,00</t>
  </si>
  <si>
    <t xml:space="preserve">512+0,00</t>
  </si>
  <si>
    <t xml:space="preserve">513+0,00</t>
  </si>
  <si>
    <t xml:space="preserve">514+0,00</t>
  </si>
  <si>
    <t xml:space="preserve">515+0,00</t>
  </si>
  <si>
    <t xml:space="preserve">516+0,00</t>
  </si>
  <si>
    <t xml:space="preserve">517+0,00</t>
  </si>
  <si>
    <t xml:space="preserve">518+0,00</t>
  </si>
  <si>
    <t xml:space="preserve">519+0,00</t>
  </si>
  <si>
    <t xml:space="preserve">520+0,00</t>
  </si>
  <si>
    <t xml:space="preserve">521+0,00</t>
  </si>
  <si>
    <t xml:space="preserve">522+0,00</t>
  </si>
  <si>
    <t xml:space="preserve">523+0,00</t>
  </si>
  <si>
    <t xml:space="preserve">524+0,00</t>
  </si>
  <si>
    <t xml:space="preserve">525+0,00</t>
  </si>
  <si>
    <t xml:space="preserve">526+0,00</t>
  </si>
  <si>
    <t xml:space="preserve">527+0,00</t>
  </si>
  <si>
    <t xml:space="preserve">528+0,00</t>
  </si>
  <si>
    <t xml:space="preserve">529+0,00</t>
  </si>
  <si>
    <t xml:space="preserve">530+0,00</t>
  </si>
  <si>
    <t xml:space="preserve">531+0,00</t>
  </si>
  <si>
    <t xml:space="preserve">532+0,00</t>
  </si>
  <si>
    <t xml:space="preserve">533+0,00</t>
  </si>
  <si>
    <t xml:space="preserve">534+0,00</t>
  </si>
  <si>
    <t xml:space="preserve">535+0,00</t>
  </si>
  <si>
    <t xml:space="preserve">536+0,00</t>
  </si>
  <si>
    <t xml:space="preserve">537+0,00</t>
  </si>
  <si>
    <t xml:space="preserve">538+0,00</t>
  </si>
  <si>
    <t xml:space="preserve">539+0,00</t>
  </si>
  <si>
    <t xml:space="preserve">540+0,00</t>
  </si>
  <si>
    <t xml:space="preserve">541+0,00</t>
  </si>
  <si>
    <t xml:space="preserve">542+0,00</t>
  </si>
  <si>
    <t xml:space="preserve">543+0,00</t>
  </si>
  <si>
    <t xml:space="preserve">544+0,00</t>
  </si>
  <si>
    <t xml:space="preserve">545+0,00</t>
  </si>
  <si>
    <t xml:space="preserve">546+0,00</t>
  </si>
  <si>
    <t xml:space="preserve">547+0,00</t>
  </si>
  <si>
    <t xml:space="preserve">548+0,00</t>
  </si>
  <si>
    <t xml:space="preserve">549+0,00</t>
  </si>
  <si>
    <t xml:space="preserve">550+0,00</t>
  </si>
  <si>
    <t xml:space="preserve">551+0,00</t>
  </si>
  <si>
    <t xml:space="preserve">552+0,00</t>
  </si>
  <si>
    <t xml:space="preserve">553+0,00</t>
  </si>
  <si>
    <t xml:space="preserve">554+0,00</t>
  </si>
  <si>
    <t xml:space="preserve">555+0,00</t>
  </si>
  <si>
    <t xml:space="preserve">556+0,00</t>
  </si>
  <si>
    <t xml:space="preserve">557+0,00</t>
  </si>
  <si>
    <t xml:space="preserve">558+0,00</t>
  </si>
  <si>
    <t xml:space="preserve">559+0,00</t>
  </si>
  <si>
    <t xml:space="preserve">560+0,00</t>
  </si>
  <si>
    <t xml:space="preserve">561+0,00</t>
  </si>
  <si>
    <t xml:space="preserve">LD: elemento de 10.90 m (acesso/ilha) descartado</t>
  </si>
  <si>
    <t xml:space="preserve">562+0,00</t>
  </si>
  <si>
    <t xml:space="preserve">563+0,00</t>
  </si>
  <si>
    <t xml:space="preserve">564+0,00</t>
  </si>
  <si>
    <t xml:space="preserve">565+0,00</t>
  </si>
  <si>
    <t xml:space="preserve">566+0,00</t>
  </si>
  <si>
    <t xml:space="preserve">567+0,00</t>
  </si>
  <si>
    <t xml:space="preserve">568+0,00</t>
  </si>
  <si>
    <t xml:space="preserve">569+0,00</t>
  </si>
  <si>
    <t xml:space="preserve">570+0,00</t>
  </si>
  <si>
    <t xml:space="preserve">571+0,00</t>
  </si>
  <si>
    <t xml:space="preserve">572+0,00</t>
  </si>
  <si>
    <t xml:space="preserve">LE: elemento de 5.30 m (acesso/ilha) descartado</t>
  </si>
  <si>
    <t xml:space="preserve">573+0,00</t>
  </si>
  <si>
    <t xml:space="preserve">574+0,00</t>
  </si>
  <si>
    <t xml:space="preserve">575+0,00</t>
  </si>
  <si>
    <t xml:space="preserve">576+0,00</t>
  </si>
  <si>
    <t xml:space="preserve">577+0,00</t>
  </si>
  <si>
    <t xml:space="preserve">578+0,00</t>
  </si>
  <si>
    <t xml:space="preserve">579+0,00</t>
  </si>
  <si>
    <t xml:space="preserve">580+0,00</t>
  </si>
  <si>
    <t xml:space="preserve">581+0,00</t>
  </si>
  <si>
    <t xml:space="preserve">582+0,00</t>
  </si>
  <si>
    <t xml:space="preserve">583+0,00</t>
  </si>
  <si>
    <t xml:space="preserve">584+0,00</t>
  </si>
  <si>
    <t xml:space="preserve">585+0,00</t>
  </si>
  <si>
    <t xml:space="preserve">586+0,00</t>
  </si>
  <si>
    <t xml:space="preserve">587+0,00</t>
  </si>
  <si>
    <t xml:space="preserve">588+0,00</t>
  </si>
  <si>
    <t xml:space="preserve">589+0,00</t>
  </si>
  <si>
    <t xml:space="preserve">590+0,00</t>
  </si>
  <si>
    <t xml:space="preserve">591+0,00</t>
  </si>
  <si>
    <t xml:space="preserve">592+0,00</t>
  </si>
  <si>
    <t xml:space="preserve">593+0,00</t>
  </si>
  <si>
    <t xml:space="preserve">594+0,00</t>
  </si>
  <si>
    <t xml:space="preserve">595+0,00</t>
  </si>
  <si>
    <t xml:space="preserve">596+0,00</t>
  </si>
  <si>
    <t xml:space="preserve">597+0,00</t>
  </si>
  <si>
    <t xml:space="preserve">599+0,00</t>
  </si>
  <si>
    <t xml:space="preserve">600+0,00</t>
  </si>
  <si>
    <t xml:space="preserve">601+0,00</t>
  </si>
  <si>
    <t xml:space="preserve">seção cortada por borda de acesso junto ao eixo – largura interpolada entre 601+0,00 e 603+0,00</t>
  </si>
  <si>
    <t xml:space="preserve">603+0,00</t>
  </si>
  <si>
    <t xml:space="preserve">604+0,00</t>
  </si>
  <si>
    <t xml:space="preserve">605+0,00</t>
  </si>
  <si>
    <t xml:space="preserve">606+0,00</t>
  </si>
  <si>
    <t xml:space="preserve">607+0,00</t>
  </si>
  <si>
    <t xml:space="preserve">608+0,00</t>
  </si>
  <si>
    <t xml:space="preserve">609+0,00</t>
  </si>
  <si>
    <t xml:space="preserve">610+0,00</t>
  </si>
  <si>
    <t xml:space="preserve">611+0,00</t>
  </si>
  <si>
    <t xml:space="preserve">612+0,00</t>
  </si>
  <si>
    <t xml:space="preserve">613+0,00</t>
  </si>
  <si>
    <t xml:space="preserve">614+0,00</t>
  </si>
  <si>
    <t xml:space="preserve">615+0,00</t>
  </si>
  <si>
    <t xml:space="preserve">616+0,00</t>
  </si>
  <si>
    <t xml:space="preserve">617+0,00</t>
  </si>
  <si>
    <t xml:space="preserve">618+0,00</t>
  </si>
  <si>
    <t xml:space="preserve">619+0,00</t>
  </si>
  <si>
    <t xml:space="preserve">620+0,00</t>
  </si>
  <si>
    <t xml:space="preserve">621+0,00</t>
  </si>
  <si>
    <t xml:space="preserve">622+0,00</t>
  </si>
  <si>
    <t xml:space="preserve">623+0,00</t>
  </si>
  <si>
    <t xml:space="preserve">faixa central de 15.80 m (cruzamento de acesso) – largura interpolada entre 622+0,00 e 624+0,00</t>
  </si>
  <si>
    <t xml:space="preserve">624+0,00</t>
  </si>
  <si>
    <t xml:space="preserve">625+0,00</t>
  </si>
  <si>
    <t xml:space="preserve">626+0,00</t>
  </si>
  <si>
    <t xml:space="preserve">627+0,00</t>
  </si>
  <si>
    <t xml:space="preserve">628+0,00</t>
  </si>
  <si>
    <t xml:space="preserve">629+0,00</t>
  </si>
  <si>
    <t xml:space="preserve">630+0,00</t>
  </si>
  <si>
    <t xml:space="preserve">631+0,00</t>
  </si>
  <si>
    <t xml:space="preserve">632+0,00</t>
  </si>
  <si>
    <t xml:space="preserve">633+0,00</t>
  </si>
  <si>
    <t xml:space="preserve">seção cortada por borda de acesso junto ao eixo – largura interpolada entre 632+0,00 e 635+0,00</t>
  </si>
  <si>
    <t xml:space="preserve">634+0,00</t>
  </si>
  <si>
    <t xml:space="preserve">largura acima do máximo da seção urbana (8,0 a 11,0 m) – boca de acesso – largura interpolada entre 632+0,00 e 635+0,00</t>
  </si>
  <si>
    <t xml:space="preserve">635+0,00</t>
  </si>
  <si>
    <t xml:space="preserve">636+0,00</t>
  </si>
  <si>
    <t xml:space="preserve">637+0,00</t>
  </si>
  <si>
    <t xml:space="preserve">638+0,00</t>
  </si>
  <si>
    <t xml:space="preserve">639+0,00</t>
  </si>
  <si>
    <t xml:space="preserve">seção cortada por borda de acesso junto ao eixo – largura interpolada entre 638+0,00 e 640+0,00</t>
  </si>
  <si>
    <t xml:space="preserve">640+0,00</t>
  </si>
  <si>
    <t xml:space="preserve">641+0,00</t>
  </si>
  <si>
    <t xml:space="preserve">642+10,00</t>
  </si>
  <si>
    <t xml:space="preserve">W inicial (m)</t>
  </si>
  <si>
    <t xml:space="preserve">W final (m)</t>
  </si>
  <si>
    <t xml:space="preserve">Descrição (prancha)</t>
  </si>
  <si>
    <t xml:space="preserve">Larguras de projeto (m)</t>
  </si>
  <si>
    <t xml:space="preserve">Linha geral com acostamento LE e LD</t>
  </si>
  <si>
    <t xml:space="preserve">0+0,0</t>
  </si>
  <si>
    <t xml:space="preserve">319+0,0</t>
  </si>
  <si>
    <t xml:space="preserve">2,0 acost + 3,5 + 3,5 + 2,0 acost = 11,0</t>
  </si>
  <si>
    <t xml:space="preserve">332+0,0</t>
  </si>
  <si>
    <t xml:space="preserve">392+10,0</t>
  </si>
  <si>
    <t xml:space="preserve">402+0,0</t>
  </si>
  <si>
    <t xml:space="preserve">487+10,0</t>
  </si>
  <si>
    <t xml:space="preserve">516+10,0</t>
  </si>
  <si>
    <t xml:space="preserve">598+0,0</t>
  </si>
  <si>
    <t xml:space="preserve">IN 01 – LG com 2 faixas LE e LD</t>
  </si>
  <si>
    <t xml:space="preserve">1,2 fx seg + 3,5 + 3,5 + 1,2 zebrado + 3,5 + 3,5 + 2,0 acost = 18,4</t>
  </si>
  <si>
    <t xml:space="preserve">LG com 2 faixas LD e acostamento LE e LD</t>
  </si>
  <si>
    <t xml:space="preserve">492+0,0</t>
  </si>
  <si>
    <t xml:space="preserve">2,0 + 3,5 + 3,5 + 3,5 + 2,0 = 14,5</t>
  </si>
  <si>
    <t xml:space="preserve">LG com 2 faixas LE e LD e acostamento LD</t>
  </si>
  <si>
    <t xml:space="preserve">496+0,0</t>
  </si>
  <si>
    <t xml:space="preserve">1,0 fx seg + 3,5 x 4 + 2,0 = 17,0</t>
  </si>
  <si>
    <t xml:space="preserve">T05</t>
  </si>
  <si>
    <t xml:space="preserve">IN 01 – Ramo 300 (não é eixo principal – fora desta base)</t>
  </si>
  <si>
    <t xml:space="preserve">3001+18,0</t>
  </si>
  <si>
    <t xml:space="preserve">3006+0,0</t>
  </si>
  <si>
    <t xml:space="preserve">1,2 + 3,0 + 3,0 + 1,2 = 8,4</t>
  </si>
  <si>
    <t xml:space="preserve">LG com 2 faixas LE e acostamento LD</t>
  </si>
  <si>
    <t xml:space="preserve">1,0 fx seg + 3,5 x 3 + 2,0 = 13,5</t>
  </si>
  <si>
    <t xml:space="preserve">Início área urbana Rebouças com passeio LD</t>
  </si>
  <si>
    <t xml:space="preserve">602+0,0</t>
  </si>
  <si>
    <t xml:space="preserve">2,0 + 3,5 + 3,5 + 2,0 = 11,0 + passeio 3,0 LD</t>
  </si>
  <si>
    <t xml:space="preserve">Área urbana Rebouças com passeio LE e LD</t>
  </si>
  <si>
    <t xml:space="preserve">623+10,0</t>
  </si>
  <si>
    <t xml:space="preserve">acost 0,5 a 2,0 + 7,0 + acost 0,5 a 2,0 (8,0 a 11,0) + passeios 2,0 a 3,0 / 3,0</t>
  </si>
  <si>
    <t xml:space="preserve">Área urbana com passeio LE e LD e remoção de pavimento existente</t>
  </si>
  <si>
    <t xml:space="preserve">642+0,0</t>
  </si>
  <si>
    <t xml:space="preserve">idem T08 + remoção do pavimento existente</t>
  </si>
  <si>
    <t xml:space="preserve">T10</t>
  </si>
  <si>
    <t xml:space="preserve">Refúgio de ônibus LD (pontual)</t>
  </si>
  <si>
    <t xml:space="preserve">118+10; 173+15; 210+10; 252+15; 363+0; 425+10; 472+0; 523+0</t>
  </si>
  <si>
    <t xml:space="preserve">3,5 + 4,0 refúgio + 1,0 fx seg (var. 1,0 a 4,0)</t>
  </si>
  <si>
    <t xml:space="preserve">T11</t>
  </si>
  <si>
    <t xml:space="preserve">Refúgio de ônibus LE (pontual)</t>
  </si>
  <si>
    <t xml:space="preserve">120+0; 170+5; 212+0; 255+10; 363+0; 418+0; 472+0</t>
  </si>
  <si>
    <t xml:space="preserve">1,0 fx seg + 4,0 refúgio + 3,5</t>
  </si>
  <si>
    <t xml:space="preserve">Estrutura (todas as seções do eixo): CBUQ 5 cm / BGS 16 cm / sub-base bica corrida 20 cm / reforço bica corrida 30 cm (2 x 15). Passeio: paver 6 cm + pó de pedra 5 cm.</t>
  </si>
  <si>
    <t xml:space="preserve">Trecho 392+10 a 402+0 não consta em nenhuma tabela de seção tipo (faixas de aceleração/desaceleração da Estrada Rodeio): adotada a estrutura da T01 com a largura medida.</t>
  </si>
  <si>
    <t xml:space="preserve">Est. inicial (dec.)</t>
  </si>
  <si>
    <t xml:space="preserve">Est. final (dec.)</t>
  </si>
  <si>
    <t xml:space="preserve">Dispositivo</t>
  </si>
  <si>
    <t xml:space="preserve">Lado</t>
  </si>
  <si>
    <t xml:space="preserve">L (m)</t>
  </si>
  <si>
    <t xml:space="preserve">Escavação (m³)</t>
  </si>
  <si>
    <t xml:space="preserve">Reaterro manual (m³)</t>
  </si>
  <si>
    <t xml:space="preserve">Reaterro mecânico (m³)</t>
  </si>
  <si>
    <t xml:space="preserve">Escoramento (m³)</t>
  </si>
  <si>
    <t xml:space="preserve">Fonte (nota de serviço)</t>
  </si>
  <si>
    <t xml:space="preserve">0+8,67</t>
  </si>
  <si>
    <t xml:space="preserve">3+12,98</t>
  </si>
  <si>
    <t xml:space="preserve">DSS 04</t>
  </si>
  <si>
    <t xml:space="preserve">Dreno sub-superficial</t>
  </si>
  <si>
    <t xml:space="preserve">DR-9-0004 Drenos (L = extensão entre estacas)</t>
  </si>
  <si>
    <t xml:space="preserve">3+12,26</t>
  </si>
  <si>
    <t xml:space="preserve">1+7,43</t>
  </si>
  <si>
    <t xml:space="preserve">3+10,12</t>
  </si>
  <si>
    <t xml:space="preserve">STC 01</t>
  </si>
  <si>
    <t xml:space="preserve">Sarjeta triangular de concreto</t>
  </si>
  <si>
    <t xml:space="preserve">DR-9-0002 Sarjetas e valetas</t>
  </si>
  <si>
    <t xml:space="preserve">3+12,18</t>
  </si>
  <si>
    <t xml:space="preserve">SZC 03</t>
  </si>
  <si>
    <t xml:space="preserve">SZC (DER/PR)</t>
  </si>
  <si>
    <t xml:space="preserve">4+0,11</t>
  </si>
  <si>
    <t xml:space="preserve">4+10,00</t>
  </si>
  <si>
    <t xml:space="preserve">4+3,88</t>
  </si>
  <si>
    <t xml:space="preserve">7+3,59</t>
  </si>
  <si>
    <t xml:space="preserve">VPA 7A</t>
  </si>
  <si>
    <t xml:space="preserve">Valeta de proteção de aterro</t>
  </si>
  <si>
    <t xml:space="preserve">4+4,31</t>
  </si>
  <si>
    <t xml:space="preserve">14+15,36</t>
  </si>
  <si>
    <t xml:space="preserve">DPS 6A</t>
  </si>
  <si>
    <t xml:space="preserve">Dreno DPS (DER/PR)</t>
  </si>
  <si>
    <t xml:space="preserve">4+6,64</t>
  </si>
  <si>
    <t xml:space="preserve">15+9,59</t>
  </si>
  <si>
    <t xml:space="preserve">12+9,44</t>
  </si>
  <si>
    <t xml:space="preserve">15+17,22</t>
  </si>
  <si>
    <t xml:space="preserve">VPC 7A</t>
  </si>
  <si>
    <t xml:space="preserve">Valeta de proteção de corte</t>
  </si>
  <si>
    <t xml:space="preserve">15+19,66</t>
  </si>
  <si>
    <t xml:space="preserve">16+13,56</t>
  </si>
  <si>
    <t xml:space="preserve">16+1,08</t>
  </si>
  <si>
    <t xml:space="preserve">19+1,20</t>
  </si>
  <si>
    <t xml:space="preserve">16+2,34</t>
  </si>
  <si>
    <t xml:space="preserve">28+2,64</t>
  </si>
  <si>
    <t xml:space="preserve">28+0,70</t>
  </si>
  <si>
    <t xml:space="preserve">18+5,28</t>
  </si>
  <si>
    <t xml:space="preserve">28+0,37</t>
  </si>
  <si>
    <t xml:space="preserve">26+17,82</t>
  </si>
  <si>
    <t xml:space="preserve">31+9,09</t>
  </si>
  <si>
    <t xml:space="preserve">36+14,84</t>
  </si>
  <si>
    <t xml:space="preserve">29+14,54</t>
  </si>
  <si>
    <t xml:space="preserve">38+0,76</t>
  </si>
  <si>
    <t xml:space="preserve">30+9,03</t>
  </si>
  <si>
    <t xml:space="preserve">29+19,22</t>
  </si>
  <si>
    <t xml:space="preserve">33+10,02</t>
  </si>
  <si>
    <t xml:space="preserve">32+6,00</t>
  </si>
  <si>
    <t xml:space="preserve">35+4,00</t>
  </si>
  <si>
    <t xml:space="preserve">37+2,54</t>
  </si>
  <si>
    <t xml:space="preserve">35+8,69</t>
  </si>
  <si>
    <t xml:space="preserve">35+5,00</t>
  </si>
  <si>
    <t xml:space="preserve">37+13,04</t>
  </si>
  <si>
    <t xml:space="preserve">38+12,06</t>
  </si>
  <si>
    <t xml:space="preserve">38+1,00</t>
  </si>
  <si>
    <t xml:space="preserve">38+4,00</t>
  </si>
  <si>
    <t xml:space="preserve">STB 01</t>
  </si>
  <si>
    <t xml:space="preserve">Sarjeta STB (DER/PR)</t>
  </si>
  <si>
    <t xml:space="preserve">39+3,00</t>
  </si>
  <si>
    <t xml:space="preserve">38+4,62</t>
  </si>
  <si>
    <t xml:space="preserve">41+1,04</t>
  </si>
  <si>
    <t xml:space="preserve">38+17,19</t>
  </si>
  <si>
    <t xml:space="preserve">44+16,85</t>
  </si>
  <si>
    <t xml:space="preserve">40+5,00</t>
  </si>
  <si>
    <t xml:space="preserve">40+12,24</t>
  </si>
  <si>
    <t xml:space="preserve">44+18,04</t>
  </si>
  <si>
    <t xml:space="preserve">41+5,55</t>
  </si>
  <si>
    <t xml:space="preserve">41+15,77</t>
  </si>
  <si>
    <t xml:space="preserve">41+7,66</t>
  </si>
  <si>
    <t xml:space="preserve">41+16,58</t>
  </si>
  <si>
    <t xml:space="preserve">44+17,33</t>
  </si>
  <si>
    <t xml:space="preserve">44+1,32</t>
  </si>
  <si>
    <t xml:space="preserve">50+13,63</t>
  </si>
  <si>
    <t xml:space="preserve">53+4,64</t>
  </si>
  <si>
    <t xml:space="preserve">51+9,33</t>
  </si>
  <si>
    <t xml:space="preserve">49+2,04</t>
  </si>
  <si>
    <t xml:space="preserve">50+1,03</t>
  </si>
  <si>
    <t xml:space="preserve">TSS 01</t>
  </si>
  <si>
    <t xml:space="preserve">Transposição de sarjeta tubular</t>
  </si>
  <si>
    <t xml:space="preserve">DR-9-0001 Transposições tubulares</t>
  </si>
  <si>
    <t xml:space="preserve">50+5,67</t>
  </si>
  <si>
    <t xml:space="preserve">60+1,24</t>
  </si>
  <si>
    <t xml:space="preserve">54+12,57</t>
  </si>
  <si>
    <t xml:space="preserve">64+15,57</t>
  </si>
  <si>
    <t xml:space="preserve">61+12,16</t>
  </si>
  <si>
    <t xml:space="preserve">VPA 5A</t>
  </si>
  <si>
    <t xml:space="preserve">63+9,05</t>
  </si>
  <si>
    <t xml:space="preserve">VPC 5A</t>
  </si>
  <si>
    <t xml:space="preserve">61+15,00</t>
  </si>
  <si>
    <t xml:space="preserve">63+19,28</t>
  </si>
  <si>
    <t xml:space="preserve">64+2,58</t>
  </si>
  <si>
    <t xml:space="preserve">65+7,91</t>
  </si>
  <si>
    <t xml:space="preserve">66+0,57</t>
  </si>
  <si>
    <t xml:space="preserve">64+18,53</t>
  </si>
  <si>
    <t xml:space="preserve">66+12,53</t>
  </si>
  <si>
    <t xml:space="preserve">65+4,81</t>
  </si>
  <si>
    <t xml:space="preserve">67+1,27</t>
  </si>
  <si>
    <t xml:space="preserve">65+14,76</t>
  </si>
  <si>
    <t xml:space="preserve">67+10,32</t>
  </si>
  <si>
    <t xml:space="preserve">66+5,00</t>
  </si>
  <si>
    <t xml:space="preserve">78+16,58</t>
  </si>
  <si>
    <t xml:space="preserve">66+6,62</t>
  </si>
  <si>
    <t xml:space="preserve">79+9,27</t>
  </si>
  <si>
    <t xml:space="preserve">78+14,88</t>
  </si>
  <si>
    <t xml:space="preserve">84+16,00</t>
  </si>
  <si>
    <t xml:space="preserve">95+8,82</t>
  </si>
  <si>
    <t xml:space="preserve">85+1,00</t>
  </si>
  <si>
    <t xml:space="preserve">104+10,28</t>
  </si>
  <si>
    <t xml:space="preserve">86+8,82</t>
  </si>
  <si>
    <t xml:space="preserve">105+9,62</t>
  </si>
  <si>
    <t xml:space="preserve">86+13,00</t>
  </si>
  <si>
    <t xml:space="preserve">105+9,72</t>
  </si>
  <si>
    <t xml:space="preserve">88+1,36</t>
  </si>
  <si>
    <t xml:space="preserve">95+7,89</t>
  </si>
  <si>
    <t xml:space="preserve">95+8,33</t>
  </si>
  <si>
    <t xml:space="preserve">95+11,46</t>
  </si>
  <si>
    <t xml:space="preserve">96+5,82</t>
  </si>
  <si>
    <t xml:space="preserve">96+0,59</t>
  </si>
  <si>
    <t xml:space="preserve">104+16,68</t>
  </si>
  <si>
    <t xml:space="preserve">104+15,81</t>
  </si>
  <si>
    <t xml:space="preserve">105+1,31</t>
  </si>
  <si>
    <t xml:space="preserve">109+15,60</t>
  </si>
  <si>
    <t xml:space="preserve">112+13,52</t>
  </si>
  <si>
    <t xml:space="preserve">111+15,00</t>
  </si>
  <si>
    <t xml:space="preserve">114+3,00</t>
  </si>
  <si>
    <t xml:space="preserve">114+2,84</t>
  </si>
  <si>
    <t xml:space="preserve">112+19,45</t>
  </si>
  <si>
    <t xml:space="preserve">117+0,43</t>
  </si>
  <si>
    <t xml:space="preserve">114+14,54</t>
  </si>
  <si>
    <t xml:space="preserve">116+4,39</t>
  </si>
  <si>
    <t xml:space="preserve">114+15,22</t>
  </si>
  <si>
    <t xml:space="preserve">116+5,00</t>
  </si>
  <si>
    <t xml:space="preserve">116+3,54</t>
  </si>
  <si>
    <t xml:space="preserve">122+2,80</t>
  </si>
  <si>
    <t xml:space="preserve">116+7,04</t>
  </si>
  <si>
    <t xml:space="preserve">122+2,62</t>
  </si>
  <si>
    <t xml:space="preserve">116+15,37</t>
  </si>
  <si>
    <t xml:space="preserve">120+8,22</t>
  </si>
  <si>
    <t xml:space="preserve">122+15,60</t>
  </si>
  <si>
    <t xml:space="preserve">117+14,31</t>
  </si>
  <si>
    <t xml:space="preserve">118+0,89</t>
  </si>
  <si>
    <t xml:space="preserve">121+14,17</t>
  </si>
  <si>
    <t xml:space="preserve">119+13,23</t>
  </si>
  <si>
    <t xml:space="preserve">120+6,77</t>
  </si>
  <si>
    <t xml:space="preserve">MFC 02</t>
  </si>
  <si>
    <t xml:space="preserve">Meio-fio de concreto</t>
  </si>
  <si>
    <t xml:space="preserve">DR-9-0001 Meios-fios</t>
  </si>
  <si>
    <t xml:space="preserve">122+15,78</t>
  </si>
  <si>
    <t xml:space="preserve">122+0,67</t>
  </si>
  <si>
    <t xml:space="preserve">123+1,65</t>
  </si>
  <si>
    <t xml:space="preserve">123+4,63</t>
  </si>
  <si>
    <t xml:space="preserve">123+3,03</t>
  </si>
  <si>
    <t xml:space="preserve">124+0,93</t>
  </si>
  <si>
    <t xml:space="preserve">126+16,55</t>
  </si>
  <si>
    <t xml:space="preserve">124+6,00</t>
  </si>
  <si>
    <t xml:space="preserve">128+10,90</t>
  </si>
  <si>
    <t xml:space="preserve">127+2,78</t>
  </si>
  <si>
    <t xml:space="preserve">131+9,40</t>
  </si>
  <si>
    <t xml:space="preserve">127+16,00</t>
  </si>
  <si>
    <t xml:space="preserve">136+12,86</t>
  </si>
  <si>
    <t xml:space="preserve">128+11,00</t>
  </si>
  <si>
    <t xml:space="preserve">135+15,00</t>
  </si>
  <si>
    <t xml:space="preserve">128+16,00</t>
  </si>
  <si>
    <t xml:space="preserve">137+7,65</t>
  </si>
  <si>
    <t xml:space="preserve">130+1,00</t>
  </si>
  <si>
    <t xml:space="preserve">136+18,31</t>
  </si>
  <si>
    <t xml:space="preserve">138+12,55</t>
  </si>
  <si>
    <t xml:space="preserve">138+9,09</t>
  </si>
  <si>
    <t xml:space="preserve">138+7,00</t>
  </si>
  <si>
    <t xml:space="preserve">141+1,00</t>
  </si>
  <si>
    <t xml:space="preserve">138+14,24</t>
  </si>
  <si>
    <t xml:space="preserve">139+17,15</t>
  </si>
  <si>
    <t xml:space="preserve">144+10,02</t>
  </si>
  <si>
    <t xml:space="preserve">140+1,00</t>
  </si>
  <si>
    <t xml:space="preserve">154+1,86</t>
  </si>
  <si>
    <t xml:space="preserve">141+0,78</t>
  </si>
  <si>
    <t xml:space="preserve">158+8,36</t>
  </si>
  <si>
    <t xml:space="preserve">155+5,87</t>
  </si>
  <si>
    <t xml:space="preserve">153+16,54</t>
  </si>
  <si>
    <t xml:space="preserve">149+13,00</t>
  </si>
  <si>
    <t xml:space="preserve">158+8,42</t>
  </si>
  <si>
    <t xml:space="preserve">153+11,19</t>
  </si>
  <si>
    <t xml:space="preserve">153+13,38</t>
  </si>
  <si>
    <t xml:space="preserve">153+19,80</t>
  </si>
  <si>
    <t xml:space="preserve">154+16,86</t>
  </si>
  <si>
    <t xml:space="preserve">154+2,33</t>
  </si>
  <si>
    <t xml:space="preserve">155+6,70</t>
  </si>
  <si>
    <t xml:space="preserve">155+9,33</t>
  </si>
  <si>
    <t xml:space="preserve">156+16,00</t>
  </si>
  <si>
    <t xml:space="preserve">156+10,50</t>
  </si>
  <si>
    <t xml:space="preserve">159+2,43</t>
  </si>
  <si>
    <t xml:space="preserve">159+2,07</t>
  </si>
  <si>
    <t xml:space="preserve">161+4,10</t>
  </si>
  <si>
    <t xml:space="preserve">161+4,41</t>
  </si>
  <si>
    <t xml:space="preserve">160+9,07</t>
  </si>
  <si>
    <t xml:space="preserve">163+6,45</t>
  </si>
  <si>
    <t xml:space="preserve">161+9,40</t>
  </si>
  <si>
    <t xml:space="preserve">163+9,94</t>
  </si>
  <si>
    <t xml:space="preserve">161+10,11</t>
  </si>
  <si>
    <t xml:space="preserve">163+18,14</t>
  </si>
  <si>
    <t xml:space="preserve">162+15,71</t>
  </si>
  <si>
    <t xml:space="preserve">186+8,00</t>
  </si>
  <si>
    <t xml:space="preserve">167+19,10</t>
  </si>
  <si>
    <t xml:space="preserve">163+6,65</t>
  </si>
  <si>
    <t xml:space="preserve">165+11,20</t>
  </si>
  <si>
    <t xml:space="preserve">169+19,04</t>
  </si>
  <si>
    <t xml:space="preserve">170+6,52</t>
  </si>
  <si>
    <t xml:space="preserve">169+4,13</t>
  </si>
  <si>
    <t xml:space="preserve">186+8,17</t>
  </si>
  <si>
    <t xml:space="preserve">169+9,40</t>
  </si>
  <si>
    <t xml:space="preserve">170+16,48</t>
  </si>
  <si>
    <t xml:space="preserve">169+17,53</t>
  </si>
  <si>
    <t xml:space="preserve">170+8,66</t>
  </si>
  <si>
    <t xml:space="preserve">178+15,21</t>
  </si>
  <si>
    <t xml:space="preserve">171+3,46</t>
  </si>
  <si>
    <t xml:space="preserve">186+15,95</t>
  </si>
  <si>
    <t xml:space="preserve">179+1,21</t>
  </si>
  <si>
    <t xml:space="preserve">186+9,79</t>
  </si>
  <si>
    <t xml:space="preserve">200+5,24</t>
  </si>
  <si>
    <t xml:space="preserve">195+7,26</t>
  </si>
  <si>
    <t xml:space="preserve">196+15,68</t>
  </si>
  <si>
    <t xml:space="preserve">188+17,16</t>
  </si>
  <si>
    <t xml:space="preserve">195+6,73</t>
  </si>
  <si>
    <t xml:space="preserve">195+14,87</t>
  </si>
  <si>
    <t xml:space="preserve">195+15,39</t>
  </si>
  <si>
    <t xml:space="preserve">195+17,44</t>
  </si>
  <si>
    <t xml:space="preserve">199+10,72</t>
  </si>
  <si>
    <t xml:space="preserve">STC 11</t>
  </si>
  <si>
    <t xml:space="preserve">196+1,38</t>
  </si>
  <si>
    <t xml:space="preserve">199+13,33</t>
  </si>
  <si>
    <t xml:space="preserve">200+10,42</t>
  </si>
  <si>
    <t xml:space="preserve">200+8,04</t>
  </si>
  <si>
    <t xml:space="preserve">201+3,81</t>
  </si>
  <si>
    <t xml:space="preserve">204+13,16</t>
  </si>
  <si>
    <t xml:space="preserve">202+6,00</t>
  </si>
  <si>
    <t xml:space="preserve">206+11,00</t>
  </si>
  <si>
    <t xml:space="preserve">206+9,81</t>
  </si>
  <si>
    <t xml:space="preserve">234+14,80</t>
  </si>
  <si>
    <t xml:space="preserve">207+13,09</t>
  </si>
  <si>
    <t xml:space="preserve">207+8,37</t>
  </si>
  <si>
    <t xml:space="preserve">206+12,43</t>
  </si>
  <si>
    <t xml:space="preserve">226+9,20</t>
  </si>
  <si>
    <t xml:space="preserve">207+11,39</t>
  </si>
  <si>
    <t xml:space="preserve">234+9,34</t>
  </si>
  <si>
    <t xml:space="preserve">207+18,61</t>
  </si>
  <si>
    <t xml:space="preserve">232+4,85</t>
  </si>
  <si>
    <t xml:space="preserve">210+3,23</t>
  </si>
  <si>
    <t xml:space="preserve">210+18,18</t>
  </si>
  <si>
    <t xml:space="preserve">213+11,01</t>
  </si>
  <si>
    <t xml:space="preserve">226+6,95</t>
  </si>
  <si>
    <t xml:space="preserve">227+4,20</t>
  </si>
  <si>
    <t xml:space="preserve">230+9,20</t>
  </si>
  <si>
    <t xml:space="preserve">230+17,20</t>
  </si>
  <si>
    <t xml:space="preserve">232+9,20</t>
  </si>
  <si>
    <t xml:space="preserve">235+2,78</t>
  </si>
  <si>
    <t xml:space="preserve">232+16,20</t>
  </si>
  <si>
    <t xml:space="preserve">234+1,17</t>
  </si>
  <si>
    <t xml:space="preserve">235+8,49</t>
  </si>
  <si>
    <t xml:space="preserve">234+18,90</t>
  </si>
  <si>
    <t xml:space="preserve">235+5,90</t>
  </si>
  <si>
    <t xml:space="preserve">234+19,95</t>
  </si>
  <si>
    <t xml:space="preserve">235+5,95</t>
  </si>
  <si>
    <t xml:space="preserve">237+0,76</t>
  </si>
  <si>
    <t xml:space="preserve">239+8,19</t>
  </si>
  <si>
    <t xml:space="preserve">237+4,82</t>
  </si>
  <si>
    <t xml:space="preserve">238+14,82</t>
  </si>
  <si>
    <t xml:space="preserve">237+5,00</t>
  </si>
  <si>
    <t xml:space="preserve">238+19,00</t>
  </si>
  <si>
    <t xml:space="preserve">239+0,58</t>
  </si>
  <si>
    <t xml:space="preserve">241+5,00</t>
  </si>
  <si>
    <t xml:space="preserve">239+1,41</t>
  </si>
  <si>
    <t xml:space="preserve">245+4,74</t>
  </si>
  <si>
    <t xml:space="preserve">246+15,16</t>
  </si>
  <si>
    <t xml:space="preserve">245+9,91</t>
  </si>
  <si>
    <t xml:space="preserve">240+1,37</t>
  </si>
  <si>
    <t xml:space="preserve">240+4,86</t>
  </si>
  <si>
    <t xml:space="preserve">245+9,86</t>
  </si>
  <si>
    <t xml:space="preserve">254+15,13</t>
  </si>
  <si>
    <t xml:space="preserve">257+9,10</t>
  </si>
  <si>
    <t xml:space="preserve">255+3,20</t>
  </si>
  <si>
    <t xml:space="preserve">255+16,80</t>
  </si>
  <si>
    <t xml:space="preserve">255+11,36</t>
  </si>
  <si>
    <t xml:space="preserve">255+17,30</t>
  </si>
  <si>
    <t xml:space="preserve">259+14,86</t>
  </si>
  <si>
    <t xml:space="preserve">259+18,68</t>
  </si>
  <si>
    <t xml:space="preserve">260+2,54</t>
  </si>
  <si>
    <t xml:space="preserve">260+0,62</t>
  </si>
  <si>
    <t xml:space="preserve">262+14,93</t>
  </si>
  <si>
    <t xml:space="preserve">260+2,70</t>
  </si>
  <si>
    <t xml:space="preserve">263+9,23</t>
  </si>
  <si>
    <t xml:space="preserve">260+5,88</t>
  </si>
  <si>
    <t xml:space="preserve">262+15,08</t>
  </si>
  <si>
    <t xml:space="preserve">266+17,23</t>
  </si>
  <si>
    <t xml:space="preserve">STC 05</t>
  </si>
  <si>
    <t xml:space="preserve">263+9,42</t>
  </si>
  <si>
    <t xml:space="preserve">263+14,75</t>
  </si>
  <si>
    <t xml:space="preserve">266+7,75</t>
  </si>
  <si>
    <t xml:space="preserve">268+6,92</t>
  </si>
  <si>
    <t xml:space="preserve">270+11,92</t>
  </si>
  <si>
    <t xml:space="preserve">268+18,34</t>
  </si>
  <si>
    <t xml:space="preserve">273+10,20</t>
  </si>
  <si>
    <t xml:space="preserve">268+18,59</t>
  </si>
  <si>
    <t xml:space="preserve">273+15,61</t>
  </si>
  <si>
    <t xml:space="preserve">272+11,45</t>
  </si>
  <si>
    <t xml:space="preserve">279+0,27</t>
  </si>
  <si>
    <t xml:space="preserve">DPR 02</t>
  </si>
  <si>
    <t xml:space="preserve">Dreno DPR (DER/PR)</t>
  </si>
  <si>
    <t xml:space="preserve">272+18,63</t>
  </si>
  <si>
    <t xml:space="preserve">308+2,39</t>
  </si>
  <si>
    <t xml:space="preserve">279+1,10</t>
  </si>
  <si>
    <t xml:space="preserve">275+19,51</t>
  </si>
  <si>
    <t xml:space="preserve">279+1,51</t>
  </si>
  <si>
    <t xml:space="preserve">305+11,51</t>
  </si>
  <si>
    <t xml:space="preserve">304+10,95</t>
  </si>
  <si>
    <t xml:space="preserve">301+18,41</t>
  </si>
  <si>
    <t xml:space="preserve">284+15,23</t>
  </si>
  <si>
    <t xml:space="preserve">305+14,41</t>
  </si>
  <si>
    <t xml:space="preserve">307+6,41</t>
  </si>
  <si>
    <t xml:space="preserve">311+12,19</t>
  </si>
  <si>
    <t xml:space="preserve">DR-9-0003 Sarjetas e valetas</t>
  </si>
  <si>
    <t xml:space="preserve">311+18,50</t>
  </si>
  <si>
    <t xml:space="preserve">316+14,63</t>
  </si>
  <si>
    <t xml:space="preserve">321+1,08</t>
  </si>
  <si>
    <t xml:space="preserve">316+15,18</t>
  </si>
  <si>
    <t xml:space="preserve">321+5,95</t>
  </si>
  <si>
    <t xml:space="preserve">323+8,84</t>
  </si>
  <si>
    <t xml:space="preserve">334+5,02</t>
  </si>
  <si>
    <t xml:space="preserve">VPA 6A</t>
  </si>
  <si>
    <t xml:space="preserve">323+15,44</t>
  </si>
  <si>
    <t xml:space="preserve">326+4,89</t>
  </si>
  <si>
    <t xml:space="preserve">323+16,29</t>
  </si>
  <si>
    <t xml:space="preserve">325+1,80</t>
  </si>
  <si>
    <t xml:space="preserve">324+3,91</t>
  </si>
  <si>
    <t xml:space="preserve">327+4,34</t>
  </si>
  <si>
    <t xml:space="preserve">325+11,31</t>
  </si>
  <si>
    <t xml:space="preserve">334+2,10</t>
  </si>
  <si>
    <t xml:space="preserve">333+6,15</t>
  </si>
  <si>
    <t xml:space="preserve">345+5,05</t>
  </si>
  <si>
    <t xml:space="preserve">342+0,58</t>
  </si>
  <si>
    <t xml:space="preserve">339+15,24</t>
  </si>
  <si>
    <t xml:space="preserve">334+6,02</t>
  </si>
  <si>
    <t xml:space="preserve">339+8,12</t>
  </si>
  <si>
    <t xml:space="preserve">340+9,24</t>
  </si>
  <si>
    <t xml:space="preserve">339+16,54</t>
  </si>
  <si>
    <t xml:space="preserve">339+16,86</t>
  </si>
  <si>
    <t xml:space="preserve">340+3,96</t>
  </si>
  <si>
    <t xml:space="preserve">340+7,04</t>
  </si>
  <si>
    <t xml:space="preserve">340+7,78</t>
  </si>
  <si>
    <t xml:space="preserve">340+13,91</t>
  </si>
  <si>
    <t xml:space="preserve">345+17,10</t>
  </si>
  <si>
    <t xml:space="preserve">342+10,77</t>
  </si>
  <si>
    <t xml:space="preserve">346+1,60</t>
  </si>
  <si>
    <t xml:space="preserve">348+13,67</t>
  </si>
  <si>
    <t xml:space="preserve">345+5,04</t>
  </si>
  <si>
    <t xml:space="preserve">356+17,60</t>
  </si>
  <si>
    <t xml:space="preserve">349+2,30</t>
  </si>
  <si>
    <t xml:space="preserve">353+19,66</t>
  </si>
  <si>
    <t xml:space="preserve">350+15,56</t>
  </si>
  <si>
    <t xml:space="preserve">349+17,79</t>
  </si>
  <si>
    <t xml:space="preserve">351+0,28</t>
  </si>
  <si>
    <t xml:space="preserve">350+1,52</t>
  </si>
  <si>
    <t xml:space="preserve">354+9,56</t>
  </si>
  <si>
    <t xml:space="preserve">357+2,80</t>
  </si>
  <si>
    <t xml:space="preserve">359+8,27</t>
  </si>
  <si>
    <t xml:space="preserve">358+5,03</t>
  </si>
  <si>
    <t xml:space="preserve">365+10,84</t>
  </si>
  <si>
    <t xml:space="preserve">358+8,56</t>
  </si>
  <si>
    <t xml:space="preserve">365+10,79</t>
  </si>
  <si>
    <t xml:space="preserve">358+15,20</t>
  </si>
  <si>
    <t xml:space="preserve">359+11,97</t>
  </si>
  <si>
    <t xml:space="preserve">359+7,06</t>
  </si>
  <si>
    <t xml:space="preserve">364+19,44</t>
  </si>
  <si>
    <t xml:space="preserve">363+0,18</t>
  </si>
  <si>
    <t xml:space="preserve">363+16,29</t>
  </si>
  <si>
    <t xml:space="preserve">359+12,26</t>
  </si>
  <si>
    <t xml:space="preserve">365+10,77</t>
  </si>
  <si>
    <t xml:space="preserve">362+6,68</t>
  </si>
  <si>
    <t xml:space="preserve">363+1,75</t>
  </si>
  <si>
    <t xml:space="preserve">365+10,99</t>
  </si>
  <si>
    <t xml:space="preserve">365+5,33</t>
  </si>
  <si>
    <t xml:space="preserve">367+1,47</t>
  </si>
  <si>
    <t xml:space="preserve">371+19,46</t>
  </si>
  <si>
    <t xml:space="preserve">376+19,48</t>
  </si>
  <si>
    <t xml:space="preserve">373+13,50</t>
  </si>
  <si>
    <t xml:space="preserve">366+0,95</t>
  </si>
  <si>
    <t xml:space="preserve">372+0,75</t>
  </si>
  <si>
    <t xml:space="preserve">371+18,59</t>
  </si>
  <si>
    <t xml:space="preserve">377+0,57</t>
  </si>
  <si>
    <t xml:space="preserve">377+3,10</t>
  </si>
  <si>
    <t xml:space="preserve">377+0,10</t>
  </si>
  <si>
    <t xml:space="preserve">379+1,54</t>
  </si>
  <si>
    <t xml:space="preserve">379+1,00</t>
  </si>
  <si>
    <t xml:space="preserve">407+0,54</t>
  </si>
  <si>
    <t xml:space="preserve">383+8,71</t>
  </si>
  <si>
    <t xml:space="preserve">380+1,00</t>
  </si>
  <si>
    <t xml:space="preserve">396+17,61</t>
  </si>
  <si>
    <t xml:space="preserve">380+3,50</t>
  </si>
  <si>
    <t xml:space="preserve">409+6,52</t>
  </si>
  <si>
    <t xml:space="preserve">382+5,02</t>
  </si>
  <si>
    <t xml:space="preserve">407+17,27</t>
  </si>
  <si>
    <t xml:space="preserve">398+15,28</t>
  </si>
  <si>
    <t xml:space="preserve">385+9,74</t>
  </si>
  <si>
    <t xml:space="preserve">396+12,63</t>
  </si>
  <si>
    <t xml:space="preserve">396+11,61</t>
  </si>
  <si>
    <t xml:space="preserve">398+2,54</t>
  </si>
  <si>
    <t xml:space="preserve">396+19,07</t>
  </si>
  <si>
    <t xml:space="preserve">405+19,38</t>
  </si>
  <si>
    <t xml:space="preserve">407+7,55</t>
  </si>
  <si>
    <t xml:space="preserve">VPC 6A</t>
  </si>
  <si>
    <t xml:space="preserve">412+15,35</t>
  </si>
  <si>
    <t xml:space="preserve">410+9,46</t>
  </si>
  <si>
    <t xml:space="preserve">410+8,42</t>
  </si>
  <si>
    <t xml:space="preserve">411+1,52</t>
  </si>
  <si>
    <t xml:space="preserve">411+2,45</t>
  </si>
  <si>
    <t xml:space="preserve">412+16,41</t>
  </si>
  <si>
    <t xml:space="preserve">413+19,30</t>
  </si>
  <si>
    <t xml:space="preserve">415+10,09</t>
  </si>
  <si>
    <t xml:space="preserve">414+0,01</t>
  </si>
  <si>
    <t xml:space="preserve">416+19,92</t>
  </si>
  <si>
    <t xml:space="preserve">414+0,72</t>
  </si>
  <si>
    <t xml:space="preserve">418+5,40</t>
  </si>
  <si>
    <t xml:space="preserve">414+14,71</t>
  </si>
  <si>
    <t xml:space="preserve">424+3,75</t>
  </si>
  <si>
    <t xml:space="preserve">418+7,46</t>
  </si>
  <si>
    <t xml:space="preserve">420+1,63</t>
  </si>
  <si>
    <t xml:space="preserve">417+0,09</t>
  </si>
  <si>
    <t xml:space="preserve">424+2,60</t>
  </si>
  <si>
    <t xml:space="preserve">417+14,69</t>
  </si>
  <si>
    <t xml:space="preserve">418+9,89</t>
  </si>
  <si>
    <t xml:space="preserve">419+0,90</t>
  </si>
  <si>
    <t xml:space="preserve">419+1,81</t>
  </si>
  <si>
    <t xml:space="preserve">419+7,02</t>
  </si>
  <si>
    <t xml:space="preserve">421+10,55</t>
  </si>
  <si>
    <t xml:space="preserve">421+7,02</t>
  </si>
  <si>
    <t xml:space="preserve">425+4,04</t>
  </si>
  <si>
    <t xml:space="preserve">421+15,17</t>
  </si>
  <si>
    <t xml:space="preserve">424+15,77</t>
  </si>
  <si>
    <t xml:space="preserve">427+5,01</t>
  </si>
  <si>
    <t xml:space="preserve">429+19,36</t>
  </si>
  <si>
    <t xml:space="preserve">428+11,83</t>
  </si>
  <si>
    <t xml:space="preserve">437+14,83</t>
  </si>
  <si>
    <t xml:space="preserve">434+16,83</t>
  </si>
  <si>
    <t xml:space="preserve">433+0,95</t>
  </si>
  <si>
    <t xml:space="preserve">439+17,64</t>
  </si>
  <si>
    <t xml:space="preserve">444+5,26</t>
  </si>
  <si>
    <t xml:space="preserve">435+0,43</t>
  </si>
  <si>
    <t xml:space="preserve">439+15,17</t>
  </si>
  <si>
    <t xml:space="preserve">SZC 04</t>
  </si>
  <si>
    <t xml:space="preserve">440+16,40</t>
  </si>
  <si>
    <t xml:space="preserve">441+5,85</t>
  </si>
  <si>
    <t xml:space="preserve">442+1,58</t>
  </si>
  <si>
    <t xml:space="preserve">441+15,70</t>
  </si>
  <si>
    <t xml:space="preserve">447+6,92</t>
  </si>
  <si>
    <t xml:space="preserve">442+5,18</t>
  </si>
  <si>
    <t xml:space="preserve">454+9,84</t>
  </si>
  <si>
    <t xml:space="preserve">444+6,78</t>
  </si>
  <si>
    <t xml:space="preserve">447+4,54</t>
  </si>
  <si>
    <t xml:space="preserve">446+10,39</t>
  </si>
  <si>
    <t xml:space="preserve">455+5,10</t>
  </si>
  <si>
    <t xml:space="preserve">447+1,09</t>
  </si>
  <si>
    <t xml:space="preserve">457+12,63</t>
  </si>
  <si>
    <t xml:space="preserve">455+5,73</t>
  </si>
  <si>
    <t xml:space="preserve">453+5,77</t>
  </si>
  <si>
    <t xml:space="preserve">457+0,01</t>
  </si>
  <si>
    <t xml:space="preserve">454+13,80</t>
  </si>
  <si>
    <t xml:space="preserve">455+2,35</t>
  </si>
  <si>
    <t xml:space="preserve">455+1,02</t>
  </si>
  <si>
    <t xml:space="preserve">459+5,31</t>
  </si>
  <si>
    <t xml:space="preserve">455+4,33</t>
  </si>
  <si>
    <t xml:space="preserve">463+3,49</t>
  </si>
  <si>
    <t xml:space="preserve">464+17,84</t>
  </si>
  <si>
    <t xml:space="preserve">461+9,45</t>
  </si>
  <si>
    <t xml:space="preserve">461+12,70</t>
  </si>
  <si>
    <t xml:space="preserve">459+5,52</t>
  </si>
  <si>
    <t xml:space="preserve">459+16,89</t>
  </si>
  <si>
    <t xml:space="preserve">459+12,86</t>
  </si>
  <si>
    <t xml:space="preserve">462+0,67</t>
  </si>
  <si>
    <t xml:space="preserve">461+11,50</t>
  </si>
  <si>
    <t xml:space="preserve">462+6,85</t>
  </si>
  <si>
    <t xml:space="preserve">464+2,48</t>
  </si>
  <si>
    <t xml:space="preserve">467+13,98</t>
  </si>
  <si>
    <t xml:space="preserve">464+5,68</t>
  </si>
  <si>
    <t xml:space="preserve">465+9,37</t>
  </si>
  <si>
    <t xml:space="preserve">467+15,38</t>
  </si>
  <si>
    <t xml:space="preserve">467+16,73</t>
  </si>
  <si>
    <t xml:space="preserve">468+19,20</t>
  </si>
  <si>
    <t xml:space="preserve">469+0,80</t>
  </si>
  <si>
    <t xml:space="preserve">471+18,79</t>
  </si>
  <si>
    <t xml:space="preserve">470+18,64</t>
  </si>
  <si>
    <t xml:space="preserve">473+17,06</t>
  </si>
  <si>
    <t xml:space="preserve">475+9,73</t>
  </si>
  <si>
    <t xml:space="preserve">474+4,96</t>
  </si>
  <si>
    <t xml:space="preserve">474+13,09</t>
  </si>
  <si>
    <t xml:space="preserve">476+2,76</t>
  </si>
  <si>
    <t xml:space="preserve">476+17,68</t>
  </si>
  <si>
    <t xml:space="preserve">476+10,47</t>
  </si>
  <si>
    <t xml:space="preserve">480+19,43</t>
  </si>
  <si>
    <t xml:space="preserve">477+6,22</t>
  </si>
  <si>
    <t xml:space="preserve">480+13,80</t>
  </si>
  <si>
    <t xml:space="preserve">479+7,13</t>
  </si>
  <si>
    <t xml:space="preserve">484+17,21</t>
  </si>
  <si>
    <t xml:space="preserve">479+7,42</t>
  </si>
  <si>
    <t xml:space="preserve">486+6,67</t>
  </si>
  <si>
    <t xml:space="preserve">484+2,36</t>
  </si>
  <si>
    <t xml:space="preserve">486+4,80</t>
  </si>
  <si>
    <t xml:space="preserve">483+17,35</t>
  </si>
  <si>
    <t xml:space="preserve">484+9,67</t>
  </si>
  <si>
    <t xml:space="preserve">484+10,69</t>
  </si>
  <si>
    <t xml:space="preserve">487+11,50</t>
  </si>
  <si>
    <t xml:space="preserve">484+16,42</t>
  </si>
  <si>
    <t xml:space="preserve">487+9,30</t>
  </si>
  <si>
    <t xml:space="preserve">487+12,20</t>
  </si>
  <si>
    <t xml:space="preserve">486+18,22</t>
  </si>
  <si>
    <t xml:space="preserve">491+16,05</t>
  </si>
  <si>
    <t xml:space="preserve">487+13,07</t>
  </si>
  <si>
    <t xml:space="preserve">492+7,75</t>
  </si>
  <si>
    <t xml:space="preserve">495+1,06</t>
  </si>
  <si>
    <t xml:space="preserve">493+9,47</t>
  </si>
  <si>
    <t xml:space="preserve">493+11,08</t>
  </si>
  <si>
    <t xml:space="preserve">494+15,82</t>
  </si>
  <si>
    <t xml:space="preserve">496+9,91</t>
  </si>
  <si>
    <t xml:space="preserve">495+11,65</t>
  </si>
  <si>
    <t xml:space="preserve">498+0,65</t>
  </si>
  <si>
    <t xml:space="preserve">498+15,88</t>
  </si>
  <si>
    <t xml:space="preserve">509+15,08</t>
  </si>
  <si>
    <t xml:space="preserve">499+8,98</t>
  </si>
  <si>
    <t xml:space="preserve">509+3,45</t>
  </si>
  <si>
    <t xml:space="preserve">499+9,50</t>
  </si>
  <si>
    <t xml:space="preserve">500+4,78</t>
  </si>
  <si>
    <t xml:space="preserve">499+17,35</t>
  </si>
  <si>
    <t xml:space="preserve">512+17,61</t>
  </si>
  <si>
    <t xml:space="preserve">500+4,74</t>
  </si>
  <si>
    <t xml:space="preserve">518+0,89</t>
  </si>
  <si>
    <t xml:space="preserve">504+6,24</t>
  </si>
  <si>
    <t xml:space="preserve">507+8,27</t>
  </si>
  <si>
    <t xml:space="preserve">508+17,63</t>
  </si>
  <si>
    <t xml:space="preserve">509+18,19</t>
  </si>
  <si>
    <t xml:space="preserve">509+7,51</t>
  </si>
  <si>
    <t xml:space="preserve">510+2,89</t>
  </si>
  <si>
    <t xml:space="preserve">510+4,21</t>
  </si>
  <si>
    <t xml:space="preserve">511+13,55</t>
  </si>
  <si>
    <t xml:space="preserve">518+1,37</t>
  </si>
  <si>
    <t xml:space="preserve">510+6,85</t>
  </si>
  <si>
    <t xml:space="preserve">518+1,36</t>
  </si>
  <si>
    <t xml:space="preserve">511+18,19</t>
  </si>
  <si>
    <t xml:space="preserve">521+1,01</t>
  </si>
  <si>
    <t xml:space="preserve">523+8,37</t>
  </si>
  <si>
    <t xml:space="preserve">518+8,14</t>
  </si>
  <si>
    <t xml:space="preserve">525+17,04</t>
  </si>
  <si>
    <t xml:space="preserve">518+8,43</t>
  </si>
  <si>
    <t xml:space="preserve">527+7,01</t>
  </si>
  <si>
    <t xml:space="preserve">519+1,00</t>
  </si>
  <si>
    <t xml:space="preserve">527+7,79</t>
  </si>
  <si>
    <t xml:space="preserve">523+7,71</t>
  </si>
  <si>
    <t xml:space="preserve">524+5,37</t>
  </si>
  <si>
    <t xml:space="preserve">523+11,02</t>
  </si>
  <si>
    <t xml:space="preserve">527+7,52</t>
  </si>
  <si>
    <t xml:space="preserve">524+17,37</t>
  </si>
  <si>
    <t xml:space="preserve">526+3,79</t>
  </si>
  <si>
    <t xml:space="preserve">531+6,23</t>
  </si>
  <si>
    <t xml:space="preserve">531+1,73</t>
  </si>
  <si>
    <t xml:space="preserve">527+8,61</t>
  </si>
  <si>
    <t xml:space="preserve">531+0,98</t>
  </si>
  <si>
    <t xml:space="preserve">529+10,14</t>
  </si>
  <si>
    <t xml:space="preserve">529+12,82</t>
  </si>
  <si>
    <t xml:space="preserve">531+1,82</t>
  </si>
  <si>
    <t xml:space="preserve">558+8,88</t>
  </si>
  <si>
    <t xml:space="preserve">536+16,63</t>
  </si>
  <si>
    <t xml:space="preserve">554+1,63</t>
  </si>
  <si>
    <t xml:space="preserve">536+12,04</t>
  </si>
  <si>
    <t xml:space="preserve">536+4,81</t>
  </si>
  <si>
    <t xml:space="preserve">558+14,26</t>
  </si>
  <si>
    <t xml:space="preserve">537+9,63</t>
  </si>
  <si>
    <t xml:space="preserve">537+2,97</t>
  </si>
  <si>
    <t xml:space="preserve">544+4,74</t>
  </si>
  <si>
    <t xml:space="preserve">556+8,74</t>
  </si>
  <si>
    <t xml:space="preserve">544+12,49</t>
  </si>
  <si>
    <t xml:space="preserve">554+1,48</t>
  </si>
  <si>
    <t xml:space="preserve">555+1,68</t>
  </si>
  <si>
    <t xml:space="preserve">557+6,63</t>
  </si>
  <si>
    <t xml:space="preserve">557+10,71</t>
  </si>
  <si>
    <t xml:space="preserve">560+11,67</t>
  </si>
  <si>
    <t xml:space="preserve">560+8,29</t>
  </si>
  <si>
    <t xml:space="preserve">560+17,58</t>
  </si>
  <si>
    <t xml:space="preserve">561+14,88</t>
  </si>
  <si>
    <t xml:space="preserve">561+15,10</t>
  </si>
  <si>
    <t xml:space="preserve">564+1,36</t>
  </si>
  <si>
    <t xml:space="preserve">564+4,36</t>
  </si>
  <si>
    <t xml:space="preserve">568+5,36</t>
  </si>
  <si>
    <t xml:space="preserve">568+18,53</t>
  </si>
  <si>
    <t xml:space="preserve">571+15,71</t>
  </si>
  <si>
    <t xml:space="preserve">569+16,95</t>
  </si>
  <si>
    <t xml:space="preserve">571+18,34</t>
  </si>
  <si>
    <t xml:space="preserve">572+7,70</t>
  </si>
  <si>
    <t xml:space="preserve">573+3,70</t>
  </si>
  <si>
    <t xml:space="preserve">576+4,88</t>
  </si>
  <si>
    <t xml:space="preserve">579+12,16</t>
  </si>
  <si>
    <t xml:space="preserve">576+4,94</t>
  </si>
  <si>
    <t xml:space="preserve">579+12,17</t>
  </si>
  <si>
    <t xml:space="preserve">580+4,16</t>
  </si>
  <si>
    <t xml:space="preserve">581+13,94</t>
  </si>
  <si>
    <t xml:space="preserve">582+7,91</t>
  </si>
  <si>
    <t xml:space="preserve">584+12,86</t>
  </si>
  <si>
    <t xml:space="preserve">584+10,59</t>
  </si>
  <si>
    <t xml:space="preserve">590+13,28</t>
  </si>
  <si>
    <t xml:space="preserve">584+19,00</t>
  </si>
  <si>
    <t xml:space="preserve">590+13,27</t>
  </si>
  <si>
    <t xml:space="preserve">590+16,18</t>
  </si>
  <si>
    <t xml:space="preserve">591+0,77</t>
  </si>
  <si>
    <t xml:space="preserve">591+9,22</t>
  </si>
  <si>
    <t xml:space="preserve">593+1,01</t>
  </si>
  <si>
    <t xml:space="preserve">597+14,10</t>
  </si>
  <si>
    <t xml:space="preserve">593+5,99</t>
  </si>
  <si>
    <t xml:space="preserve">597+13,93</t>
  </si>
  <si>
    <t xml:space="preserve">597+4,91</t>
  </si>
  <si>
    <t xml:space="preserve">601+11,05</t>
  </si>
  <si>
    <t xml:space="preserve">597+5,05</t>
  </si>
  <si>
    <t xml:space="preserve">601+7,42</t>
  </si>
  <si>
    <t xml:space="preserve">597+14,73</t>
  </si>
  <si>
    <t xml:space="preserve">597+14,74</t>
  </si>
  <si>
    <t xml:space="preserve">Rede pluvial BSTC Ø 0,40</t>
  </si>
  <si>
    <t xml:space="preserve">Rede de água pluvial – tubo de concreto</t>
  </si>
  <si>
    <t xml:space="preserve">Transversal</t>
  </si>
  <si>
    <t xml:space="preserve">DR-9-0004 Rede pluvial (trecho transversal)</t>
  </si>
  <si>
    <t xml:space="preserve">597+15,43</t>
  </si>
  <si>
    <t xml:space="preserve">601+7,57</t>
  </si>
  <si>
    <t xml:space="preserve">DR-9-0004 Rede pluvial</t>
  </si>
  <si>
    <t xml:space="preserve">598+17,30</t>
  </si>
  <si>
    <t xml:space="preserve">599+8,90</t>
  </si>
  <si>
    <t xml:space="preserve">MFC 07</t>
  </si>
  <si>
    <t xml:space="preserve">599+11,00</t>
  </si>
  <si>
    <t xml:space="preserve">601+11,49</t>
  </si>
  <si>
    <t xml:space="preserve">601+8,23</t>
  </si>
  <si>
    <t xml:space="preserve">601+12,03</t>
  </si>
  <si>
    <t xml:space="preserve">Rede pluvial BSTC Ø 0,80</t>
  </si>
  <si>
    <t xml:space="preserve">601+8,66</t>
  </si>
  <si>
    <t xml:space="preserve">604+12,63</t>
  </si>
  <si>
    <t xml:space="preserve">602+0,45</t>
  </si>
  <si>
    <t xml:space="preserve">604+13,18</t>
  </si>
  <si>
    <t xml:space="preserve">DR-9-0001 Meio-fio LD</t>
  </si>
  <si>
    <t xml:space="preserve">DR-9-0001 Meio-fio LE</t>
  </si>
  <si>
    <t xml:space="preserve">602+7,14</t>
  </si>
  <si>
    <t xml:space="preserve">607+18,21</t>
  </si>
  <si>
    <t xml:space="preserve">607+19,46</t>
  </si>
  <si>
    <t xml:space="preserve">604+13,19</t>
  </si>
  <si>
    <t xml:space="preserve">604+13,73</t>
  </si>
  <si>
    <t xml:space="preserve">608+0,63</t>
  </si>
  <si>
    <t xml:space="preserve">604+13,90</t>
  </si>
  <si>
    <t xml:space="preserve">604+19,90</t>
  </si>
  <si>
    <t xml:space="preserve">608+18,35</t>
  </si>
  <si>
    <t xml:space="preserve">608+1,10</t>
  </si>
  <si>
    <t xml:space="preserve">608+1,18</t>
  </si>
  <si>
    <t xml:space="preserve">608+1,19</t>
  </si>
  <si>
    <t xml:space="preserve">608+7,50</t>
  </si>
  <si>
    <t xml:space="preserve">608+13,70</t>
  </si>
  <si>
    <t xml:space="preserve">611+9,18</t>
  </si>
  <si>
    <t xml:space="preserve">608+18,36</t>
  </si>
  <si>
    <t xml:space="preserve">Rede pluvial BSTC Ø 0,60</t>
  </si>
  <si>
    <t xml:space="preserve">608+18,90</t>
  </si>
  <si>
    <t xml:space="preserve">610+10,71</t>
  </si>
  <si>
    <t xml:space="preserve">610+12,31</t>
  </si>
  <si>
    <t xml:space="preserve">611+8,72</t>
  </si>
  <si>
    <t xml:space="preserve">613+9,07</t>
  </si>
  <si>
    <t xml:space="preserve">611+9,19</t>
  </si>
  <si>
    <t xml:space="preserve">611+9,20</t>
  </si>
  <si>
    <t xml:space="preserve">611+9,82</t>
  </si>
  <si>
    <t xml:space="preserve">613+8,54</t>
  </si>
  <si>
    <t xml:space="preserve">612+5,00</t>
  </si>
  <si>
    <t xml:space="preserve">613+3,00</t>
  </si>
  <si>
    <t xml:space="preserve">615+10,93</t>
  </si>
  <si>
    <t xml:space="preserve">614+2,50</t>
  </si>
  <si>
    <t xml:space="preserve">615+10,38</t>
  </si>
  <si>
    <t xml:space="preserve">614+6,66</t>
  </si>
  <si>
    <t xml:space="preserve">618+1,73</t>
  </si>
  <si>
    <t xml:space="preserve">614+15,60</t>
  </si>
  <si>
    <t xml:space="preserve">615+0,60</t>
  </si>
  <si>
    <t xml:space="preserve">615+3,50</t>
  </si>
  <si>
    <t xml:space="preserve">618+1,70</t>
  </si>
  <si>
    <t xml:space="preserve">618+2,93</t>
  </si>
  <si>
    <t xml:space="preserve">615+10,94</t>
  </si>
  <si>
    <t xml:space="preserve">615+11,48</t>
  </si>
  <si>
    <t xml:space="preserve">616+16,38</t>
  </si>
  <si>
    <t xml:space="preserve">615+15,90</t>
  </si>
  <si>
    <t xml:space="preserve">615+18,90</t>
  </si>
  <si>
    <t xml:space="preserve">616+17,48</t>
  </si>
  <si>
    <t xml:space="preserve">618+2,36</t>
  </si>
  <si>
    <t xml:space="preserve">617+4,10</t>
  </si>
  <si>
    <t xml:space="preserve">617+19,60</t>
  </si>
  <si>
    <t xml:space="preserve">619+10,88</t>
  </si>
  <si>
    <t xml:space="preserve">618+2,94</t>
  </si>
  <si>
    <t xml:space="preserve">618+2,95</t>
  </si>
  <si>
    <t xml:space="preserve">618+3,46</t>
  </si>
  <si>
    <t xml:space="preserve">619+10,33</t>
  </si>
  <si>
    <t xml:space="preserve">618+4,15</t>
  </si>
  <si>
    <t xml:space="preserve">620+16,37</t>
  </si>
  <si>
    <t xml:space="preserve">618+4,16</t>
  </si>
  <si>
    <t xml:space="preserve">620+16,59</t>
  </si>
  <si>
    <t xml:space="preserve">618+5,90</t>
  </si>
  <si>
    <t xml:space="preserve">620+13,05</t>
  </si>
  <si>
    <t xml:space="preserve">618+19,80</t>
  </si>
  <si>
    <t xml:space="preserve">619+4,00</t>
  </si>
  <si>
    <t xml:space="preserve">619+10,70</t>
  </si>
  <si>
    <t xml:space="preserve">619+14,20</t>
  </si>
  <si>
    <t xml:space="preserve">623+5,43</t>
  </si>
  <si>
    <t xml:space="preserve">619+10,89</t>
  </si>
  <si>
    <t xml:space="preserve">619+11,43</t>
  </si>
  <si>
    <t xml:space="preserve">620+18,29</t>
  </si>
  <si>
    <t xml:space="preserve">620+12,20</t>
  </si>
  <si>
    <t xml:space="preserve">621+2,70</t>
  </si>
  <si>
    <t xml:space="preserve">621+3,02</t>
  </si>
  <si>
    <t xml:space="preserve">620+19,38</t>
  </si>
  <si>
    <t xml:space="preserve">623+4,85</t>
  </si>
  <si>
    <t xml:space="preserve">622+5,02</t>
  </si>
  <si>
    <t xml:space="preserve">621+4,80</t>
  </si>
  <si>
    <t xml:space="preserve">621+10,30</t>
  </si>
  <si>
    <t xml:space="preserve">624+13,48</t>
  </si>
  <si>
    <t xml:space="preserve">623+5,44</t>
  </si>
  <si>
    <t xml:space="preserve">623+5,56</t>
  </si>
  <si>
    <t xml:space="preserve">623+6,86</t>
  </si>
  <si>
    <t xml:space="preserve">624+2,25</t>
  </si>
  <si>
    <t xml:space="preserve">624+13,09</t>
  </si>
  <si>
    <t xml:space="preserve">Rede pluvial BSTC Ø 1,20</t>
  </si>
  <si>
    <t xml:space="preserve">626+10,48</t>
  </si>
  <si>
    <t xml:space="preserve">624+14,03</t>
  </si>
  <si>
    <t xml:space="preserve">626+9,93</t>
  </si>
  <si>
    <t xml:space="preserve">625+5,79</t>
  </si>
  <si>
    <t xml:space="preserve">627+8,79</t>
  </si>
  <si>
    <t xml:space="preserve">628+7,48</t>
  </si>
  <si>
    <t xml:space="preserve">626+10,49</t>
  </si>
  <si>
    <t xml:space="preserve">626+11,03</t>
  </si>
  <si>
    <t xml:space="preserve">628+6,93</t>
  </si>
  <si>
    <t xml:space="preserve">627+13,78</t>
  </si>
  <si>
    <t xml:space="preserve">630+13,78</t>
  </si>
  <si>
    <t xml:space="preserve">630+4,48</t>
  </si>
  <si>
    <t xml:space="preserve">628+8,03</t>
  </si>
  <si>
    <t xml:space="preserve">630+3,93</t>
  </si>
  <si>
    <t xml:space="preserve">628+15,20</t>
  </si>
  <si>
    <t xml:space="preserve">628+18,80</t>
  </si>
  <si>
    <t xml:space="preserve">629+11,50</t>
  </si>
  <si>
    <t xml:space="preserve">629+14,90</t>
  </si>
  <si>
    <t xml:space="preserve">632+1,48</t>
  </si>
  <si>
    <t xml:space="preserve">630+4,49</t>
  </si>
  <si>
    <t xml:space="preserve">630+5,03</t>
  </si>
  <si>
    <t xml:space="preserve">632+0,95</t>
  </si>
  <si>
    <t xml:space="preserve">Rede pluvial BSTC Ø 1,00</t>
  </si>
  <si>
    <t xml:space="preserve">630+9,20</t>
  </si>
  <si>
    <t xml:space="preserve">630+14,10</t>
  </si>
  <si>
    <t xml:space="preserve">631+13,30</t>
  </si>
  <si>
    <t xml:space="preserve">631+19,10</t>
  </si>
  <si>
    <t xml:space="preserve">634+15,93</t>
  </si>
  <si>
    <t xml:space="preserve">632+2,05</t>
  </si>
  <si>
    <t xml:space="preserve">633+5,44</t>
  </si>
  <si>
    <t xml:space="preserve">632+8,80</t>
  </si>
  <si>
    <t xml:space="preserve">632+12,70</t>
  </si>
  <si>
    <t xml:space="preserve">633+6,29</t>
  </si>
  <si>
    <t xml:space="preserve">633+6,95</t>
  </si>
  <si>
    <t xml:space="preserve">633+7,03</t>
  </si>
  <si>
    <t xml:space="preserve">634+11,72</t>
  </si>
  <si>
    <t xml:space="preserve">634+12,27</t>
  </si>
  <si>
    <t xml:space="preserve">634+18,16</t>
  </si>
  <si>
    <t xml:space="preserve">634+12,82</t>
  </si>
  <si>
    <t xml:space="preserve">635+4,59</t>
  </si>
  <si>
    <t xml:space="preserve">635+5,66</t>
  </si>
  <si>
    <t xml:space="preserve">635+17,91</t>
  </si>
  <si>
    <t xml:space="preserve">635+5,69</t>
  </si>
  <si>
    <t xml:space="preserve">635+17,37</t>
  </si>
  <si>
    <t xml:space="preserve">635+17,86</t>
  </si>
  <si>
    <t xml:space="preserve">635+17,87</t>
  </si>
  <si>
    <t xml:space="preserve">639+14,04</t>
  </si>
  <si>
    <t xml:space="preserve">635+18,46</t>
  </si>
  <si>
    <t xml:space="preserve">639+13,49</t>
  </si>
  <si>
    <t xml:space="preserve">635+18,89</t>
  </si>
  <si>
    <t xml:space="preserve">638+1,70</t>
  </si>
  <si>
    <t xml:space="preserve">642+14,68</t>
  </si>
  <si>
    <t xml:space="preserve">642+15,82</t>
  </si>
  <si>
    <t xml:space="preserve">639+14,05</t>
  </si>
  <si>
    <t xml:space="preserve">639+14,59</t>
  </si>
  <si>
    <t xml:space="preserve">642+15,27</t>
  </si>
  <si>
    <t xml:space="preserve">641+10,40</t>
  </si>
  <si>
    <t xml:space="preserve">641+15,40</t>
  </si>
  <si>
    <t xml:space="preserve">642+15,81</t>
  </si>
  <si>
    <t xml:space="preserve">Estaca (dec.)</t>
  </si>
  <si>
    <t xml:space="preserve">Quantidade (un)</t>
  </si>
  <si>
    <t xml:space="preserve">Pedra argamassada (m³)</t>
  </si>
  <si>
    <t xml:space="preserve">Enleivamento (m²)</t>
  </si>
  <si>
    <t xml:space="preserve">Dreno PEAD Ø100 (m)</t>
  </si>
  <si>
    <t xml:space="preserve">DSS 02 (espinha de peixe)</t>
  </si>
  <si>
    <t xml:space="preserve">DR-9-0004 Drenos espinha de peixe</t>
  </si>
  <si>
    <t xml:space="preserve">1+8,67</t>
  </si>
  <si>
    <t xml:space="preserve">2+8,56</t>
  </si>
  <si>
    <t xml:space="preserve">2+18,78</t>
  </si>
  <si>
    <t xml:space="preserve">3+12,09</t>
  </si>
  <si>
    <t xml:space="preserve">BSD 02</t>
  </si>
  <si>
    <t xml:space="preserve">Boca de saída de dreno</t>
  </si>
  <si>
    <t xml:space="preserve">DR-9-0004 Bocas de saída de drenos</t>
  </si>
  <si>
    <t xml:space="preserve">3+16,65</t>
  </si>
  <si>
    <t xml:space="preserve">BSTC Ø 1,50</t>
  </si>
  <si>
    <t xml:space="preserve">Bueiro simples tubular de concreto</t>
  </si>
  <si>
    <t xml:space="preserve">DR-9-0001 Bueiros</t>
  </si>
  <si>
    <t xml:space="preserve">Vala de bueiro</t>
  </si>
  <si>
    <t xml:space="preserve">DR-9-0004 Valas</t>
  </si>
  <si>
    <t xml:space="preserve">Bacia de captação de bueiro</t>
  </si>
  <si>
    <t xml:space="preserve">DR-9-0004 Bacias de captação</t>
  </si>
  <si>
    <t xml:space="preserve">4+0,16</t>
  </si>
  <si>
    <t xml:space="preserve">BSTC Ø 0,60 (planta) – REMOVER</t>
  </si>
  <si>
    <t xml:space="preserve">Planta DR-1-0002 (EST no rótulo)</t>
  </si>
  <si>
    <t xml:space="preserve">4+18,78</t>
  </si>
  <si>
    <t xml:space="preserve">5+18,78</t>
  </si>
  <si>
    <t xml:space="preserve">6+18,78</t>
  </si>
  <si>
    <t xml:space="preserve">15+18,04</t>
  </si>
  <si>
    <t xml:space="preserve">BSTC Ø 1,00</t>
  </si>
  <si>
    <t xml:space="preserve">15+19,15</t>
  </si>
  <si>
    <t xml:space="preserve">15+19,27</t>
  </si>
  <si>
    <t xml:space="preserve">BSTC Ø 0,40 (planta) – REMOVER</t>
  </si>
  <si>
    <t xml:space="preserve">19+3,96</t>
  </si>
  <si>
    <t xml:space="preserve">20+3,96</t>
  </si>
  <si>
    <t xml:space="preserve">21+3,88</t>
  </si>
  <si>
    <t xml:space="preserve">DES 03</t>
  </si>
  <si>
    <t xml:space="preserve">Dissipador de energia</t>
  </si>
  <si>
    <t xml:space="preserve">DR-9-0001 Dissipadores</t>
  </si>
  <si>
    <t xml:space="preserve">30+8,74</t>
  </si>
  <si>
    <t xml:space="preserve">DCD 02</t>
  </si>
  <si>
    <t xml:space="preserve">Descida d'água</t>
  </si>
  <si>
    <t xml:space="preserve">DR-9-0001 Descidas d'água</t>
  </si>
  <si>
    <t xml:space="preserve">36+5,00</t>
  </si>
  <si>
    <t xml:space="preserve">37+5,00</t>
  </si>
  <si>
    <t xml:space="preserve">37+12,84</t>
  </si>
  <si>
    <t xml:space="preserve">38+0,64</t>
  </si>
  <si>
    <t xml:space="preserve">38+3,16</t>
  </si>
  <si>
    <t xml:space="preserve">EDA 02</t>
  </si>
  <si>
    <t xml:space="preserve">Entrada d'água</t>
  </si>
  <si>
    <t xml:space="preserve">DR-9-0001 Entradas d'água</t>
  </si>
  <si>
    <t xml:space="preserve">DAD 02</t>
  </si>
  <si>
    <t xml:space="preserve">38+12,11</t>
  </si>
  <si>
    <t xml:space="preserve">39+5,00</t>
  </si>
  <si>
    <t xml:space="preserve">41+3,40</t>
  </si>
  <si>
    <t xml:space="preserve">BSTC Ø 0,80</t>
  </si>
  <si>
    <t xml:space="preserve">41+13,74</t>
  </si>
  <si>
    <t xml:space="preserve">50+13,33</t>
  </si>
  <si>
    <t xml:space="preserve">53+4,42</t>
  </si>
  <si>
    <t xml:space="preserve">62+15,00</t>
  </si>
  <si>
    <t xml:space="preserve">63+14,90</t>
  </si>
  <si>
    <t xml:space="preserve">63+19,05</t>
  </si>
  <si>
    <t xml:space="preserve">64+2,29</t>
  </si>
  <si>
    <t xml:space="preserve">DEB 01</t>
  </si>
  <si>
    <t xml:space="preserve">EDA 01</t>
  </si>
  <si>
    <t xml:space="preserve">65+3,77</t>
  </si>
  <si>
    <t xml:space="preserve">BSTC Ø 1,20</t>
  </si>
  <si>
    <t xml:space="preserve">65+10,79</t>
  </si>
  <si>
    <t xml:space="preserve">66+14,75</t>
  </si>
  <si>
    <t xml:space="preserve">67+14,75</t>
  </si>
  <si>
    <t xml:space="preserve">68+14,75</t>
  </si>
  <si>
    <t xml:space="preserve">102+16,76</t>
  </si>
  <si>
    <t xml:space="preserve">103+16,76</t>
  </si>
  <si>
    <t xml:space="preserve">104+16,76</t>
  </si>
  <si>
    <t xml:space="preserve">105+9,40</t>
  </si>
  <si>
    <t xml:space="preserve">105+9,45</t>
  </si>
  <si>
    <t xml:space="preserve">112+15,00</t>
  </si>
  <si>
    <t xml:space="preserve">112+17,44</t>
  </si>
  <si>
    <t xml:space="preserve">113+15,00</t>
  </si>
  <si>
    <t xml:space="preserve">114+2,59</t>
  </si>
  <si>
    <t xml:space="preserve">114+2,72</t>
  </si>
  <si>
    <t xml:space="preserve">114+14,53</t>
  </si>
  <si>
    <t xml:space="preserve">115+5,00</t>
  </si>
  <si>
    <t xml:space="preserve">117+12,07</t>
  </si>
  <si>
    <t xml:space="preserve">Planta DR-1-0005 (EST próxima ao rótulo)</t>
  </si>
  <si>
    <t xml:space="preserve">DAR 01</t>
  </si>
  <si>
    <t xml:space="preserve">Descida d'água rápida (ponto de ônibus)</t>
  </si>
  <si>
    <t xml:space="preserve">DR-9-0001 Descidas rápidas</t>
  </si>
  <si>
    <t xml:space="preserve">127+0,58</t>
  </si>
  <si>
    <t xml:space="preserve">127+1,25</t>
  </si>
  <si>
    <t xml:space="preserve">Planta DR-1-0005 (EST no rótulo)</t>
  </si>
  <si>
    <t xml:space="preserve">134+14,85</t>
  </si>
  <si>
    <t xml:space="preserve">135+14,83</t>
  </si>
  <si>
    <t xml:space="preserve">136+14,80</t>
  </si>
  <si>
    <t xml:space="preserve">136+18,05</t>
  </si>
  <si>
    <t xml:space="preserve">137+7,42</t>
  </si>
  <si>
    <t xml:space="preserve">138+12,01</t>
  </si>
  <si>
    <t xml:space="preserve">154+4,91</t>
  </si>
  <si>
    <t xml:space="preserve">155+4,91</t>
  </si>
  <si>
    <t xml:space="preserve">156+5,00</t>
  </si>
  <si>
    <t xml:space="preserve">DES 06</t>
  </si>
  <si>
    <t xml:space="preserve">157+5,00</t>
  </si>
  <si>
    <t xml:space="preserve">158+4,99</t>
  </si>
  <si>
    <t xml:space="preserve">158+8,23</t>
  </si>
  <si>
    <t xml:space="preserve">158+8,30</t>
  </si>
  <si>
    <t xml:space="preserve">159+17,86</t>
  </si>
  <si>
    <t xml:space="preserve">BDTC Ø 0,80 (planta) – REMOVER</t>
  </si>
  <si>
    <t xml:space="preserve">Bueiro duplo tubular de concreto</t>
  </si>
  <si>
    <t xml:space="preserve">Planta DR-1-0006 (EST no rótulo)</t>
  </si>
  <si>
    <t xml:space="preserve">160+7,44</t>
  </si>
  <si>
    <t xml:space="preserve">BTCC 3,00 x 3,00</t>
  </si>
  <si>
    <t xml:space="preserve">Bueiro triplo celular de concreto</t>
  </si>
  <si>
    <t xml:space="preserve">161+17,93</t>
  </si>
  <si>
    <t xml:space="preserve">162+15,73</t>
  </si>
  <si>
    <t xml:space="preserve">162+18,27</t>
  </si>
  <si>
    <t xml:space="preserve">169+4,12</t>
  </si>
  <si>
    <t xml:space="preserve">169+8,73</t>
  </si>
  <si>
    <t xml:space="preserve">170+12,69</t>
  </si>
  <si>
    <t xml:space="preserve">171+13,98</t>
  </si>
  <si>
    <t xml:space="preserve">172+9,45</t>
  </si>
  <si>
    <t xml:space="preserve">Planta DR-1-0006 (posição do rótulo (aprox.))</t>
  </si>
  <si>
    <t xml:space="preserve">172+12,79</t>
  </si>
  <si>
    <t xml:space="preserve">194+14,99</t>
  </si>
  <si>
    <t xml:space="preserve">195+15,21</t>
  </si>
  <si>
    <t xml:space="preserve">196+14,81</t>
  </si>
  <si>
    <t xml:space="preserve">200+4,94</t>
  </si>
  <si>
    <t xml:space="preserve">200+11,24</t>
  </si>
  <si>
    <t xml:space="preserve">Planta DR-1-0007 (EST próxima ao rótulo)</t>
  </si>
  <si>
    <t xml:space="preserve">204+13,81</t>
  </si>
  <si>
    <t xml:space="preserve">DES 02</t>
  </si>
  <si>
    <t xml:space="preserve">214+11,04</t>
  </si>
  <si>
    <t xml:space="preserve">215+14,55</t>
  </si>
  <si>
    <t xml:space="preserve">216+14,56</t>
  </si>
  <si>
    <t xml:space="preserve">231+4,80</t>
  </si>
  <si>
    <t xml:space="preserve">232+4,81</t>
  </si>
  <si>
    <t xml:space="preserve">233+4,83</t>
  </si>
  <si>
    <t xml:space="preserve">234+4,84</t>
  </si>
  <si>
    <t xml:space="preserve">234+9,07</t>
  </si>
  <si>
    <t xml:space="preserve">234+14,55</t>
  </si>
  <si>
    <t xml:space="preserve">DES 05</t>
  </si>
  <si>
    <t xml:space="preserve">239+1,42</t>
  </si>
  <si>
    <t xml:space="preserve">239+5,03</t>
  </si>
  <si>
    <t xml:space="preserve">240+4,96</t>
  </si>
  <si>
    <t xml:space="preserve">241+4,97</t>
  </si>
  <si>
    <t xml:space="preserve">255+1,82</t>
  </si>
  <si>
    <t xml:space="preserve">259+19,83</t>
  </si>
  <si>
    <t xml:space="preserve">260+5,87</t>
  </si>
  <si>
    <t xml:space="preserve">260+14,93</t>
  </si>
  <si>
    <t xml:space="preserve">261+15,09</t>
  </si>
  <si>
    <t xml:space="preserve">262+12,87</t>
  </si>
  <si>
    <t xml:space="preserve">Planta DR-1-0009 (posição do rótulo (aprox.))</t>
  </si>
  <si>
    <t xml:space="preserve">268+16,28</t>
  </si>
  <si>
    <t xml:space="preserve">272+11,44</t>
  </si>
  <si>
    <t xml:space="preserve">Planta DR-1-0009 (EST próxima ao rótulo)</t>
  </si>
  <si>
    <t xml:space="preserve">302+14,83</t>
  </si>
  <si>
    <t xml:space="preserve">303+14,85</t>
  </si>
  <si>
    <t xml:space="preserve">304+14,78</t>
  </si>
  <si>
    <t xml:space="preserve">305+11,28</t>
  </si>
  <si>
    <t xml:space="preserve">308+2,12</t>
  </si>
  <si>
    <t xml:space="preserve">311+15,13</t>
  </si>
  <si>
    <t xml:space="preserve">312+4,00</t>
  </si>
  <si>
    <t xml:space="preserve">317+14,87</t>
  </si>
  <si>
    <t xml:space="preserve">318+14,56</t>
  </si>
  <si>
    <t xml:space="preserve">319+14,70</t>
  </si>
  <si>
    <t xml:space="preserve">321+0,85</t>
  </si>
  <si>
    <t xml:space="preserve">321+5,70</t>
  </si>
  <si>
    <t xml:space="preserve">323+3,95</t>
  </si>
  <si>
    <t xml:space="preserve">BSCC 3,00 x 3,00</t>
  </si>
  <si>
    <t xml:space="preserve">Bueiro simples celular de concreto</t>
  </si>
  <si>
    <t xml:space="preserve">323+10,42</t>
  </si>
  <si>
    <t xml:space="preserve">Planta DR-1-0010 (EST no rótulo)</t>
  </si>
  <si>
    <t xml:space="preserve">323+17,37</t>
  </si>
  <si>
    <t xml:space="preserve">BSTC Ø 1,00 (planta) – REMOVER</t>
  </si>
  <si>
    <t xml:space="preserve">323+19,36</t>
  </si>
  <si>
    <t xml:space="preserve">325+1,79</t>
  </si>
  <si>
    <t xml:space="preserve">334+14,67</t>
  </si>
  <si>
    <t xml:space="preserve">335+14,58</t>
  </si>
  <si>
    <t xml:space="preserve">336+14,85</t>
  </si>
  <si>
    <t xml:space="preserve">DCD 04</t>
  </si>
  <si>
    <t xml:space="preserve">357+1,99</t>
  </si>
  <si>
    <t xml:space="preserve">358+5,02</t>
  </si>
  <si>
    <t xml:space="preserve">358+8,55</t>
  </si>
  <si>
    <t xml:space="preserve">373+13,18</t>
  </si>
  <si>
    <t xml:space="preserve">376+19,27</t>
  </si>
  <si>
    <t xml:space="preserve">376+19,54</t>
  </si>
  <si>
    <t xml:space="preserve">404+4,87</t>
  </si>
  <si>
    <t xml:space="preserve">405+4,87</t>
  </si>
  <si>
    <t xml:space="preserve">406+4,87</t>
  </si>
  <si>
    <t xml:space="preserve">407+17,05</t>
  </si>
  <si>
    <t xml:space="preserve">409+6,31</t>
  </si>
  <si>
    <t xml:space="preserve">412+17,51</t>
  </si>
  <si>
    <t xml:space="preserve">421+5,96</t>
  </si>
  <si>
    <t xml:space="preserve">422+5,94</t>
  </si>
  <si>
    <t xml:space="preserve">423+4,98</t>
  </si>
  <si>
    <t xml:space="preserve">424+2,31</t>
  </si>
  <si>
    <t xml:space="preserve">424+3,43</t>
  </si>
  <si>
    <t xml:space="preserve">424+15,76</t>
  </si>
  <si>
    <t xml:space="preserve">425+4,73</t>
  </si>
  <si>
    <t xml:space="preserve">426+5,06</t>
  </si>
  <si>
    <t xml:space="preserve">430+11,01</t>
  </si>
  <si>
    <t xml:space="preserve">PONTILHÃO 5,00x3,10 (planta) – REMOVER</t>
  </si>
  <si>
    <t xml:space="preserve">Pontilhão</t>
  </si>
  <si>
    <t xml:space="preserve">Planta DR-1-0013 (EST no rótulo)</t>
  </si>
  <si>
    <t xml:space="preserve">430+11,65</t>
  </si>
  <si>
    <t xml:space="preserve">BTCC 3,00 x 4,00</t>
  </si>
  <si>
    <t xml:space="preserve">BSCC 2,50 x 2,50</t>
  </si>
  <si>
    <t xml:space="preserve">433+19,07</t>
  </si>
  <si>
    <t xml:space="preserve">BDTC Ø 1,00 (planta) – REMOVER</t>
  </si>
  <si>
    <t xml:space="preserve">436+11,82</t>
  </si>
  <si>
    <t xml:space="preserve">Planta DR-1-0014 (EST próxima ao rótulo)</t>
  </si>
  <si>
    <t xml:space="preserve">441+11,29</t>
  </si>
  <si>
    <t xml:space="preserve">DEB 02</t>
  </si>
  <si>
    <t xml:space="preserve">453+3,43</t>
  </si>
  <si>
    <t xml:space="preserve">453+5,76</t>
  </si>
  <si>
    <t xml:space="preserve">454+4,29</t>
  </si>
  <si>
    <t xml:space="preserve">455+5,11</t>
  </si>
  <si>
    <t xml:space="preserve">466+17,71</t>
  </si>
  <si>
    <t xml:space="preserve">Planta DR-1-0014 (EST no rótulo)</t>
  </si>
  <si>
    <t xml:space="preserve">474+12,32</t>
  </si>
  <si>
    <t xml:space="preserve">BSTC Ø 0,60</t>
  </si>
  <si>
    <t xml:space="preserve">479+7,41</t>
  </si>
  <si>
    <t xml:space="preserve">487+11,26</t>
  </si>
  <si>
    <t xml:space="preserve">Planta DR-1-0015 (EST no rótulo)</t>
  </si>
  <si>
    <t xml:space="preserve">487+11,41</t>
  </si>
  <si>
    <t xml:space="preserve">490+19,52</t>
  </si>
  <si>
    <t xml:space="preserve">493+9,57</t>
  </si>
  <si>
    <t xml:space="preserve">Planta DR-1-0015 (EST próxima ao rótulo)</t>
  </si>
  <si>
    <t xml:space="preserve">509+16,82</t>
  </si>
  <si>
    <t xml:space="preserve">510+16,50</t>
  </si>
  <si>
    <t xml:space="preserve">511+16,37</t>
  </si>
  <si>
    <t xml:space="preserve">512+17,33</t>
  </si>
  <si>
    <t xml:space="preserve">DR 13A</t>
  </si>
  <si>
    <t xml:space="preserve">518+1,51</t>
  </si>
  <si>
    <t xml:space="preserve">524+14,73</t>
  </si>
  <si>
    <t xml:space="preserve">525+14,16</t>
  </si>
  <si>
    <t xml:space="preserve">525+16,90</t>
  </si>
  <si>
    <t xml:space="preserve">526+0,22</t>
  </si>
  <si>
    <t xml:space="preserve">526+0,40</t>
  </si>
  <si>
    <t xml:space="preserve">Planta DR-1-0016 (EST no rótulo)</t>
  </si>
  <si>
    <t xml:space="preserve">526+0,85</t>
  </si>
  <si>
    <t xml:space="preserve">542+4,85</t>
  </si>
  <si>
    <t xml:space="preserve">543+4,77</t>
  </si>
  <si>
    <t xml:space="preserve">544+4,72</t>
  </si>
  <si>
    <t xml:space="preserve">554+15,00</t>
  </si>
  <si>
    <t xml:space="preserve">555+14,74</t>
  </si>
  <si>
    <t xml:space="preserve">556+14,56</t>
  </si>
  <si>
    <t xml:space="preserve">558+8,61</t>
  </si>
  <si>
    <t xml:space="preserve">558+14,03</t>
  </si>
  <si>
    <t xml:space="preserve">560+7,57</t>
  </si>
  <si>
    <t xml:space="preserve">562+14,75</t>
  </si>
  <si>
    <t xml:space="preserve">563+15,02</t>
  </si>
  <si>
    <t xml:space="preserve">564+1,15</t>
  </si>
  <si>
    <t xml:space="preserve">568+10,76</t>
  </si>
  <si>
    <t xml:space="preserve">Planta DR-1-0017 (EST no rótulo)</t>
  </si>
  <si>
    <t xml:space="preserve">568+14,28</t>
  </si>
  <si>
    <t xml:space="preserve">577+4,82</t>
  </si>
  <si>
    <t xml:space="preserve">578+4,95</t>
  </si>
  <si>
    <t xml:space="preserve">579+4,87</t>
  </si>
  <si>
    <t xml:space="preserve">579+11,98</t>
  </si>
  <si>
    <t xml:space="preserve">579+12,00</t>
  </si>
  <si>
    <t xml:space="preserve">579+16,89</t>
  </si>
  <si>
    <t xml:space="preserve">580+1,15</t>
  </si>
  <si>
    <t xml:space="preserve">591+15,43</t>
  </si>
  <si>
    <t xml:space="preserve">Planta DR-1-0018 (EST no rótulo)</t>
  </si>
  <si>
    <t xml:space="preserve">591+18,81</t>
  </si>
  <si>
    <t xml:space="preserve">BSCC 2,00 x 2,00</t>
  </si>
  <si>
    <t xml:space="preserve">CCS</t>
  </si>
  <si>
    <t xml:space="preserve">Caixa coletora de sarjeta</t>
  </si>
  <si>
    <t xml:space="preserve">DR-9-0004 Rede pluvial (vértices)</t>
  </si>
  <si>
    <t xml:space="preserve">598+4,74</t>
  </si>
  <si>
    <t xml:space="preserve">599+4,90</t>
  </si>
  <si>
    <t xml:space="preserve">BLS</t>
  </si>
  <si>
    <t xml:space="preserve">Boca de lobo simples</t>
  </si>
  <si>
    <t xml:space="preserve">608+2,61</t>
  </si>
  <si>
    <t xml:space="preserve">BDTC Ø 1,50</t>
  </si>
  <si>
    <t xml:space="preserve">608+3,68</t>
  </si>
  <si>
    <t xml:space="preserve">CLP</t>
  </si>
  <si>
    <t xml:space="preserve">Caixa de ligação e passagem</t>
  </si>
  <si>
    <t xml:space="preserve">611+9,26</t>
  </si>
  <si>
    <t xml:space="preserve">616+3,50</t>
  </si>
  <si>
    <t xml:space="preserve">617+3,50</t>
  </si>
  <si>
    <t xml:space="preserve">BLD</t>
  </si>
  <si>
    <t xml:space="preserve">Boca de lobo dupla</t>
  </si>
  <si>
    <t xml:space="preserve">618+2,91</t>
  </si>
  <si>
    <t xml:space="preserve">618+14,97</t>
  </si>
  <si>
    <t xml:space="preserve">619+14,96</t>
  </si>
  <si>
    <t xml:space="preserve">620+15,14</t>
  </si>
  <si>
    <t xml:space="preserve">623+5,94</t>
  </si>
  <si>
    <t xml:space="preserve">Planta DR-1-0019 (EST no rótulo)</t>
  </si>
  <si>
    <t xml:space="preserve">623+11,00</t>
  </si>
  <si>
    <t xml:space="preserve">BTTC Ø 1,50</t>
  </si>
  <si>
    <t xml:space="preserve">Bueiro triplo tubular de concreto</t>
  </si>
  <si>
    <t xml:space="preserve">PV 2</t>
  </si>
  <si>
    <t xml:space="preserve">Poço de visita</t>
  </si>
  <si>
    <t xml:space="preserve">Código DER</t>
  </si>
  <si>
    <t xml:space="preserve">Unidade</t>
  </si>
  <si>
    <t xml:space="preserve">Quantidade (quadro SI-1-0016)</t>
  </si>
  <si>
    <t xml:space="preserve">Como entra no painel</t>
  </si>
  <si>
    <t xml:space="preserve">Taxa por metro de rodovia (rateio)</t>
  </si>
  <si>
    <t xml:space="preserve">Faixa de sinalização horizontal – termoplástico por aspersão e=1,5mm</t>
  </si>
  <si>
    <t xml:space="preserve">Rateio uniforme por extensão (o projeto não dá estacas)</t>
  </si>
  <si>
    <t xml:space="preserve">Pintura de setas e zebrados – termoplástico por extrusão e=3mm</t>
  </si>
  <si>
    <t xml:space="preserve">Placa de sinalização c/ película refletiva</t>
  </si>
  <si>
    <t xml:space="preserve">Por estaca: placas localizadas na planta (aba Sinalização – placas)</t>
  </si>
  <si>
    <t xml:space="preserve">Suporte metálico galv. perfil "C" 110x70x25x2,00mm, h=3,00m</t>
  </si>
  <si>
    <t xml:space="preserve">Não localizado por estaca – só total do quadro</t>
  </si>
  <si>
    <t xml:space="preserve">Suporte metálico galv. perfil "C" 110x70x25x2,00mm, h=3,50m</t>
  </si>
  <si>
    <t xml:space="preserve">Suporte metálico galv. perfil "C" 150x85x25x2,70mm, h=4,00m</t>
  </si>
  <si>
    <t xml:space="preserve">Suporte metálico galv. perfil "C" 150x85x25x3,40mm, h=4,50m</t>
  </si>
  <si>
    <t xml:space="preserve">Pórtico simples 11,00 a 15,00m p/ placa até 24m² (exclusive placa)</t>
  </si>
  <si>
    <t xml:space="preserve">Semi-pórtico simples 8,30m p/ placa até 12m² (exclusive placa)</t>
  </si>
  <si>
    <t xml:space="preserve">NC</t>
  </si>
  <si>
    <t xml:space="preserve">Remoção de semi-pórtico</t>
  </si>
  <si>
    <t xml:space="preserve">Remoção de pórtico</t>
  </si>
  <si>
    <t xml:space="preserve">813000</t>
  </si>
  <si>
    <t xml:space="preserve">Barreira New Jersey simples de concreto (extrusora)</t>
  </si>
  <si>
    <t xml:space="preserve">Por estaca: defensa medida no desenho (aba Sinalização – defensas)</t>
  </si>
  <si>
    <t xml:space="preserve">Terminal abatido</t>
  </si>
  <si>
    <t xml:space="preserve">Atenuador de impacto</t>
  </si>
  <si>
    <t xml:space="preserve">Terminal absorvedor</t>
  </si>
  <si>
    <t xml:space="preserve">Por estaca: terminais localizados na planta</t>
  </si>
  <si>
    <t xml:space="preserve">Elemento retrofletivo para defensas e barreiras</t>
  </si>
  <si>
    <t xml:space="preserve">Proporcional à defensa do trecho</t>
  </si>
  <si>
    <t xml:space="preserve">Extensão do trecho usada no rateio: 12.855,817 m (Est, 0+0.00 a 642+15.817), Quantidades do quadro editáveis (amarelo),</t>
  </si>
  <si>
    <t xml:space="preserve">Placa</t>
  </si>
  <si>
    <t xml:space="preserve">Dimensões</t>
  </si>
  <si>
    <t xml:space="preserve">Área (m²)</t>
  </si>
  <si>
    <t xml:space="preserve">Prancha</t>
  </si>
  <si>
    <t xml:space="preserve">Origem da estaca</t>
  </si>
  <si>
    <t xml:space="preserve">R-2/R-33</t>
  </si>
  <si>
    <t xml:space="preserve">tri L=0,80 + D=0,80</t>
  </si>
  <si>
    <t xml:space="preserve">SI-1-0002</t>
  </si>
  <si>
    <t xml:space="preserve">Rotatória PR-364 (prancha SI-1-0002, sem estaqueamento)</t>
  </si>
  <si>
    <t xml:space="preserve">R-1</t>
  </si>
  <si>
    <t xml:space="preserve">oct L=0,40</t>
  </si>
  <si>
    <t xml:space="preserve">MP-3</t>
  </si>
  <si>
    <t xml:space="preserve">0,30x0,90</t>
  </si>
  <si>
    <t xml:space="preserve">I-32</t>
  </si>
  <si>
    <t xml:space="preserve">2,00x1,00</t>
  </si>
  <si>
    <t xml:space="preserve">I-30</t>
  </si>
  <si>
    <t xml:space="preserve">2,50x1,00</t>
  </si>
  <si>
    <t xml:space="preserve">I-31</t>
  </si>
  <si>
    <t xml:space="preserve">MP-1/R-24b</t>
  </si>
  <si>
    <t xml:space="preserve">0,30x0,90 + D=0,80</t>
  </si>
  <si>
    <t xml:space="preserve">I-33</t>
  </si>
  <si>
    <t xml:space="preserve">MQ</t>
  </si>
  <si>
    <t xml:space="preserve">0,70x1,00</t>
  </si>
  <si>
    <t xml:space="preserve">SI-1-0003</t>
  </si>
  <si>
    <t xml:space="preserve">Est. no rótulo</t>
  </si>
  <si>
    <t xml:space="preserve">I-01</t>
  </si>
  <si>
    <t xml:space="preserve">posição do rótulo (aprox.) – antes da Est. 0 (rotatória PR-364), lançada na Est. 0</t>
  </si>
  <si>
    <t xml:space="preserve">2+0,66</t>
  </si>
  <si>
    <t xml:space="preserve">posição do rótulo (aprox.)</t>
  </si>
  <si>
    <t xml:space="preserve">2+10,00</t>
  </si>
  <si>
    <t xml:space="preserve">A-8</t>
  </si>
  <si>
    <t xml:space="preserve">0,60x0,60</t>
  </si>
  <si>
    <t xml:space="preserve">3+3,00</t>
  </si>
  <si>
    <t xml:space="preserve">MP-2</t>
  </si>
  <si>
    <t xml:space="preserve">R-7</t>
  </si>
  <si>
    <t xml:space="preserve">D=0,80</t>
  </si>
  <si>
    <t xml:space="preserve">MP-1</t>
  </si>
  <si>
    <t xml:space="preserve">8+10,00</t>
  </si>
  <si>
    <t xml:space="preserve">R-19.4</t>
  </si>
  <si>
    <t xml:space="preserve">R-19.6</t>
  </si>
  <si>
    <t xml:space="preserve">R-19.5</t>
  </si>
  <si>
    <t xml:space="preserve">15+10,00</t>
  </si>
  <si>
    <t xml:space="preserve">AD-01</t>
  </si>
  <si>
    <t xml:space="preserve">I-03</t>
  </si>
  <si>
    <t xml:space="preserve">2,50x0,50</t>
  </si>
  <si>
    <t xml:space="preserve">23+10,00</t>
  </si>
  <si>
    <t xml:space="preserve">I-02</t>
  </si>
  <si>
    <t xml:space="preserve">3,00x2,00</t>
  </si>
  <si>
    <t xml:space="preserve">29+10,00</t>
  </si>
  <si>
    <t xml:space="preserve">32+10,00</t>
  </si>
  <si>
    <t xml:space="preserve">51+18,00</t>
  </si>
  <si>
    <t xml:space="preserve">I-04</t>
  </si>
  <si>
    <t xml:space="preserve">56+10,00</t>
  </si>
  <si>
    <t xml:space="preserve">SI-1-0004</t>
  </si>
  <si>
    <t xml:space="preserve">112+10,00</t>
  </si>
  <si>
    <t xml:space="preserve">O-01</t>
  </si>
  <si>
    <t xml:space="preserve">120+10,00</t>
  </si>
  <si>
    <t xml:space="preserve">137+15,00</t>
  </si>
  <si>
    <t xml:space="preserve">SI-1-0005</t>
  </si>
  <si>
    <t xml:space="preserve">155+10,00</t>
  </si>
  <si>
    <t xml:space="preserve">A-2b</t>
  </si>
  <si>
    <t xml:space="preserve">169+10,00</t>
  </si>
  <si>
    <t xml:space="preserve">A-2a</t>
  </si>
  <si>
    <t xml:space="preserve">175+10,00</t>
  </si>
  <si>
    <t xml:space="preserve">180+10,00</t>
  </si>
  <si>
    <t xml:space="preserve">197+10,00</t>
  </si>
  <si>
    <t xml:space="preserve">201+10,00</t>
  </si>
  <si>
    <t xml:space="preserve">212+10,00</t>
  </si>
  <si>
    <t xml:space="preserve">SI-1-0006</t>
  </si>
  <si>
    <t xml:space="preserve">A-22</t>
  </si>
  <si>
    <t xml:space="preserve">234+10,00</t>
  </si>
  <si>
    <t xml:space="preserve">I-05</t>
  </si>
  <si>
    <t xml:space="preserve">237+10,00</t>
  </si>
  <si>
    <t xml:space="preserve">I-06</t>
  </si>
  <si>
    <t xml:space="preserve">244+10,00</t>
  </si>
  <si>
    <t xml:space="preserve">248+10,00</t>
  </si>
  <si>
    <t xml:space="preserve">250+10,00</t>
  </si>
  <si>
    <t xml:space="preserve">253+10,00</t>
  </si>
  <si>
    <t xml:space="preserve">254+10,00</t>
  </si>
  <si>
    <t xml:space="preserve">259+9,00</t>
  </si>
  <si>
    <t xml:space="preserve">264+10,00</t>
  </si>
  <si>
    <t xml:space="preserve">I-07</t>
  </si>
  <si>
    <t xml:space="preserve">285+10,00</t>
  </si>
  <si>
    <t xml:space="preserve">I-08</t>
  </si>
  <si>
    <t xml:space="preserve">294+10,00</t>
  </si>
  <si>
    <t xml:space="preserve">AD-02</t>
  </si>
  <si>
    <t xml:space="preserve">SI-1-0007</t>
  </si>
  <si>
    <t xml:space="preserve">I-09</t>
  </si>
  <si>
    <t xml:space="preserve">3,50x0,50</t>
  </si>
  <si>
    <t xml:space="preserve">304+10,00</t>
  </si>
  <si>
    <t xml:space="preserve">310+10,00</t>
  </si>
  <si>
    <t xml:space="preserve">A-7a</t>
  </si>
  <si>
    <t xml:space="preserve">I-010</t>
  </si>
  <si>
    <t xml:space="preserve">324+10,00</t>
  </si>
  <si>
    <t xml:space="preserve">I-011</t>
  </si>
  <si>
    <t xml:space="preserve">325+9,00</t>
  </si>
  <si>
    <t xml:space="preserve">D=0,40</t>
  </si>
  <si>
    <t xml:space="preserve">R-2</t>
  </si>
  <si>
    <t xml:space="preserve">D=0,50</t>
  </si>
  <si>
    <t xml:space="preserve">Est. 2005+10,40 de ramo da interseção 01 – lançada na Est. 326 (Barra dos Andrades)</t>
  </si>
  <si>
    <t xml:space="preserve">Est. 2000+0,00 de ramo da interseção 01 – lançada na Est. 326 (Barra dos Andrades)</t>
  </si>
  <si>
    <t xml:space="preserve">Est. 1005+0,00 de ramo da interseção 01 – lançada na Est. 326 (Barra dos Andrades)</t>
  </si>
  <si>
    <t xml:space="preserve">(sem código)</t>
  </si>
  <si>
    <t xml:space="preserve">R-24a</t>
  </si>
  <si>
    <t xml:space="preserve">327+10,00</t>
  </si>
  <si>
    <t xml:space="preserve">I-012</t>
  </si>
  <si>
    <t xml:space="preserve">I-013</t>
  </si>
  <si>
    <t xml:space="preserve">335+10,00</t>
  </si>
  <si>
    <t xml:space="preserve">335+15,00</t>
  </si>
  <si>
    <t xml:space="preserve">A-7b</t>
  </si>
  <si>
    <t xml:space="preserve">339+10,00</t>
  </si>
  <si>
    <t xml:space="preserve">344+10,00</t>
  </si>
  <si>
    <t xml:space="preserve">I-014</t>
  </si>
  <si>
    <t xml:space="preserve">347+10,00</t>
  </si>
  <si>
    <t xml:space="preserve">350+10,00</t>
  </si>
  <si>
    <t xml:space="preserve">SI-1-0008</t>
  </si>
  <si>
    <t xml:space="preserve">374+10,00</t>
  </si>
  <si>
    <t xml:space="preserve">393+15,00</t>
  </si>
  <si>
    <t xml:space="preserve">398+10,00</t>
  </si>
  <si>
    <t xml:space="preserve">403+5,00</t>
  </si>
  <si>
    <t xml:space="preserve">420+5,00</t>
  </si>
  <si>
    <t xml:space="preserve">427+10,00</t>
  </si>
  <si>
    <t xml:space="preserve">SI-1-0009</t>
  </si>
  <si>
    <t xml:space="preserve">429+5,00</t>
  </si>
  <si>
    <t xml:space="preserve">I-015</t>
  </si>
  <si>
    <t xml:space="preserve">431+12,00</t>
  </si>
  <si>
    <t xml:space="preserve">I-016</t>
  </si>
  <si>
    <t xml:space="preserve">433+10,00</t>
  </si>
  <si>
    <t xml:space="preserve">437+10,00</t>
  </si>
  <si>
    <t xml:space="preserve">A-3b</t>
  </si>
  <si>
    <t xml:space="preserve">450+10,00</t>
  </si>
  <si>
    <t xml:space="preserve">462+10,00</t>
  </si>
  <si>
    <t xml:space="preserve">466+10,00</t>
  </si>
  <si>
    <t xml:space="preserve">470+10,00</t>
  </si>
  <si>
    <t xml:space="preserve">474+15,00</t>
  </si>
  <si>
    <t xml:space="preserve">478+5,00</t>
  </si>
  <si>
    <t xml:space="preserve">485+10,00</t>
  </si>
  <si>
    <t xml:space="preserve">A-3a</t>
  </si>
  <si>
    <t xml:space="preserve">0,60x0,60 + 0,60x0,60</t>
  </si>
  <si>
    <t xml:space="preserve">A-11b</t>
  </si>
  <si>
    <t xml:space="preserve">495+10,00</t>
  </si>
  <si>
    <t xml:space="preserve">496+10,00</t>
  </si>
  <si>
    <t xml:space="preserve">SI-1-0010</t>
  </si>
  <si>
    <t xml:space="preserve">513+15,00</t>
  </si>
  <si>
    <t xml:space="preserve">521+10,00</t>
  </si>
  <si>
    <t xml:space="preserve">523+10,00</t>
  </si>
  <si>
    <t xml:space="preserve">542+5,00</t>
  </si>
  <si>
    <t xml:space="preserve">560+15,00</t>
  </si>
  <si>
    <t xml:space="preserve">561+7,00</t>
  </si>
  <si>
    <t xml:space="preserve">561+10,00</t>
  </si>
  <si>
    <t xml:space="preserve">I-017</t>
  </si>
  <si>
    <t xml:space="preserve">564+10,00</t>
  </si>
  <si>
    <t xml:space="preserve">I-018</t>
  </si>
  <si>
    <t xml:space="preserve">583+10,00</t>
  </si>
  <si>
    <t xml:space="preserve">SI-1-0011</t>
  </si>
  <si>
    <t xml:space="preserve">591+2,00</t>
  </si>
  <si>
    <t xml:space="preserve">I-020</t>
  </si>
  <si>
    <t xml:space="preserve">I-019</t>
  </si>
  <si>
    <t xml:space="preserve">595+10,00</t>
  </si>
  <si>
    <t xml:space="preserve">597+10,00</t>
  </si>
  <si>
    <t xml:space="preserve">599+10,00</t>
  </si>
  <si>
    <t xml:space="preserve">601+18,00</t>
  </si>
  <si>
    <t xml:space="preserve">602+4,00</t>
  </si>
  <si>
    <t xml:space="preserve">I-023</t>
  </si>
  <si>
    <t xml:space="preserve">2,50x1,50 + 2,50x1,50</t>
  </si>
  <si>
    <t xml:space="preserve">I-021</t>
  </si>
  <si>
    <t xml:space="preserve">2,50x1,50 + 3,00x1,50</t>
  </si>
  <si>
    <t xml:space="preserve">604+6,00</t>
  </si>
  <si>
    <t xml:space="preserve">604+8,00</t>
  </si>
  <si>
    <t xml:space="preserve">604+13,14</t>
  </si>
  <si>
    <t xml:space="preserve">I-024</t>
  </si>
  <si>
    <t xml:space="preserve">(dimensão não indicada)</t>
  </si>
  <si>
    <t xml:space="preserve">604+14,55</t>
  </si>
  <si>
    <t xml:space="preserve">I-022</t>
  </si>
  <si>
    <t xml:space="preserve">623+2,00</t>
  </si>
  <si>
    <t xml:space="preserve">633+10,00</t>
  </si>
  <si>
    <t xml:space="preserve">I-026</t>
  </si>
  <si>
    <t xml:space="preserve">0,50x1,00</t>
  </si>
  <si>
    <t xml:space="preserve">634+15,00</t>
  </si>
  <si>
    <t xml:space="preserve">I-027</t>
  </si>
  <si>
    <t xml:space="preserve">636+10,00</t>
  </si>
  <si>
    <t xml:space="preserve">I-028</t>
  </si>
  <si>
    <t xml:space="preserve">I-029</t>
  </si>
  <si>
    <t xml:space="preserve">639+8,00</t>
  </si>
  <si>
    <t xml:space="preserve">D=0,25</t>
  </si>
  <si>
    <t xml:space="preserve">Defensa LE (m)</t>
  </si>
  <si>
    <t xml:space="preserve">Defensa LD (m)</t>
  </si>
  <si>
    <t xml:space="preserve">Terminal absorvedor – estaca</t>
  </si>
  <si>
    <t xml:space="preserve">Est. (dec.)</t>
  </si>
  <si>
    <t xml:space="preserve">3+8,38</t>
  </si>
  <si>
    <t xml:space="preserve">5+0,40</t>
  </si>
  <si>
    <t xml:space="preserve">15+7,90</t>
  </si>
  <si>
    <t xml:space="preserve">16+5,32</t>
  </si>
  <si>
    <t xml:space="preserve">16+19,90</t>
  </si>
  <si>
    <t xml:space="preserve">18+1,32</t>
  </si>
  <si>
    <t xml:space="preserve">30+17,58</t>
  </si>
  <si>
    <t xml:space="preserve">31+13,56</t>
  </si>
  <si>
    <t xml:space="preserve">37+10,06</t>
  </si>
  <si>
    <t xml:space="preserve">37+16,34</t>
  </si>
  <si>
    <t xml:space="preserve">39+8,32</t>
  </si>
  <si>
    <t xml:space="preserve">39+18,02</t>
  </si>
  <si>
    <t xml:space="preserve">52+1,76</t>
  </si>
  <si>
    <t xml:space="preserve">55+0,60</t>
  </si>
  <si>
    <t xml:space="preserve">59+0,66</t>
  </si>
  <si>
    <t xml:space="preserve">65+0,60</t>
  </si>
  <si>
    <t xml:space="preserve">66+1,76</t>
  </si>
  <si>
    <t xml:space="preserve">67+4,58</t>
  </si>
  <si>
    <t xml:space="preserve">81+8,42</t>
  </si>
  <si>
    <t xml:space="preserve">82+16,58</t>
  </si>
  <si>
    <t xml:space="preserve">106+5,28</t>
  </si>
  <si>
    <t xml:space="preserve">106+16,80</t>
  </si>
  <si>
    <t xml:space="preserve">113+4,80</t>
  </si>
  <si>
    <t xml:space="preserve">116+1,26</t>
  </si>
  <si>
    <t xml:space="preserve">124+9,80</t>
  </si>
  <si>
    <t xml:space="preserve">126+7,20</t>
  </si>
  <si>
    <t xml:space="preserve">128+3,20</t>
  </si>
  <si>
    <t xml:space="preserve">129+5,76</t>
  </si>
  <si>
    <t xml:space="preserve">137+9,76</t>
  </si>
  <si>
    <t xml:space="preserve">138+4,54</t>
  </si>
  <si>
    <t xml:space="preserve">139+8,58</t>
  </si>
  <si>
    <t xml:space="preserve">141+13,78</t>
  </si>
  <si>
    <t xml:space="preserve">156+1,74</t>
  </si>
  <si>
    <t xml:space="preserve">156+4,54</t>
  </si>
  <si>
    <t xml:space="preserve">161+14,60</t>
  </si>
  <si>
    <t xml:space="preserve">162+4,48</t>
  </si>
  <si>
    <t xml:space="preserve">168+16,52</t>
  </si>
  <si>
    <t xml:space="preserve">169+16,56</t>
  </si>
  <si>
    <t xml:space="preserve">199+3,64</t>
  </si>
  <si>
    <t xml:space="preserve">199+16,70</t>
  </si>
  <si>
    <t xml:space="preserve">201+12,54</t>
  </si>
  <si>
    <t xml:space="preserve">205+3,54</t>
  </si>
  <si>
    <t xml:space="preserve">234+13,14</t>
  </si>
  <si>
    <t xml:space="preserve">239+1,16</t>
  </si>
  <si>
    <t xml:space="preserve">239+5,14</t>
  </si>
  <si>
    <t xml:space="preserve">251+7,94</t>
  </si>
  <si>
    <t xml:space="preserve">253+0,14</t>
  </si>
  <si>
    <t xml:space="preserve">262+11,48</t>
  </si>
  <si>
    <t xml:space="preserve">267+19,46</t>
  </si>
  <si>
    <t xml:space="preserve">268+11,86</t>
  </si>
  <si>
    <t xml:space="preserve">271+15,90</t>
  </si>
  <si>
    <t xml:space="preserve">271+19,52</t>
  </si>
  <si>
    <t xml:space="preserve">308+17,64</t>
  </si>
  <si>
    <t xml:space="preserve">310+3,48</t>
  </si>
  <si>
    <t xml:space="preserve">311+9,78</t>
  </si>
  <si>
    <t xml:space="preserve">356+8,70</t>
  </si>
  <si>
    <t xml:space="preserve">357+19,94</t>
  </si>
  <si>
    <t xml:space="preserve">376+2,72</t>
  </si>
  <si>
    <t xml:space="preserve">376+8,00</t>
  </si>
  <si>
    <t xml:space="preserve">378+2,88</t>
  </si>
  <si>
    <t xml:space="preserve">378+5,52</t>
  </si>
  <si>
    <t xml:space="preserve">411+10,30</t>
  </si>
  <si>
    <t xml:space="preserve">424+6,70</t>
  </si>
  <si>
    <t xml:space="preserve">424+15,00</t>
  </si>
  <si>
    <t xml:space="preserve">438+1,58</t>
  </si>
  <si>
    <t xml:space="preserve">439+5,76</t>
  </si>
  <si>
    <t xml:space="preserve">447+19,58</t>
  </si>
  <si>
    <t xml:space="preserve">451+9,26</t>
  </si>
  <si>
    <t xml:space="preserve">468+1,42</t>
  </si>
  <si>
    <t xml:space="preserve">478+10,72</t>
  </si>
  <si>
    <t xml:space="preserve">487+4,74</t>
  </si>
  <si>
    <t xml:space="preserve">498+18,50</t>
  </si>
  <si>
    <t xml:space="preserve">525+17,16</t>
  </si>
  <si>
    <t xml:space="preserve">526+13,24</t>
  </si>
  <si>
    <t xml:space="preserve">559+9,14</t>
  </si>
  <si>
    <t xml:space="preserve">559+13,34</t>
  </si>
  <si>
    <t xml:space="preserve">571+9,16</t>
  </si>
  <si>
    <t xml:space="preserve">575+4,84</t>
  </si>
  <si>
    <t xml:space="preserve">579+9,32</t>
  </si>
  <si>
    <t xml:space="preserve">580+8,52</t>
  </si>
  <si>
    <t xml:space="preserve">580+17,10</t>
  </si>
  <si>
    <t xml:space="preserve">591+8,64</t>
  </si>
  <si>
    <t xml:space="preserve">592+8,50</t>
  </si>
  <si>
    <t xml:space="preserve">592+8,72</t>
  </si>
  <si>
    <t xml:space="preserve">Limpeza – área (m²)</t>
  </si>
  <si>
    <t xml:space="preserve">Limpeza – volume (m³)</t>
  </si>
  <si>
    <t xml:space="preserve">Corte 1ª cat. (m³)</t>
  </si>
  <si>
    <t xml:space="preserve">Corte 2ª cat. (m³)</t>
  </si>
  <si>
    <t xml:space="preserve">Corte 3ª cat. (m³)</t>
  </si>
  <si>
    <t xml:space="preserve">Remoção de solo mole (m³)</t>
  </si>
  <si>
    <t xml:space="preserve">Corpo de aterro – 95% PN (m³)</t>
  </si>
  <si>
    <t xml:space="preserve">Camada final – 100% PN (m³)</t>
  </si>
  <si>
    <t xml:space="preserve">Fundação de aterro – rachão/3ª cat. (m³)</t>
  </si>
  <si>
    <t xml:space="preserve">Preenchimento rebaixo em rocha (m³)</t>
  </si>
  <si>
    <t xml:space="preserve">Camada de fechamento do pavimento – saia (m³)</t>
  </si>
  <si>
    <t xml:space="preserve">20+7,38</t>
  </si>
  <si>
    <t xml:space="preserve">25+7,64</t>
  </si>
  <si>
    <t xml:space="preserve">30+7,89</t>
  </si>
  <si>
    <t xml:space="preserve">92+7,09</t>
  </si>
  <si>
    <t xml:space="preserve">93+9,24</t>
  </si>
  <si>
    <t xml:space="preserve">94+11,39</t>
  </si>
  <si>
    <t xml:space="preserve">158+1,38</t>
  </si>
  <si>
    <t xml:space="preserve">158+15,98</t>
  </si>
  <si>
    <t xml:space="preserve">159+10,58</t>
  </si>
  <si>
    <t xml:space="preserve">161+7,18</t>
  </si>
  <si>
    <t xml:space="preserve">164+17,18</t>
  </si>
  <si>
    <t xml:space="preserve">165+13,44</t>
  </si>
  <si>
    <t xml:space="preserve">166+9,69</t>
  </si>
  <si>
    <t xml:space="preserve">169+19,69</t>
  </si>
  <si>
    <t xml:space="preserve">187+3,58</t>
  </si>
  <si>
    <t xml:space="preserve">190+13,58</t>
  </si>
  <si>
    <t xml:space="preserve">192+12,78</t>
  </si>
  <si>
    <t xml:space="preserve">194+11,98</t>
  </si>
  <si>
    <t xml:space="preserve">198+1,98</t>
  </si>
  <si>
    <t xml:space="preserve">235+8,83</t>
  </si>
  <si>
    <t xml:space="preserve">235+14,41</t>
  </si>
  <si>
    <t xml:space="preserve">236+12,76</t>
  </si>
  <si>
    <t xml:space="preserve">315+11,86</t>
  </si>
  <si>
    <t xml:space="preserve">317+3,25</t>
  </si>
  <si>
    <t xml:space="preserve">318+14,63</t>
  </si>
  <si>
    <t xml:space="preserve">325+16,52</t>
  </si>
  <si>
    <t xml:space="preserve">329+6,52</t>
  </si>
  <si>
    <t xml:space="preserve">331+9,50</t>
  </si>
  <si>
    <t xml:space="preserve">333+12,48</t>
  </si>
  <si>
    <t xml:space="preserve">337+2,48</t>
  </si>
  <si>
    <t xml:space="preserve">349+5,05</t>
  </si>
  <si>
    <t xml:space="preserve">353+1,69</t>
  </si>
  <si>
    <t xml:space="preserve">356+18,33</t>
  </si>
  <si>
    <t xml:space="preserve">360+18,33</t>
  </si>
  <si>
    <t xml:space="preserve">363+1,74</t>
  </si>
  <si>
    <t xml:space="preserve">365+17,20</t>
  </si>
  <si>
    <t xml:space="preserve">368+12,67</t>
  </si>
  <si>
    <t xml:space="preserve">380+16,99</t>
  </si>
  <si>
    <t xml:space="preserve">383+14,12</t>
  </si>
  <si>
    <t xml:space="preserve">386+11,26</t>
  </si>
  <si>
    <t xml:space="preserve">415+18,72</t>
  </si>
  <si>
    <t xml:space="preserve">419+18,72</t>
  </si>
  <si>
    <t xml:space="preserve">421+6,49</t>
  </si>
  <si>
    <t xml:space="preserve">422+14,25</t>
  </si>
  <si>
    <t xml:space="preserve">426+14,25</t>
  </si>
  <si>
    <t xml:space="preserve">437+15,60</t>
  </si>
  <si>
    <t xml:space="preserve">440+5,60</t>
  </si>
  <si>
    <t xml:space="preserve">441+1,25</t>
  </si>
  <si>
    <t xml:space="preserve">441+16,91</t>
  </si>
  <si>
    <t xml:space="preserve">444+6,91</t>
  </si>
  <si>
    <t xml:space="preserve">444+7,18</t>
  </si>
  <si>
    <t xml:space="preserve">447+12,18</t>
  </si>
  <si>
    <t xml:space="preserve">453+18,08</t>
  </si>
  <si>
    <t xml:space="preserve">460+3,98</t>
  </si>
  <si>
    <t xml:space="preserve">463+8,98</t>
  </si>
  <si>
    <t xml:space="preserve">463+9,88</t>
  </si>
  <si>
    <t xml:space="preserve">466+14,88</t>
  </si>
  <si>
    <t xml:space="preserve">467+11,21</t>
  </si>
  <si>
    <t xml:space="preserve">468+7,54</t>
  </si>
  <si>
    <t xml:space="preserve">471+12,54</t>
  </si>
  <si>
    <t xml:space="preserve">476+0,43</t>
  </si>
  <si>
    <t xml:space="preserve">479+10,43</t>
  </si>
  <si>
    <t xml:space="preserve">481+8,83</t>
  </si>
  <si>
    <t xml:space="preserve">483+7,23</t>
  </si>
  <si>
    <t xml:space="preserve">486+17,23</t>
  </si>
  <si>
    <t xml:space="preserve">487+3,98</t>
  </si>
  <si>
    <t xml:space="preserve">490+3,98</t>
  </si>
  <si>
    <t xml:space="preserve">490+19,46</t>
  </si>
  <si>
    <t xml:space="preserve">491+14,94</t>
  </si>
  <si>
    <t xml:space="preserve">494+14,94</t>
  </si>
  <si>
    <t xml:space="preserve">494+15,26</t>
  </si>
  <si>
    <t xml:space="preserve">497+15,26</t>
  </si>
  <si>
    <t xml:space="preserve">505+6,42</t>
  </si>
  <si>
    <t xml:space="preserve">512+17,59</t>
  </si>
  <si>
    <t xml:space="preserve">515+17,59</t>
  </si>
  <si>
    <t xml:space="preserve">525+3,74</t>
  </si>
  <si>
    <t xml:space="preserve">526+11,85</t>
  </si>
  <si>
    <t xml:space="preserve">527+19,96</t>
  </si>
  <si>
    <t xml:space="preserve">547+3,65</t>
  </si>
  <si>
    <t xml:space="preserve">548+11,58</t>
  </si>
  <si>
    <t xml:space="preserve">549+19,51</t>
  </si>
  <si>
    <t xml:space="preserve">575+4,12</t>
  </si>
  <si>
    <t xml:space="preserve">576+12,04</t>
  </si>
  <si>
    <t xml:space="preserve">577+19,96</t>
  </si>
  <si>
    <t xml:space="preserve">584+18,56</t>
  </si>
  <si>
    <t xml:space="preserve">589+7,90</t>
  </si>
  <si>
    <t xml:space="preserve">593+17,23</t>
  </si>
  <si>
    <t xml:space="preserve">600+11,55</t>
  </si>
  <si>
    <t xml:space="preserve">602+9,55</t>
  </si>
  <si>
    <t xml:space="preserve">604+7,56</t>
  </si>
  <si>
    <t xml:space="preserve">608+18,06</t>
  </si>
  <si>
    <t xml:space="preserve">610+13,07</t>
  </si>
  <si>
    <t xml:space="preserve">612+8,09</t>
  </si>
  <si>
    <t xml:space="preserve">618+1,62</t>
  </si>
  <si>
    <t xml:space="preserve">619+15,11</t>
  </si>
  <si>
    <t xml:space="preserve">621+8,61</t>
  </si>
  <si>
    <t xml:space="preserve">635+17,04</t>
  </si>
  <si>
    <t xml:space="preserve">636+19,60</t>
  </si>
  <si>
    <t xml:space="preserve">638+2,15</t>
  </si>
  <si>
    <t xml:space="preserve">Estaca inicial (dec.)</t>
  </si>
  <si>
    <t xml:space="preserve">Estaca final (dec.)</t>
  </si>
  <si>
    <t xml:space="preserve">Localização</t>
  </si>
  <si>
    <t xml:space="preserve">Camada de fechamento – saia (m³)</t>
  </si>
  <si>
    <t xml:space="preserve">Colchão drenante de areia (m³)</t>
  </si>
  <si>
    <t xml:space="preserve">Fechamento com BGS (m³)</t>
  </si>
  <si>
    <t xml:space="preserve">IN 01 – Ramo 1000</t>
  </si>
  <si>
    <t xml:space="preserve">Interseção 01 – Barra dos Andrades (ramo fora do eixo, lançado na Est. 326)</t>
  </si>
  <si>
    <t xml:space="preserve">IN 01 – Ramo 2000</t>
  </si>
  <si>
    <t xml:space="preserve">IN 01 – Ramo 3000</t>
  </si>
  <si>
    <t xml:space="preserve">SOLO MOLE 1</t>
  </si>
  <si>
    <t xml:space="preserve">2+0,00 - 4+10,00</t>
  </si>
  <si>
    <t xml:space="preserve">SOLO MOLE 2</t>
  </si>
  <si>
    <t xml:space="preserve">112+10,00 - 115+0,00</t>
  </si>
  <si>
    <t xml:space="preserve">SOLO MOLE 3</t>
  </si>
  <si>
    <t xml:space="preserve">157+0,00 - 159+0,00</t>
  </si>
  <si>
    <t xml:space="preserve">SOLO MOLE 4</t>
  </si>
  <si>
    <t xml:space="preserve">323+0,00 - 325+0,00</t>
  </si>
  <si>
    <t xml:space="preserve">SOLO MOLE 5</t>
  </si>
  <si>
    <t xml:space="preserve">429+0,00 - 431+0,00</t>
  </si>
  <si>
    <t xml:space="preserve">SOLO MOLE 6</t>
  </si>
  <si>
    <t xml:space="preserve">SOLO MOLE 7</t>
  </si>
  <si>
    <t xml:space="preserve">449+0,00 - 443+0,00</t>
  </si>
  <si>
    <t xml:space="preserve">SOLO MOLE 8</t>
  </si>
  <si>
    <t xml:space="preserve">561+0,00 - 570+0,00</t>
  </si>
  <si>
    <t xml:space="preserve">SOLO MOLE 9</t>
  </si>
  <si>
    <t xml:space="preserve">605+10,00 - 608+0,00</t>
  </si>
  <si>
    <t xml:space="preserve">SOLO MOLE 10</t>
  </si>
  <si>
    <t xml:space="preserve">612+0,00 - 618+10,00</t>
  </si>
  <si>
    <t xml:space="preserve">Órgão</t>
  </si>
  <si>
    <t xml:space="preserve">Linha geral</t>
  </si>
  <si>
    <t xml:space="preserve">Interseção IN 1</t>
  </si>
  <si>
    <t xml:space="preserve">1.1</t>
  </si>
  <si>
    <t xml:space="preserve">1.1.1</t>
  </si>
  <si>
    <t xml:space="preserve">DER/PR</t>
  </si>
  <si>
    <t xml:space="preserve">Desmatamento e Limpeza diam. até 30cm</t>
  </si>
  <si>
    <t xml:space="preserve">m2</t>
  </si>
  <si>
    <t xml:space="preserve">1.1.2</t>
  </si>
  <si>
    <t xml:space="preserve">Esc. carga e transp. 1ª cat. 0-200m</t>
  </si>
  <si>
    <t xml:space="preserve">m3</t>
  </si>
  <si>
    <t xml:space="preserve">1.1.3</t>
  </si>
  <si>
    <t xml:space="preserve">Esc. carga e transp. 1ª cat. 200-400m</t>
  </si>
  <si>
    <t xml:space="preserve">Esc. carga e transp. 1ª cat. 400-600m</t>
  </si>
  <si>
    <t xml:space="preserve">1.1.4</t>
  </si>
  <si>
    <t xml:space="preserve">Esc. carga e transp. 1ª cat. 600-800m</t>
  </si>
  <si>
    <t xml:space="preserve">1.1.5</t>
  </si>
  <si>
    <t xml:space="preserve">Esc. carga e transp. 1ª cat. 800-1000m</t>
  </si>
  <si>
    <t xml:space="preserve">1.1.6</t>
  </si>
  <si>
    <t xml:space="preserve">Esc. carga e transp. 1ª cat. 100-1200m</t>
  </si>
  <si>
    <t xml:space="preserve">1.1.7</t>
  </si>
  <si>
    <t xml:space="preserve">Esc. carga e transp. 1ª cat. 1200-1400m</t>
  </si>
  <si>
    <t xml:space="preserve">1.1.8</t>
  </si>
  <si>
    <t xml:space="preserve">Esc. carga e transp. 1ª cat. 1400-1600m</t>
  </si>
  <si>
    <t xml:space="preserve">1.1.9</t>
  </si>
  <si>
    <t xml:space="preserve">Esc. carga e transp. 1ª cat. 1600-2000m</t>
  </si>
  <si>
    <t xml:space="preserve">1.1.10</t>
  </si>
  <si>
    <t xml:space="preserve">Esc. carga e transp. 1ª cat. 2000-3000m</t>
  </si>
  <si>
    <t xml:space="preserve">1.1.11</t>
  </si>
  <si>
    <t xml:space="preserve">Esc. carga e transp. 1ª cat. 3000-4000m</t>
  </si>
  <si>
    <t xml:space="preserve">1.1.12</t>
  </si>
  <si>
    <t xml:space="preserve">Esc. carga e transp. 1ª cat. 4000-5000m</t>
  </si>
  <si>
    <t xml:space="preserve">1.1.13</t>
  </si>
  <si>
    <t xml:space="preserve">Esc. carga e transp. 1ª cat. 5000-6000m</t>
  </si>
  <si>
    <t xml:space="preserve">1.1.14</t>
  </si>
  <si>
    <t xml:space="preserve">Esc. carga e transp. 1ª cat. 6000-8000m</t>
  </si>
  <si>
    <t xml:space="preserve">1.1.15</t>
  </si>
  <si>
    <t xml:space="preserve">Esc. carga e transp. 2ª cat. 200-400m</t>
  </si>
  <si>
    <t xml:space="preserve">1.1.16</t>
  </si>
  <si>
    <t xml:space="preserve">Esc. carga e transp. 2ª cat. 600-800m</t>
  </si>
  <si>
    <t xml:space="preserve">1.1.17</t>
  </si>
  <si>
    <t xml:space="preserve">Esc. carga e transp. 2ª cat. 1600-2000m</t>
  </si>
  <si>
    <t xml:space="preserve">1.1.18</t>
  </si>
  <si>
    <t xml:space="preserve">Esc. carga e transp. 2ª cat. 2000-3000m</t>
  </si>
  <si>
    <t xml:space="preserve">1.1.19</t>
  </si>
  <si>
    <t xml:space="preserve">Esc. carga e transp. 3ª cat. 0-200m</t>
  </si>
  <si>
    <t xml:space="preserve">1.1.20</t>
  </si>
  <si>
    <t xml:space="preserve">Esc. carga e transp. 3ª cat. 200-400m</t>
  </si>
  <si>
    <t xml:space="preserve">1.1.21</t>
  </si>
  <si>
    <t xml:space="preserve">Esc. carga e transp. 3ª cat. 1200-1400m</t>
  </si>
  <si>
    <t xml:space="preserve">1.1.22</t>
  </si>
  <si>
    <t xml:space="preserve">Esc. carga e transp. 3ª cat. 1600-2000m</t>
  </si>
  <si>
    <t xml:space="preserve">1.1.23</t>
  </si>
  <si>
    <t xml:space="preserve">Esc. carga e transp. 3ª cat. 2000-3000m</t>
  </si>
  <si>
    <t xml:space="preserve">1.1.24</t>
  </si>
  <si>
    <t xml:space="preserve">Esc. carga e transp. 3ª cat. 3000-4000m</t>
  </si>
  <si>
    <t xml:space="preserve">1.1.25</t>
  </si>
  <si>
    <t xml:space="preserve">404000_1</t>
  </si>
  <si>
    <t xml:space="preserve">Remoção de solos moles 200-400m</t>
  </si>
  <si>
    <t xml:space="preserve">1.1.26</t>
  </si>
  <si>
    <t xml:space="preserve">404000_2</t>
  </si>
  <si>
    <t xml:space="preserve">Remoção de solos moles 2000-3000m</t>
  </si>
  <si>
    <t xml:space="preserve">1.1.27</t>
  </si>
  <si>
    <t xml:space="preserve">404000_3</t>
  </si>
  <si>
    <t xml:space="preserve">Remoção de solos moles 3000-4000m</t>
  </si>
  <si>
    <t xml:space="preserve">1.1.28</t>
  </si>
  <si>
    <t xml:space="preserve">404000_4</t>
  </si>
  <si>
    <t xml:space="preserve">Remoção de solos moles 5000-6000m</t>
  </si>
  <si>
    <t xml:space="preserve">1.1.29</t>
  </si>
  <si>
    <t xml:space="preserve">404000_5</t>
  </si>
  <si>
    <t xml:space="preserve">Remoção de solos moles 6000-8000m</t>
  </si>
  <si>
    <t xml:space="preserve">1.1.30</t>
  </si>
  <si>
    <t xml:space="preserve">404000_6</t>
  </si>
  <si>
    <t xml:space="preserve">Remoção de solos moles 8000-10000m</t>
  </si>
  <si>
    <t xml:space="preserve">1.1.31</t>
  </si>
  <si>
    <t xml:space="preserve">NCT-001</t>
  </si>
  <si>
    <t xml:space="preserve">COMPOSIÇÃO</t>
  </si>
  <si>
    <t xml:space="preserve">Carga e trasnporte de material de Limpeza (Dist. 6km)</t>
  </si>
  <si>
    <t xml:space="preserve">1.1.32</t>
  </si>
  <si>
    <t xml:space="preserve">Preenchimento de rebaixo com rachão (Jazida Comercial DMT 26km)</t>
  </si>
  <si>
    <t xml:space="preserve">1.1.33</t>
  </si>
  <si>
    <t xml:space="preserve">Preenchimento de rebaixo com material de 3 cat. (DMT 0,4 a 0,6km)</t>
  </si>
  <si>
    <t xml:space="preserve">1.1.34</t>
  </si>
  <si>
    <t xml:space="preserve">NCT-002</t>
  </si>
  <si>
    <t xml:space="preserve">Material para camada de fechamento do pavimento (Empréstimo lateral DMT 6km)</t>
  </si>
  <si>
    <t xml:space="preserve">1.1.35</t>
  </si>
  <si>
    <t xml:space="preserve">Colchão drenante de areia para fundação de aterro</t>
  </si>
  <si>
    <t xml:space="preserve">1.1.36</t>
  </si>
  <si>
    <t xml:space="preserve">Preenchimento de rebaixo com brita</t>
  </si>
  <si>
    <t xml:space="preserve">1.1.37</t>
  </si>
  <si>
    <t xml:space="preserve">Compactação de aterros com controle visual - Camada de fechamento do pavimento </t>
  </si>
  <si>
    <t xml:space="preserve">1.1.38</t>
  </si>
  <si>
    <t xml:space="preserve">Compactação de aterros em 3a. cat. </t>
  </si>
  <si>
    <t xml:space="preserve">1.1.39</t>
  </si>
  <si>
    <t xml:space="preserve">Preenchimento de rebaixo com aprov. Corte 3a cat. (rebaixo de corte em rocha)</t>
  </si>
  <si>
    <t xml:space="preserve">1.1.40</t>
  </si>
  <si>
    <t xml:space="preserve">Compactação de aterros a 100% do PN</t>
  </si>
  <si>
    <t xml:space="preserve">1.1.41</t>
  </si>
  <si>
    <t xml:space="preserve">Compactação de aterros a 95% do PN</t>
  </si>
  <si>
    <t xml:space="preserve">1.1.42</t>
  </si>
  <si>
    <t xml:space="preserve">Espalhamento e conformação de bota fora</t>
  </si>
  <si>
    <t xml:space="preserve">1.2</t>
  </si>
  <si>
    <t xml:space="preserve">TRATAMENTO DE CORTE EM ROCHA</t>
  </si>
  <si>
    <t xml:space="preserve">1.2.1</t>
  </si>
  <si>
    <t xml:space="preserve">SICRO-DNIT</t>
  </si>
  <si>
    <t xml:space="preserve">Concreto projetado via seca fck = 20 MPa aplicado em superfícies inclinadas e verticais</t>
  </si>
  <si>
    <t xml:space="preserve">1.2.2</t>
  </si>
  <si>
    <t xml:space="preserve">Proteção de taludes rochosos com telas metálicas de dupla torção com liga em 95% ZN e 5% AL - malha de 8 x 10 cm - fornecimento e instalação</t>
  </si>
  <si>
    <t xml:space="preserve">1.2.3</t>
  </si>
  <si>
    <t xml:space="preserve">Dreno tipo barbacã - DRB 02 - D = 50 mm em estrutura de contenção de encosta</t>
  </si>
  <si>
    <t xml:space="preserve">und.</t>
  </si>
  <si>
    <t xml:space="preserve">1.2.4</t>
  </si>
  <si>
    <t xml:space="preserve">Tirante de barra de aço ancorado na rocha com resina de poliéster, D = 22 mm, tensão de escoamento = 686 MPa e tensão de ruptura = 789 MPa - fornecimento, perfuração e instalação</t>
  </si>
  <si>
    <t xml:space="preserve">1.2.5</t>
  </si>
  <si>
    <t xml:space="preserve">Bate choco - Remoção de material instável</t>
  </si>
  <si>
    <t xml:space="preserve">Fonte: TERRAPLENAGEM_DISTRIBUIÇÃO_LG_R04.xlsm, aba QUANTIDADES. Transportes por faixa de DMT e tratamento de rocha só têm total (não estão por estaca).</t>
  </si>
  <si>
    <t xml:space="preserve">Cota do terreno (m)</t>
  </si>
  <si>
    <t xml:space="preserve">Cota de projeto (m)</t>
  </si>
  <si>
    <t xml:space="preserve">Altura (projeto − terreno) (m)</t>
  </si>
  <si>
    <t xml:space="preserve">Rampa do greide (%)</t>
  </si>
  <si>
    <t xml:space="preserve">Curva vertical (PIV)</t>
  </si>
  <si>
    <t xml:space="preserve">Tipo</t>
  </si>
  <si>
    <t xml:space="preserve">K</t>
  </si>
  <si>
    <t xml:space="preserve">Curva horizontal</t>
  </si>
  <si>
    <t xml:space="preserve">Raio (m)</t>
  </si>
  <si>
    <t xml:space="preserve">Prancha GM</t>
  </si>
  <si>
    <t xml:space="preserve">2+5,00</t>
  </si>
  <si>
    <t xml:space="preserve">Côncava</t>
  </si>
  <si>
    <t xml:space="preserve">GM-1-0001</t>
  </si>
  <si>
    <t xml:space="preserve">13+2,28</t>
  </si>
  <si>
    <t xml:space="preserve">Convexa</t>
  </si>
  <si>
    <t xml:space="preserve">17+11,68</t>
  </si>
  <si>
    <t xml:space="preserve">C-1</t>
  </si>
  <si>
    <t xml:space="preserve">26+17,71</t>
  </si>
  <si>
    <t xml:space="preserve">38+6,49</t>
  </si>
  <si>
    <t xml:space="preserve">GM-1-0002</t>
  </si>
  <si>
    <t xml:space="preserve">45+12,28</t>
  </si>
  <si>
    <t xml:space="preserve">64+15,09</t>
  </si>
  <si>
    <t xml:space="preserve">78+16,60</t>
  </si>
  <si>
    <t xml:space="preserve">GM-1-0003</t>
  </si>
  <si>
    <t xml:space="preserve">C-2</t>
  </si>
  <si>
    <t xml:space="preserve">GM-1-0004</t>
  </si>
  <si>
    <t xml:space="preserve">113+12,47</t>
  </si>
  <si>
    <t xml:space="preserve">GM-1-0005</t>
  </si>
  <si>
    <t xml:space="preserve">147+0,81</t>
  </si>
  <si>
    <t xml:space="preserve">157+12,93</t>
  </si>
  <si>
    <t xml:space="preserve">C-3</t>
  </si>
  <si>
    <t xml:space="preserve">C-4</t>
  </si>
  <si>
    <t xml:space="preserve">171+10,00</t>
  </si>
  <si>
    <t xml:space="preserve">GM-1-0006</t>
  </si>
  <si>
    <t xml:space="preserve">186+7,95</t>
  </si>
  <si>
    <t xml:space="preserve">C-5</t>
  </si>
  <si>
    <t xml:space="preserve">193+15,00</t>
  </si>
  <si>
    <t xml:space="preserve">208+10,00</t>
  </si>
  <si>
    <t xml:space="preserve">213+19,17</t>
  </si>
  <si>
    <t xml:space="preserve">219+2,95</t>
  </si>
  <si>
    <t xml:space="preserve">GM-1-0007</t>
  </si>
  <si>
    <t xml:space="preserve">224+14,72</t>
  </si>
  <si>
    <t xml:space="preserve">233+14,55</t>
  </si>
  <si>
    <t xml:space="preserve">239+15,39</t>
  </si>
  <si>
    <t xml:space="preserve">GM-1-0008</t>
  </si>
  <si>
    <t xml:space="preserve">280+5,00</t>
  </si>
  <si>
    <t xml:space="preserve">GM-1-0009</t>
  </si>
  <si>
    <t xml:space="preserve">321+5,00</t>
  </si>
  <si>
    <t xml:space="preserve">C-6</t>
  </si>
  <si>
    <t xml:space="preserve">GM-1-0010</t>
  </si>
  <si>
    <t xml:space="preserve">C-7</t>
  </si>
  <si>
    <t xml:space="preserve">348+4,75</t>
  </si>
  <si>
    <t xml:space="preserve">C-8</t>
  </si>
  <si>
    <t xml:space="preserve">365+15,00</t>
  </si>
  <si>
    <t xml:space="preserve">GM-1-0011</t>
  </si>
  <si>
    <t xml:space="preserve">C-9</t>
  </si>
  <si>
    <t xml:space="preserve">375+1,48</t>
  </si>
  <si>
    <t xml:space="preserve">C-10</t>
  </si>
  <si>
    <t xml:space="preserve">384+10,27</t>
  </si>
  <si>
    <t xml:space="preserve">GM-1-0012</t>
  </si>
  <si>
    <t xml:space="preserve">412+10,00</t>
  </si>
  <si>
    <t xml:space="preserve">C-11</t>
  </si>
  <si>
    <t xml:space="preserve">GM-1-0013</t>
  </si>
  <si>
    <t xml:space="preserve">C-12</t>
  </si>
  <si>
    <t xml:space="preserve">C-13</t>
  </si>
  <si>
    <t xml:space="preserve">C-14</t>
  </si>
  <si>
    <t xml:space="preserve">GM-1-0014</t>
  </si>
  <si>
    <t xml:space="preserve">C-15</t>
  </si>
  <si>
    <t xml:space="preserve">494+19,20</t>
  </si>
  <si>
    <t xml:space="preserve">C-16</t>
  </si>
  <si>
    <t xml:space="preserve">C-17</t>
  </si>
  <si>
    <t xml:space="preserve">GM-1-0015</t>
  </si>
  <si>
    <t xml:space="preserve">513+17,50</t>
  </si>
  <si>
    <t xml:space="preserve">526+17,89</t>
  </si>
  <si>
    <t xml:space="preserve">C-18</t>
  </si>
  <si>
    <t xml:space="preserve">532+14,88</t>
  </si>
  <si>
    <t xml:space="preserve">GM-1-0016</t>
  </si>
  <si>
    <t xml:space="preserve">C-19</t>
  </si>
  <si>
    <t xml:space="preserve">559+19,39</t>
  </si>
  <si>
    <t xml:space="preserve">C-20</t>
  </si>
  <si>
    <t xml:space="preserve">GM-1-0017</t>
  </si>
  <si>
    <t xml:space="preserve">C-21</t>
  </si>
  <si>
    <t xml:space="preserve">592+15,00</t>
  </si>
  <si>
    <t xml:space="preserve">597+2,51</t>
  </si>
  <si>
    <t xml:space="preserve">C-22</t>
  </si>
  <si>
    <t xml:space="preserve">C-23</t>
  </si>
  <si>
    <t xml:space="preserve">GM-1-0018</t>
  </si>
  <si>
    <t xml:space="preserve">618+10,00</t>
  </si>
  <si>
    <t xml:space="preserve">C-24</t>
  </si>
  <si>
    <t xml:space="preserve">630+10,00</t>
  </si>
  <si>
    <t xml:space="preserve">633+16,10</t>
  </si>
  <si>
    <t xml:space="preserve">C-25</t>
  </si>
  <si>
    <t xml:space="preserve">639+1,58</t>
  </si>
  <si>
    <t xml:space="preserve">Desenvolvimento (m)</t>
  </si>
  <si>
    <t xml:space="preserve">Deflexão (AC)</t>
  </si>
  <si>
    <t xml:space="preserve">PC (dec.)</t>
  </si>
  <si>
    <t xml:space="preserve">PT (dec.)</t>
  </si>
  <si>
    <t xml:space="preserve">PC</t>
  </si>
  <si>
    <t xml:space="preserve">PT</t>
  </si>
  <si>
    <t xml:space="preserve">PIV (dec.)</t>
  </si>
  <si>
    <t xml:space="preserve">PIV</t>
  </si>
  <si>
    <t xml:space="preserve">Cota PIV (m)</t>
  </si>
  <si>
    <t xml:space="preserve">Comprimento Y (m)</t>
  </si>
  <si>
    <t xml:space="preserve">Flecha e (m)</t>
  </si>
  <si>
    <t xml:space="preserve">PCV (dec.)</t>
  </si>
  <si>
    <t xml:space="preserve">PTV (dec.)</t>
  </si>
  <si>
    <t xml:space="preserve">005° 28' 13.50"</t>
  </si>
  <si>
    <t xml:space="preserve">000° 50' 45.91"</t>
  </si>
  <si>
    <t xml:space="preserve">000° 50' 11.46"</t>
  </si>
  <si>
    <t xml:space="preserve">004° 39' 22.34"</t>
  </si>
  <si>
    <t xml:space="preserve">011° 13' 44.58"</t>
  </si>
  <si>
    <t xml:space="preserve">001° 59' 53.14"</t>
  </si>
  <si>
    <t xml:space="preserve">010° 42' 23.89"</t>
  </si>
  <si>
    <t xml:space="preserve">015° 58' 02.50"</t>
  </si>
  <si>
    <t xml:space="preserve">002° 53' 20.47"</t>
  </si>
  <si>
    <t xml:space="preserve">002° 10' 56.87"</t>
  </si>
  <si>
    <t xml:space="preserve">006° 21' 46.07"</t>
  </si>
  <si>
    <t xml:space="preserve">004° 29' 04.72"</t>
  </si>
  <si>
    <t xml:space="preserve">060° 06' 42.17"</t>
  </si>
  <si>
    <t xml:space="preserve">007° 29' 06.40"</t>
  </si>
  <si>
    <t xml:space="preserve">013° 45' 08.56"</t>
  </si>
  <si>
    <t xml:space="preserve">007° 23' 26.70"</t>
  </si>
  <si>
    <t xml:space="preserve">028° 23' 48.92"</t>
  </si>
  <si>
    <t xml:space="preserve">512+17,58</t>
  </si>
  <si>
    <t xml:space="preserve">001° 47' 21.75"</t>
  </si>
  <si>
    <t xml:space="preserve">001° 16' 48.67"</t>
  </si>
  <si>
    <t xml:space="preserve">001° 16' 47.63"</t>
  </si>
  <si>
    <t xml:space="preserve">007° 18' 43.48"</t>
  </si>
  <si>
    <t xml:space="preserve">002° 10' 39.16"</t>
  </si>
  <si>
    <t xml:space="preserve">002° 00' 22.34"</t>
  </si>
  <si>
    <t xml:space="preserve">001° 32' 07.32"</t>
  </si>
  <si>
    <t xml:space="preserve">001° 02' 01.68"</t>
  </si>
  <si>
    <t xml:space="preserve">635+17,05</t>
  </si>
  <si>
    <t xml:space="preserve">Prancha PG</t>
  </si>
  <si>
    <t xml:space="preserve">Entra no painel?</t>
  </si>
  <si>
    <t xml:space="preserve">Enleivamento de aterro</t>
  </si>
  <si>
    <t xml:space="preserve">0+0,90</t>
  </si>
  <si>
    <t xml:space="preserve">1+0,62</t>
  </si>
  <si>
    <t xml:space="preserve">PG-01-0001</t>
  </si>
  <si>
    <t xml:space="preserve">Sim</t>
  </si>
  <si>
    <t xml:space="preserve">extensão do contorno da área; rótulo repetido em 2 quadros – mantida a posição dentro do contorno da área</t>
  </si>
  <si>
    <t xml:space="preserve">41+0,56</t>
  </si>
  <si>
    <t xml:space="preserve">41+0,57</t>
  </si>
  <si>
    <t xml:space="preserve">estaca aproximada (posição da seta do rótulo); rótulo repetido em 2 quadros – mantida a posição mais próxima do eixo</t>
  </si>
  <si>
    <t xml:space="preserve">50+5,60</t>
  </si>
  <si>
    <t xml:space="preserve">66+15,79</t>
  </si>
  <si>
    <t xml:space="preserve">Hidrossemeadura (corte)</t>
  </si>
  <si>
    <t xml:space="preserve">51+5,91</t>
  </si>
  <si>
    <t xml:space="preserve">51+5,92</t>
  </si>
  <si>
    <t xml:space="preserve">101+18,87</t>
  </si>
  <si>
    <t xml:space="preserve">101+18,88</t>
  </si>
  <si>
    <t xml:space="preserve">PG-01-0002</t>
  </si>
  <si>
    <t xml:space="preserve">Enleivamento de bordo e canteiros</t>
  </si>
  <si>
    <t xml:space="preserve">118+3,23</t>
  </si>
  <si>
    <t xml:space="preserve">118+3,24</t>
  </si>
  <si>
    <t xml:space="preserve">Não (já no medido)</t>
  </si>
  <si>
    <t xml:space="preserve">estaca aproximada (posição da seta do rótulo)</t>
  </si>
  <si>
    <t xml:space="preserve">120+19,39</t>
  </si>
  <si>
    <t xml:space="preserve">120+19,40</t>
  </si>
  <si>
    <t xml:space="preserve">Manta antierosiva (corte)</t>
  </si>
  <si>
    <t xml:space="preserve">150+1,26</t>
  </si>
  <si>
    <t xml:space="preserve">152+19,85</t>
  </si>
  <si>
    <t xml:space="preserve">PG-01-0003</t>
  </si>
  <si>
    <t xml:space="preserve">152+15,64</t>
  </si>
  <si>
    <t xml:space="preserve">153+18,30</t>
  </si>
  <si>
    <t xml:space="preserve">163+10,76</t>
  </si>
  <si>
    <t xml:space="preserve">168+0,82</t>
  </si>
  <si>
    <t xml:space="preserve">extensão do contorno da área</t>
  </si>
  <si>
    <t xml:space="preserve">170+11,71</t>
  </si>
  <si>
    <t xml:space="preserve">182+8,49</t>
  </si>
  <si>
    <t xml:space="preserve">177+9,74</t>
  </si>
  <si>
    <t xml:space="preserve">195+8,19</t>
  </si>
  <si>
    <t xml:space="preserve">extensão do contorno da área; rótulo repetido em 3 quadros – mantida a posição dentro do contorno da área</t>
  </si>
  <si>
    <t xml:space="preserve">184+2,29</t>
  </si>
  <si>
    <t xml:space="preserve">186+0,28</t>
  </si>
  <si>
    <t xml:space="preserve">195+16,68</t>
  </si>
  <si>
    <t xml:space="preserve">199+10,75</t>
  </si>
  <si>
    <t xml:space="preserve">208+17,14</t>
  </si>
  <si>
    <t xml:space="preserve">208+17,15</t>
  </si>
  <si>
    <t xml:space="preserve">222+19,55</t>
  </si>
  <si>
    <t xml:space="preserve">222+19,56</t>
  </si>
  <si>
    <t xml:space="preserve">PG-01-0004</t>
  </si>
  <si>
    <t xml:space="preserve">229+8,35</t>
  </si>
  <si>
    <t xml:space="preserve">229+8,36</t>
  </si>
  <si>
    <t xml:space="preserve">230+0,52</t>
  </si>
  <si>
    <t xml:space="preserve">230+0,53</t>
  </si>
  <si>
    <t xml:space="preserve">232+0,52</t>
  </si>
  <si>
    <t xml:space="preserve">232+0,53</t>
  </si>
  <si>
    <t xml:space="preserve">233+7,72</t>
  </si>
  <si>
    <t xml:space="preserve">233+7,73</t>
  </si>
  <si>
    <t xml:space="preserve">242+11,18</t>
  </si>
  <si>
    <t xml:space="preserve">242+11,19</t>
  </si>
  <si>
    <t xml:space="preserve">245+15,85</t>
  </si>
  <si>
    <t xml:space="preserve">245+15,86</t>
  </si>
  <si>
    <t xml:space="preserve">255+11,91</t>
  </si>
  <si>
    <t xml:space="preserve">255+11,92</t>
  </si>
  <si>
    <t xml:space="preserve">257+3,78</t>
  </si>
  <si>
    <t xml:space="preserve">257+3,79</t>
  </si>
  <si>
    <t xml:space="preserve">258+8,82</t>
  </si>
  <si>
    <t xml:space="preserve">258+8,83</t>
  </si>
  <si>
    <t xml:space="preserve">259+4,84</t>
  </si>
  <si>
    <t xml:space="preserve">259+4,85</t>
  </si>
  <si>
    <t xml:space="preserve">259+13,22</t>
  </si>
  <si>
    <t xml:space="preserve">262+15,74</t>
  </si>
  <si>
    <t xml:space="preserve">259+13,77</t>
  </si>
  <si>
    <t xml:space="preserve">259+13,78</t>
  </si>
  <si>
    <t xml:space="preserve">300+14,87</t>
  </si>
  <si>
    <t xml:space="preserve">300+14,88</t>
  </si>
  <si>
    <t xml:space="preserve">PG-01-0005</t>
  </si>
  <si>
    <t xml:space="preserve">313+7,33</t>
  </si>
  <si>
    <t xml:space="preserve">313+7,34</t>
  </si>
  <si>
    <t xml:space="preserve">323+4,49</t>
  </si>
  <si>
    <t xml:space="preserve">323+4,50</t>
  </si>
  <si>
    <t xml:space="preserve">336+10,52</t>
  </si>
  <si>
    <t xml:space="preserve">345+0,37</t>
  </si>
  <si>
    <t xml:space="preserve">336+14,74</t>
  </si>
  <si>
    <t xml:space="preserve">336+14,75</t>
  </si>
  <si>
    <t xml:space="preserve">343+12,38</t>
  </si>
  <si>
    <t xml:space="preserve">343+12,39</t>
  </si>
  <si>
    <t xml:space="preserve">354+2,77</t>
  </si>
  <si>
    <t xml:space="preserve">354+2,78</t>
  </si>
  <si>
    <t xml:space="preserve">360+0,71</t>
  </si>
  <si>
    <t xml:space="preserve">363+8,78</t>
  </si>
  <si>
    <t xml:space="preserve">PG-01-0006</t>
  </si>
  <si>
    <t xml:space="preserve">361+13,57</t>
  </si>
  <si>
    <t xml:space="preserve">361+13,58</t>
  </si>
  <si>
    <t xml:space="preserve">370+1,31</t>
  </si>
  <si>
    <t xml:space="preserve">370+1,32</t>
  </si>
  <si>
    <t xml:space="preserve">370+13,80</t>
  </si>
  <si>
    <t xml:space="preserve">370+13,81</t>
  </si>
  <si>
    <t xml:space="preserve">405+2,24</t>
  </si>
  <si>
    <t xml:space="preserve">405+2,25</t>
  </si>
  <si>
    <t xml:space="preserve">414+16,25</t>
  </si>
  <si>
    <t xml:space="preserve">414+16,26</t>
  </si>
  <si>
    <t xml:space="preserve">421+7,11</t>
  </si>
  <si>
    <t xml:space="preserve">421+7,12</t>
  </si>
  <si>
    <t xml:space="preserve">421+14,78</t>
  </si>
  <si>
    <t xml:space="preserve">434+8,14</t>
  </si>
  <si>
    <t xml:space="preserve">427+3,59</t>
  </si>
  <si>
    <t xml:space="preserve">427+3,60</t>
  </si>
  <si>
    <t xml:space="preserve">estaca aproximada (posição da seta do rótulo); rótulo repetido em 3 quadros – mantida a posição mais próxima do eixo</t>
  </si>
  <si>
    <t xml:space="preserve">438+6,39</t>
  </si>
  <si>
    <t xml:space="preserve">438+6,40</t>
  </si>
  <si>
    <t xml:space="preserve">PG-01-0007</t>
  </si>
  <si>
    <t xml:space="preserve">442+4,77</t>
  </si>
  <si>
    <t xml:space="preserve">454+5,89</t>
  </si>
  <si>
    <t xml:space="preserve">455+15,54</t>
  </si>
  <si>
    <t xml:space="preserve">459+1,13</t>
  </si>
  <si>
    <t xml:space="preserve">463+5,43</t>
  </si>
  <si>
    <t xml:space="preserve">464+3,63</t>
  </si>
  <si>
    <t xml:space="preserve">464+5,02</t>
  </si>
  <si>
    <t xml:space="preserve">467+16,64</t>
  </si>
  <si>
    <t xml:space="preserve">extensão do contorno da área; rótulo repetido em 4 quadros – mantida a posição dentro do contorno da área</t>
  </si>
  <si>
    <t xml:space="preserve">470+16,69</t>
  </si>
  <si>
    <t xml:space="preserve">470+16,70</t>
  </si>
  <si>
    <t xml:space="preserve">estaca aproximada (posição da seta do rótulo); rótulo repetido em 4 quadros – mantida a posição mais próxima do eixo</t>
  </si>
  <si>
    <t xml:space="preserve">474+9,12</t>
  </si>
  <si>
    <t xml:space="preserve">480+0,71</t>
  </si>
  <si>
    <t xml:space="preserve">488+0,02</t>
  </si>
  <si>
    <t xml:space="preserve">494+9,78</t>
  </si>
  <si>
    <t xml:space="preserve">498+3,99</t>
  </si>
  <si>
    <t xml:space="preserve">498+4,00</t>
  </si>
  <si>
    <t xml:space="preserve">502+0,12</t>
  </si>
  <si>
    <t xml:space="preserve">508+5,43</t>
  </si>
  <si>
    <t xml:space="preserve">PG-01-0008</t>
  </si>
  <si>
    <t xml:space="preserve">502+9,77</t>
  </si>
  <si>
    <t xml:space="preserve">509+17,17</t>
  </si>
  <si>
    <t xml:space="preserve">517+7,56</t>
  </si>
  <si>
    <t xml:space="preserve">517+7,57</t>
  </si>
  <si>
    <t xml:space="preserve">529+12,00</t>
  </si>
  <si>
    <t xml:space="preserve">533+7,99</t>
  </si>
  <si>
    <t xml:space="preserve">550+7,78</t>
  </si>
  <si>
    <t xml:space="preserve">550+7,79</t>
  </si>
  <si>
    <t xml:space="preserve">551+19,64</t>
  </si>
  <si>
    <t xml:space="preserve">551+19,65</t>
  </si>
  <si>
    <t xml:space="preserve">566+3,16</t>
  </si>
  <si>
    <t xml:space="preserve">566+3,17</t>
  </si>
  <si>
    <t xml:space="preserve">573+17,96</t>
  </si>
  <si>
    <t xml:space="preserve">581+11,96</t>
  </si>
  <si>
    <t xml:space="preserve">PG-01-0009</t>
  </si>
  <si>
    <t xml:space="preserve">586+5,99</t>
  </si>
  <si>
    <t xml:space="preserve">586+6,00</t>
  </si>
  <si>
    <t xml:space="preserve">589+0,71</t>
  </si>
  <si>
    <t xml:space="preserve">589+0,72</t>
  </si>
  <si>
    <t xml:space="preserve">595+8,70</t>
  </si>
  <si>
    <t xml:space="preserve">595+8,71</t>
  </si>
  <si>
    <t xml:space="preserve">599+9,85</t>
  </si>
  <si>
    <t xml:space="preserve">604+14,09</t>
  </si>
  <si>
    <t xml:space="preserve">604+9,19</t>
  </si>
  <si>
    <t xml:space="preserve">604+9,20</t>
  </si>
  <si>
    <t xml:space="preserve">610+1,11</t>
  </si>
  <si>
    <t xml:space="preserve">610+1,12</t>
  </si>
  <si>
    <t xml:space="preserve">616+6,03</t>
  </si>
  <si>
    <t xml:space="preserve">616+6,04</t>
  </si>
  <si>
    <t xml:space="preserve">617+14,77</t>
  </si>
  <si>
    <t xml:space="preserve">620+11,53</t>
  </si>
  <si>
    <t xml:space="preserve">621+3,12</t>
  </si>
  <si>
    <t xml:space="preserve">627+9,41</t>
  </si>
  <si>
    <t xml:space="preserve">627+16,09</t>
  </si>
  <si>
    <t xml:space="preserve">627+16,10</t>
  </si>
  <si>
    <t xml:space="preserve">633+19,72</t>
  </si>
  <si>
    <t xml:space="preserve">633+19,73</t>
  </si>
  <si>
    <t xml:space="preserve">638+3,95</t>
  </si>
  <si>
    <t xml:space="preserve">638+3,96</t>
  </si>
  <si>
    <t xml:space="preserve">638+4,19</t>
  </si>
  <si>
    <t xml:space="preserve">638+4,20</t>
  </si>
  <si>
    <t xml:space="preserve">640+12,57</t>
  </si>
  <si>
    <t xml:space="preserve">640+12,58</t>
  </si>
  <si>
    <t xml:space="preserve">Enleivamento bordo/canteiros LE (m²)</t>
  </si>
  <si>
    <t xml:space="preserve">Enleivamento bordo/canteiros LD (m²)</t>
  </si>
  <si>
    <t xml:space="preserve">Árvore a remover – estaca</t>
  </si>
  <si>
    <t xml:space="preserve">154+3,60</t>
  </si>
  <si>
    <t xml:space="preserve">154+5,28</t>
  </si>
  <si>
    <t xml:space="preserve">157+17,38</t>
  </si>
  <si>
    <t xml:space="preserve">157+19,32</t>
  </si>
  <si>
    <t xml:space="preserve">167+7,02</t>
  </si>
  <si>
    <t xml:space="preserve">183+1,56</t>
  </si>
  <si>
    <t xml:space="preserve">183+4,92</t>
  </si>
  <si>
    <t xml:space="preserve">186+8,74</t>
  </si>
  <si>
    <t xml:space="preserve">191+12,00</t>
  </si>
  <si>
    <t xml:space="preserve">207+7,22</t>
  </si>
  <si>
    <t xml:space="preserve">210+2,62</t>
  </si>
  <si>
    <t xml:space="preserve">239+7,82</t>
  </si>
  <si>
    <t xml:space="preserve">328+2,24</t>
  </si>
  <si>
    <t xml:space="preserve">384+10,80</t>
  </si>
  <si>
    <t xml:space="preserve">384+17,28</t>
  </si>
  <si>
    <t xml:space="preserve">473+7,10</t>
  </si>
  <si>
    <t xml:space="preserve">Qtd. contratual</t>
  </si>
  <si>
    <t xml:space="preserve">Valor contratual (R$)</t>
  </si>
  <si>
    <t xml:space="preserve">Categoria</t>
  </si>
  <si>
    <t xml:space="preserve">Aço CA-50 (kg)</t>
  </si>
  <si>
    <t xml:space="preserve">Outros (valor)</t>
  </si>
  <si>
    <t xml:space="preserve">Concreto (m³)</t>
  </si>
  <si>
    <t xml:space="preserve">Estaca raiz (m)</t>
  </si>
  <si>
    <t xml:space="preserve">Formas (m²)</t>
  </si>
  <si>
    <t xml:space="preserve">Pré-lajes (un)</t>
  </si>
  <si>
    <t xml:space="preserve">Vigas pré-moldadas (un)</t>
  </si>
  <si>
    <t xml:space="preserve">Aço de protensão CP-190 (kg)</t>
  </si>
  <si>
    <t xml:space="preserve">Ponte sobre o Rio do Salto, Est. 235+6,000 a 237+1,000 (projeto DE-E-PR-990-000-012-9-ES-2). Quantidades = planilha contratual (o projeto estrutural não traz quadro de quantidades).</t>
  </si>
  <si>
    <t xml:space="preserve">Muro</t>
  </si>
  <si>
    <t xml:space="preserve">Material</t>
  </si>
  <si>
    <t xml:space="preserve">Quantidade</t>
  </si>
  <si>
    <t xml:space="preserve">Valor (R$)</t>
  </si>
  <si>
    <t xml:space="preserve">MURO LE 1</t>
  </si>
  <si>
    <t xml:space="preserve">436+3,00</t>
  </si>
  <si>
    <t xml:space="preserve">438+4,00</t>
  </si>
  <si>
    <t xml:space="preserve">Terramesh 0,50x1,00x4,00 m (un)</t>
  </si>
  <si>
    <t xml:space="preserve">Terramesh 0,50x1,00x5,00 m (un)</t>
  </si>
  <si>
    <t xml:space="preserve">Terramesh 1,00x1,00x4,00 m (un)</t>
  </si>
  <si>
    <t xml:space="preserve">Terramesh 1,00x1,00x5,00 m (un)</t>
  </si>
  <si>
    <t xml:space="preserve">Gabião tipo caixa h=0,50 m (m³)</t>
  </si>
  <si>
    <t xml:space="preserve">Gabião tipo caixa h=1,00 m (m³)</t>
  </si>
  <si>
    <t xml:space="preserve">Filtro geotêxtil (m²)</t>
  </si>
  <si>
    <t xml:space="preserve">Rachão para preparação da base (m³)</t>
  </si>
  <si>
    <t xml:space="preserve">Área de face do muro (m²)</t>
  </si>
  <si>
    <t xml:space="preserve">MURO LD 1</t>
  </si>
  <si>
    <t xml:space="preserve">438+5,00</t>
  </si>
  <si>
    <t xml:space="preserve">442+5,00</t>
  </si>
  <si>
    <t xml:space="preserve">Fonte: projeto de contenção DE-E-PR-990-000-012-2-CO-2 (quadros de materiais por muro). Extensão do muro = primeira e última seção transversal.</t>
  </si>
  <si>
    <t xml:space="preserve">Poste</t>
  </si>
  <si>
    <t xml:space="preserve">Estaca aprox. (dec.)</t>
  </si>
  <si>
    <t xml:space="preserve">Luminária</t>
  </si>
  <si>
    <t xml:space="preserve">Local</t>
  </si>
  <si>
    <t xml:space="preserve">Valor proporcional do grupo (R$)</t>
  </si>
  <si>
    <t xml:space="preserve">LED 153W</t>
  </si>
  <si>
    <t xml:space="preserve">Eixo PR-990</t>
  </si>
  <si>
    <t xml:space="preserve">Ramo da interseção</t>
  </si>
  <si>
    <t xml:space="preserve">LED 233W</t>
  </si>
  <si>
    <t xml:space="preserve">Interseção 01 – Barra dos Andrades (projeto DE-E-PR-990-000-013-2-IL-1), 26 postes; valor do grupo ILUMINAÇÃO do contrato (R$ 269.878,86) rateado igualmente por poste, Estacas aproximadas pela posição do rótulo da luminária,</t>
  </si>
  <si>
    <t xml:space="preserve">Cerca a implantar LE (m)</t>
  </si>
  <si>
    <t xml:space="preserve">Cerca a implantar LD (m)</t>
  </si>
  <si>
    <t xml:space="preserve">Cerca a remover LE (m)</t>
  </si>
  <si>
    <t xml:space="preserve">Cerca a remover LD (m)</t>
  </si>
  <si>
    <t xml:space="preserve">117+6,22</t>
  </si>
  <si>
    <t xml:space="preserve">Abrigo de ônibus (ponto projetado)</t>
  </si>
  <si>
    <t xml:space="preserve">OC-01-0002</t>
  </si>
  <si>
    <t xml:space="preserve">119+6,78</t>
  </si>
  <si>
    <t xml:space="preserve">169+4,50</t>
  </si>
  <si>
    <t xml:space="preserve">OC-01-0003</t>
  </si>
  <si>
    <t xml:space="preserve">173+0,82</t>
  </si>
  <si>
    <t xml:space="preserve">209+10,84</t>
  </si>
  <si>
    <t xml:space="preserve">211+1,66</t>
  </si>
  <si>
    <t xml:space="preserve">252+6,26</t>
  </si>
  <si>
    <t xml:space="preserve">OC-01-0004</t>
  </si>
  <si>
    <t xml:space="preserve">254+9,64</t>
  </si>
  <si>
    <t xml:space="preserve">361+19,54</t>
  </si>
  <si>
    <t xml:space="preserve">OC-01-0006</t>
  </si>
  <si>
    <t xml:space="preserve">362+1,66</t>
  </si>
  <si>
    <t xml:space="preserve">OC-01-0005</t>
  </si>
  <si>
    <t xml:space="preserve">417+7,70</t>
  </si>
  <si>
    <t xml:space="preserve">424+13,04</t>
  </si>
  <si>
    <t xml:space="preserve">471+0,30</t>
  </si>
  <si>
    <t xml:space="preserve">OC-01-0007</t>
  </si>
  <si>
    <t xml:space="preserve">471+2,94</t>
  </si>
  <si>
    <t xml:space="preserve">499+7,16</t>
  </si>
  <si>
    <t xml:space="preserve">523+10,40</t>
  </si>
  <si>
    <t xml:space="preserve">OC-01-0008</t>
  </si>
  <si>
    <t xml:space="preserve">597+13,78</t>
  </si>
  <si>
    <t xml:space="preserve">Passeio / acesso de veículos a implantar</t>
  </si>
  <si>
    <t xml:space="preserve">OC-01-0009</t>
  </si>
  <si>
    <t xml:space="preserve">599+16,16</t>
  </si>
  <si>
    <t xml:space="preserve">602+4,32</t>
  </si>
  <si>
    <t xml:space="preserve">604+3,94</t>
  </si>
  <si>
    <t xml:space="preserve">604+8,26</t>
  </si>
  <si>
    <t xml:space="preserve">607+16,24</t>
  </si>
  <si>
    <t xml:space="preserve">609+5,18</t>
  </si>
  <si>
    <t xml:space="preserve">610+8,36</t>
  </si>
  <si>
    <t xml:space="preserve">612+10,88</t>
  </si>
  <si>
    <t xml:space="preserve">613+10,80</t>
  </si>
  <si>
    <t xml:space="preserve">614+7,68</t>
  </si>
  <si>
    <t xml:space="preserve">614+13,16</t>
  </si>
  <si>
    <t xml:space="preserve">615+1,40</t>
  </si>
  <si>
    <t xml:space="preserve">615+16,36</t>
  </si>
  <si>
    <t xml:space="preserve">616+11,64</t>
  </si>
  <si>
    <t xml:space="preserve">618+1,26</t>
  </si>
  <si>
    <t xml:space="preserve">618+7,92</t>
  </si>
  <si>
    <t xml:space="preserve">618+14,72</t>
  </si>
  <si>
    <t xml:space="preserve">619+10,60</t>
  </si>
  <si>
    <t xml:space="preserve">619+17,84</t>
  </si>
  <si>
    <t xml:space="preserve">620+12,54</t>
  </si>
  <si>
    <t xml:space="preserve">620+14,48</t>
  </si>
  <si>
    <t xml:space="preserve">Passeio a demolir</t>
  </si>
  <si>
    <t xml:space="preserve">620+17,20</t>
  </si>
  <si>
    <t xml:space="preserve">621+15,50</t>
  </si>
  <si>
    <t xml:space="preserve">621+17,30</t>
  </si>
  <si>
    <t xml:space="preserve">624+7,20</t>
  </si>
  <si>
    <t xml:space="preserve">625+16,08</t>
  </si>
  <si>
    <t xml:space="preserve">628+4,24</t>
  </si>
  <si>
    <t xml:space="preserve">629+2,20</t>
  </si>
  <si>
    <t xml:space="preserve">629+3,86</t>
  </si>
  <si>
    <t xml:space="preserve">629+6,88</t>
  </si>
  <si>
    <t xml:space="preserve">630+16,14</t>
  </si>
  <si>
    <t xml:space="preserve">631+0,42</t>
  </si>
  <si>
    <t xml:space="preserve">631+3,78</t>
  </si>
  <si>
    <t xml:space="preserve">631+12,28</t>
  </si>
  <si>
    <t xml:space="preserve">632+6,60</t>
  </si>
  <si>
    <t xml:space="preserve">633+0,52</t>
  </si>
  <si>
    <t xml:space="preserve">633+14,02</t>
  </si>
  <si>
    <t xml:space="preserve">634+4,14</t>
  </si>
  <si>
    <t xml:space="preserve">636+0,76</t>
  </si>
  <si>
    <t xml:space="preserve">637+6,54</t>
  </si>
  <si>
    <t xml:space="preserve">637+10,56</t>
  </si>
  <si>
    <t xml:space="preserve">642+5,50</t>
  </si>
  <si>
    <t xml:space="preserve">Bueiro existente a remover</t>
  </si>
  <si>
    <t xml:space="preserve">L do bueiro (m)</t>
  </si>
  <si>
    <t xml:space="preserve">Linhas de tubo</t>
  </si>
  <si>
    <t xml:space="preserve">Metros de tubo a remover</t>
  </si>
  <si>
    <t xml:space="preserve">169+12,64</t>
  </si>
  <si>
    <t xml:space="preserve">BSTC Ø 0,40</t>
  </si>
  <si>
    <t xml:space="preserve">DR-3-0002 (perfil 169+12,64)</t>
  </si>
  <si>
    <t xml:space="preserve">200+11,31</t>
  </si>
  <si>
    <t xml:space="preserve">DR-3-0002</t>
  </si>
  <si>
    <t xml:space="preserve">259+19,93</t>
  </si>
  <si>
    <t xml:space="preserve">DR-3-0002 (ramo 3002+18,52, lançado na Est. 326)</t>
  </si>
  <si>
    <t xml:space="preserve">377+3,86</t>
  </si>
  <si>
    <t xml:space="preserve">DR-3-0003</t>
  </si>
  <si>
    <t xml:space="preserve">430+10,18</t>
  </si>
  <si>
    <t xml:space="preserve">PONTILHÃO 5,00x3,10</t>
  </si>
  <si>
    <t xml:space="preserve">BDTC Ø 1,00</t>
  </si>
  <si>
    <t xml:space="preserve">434+3,46</t>
  </si>
  <si>
    <t xml:space="preserve">493+10,20</t>
  </si>
  <si>
    <t xml:space="preserve">DR-3-0004</t>
  </si>
  <si>
    <t xml:space="preserve">DR-3-0005</t>
  </si>
  <si>
    <t xml:space="preserve">608+5,27</t>
  </si>
  <si>
    <t xml:space="preserve">Fonte: perfis de bueiros DE-E-PR-990-000-012-2-DR-3-0002 a 0005 (quadro "BUEIRO EXISTENTE – REMOVER"). Bueiro duplo = 2 linhas de tubo.</t>
  </si>
  <si>
    <t xml:space="preserve">Canal</t>
  </si>
  <si>
    <t xml:space="preserve">Gabião caixa h=0,50 (m³)</t>
  </si>
  <si>
    <t xml:space="preserve">Gabião caixa h=1,00 (m³)</t>
  </si>
  <si>
    <t xml:space="preserve">Colchão Reno (m²)</t>
  </si>
  <si>
    <t xml:space="preserve">Lastro de rachão (m³)</t>
  </si>
  <si>
    <t xml:space="preserve">Geotêxtil MacTex (m²)</t>
  </si>
  <si>
    <t xml:space="preserve">Pedra argamassada e=0,20 (m³)</t>
  </si>
  <si>
    <t xml:space="preserve">Escavação dos canais (m³)</t>
  </si>
  <si>
    <t xml:space="preserve">Rio Arroio dos Cristianos – montante do BTCC 160+7,44</t>
  </si>
  <si>
    <t xml:space="preserve">DR-5-0001</t>
  </si>
  <si>
    <t xml:space="preserve">Rio Arroio dos Cristianos – jusante do BTCC 160+7,44</t>
  </si>
  <si>
    <t xml:space="preserve">Canal Rio do Salto (sob a ponte)</t>
  </si>
  <si>
    <t xml:space="preserve">DR-5-0002/0003/0004</t>
  </si>
  <si>
    <t xml:space="preserve">Canal longitudinal 312+6,30 a 323+5,00</t>
  </si>
  <si>
    <t xml:space="preserve">DR-5-0005</t>
  </si>
  <si>
    <t xml:space="preserve">Canal conector bueiros 323+3,95 e 3003+5,01</t>
  </si>
  <si>
    <t xml:space="preserve">DR-5-0006</t>
  </si>
  <si>
    <t xml:space="preserve">Rio Poço Bonito – trecho 1</t>
  </si>
  <si>
    <t xml:space="preserve">DR-5-0007</t>
  </si>
  <si>
    <t xml:space="preserve">Rio Poço Bonito – trecho 2</t>
  </si>
  <si>
    <t xml:space="preserve">Rio Poço Bonito – trecho 3 (base 16 m – memória)</t>
  </si>
  <si>
    <t xml:space="preserve">Rio Poço Bonito – trecho 4</t>
  </si>
  <si>
    <t xml:space="preserve">Canal de captação bueiro 568+14,28</t>
  </si>
  <si>
    <t xml:space="preserve">DR-5-0008</t>
  </si>
  <si>
    <t xml:space="preserve">Canal de captação bueiro 623+11,00</t>
  </si>
  <si>
    <t xml:space="preserve">DR-5-0009/0010</t>
  </si>
  <si>
    <t xml:space="preserve">Canal de deságue bueiro 623+11,00</t>
  </si>
  <si>
    <t xml:space="preserve">DR-5-0009</t>
  </si>
  <si>
    <t xml:space="preserve">Quantidades = extensão do canal × consumo por metro medido na seção tipo de cada prancha (colchão e geotêxtil pelo perímetro revestido; lastro de rachão e = 0,40 m; pedra argamassada e = 0,20 m;</t>
  </si>
  <si>
    <t xml:space="preserve">gabiões pelas caixas desenhadas nas margens). Os consumos por metro estão nas fórmulas de cada célula. Escavação dos canais em colchão/gabião estimada pela área da seção (base, altura da memória e taludes 1,5:1) × extensão.</t>
  </si>
  <si>
    <t xml:space="preserve">Rio do Salto distribuído sob a ponte; Poço Bonito junto ao bueiro BTCC 3,00 x 4,00 (Est. 430+11,65); demais pelas estacas das pranchas.</t>
  </si>
  <si>
    <t xml:space="preserve">Tachas (un)</t>
  </si>
  <si>
    <t xml:space="preserve">Tipo de faixa</t>
  </si>
  <si>
    <t xml:space="preserve">Serviço (área)</t>
  </si>
  <si>
    <t xml:space="preserve">Tipo de tacha</t>
  </si>
  <si>
    <t xml:space="preserve">LINHA DE BORDO BRANCA (e0.10 t12)</t>
  </si>
  <si>
    <t xml:space="preserve">Faixas (aspersão)</t>
  </si>
  <si>
    <t xml:space="preserve">Tacha monodirecional</t>
  </si>
  <si>
    <t xml:space="preserve">115+6,00</t>
  </si>
  <si>
    <t xml:space="preserve">FAIXA AMARELA DUPLA CONTÍNUA (e0.10 t8)</t>
  </si>
  <si>
    <t xml:space="preserve">Tachão bidirecional</t>
  </si>
  <si>
    <t xml:space="preserve">12+5,00</t>
  </si>
  <si>
    <t xml:space="preserve">FAIXA AMARELA CONTÍNUA (e0.10 t8)</t>
  </si>
  <si>
    <t xml:space="preserve">FAIXA AMARELA TRACEJADA (e4x4x0.15 t8)</t>
  </si>
  <si>
    <t xml:space="preserve">Tacha bidirecional</t>
  </si>
  <si>
    <t xml:space="preserve">56+5,00</t>
  </si>
  <si>
    <t xml:space="preserve">Eixo</t>
  </si>
  <si>
    <t xml:space="preserve">85+10,00</t>
  </si>
  <si>
    <t xml:space="preserve">121+10,00</t>
  </si>
  <si>
    <t xml:space="preserve">115+6,02</t>
  </si>
  <si>
    <t xml:space="preserve">121+6,00</t>
  </si>
  <si>
    <t xml:space="preserve">FAIXA BRANCA TRACEJADA (e2x2x0.10 t4)</t>
  </si>
  <si>
    <t xml:space="preserve">117+0,76</t>
  </si>
  <si>
    <t xml:space="preserve">122+19,40</t>
  </si>
  <si>
    <t xml:space="preserve">121+6,02</t>
  </si>
  <si>
    <t xml:space="preserve">170+14,40</t>
  </si>
  <si>
    <t xml:space="preserve">123+10,00</t>
  </si>
  <si>
    <t xml:space="preserve">167+6,10</t>
  </si>
  <si>
    <t xml:space="preserve">219+15,00</t>
  </si>
  <si>
    <t xml:space="preserve">167+6,04</t>
  </si>
  <si>
    <t xml:space="preserve">173+5,80</t>
  </si>
  <si>
    <t xml:space="preserve">167+6,05</t>
  </si>
  <si>
    <t xml:space="preserve">173+5,20</t>
  </si>
  <si>
    <t xml:space="preserve">176+14,40</t>
  </si>
  <si>
    <t xml:space="preserve">173+5,81</t>
  </si>
  <si>
    <t xml:space="preserve">208+13,40</t>
  </si>
  <si>
    <t xml:space="preserve">207+10,00</t>
  </si>
  <si>
    <t xml:space="preserve">213+10,00</t>
  </si>
  <si>
    <t xml:space="preserve">207+10,90</t>
  </si>
  <si>
    <t xml:space="preserve">213+9,50</t>
  </si>
  <si>
    <t xml:space="preserve">214+13,40</t>
  </si>
  <si>
    <t xml:space="preserve">249+14,10</t>
  </si>
  <si>
    <t xml:space="preserve">252+10,00</t>
  </si>
  <si>
    <t xml:space="preserve">234+13,00</t>
  </si>
  <si>
    <t xml:space="preserve">237+15,00</t>
  </si>
  <si>
    <t xml:space="preserve">256+5,00</t>
  </si>
  <si>
    <t xml:space="preserve">255+14,10</t>
  </si>
  <si>
    <t xml:space="preserve">258+10,00</t>
  </si>
  <si>
    <t xml:space="preserve">252+10,60</t>
  </si>
  <si>
    <t xml:space="preserve">258+9,60</t>
  </si>
  <si>
    <t xml:space="preserve">315+11,90</t>
  </si>
  <si>
    <t xml:space="preserve">359+15,40</t>
  </si>
  <si>
    <t xml:space="preserve">273+5,00</t>
  </si>
  <si>
    <t xml:space="preserve">287+5,00</t>
  </si>
  <si>
    <t xml:space="preserve">294+15,00</t>
  </si>
  <si>
    <t xml:space="preserve">310+11,90</t>
  </si>
  <si>
    <t xml:space="preserve">316+14,90</t>
  </si>
  <si>
    <t xml:space="preserve">321+17,90</t>
  </si>
  <si>
    <t xml:space="preserve">FAIXA AMARELA ZEBRADO (EXTERNA)</t>
  </si>
  <si>
    <t xml:space="preserve">Setas, zebrados, legendas e faixas de pedestre (extrusão)</t>
  </si>
  <si>
    <t xml:space="preserve">317+14,40</t>
  </si>
  <si>
    <t xml:space="preserve">317+14,70</t>
  </si>
  <si>
    <t xml:space="preserve">FAIXA AMARELA ZEBRADO (INTERNO)</t>
  </si>
  <si>
    <t xml:space="preserve">317+16,40</t>
  </si>
  <si>
    <t xml:space="preserve">317+16,80</t>
  </si>
  <si>
    <t xml:space="preserve">317+18,40</t>
  </si>
  <si>
    <t xml:space="preserve">317+18,90</t>
  </si>
  <si>
    <t xml:space="preserve">318+0,35</t>
  </si>
  <si>
    <t xml:space="preserve">318+1,10</t>
  </si>
  <si>
    <t xml:space="preserve">318+2,59</t>
  </si>
  <si>
    <t xml:space="preserve">318+3,30</t>
  </si>
  <si>
    <t xml:space="preserve">318+4,62</t>
  </si>
  <si>
    <t xml:space="preserve">318+5,40</t>
  </si>
  <si>
    <t xml:space="preserve">318+6,52</t>
  </si>
  <si>
    <t xml:space="preserve">318+7,50</t>
  </si>
  <si>
    <t xml:space="preserve">318+8,51</t>
  </si>
  <si>
    <t xml:space="preserve">318+9,60</t>
  </si>
  <si>
    <t xml:space="preserve">318+10,60</t>
  </si>
  <si>
    <t xml:space="preserve">318+11,70</t>
  </si>
  <si>
    <t xml:space="preserve">318+12,60</t>
  </si>
  <si>
    <t xml:space="preserve">318+13,70</t>
  </si>
  <si>
    <t xml:space="preserve">318+14,60</t>
  </si>
  <si>
    <t xml:space="preserve">318+16,00</t>
  </si>
  <si>
    <t xml:space="preserve">318+16,40</t>
  </si>
  <si>
    <t xml:space="preserve">318+18,10</t>
  </si>
  <si>
    <t xml:space="preserve">318+18,40</t>
  </si>
  <si>
    <t xml:space="preserve">319+0,40</t>
  </si>
  <si>
    <t xml:space="preserve">PINTURA DE LEGENDA</t>
  </si>
  <si>
    <t xml:space="preserve">319+0,28</t>
  </si>
  <si>
    <t xml:space="preserve">324+16,70</t>
  </si>
  <si>
    <t xml:space="preserve">319+0,36</t>
  </si>
  <si>
    <t xml:space="preserve">319+2,40</t>
  </si>
  <si>
    <t xml:space="preserve">319+2,43</t>
  </si>
  <si>
    <t xml:space="preserve">319+4,70</t>
  </si>
  <si>
    <t xml:space="preserve">319+4,31</t>
  </si>
  <si>
    <t xml:space="preserve">319+6,80</t>
  </si>
  <si>
    <t xml:space="preserve">319+6,44</t>
  </si>
  <si>
    <t xml:space="preserve">319+8,90</t>
  </si>
  <si>
    <t xml:space="preserve">319+8,39</t>
  </si>
  <si>
    <t xml:space="preserve">319+11,00</t>
  </si>
  <si>
    <t xml:space="preserve">319+10,30</t>
  </si>
  <si>
    <t xml:space="preserve">319+13,30</t>
  </si>
  <si>
    <t xml:space="preserve">319+12,30</t>
  </si>
  <si>
    <t xml:space="preserve">319+15,30</t>
  </si>
  <si>
    <t xml:space="preserve">319+14,40</t>
  </si>
  <si>
    <t xml:space="preserve">319+17,50</t>
  </si>
  <si>
    <t xml:space="preserve">319+16,40</t>
  </si>
  <si>
    <t xml:space="preserve">319+18,50</t>
  </si>
  <si>
    <t xml:space="preserve">320+1,90</t>
  </si>
  <si>
    <t xml:space="preserve">320+0,37</t>
  </si>
  <si>
    <t xml:space="preserve">320+4,00</t>
  </si>
  <si>
    <t xml:space="preserve">320+2,38</t>
  </si>
  <si>
    <t xml:space="preserve">320+6,10</t>
  </si>
  <si>
    <t xml:space="preserve">320+4,46</t>
  </si>
  <si>
    <t xml:space="preserve">320+8,20</t>
  </si>
  <si>
    <t xml:space="preserve">320+6,56</t>
  </si>
  <si>
    <t xml:space="preserve">320+10,40</t>
  </si>
  <si>
    <t xml:space="preserve">320+8,52</t>
  </si>
  <si>
    <t xml:space="preserve">320+12,40</t>
  </si>
  <si>
    <t xml:space="preserve">320+10,10</t>
  </si>
  <si>
    <t xml:space="preserve">324+5,70</t>
  </si>
  <si>
    <t xml:space="preserve">320+10,60</t>
  </si>
  <si>
    <t xml:space="preserve">320+14,40</t>
  </si>
  <si>
    <t xml:space="preserve">320+12,70</t>
  </si>
  <si>
    <t xml:space="preserve">320+16,40</t>
  </si>
  <si>
    <t xml:space="preserve">320+14,80</t>
  </si>
  <si>
    <t xml:space="preserve">320+18,60</t>
  </si>
  <si>
    <t xml:space="preserve">320+16,80</t>
  </si>
  <si>
    <t xml:space="preserve">321+0,40</t>
  </si>
  <si>
    <t xml:space="preserve">320+19,00</t>
  </si>
  <si>
    <t xml:space="preserve">321+2,60</t>
  </si>
  <si>
    <t xml:space="preserve">321+1,05</t>
  </si>
  <si>
    <t xml:space="preserve">321+4,50</t>
  </si>
  <si>
    <t xml:space="preserve">321+3,13</t>
  </si>
  <si>
    <t xml:space="preserve">321+6,70</t>
  </si>
  <si>
    <t xml:space="preserve">321+5,18</t>
  </si>
  <si>
    <t xml:space="preserve">321+8,50</t>
  </si>
  <si>
    <t xml:space="preserve">321+7,27</t>
  </si>
  <si>
    <t xml:space="preserve">321+10,50</t>
  </si>
  <si>
    <t xml:space="preserve">321+9,43</t>
  </si>
  <si>
    <t xml:space="preserve">321+12,60</t>
  </si>
  <si>
    <t xml:space="preserve">321+11,50</t>
  </si>
  <si>
    <t xml:space="preserve">321+14,60</t>
  </si>
  <si>
    <t xml:space="preserve">321+13,70</t>
  </si>
  <si>
    <t xml:space="preserve">321+16,60</t>
  </si>
  <si>
    <t xml:space="preserve">321+15,80</t>
  </si>
  <si>
    <t xml:space="preserve">321+18,50</t>
  </si>
  <si>
    <t xml:space="preserve">322+0,60</t>
  </si>
  <si>
    <t xml:space="preserve">322+0,02</t>
  </si>
  <si>
    <t xml:space="preserve">322+2,60</t>
  </si>
  <si>
    <t xml:space="preserve">322+0,22</t>
  </si>
  <si>
    <t xml:space="preserve">333+3,30</t>
  </si>
  <si>
    <t xml:space="preserve">322+2,12</t>
  </si>
  <si>
    <t xml:space="preserve">322+4,70</t>
  </si>
  <si>
    <t xml:space="preserve">322+4,38</t>
  </si>
  <si>
    <t xml:space="preserve">322+6,70</t>
  </si>
  <si>
    <t xml:space="preserve">322+6,51</t>
  </si>
  <si>
    <t xml:space="preserve">322+8,70</t>
  </si>
  <si>
    <t xml:space="preserve">322+8,74</t>
  </si>
  <si>
    <t xml:space="preserve">322+10,80</t>
  </si>
  <si>
    <t xml:space="preserve">322+12,80</t>
  </si>
  <si>
    <t xml:space="preserve">322+13,00</t>
  </si>
  <si>
    <t xml:space="preserve">322+14,80</t>
  </si>
  <si>
    <t xml:space="preserve">322+15,20</t>
  </si>
  <si>
    <t xml:space="preserve">322+16,80</t>
  </si>
  <si>
    <t xml:space="preserve">322+17,30</t>
  </si>
  <si>
    <t xml:space="preserve">322+18,80</t>
  </si>
  <si>
    <t xml:space="preserve">322+19,40</t>
  </si>
  <si>
    <t xml:space="preserve">323+0,80</t>
  </si>
  <si>
    <t xml:space="preserve">323+1,56</t>
  </si>
  <si>
    <t xml:space="preserve">323+2,80</t>
  </si>
  <si>
    <t xml:space="preserve">323+3,73</t>
  </si>
  <si>
    <t xml:space="preserve">323+4,90</t>
  </si>
  <si>
    <t xml:space="preserve">323+5,86</t>
  </si>
  <si>
    <t xml:space="preserve">323+7,00</t>
  </si>
  <si>
    <t xml:space="preserve">323+8,01</t>
  </si>
  <si>
    <t xml:space="preserve">323+9,10</t>
  </si>
  <si>
    <t xml:space="preserve">323+10,00</t>
  </si>
  <si>
    <t xml:space="preserve">323+10,20</t>
  </si>
  <si>
    <t xml:space="preserve">323+11,20</t>
  </si>
  <si>
    <t xml:space="preserve">323+12,20</t>
  </si>
  <si>
    <t xml:space="preserve">323+13,40</t>
  </si>
  <si>
    <t xml:space="preserve">323+14,40</t>
  </si>
  <si>
    <t xml:space="preserve">323+15,60</t>
  </si>
  <si>
    <t xml:space="preserve">323+16,50</t>
  </si>
  <si>
    <t xml:space="preserve">323+17,70</t>
  </si>
  <si>
    <t xml:space="preserve">323+18,70</t>
  </si>
  <si>
    <t xml:space="preserve">324+0,86</t>
  </si>
  <si>
    <t xml:space="preserve">324+2,00</t>
  </si>
  <si>
    <t xml:space="preserve">324+3,05</t>
  </si>
  <si>
    <t xml:space="preserve">324+4,20</t>
  </si>
  <si>
    <t xml:space="preserve">324+5,02</t>
  </si>
  <si>
    <t xml:space="preserve">324+6,20</t>
  </si>
  <si>
    <t xml:space="preserve">324+5,66</t>
  </si>
  <si>
    <t xml:space="preserve">325+4,90</t>
  </si>
  <si>
    <t xml:space="preserve">FAIXA BRANCA CONTÍNUA (e0.10 t12)</t>
  </si>
  <si>
    <t xml:space="preserve">324+7,29</t>
  </si>
  <si>
    <t xml:space="preserve">324+8,40</t>
  </si>
  <si>
    <t xml:space="preserve">324+9,41</t>
  </si>
  <si>
    <t xml:space="preserve">324+10,60</t>
  </si>
  <si>
    <t xml:space="preserve">324+11,60</t>
  </si>
  <si>
    <t xml:space="preserve">324+12,70</t>
  </si>
  <si>
    <t xml:space="preserve">324+13,70</t>
  </si>
  <si>
    <t xml:space="preserve">324+14,80</t>
  </si>
  <si>
    <t xml:space="preserve">324+15,90</t>
  </si>
  <si>
    <t xml:space="preserve">324+17,00</t>
  </si>
  <si>
    <t xml:space="preserve">324+17,50</t>
  </si>
  <si>
    <t xml:space="preserve">325+14,00</t>
  </si>
  <si>
    <t xml:space="preserve">324+18,10</t>
  </si>
  <si>
    <t xml:space="preserve">324+19,30</t>
  </si>
  <si>
    <t xml:space="preserve">325+0,10</t>
  </si>
  <si>
    <t xml:space="preserve">325+1,30</t>
  </si>
  <si>
    <t xml:space="preserve">325+0,59</t>
  </si>
  <si>
    <t xml:space="preserve">325+12,80</t>
  </si>
  <si>
    <t xml:space="preserve">325+2,10</t>
  </si>
  <si>
    <t xml:space="preserve">325+2,19</t>
  </si>
  <si>
    <t xml:space="preserve">325+3,40</t>
  </si>
  <si>
    <t xml:space="preserve">325+4,38</t>
  </si>
  <si>
    <t xml:space="preserve">325+5,40</t>
  </si>
  <si>
    <t xml:space="preserve">325+4,88</t>
  </si>
  <si>
    <t xml:space="preserve">325+5,00</t>
  </si>
  <si>
    <t xml:space="preserve">LINHA BRANCA RETENÇÃO - VIA SECUNDÁRIA (e0.4)</t>
  </si>
  <si>
    <t xml:space="preserve">325+8,65</t>
  </si>
  <si>
    <t xml:space="preserve">325+8,70</t>
  </si>
  <si>
    <t xml:space="preserve">325+9,42</t>
  </si>
  <si>
    <t xml:space="preserve">325+11,70</t>
  </si>
  <si>
    <t xml:space="preserve">325+9,92</t>
  </si>
  <si>
    <t xml:space="preserve">325+10,10</t>
  </si>
  <si>
    <t xml:space="preserve">325+11,20</t>
  </si>
  <si>
    <t xml:space="preserve">325+11,60</t>
  </si>
  <si>
    <t xml:space="preserve">325+17,20</t>
  </si>
  <si>
    <t xml:space="preserve">325+12,40</t>
  </si>
  <si>
    <t xml:space="preserve">325+16,90</t>
  </si>
  <si>
    <t xml:space="preserve">325+13,10</t>
  </si>
  <si>
    <t xml:space="preserve">326+3,35</t>
  </si>
  <si>
    <t xml:space="preserve">326+5,70</t>
  </si>
  <si>
    <t xml:space="preserve">326+4,14</t>
  </si>
  <si>
    <t xml:space="preserve">332+15,90</t>
  </si>
  <si>
    <t xml:space="preserve">326+5,25</t>
  </si>
  <si>
    <t xml:space="preserve">326+5,50</t>
  </si>
  <si>
    <t xml:space="preserve">326+7,00</t>
  </si>
  <si>
    <t xml:space="preserve">326+7,50</t>
  </si>
  <si>
    <t xml:space="preserve">326+8,68</t>
  </si>
  <si>
    <t xml:space="preserve">326+9,40</t>
  </si>
  <si>
    <t xml:space="preserve">326+10,40</t>
  </si>
  <si>
    <t xml:space="preserve">326+11,00</t>
  </si>
  <si>
    <t xml:space="preserve">326+12,10</t>
  </si>
  <si>
    <t xml:space="preserve">326+12,90</t>
  </si>
  <si>
    <t xml:space="preserve">326+13,80</t>
  </si>
  <si>
    <t xml:space="preserve">326+14,40</t>
  </si>
  <si>
    <t xml:space="preserve">326+15,60</t>
  </si>
  <si>
    <t xml:space="preserve">326+16,20</t>
  </si>
  <si>
    <t xml:space="preserve">326+17,30</t>
  </si>
  <si>
    <t xml:space="preserve">326+18,00</t>
  </si>
  <si>
    <t xml:space="preserve">326+19,00</t>
  </si>
  <si>
    <t xml:space="preserve">326+19,20</t>
  </si>
  <si>
    <t xml:space="preserve">327+0,79</t>
  </si>
  <si>
    <t xml:space="preserve">327+1,40</t>
  </si>
  <si>
    <t xml:space="preserve">327+2,46</t>
  </si>
  <si>
    <t xml:space="preserve">327+3,20</t>
  </si>
  <si>
    <t xml:space="preserve">327+4,24</t>
  </si>
  <si>
    <t xml:space="preserve">327+4,90</t>
  </si>
  <si>
    <t xml:space="preserve">327+6,10</t>
  </si>
  <si>
    <t xml:space="preserve">327+6,80</t>
  </si>
  <si>
    <t xml:space="preserve">327+7,75</t>
  </si>
  <si>
    <t xml:space="preserve">327+8,40</t>
  </si>
  <si>
    <t xml:space="preserve">327+9,45</t>
  </si>
  <si>
    <t xml:space="preserve">327+10,20</t>
  </si>
  <si>
    <t xml:space="preserve">327+11,20</t>
  </si>
  <si>
    <t xml:space="preserve">327+12,00</t>
  </si>
  <si>
    <t xml:space="preserve">327+13,00</t>
  </si>
  <si>
    <t xml:space="preserve">327+13,70</t>
  </si>
  <si>
    <t xml:space="preserve">327+14,80</t>
  </si>
  <si>
    <t xml:space="preserve">327+15,40</t>
  </si>
  <si>
    <t xml:space="preserve">327+16,40</t>
  </si>
  <si>
    <t xml:space="preserve">327+17,20</t>
  </si>
  <si>
    <t xml:space="preserve">327+18,30</t>
  </si>
  <si>
    <t xml:space="preserve">327+19,00</t>
  </si>
  <si>
    <t xml:space="preserve">328+0,03</t>
  </si>
  <si>
    <t xml:space="preserve">328+0,80</t>
  </si>
  <si>
    <t xml:space="preserve">328+1,68</t>
  </si>
  <si>
    <t xml:space="preserve">328+2,50</t>
  </si>
  <si>
    <t xml:space="preserve">328+3,51</t>
  </si>
  <si>
    <t xml:space="preserve">328+4,20</t>
  </si>
  <si>
    <t xml:space="preserve">328+5,26</t>
  </si>
  <si>
    <t xml:space="preserve">328+6,10</t>
  </si>
  <si>
    <t xml:space="preserve">328+6,97</t>
  </si>
  <si>
    <t xml:space="preserve">328+7,70</t>
  </si>
  <si>
    <t xml:space="preserve">328+8,69</t>
  </si>
  <si>
    <t xml:space="preserve">328+9,40</t>
  </si>
  <si>
    <t xml:space="preserve">328+10,50</t>
  </si>
  <si>
    <t xml:space="preserve">328+11,20</t>
  </si>
  <si>
    <t xml:space="preserve">328+12,30</t>
  </si>
  <si>
    <t xml:space="preserve">328+13,00</t>
  </si>
  <si>
    <t xml:space="preserve">328+14,10</t>
  </si>
  <si>
    <t xml:space="preserve">328+14,90</t>
  </si>
  <si>
    <t xml:space="preserve">328+15,80</t>
  </si>
  <si>
    <t xml:space="preserve">328+16,60</t>
  </si>
  <si>
    <t xml:space="preserve">328+17,70</t>
  </si>
  <si>
    <t xml:space="preserve">328+18,50</t>
  </si>
  <si>
    <t xml:space="preserve">328+19,40</t>
  </si>
  <si>
    <t xml:space="preserve">329+0,20</t>
  </si>
  <si>
    <t xml:space="preserve">329+1,21</t>
  </si>
  <si>
    <t xml:space="preserve">329+2,10</t>
  </si>
  <si>
    <t xml:space="preserve">329+2,97</t>
  </si>
  <si>
    <t xml:space="preserve">329+3,70</t>
  </si>
  <si>
    <t xml:space="preserve">329+4,77</t>
  </si>
  <si>
    <t xml:space="preserve">329+5,60</t>
  </si>
  <si>
    <t xml:space="preserve">329+6,00</t>
  </si>
  <si>
    <t xml:space="preserve">329+7,40</t>
  </si>
  <si>
    <t xml:space="preserve">329+8,39</t>
  </si>
  <si>
    <t xml:space="preserve">329+9,30</t>
  </si>
  <si>
    <t xml:space="preserve">329+10,30</t>
  </si>
  <si>
    <t xml:space="preserve">329+11,00</t>
  </si>
  <si>
    <t xml:space="preserve">329+12,00</t>
  </si>
  <si>
    <t xml:space="preserve">329+12,90</t>
  </si>
  <si>
    <t xml:space="preserve">329+13,90</t>
  </si>
  <si>
    <t xml:space="preserve">329+14,80</t>
  </si>
  <si>
    <t xml:space="preserve">329+15,80</t>
  </si>
  <si>
    <t xml:space="preserve">329+16,60</t>
  </si>
  <si>
    <t xml:space="preserve">329+17,60</t>
  </si>
  <si>
    <t xml:space="preserve">329+18,50</t>
  </si>
  <si>
    <t xml:space="preserve">329+19,40</t>
  </si>
  <si>
    <t xml:space="preserve">330+0,40</t>
  </si>
  <si>
    <t xml:space="preserve">330+1,30</t>
  </si>
  <si>
    <t xml:space="preserve">330+2,20</t>
  </si>
  <si>
    <t xml:space="preserve">330+3,15</t>
  </si>
  <si>
    <t xml:space="preserve">330+4,00</t>
  </si>
  <si>
    <t xml:space="preserve">330+4,89</t>
  </si>
  <si>
    <t xml:space="preserve">330+5,70</t>
  </si>
  <si>
    <t xml:space="preserve">330+6,64</t>
  </si>
  <si>
    <t xml:space="preserve">330+7,60</t>
  </si>
  <si>
    <t xml:space="preserve">330+8,61</t>
  </si>
  <si>
    <t xml:space="preserve">330+9,60</t>
  </si>
  <si>
    <t xml:space="preserve">330+10,50</t>
  </si>
  <si>
    <t xml:space="preserve">330+11,40</t>
  </si>
  <si>
    <t xml:space="preserve">330+12,40</t>
  </si>
  <si>
    <t xml:space="preserve">330+13,30</t>
  </si>
  <si>
    <t xml:space="preserve">330+14,30</t>
  </si>
  <si>
    <t xml:space="preserve">330+15,20</t>
  </si>
  <si>
    <t xml:space="preserve">330+16,30</t>
  </si>
  <si>
    <t xml:space="preserve">330+17,10</t>
  </si>
  <si>
    <t xml:space="preserve">330+18,10</t>
  </si>
  <si>
    <t xml:space="preserve">330+19,00</t>
  </si>
  <si>
    <t xml:space="preserve">331+1,00</t>
  </si>
  <si>
    <t xml:space="preserve">331+1,84</t>
  </si>
  <si>
    <t xml:space="preserve">331+2,80</t>
  </si>
  <si>
    <t xml:space="preserve">331+3,91</t>
  </si>
  <si>
    <t xml:space="preserve">331+4,80</t>
  </si>
  <si>
    <t xml:space="preserve">331+5,68</t>
  </si>
  <si>
    <t xml:space="preserve">331+6,80</t>
  </si>
  <si>
    <t xml:space="preserve">331+7,60</t>
  </si>
  <si>
    <t xml:space="preserve">331+9,00</t>
  </si>
  <si>
    <t xml:space="preserve">331+9,67</t>
  </si>
  <si>
    <t xml:space="preserve">331+11,30</t>
  </si>
  <si>
    <t xml:space="preserve">331+11,70</t>
  </si>
  <si>
    <t xml:space="preserve">331+13,40</t>
  </si>
  <si>
    <t xml:space="preserve">331+13,70</t>
  </si>
  <si>
    <t xml:space="preserve">331+15,70</t>
  </si>
  <si>
    <t xml:space="preserve">331+15,60</t>
  </si>
  <si>
    <t xml:space="preserve">331+17,70</t>
  </si>
  <si>
    <t xml:space="preserve">332+0,10</t>
  </si>
  <si>
    <t xml:space="preserve">332+2,20</t>
  </si>
  <si>
    <t xml:space="preserve">332+1,88</t>
  </si>
  <si>
    <t xml:space="preserve">332+4,30</t>
  </si>
  <si>
    <t xml:space="preserve">332+3,99</t>
  </si>
  <si>
    <t xml:space="preserve">332+6,40</t>
  </si>
  <si>
    <t xml:space="preserve">332+6,24</t>
  </si>
  <si>
    <t xml:space="preserve">332+8,50</t>
  </si>
  <si>
    <t xml:space="preserve">332+8,48</t>
  </si>
  <si>
    <t xml:space="preserve">332+10,80</t>
  </si>
  <si>
    <t xml:space="preserve">332+10,70</t>
  </si>
  <si>
    <t xml:space="preserve">332+13,00</t>
  </si>
  <si>
    <t xml:space="preserve">332+12,80</t>
  </si>
  <si>
    <t xml:space="preserve">332+15,10</t>
  </si>
  <si>
    <t xml:space="preserve">332+15,20</t>
  </si>
  <si>
    <t xml:space="preserve">332+17,20</t>
  </si>
  <si>
    <t xml:space="preserve">332+17,60</t>
  </si>
  <si>
    <t xml:space="preserve">332+19,50</t>
  </si>
  <si>
    <t xml:space="preserve">333+1,60</t>
  </si>
  <si>
    <t xml:space="preserve">333+1,99</t>
  </si>
  <si>
    <t xml:space="preserve">333+3,70</t>
  </si>
  <si>
    <t xml:space="preserve">333+3,29</t>
  </si>
  <si>
    <t xml:space="preserve">336+6,00</t>
  </si>
  <si>
    <t xml:space="preserve">333+4,28</t>
  </si>
  <si>
    <t xml:space="preserve">333+5,80</t>
  </si>
  <si>
    <t xml:space="preserve">333+6,72</t>
  </si>
  <si>
    <t xml:space="preserve">333+8,20</t>
  </si>
  <si>
    <t xml:space="preserve">333+8,87</t>
  </si>
  <si>
    <t xml:space="preserve">333+10,30</t>
  </si>
  <si>
    <t xml:space="preserve">333+11,30</t>
  </si>
  <si>
    <t xml:space="preserve">333+12,50</t>
  </si>
  <si>
    <t xml:space="preserve">333+13,50</t>
  </si>
  <si>
    <t xml:space="preserve">333+14,70</t>
  </si>
  <si>
    <t xml:space="preserve">333+15,90</t>
  </si>
  <si>
    <t xml:space="preserve">333+16,90</t>
  </si>
  <si>
    <t xml:space="preserve">333+18,10</t>
  </si>
  <si>
    <t xml:space="preserve">333+19,00</t>
  </si>
  <si>
    <t xml:space="preserve">334+0,39</t>
  </si>
  <si>
    <t xml:space="preserve">334+1,20</t>
  </si>
  <si>
    <t xml:space="preserve">334+2,71</t>
  </si>
  <si>
    <t xml:space="preserve">334+3,30</t>
  </si>
  <si>
    <t xml:space="preserve">334+5,07</t>
  </si>
  <si>
    <t xml:space="preserve">334+5,40</t>
  </si>
  <si>
    <t xml:space="preserve">334+10,30</t>
  </si>
  <si>
    <t xml:space="preserve">340+10,30</t>
  </si>
  <si>
    <t xml:space="preserve">347+15,10</t>
  </si>
  <si>
    <t xml:space="preserve">347+15,00</t>
  </si>
  <si>
    <t xml:space="preserve">386+10,00</t>
  </si>
  <si>
    <t xml:space="preserve">365+14,90</t>
  </si>
  <si>
    <t xml:space="preserve">365+15,10</t>
  </si>
  <si>
    <t xml:space="preserve">365+14,60</t>
  </si>
  <si>
    <t xml:space="preserve">393+3,70</t>
  </si>
  <si>
    <t xml:space="preserve">422+10,00</t>
  </si>
  <si>
    <t xml:space="preserve">386+9,95</t>
  </si>
  <si>
    <t xml:space="preserve">386+9,97</t>
  </si>
  <si>
    <t xml:space="preserve">402+3,60</t>
  </si>
  <si>
    <t xml:space="preserve">396+12,60</t>
  </si>
  <si>
    <t xml:space="preserve">396+16,20</t>
  </si>
  <si>
    <t xml:space="preserve">402+3,62</t>
  </si>
  <si>
    <t xml:space="preserve">415+1,50</t>
  </si>
  <si>
    <t xml:space="preserve">412+5,00</t>
  </si>
  <si>
    <t xml:space="preserve">421+2,00</t>
  </si>
  <si>
    <t xml:space="preserve">415+1,83</t>
  </si>
  <si>
    <t xml:space="preserve">421+1,30</t>
  </si>
  <si>
    <t xml:space="preserve">428+15,00</t>
  </si>
  <si>
    <t xml:space="preserve">421+1,97</t>
  </si>
  <si>
    <t xml:space="preserve">469+0,30</t>
  </si>
  <si>
    <t xml:space="preserve">422+9,95</t>
  </si>
  <si>
    <t xml:space="preserve">428+9,20</t>
  </si>
  <si>
    <t xml:space="preserve">428+9,15</t>
  </si>
  <si>
    <t xml:space="preserve">458+19,10</t>
  </si>
  <si>
    <t xml:space="preserve">432+5,00</t>
  </si>
  <si>
    <t xml:space="preserve">469+0,20</t>
  </si>
  <si>
    <t xml:space="preserve">475+5,00</t>
  </si>
  <si>
    <t xml:space="preserve">469+0,22</t>
  </si>
  <si>
    <t xml:space="preserve">469+0,32</t>
  </si>
  <si>
    <t xml:space="preserve">475+0,50</t>
  </si>
  <si>
    <t xml:space="preserve">490+9,70</t>
  </si>
  <si>
    <t xml:space="preserve">475+0,46</t>
  </si>
  <si>
    <t xml:space="preserve">486+17,40</t>
  </si>
  <si>
    <t xml:space="preserve">483+3,00</t>
  </si>
  <si>
    <t xml:space="preserve">496+8,80</t>
  </si>
  <si>
    <t xml:space="preserve">490+9,67</t>
  </si>
  <si>
    <t xml:space="preserve">516+7,70</t>
  </si>
  <si>
    <t xml:space="preserve">495+7,11</t>
  </si>
  <si>
    <t xml:space="preserve">496+8,82</t>
  </si>
  <si>
    <t xml:space="preserve">642+15,80</t>
  </si>
  <si>
    <t xml:space="preserve">496+15,40</t>
  </si>
  <si>
    <t xml:space="preserve">502+16,30</t>
  </si>
  <si>
    <t xml:space="preserve">509+4,60</t>
  </si>
  <si>
    <t xml:space="preserve">516+7,66</t>
  </si>
  <si>
    <t xml:space="preserve">520+0,60</t>
  </si>
  <si>
    <t xml:space="preserve">520+0,59</t>
  </si>
  <si>
    <t xml:space="preserve">526+0,60</t>
  </si>
  <si>
    <t xml:space="preserve">532+5,00</t>
  </si>
  <si>
    <t xml:space="preserve">526+0,56</t>
  </si>
  <si>
    <t xml:space="preserve">534+15,00</t>
  </si>
  <si>
    <t xml:space="preserve">592+5,00</t>
  </si>
  <si>
    <t xml:space="preserve">592+4,98</t>
  </si>
  <si>
    <t xml:space="preserve">599+15,00</t>
  </si>
  <si>
    <t xml:space="preserve">626+10,00</t>
  </si>
  <si>
    <t xml:space="preserve">622+13,70</t>
  </si>
  <si>
    <t xml:space="preserve">623+3,20</t>
  </si>
  <si>
    <t xml:space="preserve">FAIXA DE PEDESTRE</t>
  </si>
  <si>
    <t xml:space="preserve">622+18,30</t>
  </si>
  <si>
    <t xml:space="preserve">623+1,00</t>
  </si>
  <si>
    <t xml:space="preserve">633+15,00</t>
  </si>
  <si>
    <t xml:space="preserve">632+14,60</t>
  </si>
  <si>
    <t xml:space="preserve">633+1,00</t>
  </si>
  <si>
    <t xml:space="preserve">632+18,00</t>
  </si>
  <si>
    <t xml:space="preserve">633+1,20</t>
  </si>
  <si>
    <t xml:space="preserve">634+3,87</t>
  </si>
  <si>
    <t xml:space="preserve">634+10,40</t>
  </si>
  <si>
    <t xml:space="preserve">634+6,19</t>
  </si>
  <si>
    <t xml:space="preserve">634+6,20</t>
  </si>
  <si>
    <t xml:space="preserve">634+7,19</t>
  </si>
  <si>
    <t xml:space="preserve">634+10,70</t>
  </si>
  <si>
    <t xml:space="preserve">634+15,70</t>
  </si>
  <si>
    <t xml:space="preserve">635+0,50</t>
  </si>
  <si>
    <t xml:space="preserve">634+16,30</t>
  </si>
  <si>
    <t xml:space="preserve">635+1,20</t>
  </si>
  <si>
    <t xml:space="preserve">634+16,70</t>
  </si>
  <si>
    <t xml:space="preserve">635+3,14</t>
  </si>
  <si>
    <t xml:space="preserve">635+7,90</t>
  </si>
  <si>
    <t xml:space="preserve">635+3,86</t>
  </si>
  <si>
    <t xml:space="preserve">635+8,70</t>
  </si>
  <si>
    <t xml:space="preserve">635+5,70</t>
  </si>
  <si>
    <t xml:space="preserve">635+13,20</t>
  </si>
  <si>
    <t xml:space="preserve">635+19,20</t>
  </si>
  <si>
    <t xml:space="preserve">636+4,69</t>
  </si>
  <si>
    <t xml:space="preserve">636+4,70</t>
  </si>
  <si>
    <t xml:space="preserve">FAIXA DE PEDESTRE - TRAVESSIA ELEVADA</t>
  </si>
  <si>
    <t xml:space="preserve">639+1,83</t>
  </si>
  <si>
    <t xml:space="preserve">639+7,60</t>
  </si>
  <si>
    <t xml:space="preserve">639+4,95</t>
  </si>
  <si>
    <t xml:space="preserve">639+7,20</t>
  </si>
  <si>
    <t xml:space="preserve">Implantar</t>
  </si>
  <si>
    <t xml:space="preserve">Suportes (un)</t>
  </si>
  <si>
    <t xml:space="preserve">R-33</t>
  </si>
  <si>
    <t xml:space="preserve">R-24b</t>
  </si>
  <si>
    <t xml:space="preserve">I-025</t>
  </si>
  <si>
    <t xml:space="preserve">631+5,00</t>
  </si>
  <si>
    <t xml:space="preserve">632+10,00</t>
  </si>
  <si>
    <t xml:space="preserve">lombada</t>
  </si>
  <si>
    <t xml:space="preserve">634+11,00</t>
  </si>
  <si>
    <t xml:space="preserve">A-18</t>
  </si>
  <si>
    <t xml:space="preserve">Placas da interseção (sem estaca) e dos ramos lançadas na Est. 326.</t>
  </si>
  <si>
    <t xml:space="preserve">Serviço (título da memória)</t>
  </si>
  <si>
    <t xml:space="preserve">DEFENSA METÁLICA</t>
  </si>
  <si>
    <t xml:space="preserve">31+0,57</t>
  </si>
  <si>
    <t xml:space="preserve">31+4,60</t>
  </si>
  <si>
    <t xml:space="preserve">37+12,90</t>
  </si>
  <si>
    <t xml:space="preserve">39+8,90</t>
  </si>
  <si>
    <t xml:space="preserve">37+19,10</t>
  </si>
  <si>
    <t xml:space="preserve">38+19,10</t>
  </si>
  <si>
    <t xml:space="preserve">52+4,57</t>
  </si>
  <si>
    <t xml:space="preserve">65+12,60</t>
  </si>
  <si>
    <t xml:space="preserve">55+3,43</t>
  </si>
  <si>
    <t xml:space="preserve">58+11,40</t>
  </si>
  <si>
    <t xml:space="preserve">65+3,43</t>
  </si>
  <si>
    <t xml:space="preserve">66+15,40</t>
  </si>
  <si>
    <t xml:space="preserve">81+11,40</t>
  </si>
  <si>
    <t xml:space="preserve">82+7,40</t>
  </si>
  <si>
    <t xml:space="preserve">106+7,98</t>
  </si>
  <si>
    <t xml:space="preserve">116+8,00</t>
  </si>
  <si>
    <t xml:space="preserve">112+15,50</t>
  </si>
  <si>
    <t xml:space="preserve">124+12,50</t>
  </si>
  <si>
    <t xml:space="preserve">129+10,00</t>
  </si>
  <si>
    <t xml:space="preserve">126+9,90</t>
  </si>
  <si>
    <t xml:space="preserve">127+13,90</t>
  </si>
  <si>
    <t xml:space="preserve">137+12,50</t>
  </si>
  <si>
    <t xml:space="preserve">141+4,50</t>
  </si>
  <si>
    <t xml:space="preserve">138+7,28</t>
  </si>
  <si>
    <t xml:space="preserve">138+19,30</t>
  </si>
  <si>
    <t xml:space="preserve">156+4,48</t>
  </si>
  <si>
    <t xml:space="preserve">161+8,60</t>
  </si>
  <si>
    <t xml:space="preserve">156+7,28</t>
  </si>
  <si>
    <t xml:space="preserve">161+15,20</t>
  </si>
  <si>
    <t xml:space="preserve">168+8,00</t>
  </si>
  <si>
    <t xml:space="preserve">169+18,00</t>
  </si>
  <si>
    <t xml:space="preserve">TERMINAL ABATIDO</t>
  </si>
  <si>
    <t xml:space="preserve">188+9,12</t>
  </si>
  <si>
    <t xml:space="preserve">189+9,30</t>
  </si>
  <si>
    <t xml:space="preserve">199+6,35</t>
  </si>
  <si>
    <t xml:space="preserve">204+14,40</t>
  </si>
  <si>
    <t xml:space="preserve">201+3,60</t>
  </si>
  <si>
    <t xml:space="preserve">234+16,00</t>
  </si>
  <si>
    <t xml:space="preserve">235+8,00</t>
  </si>
  <si>
    <t xml:space="preserve">238+12,00</t>
  </si>
  <si>
    <t xml:space="preserve">238+16,00</t>
  </si>
  <si>
    <t xml:space="preserve">259+8,71</t>
  </si>
  <si>
    <t xml:space="preserve">259+12,50</t>
  </si>
  <si>
    <t xml:space="preserve">262+5,00</t>
  </si>
  <si>
    <t xml:space="preserve">268+2,31</t>
  </si>
  <si>
    <t xml:space="preserve">271+10,30</t>
  </si>
  <si>
    <t xml:space="preserve">268+14,70</t>
  </si>
  <si>
    <t xml:space="preserve">271+6,70</t>
  </si>
  <si>
    <t xml:space="preserve">309+15,00</t>
  </si>
  <si>
    <t xml:space="preserve">325+10,00</t>
  </si>
  <si>
    <t xml:space="preserve">317+18,00</t>
  </si>
  <si>
    <t xml:space="preserve">334+9,00</t>
  </si>
  <si>
    <t xml:space="preserve">314+18,30</t>
  </si>
  <si>
    <t xml:space="preserve">315+14,30</t>
  </si>
  <si>
    <t xml:space="preserve">321+14,90</t>
  </si>
  <si>
    <t xml:space="preserve">322+10,90</t>
  </si>
  <si>
    <t xml:space="preserve">322+1,79</t>
  </si>
  <si>
    <t xml:space="preserve">322+17,80</t>
  </si>
  <si>
    <t xml:space="preserve">322+19,50</t>
  </si>
  <si>
    <t xml:space="preserve">323+14,10</t>
  </si>
  <si>
    <t xml:space="preserve">323+13,70</t>
  </si>
  <si>
    <t xml:space="preserve">324+8,50</t>
  </si>
  <si>
    <t xml:space="preserve">325+15,00</t>
  </si>
  <si>
    <t xml:space="preserve">331+7,42</t>
  </si>
  <si>
    <t xml:space="preserve">332+3,60</t>
  </si>
  <si>
    <t xml:space="preserve">332+10,60</t>
  </si>
  <si>
    <t xml:space="preserve">333+6,30</t>
  </si>
  <si>
    <t xml:space="preserve">356+11,60</t>
  </si>
  <si>
    <t xml:space="preserve">357+11,80</t>
  </si>
  <si>
    <t xml:space="preserve">376+5,55</t>
  </si>
  <si>
    <t xml:space="preserve">377+17,60</t>
  </si>
  <si>
    <t xml:space="preserve">376+10,90</t>
  </si>
  <si>
    <t xml:space="preserve">377+14,90</t>
  </si>
  <si>
    <t xml:space="preserve">411+13,20</t>
  </si>
  <si>
    <t xml:space="preserve">413+3,20</t>
  </si>
  <si>
    <t xml:space="preserve">424+10,70</t>
  </si>
  <si>
    <t xml:space="preserve">437+12,00</t>
  </si>
  <si>
    <t xml:space="preserve">424+17,90</t>
  </si>
  <si>
    <t xml:space="preserve">451+0,50</t>
  </si>
  <si>
    <t xml:space="preserve">447+10,00</t>
  </si>
  <si>
    <t xml:space="preserve">468+4,44</t>
  </si>
  <si>
    <t xml:space="preserve">478+1,60</t>
  </si>
  <si>
    <t xml:space="preserve">487+7,60</t>
  </si>
  <si>
    <t xml:space="preserve">498+9,50</t>
  </si>
  <si>
    <t xml:space="preserve">526+4,00</t>
  </si>
  <si>
    <t xml:space="preserve">559+12,00</t>
  </si>
  <si>
    <t xml:space="preserve">559+16,20</t>
  </si>
  <si>
    <t xml:space="preserve">571+13,70</t>
  </si>
  <si>
    <t xml:space="preserve">560+14,90</t>
  </si>
  <si>
    <t xml:space="preserve">561+6,76</t>
  </si>
  <si>
    <t xml:space="preserve">561+12,00</t>
  </si>
  <si>
    <t xml:space="preserve">575+7,64</t>
  </si>
  <si>
    <t xml:space="preserve">579+12,10</t>
  </si>
  <si>
    <t xml:space="preserve">580+8,10</t>
  </si>
  <si>
    <t xml:space="preserve">591+1,68</t>
  </si>
  <si>
    <t xml:space="preserve">591+9,90</t>
  </si>
  <si>
    <t xml:space="preserve">591+9,88</t>
  </si>
  <si>
    <t xml:space="preserve">591+11,50</t>
  </si>
  <si>
    <t xml:space="preserve">591+19,40</t>
  </si>
  <si>
    <t xml:space="preserve">601+17,00</t>
  </si>
  <si>
    <t xml:space="preserve">602+13,00</t>
  </si>
  <si>
    <t xml:space="preserve">603+9,00</t>
  </si>
  <si>
    <t xml:space="preserve">604+5,00</t>
  </si>
  <si>
    <t xml:space="preserve">602+16,00</t>
  </si>
  <si>
    <t xml:space="preserve">603+10,00</t>
  </si>
  <si>
    <t xml:space="preserve">413+0,40</t>
  </si>
  <si>
    <t xml:space="preserve">413+16,40</t>
  </si>
  <si>
    <t xml:space="preserve">ATENUADOR</t>
  </si>
  <si>
    <t xml:space="preserve">TERMINAL ABSORVEDOR</t>
  </si>
  <si>
    <t xml:space="preserve">2+19,20</t>
  </si>
  <si>
    <t xml:space="preserve">4+11,20</t>
  </si>
  <si>
    <t xml:space="preserve">14+18,60</t>
  </si>
  <si>
    <t xml:space="preserve">15+16,00</t>
  </si>
  <si>
    <t xml:space="preserve">16+10,60</t>
  </si>
  <si>
    <t xml:space="preserve">17+12,00</t>
  </si>
  <si>
    <t xml:space="preserve">30+8,60</t>
  </si>
  <si>
    <t xml:space="preserve">37+0,90</t>
  </si>
  <si>
    <t xml:space="preserve">37+7,10</t>
  </si>
  <si>
    <t xml:space="preserve">51+12,60</t>
  </si>
  <si>
    <t xml:space="preserve">54+11,40</t>
  </si>
  <si>
    <t xml:space="preserve">64+11,40</t>
  </si>
  <si>
    <t xml:space="preserve">80+19,40</t>
  </si>
  <si>
    <t xml:space="preserve">105+16,00</t>
  </si>
  <si>
    <t xml:space="preserve">106+7,50</t>
  </si>
  <si>
    <t xml:space="preserve">124+0,50</t>
  </si>
  <si>
    <t xml:space="preserve">125+17,90</t>
  </si>
  <si>
    <t xml:space="preserve">128+16,50</t>
  </si>
  <si>
    <t xml:space="preserve">137+0,50</t>
  </si>
  <si>
    <t xml:space="preserve">137+15,30</t>
  </si>
  <si>
    <t xml:space="preserve">155+12,50</t>
  </si>
  <si>
    <t xml:space="preserve">155+15,30</t>
  </si>
  <si>
    <t xml:space="preserve">168+11,40</t>
  </si>
  <si>
    <t xml:space="preserve">169+19,50</t>
  </si>
  <si>
    <t xml:space="preserve">198+14,40</t>
  </si>
  <si>
    <t xml:space="preserve">199+7,60</t>
  </si>
  <si>
    <t xml:space="preserve">234+4,00</t>
  </si>
  <si>
    <t xml:space="preserve">250+19,00</t>
  </si>
  <si>
    <t xml:space="preserve">252+11,00</t>
  </si>
  <si>
    <t xml:space="preserve">262+2,30</t>
  </si>
  <si>
    <t xml:space="preserve">267+10,30</t>
  </si>
  <si>
    <t xml:space="preserve">268+2,70</t>
  </si>
  <si>
    <t xml:space="preserve">309+14,30</t>
  </si>
  <si>
    <t xml:space="preserve">310+16,90</t>
  </si>
  <si>
    <t xml:space="preserve">312+0,20</t>
  </si>
  <si>
    <t xml:space="preserve">357+11,90</t>
  </si>
  <si>
    <t xml:space="preserve">375+13,60</t>
  </si>
  <si>
    <t xml:space="preserve">375+18,80</t>
  </si>
  <si>
    <t xml:space="preserve">377+17,50</t>
  </si>
  <si>
    <t xml:space="preserve">411+1,20</t>
  </si>
  <si>
    <t xml:space="preserve">423+18,80</t>
  </si>
  <si>
    <t xml:space="preserve">424+5,80</t>
  </si>
  <si>
    <t xml:space="preserve">447+10,20</t>
  </si>
  <si>
    <t xml:space="preserve">467+12,10</t>
  </si>
  <si>
    <t xml:space="preserve">486+15,60</t>
  </si>
  <si>
    <t xml:space="preserve">525+7,90</t>
  </si>
  <si>
    <t xml:space="preserve">559+4,20</t>
  </si>
  <si>
    <t xml:space="preserve">574+15,70</t>
  </si>
  <si>
    <t xml:space="preserve">579+0,10</t>
  </si>
  <si>
    <t xml:space="preserve">590+19,50</t>
  </si>
  <si>
    <t xml:space="preserve">HIDROSSEMEADURA EM CORTES</t>
  </si>
  <si>
    <t xml:space="preserve">0+5,00</t>
  </si>
  <si>
    <t xml:space="preserve">3+12,00</t>
  </si>
  <si>
    <t xml:space="preserve">1+5,00</t>
  </si>
  <si>
    <t xml:space="preserve">5+15,00</t>
  </si>
  <si>
    <t xml:space="preserve">14+15,00</t>
  </si>
  <si>
    <t xml:space="preserve">6+5,00</t>
  </si>
  <si>
    <t xml:space="preserve">29+15,00</t>
  </si>
  <si>
    <t xml:space="preserve">36+15,00</t>
  </si>
  <si>
    <t xml:space="preserve">32+5,00</t>
  </si>
  <si>
    <t xml:space="preserve">42+2,00</t>
  </si>
  <si>
    <t xml:space="preserve">40+17,90</t>
  </si>
  <si>
    <t xml:space="preserve">41+7,44</t>
  </si>
  <si>
    <t xml:space="preserve">42+6,00</t>
  </si>
  <si>
    <t xml:space="preserve">49+2,36</t>
  </si>
  <si>
    <t xml:space="preserve">41+4,95</t>
  </si>
  <si>
    <t xml:space="preserve">42+8,36</t>
  </si>
  <si>
    <t xml:space="preserve">42+10,00</t>
  </si>
  <si>
    <t xml:space="preserve">51+10,00</t>
  </si>
  <si>
    <t xml:space="preserve">49+16,61</t>
  </si>
  <si>
    <t xml:space="preserve">50+2,01</t>
  </si>
  <si>
    <t xml:space="preserve">50+5,23</t>
  </si>
  <si>
    <t xml:space="preserve">49+19,26</t>
  </si>
  <si>
    <t xml:space="preserve">50+0,63</t>
  </si>
  <si>
    <t xml:space="preserve">63+5,00</t>
  </si>
  <si>
    <t xml:space="preserve">79+10,00</t>
  </si>
  <si>
    <t xml:space="preserve">67+10,00</t>
  </si>
  <si>
    <t xml:space="preserve">78+16,63</t>
  </si>
  <si>
    <t xml:space="preserve">104+10,00</t>
  </si>
  <si>
    <t xml:space="preserve">84+15,00</t>
  </si>
  <si>
    <t xml:space="preserve">95+7,67</t>
  </si>
  <si>
    <t xml:space="preserve">95+11,40</t>
  </si>
  <si>
    <t xml:space="preserve">96+0,52</t>
  </si>
  <si>
    <t xml:space="preserve">96+7,79</t>
  </si>
  <si>
    <t xml:space="preserve">104+15,00</t>
  </si>
  <si>
    <t xml:space="preserve">122+13,52</t>
  </si>
  <si>
    <t xml:space="preserve">122+0,16</t>
  </si>
  <si>
    <t xml:space="preserve">121+13,41</t>
  </si>
  <si>
    <t xml:space="preserve">122+15,42</t>
  </si>
  <si>
    <t xml:space="preserve">123+1,80</t>
  </si>
  <si>
    <t xml:space="preserve">123+2,39</t>
  </si>
  <si>
    <t xml:space="preserve">123+13,89</t>
  </si>
  <si>
    <t xml:space="preserve">127+15,00</t>
  </si>
  <si>
    <t xml:space="preserve">136+10,00</t>
  </si>
  <si>
    <t xml:space="preserve">128+10,00</t>
  </si>
  <si>
    <t xml:space="preserve">153+17,02</t>
  </si>
  <si>
    <t xml:space="preserve">155+4,00</t>
  </si>
  <si>
    <t xml:space="preserve">153+13,24</t>
  </si>
  <si>
    <t xml:space="preserve">154+2,03</t>
  </si>
  <si>
    <t xml:space="preserve">154+19,44</t>
  </si>
  <si>
    <t xml:space="preserve">155+6,01</t>
  </si>
  <si>
    <t xml:space="preserve">163+10,00</t>
  </si>
  <si>
    <t xml:space="preserve">199+10,00</t>
  </si>
  <si>
    <t xml:space="preserve">170+11,00</t>
  </si>
  <si>
    <t xml:space="preserve">202+5,00</t>
  </si>
  <si>
    <t xml:space="preserve">205+16,22</t>
  </si>
  <si>
    <t xml:space="preserve">204+15,00</t>
  </si>
  <si>
    <t xml:space="preserve">205+11,55</t>
  </si>
  <si>
    <t xml:space="preserve">207+13,84</t>
  </si>
  <si>
    <t xml:space="preserve">205+13,31</t>
  </si>
  <si>
    <t xml:space="preserve">206+2,35</t>
  </si>
  <si>
    <t xml:space="preserve">206+12,07</t>
  </si>
  <si>
    <t xml:space="preserve">206+14,00</t>
  </si>
  <si>
    <t xml:space="preserve">210+4,50</t>
  </si>
  <si>
    <t xml:space="preserve">207+11,65</t>
  </si>
  <si>
    <t xml:space="preserve">207+18,78</t>
  </si>
  <si>
    <t xml:space="preserve">225+5,00</t>
  </si>
  <si>
    <t xml:space="preserve">233+10,00</t>
  </si>
  <si>
    <t xml:space="preserve">232+15,00</t>
  </si>
  <si>
    <t xml:space="preserve">240+10,00</t>
  </si>
  <si>
    <t xml:space="preserve">245+10,00</t>
  </si>
  <si>
    <t xml:space="preserve">257+10,00</t>
  </si>
  <si>
    <t xml:space="preserve">255+15,50</t>
  </si>
  <si>
    <t xml:space="preserve">258+5,88</t>
  </si>
  <si>
    <t xml:space="preserve">258+9,45</t>
  </si>
  <si>
    <t xml:space="preserve">258+11,93</t>
  </si>
  <si>
    <t xml:space="preserve">258+14,18</t>
  </si>
  <si>
    <t xml:space="preserve">258+18,70</t>
  </si>
  <si>
    <t xml:space="preserve">259+15,00</t>
  </si>
  <si>
    <t xml:space="preserve">259+15,13</t>
  </si>
  <si>
    <t xml:space="preserve">260+3,02</t>
  </si>
  <si>
    <t xml:space="preserve">259+10,82</t>
  </si>
  <si>
    <t xml:space="preserve">259+14,51</t>
  </si>
  <si>
    <t xml:space="preserve">273+15,00</t>
  </si>
  <si>
    <t xml:space="preserve">275+9,91</t>
  </si>
  <si>
    <t xml:space="preserve">273+10,00</t>
  </si>
  <si>
    <t xml:space="preserve">303+10,00</t>
  </si>
  <si>
    <t xml:space="preserve">305+5,00</t>
  </si>
  <si>
    <t xml:space="preserve">307+5,00</t>
  </si>
  <si>
    <t xml:space="preserve">311+19,35</t>
  </si>
  <si>
    <t xml:space="preserve">311+19,42</t>
  </si>
  <si>
    <t xml:space="preserve">312+7,39</t>
  </si>
  <si>
    <t xml:space="preserve">312+8,63</t>
  </si>
  <si>
    <t xml:space="preserve">314+18,23</t>
  </si>
  <si>
    <t xml:space="preserve">315+5,04</t>
  </si>
  <si>
    <t xml:space="preserve">315+9,77</t>
  </si>
  <si>
    <t xml:space="preserve">316+5,17</t>
  </si>
  <si>
    <t xml:space="preserve">315+17,75</t>
  </si>
  <si>
    <t xml:space="preserve">316+11,48</t>
  </si>
  <si>
    <t xml:space="preserve">315+17,77</t>
  </si>
  <si>
    <t xml:space="preserve">315+18,27</t>
  </si>
  <si>
    <t xml:space="preserve">317+10,00</t>
  </si>
  <si>
    <t xml:space="preserve">319+10,00</t>
  </si>
  <si>
    <t xml:space="preserve">321+16,84</t>
  </si>
  <si>
    <t xml:space="preserve">323+3,82</t>
  </si>
  <si>
    <t xml:space="preserve">322+1,29</t>
  </si>
  <si>
    <t xml:space="preserve">323+6,43</t>
  </si>
  <si>
    <t xml:space="preserve">334+5,00</t>
  </si>
  <si>
    <t xml:space="preserve">336+9,69</t>
  </si>
  <si>
    <t xml:space="preserve">339+15,55</t>
  </si>
  <si>
    <t xml:space="preserve">340+3,93</t>
  </si>
  <si>
    <t xml:space="preserve">340+9,61</t>
  </si>
  <si>
    <t xml:space="preserve">345+16,79</t>
  </si>
  <si>
    <t xml:space="preserve">354+12,00</t>
  </si>
  <si>
    <t xml:space="preserve">347+10,29</t>
  </si>
  <si>
    <t xml:space="preserve">348+7,92</t>
  </si>
  <si>
    <t xml:space="preserve">349+4,48</t>
  </si>
  <si>
    <t xml:space="preserve">349+6,83</t>
  </si>
  <si>
    <t xml:space="preserve">350+16,17</t>
  </si>
  <si>
    <t xml:space="preserve">350+2,33</t>
  </si>
  <si>
    <t xml:space="preserve">351+1,05</t>
  </si>
  <si>
    <t xml:space="preserve">350+4,00</t>
  </si>
  <si>
    <t xml:space="preserve">359+9,88</t>
  </si>
  <si>
    <t xml:space="preserve">363+8,03</t>
  </si>
  <si>
    <t xml:space="preserve">359+9,83</t>
  </si>
  <si>
    <t xml:space="preserve">359+12,88</t>
  </si>
  <si>
    <t xml:space="preserve">367+2,00</t>
  </si>
  <si>
    <t xml:space="preserve">372+8,00</t>
  </si>
  <si>
    <t xml:space="preserve">378+4,00</t>
  </si>
  <si>
    <t xml:space="preserve">407+16,00</t>
  </si>
  <si>
    <t xml:space="preserve">380+8,00</t>
  </si>
  <si>
    <t xml:space="preserve">396+18,59</t>
  </si>
  <si>
    <t xml:space="preserve">396+10,97</t>
  </si>
  <si>
    <t xml:space="preserve">396+18,27</t>
  </si>
  <si>
    <t xml:space="preserve">398+2,05</t>
  </si>
  <si>
    <t xml:space="preserve">399+4,00</t>
  </si>
  <si>
    <t xml:space="preserve">399+12,00</t>
  </si>
  <si>
    <t xml:space="preserve">400+12,00</t>
  </si>
  <si>
    <t xml:space="preserve">403+4,00</t>
  </si>
  <si>
    <t xml:space="preserve">403+9,96</t>
  </si>
  <si>
    <t xml:space="preserve">405+6,00</t>
  </si>
  <si>
    <t xml:space="preserve">410+10,61</t>
  </si>
  <si>
    <t xml:space="preserve">410+11,06</t>
  </si>
  <si>
    <t xml:space="preserve">410+18,89</t>
  </si>
  <si>
    <t xml:space="preserve">410+19,21</t>
  </si>
  <si>
    <t xml:space="preserve">412+19,39</t>
  </si>
  <si>
    <t xml:space="preserve">413+1,89</t>
  </si>
  <si>
    <t xml:space="preserve">413+11,37</t>
  </si>
  <si>
    <t xml:space="preserve">413+11,80</t>
  </si>
  <si>
    <t xml:space="preserve">414+10,00</t>
  </si>
  <si>
    <t xml:space="preserve">415+13,50</t>
  </si>
  <si>
    <t xml:space="preserve">413+19,00</t>
  </si>
  <si>
    <t xml:space="preserve">417+16,02</t>
  </si>
  <si>
    <t xml:space="preserve">418+7,10</t>
  </si>
  <si>
    <t xml:space="preserve">420+0,01</t>
  </si>
  <si>
    <t xml:space="preserve">421+10,00</t>
  </si>
  <si>
    <t xml:space="preserve">455+5,69</t>
  </si>
  <si>
    <t xml:space="preserve">454+12,65</t>
  </si>
  <si>
    <t xml:space="preserve">454+13,88</t>
  </si>
  <si>
    <t xml:space="preserve">455+1,14</t>
  </si>
  <si>
    <t xml:space="preserve">455+15,00</t>
  </si>
  <si>
    <t xml:space="preserve">463+4,64</t>
  </si>
  <si>
    <t xml:space="preserve">464+2,88</t>
  </si>
  <si>
    <t xml:space="preserve">464+18,19</t>
  </si>
  <si>
    <t xml:space="preserve">464+4,72</t>
  </si>
  <si>
    <t xml:space="preserve">466+14,87</t>
  </si>
  <si>
    <t xml:space="preserve">465+15,34</t>
  </si>
  <si>
    <t xml:space="preserve">465+19,49</t>
  </si>
  <si>
    <t xml:space="preserve">466+3,88</t>
  </si>
  <si>
    <t xml:space="preserve">466+4,82</t>
  </si>
  <si>
    <t xml:space="preserve">466+17,56</t>
  </si>
  <si>
    <t xml:space="preserve">467+16,00</t>
  </si>
  <si>
    <t xml:space="preserve">471+18,00</t>
  </si>
  <si>
    <t xml:space="preserve">473+18,00</t>
  </si>
  <si>
    <t xml:space="preserve">473+18,02</t>
  </si>
  <si>
    <t xml:space="preserve">474+5,14</t>
  </si>
  <si>
    <t xml:space="preserve">476+3,67</t>
  </si>
  <si>
    <t xml:space="preserve">480+8,00</t>
  </si>
  <si>
    <t xml:space="preserve">486+4,00</t>
  </si>
  <si>
    <t xml:space="preserve">480+14,00</t>
  </si>
  <si>
    <t xml:space="preserve">483+13,48</t>
  </si>
  <si>
    <t xml:space="preserve">483+13,49</t>
  </si>
  <si>
    <t xml:space="preserve">484+8,43</t>
  </si>
  <si>
    <t xml:space="preserve">484+13,08</t>
  </si>
  <si>
    <t xml:space="preserve">484+17,08</t>
  </si>
  <si>
    <t xml:space="preserve">484+13,18</t>
  </si>
  <si>
    <t xml:space="preserve">494+10,10</t>
  </si>
  <si>
    <t xml:space="preserve">494+11,22</t>
  </si>
  <si>
    <t xml:space="preserve">494+14,36</t>
  </si>
  <si>
    <t xml:space="preserve">494+15,79</t>
  </si>
  <si>
    <t xml:space="preserve">495+11,46</t>
  </si>
  <si>
    <t xml:space="preserve">496+2,33</t>
  </si>
  <si>
    <t xml:space="preserve">524+18,00</t>
  </si>
  <si>
    <t xml:space="preserve">499+8,00</t>
  </si>
  <si>
    <t xml:space="preserve">508+19,12</t>
  </si>
  <si>
    <t xml:space="preserve">508+17,16</t>
  </si>
  <si>
    <t xml:space="preserve">508+19,13</t>
  </si>
  <si>
    <t xml:space="preserve">509+7,22</t>
  </si>
  <si>
    <t xml:space="preserve">510+7,13</t>
  </si>
  <si>
    <t xml:space="preserve">510+14,00</t>
  </si>
  <si>
    <t xml:space="preserve">511+14,00</t>
  </si>
  <si>
    <t xml:space="preserve">517+6,00</t>
  </si>
  <si>
    <t xml:space="preserve">536+13,69</t>
  </si>
  <si>
    <t xml:space="preserve">525+6,00</t>
  </si>
  <si>
    <t xml:space="preserve">525+10,00</t>
  </si>
  <si>
    <t xml:space="preserve">557+6,00</t>
  </si>
  <si>
    <t xml:space="preserve">536+12,95</t>
  </si>
  <si>
    <t xml:space="preserve">537+1,41</t>
  </si>
  <si>
    <t xml:space="preserve">537+14,34</t>
  </si>
  <si>
    <t xml:space="preserve">537+16,00</t>
  </si>
  <si>
    <t xml:space="preserve">556+6,00</t>
  </si>
  <si>
    <t xml:space="preserve">561+9,93</t>
  </si>
  <si>
    <t xml:space="preserve">561+12,22</t>
  </si>
  <si>
    <t xml:space="preserve">561+17,29</t>
  </si>
  <si>
    <t xml:space="preserve">571+19,45</t>
  </si>
  <si>
    <t xml:space="preserve">572+3,00</t>
  </si>
  <si>
    <t xml:space="preserve">572+6,80</t>
  </si>
  <si>
    <t xml:space="preserve">572+10,01</t>
  </si>
  <si>
    <t xml:space="preserve">581+17,01</t>
  </si>
  <si>
    <t xml:space="preserve">581+17,69</t>
  </si>
  <si>
    <t xml:space="preserve">582+6,63</t>
  </si>
  <si>
    <t xml:space="preserve">582+6,81</t>
  </si>
  <si>
    <t xml:space="preserve">584+18,00</t>
  </si>
  <si>
    <t xml:space="preserve">590+12,00</t>
  </si>
  <si>
    <t xml:space="preserve">584+10,00</t>
  </si>
  <si>
    <t xml:space="preserve">590+14,00</t>
  </si>
  <si>
    <t xml:space="preserve">590+18,76</t>
  </si>
  <si>
    <t xml:space="preserve">590+12,01</t>
  </si>
  <si>
    <t xml:space="preserve">591+0,61</t>
  </si>
  <si>
    <t xml:space="preserve">590+18,30</t>
  </si>
  <si>
    <t xml:space="preserve">591+5,53</t>
  </si>
  <si>
    <t xml:space="preserve">598+0,16</t>
  </si>
  <si>
    <t xml:space="preserve">593+5,00</t>
  </si>
  <si>
    <t xml:space="preserve">598+5,00</t>
  </si>
  <si>
    <t xml:space="preserve">601+9,30</t>
  </si>
  <si>
    <t xml:space="preserve">601+12,79</t>
  </si>
  <si>
    <t xml:space="preserve">602+2,35</t>
  </si>
  <si>
    <t xml:space="preserve">602+2,69</t>
  </si>
  <si>
    <t xml:space="preserve">614+5,00</t>
  </si>
  <si>
    <t xml:space="preserve">617+6,13</t>
  </si>
  <si>
    <t xml:space="preserve">615+10,00</t>
  </si>
  <si>
    <t xml:space="preserve">615+15,57</t>
  </si>
  <si>
    <t xml:space="preserve">617+12,11</t>
  </si>
  <si>
    <t xml:space="preserve">620+12,83</t>
  </si>
  <si>
    <t xml:space="preserve">619+5,00</t>
  </si>
  <si>
    <t xml:space="preserve">619+10,31</t>
  </si>
  <si>
    <t xml:space="preserve">619+15,00</t>
  </si>
  <si>
    <t xml:space="preserve">620+5,00</t>
  </si>
  <si>
    <t xml:space="preserve">622+8,42</t>
  </si>
  <si>
    <t xml:space="preserve">622+11,82</t>
  </si>
  <si>
    <t xml:space="preserve">622+16,64</t>
  </si>
  <si>
    <t xml:space="preserve">622+19,43</t>
  </si>
  <si>
    <t xml:space="preserve">630+12,00</t>
  </si>
  <si>
    <t xml:space="preserve">630+18,00</t>
  </si>
  <si>
    <t xml:space="preserve">631+2,00</t>
  </si>
  <si>
    <t xml:space="preserve">631+14,06</t>
  </si>
  <si>
    <t xml:space="preserve">632+13,34</t>
  </si>
  <si>
    <t xml:space="preserve">632+16,82</t>
  </si>
  <si>
    <t xml:space="preserve">633+3,21</t>
  </si>
  <si>
    <t xml:space="preserve">633+5,55</t>
  </si>
  <si>
    <t xml:space="preserve">633+4,00</t>
  </si>
  <si>
    <t xml:space="preserve">633+6,00</t>
  </si>
  <si>
    <t xml:space="preserve">634+1,90</t>
  </si>
  <si>
    <t xml:space="preserve">634+4,76</t>
  </si>
  <si>
    <t xml:space="preserve">634+9,58</t>
  </si>
  <si>
    <t xml:space="preserve">634+13,79</t>
  </si>
  <si>
    <t xml:space="preserve">634+14,11</t>
  </si>
  <si>
    <t xml:space="preserve">634+12,64</t>
  </si>
  <si>
    <t xml:space="preserve">634+12,95</t>
  </si>
  <si>
    <t xml:space="preserve">635+4,10</t>
  </si>
  <si>
    <t xml:space="preserve">635+11,48</t>
  </si>
  <si>
    <t xml:space="preserve">639+2,52</t>
  </si>
  <si>
    <t xml:space="preserve">639+4,13</t>
  </si>
  <si>
    <t xml:space="preserve">639+9,95</t>
  </si>
  <si>
    <t xml:space="preserve">639+11,08</t>
  </si>
  <si>
    <t xml:space="preserve">640+16,00</t>
  </si>
  <si>
    <t xml:space="preserve">ENLEIVAMENTO EM CANTEIROS E ÁREA DE TERRAPLENAGEM</t>
  </si>
  <si>
    <t xml:space="preserve">41+10,11</t>
  </si>
  <si>
    <t xml:space="preserve">49+18,30</t>
  </si>
  <si>
    <t xml:space="preserve">41+3,64</t>
  </si>
  <si>
    <t xml:space="preserve">95+14,67</t>
  </si>
  <si>
    <t xml:space="preserve">49+17,28</t>
  </si>
  <si>
    <t xml:space="preserve">95+18,90</t>
  </si>
  <si>
    <t xml:space="preserve">122+18,11</t>
  </si>
  <si>
    <t xml:space="preserve">118+10,34</t>
  </si>
  <si>
    <t xml:space="preserve">122+4,08</t>
  </si>
  <si>
    <t xml:space="preserve">121+17,03</t>
  </si>
  <si>
    <t xml:space="preserve">173+10,91</t>
  </si>
  <si>
    <t xml:space="preserve">123+1,16</t>
  </si>
  <si>
    <t xml:space="preserve">154+2,13</t>
  </si>
  <si>
    <t xml:space="preserve">154+0,25</t>
  </si>
  <si>
    <t xml:space="preserve">170+0,29</t>
  </si>
  <si>
    <t xml:space="preserve">170+10,82</t>
  </si>
  <si>
    <t xml:space="preserve">205+16,51</t>
  </si>
  <si>
    <t xml:space="preserve">173+18,73</t>
  </si>
  <si>
    <t xml:space="preserve">178+16,22</t>
  </si>
  <si>
    <t xml:space="preserve">195+8,37</t>
  </si>
  <si>
    <t xml:space="preserve">195+14,50</t>
  </si>
  <si>
    <t xml:space="preserve">207+15,02</t>
  </si>
  <si>
    <t xml:space="preserve">206+0,78</t>
  </si>
  <si>
    <t xml:space="preserve">211+16,88</t>
  </si>
  <si>
    <t xml:space="preserve">207+8,22</t>
  </si>
  <si>
    <t xml:space="preserve">211+16,80</t>
  </si>
  <si>
    <t xml:space="preserve">226+11,94</t>
  </si>
  <si>
    <t xml:space="preserve">230+11,78</t>
  </si>
  <si>
    <t xml:space="preserve">230+14,97</t>
  </si>
  <si>
    <t xml:space="preserve">232+10,19</t>
  </si>
  <si>
    <t xml:space="preserve">232+12,34</t>
  </si>
  <si>
    <t xml:space="preserve">255+4,52</t>
  </si>
  <si>
    <t xml:space="preserve">252+10,67</t>
  </si>
  <si>
    <t xml:space="preserve">252+10,64</t>
  </si>
  <si>
    <t xml:space="preserve">258+5,97</t>
  </si>
  <si>
    <t xml:space="preserve">255+14,26</t>
  </si>
  <si>
    <t xml:space="preserve">259+16,44</t>
  </si>
  <si>
    <t xml:space="preserve">258+12,71</t>
  </si>
  <si>
    <t xml:space="preserve">258+11,16</t>
  </si>
  <si>
    <t xml:space="preserve">259+7,36</t>
  </si>
  <si>
    <t xml:space="preserve">259+6,68</t>
  </si>
  <si>
    <t xml:space="preserve">259+12,47</t>
  </si>
  <si>
    <t xml:space="preserve">325+7,48</t>
  </si>
  <si>
    <t xml:space="preserve">259+14,23</t>
  </si>
  <si>
    <t xml:space="preserve">312+0,95</t>
  </si>
  <si>
    <t xml:space="preserve">312+5,87</t>
  </si>
  <si>
    <t xml:space="preserve">316+6,82</t>
  </si>
  <si>
    <t xml:space="preserve">315+17,32</t>
  </si>
  <si>
    <t xml:space="preserve">340+0,53</t>
  </si>
  <si>
    <t xml:space="preserve">322+12,53</t>
  </si>
  <si>
    <t xml:space="preserve">359+5,53</t>
  </si>
  <si>
    <t xml:space="preserve">340+2,42</t>
  </si>
  <si>
    <t xml:space="preserve">350+17,38</t>
  </si>
  <si>
    <t xml:space="preserve">349+17,03</t>
  </si>
  <si>
    <t xml:space="preserve">362+11,48</t>
  </si>
  <si>
    <t xml:space="preserve">359+7,77</t>
  </si>
  <si>
    <t xml:space="preserve">362+11,47</t>
  </si>
  <si>
    <t xml:space="preserve">362+18,48</t>
  </si>
  <si>
    <t xml:space="preserve">410+12,64</t>
  </si>
  <si>
    <t xml:space="preserve">363+5,22</t>
  </si>
  <si>
    <t xml:space="preserve">397+1,58</t>
  </si>
  <si>
    <t xml:space="preserve">396+16,22</t>
  </si>
  <si>
    <t xml:space="preserve">413+3,94</t>
  </si>
  <si>
    <t xml:space="preserve">410+17,16</t>
  </si>
  <si>
    <t xml:space="preserve">419+5,05</t>
  </si>
  <si>
    <t xml:space="preserve">413+9,46</t>
  </si>
  <si>
    <t xml:space="preserve">454+15,28</t>
  </si>
  <si>
    <t xml:space="preserve">418+19,14</t>
  </si>
  <si>
    <t xml:space="preserve">425+3,84</t>
  </si>
  <si>
    <t xml:space="preserve">425+14,76</t>
  </si>
  <si>
    <t xml:space="preserve">435+11,04</t>
  </si>
  <si>
    <t xml:space="preserve">435+1,15</t>
  </si>
  <si>
    <t xml:space="preserve">439+1,26</t>
  </si>
  <si>
    <t xml:space="preserve">435+17,04</t>
  </si>
  <si>
    <t xml:space="preserve">454+18,20</t>
  </si>
  <si>
    <t xml:space="preserve">459+7,87</t>
  </si>
  <si>
    <t xml:space="preserve">459+12,11</t>
  </si>
  <si>
    <t xml:space="preserve">466+5,63</t>
  </si>
  <si>
    <t xml:space="preserve">464+4,37</t>
  </si>
  <si>
    <t xml:space="preserve">475+12,25</t>
  </si>
  <si>
    <t xml:space="preserve">466+1,85</t>
  </si>
  <si>
    <t xml:space="preserve">472+4,12</t>
  </si>
  <si>
    <t xml:space="preserve">472+4,02</t>
  </si>
  <si>
    <t xml:space="preserve">484+10,12</t>
  </si>
  <si>
    <t xml:space="preserve">474+3,39</t>
  </si>
  <si>
    <t xml:space="preserve">509+4,20</t>
  </si>
  <si>
    <t xml:space="preserve">484+7,15</t>
  </si>
  <si>
    <t xml:space="preserve">494+18,82</t>
  </si>
  <si>
    <t xml:space="preserve">495+10,42</t>
  </si>
  <si>
    <t xml:space="preserve">499+10,57</t>
  </si>
  <si>
    <t xml:space="preserve">500+2,14</t>
  </si>
  <si>
    <t xml:space="preserve">561+11,59</t>
  </si>
  <si>
    <t xml:space="preserve">522+17,10</t>
  </si>
  <si>
    <t xml:space="preserve">523+4,10</t>
  </si>
  <si>
    <t xml:space="preserve">536+18,31</t>
  </si>
  <si>
    <t xml:space="preserve">572+4,64</t>
  </si>
  <si>
    <t xml:space="preserve">561+4,98</t>
  </si>
  <si>
    <t xml:space="preserve">591+3,22</t>
  </si>
  <si>
    <t xml:space="preserve">572+3,73</t>
  </si>
  <si>
    <t xml:space="preserve">581+19,28</t>
  </si>
  <si>
    <t xml:space="preserve">582+4,47</t>
  </si>
  <si>
    <t xml:space="preserve">601+15,03</t>
  </si>
  <si>
    <t xml:space="preserve">590+16,88</t>
  </si>
  <si>
    <t xml:space="preserve">622+13,26</t>
  </si>
  <si>
    <t xml:space="preserve">608+7,47</t>
  </si>
  <si>
    <t xml:space="preserve">608+11,52</t>
  </si>
  <si>
    <t xml:space="preserve">612+5,58</t>
  </si>
  <si>
    <t xml:space="preserve">613+2,70</t>
  </si>
  <si>
    <t xml:space="preserve">617+4,37</t>
  </si>
  <si>
    <t xml:space="preserve">617+13,20</t>
  </si>
  <si>
    <t xml:space="preserve">620+12,90</t>
  </si>
  <si>
    <t xml:space="preserve">623+1,10</t>
  </si>
  <si>
    <t xml:space="preserve">632+12,03</t>
  </si>
  <si>
    <t xml:space="preserve">633+2,48</t>
  </si>
  <si>
    <t xml:space="preserve">634+1,26</t>
  </si>
  <si>
    <t xml:space="preserve">634+12,73</t>
  </si>
  <si>
    <t xml:space="preserve">639+2,29</t>
  </si>
  <si>
    <t xml:space="preserve">635+2,59</t>
  </si>
  <si>
    <t xml:space="preserve">639+9,16</t>
  </si>
  <si>
    <t xml:space="preserve">ENLEIVAMENTO EM ATERROS</t>
  </si>
  <si>
    <t xml:space="preserve">0+0,13</t>
  </si>
  <si>
    <t xml:space="preserve">3+8,00</t>
  </si>
  <si>
    <t xml:space="preserve">4+8,00</t>
  </si>
  <si>
    <t xml:space="preserve">5+10,00</t>
  </si>
  <si>
    <t xml:space="preserve">15+12,28</t>
  </si>
  <si>
    <t xml:space="preserve">18+15,00</t>
  </si>
  <si>
    <t xml:space="preserve">35+10,00</t>
  </si>
  <si>
    <t xml:space="preserve">49+18,83</t>
  </si>
  <si>
    <t xml:space="preserve">50+2,91</t>
  </si>
  <si>
    <t xml:space="preserve">50+5,00</t>
  </si>
  <si>
    <t xml:space="preserve">66+15,00</t>
  </si>
  <si>
    <t xml:space="preserve">51+15,00</t>
  </si>
  <si>
    <t xml:space="preserve">63+10,00</t>
  </si>
  <si>
    <t xml:space="preserve">67+5,00</t>
  </si>
  <si>
    <t xml:space="preserve">79+15,00</t>
  </si>
  <si>
    <t xml:space="preserve">84+10,00</t>
  </si>
  <si>
    <t xml:space="preserve">117+15,00</t>
  </si>
  <si>
    <t xml:space="preserve">116+15,00</t>
  </si>
  <si>
    <t xml:space="preserve">123+3,54</t>
  </si>
  <si>
    <t xml:space="preserve">124+1,52</t>
  </si>
  <si>
    <t xml:space="preserve">123+15,24</t>
  </si>
  <si>
    <t xml:space="preserve">123+18,00</t>
  </si>
  <si>
    <t xml:space="preserve">127+10,00</t>
  </si>
  <si>
    <t xml:space="preserve">124+5,00</t>
  </si>
  <si>
    <t xml:space="preserve">128+5,00</t>
  </si>
  <si>
    <t xml:space="preserve">140+15,00</t>
  </si>
  <si>
    <t xml:space="preserve">136+15,00</t>
  </si>
  <si>
    <t xml:space="preserve">139+15,00</t>
  </si>
  <si>
    <t xml:space="preserve">155+5,00</t>
  </si>
  <si>
    <t xml:space="preserve">163+5,00</t>
  </si>
  <si>
    <t xml:space="preserve">168+5,00</t>
  </si>
  <si>
    <t xml:space="preserve">170+10,00</t>
  </si>
  <si>
    <t xml:space="preserve">204+10,00</t>
  </si>
  <si>
    <t xml:space="preserve">199+12,41</t>
  </si>
  <si>
    <t xml:space="preserve">235+6,00</t>
  </si>
  <si>
    <t xml:space="preserve">233+15,00</t>
  </si>
  <si>
    <t xml:space="preserve">237+1,05</t>
  </si>
  <si>
    <t xml:space="preserve">239+15,00</t>
  </si>
  <si>
    <t xml:space="preserve">240+5,00</t>
  </si>
  <si>
    <t xml:space="preserve">246+5,00</t>
  </si>
  <si>
    <t xml:space="preserve">254+15,00</t>
  </si>
  <si>
    <t xml:space="preserve">245+15,00</t>
  </si>
  <si>
    <t xml:space="preserve">257+15,00</t>
  </si>
  <si>
    <t xml:space="preserve">258+5,00</t>
  </si>
  <si>
    <t xml:space="preserve">258+10,69</t>
  </si>
  <si>
    <t xml:space="preserve">258+17,01</t>
  </si>
  <si>
    <t xml:space="preserve">258+8,13</t>
  </si>
  <si>
    <t xml:space="preserve">258+14,32</t>
  </si>
  <si>
    <t xml:space="preserve">259+6,59</t>
  </si>
  <si>
    <t xml:space="preserve">259+10,56</t>
  </si>
  <si>
    <t xml:space="preserve">259+15,22</t>
  </si>
  <si>
    <t xml:space="preserve">262+15,02</t>
  </si>
  <si>
    <t xml:space="preserve">267+5,33</t>
  </si>
  <si>
    <t xml:space="preserve">304+15,00</t>
  </si>
  <si>
    <t xml:space="preserve">307+10,00</t>
  </si>
  <si>
    <t xml:space="preserve">310+5,00</t>
  </si>
  <si>
    <t xml:space="preserve">311+10,00</t>
  </si>
  <si>
    <t xml:space="preserve">317+5,00</t>
  </si>
  <si>
    <t xml:space="preserve">311+13,95</t>
  </si>
  <si>
    <t xml:space="preserve">312+8,82</t>
  </si>
  <si>
    <t xml:space="preserve">312+15,01</t>
  </si>
  <si>
    <t xml:space="preserve">312+16,00</t>
  </si>
  <si>
    <t xml:space="preserve">314+12,77</t>
  </si>
  <si>
    <t xml:space="preserve">314+17,34</t>
  </si>
  <si>
    <t xml:space="preserve">315+5,37</t>
  </si>
  <si>
    <t xml:space="preserve">315+9,33</t>
  </si>
  <si>
    <t xml:space="preserve">315+17,50</t>
  </si>
  <si>
    <t xml:space="preserve">315+17,58</t>
  </si>
  <si>
    <t xml:space="preserve">316+5,00</t>
  </si>
  <si>
    <t xml:space="preserve">318+3,92</t>
  </si>
  <si>
    <t xml:space="preserve">324+4,49</t>
  </si>
  <si>
    <t xml:space="preserve">319+14,44</t>
  </si>
  <si>
    <t xml:space="preserve">334+0,88</t>
  </si>
  <si>
    <t xml:space="preserve">324+10,74</t>
  </si>
  <si>
    <t xml:space="preserve">323+5,66</t>
  </si>
  <si>
    <t xml:space="preserve">323+8,27</t>
  </si>
  <si>
    <t xml:space="preserve">324+15,19</t>
  </si>
  <si>
    <t xml:space="preserve">324+15,11</t>
  </si>
  <si>
    <t xml:space="preserve">327+10,27</t>
  </si>
  <si>
    <t xml:space="preserve">327+10,26</t>
  </si>
  <si>
    <t xml:space="preserve">333+17,36</t>
  </si>
  <si>
    <t xml:space="preserve">354+14,00</t>
  </si>
  <si>
    <t xml:space="preserve">356+6,00</t>
  </si>
  <si>
    <t xml:space="preserve">356+10,00</t>
  </si>
  <si>
    <t xml:space="preserve">358+11,06</t>
  </si>
  <si>
    <t xml:space="preserve">359+8,00</t>
  </si>
  <si>
    <t xml:space="preserve">359+3,99</t>
  </si>
  <si>
    <t xml:space="preserve">359+9,53</t>
  </si>
  <si>
    <t xml:space="preserve">359+14,53</t>
  </si>
  <si>
    <t xml:space="preserve">372+10,00</t>
  </si>
  <si>
    <t xml:space="preserve">378+2,00</t>
  </si>
  <si>
    <t xml:space="preserve">372+2,00</t>
  </si>
  <si>
    <t xml:space="preserve">379+18,00</t>
  </si>
  <si>
    <t xml:space="preserve">398+12,22</t>
  </si>
  <si>
    <t xml:space="preserve">398+14,58</t>
  </si>
  <si>
    <t xml:space="preserve">398+14,62</t>
  </si>
  <si>
    <t xml:space="preserve">399+2,00</t>
  </si>
  <si>
    <t xml:space="preserve">399+14,00</t>
  </si>
  <si>
    <t xml:space="preserve">400+10,00</t>
  </si>
  <si>
    <t xml:space="preserve">405+8,00</t>
  </si>
  <si>
    <t xml:space="preserve">412+18,02</t>
  </si>
  <si>
    <t xml:space="preserve">407+18,00</t>
  </si>
  <si>
    <t xml:space="preserve">410+4,65</t>
  </si>
  <si>
    <t xml:space="preserve">410+10,59</t>
  </si>
  <si>
    <t xml:space="preserve">410+18,87</t>
  </si>
  <si>
    <t xml:space="preserve">411+4,15</t>
  </si>
  <si>
    <t xml:space="preserve">411+6,00</t>
  </si>
  <si>
    <t xml:space="preserve">413+18,00</t>
  </si>
  <si>
    <t xml:space="preserve">413+1,96</t>
  </si>
  <si>
    <t xml:space="preserve">413+11,57</t>
  </si>
  <si>
    <t xml:space="preserve">414+5,00</t>
  </si>
  <si>
    <t xml:space="preserve">421+13,97</t>
  </si>
  <si>
    <t xml:space="preserve">433+5,13</t>
  </si>
  <si>
    <t xml:space="preserve">434+10,01</t>
  </si>
  <si>
    <t xml:space="preserve">433+8,00</t>
  </si>
  <si>
    <t xml:space="preserve">433+13,13</t>
  </si>
  <si>
    <t xml:space="preserve">434+12,82</t>
  </si>
  <si>
    <t xml:space="preserve">435+4,00</t>
  </si>
  <si>
    <t xml:space="preserve">433+16,00</t>
  </si>
  <si>
    <t xml:space="preserve">439+18,19</t>
  </si>
  <si>
    <t xml:space="preserve">441+15,00</t>
  </si>
  <si>
    <t xml:space="preserve">435+6,82</t>
  </si>
  <si>
    <t xml:space="preserve">439+8,22</t>
  </si>
  <si>
    <t xml:space="preserve">435+6,00</t>
  </si>
  <si>
    <t xml:space="preserve">447+5,00</t>
  </si>
  <si>
    <t xml:space="preserve">442+4,65</t>
  </si>
  <si>
    <t xml:space="preserve">454+5,58</t>
  </si>
  <si>
    <t xml:space="preserve">434+8,82</t>
  </si>
  <si>
    <t xml:space="preserve">434+10,00</t>
  </si>
  <si>
    <t xml:space="preserve">442+1,60</t>
  </si>
  <si>
    <t xml:space="preserve">442+1,72</t>
  </si>
  <si>
    <t xml:space="preserve">454+12,55</t>
  </si>
  <si>
    <t xml:space="preserve">464+4,00</t>
  </si>
  <si>
    <t xml:space="preserve">466+5,19</t>
  </si>
  <si>
    <t xml:space="preserve">480+12,00</t>
  </si>
  <si>
    <t xml:space="preserve">467+18,00</t>
  </si>
  <si>
    <t xml:space="preserve">471+16,00</t>
  </si>
  <si>
    <t xml:space="preserve">475+10,33</t>
  </si>
  <si>
    <t xml:space="preserve">475+0,56</t>
  </si>
  <si>
    <t xml:space="preserve">477+6,34</t>
  </si>
  <si>
    <t xml:space="preserve">480+6,00</t>
  </si>
  <si>
    <t xml:space="preserve">476+4,62</t>
  </si>
  <si>
    <t xml:space="preserve">486+6,00</t>
  </si>
  <si>
    <t xml:space="preserve">499+6,24</t>
  </si>
  <si>
    <t xml:space="preserve">487+12,00</t>
  </si>
  <si>
    <t xml:space="preserve">494+8,95</t>
  </si>
  <si>
    <t xml:space="preserve">494+12,13</t>
  </si>
  <si>
    <t xml:space="preserve">494+15,38</t>
  </si>
  <si>
    <t xml:space="preserve">497+14,00</t>
  </si>
  <si>
    <t xml:space="preserve">496+3,07</t>
  </si>
  <si>
    <t xml:space="preserve">510+10,00</t>
  </si>
  <si>
    <t xml:space="preserve">510+12,00</t>
  </si>
  <si>
    <t xml:space="preserve">511+16,00</t>
  </si>
  <si>
    <t xml:space="preserve">517+4,00</t>
  </si>
  <si>
    <t xml:space="preserve">525+4,00</t>
  </si>
  <si>
    <t xml:space="preserve">525+14,00</t>
  </si>
  <si>
    <t xml:space="preserve">528+16,00</t>
  </si>
  <si>
    <t xml:space="preserve">556+8,00</t>
  </si>
  <si>
    <t xml:space="preserve">571+13,71</t>
  </si>
  <si>
    <t xml:space="preserve">557+8,00</t>
  </si>
  <si>
    <t xml:space="preserve">560+4,68</t>
  </si>
  <si>
    <t xml:space="preserve">561+10,36</t>
  </si>
  <si>
    <t xml:space="preserve">561+11,73</t>
  </si>
  <si>
    <t xml:space="preserve">584+8,00</t>
  </si>
  <si>
    <t xml:space="preserve">571+19,27</t>
  </si>
  <si>
    <t xml:space="preserve">572+6,61</t>
  </si>
  <si>
    <t xml:space="preserve">572+9,73</t>
  </si>
  <si>
    <t xml:space="preserve">572+10,00</t>
  </si>
  <si>
    <t xml:space="preserve">581+11,19</t>
  </si>
  <si>
    <t xml:space="preserve">581+16,93</t>
  </si>
  <si>
    <t xml:space="preserve">582+14,00</t>
  </si>
  <si>
    <t xml:space="preserve">584+16,00</t>
  </si>
  <si>
    <t xml:space="preserve">582+6,55</t>
  </si>
  <si>
    <t xml:space="preserve">582+13,44</t>
  </si>
  <si>
    <t xml:space="preserve">591+1,12</t>
  </si>
  <si>
    <t xml:space="preserve">591+1,31</t>
  </si>
  <si>
    <t xml:space="preserve">591+6,04</t>
  </si>
  <si>
    <t xml:space="preserve">591+19,01</t>
  </si>
  <si>
    <t xml:space="preserve">614+15,18</t>
  </si>
  <si>
    <t xml:space="preserve">598+10,00</t>
  </si>
  <si>
    <t xml:space="preserve">599+6,20</t>
  </si>
  <si>
    <t xml:space="preserve">601+12,84</t>
  </si>
  <si>
    <t xml:space="preserve">601+13,43</t>
  </si>
  <si>
    <t xml:space="preserve">602+2,45</t>
  </si>
  <si>
    <t xml:space="preserve">602+6,47</t>
  </si>
  <si>
    <t xml:space="preserve">602+8,00</t>
  </si>
  <si>
    <t xml:space="preserve">608+5,13</t>
  </si>
  <si>
    <t xml:space="preserve">608+9,14</t>
  </si>
  <si>
    <t xml:space="preserve">612+12,27</t>
  </si>
  <si>
    <t xml:space="preserve">614+0,15</t>
  </si>
  <si>
    <t xml:space="preserve">620+10,00</t>
  </si>
  <si>
    <t xml:space="preserve">621+4,82</t>
  </si>
  <si>
    <t xml:space="preserve">629+11,60</t>
  </si>
  <si>
    <t xml:space="preserve">621+12,00</t>
  </si>
  <si>
    <t xml:space="preserve">622+12,84</t>
  </si>
  <si>
    <t xml:space="preserve">622+11,00</t>
  </si>
  <si>
    <t xml:space="preserve">622+11,68</t>
  </si>
  <si>
    <t xml:space="preserve">622+15,99</t>
  </si>
  <si>
    <t xml:space="preserve">622+16,31</t>
  </si>
  <si>
    <t xml:space="preserve">623+7,63</t>
  </si>
  <si>
    <t xml:space="preserve">623+8,00</t>
  </si>
  <si>
    <t xml:space="preserve">628+15,12</t>
  </si>
  <si>
    <t xml:space="preserve">628+19,12</t>
  </si>
  <si>
    <t xml:space="preserve">630+9,09</t>
  </si>
  <si>
    <t xml:space="preserve">629+14,73</t>
  </si>
  <si>
    <t xml:space="preserve">630+14,09</t>
  </si>
  <si>
    <t xml:space="preserve">632+8,13</t>
  </si>
  <si>
    <t xml:space="preserve">632+8,70</t>
  </si>
  <si>
    <t xml:space="preserve">632+12,97</t>
  </si>
  <si>
    <t xml:space="preserve">632+13,60</t>
  </si>
  <si>
    <t xml:space="preserve">633+2,00</t>
  </si>
  <si>
    <t xml:space="preserve">633+3,10</t>
  </si>
  <si>
    <t xml:space="preserve">633+7,45</t>
  </si>
  <si>
    <t xml:space="preserve">634+12,00</t>
  </si>
  <si>
    <t xml:space="preserve">633+16,99</t>
  </si>
  <si>
    <t xml:space="preserve">634+1,93</t>
  </si>
  <si>
    <t xml:space="preserve">634+11,39</t>
  </si>
  <si>
    <t xml:space="preserve">634+13,77</t>
  </si>
  <si>
    <t xml:space="preserve">634+12,62</t>
  </si>
  <si>
    <t xml:space="preserve">634+12,92</t>
  </si>
  <si>
    <t xml:space="preserve">634+12,98</t>
  </si>
  <si>
    <t xml:space="preserve">634+16,41</t>
  </si>
  <si>
    <t xml:space="preserve">634+18,00</t>
  </si>
  <si>
    <t xml:space="preserve">638+17,63</t>
  </si>
  <si>
    <t xml:space="preserve">635+11,77</t>
  </si>
  <si>
    <t xml:space="preserve">635+15,78</t>
  </si>
  <si>
    <t xml:space="preserve">635+16,00</t>
  </si>
  <si>
    <t xml:space="preserve">635+18,00</t>
  </si>
  <si>
    <t xml:space="preserve">639+2,15</t>
  </si>
  <si>
    <t xml:space="preserve">639+9,84</t>
  </si>
  <si>
    <t xml:space="preserve">639+12,04</t>
  </si>
  <si>
    <t xml:space="preserve">639+14,00</t>
  </si>
  <si>
    <t xml:space="preserve">640+14,00</t>
  </si>
  <si>
    <t xml:space="preserve">641+2,00</t>
  </si>
  <si>
    <t xml:space="preserve">641+11,66</t>
  </si>
  <si>
    <t xml:space="preserve">641+16,00</t>
  </si>
  <si>
    <t xml:space="preserve">MANTA ANTIEROSIVA</t>
  </si>
  <si>
    <t xml:space="preserve">7+10,00</t>
  </si>
  <si>
    <t xml:space="preserve">13+10,00</t>
  </si>
  <si>
    <t xml:space="preserve">13+7,00</t>
  </si>
  <si>
    <t xml:space="preserve">22+10,00</t>
  </si>
  <si>
    <t xml:space="preserve">27+15,10</t>
  </si>
  <si>
    <t xml:space="preserve">23+14,73</t>
  </si>
  <si>
    <t xml:space="preserve">29+10,61</t>
  </si>
  <si>
    <t xml:space="preserve">32+19,41</t>
  </si>
  <si>
    <t xml:space="preserve">34+2,50</t>
  </si>
  <si>
    <t xml:space="preserve">42+12,98</t>
  </si>
  <si>
    <t xml:space="preserve">70+9,91</t>
  </si>
  <si>
    <t xml:space="preserve">75+10,00</t>
  </si>
  <si>
    <t xml:space="preserve">86+19,27</t>
  </si>
  <si>
    <t xml:space="preserve">95+13,08</t>
  </si>
  <si>
    <t xml:space="preserve">98+18,72</t>
  </si>
  <si>
    <t xml:space="preserve">117+10,00</t>
  </si>
  <si>
    <t xml:space="preserve">134+4,79</t>
  </si>
  <si>
    <t xml:space="preserve">142+9,63</t>
  </si>
  <si>
    <t xml:space="preserve">146+10,00</t>
  </si>
  <si>
    <t xml:space="preserve">150+0,39</t>
  </si>
  <si>
    <t xml:space="preserve">152+19,00</t>
  </si>
  <si>
    <t xml:space="preserve">152+14,78</t>
  </si>
  <si>
    <t xml:space="preserve">153+17,46</t>
  </si>
  <si>
    <t xml:space="preserve">182+6,57</t>
  </si>
  <si>
    <t xml:space="preserve">187+19,24</t>
  </si>
  <si>
    <t xml:space="preserve">184+1,43</t>
  </si>
  <si>
    <t xml:space="preserve">185+19,40</t>
  </si>
  <si>
    <t xml:space="preserve">207+11,58</t>
  </si>
  <si>
    <t xml:space="preserve">210+2,97</t>
  </si>
  <si>
    <t xml:space="preserve">337+14,00</t>
  </si>
  <si>
    <t xml:space="preserve">339+19,03</t>
  </si>
  <si>
    <t xml:space="preserve">340+5,00</t>
  </si>
  <si>
    <t xml:space="preserve">341+11,01</t>
  </si>
  <si>
    <t xml:space="preserve">353+2,35</t>
  </si>
  <si>
    <t xml:space="preserve">354+15,83</t>
  </si>
  <si>
    <t xml:space="preserve">361+9,46</t>
  </si>
  <si>
    <t xml:space="preserve">369+2,00</t>
  </si>
  <si>
    <t xml:space="preserve">362+10,40</t>
  </si>
  <si>
    <t xml:space="preserve">369+18,76</t>
  </si>
  <si>
    <t xml:space="preserve">380+10,01</t>
  </si>
  <si>
    <t xml:space="preserve">419+0,10</t>
  </si>
  <si>
    <t xml:space="preserve">420+12,79</t>
  </si>
  <si>
    <t xml:space="preserve">459+14,12</t>
  </si>
  <si>
    <t xml:space="preserve">463+13,64</t>
  </si>
  <si>
    <t xml:space="preserve">462+14,66</t>
  </si>
  <si>
    <t xml:space="preserve">464+3,52</t>
  </si>
  <si>
    <t xml:space="preserve">481+7,96</t>
  </si>
  <si>
    <t xml:space="preserve">484+0,32</t>
  </si>
  <si>
    <t xml:space="preserve">484+8,90</t>
  </si>
  <si>
    <t xml:space="preserve">485+0,21</t>
  </si>
  <si>
    <t xml:space="preserve">508+4,56</t>
  </si>
  <si>
    <t xml:space="preserve">504+4,88</t>
  </si>
  <si>
    <t xml:space="preserve">507+15,88</t>
  </si>
  <si>
    <t xml:space="preserve">521+18,44</t>
  </si>
  <si>
    <t xml:space="preserve">529+11,23</t>
  </si>
  <si>
    <t xml:space="preserve">533+7,23</t>
  </si>
  <si>
    <t xml:space="preserve">538+3,34</t>
  </si>
  <si>
    <t xml:space="preserve">546+3,34</t>
  </si>
  <si>
    <t xml:space="preserve">540+5,00</t>
  </si>
  <si>
    <t xml:space="preserve">547+7,01</t>
  </si>
  <si>
    <t xml:space="preserve">554+0,04</t>
  </si>
  <si>
    <t xml:space="preserve">IMPLANTAÇÃO DE CERCA</t>
  </si>
  <si>
    <t xml:space="preserve">41+3,44</t>
  </si>
  <si>
    <t xml:space="preserve">0+0,59</t>
  </si>
  <si>
    <t xml:space="preserve">49+4,02</t>
  </si>
  <si>
    <t xml:space="preserve">95+12,69</t>
  </si>
  <si>
    <t xml:space="preserve">50+1,95</t>
  </si>
  <si>
    <t xml:space="preserve">96+2,30</t>
  </si>
  <si>
    <t xml:space="preserve">122+12,84</t>
  </si>
  <si>
    <t xml:space="preserve">123+6,44</t>
  </si>
  <si>
    <t xml:space="preserve">178+7,28</t>
  </si>
  <si>
    <t xml:space="preserve">123+10,99</t>
  </si>
  <si>
    <t xml:space="preserve">153+13,51</t>
  </si>
  <si>
    <t xml:space="preserve">154+2,97</t>
  </si>
  <si>
    <t xml:space="preserve">205+14,00</t>
  </si>
  <si>
    <t xml:space="preserve">179+7,98</t>
  </si>
  <si>
    <t xml:space="preserve">206+10,36</t>
  </si>
  <si>
    <t xml:space="preserve">206+12,09</t>
  </si>
  <si>
    <t xml:space="preserve">207+12,81</t>
  </si>
  <si>
    <t xml:space="preserve">256+6,74</t>
  </si>
  <si>
    <t xml:space="preserve">258+9,83</t>
  </si>
  <si>
    <t xml:space="preserve">258+19,46</t>
  </si>
  <si>
    <t xml:space="preserve">259+5,80</t>
  </si>
  <si>
    <t xml:space="preserve">259+10,38</t>
  </si>
  <si>
    <t xml:space="preserve">323+12,12</t>
  </si>
  <si>
    <t xml:space="preserve">259+16,92</t>
  </si>
  <si>
    <t xml:space="preserve">311+19,43</t>
  </si>
  <si>
    <t xml:space="preserve">312+6,79</t>
  </si>
  <si>
    <t xml:space="preserve">316+5,92</t>
  </si>
  <si>
    <t xml:space="preserve">316+12,00</t>
  </si>
  <si>
    <t xml:space="preserve">325+3,67</t>
  </si>
  <si>
    <t xml:space="preserve">358+19,21</t>
  </si>
  <si>
    <t xml:space="preserve">339+16,87</t>
  </si>
  <si>
    <t xml:space="preserve">340+4,03</t>
  </si>
  <si>
    <t xml:space="preserve">349+5,93</t>
  </si>
  <si>
    <t xml:space="preserve">350+5,27</t>
  </si>
  <si>
    <t xml:space="preserve">359+8,77</t>
  </si>
  <si>
    <t xml:space="preserve">398+1,21</t>
  </si>
  <si>
    <t xml:space="preserve">413+0,95</t>
  </si>
  <si>
    <t xml:space="preserve">411+1,07</t>
  </si>
  <si>
    <t xml:space="preserve">418+7,52</t>
  </si>
  <si>
    <t xml:space="preserve">413+11,91</t>
  </si>
  <si>
    <t xml:space="preserve">454+12,78</t>
  </si>
  <si>
    <t xml:space="preserve">419+0,45</t>
  </si>
  <si>
    <t xml:space="preserve">434+11,92</t>
  </si>
  <si>
    <t xml:space="preserve">436+5,82</t>
  </si>
  <si>
    <t xml:space="preserve">464+3,23</t>
  </si>
  <si>
    <t xml:space="preserve">454+19,33</t>
  </si>
  <si>
    <t xml:space="preserve">459+5,68</t>
  </si>
  <si>
    <t xml:space="preserve">459+14,32</t>
  </si>
  <si>
    <t xml:space="preserve">465+14,07</t>
  </si>
  <si>
    <t xml:space="preserve">474+6,07</t>
  </si>
  <si>
    <t xml:space="preserve">466+4,98</t>
  </si>
  <si>
    <t xml:space="preserve">484+2,86</t>
  </si>
  <si>
    <t xml:space="preserve">474+4,78</t>
  </si>
  <si>
    <t xml:space="preserve">509+1,15</t>
  </si>
  <si>
    <t xml:space="preserve">484+10,13</t>
  </si>
  <si>
    <t xml:space="preserve">494+12,86</t>
  </si>
  <si>
    <t xml:space="preserve">495+17,96</t>
  </si>
  <si>
    <t xml:space="preserve">561+0,42</t>
  </si>
  <si>
    <t xml:space="preserve">536+16,64</t>
  </si>
  <si>
    <t xml:space="preserve">537+5,88</t>
  </si>
  <si>
    <t xml:space="preserve">571+18,17</t>
  </si>
  <si>
    <t xml:space="preserve">561+6,00</t>
  </si>
  <si>
    <t xml:space="preserve">591+1,61</t>
  </si>
  <si>
    <t xml:space="preserve">572+5,21</t>
  </si>
  <si>
    <t xml:space="preserve">581+16,68</t>
  </si>
  <si>
    <t xml:space="preserve">582+6,22</t>
  </si>
  <si>
    <t xml:space="preserve">601+12,86</t>
  </si>
  <si>
    <t xml:space="preserve">591+9,05</t>
  </si>
  <si>
    <t xml:space="preserve">604+14,21</t>
  </si>
  <si>
    <t xml:space="preserve">602+7,47</t>
  </si>
  <si>
    <t xml:space="preserve">608+5,25</t>
  </si>
  <si>
    <t xml:space="preserve">613+2,12</t>
  </si>
  <si>
    <t xml:space="preserve">608+12,45</t>
  </si>
  <si>
    <t xml:space="preserve">609+14,94</t>
  </si>
  <si>
    <t xml:space="preserve">610+11,33</t>
  </si>
  <si>
    <t xml:space="preserve">612+7,82</t>
  </si>
  <si>
    <t xml:space="preserve">613+3,33</t>
  </si>
  <si>
    <t xml:space="preserve">617+4,00</t>
  </si>
  <si>
    <t xml:space="preserve">613+4,49</t>
  </si>
  <si>
    <t xml:space="preserve">614+13,93</t>
  </si>
  <si>
    <t xml:space="preserve">615+0,56</t>
  </si>
  <si>
    <t xml:space="preserve">615+15,40</t>
  </si>
  <si>
    <t xml:space="preserve">616+0,36</t>
  </si>
  <si>
    <t xml:space="preserve">617+14,00</t>
  </si>
  <si>
    <t xml:space="preserve">620+12,98</t>
  </si>
  <si>
    <t xml:space="preserve">619+4,02</t>
  </si>
  <si>
    <t xml:space="preserve">619+10,69</t>
  </si>
  <si>
    <t xml:space="preserve">619+14,03</t>
  </si>
  <si>
    <t xml:space="preserve">621+4,84</t>
  </si>
  <si>
    <t xml:space="preserve">621+0,53</t>
  </si>
  <si>
    <t xml:space="preserve">629+11,55</t>
  </si>
  <si>
    <t xml:space="preserve">621+10,35</t>
  </si>
  <si>
    <t xml:space="preserve">622+12,58</t>
  </si>
  <si>
    <t xml:space="preserve">632+13,43</t>
  </si>
  <si>
    <t xml:space="preserve">631+13,89</t>
  </si>
  <si>
    <t xml:space="preserve">631+18,24</t>
  </si>
  <si>
    <t xml:space="preserve">632+8,76</t>
  </si>
  <si>
    <t xml:space="preserve">632+12,67</t>
  </si>
  <si>
    <t xml:space="preserve">634+13,80</t>
  </si>
  <si>
    <t xml:space="preserve">633+2,98</t>
  </si>
  <si>
    <t xml:space="preserve">634+2,72</t>
  </si>
  <si>
    <t xml:space="preserve">634+8,75</t>
  </si>
  <si>
    <t xml:space="preserve">634+13,21</t>
  </si>
  <si>
    <t xml:space="preserve">634+13,92</t>
  </si>
  <si>
    <t xml:space="preserve">635+12,51</t>
  </si>
  <si>
    <t xml:space="preserve">635+8,96</t>
  </si>
  <si>
    <t xml:space="preserve">635+12,45</t>
  </si>
  <si>
    <t xml:space="preserve">639+0,10</t>
  </si>
  <si>
    <t xml:space="preserve">639+9,76</t>
  </si>
  <si>
    <t xml:space="preserve">IMPLANTAÇÃO DE GUARDA CORPO</t>
  </si>
  <si>
    <t xml:space="preserve">605+1,29</t>
  </si>
  <si>
    <t xml:space="preserve">613+0,97</t>
  </si>
  <si>
    <t xml:space="preserve">605+16,77</t>
  </si>
  <si>
    <t xml:space="preserve">608+7,30</t>
  </si>
  <si>
    <t xml:space="preserve">613+4,97</t>
  </si>
  <si>
    <t xml:space="preserve">614+5,08</t>
  </si>
  <si>
    <t xml:space="preserve">622+4,31</t>
  </si>
  <si>
    <t xml:space="preserve">625+1,04</t>
  </si>
  <si>
    <t xml:space="preserve">623+1,31</t>
  </si>
  <si>
    <t xml:space="preserve">625+2,63</t>
  </si>
  <si>
    <t xml:space="preserve">RELOCAÇÃO DE PORTÃO</t>
  </si>
  <si>
    <t xml:space="preserve">256+6,64</t>
  </si>
  <si>
    <t xml:space="preserve">258+6,45</t>
  </si>
  <si>
    <t xml:space="preserve">258+12,03</t>
  </si>
  <si>
    <t xml:space="preserve">634+7,14</t>
  </si>
  <si>
    <t xml:space="preserve">IMPLANTAÇÃO ABRIGO EM PARADA DE ÔNIBUS</t>
  </si>
  <si>
    <t xml:space="preserve">118+6,02</t>
  </si>
  <si>
    <t xml:space="preserve">170+5,65</t>
  </si>
  <si>
    <t xml:space="preserve">173+14,41</t>
  </si>
  <si>
    <t xml:space="preserve">210+10,12</t>
  </si>
  <si>
    <t xml:space="preserve">211+13,51</t>
  </si>
  <si>
    <t xml:space="preserve">252+14,14</t>
  </si>
  <si>
    <t xml:space="preserve">255+9,85</t>
  </si>
  <si>
    <t xml:space="preserve">362+15,20</t>
  </si>
  <si>
    <t xml:space="preserve">362+14,94</t>
  </si>
  <si>
    <t xml:space="preserve">418+1,51</t>
  </si>
  <si>
    <t xml:space="preserve">425+9,35</t>
  </si>
  <si>
    <t xml:space="preserve">472+0,62</t>
  </si>
  <si>
    <t xml:space="preserve">471+19,95</t>
  </si>
  <si>
    <t xml:space="preserve">499+15,87</t>
  </si>
  <si>
    <t xml:space="preserve">523+0,60</t>
  </si>
  <si>
    <t xml:space="preserve">635+2,28</t>
  </si>
  <si>
    <t xml:space="preserve">IMPLANTAÇÃO DE PASSEIO PAVER COM 0,06cm</t>
  </si>
  <si>
    <t xml:space="preserve">210+10,00</t>
  </si>
  <si>
    <t xml:space="preserve">211+13,38</t>
  </si>
  <si>
    <t xml:space="preserve">255+10,00</t>
  </si>
  <si>
    <t xml:space="preserve">362+14,98</t>
  </si>
  <si>
    <t xml:space="preserve">362+15,19</t>
  </si>
  <si>
    <t xml:space="preserve">425+9,36</t>
  </si>
  <si>
    <t xml:space="preserve">604+14,06</t>
  </si>
  <si>
    <t xml:space="preserve">614+15,56</t>
  </si>
  <si>
    <t xml:space="preserve">608+11,81</t>
  </si>
  <si>
    <t xml:space="preserve">612+5,05</t>
  </si>
  <si>
    <t xml:space="preserve">613+3,03</t>
  </si>
  <si>
    <t xml:space="preserve">617+4,29</t>
  </si>
  <si>
    <t xml:space="preserve">615+15,95</t>
  </si>
  <si>
    <t xml:space="preserve">615+18,79</t>
  </si>
  <si>
    <t xml:space="preserve">617+13,40</t>
  </si>
  <si>
    <t xml:space="preserve">620+12,65</t>
  </si>
  <si>
    <t xml:space="preserve">629+11,54</t>
  </si>
  <si>
    <t xml:space="preserve">619+14,11</t>
  </si>
  <si>
    <t xml:space="preserve">621+4,81</t>
  </si>
  <si>
    <t xml:space="preserve">621+10,34</t>
  </si>
  <si>
    <t xml:space="preserve">622+15,66</t>
  </si>
  <si>
    <t xml:space="preserve">622+18,61</t>
  </si>
  <si>
    <t xml:space="preserve">628+15,29</t>
  </si>
  <si>
    <t xml:space="preserve">628+18,85</t>
  </si>
  <si>
    <t xml:space="preserve">630+9,16</t>
  </si>
  <si>
    <t xml:space="preserve">631+13,36</t>
  </si>
  <si>
    <t xml:space="preserve">630+14,08</t>
  </si>
  <si>
    <t xml:space="preserve">632+14,22</t>
  </si>
  <si>
    <t xml:space="preserve">631+19,11</t>
  </si>
  <si>
    <t xml:space="preserve">632+8,77</t>
  </si>
  <si>
    <t xml:space="preserve">632+12,66</t>
  </si>
  <si>
    <t xml:space="preserve">633+1,33</t>
  </si>
  <si>
    <t xml:space="preserve">634+4,01</t>
  </si>
  <si>
    <t xml:space="preserve">634+10,63</t>
  </si>
  <si>
    <t xml:space="preserve">639+3,13</t>
  </si>
  <si>
    <t xml:space="preserve">635+1,86</t>
  </si>
  <si>
    <t xml:space="preserve">639+7,18</t>
  </si>
  <si>
    <t xml:space="preserve">IMPLANTAÇÃO DE PASSEIO PAVER COM 0,08cm</t>
  </si>
  <si>
    <t xml:space="preserve">604+13,93</t>
  </si>
  <si>
    <t xml:space="preserve">608+6,38</t>
  </si>
  <si>
    <t xml:space="preserve">608+13,68</t>
  </si>
  <si>
    <t xml:space="preserve">615+0,64</t>
  </si>
  <si>
    <t xml:space="preserve">620+12,46</t>
  </si>
  <si>
    <t xml:space="preserve">621+2,86</t>
  </si>
  <si>
    <t xml:space="preserve">629+11,53</t>
  </si>
  <si>
    <t xml:space="preserve">IMPLANTAÇÃO DE PISO PODOTÁTIL</t>
  </si>
  <si>
    <t xml:space="preserve">598+19,02</t>
  </si>
  <si>
    <t xml:space="preserve">598+19,10</t>
  </si>
  <si>
    <t xml:space="preserve">599+9,83</t>
  </si>
  <si>
    <t xml:space="preserve">599+9,94</t>
  </si>
  <si>
    <t xml:space="preserve">604+13,50</t>
  </si>
  <si>
    <t xml:space="preserve">604+13,54</t>
  </si>
  <si>
    <t xml:space="preserve">605+0,57</t>
  </si>
  <si>
    <t xml:space="preserve">608+6,40</t>
  </si>
  <si>
    <t xml:space="preserve">608+12,64</t>
  </si>
  <si>
    <t xml:space="preserve">608+12,90</t>
  </si>
  <si>
    <t xml:space="preserve">612+4,95</t>
  </si>
  <si>
    <t xml:space="preserve">613+3,39</t>
  </si>
  <si>
    <t xml:space="preserve">614+14,29</t>
  </si>
  <si>
    <t xml:space="preserve">614+14,40</t>
  </si>
  <si>
    <t xml:space="preserve">615+1,47</t>
  </si>
  <si>
    <t xml:space="preserve">615+1,57</t>
  </si>
  <si>
    <t xml:space="preserve">615+15,21</t>
  </si>
  <si>
    <t xml:space="preserve">615+15,30</t>
  </si>
  <si>
    <t xml:space="preserve">617+4,30</t>
  </si>
  <si>
    <t xml:space="preserve">617+13,43</t>
  </si>
  <si>
    <t xml:space="preserve">618+18,99</t>
  </si>
  <si>
    <t xml:space="preserve">618+19,10</t>
  </si>
  <si>
    <t xml:space="preserve">619+4,69</t>
  </si>
  <si>
    <t xml:space="preserve">619+4,77</t>
  </si>
  <si>
    <t xml:space="preserve">619+10,06</t>
  </si>
  <si>
    <t xml:space="preserve">619+10,10</t>
  </si>
  <si>
    <t xml:space="preserve">619+14,62</t>
  </si>
  <si>
    <t xml:space="preserve">619+14,70</t>
  </si>
  <si>
    <t xml:space="preserve">620+12,12</t>
  </si>
  <si>
    <t xml:space="preserve">620+12,30</t>
  </si>
  <si>
    <t xml:space="preserve">621+3,25</t>
  </si>
  <si>
    <t xml:space="preserve">621+3,46</t>
  </si>
  <si>
    <t xml:space="preserve">621+4,30</t>
  </si>
  <si>
    <t xml:space="preserve">621+4,33</t>
  </si>
  <si>
    <t xml:space="preserve">621+11,44</t>
  </si>
  <si>
    <t xml:space="preserve">621+11,50</t>
  </si>
  <si>
    <t xml:space="preserve">628+14,78</t>
  </si>
  <si>
    <t xml:space="preserve">628+14,90</t>
  </si>
  <si>
    <t xml:space="preserve">628+19,40</t>
  </si>
  <si>
    <t xml:space="preserve">628+19,43</t>
  </si>
  <si>
    <t xml:space="preserve">629+10,96</t>
  </si>
  <si>
    <t xml:space="preserve">629+11,00</t>
  </si>
  <si>
    <t xml:space="preserve">629+15,34</t>
  </si>
  <si>
    <t xml:space="preserve">629+15,40</t>
  </si>
  <si>
    <t xml:space="preserve">630+8,62</t>
  </si>
  <si>
    <t xml:space="preserve">630+8,74</t>
  </si>
  <si>
    <t xml:space="preserve">630+14,60</t>
  </si>
  <si>
    <t xml:space="preserve">630+14,63</t>
  </si>
  <si>
    <t xml:space="preserve">631+13,14</t>
  </si>
  <si>
    <t xml:space="preserve">631+13,20</t>
  </si>
  <si>
    <t xml:space="preserve">631+19,30</t>
  </si>
  <si>
    <t xml:space="preserve">631+19,33</t>
  </si>
  <si>
    <t xml:space="preserve">632+8,42</t>
  </si>
  <si>
    <t xml:space="preserve">632+8,51</t>
  </si>
  <si>
    <t xml:space="preserve">632+13,37</t>
  </si>
  <si>
    <t xml:space="preserve">632+13,50</t>
  </si>
  <si>
    <t xml:space="preserve">IMPLANTAÇÃO DE RAMPA PCD -TIPO 1</t>
  </si>
  <si>
    <t xml:space="preserve">622+11,22</t>
  </si>
  <si>
    <t xml:space="preserve">623+2,92</t>
  </si>
  <si>
    <t xml:space="preserve">639+7,57</t>
  </si>
  <si>
    <t xml:space="preserve">IMPLANTAÇÃO DE RAMPA PCD -TIPO 2</t>
  </si>
  <si>
    <t xml:space="preserve">632+13,61</t>
  </si>
  <si>
    <t xml:space="preserve">633+0,99</t>
  </si>
  <si>
    <t xml:space="preserve">634+3,08</t>
  </si>
  <si>
    <t xml:space="preserve">634+10,54</t>
  </si>
  <si>
    <t xml:space="preserve">634+14,18</t>
  </si>
  <si>
    <t xml:space="preserve">635+7,76</t>
  </si>
  <si>
    <t xml:space="preserve">REMOÇÃO DE CERCA</t>
  </si>
  <si>
    <t xml:space="preserve">65+17,30</t>
  </si>
  <si>
    <t xml:space="preserve">154+2,96</t>
  </si>
  <si>
    <t xml:space="preserve">159+9,09</t>
  </si>
  <si>
    <t xml:space="preserve">156+8,40</t>
  </si>
  <si>
    <t xml:space="preserve">158+17,00</t>
  </si>
  <si>
    <t xml:space="preserve">161+19,49</t>
  </si>
  <si>
    <t xml:space="preserve">162+9,28</t>
  </si>
  <si>
    <t xml:space="preserve">169+4,09</t>
  </si>
  <si>
    <t xml:space="preserve">169+11,00</t>
  </si>
  <si>
    <t xml:space="preserve">206+2,49</t>
  </si>
  <si>
    <t xml:space="preserve">225+17,40</t>
  </si>
  <si>
    <t xml:space="preserve">209+12,93</t>
  </si>
  <si>
    <t xml:space="preserve">209+18,30</t>
  </si>
  <si>
    <t xml:space="preserve">229+18,84</t>
  </si>
  <si>
    <t xml:space="preserve">235+0,52</t>
  </si>
  <si>
    <t xml:space="preserve">236+9,54</t>
  </si>
  <si>
    <t xml:space="preserve">237+8,07</t>
  </si>
  <si>
    <t xml:space="preserve">254+19,10</t>
  </si>
  <si>
    <t xml:space="preserve">256+5,76</t>
  </si>
  <si>
    <t xml:space="preserve">258+10,40</t>
  </si>
  <si>
    <t xml:space="preserve">258+18,50</t>
  </si>
  <si>
    <t xml:space="preserve">259+0,54</t>
  </si>
  <si>
    <t xml:space="preserve">259+3,38</t>
  </si>
  <si>
    <t xml:space="preserve">322+8,86</t>
  </si>
  <si>
    <t xml:space="preserve">260+14,39</t>
  </si>
  <si>
    <t xml:space="preserve">299+7,34</t>
  </si>
  <si>
    <t xml:space="preserve">272+12,70</t>
  </si>
  <si>
    <t xml:space="preserve">272+14,80</t>
  </si>
  <si>
    <t xml:space="preserve">316+8,15</t>
  </si>
  <si>
    <t xml:space="preserve">323+4,87</t>
  </si>
  <si>
    <t xml:space="preserve">324+6,75</t>
  </si>
  <si>
    <t xml:space="preserve">324+9,27</t>
  </si>
  <si>
    <t xml:space="preserve">326+8,93</t>
  </si>
  <si>
    <t xml:space="preserve">434+7,11</t>
  </si>
  <si>
    <t xml:space="preserve">438+8,27</t>
  </si>
  <si>
    <t xml:space="preserve">437+0,90</t>
  </si>
  <si>
    <t xml:space="preserve">437+10,80</t>
  </si>
  <si>
    <t xml:space="preserve">438+15,01</t>
  </si>
  <si>
    <t xml:space="preserve">463+1,45</t>
  </si>
  <si>
    <t xml:space="preserve">441+13,56</t>
  </si>
  <si>
    <t xml:space="preserve">441+17,50</t>
  </si>
  <si>
    <t xml:space="preserve">454+10,56</t>
  </si>
  <si>
    <t xml:space="preserve">454+13,60</t>
  </si>
  <si>
    <t xml:space="preserve">454+19,17</t>
  </si>
  <si>
    <t xml:space="preserve">454+19,30</t>
  </si>
  <si>
    <t xml:space="preserve">457+3,41</t>
  </si>
  <si>
    <t xml:space="preserve">457+12,30</t>
  </si>
  <si>
    <t xml:space="preserve">459+15,97</t>
  </si>
  <si>
    <t xml:space="preserve">465+16,20</t>
  </si>
  <si>
    <t xml:space="preserve">464+4,36</t>
  </si>
  <si>
    <t xml:space="preserve">473+11,30</t>
  </si>
  <si>
    <t xml:space="preserve">466+2,58</t>
  </si>
  <si>
    <t xml:space="preserve">466+12,30</t>
  </si>
  <si>
    <t xml:space="preserve">484+13,79</t>
  </si>
  <si>
    <t xml:space="preserve">494+12,90</t>
  </si>
  <si>
    <t xml:space="preserve">495+17,47</t>
  </si>
  <si>
    <t xml:space="preserve">498+3,28</t>
  </si>
  <si>
    <t xml:space="preserve">505+11,56</t>
  </si>
  <si>
    <t xml:space="preserve">505+14,70</t>
  </si>
  <si>
    <t xml:space="preserve">505+19,15</t>
  </si>
  <si>
    <t xml:space="preserve">508+16,00</t>
  </si>
  <si>
    <t xml:space="preserve">582+3,59</t>
  </si>
  <si>
    <t xml:space="preserve">591+4,04</t>
  </si>
  <si>
    <t xml:space="preserve">593+1,21</t>
  </si>
  <si>
    <t xml:space="preserve">598+18,90</t>
  </si>
  <si>
    <t xml:space="preserve">599+8,66</t>
  </si>
  <si>
    <t xml:space="preserve">602+1,11</t>
  </si>
  <si>
    <t xml:space="preserve">601+14,97</t>
  </si>
  <si>
    <t xml:space="preserve">601+15,80</t>
  </si>
  <si>
    <t xml:space="preserve">604+1,42</t>
  </si>
  <si>
    <t xml:space="preserve">604+14,20</t>
  </si>
  <si>
    <t xml:space="preserve">612+3,96</t>
  </si>
  <si>
    <t xml:space="preserve">608+13,13</t>
  </si>
  <si>
    <t xml:space="preserve">609+13,30</t>
  </si>
  <si>
    <t xml:space="preserve">612+3,45</t>
  </si>
  <si>
    <t xml:space="preserve">613+1,97</t>
  </si>
  <si>
    <t xml:space="preserve">613+4,44</t>
  </si>
  <si>
    <t xml:space="preserve">613+6,19</t>
  </si>
  <si>
    <t xml:space="preserve">613+6,36</t>
  </si>
  <si>
    <t xml:space="preserve">614+13,90</t>
  </si>
  <si>
    <t xml:space="preserve">627+8,10</t>
  </si>
  <si>
    <t xml:space="preserve">624+9,23</t>
  </si>
  <si>
    <t xml:space="preserve">624+13,50</t>
  </si>
  <si>
    <t xml:space="preserve">626+2,44</t>
  </si>
  <si>
    <t xml:space="preserve">624+18,91</t>
  </si>
  <si>
    <t xml:space="preserve">627+9,00</t>
  </si>
  <si>
    <t xml:space="preserve">628+7,32</t>
  </si>
  <si>
    <t xml:space="preserve">628+1,33</t>
  </si>
  <si>
    <t xml:space="preserve">630+14,15</t>
  </si>
  <si>
    <t xml:space="preserve">632+13,40</t>
  </si>
  <si>
    <t xml:space="preserve">633+2,32</t>
  </si>
  <si>
    <t xml:space="preserve">634+2,70</t>
  </si>
  <si>
    <t xml:space="preserve">634+14,30</t>
  </si>
  <si>
    <t xml:space="preserve">635+7,46</t>
  </si>
  <si>
    <t xml:space="preserve">642+15,70</t>
  </si>
  <si>
    <t xml:space="preserve">639+3,45</t>
  </si>
  <si>
    <t xml:space="preserve">639+8,80</t>
  </si>
  <si>
    <t xml:space="preserve">640+10,90</t>
  </si>
  <si>
    <t xml:space="preserve">641+11,34</t>
  </si>
  <si>
    <t xml:space="preserve">REMOÇÃO DE CONCRETO</t>
  </si>
  <si>
    <t xml:space="preserve">621+4,66</t>
  </si>
  <si>
    <t xml:space="preserve">621+8,17</t>
  </si>
  <si>
    <t xml:space="preserve">REMOÇÃO DE PONTO DE ÔNIBUS</t>
  </si>
  <si>
    <t xml:space="preserve">127+10,57</t>
  </si>
  <si>
    <t xml:space="preserve">141+8,21</t>
  </si>
  <si>
    <t xml:space="preserve">193+9,89</t>
  </si>
  <si>
    <t xml:space="preserve">CERCAS DE PROTEÇÃO PASSA FAUNA</t>
  </si>
  <si>
    <t xml:space="preserve">157+6,90</t>
  </si>
  <si>
    <t xml:space="preserve">159+16,70</t>
  </si>
  <si>
    <t xml:space="preserve">158+4,90</t>
  </si>
  <si>
    <t xml:space="preserve">160+15,00</t>
  </si>
  <si>
    <t xml:space="preserve">161+15,70</t>
  </si>
  <si>
    <t xml:space="preserve">164+5,00</t>
  </si>
  <si>
    <t xml:space="preserve">164+6,20</t>
  </si>
  <si>
    <t xml:space="preserve">232+4,90</t>
  </si>
  <si>
    <t xml:space="preserve">234+14,90</t>
  </si>
  <si>
    <t xml:space="preserve">232+10,20</t>
  </si>
  <si>
    <t xml:space="preserve">236+18,20</t>
  </si>
  <si>
    <t xml:space="preserve">239+8,10</t>
  </si>
  <si>
    <t xml:space="preserve">237+1,60</t>
  </si>
  <si>
    <t xml:space="preserve">239+11,60</t>
  </si>
  <si>
    <t xml:space="preserve">427+8,80</t>
  </si>
  <si>
    <t xml:space="preserve">429+18,70</t>
  </si>
  <si>
    <t xml:space="preserve">427+12,10</t>
  </si>
  <si>
    <t xml:space="preserve">430+2,00</t>
  </si>
  <si>
    <t xml:space="preserve">431+0,90</t>
  </si>
  <si>
    <t xml:space="preserve">432+13,20</t>
  </si>
  <si>
    <t xml:space="preserve">431+1,00</t>
  </si>
  <si>
    <t xml:space="preserve">433+18,30</t>
  </si>
  <si>
    <t xml:space="preserve">433+3,20</t>
  </si>
  <si>
    <t xml:space="preserve">434+12,10</t>
  </si>
  <si>
    <t xml:space="preserve">434+9,20</t>
  </si>
  <si>
    <t xml:space="preserve">436+14,70</t>
  </si>
  <si>
    <t xml:space="preserve">BARREIRA DE SILTAGEM</t>
  </si>
  <si>
    <t xml:space="preserve">38+1,40</t>
  </si>
  <si>
    <t xml:space="preserve">41+19,10</t>
  </si>
  <si>
    <t xml:space="preserve">38+5,27</t>
  </si>
  <si>
    <t xml:space="preserve">40+16,30</t>
  </si>
  <si>
    <t xml:space="preserve">62+14,08</t>
  </si>
  <si>
    <t xml:space="preserve">67+2,63</t>
  </si>
  <si>
    <t xml:space="preserve">63+5,70</t>
  </si>
  <si>
    <t xml:space="preserve">67+7,54</t>
  </si>
  <si>
    <t xml:space="preserve">108+14,11</t>
  </si>
  <si>
    <t xml:space="preserve">117+14,90</t>
  </si>
  <si>
    <t xml:space="preserve">109+13,61</t>
  </si>
  <si>
    <t xml:space="preserve">113+18,50</t>
  </si>
  <si>
    <t xml:space="preserve">123+7,78</t>
  </si>
  <si>
    <t xml:space="preserve">123+15,69</t>
  </si>
  <si>
    <t xml:space="preserve">126+16,60</t>
  </si>
  <si>
    <t xml:space="preserve">135+16,10</t>
  </si>
  <si>
    <t xml:space="preserve">140+13,90</t>
  </si>
  <si>
    <t xml:space="preserve">136+19,49</t>
  </si>
  <si>
    <t xml:space="preserve">155+5,54</t>
  </si>
  <si>
    <t xml:space="preserve">163+7,97</t>
  </si>
  <si>
    <t xml:space="preserve">155+7,67</t>
  </si>
  <si>
    <t xml:space="preserve">163+12,70</t>
  </si>
  <si>
    <t xml:space="preserve">159+6,26</t>
  </si>
  <si>
    <t xml:space="preserve">159+8,31</t>
  </si>
  <si>
    <t xml:space="preserve">160+0,63</t>
  </si>
  <si>
    <t xml:space="preserve">160+19,40</t>
  </si>
  <si>
    <t xml:space="preserve">160+11,44</t>
  </si>
  <si>
    <t xml:space="preserve">160+15,80</t>
  </si>
  <si>
    <t xml:space="preserve">161+10,29</t>
  </si>
  <si>
    <t xml:space="preserve">161+14,40</t>
  </si>
  <si>
    <t xml:space="preserve">196+13,37</t>
  </si>
  <si>
    <t xml:space="preserve">199+7,70</t>
  </si>
  <si>
    <t xml:space="preserve">202+4,49</t>
  </si>
  <si>
    <t xml:space="preserve">232+16,61</t>
  </si>
  <si>
    <t xml:space="preserve">234+19,40</t>
  </si>
  <si>
    <t xml:space="preserve">233+13,51</t>
  </si>
  <si>
    <t xml:space="preserve">235+11,70</t>
  </si>
  <si>
    <t xml:space="preserve">236+8,95</t>
  </si>
  <si>
    <t xml:space="preserve">239+15,70</t>
  </si>
  <si>
    <t xml:space="preserve">237+9,32</t>
  </si>
  <si>
    <t xml:space="preserve">240+4,91</t>
  </si>
  <si>
    <t xml:space="preserve">303+17,06</t>
  </si>
  <si>
    <t xml:space="preserve">323+7,82</t>
  </si>
  <si>
    <t xml:space="preserve">319+16,29</t>
  </si>
  <si>
    <t xml:space="preserve">334+1,19</t>
  </si>
  <si>
    <t xml:space="preserve">323+6,11</t>
  </si>
  <si>
    <t xml:space="preserve">328+15,60</t>
  </si>
  <si>
    <t xml:space="preserve">354+6,72</t>
  </si>
  <si>
    <t xml:space="preserve">359+1,73</t>
  </si>
  <si>
    <t xml:space="preserve">375+11,08</t>
  </si>
  <si>
    <t xml:space="preserve">379+9,58</t>
  </si>
  <si>
    <t xml:space="preserve">375+12,24</t>
  </si>
  <si>
    <t xml:space="preserve">405+8,99</t>
  </si>
  <si>
    <t xml:space="preserve">413+1,21</t>
  </si>
  <si>
    <t xml:space="preserve">406+18,34</t>
  </si>
  <si>
    <t xml:space="preserve">410+5,08</t>
  </si>
  <si>
    <t xml:space="preserve">421+12,80</t>
  </si>
  <si>
    <t xml:space="preserve">454+4,09</t>
  </si>
  <si>
    <t xml:space="preserve">428+4,96</t>
  </si>
  <si>
    <t xml:space="preserve">434+10,20</t>
  </si>
  <si>
    <t xml:space="preserve">429+14,84</t>
  </si>
  <si>
    <t xml:space="preserve">430+0,74</t>
  </si>
  <si>
    <t xml:space="preserve">485+17,56</t>
  </si>
  <si>
    <t xml:space="preserve">489+5,16</t>
  </si>
  <si>
    <t xml:space="preserve">486+1,50</t>
  </si>
  <si>
    <t xml:space="preserve">489+16,10</t>
  </si>
  <si>
    <t xml:space="preserve">524+16,21</t>
  </si>
  <si>
    <t xml:space="preserve">529+7,48</t>
  </si>
  <si>
    <t xml:space="preserve">557+0,05</t>
  </si>
  <si>
    <t xml:space="preserve">571+16,50</t>
  </si>
  <si>
    <t xml:space="preserve">557+0,80</t>
  </si>
  <si>
    <t xml:space="preserve">560+19,40</t>
  </si>
  <si>
    <t xml:space="preserve">561+12,16</t>
  </si>
  <si>
    <t xml:space="preserve">584+1,96</t>
  </si>
  <si>
    <t xml:space="preserve">590+12,52</t>
  </si>
  <si>
    <t xml:space="preserve">593+6,54</t>
  </si>
  <si>
    <t xml:space="preserve">591+0,23</t>
  </si>
  <si>
    <t xml:space="preserve">592+17,80</t>
  </si>
  <si>
    <t xml:space="preserve">607+15,15</t>
  </si>
  <si>
    <t xml:space="preserve">614+2,57</t>
  </si>
  <si>
    <t xml:space="preserve">608+11,17</t>
  </si>
  <si>
    <t xml:space="preserve">609+15,10</t>
  </si>
  <si>
    <t xml:space="preserve">623+3,94</t>
  </si>
  <si>
    <t xml:space="preserve">628+15,70</t>
  </si>
  <si>
    <t xml:space="preserve">REMOÇÃO DE BUEIRO Ø 0.60</t>
  </si>
  <si>
    <t xml:space="preserve">REMOÇÃO DE BUEIRO Ø 0.40</t>
  </si>
  <si>
    <t xml:space="preserve">49+13,80</t>
  </si>
  <si>
    <t xml:space="preserve">113+17,90</t>
  </si>
  <si>
    <t xml:space="preserve">144+19,69</t>
  </si>
  <si>
    <t xml:space="preserve">154+11,80</t>
  </si>
  <si>
    <t xml:space="preserve">REMOÇÃO DE BUEIRO Ø 0.80 (duplo – 2 linhas)</t>
  </si>
  <si>
    <t xml:space="preserve">DEMOLIÇÃO DE CONCRETO ARMADO</t>
  </si>
  <si>
    <t xml:space="preserve">168+8,30</t>
  </si>
  <si>
    <t xml:space="preserve">178+16,80</t>
  </si>
  <si>
    <t xml:space="preserve">226+17,00</t>
  </si>
  <si>
    <t xml:space="preserve">230+14,30</t>
  </si>
  <si>
    <t xml:space="preserve">232+10,60</t>
  </si>
  <si>
    <t xml:space="preserve">259+19,95</t>
  </si>
  <si>
    <t xml:space="preserve">312+3,40</t>
  </si>
  <si>
    <t xml:space="preserve">315+10,70</t>
  </si>
  <si>
    <t xml:space="preserve">REMOÇÃO DE BUEIRO Ø 1.00</t>
  </si>
  <si>
    <t xml:space="preserve">337+2,90</t>
  </si>
  <si>
    <t xml:space="preserve">340+2,50</t>
  </si>
  <si>
    <t xml:space="preserve">349+11,10</t>
  </si>
  <si>
    <t xml:space="preserve">397+17,00</t>
  </si>
  <si>
    <t xml:space="preserve">418+11,20</t>
  </si>
  <si>
    <t xml:space="preserve">433+3,46</t>
  </si>
  <si>
    <t xml:space="preserve">437+4,00</t>
  </si>
  <si>
    <t xml:space="preserve">438+10,80</t>
  </si>
  <si>
    <t xml:space="preserve">493+10,27</t>
  </si>
  <si>
    <t xml:space="preserve">499+4,40</t>
  </si>
  <si>
    <t xml:space="preserve">509+16,70</t>
  </si>
  <si>
    <t xml:space="preserve">509+19,90</t>
  </si>
  <si>
    <t xml:space="preserve">572+3,10</t>
  </si>
  <si>
    <t xml:space="preserve">582+1,90</t>
  </si>
  <si>
    <t xml:space="preserve">604+17,30</t>
  </si>
  <si>
    <t xml:space="preserve">608+11,50</t>
  </si>
  <si>
    <t xml:space="preserve">DEMOLIÇÃO DE CONCRETO SIMPLES</t>
  </si>
  <si>
    <t xml:space="preserve">608+18,40</t>
  </si>
  <si>
    <t xml:space="preserve">610+11,50</t>
  </si>
  <si>
    <t xml:space="preserve">312+0,30</t>
  </si>
  <si>
    <t xml:space="preserve">613+9,10</t>
  </si>
  <si>
    <t xml:space="preserve">614+8,00</t>
  </si>
  <si>
    <t xml:space="preserve">625+0,70</t>
  </si>
  <si>
    <t xml:space="preserve">627+11,80</t>
  </si>
  <si>
    <t xml:space="preserve">630+4,90</t>
  </si>
  <si>
    <t xml:space="preserve">632+1,50</t>
  </si>
  <si>
    <t xml:space="preserve">633+6,80</t>
  </si>
  <si>
    <t xml:space="preserve">634+12,30</t>
  </si>
  <si>
    <t xml:space="preserve">634+18,70</t>
  </si>
  <si>
    <t xml:space="preserve">635+5,20</t>
  </si>
  <si>
    <t xml:space="preserve">Fonte: Volume 3 – Memória Justificativa, Tomo III – Anexos (1.3 drenagem – remoções; 1.6 sinalização; 1.7 paisagismo; 1.8 obras complementares). Intervalos com estaca inicial = final entram na própria estaca.</t>
  </si>
  <si>
    <t xml:space="preserve">Afastamento do eixo (m)</t>
  </si>
  <si>
    <t xml:space="preserve">Coord. E</t>
  </si>
  <si>
    <t xml:space="preserve">Coord. N</t>
  </si>
  <si>
    <t xml:space="preserve">Poste a remover / relocar</t>
  </si>
  <si>
    <t xml:space="preserve">72+05,11</t>
  </si>
  <si>
    <t xml:space="preserve">IT-2-0001 (coordenadas) · estaca pelo alinhamento da Tab. 6 da memória</t>
  </si>
  <si>
    <t xml:space="preserve">168+14,36</t>
  </si>
  <si>
    <t xml:space="preserve">169+02,86</t>
  </si>
  <si>
    <t xml:space="preserve">169+05,34</t>
  </si>
  <si>
    <t xml:space="preserve">178+02,31</t>
  </si>
  <si>
    <t xml:space="preserve">183+18,61</t>
  </si>
  <si>
    <t xml:space="preserve">187+05,08</t>
  </si>
  <si>
    <t xml:space="preserve">193+00,06</t>
  </si>
  <si>
    <t xml:space="preserve">196+03,64</t>
  </si>
  <si>
    <t xml:space="preserve">208+02,45</t>
  </si>
  <si>
    <t xml:space="preserve">219+04,10</t>
  </si>
  <si>
    <t xml:space="preserve">231+10,25</t>
  </si>
  <si>
    <t xml:space="preserve">327+17,53</t>
  </si>
  <si>
    <t xml:space="preserve">327+19,06</t>
  </si>
  <si>
    <t xml:space="preserve">337+00,18</t>
  </si>
  <si>
    <t xml:space="preserve">339+17,04</t>
  </si>
  <si>
    <t xml:space="preserve">340+05,94</t>
  </si>
  <si>
    <t xml:space="preserve">390+07,91</t>
  </si>
  <si>
    <t xml:space="preserve">482+03,19</t>
  </si>
  <si>
    <t xml:space="preserve">489+04,26</t>
  </si>
  <si>
    <t xml:space="preserve">492+05,79</t>
  </si>
  <si>
    <t xml:space="preserve">495+11,87</t>
  </si>
  <si>
    <t xml:space="preserve">504+10,94</t>
  </si>
  <si>
    <t xml:space="preserve">540+02,34</t>
  </si>
  <si>
    <t xml:space="preserve">544+13,68</t>
  </si>
  <si>
    <t xml:space="preserve">555+01,86</t>
  </si>
  <si>
    <t xml:space="preserve">559+13,20</t>
  </si>
  <si>
    <t xml:space="preserve">566+08,54</t>
  </si>
  <si>
    <t xml:space="preserve">581+04,91</t>
  </si>
  <si>
    <t xml:space="preserve">587+04,75</t>
  </si>
  <si>
    <t xml:space="preserve">589+18,99</t>
  </si>
  <si>
    <t xml:space="preserve">594+01,97</t>
  </si>
  <si>
    <t xml:space="preserve">600+06,61</t>
  </si>
  <si>
    <t xml:space="preserve">602+09,75</t>
  </si>
  <si>
    <t xml:space="preserve">604+12,09</t>
  </si>
  <si>
    <t xml:space="preserve">607+17,42</t>
  </si>
  <si>
    <t xml:space="preserve">610+00,51</t>
  </si>
  <si>
    <t xml:space="preserve">611+17,25</t>
  </si>
  <si>
    <t xml:space="preserve">611+17,59</t>
  </si>
  <si>
    <t xml:space="preserve">612+06,86</t>
  </si>
  <si>
    <t xml:space="preserve">612+10,74</t>
  </si>
  <si>
    <t xml:space="preserve">614+05,66</t>
  </si>
  <si>
    <t xml:space="preserve">615+09,94</t>
  </si>
  <si>
    <t xml:space="preserve">616+00,19</t>
  </si>
  <si>
    <t xml:space="preserve">617+11,93</t>
  </si>
  <si>
    <t xml:space="preserve">618+14,73</t>
  </si>
  <si>
    <t xml:space="preserve">619+04,58</t>
  </si>
  <si>
    <t xml:space="preserve">620+14,30</t>
  </si>
  <si>
    <t xml:space="preserve">622+04,06</t>
  </si>
  <si>
    <t xml:space="preserve">622+05,80</t>
  </si>
  <si>
    <t xml:space="preserve">622+12,12</t>
  </si>
  <si>
    <t xml:space="preserve">624+01,64</t>
  </si>
  <si>
    <t xml:space="preserve">624+01,79</t>
  </si>
  <si>
    <t xml:space="preserve">625+17,17</t>
  </si>
  <si>
    <t xml:space="preserve">626+00,35</t>
  </si>
  <si>
    <t xml:space="preserve">628+13,83</t>
  </si>
  <si>
    <t xml:space="preserve">629+03,86</t>
  </si>
  <si>
    <t xml:space="preserve">631+06,64</t>
  </si>
  <si>
    <t xml:space="preserve">632+12,40</t>
  </si>
  <si>
    <t xml:space="preserve">632+14,69</t>
  </si>
  <si>
    <t xml:space="preserve">632+17,77</t>
  </si>
  <si>
    <t xml:space="preserve">634+04,33</t>
  </si>
  <si>
    <t xml:space="preserve">634+14,39</t>
  </si>
  <si>
    <t xml:space="preserve">635+03,46</t>
  </si>
  <si>
    <t xml:space="preserve">636+09,31</t>
  </si>
  <si>
    <t xml:space="preserve">636+11,70</t>
  </si>
  <si>
    <t xml:space="preserve">638+09,97</t>
  </si>
  <si>
    <t xml:space="preserve">638+14,84</t>
  </si>
  <si>
    <t xml:space="preserve">639+08,40</t>
  </si>
  <si>
    <t xml:space="preserve">641+07,46</t>
  </si>
  <si>
    <t xml:space="preserve">Árvore Ø &gt; 30 cm – nativa</t>
  </si>
  <si>
    <t xml:space="preserve">3+17,90</t>
  </si>
  <si>
    <t xml:space="preserve">4+10,65</t>
  </si>
  <si>
    <t xml:space="preserve">5+07,76</t>
  </si>
  <si>
    <t xml:space="preserve">Árvore Ø &gt; 30 cm – exótica</t>
  </si>
  <si>
    <t xml:space="preserve">5+18,86</t>
  </si>
  <si>
    <t xml:space="preserve">6+03,75</t>
  </si>
  <si>
    <t xml:space="preserve">6+17,66</t>
  </si>
  <si>
    <t xml:space="preserve">7+08,57</t>
  </si>
  <si>
    <t xml:space="preserve">7+15,50</t>
  </si>
  <si>
    <t xml:space="preserve">8+09,49</t>
  </si>
  <si>
    <t xml:space="preserve">8+15,50</t>
  </si>
  <si>
    <t xml:space="preserve">9+02,58</t>
  </si>
  <si>
    <t xml:space="preserve">9+10,63</t>
  </si>
  <si>
    <t xml:space="preserve">10+00,49</t>
  </si>
  <si>
    <t xml:space="preserve">10+08,63</t>
  </si>
  <si>
    <t xml:space="preserve">10+10,55</t>
  </si>
  <si>
    <t xml:space="preserve">10+10,59</t>
  </si>
  <si>
    <t xml:space="preserve">11+07,10</t>
  </si>
  <si>
    <t xml:space="preserve">11+10,46</t>
  </si>
  <si>
    <t xml:space="preserve">11+15,38</t>
  </si>
  <si>
    <t xml:space="preserve">11+16,79</t>
  </si>
  <si>
    <t xml:space="preserve">11+17,97</t>
  </si>
  <si>
    <t xml:space="preserve">11+18,90</t>
  </si>
  <si>
    <t xml:space="preserve">11+19,12</t>
  </si>
  <si>
    <t xml:space="preserve">12+08,25</t>
  </si>
  <si>
    <t xml:space="preserve">12+10,66</t>
  </si>
  <si>
    <t xml:space="preserve">12+15,85</t>
  </si>
  <si>
    <t xml:space="preserve">15+15,50</t>
  </si>
  <si>
    <t xml:space="preserve">16+00,70</t>
  </si>
  <si>
    <t xml:space="preserve">16+02,50</t>
  </si>
  <si>
    <t xml:space="preserve">16+08,51</t>
  </si>
  <si>
    <t xml:space="preserve">17+08,36</t>
  </si>
  <si>
    <t xml:space="preserve">33+17,31</t>
  </si>
  <si>
    <t xml:space="preserve">40+12,07</t>
  </si>
  <si>
    <t xml:space="preserve">41+01,65</t>
  </si>
  <si>
    <t xml:space="preserve">50+07,07</t>
  </si>
  <si>
    <t xml:space="preserve">50+12,14</t>
  </si>
  <si>
    <t xml:space="preserve">50+17,51</t>
  </si>
  <si>
    <t xml:space="preserve">50+19,29</t>
  </si>
  <si>
    <t xml:space="preserve">51+04,21</t>
  </si>
  <si>
    <t xml:space="preserve">51+05,28</t>
  </si>
  <si>
    <t xml:space="preserve">51+08,81</t>
  </si>
  <si>
    <t xml:space="preserve">51+11,52</t>
  </si>
  <si>
    <t xml:space="preserve">51+15,71</t>
  </si>
  <si>
    <t xml:space="preserve">51+17,32</t>
  </si>
  <si>
    <t xml:space="preserve">51+18,06</t>
  </si>
  <si>
    <t xml:space="preserve">51+18,98</t>
  </si>
  <si>
    <t xml:space="preserve">52+03,56</t>
  </si>
  <si>
    <t xml:space="preserve">52+04,99</t>
  </si>
  <si>
    <t xml:space="preserve">52+10,07</t>
  </si>
  <si>
    <t xml:space="preserve">52+13,79</t>
  </si>
  <si>
    <t xml:space="preserve">52+15,22</t>
  </si>
  <si>
    <t xml:space="preserve">52+18,88</t>
  </si>
  <si>
    <t xml:space="preserve">53+00,01</t>
  </si>
  <si>
    <t xml:space="preserve">53+11,70</t>
  </si>
  <si>
    <t xml:space="preserve">53+13,94</t>
  </si>
  <si>
    <t xml:space="preserve">54+01,04</t>
  </si>
  <si>
    <t xml:space="preserve">54+02,63</t>
  </si>
  <si>
    <t xml:space="preserve">54+09,35</t>
  </si>
  <si>
    <t xml:space="preserve">54+19,00</t>
  </si>
  <si>
    <t xml:space="preserve">55+00,42</t>
  </si>
  <si>
    <t xml:space="preserve">55+03,84</t>
  </si>
  <si>
    <t xml:space="preserve">55+06,36</t>
  </si>
  <si>
    <t xml:space="preserve">55+08,58</t>
  </si>
  <si>
    <t xml:space="preserve">55+13,32</t>
  </si>
  <si>
    <t xml:space="preserve">55+14,13</t>
  </si>
  <si>
    <t xml:space="preserve">56+05,39</t>
  </si>
  <si>
    <t xml:space="preserve">56+09,84</t>
  </si>
  <si>
    <t xml:space="preserve">56+11,89</t>
  </si>
  <si>
    <t xml:space="preserve">57+09,03</t>
  </si>
  <si>
    <t xml:space="preserve">57+19,85</t>
  </si>
  <si>
    <t xml:space="preserve">58+01,91</t>
  </si>
  <si>
    <t xml:space="preserve">61+14,56</t>
  </si>
  <si>
    <t xml:space="preserve">62+15,96</t>
  </si>
  <si>
    <t xml:space="preserve">111+18,79</t>
  </si>
  <si>
    <t xml:space="preserve">119+04,53</t>
  </si>
  <si>
    <t xml:space="preserve">119+14,57</t>
  </si>
  <si>
    <t xml:space="preserve">121+19,37</t>
  </si>
  <si>
    <t xml:space="preserve">122+02,39</t>
  </si>
  <si>
    <t xml:space="preserve">122+03,73</t>
  </si>
  <si>
    <t xml:space="preserve">122+06,19</t>
  </si>
  <si>
    <t xml:space="preserve">122+07,36</t>
  </si>
  <si>
    <t xml:space="preserve">122+09,18</t>
  </si>
  <si>
    <t xml:space="preserve">122+10,42</t>
  </si>
  <si>
    <t xml:space="preserve">127+00,38</t>
  </si>
  <si>
    <t xml:space="preserve">129+18,22</t>
  </si>
  <si>
    <t xml:space="preserve">131+12,18</t>
  </si>
  <si>
    <t xml:space="preserve">133+02,96</t>
  </si>
  <si>
    <t xml:space="preserve">137+15,63</t>
  </si>
  <si>
    <t xml:space="preserve">140+06,40</t>
  </si>
  <si>
    <t xml:space="preserve">151+05,57</t>
  </si>
  <si>
    <t xml:space="preserve">151+17,88</t>
  </si>
  <si>
    <t xml:space="preserve">153+01,23</t>
  </si>
  <si>
    <t xml:space="preserve">154+09,85</t>
  </si>
  <si>
    <t xml:space="preserve">154+16,76</t>
  </si>
  <si>
    <t xml:space="preserve">154+19,69</t>
  </si>
  <si>
    <t xml:space="preserve">155+00,09</t>
  </si>
  <si>
    <t xml:space="preserve">162+03,20</t>
  </si>
  <si>
    <t xml:space="preserve">163+07,17</t>
  </si>
  <si>
    <t xml:space="preserve">163+18,33</t>
  </si>
  <si>
    <t xml:space="preserve">164+02,87</t>
  </si>
  <si>
    <t xml:space="preserve">164+07,36</t>
  </si>
  <si>
    <t xml:space="preserve">164+08,64</t>
  </si>
  <si>
    <t xml:space="preserve">164+16,00</t>
  </si>
  <si>
    <t xml:space="preserve">165+03,55</t>
  </si>
  <si>
    <t xml:space="preserve">165+07,25</t>
  </si>
  <si>
    <t xml:space="preserve">165+16,62</t>
  </si>
  <si>
    <t xml:space="preserve">165+17,09</t>
  </si>
  <si>
    <t xml:space="preserve">166+01,56</t>
  </si>
  <si>
    <t xml:space="preserve">166+08,37</t>
  </si>
  <si>
    <t xml:space="preserve">167+04,28</t>
  </si>
  <si>
    <t xml:space="preserve">168+03,21</t>
  </si>
  <si>
    <t xml:space="preserve">168+14,25</t>
  </si>
  <si>
    <t xml:space="preserve">171+03,24</t>
  </si>
  <si>
    <t xml:space="preserve">171+13,06</t>
  </si>
  <si>
    <t xml:space="preserve">172+03,49</t>
  </si>
  <si>
    <t xml:space="preserve">172+17,28</t>
  </si>
  <si>
    <t xml:space="preserve">173+13,14</t>
  </si>
  <si>
    <t xml:space="preserve">175+19,00</t>
  </si>
  <si>
    <t xml:space="preserve">178+04,73</t>
  </si>
  <si>
    <t xml:space="preserve">186+17,14</t>
  </si>
  <si>
    <t xml:space="preserve">187+05,26</t>
  </si>
  <si>
    <t xml:space="preserve">188+07,77</t>
  </si>
  <si>
    <t xml:space="preserve">190+07,07</t>
  </si>
  <si>
    <t xml:space="preserve">190+11,46</t>
  </si>
  <si>
    <t xml:space="preserve">192+01,27</t>
  </si>
  <si>
    <t xml:space="preserve">193+00,46</t>
  </si>
  <si>
    <t xml:space="preserve">193+10,43</t>
  </si>
  <si>
    <t xml:space="preserve">193+11,37</t>
  </si>
  <si>
    <t xml:space="preserve">196+00,67</t>
  </si>
  <si>
    <t xml:space="preserve">196+05,62</t>
  </si>
  <si>
    <t xml:space="preserve">197+04,53</t>
  </si>
  <si>
    <t xml:space="preserve">197+05,40</t>
  </si>
  <si>
    <t xml:space="preserve">200+09,86</t>
  </si>
  <si>
    <t xml:space="preserve">202+17,86</t>
  </si>
  <si>
    <t xml:space="preserve">203+01,88</t>
  </si>
  <si>
    <t xml:space="preserve">203+02,06</t>
  </si>
  <si>
    <t xml:space="preserve">203+03,85</t>
  </si>
  <si>
    <t xml:space="preserve">205+00,36</t>
  </si>
  <si>
    <t xml:space="preserve">205+14,99</t>
  </si>
  <si>
    <t xml:space="preserve">205+16,68</t>
  </si>
  <si>
    <t xml:space="preserve">205+18,42</t>
  </si>
  <si>
    <t xml:space="preserve">211+02,73</t>
  </si>
  <si>
    <t xml:space="preserve">216+00,23</t>
  </si>
  <si>
    <t xml:space="preserve">219+07,27</t>
  </si>
  <si>
    <t xml:space="preserve">220+07,88</t>
  </si>
  <si>
    <t xml:space="preserve">223+02,04</t>
  </si>
  <si>
    <t xml:space="preserve">223+12,29</t>
  </si>
  <si>
    <t xml:space="preserve">224+00,80</t>
  </si>
  <si>
    <t xml:space="preserve">224+04,05</t>
  </si>
  <si>
    <t xml:space="preserve">224+18,45</t>
  </si>
  <si>
    <t xml:space="preserve">225+07,30</t>
  </si>
  <si>
    <t xml:space="preserve">292+03,02</t>
  </si>
  <si>
    <t xml:space="preserve">296+00,25</t>
  </si>
  <si>
    <t xml:space="preserve">298+03,97</t>
  </si>
  <si>
    <t xml:space="preserve">302+14,51</t>
  </si>
  <si>
    <t xml:space="preserve">304+17,17</t>
  </si>
  <si>
    <t xml:space="preserve">305+05,14</t>
  </si>
  <si>
    <t xml:space="preserve">306+03,06</t>
  </si>
  <si>
    <t xml:space="preserve">306+09,86</t>
  </si>
  <si>
    <t xml:space="preserve">306+14,61</t>
  </si>
  <si>
    <t xml:space="preserve">307+00,97</t>
  </si>
  <si>
    <t xml:space="preserve">307+01,12</t>
  </si>
  <si>
    <t xml:space="preserve">307+02,58</t>
  </si>
  <si>
    <t xml:space="preserve">307+09,76</t>
  </si>
  <si>
    <t xml:space="preserve">307+11,81</t>
  </si>
  <si>
    <t xml:space="preserve">307+13,52</t>
  </si>
  <si>
    <t xml:space="preserve">307+15,54</t>
  </si>
  <si>
    <t xml:space="preserve">307+15,89</t>
  </si>
  <si>
    <t xml:space="preserve">307+17,20</t>
  </si>
  <si>
    <t xml:space="preserve">307+19,73</t>
  </si>
  <si>
    <t xml:space="preserve">308+00,15</t>
  </si>
  <si>
    <t xml:space="preserve">308+15,38</t>
  </si>
  <si>
    <t xml:space="preserve">309+04,48</t>
  </si>
  <si>
    <t xml:space="preserve">309+05,35</t>
  </si>
  <si>
    <t xml:space="preserve">309+07,49</t>
  </si>
  <si>
    <t xml:space="preserve">309+08,01</t>
  </si>
  <si>
    <t xml:space="preserve">309+12,63</t>
  </si>
  <si>
    <t xml:space="preserve">309+15,40</t>
  </si>
  <si>
    <t xml:space="preserve">309+15,64</t>
  </si>
  <si>
    <t xml:space="preserve">309+17,34</t>
  </si>
  <si>
    <t xml:space="preserve">310+00,79</t>
  </si>
  <si>
    <t xml:space="preserve">310+01,98</t>
  </si>
  <si>
    <t xml:space="preserve">310+05,38</t>
  </si>
  <si>
    <t xml:space="preserve">310+09,40</t>
  </si>
  <si>
    <t xml:space="preserve">310+16,33</t>
  </si>
  <si>
    <t xml:space="preserve">310+17,61</t>
  </si>
  <si>
    <t xml:space="preserve">311+12,70</t>
  </si>
  <si>
    <t xml:space="preserve">311+15,12</t>
  </si>
  <si>
    <t xml:space="preserve">315+14,78</t>
  </si>
  <si>
    <t xml:space="preserve">323+01,52</t>
  </si>
  <si>
    <t xml:space="preserve">323+09,92</t>
  </si>
  <si>
    <t xml:space="preserve">323+18,67</t>
  </si>
  <si>
    <t xml:space="preserve">324+04,77</t>
  </si>
  <si>
    <t xml:space="preserve">324+13,60</t>
  </si>
  <si>
    <t xml:space="preserve">324+19,36</t>
  </si>
  <si>
    <t xml:space="preserve">325+03,05</t>
  </si>
  <si>
    <t xml:space="preserve">325+03,17</t>
  </si>
  <si>
    <t xml:space="preserve">325+08,82</t>
  </si>
  <si>
    <t xml:space="preserve">326+04,10</t>
  </si>
  <si>
    <t xml:space="preserve">326+13,28</t>
  </si>
  <si>
    <t xml:space="preserve">326+14,18</t>
  </si>
  <si>
    <t xml:space="preserve">327+01,00</t>
  </si>
  <si>
    <t xml:space="preserve">327+05,64</t>
  </si>
  <si>
    <t xml:space="preserve">327+08,21</t>
  </si>
  <si>
    <t xml:space="preserve">327+09,85</t>
  </si>
  <si>
    <t xml:space="preserve">328+04,45</t>
  </si>
  <si>
    <t xml:space="preserve">330+11,26</t>
  </si>
  <si>
    <t xml:space="preserve">340+12,59</t>
  </si>
  <si>
    <t xml:space="preserve">359+01,02</t>
  </si>
  <si>
    <t xml:space="preserve">384+17,76</t>
  </si>
  <si>
    <t xml:space="preserve">387+11,65</t>
  </si>
  <si>
    <t xml:space="preserve">388+14,35</t>
  </si>
  <si>
    <t xml:space="preserve">388+19,63</t>
  </si>
  <si>
    <t xml:space="preserve">389+01,41</t>
  </si>
  <si>
    <t xml:space="preserve">389+08,78</t>
  </si>
  <si>
    <t xml:space="preserve">389+09,14</t>
  </si>
  <si>
    <t xml:space="preserve">389+10,33</t>
  </si>
  <si>
    <t xml:space="preserve">389+13,76</t>
  </si>
  <si>
    <t xml:space="preserve">389+15,99</t>
  </si>
  <si>
    <t xml:space="preserve">398+01,92</t>
  </si>
  <si>
    <t xml:space="preserve">398+13,16</t>
  </si>
  <si>
    <t xml:space="preserve">400+10,81</t>
  </si>
  <si>
    <t xml:space="preserve">400+17,29</t>
  </si>
  <si>
    <t xml:space="preserve">408+03,60</t>
  </si>
  <si>
    <t xml:space="preserve">408+07,01</t>
  </si>
  <si>
    <t xml:space="preserve">408+09,35</t>
  </si>
  <si>
    <t xml:space="preserve">408+11,97</t>
  </si>
  <si>
    <t xml:space="preserve">408+17,13</t>
  </si>
  <si>
    <t xml:space="preserve">409+01,00</t>
  </si>
  <si>
    <t xml:space="preserve">414+15,63</t>
  </si>
  <si>
    <t xml:space="preserve">418+15,64</t>
  </si>
  <si>
    <t xml:space="preserve">418+16,90</t>
  </si>
  <si>
    <t xml:space="preserve">419+06,22</t>
  </si>
  <si>
    <t xml:space="preserve">419+06,78</t>
  </si>
  <si>
    <t xml:space="preserve">431+06,86</t>
  </si>
  <si>
    <t xml:space="preserve">437+19,68</t>
  </si>
  <si>
    <t xml:space="preserve">437+19,70</t>
  </si>
  <si>
    <t xml:space="preserve">445+11,56</t>
  </si>
  <si>
    <t xml:space="preserve">456+19,74</t>
  </si>
  <si>
    <t xml:space="preserve">462+02,77</t>
  </si>
  <si>
    <t xml:space="preserve">473+10,00</t>
  </si>
  <si>
    <t xml:space="preserve">500+08,22</t>
  </si>
  <si>
    <t xml:space="preserve">500+14,96</t>
  </si>
  <si>
    <t xml:space="preserve">500+17,52</t>
  </si>
  <si>
    <t xml:space="preserve">500+18,91</t>
  </si>
  <si>
    <t xml:space="preserve">500+18,94</t>
  </si>
  <si>
    <t xml:space="preserve">503+09,73</t>
  </si>
  <si>
    <t xml:space="preserve">506+06,57</t>
  </si>
  <si>
    <t xml:space="preserve">506+16,33</t>
  </si>
  <si>
    <t xml:space="preserve">507+12,79</t>
  </si>
  <si>
    <t xml:space="preserve">508+01,13</t>
  </si>
  <si>
    <t xml:space="preserve">594+12,51</t>
  </si>
  <si>
    <t xml:space="preserve">595+10,91</t>
  </si>
  <si>
    <t xml:space="preserve">595+14,22</t>
  </si>
  <si>
    <t xml:space="preserve">597+10,69</t>
  </si>
  <si>
    <t xml:space="preserve">597+19,13</t>
  </si>
  <si>
    <t xml:space="preserve">604+16,75</t>
  </si>
  <si>
    <t xml:space="preserve">604+18,75</t>
  </si>
  <si>
    <t xml:space="preserve">REDES (trechos)</t>
  </si>
  <si>
    <t xml:space="preserve">Rede</t>
  </si>
  <si>
    <t xml:space="preserve">Rede SANEPAR Ø 40 mm</t>
  </si>
  <si>
    <t xml:space="preserve">608+2,05</t>
  </si>
  <si>
    <t xml:space="preserve">642+15,79</t>
  </si>
  <si>
    <t xml:space="preserve">IT-2-0001 (abas REDE SANEPAR / TUBULAÇÃO ÁGUA)</t>
  </si>
  <si>
    <t xml:space="preserve">632+14,74</t>
  </si>
  <si>
    <t xml:space="preserve">633+1,51</t>
  </si>
  <si>
    <t xml:space="preserve">634+11,37</t>
  </si>
  <si>
    <t xml:space="preserve">Tubulação de água Ø 85 mm (DN 75)</t>
  </si>
  <si>
    <t xml:space="preserve">229+1,19</t>
  </si>
  <si>
    <t xml:space="preserve">437+3,89</t>
  </si>
  <si>
    <t xml:space="preserve">437+5,07</t>
  </si>
  <si>
    <t xml:space="preserve">465+14,11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</si>
</sst>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.000"/>
    <numFmt numFmtId="166" formatCode="0.0%"/>
    <numFmt numFmtId="167" formatCode="0.00"/>
    <numFmt numFmtId="168" formatCode="0.000"/>
    <numFmt numFmtId="169" formatCode="#,##0.00&quot; m&quot;"/>
    <numFmt numFmtId="170" formatCode="#,##0&quot; t&quot;"/>
    <numFmt numFmtId="171" formatCode="#,##0&quot; m³&quot;"/>
    <numFmt numFmtId="172" formatCode="&quot;R$ &quot;#,##0.00"/>
    <numFmt numFmtId="173" formatCode="0.00&quot; m&quot;"/>
    <numFmt numFmtId="174" formatCode="#,##0.00&quot; m²&quot;"/>
    <numFmt numFmtId="175" formatCode="0.00%"/>
    <numFmt numFmtId="176" formatCode="&quot;R$ &quot;#,##0.00;&quot;-R$ &quot;#,##0.00;\–"/>
    <numFmt numFmtId="177" formatCode="&quot;R$ &quot;#,##0.00;[RED]&quot;-R$ &quot;#,##0.00;\–"/>
    <numFmt numFmtId="178" formatCode="#,##0.00;\-#,##0.00;\–"/>
    <numFmt numFmtId="179" formatCode="#,##0.00"/>
    <numFmt numFmtId="180" formatCode="0"/>
    <numFmt numFmtId="181" formatCode="&quot;R$ &quot;#,##0.00;[RED]&quot;-R$ &quot;#,##0.00"/>
    <numFmt numFmtId="182" formatCode="@"/>
    <numFmt numFmtId="183" formatCode="\+0.0%;[RED]\-0.0%;0.0%"/>
    <numFmt numFmtId="184" formatCode="0.00000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7F7F7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u val="single"/>
      <sz val="10"/>
      <color rgb="FF1F3864"/>
      <name val="Arial"/>
      <family val="0"/>
      <charset val="1"/>
    </font>
    <font>
      <sz val="9"/>
      <color rgb="FF7F7F7F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9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C55A11"/>
      <name val="Arial"/>
      <family val="0"/>
      <charset val="1"/>
    </font>
    <font>
      <sz val="8"/>
      <color rgb="FF7F7F7F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i val="true"/>
      <sz val="10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404040"/>
      <name val="Arial"/>
      <family val="0"/>
      <charset val="1"/>
    </font>
    <font>
      <u val="single"/>
      <sz val="8"/>
      <color rgb="FF1F3864"/>
      <name val="Arial"/>
      <family val="0"/>
      <charset val="1"/>
    </font>
    <font>
      <sz val="9"/>
      <color rgb="FFC55A11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i val="true"/>
      <sz val="8"/>
      <color rgb="FF40404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9"/>
      <color rgb="FF80808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EF3FA"/>
      </patternFill>
    </fill>
    <fill>
      <patternFill patternType="solid">
        <fgColor rgb="FFEEF3FA"/>
        <bgColor rgb="FFF2F2F2"/>
      </patternFill>
    </fill>
    <fill>
      <patternFill patternType="solid">
        <fgColor rgb="FF375623"/>
        <bgColor rgb="FF404040"/>
      </patternFill>
    </fill>
    <fill>
      <patternFill patternType="solid">
        <fgColor rgb="FFC55A11"/>
        <bgColor rgb="FF993300"/>
      </patternFill>
    </fill>
    <fill>
      <patternFill patternType="solid">
        <fgColor rgb="FFDCE6F1"/>
        <bgColor rgb="FFD9E1F2"/>
      </patternFill>
    </fill>
    <fill>
      <patternFill patternType="solid">
        <fgColor rgb="FFD9E1F2"/>
        <bgColor rgb="FFDCE6F1"/>
      </patternFill>
    </fill>
    <fill>
      <patternFill patternType="solid">
        <fgColor rgb="FF7F7F7F"/>
        <bgColor rgb="FF80808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medium">
        <color rgb="FFBF9000"/>
      </left>
      <right style="medium">
        <color rgb="FFBF9000"/>
      </right>
      <top style="medium">
        <color rgb="FFBF9000"/>
      </top>
      <bottom style="medium">
        <color rgb="FFBF9000"/>
      </bottom>
      <diagonal/>
    </border>
    <border diagonalUp="false" diagonalDown="false">
      <left style="thin">
        <color rgb="FFD9D9D9"/>
      </left>
      <right style="thin">
        <color rgb="FFD9D9D9"/>
      </right>
      <top style="thick">
        <color rgb="FF2E75B6"/>
      </top>
      <bottom/>
      <diagonal/>
    </border>
    <border diagonalUp="false" diagonalDown="false">
      <left style="thin">
        <color rgb="FFD9D9D9"/>
      </left>
      <right style="thin">
        <color rgb="FFD9D9D9"/>
      </right>
      <top/>
      <bottom/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/>
      <right/>
      <top style="thin">
        <color rgb="FF1F3864"/>
      </top>
      <bottom/>
      <diagonal/>
    </border>
    <border diagonalUp="false" diagonalDown="false">
      <left/>
      <right/>
      <top style="thin">
        <color rgb="FF1F3864"/>
      </top>
      <bottom style="thin">
        <color rgb="FF1F3864"/>
      </bottom>
      <diagonal/>
    </border>
    <border diagonalUp="false" diagonalDown="false">
      <left/>
      <right/>
      <top style="thick">
        <color rgb="FF2E75B6"/>
      </top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2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3" fontId="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5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5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4" fontId="0" fillId="5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5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12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4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5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78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7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4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4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4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8" fontId="4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8" fontId="4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7" fontId="2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9" fillId="4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42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9" fontId="4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1">
    <dxf>
      <font>
        <color rgb="FFBFBFBF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  <dxf>
      <fill>
        <patternFill>
          <bgColor rgb="FFFFF2CC"/>
        </patternFill>
      </fill>
    </dxf>
    <dxf>
      <font>
        <b val="1"/>
        <color rgb="FFC00000"/>
      </font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C00000"/>
      </font>
      <fill>
        <patternFill>
          <bgColor rgb="FFFCE4D6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A"/>
      <rgbColor rgb="FFE2EFDA"/>
      <rgbColor rgb="FFF2F2F2"/>
      <rgbColor rgb="FFD9E1F2"/>
      <rgbColor rgb="FFEDEDED"/>
      <rgbColor rgb="FFDCE6F1"/>
      <rgbColor rgb="FFFCE4D6"/>
      <rgbColor rgb="FF2E75B6"/>
      <rgbColor rgb="FF33CCCC"/>
      <rgbColor rgb="FF99CC00"/>
      <rgbColor rgb="FFFFCC00"/>
      <rgbColor rgb="FFBF9000"/>
      <rgbColor rgb="FFC55A11"/>
      <rgbColor rgb="FF595959"/>
      <rgbColor rgb="FF7F7F7F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R49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58"/>
    <col collapsed="false" customWidth="true" hidden="false" outlineLevel="0" max="4" min="4" style="0" width="6"/>
    <col collapsed="false" customWidth="true" hidden="false" outlineLevel="0" max="6" min="5" style="0" width="11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1" min="10" style="0" width="16"/>
    <col collapsed="false" customWidth="true" hidden="true" outlineLevel="0" max="15" min="12" style="0" width="13"/>
    <col collapsed="false" customWidth="true" hidden="false" outlineLevel="0" max="16" min="16" style="0" width="16"/>
    <col collapsed="false" customWidth="true" hidden="false" outlineLevel="0" max="17" min="17" style="0" width="15"/>
    <col collapsed="false" customWidth="true" hidden="false" outlineLevel="0" max="18" min="18" style="0" width="46"/>
  </cols>
  <sheetData>
    <row r="1" customFormat="false" ht="15" hidden="false" customHeight="false" outlineLevel="0" collapsed="false">
      <c r="L1" s="0" t="s">
        <v>0</v>
      </c>
    </row>
    <row r="2" customFormat="false" ht="33.75" hidden="false" customHeight="true" outlineLevel="0" collapsed="false"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2" t="s">
        <v>2</v>
      </c>
      <c r="M2" s="2" t="n">
        <f aca="false">MIN(MAX(E7+F7/20,0),Estacas!$B$650)</f>
        <v>0</v>
      </c>
      <c r="N2" s="2" t="n">
        <f aca="false">MIN(MAX(E8+F8/20,0),Estacas!$B$650)</f>
        <v>642.79085</v>
      </c>
      <c r="P2" s="3"/>
      <c r="Q2" s="3"/>
      <c r="R2" s="3"/>
    </row>
    <row r="3" customFormat="false" ht="18" hidden="false" customHeight="true" outlineLevel="0" collapsed="false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  <c r="L3" s="2" t="s">
        <v>4</v>
      </c>
      <c r="M3" s="2" t="n">
        <f aca="false">MIN(MATCH(M2,Estacas!$B$1:$B$650,1),649)</f>
        <v>2</v>
      </c>
      <c r="N3" s="2" t="n">
        <f aca="false">MIN(MATCH(N2,Estacas!$B$1:$B$650,1),649)</f>
        <v>649</v>
      </c>
      <c r="P3" s="5"/>
      <c r="Q3" s="5"/>
      <c r="R3" s="5"/>
    </row>
    <row r="4" customFormat="false" ht="15" hidden="false" customHeight="false" outlineLevel="0" collapsed="false">
      <c r="L4" s="0" t="s">
        <v>5</v>
      </c>
      <c r="M4" s="0" t="n">
        <f aca="false">MIN(1,MAX(0,(M2-INDEX(Estacas!$B$1:$B$650,M3))/(INDEX(Estacas!$B$1:$B$650,M3+1)-INDEX(Estacas!$B$1:$B$650,M3))))</f>
        <v>0</v>
      </c>
      <c r="N4" s="0" t="n">
        <f aca="false">MIN(1,MAX(0,(N2-INDEX(Estacas!$B$1:$B$650,N3))/(INDEX(Estacas!$B$1:$B$650,N3+1)-INDEX(Estacas!$B$1:$B$650,N3))))</f>
        <v>1</v>
      </c>
    </row>
    <row r="5" customFormat="false" ht="15" hidden="false" customHeight="false" outlineLevel="0" collapsed="false">
      <c r="B5" s="6" t="s">
        <v>6</v>
      </c>
      <c r="H5" s="6" t="s">
        <v>7</v>
      </c>
      <c r="L5" s="2" t="s">
        <v>8</v>
      </c>
      <c r="M5" s="7" t="n">
        <f aca="false">INDEX('Volumes por intervalo'!$C$1:$C$650,M3)</f>
        <v>20</v>
      </c>
      <c r="N5" s="7" t="n">
        <f aca="false">INDEX('Volumes por intervalo'!$C$1:$C$650,N3)</f>
        <v>5.8169999999991</v>
      </c>
    </row>
    <row r="6" customFormat="false" ht="15" hidden="false" customHeight="false" outlineLevel="0" collapsed="false">
      <c r="E6" s="8" t="s">
        <v>9</v>
      </c>
      <c r="F6" s="8" t="s">
        <v>10</v>
      </c>
      <c r="G6" s="8" t="s">
        <v>11</v>
      </c>
      <c r="H6" s="9" t="n">
        <v>0.048</v>
      </c>
      <c r="I6" s="10" t="s">
        <v>12</v>
      </c>
      <c r="J6" s="10"/>
      <c r="K6" s="10"/>
      <c r="L6" s="2" t="s">
        <v>13</v>
      </c>
      <c r="N6" s="0" t="str">
        <f aca="false">IF(E8+F8/20&lt;=E7+F7/20,"A estaca final deve ser maior que a inicial",IF(E8+F8/20&gt;Estacas!B650+0.00001,"Estaca final além do fim do trecho (642+15,817)",""))</f>
        <v/>
      </c>
    </row>
    <row r="7" customFormat="false" ht="21.75" hidden="false" customHeight="true" outlineLevel="0" collapsed="false">
      <c r="B7" s="11" t="s">
        <v>14</v>
      </c>
      <c r="C7" s="11"/>
      <c r="D7" s="11"/>
      <c r="E7" s="12" t="n">
        <v>0</v>
      </c>
      <c r="F7" s="13" t="n">
        <v>0</v>
      </c>
      <c r="G7" s="14" t="str">
        <f aca="false">E7&amp;"+"&amp;FIXED(F7,2)</f>
        <v>0+0.00</v>
      </c>
      <c r="H7" s="15" t="n">
        <v>1.2</v>
      </c>
      <c r="I7" s="10" t="s">
        <v>15</v>
      </c>
      <c r="J7" s="10"/>
      <c r="K7" s="10"/>
      <c r="L7" s="2" t="s">
        <v>16</v>
      </c>
      <c r="N7" s="2" t="n">
        <f aca="false">IF($N$6&lt;&gt;"",0,(N2-M2)*20)</f>
        <v>12855.817</v>
      </c>
    </row>
    <row r="8" customFormat="false" ht="21.75" hidden="false" customHeight="true" outlineLevel="0" collapsed="false">
      <c r="B8" s="11" t="s">
        <v>17</v>
      </c>
      <c r="C8" s="11"/>
      <c r="D8" s="11"/>
      <c r="E8" s="12" t="n">
        <v>642</v>
      </c>
      <c r="F8" s="13" t="n">
        <v>15.817</v>
      </c>
      <c r="G8" s="14" t="str">
        <f aca="false">E8&amp;"+"&amp;FIXED(F8,2)</f>
        <v>642+15.82</v>
      </c>
      <c r="H8" s="15" t="n">
        <v>0.5</v>
      </c>
      <c r="I8" s="10" t="s">
        <v>18</v>
      </c>
      <c r="J8" s="10"/>
      <c r="K8" s="10"/>
      <c r="L8" s="2" t="s">
        <v>19</v>
      </c>
      <c r="N8" s="2" t="n">
        <f aca="false">Estacas!$B$650*20</f>
        <v>12855.817</v>
      </c>
    </row>
    <row r="9" customFormat="false" ht="15" hidden="false" customHeight="false" outlineLevel="0" collapsed="false">
      <c r="B9" s="16" t="s">
        <v>20</v>
      </c>
      <c r="H9" s="17" t="n">
        <f aca="false">Parâmetros!$C$14</f>
        <v>2.4</v>
      </c>
      <c r="I9" s="10" t="s">
        <v>21</v>
      </c>
      <c r="J9" s="10"/>
      <c r="K9" s="10"/>
      <c r="L9" s="2" t="s">
        <v>22</v>
      </c>
      <c r="N9" s="2" t="n">
        <f aca="false">IF(N8=0,0,N7/N8)</f>
        <v>1</v>
      </c>
    </row>
    <row r="10" customFormat="false" ht="15" hidden="false" customHeight="false" outlineLevel="0" collapsed="false">
      <c r="B10" s="18" t="str">
        <f aca="false">IF($N$6="","","⚠  "&amp;$N$6)</f>
        <v/>
      </c>
      <c r="C10" s="18"/>
      <c r="D10" s="18"/>
      <c r="E10" s="18"/>
      <c r="F10" s="18"/>
      <c r="G10" s="18"/>
      <c r="H10" s="18"/>
      <c r="I10" s="18"/>
      <c r="J10" s="18"/>
      <c r="K10" s="18"/>
      <c r="L10" s="2" t="s">
        <v>23</v>
      </c>
      <c r="N10" s="0" t="n">
        <v>0.057</v>
      </c>
    </row>
    <row r="12" customFormat="false" ht="15" hidden="false" customHeight="false" outlineLevel="0" collapsed="false">
      <c r="B12" s="19" t="s">
        <v>24</v>
      </c>
      <c r="L12" s="2" t="s">
        <v>25</v>
      </c>
      <c r="M12" s="2" t="n">
        <f aca="false">0</f>
        <v>0</v>
      </c>
      <c r="N12" s="20" t="n">
        <f aca="false">Estacas!$B$650</f>
        <v>642.79085</v>
      </c>
    </row>
    <row r="13" customFormat="false" ht="15" hidden="false" customHeight="false" outlineLevel="0" collapsed="false">
      <c r="B13" s="21" t="s">
        <v>26</v>
      </c>
      <c r="C13" s="21"/>
      <c r="E13" s="21" t="s">
        <v>27</v>
      </c>
      <c r="F13" s="21"/>
      <c r="G13" s="21" t="s">
        <v>28</v>
      </c>
      <c r="H13" s="21"/>
      <c r="I13" s="21" t="s">
        <v>29</v>
      </c>
      <c r="J13" s="21"/>
      <c r="K13" s="21"/>
      <c r="M13" s="2" t="n">
        <f aca="false">MIN(MATCH(M12,Estacas!$B$1:$B$650,1),649)</f>
        <v>2</v>
      </c>
      <c r="N13" s="2" t="n">
        <f aca="false">MIN(MATCH(N12,Estacas!$B$1:$B$650,1),649)</f>
        <v>649</v>
      </c>
      <c r="P13" s="21" t="s">
        <v>30</v>
      </c>
      <c r="Q13" s="21"/>
      <c r="R13" s="21"/>
    </row>
    <row r="14" customFormat="false" ht="30" hidden="false" customHeight="true" outlineLevel="0" collapsed="false">
      <c r="B14" s="22" t="n">
        <f aca="false">$N$7</f>
        <v>12855.817</v>
      </c>
      <c r="C14" s="22"/>
      <c r="E14" s="23" t="n">
        <f aca="false">G102</f>
        <v>17868.5733420001</v>
      </c>
      <c r="F14" s="23"/>
      <c r="G14" s="24" t="n">
        <f aca="false">G49+G63+G68</f>
        <v>307366.463483881</v>
      </c>
      <c r="H14" s="24"/>
      <c r="I14" s="25" t="n">
        <f aca="false">J478</f>
        <v>85313983.9902435</v>
      </c>
      <c r="J14" s="25"/>
      <c r="K14" s="25"/>
      <c r="M14" s="2" t="n">
        <f aca="false">MIN(1,MAX(0,(M12-INDEX(Estacas!$B$1:$B$650,M13))/(INDEX(Estacas!$B$1:$B$650,M13+1)-INDEX(Estacas!$B$1:$B$650,M13))))</f>
        <v>0</v>
      </c>
      <c r="N14" s="2" t="n">
        <f aca="false">MIN(1,MAX(0,(N12-INDEX(Estacas!$B$1:$B$650,N13))/(INDEX(Estacas!$B$1:$B$650,N13+1)-INDEX(Estacas!$B$1:$B$650,N13))))</f>
        <v>1</v>
      </c>
      <c r="P14" s="25" t="n">
        <f aca="false">P478</f>
        <v>87300000.04</v>
      </c>
      <c r="Q14" s="25"/>
      <c r="R14" s="25"/>
    </row>
    <row r="15" customFormat="false" ht="15" hidden="false" customHeight="false" outlineLevel="0" collapsed="false">
      <c r="B15" s="26" t="str">
        <f aca="false">G7&amp;" → "&amp;G8</f>
        <v>0+0.00 → 642+15.82</v>
      </c>
      <c r="C15" s="26"/>
      <c r="E15" s="26" t="str">
        <f aca="false">FIXED(G101,0)&amp;" m³ compactados"</f>
        <v>7,445 m³ compactados</v>
      </c>
      <c r="F15" s="26"/>
      <c r="G15" s="26" t="s">
        <v>31</v>
      </c>
      <c r="H15" s="26"/>
      <c r="I15" s="26" t="s">
        <v>32</v>
      </c>
      <c r="J15" s="26"/>
      <c r="K15" s="26"/>
      <c r="M15" s="7" t="n">
        <f aca="false">INDEX('Volumes por intervalo'!$C$1:$C$650,M13)</f>
        <v>20</v>
      </c>
      <c r="N15" s="7" t="n">
        <f aca="false">INDEX('Volumes por intervalo'!$C$1:$C$650,N13)</f>
        <v>5.8169999999991</v>
      </c>
      <c r="P15" s="26" t="str">
        <f aca="false">"real − ajustado: R$ "&amp;FIXED(J478-P478,2)&amp;"  ("&amp;FIXED(IF(P478=0,0,(J478/P478-1)*100),1)&amp;"%)"</f>
        <v>real − ajustado: R$ -1,986,016.05  (-2.3%)</v>
      </c>
      <c r="Q15" s="26"/>
      <c r="R15" s="26"/>
    </row>
    <row r="17" customFormat="false" ht="15" hidden="false" customHeight="false" outlineLevel="0" collapsed="false">
      <c r="B17" s="19" t="s">
        <v>33</v>
      </c>
    </row>
    <row r="18" customFormat="false" ht="15" hidden="false" customHeight="false" outlineLevel="0" collapsed="false">
      <c r="B18" s="27" t="s">
        <v>34</v>
      </c>
      <c r="C18" s="27"/>
      <c r="D18" s="27"/>
      <c r="E18" s="28" t="str">
        <f aca="false">G7&amp;"  →  "&amp;G8</f>
        <v>0+0.00  →  642+15.82</v>
      </c>
      <c r="F18" s="28"/>
      <c r="G18" s="29" t="s">
        <v>35</v>
      </c>
      <c r="H18" s="29"/>
      <c r="I18" s="30" t="str">
        <f aca="false">INDEX(Estacas!$E$1:$E$650,M3)&amp;" / "&amp;INDEX(Estacas!$E$1:$E$650,N3)</f>
        <v>T01 / T09*</v>
      </c>
      <c r="J18" s="30"/>
      <c r="K18" s="30"/>
      <c r="P18" s="31"/>
      <c r="Q18" s="31"/>
      <c r="R18" s="31"/>
    </row>
    <row r="19" customFormat="false" ht="15" hidden="false" customHeight="false" outlineLevel="0" collapsed="false">
      <c r="B19" s="27" t="s">
        <v>36</v>
      </c>
      <c r="C19" s="27"/>
      <c r="D19" s="27"/>
      <c r="E19" s="32" t="n">
        <f aca="false">$N$7</f>
        <v>12855.817</v>
      </c>
      <c r="F19" s="32"/>
      <c r="G19" s="29" t="s">
        <v>37</v>
      </c>
      <c r="H19" s="29"/>
      <c r="I19" s="30" t="str">
        <f aca="false">INDEX(Estacas!$D$1:$D$650,M3)&amp;" / "&amp;INDEX(Estacas!$D$1:$D$650,N3)</f>
        <v>S01 / S13</v>
      </c>
      <c r="J19" s="30"/>
      <c r="K19" s="30"/>
      <c r="P19" s="31"/>
      <c r="Q19" s="31"/>
      <c r="R19" s="31"/>
    </row>
    <row r="20" customFormat="false" ht="15" hidden="false" customHeight="false" outlineLevel="0" collapsed="false">
      <c r="B20" s="27" t="s">
        <v>38</v>
      </c>
      <c r="C20" s="27"/>
      <c r="D20" s="27"/>
      <c r="E20" s="33" t="n">
        <f aca="false">IF(OR($N$6&lt;&gt;"",$N$7=0),0,((INDEX(Estacas!$S$1:$S$650,N3)+N5*N4*(2*INDEX(Estacas!$F$1:$F$650,N3)+(INDEX(Estacas!$F$1:$F$650,N3+1)-INDEX(Estacas!$F$1:$F$650,N3))*N4)/2*1)-(INDEX(Estacas!$S$1:$S$650,M3)+M5*M4*(2*INDEX(Estacas!$F$1:$F$650,M3)+(INDEX(Estacas!$F$1:$F$650,M3+1)-INDEX(Estacas!$F$1:$F$650,M3))*M4)/2*1))/$N$7)</f>
        <v>11.532677153074</v>
      </c>
      <c r="F20" s="33"/>
      <c r="G20" s="29" t="s">
        <v>39</v>
      </c>
      <c r="H20" s="29"/>
      <c r="I20" s="30" t="str">
        <f aca="false">IF($N$6&lt;&gt;"","",FIXED(G483,2)&amp;" / "&amp;FIXED(G484,2)&amp;" m")</f>
        <v>846.29 / 796.61 m</v>
      </c>
      <c r="J20" s="30"/>
      <c r="K20" s="30"/>
      <c r="P20" s="31"/>
      <c r="Q20" s="31"/>
      <c r="R20" s="31"/>
    </row>
    <row r="21" customFormat="false" ht="15" hidden="false" customHeight="false" outlineLevel="0" collapsed="false">
      <c r="B21" s="27" t="s">
        <v>40</v>
      </c>
      <c r="C21" s="27"/>
      <c r="D21" s="27"/>
      <c r="E21" s="34" t="n">
        <f aca="false">IF($N$6&lt;&gt;"",0,(INDEX(Estacas!$S$1:$S$650,N3)+N5*N4*(2*INDEX(Estacas!$F$1:$F$650,N3)+(INDEX(Estacas!$F$1:$F$650,N3+1)-INDEX(Estacas!$F$1:$F$650,N3))*N4)/2*1)-(INDEX(Estacas!$S$1:$S$650,M3)+M5*M4*(2*INDEX(Estacas!$F$1:$F$650,M3)+(INDEX(Estacas!$F$1:$F$650,M3+1)-INDEX(Estacas!$F$1:$F$650,M3))*M4)/2*1))</f>
        <v>148261.987</v>
      </c>
      <c r="F21" s="34"/>
      <c r="G21" s="29" t="s">
        <v>41</v>
      </c>
      <c r="H21" s="29"/>
      <c r="I21" s="35" t="n">
        <f aca="false">IF($N$6&lt;&gt;"","",G486/100)</f>
        <v>-0.00386401441462236</v>
      </c>
      <c r="J21" s="35"/>
      <c r="K21" s="35"/>
      <c r="P21" s="31"/>
      <c r="Q21" s="31"/>
      <c r="R21" s="31"/>
    </row>
    <row r="23" customFormat="false" ht="15" hidden="false" customHeight="false" outlineLevel="0" collapsed="false">
      <c r="B23" s="19" t="s">
        <v>42</v>
      </c>
    </row>
    <row r="24" customFormat="false" ht="15" hidden="false" customHeight="false" outlineLevel="0" collapsed="false">
      <c r="B24" s="36" t="s">
        <v>43</v>
      </c>
      <c r="C24" s="36" t="s">
        <v>44</v>
      </c>
      <c r="D24" s="3"/>
      <c r="E24" s="36" t="s">
        <v>45</v>
      </c>
      <c r="F24" s="36" t="s">
        <v>46</v>
      </c>
      <c r="G24" s="37" t="s">
        <v>47</v>
      </c>
      <c r="H24" s="37"/>
      <c r="I24" s="37" t="s">
        <v>48</v>
      </c>
      <c r="J24" s="37"/>
      <c r="K24" s="36" t="s">
        <v>49</v>
      </c>
      <c r="P24" s="3"/>
      <c r="Q24" s="3"/>
      <c r="R24" s="3"/>
    </row>
    <row r="25" customFormat="false" ht="15" hidden="false" customHeight="false" outlineLevel="0" collapsed="false">
      <c r="B25" s="38" t="n">
        <v>1</v>
      </c>
      <c r="C25" s="39" t="str">
        <f aca="false">HYPERLINK("#'Painel'!B42","Terraplenagem")</f>
        <v>Terraplenagem</v>
      </c>
      <c r="D25" s="31"/>
      <c r="E25" s="40" t="str">
        <f aca="false">COUNTIF(J43:J89,"&gt;0")&amp;"/"&amp;COUNT(J43:J89)</f>
        <v>39/39</v>
      </c>
      <c r="F25" s="41" t="n">
        <f aca="false">IF($I$37=0,0,I25/$I$37)</f>
        <v>0.203165314969308</v>
      </c>
      <c r="G25" s="42" t="n">
        <f aca="false">O90</f>
        <v>17469093.81</v>
      </c>
      <c r="H25" s="42"/>
      <c r="I25" s="43" t="n">
        <f aca="false">J90</f>
        <v>17332842.4286643</v>
      </c>
      <c r="J25" s="43"/>
      <c r="K25" s="44" t="n">
        <f aca="false">I25-G25</f>
        <v>-136251.381335653</v>
      </c>
      <c r="P25" s="31"/>
      <c r="Q25" s="31"/>
      <c r="R25" s="31"/>
    </row>
    <row r="26" customFormat="false" ht="15" hidden="false" customHeight="false" outlineLevel="0" collapsed="false">
      <c r="B26" s="38" t="n">
        <v>2</v>
      </c>
      <c r="C26" s="39" t="str">
        <f aca="false">HYPERLINK("#'Painel'!B92","Pavimentação")</f>
        <v>Pavimentação</v>
      </c>
      <c r="D26" s="31"/>
      <c r="E26" s="40" t="str">
        <f aca="false">COUNTIF(J93:J108,"&gt;0")&amp;"/"&amp;COUNT(J93:J108)</f>
        <v>11/11</v>
      </c>
      <c r="F26" s="41" t="n">
        <f aca="false">IF($I$37=0,0,I26/$I$37)</f>
        <v>0.315948936211996</v>
      </c>
      <c r="G26" s="42" t="n">
        <f aca="false">O109</f>
        <v>27855986.38</v>
      </c>
      <c r="H26" s="42"/>
      <c r="I26" s="43" t="n">
        <f aca="false">J109</f>
        <v>26954862.4857247</v>
      </c>
      <c r="J26" s="43"/>
      <c r="K26" s="44" t="n">
        <f aca="false">I26-G26</f>
        <v>-901123.894275319</v>
      </c>
      <c r="P26" s="31"/>
      <c r="Q26" s="31"/>
      <c r="R26" s="31"/>
    </row>
    <row r="27" customFormat="false" ht="15" hidden="false" customHeight="false" outlineLevel="0" collapsed="false">
      <c r="B27" s="38" t="n">
        <v>3</v>
      </c>
      <c r="C27" s="39" t="str">
        <f aca="false">HYPERLINK("#'Painel'!B111","Ligantes betuminosos")</f>
        <v>Ligantes betuminosos</v>
      </c>
      <c r="D27" s="31"/>
      <c r="E27" s="40" t="str">
        <f aca="false">COUNTIF(J112:J114,"&gt;0")&amp;"/"&amp;COUNT(J112:J114)</f>
        <v>3/3</v>
      </c>
      <c r="F27" s="41" t="n">
        <f aca="false">IF($I$37=0,0,I27/$I$37)</f>
        <v>0.0718589301888372</v>
      </c>
      <c r="G27" s="42" t="n">
        <f aca="false">O115</f>
        <v>7400006.84</v>
      </c>
      <c r="H27" s="42"/>
      <c r="I27" s="43" t="n">
        <f aca="false">J115</f>
        <v>6130571.61968648</v>
      </c>
      <c r="J27" s="43"/>
      <c r="K27" s="44" t="n">
        <f aca="false">I27-G27</f>
        <v>-1269435.22031352</v>
      </c>
      <c r="P27" s="31"/>
      <c r="Q27" s="31"/>
      <c r="R27" s="31"/>
    </row>
    <row r="28" customFormat="false" ht="15" hidden="false" customHeight="false" outlineLevel="0" collapsed="false">
      <c r="B28" s="38" t="n">
        <v>4</v>
      </c>
      <c r="C28" s="39" t="str">
        <f aca="false">HYPERLINK("#'Painel'!B117","Drenagem e OAC")</f>
        <v>Drenagem e OAC</v>
      </c>
      <c r="D28" s="31"/>
      <c r="E28" s="40" t="str">
        <f aca="false">COUNTIF(J118:J261,"&gt;0")&amp;"/"&amp;COUNT(J118:J261)</f>
        <v>68/68</v>
      </c>
      <c r="F28" s="41" t="n">
        <f aca="false">IF($I$37=0,0,I28/$I$37)</f>
        <v>0.177338180608124</v>
      </c>
      <c r="G28" s="42" t="n">
        <f aca="false">O262</f>
        <v>16405944.79</v>
      </c>
      <c r="H28" s="42"/>
      <c r="I28" s="43" t="n">
        <f aca="false">J262</f>
        <v>15129426.7012604</v>
      </c>
      <c r="J28" s="43"/>
      <c r="K28" s="44" t="n">
        <f aca="false">I28-G28</f>
        <v>-1276518.08873962</v>
      </c>
      <c r="P28" s="31"/>
      <c r="Q28" s="31"/>
      <c r="R28" s="31"/>
    </row>
    <row r="29" customFormat="false" ht="15" hidden="false" customHeight="false" outlineLevel="0" collapsed="false">
      <c r="B29" s="38" t="n">
        <v>5</v>
      </c>
      <c r="C29" s="39" t="str">
        <f aca="false">HYPERLINK("#'Painel'!B264","Galerias e passa-fauna")</f>
        <v>Galerias e passa-fauna</v>
      </c>
      <c r="D29" s="31"/>
      <c r="E29" s="40" t="str">
        <f aca="false">COUNTIF(J265:J299,"&gt;0")&amp;"/"&amp;COUNT(J265:J299)</f>
        <v>21/21</v>
      </c>
      <c r="F29" s="41" t="n">
        <f aca="false">IF($I$37=0,0,I29/$I$37)</f>
        <v>0.0305313200975995</v>
      </c>
      <c r="G29" s="42" t="n">
        <f aca="false">O300</f>
        <v>2796171.71</v>
      </c>
      <c r="H29" s="42"/>
      <c r="I29" s="43" t="n">
        <f aca="false">J300</f>
        <v>2604748.5540076</v>
      </c>
      <c r="J29" s="43"/>
      <c r="K29" s="44" t="n">
        <f aca="false">I29-G29</f>
        <v>-191423.1559924</v>
      </c>
      <c r="P29" s="31"/>
      <c r="Q29" s="31"/>
      <c r="R29" s="31"/>
    </row>
    <row r="30" customFormat="false" ht="15" hidden="false" customHeight="false" outlineLevel="0" collapsed="false">
      <c r="B30" s="38" t="n">
        <v>6</v>
      </c>
      <c r="C30" s="39" t="str">
        <f aca="false">HYPERLINK("#'Painel'!B302","OAE – ponte")</f>
        <v>OAE – ponte</v>
      </c>
      <c r="D30" s="31"/>
      <c r="E30" s="40" t="str">
        <f aca="false">COUNTIF(J303:J333,"&gt;0")&amp;"/"&amp;COUNT(J303:J333)</f>
        <v>28/28</v>
      </c>
      <c r="F30" s="41" t="n">
        <f aca="false">IF($I$37=0,0,I30/$I$37)</f>
        <v>0.0267779175235945</v>
      </c>
      <c r="G30" s="42" t="n">
        <f aca="false">O334</f>
        <v>2284530.76</v>
      </c>
      <c r="H30" s="42"/>
      <c r="I30" s="43" t="n">
        <f aca="false">J334</f>
        <v>2284530.8269</v>
      </c>
      <c r="J30" s="43"/>
      <c r="K30" s="44" t="n">
        <f aca="false">I30-G30</f>
        <v>0.0668999999761581</v>
      </c>
      <c r="P30" s="31"/>
      <c r="Q30" s="31"/>
      <c r="R30" s="31"/>
    </row>
    <row r="31" customFormat="false" ht="15" hidden="false" customHeight="false" outlineLevel="0" collapsed="false">
      <c r="B31" s="38" t="n">
        <v>7</v>
      </c>
      <c r="C31" s="39" t="str">
        <f aca="false">HYPERLINK("#'Painel'!B336","Contenções")</f>
        <v>Contenções</v>
      </c>
      <c r="D31" s="31"/>
      <c r="E31" s="40" t="str">
        <f aca="false">COUNTIF(J337:J345,"&gt;0")&amp;"/"&amp;COUNT(J337:J345)</f>
        <v>7/7</v>
      </c>
      <c r="F31" s="41" t="n">
        <f aca="false">IF($I$37=0,0,I31/$I$37)</f>
        <v>0.00804438631160965</v>
      </c>
      <c r="G31" s="42" t="n">
        <f aca="false">O346</f>
        <v>687970.09</v>
      </c>
      <c r="H31" s="42"/>
      <c r="I31" s="43" t="n">
        <f aca="false">J346</f>
        <v>686298.645</v>
      </c>
      <c r="J31" s="43"/>
      <c r="K31" s="44" t="n">
        <f aca="false">I31-G31</f>
        <v>-1671.44500000007</v>
      </c>
      <c r="P31" s="31"/>
      <c r="Q31" s="31"/>
      <c r="R31" s="31"/>
    </row>
    <row r="32" customFormat="false" ht="15" hidden="false" customHeight="false" outlineLevel="0" collapsed="false">
      <c r="B32" s="38" t="n">
        <v>8</v>
      </c>
      <c r="C32" s="39" t="str">
        <f aca="false">HYPERLINK("#'Painel'!B348","Sinalização")</f>
        <v>Sinalização</v>
      </c>
      <c r="D32" s="31"/>
      <c r="E32" s="40" t="str">
        <f aca="false">COUNTIF(J349:J374,"&gt;0")&amp;"/"&amp;COUNT(J349:J374)</f>
        <v>19/19</v>
      </c>
      <c r="F32" s="41" t="n">
        <f aca="false">IF($I$37=0,0,I32/$I$37)</f>
        <v>0.0509104353396122</v>
      </c>
      <c r="G32" s="42" t="n">
        <f aca="false">O375</f>
        <v>4392206.49</v>
      </c>
      <c r="H32" s="42"/>
      <c r="I32" s="43" t="n">
        <f aca="false">J375</f>
        <v>4343372.0655</v>
      </c>
      <c r="J32" s="43"/>
      <c r="K32" s="44" t="n">
        <f aca="false">I32-G32</f>
        <v>-48834.4245000007</v>
      </c>
      <c r="P32" s="31"/>
      <c r="Q32" s="31"/>
      <c r="R32" s="31"/>
    </row>
    <row r="33" customFormat="false" ht="15" hidden="false" customHeight="false" outlineLevel="0" collapsed="false">
      <c r="B33" s="38" t="n">
        <v>9</v>
      </c>
      <c r="C33" s="39" t="str">
        <f aca="false">HYPERLINK("#'Painel'!B377","Iluminação")</f>
        <v>Iluminação</v>
      </c>
      <c r="D33" s="31"/>
      <c r="E33" s="40" t="str">
        <f aca="false">COUNTIF(J378:J401,"&gt;0")&amp;"/"&amp;COUNT(J378:J401)</f>
        <v>21/21</v>
      </c>
      <c r="F33" s="41" t="n">
        <f aca="false">IF($I$37=0,0,I33/$I$37)</f>
        <v>0.0031632705844667</v>
      </c>
      <c r="G33" s="42" t="n">
        <f aca="false">O402</f>
        <v>269878.86</v>
      </c>
      <c r="H33" s="42"/>
      <c r="I33" s="43" t="n">
        <f aca="false">J402</f>
        <v>269871.216</v>
      </c>
      <c r="J33" s="43"/>
      <c r="K33" s="44" t="n">
        <f aca="false">I33-G33</f>
        <v>-7.64399999997113</v>
      </c>
      <c r="P33" s="31"/>
      <c r="Q33" s="31"/>
      <c r="R33" s="31"/>
    </row>
    <row r="34" customFormat="false" ht="15" hidden="false" customHeight="false" outlineLevel="0" collapsed="false">
      <c r="B34" s="38" t="n">
        <v>10</v>
      </c>
      <c r="C34" s="39" t="str">
        <f aca="false">HYPERLINK("#'Painel'!B404","Paisagismo")</f>
        <v>Paisagismo</v>
      </c>
      <c r="D34" s="31"/>
      <c r="E34" s="40" t="str">
        <f aca="false">COUNTIF(J405:J411,"&gt;0")&amp;"/"&amp;COUNT(J405:J411)</f>
        <v>3/3</v>
      </c>
      <c r="F34" s="41" t="n">
        <f aca="false">IF($I$37=0,0,I34/$I$37)</f>
        <v>0.0255729198281199</v>
      </c>
      <c r="G34" s="42" t="n">
        <f aca="false">O412</f>
        <v>2503353.57</v>
      </c>
      <c r="H34" s="42"/>
      <c r="I34" s="43" t="n">
        <f aca="false">J412</f>
        <v>2181727.6728</v>
      </c>
      <c r="J34" s="43"/>
      <c r="K34" s="44" t="n">
        <f aca="false">I34-G34</f>
        <v>-321625.897200001</v>
      </c>
      <c r="P34" s="31"/>
      <c r="Q34" s="31"/>
      <c r="R34" s="31"/>
    </row>
    <row r="35" customFormat="false" ht="15" hidden="false" customHeight="false" outlineLevel="0" collapsed="false">
      <c r="B35" s="38" t="n">
        <v>11</v>
      </c>
      <c r="C35" s="39" t="str">
        <f aca="false">HYPERLINK("#'Painel'!B414","Obras complementares")</f>
        <v>Obras complementares</v>
      </c>
      <c r="D35" s="31"/>
      <c r="E35" s="40" t="str">
        <f aca="false">COUNTIF(J415:J442,"&gt;0")&amp;"/"&amp;COUNT(J415:J442)</f>
        <v>25/25</v>
      </c>
      <c r="F35" s="41" t="n">
        <f aca="false">IF($I$37=0,0,I35/$I$37)</f>
        <v>0.0294066243230055</v>
      </c>
      <c r="G35" s="42" t="n">
        <f aca="false">O443</f>
        <v>2013395.82</v>
      </c>
      <c r="H35" s="42"/>
      <c r="I35" s="43" t="n">
        <f aca="false">J443</f>
        <v>2508796.2767</v>
      </c>
      <c r="J35" s="43"/>
      <c r="K35" s="44" t="n">
        <f aca="false">I35-G35</f>
        <v>495400.4567</v>
      </c>
      <c r="P35" s="31"/>
      <c r="Q35" s="31"/>
      <c r="R35" s="31"/>
    </row>
    <row r="36" customFormat="false" ht="15" hidden="false" customHeight="false" outlineLevel="0" collapsed="false">
      <c r="B36" s="38" t="n">
        <v>12</v>
      </c>
      <c r="C36" s="39" t="str">
        <f aca="false">HYPERLINK("#'Painel'!B445","Serviços gerais e interferências")</f>
        <v>Serviços gerais e interferências</v>
      </c>
      <c r="D36" s="31"/>
      <c r="E36" s="40" t="str">
        <f aca="false">COUNTIF(J446:J475,"&gt;0")&amp;"/"&amp;COUNT(J446:J475)</f>
        <v>24/24</v>
      </c>
      <c r="F36" s="41" t="n">
        <f aca="false">IF($I$37=0,0,I36/$I$37)</f>
        <v>0.0572817640137269</v>
      </c>
      <c r="G36" s="42" t="n">
        <f aca="false">O476</f>
        <v>3221460.92</v>
      </c>
      <c r="H36" s="42"/>
      <c r="I36" s="43" t="n">
        <f aca="false">J476</f>
        <v>4886935.498</v>
      </c>
      <c r="J36" s="43"/>
      <c r="K36" s="44" t="n">
        <f aca="false">I36-G36</f>
        <v>1665474.578</v>
      </c>
      <c r="P36" s="31"/>
      <c r="Q36" s="31"/>
      <c r="R36" s="31"/>
    </row>
    <row r="37" customFormat="false" ht="15" hidden="false" customHeight="false" outlineLevel="0" collapsed="false">
      <c r="B37" s="45"/>
      <c r="C37" s="46" t="s">
        <v>50</v>
      </c>
      <c r="D37" s="45"/>
      <c r="E37" s="45"/>
      <c r="F37" s="47" t="n">
        <f aca="false">SUM(F25:F36)</f>
        <v>1</v>
      </c>
      <c r="G37" s="48" t="n">
        <f aca="false">SUM(G25:G36)</f>
        <v>87300000.04</v>
      </c>
      <c r="H37" s="48"/>
      <c r="I37" s="49" t="n">
        <f aca="false">SUM(I25:I36)</f>
        <v>85313983.9902435</v>
      </c>
      <c r="J37" s="49"/>
      <c r="K37" s="50" t="n">
        <f aca="false">I37-G37</f>
        <v>-1986016.04975651</v>
      </c>
      <c r="P37" s="45"/>
      <c r="Q37" s="45"/>
      <c r="R37" s="45"/>
    </row>
    <row r="39" customFormat="false" ht="15" hidden="false" customHeight="false" outlineLevel="0" collapsed="false">
      <c r="B39" s="19" t="s">
        <v>51</v>
      </c>
      <c r="E39" s="16" t="s">
        <v>52</v>
      </c>
    </row>
    <row r="40" customFormat="false" ht="15" hidden="false" customHeight="false" outlineLevel="0" collapsed="false">
      <c r="E40" s="51" t="s">
        <v>53</v>
      </c>
      <c r="F40" s="51"/>
      <c r="G40" s="51"/>
      <c r="H40" s="52" t="s">
        <v>54</v>
      </c>
      <c r="I40" s="52"/>
      <c r="J40" s="52"/>
      <c r="K40" s="53" t="s">
        <v>30</v>
      </c>
      <c r="L40" s="53"/>
      <c r="M40" s="53"/>
      <c r="N40" s="53"/>
      <c r="O40" s="53"/>
      <c r="P40" s="53"/>
      <c r="Q40" s="54" t="s">
        <v>55</v>
      </c>
    </row>
    <row r="41" customFormat="false" ht="30" hidden="false" customHeight="true" outlineLevel="0" collapsed="false">
      <c r="B41" s="55" t="s">
        <v>56</v>
      </c>
      <c r="C41" s="55" t="s">
        <v>57</v>
      </c>
      <c r="D41" s="55" t="s">
        <v>58</v>
      </c>
      <c r="E41" s="55" t="s">
        <v>59</v>
      </c>
      <c r="F41" s="55" t="s">
        <v>60</v>
      </c>
      <c r="G41" s="55" t="s">
        <v>61</v>
      </c>
      <c r="H41" s="55" t="s">
        <v>62</v>
      </c>
      <c r="I41" s="55" t="s">
        <v>63</v>
      </c>
      <c r="J41" s="55" t="s">
        <v>64</v>
      </c>
      <c r="K41" s="55" t="s">
        <v>65</v>
      </c>
      <c r="P41" s="55" t="s">
        <v>66</v>
      </c>
      <c r="Q41" s="55" t="s">
        <v>67</v>
      </c>
      <c r="R41" s="55" t="s">
        <v>68</v>
      </c>
    </row>
    <row r="42" customFormat="false" ht="21.75" hidden="false" customHeight="true" outlineLevel="0" collapsed="false">
      <c r="B42" s="56" t="s">
        <v>69</v>
      </c>
      <c r="C42" s="5"/>
      <c r="D42" s="5"/>
      <c r="E42" s="5"/>
      <c r="F42" s="5"/>
      <c r="G42" s="5"/>
      <c r="H42" s="5"/>
      <c r="I42" s="5"/>
      <c r="J42" s="5"/>
      <c r="K42" s="5"/>
      <c r="P42" s="5"/>
      <c r="Q42" s="5"/>
      <c r="R42" s="5"/>
    </row>
    <row r="43" customFormat="false" ht="15" hidden="false" customHeight="false" outlineLevel="0" collapsed="false">
      <c r="B43" s="57"/>
      <c r="C43" s="58" t="s">
        <v>70</v>
      </c>
      <c r="D43" s="57"/>
      <c r="E43" s="57"/>
      <c r="F43" s="57"/>
      <c r="G43" s="57"/>
      <c r="H43" s="57"/>
      <c r="I43" s="57"/>
      <c r="J43" s="57"/>
      <c r="K43" s="57"/>
      <c r="P43" s="57"/>
      <c r="Q43" s="57"/>
      <c r="R43" s="57"/>
    </row>
    <row r="44" customFormat="false" ht="15" hidden="false" customHeight="false" outlineLevel="0" collapsed="false">
      <c r="B44" s="40" t="s">
        <v>71</v>
      </c>
      <c r="C44" s="59" t="s">
        <v>72</v>
      </c>
      <c r="D44" s="40" t="s">
        <v>73</v>
      </c>
      <c r="E44" s="31"/>
      <c r="F44" s="31"/>
      <c r="G44" s="60" t="n">
        <f aca="false">IF($N$6&lt;&gt;"",0,SUMPRODUCT('Terraplenagem por estaca'!$E$2:$E$744,((('Terraplenagem por estaca'!$D$2:$D$744&lt;$N$2)*'Terraplenagem por estaca'!$D$2:$D$744+('Terraplenagem por estaca'!$D$2:$D$744&gt;=$N$2)*$N$2)-(('Terraplenagem por estaca'!$C$2:$C$744&gt;$M$2)*'Terraplenagem por estaca'!$C$2:$C$744+('Terraplenagem por estaca'!$C$2:$C$744&lt;=$M$2)*$M$2))*('Terraplenagem por estaca'!$C$2:$C$744&lt;$N$2)*('Terraplenagem por estaca'!$D$2:$D$744&gt;$M$2)/('Terraplenagem por estaca'!$D$2:$D$744-'Terraplenagem por estaca'!$C$2:$C$744))+SUMPRODUCT('Terrapl. – ramos e solo mole'!$E$2:$E$14,((('Terrapl. – ramos e solo mole'!$C$2:$C$14&lt;$N$2)*'Terrapl. – ramos e solo mole'!$C$2:$C$14+('Terrapl. – ramos e solo mole'!$C$2:$C$14&gt;=$N$2)*$N$2)-(('Terrapl. – ramos e solo mole'!$B$2:$B$14&gt;$M$2)*'Terrapl. – ramos e solo mole'!$B$2:$B$14+('Terrapl. – ramos e solo mole'!$B$2:$B$14&lt;=$M$2)*$M$2))*('Terrapl. – ramos e solo mole'!$B$2:$B$14&lt;$N$2)*('Terrapl. – ramos e solo mole'!$C$2:$C$14&gt;$M$2)/('Terrapl. – ramos e solo mole'!$C$2:$C$14-'Terrapl. – ramos e solo mole'!$B$2:$B$14))/Parâmetros!$C$22)</f>
        <v>236317.353113148</v>
      </c>
      <c r="H44" s="61" t="n">
        <f aca="false">IF($N$6&lt;&gt;"",0,$G$44)</f>
        <v>236317.353113148</v>
      </c>
      <c r="I44" s="62" t="n">
        <v>1.25</v>
      </c>
      <c r="J44" s="63" t="n">
        <f aca="false">H44*I44</f>
        <v>295396.691391435</v>
      </c>
      <c r="K44" s="64" t="n">
        <f aca="false">IF($N$6&lt;&gt;"",0,232329.7*IF($L$44=0,$N$9,$G$44/$L$44))</f>
        <v>232329.7</v>
      </c>
      <c r="L44" s="0" t="n">
        <f aca="false">SUMPRODUCT('Terraplenagem por estaca'!$E$2:$E$744,((('Terraplenagem por estaca'!$D$2:$D$744&lt;$N$12)*'Terraplenagem por estaca'!$D$2:$D$744+('Terraplenagem por estaca'!$D$2:$D$744&gt;=$N$12)*$N$12)-(('Terraplenagem por estaca'!$C$2:$C$744&gt;$M$12)*'Terraplenagem por estaca'!$C$2:$C$744+('Terraplenagem por estaca'!$C$2:$C$744&lt;=$M$12)*$M$12))*('Terraplenagem por estaca'!$C$2:$C$744&lt;$N$12)*('Terraplenagem por estaca'!$D$2:$D$744&gt;$M$12)/('Terraplenagem por estaca'!$D$2:$D$744-'Terraplenagem por estaca'!$C$2:$C$744))+SUMPRODUCT('Terrapl. – ramos e solo mole'!$E$2:$E$14,((('Terrapl. – ramos e solo mole'!$C$2:$C$14&lt;$N$12)*'Terrapl. – ramos e solo mole'!$C$2:$C$14+('Terrapl. – ramos e solo mole'!$C$2:$C$14&gt;=$N$12)*$N$12)-(('Terrapl. – ramos e solo mole'!$B$2:$B$14&gt;$M$12)*'Terrapl. – ramos e solo mole'!$B$2:$B$14+('Terrapl. – ramos e solo mole'!$B$2:$B$14&lt;=$M$12)*$M$12))*('Terrapl. – ramos e solo mole'!$B$2:$B$14&lt;$N$12)*('Terrapl. – ramos e solo mole'!$C$2:$C$14&gt;$M$12)/('Terrapl. – ramos e solo mole'!$C$2:$C$14-'Terrapl. – ramos e solo mole'!$B$2:$B$14))/Parâmetros!$C$22</f>
        <v>236317.353113148</v>
      </c>
      <c r="O44" s="0" t="n">
        <f aca="false">IF($N$6&lt;&gt;"",0,290412.12*IF($L$44=0,$N$9,$G$44/$L$44))</f>
        <v>290412.12</v>
      </c>
      <c r="P44" s="65" t="n">
        <f aca="false">O44</f>
        <v>290412.12</v>
      </c>
      <c r="Q44" s="66" t="n">
        <f aca="false">J44-P44</f>
        <v>4984.57139143487</v>
      </c>
      <c r="R44" s="67" t="s">
        <v>74</v>
      </c>
    </row>
    <row r="45" customFormat="false" ht="15" hidden="false" customHeight="false" outlineLevel="0" collapsed="false">
      <c r="B45" s="40" t="s">
        <v>75</v>
      </c>
      <c r="C45" s="59" t="s">
        <v>76</v>
      </c>
      <c r="D45" s="40" t="s">
        <v>77</v>
      </c>
      <c r="E45" s="31"/>
      <c r="F45" s="31"/>
      <c r="G45" s="60" t="n">
        <f aca="false">IF($N$6&lt;&gt;"",0,SUMPRODUCT('Terraplenagem por estaca'!$F$2:$F$744,((('Terraplenagem por estaca'!$D$2:$D$744&lt;$N$2)*'Terraplenagem por estaca'!$D$2:$D$744+('Terraplenagem por estaca'!$D$2:$D$744&gt;=$N$2)*$N$2)-(('Terraplenagem por estaca'!$C$2:$C$744&gt;$M$2)*'Terraplenagem por estaca'!$C$2:$C$744+('Terraplenagem por estaca'!$C$2:$C$744&lt;=$M$2)*$M$2))*('Terraplenagem por estaca'!$C$2:$C$744&lt;$N$2)*('Terraplenagem por estaca'!$D$2:$D$744&gt;$M$2)/('Terraplenagem por estaca'!$D$2:$D$744-'Terraplenagem por estaca'!$C$2:$C$744))+SUMPRODUCT('Terrapl. – ramos e solo mole'!$E$2:$E$14,((('Terrapl. – ramos e solo mole'!$C$2:$C$14&lt;$N$2)*'Terrapl. – ramos e solo mole'!$C$2:$C$14+('Terrapl. – ramos e solo mole'!$C$2:$C$14&gt;=$N$2)*$N$2)-(('Terrapl. – ramos e solo mole'!$B$2:$B$14&gt;$M$2)*'Terrapl. – ramos e solo mole'!$B$2:$B$14+('Terrapl. – ramos e solo mole'!$B$2:$B$14&lt;=$M$2)*$M$2))*('Terrapl. – ramos e solo mole'!$B$2:$B$14&lt;$N$2)*('Terrapl. – ramos e solo mole'!$C$2:$C$14&gt;$M$2)/('Terrapl. – ramos e solo mole'!$C$2:$C$14-'Terrapl. – ramos e solo mole'!$B$2:$B$14)))</f>
        <v>47263.4706226296</v>
      </c>
      <c r="H45" s="61" t="n">
        <f aca="false">IF($N$6&lt;&gt;"",0,$G$45)</f>
        <v>47263.4706226296</v>
      </c>
      <c r="I45" s="62" t="n">
        <v>11.78</v>
      </c>
      <c r="J45" s="63" t="n">
        <f aca="false">H45*I45</f>
        <v>556763.683934577</v>
      </c>
      <c r="K45" s="64" t="n">
        <f aca="false">IF($N$6&lt;&gt;"",0,46465.94*IF($L$45=0,$N$9,$G$45/$L$45))</f>
        <v>46465.94</v>
      </c>
      <c r="L45" s="0" t="n">
        <f aca="false">SUMPRODUCT('Terraplenagem por estaca'!$F$2:$F$744,((('Terraplenagem por estaca'!$D$2:$D$744&lt;$N$12)*'Terraplenagem por estaca'!$D$2:$D$744+('Terraplenagem por estaca'!$D$2:$D$744&gt;=$N$12)*$N$12)-(('Terraplenagem por estaca'!$C$2:$C$744&gt;$M$12)*'Terraplenagem por estaca'!$C$2:$C$744+('Terraplenagem por estaca'!$C$2:$C$744&lt;=$M$12)*$M$12))*('Terraplenagem por estaca'!$C$2:$C$744&lt;$N$12)*('Terraplenagem por estaca'!$D$2:$D$744&gt;$M$12)/('Terraplenagem por estaca'!$D$2:$D$744-'Terraplenagem por estaca'!$C$2:$C$744))+SUMPRODUCT('Terrapl. – ramos e solo mole'!$E$2:$E$14,((('Terrapl. – ramos e solo mole'!$C$2:$C$14&lt;$N$12)*'Terrapl. – ramos e solo mole'!$C$2:$C$14+('Terrapl. – ramos e solo mole'!$C$2:$C$14&gt;=$N$12)*$N$12)-(('Terrapl. – ramos e solo mole'!$B$2:$B$14&gt;$M$12)*'Terrapl. – ramos e solo mole'!$B$2:$B$14+('Terrapl. – ramos e solo mole'!$B$2:$B$14&lt;=$M$12)*$M$12))*('Terrapl. – ramos e solo mole'!$B$2:$B$14&lt;$N$12)*('Terrapl. – ramos e solo mole'!$C$2:$C$14&gt;$M$12)/('Terrapl. – ramos e solo mole'!$C$2:$C$14-'Terrapl. – ramos e solo mole'!$B$2:$B$14))</f>
        <v>47263.4706226296</v>
      </c>
      <c r="O45" s="0" t="n">
        <f aca="false">IF($N$6&lt;&gt;"",0,547368.77*IF($L$45=0,$N$9,$G$45/$L$45))</f>
        <v>547368.77</v>
      </c>
      <c r="P45" s="65" t="n">
        <f aca="false">O45</f>
        <v>547368.77</v>
      </c>
      <c r="Q45" s="66" t="n">
        <f aca="false">J45-P45</f>
        <v>9394.91393457644</v>
      </c>
      <c r="R45" s="67" t="s">
        <v>78</v>
      </c>
    </row>
    <row r="46" customFormat="false" ht="15" hidden="false" customHeight="false" outlineLevel="0" collapsed="false">
      <c r="B46" s="40"/>
      <c r="C46" s="59" t="s">
        <v>79</v>
      </c>
      <c r="D46" s="40" t="s">
        <v>80</v>
      </c>
      <c r="E46" s="68" t="n">
        <f aca="false">IF($N$6&lt;&gt;"",0,COUNTIFS(Interferências!$C$2:$C$330,"&gt;="&amp;$M$2,Interferências!$C$2:$C$330,"&lt;"&amp;($N$2+($N$2&gt;=Estacas!$B$650-0.00001)*0.001),Interferências!$A$2:$A$330,"Árvore*",Interferências!$D$2:$D$330,"LE"))</f>
        <v>154</v>
      </c>
      <c r="F46" s="68" t="n">
        <f aca="false">IF($N$6&lt;&gt;"",0,COUNTIFS(Interferências!$C$2:$C$330,"&gt;="&amp;$M$2,Interferências!$C$2:$C$330,"&lt;"&amp;($N$2+($N$2&gt;=Estacas!$B$650-0.00001)*0.001),Interferências!$A$2:$A$330,"Árvore*",Interferências!$D$2:$D$330,"LD"))</f>
        <v>105</v>
      </c>
      <c r="G46" s="60" t="n">
        <f aca="false">E46+F46</f>
        <v>259</v>
      </c>
      <c r="H46" s="31"/>
      <c r="I46" s="31"/>
      <c r="J46" s="31"/>
      <c r="K46" s="31"/>
      <c r="L46" s="0" t="n">
        <f aca="false">COUNTIFS(Interferências!$C$2:$C$330,"&gt;="&amp;$M$12,Interferências!$C$2:$C$330,"&lt;"&amp;($N$12+($N$12&gt;=Estacas!$B$650-0.00001)*0.001),Interferências!$A$2:$A$330,"Árvore*",Interferências!$D$2:$D$330,"LE")+COUNTIFS(Interferências!$C$2:$C$330,"&gt;="&amp;$M$12,Interferências!$C$2:$C$330,"&lt;"&amp;($N$12+($N$12&gt;=Estacas!$B$650-0.00001)*0.001),Interferências!$A$2:$A$330,"Árvore*",Interferências!$D$2:$D$330,"LD")</f>
        <v>259</v>
      </c>
      <c r="P46" s="31"/>
      <c r="Q46" s="31"/>
      <c r="R46" s="67" t="s">
        <v>81</v>
      </c>
    </row>
    <row r="47" customFormat="false" ht="15" hidden="false" customHeight="false" outlineLevel="0" collapsed="false">
      <c r="B47" s="40" t="s">
        <v>82</v>
      </c>
      <c r="C47" s="69" t="s">
        <v>83</v>
      </c>
      <c r="D47" s="40" t="s">
        <v>80</v>
      </c>
      <c r="E47" s="31"/>
      <c r="F47" s="31"/>
      <c r="G47" s="31"/>
      <c r="H47" s="61" t="n">
        <f aca="false">IF($N$6&lt;&gt;"",0,($G$46)*1)</f>
        <v>259</v>
      </c>
      <c r="I47" s="62" t="n">
        <v>54.77</v>
      </c>
      <c r="J47" s="63" t="n">
        <f aca="false">H47*I47</f>
        <v>14185.43</v>
      </c>
      <c r="K47" s="64" t="n">
        <f aca="false">IF($N$6&lt;&gt;"",0,259*IF(($L$46)=0,$N$9,($G$46)/($L$46)))</f>
        <v>259</v>
      </c>
      <c r="O47" s="0" t="n">
        <f aca="false">IF($N$6&lt;&gt;"",0,14185.43*IF(($L$46)=0,$N$9,($G$46)/($L$46)))</f>
        <v>14185.43</v>
      </c>
      <c r="P47" s="65" t="n">
        <f aca="false">O47</f>
        <v>14185.43</v>
      </c>
      <c r="Q47" s="66" t="n">
        <f aca="false">J47-P47</f>
        <v>0</v>
      </c>
      <c r="R47" s="67" t="s">
        <v>84</v>
      </c>
    </row>
    <row r="48" customFormat="false" ht="15" hidden="false" customHeight="false" outlineLevel="0" collapsed="false">
      <c r="B48" s="57"/>
      <c r="C48" s="58" t="s">
        <v>85</v>
      </c>
      <c r="D48" s="57"/>
      <c r="E48" s="57"/>
      <c r="F48" s="57"/>
      <c r="G48" s="57"/>
      <c r="H48" s="57"/>
      <c r="I48" s="57"/>
      <c r="J48" s="57"/>
      <c r="K48" s="57"/>
      <c r="P48" s="57"/>
      <c r="Q48" s="57"/>
      <c r="R48" s="57"/>
    </row>
    <row r="49" customFormat="false" ht="15" hidden="false" customHeight="false" outlineLevel="0" collapsed="false">
      <c r="B49" s="40"/>
      <c r="C49" s="59" t="s">
        <v>86</v>
      </c>
      <c r="D49" s="40" t="s">
        <v>77</v>
      </c>
      <c r="E49" s="31"/>
      <c r="F49" s="31"/>
      <c r="G49" s="60" t="n">
        <f aca="false">IF($N$6&lt;&gt;"",0,SUMPRODUCT('Terraplenagem por estaca'!$G$2:$G$744,((('Terraplenagem por estaca'!$D$2:$D$744&lt;$N$2)*'Terraplenagem por estaca'!$D$2:$D$744+('Terraplenagem por estaca'!$D$2:$D$744&gt;=$N$2)*$N$2)-(('Terraplenagem por estaca'!$C$2:$C$744&gt;$M$2)*'Terraplenagem por estaca'!$C$2:$C$744+('Terraplenagem por estaca'!$C$2:$C$744&lt;=$M$2)*$M$2))*('Terraplenagem por estaca'!$C$2:$C$744&lt;$N$2)*('Terraplenagem por estaca'!$D$2:$D$744&gt;$M$2)/('Terraplenagem por estaca'!$D$2:$D$744-'Terraplenagem por estaca'!$C$2:$C$744))+SUMPRODUCT('Terrapl. – ramos e solo mole'!$F$2:$F$14,((('Terrapl. – ramos e solo mole'!$C$2:$C$14&lt;$N$2)*'Terrapl. – ramos e solo mole'!$C$2:$C$14+('Terrapl. – ramos e solo mole'!$C$2:$C$14&gt;=$N$2)*$N$2)-(('Terrapl. – ramos e solo mole'!$B$2:$B$14&gt;$M$2)*'Terrapl. – ramos e solo mole'!$B$2:$B$14+('Terrapl. – ramos e solo mole'!$B$2:$B$14&lt;=$M$2)*$M$2))*('Terrapl. – ramos e solo mole'!$B$2:$B$14&lt;$N$2)*('Terrapl. – ramos e solo mole'!$C$2:$C$14&gt;$M$2)/('Terrapl. – ramos e solo mole'!$C$2:$C$14-'Terrapl. – ramos e solo mole'!$B$2:$B$14)))</f>
        <v>258251.371983881</v>
      </c>
      <c r="H49" s="31"/>
      <c r="I49" s="31"/>
      <c r="J49" s="31"/>
      <c r="K49" s="31"/>
      <c r="L49" s="0" t="n">
        <f aca="false">SUMPRODUCT('Terraplenagem por estaca'!$G$2:$G$744,((('Terraplenagem por estaca'!$D$2:$D$744&lt;$N$12)*'Terraplenagem por estaca'!$D$2:$D$744+('Terraplenagem por estaca'!$D$2:$D$744&gt;=$N$12)*$N$12)-(('Terraplenagem por estaca'!$C$2:$C$744&gt;$M$12)*'Terraplenagem por estaca'!$C$2:$C$744+('Terraplenagem por estaca'!$C$2:$C$744&lt;=$M$12)*$M$12))*('Terraplenagem por estaca'!$C$2:$C$744&lt;$N$12)*('Terraplenagem por estaca'!$D$2:$D$744&gt;$M$12)/('Terraplenagem por estaca'!$D$2:$D$744-'Terraplenagem por estaca'!$C$2:$C$744))+SUMPRODUCT('Terrapl. – ramos e solo mole'!$F$2:$F$14,((('Terrapl. – ramos e solo mole'!$C$2:$C$14&lt;$N$12)*'Terrapl. – ramos e solo mole'!$C$2:$C$14+('Terrapl. – ramos e solo mole'!$C$2:$C$14&gt;=$N$12)*$N$12)-(('Terrapl. – ramos e solo mole'!$B$2:$B$14&gt;$M$12)*'Terrapl. – ramos e solo mole'!$B$2:$B$14+('Terrapl. – ramos e solo mole'!$B$2:$B$14&lt;=$M$12)*$M$12))*('Terrapl. – ramos e solo mole'!$B$2:$B$14&lt;$N$12)*('Terrapl. – ramos e solo mole'!$C$2:$C$14&gt;$M$12)/('Terrapl. – ramos e solo mole'!$C$2:$C$14-'Terrapl. – ramos e solo mole'!$B$2:$B$14))</f>
        <v>258251.371983881</v>
      </c>
      <c r="P49" s="31"/>
      <c r="Q49" s="31"/>
      <c r="R49" s="67" t="s">
        <v>87</v>
      </c>
    </row>
    <row r="50" customFormat="false" ht="15" hidden="false" customHeight="false" outlineLevel="0" collapsed="false">
      <c r="B50" s="40" t="s">
        <v>88</v>
      </c>
      <c r="C50" s="69" t="s">
        <v>89</v>
      </c>
      <c r="D50" s="40" t="s">
        <v>77</v>
      </c>
      <c r="E50" s="31"/>
      <c r="F50" s="31"/>
      <c r="G50" s="31"/>
      <c r="H50" s="61" t="n">
        <f aca="false">IF($N$6&lt;&gt;"",0,($G$49)*0.38667268)</f>
        <v>99858.7501186842</v>
      </c>
      <c r="I50" s="62" t="n">
        <v>10.47</v>
      </c>
      <c r="J50" s="63" t="n">
        <f aca="false">H50*I50</f>
        <v>1045521.11374262</v>
      </c>
      <c r="K50" s="64" t="n">
        <f aca="false">IF($N$6&lt;&gt;"",0,101294.29*IF(($L$49)=0,$N$9,($G$49)/($L$49)))</f>
        <v>101294.29</v>
      </c>
      <c r="O50" s="0" t="n">
        <f aca="false">IF($N$6&lt;&gt;"",0,1060551.21*IF(($L$49)=0,$N$9,($G$49)/($L$49)))</f>
        <v>1060551.21</v>
      </c>
      <c r="P50" s="65" t="n">
        <f aca="false">O50</f>
        <v>1060551.21</v>
      </c>
      <c r="Q50" s="66" t="n">
        <f aca="false">J50-P50</f>
        <v>-15030.096257376</v>
      </c>
      <c r="R50" s="67" t="s">
        <v>90</v>
      </c>
    </row>
    <row r="51" customFormat="false" ht="15" hidden="false" customHeight="false" outlineLevel="0" collapsed="false">
      <c r="B51" s="40" t="s">
        <v>91</v>
      </c>
      <c r="C51" s="69" t="s">
        <v>92</v>
      </c>
      <c r="D51" s="40" t="s">
        <v>77</v>
      </c>
      <c r="E51" s="31"/>
      <c r="F51" s="31"/>
      <c r="G51" s="31"/>
      <c r="H51" s="61" t="n">
        <f aca="false">IF($N$6&lt;&gt;"",0,($G$49)*0.05069461)</f>
        <v>13091.9525846878</v>
      </c>
      <c r="I51" s="62" t="n">
        <v>10.76</v>
      </c>
      <c r="J51" s="63" t="n">
        <f aca="false">H51*I51</f>
        <v>140869.409811241</v>
      </c>
      <c r="K51" s="64" t="n">
        <f aca="false">IF($N$6&lt;&gt;"",0,13280.16*IF(($L$49)=0,$N$9,($G$49)/($L$49)))</f>
        <v>13280.16</v>
      </c>
      <c r="O51" s="0" t="n">
        <f aca="false">IF($N$6&lt;&gt;"",0,142894.52*IF(($L$49)=0,$N$9,($G$49)/($L$49)))</f>
        <v>142894.52</v>
      </c>
      <c r="P51" s="65" t="n">
        <f aca="false">O51</f>
        <v>142894.52</v>
      </c>
      <c r="Q51" s="66" t="n">
        <f aca="false">J51-P51</f>
        <v>-2025.11018875949</v>
      </c>
      <c r="R51" s="67" t="s">
        <v>90</v>
      </c>
    </row>
    <row r="52" customFormat="false" ht="15" hidden="false" customHeight="false" outlineLevel="0" collapsed="false">
      <c r="B52" s="40" t="s">
        <v>93</v>
      </c>
      <c r="C52" s="69" t="s">
        <v>94</v>
      </c>
      <c r="D52" s="40" t="s">
        <v>77</v>
      </c>
      <c r="E52" s="31"/>
      <c r="F52" s="31"/>
      <c r="G52" s="31"/>
      <c r="H52" s="61" t="n">
        <f aca="false">IF($N$6&lt;&gt;"",0,($G$49)*0.01776554)</f>
        <v>4587.97507903452</v>
      </c>
      <c r="I52" s="62" t="n">
        <v>11.55</v>
      </c>
      <c r="J52" s="63" t="n">
        <f aca="false">H52*I52</f>
        <v>52991.1121628487</v>
      </c>
      <c r="K52" s="64" t="n">
        <f aca="false">IF($N$6&lt;&gt;"",0,4653.93*IF(($L$49)=0,$N$9,($G$49)/($L$49)))</f>
        <v>4653.93</v>
      </c>
      <c r="O52" s="0" t="n">
        <f aca="false">IF($N$6&lt;&gt;"",0,53752.89*IF(($L$49)=0,$N$9,($G$49)/($L$49)))</f>
        <v>53752.89</v>
      </c>
      <c r="P52" s="65" t="n">
        <f aca="false">O52</f>
        <v>53752.89</v>
      </c>
      <c r="Q52" s="66" t="n">
        <f aca="false">J52-P52</f>
        <v>-761.77783715129</v>
      </c>
      <c r="R52" s="67" t="s">
        <v>90</v>
      </c>
    </row>
    <row r="53" customFormat="false" ht="15" hidden="false" customHeight="false" outlineLevel="0" collapsed="false">
      <c r="B53" s="40" t="s">
        <v>95</v>
      </c>
      <c r="C53" s="69" t="s">
        <v>96</v>
      </c>
      <c r="D53" s="40" t="s">
        <v>77</v>
      </c>
      <c r="E53" s="31"/>
      <c r="F53" s="31"/>
      <c r="G53" s="31"/>
      <c r="H53" s="61" t="n">
        <f aca="false">IF($N$6&lt;&gt;"",0,($G$49)*0.00627098)</f>
        <v>1619.48918868348</v>
      </c>
      <c r="I53" s="62" t="n">
        <v>11.99</v>
      </c>
      <c r="J53" s="63" t="n">
        <f aca="false">H53*I53</f>
        <v>19417.6753723149</v>
      </c>
      <c r="K53" s="64" t="n">
        <f aca="false">IF($N$6&lt;&gt;"",0,1642.77*IF(($L$49)=0,$N$9,($G$49)/($L$49)))</f>
        <v>1642.77</v>
      </c>
      <c r="O53" s="0" t="n">
        <f aca="false">IF($N$6&lt;&gt;"",0,19696.81*IF(($L$49)=0,$N$9,($G$49)/($L$49)))</f>
        <v>19696.81</v>
      </c>
      <c r="P53" s="65" t="n">
        <f aca="false">O53</f>
        <v>19696.81</v>
      </c>
      <c r="Q53" s="66" t="n">
        <f aca="false">J53-P53</f>
        <v>-279.134627685089</v>
      </c>
      <c r="R53" s="67" t="s">
        <v>90</v>
      </c>
    </row>
    <row r="54" customFormat="false" ht="15" hidden="false" customHeight="false" outlineLevel="0" collapsed="false">
      <c r="B54" s="40" t="s">
        <v>97</v>
      </c>
      <c r="C54" s="69" t="s">
        <v>98</v>
      </c>
      <c r="D54" s="40" t="s">
        <v>77</v>
      </c>
      <c r="E54" s="31"/>
      <c r="F54" s="31"/>
      <c r="G54" s="31"/>
      <c r="H54" s="61" t="n">
        <f aca="false">IF($N$6&lt;&gt;"",0,($G$49)*0.073287)</f>
        <v>18926.4682985827</v>
      </c>
      <c r="I54" s="62" t="n">
        <v>12.38</v>
      </c>
      <c r="J54" s="63" t="n">
        <f aca="false">H54*I54</f>
        <v>234309.677536454</v>
      </c>
      <c r="K54" s="64" t="n">
        <f aca="false">IF($N$6&lt;&gt;"",0,19198.55*IF(($L$49)=0,$N$9,($G$49)/($L$49)))</f>
        <v>19198.55</v>
      </c>
      <c r="O54" s="0" t="n">
        <f aca="false">IF($N$6&lt;&gt;"",0,237678.04*IF(($L$49)=0,$N$9,($G$49)/($L$49)))</f>
        <v>237678.04</v>
      </c>
      <c r="P54" s="65" t="n">
        <f aca="false">O54</f>
        <v>237678.04</v>
      </c>
      <c r="Q54" s="66" t="n">
        <f aca="false">J54-P54</f>
        <v>-3368.36246354619</v>
      </c>
      <c r="R54" s="67" t="s">
        <v>90</v>
      </c>
    </row>
    <row r="55" customFormat="false" ht="15" hidden="false" customHeight="false" outlineLevel="0" collapsed="false">
      <c r="B55" s="40" t="s">
        <v>99</v>
      </c>
      <c r="C55" s="69" t="s">
        <v>100</v>
      </c>
      <c r="D55" s="40" t="s">
        <v>77</v>
      </c>
      <c r="E55" s="31"/>
      <c r="F55" s="31"/>
      <c r="G55" s="31"/>
      <c r="H55" s="61" t="n">
        <f aca="false">IF($N$6&lt;&gt;"",0,($G$49)*0.02162832)</f>
        <v>5585.54331370642</v>
      </c>
      <c r="I55" s="62" t="n">
        <v>13.71</v>
      </c>
      <c r="J55" s="63" t="n">
        <f aca="false">H55*I55</f>
        <v>76577.798830915</v>
      </c>
      <c r="K55" s="64" t="n">
        <f aca="false">IF($N$6&lt;&gt;"",0,5665.84*IF(($L$49)=0,$N$9,($G$49)/($L$49)))</f>
        <v>5665.84</v>
      </c>
      <c r="O55" s="0" t="n">
        <f aca="false">IF($N$6&lt;&gt;"",0,77678.66*IF(($L$49)=0,$N$9,($G$49)/($L$49)))</f>
        <v>77678.66</v>
      </c>
      <c r="P55" s="65" t="n">
        <f aca="false">O55</f>
        <v>77678.66</v>
      </c>
      <c r="Q55" s="66" t="n">
        <f aca="false">J55-P55</f>
        <v>-1100.86116908504</v>
      </c>
      <c r="R55" s="67" t="s">
        <v>90</v>
      </c>
    </row>
    <row r="56" customFormat="false" ht="15" hidden="false" customHeight="false" outlineLevel="0" collapsed="false">
      <c r="B56" s="40" t="s">
        <v>101</v>
      </c>
      <c r="C56" s="69" t="s">
        <v>102</v>
      </c>
      <c r="D56" s="40" t="s">
        <v>77</v>
      </c>
      <c r="E56" s="31"/>
      <c r="F56" s="31"/>
      <c r="G56" s="31"/>
      <c r="H56" s="61" t="n">
        <f aca="false">IF($N$6&lt;&gt;"",0,($G$49)*0.00229749)</f>
        <v>593.329944619247</v>
      </c>
      <c r="I56" s="62" t="n">
        <v>14.16</v>
      </c>
      <c r="J56" s="63" t="n">
        <f aca="false">H56*I56</f>
        <v>8401.55201580854</v>
      </c>
      <c r="K56" s="64" t="n">
        <f aca="false">IF($N$6&lt;&gt;"",0,601.86*IF(($L$49)=0,$N$9,($G$49)/($L$49)))</f>
        <v>601.86</v>
      </c>
      <c r="O56" s="0" t="n">
        <f aca="false">IF($N$6&lt;&gt;"",0,8522.33*IF(($L$49)=0,$N$9,($G$49)/($L$49)))</f>
        <v>8522.33</v>
      </c>
      <c r="P56" s="65" t="n">
        <f aca="false">O56</f>
        <v>8522.33</v>
      </c>
      <c r="Q56" s="66" t="n">
        <f aca="false">J56-P56</f>
        <v>-120.77798419146</v>
      </c>
      <c r="R56" s="67" t="s">
        <v>90</v>
      </c>
    </row>
    <row r="57" customFormat="false" ht="15" hidden="false" customHeight="false" outlineLevel="0" collapsed="false">
      <c r="B57" s="40" t="s">
        <v>103</v>
      </c>
      <c r="C57" s="69" t="s">
        <v>104</v>
      </c>
      <c r="D57" s="40" t="s">
        <v>77</v>
      </c>
      <c r="E57" s="31"/>
      <c r="F57" s="31"/>
      <c r="G57" s="31"/>
      <c r="H57" s="61" t="n">
        <f aca="false">IF($N$6&lt;&gt;"",0,($G$49)*0.02644093)</f>
        <v>6828.40644902976</v>
      </c>
      <c r="I57" s="62" t="n">
        <v>14.9</v>
      </c>
      <c r="J57" s="63" t="n">
        <f aca="false">H57*I57</f>
        <v>101743.256090543</v>
      </c>
      <c r="K57" s="64" t="n">
        <f aca="false">IF($N$6&lt;&gt;"",0,6926.57*IF(($L$49)=0,$N$9,($G$49)/($L$49)))</f>
        <v>6926.57</v>
      </c>
      <c r="O57" s="0" t="n">
        <f aca="false">IF($N$6&lt;&gt;"",0,103205.89*IF(($L$49)=0,$N$9,($G$49)/($L$49)))</f>
        <v>103205.89</v>
      </c>
      <c r="P57" s="65" t="n">
        <f aca="false">O57</f>
        <v>103205.89</v>
      </c>
      <c r="Q57" s="66" t="n">
        <f aca="false">J57-P57</f>
        <v>-1462.63390945653</v>
      </c>
      <c r="R57" s="67" t="s">
        <v>90</v>
      </c>
    </row>
    <row r="58" customFormat="false" ht="15" hidden="false" customHeight="false" outlineLevel="0" collapsed="false">
      <c r="B58" s="40" t="s">
        <v>105</v>
      </c>
      <c r="C58" s="69" t="s">
        <v>106</v>
      </c>
      <c r="D58" s="40" t="s">
        <v>77</v>
      </c>
      <c r="E58" s="31"/>
      <c r="F58" s="31"/>
      <c r="G58" s="31"/>
      <c r="H58" s="61" t="n">
        <f aca="false">IF($N$6&lt;&gt;"",0,($G$49)*0.06573031)</f>
        <v>16974.9427384258</v>
      </c>
      <c r="I58" s="62" t="n">
        <v>17.21</v>
      </c>
      <c r="J58" s="63" t="n">
        <f aca="false">H58*I58</f>
        <v>292138.764528308</v>
      </c>
      <c r="K58" s="64" t="n">
        <f aca="false">IF($N$6&lt;&gt;"",0,17218.97*IF(($L$49)=0,$N$9,($G$49)/($L$49)))</f>
        <v>17218.97</v>
      </c>
      <c r="O58" s="0" t="n">
        <f aca="false">IF($N$6&lt;&gt;"",0,296338.47*IF(($L$49)=0,$N$9,($G$49)/($L$49)))</f>
        <v>296338.47</v>
      </c>
      <c r="P58" s="65" t="n">
        <f aca="false">O58</f>
        <v>296338.47</v>
      </c>
      <c r="Q58" s="66" t="n">
        <f aca="false">J58-P58</f>
        <v>-4199.70547169156</v>
      </c>
      <c r="R58" s="67" t="s">
        <v>90</v>
      </c>
    </row>
    <row r="59" customFormat="false" ht="15" hidden="false" customHeight="false" outlineLevel="0" collapsed="false">
      <c r="B59" s="40" t="s">
        <v>107</v>
      </c>
      <c r="C59" s="69" t="s">
        <v>108</v>
      </c>
      <c r="D59" s="40" t="s">
        <v>77</v>
      </c>
      <c r="E59" s="31"/>
      <c r="F59" s="31"/>
      <c r="G59" s="31"/>
      <c r="H59" s="61" t="n">
        <f aca="false">IF($N$6&lt;&gt;"",0,($G$49)*0.13110241)</f>
        <v>33857.3772528933</v>
      </c>
      <c r="I59" s="62" t="n">
        <v>19.27</v>
      </c>
      <c r="J59" s="63" t="n">
        <f aca="false">H59*I59</f>
        <v>652431.659663254</v>
      </c>
      <c r="K59" s="64" t="n">
        <f aca="false">IF($N$6&lt;&gt;"",0,34344.1*IF(($L$49)=0,$N$9,($G$49)/($L$49)))</f>
        <v>34344.1</v>
      </c>
      <c r="O59" s="0" t="n">
        <f aca="false">IF($N$6&lt;&gt;"",0,661810.8*IF(($L$49)=0,$N$9,($G$49)/($L$49)))</f>
        <v>661810.8</v>
      </c>
      <c r="P59" s="65" t="n">
        <f aca="false">O59</f>
        <v>661810.8</v>
      </c>
      <c r="Q59" s="66" t="n">
        <f aca="false">J59-P59</f>
        <v>-9379.14033674623</v>
      </c>
      <c r="R59" s="67" t="s">
        <v>90</v>
      </c>
    </row>
    <row r="60" customFormat="false" ht="15" hidden="false" customHeight="false" outlineLevel="0" collapsed="false">
      <c r="B60" s="40" t="s">
        <v>109</v>
      </c>
      <c r="C60" s="69" t="s">
        <v>110</v>
      </c>
      <c r="D60" s="40" t="s">
        <v>77</v>
      </c>
      <c r="E60" s="31"/>
      <c r="F60" s="31"/>
      <c r="G60" s="31"/>
      <c r="H60" s="61" t="n">
        <f aca="false">IF($N$6&lt;&gt;"",0,($G$49)*0.15267851)</f>
        <v>39429.4346799547</v>
      </c>
      <c r="I60" s="62" t="n">
        <v>22.25</v>
      </c>
      <c r="J60" s="63" t="n">
        <f aca="false">H60*I60</f>
        <v>877304.921628992</v>
      </c>
      <c r="K60" s="64" t="n">
        <f aca="false">IF($N$6&lt;&gt;"",0,39996.26*IF(($L$49)=0,$N$9,($G$49)/($L$49)))</f>
        <v>39996.26</v>
      </c>
      <c r="O60" s="0" t="n">
        <f aca="false">IF($N$6&lt;&gt;"",0,889916.78*IF(($L$49)=0,$N$9,($G$49)/($L$49)))</f>
        <v>889916.78</v>
      </c>
      <c r="P60" s="65" t="n">
        <f aca="false">O60</f>
        <v>889916.78</v>
      </c>
      <c r="Q60" s="66" t="n">
        <f aca="false">J60-P60</f>
        <v>-12611.8583710077</v>
      </c>
      <c r="R60" s="67" t="s">
        <v>90</v>
      </c>
    </row>
    <row r="61" customFormat="false" ht="15" hidden="false" customHeight="false" outlineLevel="0" collapsed="false">
      <c r="B61" s="40" t="s">
        <v>111</v>
      </c>
      <c r="C61" s="69" t="s">
        <v>112</v>
      </c>
      <c r="D61" s="40" t="s">
        <v>77</v>
      </c>
      <c r="E61" s="31"/>
      <c r="F61" s="31"/>
      <c r="G61" s="31"/>
      <c r="H61" s="61" t="n">
        <f aca="false">IF($N$6&lt;&gt;"",0,($G$49)*0.05259446)</f>
        <v>13582.5914537514</v>
      </c>
      <c r="I61" s="62" t="n">
        <v>25.37</v>
      </c>
      <c r="J61" s="63" t="n">
        <f aca="false">H61*I61</f>
        <v>344590.345181672</v>
      </c>
      <c r="K61" s="64" t="n">
        <f aca="false">IF($N$6&lt;&gt;"",0,13777.85*IF(($L$49)=0,$N$9,($G$49)/($L$49)))</f>
        <v>13777.85</v>
      </c>
      <c r="O61" s="0" t="n">
        <f aca="false">IF($N$6&lt;&gt;"",0,349544.05*IF(($L$49)=0,$N$9,($G$49)/($L$49)))</f>
        <v>349544.05</v>
      </c>
      <c r="P61" s="65" t="n">
        <f aca="false">O61</f>
        <v>349544.05</v>
      </c>
      <c r="Q61" s="66" t="n">
        <f aca="false">J61-P61</f>
        <v>-4953.70481832803</v>
      </c>
      <c r="R61" s="67" t="s">
        <v>90</v>
      </c>
    </row>
    <row r="62" customFormat="false" ht="15" hidden="false" customHeight="false" outlineLevel="0" collapsed="false">
      <c r="B62" s="40" t="s">
        <v>113</v>
      </c>
      <c r="C62" s="69" t="s">
        <v>114</v>
      </c>
      <c r="D62" s="40" t="s">
        <v>77</v>
      </c>
      <c r="E62" s="31"/>
      <c r="F62" s="31"/>
      <c r="G62" s="31"/>
      <c r="H62" s="61" t="n">
        <f aca="false">IF($N$6&lt;&gt;"",0,($G$49)*0.01283677)</f>
        <v>3315.11346434153</v>
      </c>
      <c r="I62" s="62" t="n">
        <v>29.3</v>
      </c>
      <c r="J62" s="63" t="n">
        <f aca="false">H62*I62</f>
        <v>97132.8245052067</v>
      </c>
      <c r="K62" s="64" t="n">
        <f aca="false">IF($N$6&lt;&gt;"",0,3362.77*IF(($L$49)=0,$N$9,($G$49)/($L$49)))</f>
        <v>3362.77</v>
      </c>
      <c r="O62" s="0" t="n">
        <f aca="false">IF($N$6&lt;&gt;"",0,98529.16*IF(($L$49)=0,$N$9,($G$49)/($L$49)))</f>
        <v>98529.16</v>
      </c>
      <c r="P62" s="65" t="n">
        <f aca="false">O62</f>
        <v>98529.16</v>
      </c>
      <c r="Q62" s="66" t="n">
        <f aca="false">J62-P62</f>
        <v>-1396.33549479328</v>
      </c>
      <c r="R62" s="67" t="s">
        <v>90</v>
      </c>
    </row>
    <row r="63" customFormat="false" ht="15" hidden="false" customHeight="false" outlineLevel="0" collapsed="false">
      <c r="B63" s="40"/>
      <c r="C63" s="59" t="s">
        <v>115</v>
      </c>
      <c r="D63" s="40" t="s">
        <v>77</v>
      </c>
      <c r="E63" s="31"/>
      <c r="F63" s="31"/>
      <c r="G63" s="60" t="n">
        <f aca="false">IF($N$6&lt;&gt;"",0,SUMPRODUCT('Terraplenagem por estaca'!$H$2:$H$744,((('Terraplenagem por estaca'!$D$2:$D$744&lt;$N$2)*'Terraplenagem por estaca'!$D$2:$D$744+('Terraplenagem por estaca'!$D$2:$D$744&gt;=$N$2)*$N$2)-(('Terraplenagem por estaca'!$C$2:$C$744&gt;$M$2)*'Terraplenagem por estaca'!$C$2:$C$744+('Terraplenagem por estaca'!$C$2:$C$744&lt;=$M$2)*$M$2))*('Terraplenagem por estaca'!$C$2:$C$744&lt;$N$2)*('Terraplenagem por estaca'!$D$2:$D$744&gt;$M$2)/('Terraplenagem por estaca'!$D$2:$D$744-'Terraplenagem por estaca'!$C$2:$C$744)))</f>
        <v>31637.58</v>
      </c>
      <c r="H63" s="31"/>
      <c r="I63" s="31"/>
      <c r="J63" s="31"/>
      <c r="K63" s="31"/>
      <c r="L63" s="0" t="n">
        <f aca="false">SUMPRODUCT('Terraplenagem por estaca'!$H$2:$H$744,((('Terraplenagem por estaca'!$D$2:$D$744&lt;$N$12)*'Terraplenagem por estaca'!$D$2:$D$744+('Terraplenagem por estaca'!$D$2:$D$744&gt;=$N$12)*$N$12)-(('Terraplenagem por estaca'!$C$2:$C$744&gt;$M$12)*'Terraplenagem por estaca'!$C$2:$C$744+('Terraplenagem por estaca'!$C$2:$C$744&lt;=$M$12)*$M$12))*('Terraplenagem por estaca'!$C$2:$C$744&lt;$N$12)*('Terraplenagem por estaca'!$D$2:$D$744&gt;$M$12)/('Terraplenagem por estaca'!$D$2:$D$744-'Terraplenagem por estaca'!$C$2:$C$744))</f>
        <v>31637.58</v>
      </c>
      <c r="P63" s="31"/>
      <c r="Q63" s="31"/>
      <c r="R63" s="67" t="s">
        <v>116</v>
      </c>
    </row>
    <row r="64" customFormat="false" ht="15" hidden="false" customHeight="false" outlineLevel="0" collapsed="false">
      <c r="B64" s="40" t="s">
        <v>117</v>
      </c>
      <c r="C64" s="69" t="s">
        <v>118</v>
      </c>
      <c r="D64" s="40" t="s">
        <v>77</v>
      </c>
      <c r="E64" s="31"/>
      <c r="F64" s="31"/>
      <c r="G64" s="31"/>
      <c r="H64" s="61" t="n">
        <f aca="false">IF($N$6&lt;&gt;"",0,($G$63)*0.17495017)</f>
        <v>5534.9999993886</v>
      </c>
      <c r="I64" s="62" t="n">
        <v>14.84</v>
      </c>
      <c r="J64" s="63" t="n">
        <f aca="false">H64*I64</f>
        <v>82139.3999909268</v>
      </c>
      <c r="K64" s="64" t="n">
        <f aca="false">IF($N$6&lt;&gt;"",0,5535*IF(($L$63)=0,$N$9,($G$63)/($L$63)))</f>
        <v>5535</v>
      </c>
      <c r="O64" s="0" t="n">
        <f aca="false">IF($N$6&lt;&gt;"",0,82139.4*IF(($L$63)=0,$N$9,($G$63)/($L$63)))</f>
        <v>82139.4</v>
      </c>
      <c r="P64" s="65" t="n">
        <f aca="false">O64</f>
        <v>82139.4</v>
      </c>
      <c r="Q64" s="66" t="n">
        <f aca="false">J64-P64</f>
        <v>-9.07316280063242E-006</v>
      </c>
      <c r="R64" s="67" t="s">
        <v>119</v>
      </c>
    </row>
    <row r="65" customFormat="false" ht="15" hidden="false" customHeight="false" outlineLevel="0" collapsed="false">
      <c r="B65" s="40" t="s">
        <v>120</v>
      </c>
      <c r="C65" s="69" t="s">
        <v>121</v>
      </c>
      <c r="D65" s="40" t="s">
        <v>77</v>
      </c>
      <c r="E65" s="31"/>
      <c r="F65" s="31"/>
      <c r="G65" s="31"/>
      <c r="H65" s="61" t="n">
        <f aca="false">IF($N$6&lt;&gt;"",0,($G$63)*0.00844312)</f>
        <v>267.1198844496</v>
      </c>
      <c r="I65" s="62" t="n">
        <v>15.81</v>
      </c>
      <c r="J65" s="63" t="n">
        <f aca="false">H65*I65</f>
        <v>4223.16537314818</v>
      </c>
      <c r="K65" s="64" t="n">
        <f aca="false">IF($N$6&lt;&gt;"",0,267.12*IF(($L$63)=0,$N$9,($G$63)/($L$63)))</f>
        <v>267.12</v>
      </c>
      <c r="O65" s="0" t="n">
        <f aca="false">IF($N$6&lt;&gt;"",0,4223.16*IF(($L$63)=0,$N$9,($G$63)/($L$63)))</f>
        <v>4223.16</v>
      </c>
      <c r="P65" s="65" t="n">
        <f aca="false">O65</f>
        <v>4223.16</v>
      </c>
      <c r="Q65" s="66" t="n">
        <f aca="false">J65-P65</f>
        <v>0.00537314817665902</v>
      </c>
      <c r="R65" s="67" t="s">
        <v>119</v>
      </c>
    </row>
    <row r="66" customFormat="false" ht="15" hidden="false" customHeight="false" outlineLevel="0" collapsed="false">
      <c r="B66" s="40" t="s">
        <v>122</v>
      </c>
      <c r="C66" s="69" t="s">
        <v>123</v>
      </c>
      <c r="D66" s="40" t="s">
        <v>77</v>
      </c>
      <c r="E66" s="31"/>
      <c r="F66" s="31"/>
      <c r="G66" s="31"/>
      <c r="H66" s="61" t="n">
        <f aca="false">IF($N$6&lt;&gt;"",0,($G$63)*0.26832615)</f>
        <v>8489.190036717</v>
      </c>
      <c r="I66" s="62" t="n">
        <v>19.99</v>
      </c>
      <c r="J66" s="63" t="n">
        <f aca="false">H66*I66</f>
        <v>169698.908833973</v>
      </c>
      <c r="K66" s="64" t="n">
        <f aca="false">IF($N$6&lt;&gt;"",0,8489.19*IF(($L$63)=0,$N$9,($G$63)/($L$63)))</f>
        <v>8489.19</v>
      </c>
      <c r="O66" s="0" t="n">
        <f aca="false">IF($N$6&lt;&gt;"",0,169698.9*IF(($L$63)=0,$N$9,($G$63)/($L$63)))</f>
        <v>169698.9</v>
      </c>
      <c r="P66" s="65" t="n">
        <f aca="false">O66</f>
        <v>169698.9</v>
      </c>
      <c r="Q66" s="66" t="n">
        <f aca="false">J66-P66</f>
        <v>0.0088339728245046</v>
      </c>
      <c r="R66" s="67" t="s">
        <v>119</v>
      </c>
    </row>
    <row r="67" customFormat="false" ht="15" hidden="false" customHeight="false" outlineLevel="0" collapsed="false">
      <c r="B67" s="40" t="s">
        <v>124</v>
      </c>
      <c r="C67" s="69" t="s">
        <v>125</v>
      </c>
      <c r="D67" s="40" t="s">
        <v>77</v>
      </c>
      <c r="E67" s="31"/>
      <c r="F67" s="31"/>
      <c r="G67" s="31"/>
      <c r="H67" s="61" t="n">
        <f aca="false">IF($N$6&lt;&gt;"",0,($G$63)*0.54828056)</f>
        <v>17346.2700794448</v>
      </c>
      <c r="I67" s="62" t="n">
        <v>21.84</v>
      </c>
      <c r="J67" s="63" t="n">
        <f aca="false">H67*I67</f>
        <v>378842.538535075</v>
      </c>
      <c r="K67" s="64" t="n">
        <f aca="false">IF($N$6&lt;&gt;"",0,17346.27*IF(($L$63)=0,$N$9,($G$63)/($L$63)))</f>
        <v>17346.27</v>
      </c>
      <c r="O67" s="0" t="n">
        <f aca="false">IF($N$6&lt;&gt;"",0,378842.53*IF(($L$63)=0,$N$9,($G$63)/($L$63)))</f>
        <v>378842.53</v>
      </c>
      <c r="P67" s="65" t="n">
        <f aca="false">O67</f>
        <v>378842.53</v>
      </c>
      <c r="Q67" s="66" t="n">
        <f aca="false">J67-P67</f>
        <v>0.00853507447754964</v>
      </c>
      <c r="R67" s="67" t="s">
        <v>119</v>
      </c>
    </row>
    <row r="68" customFormat="false" ht="15" hidden="false" customHeight="false" outlineLevel="0" collapsed="false">
      <c r="B68" s="40"/>
      <c r="C68" s="59" t="s">
        <v>126</v>
      </c>
      <c r="D68" s="40" t="s">
        <v>77</v>
      </c>
      <c r="E68" s="31"/>
      <c r="F68" s="31"/>
      <c r="G68" s="60" t="n">
        <f aca="false">IF($N$6&lt;&gt;"",0,SUMPRODUCT('Terraplenagem por estaca'!$I$2:$I$744,((('Terraplenagem por estaca'!$D$2:$D$744&lt;$N$2)*'Terraplenagem por estaca'!$D$2:$D$744+('Terraplenagem por estaca'!$D$2:$D$744&gt;=$N$2)*$N$2)-(('Terraplenagem por estaca'!$C$2:$C$744&gt;$M$2)*'Terraplenagem por estaca'!$C$2:$C$744+('Terraplenagem por estaca'!$C$2:$C$744&lt;=$M$2)*$M$2))*('Terraplenagem por estaca'!$C$2:$C$744&lt;$N$2)*('Terraplenagem por estaca'!$D$2:$D$744&gt;$M$2)/('Terraplenagem por estaca'!$D$2:$D$744-'Terraplenagem por estaca'!$C$2:$C$744)))</f>
        <v>17477.5115</v>
      </c>
      <c r="H68" s="31"/>
      <c r="I68" s="31"/>
      <c r="J68" s="31"/>
      <c r="K68" s="31"/>
      <c r="L68" s="0" t="n">
        <f aca="false">SUMPRODUCT('Terraplenagem por estaca'!$I$2:$I$744,((('Terraplenagem por estaca'!$D$2:$D$744&lt;$N$12)*'Terraplenagem por estaca'!$D$2:$D$744+('Terraplenagem por estaca'!$D$2:$D$744&gt;=$N$12)*$N$12)-(('Terraplenagem por estaca'!$C$2:$C$744&gt;$M$12)*'Terraplenagem por estaca'!$C$2:$C$744+('Terraplenagem por estaca'!$C$2:$C$744&lt;=$M$12)*$M$12))*('Terraplenagem por estaca'!$C$2:$C$744&lt;$N$12)*('Terraplenagem por estaca'!$D$2:$D$744&gt;$M$12)/('Terraplenagem por estaca'!$D$2:$D$744-'Terraplenagem por estaca'!$C$2:$C$744))</f>
        <v>17477.5115</v>
      </c>
      <c r="P68" s="31"/>
      <c r="Q68" s="31"/>
      <c r="R68" s="67" t="s">
        <v>116</v>
      </c>
    </row>
    <row r="69" customFormat="false" ht="15" hidden="false" customHeight="false" outlineLevel="0" collapsed="false">
      <c r="B69" s="40" t="s">
        <v>127</v>
      </c>
      <c r="C69" s="69" t="s">
        <v>128</v>
      </c>
      <c r="D69" s="40" t="s">
        <v>77</v>
      </c>
      <c r="E69" s="31"/>
      <c r="F69" s="31"/>
      <c r="G69" s="31"/>
      <c r="H69" s="61" t="n">
        <f aca="false">IF($N$6&lt;&gt;"",0,($G$68)*0.15776395)</f>
        <v>2757.32125041043</v>
      </c>
      <c r="I69" s="62" t="n">
        <v>46.71</v>
      </c>
      <c r="J69" s="63" t="n">
        <f aca="false">H69*I69</f>
        <v>128794.475606671</v>
      </c>
      <c r="K69" s="64" t="n">
        <f aca="false">IF($N$6&lt;&gt;"",0,2271.55*IF(($L$68)=0,$N$9,($G$68)/($L$68)))</f>
        <v>2271.55</v>
      </c>
      <c r="O69" s="0" t="n">
        <f aca="false">IF($N$6&lt;&gt;"",0,106104.1*IF(($L$68)=0,$N$9,($G$68)/($L$68)))</f>
        <v>106104.1</v>
      </c>
      <c r="P69" s="65" t="n">
        <f aca="false">O69</f>
        <v>106104.1</v>
      </c>
      <c r="Q69" s="66" t="n">
        <f aca="false">J69-P69</f>
        <v>22690.3756066709</v>
      </c>
      <c r="R69" s="67" t="s">
        <v>129</v>
      </c>
    </row>
    <row r="70" customFormat="false" ht="15" hidden="false" customHeight="false" outlineLevel="0" collapsed="false">
      <c r="B70" s="40" t="s">
        <v>130</v>
      </c>
      <c r="C70" s="69" t="s">
        <v>131</v>
      </c>
      <c r="D70" s="40" t="s">
        <v>77</v>
      </c>
      <c r="E70" s="31"/>
      <c r="F70" s="31"/>
      <c r="G70" s="31"/>
      <c r="H70" s="61" t="n">
        <f aca="false">IF($N$6&lt;&gt;"",0,($G$68)*0.09809069)</f>
        <v>1714.38116251793</v>
      </c>
      <c r="I70" s="62" t="n">
        <v>48.32</v>
      </c>
      <c r="J70" s="63" t="n">
        <f aca="false">H70*I70</f>
        <v>82838.8977728666</v>
      </c>
      <c r="K70" s="64" t="n">
        <f aca="false">IF($N$6&lt;&gt;"",0,1412.35*IF(($L$68)=0,$N$9,($G$68)/($L$68)))</f>
        <v>1412.35</v>
      </c>
      <c r="O70" s="0" t="n">
        <f aca="false">IF($N$6&lt;&gt;"",0,68244.75*IF(($L$68)=0,$N$9,($G$68)/($L$68)))</f>
        <v>68244.75</v>
      </c>
      <c r="P70" s="65" t="n">
        <f aca="false">O70</f>
        <v>68244.75</v>
      </c>
      <c r="Q70" s="66" t="n">
        <f aca="false">J70-P70</f>
        <v>14594.1477728666</v>
      </c>
      <c r="R70" s="67" t="s">
        <v>129</v>
      </c>
    </row>
    <row r="71" customFormat="false" ht="15" hidden="false" customHeight="false" outlineLevel="0" collapsed="false">
      <c r="B71" s="40" t="s">
        <v>132</v>
      </c>
      <c r="C71" s="69" t="s">
        <v>133</v>
      </c>
      <c r="D71" s="40" t="s">
        <v>77</v>
      </c>
      <c r="E71" s="31"/>
      <c r="F71" s="31"/>
      <c r="G71" s="31"/>
      <c r="H71" s="61" t="n">
        <f aca="false">IF($N$6&lt;&gt;"",0,($G$68)*0.0302207)</f>
        <v>528.18263178805</v>
      </c>
      <c r="I71" s="62" t="n">
        <v>50.52</v>
      </c>
      <c r="J71" s="63" t="n">
        <f aca="false">H71*I71</f>
        <v>26683.7865579323</v>
      </c>
      <c r="K71" s="64" t="n">
        <f aca="false">IF($N$6&lt;&gt;"",0,435.13*IF(($L$68)=0,$N$9,($G$68)/($L$68)))</f>
        <v>435.13</v>
      </c>
      <c r="O71" s="0" t="n">
        <f aca="false">IF($N$6&lt;&gt;"",0,21982.76*IF(($L$68)=0,$N$9,($G$68)/($L$68)))</f>
        <v>21982.76</v>
      </c>
      <c r="P71" s="65" t="n">
        <f aca="false">O71</f>
        <v>21982.76</v>
      </c>
      <c r="Q71" s="66" t="n">
        <f aca="false">J71-P71</f>
        <v>4701.02655793229</v>
      </c>
      <c r="R71" s="67" t="s">
        <v>129</v>
      </c>
    </row>
    <row r="72" customFormat="false" ht="15" hidden="false" customHeight="false" outlineLevel="0" collapsed="false">
      <c r="B72" s="40" t="s">
        <v>134</v>
      </c>
      <c r="C72" s="69" t="s">
        <v>135</v>
      </c>
      <c r="D72" s="40" t="s">
        <v>77</v>
      </c>
      <c r="E72" s="31"/>
      <c r="F72" s="31"/>
      <c r="G72" s="31"/>
      <c r="H72" s="61" t="n">
        <f aca="false">IF($N$6&lt;&gt;"",0,($G$68)*0.05301071)</f>
        <v>926.495293648165</v>
      </c>
      <c r="I72" s="62" t="n">
        <v>53.74</v>
      </c>
      <c r="J72" s="63" t="n">
        <f aca="false">H72*I72</f>
        <v>49789.8570806524</v>
      </c>
      <c r="K72" s="64" t="n">
        <f aca="false">IF($N$6&lt;&gt;"",0,763.27*IF(($L$68)=0,$N$9,($G$68)/($L$68)))</f>
        <v>763.27</v>
      </c>
      <c r="O72" s="0" t="n">
        <f aca="false">IF($N$6&lt;&gt;"",0,41018.12*IF(($L$68)=0,$N$9,($G$68)/($L$68)))</f>
        <v>41018.12</v>
      </c>
      <c r="P72" s="65" t="n">
        <f aca="false">O72</f>
        <v>41018.12</v>
      </c>
      <c r="Q72" s="66" t="n">
        <f aca="false">J72-P72</f>
        <v>8771.73708065239</v>
      </c>
      <c r="R72" s="67" t="s">
        <v>129</v>
      </c>
    </row>
    <row r="73" customFormat="false" ht="15" hidden="false" customHeight="false" outlineLevel="0" collapsed="false">
      <c r="B73" s="40" t="s">
        <v>136</v>
      </c>
      <c r="C73" s="69" t="s">
        <v>137</v>
      </c>
      <c r="D73" s="40" t="s">
        <v>77</v>
      </c>
      <c r="E73" s="31"/>
      <c r="F73" s="31"/>
      <c r="G73" s="31"/>
      <c r="H73" s="61" t="n">
        <f aca="false">IF($N$6&lt;&gt;"",0,($G$68)*0.07434015)</f>
        <v>1299.28082653672</v>
      </c>
      <c r="I73" s="62" t="n">
        <v>57.73</v>
      </c>
      <c r="J73" s="63" t="n">
        <f aca="false">H73*I73</f>
        <v>75007.4821159651</v>
      </c>
      <c r="K73" s="64" t="n">
        <f aca="false">IF($N$6&lt;&gt;"",0,1070.38*IF(($L$68)=0,$N$9,($G$68)/($L$68)))</f>
        <v>1070.38</v>
      </c>
      <c r="O73" s="0" t="n">
        <f aca="false">IF($N$6&lt;&gt;"",0,61793.03*IF(($L$68)=0,$N$9,($G$68)/($L$68)))</f>
        <v>61793.03</v>
      </c>
      <c r="P73" s="65" t="n">
        <f aca="false">O73</f>
        <v>61793.03</v>
      </c>
      <c r="Q73" s="66" t="n">
        <f aca="false">J73-P73</f>
        <v>13214.4521159651</v>
      </c>
      <c r="R73" s="67" t="s">
        <v>129</v>
      </c>
    </row>
    <row r="74" customFormat="false" ht="15" hidden="false" customHeight="false" outlineLevel="0" collapsed="false">
      <c r="B74" s="40" t="s">
        <v>138</v>
      </c>
      <c r="C74" s="69" t="s">
        <v>139</v>
      </c>
      <c r="D74" s="40" t="s">
        <v>77</v>
      </c>
      <c r="E74" s="31"/>
      <c r="F74" s="31"/>
      <c r="G74" s="31"/>
      <c r="H74" s="61" t="n">
        <f aca="false">IF($N$6&lt;&gt;"",0,($G$68)*0.5865738)</f>
        <v>10251.8503350987</v>
      </c>
      <c r="I74" s="62" t="n">
        <v>62.3</v>
      </c>
      <c r="J74" s="63" t="n">
        <f aca="false">H74*I74</f>
        <v>638690.275876649</v>
      </c>
      <c r="K74" s="64" t="n">
        <f aca="false">IF($N$6&lt;&gt;"",0,8445.73*IF(($L$68)=0,$N$9,($G$68)/($L$68)))</f>
        <v>8445.73</v>
      </c>
      <c r="O74" s="0" t="n">
        <f aca="false">IF($N$6&lt;&gt;"",0,526168.97*IF(($L$68)=0,$N$9,($G$68)/($L$68)))</f>
        <v>526168.97</v>
      </c>
      <c r="P74" s="65" t="n">
        <f aca="false">O74</f>
        <v>526168.97</v>
      </c>
      <c r="Q74" s="66" t="n">
        <f aca="false">J74-P74</f>
        <v>112521.305876649</v>
      </c>
      <c r="R74" s="67" t="s">
        <v>129</v>
      </c>
    </row>
    <row r="75" customFormat="false" ht="15" hidden="false" customHeight="false" outlineLevel="0" collapsed="false">
      <c r="B75" s="40" t="s">
        <v>140</v>
      </c>
      <c r="C75" s="59" t="s">
        <v>141</v>
      </c>
      <c r="D75" s="40" t="s">
        <v>77</v>
      </c>
      <c r="E75" s="31"/>
      <c r="F75" s="31"/>
      <c r="G75" s="60" t="n">
        <f aca="false">IF($N$6&lt;&gt;"",0,SUMPRODUCT('Terraplenagem por estaca'!$J$2:$J$744,((('Terraplenagem por estaca'!$D$2:$D$744&lt;$N$2)*'Terraplenagem por estaca'!$D$2:$D$744+('Terraplenagem por estaca'!$D$2:$D$744&gt;=$N$2)*$N$2)-(('Terraplenagem por estaca'!$C$2:$C$744&gt;$M$2)*'Terraplenagem por estaca'!$C$2:$C$744+('Terraplenagem por estaca'!$C$2:$C$744&lt;=$M$2)*$M$2))*('Terraplenagem por estaca'!$C$2:$C$744&lt;$N$2)*('Terraplenagem por estaca'!$D$2:$D$744&gt;$M$2)/('Terraplenagem por estaca'!$D$2:$D$744-'Terraplenagem por estaca'!$C$2:$C$744)))</f>
        <v>28621.07</v>
      </c>
      <c r="H75" s="61" t="n">
        <f aca="false">IF($N$6&lt;&gt;"",0,$G$75)</f>
        <v>28621.07</v>
      </c>
      <c r="I75" s="62" t="n">
        <v>20.54</v>
      </c>
      <c r="J75" s="63" t="n">
        <f aca="false">H75*I75</f>
        <v>587876.7778</v>
      </c>
      <c r="K75" s="64" t="n">
        <f aca="false">IF($N$6&lt;&gt;"",0,28621.07*IF($L$75=0,$N$9,$G$75/$L$75))</f>
        <v>28621.07</v>
      </c>
      <c r="L75" s="0" t="n">
        <f aca="false">SUMPRODUCT('Terraplenagem por estaca'!$J$2:$J$744,((('Terraplenagem por estaca'!$D$2:$D$744&lt;$N$12)*'Terraplenagem por estaca'!$D$2:$D$744+('Terraplenagem por estaca'!$D$2:$D$744&gt;=$N$12)*$N$12)-(('Terraplenagem por estaca'!$C$2:$C$744&gt;$M$12)*'Terraplenagem por estaca'!$C$2:$C$744+('Terraplenagem por estaca'!$C$2:$C$744&lt;=$M$12)*$M$12))*('Terraplenagem por estaca'!$C$2:$C$744&lt;$N$12)*('Terraplenagem por estaca'!$D$2:$D$744&gt;$M$12)/('Terraplenagem por estaca'!$D$2:$D$744-'Terraplenagem por estaca'!$C$2:$C$744))</f>
        <v>28621.07</v>
      </c>
      <c r="O75" s="0" t="n">
        <f aca="false">IF($N$6&lt;&gt;"",0,587876.77*IF($L$75=0,$N$9,$G$75/$L$75))</f>
        <v>587876.77</v>
      </c>
      <c r="P75" s="65" t="n">
        <f aca="false">O75</f>
        <v>587876.77</v>
      </c>
      <c r="Q75" s="66" t="n">
        <f aca="false">J75-P75</f>
        <v>0.00779999990481883</v>
      </c>
      <c r="R75" s="67" t="s">
        <v>142</v>
      </c>
    </row>
    <row r="76" customFormat="false" ht="15" hidden="false" customHeight="false" outlineLevel="0" collapsed="false">
      <c r="B76" s="40" t="s">
        <v>143</v>
      </c>
      <c r="C76" s="59" t="s">
        <v>144</v>
      </c>
      <c r="D76" s="40" t="s">
        <v>77</v>
      </c>
      <c r="E76" s="31"/>
      <c r="F76" s="31"/>
      <c r="G76" s="60" t="n">
        <f aca="false">IF($N$6&lt;&gt;"",0,$G$45+$G$75)</f>
        <v>75884.5406226296</v>
      </c>
      <c r="H76" s="61" t="n">
        <f aca="false">IF($N$6&lt;&gt;"",0,$G$76)</f>
        <v>75884.5406226296</v>
      </c>
      <c r="I76" s="62" t="n">
        <v>0.87</v>
      </c>
      <c r="J76" s="63" t="n">
        <f aca="false">H76*I76</f>
        <v>66019.5503416877</v>
      </c>
      <c r="K76" s="64" t="n">
        <f aca="false">IF($N$6&lt;&gt;"",0,75087.01*IF($L$76=0,$N$9,$G$76/$L$76))</f>
        <v>75087.01</v>
      </c>
      <c r="L76" s="0" t="n">
        <f aca="false">$L$45+$L$75</f>
        <v>75884.5406226296</v>
      </c>
      <c r="O76" s="0" t="n">
        <f aca="false">IF($N$6&lt;&gt;"",0,65325.69*IF($L$76=0,$N$9,$G$76/$L$76))</f>
        <v>65325.69</v>
      </c>
      <c r="P76" s="65" t="n">
        <f aca="false">O76</f>
        <v>65325.69</v>
      </c>
      <c r="Q76" s="66" t="n">
        <f aca="false">J76-P76</f>
        <v>693.86034168773</v>
      </c>
      <c r="R76" s="67" t="s">
        <v>145</v>
      </c>
    </row>
    <row r="77" customFormat="false" ht="15" hidden="false" customHeight="false" outlineLevel="0" collapsed="false">
      <c r="B77" s="57"/>
      <c r="C77" s="58" t="s">
        <v>146</v>
      </c>
      <c r="D77" s="57"/>
      <c r="E77" s="57"/>
      <c r="F77" s="57"/>
      <c r="G77" s="57"/>
      <c r="H77" s="57"/>
      <c r="I77" s="57"/>
      <c r="J77" s="57"/>
      <c r="K77" s="57"/>
      <c r="P77" s="57"/>
      <c r="Q77" s="57"/>
      <c r="R77" s="57"/>
    </row>
    <row r="78" customFormat="false" ht="15" hidden="false" customHeight="false" outlineLevel="0" collapsed="false">
      <c r="B78" s="40" t="s">
        <v>147</v>
      </c>
      <c r="C78" s="59" t="s">
        <v>148</v>
      </c>
      <c r="D78" s="40" t="s">
        <v>77</v>
      </c>
      <c r="E78" s="31"/>
      <c r="F78" s="31"/>
      <c r="G78" s="60" t="n">
        <f aca="false">IF($N$6&lt;&gt;"",0,SUMPRODUCT('Terraplenagem por estaca'!$K$2:$K$744,((('Terraplenagem por estaca'!$D$2:$D$744&lt;$N$2)*'Terraplenagem por estaca'!$D$2:$D$744+('Terraplenagem por estaca'!$D$2:$D$744&gt;=$N$2)*$N$2)-(('Terraplenagem por estaca'!$C$2:$C$744&gt;$M$2)*'Terraplenagem por estaca'!$C$2:$C$744+('Terraplenagem por estaca'!$C$2:$C$744&lt;=$M$2)*$M$2))*('Terraplenagem por estaca'!$C$2:$C$744&lt;$N$2)*('Terraplenagem por estaca'!$D$2:$D$744&gt;$M$2)/('Terraplenagem por estaca'!$D$2:$D$744-'Terraplenagem por estaca'!$C$2:$C$744))+SUMPRODUCT('Terrapl. – ramos e solo mole'!$G$2:$G$14,((('Terrapl. – ramos e solo mole'!$C$2:$C$14&lt;$N$2)*'Terrapl. – ramos e solo mole'!$C$2:$C$14+('Terrapl. – ramos e solo mole'!$C$2:$C$14&gt;=$N$2)*$N$2)-(('Terrapl. – ramos e solo mole'!$B$2:$B$14&gt;$M$2)*'Terrapl. – ramos e solo mole'!$B$2:$B$14+('Terrapl. – ramos e solo mole'!$B$2:$B$14&lt;=$M$2)*$M$2))*('Terrapl. – ramos e solo mole'!$B$2:$B$14&lt;$N$2)*('Terrapl. – ramos e solo mole'!$C$2:$C$14&gt;$M$2)/('Terrapl. – ramos e solo mole'!$C$2:$C$14-'Terrapl. – ramos e solo mole'!$B$2:$B$14)))</f>
        <v>125515.045458281</v>
      </c>
      <c r="H78" s="61" t="n">
        <f aca="false">IF($N$6&lt;&gt;"",0,$G$78)</f>
        <v>125515.045458281</v>
      </c>
      <c r="I78" s="62" t="n">
        <v>6.18</v>
      </c>
      <c r="J78" s="63" t="n">
        <f aca="false">H78*I78</f>
        <v>775682.980932174</v>
      </c>
      <c r="K78" s="64" t="n">
        <f aca="false">IF($N$6&lt;&gt;"",0,125515.05*IF($L$78=0,$N$9,$G$78/$L$78))</f>
        <v>125515.05</v>
      </c>
      <c r="L78" s="0" t="n">
        <f aca="false">SUMPRODUCT('Terraplenagem por estaca'!$K$2:$K$744,((('Terraplenagem por estaca'!$D$2:$D$744&lt;$N$12)*'Terraplenagem por estaca'!$D$2:$D$744+('Terraplenagem por estaca'!$D$2:$D$744&gt;=$N$12)*$N$12)-(('Terraplenagem por estaca'!$C$2:$C$744&gt;$M$12)*'Terraplenagem por estaca'!$C$2:$C$744+('Terraplenagem por estaca'!$C$2:$C$744&lt;=$M$12)*$M$12))*('Terraplenagem por estaca'!$C$2:$C$744&lt;$N$12)*('Terraplenagem por estaca'!$D$2:$D$744&gt;$M$12)/('Terraplenagem por estaca'!$D$2:$D$744-'Terraplenagem por estaca'!$C$2:$C$744))+SUMPRODUCT('Terrapl. – ramos e solo mole'!$G$2:$G$14,((('Terrapl. – ramos e solo mole'!$C$2:$C$14&lt;$N$12)*'Terrapl. – ramos e solo mole'!$C$2:$C$14+('Terrapl. – ramos e solo mole'!$C$2:$C$14&gt;=$N$12)*$N$12)-(('Terrapl. – ramos e solo mole'!$B$2:$B$14&gt;$M$12)*'Terrapl. – ramos e solo mole'!$B$2:$B$14+('Terrapl. – ramos e solo mole'!$B$2:$B$14&lt;=$M$12)*$M$12))*('Terrapl. – ramos e solo mole'!$B$2:$B$14&lt;$N$12)*('Terrapl. – ramos e solo mole'!$C$2:$C$14&gt;$M$12)/('Terrapl. – ramos e solo mole'!$C$2:$C$14-'Terrapl. – ramos e solo mole'!$B$2:$B$14))</f>
        <v>125515.045458281</v>
      </c>
      <c r="O78" s="0" t="n">
        <f aca="false">IF($N$6&lt;&gt;"",0,775683*IF($L$78=0,$N$9,$G$78/$L$78))</f>
        <v>775683</v>
      </c>
      <c r="P78" s="65" t="n">
        <f aca="false">O78</f>
        <v>775683</v>
      </c>
      <c r="Q78" s="66" t="n">
        <f aca="false">J78-P78</f>
        <v>-0.0190678256331012</v>
      </c>
      <c r="R78" s="67" t="s">
        <v>149</v>
      </c>
    </row>
    <row r="79" customFormat="false" ht="15" hidden="false" customHeight="false" outlineLevel="0" collapsed="false">
      <c r="B79" s="40" t="s">
        <v>150</v>
      </c>
      <c r="C79" s="59" t="s">
        <v>151</v>
      </c>
      <c r="D79" s="40" t="s">
        <v>77</v>
      </c>
      <c r="E79" s="31"/>
      <c r="F79" s="31"/>
      <c r="G79" s="60" t="n">
        <f aca="false">IF($N$6&lt;&gt;"",0,SUMPRODUCT('Terraplenagem por estaca'!$L$2:$L$744,((('Terraplenagem por estaca'!$D$2:$D$744&lt;$N$2)*'Terraplenagem por estaca'!$D$2:$D$744+('Terraplenagem por estaca'!$D$2:$D$744&gt;=$N$2)*$N$2)-(('Terraplenagem por estaca'!$C$2:$C$744&gt;$M$2)*'Terraplenagem por estaca'!$C$2:$C$744+('Terraplenagem por estaca'!$C$2:$C$744&lt;=$M$2)*$M$2))*('Terraplenagem por estaca'!$C$2:$C$744&lt;$N$2)*('Terraplenagem por estaca'!$D$2:$D$744&gt;$M$2)/('Terraplenagem por estaca'!$D$2:$D$744-'Terraplenagem por estaca'!$C$2:$C$744))+SUMPRODUCT('Terrapl. – ramos e solo mole'!$H$2:$H$14,((('Terrapl. – ramos e solo mole'!$C$2:$C$14&lt;$N$2)*'Terrapl. – ramos e solo mole'!$C$2:$C$14+('Terrapl. – ramos e solo mole'!$C$2:$C$14&gt;=$N$2)*$N$2)-(('Terrapl. – ramos e solo mole'!$B$2:$B$14&gt;$M$2)*'Terrapl. – ramos e solo mole'!$B$2:$B$14+('Terrapl. – ramos e solo mole'!$B$2:$B$14&lt;=$M$2)*$M$2))*('Terrapl. – ramos e solo mole'!$B$2:$B$14&lt;$N$2)*('Terrapl. – ramos e solo mole'!$C$2:$C$14&gt;$M$2)/('Terrapl. – ramos e solo mole'!$C$2:$C$14-'Terrapl. – ramos e solo mole'!$B$2:$B$14)))</f>
        <v>101065.32090866</v>
      </c>
      <c r="H79" s="61" t="n">
        <f aca="false">IF($N$6&lt;&gt;"",0,$G$79)</f>
        <v>101065.32090866</v>
      </c>
      <c r="I79" s="62" t="n">
        <v>7.44</v>
      </c>
      <c r="J79" s="63" t="n">
        <f aca="false">H79*I79</f>
        <v>751925.98756043</v>
      </c>
      <c r="K79" s="64" t="n">
        <f aca="false">IF($N$6&lt;&gt;"",0,102477.69*IF($L$79=0,$N$9,$G$79/$L$79))</f>
        <v>102477.69</v>
      </c>
      <c r="L79" s="0" t="n">
        <f aca="false">SUMPRODUCT('Terraplenagem por estaca'!$L$2:$L$744,((('Terraplenagem por estaca'!$D$2:$D$744&lt;$N$12)*'Terraplenagem por estaca'!$D$2:$D$744+('Terraplenagem por estaca'!$D$2:$D$744&gt;=$N$12)*$N$12)-(('Terraplenagem por estaca'!$C$2:$C$744&gt;$M$12)*'Terraplenagem por estaca'!$C$2:$C$744+('Terraplenagem por estaca'!$C$2:$C$744&lt;=$M$12)*$M$12))*('Terraplenagem por estaca'!$C$2:$C$744&lt;$N$12)*('Terraplenagem por estaca'!$D$2:$D$744&gt;$M$12)/('Terraplenagem por estaca'!$D$2:$D$744-'Terraplenagem por estaca'!$C$2:$C$744))+SUMPRODUCT('Terrapl. – ramos e solo mole'!$H$2:$H$14,((('Terrapl. – ramos e solo mole'!$C$2:$C$14&lt;$N$12)*'Terrapl. – ramos e solo mole'!$C$2:$C$14+('Terrapl. – ramos e solo mole'!$C$2:$C$14&gt;=$N$12)*$N$12)-(('Terrapl. – ramos e solo mole'!$B$2:$B$14&gt;$M$12)*'Terrapl. – ramos e solo mole'!$B$2:$B$14+('Terrapl. – ramos e solo mole'!$B$2:$B$14&lt;=$M$12)*$M$12))*('Terrapl. – ramos e solo mole'!$B$2:$B$14&lt;$N$12)*('Terrapl. – ramos e solo mole'!$C$2:$C$14&gt;$M$12)/('Terrapl. – ramos e solo mole'!$C$2:$C$14-'Terrapl. – ramos e solo mole'!$B$2:$B$14))</f>
        <v>101065.32090866</v>
      </c>
      <c r="O79" s="0" t="n">
        <f aca="false">IF($N$6&lt;&gt;"",0,762434.01*IF($L$79=0,$N$9,$G$79/$L$79))</f>
        <v>762434.01</v>
      </c>
      <c r="P79" s="65" t="n">
        <f aca="false">O79</f>
        <v>762434.01</v>
      </c>
      <c r="Q79" s="66" t="n">
        <f aca="false">J79-P79</f>
        <v>-10508.0224395703</v>
      </c>
      <c r="R79" s="67" t="s">
        <v>149</v>
      </c>
    </row>
    <row r="80" customFormat="false" ht="15" hidden="false" customHeight="false" outlineLevel="0" collapsed="false">
      <c r="B80" s="40" t="s">
        <v>152</v>
      </c>
      <c r="C80" s="69" t="s">
        <v>153</v>
      </c>
      <c r="D80" s="40" t="s">
        <v>77</v>
      </c>
      <c r="E80" s="31"/>
      <c r="F80" s="31"/>
      <c r="G80" s="31"/>
      <c r="H80" s="61" t="n">
        <f aca="false">IF($N$6&lt;&gt;"",0,16881.88*IF(($L$68)=0,$N$9,($G$68)/($L$68)))</f>
        <v>16881.88</v>
      </c>
      <c r="I80" s="62" t="n">
        <v>8</v>
      </c>
      <c r="J80" s="63" t="n">
        <f aca="false">H80*I80</f>
        <v>135055.04</v>
      </c>
      <c r="K80" s="64" t="n">
        <f aca="false">IF($N$6&lt;&gt;"",0,18294.23*IF(($L$68)=0,$N$9,($G$68)/($L$68)))</f>
        <v>18294.23</v>
      </c>
      <c r="O80" s="0" t="n">
        <f aca="false">IF($N$6&lt;&gt;"",0,146353.84*IF(($L$68)=0,$N$9,($G$68)/($L$68)))</f>
        <v>146353.84</v>
      </c>
      <c r="P80" s="65" t="n">
        <f aca="false">O80</f>
        <v>146353.84</v>
      </c>
      <c r="Q80" s="66" t="n">
        <f aca="false">J80-P80</f>
        <v>-11298.8</v>
      </c>
      <c r="R80" s="67" t="s">
        <v>154</v>
      </c>
    </row>
    <row r="81" customFormat="false" ht="15" hidden="false" customHeight="false" outlineLevel="0" collapsed="false">
      <c r="B81" s="40" t="s">
        <v>155</v>
      </c>
      <c r="C81" s="59" t="s">
        <v>156</v>
      </c>
      <c r="D81" s="40" t="s">
        <v>77</v>
      </c>
      <c r="E81" s="31"/>
      <c r="F81" s="31"/>
      <c r="G81" s="60" t="n">
        <f aca="false">IF($N$6&lt;&gt;"",0,SUMPRODUCT('Terraplenagem por estaca'!$M$2:$M$744,((('Terraplenagem por estaca'!$D$2:$D$744&lt;$N$2)*'Terraplenagem por estaca'!$D$2:$D$744+('Terraplenagem por estaca'!$D$2:$D$744&gt;=$N$2)*$N$2)-(('Terraplenagem por estaca'!$C$2:$C$744&gt;$M$2)*'Terraplenagem por estaca'!$C$2:$C$744+('Terraplenagem por estaca'!$C$2:$C$744&lt;=$M$2)*$M$2))*('Terraplenagem por estaca'!$C$2:$C$744&lt;$N$2)*('Terraplenagem por estaca'!$D$2:$D$744&gt;$M$2)/('Terraplenagem por estaca'!$D$2:$D$744-'Terraplenagem por estaca'!$C$2:$C$744)))</f>
        <v>27235.294</v>
      </c>
      <c r="H81" s="61" t="n">
        <f aca="false">IF($N$6&lt;&gt;"",0,$G$81)</f>
        <v>27235.294</v>
      </c>
      <c r="I81" s="62" t="n">
        <v>169.76</v>
      </c>
      <c r="J81" s="63" t="n">
        <f aca="false">H81*I81</f>
        <v>4623463.50944</v>
      </c>
      <c r="K81" s="64" t="n">
        <f aca="false">IF($N$6&lt;&gt;"",0,28703.95*IF($L$81=0,$N$9,$G$81/$L$81))</f>
        <v>28703.95</v>
      </c>
      <c r="L81" s="0" t="n">
        <f aca="false">SUMPRODUCT('Terraplenagem por estaca'!$M$2:$M$744,((('Terraplenagem por estaca'!$D$2:$D$744&lt;$N$12)*'Terraplenagem por estaca'!$D$2:$D$744+('Terraplenagem por estaca'!$D$2:$D$744&gt;=$N$12)*$N$12)-(('Terraplenagem por estaca'!$C$2:$C$744&gt;$M$12)*'Terraplenagem por estaca'!$C$2:$C$744+('Terraplenagem por estaca'!$C$2:$C$744&lt;=$M$12)*$M$12))*('Terraplenagem por estaca'!$C$2:$C$744&lt;$N$12)*('Terraplenagem por estaca'!$D$2:$D$744&gt;$M$12)/('Terraplenagem por estaca'!$D$2:$D$744-'Terraplenagem por estaca'!$C$2:$C$744))</f>
        <v>27235.294</v>
      </c>
      <c r="O81" s="0" t="n">
        <f aca="false">IF($N$6&lt;&gt;"",0,4872782.55*IF($L$81=0,$N$9,$G$81/$L$81))</f>
        <v>4872782.55</v>
      </c>
      <c r="P81" s="65" t="n">
        <f aca="false">O81</f>
        <v>4872782.55</v>
      </c>
      <c r="Q81" s="66" t="n">
        <f aca="false">J81-P81</f>
        <v>-249319.040560001</v>
      </c>
      <c r="R81" s="67" t="s">
        <v>157</v>
      </c>
    </row>
    <row r="82" customFormat="false" ht="15" hidden="false" customHeight="false" outlineLevel="0" collapsed="false">
      <c r="B82" s="40" t="s">
        <v>158</v>
      </c>
      <c r="C82" s="59" t="s">
        <v>159</v>
      </c>
      <c r="D82" s="40" t="s">
        <v>77</v>
      </c>
      <c r="E82" s="31"/>
      <c r="F82" s="31"/>
      <c r="G82" s="60" t="n">
        <f aca="false">IF($N$6&lt;&gt;"",0,SUMPRODUCT('Terrapl. – ramos e solo mole'!$J$2:$J$14,((('Terrapl. – ramos e solo mole'!$C$2:$C$14&lt;$N$2)*'Terrapl. – ramos e solo mole'!$C$2:$C$14+('Terrapl. – ramos e solo mole'!$C$2:$C$14&gt;=$N$2)*$N$2)-(('Terrapl. – ramos e solo mole'!$B$2:$B$14&gt;$M$2)*'Terrapl. – ramos e solo mole'!$B$2:$B$14+('Terrapl. – ramos e solo mole'!$B$2:$B$14&lt;=$M$2)*$M$2))*('Terrapl. – ramos e solo mole'!$B$2:$B$14&lt;$N$2)*('Terrapl. – ramos e solo mole'!$C$2:$C$14&gt;$M$2)/('Terrapl. – ramos e solo mole'!$C$2:$C$14-'Terrapl. – ramos e solo mole'!$B$2:$B$14)))</f>
        <v>6633.825</v>
      </c>
      <c r="H82" s="61" t="n">
        <f aca="false">IF($N$6&lt;&gt;"",0,$G$82)</f>
        <v>6633.825</v>
      </c>
      <c r="I82" s="62" t="n">
        <v>324.85</v>
      </c>
      <c r="J82" s="63" t="n">
        <f aca="false">H82*I82</f>
        <v>2154998.05125</v>
      </c>
      <c r="K82" s="64" t="n">
        <f aca="false">IF($N$6&lt;&gt;"",0,6633.83*IF($L$82=0,$N$9,$G$82/$L$82))</f>
        <v>6633.83</v>
      </c>
      <c r="L82" s="0" t="n">
        <f aca="false">SUMPRODUCT('Terrapl. – ramos e solo mole'!$J$2:$J$14,((('Terrapl. – ramos e solo mole'!$C$2:$C$14&lt;$N$12)*'Terrapl. – ramos e solo mole'!$C$2:$C$14+('Terrapl. – ramos e solo mole'!$C$2:$C$14&gt;=$N$12)*$N$12)-(('Terrapl. – ramos e solo mole'!$B$2:$B$14&gt;$M$12)*'Terrapl. – ramos e solo mole'!$B$2:$B$14+('Terrapl. – ramos e solo mole'!$B$2:$B$14&lt;=$M$12)*$M$12))*('Terrapl. – ramos e solo mole'!$B$2:$B$14&lt;$N$12)*('Terrapl. – ramos e solo mole'!$C$2:$C$14&gt;$M$12)/('Terrapl. – ramos e solo mole'!$C$2:$C$14-'Terrapl. – ramos e solo mole'!$B$2:$B$14))</f>
        <v>6633.825</v>
      </c>
      <c r="O82" s="0" t="n">
        <f aca="false">IF($N$6&lt;&gt;"",0,2154999.67*IF($L$82=0,$N$9,$G$82/$L$82))</f>
        <v>2154999.67</v>
      </c>
      <c r="P82" s="65" t="n">
        <f aca="false">O82</f>
        <v>2154999.67</v>
      </c>
      <c r="Q82" s="66" t="n">
        <f aca="false">J82-P82</f>
        <v>-1.61874999990687</v>
      </c>
      <c r="R82" s="67" t="s">
        <v>160</v>
      </c>
    </row>
    <row r="83" customFormat="false" ht="15" hidden="false" customHeight="false" outlineLevel="0" collapsed="false">
      <c r="B83" s="40" t="s">
        <v>161</v>
      </c>
      <c r="C83" s="59" t="s">
        <v>162</v>
      </c>
      <c r="D83" s="40" t="s">
        <v>77</v>
      </c>
      <c r="E83" s="31"/>
      <c r="F83" s="31"/>
      <c r="G83" s="60" t="n">
        <f aca="false">IF($N$6&lt;&gt;"",0,SUMPRODUCT('Terrapl. – ramos e solo mole'!$K$2:$K$14,((('Terrapl. – ramos e solo mole'!$C$2:$C$14&lt;$N$2)*'Terrapl. – ramos e solo mole'!$C$2:$C$14+('Terrapl. – ramos e solo mole'!$C$2:$C$14&gt;=$N$2)*$N$2)-(('Terrapl. – ramos e solo mole'!$B$2:$B$14&gt;$M$2)*'Terrapl. – ramos e solo mole'!$B$2:$B$14+('Terrapl. – ramos e solo mole'!$B$2:$B$14&lt;=$M$2)*$M$2))*('Terrapl. – ramos e solo mole'!$B$2:$B$14&lt;$N$2)*('Terrapl. – ramos e solo mole'!$C$2:$C$14&gt;$M$2)/('Terrapl. – ramos e solo mole'!$C$2:$C$14-'Terrapl. – ramos e solo mole'!$B$2:$B$14)))</f>
        <v>1326.765</v>
      </c>
      <c r="H83" s="61" t="n">
        <f aca="false">IF($N$6&lt;&gt;"",0,$G$83)</f>
        <v>1326.765</v>
      </c>
      <c r="I83" s="62" t="n">
        <v>164</v>
      </c>
      <c r="J83" s="63" t="n">
        <f aca="false">H83*I83</f>
        <v>217589.46</v>
      </c>
      <c r="K83" s="64" t="n">
        <f aca="false">IF($N$6&lt;&gt;"",0,1326.77*IF($L$83=0,$N$9,$G$83/$L$83))</f>
        <v>1326.77</v>
      </c>
      <c r="L83" s="0" t="n">
        <f aca="false">SUMPRODUCT('Terrapl. – ramos e solo mole'!$K$2:$K$14,((('Terrapl. – ramos e solo mole'!$C$2:$C$14&lt;$N$12)*'Terrapl. – ramos e solo mole'!$C$2:$C$14+('Terrapl. – ramos e solo mole'!$C$2:$C$14&gt;=$N$12)*$N$12)-(('Terrapl. – ramos e solo mole'!$B$2:$B$14&gt;$M$12)*'Terrapl. – ramos e solo mole'!$B$2:$B$14+('Terrapl. – ramos e solo mole'!$B$2:$B$14&lt;=$M$12)*$M$12))*('Terrapl. – ramos e solo mole'!$B$2:$B$14&lt;$N$12)*('Terrapl. – ramos e solo mole'!$C$2:$C$14&gt;$M$12)/('Terrapl. – ramos e solo mole'!$C$2:$C$14-'Terrapl. – ramos e solo mole'!$B$2:$B$14))</f>
        <v>1326.765</v>
      </c>
      <c r="O83" s="0" t="n">
        <f aca="false">IF($N$6&lt;&gt;"",0,217590.28*IF($L$83=0,$N$9,$G$83/$L$83))</f>
        <v>217590.28</v>
      </c>
      <c r="P83" s="65" t="n">
        <f aca="false">O83</f>
        <v>217590.28</v>
      </c>
      <c r="Q83" s="66" t="n">
        <f aca="false">J83-P83</f>
        <v>-0.819999999977881</v>
      </c>
      <c r="R83" s="67" t="s">
        <v>160</v>
      </c>
    </row>
    <row r="84" customFormat="false" ht="15" hidden="false" customHeight="false" outlineLevel="0" collapsed="false">
      <c r="B84" s="57"/>
      <c r="C84" s="58" t="s">
        <v>163</v>
      </c>
      <c r="D84" s="57"/>
      <c r="E84" s="57"/>
      <c r="F84" s="57"/>
      <c r="G84" s="57"/>
      <c r="H84" s="57"/>
      <c r="I84" s="57"/>
      <c r="J84" s="57"/>
      <c r="K84" s="57"/>
      <c r="P84" s="57"/>
      <c r="Q84" s="57"/>
      <c r="R84" s="57"/>
    </row>
    <row r="85" customFormat="false" ht="15" hidden="false" customHeight="false" outlineLevel="0" collapsed="false">
      <c r="B85" s="40" t="s">
        <v>164</v>
      </c>
      <c r="C85" s="69" t="s">
        <v>165</v>
      </c>
      <c r="D85" s="40" t="s">
        <v>73</v>
      </c>
      <c r="E85" s="31"/>
      <c r="F85" s="31"/>
      <c r="G85" s="31"/>
      <c r="H85" s="61" t="n">
        <f aca="false">IF($N$6&lt;&gt;"",0,3099*IF(($L$68)=0,$N$9,($G$68)/($L$68)))</f>
        <v>3099</v>
      </c>
      <c r="I85" s="62" t="n">
        <v>73.18</v>
      </c>
      <c r="J85" s="63" t="n">
        <f aca="false">H85*I85</f>
        <v>226784.82</v>
      </c>
      <c r="K85" s="64" t="n">
        <f aca="false">IF($N$6&lt;&gt;"",0,3099*IF(($L$68)=0,$N$9,($G$68)/($L$68)))</f>
        <v>3099</v>
      </c>
      <c r="O85" s="0" t="n">
        <f aca="false">IF($N$6&lt;&gt;"",0,226784.82*IF(($L$68)=0,$N$9,($G$68)/($L$68)))</f>
        <v>226784.82</v>
      </c>
      <c r="P85" s="65" t="n">
        <f aca="false">O85</f>
        <v>226784.82</v>
      </c>
      <c r="Q85" s="66" t="n">
        <f aca="false">J85-P85</f>
        <v>0</v>
      </c>
      <c r="R85" s="67" t="s">
        <v>166</v>
      </c>
    </row>
    <row r="86" customFormat="false" ht="15" hidden="false" customHeight="false" outlineLevel="0" collapsed="false">
      <c r="B86" s="40" t="s">
        <v>167</v>
      </c>
      <c r="C86" s="69" t="s">
        <v>168</v>
      </c>
      <c r="D86" s="40" t="s">
        <v>80</v>
      </c>
      <c r="E86" s="31"/>
      <c r="F86" s="31"/>
      <c r="G86" s="31"/>
      <c r="H86" s="61" t="n">
        <f aca="false">IF($N$6&lt;&gt;"",0,179*IF(($L$68)=0,$N$9,($G$68)/($L$68)))</f>
        <v>179</v>
      </c>
      <c r="I86" s="62" t="n">
        <v>43.19</v>
      </c>
      <c r="J86" s="63" t="n">
        <f aca="false">H86*I86</f>
        <v>7731.01</v>
      </c>
      <c r="K86" s="64" t="n">
        <f aca="false">IF($N$6&lt;&gt;"",0,179*IF(($L$68)=0,$N$9,($G$68)/($L$68)))</f>
        <v>179</v>
      </c>
      <c r="O86" s="0" t="n">
        <f aca="false">IF($N$6&lt;&gt;"",0,7731.01*IF(($L$68)=0,$N$9,($G$68)/($L$68)))</f>
        <v>7731.01</v>
      </c>
      <c r="P86" s="65" t="n">
        <f aca="false">O86</f>
        <v>7731.01</v>
      </c>
      <c r="Q86" s="66" t="n">
        <f aca="false">J86-P86</f>
        <v>0</v>
      </c>
      <c r="R86" s="67" t="s">
        <v>166</v>
      </c>
    </row>
    <row r="87" customFormat="false" ht="15" hidden="false" customHeight="false" outlineLevel="0" collapsed="false">
      <c r="B87" s="40" t="s">
        <v>169</v>
      </c>
      <c r="C87" s="69" t="s">
        <v>170</v>
      </c>
      <c r="D87" s="40" t="s">
        <v>77</v>
      </c>
      <c r="E87" s="31"/>
      <c r="F87" s="31"/>
      <c r="G87" s="31"/>
      <c r="H87" s="61" t="n">
        <f aca="false">IF($N$6&lt;&gt;"",0,201.44*IF(($L$68)=0,$N$9,($G$68)/($L$68)))</f>
        <v>201.44</v>
      </c>
      <c r="I87" s="62" t="n">
        <v>2549.55</v>
      </c>
      <c r="J87" s="63" t="n">
        <f aca="false">H87*I87</f>
        <v>513581.352</v>
      </c>
      <c r="K87" s="64" t="n">
        <f aca="false">IF($N$6&lt;&gt;"",0,201.44*IF(($L$68)=0,$N$9,($G$68)/($L$68)))</f>
        <v>201.44</v>
      </c>
      <c r="O87" s="0" t="n">
        <f aca="false">IF($N$6&lt;&gt;"",0,513581.35*IF(($L$68)=0,$N$9,($G$68)/($L$68)))</f>
        <v>513581.35</v>
      </c>
      <c r="P87" s="65" t="n">
        <f aca="false">O87</f>
        <v>513581.35</v>
      </c>
      <c r="Q87" s="66" t="n">
        <f aca="false">J87-P87</f>
        <v>0.00200000003678724</v>
      </c>
      <c r="R87" s="67" t="s">
        <v>166</v>
      </c>
    </row>
    <row r="88" customFormat="false" ht="15" hidden="false" customHeight="false" outlineLevel="0" collapsed="false">
      <c r="B88" s="40" t="s">
        <v>171</v>
      </c>
      <c r="C88" s="69" t="s">
        <v>172</v>
      </c>
      <c r="D88" s="40" t="s">
        <v>173</v>
      </c>
      <c r="E88" s="31"/>
      <c r="F88" s="31"/>
      <c r="G88" s="31"/>
      <c r="H88" s="61" t="n">
        <f aca="false">IF($N$6&lt;&gt;"",0,2409.47*IF(($L$68)=0,$N$9,($G$68)/($L$68)))</f>
        <v>2409.47</v>
      </c>
      <c r="I88" s="62" t="n">
        <v>19.53</v>
      </c>
      <c r="J88" s="63" t="n">
        <f aca="false">H88*I88</f>
        <v>47056.9491</v>
      </c>
      <c r="K88" s="64" t="n">
        <f aca="false">IF($N$6&lt;&gt;"",0,2409.47*IF(($L$68)=0,$N$9,($G$68)/($L$68)))</f>
        <v>2409.47</v>
      </c>
      <c r="O88" s="0" t="n">
        <f aca="false">IF($N$6&lt;&gt;"",0,47056.94*IF(($L$68)=0,$N$9,($G$68)/($L$68)))</f>
        <v>47056.94</v>
      </c>
      <c r="P88" s="65" t="n">
        <f aca="false">O88</f>
        <v>47056.94</v>
      </c>
      <c r="Q88" s="66" t="n">
        <f aca="false">J88-P88</f>
        <v>0.00909999999566935</v>
      </c>
      <c r="R88" s="67" t="s">
        <v>166</v>
      </c>
    </row>
    <row r="89" customFormat="false" ht="15" hidden="false" customHeight="false" outlineLevel="0" collapsed="false">
      <c r="B89" s="40" t="s">
        <v>174</v>
      </c>
      <c r="C89" s="69" t="s">
        <v>175</v>
      </c>
      <c r="D89" s="40" t="s">
        <v>176</v>
      </c>
      <c r="E89" s="31"/>
      <c r="F89" s="31"/>
      <c r="G89" s="31"/>
      <c r="H89" s="61" t="n">
        <f aca="false">IF($N$6&lt;&gt;"",0,1162.13*IF(($L$68)=0,$N$9,($G$68)/($L$68)))</f>
        <v>1162.13</v>
      </c>
      <c r="I89" s="62" t="n">
        <v>669.97</v>
      </c>
      <c r="J89" s="63" t="n">
        <f aca="false">H89*I89</f>
        <v>778592.2361</v>
      </c>
      <c r="K89" s="64" t="n">
        <f aca="false">IF($N$6&lt;&gt;"",0,1162.13*IF(($L$68)=0,$N$9,($G$68)/($L$68)))</f>
        <v>1162.13</v>
      </c>
      <c r="O89" s="0" t="n">
        <f aca="false">IF($N$6&lt;&gt;"",0,778592.23*IF(($L$68)=0,$N$9,($G$68)/($L$68)))</f>
        <v>778592.23</v>
      </c>
      <c r="P89" s="65" t="n">
        <f aca="false">O89</f>
        <v>778592.23</v>
      </c>
      <c r="Q89" s="66" t="n">
        <f aca="false">J89-P89</f>
        <v>0.00610000011511147</v>
      </c>
      <c r="R89" s="67" t="s">
        <v>166</v>
      </c>
    </row>
    <row r="90" customFormat="false" ht="15" hidden="false" customHeight="false" outlineLevel="0" collapsed="false">
      <c r="B90" s="70"/>
      <c r="C90" s="71" t="s">
        <v>177</v>
      </c>
      <c r="D90" s="70"/>
      <c r="E90" s="70"/>
      <c r="F90" s="70"/>
      <c r="G90" s="70"/>
      <c r="H90" s="72" t="str">
        <f aca="false">COUNTIF(J43:J89,"&gt;0")&amp;" de "&amp;COUNT(J43:J89)&amp;" itens"</f>
        <v>39 de 39 itens</v>
      </c>
      <c r="I90" s="70"/>
      <c r="J90" s="73" t="n">
        <f aca="false">SUM(J43:J89)</f>
        <v>17332842.4286643</v>
      </c>
      <c r="K90" s="70"/>
      <c r="O90" s="0" t="n">
        <f aca="false">SUM(O43:O89)</f>
        <v>17469093.81</v>
      </c>
      <c r="P90" s="74" t="n">
        <f aca="false">SUM(P43:P89)</f>
        <v>17469093.81</v>
      </c>
      <c r="Q90" s="75" t="n">
        <f aca="false">J90-P90</f>
        <v>-136251.381335653</v>
      </c>
      <c r="R90" s="70"/>
    </row>
    <row r="92" customFormat="false" ht="21.75" hidden="false" customHeight="true" outlineLevel="0" collapsed="false">
      <c r="B92" s="56" t="s">
        <v>178</v>
      </c>
      <c r="C92" s="5"/>
      <c r="D92" s="5"/>
      <c r="E92" s="5"/>
      <c r="F92" s="5"/>
      <c r="G92" s="5"/>
      <c r="H92" s="5"/>
      <c r="I92" s="5"/>
      <c r="J92" s="5"/>
      <c r="K92" s="5"/>
      <c r="P92" s="5"/>
      <c r="Q92" s="5"/>
      <c r="R92" s="5"/>
    </row>
    <row r="93" customFormat="false" ht="15" hidden="false" customHeight="false" outlineLevel="0" collapsed="false">
      <c r="B93" s="57"/>
      <c r="C93" s="58" t="s">
        <v>179</v>
      </c>
      <c r="D93" s="57"/>
      <c r="E93" s="57"/>
      <c r="F93" s="57"/>
      <c r="G93" s="57"/>
      <c r="H93" s="57"/>
      <c r="I93" s="57"/>
      <c r="J93" s="57"/>
      <c r="K93" s="57"/>
      <c r="P93" s="57"/>
      <c r="Q93" s="57"/>
      <c r="R93" s="57"/>
    </row>
    <row r="94" customFormat="false" ht="15" hidden="false" customHeight="false" outlineLevel="0" collapsed="false">
      <c r="B94" s="40" t="s">
        <v>180</v>
      </c>
      <c r="C94" s="59" t="s">
        <v>181</v>
      </c>
      <c r="D94" s="40" t="s">
        <v>73</v>
      </c>
      <c r="E94" s="31"/>
      <c r="F94" s="31"/>
      <c r="G94" s="60" t="n">
        <f aca="false">IF($N$6&lt;&gt;"",0,(INDEX(Estacas!$Z$1:$Z$650,N3)+N5*N4*(2*INDEX(Estacas!$P$1:$P$650,N3)+(INDEX(Estacas!$P$1:$P$650,N3+1)-INDEX(Estacas!$P$1:$P$650,N3))*N4)/2*1)-(INDEX(Estacas!$Z$1:$Z$650,M3)+M5*M4*(2*INDEX(Estacas!$P$1:$P$650,M3)+(INDEX(Estacas!$P$1:$P$650,M3+1)-INDEX(Estacas!$P$1:$P$650,M3))*M4)/2*1))</f>
        <v>172945.155639998</v>
      </c>
      <c r="H94" s="61" t="n">
        <f aca="false">IF($N$6&lt;&gt;"",0,$G$94)</f>
        <v>172945.155639998</v>
      </c>
      <c r="I94" s="62" t="n">
        <v>5.16</v>
      </c>
      <c r="J94" s="63" t="n">
        <f aca="false">H94*I94</f>
        <v>892397.00310239</v>
      </c>
      <c r="K94" s="64" t="n">
        <f aca="false">IF($N$6&lt;&gt;"",0,171057*IF($L$94=0,$N$9,$G$94/$L$94))</f>
        <v>171057</v>
      </c>
      <c r="L94" s="0" t="n">
        <f aca="false">(INDEX(Estacas!$Z$1:$Z$650,N13)+N15*N14*(2*INDEX(Estacas!$P$1:$P$650,N13)+(INDEX(Estacas!$P$1:$P$650,N13+1)-INDEX(Estacas!$P$1:$P$650,N13))*N14)/2*1)-(INDEX(Estacas!$Z$1:$Z$650,M13)+M15*M14*(2*INDEX(Estacas!$P$1:$P$650,M13)+(INDEX(Estacas!$P$1:$P$650,M13+1)-INDEX(Estacas!$P$1:$P$650,M13))*M14)/2*1)</f>
        <v>172945.155639998</v>
      </c>
      <c r="O94" s="0" t="n">
        <f aca="false">IF($N$6&lt;&gt;"",0,882654.12*IF($L$94=0,$N$9,$G$94/$L$94))</f>
        <v>882654.12</v>
      </c>
      <c r="P94" s="65" t="n">
        <f aca="false">O94</f>
        <v>882654.12</v>
      </c>
      <c r="Q94" s="66" t="n">
        <f aca="false">J94-P94</f>
        <v>9742.88310238998</v>
      </c>
      <c r="R94" s="67" t="s">
        <v>182</v>
      </c>
    </row>
    <row r="95" customFormat="false" ht="15" hidden="false" customHeight="false" outlineLevel="0" collapsed="false">
      <c r="B95" s="40"/>
      <c r="C95" s="59" t="s">
        <v>183</v>
      </c>
      <c r="D95" s="40" t="s">
        <v>77</v>
      </c>
      <c r="E95" s="31"/>
      <c r="F95" s="31"/>
      <c r="G95" s="60" t="n">
        <f aca="false">IF($N$6&lt;&gt;"",0,(INDEX(Estacas!$W$1:$W$650,N3)+N5*N4*(2*INDEX(Estacas!$N$1:$N$650,N3)+(INDEX(Estacas!$N$1:$N$650,N3+1)-INDEX(Estacas!$N$1:$N$650,N3))*N4)/2*1)-(INDEX(Estacas!$W$1:$W$650,M3)+M5*M4*(2*INDEX(Estacas!$N$1:$N$650,M3)+(INDEX(Estacas!$N$1:$N$650,M3+1)-INDEX(Estacas!$N$1:$N$650,M3))*M4)/2*1))</f>
        <v>50726.5231620002</v>
      </c>
      <c r="H95" s="31"/>
      <c r="I95" s="31"/>
      <c r="J95" s="31"/>
      <c r="K95" s="31"/>
      <c r="L95" s="0" t="n">
        <f aca="false">(INDEX(Estacas!$W$1:$W$650,N13)+N15*N14*(2*INDEX(Estacas!$N$1:$N$650,N13)+(INDEX(Estacas!$N$1:$N$650,N13+1)-INDEX(Estacas!$N$1:$N$650,N13))*N14)/2*1)-(INDEX(Estacas!$W$1:$W$650,M13)+M15*M14*(2*INDEX(Estacas!$N$1:$N$650,M13)+(INDEX(Estacas!$N$1:$N$650,M13+1)-INDEX(Estacas!$N$1:$N$650,M13))*M14)/2*1)</f>
        <v>50726.5231620002</v>
      </c>
      <c r="P95" s="31"/>
      <c r="Q95" s="31"/>
      <c r="R95" s="67" t="s">
        <v>184</v>
      </c>
    </row>
    <row r="96" customFormat="false" ht="15" hidden="false" customHeight="false" outlineLevel="0" collapsed="false">
      <c r="B96" s="40"/>
      <c r="C96" s="59" t="s">
        <v>185</v>
      </c>
      <c r="D96" s="40" t="s">
        <v>77</v>
      </c>
      <c r="E96" s="31"/>
      <c r="F96" s="31"/>
      <c r="G96" s="60" t="n">
        <f aca="false">IF($N$6&lt;&gt;"",0,(INDEX(Estacas!$V$1:$V$650,N3)+N5*N4*(2*INDEX(Estacas!$M$1:$M$650,N3)+(INDEX(Estacas!$M$1:$M$650,N3+1)-INDEX(Estacas!$M$1:$M$650,N3))*N4)/2*1)-(INDEX(Estacas!$V$1:$V$650,M3)+M5*M4*(2*INDEX(Estacas!$M$1:$M$650,M3)+(INDEX(Estacas!$M$1:$M$650,M3+1)-INDEX(Estacas!$M$1:$M$650,M3))*M4)/2*1))</f>
        <v>32017.8677280002</v>
      </c>
      <c r="H96" s="31"/>
      <c r="I96" s="31"/>
      <c r="J96" s="31"/>
      <c r="K96" s="31"/>
      <c r="L96" s="0" t="n">
        <f aca="false">(INDEX(Estacas!$V$1:$V$650,N13)+N15*N14*(2*INDEX(Estacas!$M$1:$M$650,N13)+(INDEX(Estacas!$M$1:$M$650,N13+1)-INDEX(Estacas!$M$1:$M$650,N13))*N14)/2*1)-(INDEX(Estacas!$V$1:$V$650,M13)+M15*M14*(2*INDEX(Estacas!$M$1:$M$650,M13)+(INDEX(Estacas!$M$1:$M$650,M13+1)-INDEX(Estacas!$M$1:$M$650,M13))*M14)/2*1)</f>
        <v>32017.8677280002</v>
      </c>
      <c r="P96" s="31"/>
      <c r="Q96" s="31"/>
      <c r="R96" s="67" t="s">
        <v>186</v>
      </c>
    </row>
    <row r="97" customFormat="false" ht="15" hidden="false" customHeight="false" outlineLevel="0" collapsed="false">
      <c r="B97" s="40" t="s">
        <v>187</v>
      </c>
      <c r="C97" s="69" t="s">
        <v>188</v>
      </c>
      <c r="D97" s="40" t="s">
        <v>77</v>
      </c>
      <c r="E97" s="31"/>
      <c r="F97" s="31"/>
      <c r="G97" s="31"/>
      <c r="H97" s="61" t="n">
        <f aca="false">IF($N$6&lt;&gt;"",0,($G$95+$G$96)*1)</f>
        <v>82744.3908900004</v>
      </c>
      <c r="I97" s="62" t="n">
        <v>180.59</v>
      </c>
      <c r="J97" s="63" t="n">
        <f aca="false">H97*I97</f>
        <v>14942809.5508252</v>
      </c>
      <c r="K97" s="64" t="n">
        <f aca="false">IF($N$6&lt;&gt;"",0,84642*IF(($L$95+$L$96)=0,$N$9,($G$95+$G$96)/($L$95+$L$96)))</f>
        <v>84642</v>
      </c>
      <c r="O97" s="0" t="n">
        <f aca="false">IF($N$6&lt;&gt;"",0,15285498.78*IF(($L$95+$L$96)=0,$N$9,($G$95+$G$96)/($L$95+$L$96)))</f>
        <v>15285498.78</v>
      </c>
      <c r="P97" s="65" t="n">
        <f aca="false">O97</f>
        <v>15285498.78</v>
      </c>
      <c r="Q97" s="66" t="n">
        <f aca="false">J97-P97</f>
        <v>-342689.229174832</v>
      </c>
      <c r="R97" s="67" t="s">
        <v>189</v>
      </c>
    </row>
    <row r="98" customFormat="false" ht="15" hidden="false" customHeight="false" outlineLevel="0" collapsed="false">
      <c r="B98" s="40" t="s">
        <v>190</v>
      </c>
      <c r="C98" s="59" t="s">
        <v>191</v>
      </c>
      <c r="D98" s="40" t="s">
        <v>77</v>
      </c>
      <c r="E98" s="31"/>
      <c r="F98" s="31"/>
      <c r="G98" s="60" t="n">
        <f aca="false">IF($N$6&lt;&gt;"",0,(INDEX(Estacas!$U$1:$U$650,N3)+N5*N4*(2*INDEX(Estacas!$L$1:$L$650,N3)+(INDEX(Estacas!$L$1:$L$650,N3+1)-INDEX(Estacas!$L$1:$L$650,N3))*N4)/2*1)-(INDEX(Estacas!$U$1:$U$650,M3)+M5*M4*(2*INDEX(Estacas!$L$1:$L$650,M3)+(INDEX(Estacas!$L$1:$L$650,M3+1)-INDEX(Estacas!$L$1:$L$650,M3))*M4)/2*1))</f>
        <v>24462.4129792</v>
      </c>
      <c r="H98" s="61" t="n">
        <f aca="false">IF($N$6&lt;&gt;"",0,$G$98)</f>
        <v>24462.4129792</v>
      </c>
      <c r="I98" s="62" t="n">
        <v>241.97</v>
      </c>
      <c r="J98" s="63" t="n">
        <f aca="false">H98*I98</f>
        <v>5919170.06857702</v>
      </c>
      <c r="K98" s="64" t="n">
        <f aca="false">IF($N$6&lt;&gt;"",0,25878.66*IF($L$98=0,$N$9,$G$98/$L$98))</f>
        <v>25878.66</v>
      </c>
      <c r="L98" s="0" t="n">
        <f aca="false">(INDEX(Estacas!$U$1:$U$650,N13)+N15*N14*(2*INDEX(Estacas!$L$1:$L$650,N13)+(INDEX(Estacas!$L$1:$L$650,N13+1)-INDEX(Estacas!$L$1:$L$650,N13))*N14)/2*1)-(INDEX(Estacas!$U$1:$U$650,M13)+M15*M14*(2*INDEX(Estacas!$L$1:$L$650,M13)+(INDEX(Estacas!$L$1:$L$650,M13+1)-INDEX(Estacas!$L$1:$L$650,M13))*M14)/2*1)</f>
        <v>24462.4129792</v>
      </c>
      <c r="O98" s="0" t="n">
        <f aca="false">IF($N$6&lt;&gt;"",0,6261859.36*IF($L$98=0,$N$9,$G$98/$L$98))</f>
        <v>6261859.36</v>
      </c>
      <c r="P98" s="65" t="n">
        <f aca="false">O98</f>
        <v>6261859.36</v>
      </c>
      <c r="Q98" s="66" t="n">
        <f aca="false">J98-P98</f>
        <v>-342689.291422982</v>
      </c>
      <c r="R98" s="67" t="s">
        <v>192</v>
      </c>
    </row>
    <row r="99" customFormat="false" ht="15" hidden="false" customHeight="false" outlineLevel="0" collapsed="false">
      <c r="B99" s="40" t="s">
        <v>193</v>
      </c>
      <c r="C99" s="59" t="s">
        <v>194</v>
      </c>
      <c r="D99" s="40" t="s">
        <v>73</v>
      </c>
      <c r="E99" s="31"/>
      <c r="F99" s="31"/>
      <c r="G99" s="60" t="n">
        <f aca="false">IF($N$6&lt;&gt;"",0,(INDEX(Estacas!$X$1:$X$650,N3)+N5*N4*(2*INDEX(Estacas!$O$1:$O$650,N3)+(INDEX(Estacas!$O$1:$O$650,N3+1)-INDEX(Estacas!$O$1:$O$650,N3))*N4)/2*1)-(INDEX(Estacas!$X$1:$X$650,M3)+M5*M4*(2*INDEX(Estacas!$O$1:$O$650,M3)+(INDEX(Estacas!$O$1:$O$650,M3+1)-INDEX(Estacas!$O$1:$O$650,M3))*M4)/2*1))</f>
        <v>150833.1504</v>
      </c>
      <c r="H99" s="61" t="n">
        <f aca="false">IF($N$6&lt;&gt;"",0,$G$99)</f>
        <v>150833.1504</v>
      </c>
      <c r="I99" s="62" t="n">
        <v>0.79</v>
      </c>
      <c r="J99" s="63" t="n">
        <f aca="false">H99*I99</f>
        <v>119158.188816</v>
      </c>
      <c r="K99" s="64" t="n">
        <f aca="false">IF($N$6&lt;&gt;"",0,161756*IF($L$99=0,$N$9,$G$99/$L$99))</f>
        <v>161756</v>
      </c>
      <c r="L99" s="0" t="n">
        <f aca="false">(INDEX(Estacas!$X$1:$X$650,N13)+N15*N14*(2*INDEX(Estacas!$O$1:$O$650,N13)+(INDEX(Estacas!$O$1:$O$650,N13+1)-INDEX(Estacas!$O$1:$O$650,N13))*N14)/2*1)-(INDEX(Estacas!$X$1:$X$650,M13)+M15*M14*(2*INDEX(Estacas!$O$1:$O$650,M13)+(INDEX(Estacas!$O$1:$O$650,M13+1)-INDEX(Estacas!$O$1:$O$650,M13))*M14)/2*1)</f>
        <v>150833.1504</v>
      </c>
      <c r="O99" s="0" t="n">
        <f aca="false">IF($N$6&lt;&gt;"",0,127787.24*IF($L$99=0,$N$9,$G$99/$L$99))</f>
        <v>127787.24</v>
      </c>
      <c r="P99" s="65" t="n">
        <f aca="false">O99</f>
        <v>127787.24</v>
      </c>
      <c r="Q99" s="66" t="n">
        <f aca="false">J99-P99</f>
        <v>-8629.05118400001</v>
      </c>
      <c r="R99" s="67" t="s">
        <v>195</v>
      </c>
    </row>
    <row r="100" customFormat="false" ht="15" hidden="false" customHeight="false" outlineLevel="0" collapsed="false">
      <c r="B100" s="40" t="s">
        <v>196</v>
      </c>
      <c r="C100" s="59" t="s">
        <v>197</v>
      </c>
      <c r="D100" s="40" t="s">
        <v>73</v>
      </c>
      <c r="E100" s="31"/>
      <c r="F100" s="31"/>
      <c r="G100" s="60" t="n">
        <f aca="false">IF($N$6&lt;&gt;"",0,(INDEX(Estacas!$Y$1:$Y$650,N3)+N5*N4*(2*INDEX(Estacas!$O$1:$O$650,N3)+(INDEX(Estacas!$O$1:$O$650,N3+1)-INDEX(Estacas!$O$1:$O$650,N3))*N4)/2*1)-(INDEX(Estacas!$Y$1:$Y$650,M3)+M5*M4*(2*INDEX(Estacas!$O$1:$O$650,M3)+(INDEX(Estacas!$O$1:$O$650,M3+1)-INDEX(Estacas!$O$1:$O$650,M3))*M4)/2*1))</f>
        <v>150833.1504</v>
      </c>
      <c r="H100" s="61" t="n">
        <f aca="false">IF($N$6&lt;&gt;"",0,$G$100)</f>
        <v>150833.1504</v>
      </c>
      <c r="I100" s="62" t="n">
        <v>0.46</v>
      </c>
      <c r="J100" s="63" t="n">
        <f aca="false">H100*I100</f>
        <v>69383.249184</v>
      </c>
      <c r="K100" s="64" t="n">
        <f aca="false">IF($N$6&lt;&gt;"",0,161734*IF($L$100=0,$N$9,$G$100/$L$100))</f>
        <v>161734</v>
      </c>
      <c r="L100" s="0" t="n">
        <f aca="false">(INDEX(Estacas!$Y$1:$Y$650,N13)+N15*N14*(2*INDEX(Estacas!$O$1:$O$650,N13)+(INDEX(Estacas!$O$1:$O$650,N13+1)-INDEX(Estacas!$O$1:$O$650,N13))*N14)/2*1)-(INDEX(Estacas!$Y$1:$Y$650,M13)+M15*M14*(2*INDEX(Estacas!$O$1:$O$650,M13)+(INDEX(Estacas!$O$1:$O$650,M13+1)-INDEX(Estacas!$O$1:$O$650,M13))*M14)/2*1)</f>
        <v>150833.1504</v>
      </c>
      <c r="O100" s="0" t="n">
        <f aca="false">IF($N$6&lt;&gt;"",0,74397.64*IF($L$100=0,$N$9,$G$100/$L$100))</f>
        <v>74397.64</v>
      </c>
      <c r="P100" s="65" t="n">
        <f aca="false">O100</f>
        <v>74397.64</v>
      </c>
      <c r="Q100" s="66" t="n">
        <f aca="false">J100-P100</f>
        <v>-5014.390816</v>
      </c>
      <c r="R100" s="67" t="s">
        <v>195</v>
      </c>
    </row>
    <row r="101" customFormat="false" ht="15" hidden="false" customHeight="false" outlineLevel="0" collapsed="false">
      <c r="B101" s="40"/>
      <c r="C101" s="59" t="s">
        <v>198</v>
      </c>
      <c r="D101" s="40" t="s">
        <v>77</v>
      </c>
      <c r="E101" s="31"/>
      <c r="F101" s="31"/>
      <c r="G101" s="60" t="n">
        <f aca="false">IF($N$6&lt;&gt;"",0,(INDEX(Estacas!$T$1:$T$650,N3)+N5*N4*(2*INDEX(Estacas!$K$1:$K$650,N3)+(INDEX(Estacas!$K$1:$K$650,N3+1)-INDEX(Estacas!$K$1:$K$650,N3))*N4)/2*1)-(INDEX(Estacas!$T$1:$T$650,M3)+M5*M4*(2*INDEX(Estacas!$K$1:$K$650,M3)+(INDEX(Estacas!$K$1:$K$650,M3+1)-INDEX(Estacas!$K$1:$K$650,M3))*M4)/2*1))</f>
        <v>7445.23889250004</v>
      </c>
      <c r="H101" s="31"/>
      <c r="I101" s="31"/>
      <c r="J101" s="31"/>
      <c r="K101" s="31"/>
      <c r="L101" s="0" t="n">
        <f aca="false">(INDEX(Estacas!$T$1:$T$650,N13)+N15*N14*(2*INDEX(Estacas!$K$1:$K$650,N13)+(INDEX(Estacas!$K$1:$K$650,N13+1)-INDEX(Estacas!$K$1:$K$650,N13))*N14)/2*1)-(INDEX(Estacas!$T$1:$T$650,M13)+M15*M14*(2*INDEX(Estacas!$K$1:$K$650,M13)+(INDEX(Estacas!$K$1:$K$650,M13+1)-INDEX(Estacas!$K$1:$K$650,M13))*M14)/2*1)</f>
        <v>7445.23889250004</v>
      </c>
      <c r="P101" s="31"/>
      <c r="Q101" s="31"/>
      <c r="R101" s="67" t="s">
        <v>199</v>
      </c>
    </row>
    <row r="102" customFormat="false" ht="15" hidden="false" customHeight="false" outlineLevel="0" collapsed="false">
      <c r="B102" s="40" t="s">
        <v>200</v>
      </c>
      <c r="C102" s="59" t="s">
        <v>201</v>
      </c>
      <c r="D102" s="40" t="s">
        <v>5</v>
      </c>
      <c r="E102" s="31"/>
      <c r="F102" s="31"/>
      <c r="G102" s="60" t="n">
        <f aca="false">IF($N$6&lt;&gt;"",0,$G$101*$H$9)</f>
        <v>17868.5733420001</v>
      </c>
      <c r="H102" s="61" t="n">
        <f aca="false">IF($N$6&lt;&gt;"",0,$G$102)</f>
        <v>17868.5733420001</v>
      </c>
      <c r="I102" s="62" t="n">
        <v>263.04</v>
      </c>
      <c r="J102" s="63" t="n">
        <f aca="false">H102*I102</f>
        <v>4700149.53187971</v>
      </c>
      <c r="K102" s="64" t="n">
        <f aca="false">IF($N$6&lt;&gt;"",0,18747.81*IF($L$102=0,$N$9,$G$102/$L$102))</f>
        <v>18747.81</v>
      </c>
      <c r="L102" s="0" t="n">
        <f aca="false">$L$101*$H$9</f>
        <v>17868.5733420001</v>
      </c>
      <c r="O102" s="0" t="n">
        <f aca="false">IF($N$6&lt;&gt;"",0,4931423.94*IF($L$102=0,$N$9,$G$102/$L$102))</f>
        <v>4931423.94</v>
      </c>
      <c r="P102" s="65" t="n">
        <f aca="false">O102</f>
        <v>4931423.94</v>
      </c>
      <c r="Q102" s="66" t="n">
        <f aca="false">J102-P102</f>
        <v>-231274.408120293</v>
      </c>
      <c r="R102" s="67" t="s">
        <v>202</v>
      </c>
    </row>
    <row r="103" customFormat="false" ht="15" hidden="false" customHeight="false" outlineLevel="0" collapsed="false">
      <c r="B103" s="40" t="s">
        <v>203</v>
      </c>
      <c r="C103" s="59" t="s">
        <v>204</v>
      </c>
      <c r="D103" s="40" t="s">
        <v>77</v>
      </c>
      <c r="E103" s="31"/>
      <c r="F103" s="31"/>
      <c r="G103" s="60" t="n">
        <f aca="false">IF($N$6&lt;&gt;"",0,SUMPRODUCT('Terraplenagem por estaca'!$O$2:$O$744,((('Terraplenagem por estaca'!$D$2:$D$744&lt;$N$2)*'Terraplenagem por estaca'!$D$2:$D$744+('Terraplenagem por estaca'!$D$2:$D$744&gt;=$N$2)*$N$2)-(('Terraplenagem por estaca'!$C$2:$C$744&gt;$M$2)*'Terraplenagem por estaca'!$C$2:$C$744+('Terraplenagem por estaca'!$C$2:$C$744&lt;=$M$2)*$M$2))*('Terraplenagem por estaca'!$C$2:$C$744&lt;$N$2)*('Terraplenagem por estaca'!$D$2:$D$744&gt;$M$2)/('Terraplenagem por estaca'!$D$2:$D$744-'Terraplenagem por estaca'!$C$2:$C$744))+SUMPRODUCT('Terrapl. – ramos e solo mole'!$I$2:$I$14,((('Terrapl. – ramos e solo mole'!$C$2:$C$14&lt;$N$2)*'Terrapl. – ramos e solo mole'!$C$2:$C$14+('Terrapl. – ramos e solo mole'!$C$2:$C$14&gt;=$N$2)*$N$2)-(('Terrapl. – ramos e solo mole'!$B$2:$B$14&gt;$M$2)*'Terrapl. – ramos e solo mole'!$B$2:$B$14+('Terrapl. – ramos e solo mole'!$B$2:$B$14&lt;=$M$2)*$M$2))*('Terrapl. – ramos e solo mole'!$B$2:$B$14&lt;$N$2)*('Terrapl. – ramos e solo mole'!$C$2:$C$14&gt;$M$2)/('Terrapl. – ramos e solo mole'!$C$2:$C$14-'Terrapl. – ramos e solo mole'!$B$2:$B$14)))</f>
        <v>2514.01</v>
      </c>
      <c r="H103" s="61" t="n">
        <f aca="false">IF($N$6&lt;&gt;"",0,$G$103)</f>
        <v>2514.01</v>
      </c>
      <c r="I103" s="62" t="n">
        <v>44.25</v>
      </c>
      <c r="J103" s="63" t="n">
        <f aca="false">H103*I103</f>
        <v>111244.9425</v>
      </c>
      <c r="K103" s="64" t="n">
        <f aca="false">IF($N$6&lt;&gt;"",0,2514.01*IF($L$103=0,$N$9,$G$103/$L$103))</f>
        <v>2514.01</v>
      </c>
      <c r="L103" s="0" t="n">
        <f aca="false">SUMPRODUCT('Terraplenagem por estaca'!$O$2:$O$744,((('Terraplenagem por estaca'!$D$2:$D$744&lt;$N$12)*'Terraplenagem por estaca'!$D$2:$D$744+('Terraplenagem por estaca'!$D$2:$D$744&gt;=$N$12)*$N$12)-(('Terraplenagem por estaca'!$C$2:$C$744&gt;$M$12)*'Terraplenagem por estaca'!$C$2:$C$744+('Terraplenagem por estaca'!$C$2:$C$744&lt;=$M$12)*$M$12))*('Terraplenagem por estaca'!$C$2:$C$744&lt;$N$12)*('Terraplenagem por estaca'!$D$2:$D$744&gt;$M$12)/('Terraplenagem por estaca'!$D$2:$D$744-'Terraplenagem por estaca'!$C$2:$C$744))+SUMPRODUCT('Terrapl. – ramos e solo mole'!$I$2:$I$14,((('Terrapl. – ramos e solo mole'!$C$2:$C$14&lt;$N$12)*'Terrapl. – ramos e solo mole'!$C$2:$C$14+('Terrapl. – ramos e solo mole'!$C$2:$C$14&gt;=$N$12)*$N$12)-(('Terrapl. – ramos e solo mole'!$B$2:$B$14&gt;$M$12)*'Terrapl. – ramos e solo mole'!$B$2:$B$14+('Terrapl. – ramos e solo mole'!$B$2:$B$14&lt;=$M$12)*$M$12))*('Terrapl. – ramos e solo mole'!$B$2:$B$14&lt;$N$12)*('Terrapl. – ramos e solo mole'!$C$2:$C$14&gt;$M$12)/('Terrapl. – ramos e solo mole'!$C$2:$C$14-'Terrapl. – ramos e solo mole'!$B$2:$B$14))</f>
        <v>2514.01</v>
      </c>
      <c r="O103" s="0" t="n">
        <f aca="false">IF($N$6&lt;&gt;"",0,111244.94*IF($L$103=0,$N$9,$G$103/$L$103))</f>
        <v>111244.94</v>
      </c>
      <c r="P103" s="65" t="n">
        <f aca="false">O103</f>
        <v>111244.94</v>
      </c>
      <c r="Q103" s="66" t="n">
        <f aca="false">J103-P103</f>
        <v>0.00250000000232831</v>
      </c>
      <c r="R103" s="67" t="s">
        <v>205</v>
      </c>
    </row>
    <row r="104" customFormat="false" ht="15" hidden="false" customHeight="false" outlineLevel="0" collapsed="false">
      <c r="B104" s="40" t="s">
        <v>206</v>
      </c>
      <c r="C104" s="59" t="s">
        <v>207</v>
      </c>
      <c r="D104" s="40" t="s">
        <v>77</v>
      </c>
      <c r="E104" s="31"/>
      <c r="F104" s="31"/>
      <c r="G104" s="60" t="n">
        <f aca="false">IF($N$6&lt;&gt;"",0,SUMPRODUCT('Terraplenagem por estaca'!$N$2:$N$744,((('Terraplenagem por estaca'!$D$2:$D$744&lt;$N$2)*'Terraplenagem por estaca'!$D$2:$D$744+('Terraplenagem por estaca'!$D$2:$D$744&gt;=$N$2)*$N$2)-(('Terraplenagem por estaca'!$C$2:$C$744&gt;$M$2)*'Terraplenagem por estaca'!$C$2:$C$744+('Terraplenagem por estaca'!$C$2:$C$744&lt;=$M$2)*$M$2))*('Terraplenagem por estaca'!$C$2:$C$744&lt;$N$2)*('Terraplenagem por estaca'!$D$2:$D$744&gt;$M$2)/('Terraplenagem por estaca'!$D$2:$D$744-'Terraplenagem por estaca'!$C$2:$C$744)))</f>
        <v>3079.10275</v>
      </c>
      <c r="H104" s="61" t="n">
        <f aca="false">IF($N$6&lt;&gt;"",0,$G$104)</f>
        <v>3079.10275</v>
      </c>
      <c r="I104" s="62" t="n">
        <v>26.84</v>
      </c>
      <c r="J104" s="63" t="n">
        <f aca="false">H104*I104</f>
        <v>82643.11781</v>
      </c>
      <c r="K104" s="64" t="n">
        <f aca="false">IF($N$6&lt;&gt;"",0,3079.1*IF($L$104=0,$N$9,$G$104/$L$104))</f>
        <v>3079.1</v>
      </c>
      <c r="L104" s="0" t="n">
        <f aca="false">SUMPRODUCT('Terraplenagem por estaca'!$N$2:$N$744,((('Terraplenagem por estaca'!$D$2:$D$744&lt;$N$12)*'Terraplenagem por estaca'!$D$2:$D$744+('Terraplenagem por estaca'!$D$2:$D$744&gt;=$N$12)*$N$12)-(('Terraplenagem por estaca'!$C$2:$C$744&gt;$M$12)*'Terraplenagem por estaca'!$C$2:$C$744+('Terraplenagem por estaca'!$C$2:$C$744&lt;=$M$12)*$M$12))*('Terraplenagem por estaca'!$C$2:$C$744&lt;$N$12)*('Terraplenagem por estaca'!$D$2:$D$744&gt;$M$12)/('Terraplenagem por estaca'!$D$2:$D$744-'Terraplenagem por estaca'!$C$2:$C$744))</f>
        <v>3079.10275</v>
      </c>
      <c r="O104" s="0" t="n">
        <f aca="false">IF($N$6&lt;&gt;"",0,82643.04*IF($L$104=0,$N$9,$G$104/$L$104))</f>
        <v>82643.04</v>
      </c>
      <c r="P104" s="65" t="n">
        <f aca="false">O104</f>
        <v>82643.04</v>
      </c>
      <c r="Q104" s="66" t="n">
        <f aca="false">J104-P104</f>
        <v>0.0778099999733968</v>
      </c>
      <c r="R104" s="67" t="s">
        <v>208</v>
      </c>
    </row>
    <row r="105" customFormat="false" ht="15" hidden="false" customHeight="false" outlineLevel="0" collapsed="false">
      <c r="B105" s="57"/>
      <c r="C105" s="58" t="s">
        <v>209</v>
      </c>
      <c r="D105" s="57"/>
      <c r="E105" s="57"/>
      <c r="F105" s="57"/>
      <c r="G105" s="57"/>
      <c r="H105" s="57"/>
      <c r="I105" s="57"/>
      <c r="J105" s="57"/>
      <c r="K105" s="57"/>
      <c r="P105" s="57"/>
      <c r="Q105" s="57"/>
      <c r="R105" s="57"/>
    </row>
    <row r="106" customFormat="false" ht="15" hidden="false" customHeight="false" outlineLevel="0" collapsed="false">
      <c r="B106" s="40" t="s">
        <v>210</v>
      </c>
      <c r="C106" s="59" t="s">
        <v>211</v>
      </c>
      <c r="D106" s="40" t="s">
        <v>77</v>
      </c>
      <c r="E106" s="31"/>
      <c r="F106" s="31"/>
      <c r="G106" s="60" t="n">
        <f aca="false">IF($N$6&lt;&gt;"",0,(INDEX(Estacas!$AD$1:$AD$650,N3)+INDEX('Volumes por intervalo'!$S$1:$S$650,N3)*N4)-(INDEX(Estacas!$AD$1:$AD$650,M3)+INDEX('Volumes por intervalo'!$S$1:$S$650,M3)*M4))</f>
        <v>1028.202305</v>
      </c>
      <c r="H106" s="61" t="n">
        <f aca="false">IF($N$6&lt;&gt;"",0,$G$106)</f>
        <v>1028.202305</v>
      </c>
      <c r="I106" s="62" t="n">
        <v>57.28</v>
      </c>
      <c r="J106" s="63" t="n">
        <f aca="false">H106*I106</f>
        <v>58895.4280303998</v>
      </c>
      <c r="K106" s="64" t="n">
        <f aca="false">IF($N$6&lt;&gt;"",0,689*IF($L$106=0,$N$9,$G$106/$L$106))</f>
        <v>689</v>
      </c>
      <c r="L106" s="0" t="n">
        <f aca="false">(INDEX(Estacas!$AD$1:$AD$650,N13)+INDEX('Volumes por intervalo'!$S$1:$S$650,N13)*N14)-(INDEX(Estacas!$AD$1:$AD$650,M13)+INDEX('Volumes por intervalo'!$S$1:$S$650,M13)*M14)</f>
        <v>1028.202305</v>
      </c>
      <c r="O106" s="0" t="n">
        <f aca="false">IF($N$6&lt;&gt;"",0,39465.92*IF($L$106=0,$N$9,$G$106/$L$106))</f>
        <v>39465.92</v>
      </c>
      <c r="P106" s="65" t="n">
        <f aca="false">O106</f>
        <v>39465.92</v>
      </c>
      <c r="Q106" s="66" t="n">
        <f aca="false">J106-P106</f>
        <v>19429.5080303998</v>
      </c>
      <c r="R106" s="67" t="s">
        <v>212</v>
      </c>
    </row>
    <row r="107" customFormat="false" ht="15" hidden="false" customHeight="false" outlineLevel="0" collapsed="false">
      <c r="B107" s="40" t="s">
        <v>213</v>
      </c>
      <c r="C107" s="69" t="s">
        <v>214</v>
      </c>
      <c r="D107" s="40" t="s">
        <v>176</v>
      </c>
      <c r="E107" s="31"/>
      <c r="F107" s="31"/>
      <c r="G107" s="31"/>
      <c r="H107" s="61" t="n">
        <f aca="false">IF($N$6&lt;&gt;"",0,17*IF(($L$106)=0,$N$9,($G$106)/($L$106)))</f>
        <v>17</v>
      </c>
      <c r="I107" s="62" t="n">
        <v>9.59</v>
      </c>
      <c r="J107" s="63" t="n">
        <f aca="false">H107*I107</f>
        <v>163.03</v>
      </c>
      <c r="K107" s="64" t="n">
        <f aca="false">IF($N$6&lt;&gt;"",0,17*IF(($L$106)=0,$N$9,($G$106)/($L$106)))</f>
        <v>17</v>
      </c>
      <c r="O107" s="0" t="n">
        <f aca="false">IF($N$6&lt;&gt;"",0,163.03*IF(($L$106)=0,$N$9,($G$106)/($L$106)))</f>
        <v>163.03</v>
      </c>
      <c r="P107" s="65" t="n">
        <f aca="false">O107</f>
        <v>163.03</v>
      </c>
      <c r="Q107" s="66" t="n">
        <f aca="false">J107-P107</f>
        <v>0</v>
      </c>
      <c r="R107" s="67" t="s">
        <v>215</v>
      </c>
    </row>
    <row r="108" customFormat="false" ht="15" hidden="false" customHeight="false" outlineLevel="0" collapsed="false">
      <c r="B108" s="40" t="s">
        <v>216</v>
      </c>
      <c r="C108" s="69" t="s">
        <v>217</v>
      </c>
      <c r="D108" s="40" t="s">
        <v>77</v>
      </c>
      <c r="E108" s="31"/>
      <c r="F108" s="31"/>
      <c r="G108" s="31"/>
      <c r="H108" s="61" t="n">
        <f aca="false">IF($N$6&lt;&gt;"",0,172.5*IF(($L$106)=0,$N$9,($G$106)/($L$106)))</f>
        <v>172.5</v>
      </c>
      <c r="I108" s="62" t="n">
        <v>341.15</v>
      </c>
      <c r="J108" s="63" t="n">
        <f aca="false">H108*I108</f>
        <v>58848.375</v>
      </c>
      <c r="K108" s="64" t="n">
        <f aca="false">IF($N$6&lt;&gt;"",0,172.5*IF(($L$106)=0,$N$9,($G$106)/($L$106)))</f>
        <v>172.5</v>
      </c>
      <c r="O108" s="0" t="n">
        <f aca="false">IF($N$6&lt;&gt;"",0,58848.37*IF(($L$106)=0,$N$9,($G$106)/($L$106)))</f>
        <v>58848.37</v>
      </c>
      <c r="P108" s="65" t="n">
        <f aca="false">O108</f>
        <v>58848.37</v>
      </c>
      <c r="Q108" s="66" t="n">
        <f aca="false">J108-P108</f>
        <v>0.0049999999901047</v>
      </c>
      <c r="R108" s="67" t="s">
        <v>218</v>
      </c>
    </row>
    <row r="109" customFormat="false" ht="15" hidden="false" customHeight="false" outlineLevel="0" collapsed="false">
      <c r="B109" s="70"/>
      <c r="C109" s="71" t="s">
        <v>219</v>
      </c>
      <c r="D109" s="70"/>
      <c r="E109" s="70"/>
      <c r="F109" s="70"/>
      <c r="G109" s="70"/>
      <c r="H109" s="72" t="str">
        <f aca="false">COUNTIF(J93:J108,"&gt;0")&amp;" de "&amp;COUNT(J93:J108)&amp;" itens"</f>
        <v>11 de 11 itens</v>
      </c>
      <c r="I109" s="70"/>
      <c r="J109" s="73" t="n">
        <f aca="false">SUM(J93:J108)</f>
        <v>26954862.4857247</v>
      </c>
      <c r="K109" s="70"/>
      <c r="O109" s="0" t="n">
        <f aca="false">SUM(O93:O108)</f>
        <v>27855986.38</v>
      </c>
      <c r="P109" s="74" t="n">
        <f aca="false">SUM(P93:P108)</f>
        <v>27855986.38</v>
      </c>
      <c r="Q109" s="75" t="n">
        <f aca="false">J109-P109</f>
        <v>-901123.894275319</v>
      </c>
      <c r="R109" s="70"/>
    </row>
    <row r="111" customFormat="false" ht="21.75" hidden="false" customHeight="true" outlineLevel="0" collapsed="false">
      <c r="B111" s="56" t="s">
        <v>220</v>
      </c>
      <c r="C111" s="5"/>
      <c r="D111" s="5"/>
      <c r="E111" s="5"/>
      <c r="F111" s="5"/>
      <c r="G111" s="5"/>
      <c r="H111" s="5"/>
      <c r="I111" s="5"/>
      <c r="J111" s="5"/>
      <c r="K111" s="5"/>
      <c r="P111" s="5"/>
      <c r="Q111" s="5"/>
      <c r="R111" s="5"/>
    </row>
    <row r="112" customFormat="false" ht="15" hidden="false" customHeight="false" outlineLevel="0" collapsed="false">
      <c r="B112" s="40" t="s">
        <v>221</v>
      </c>
      <c r="C112" s="59" t="s">
        <v>222</v>
      </c>
      <c r="D112" s="40" t="s">
        <v>5</v>
      </c>
      <c r="E112" s="31"/>
      <c r="F112" s="31"/>
      <c r="G112" s="60" t="n">
        <f aca="false">IF($N$6&lt;&gt;"",0,$G$102*$H$6)</f>
        <v>857.691520416005</v>
      </c>
      <c r="H112" s="61" t="n">
        <f aca="false">IF($N$6&lt;&gt;"",0,$G$112)</f>
        <v>857.691520416005</v>
      </c>
      <c r="I112" s="62" t="n">
        <v>5547.75</v>
      </c>
      <c r="J112" s="63" t="n">
        <f aca="false">H112*I112</f>
        <v>4758258.13238789</v>
      </c>
      <c r="K112" s="64" t="n">
        <f aca="false">IF($N$6&lt;&gt;"",0,1068.62*IF($L$112=0,$N$9,$G$112/$L$112))</f>
        <v>1068.62</v>
      </c>
      <c r="L112" s="0" t="n">
        <f aca="false">$L$102*$H$6</f>
        <v>857.691520416005</v>
      </c>
      <c r="O112" s="0" t="n">
        <f aca="false">IF($N$6&lt;&gt;"",0,5928436.6*IF($L$112=0,$N$9,$G$112/$L$112))</f>
        <v>5928436.6</v>
      </c>
      <c r="P112" s="65" t="n">
        <f aca="false">O112</f>
        <v>5928436.6</v>
      </c>
      <c r="Q112" s="66" t="n">
        <f aca="false">J112-P112</f>
        <v>-1170178.46761211</v>
      </c>
      <c r="R112" s="67" t="s">
        <v>223</v>
      </c>
    </row>
    <row r="113" customFormat="false" ht="15" hidden="false" customHeight="false" outlineLevel="0" collapsed="false">
      <c r="B113" s="40" t="s">
        <v>224</v>
      </c>
      <c r="C113" s="59" t="s">
        <v>225</v>
      </c>
      <c r="D113" s="40" t="s">
        <v>5</v>
      </c>
      <c r="E113" s="31"/>
      <c r="F113" s="31"/>
      <c r="G113" s="60" t="n">
        <f aca="false">IF($N$6&lt;&gt;"",0,$G$99*$H$7/1000)</f>
        <v>180.99978048</v>
      </c>
      <c r="H113" s="61" t="n">
        <f aca="false">IF($N$6&lt;&gt;"",0,$G$113)</f>
        <v>180.99978048</v>
      </c>
      <c r="I113" s="62" t="n">
        <v>5716.46</v>
      </c>
      <c r="J113" s="63" t="n">
        <f aca="false">H113*I113</f>
        <v>1034678.0051227</v>
      </c>
      <c r="K113" s="64" t="n">
        <f aca="false">IF($N$6&lt;&gt;"",0,194.1*IF($L$113=0,$N$9,$G$113/$L$113))</f>
        <v>194.1</v>
      </c>
      <c r="L113" s="0" t="n">
        <f aca="false">$L$99*$H$7/1000</f>
        <v>180.99978048</v>
      </c>
      <c r="O113" s="0" t="n">
        <f aca="false">IF($N$6&lt;&gt;"",0,1109564.88*IF($L$113=0,$N$9,$G$113/$L$113))</f>
        <v>1109564.88</v>
      </c>
      <c r="P113" s="65" t="n">
        <f aca="false">O113</f>
        <v>1109564.88</v>
      </c>
      <c r="Q113" s="66" t="n">
        <f aca="false">J113-P113</f>
        <v>-74886.8748772991</v>
      </c>
      <c r="R113" s="67" t="s">
        <v>226</v>
      </c>
    </row>
    <row r="114" customFormat="false" ht="15" hidden="false" customHeight="false" outlineLevel="0" collapsed="false">
      <c r="B114" s="40" t="s">
        <v>227</v>
      </c>
      <c r="C114" s="59" t="s">
        <v>228</v>
      </c>
      <c r="D114" s="40" t="s">
        <v>5</v>
      </c>
      <c r="E114" s="31"/>
      <c r="F114" s="31"/>
      <c r="G114" s="60" t="n">
        <f aca="false">IF($N$6&lt;&gt;"",0,$G$100*$H$8/1000)</f>
        <v>75.4165752</v>
      </c>
      <c r="H114" s="61" t="n">
        <f aca="false">IF($N$6&lt;&gt;"",0,$G$114)</f>
        <v>75.4165752</v>
      </c>
      <c r="I114" s="62" t="n">
        <v>4476.94</v>
      </c>
      <c r="J114" s="63" t="n">
        <f aca="false">H114*I114</f>
        <v>337635.482175888</v>
      </c>
      <c r="K114" s="64" t="n">
        <f aca="false">IF($N$6&lt;&gt;"",0,80.86*IF($L$114=0,$N$9,$G$114/$L$114))</f>
        <v>80.86</v>
      </c>
      <c r="L114" s="0" t="n">
        <f aca="false">$L$100*$H$8/1000</f>
        <v>75.4165752</v>
      </c>
      <c r="O114" s="0" t="n">
        <f aca="false">IF($N$6&lt;&gt;"",0,362005.36*IF($L$114=0,$N$9,$G$114/$L$114))</f>
        <v>362005.36</v>
      </c>
      <c r="P114" s="65" t="n">
        <f aca="false">O114</f>
        <v>362005.36</v>
      </c>
      <c r="Q114" s="66" t="n">
        <f aca="false">J114-P114</f>
        <v>-24369.877824112</v>
      </c>
      <c r="R114" s="67" t="s">
        <v>226</v>
      </c>
    </row>
    <row r="115" customFormat="false" ht="15" hidden="false" customHeight="false" outlineLevel="0" collapsed="false">
      <c r="B115" s="70"/>
      <c r="C115" s="71" t="s">
        <v>229</v>
      </c>
      <c r="D115" s="70"/>
      <c r="E115" s="70"/>
      <c r="F115" s="70"/>
      <c r="G115" s="70"/>
      <c r="H115" s="72" t="str">
        <f aca="false">COUNTIF(J112:J114,"&gt;0")&amp;" de "&amp;COUNT(J112:J114)&amp;" itens"</f>
        <v>3 de 3 itens</v>
      </c>
      <c r="I115" s="70"/>
      <c r="J115" s="73" t="n">
        <f aca="false">SUM(J112:J114)</f>
        <v>6130571.61968648</v>
      </c>
      <c r="K115" s="70"/>
      <c r="O115" s="0" t="n">
        <f aca="false">SUM(O112:O114)</f>
        <v>7400006.84</v>
      </c>
      <c r="P115" s="74" t="n">
        <f aca="false">SUM(P112:P114)</f>
        <v>7400006.84</v>
      </c>
      <c r="Q115" s="75" t="n">
        <f aca="false">J115-P115</f>
        <v>-1269435.22031352</v>
      </c>
      <c r="R115" s="70"/>
    </row>
    <row r="117" customFormat="false" ht="21.75" hidden="false" customHeight="true" outlineLevel="0" collapsed="false">
      <c r="B117" s="56" t="s">
        <v>230</v>
      </c>
      <c r="C117" s="5"/>
      <c r="D117" s="5"/>
      <c r="E117" s="5"/>
      <c r="F117" s="5"/>
      <c r="G117" s="5"/>
      <c r="H117" s="5"/>
      <c r="I117" s="5"/>
      <c r="J117" s="5"/>
      <c r="K117" s="5"/>
      <c r="P117" s="5"/>
      <c r="Q117" s="5"/>
      <c r="R117" s="5"/>
    </row>
    <row r="118" customFormat="false" ht="15" hidden="false" customHeight="false" outlineLevel="0" collapsed="false">
      <c r="B118" s="57"/>
      <c r="C118" s="58" t="s">
        <v>231</v>
      </c>
      <c r="D118" s="57"/>
      <c r="E118" s="57"/>
      <c r="F118" s="57"/>
      <c r="G118" s="57"/>
      <c r="H118" s="57"/>
      <c r="I118" s="57"/>
      <c r="J118" s="57"/>
      <c r="K118" s="57"/>
      <c r="P118" s="57"/>
      <c r="Q118" s="57"/>
      <c r="R118" s="57"/>
    </row>
    <row r="119" customFormat="false" ht="15" hidden="false" customHeight="false" outlineLevel="0" collapsed="false">
      <c r="B119" s="40" t="s">
        <v>232</v>
      </c>
      <c r="C119" s="59" t="s">
        <v>233</v>
      </c>
      <c r="D119" s="40" t="s">
        <v>176</v>
      </c>
      <c r="E119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linear'!$E$2:$E$518="STC 01")*('Drenagem linear'!$G$2:$G$518="LE")))</f>
        <v>5950</v>
      </c>
      <c r="F119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linear'!$E$2:$E$518="STC 01")*('Drenagem linear'!$G$2:$G$518="LD")))</f>
        <v>5829</v>
      </c>
      <c r="G119" s="60" t="n">
        <f aca="false">E119+F119</f>
        <v>11779</v>
      </c>
      <c r="H119" s="61" t="n">
        <f aca="false">IF($N$6&lt;&gt;"",0,$G$119)</f>
        <v>11779</v>
      </c>
      <c r="I119" s="62" t="n">
        <v>176.99</v>
      </c>
      <c r="J119" s="63" t="n">
        <f aca="false">H119*I119</f>
        <v>2084765.21</v>
      </c>
      <c r="K119" s="64" t="n">
        <f aca="false">IF($N$6&lt;&gt;"",0,11825*IF($L$119=0,$N$9,$G$119/$L$119))</f>
        <v>11825</v>
      </c>
      <c r="L119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linear'!$E$2:$E$518="STC 01")*('Drenagem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linear'!$E$2:$E$518="STC 01")*('Drenagem linear'!$G$2:$G$518="LD"))</f>
        <v>11779</v>
      </c>
      <c r="O119" s="0" t="n">
        <f aca="false">IF($N$6&lt;&gt;"",0,2092906.75*IF($L$119=0,$N$9,$G$119/$L$119))</f>
        <v>2092906.75</v>
      </c>
      <c r="P119" s="65" t="n">
        <f aca="false">O119</f>
        <v>2092906.75</v>
      </c>
      <c r="Q119" s="66" t="n">
        <f aca="false">J119-P119</f>
        <v>-8141.5399999998</v>
      </c>
      <c r="R119" s="67" t="s">
        <v>234</v>
      </c>
    </row>
    <row r="120" customFormat="false" ht="15" hidden="false" customHeight="false" outlineLevel="0" collapsed="false">
      <c r="B120" s="40"/>
      <c r="C120" s="59" t="s">
        <v>235</v>
      </c>
      <c r="D120" s="40" t="s">
        <v>176</v>
      </c>
      <c r="E120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linear'!$E$2:$E$518="STC 05")*('Drenagem linear'!$G$2:$G$518="LE")))</f>
        <v>963</v>
      </c>
      <c r="F120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linear'!$E$2:$E$518="STC 05")*('Drenagem linear'!$G$2:$G$518="LD")))</f>
        <v>965</v>
      </c>
      <c r="G120" s="60" t="n">
        <f aca="false">E120+F120</f>
        <v>1928</v>
      </c>
      <c r="H120" s="31"/>
      <c r="I120" s="31"/>
      <c r="J120" s="31"/>
      <c r="K120" s="31"/>
      <c r="L120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linear'!$E$2:$E$518="STC 05")*('Drenagem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linear'!$E$2:$E$518="STC 05")*('Drenagem linear'!$G$2:$G$518="LD"))</f>
        <v>1928</v>
      </c>
      <c r="P120" s="31"/>
      <c r="Q120" s="31"/>
      <c r="R120" s="67" t="s">
        <v>236</v>
      </c>
    </row>
    <row r="121" customFormat="false" ht="15" hidden="false" customHeight="false" outlineLevel="0" collapsed="false">
      <c r="B121" s="40"/>
      <c r="C121" s="59" t="s">
        <v>237</v>
      </c>
      <c r="D121" s="40" t="s">
        <v>176</v>
      </c>
      <c r="E121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linear'!$E$2:$E$518="STC 11")*('Drenagem linear'!$G$2:$G$518="LE")))</f>
        <v>446</v>
      </c>
      <c r="F121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linear'!$E$2:$E$518="STC 11")*('Drenagem linear'!$G$2:$G$518="LD")))</f>
        <v>827</v>
      </c>
      <c r="G121" s="60" t="n">
        <f aca="false">E121+F121</f>
        <v>1273</v>
      </c>
      <c r="H121" s="31"/>
      <c r="I121" s="31"/>
      <c r="J121" s="31"/>
      <c r="K121" s="31"/>
      <c r="L121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linear'!$E$2:$E$518="STC 11")*('Drenagem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linear'!$E$2:$E$518="STC 11")*('Drenagem linear'!$G$2:$G$518="LD"))</f>
        <v>1273</v>
      </c>
      <c r="P121" s="31"/>
      <c r="Q121" s="31"/>
      <c r="R121" s="67" t="s">
        <v>236</v>
      </c>
    </row>
    <row r="122" customFormat="false" ht="15" hidden="false" customHeight="false" outlineLevel="0" collapsed="false">
      <c r="B122" s="40"/>
      <c r="C122" s="59" t="s">
        <v>238</v>
      </c>
      <c r="D122" s="40" t="s">
        <v>176</v>
      </c>
      <c r="E122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linear'!$E$2:$E$518="STB 01")*('Drenagem linear'!$G$2:$G$518="LE")))</f>
        <v>1105</v>
      </c>
      <c r="F122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linear'!$E$2:$E$518="STB 01")*('Drenagem linear'!$G$2:$G$518="LD")))</f>
        <v>554</v>
      </c>
      <c r="G122" s="60" t="n">
        <f aca="false">E122+F122</f>
        <v>1659</v>
      </c>
      <c r="H122" s="31"/>
      <c r="I122" s="31"/>
      <c r="J122" s="31"/>
      <c r="K122" s="31"/>
      <c r="L122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linear'!$E$2:$E$518="STB 01")*('Drenagem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linear'!$E$2:$E$518="STB 01")*('Drenagem linear'!$G$2:$G$518="LD"))</f>
        <v>1659</v>
      </c>
      <c r="P122" s="31"/>
      <c r="Q122" s="31"/>
      <c r="R122" s="67" t="s">
        <v>239</v>
      </c>
    </row>
    <row r="123" customFormat="false" ht="15" hidden="false" customHeight="false" outlineLevel="0" collapsed="false">
      <c r="B123" s="40"/>
      <c r="C123" s="59" t="s">
        <v>240</v>
      </c>
      <c r="D123" s="40" t="s">
        <v>176</v>
      </c>
      <c r="E123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linear'!$E$2:$E$518="SZC 03")*('Drenagem linear'!$G$2:$G$518="LE")))</f>
        <v>71</v>
      </c>
      <c r="F123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linear'!$E$2:$E$518="SZC 03")*('Drenagem linear'!$G$2:$G$518="LD")))</f>
        <v>37</v>
      </c>
      <c r="G123" s="60" t="n">
        <f aca="false">E123+F123</f>
        <v>108</v>
      </c>
      <c r="H123" s="31"/>
      <c r="I123" s="31"/>
      <c r="J123" s="31"/>
      <c r="K123" s="31"/>
      <c r="L123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linear'!$E$2:$E$518="SZC 03")*('Drenagem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linear'!$E$2:$E$518="SZC 03")*('Drenagem linear'!$G$2:$G$518="LD"))</f>
        <v>108</v>
      </c>
      <c r="P123" s="31"/>
      <c r="Q123" s="31"/>
      <c r="R123" s="67" t="s">
        <v>239</v>
      </c>
    </row>
    <row r="124" customFormat="false" ht="15" hidden="false" customHeight="false" outlineLevel="0" collapsed="false">
      <c r="B124" s="40" t="s">
        <v>241</v>
      </c>
      <c r="C124" s="59" t="s">
        <v>242</v>
      </c>
      <c r="D124" s="40" t="s">
        <v>176</v>
      </c>
      <c r="E124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linear'!$E$2:$E$518="SZC 04")*('Drenagem linear'!$G$2:$G$518="LE")))</f>
        <v>0</v>
      </c>
      <c r="F124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linear'!$E$2:$E$518="SZC 04")*('Drenagem linear'!$G$2:$G$518="LD")))</f>
        <v>122</v>
      </c>
      <c r="G124" s="60" t="n">
        <f aca="false">E124+F124</f>
        <v>122</v>
      </c>
      <c r="H124" s="61" t="n">
        <f aca="false">IF($N$6&lt;&gt;"",0,$G$124)</f>
        <v>122</v>
      </c>
      <c r="I124" s="62" t="n">
        <v>89.82</v>
      </c>
      <c r="J124" s="63" t="n">
        <f aca="false">H124*I124</f>
        <v>10958.04</v>
      </c>
      <c r="K124" s="64" t="n">
        <f aca="false">IF($N$6&lt;&gt;"",0,74*IF($L$124=0,$N$9,$G$124/$L$124))</f>
        <v>74</v>
      </c>
      <c r="L124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linear'!$E$2:$E$518="SZC 04")*('Drenagem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linear'!$E$2:$E$518="SZC 04")*('Drenagem linear'!$G$2:$G$518="LD"))</f>
        <v>122</v>
      </c>
      <c r="O124" s="0" t="n">
        <f aca="false">IF($N$6&lt;&gt;"",0,6646.68*IF($L$124=0,$N$9,$G$124/$L$124))</f>
        <v>6646.68</v>
      </c>
      <c r="P124" s="65" t="n">
        <f aca="false">O124</f>
        <v>6646.68</v>
      </c>
      <c r="Q124" s="66" t="n">
        <f aca="false">J124-P124</f>
        <v>4311.36</v>
      </c>
      <c r="R124" s="67" t="s">
        <v>234</v>
      </c>
    </row>
    <row r="125" customFormat="false" ht="15" hidden="false" customHeight="false" outlineLevel="0" collapsed="false">
      <c r="B125" s="40" t="s">
        <v>243</v>
      </c>
      <c r="C125" s="59" t="s">
        <v>244</v>
      </c>
      <c r="D125" s="40" t="s">
        <v>176</v>
      </c>
      <c r="E125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linear'!$E$2:$E$518="MFC 02")*('Drenagem linear'!$G$2:$G$518="LE")))</f>
        <v>851</v>
      </c>
      <c r="F125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linear'!$E$2:$E$518="MFC 02")*('Drenagem linear'!$G$2:$G$518="LD")))</f>
        <v>900.5</v>
      </c>
      <c r="G125" s="60" t="n">
        <f aca="false">E125+F125</f>
        <v>1751.5</v>
      </c>
      <c r="H125" s="61" t="n">
        <f aca="false">IF($N$6&lt;&gt;"",0,$G$125)</f>
        <v>1751.5</v>
      </c>
      <c r="I125" s="62" t="n">
        <v>44.4</v>
      </c>
      <c r="J125" s="63" t="n">
        <f aca="false">H125*I125</f>
        <v>77766.6</v>
      </c>
      <c r="K125" s="64" t="n">
        <f aca="false">IF($N$6&lt;&gt;"",0,1860.5*IF($L$125=0,$N$9,$G$125/$L$125))</f>
        <v>1860.5</v>
      </c>
      <c r="L125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linear'!$E$2:$E$518="MFC 02")*('Drenagem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linear'!$E$2:$E$518="MFC 02")*('Drenagem linear'!$G$2:$G$518="LD"))</f>
        <v>1751.5</v>
      </c>
      <c r="O125" s="0" t="n">
        <f aca="false">IF($N$6&lt;&gt;"",0,82606.2*IF($L$125=0,$N$9,$G$125/$L$125))</f>
        <v>82606.2</v>
      </c>
      <c r="P125" s="65" t="n">
        <f aca="false">O125</f>
        <v>82606.2</v>
      </c>
      <c r="Q125" s="66" t="n">
        <f aca="false">J125-P125</f>
        <v>-4839.60000000001</v>
      </c>
      <c r="R125" s="67" t="s">
        <v>234</v>
      </c>
    </row>
    <row r="126" customFormat="false" ht="15" hidden="false" customHeight="false" outlineLevel="0" collapsed="false">
      <c r="B126" s="40" t="s">
        <v>245</v>
      </c>
      <c r="C126" s="59" t="s">
        <v>246</v>
      </c>
      <c r="D126" s="40" t="s">
        <v>176</v>
      </c>
      <c r="E126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linear'!$E$2:$E$518="MFC 07")*('Drenagem linear'!$G$2:$G$518="LE")))</f>
        <v>67</v>
      </c>
      <c r="F126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linear'!$E$2:$E$518="MFC 07")*('Drenagem linear'!$G$2:$G$518="LD")))</f>
        <v>63</v>
      </c>
      <c r="G126" s="60" t="n">
        <f aca="false">E126+F126</f>
        <v>130</v>
      </c>
      <c r="H126" s="61" t="n">
        <f aca="false">IF($N$6&lt;&gt;"",0,$G$126)</f>
        <v>130</v>
      </c>
      <c r="I126" s="62" t="n">
        <v>35.68</v>
      </c>
      <c r="J126" s="63" t="n">
        <f aca="false">H126*I126</f>
        <v>4638.4</v>
      </c>
      <c r="K126" s="64" t="n">
        <f aca="false">IF($N$6&lt;&gt;"",0,130*IF($L$126=0,$N$9,$G$126/$L$126))</f>
        <v>130</v>
      </c>
      <c r="L126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linear'!$E$2:$E$518="MFC 07")*('Drenagem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linear'!$E$2:$E$518="MFC 07")*('Drenagem linear'!$G$2:$G$518="LD"))</f>
        <v>130</v>
      </c>
      <c r="O126" s="0" t="n">
        <f aca="false">IF($N$6&lt;&gt;"",0,4638.4*IF($L$126=0,$N$9,$G$126/$L$126))</f>
        <v>4638.4</v>
      </c>
      <c r="P126" s="65" t="n">
        <f aca="false">O126</f>
        <v>4638.4</v>
      </c>
      <c r="Q126" s="66" t="n">
        <f aca="false">J126-P126</f>
        <v>0</v>
      </c>
      <c r="R126" s="67" t="s">
        <v>234</v>
      </c>
    </row>
    <row r="127" customFormat="false" ht="15" hidden="false" customHeight="false" outlineLevel="0" collapsed="false">
      <c r="B127" s="40" t="s">
        <v>247</v>
      </c>
      <c r="C127" s="59" t="s">
        <v>248</v>
      </c>
      <c r="D127" s="40" t="s">
        <v>176</v>
      </c>
      <c r="E127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linear'!$E$2:$E$518="VPC 5A")*('Drenagem linear'!$G$2:$G$518="LE")))</f>
        <v>292</v>
      </c>
      <c r="F127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linear'!$E$2:$E$518="VPC 5A")*('Drenagem linear'!$G$2:$G$518="LD")))</f>
        <v>74</v>
      </c>
      <c r="G127" s="60" t="n">
        <f aca="false">E127+F127</f>
        <v>366</v>
      </c>
      <c r="H127" s="61" t="n">
        <f aca="false">IF($N$6&lt;&gt;"",0,$G$127)</f>
        <v>366</v>
      </c>
      <c r="I127" s="62" t="n">
        <v>228.74</v>
      </c>
      <c r="J127" s="63" t="n">
        <f aca="false">H127*I127</f>
        <v>83718.84</v>
      </c>
      <c r="K127" s="64" t="n">
        <f aca="false">IF($N$6&lt;&gt;"",0,366*IF($L$127=0,$N$9,$G$127/$L$127))</f>
        <v>366</v>
      </c>
      <c r="L127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linear'!$E$2:$E$518="VPC 5A")*('Drenagem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linear'!$E$2:$E$518="VPC 5A")*('Drenagem linear'!$G$2:$G$518="LD"))</f>
        <v>366</v>
      </c>
      <c r="O127" s="0" t="n">
        <f aca="false">IF($N$6&lt;&gt;"",0,83718.84*IF($L$127=0,$N$9,$G$127/$L$127))</f>
        <v>83718.84</v>
      </c>
      <c r="P127" s="65" t="n">
        <f aca="false">O127</f>
        <v>83718.84</v>
      </c>
      <c r="Q127" s="66" t="n">
        <f aca="false">J127-P127</f>
        <v>0</v>
      </c>
      <c r="R127" s="67" t="s">
        <v>234</v>
      </c>
    </row>
    <row r="128" customFormat="false" ht="15" hidden="false" customHeight="false" outlineLevel="0" collapsed="false">
      <c r="B128" s="40" t="s">
        <v>249</v>
      </c>
      <c r="C128" s="59" t="s">
        <v>250</v>
      </c>
      <c r="D128" s="40" t="s">
        <v>176</v>
      </c>
      <c r="E128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linear'!$E$2:$E$518="VPC 6A")*('Drenagem linear'!$G$2:$G$518="LE")))</f>
        <v>216</v>
      </c>
      <c r="F128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linear'!$E$2:$E$518="VPC 6A")*('Drenagem linear'!$G$2:$G$518="LD")))</f>
        <v>0</v>
      </c>
      <c r="G128" s="60" t="n">
        <f aca="false">E128+F128</f>
        <v>216</v>
      </c>
      <c r="H128" s="61" t="n">
        <f aca="false">IF($N$6&lt;&gt;"",0,$G$128)</f>
        <v>216</v>
      </c>
      <c r="I128" s="62" t="n">
        <v>311.55</v>
      </c>
      <c r="J128" s="63" t="n">
        <f aca="false">H128*I128</f>
        <v>67294.8</v>
      </c>
      <c r="K128" s="64" t="n">
        <f aca="false">IF($N$6&lt;&gt;"",0,216*IF($L$128=0,$N$9,$G$128/$L$128))</f>
        <v>216</v>
      </c>
      <c r="L128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linear'!$E$2:$E$518="VPC 6A")*('Drenagem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linear'!$E$2:$E$518="VPC 6A")*('Drenagem linear'!$G$2:$G$518="LD"))</f>
        <v>216</v>
      </c>
      <c r="O128" s="0" t="n">
        <f aca="false">IF($N$6&lt;&gt;"",0,67294.8*IF($L$128=0,$N$9,$G$128/$L$128))</f>
        <v>67294.8</v>
      </c>
      <c r="P128" s="65" t="n">
        <f aca="false">O128</f>
        <v>67294.8</v>
      </c>
      <c r="Q128" s="66" t="n">
        <f aca="false">J128-P128</f>
        <v>0</v>
      </c>
      <c r="R128" s="67" t="s">
        <v>234</v>
      </c>
    </row>
    <row r="129" customFormat="false" ht="15" hidden="false" customHeight="false" outlineLevel="0" collapsed="false">
      <c r="B129" s="40" t="s">
        <v>251</v>
      </c>
      <c r="C129" s="59" t="s">
        <v>252</v>
      </c>
      <c r="D129" s="40" t="s">
        <v>176</v>
      </c>
      <c r="E129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linear'!$E$2:$E$518="VPC 7A")*('Drenagem linear'!$G$2:$G$518="LE")))</f>
        <v>1670</v>
      </c>
      <c r="F129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linear'!$E$2:$E$518="VPC 7A")*('Drenagem linear'!$G$2:$G$518="LD")))</f>
        <v>3257</v>
      </c>
      <c r="G129" s="60" t="n">
        <f aca="false">E129+F129</f>
        <v>4927</v>
      </c>
      <c r="H129" s="61" t="n">
        <f aca="false">IF($N$6&lt;&gt;"",0,$G$129)</f>
        <v>4927</v>
      </c>
      <c r="I129" s="62" t="n">
        <v>185.04</v>
      </c>
      <c r="J129" s="63" t="n">
        <f aca="false">H129*I129</f>
        <v>911692.08</v>
      </c>
      <c r="K129" s="64" t="n">
        <f aca="false">IF($N$6&lt;&gt;"",0,4927*IF($L$129=0,$N$9,$G$129/$L$129))</f>
        <v>4927</v>
      </c>
      <c r="L129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linear'!$E$2:$E$518="VPC 7A")*('Drenagem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linear'!$E$2:$E$518="VPC 7A")*('Drenagem linear'!$G$2:$G$518="LD"))</f>
        <v>4927</v>
      </c>
      <c r="O129" s="0" t="n">
        <f aca="false">IF($N$6&lt;&gt;"",0,911692.08*IF($L$129=0,$N$9,$G$129/$L$129))</f>
        <v>911692.08</v>
      </c>
      <c r="P129" s="65" t="n">
        <f aca="false">O129</f>
        <v>911692.08</v>
      </c>
      <c r="Q129" s="66" t="n">
        <f aca="false">J129-P129</f>
        <v>0</v>
      </c>
      <c r="R129" s="67" t="s">
        <v>234</v>
      </c>
    </row>
    <row r="130" customFormat="false" ht="15" hidden="false" customHeight="false" outlineLevel="0" collapsed="false">
      <c r="B130" s="40" t="s">
        <v>253</v>
      </c>
      <c r="C130" s="59" t="s">
        <v>254</v>
      </c>
      <c r="D130" s="40" t="s">
        <v>176</v>
      </c>
      <c r="E130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linear'!$E$2:$E$518="VPA 5A")*('Drenagem linear'!$G$2:$G$518="LE")))</f>
        <v>107</v>
      </c>
      <c r="F130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linear'!$E$2:$E$518="VPA 5A")*('Drenagem linear'!$G$2:$G$518="LD")))</f>
        <v>316</v>
      </c>
      <c r="G130" s="60" t="n">
        <f aca="false">E130+F130</f>
        <v>423</v>
      </c>
      <c r="H130" s="61" t="n">
        <f aca="false">IF($N$6&lt;&gt;"",0,$G$130)</f>
        <v>423</v>
      </c>
      <c r="I130" s="62" t="n">
        <v>191</v>
      </c>
      <c r="J130" s="63" t="n">
        <f aca="false">H130*I130</f>
        <v>80793</v>
      </c>
      <c r="K130" s="64" t="n">
        <f aca="false">IF($N$6&lt;&gt;"",0,403*IF($L$130=0,$N$9,$G$130/$L$130))</f>
        <v>403</v>
      </c>
      <c r="L130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linear'!$E$2:$E$518="VPA 5A")*('Drenagem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linear'!$E$2:$E$518="VPA 5A")*('Drenagem linear'!$G$2:$G$518="LD"))</f>
        <v>423</v>
      </c>
      <c r="O130" s="0" t="n">
        <f aca="false">IF($N$6&lt;&gt;"",0,76973*IF($L$130=0,$N$9,$G$130/$L$130))</f>
        <v>76973</v>
      </c>
      <c r="P130" s="65" t="n">
        <f aca="false">O130</f>
        <v>76973</v>
      </c>
      <c r="Q130" s="66" t="n">
        <f aca="false">J130-P130</f>
        <v>3820</v>
      </c>
      <c r="R130" s="67" t="s">
        <v>234</v>
      </c>
    </row>
    <row r="131" customFormat="false" ht="15" hidden="false" customHeight="false" outlineLevel="0" collapsed="false">
      <c r="B131" s="40" t="s">
        <v>255</v>
      </c>
      <c r="C131" s="59" t="s">
        <v>256</v>
      </c>
      <c r="D131" s="40" t="s">
        <v>176</v>
      </c>
      <c r="E131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linear'!$E$2:$E$518="VPA 6A")*('Drenagem linear'!$G$2:$G$518="LE")))</f>
        <v>359</v>
      </c>
      <c r="F131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linear'!$E$2:$E$518="VPA 6A")*('Drenagem linear'!$G$2:$G$518="LD")))</f>
        <v>351</v>
      </c>
      <c r="G131" s="60" t="n">
        <f aca="false">E131+F131</f>
        <v>710</v>
      </c>
      <c r="H131" s="61" t="n">
        <f aca="false">IF($N$6&lt;&gt;"",0,$G$131)</f>
        <v>710</v>
      </c>
      <c r="I131" s="62" t="n">
        <v>254</v>
      </c>
      <c r="J131" s="63" t="n">
        <f aca="false">H131*I131</f>
        <v>180340</v>
      </c>
      <c r="K131" s="64" t="n">
        <f aca="false">IF($N$6&lt;&gt;"",0,703*IF($L$131=0,$N$9,$G$131/$L$131))</f>
        <v>703</v>
      </c>
      <c r="L131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linear'!$E$2:$E$518="VPA 6A")*('Drenagem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linear'!$E$2:$E$518="VPA 6A")*('Drenagem linear'!$G$2:$G$518="LD"))</f>
        <v>710</v>
      </c>
      <c r="O131" s="0" t="n">
        <f aca="false">IF($N$6&lt;&gt;"",0,178562*IF($L$131=0,$N$9,$G$131/$L$131))</f>
        <v>178562</v>
      </c>
      <c r="P131" s="65" t="n">
        <f aca="false">O131</f>
        <v>178562</v>
      </c>
      <c r="Q131" s="66" t="n">
        <f aca="false">J131-P131</f>
        <v>1778</v>
      </c>
      <c r="R131" s="67" t="s">
        <v>234</v>
      </c>
    </row>
    <row r="132" customFormat="false" ht="15" hidden="false" customHeight="false" outlineLevel="0" collapsed="false">
      <c r="B132" s="40" t="s">
        <v>257</v>
      </c>
      <c r="C132" s="59" t="s">
        <v>258</v>
      </c>
      <c r="D132" s="40" t="s">
        <v>176</v>
      </c>
      <c r="E132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linear'!$E$2:$E$518="VPA 7A")*('Drenagem linear'!$G$2:$G$518="LE")))</f>
        <v>1631</v>
      </c>
      <c r="F132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linear'!$E$2:$E$518="VPA 7A")*('Drenagem linear'!$G$2:$G$518="LD")))</f>
        <v>1749</v>
      </c>
      <c r="G132" s="60" t="n">
        <f aca="false">E132+F132</f>
        <v>3380</v>
      </c>
      <c r="H132" s="61" t="n">
        <f aca="false">IF($N$6&lt;&gt;"",0,$G$132)</f>
        <v>3380</v>
      </c>
      <c r="I132" s="62" t="n">
        <v>151.59</v>
      </c>
      <c r="J132" s="63" t="n">
        <f aca="false">H132*I132</f>
        <v>512374.2</v>
      </c>
      <c r="K132" s="64" t="n">
        <f aca="false">IF($N$6&lt;&gt;"",0,3385*IF($L$132=0,$N$9,$G$132/$L$132))</f>
        <v>3385</v>
      </c>
      <c r="L132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linear'!$E$2:$E$518="VPA 7A")*('Drenagem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linear'!$E$2:$E$518="VPA 7A")*('Drenagem linear'!$G$2:$G$518="LD"))</f>
        <v>3380</v>
      </c>
      <c r="O132" s="0" t="n">
        <f aca="false">IF($N$6&lt;&gt;"",0,513132.15*IF($L$132=0,$N$9,$G$132/$L$132))</f>
        <v>513132.15</v>
      </c>
      <c r="P132" s="65" t="n">
        <f aca="false">O132</f>
        <v>513132.15</v>
      </c>
      <c r="Q132" s="66" t="n">
        <f aca="false">J132-P132</f>
        <v>-757.950000000012</v>
      </c>
      <c r="R132" s="67" t="s">
        <v>234</v>
      </c>
    </row>
    <row r="133" customFormat="false" ht="15" hidden="false" customHeight="false" outlineLevel="0" collapsed="false">
      <c r="B133" s="40" t="s">
        <v>259</v>
      </c>
      <c r="C133" s="59" t="s">
        <v>260</v>
      </c>
      <c r="D133" s="40" t="s">
        <v>176</v>
      </c>
      <c r="E133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linear'!$E$2:$E$518="TSS 01")*('Drenagem linear'!$G$2:$G$518="LE")))</f>
        <v>214</v>
      </c>
      <c r="F133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linear'!$E$2:$E$518="TSS 01")*('Drenagem linear'!$G$2:$G$518="LD")))</f>
        <v>212</v>
      </c>
      <c r="G133" s="60" t="n">
        <f aca="false">E133+F133</f>
        <v>426</v>
      </c>
      <c r="H133" s="61" t="n">
        <f aca="false">IF($N$6&lt;&gt;"",0,$G$133)</f>
        <v>426</v>
      </c>
      <c r="I133" s="62" t="n">
        <v>726.9</v>
      </c>
      <c r="J133" s="63" t="n">
        <f aca="false">H133*I133</f>
        <v>309659.4</v>
      </c>
      <c r="K133" s="64" t="n">
        <f aca="false">IF($N$6&lt;&gt;"",0,381*IF($L$133=0,$N$9,$G$133/$L$133))</f>
        <v>381</v>
      </c>
      <c r="L133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linear'!$E$2:$E$518="TSS 01")*('Drenagem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linear'!$E$2:$E$518="TSS 01")*('Drenagem linear'!$G$2:$G$518="LD"))</f>
        <v>426</v>
      </c>
      <c r="O133" s="0" t="n">
        <f aca="false">IF($N$6&lt;&gt;"",0,276948.9*IF($L$133=0,$N$9,$G$133/$L$133))</f>
        <v>276948.9</v>
      </c>
      <c r="P133" s="65" t="n">
        <f aca="false">O133</f>
        <v>276948.9</v>
      </c>
      <c r="Q133" s="66" t="n">
        <f aca="false">J133-P133</f>
        <v>32710.4999999999</v>
      </c>
      <c r="R133" s="67" t="s">
        <v>234</v>
      </c>
    </row>
    <row r="134" customFormat="false" ht="15" hidden="false" customHeight="false" outlineLevel="0" collapsed="false">
      <c r="B134" s="40" t="s">
        <v>261</v>
      </c>
      <c r="C134" s="59" t="s">
        <v>262</v>
      </c>
      <c r="D134" s="40" t="s">
        <v>176</v>
      </c>
      <c r="E134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linear'!$E$2:$E$518="DPS 6A")*('Drenagem linear'!$G$2:$G$518="LE")))</f>
        <v>5416.83</v>
      </c>
      <c r="F134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linear'!$E$2:$E$518="DPS 6A")*('Drenagem linear'!$G$2:$G$518="LD")))</f>
        <v>4950.01</v>
      </c>
      <c r="G134" s="60" t="n">
        <f aca="false">E134+F134</f>
        <v>10366.84</v>
      </c>
      <c r="H134" s="61" t="n">
        <f aca="false">IF($N$6&lt;&gt;"",0,$G$134)</f>
        <v>10366.84</v>
      </c>
      <c r="I134" s="62" t="n">
        <v>251.83</v>
      </c>
      <c r="J134" s="63" t="n">
        <f aca="false">H134*I134</f>
        <v>2610681.3172</v>
      </c>
      <c r="K134" s="64" t="n">
        <f aca="false">IF($N$6&lt;&gt;"",0,10410*IF($L$134=0,$N$9,$G$134/$L$134))</f>
        <v>10410</v>
      </c>
      <c r="L134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linear'!$E$2:$E$518="DPS 6A")*('Drenagem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linear'!$E$2:$E$518="DPS 6A")*('Drenagem linear'!$G$2:$G$518="LD"))</f>
        <v>10366.84</v>
      </c>
      <c r="O134" s="0" t="n">
        <f aca="false">IF($N$6&lt;&gt;"",0,2621550.3*IF($L$134=0,$N$9,$G$134/$L$134))</f>
        <v>2621550.3</v>
      </c>
      <c r="P134" s="65" t="n">
        <f aca="false">O134</f>
        <v>2621550.3</v>
      </c>
      <c r="Q134" s="66" t="n">
        <f aca="false">J134-P134</f>
        <v>-10868.9827999994</v>
      </c>
      <c r="R134" s="67" t="s">
        <v>234</v>
      </c>
    </row>
    <row r="135" customFormat="false" ht="15" hidden="false" customHeight="false" outlineLevel="0" collapsed="false">
      <c r="B135" s="40" t="s">
        <v>263</v>
      </c>
      <c r="C135" s="59" t="s">
        <v>264</v>
      </c>
      <c r="D135" s="40" t="s">
        <v>176</v>
      </c>
      <c r="E135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linear'!$E$2:$E$518="DPR 02")*('Drenagem linear'!$G$2:$G$518="LE")))</f>
        <v>1360.43</v>
      </c>
      <c r="F135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linear'!$E$2:$E$518="DPR 02")*('Drenagem linear'!$G$2:$G$518="LD")))</f>
        <v>1501.84</v>
      </c>
      <c r="G135" s="60" t="n">
        <f aca="false">E135+F135</f>
        <v>2862.27</v>
      </c>
      <c r="H135" s="61" t="n">
        <f aca="false">IF($N$6&lt;&gt;"",0,$G$135)</f>
        <v>2862.27</v>
      </c>
      <c r="I135" s="62" t="n">
        <v>111.66</v>
      </c>
      <c r="J135" s="63" t="n">
        <f aca="false">H135*I135</f>
        <v>319601.0682</v>
      </c>
      <c r="K135" s="64" t="n">
        <f aca="false">IF($N$6&lt;&gt;"",0,2870*IF($L$135=0,$N$9,$G$135/$L$135))</f>
        <v>2870</v>
      </c>
      <c r="L135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linear'!$E$2:$E$518="DPR 02")*('Drenagem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linear'!$E$2:$E$518="DPR 02")*('Drenagem linear'!$G$2:$G$518="LD"))</f>
        <v>2862.27</v>
      </c>
      <c r="O135" s="0" t="n">
        <f aca="false">IF($N$6&lt;&gt;"",0,320464.2*IF($L$135=0,$N$9,$G$135/$L$135))</f>
        <v>320464.2</v>
      </c>
      <c r="P135" s="65" t="n">
        <f aca="false">O135</f>
        <v>320464.2</v>
      </c>
      <c r="Q135" s="66" t="n">
        <f aca="false">J135-P135</f>
        <v>-863.131800000032</v>
      </c>
      <c r="R135" s="67" t="s">
        <v>234</v>
      </c>
    </row>
    <row r="136" customFormat="false" ht="15" hidden="false" customHeight="false" outlineLevel="0" collapsed="false">
      <c r="B136" s="40"/>
      <c r="C136" s="59" t="s">
        <v>265</v>
      </c>
      <c r="D136" s="40" t="s">
        <v>176</v>
      </c>
      <c r="E136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linear'!$E$2:$E$518="DSS 04")*('Drenagem linear'!$G$2:$G$518="LE")))</f>
        <v>598.92</v>
      </c>
      <c r="F136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linear'!$E$2:$E$518="DSS 04")*('Drenagem linear'!$G$2:$G$518="LD")))</f>
        <v>851.55</v>
      </c>
      <c r="G136" s="60" t="n">
        <f aca="false">E136+F136</f>
        <v>1450.47</v>
      </c>
      <c r="H136" s="31"/>
      <c r="I136" s="31"/>
      <c r="J136" s="31"/>
      <c r="K136" s="31"/>
      <c r="L136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linear'!$E$2:$E$518="DSS 04")*('Drenagem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linear'!$E$2:$E$518="DSS 04")*('Drenagem linear'!$G$2:$G$518="LD"))</f>
        <v>1450.47</v>
      </c>
      <c r="P136" s="31"/>
      <c r="Q136" s="31"/>
      <c r="R136" s="67" t="s">
        <v>236</v>
      </c>
    </row>
    <row r="137" customFormat="false" ht="15" hidden="false" customHeight="false" outlineLevel="0" collapsed="false">
      <c r="B137" s="40"/>
      <c r="C137" s="59" t="s">
        <v>266</v>
      </c>
      <c r="D137" s="40" t="s">
        <v>176</v>
      </c>
      <c r="E137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0,40")*('Drenagem linear'!$G$2:$G$518="LE")))</f>
        <v>0</v>
      </c>
      <c r="F137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0,40")*('Drenagem linear'!$G$2:$G$518="LD")))</f>
        <v>310.15</v>
      </c>
      <c r="G137" s="60" t="n">
        <f aca="false">E137+F137+IF($N$6&lt;&gt;"",0,SUMPRODUCT('Drenagem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0,40")*('Drenagem linear'!$G$2:$G$518="Transversal")))</f>
        <v>424.24</v>
      </c>
      <c r="H137" s="31"/>
      <c r="I137" s="31"/>
      <c r="J137" s="31"/>
      <c r="K137" s="31"/>
      <c r="L137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0,40")*('Drenagem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0,40")*('Drenagem linear'!$G$2:$G$518="LD"))+SUMPRODUCT('Drenagem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0,40")*('Drenagem linear'!$G$2:$G$518="Transversal"))</f>
        <v>424.24</v>
      </c>
      <c r="P137" s="31"/>
      <c r="Q137" s="31"/>
      <c r="R137" s="67" t="s">
        <v>267</v>
      </c>
    </row>
    <row r="138" customFormat="false" ht="15" hidden="false" customHeight="false" outlineLevel="0" collapsed="false">
      <c r="B138" s="40"/>
      <c r="C138" s="59" t="s">
        <v>268</v>
      </c>
      <c r="D138" s="40" t="s">
        <v>176</v>
      </c>
      <c r="E138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0,60")*('Drenagem linear'!$G$2:$G$518="LE")))</f>
        <v>87.18</v>
      </c>
      <c r="F138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0,60")*('Drenagem linear'!$G$2:$G$518="LD")))</f>
        <v>104.82</v>
      </c>
      <c r="G138" s="60" t="n">
        <f aca="false">E138+F138+IF($N$6&lt;&gt;"",0,SUMPRODUCT('Drenagem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0,60")*('Drenagem linear'!$G$2:$G$518="Transversal")))</f>
        <v>217.64</v>
      </c>
      <c r="H138" s="31"/>
      <c r="I138" s="31"/>
      <c r="J138" s="31"/>
      <c r="K138" s="31"/>
      <c r="L138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0,60")*('Drenagem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0,60")*('Drenagem linear'!$G$2:$G$518="LD"))+SUMPRODUCT('Drenagem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0,60")*('Drenagem linear'!$G$2:$G$518="Transversal"))</f>
        <v>217.64</v>
      </c>
      <c r="P138" s="31"/>
      <c r="Q138" s="31"/>
      <c r="R138" s="67" t="s">
        <v>267</v>
      </c>
    </row>
    <row r="139" customFormat="false" ht="15" hidden="false" customHeight="false" outlineLevel="0" collapsed="false">
      <c r="B139" s="40"/>
      <c r="C139" s="59" t="s">
        <v>269</v>
      </c>
      <c r="D139" s="40" t="s">
        <v>176</v>
      </c>
      <c r="E139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0,80")*('Drenagem linear'!$G$2:$G$518="LE")))</f>
        <v>0</v>
      </c>
      <c r="F139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0,80")*('Drenagem linear'!$G$2:$G$518="LD")))</f>
        <v>142.82</v>
      </c>
      <c r="G139" s="60" t="n">
        <f aca="false">E139+F139+IF($N$6&lt;&gt;"",0,SUMPRODUCT('Drenagem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0,80")*('Drenagem linear'!$G$2:$G$518="Transversal")))</f>
        <v>171.5</v>
      </c>
      <c r="H139" s="31"/>
      <c r="I139" s="31"/>
      <c r="J139" s="31"/>
      <c r="K139" s="31"/>
      <c r="L139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0,80")*('Drenagem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0,80")*('Drenagem linear'!$G$2:$G$518="LD"))+SUMPRODUCT('Drenagem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0,80")*('Drenagem linear'!$G$2:$G$518="Transversal"))</f>
        <v>171.5</v>
      </c>
      <c r="P139" s="31"/>
      <c r="Q139" s="31"/>
      <c r="R139" s="67" t="s">
        <v>267</v>
      </c>
    </row>
    <row r="140" customFormat="false" ht="15" hidden="false" customHeight="false" outlineLevel="0" collapsed="false">
      <c r="B140" s="40"/>
      <c r="C140" s="59" t="s">
        <v>270</v>
      </c>
      <c r="D140" s="40" t="s">
        <v>176</v>
      </c>
      <c r="E140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1,00")*('Drenagem linear'!$G$2:$G$518="LE")))</f>
        <v>0</v>
      </c>
      <c r="F140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1,00")*('Drenagem linear'!$G$2:$G$518="LD")))</f>
        <v>95.86</v>
      </c>
      <c r="G140" s="60" t="n">
        <f aca="false">E140+F140+IF($N$6&lt;&gt;"",0,SUMPRODUCT('Drenagem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1,00")*('Drenagem linear'!$G$2:$G$518="Transversal")))</f>
        <v>95.86</v>
      </c>
      <c r="H140" s="31"/>
      <c r="I140" s="31"/>
      <c r="J140" s="31"/>
      <c r="K140" s="31"/>
      <c r="L140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1,00")*('Drenagem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1,00")*('Drenagem linear'!$G$2:$G$518="LD"))+SUMPRODUCT('Drenagem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1,00")*('Drenagem linear'!$G$2:$G$518="Transversal"))</f>
        <v>95.86</v>
      </c>
      <c r="P140" s="31"/>
      <c r="Q140" s="31"/>
      <c r="R140" s="67" t="s">
        <v>267</v>
      </c>
    </row>
    <row r="141" customFormat="false" ht="15" hidden="false" customHeight="false" outlineLevel="0" collapsed="false">
      <c r="B141" s="40"/>
      <c r="C141" s="59" t="s">
        <v>271</v>
      </c>
      <c r="D141" s="40" t="s">
        <v>176</v>
      </c>
      <c r="E141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1,20")*('Drenagem linear'!$G$2:$G$518="LE")))</f>
        <v>0</v>
      </c>
      <c r="F141" s="68" t="n">
        <f aca="false">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1,20")*('Drenagem linear'!$G$2:$G$518="LD")))</f>
        <v>126.34</v>
      </c>
      <c r="G141" s="60" t="n">
        <f aca="false">E141+F141+IF($N$6&lt;&gt;"",0,SUMPRODUCT('Drenagem linear'!$H$2:$H$518,((('Drenagem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linear'!$C$2:$C$518)*('Drenagem linear'!$E$2:$E$518="Rede pluvial BSTC Ø 1,20")*('Drenagem linear'!$G$2:$G$518="Transversal")))</f>
        <v>126.34</v>
      </c>
      <c r="H141" s="31"/>
      <c r="I141" s="31"/>
      <c r="J141" s="31"/>
      <c r="K141" s="31"/>
      <c r="L141" s="0" t="n">
        <f aca="false">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1,20")*('Drenagem linear'!$G$2:$G$518="LE"))+SUMPRODUCT('Drenagem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1,20")*('Drenagem linear'!$G$2:$G$518="LD"))+SUMPRODUCT('Drenagem linear'!$H$2:$H$518,((('Drenagem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linear'!$C$2:$C$518)*('Drenagem linear'!$E$2:$E$518="Rede pluvial BSTC Ø 1,20")*('Drenagem linear'!$G$2:$G$518="Transversal"))</f>
        <v>126.34</v>
      </c>
      <c r="P141" s="31"/>
      <c r="Q141" s="31"/>
      <c r="R141" s="67" t="s">
        <v>267</v>
      </c>
    </row>
    <row r="142" customFormat="false" ht="15" hidden="false" customHeight="false" outlineLevel="0" collapsed="false">
      <c r="B142" s="40" t="s">
        <v>272</v>
      </c>
      <c r="C142" s="69" t="s">
        <v>273</v>
      </c>
      <c r="D142" s="40" t="s">
        <v>176</v>
      </c>
      <c r="E142" s="31"/>
      <c r="F142" s="31"/>
      <c r="G142" s="31"/>
      <c r="H142" s="61" t="n">
        <f aca="false">IF($N$6&lt;&gt;"",0,($G$123+$G$122)*1)</f>
        <v>1767</v>
      </c>
      <c r="I142" s="62" t="n">
        <v>123.16</v>
      </c>
      <c r="J142" s="63" t="n">
        <f aca="false">H142*I142</f>
        <v>217623.72</v>
      </c>
      <c r="K142" s="64" t="n">
        <f aca="false">IF($N$6&lt;&gt;"",0,109*IF(($L$123+$L$122)=0,$N$9,($G$123+$G$122)/($L$123+$L$122)))</f>
        <v>109</v>
      </c>
      <c r="O142" s="0" t="n">
        <f aca="false">IF($N$6&lt;&gt;"",0,13424.44*IF(($L$123+$L$122)=0,$N$9,($G$123+$G$122)/($L$123+$L$122)))</f>
        <v>13424.44</v>
      </c>
      <c r="P142" s="65" t="n">
        <f aca="false">O142</f>
        <v>13424.44</v>
      </c>
      <c r="Q142" s="66" t="n">
        <f aca="false">J142-P142</f>
        <v>204199.28</v>
      </c>
      <c r="R142" s="67" t="s">
        <v>274</v>
      </c>
    </row>
    <row r="143" customFormat="false" ht="15" hidden="false" customHeight="false" outlineLevel="0" collapsed="false">
      <c r="B143" s="57"/>
      <c r="C143" s="58" t="s">
        <v>275</v>
      </c>
      <c r="D143" s="57"/>
      <c r="E143" s="57"/>
      <c r="F143" s="57"/>
      <c r="G143" s="57"/>
      <c r="H143" s="57"/>
      <c r="I143" s="57"/>
      <c r="J143" s="57"/>
      <c r="K143" s="57"/>
      <c r="P143" s="57"/>
      <c r="Q143" s="57"/>
      <c r="R143" s="57"/>
    </row>
    <row r="144" customFormat="false" ht="15" hidden="false" customHeight="false" outlineLevel="0" collapsed="false">
      <c r="B144" s="40"/>
      <c r="C144" s="59" t="s">
        <v>276</v>
      </c>
      <c r="D144" s="40" t="s">
        <v>77</v>
      </c>
      <c r="E144" s="31"/>
      <c r="F144" s="31"/>
      <c r="G144" s="60" t="n">
        <f aca="false">IF($N$6&lt;&gt;"",0,$G$130*0.131+$G$131*0.164+$G$132*0.107+$G$127*0.131+$G$128*0.164+$G$129*0.107)</f>
        <v>1144.072</v>
      </c>
      <c r="H144" s="31"/>
      <c r="I144" s="31"/>
      <c r="J144" s="31"/>
      <c r="K144" s="31"/>
      <c r="L144" s="0" t="n">
        <f aca="false">$L$130*0.131+$L$131*0.164+$L$132*0.107+$L$127*0.131+$L$128*0.164+$L$129*0.107</f>
        <v>1144.072</v>
      </c>
      <c r="P144" s="31"/>
      <c r="Q144" s="31"/>
      <c r="R144" s="67" t="s">
        <v>277</v>
      </c>
    </row>
    <row r="145" customFormat="false" ht="15" hidden="false" customHeight="false" outlineLevel="0" collapsed="false">
      <c r="B145" s="40"/>
      <c r="C145" s="59" t="s">
        <v>278</v>
      </c>
      <c r="D145" s="40" t="s">
        <v>73</v>
      </c>
      <c r="E145" s="31"/>
      <c r="F145" s="31"/>
      <c r="G145" s="60" t="n">
        <f aca="false">IF($N$6&lt;&gt;"",0,$G$130*0.044+$G$131*0.055+$G$132*0.036+$G$127*0.044+$G$128*0.055+$G$129*0.036)</f>
        <v>384.698</v>
      </c>
      <c r="H145" s="31"/>
      <c r="I145" s="31"/>
      <c r="J145" s="31"/>
      <c r="K145" s="31"/>
      <c r="L145" s="0" t="n">
        <f aca="false">$L$130*0.044+$L$131*0.055+$L$132*0.036+$L$127*0.044+$L$128*0.055+$L$129*0.036</f>
        <v>384.698</v>
      </c>
      <c r="P145" s="31"/>
      <c r="Q145" s="31"/>
      <c r="R145" s="67" t="s">
        <v>277</v>
      </c>
    </row>
    <row r="146" customFormat="false" ht="15" hidden="false" customHeight="false" outlineLevel="0" collapsed="false">
      <c r="B146" s="40"/>
      <c r="C146" s="59" t="s">
        <v>279</v>
      </c>
      <c r="D146" s="40" t="s">
        <v>77</v>
      </c>
      <c r="E146" s="31"/>
      <c r="F146" s="31"/>
      <c r="G146" s="60" t="n">
        <f aca="false">IF($N$6&lt;&gt;"",0,$G$130*0.509+$G$131*0.902+$G$132*0.365+$G$127*0.509+$G$128*0.902+$G$129*0.365)</f>
        <v>4268.908</v>
      </c>
      <c r="H146" s="31"/>
      <c r="I146" s="31"/>
      <c r="J146" s="31"/>
      <c r="K146" s="31"/>
      <c r="L146" s="0" t="n">
        <f aca="false">$L$130*0.509+$L$131*0.902+$L$132*0.365+$L$127*0.509+$L$128*0.902+$L$129*0.365</f>
        <v>4268.908</v>
      </c>
      <c r="P146" s="31"/>
      <c r="Q146" s="31"/>
      <c r="R146" s="67" t="s">
        <v>277</v>
      </c>
    </row>
    <row r="147" customFormat="false" ht="15" hidden="false" customHeight="false" outlineLevel="0" collapsed="false">
      <c r="B147" s="57"/>
      <c r="C147" s="58" t="s">
        <v>280</v>
      </c>
      <c r="D147" s="57"/>
      <c r="E147" s="57"/>
      <c r="F147" s="57"/>
      <c r="G147" s="57"/>
      <c r="H147" s="57"/>
      <c r="I147" s="57"/>
      <c r="J147" s="57"/>
      <c r="K147" s="57"/>
      <c r="P147" s="57"/>
      <c r="Q147" s="57"/>
      <c r="R147" s="57"/>
    </row>
    <row r="148" customFormat="false" ht="15" hidden="false" customHeight="false" outlineLevel="0" collapsed="false">
      <c r="B148" s="40"/>
      <c r="C148" s="59" t="s">
        <v>281</v>
      </c>
      <c r="D148" s="40" t="s">
        <v>176</v>
      </c>
      <c r="E148" s="31"/>
      <c r="F148" s="31"/>
      <c r="G148" s="60" t="n">
        <f aca="false">IF($N$6&lt;&gt;"",0,SUMIFS('Drenagem pontual'!$G$2:$G$450,'Drenagem pontual'!$B$2:$B$450,"&gt;="&amp;$M$2,'Drenagem pontual'!$B$2:$B$450,"&lt;"&amp;($N$2+($N$2&gt;=Estacas!$B$650-0.00001)*0.001),'Drenagem pontual'!$C$2:$C$450,"BSTC Ø 0,60"))</f>
        <v>11.68</v>
      </c>
      <c r="H148" s="31"/>
      <c r="I148" s="31"/>
      <c r="J148" s="31"/>
      <c r="K148" s="31"/>
      <c r="L148" s="0" t="n">
        <f aca="false">SUMIFS('Drenagem pontual'!$G$2:$G$450,'Drenagem pontual'!$B$2:$B$450,"&gt;="&amp;$M$12,'Drenagem pontual'!$B$2:$B$450,"&lt;"&amp;($N$12+($N$12&gt;=Estacas!$B$650-0.00001)*0.001),'Drenagem pontual'!$C$2:$C$450,"BSTC Ø 0,60")</f>
        <v>11.68</v>
      </c>
      <c r="P148" s="31"/>
      <c r="Q148" s="31"/>
      <c r="R148" s="67" t="s">
        <v>282</v>
      </c>
    </row>
    <row r="149" customFormat="false" ht="15" hidden="false" customHeight="false" outlineLevel="0" collapsed="false">
      <c r="B149" s="40" t="s">
        <v>283</v>
      </c>
      <c r="C149" s="59" t="s">
        <v>284</v>
      </c>
      <c r="D149" s="40" t="s">
        <v>80</v>
      </c>
      <c r="E149" s="31"/>
      <c r="F149" s="31"/>
      <c r="G149" s="60" t="n">
        <f aca="false">IF($N$6&lt;&gt;"",0,2*SUMIFS('Drenagem pontual'!$F$2:$F$450,'Drenagem pontual'!$B$2:$B$450,"&gt;="&amp;$M$2,'Drenagem pontual'!$B$2:$B$450,"&lt;"&amp;($N$2+($N$2&gt;=Estacas!$B$650-0.00001)*0.001),'Drenagem pontual'!$C$2:$C$450,"BSTC Ø 0,60"))</f>
        <v>2</v>
      </c>
      <c r="H149" s="61" t="n">
        <f aca="false">IF($N$6&lt;&gt;"",0,$G$149)</f>
        <v>2</v>
      </c>
      <c r="I149" s="62" t="n">
        <v>1268.62</v>
      </c>
      <c r="J149" s="63" t="n">
        <f aca="false">H149*I149</f>
        <v>2537.24</v>
      </c>
      <c r="K149" s="64" t="n">
        <f aca="false">IF($N$6&lt;&gt;"",0,2*IF($L$149=0,$N$9,$G$149/$L$149))</f>
        <v>2</v>
      </c>
      <c r="L149" s="0" t="n">
        <f aca="false">2*SUMIFS('Drenagem pontual'!$F$2:$F$450,'Drenagem pontual'!$B$2:$B$450,"&gt;="&amp;$M$12,'Drenagem pontual'!$B$2:$B$450,"&lt;"&amp;($N$12+($N$12&gt;=Estacas!$B$650-0.00001)*0.001),'Drenagem pontual'!$C$2:$C$450,"BSTC Ø 0,60")</f>
        <v>2</v>
      </c>
      <c r="O149" s="0" t="n">
        <f aca="false">IF($N$6&lt;&gt;"",0,2537.24*IF($L$149=0,$N$9,$G$149/$L$149))</f>
        <v>2537.24</v>
      </c>
      <c r="P149" s="65" t="n">
        <f aca="false">O149</f>
        <v>2537.24</v>
      </c>
      <c r="Q149" s="66" t="n">
        <f aca="false">J149-P149</f>
        <v>0</v>
      </c>
      <c r="R149" s="67" t="s">
        <v>285</v>
      </c>
    </row>
    <row r="150" customFormat="false" ht="15" hidden="false" customHeight="false" outlineLevel="0" collapsed="false">
      <c r="B150" s="40"/>
      <c r="C150" s="59" t="s">
        <v>286</v>
      </c>
      <c r="D150" s="40" t="s">
        <v>176</v>
      </c>
      <c r="E150" s="31"/>
      <c r="F150" s="31"/>
      <c r="G150" s="60" t="n">
        <f aca="false">IF($N$6&lt;&gt;"",0,SUMIFS('Drenagem pontual'!$G$2:$G$450,'Drenagem pontual'!$B$2:$B$450,"&gt;="&amp;$M$2,'Drenagem pontual'!$B$2:$B$450,"&lt;"&amp;($N$2+($N$2&gt;=Estacas!$B$650-0.00001)*0.001),'Drenagem pontual'!$C$2:$C$450,"BSTC Ø 0,80"))</f>
        <v>128.73</v>
      </c>
      <c r="H150" s="31"/>
      <c r="I150" s="31"/>
      <c r="J150" s="31"/>
      <c r="K150" s="31"/>
      <c r="L150" s="0" t="n">
        <f aca="false">SUMIFS('Drenagem pontual'!$G$2:$G$450,'Drenagem pontual'!$B$2:$B$450,"&gt;="&amp;$M$12,'Drenagem pontual'!$B$2:$B$450,"&lt;"&amp;($N$12+($N$12&gt;=Estacas!$B$650-0.00001)*0.001),'Drenagem pontual'!$C$2:$C$450,"BSTC Ø 0,80")</f>
        <v>128.73</v>
      </c>
      <c r="P150" s="31"/>
      <c r="Q150" s="31"/>
      <c r="R150" s="67" t="s">
        <v>282</v>
      </c>
    </row>
    <row r="151" customFormat="false" ht="15" hidden="false" customHeight="false" outlineLevel="0" collapsed="false">
      <c r="B151" s="40" t="s">
        <v>287</v>
      </c>
      <c r="C151" s="59" t="s">
        <v>288</v>
      </c>
      <c r="D151" s="40" t="s">
        <v>80</v>
      </c>
      <c r="E151" s="31"/>
      <c r="F151" s="31"/>
      <c r="G151" s="60" t="n">
        <f aca="false">IF($N$6&lt;&gt;"",0,2*SUMIFS('Drenagem pontual'!$F$2:$F$450,'Drenagem pontual'!$B$2:$B$450,"&gt;="&amp;$M$2,'Drenagem pontual'!$B$2:$B$450,"&lt;"&amp;($N$2+($N$2&gt;=Estacas!$B$650-0.00001)*0.001),'Drenagem pontual'!$C$2:$C$450,"BSTC Ø 0,80"))</f>
        <v>14</v>
      </c>
      <c r="H151" s="61" t="n">
        <f aca="false">IF($N$6&lt;&gt;"",0,$G$151)</f>
        <v>14</v>
      </c>
      <c r="I151" s="62" t="n">
        <v>1770.39</v>
      </c>
      <c r="J151" s="63" t="n">
        <f aca="false">H151*I151</f>
        <v>24785.46</v>
      </c>
      <c r="K151" s="64" t="n">
        <f aca="false">IF($N$6&lt;&gt;"",0,12*IF($L$151=0,$N$9,$G$151/$L$151))</f>
        <v>12</v>
      </c>
      <c r="L151" s="0" t="n">
        <f aca="false">2*SUMIFS('Drenagem pontual'!$F$2:$F$450,'Drenagem pontual'!$B$2:$B$450,"&gt;="&amp;$M$12,'Drenagem pontual'!$B$2:$B$450,"&lt;"&amp;($N$12+($N$12&gt;=Estacas!$B$650-0.00001)*0.001),'Drenagem pontual'!$C$2:$C$450,"BSTC Ø 0,80")</f>
        <v>14</v>
      </c>
      <c r="O151" s="0" t="n">
        <f aca="false">IF($N$6&lt;&gt;"",0,21244.68*IF($L$151=0,$N$9,$G$151/$L$151))</f>
        <v>21244.68</v>
      </c>
      <c r="P151" s="65" t="n">
        <f aca="false">O151</f>
        <v>21244.68</v>
      </c>
      <c r="Q151" s="66" t="n">
        <f aca="false">J151-P151</f>
        <v>3540.78</v>
      </c>
      <c r="R151" s="67" t="s">
        <v>285</v>
      </c>
    </row>
    <row r="152" customFormat="false" ht="15" hidden="false" customHeight="false" outlineLevel="0" collapsed="false">
      <c r="B152" s="40"/>
      <c r="C152" s="59" t="s">
        <v>289</v>
      </c>
      <c r="D152" s="40" t="s">
        <v>176</v>
      </c>
      <c r="E152" s="31"/>
      <c r="F152" s="31"/>
      <c r="G152" s="60" t="n">
        <f aca="false">IF($N$6&lt;&gt;"",0,SUMIFS('Drenagem pontual'!$G$2:$G$450,'Drenagem pontual'!$B$2:$B$450,"&gt;="&amp;$M$2,'Drenagem pontual'!$B$2:$B$450,"&lt;"&amp;($N$2+($N$2&gt;=Estacas!$B$650-0.00001)*0.001),'Drenagem pontual'!$C$2:$C$450,"BSTC Ø 1,00"))</f>
        <v>235.67</v>
      </c>
      <c r="H152" s="31"/>
      <c r="I152" s="31"/>
      <c r="J152" s="31"/>
      <c r="K152" s="31"/>
      <c r="L152" s="0" t="n">
        <f aca="false">SUMIFS('Drenagem pontual'!$G$2:$G$450,'Drenagem pontual'!$B$2:$B$450,"&gt;="&amp;$M$12,'Drenagem pontual'!$B$2:$B$450,"&lt;"&amp;($N$12+($N$12&gt;=Estacas!$B$650-0.00001)*0.001),'Drenagem pontual'!$C$2:$C$450,"BSTC Ø 1,00")</f>
        <v>235.67</v>
      </c>
      <c r="P152" s="31"/>
      <c r="Q152" s="31"/>
      <c r="R152" s="67" t="s">
        <v>282</v>
      </c>
    </row>
    <row r="153" customFormat="false" ht="15" hidden="false" customHeight="false" outlineLevel="0" collapsed="false">
      <c r="B153" s="40" t="s">
        <v>290</v>
      </c>
      <c r="C153" s="59" t="s">
        <v>291</v>
      </c>
      <c r="D153" s="40" t="s">
        <v>80</v>
      </c>
      <c r="E153" s="31"/>
      <c r="F153" s="31"/>
      <c r="G153" s="60" t="n">
        <f aca="false">IF($N$6&lt;&gt;"",0,2*SUMIFS('Drenagem pontual'!$F$2:$F$450,'Drenagem pontual'!$B$2:$B$450,"&gt;="&amp;$M$2,'Drenagem pontual'!$B$2:$B$450,"&lt;"&amp;($N$2+($N$2&gt;=Estacas!$B$650-0.00001)*0.001),'Drenagem pontual'!$C$2:$C$450,"BSTC Ø 1,00"))</f>
        <v>24</v>
      </c>
      <c r="H153" s="61" t="n">
        <f aca="false">IF($N$6&lt;&gt;"",0,$G$153)</f>
        <v>24</v>
      </c>
      <c r="I153" s="62" t="n">
        <v>2543.29</v>
      </c>
      <c r="J153" s="63" t="n">
        <f aca="false">H153*I153</f>
        <v>61038.96</v>
      </c>
      <c r="K153" s="64" t="n">
        <f aca="false">IF($N$6&lt;&gt;"",0,17*IF($L$153=0,$N$9,$G$153/$L$153))</f>
        <v>17</v>
      </c>
      <c r="L153" s="0" t="n">
        <f aca="false">2*SUMIFS('Drenagem pontual'!$F$2:$F$450,'Drenagem pontual'!$B$2:$B$450,"&gt;="&amp;$M$12,'Drenagem pontual'!$B$2:$B$450,"&lt;"&amp;($N$12+($N$12&gt;=Estacas!$B$650-0.00001)*0.001),'Drenagem pontual'!$C$2:$C$450,"BSTC Ø 1,00")</f>
        <v>24</v>
      </c>
      <c r="O153" s="0" t="n">
        <f aca="false">IF($N$6&lt;&gt;"",0,43235.93*IF($L$153=0,$N$9,$G$153/$L$153))</f>
        <v>43235.93</v>
      </c>
      <c r="P153" s="65" t="n">
        <f aca="false">O153</f>
        <v>43235.93</v>
      </c>
      <c r="Q153" s="66" t="n">
        <f aca="false">J153-P153</f>
        <v>17803.03</v>
      </c>
      <c r="R153" s="67" t="s">
        <v>285</v>
      </c>
    </row>
    <row r="154" customFormat="false" ht="15" hidden="false" customHeight="false" outlineLevel="0" collapsed="false">
      <c r="B154" s="40"/>
      <c r="C154" s="59" t="s">
        <v>292</v>
      </c>
      <c r="D154" s="40" t="s">
        <v>176</v>
      </c>
      <c r="E154" s="31"/>
      <c r="F154" s="31"/>
      <c r="G154" s="60" t="n">
        <f aca="false">IF($N$6&lt;&gt;"",0,SUMIFS('Drenagem pontual'!$G$2:$G$450,'Drenagem pontual'!$B$2:$B$450,"&gt;="&amp;$M$2,'Drenagem pontual'!$B$2:$B$450,"&lt;"&amp;($N$2+($N$2&gt;=Estacas!$B$650-0.00001)*0.001),'Drenagem pontual'!$C$2:$C$450,"BSTC Ø 1,20"))</f>
        <v>57.33</v>
      </c>
      <c r="H154" s="31"/>
      <c r="I154" s="31"/>
      <c r="J154" s="31"/>
      <c r="K154" s="31"/>
      <c r="L154" s="0" t="n">
        <f aca="false">SUMIFS('Drenagem pontual'!$G$2:$G$450,'Drenagem pontual'!$B$2:$B$450,"&gt;="&amp;$M$12,'Drenagem pontual'!$B$2:$B$450,"&lt;"&amp;($N$12+($N$12&gt;=Estacas!$B$650-0.00001)*0.001),'Drenagem pontual'!$C$2:$C$450,"BSTC Ø 1,20")</f>
        <v>57.33</v>
      </c>
      <c r="P154" s="31"/>
      <c r="Q154" s="31"/>
      <c r="R154" s="67" t="s">
        <v>282</v>
      </c>
    </row>
    <row r="155" customFormat="false" ht="15" hidden="false" customHeight="false" outlineLevel="0" collapsed="false">
      <c r="B155" s="40" t="s">
        <v>293</v>
      </c>
      <c r="C155" s="59" t="s">
        <v>294</v>
      </c>
      <c r="D155" s="40" t="s">
        <v>80</v>
      </c>
      <c r="E155" s="31"/>
      <c r="F155" s="31"/>
      <c r="G155" s="60" t="n">
        <f aca="false">IF($N$6&lt;&gt;"",0,2*SUMIFS('Drenagem pontual'!$F$2:$F$450,'Drenagem pontual'!$B$2:$B$450,"&gt;="&amp;$M$2,'Drenagem pontual'!$B$2:$B$450,"&lt;"&amp;($N$2+($N$2&gt;=Estacas!$B$650-0.00001)*0.001),'Drenagem pontual'!$C$2:$C$450,"BSTC Ø 1,20"))</f>
        <v>6</v>
      </c>
      <c r="H155" s="61" t="n">
        <f aca="false">IF($N$6&lt;&gt;"",0,$G$155)</f>
        <v>6</v>
      </c>
      <c r="I155" s="62" t="n">
        <v>3289.4</v>
      </c>
      <c r="J155" s="63" t="n">
        <f aca="false">H155*I155</f>
        <v>19736.4</v>
      </c>
      <c r="K155" s="64" t="n">
        <f aca="false">IF($N$6&lt;&gt;"",0,7*IF($L$155=0,$N$9,$G$155/$L$155))</f>
        <v>7</v>
      </c>
      <c r="L155" s="0" t="n">
        <f aca="false">2*SUMIFS('Drenagem pontual'!$F$2:$F$450,'Drenagem pontual'!$B$2:$B$450,"&gt;="&amp;$M$12,'Drenagem pontual'!$B$2:$B$450,"&lt;"&amp;($N$12+($N$12&gt;=Estacas!$B$650-0.00001)*0.001),'Drenagem pontual'!$C$2:$C$450,"BSTC Ø 1,20")</f>
        <v>6</v>
      </c>
      <c r="O155" s="0" t="n">
        <f aca="false">IF($N$6&lt;&gt;"",0,23025.8*IF($L$155=0,$N$9,$G$155/$L$155))</f>
        <v>23025.8</v>
      </c>
      <c r="P155" s="65" t="n">
        <f aca="false">O155</f>
        <v>23025.8</v>
      </c>
      <c r="Q155" s="66" t="n">
        <f aca="false">J155-P155</f>
        <v>-3289.4</v>
      </c>
      <c r="R155" s="67" t="s">
        <v>285</v>
      </c>
    </row>
    <row r="156" customFormat="false" ht="15" hidden="false" customHeight="false" outlineLevel="0" collapsed="false">
      <c r="B156" s="40"/>
      <c r="C156" s="59" t="s">
        <v>295</v>
      </c>
      <c r="D156" s="40" t="s">
        <v>176</v>
      </c>
      <c r="E156" s="31"/>
      <c r="F156" s="31"/>
      <c r="G156" s="60" t="n">
        <f aca="false">IF($N$6&lt;&gt;"",0,SUMIFS('Drenagem pontual'!$G$2:$G$450,'Drenagem pontual'!$B$2:$B$450,"&gt;="&amp;$M$2,'Drenagem pontual'!$B$2:$B$450,"&lt;"&amp;($N$2+($N$2&gt;=Estacas!$B$650-0.00001)*0.001),'Drenagem pontual'!$C$2:$C$450,"BSTC Ø 1,50"))</f>
        <v>37.25</v>
      </c>
      <c r="H156" s="31"/>
      <c r="I156" s="31"/>
      <c r="J156" s="31"/>
      <c r="K156" s="31"/>
      <c r="L156" s="0" t="n">
        <f aca="false">SUMIFS('Drenagem pontual'!$G$2:$G$450,'Drenagem pontual'!$B$2:$B$450,"&gt;="&amp;$M$12,'Drenagem pontual'!$B$2:$B$450,"&lt;"&amp;($N$12+($N$12&gt;=Estacas!$B$650-0.00001)*0.001),'Drenagem pontual'!$C$2:$C$450,"BSTC Ø 1,50")</f>
        <v>37.25</v>
      </c>
      <c r="P156" s="31"/>
      <c r="Q156" s="31"/>
      <c r="R156" s="67" t="s">
        <v>282</v>
      </c>
    </row>
    <row r="157" customFormat="false" ht="15" hidden="false" customHeight="false" outlineLevel="0" collapsed="false">
      <c r="B157" s="40" t="s">
        <v>296</v>
      </c>
      <c r="C157" s="59" t="s">
        <v>297</v>
      </c>
      <c r="D157" s="40" t="s">
        <v>80</v>
      </c>
      <c r="E157" s="31"/>
      <c r="F157" s="31"/>
      <c r="G157" s="60" t="n">
        <f aca="false">IF($N$6&lt;&gt;"",0,2*SUMIFS('Drenagem pontual'!$F$2:$F$450,'Drenagem pontual'!$B$2:$B$450,"&gt;="&amp;$M$2,'Drenagem pontual'!$B$2:$B$450,"&lt;"&amp;($N$2+($N$2&gt;=Estacas!$B$650-0.00001)*0.001),'Drenagem pontual'!$C$2:$C$450,"BSTC Ø 1,50"))</f>
        <v>4</v>
      </c>
      <c r="H157" s="61" t="n">
        <f aca="false">IF($N$6&lt;&gt;"",0,$G$157)</f>
        <v>4</v>
      </c>
      <c r="I157" s="62" t="n">
        <v>6019.67</v>
      </c>
      <c r="J157" s="63" t="n">
        <f aca="false">H157*I157</f>
        <v>24078.68</v>
      </c>
      <c r="K157" s="64" t="n">
        <f aca="false">IF($N$6&lt;&gt;"",0,4*IF($L$157=0,$N$9,$G$157/$L$157))</f>
        <v>4</v>
      </c>
      <c r="L157" s="0" t="n">
        <f aca="false">2*SUMIFS('Drenagem pontual'!$F$2:$F$450,'Drenagem pontual'!$B$2:$B$450,"&gt;="&amp;$M$12,'Drenagem pontual'!$B$2:$B$450,"&lt;"&amp;($N$12+($N$12&gt;=Estacas!$B$650-0.00001)*0.001),'Drenagem pontual'!$C$2:$C$450,"BSTC Ø 1,50")</f>
        <v>4</v>
      </c>
      <c r="O157" s="0" t="n">
        <f aca="false">IF($N$6&lt;&gt;"",0,24078.68*IF($L$157=0,$N$9,$G$157/$L$157))</f>
        <v>24078.68</v>
      </c>
      <c r="P157" s="65" t="n">
        <f aca="false">O157</f>
        <v>24078.68</v>
      </c>
      <c r="Q157" s="66" t="n">
        <f aca="false">J157-P157</f>
        <v>0</v>
      </c>
      <c r="R157" s="67" t="s">
        <v>285</v>
      </c>
    </row>
    <row r="158" customFormat="false" ht="15" hidden="false" customHeight="false" outlineLevel="0" collapsed="false">
      <c r="B158" s="40"/>
      <c r="C158" s="59" t="s">
        <v>298</v>
      </c>
      <c r="D158" s="40" t="s">
        <v>176</v>
      </c>
      <c r="E158" s="31"/>
      <c r="F158" s="31"/>
      <c r="G158" s="60" t="n">
        <f aca="false">IF($N$6&lt;&gt;"",0,SUMIFS('Drenagem pontual'!$G$2:$G$450,'Drenagem pontual'!$B$2:$B$450,"&gt;="&amp;$M$2,'Drenagem pontual'!$B$2:$B$450,"&lt;"&amp;($N$2+($N$2&gt;=Estacas!$B$650-0.00001)*0.001),'Drenagem pontual'!$C$2:$C$450,"BDTC Ø 1,50"))</f>
        <v>24.85</v>
      </c>
      <c r="H158" s="31"/>
      <c r="I158" s="31"/>
      <c r="J158" s="31"/>
      <c r="K158" s="31"/>
      <c r="L158" s="0" t="n">
        <f aca="false">SUMIFS('Drenagem pontual'!$G$2:$G$450,'Drenagem pontual'!$B$2:$B$450,"&gt;="&amp;$M$12,'Drenagem pontual'!$B$2:$B$450,"&lt;"&amp;($N$12+($N$12&gt;=Estacas!$B$650-0.00001)*0.001),'Drenagem pontual'!$C$2:$C$450,"BDTC Ø 1,50")</f>
        <v>24.85</v>
      </c>
      <c r="P158" s="31"/>
      <c r="Q158" s="31"/>
      <c r="R158" s="67" t="s">
        <v>282</v>
      </c>
    </row>
    <row r="159" customFormat="false" ht="15" hidden="false" customHeight="false" outlineLevel="0" collapsed="false">
      <c r="B159" s="40" t="s">
        <v>299</v>
      </c>
      <c r="C159" s="59" t="s">
        <v>300</v>
      </c>
      <c r="D159" s="40" t="s">
        <v>80</v>
      </c>
      <c r="E159" s="31"/>
      <c r="F159" s="31"/>
      <c r="G159" s="60" t="n">
        <f aca="false">IF($N$6&lt;&gt;"",0,2*SUMIFS('Drenagem pontual'!$F$2:$F$450,'Drenagem pontual'!$B$2:$B$450,"&gt;="&amp;$M$2,'Drenagem pontual'!$B$2:$B$450,"&lt;"&amp;($N$2+($N$2&gt;=Estacas!$B$650-0.00001)*0.001),'Drenagem pontual'!$C$2:$C$450,"BDTC Ø 1,50"))</f>
        <v>2</v>
      </c>
      <c r="H159" s="61" t="n">
        <f aca="false">IF($N$6&lt;&gt;"",0,$G$159)</f>
        <v>2</v>
      </c>
      <c r="I159" s="62" t="n">
        <v>8161.87</v>
      </c>
      <c r="J159" s="63" t="n">
        <f aca="false">H159*I159</f>
        <v>16323.74</v>
      </c>
      <c r="K159" s="64" t="n">
        <f aca="false">IF($N$6&lt;&gt;"",0,2*IF($L$159=0,$N$9,$G$159/$L$159))</f>
        <v>2</v>
      </c>
      <c r="L159" s="0" t="n">
        <f aca="false">2*SUMIFS('Drenagem pontual'!$F$2:$F$450,'Drenagem pontual'!$B$2:$B$450,"&gt;="&amp;$M$12,'Drenagem pontual'!$B$2:$B$450,"&lt;"&amp;($N$12+($N$12&gt;=Estacas!$B$650-0.00001)*0.001),'Drenagem pontual'!$C$2:$C$450,"BDTC Ø 1,50")</f>
        <v>2</v>
      </c>
      <c r="O159" s="0" t="n">
        <f aca="false">IF($N$6&lt;&gt;"",0,16323.74*IF($L$159=0,$N$9,$G$159/$L$159))</f>
        <v>16323.74</v>
      </c>
      <c r="P159" s="65" t="n">
        <f aca="false">O159</f>
        <v>16323.74</v>
      </c>
      <c r="Q159" s="66" t="n">
        <f aca="false">J159-P159</f>
        <v>0</v>
      </c>
      <c r="R159" s="67" t="s">
        <v>285</v>
      </c>
    </row>
    <row r="160" customFormat="false" ht="15" hidden="false" customHeight="false" outlineLevel="0" collapsed="false">
      <c r="B160" s="40"/>
      <c r="C160" s="59" t="s">
        <v>301</v>
      </c>
      <c r="D160" s="40" t="s">
        <v>176</v>
      </c>
      <c r="E160" s="31"/>
      <c r="F160" s="31"/>
      <c r="G160" s="60" t="n">
        <f aca="false">IF($N$6&lt;&gt;"",0,SUMIFS('Drenagem pontual'!$G$2:$G$450,'Drenagem pontual'!$B$2:$B$450,"&gt;="&amp;$M$2,'Drenagem pontual'!$B$2:$B$450,"&lt;"&amp;($N$2+($N$2&gt;=Estacas!$B$650-0.00001)*0.001),'Drenagem pontual'!$C$2:$C$450,"BTTC Ø 1,50"))</f>
        <v>18.84</v>
      </c>
      <c r="H160" s="31"/>
      <c r="I160" s="31"/>
      <c r="J160" s="31"/>
      <c r="K160" s="31"/>
      <c r="L160" s="0" t="n">
        <f aca="false">SUMIFS('Drenagem pontual'!$G$2:$G$450,'Drenagem pontual'!$B$2:$B$450,"&gt;="&amp;$M$12,'Drenagem pontual'!$B$2:$B$450,"&lt;"&amp;($N$12+($N$12&gt;=Estacas!$B$650-0.00001)*0.001),'Drenagem pontual'!$C$2:$C$450,"BTTC Ø 1,50")</f>
        <v>18.84</v>
      </c>
      <c r="P160" s="31"/>
      <c r="Q160" s="31"/>
      <c r="R160" s="67" t="s">
        <v>282</v>
      </c>
    </row>
    <row r="161" customFormat="false" ht="15" hidden="false" customHeight="false" outlineLevel="0" collapsed="false">
      <c r="B161" s="40" t="s">
        <v>302</v>
      </c>
      <c r="C161" s="59" t="s">
        <v>303</v>
      </c>
      <c r="D161" s="40" t="s">
        <v>80</v>
      </c>
      <c r="E161" s="31"/>
      <c r="F161" s="31"/>
      <c r="G161" s="60" t="n">
        <f aca="false">IF($N$6&lt;&gt;"",0,2*SUMIFS('Drenagem pontual'!$F$2:$F$450,'Drenagem pontual'!$B$2:$B$450,"&gt;="&amp;$M$2,'Drenagem pontual'!$B$2:$B$450,"&lt;"&amp;($N$2+($N$2&gt;=Estacas!$B$650-0.00001)*0.001),'Drenagem pontual'!$C$2:$C$450,"BTTC Ø 1,50"))</f>
        <v>2</v>
      </c>
      <c r="H161" s="61" t="n">
        <f aca="false">IF($N$6&lt;&gt;"",0,$G$161)</f>
        <v>2</v>
      </c>
      <c r="I161" s="62" t="n">
        <v>10307.89</v>
      </c>
      <c r="J161" s="63" t="n">
        <f aca="false">H161*I161</f>
        <v>20615.78</v>
      </c>
      <c r="K161" s="64" t="n">
        <f aca="false">IF($N$6&lt;&gt;"",0,1*IF($L$161=0,$N$9,$G$161/$L$161))</f>
        <v>1</v>
      </c>
      <c r="L161" s="0" t="n">
        <f aca="false">2*SUMIFS('Drenagem pontual'!$F$2:$F$450,'Drenagem pontual'!$B$2:$B$450,"&gt;="&amp;$M$12,'Drenagem pontual'!$B$2:$B$450,"&lt;"&amp;($N$12+($N$12&gt;=Estacas!$B$650-0.00001)*0.001),'Drenagem pontual'!$C$2:$C$450,"BTTC Ø 1,50")</f>
        <v>2</v>
      </c>
      <c r="O161" s="0" t="n">
        <f aca="false">IF($N$6&lt;&gt;"",0,10307.89*IF($L$161=0,$N$9,$G$161/$L$161))</f>
        <v>10307.89</v>
      </c>
      <c r="P161" s="65" t="n">
        <f aca="false">O161</f>
        <v>10307.89</v>
      </c>
      <c r="Q161" s="66" t="n">
        <f aca="false">J161-P161</f>
        <v>10307.89</v>
      </c>
      <c r="R161" s="67" t="s">
        <v>285</v>
      </c>
    </row>
    <row r="162" customFormat="false" ht="15" hidden="false" customHeight="false" outlineLevel="0" collapsed="false">
      <c r="B162" s="40" t="s">
        <v>304</v>
      </c>
      <c r="C162" s="69" t="s">
        <v>305</v>
      </c>
      <c r="D162" s="40" t="s">
        <v>176</v>
      </c>
      <c r="E162" s="31"/>
      <c r="F162" s="31"/>
      <c r="G162" s="31"/>
      <c r="H162" s="61" t="n">
        <f aca="false">IF($N$6&lt;&gt;"",0,($G$137)*1)</f>
        <v>424.24</v>
      </c>
      <c r="I162" s="62" t="n">
        <v>270.12</v>
      </c>
      <c r="J162" s="63" t="n">
        <f aca="false">H162*I162</f>
        <v>114595.7088</v>
      </c>
      <c r="K162" s="64" t="n">
        <f aca="false">IF($N$6&lt;&gt;"",0,435*IF(($L$137)=0,$N$9,($G$137)/($L$137)))</f>
        <v>435</v>
      </c>
      <c r="O162" s="0" t="n">
        <f aca="false">IF($N$6&lt;&gt;"",0,117502.2*IF(($L$137)=0,$N$9,($G$137)/($L$137)))</f>
        <v>117502.2</v>
      </c>
      <c r="P162" s="65" t="n">
        <f aca="false">O162</f>
        <v>117502.2</v>
      </c>
      <c r="Q162" s="66" t="n">
        <f aca="false">J162-P162</f>
        <v>-2906.49119999999</v>
      </c>
      <c r="R162" s="67" t="s">
        <v>306</v>
      </c>
    </row>
    <row r="163" customFormat="false" ht="15" hidden="false" customHeight="false" outlineLevel="0" collapsed="false">
      <c r="B163" s="40" t="s">
        <v>307</v>
      </c>
      <c r="C163" s="69" t="s">
        <v>308</v>
      </c>
      <c r="D163" s="40" t="s">
        <v>176</v>
      </c>
      <c r="E163" s="31"/>
      <c r="F163" s="31"/>
      <c r="G163" s="31"/>
      <c r="H163" s="61" t="n">
        <f aca="false">IF($N$6&lt;&gt;"",0,($G$148+$G$138)*1)</f>
        <v>229.32</v>
      </c>
      <c r="I163" s="62" t="n">
        <v>537.86</v>
      </c>
      <c r="J163" s="63" t="n">
        <f aca="false">H163*I163</f>
        <v>123342.0552</v>
      </c>
      <c r="K163" s="64" t="n">
        <f aca="false">IF($N$6&lt;&gt;"",0,223*IF(($L$148+$L$138)=0,$N$9,($G$148+$G$138)/($L$148+$L$138)))</f>
        <v>223</v>
      </c>
      <c r="O163" s="0" t="n">
        <f aca="false">IF($N$6&lt;&gt;"",0,119942.78*IF(($L$148+$L$138)=0,$N$9,($G$148+$G$138)/($L$148+$L$138)))</f>
        <v>119942.78</v>
      </c>
      <c r="P163" s="65" t="n">
        <f aca="false">O163</f>
        <v>119942.78</v>
      </c>
      <c r="Q163" s="66" t="n">
        <f aca="false">J163-P163</f>
        <v>3399.2752</v>
      </c>
      <c r="R163" s="67" t="s">
        <v>309</v>
      </c>
    </row>
    <row r="164" customFormat="false" ht="15" hidden="false" customHeight="false" outlineLevel="0" collapsed="false">
      <c r="B164" s="40" t="s">
        <v>310</v>
      </c>
      <c r="C164" s="69" t="s">
        <v>311</v>
      </c>
      <c r="D164" s="40" t="s">
        <v>176</v>
      </c>
      <c r="E164" s="31"/>
      <c r="F164" s="31"/>
      <c r="G164" s="31"/>
      <c r="H164" s="61" t="n">
        <f aca="false">IF($N$6&lt;&gt;"",0,($G$150+$G$139)*1)</f>
        <v>300.23</v>
      </c>
      <c r="I164" s="62" t="n">
        <v>890.42</v>
      </c>
      <c r="J164" s="63" t="n">
        <f aca="false">H164*I164</f>
        <v>267330.7966</v>
      </c>
      <c r="K164" s="64" t="n">
        <f aca="false">IF($N$6&lt;&gt;"",0,300*IF(($L$150+$L$139)=0,$N$9,($G$150+$G$139)/($L$150+$L$139)))</f>
        <v>300</v>
      </c>
      <c r="O164" s="0" t="n">
        <f aca="false">IF($N$6&lt;&gt;"",0,267126*IF(($L$150+$L$139)=0,$N$9,($G$150+$G$139)/($L$150+$L$139)))</f>
        <v>267126</v>
      </c>
      <c r="P164" s="65" t="n">
        <f aca="false">O164</f>
        <v>267126</v>
      </c>
      <c r="Q164" s="66" t="n">
        <f aca="false">J164-P164</f>
        <v>204.796600000002</v>
      </c>
      <c r="R164" s="67" t="s">
        <v>312</v>
      </c>
    </row>
    <row r="165" customFormat="false" ht="15" hidden="false" customHeight="false" outlineLevel="0" collapsed="false">
      <c r="B165" s="40" t="s">
        <v>313</v>
      </c>
      <c r="C165" s="69" t="s">
        <v>314</v>
      </c>
      <c r="D165" s="40" t="s">
        <v>176</v>
      </c>
      <c r="E165" s="31"/>
      <c r="F165" s="31"/>
      <c r="G165" s="31"/>
      <c r="H165" s="61" t="n">
        <f aca="false">IF($N$6&lt;&gt;"",0,($G$152+$G$140)*1)</f>
        <v>331.53</v>
      </c>
      <c r="I165" s="62" t="n">
        <v>1487.9</v>
      </c>
      <c r="J165" s="63" t="n">
        <f aca="false">H165*I165</f>
        <v>493283.487</v>
      </c>
      <c r="K165" s="64" t="n">
        <f aca="false">IF($N$6&lt;&gt;"",0,334*IF(($L$152+$L$140)=0,$N$9,($G$152+$G$140)/($L$152+$L$140)))</f>
        <v>334</v>
      </c>
      <c r="O165" s="0" t="n">
        <f aca="false">IF($N$6&lt;&gt;"",0,496958.6*IF(($L$152+$L$140)=0,$N$9,($G$152+$G$140)/($L$152+$L$140)))</f>
        <v>496958.6</v>
      </c>
      <c r="P165" s="65" t="n">
        <f aca="false">O165</f>
        <v>496958.6</v>
      </c>
      <c r="Q165" s="66" t="n">
        <f aca="false">J165-P165</f>
        <v>-3675.11300000001</v>
      </c>
      <c r="R165" s="67" t="s">
        <v>315</v>
      </c>
    </row>
    <row r="166" customFormat="false" ht="15" hidden="false" customHeight="false" outlineLevel="0" collapsed="false">
      <c r="B166" s="40" t="s">
        <v>316</v>
      </c>
      <c r="C166" s="69" t="s">
        <v>317</v>
      </c>
      <c r="D166" s="40" t="s">
        <v>176</v>
      </c>
      <c r="E166" s="31"/>
      <c r="F166" s="31"/>
      <c r="G166" s="31"/>
      <c r="H166" s="61" t="n">
        <f aca="false">IF($N$6&lt;&gt;"",0,($G$154+$G$141)*1)</f>
        <v>183.67</v>
      </c>
      <c r="I166" s="62" t="n">
        <v>1819</v>
      </c>
      <c r="J166" s="63" t="n">
        <f aca="false">H166*I166</f>
        <v>334095.73</v>
      </c>
      <c r="K166" s="64" t="n">
        <f aca="false">IF($N$6&lt;&gt;"",0,228*IF(($L$154+$L$141)=0,$N$9,($G$154+$G$141)/($L$154+$L$141)))</f>
        <v>228</v>
      </c>
      <c r="O166" s="0" t="n">
        <f aca="false">IF($N$6&lt;&gt;"",0,414732*IF(($L$154+$L$141)=0,$N$9,($G$154+$G$141)/($L$154+$L$141)))</f>
        <v>414732</v>
      </c>
      <c r="P166" s="65" t="n">
        <f aca="false">O166</f>
        <v>414732</v>
      </c>
      <c r="Q166" s="66" t="n">
        <f aca="false">J166-P166</f>
        <v>-80636.27</v>
      </c>
      <c r="R166" s="67" t="s">
        <v>318</v>
      </c>
    </row>
    <row r="167" customFormat="false" ht="15" hidden="false" customHeight="false" outlineLevel="0" collapsed="false">
      <c r="B167" s="40" t="s">
        <v>319</v>
      </c>
      <c r="C167" s="69" t="s">
        <v>320</v>
      </c>
      <c r="D167" s="40" t="s">
        <v>176</v>
      </c>
      <c r="E167" s="31"/>
      <c r="F167" s="31"/>
      <c r="G167" s="31"/>
      <c r="H167" s="61" t="n">
        <f aca="false">IF($N$6&lt;&gt;"",0,($G$156)*1)</f>
        <v>37.25</v>
      </c>
      <c r="I167" s="62" t="n">
        <v>2831.3</v>
      </c>
      <c r="J167" s="63" t="n">
        <f aca="false">H167*I167</f>
        <v>105465.925</v>
      </c>
      <c r="K167" s="64" t="n">
        <f aca="false">IF($N$6&lt;&gt;"",0,37*IF(($L$156)=0,$N$9,($G$156)/($L$156)))</f>
        <v>37</v>
      </c>
      <c r="O167" s="0" t="n">
        <f aca="false">IF($N$6&lt;&gt;"",0,104758.1*IF(($L$156)=0,$N$9,($G$156)/($L$156)))</f>
        <v>104758.1</v>
      </c>
      <c r="P167" s="65" t="n">
        <f aca="false">O167</f>
        <v>104758.1</v>
      </c>
      <c r="Q167" s="66" t="n">
        <f aca="false">J167-P167</f>
        <v>707.824999999997</v>
      </c>
      <c r="R167" s="67" t="s">
        <v>321</v>
      </c>
    </row>
    <row r="168" customFormat="false" ht="15" hidden="false" customHeight="false" outlineLevel="0" collapsed="false">
      <c r="B168" s="40" t="s">
        <v>322</v>
      </c>
      <c r="C168" s="69" t="s">
        <v>323</v>
      </c>
      <c r="D168" s="40" t="s">
        <v>176</v>
      </c>
      <c r="E168" s="31"/>
      <c r="F168" s="31"/>
      <c r="G168" s="31"/>
      <c r="H168" s="61" t="n">
        <f aca="false">IF($N$6&lt;&gt;"",0,($G$158)*1)</f>
        <v>24.85</v>
      </c>
      <c r="I168" s="62" t="n">
        <v>5569.35</v>
      </c>
      <c r="J168" s="63" t="n">
        <f aca="false">H168*I168</f>
        <v>138398.3475</v>
      </c>
      <c r="K168" s="64" t="n">
        <f aca="false">IF($N$6&lt;&gt;"",0,25*IF(($L$158)=0,$N$9,($G$158)/($L$158)))</f>
        <v>25</v>
      </c>
      <c r="O168" s="0" t="n">
        <f aca="false">IF($N$6&lt;&gt;"",0,139233.75*IF(($L$158)=0,$N$9,($G$158)/($L$158)))</f>
        <v>139233.75</v>
      </c>
      <c r="P168" s="65" t="n">
        <f aca="false">O168</f>
        <v>139233.75</v>
      </c>
      <c r="Q168" s="66" t="n">
        <f aca="false">J168-P168</f>
        <v>-835.402499999997</v>
      </c>
      <c r="R168" s="67" t="s">
        <v>324</v>
      </c>
    </row>
    <row r="169" customFormat="false" ht="15" hidden="false" customHeight="false" outlineLevel="0" collapsed="false">
      <c r="B169" s="40" t="s">
        <v>325</v>
      </c>
      <c r="C169" s="69" t="s">
        <v>326</v>
      </c>
      <c r="D169" s="40" t="s">
        <v>176</v>
      </c>
      <c r="E169" s="31"/>
      <c r="F169" s="31"/>
      <c r="G169" s="31"/>
      <c r="H169" s="61" t="n">
        <f aca="false">IF($N$6&lt;&gt;"",0,($G$160)*1)</f>
        <v>18.84</v>
      </c>
      <c r="I169" s="62" t="n">
        <v>8396.93</v>
      </c>
      <c r="J169" s="63" t="n">
        <f aca="false">H169*I169</f>
        <v>158198.1612</v>
      </c>
      <c r="K169" s="64" t="n">
        <f aca="false">IF($N$6&lt;&gt;"",0,19*IF(($L$160)=0,$N$9,($G$160)/($L$160)))</f>
        <v>19</v>
      </c>
      <c r="O169" s="0" t="n">
        <f aca="false">IF($N$6&lt;&gt;"",0,159541.67*IF(($L$160)=0,$N$9,($G$160)/($L$160)))</f>
        <v>159541.67</v>
      </c>
      <c r="P169" s="65" t="n">
        <f aca="false">O169</f>
        <v>159541.67</v>
      </c>
      <c r="Q169" s="66" t="n">
        <f aca="false">J169-P169</f>
        <v>-1343.50880000001</v>
      </c>
      <c r="R169" s="67" t="s">
        <v>327</v>
      </c>
    </row>
    <row r="170" customFormat="false" ht="15" hidden="false" customHeight="false" outlineLevel="0" collapsed="false">
      <c r="B170" s="40"/>
      <c r="C170" s="59" t="s">
        <v>328</v>
      </c>
      <c r="D170" s="40" t="s">
        <v>77</v>
      </c>
      <c r="E170" s="31"/>
      <c r="F170" s="31"/>
      <c r="G170" s="60" t="n">
        <f aca="false">IF($N$6&lt;&gt;"",0,$G$148*0.17+$G$150*0.19+$G$152*0.214+$G$154*0.236+$G$156*0.27+$G$158*0.54+$G$160*0.81+$G$137*0.115+$G$138*0.16+$G$139*0.18+$G$140*0.204+$G$141*0.226)</f>
        <v>291.73274</v>
      </c>
      <c r="H170" s="31"/>
      <c r="I170" s="31"/>
      <c r="J170" s="31"/>
      <c r="K170" s="31"/>
      <c r="L170" s="0" t="n">
        <f aca="false">$L$148*0.17+$L$150*0.19+$L$152*0.214+$L$154*0.236+$L$156*0.27+$L$158*0.54+$L$160*0.81+$L$137*0.115+$L$138*0.16+$L$139*0.18+$L$140*0.204+$L$141*0.226</f>
        <v>291.73274</v>
      </c>
      <c r="P170" s="31"/>
      <c r="Q170" s="31"/>
      <c r="R170" s="67" t="s">
        <v>329</v>
      </c>
    </row>
    <row r="171" customFormat="false" ht="15" hidden="false" customHeight="false" outlineLevel="0" collapsed="false">
      <c r="B171" s="40" t="s">
        <v>330</v>
      </c>
      <c r="C171" s="69" t="s">
        <v>331</v>
      </c>
      <c r="D171" s="40" t="s">
        <v>77</v>
      </c>
      <c r="E171" s="31"/>
      <c r="F171" s="31"/>
      <c r="G171" s="31"/>
      <c r="H171" s="61" t="n">
        <f aca="false">IF($N$6&lt;&gt;"",0,($G$170)*1)</f>
        <v>291.73274</v>
      </c>
      <c r="I171" s="62" t="n">
        <v>195.31</v>
      </c>
      <c r="J171" s="63" t="n">
        <f aca="false">H171*I171</f>
        <v>56978.3214494</v>
      </c>
      <c r="K171" s="64" t="n">
        <f aca="false">IF($N$6&lt;&gt;"",0,385*IF(($L$170)=0,$N$9,($G$170)/($L$170)))</f>
        <v>385</v>
      </c>
      <c r="O171" s="0" t="n">
        <f aca="false">IF($N$6&lt;&gt;"",0,75194.35*IF(($L$170)=0,$N$9,($G$170)/($L$170)))</f>
        <v>75194.35</v>
      </c>
      <c r="P171" s="65" t="n">
        <f aca="false">O171</f>
        <v>75194.35</v>
      </c>
      <c r="Q171" s="66" t="n">
        <f aca="false">J171-P171</f>
        <v>-18216.0285506</v>
      </c>
      <c r="R171" s="67" t="s">
        <v>332</v>
      </c>
    </row>
    <row r="172" customFormat="false" ht="15" hidden="false" customHeight="false" outlineLevel="0" collapsed="false">
      <c r="B172" s="57"/>
      <c r="C172" s="58" t="s">
        <v>333</v>
      </c>
      <c r="D172" s="57"/>
      <c r="E172" s="57"/>
      <c r="F172" s="57"/>
      <c r="G172" s="57"/>
      <c r="H172" s="57"/>
      <c r="I172" s="57"/>
      <c r="J172" s="57"/>
      <c r="K172" s="57"/>
      <c r="P172" s="57"/>
      <c r="Q172" s="57"/>
      <c r="R172" s="57"/>
    </row>
    <row r="173" customFormat="false" ht="15" hidden="false" customHeight="false" outlineLevel="0" collapsed="false">
      <c r="B173" s="40"/>
      <c r="C173" s="59" t="s">
        <v>334</v>
      </c>
      <c r="D173" s="40" t="s">
        <v>176</v>
      </c>
      <c r="E173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BUEIRO Ø 0.40")*('MJ – quantidades por estaca'!$F$2:$F$974="LE")))</f>
        <v>210</v>
      </c>
      <c r="F173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BUEIRO Ø 0.40")*('MJ – quantidades por estaca'!$F$2:$F$974="LD")))</f>
        <v>97</v>
      </c>
      <c r="G173" s="60" t="n">
        <f aca="false">E173+F173+IF($N$6&lt;&gt;"",0,SUMPRODUCT('MJ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BUEIRO Ø 0.40")*('MJ – quantidades por estaca'!$F$2:$F$974="Eixo")))</f>
        <v>343</v>
      </c>
      <c r="H173" s="31"/>
      <c r="I173" s="31"/>
      <c r="J173" s="31"/>
      <c r="K173" s="31"/>
      <c r="L173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BUEIRO Ø 0.40")*('MJ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BUEIRO Ø 0.40")*('MJ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BUEIRO Ø 0.40")*('MJ – quantidades por estaca'!$F$2:$F$974="Eixo"))</f>
        <v>343</v>
      </c>
      <c r="P173" s="31"/>
      <c r="Q173" s="31"/>
      <c r="R173" s="67" t="s">
        <v>335</v>
      </c>
    </row>
    <row r="174" customFormat="false" ht="15" hidden="false" customHeight="false" outlineLevel="0" collapsed="false">
      <c r="B174" s="40"/>
      <c r="C174" s="59" t="s">
        <v>336</v>
      </c>
      <c r="D174" s="40" t="s">
        <v>176</v>
      </c>
      <c r="E174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BUEIRO Ø 0.60")*('MJ – quantidades por estaca'!$F$2:$F$974="LE")))</f>
        <v>182</v>
      </c>
      <c r="F174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BUEIRO Ø 0.60")*('MJ – quantidades por estaca'!$F$2:$F$974="LD")))</f>
        <v>37</v>
      </c>
      <c r="G174" s="60" t="n">
        <f aca="false">E174+F174+IF($N$6&lt;&gt;"",0,SUMPRODUCT('MJ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BUEIRO Ø 0.60")*('MJ – quantidades por estaca'!$F$2:$F$974="Eixo")))</f>
        <v>453</v>
      </c>
      <c r="H174" s="31"/>
      <c r="I174" s="31"/>
      <c r="J174" s="31"/>
      <c r="K174" s="31"/>
      <c r="L174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BUEIRO Ø 0.60")*('MJ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BUEIRO Ø 0.60")*('MJ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BUEIRO Ø 0.60")*('MJ – quantidades por estaca'!$F$2:$F$974="Eixo"))</f>
        <v>453</v>
      </c>
      <c r="P174" s="31"/>
      <c r="Q174" s="31"/>
      <c r="R174" s="67" t="s">
        <v>335</v>
      </c>
    </row>
    <row r="175" customFormat="false" ht="15" hidden="false" customHeight="false" outlineLevel="0" collapsed="false">
      <c r="B175" s="40"/>
      <c r="C175" s="59" t="s">
        <v>337</v>
      </c>
      <c r="D175" s="40" t="s">
        <v>176</v>
      </c>
      <c r="E175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BUEIRO Ø 0.80 (duplo – 2 linhas)")*('MJ – quantidades por estaca'!$F$2:$F$974="LE")))</f>
        <v>0</v>
      </c>
      <c r="F175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BUEIRO Ø 0.80 (duplo – 2 linhas)")*('MJ – quantidades por estaca'!$F$2:$F$974="LD")))</f>
        <v>0</v>
      </c>
      <c r="G175" s="60" t="n">
        <f aca="false">E175+F175+IF($N$6&lt;&gt;"",0,SUMPRODUCT('MJ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BUEIRO Ø 0.80 (duplo – 2 linhas)")*('MJ – quantidades por estaca'!$F$2:$F$974="Eixo")))</f>
        <v>30</v>
      </c>
      <c r="H175" s="31"/>
      <c r="I175" s="31"/>
      <c r="J175" s="31"/>
      <c r="K175" s="31"/>
      <c r="L175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BUEIRO Ø 0.80 (duplo – 2 linhas)")*('MJ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BUEIRO Ø 0.80 (duplo – 2 linhas)")*('MJ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BUEIRO Ø 0.80 (duplo – 2 linhas)")*('MJ – quantidades por estaca'!$F$2:$F$974="Eixo"))</f>
        <v>30</v>
      </c>
      <c r="P175" s="31"/>
      <c r="Q175" s="31"/>
      <c r="R175" s="67" t="s">
        <v>335</v>
      </c>
    </row>
    <row r="176" customFormat="false" ht="15" hidden="false" customHeight="false" outlineLevel="0" collapsed="false">
      <c r="B176" s="40"/>
      <c r="C176" s="59" t="s">
        <v>338</v>
      </c>
      <c r="D176" s="40" t="s">
        <v>176</v>
      </c>
      <c r="E176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BUEIRO Ø 1.00")*('MJ – quantidades por estaca'!$F$2:$F$974="LE")))</f>
        <v>0</v>
      </c>
      <c r="F176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BUEIRO Ø 1.00")*('MJ – quantidades por estaca'!$F$2:$F$974="LD")))</f>
        <v>0</v>
      </c>
      <c r="G176" s="60" t="n">
        <f aca="false">E176+F176+IF($N$6&lt;&gt;"",0,SUMPRODUCT('MJ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BUEIRO Ø 1.00")*('MJ – quantidades por estaca'!$F$2:$F$974="Eixo")))</f>
        <v>51</v>
      </c>
      <c r="H176" s="31"/>
      <c r="I176" s="31"/>
      <c r="J176" s="31"/>
      <c r="K176" s="31"/>
      <c r="L176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BUEIRO Ø 1.00")*('MJ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BUEIRO Ø 1.00")*('MJ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BUEIRO Ø 1.00")*('MJ – quantidades por estaca'!$F$2:$F$974="Eixo"))</f>
        <v>51</v>
      </c>
      <c r="P176" s="31"/>
      <c r="Q176" s="31"/>
      <c r="R176" s="67" t="s">
        <v>335</v>
      </c>
    </row>
    <row r="177" customFormat="false" ht="15" hidden="false" customHeight="false" outlineLevel="0" collapsed="false">
      <c r="B177" s="40"/>
      <c r="C177" s="59" t="s">
        <v>339</v>
      </c>
      <c r="D177" s="40" t="s">
        <v>77</v>
      </c>
      <c r="E177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estaca'!$A$2:$A$974="DEMOLIÇÃO DE CONCRETO ARMADO")*('MJ – quantidades por estaca'!$F$2:$F$974="LE")))</f>
        <v>0</v>
      </c>
      <c r="F177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estaca'!$A$2:$A$974="DEMOLIÇÃO DE CONCRETO ARMADO")*('MJ – quantidades por estaca'!$F$2:$F$974="LD")))</f>
        <v>0</v>
      </c>
      <c r="G177" s="60" t="n">
        <f aca="false">E177+F177+IF($N$6&lt;&gt;"",0,SUMPRODUCT('MJ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estaca'!$A$2:$A$974="DEMOLIÇÃO DE CONCRETO ARMADO")*('MJ – quantidades por estaca'!$F$2:$F$974="Eixo")))</f>
        <v>12.07</v>
      </c>
      <c r="H177" s="31"/>
      <c r="I177" s="31"/>
      <c r="J177" s="31"/>
      <c r="K177" s="31"/>
      <c r="L177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estaca'!$A$2:$A$974="DEMOLIÇÃO DE CONCRETO ARMADO")*('MJ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estaca'!$A$2:$A$974="DEMOLIÇÃO DE CONCRETO ARMADO")*('MJ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estaca'!$A$2:$A$974="DEMOLIÇÃO DE CONCRETO ARMADO")*('MJ – quantidades por estaca'!$F$2:$F$974="Eixo"))</f>
        <v>12.07</v>
      </c>
      <c r="P177" s="31"/>
      <c r="Q177" s="31"/>
      <c r="R177" s="67" t="s">
        <v>335</v>
      </c>
    </row>
    <row r="178" customFormat="false" ht="15" hidden="false" customHeight="false" outlineLevel="0" collapsed="false">
      <c r="B178" s="40"/>
      <c r="C178" s="59" t="s">
        <v>340</v>
      </c>
      <c r="D178" s="40" t="s">
        <v>77</v>
      </c>
      <c r="E178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estaca'!$A$2:$A$974="DEMOLIÇÃO DE CONCRETO SIMPLES")*('MJ – quantidades por estaca'!$F$2:$F$974="LE")))</f>
        <v>5.95</v>
      </c>
      <c r="F178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estaca'!$A$2:$A$974="DEMOLIÇÃO DE CONCRETO SIMPLES")*('MJ – quantidades por estaca'!$F$2:$F$974="LD")))</f>
        <v>0</v>
      </c>
      <c r="G178" s="60" t="n">
        <f aca="false">E178+F178+IF($N$6&lt;&gt;"",0,SUMPRODUCT('MJ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estaca'!$A$2:$A$974="DEMOLIÇÃO DE CONCRETO SIMPLES")*('MJ – quantidades por estaca'!$F$2:$F$974="Eixo")))</f>
        <v>5.95</v>
      </c>
      <c r="H178" s="31"/>
      <c r="I178" s="31"/>
      <c r="J178" s="31"/>
      <c r="K178" s="31"/>
      <c r="L178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estaca'!$A$2:$A$974="DEMOLIÇÃO DE CONCRETO SIMPLES")*('MJ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estaca'!$A$2:$A$974="DEMOLIÇÃO DE CONCRETO SIMPLES")*('MJ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estaca'!$A$2:$A$974="DEMOLIÇÃO DE CONCRETO SIMPLES")*('MJ – quantidades por estaca'!$F$2:$F$974="Eixo"))</f>
        <v>5.95</v>
      </c>
      <c r="P178" s="31"/>
      <c r="Q178" s="31"/>
      <c r="R178" s="67" t="s">
        <v>335</v>
      </c>
    </row>
    <row r="179" customFormat="false" ht="15" hidden="false" customHeight="false" outlineLevel="0" collapsed="false">
      <c r="B179" s="40" t="s">
        <v>341</v>
      </c>
      <c r="C179" s="69" t="s">
        <v>342</v>
      </c>
      <c r="D179" s="40" t="s">
        <v>176</v>
      </c>
      <c r="E179" s="31"/>
      <c r="F179" s="31"/>
      <c r="G179" s="31"/>
      <c r="H179" s="61" t="n">
        <f aca="false">IF($N$6&lt;&gt;"",0,($G$173)*1)</f>
        <v>343</v>
      </c>
      <c r="I179" s="62" t="n">
        <v>22.17</v>
      </c>
      <c r="J179" s="63" t="n">
        <f aca="false">H179*I179</f>
        <v>7604.31</v>
      </c>
      <c r="K179" s="64" t="n">
        <f aca="false">IF($N$6&lt;&gt;"",0,343*IF(($L$173)=0,$N$9,($G$173)/($L$173)))</f>
        <v>343</v>
      </c>
      <c r="O179" s="0" t="n">
        <f aca="false">IF($N$6&lt;&gt;"",0,7604.31*IF(($L$173)=0,$N$9,($G$173)/($L$173)))</f>
        <v>7604.31</v>
      </c>
      <c r="P179" s="65" t="n">
        <f aca="false">O179</f>
        <v>7604.31</v>
      </c>
      <c r="Q179" s="66" t="n">
        <f aca="false">J179-P179</f>
        <v>0</v>
      </c>
      <c r="R179" s="67" t="s">
        <v>343</v>
      </c>
    </row>
    <row r="180" customFormat="false" ht="15" hidden="false" customHeight="false" outlineLevel="0" collapsed="false">
      <c r="B180" s="40" t="s">
        <v>344</v>
      </c>
      <c r="C180" s="69" t="s">
        <v>345</v>
      </c>
      <c r="D180" s="40" t="s">
        <v>176</v>
      </c>
      <c r="E180" s="31"/>
      <c r="F180" s="31"/>
      <c r="G180" s="31"/>
      <c r="H180" s="61" t="n">
        <f aca="false">IF($N$6&lt;&gt;"",0,($G$174)*1)</f>
        <v>453</v>
      </c>
      <c r="I180" s="62" t="n">
        <v>26.6</v>
      </c>
      <c r="J180" s="63" t="n">
        <f aca="false">H180*I180</f>
        <v>12049.8</v>
      </c>
      <c r="K180" s="64" t="n">
        <f aca="false">IF($N$6&lt;&gt;"",0,453*IF(($L$174)=0,$N$9,($G$174)/($L$174)))</f>
        <v>453</v>
      </c>
      <c r="O180" s="0" t="n">
        <f aca="false">IF($N$6&lt;&gt;"",0,12049.8*IF(($L$174)=0,$N$9,($G$174)/($L$174)))</f>
        <v>12049.8</v>
      </c>
      <c r="P180" s="65" t="n">
        <f aca="false">O180</f>
        <v>12049.8</v>
      </c>
      <c r="Q180" s="66" t="n">
        <f aca="false">J180-P180</f>
        <v>0</v>
      </c>
      <c r="R180" s="67" t="s">
        <v>343</v>
      </c>
    </row>
    <row r="181" customFormat="false" ht="15" hidden="false" customHeight="false" outlineLevel="0" collapsed="false">
      <c r="B181" s="40" t="s">
        <v>346</v>
      </c>
      <c r="C181" s="69" t="s">
        <v>347</v>
      </c>
      <c r="D181" s="40" t="s">
        <v>176</v>
      </c>
      <c r="E181" s="31"/>
      <c r="F181" s="31"/>
      <c r="G181" s="31"/>
      <c r="H181" s="61" t="n">
        <f aca="false">IF($N$6&lt;&gt;"",0,($G$175)*1)</f>
        <v>30</v>
      </c>
      <c r="I181" s="62" t="n">
        <v>53.21</v>
      </c>
      <c r="J181" s="63" t="n">
        <f aca="false">H181*I181</f>
        <v>1596.3</v>
      </c>
      <c r="K181" s="64" t="n">
        <f aca="false">IF($N$6&lt;&gt;"",0,30*IF(($L$175)=0,$N$9,($G$175)/($L$175)))</f>
        <v>30</v>
      </c>
      <c r="O181" s="0" t="n">
        <f aca="false">IF($N$6&lt;&gt;"",0,1596.3*IF(($L$175)=0,$N$9,($G$175)/($L$175)))</f>
        <v>1596.3</v>
      </c>
      <c r="P181" s="65" t="n">
        <f aca="false">O181</f>
        <v>1596.3</v>
      </c>
      <c r="Q181" s="66" t="n">
        <f aca="false">J181-P181</f>
        <v>0</v>
      </c>
      <c r="R181" s="67" t="s">
        <v>343</v>
      </c>
    </row>
    <row r="182" customFormat="false" ht="15" hidden="false" customHeight="false" outlineLevel="0" collapsed="false">
      <c r="B182" s="40" t="s">
        <v>348</v>
      </c>
      <c r="C182" s="69" t="s">
        <v>349</v>
      </c>
      <c r="D182" s="40" t="s">
        <v>176</v>
      </c>
      <c r="E182" s="31"/>
      <c r="F182" s="31"/>
      <c r="G182" s="31"/>
      <c r="H182" s="61" t="n">
        <f aca="false">IF($N$6&lt;&gt;"",0,($G$176)*1)</f>
        <v>51</v>
      </c>
      <c r="I182" s="62" t="n">
        <v>53.06</v>
      </c>
      <c r="J182" s="63" t="n">
        <f aca="false">H182*I182</f>
        <v>2706.06</v>
      </c>
      <c r="K182" s="64" t="n">
        <f aca="false">IF($N$6&lt;&gt;"",0,51*IF(($L$176)=0,$N$9,($G$176)/($L$176)))</f>
        <v>51</v>
      </c>
      <c r="O182" s="0" t="n">
        <f aca="false">IF($N$6&lt;&gt;"",0,2706.06*IF(($L$176)=0,$N$9,($G$176)/($L$176)))</f>
        <v>2706.06</v>
      </c>
      <c r="P182" s="65" t="n">
        <f aca="false">O182</f>
        <v>2706.06</v>
      </c>
      <c r="Q182" s="66" t="n">
        <f aca="false">J182-P182</f>
        <v>0</v>
      </c>
      <c r="R182" s="67" t="s">
        <v>343</v>
      </c>
    </row>
    <row r="183" customFormat="false" ht="15" hidden="false" customHeight="false" outlineLevel="0" collapsed="false">
      <c r="B183" s="40" t="s">
        <v>350</v>
      </c>
      <c r="C183" s="69" t="s">
        <v>351</v>
      </c>
      <c r="D183" s="40" t="s">
        <v>77</v>
      </c>
      <c r="E183" s="31"/>
      <c r="F183" s="31"/>
      <c r="G183" s="31"/>
      <c r="H183" s="61" t="n">
        <f aca="false">IF($N$6&lt;&gt;"",0,($G$177)*1)</f>
        <v>12.07</v>
      </c>
      <c r="I183" s="62" t="n">
        <v>343.82</v>
      </c>
      <c r="J183" s="63" t="n">
        <f aca="false">H183*I183</f>
        <v>4149.9074</v>
      </c>
      <c r="K183" s="64" t="n">
        <f aca="false">IF($N$6&lt;&gt;"",0,12.08*IF(($L$177)=0,$N$9,($G$177)/($L$177)))</f>
        <v>12.08</v>
      </c>
      <c r="O183" s="0" t="n">
        <f aca="false">IF($N$6&lt;&gt;"",0,4153.34*IF(($L$177)=0,$N$9,($G$177)/($L$177)))</f>
        <v>4153.34</v>
      </c>
      <c r="P183" s="65" t="n">
        <f aca="false">O183</f>
        <v>4153.34</v>
      </c>
      <c r="Q183" s="66" t="n">
        <f aca="false">J183-P183</f>
        <v>-3.43260000000009</v>
      </c>
      <c r="R183" s="67" t="s">
        <v>343</v>
      </c>
    </row>
    <row r="184" customFormat="false" ht="15" hidden="false" customHeight="false" outlineLevel="0" collapsed="false">
      <c r="B184" s="40" t="s">
        <v>352</v>
      </c>
      <c r="C184" s="69" t="s">
        <v>353</v>
      </c>
      <c r="D184" s="40" t="s">
        <v>77</v>
      </c>
      <c r="E184" s="31"/>
      <c r="F184" s="31"/>
      <c r="G184" s="31"/>
      <c r="H184" s="61" t="n">
        <f aca="false">IF($N$6&lt;&gt;"",0,($G$178)*1)</f>
        <v>5.95</v>
      </c>
      <c r="I184" s="62" t="n">
        <v>164.4</v>
      </c>
      <c r="J184" s="63" t="n">
        <f aca="false">H184*I184</f>
        <v>978.18</v>
      </c>
      <c r="K184" s="64" t="n">
        <f aca="false">IF($N$6&lt;&gt;"",0,5.95*IF(($L$178)=0,$N$9,($G$178)/($L$178)))</f>
        <v>5.95</v>
      </c>
      <c r="O184" s="0" t="n">
        <f aca="false">IF($N$6&lt;&gt;"",0,978.18*IF(($L$178)=0,$N$9,($G$178)/($L$178)))</f>
        <v>978.18</v>
      </c>
      <c r="P184" s="65" t="n">
        <f aca="false">O184</f>
        <v>978.18</v>
      </c>
      <c r="Q184" s="66" t="n">
        <f aca="false">J184-P184</f>
        <v>0</v>
      </c>
      <c r="R184" s="67" t="s">
        <v>343</v>
      </c>
    </row>
    <row r="185" customFormat="false" ht="15" hidden="false" customHeight="false" outlineLevel="0" collapsed="false">
      <c r="B185" s="57"/>
      <c r="C185" s="58" t="s">
        <v>354</v>
      </c>
      <c r="D185" s="57"/>
      <c r="E185" s="57"/>
      <c r="F185" s="57"/>
      <c r="G185" s="57"/>
      <c r="H185" s="57"/>
      <c r="I185" s="57"/>
      <c r="J185" s="57"/>
      <c r="K185" s="57"/>
      <c r="P185" s="57"/>
      <c r="Q185" s="57"/>
      <c r="R185" s="57"/>
    </row>
    <row r="186" customFormat="false" ht="15" hidden="false" customHeight="false" outlineLevel="0" collapsed="false">
      <c r="B186" s="40"/>
      <c r="C186" s="59" t="s">
        <v>355</v>
      </c>
      <c r="D186" s="40" t="s">
        <v>176</v>
      </c>
      <c r="E186" s="68" t="n">
        <f aca="false">IF($N$6&lt;&gt;"",0,SUMPRODUCT('Drenagem – canais DR-5'!$E$2:$E$13,((('Drenagem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DR-5'!$D$2:$D$13="LE")))</f>
        <v>430.97</v>
      </c>
      <c r="F186" s="68" t="n">
        <f aca="false">IF($N$6&lt;&gt;"",0,SUMPRODUCT('Drenagem – canais DR-5'!$E$2:$E$13,((('Drenagem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DR-5'!$D$2:$D$13="LD")))</f>
        <v>155.5</v>
      </c>
      <c r="G186" s="60" t="n">
        <f aca="false">E186+F186+IF($N$6&lt;&gt;"",0,SUMPRODUCT('Drenagem – canais DR-5'!$E$2:$E$13,((('Drenagem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DR-5'!$D$2:$D$13="Transversal")))</f>
        <v>719.47</v>
      </c>
      <c r="H186" s="31"/>
      <c r="I186" s="31"/>
      <c r="J186" s="31"/>
      <c r="K186" s="31"/>
      <c r="L186" s="0" t="n">
        <f aca="false">SUMPRODUCT('Drenagem – canais DR-5'!$E$2:$E$13,((('Drenagem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DR-5'!$D$2:$D$13="LE"))+SUMPRODUCT('Drenagem – canais DR-5'!$E$2:$E$13,((('Drenagem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DR-5'!$D$2:$D$13="LD"))+SUMPRODUCT('Drenagem – canais DR-5'!$E$2:$E$13,((('Drenagem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DR-5'!$D$2:$D$13="Transversal"))</f>
        <v>719.47</v>
      </c>
      <c r="P186" s="31"/>
      <c r="Q186" s="31"/>
      <c r="R186" s="67" t="s">
        <v>356</v>
      </c>
    </row>
    <row r="187" customFormat="false" ht="15" hidden="false" customHeight="false" outlineLevel="0" collapsed="false">
      <c r="B187" s="40"/>
      <c r="C187" s="59" t="s">
        <v>357</v>
      </c>
      <c r="D187" s="40" t="s">
        <v>77</v>
      </c>
      <c r="E187" s="68" t="n">
        <f aca="false">IF($N$6&lt;&gt;"",0,SUMPRODUCT('Drenagem – canais DR-5'!$F$2:$F$13,((('Drenagem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DR-5'!$D$2:$D$13="LE")))</f>
        <v>100.5</v>
      </c>
      <c r="F187" s="68" t="n">
        <f aca="false">IF($N$6&lt;&gt;"",0,SUMPRODUCT('Drenagem – canais DR-5'!$F$2:$F$13,((('Drenagem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DR-5'!$D$2:$D$13="LD")))</f>
        <v>66</v>
      </c>
      <c r="G187" s="60" t="n">
        <f aca="false">E187+F187+IF($N$6&lt;&gt;"",0,SUMPRODUCT('Drenagem – canais DR-5'!$F$2:$F$13,((('Drenagem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DR-5'!$D$2:$D$13="Transversal")))</f>
        <v>166.5</v>
      </c>
      <c r="H187" s="31"/>
      <c r="I187" s="31"/>
      <c r="J187" s="31"/>
      <c r="K187" s="31"/>
      <c r="L187" s="0" t="n">
        <f aca="false">SUMPRODUCT('Drenagem – canais DR-5'!$F$2:$F$13,((('Drenagem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DR-5'!$D$2:$D$13="LE"))+SUMPRODUCT('Drenagem – canais DR-5'!$F$2:$F$13,((('Drenagem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DR-5'!$D$2:$D$13="LD"))+SUMPRODUCT('Drenagem – canais DR-5'!$F$2:$F$13,((('Drenagem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DR-5'!$D$2:$D$13="Transversal"))</f>
        <v>166.5</v>
      </c>
      <c r="P187" s="31"/>
      <c r="Q187" s="31"/>
      <c r="R187" s="67" t="s">
        <v>358</v>
      </c>
    </row>
    <row r="188" customFormat="false" ht="15" hidden="false" customHeight="false" outlineLevel="0" collapsed="false">
      <c r="B188" s="40"/>
      <c r="C188" s="59" t="s">
        <v>359</v>
      </c>
      <c r="D188" s="40" t="s">
        <v>77</v>
      </c>
      <c r="E188" s="68" t="n">
        <f aca="false">IF($N$6&lt;&gt;"",0,SUMPRODUCT('Drenagem – canais DR-5'!$G$2:$G$13,((('Drenagem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DR-5'!$D$2:$D$13="LE")))</f>
        <v>476.5</v>
      </c>
      <c r="F188" s="68" t="n">
        <f aca="false">IF($N$6&lt;&gt;"",0,SUMPRODUCT('Drenagem – canais DR-5'!$G$2:$G$13,((('Drenagem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DR-5'!$D$2:$D$13="LD")))</f>
        <v>386.5</v>
      </c>
      <c r="G188" s="60" t="n">
        <f aca="false">E188+F188+IF($N$6&lt;&gt;"",0,SUMPRODUCT('Drenagem – canais DR-5'!$G$2:$G$13,((('Drenagem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DR-5'!$D$2:$D$13="Transversal")))</f>
        <v>863</v>
      </c>
      <c r="H188" s="31"/>
      <c r="I188" s="31"/>
      <c r="J188" s="31"/>
      <c r="K188" s="31"/>
      <c r="L188" s="0" t="n">
        <f aca="false">SUMPRODUCT('Drenagem – canais DR-5'!$G$2:$G$13,((('Drenagem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DR-5'!$D$2:$D$13="LE"))+SUMPRODUCT('Drenagem – canais DR-5'!$G$2:$G$13,((('Drenagem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DR-5'!$D$2:$D$13="LD"))+SUMPRODUCT('Drenagem – canais DR-5'!$G$2:$G$13,((('Drenagem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DR-5'!$D$2:$D$13="Transversal"))</f>
        <v>863</v>
      </c>
      <c r="P188" s="31"/>
      <c r="Q188" s="31"/>
      <c r="R188" s="67" t="s">
        <v>358</v>
      </c>
    </row>
    <row r="189" customFormat="false" ht="15" hidden="false" customHeight="false" outlineLevel="0" collapsed="false">
      <c r="B189" s="40"/>
      <c r="C189" s="59" t="s">
        <v>360</v>
      </c>
      <c r="D189" s="40" t="s">
        <v>73</v>
      </c>
      <c r="E189" s="68" t="n">
        <f aca="false">IF($N$6&lt;&gt;"",0,SUMPRODUCT('Drenagem – canais DR-5'!$H$2:$H$13,((('Drenagem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DR-5'!$D$2:$D$13="LE")))</f>
        <v>942</v>
      </c>
      <c r="F189" s="68" t="n">
        <f aca="false">IF($N$6&lt;&gt;"",0,SUMPRODUCT('Drenagem – canais DR-5'!$H$2:$H$13,((('Drenagem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DR-5'!$D$2:$D$13="LD")))</f>
        <v>1866</v>
      </c>
      <c r="G189" s="60" t="n">
        <f aca="false">E189+F189+IF($N$6&lt;&gt;"",0,SUMPRODUCT('Drenagem – canais DR-5'!$H$2:$H$13,((('Drenagem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DR-5'!$D$2:$D$13="Transversal")))</f>
        <v>6266</v>
      </c>
      <c r="H189" s="31"/>
      <c r="I189" s="31"/>
      <c r="J189" s="31"/>
      <c r="K189" s="31"/>
      <c r="L189" s="0" t="n">
        <f aca="false">SUMPRODUCT('Drenagem – canais DR-5'!$H$2:$H$13,((('Drenagem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DR-5'!$D$2:$D$13="LE"))+SUMPRODUCT('Drenagem – canais DR-5'!$H$2:$H$13,((('Drenagem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DR-5'!$D$2:$D$13="LD"))+SUMPRODUCT('Drenagem – canais DR-5'!$H$2:$H$13,((('Drenagem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DR-5'!$D$2:$D$13="Transversal"))</f>
        <v>6266</v>
      </c>
      <c r="P189" s="31"/>
      <c r="Q189" s="31"/>
      <c r="R189" s="67" t="s">
        <v>356</v>
      </c>
    </row>
    <row r="190" customFormat="false" ht="15" hidden="false" customHeight="false" outlineLevel="0" collapsed="false">
      <c r="B190" s="40"/>
      <c r="C190" s="59" t="s">
        <v>361</v>
      </c>
      <c r="D190" s="40" t="s">
        <v>77</v>
      </c>
      <c r="E190" s="68" t="n">
        <f aca="false">IF($N$6&lt;&gt;"",0,SUMPRODUCT('Drenagem – canais DR-5'!$I$2:$I$13,((('Drenagem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DR-5'!$D$2:$D$13="LE")))</f>
        <v>533.3</v>
      </c>
      <c r="F190" s="68" t="n">
        <f aca="false">IF($N$6&lt;&gt;"",0,SUMPRODUCT('Drenagem – canais DR-5'!$I$2:$I$13,((('Drenagem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DR-5'!$D$2:$D$13="LD")))</f>
        <v>836.3</v>
      </c>
      <c r="G190" s="60" t="n">
        <f aca="false">E190+F190+IF($N$6&lt;&gt;"",0,SUMPRODUCT('Drenagem – canais DR-5'!$I$2:$I$13,((('Drenagem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DR-5'!$D$2:$D$13="Transversal")))</f>
        <v>2752.8</v>
      </c>
      <c r="H190" s="31"/>
      <c r="I190" s="31"/>
      <c r="J190" s="31"/>
      <c r="K190" s="31"/>
      <c r="L190" s="0" t="n">
        <f aca="false">SUMPRODUCT('Drenagem – canais DR-5'!$I$2:$I$13,((('Drenagem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DR-5'!$D$2:$D$13="LE"))+SUMPRODUCT('Drenagem – canais DR-5'!$I$2:$I$13,((('Drenagem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DR-5'!$D$2:$D$13="LD"))+SUMPRODUCT('Drenagem – canais DR-5'!$I$2:$I$13,((('Drenagem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DR-5'!$D$2:$D$13="Transversal"))</f>
        <v>2752.8</v>
      </c>
      <c r="P190" s="31"/>
      <c r="Q190" s="31"/>
      <c r="R190" s="67" t="s">
        <v>356</v>
      </c>
    </row>
    <row r="191" customFormat="false" ht="15" hidden="false" customHeight="false" outlineLevel="0" collapsed="false">
      <c r="B191" s="40"/>
      <c r="C191" s="59" t="s">
        <v>362</v>
      </c>
      <c r="D191" s="40" t="s">
        <v>73</v>
      </c>
      <c r="E191" s="68" t="n">
        <f aca="false">IF($N$6&lt;&gt;"",0,SUMPRODUCT('Drenagem – canais DR-5'!$J$2:$J$13,((('Drenagem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DR-5'!$D$2:$D$13="LE")))</f>
        <v>1771.75</v>
      </c>
      <c r="F191" s="68" t="n">
        <f aca="false">IF($N$6&lt;&gt;"",0,SUMPRODUCT('Drenagem – canais DR-5'!$J$2:$J$13,((('Drenagem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DR-5'!$D$2:$D$13="LD")))</f>
        <v>2424.25</v>
      </c>
      <c r="G191" s="60" t="n">
        <f aca="false">E191+F191+IF($N$6&lt;&gt;"",0,SUMPRODUCT('Drenagem – canais DR-5'!$J$2:$J$13,((('Drenagem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DR-5'!$D$2:$D$13="Transversal")))</f>
        <v>7654</v>
      </c>
      <c r="H191" s="31"/>
      <c r="I191" s="31"/>
      <c r="J191" s="31"/>
      <c r="K191" s="31"/>
      <c r="L191" s="0" t="n">
        <f aca="false">SUMPRODUCT('Drenagem – canais DR-5'!$J$2:$J$13,((('Drenagem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DR-5'!$D$2:$D$13="LE"))+SUMPRODUCT('Drenagem – canais DR-5'!$J$2:$J$13,((('Drenagem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DR-5'!$D$2:$D$13="LD"))+SUMPRODUCT('Drenagem – canais DR-5'!$J$2:$J$13,((('Drenagem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DR-5'!$D$2:$D$13="Transversal"))</f>
        <v>7654</v>
      </c>
      <c r="P191" s="31"/>
      <c r="Q191" s="31"/>
      <c r="R191" s="67" t="s">
        <v>356</v>
      </c>
    </row>
    <row r="192" customFormat="false" ht="15" hidden="false" customHeight="false" outlineLevel="0" collapsed="false">
      <c r="B192" s="40"/>
      <c r="C192" s="59" t="s">
        <v>363</v>
      </c>
      <c r="D192" s="40" t="s">
        <v>77</v>
      </c>
      <c r="E192" s="68" t="n">
        <f aca="false">IF($N$6&lt;&gt;"",0,SUMPRODUCT('Drenagem – canais DR-5'!$K$2:$K$13,((('Drenagem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DR-5'!$D$2:$D$13="LE")))</f>
        <v>227.04</v>
      </c>
      <c r="F192" s="68" t="n">
        <f aca="false">IF($N$6&lt;&gt;"",0,SUMPRODUCT('Drenagem – canais DR-5'!$K$2:$K$13,((('Drenagem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DR-5'!$D$2:$D$13="LD")))</f>
        <v>0</v>
      </c>
      <c r="G192" s="60" t="n">
        <f aca="false">E192+F192+IF($N$6&lt;&gt;"",0,SUMPRODUCT('Drenagem – canais DR-5'!$K$2:$K$13,((('Drenagem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DR-5'!$D$2:$D$13="Transversal")))</f>
        <v>227.04</v>
      </c>
      <c r="H192" s="31"/>
      <c r="I192" s="31"/>
      <c r="J192" s="31"/>
      <c r="K192" s="31"/>
      <c r="L192" s="0" t="n">
        <f aca="false">SUMPRODUCT('Drenagem – canais DR-5'!$K$2:$K$13,((('Drenagem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DR-5'!$D$2:$D$13="LE"))+SUMPRODUCT('Drenagem – canais DR-5'!$K$2:$K$13,((('Drenagem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DR-5'!$D$2:$D$13="LD"))+SUMPRODUCT('Drenagem – canais DR-5'!$K$2:$K$13,((('Drenagem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DR-5'!$D$2:$D$13="Transversal"))</f>
        <v>227.04</v>
      </c>
      <c r="P192" s="31"/>
      <c r="Q192" s="31"/>
      <c r="R192" s="67" t="s">
        <v>358</v>
      </c>
    </row>
    <row r="193" customFormat="false" ht="15" hidden="false" customHeight="false" outlineLevel="0" collapsed="false">
      <c r="B193" s="40"/>
      <c r="C193" s="59" t="s">
        <v>364</v>
      </c>
      <c r="D193" s="40" t="s">
        <v>73</v>
      </c>
      <c r="E193" s="68" t="n">
        <f aca="false">IF($N$6&lt;&gt;"",0,SUMPRODUCT('Drenagem – canais DR-5'!$L$2:$L$13,((('Drenagem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DR-5'!$D$2:$D$13="LE")))</f>
        <v>1001.9928</v>
      </c>
      <c r="F193" s="68" t="n">
        <f aca="false">IF($N$6&lt;&gt;"",0,SUMPRODUCT('Drenagem – canais DR-5'!$L$2:$L$13,((('Drenagem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DR-5'!$D$2:$D$13="LD")))</f>
        <v>0</v>
      </c>
      <c r="G193" s="60" t="n">
        <f aca="false">E193+F193+IF($N$6&lt;&gt;"",0,SUMPRODUCT('Drenagem – canais DR-5'!$L$2:$L$13,((('Drenagem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DR-5'!$D$2:$D$13="Transversal")))</f>
        <v>1001.9928</v>
      </c>
      <c r="H193" s="31"/>
      <c r="I193" s="31"/>
      <c r="J193" s="31"/>
      <c r="K193" s="31"/>
      <c r="L193" s="0" t="n">
        <f aca="false">SUMPRODUCT('Drenagem – canais DR-5'!$L$2:$L$13,((('Drenagem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DR-5'!$D$2:$D$13="LE"))+SUMPRODUCT('Drenagem – canais DR-5'!$L$2:$L$13,((('Drenagem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DR-5'!$D$2:$D$13="LD"))+SUMPRODUCT('Drenagem – canais DR-5'!$L$2:$L$13,((('Drenagem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DR-5'!$D$2:$D$13="Transversal"))</f>
        <v>1001.9928</v>
      </c>
      <c r="P193" s="31"/>
      <c r="Q193" s="31"/>
      <c r="R193" s="67" t="s">
        <v>358</v>
      </c>
    </row>
    <row r="194" customFormat="false" ht="15" hidden="false" customHeight="false" outlineLevel="0" collapsed="false">
      <c r="B194" s="40"/>
      <c r="C194" s="59" t="s">
        <v>365</v>
      </c>
      <c r="D194" s="40" t="s">
        <v>77</v>
      </c>
      <c r="E194" s="68" t="n">
        <f aca="false">IF($N$6&lt;&gt;"",0,SUMPRODUCT('Drenagem – canais DR-5'!$M$2:$M$13,((('Drenagem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DR-5'!$D$2:$D$13="LE")))</f>
        <v>4529.3675</v>
      </c>
      <c r="F194" s="68" t="n">
        <f aca="false">IF($N$6&lt;&gt;"",0,SUMPRODUCT('Drenagem – canais DR-5'!$M$2:$M$13,((('Drenagem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DR-5'!$D$2:$D$13="LD")))</f>
        <v>3569.5</v>
      </c>
      <c r="G194" s="60" t="n">
        <f aca="false">E194+F194+IF($N$6&lt;&gt;"",0,SUMPRODUCT('Drenagem – canais DR-5'!$M$2:$M$13,((('Drenagem – canais DR-5'!$C$2:$C$13&lt;$N$2)*'Drenagem – canais DR-5'!$C$2:$C$13+('Drenagem – canais DR-5'!$C$2:$C$13&gt;=$N$2)*$N$2)-(('Drenagem – canais DR-5'!$B$2:$B$13&gt;$M$2)*'Drenagem – canais DR-5'!$B$2:$B$13+('Drenagem – canais DR-5'!$B$2:$B$13&lt;=$M$2)*$M$2))*('Drenagem – canais DR-5'!$B$2:$B$13&lt;$N$2)*('Drenagem – canais DR-5'!$C$2:$C$13&gt;$M$2)/('Drenagem – canais DR-5'!$C$2:$C$13-'Drenagem – canais DR-5'!$B$2:$B$13)*('Drenagem – canais DR-5'!$D$2:$D$13="Transversal")))</f>
        <v>17807.8675</v>
      </c>
      <c r="H194" s="31"/>
      <c r="I194" s="31"/>
      <c r="J194" s="31"/>
      <c r="K194" s="31"/>
      <c r="L194" s="0" t="n">
        <f aca="false">SUMPRODUCT('Drenagem – canais DR-5'!$M$2:$M$13,((('Drenagem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DR-5'!$D$2:$D$13="LE"))+SUMPRODUCT('Drenagem – canais DR-5'!$M$2:$M$13,((('Drenagem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DR-5'!$D$2:$D$13="LD"))+SUMPRODUCT('Drenagem – canais DR-5'!$M$2:$M$13,((('Drenagem – canais DR-5'!$C$2:$C$13&lt;$N$12)*'Drenagem – canais DR-5'!$C$2:$C$13+('Drenagem – canais DR-5'!$C$2:$C$13&gt;=$N$12)*$N$12)-(('Drenagem – canais DR-5'!$B$2:$B$13&gt;$M$12)*'Drenagem – canais DR-5'!$B$2:$B$13+('Drenagem – canais DR-5'!$B$2:$B$13&lt;=$M$12)*$M$12))*('Drenagem – canais DR-5'!$B$2:$B$13&lt;$N$12)*('Drenagem – canais DR-5'!$C$2:$C$13&gt;$M$12)/('Drenagem – canais DR-5'!$C$2:$C$13-'Drenagem – canais DR-5'!$B$2:$B$13)*('Drenagem – canais DR-5'!$D$2:$D$13="Transversal"))</f>
        <v>17807.8675</v>
      </c>
      <c r="P194" s="31"/>
      <c r="Q194" s="31"/>
      <c r="R194" s="67" t="s">
        <v>358</v>
      </c>
    </row>
    <row r="195" customFormat="false" ht="15" hidden="false" customHeight="false" outlineLevel="0" collapsed="false">
      <c r="B195" s="40" t="s">
        <v>366</v>
      </c>
      <c r="C195" s="69" t="s">
        <v>367</v>
      </c>
      <c r="D195" s="40" t="s">
        <v>77</v>
      </c>
      <c r="E195" s="31"/>
      <c r="F195" s="31"/>
      <c r="G195" s="31"/>
      <c r="H195" s="61" t="n">
        <f aca="false">IF($N$6&lt;&gt;"",0,($G$187)*1)</f>
        <v>166.5</v>
      </c>
      <c r="I195" s="62" t="n">
        <v>1017.57</v>
      </c>
      <c r="J195" s="63" t="n">
        <f aca="false">H195*I195</f>
        <v>169425.405</v>
      </c>
      <c r="K195" s="64" t="n">
        <f aca="false">IF($N$6&lt;&gt;"",0,360.5*IF(($L$187)=0,$N$9,($G$187)/($L$187)))</f>
        <v>360.5</v>
      </c>
      <c r="O195" s="0" t="n">
        <f aca="false">IF($N$6&lt;&gt;"",0,366833.98*IF(($L$187)=0,$N$9,($G$187)/($L$187)))</f>
        <v>366833.98</v>
      </c>
      <c r="P195" s="65" t="n">
        <f aca="false">O195</f>
        <v>366833.98</v>
      </c>
      <c r="Q195" s="66" t="n">
        <f aca="false">J195-P195</f>
        <v>-197408.575</v>
      </c>
      <c r="R195" s="67" t="s">
        <v>368</v>
      </c>
    </row>
    <row r="196" customFormat="false" ht="15" hidden="false" customHeight="false" outlineLevel="0" collapsed="false">
      <c r="B196" s="40" t="s">
        <v>369</v>
      </c>
      <c r="C196" s="69" t="s">
        <v>370</v>
      </c>
      <c r="D196" s="40" t="s">
        <v>77</v>
      </c>
      <c r="E196" s="31"/>
      <c r="F196" s="31"/>
      <c r="G196" s="31"/>
      <c r="H196" s="61" t="n">
        <f aca="false">IF($N$6&lt;&gt;"",0,($G$188)*1)</f>
        <v>863</v>
      </c>
      <c r="I196" s="62" t="n">
        <v>823.68</v>
      </c>
      <c r="J196" s="63" t="n">
        <f aca="false">H196*I196</f>
        <v>710835.84</v>
      </c>
      <c r="K196" s="64" t="n">
        <f aca="false">IF($N$6&lt;&gt;"",0,902*IF(($L$188)=0,$N$9,($G$188)/($L$188)))</f>
        <v>902</v>
      </c>
      <c r="O196" s="0" t="n">
        <f aca="false">IF($N$6&lt;&gt;"",0,742959.36*IF(($L$188)=0,$N$9,($G$188)/($L$188)))</f>
        <v>742959.36</v>
      </c>
      <c r="P196" s="65" t="n">
        <f aca="false">O196</f>
        <v>742959.36</v>
      </c>
      <c r="Q196" s="66" t="n">
        <f aca="false">J196-P196</f>
        <v>-32123.52</v>
      </c>
      <c r="R196" s="67" t="s">
        <v>371</v>
      </c>
    </row>
    <row r="197" customFormat="false" ht="15" hidden="false" customHeight="false" outlineLevel="0" collapsed="false">
      <c r="B197" s="40" t="s">
        <v>372</v>
      </c>
      <c r="C197" s="69" t="s">
        <v>373</v>
      </c>
      <c r="D197" s="40" t="s">
        <v>73</v>
      </c>
      <c r="E197" s="31"/>
      <c r="F197" s="31"/>
      <c r="G197" s="31"/>
      <c r="H197" s="61" t="n">
        <f aca="false">IF($N$6&lt;&gt;"",0,($G$189)*1)</f>
        <v>6266</v>
      </c>
      <c r="I197" s="62" t="n">
        <v>296.51</v>
      </c>
      <c r="J197" s="63" t="n">
        <f aca="false">H197*I197</f>
        <v>1857931.66</v>
      </c>
      <c r="K197" s="64" t="n">
        <f aca="false">IF($N$6&lt;&gt;"",0,6854*IF(($L$189)=0,$N$9,($G$189)/($L$189)))</f>
        <v>6854</v>
      </c>
      <c r="O197" s="0" t="n">
        <f aca="false">IF($N$6&lt;&gt;"",0,2032279.54*IF(($L$189)=0,$N$9,($G$189)/($L$189)))</f>
        <v>2032279.54</v>
      </c>
      <c r="P197" s="65" t="n">
        <f aca="false">O197</f>
        <v>2032279.54</v>
      </c>
      <c r="Q197" s="66" t="n">
        <f aca="false">J197-P197</f>
        <v>-174347.88</v>
      </c>
      <c r="R197" s="67" t="s">
        <v>374</v>
      </c>
    </row>
    <row r="198" customFormat="false" ht="15" hidden="false" customHeight="false" outlineLevel="0" collapsed="false">
      <c r="B198" s="40" t="s">
        <v>375</v>
      </c>
      <c r="C198" s="69" t="s">
        <v>376</v>
      </c>
      <c r="D198" s="40" t="s">
        <v>77</v>
      </c>
      <c r="E198" s="31"/>
      <c r="F198" s="31"/>
      <c r="G198" s="31"/>
      <c r="H198" s="61" t="n">
        <f aca="false">IF($N$6&lt;&gt;"",0,($G$192)*1)</f>
        <v>227.04</v>
      </c>
      <c r="I198" s="62" t="n">
        <v>456.92</v>
      </c>
      <c r="J198" s="63" t="n">
        <f aca="false">H198*I198</f>
        <v>103739.1168</v>
      </c>
      <c r="K198" s="64" t="n">
        <f aca="false">IF($N$6&lt;&gt;"",0,226.82*IF(($L$192)=0,$N$9,($G$192)/($L$192)))</f>
        <v>226.82</v>
      </c>
      <c r="O198" s="0" t="n">
        <f aca="false">IF($N$6&lt;&gt;"",0,103638.59*IF(($L$192)=0,$N$9,($G$192)/($L$192)))</f>
        <v>103638.59</v>
      </c>
      <c r="P198" s="65" t="n">
        <f aca="false">O198</f>
        <v>103638.59</v>
      </c>
      <c r="Q198" s="66" t="n">
        <f aca="false">J198-P198</f>
        <v>100.526800000021</v>
      </c>
      <c r="R198" s="67" t="s">
        <v>377</v>
      </c>
    </row>
    <row r="199" customFormat="false" ht="15" hidden="false" customHeight="false" outlineLevel="0" collapsed="false">
      <c r="B199" s="57"/>
      <c r="C199" s="58" t="s">
        <v>378</v>
      </c>
      <c r="D199" s="57"/>
      <c r="E199" s="57"/>
      <c r="F199" s="57"/>
      <c r="G199" s="57"/>
      <c r="H199" s="57"/>
      <c r="I199" s="57"/>
      <c r="J199" s="57"/>
      <c r="K199" s="57"/>
      <c r="P199" s="57"/>
      <c r="Q199" s="57"/>
      <c r="R199" s="57"/>
    </row>
    <row r="200" customFormat="false" ht="15" hidden="false" customHeight="false" outlineLevel="0" collapsed="false">
      <c r="B200" s="40" t="s">
        <v>379</v>
      </c>
      <c r="C200" s="59" t="s">
        <v>380</v>
      </c>
      <c r="D200" s="40" t="s">
        <v>176</v>
      </c>
      <c r="E200" s="31"/>
      <c r="F200" s="31"/>
      <c r="G200" s="60" t="n">
        <f aca="false">IF($N$6&lt;&gt;"",0,SUMIFS('Drenagem pontual'!$G$2:$G$450,'Drenagem pontual'!$B$2:$B$450,"&gt;="&amp;$M$2,'Drenagem pontual'!$B$2:$B$450,"&lt;"&amp;($N$2+($N$2&gt;=Estacas!$B$650-0.00001)*0.001),'Drenagem pontual'!$C$2:$C$450,"DSS 02 (espinha de peixe)"))</f>
        <v>1593.85</v>
      </c>
      <c r="H200" s="61" t="n">
        <f aca="false">IF($N$6&lt;&gt;"",0,$G$200)</f>
        <v>1593.85</v>
      </c>
      <c r="I200" s="62" t="n">
        <v>25.59</v>
      </c>
      <c r="J200" s="63" t="n">
        <f aca="false">H200*I200</f>
        <v>40786.6215</v>
      </c>
      <c r="K200" s="64" t="n">
        <f aca="false">IF($N$6&lt;&gt;"",0,1594*IF($L$200=0,$N$9,$G$200/$L$200))</f>
        <v>1594</v>
      </c>
      <c r="L200" s="0" t="n">
        <f aca="false">SUMIFS('Drenagem pontual'!$G$2:$G$450,'Drenagem pontual'!$B$2:$B$450,"&gt;="&amp;$M$12,'Drenagem pontual'!$B$2:$B$450,"&lt;"&amp;($N$12+($N$12&gt;=Estacas!$B$650-0.00001)*0.001),'Drenagem pontual'!$C$2:$C$450,"DSS 02 (espinha de peixe)")</f>
        <v>1593.85</v>
      </c>
      <c r="O200" s="0" t="n">
        <f aca="false">IF($N$6&lt;&gt;"",0,40790.46*IF($L$200=0,$N$9,$G$200/$L$200))</f>
        <v>40790.46</v>
      </c>
      <c r="P200" s="65" t="n">
        <f aca="false">O200</f>
        <v>40790.46</v>
      </c>
      <c r="Q200" s="66" t="n">
        <f aca="false">J200-P200</f>
        <v>-3.8385000000053</v>
      </c>
      <c r="R200" s="67" t="s">
        <v>381</v>
      </c>
    </row>
    <row r="201" customFormat="false" ht="15" hidden="false" customHeight="false" outlineLevel="0" collapsed="false">
      <c r="B201" s="40" t="s">
        <v>382</v>
      </c>
      <c r="C201" s="59" t="s">
        <v>383</v>
      </c>
      <c r="D201" s="40" t="s">
        <v>80</v>
      </c>
      <c r="E201" s="68" t="n">
        <f aca="false">IF($N$6&lt;&gt;"",0,SUMIFS('Drenagem pontual'!$F$2:$F$450,'Drenagem pontual'!$B$2:$B$450,"&gt;="&amp;$M$2,'Drenagem pontual'!$B$2:$B$450,"&lt;"&amp;($N$2+($N$2&gt;=Estacas!$B$650-0.00001)*0.001),'Drenagem pontual'!$C$2:$C$450,"BSD 02",'Drenagem pontual'!$E$2:$E$450,"LE"))</f>
        <v>36</v>
      </c>
      <c r="F201" s="68" t="n">
        <f aca="false">IF($N$6&lt;&gt;"",0,SUMIFS('Drenagem pontual'!$F$2:$F$450,'Drenagem pontual'!$B$2:$B$450,"&gt;="&amp;$M$2,'Drenagem pontual'!$B$2:$B$450,"&lt;"&amp;($N$2+($N$2&gt;=Estacas!$B$650-0.00001)*0.001),'Drenagem pontual'!$C$2:$C$450,"BSD 02",'Drenagem pontual'!$E$2:$E$450,"LD"))</f>
        <v>34</v>
      </c>
      <c r="G201" s="60" t="n">
        <f aca="false">IF($N$6&lt;&gt;"",0,SUMIFS('Drenagem pontual'!$F$2:$F$450,'Drenagem pontual'!$B$2:$B$450,"&gt;="&amp;$M$2,'Drenagem pontual'!$B$2:$B$450,"&lt;"&amp;($N$2+($N$2&gt;=Estacas!$B$650-0.00001)*0.001),'Drenagem pontual'!$C$2:$C$450,"BSD 02"))</f>
        <v>70</v>
      </c>
      <c r="H201" s="61" t="n">
        <f aca="false">IF($N$6&lt;&gt;"",0,$G$201)</f>
        <v>70</v>
      </c>
      <c r="I201" s="62" t="n">
        <v>384.51</v>
      </c>
      <c r="J201" s="63" t="n">
        <f aca="false">H201*I201</f>
        <v>26915.7</v>
      </c>
      <c r="K201" s="64" t="n">
        <f aca="false">IF($N$6&lt;&gt;"",0,58*IF($L$201=0,$N$9,$G$201/$L$201))</f>
        <v>58</v>
      </c>
      <c r="L201" s="0" t="n">
        <f aca="false">SUMIFS('Drenagem pontual'!$F$2:$F$450,'Drenagem pontual'!$B$2:$B$450,"&gt;="&amp;$M$12,'Drenagem pontual'!$B$2:$B$450,"&lt;"&amp;($N$12+($N$12&gt;=Estacas!$B$650-0.00001)*0.001),'Drenagem pontual'!$C$2:$C$450,"BSD 02")</f>
        <v>70</v>
      </c>
      <c r="O201" s="0" t="n">
        <f aca="false">IF($N$6&lt;&gt;"",0,22301.58*IF($L$201=0,$N$9,$G$201/$L$201))</f>
        <v>22301.58</v>
      </c>
      <c r="P201" s="65" t="n">
        <f aca="false">O201</f>
        <v>22301.58</v>
      </c>
      <c r="Q201" s="66" t="n">
        <f aca="false">J201-P201</f>
        <v>4614.12</v>
      </c>
      <c r="R201" s="67" t="s">
        <v>384</v>
      </c>
    </row>
    <row r="202" customFormat="false" ht="15" hidden="false" customHeight="false" outlineLevel="0" collapsed="false">
      <c r="B202" s="40" t="s">
        <v>385</v>
      </c>
      <c r="C202" s="59" t="s">
        <v>386</v>
      </c>
      <c r="D202" s="40" t="s">
        <v>80</v>
      </c>
      <c r="E202" s="68" t="n">
        <f aca="false">IF($N$6&lt;&gt;"",0,SUMIFS('Drenagem pontual'!$F$2:$F$450,'Drenagem pontual'!$B$2:$B$450,"&gt;="&amp;$M$2,'Drenagem pontual'!$B$2:$B$450,"&lt;"&amp;($N$2+($N$2&gt;=Estacas!$B$650-0.00001)*0.001),'Drenagem pontual'!$C$2:$C$450,"PV 2",'Drenagem pontual'!$E$2:$E$450,"LE"))</f>
        <v>0</v>
      </c>
      <c r="F202" s="68" t="n">
        <f aca="false">IF($N$6&lt;&gt;"",0,SUMIFS('Drenagem pontual'!$F$2:$F$450,'Drenagem pontual'!$B$2:$B$450,"&gt;="&amp;$M$2,'Drenagem pontual'!$B$2:$B$450,"&lt;"&amp;($N$2+($N$2&gt;=Estacas!$B$650-0.00001)*0.001),'Drenagem pontual'!$C$2:$C$450,"PV 2",'Drenagem pontual'!$E$2:$E$450,"LD"))</f>
        <v>0</v>
      </c>
      <c r="G202" s="60" t="n">
        <f aca="false">IF($N$6&lt;&gt;"",0,SUMIFS('Drenagem pontual'!$F$2:$F$450,'Drenagem pontual'!$B$2:$B$450,"&gt;="&amp;$M$2,'Drenagem pontual'!$B$2:$B$450,"&lt;"&amp;($N$2+($N$2&gt;=Estacas!$B$650-0.00001)*0.001),'Drenagem pontual'!$C$2:$C$450,"PV 2"))</f>
        <v>5</v>
      </c>
      <c r="H202" s="61" t="n">
        <f aca="false">IF($N$6&lt;&gt;"",0,$G$202)</f>
        <v>5</v>
      </c>
      <c r="I202" s="62" t="n">
        <v>544.96</v>
      </c>
      <c r="J202" s="63" t="n">
        <f aca="false">H202*I202</f>
        <v>2724.8</v>
      </c>
      <c r="K202" s="64" t="n">
        <f aca="false">IF($N$6&lt;&gt;"",0,36*IF($L$202=0,$N$9,$G$202/$L$202))</f>
        <v>36</v>
      </c>
      <c r="L202" s="0" t="n">
        <f aca="false">SUMIFS('Drenagem pontual'!$F$2:$F$450,'Drenagem pontual'!$B$2:$B$450,"&gt;="&amp;$M$12,'Drenagem pontual'!$B$2:$B$450,"&lt;"&amp;($N$12+($N$12&gt;=Estacas!$B$650-0.00001)*0.001),'Drenagem pontual'!$C$2:$C$450,"PV 2")</f>
        <v>5</v>
      </c>
      <c r="O202" s="0" t="n">
        <f aca="false">IF($N$6&lt;&gt;"",0,19618.56*IF($L$202=0,$N$9,$G$202/$L$202))</f>
        <v>19618.56</v>
      </c>
      <c r="P202" s="65" t="n">
        <f aca="false">O202</f>
        <v>19618.56</v>
      </c>
      <c r="Q202" s="66" t="n">
        <f aca="false">J202-P202</f>
        <v>-16893.76</v>
      </c>
      <c r="R202" s="67" t="s">
        <v>384</v>
      </c>
    </row>
    <row r="203" customFormat="false" ht="15" hidden="false" customHeight="false" outlineLevel="0" collapsed="false">
      <c r="B203" s="40" t="s">
        <v>387</v>
      </c>
      <c r="C203" s="69" t="s">
        <v>388</v>
      </c>
      <c r="D203" s="40" t="s">
        <v>80</v>
      </c>
      <c r="E203" s="31"/>
      <c r="F203" s="31"/>
      <c r="G203" s="31"/>
      <c r="H203" s="76" t="n">
        <f aca="false">IF($N$6&lt;&gt;"",0,12*IF(($L$200)=0,$N$9,($G$200)/($L$200)))</f>
        <v>12</v>
      </c>
      <c r="I203" s="62" t="n">
        <v>211.89</v>
      </c>
      <c r="J203" s="63" t="n">
        <f aca="false">H203*I203</f>
        <v>2542.68</v>
      </c>
      <c r="K203" s="64" t="n">
        <f aca="false">IF($N$6&lt;&gt;"",0,12*IF(($L$200)=0,$N$9,($G$200)/($L$200)))</f>
        <v>12</v>
      </c>
      <c r="O203" s="0" t="n">
        <f aca="false">IF($N$6&lt;&gt;"",0,2542.68*IF(($L$200)=0,$N$9,($G$200)/($L$200)))</f>
        <v>2542.68</v>
      </c>
      <c r="P203" s="65" t="n">
        <f aca="false">O203</f>
        <v>2542.68</v>
      </c>
      <c r="Q203" s="66" t="n">
        <f aca="false">J203-P203</f>
        <v>0</v>
      </c>
      <c r="R203" s="67" t="s">
        <v>389</v>
      </c>
    </row>
    <row r="204" customFormat="false" ht="15" hidden="false" customHeight="false" outlineLevel="0" collapsed="false">
      <c r="B204" s="57"/>
      <c r="C204" s="58" t="s">
        <v>390</v>
      </c>
      <c r="D204" s="57"/>
      <c r="E204" s="57"/>
      <c r="F204" s="57"/>
      <c r="G204" s="57"/>
      <c r="H204" s="57"/>
      <c r="I204" s="57"/>
      <c r="J204" s="57"/>
      <c r="K204" s="57"/>
      <c r="P204" s="57"/>
      <c r="Q204" s="57"/>
      <c r="R204" s="57"/>
    </row>
    <row r="205" customFormat="false" ht="15" hidden="false" customHeight="false" outlineLevel="0" collapsed="false">
      <c r="B205" s="40"/>
      <c r="C205" s="59" t="s">
        <v>391</v>
      </c>
      <c r="D205" s="40" t="s">
        <v>80</v>
      </c>
      <c r="E205" s="68" t="n">
        <f aca="false">IF($N$6&lt;&gt;"",0,SUMIFS('Drenagem pontual'!$F$2:$F$450,'Drenagem pontual'!$B$2:$B$450,"&gt;="&amp;$M$2,'Drenagem pontual'!$B$2:$B$450,"&lt;"&amp;($N$2+($N$2&gt;=Estacas!$B$650-0.00001)*0.001),'Drenagem pontual'!$C$2:$C$450,"Bacia de captação",'Drenagem pontual'!$E$2:$E$450,"LE"))</f>
        <v>4</v>
      </c>
      <c r="F205" s="68" t="n">
        <f aca="false">IF($N$6&lt;&gt;"",0,SUMIFS('Drenagem pontual'!$F$2:$F$450,'Drenagem pontual'!$B$2:$B$450,"&gt;="&amp;$M$2,'Drenagem pontual'!$B$2:$B$450,"&lt;"&amp;($N$2+($N$2&gt;=Estacas!$B$650-0.00001)*0.001),'Drenagem pontual'!$C$2:$C$450,"Bacia de captação",'Drenagem pontual'!$E$2:$E$450,"LD"))</f>
        <v>10</v>
      </c>
      <c r="G205" s="60" t="n">
        <f aca="false">IF($N$6&lt;&gt;"",0,SUMIFS('Drenagem pontual'!$F$2:$F$450,'Drenagem pontual'!$B$2:$B$450,"&gt;="&amp;$M$2,'Drenagem pontual'!$B$2:$B$450,"&lt;"&amp;($N$2+($N$2&gt;=Estacas!$B$650-0.00001)*0.001),'Drenagem pontual'!$C$2:$C$450,"Bacia de captação"))</f>
        <v>14</v>
      </c>
      <c r="H205" s="31"/>
      <c r="I205" s="31"/>
      <c r="J205" s="31"/>
      <c r="K205" s="31"/>
      <c r="L205" s="0" t="n">
        <f aca="false">SUMIFS('Drenagem pontual'!$F$2:$F$450,'Drenagem pontual'!$B$2:$B$450,"&gt;="&amp;$M$12,'Drenagem pontual'!$B$2:$B$450,"&lt;"&amp;($N$12+($N$12&gt;=Estacas!$B$650-0.00001)*0.001),'Drenagem pontual'!$C$2:$C$450,"Bacia de captação")</f>
        <v>14</v>
      </c>
      <c r="P205" s="31"/>
      <c r="Q205" s="31"/>
      <c r="R205" s="67" t="s">
        <v>392</v>
      </c>
    </row>
    <row r="206" customFormat="false" ht="15" hidden="false" customHeight="false" outlineLevel="0" collapsed="false">
      <c r="B206" s="40"/>
      <c r="C206" s="59" t="s">
        <v>393</v>
      </c>
      <c r="D206" s="40" t="s">
        <v>80</v>
      </c>
      <c r="E206" s="68" t="n">
        <f aca="false">IF($N$6&lt;&gt;"",0,SUMIFS('Drenagem pontual'!$F$2:$F$450,'Drenagem pontual'!$B$2:$B$450,"&gt;="&amp;$M$2,'Drenagem pontual'!$B$2:$B$450,"&lt;"&amp;($N$2+($N$2&gt;=Estacas!$B$650-0.00001)*0.001),'Drenagem pontual'!$C$2:$C$450,"Vala de captação – grama curta",'Drenagem pontual'!$E$2:$E$450,"LE"))</f>
        <v>1</v>
      </c>
      <c r="F206" s="68" t="n">
        <f aca="false">IF($N$6&lt;&gt;"",0,SUMIFS('Drenagem pontual'!$F$2:$F$450,'Drenagem pontual'!$B$2:$B$450,"&gt;="&amp;$M$2,'Drenagem pontual'!$B$2:$B$450,"&lt;"&amp;($N$2+($N$2&gt;=Estacas!$B$650-0.00001)*0.001),'Drenagem pontual'!$C$2:$C$450,"Vala de captação – grama curta",'Drenagem pontual'!$E$2:$E$450,"LD"))</f>
        <v>0</v>
      </c>
      <c r="G206" s="60" t="n">
        <f aca="false">IF($N$6&lt;&gt;"",0,SUMIFS('Drenagem pontual'!$F$2:$F$450,'Drenagem pontual'!$B$2:$B$450,"&gt;="&amp;$M$2,'Drenagem pontual'!$B$2:$B$450,"&lt;"&amp;($N$2+($N$2&gt;=Estacas!$B$650-0.00001)*0.001),'Drenagem pontual'!$C$2:$C$450,"Vala de captação – grama curta"))</f>
        <v>1</v>
      </c>
      <c r="H206" s="31"/>
      <c r="I206" s="31"/>
      <c r="J206" s="31"/>
      <c r="K206" s="31"/>
      <c r="L206" s="0" t="n">
        <f aca="false">SUMIFS('Drenagem pontual'!$F$2:$F$450,'Drenagem pontual'!$B$2:$B$450,"&gt;="&amp;$M$12,'Drenagem pontual'!$B$2:$B$450,"&lt;"&amp;($N$12+($N$12&gt;=Estacas!$B$650-0.00001)*0.001),'Drenagem pontual'!$C$2:$C$450,"Vala de captação – grama curta")</f>
        <v>1</v>
      </c>
      <c r="P206" s="31"/>
      <c r="Q206" s="31"/>
      <c r="R206" s="67" t="s">
        <v>392</v>
      </c>
    </row>
    <row r="207" customFormat="false" ht="15" hidden="false" customHeight="false" outlineLevel="0" collapsed="false">
      <c r="B207" s="40"/>
      <c r="C207" s="59" t="s">
        <v>394</v>
      </c>
      <c r="D207" s="40" t="s">
        <v>80</v>
      </c>
      <c r="E207" s="68" t="n">
        <f aca="false">IF($N$6&lt;&gt;"",0,SUMIFS('Drenagem pontual'!$F$2:$F$450,'Drenagem pontual'!$B$2:$B$450,"&gt;="&amp;$M$2,'Drenagem pontual'!$B$2:$B$450,"&lt;"&amp;($N$2+($N$2&gt;=Estacas!$B$650-0.00001)*0.001),'Drenagem pontual'!$C$2:$C$450,"Vala de captação – pedra argamassada",'Drenagem pontual'!$E$2:$E$450,"LE"))</f>
        <v>0</v>
      </c>
      <c r="F207" s="68" t="n">
        <f aca="false">IF($N$6&lt;&gt;"",0,SUMIFS('Drenagem pontual'!$F$2:$F$450,'Drenagem pontual'!$B$2:$B$450,"&gt;="&amp;$M$2,'Drenagem pontual'!$B$2:$B$450,"&lt;"&amp;($N$2+($N$2&gt;=Estacas!$B$650-0.00001)*0.001),'Drenagem pontual'!$C$2:$C$450,"Vala de captação – pedra argamassada",'Drenagem pontual'!$E$2:$E$450,"LD"))</f>
        <v>1</v>
      </c>
      <c r="G207" s="60" t="n">
        <f aca="false">IF($N$6&lt;&gt;"",0,SUMIFS('Drenagem pontual'!$F$2:$F$450,'Drenagem pontual'!$B$2:$B$450,"&gt;="&amp;$M$2,'Drenagem pontual'!$B$2:$B$450,"&lt;"&amp;($N$2+($N$2&gt;=Estacas!$B$650-0.00001)*0.001),'Drenagem pontual'!$C$2:$C$450,"Vala de captação – pedra argamassada"))</f>
        <v>1</v>
      </c>
      <c r="H207" s="31"/>
      <c r="I207" s="31"/>
      <c r="J207" s="31"/>
      <c r="K207" s="31"/>
      <c r="L207" s="0" t="n">
        <f aca="false">SUMIFS('Drenagem pontual'!$F$2:$F$450,'Drenagem pontual'!$B$2:$B$450,"&gt;="&amp;$M$12,'Drenagem pontual'!$B$2:$B$450,"&lt;"&amp;($N$12+($N$12&gt;=Estacas!$B$650-0.00001)*0.001),'Drenagem pontual'!$C$2:$C$450,"Vala de captação – pedra argamassada")</f>
        <v>1</v>
      </c>
      <c r="P207" s="31"/>
      <c r="Q207" s="31"/>
      <c r="R207" s="67" t="s">
        <v>392</v>
      </c>
    </row>
    <row r="208" customFormat="false" ht="15" hidden="false" customHeight="false" outlineLevel="0" collapsed="false">
      <c r="B208" s="40"/>
      <c r="C208" s="59" t="s">
        <v>395</v>
      </c>
      <c r="D208" s="40" t="s">
        <v>80</v>
      </c>
      <c r="E208" s="68" t="n">
        <f aca="false">IF($N$6&lt;&gt;"",0,SUMIFS('Drenagem pontual'!$F$2:$F$450,'Drenagem pontual'!$B$2:$B$450,"&gt;="&amp;$M$2,'Drenagem pontual'!$B$2:$B$450,"&lt;"&amp;($N$2+($N$2&gt;=Estacas!$B$650-0.00001)*0.001),'Drenagem pontual'!$C$2:$C$450,"Vala de descarga – grama curta",'Drenagem pontual'!$E$2:$E$450,"LE"))</f>
        <v>4</v>
      </c>
      <c r="F208" s="68" t="n">
        <f aca="false">IF($N$6&lt;&gt;"",0,SUMIFS('Drenagem pontual'!$F$2:$F$450,'Drenagem pontual'!$B$2:$B$450,"&gt;="&amp;$M$2,'Drenagem pontual'!$B$2:$B$450,"&lt;"&amp;($N$2+($N$2&gt;=Estacas!$B$650-0.00001)*0.001),'Drenagem pontual'!$C$2:$C$450,"Vala de descarga – grama curta",'Drenagem pontual'!$E$2:$E$450,"LD"))</f>
        <v>6</v>
      </c>
      <c r="G208" s="60" t="n">
        <f aca="false">IF($N$6&lt;&gt;"",0,SUMIFS('Drenagem pontual'!$F$2:$F$450,'Drenagem pontual'!$B$2:$B$450,"&gt;="&amp;$M$2,'Drenagem pontual'!$B$2:$B$450,"&lt;"&amp;($N$2+($N$2&gt;=Estacas!$B$650-0.00001)*0.001),'Drenagem pontual'!$C$2:$C$450,"Vala de descarga – grama curta"))</f>
        <v>10</v>
      </c>
      <c r="H208" s="31"/>
      <c r="I208" s="31"/>
      <c r="J208" s="31"/>
      <c r="K208" s="31"/>
      <c r="L208" s="0" t="n">
        <f aca="false">SUMIFS('Drenagem pontual'!$F$2:$F$450,'Drenagem pontual'!$B$2:$B$450,"&gt;="&amp;$M$12,'Drenagem pontual'!$B$2:$B$450,"&lt;"&amp;($N$12+($N$12&gt;=Estacas!$B$650-0.00001)*0.001),'Drenagem pontual'!$C$2:$C$450,"Vala de descarga – grama curta")</f>
        <v>10</v>
      </c>
      <c r="P208" s="31"/>
      <c r="Q208" s="31"/>
      <c r="R208" s="67" t="s">
        <v>392</v>
      </c>
    </row>
    <row r="209" customFormat="false" ht="15" hidden="false" customHeight="false" outlineLevel="0" collapsed="false">
      <c r="B209" s="40"/>
      <c r="C209" s="59" t="s">
        <v>396</v>
      </c>
      <c r="D209" s="40" t="s">
        <v>80</v>
      </c>
      <c r="E209" s="68" t="n">
        <f aca="false">IF($N$6&lt;&gt;"",0,SUMIFS('Drenagem pontual'!$F$2:$F$450,'Drenagem pontual'!$B$2:$B$450,"&gt;="&amp;$M$2,'Drenagem pontual'!$B$2:$B$450,"&lt;"&amp;($N$2+($N$2&gt;=Estacas!$B$650-0.00001)*0.001),'Drenagem pontual'!$C$2:$C$450,"EDA 01",'Drenagem pontual'!$E$2:$E$450,"LE"))</f>
        <v>14</v>
      </c>
      <c r="F209" s="68" t="n">
        <f aca="false">IF($N$6&lt;&gt;"",0,SUMIFS('Drenagem pontual'!$F$2:$F$450,'Drenagem pontual'!$B$2:$B$450,"&gt;="&amp;$M$2,'Drenagem pontual'!$B$2:$B$450,"&lt;"&amp;($N$2+($N$2&gt;=Estacas!$B$650-0.00001)*0.001),'Drenagem pontual'!$C$2:$C$450,"EDA 01",'Drenagem pontual'!$E$2:$E$450,"LD"))</f>
        <v>10</v>
      </c>
      <c r="G209" s="60" t="n">
        <f aca="false">IF($N$6&lt;&gt;"",0,SUMIFS('Drenagem pontual'!$F$2:$F$450,'Drenagem pontual'!$B$2:$B$450,"&gt;="&amp;$M$2,'Drenagem pontual'!$B$2:$B$450,"&lt;"&amp;($N$2+($N$2&gt;=Estacas!$B$650-0.00001)*0.001),'Drenagem pontual'!$C$2:$C$450,"EDA 01"))</f>
        <v>24</v>
      </c>
      <c r="H209" s="31"/>
      <c r="I209" s="31"/>
      <c r="J209" s="31"/>
      <c r="K209" s="31"/>
      <c r="L209" s="0" t="n">
        <f aca="false">SUMIFS('Drenagem pontual'!$F$2:$F$450,'Drenagem pontual'!$B$2:$B$450,"&gt;="&amp;$M$12,'Drenagem pontual'!$B$2:$B$450,"&lt;"&amp;($N$12+($N$12&gt;=Estacas!$B$650-0.00001)*0.001),'Drenagem pontual'!$C$2:$C$450,"EDA 01")</f>
        <v>24</v>
      </c>
      <c r="P209" s="31"/>
      <c r="Q209" s="31"/>
      <c r="R209" s="67" t="s">
        <v>392</v>
      </c>
    </row>
    <row r="210" customFormat="false" ht="15" hidden="false" customHeight="false" outlineLevel="0" collapsed="false">
      <c r="B210" s="40"/>
      <c r="C210" s="59" t="s">
        <v>397</v>
      </c>
      <c r="D210" s="40" t="s">
        <v>80</v>
      </c>
      <c r="E210" s="68" t="n">
        <f aca="false">IF($N$6&lt;&gt;"",0,SUMIFS('Drenagem pontual'!$F$2:$F$450,'Drenagem pontual'!$B$2:$B$450,"&gt;="&amp;$M$2,'Drenagem pontual'!$B$2:$B$450,"&lt;"&amp;($N$2+($N$2&gt;=Estacas!$B$650-0.00001)*0.001),'Drenagem pontual'!$C$2:$C$450,"EDA 02",'Drenagem pontual'!$E$2:$E$450,"LE"))</f>
        <v>2</v>
      </c>
      <c r="F210" s="68" t="n">
        <f aca="false">IF($N$6&lt;&gt;"",0,SUMIFS('Drenagem pontual'!$F$2:$F$450,'Drenagem pontual'!$B$2:$B$450,"&gt;="&amp;$M$2,'Drenagem pontual'!$B$2:$B$450,"&lt;"&amp;($N$2+($N$2&gt;=Estacas!$B$650-0.00001)*0.001),'Drenagem pontual'!$C$2:$C$450,"EDA 02",'Drenagem pontual'!$E$2:$E$450,"LD"))</f>
        <v>1</v>
      </c>
      <c r="G210" s="60" t="n">
        <f aca="false">IF($N$6&lt;&gt;"",0,SUMIFS('Drenagem pontual'!$F$2:$F$450,'Drenagem pontual'!$B$2:$B$450,"&gt;="&amp;$M$2,'Drenagem pontual'!$B$2:$B$450,"&lt;"&amp;($N$2+($N$2&gt;=Estacas!$B$650-0.00001)*0.001),'Drenagem pontual'!$C$2:$C$450,"EDA 02"))</f>
        <v>3</v>
      </c>
      <c r="H210" s="31"/>
      <c r="I210" s="31"/>
      <c r="J210" s="31"/>
      <c r="K210" s="31"/>
      <c r="L210" s="0" t="n">
        <f aca="false">SUMIFS('Drenagem pontual'!$F$2:$F$450,'Drenagem pontual'!$B$2:$B$450,"&gt;="&amp;$M$12,'Drenagem pontual'!$B$2:$B$450,"&lt;"&amp;($N$12+($N$12&gt;=Estacas!$B$650-0.00001)*0.001),'Drenagem pontual'!$C$2:$C$450,"EDA 02")</f>
        <v>3</v>
      </c>
      <c r="P210" s="31"/>
      <c r="Q210" s="31"/>
      <c r="R210" s="67" t="s">
        <v>392</v>
      </c>
    </row>
    <row r="211" customFormat="false" ht="15" hidden="false" customHeight="false" outlineLevel="0" collapsed="false">
      <c r="B211" s="40"/>
      <c r="C211" s="59" t="s">
        <v>398</v>
      </c>
      <c r="D211" s="40" t="s">
        <v>80</v>
      </c>
      <c r="E211" s="68" t="n">
        <f aca="false">IF($N$6&lt;&gt;"",0,SUMIFS('Drenagem pontual'!$F$2:$F$450,'Drenagem pontual'!$B$2:$B$450,"&gt;="&amp;$M$2,'Drenagem pontual'!$B$2:$B$450,"&lt;"&amp;($N$2+($N$2&gt;=Estacas!$B$650-0.00001)*0.001),'Drenagem pontual'!$C$2:$C$450,"DAD 02",'Drenagem pontual'!$E$2:$E$450,"LE"))</f>
        <v>13</v>
      </c>
      <c r="F211" s="68" t="n">
        <f aca="false">IF($N$6&lt;&gt;"",0,SUMIFS('Drenagem pontual'!$F$2:$F$450,'Drenagem pontual'!$B$2:$B$450,"&gt;="&amp;$M$2,'Drenagem pontual'!$B$2:$B$450,"&lt;"&amp;($N$2+($N$2&gt;=Estacas!$B$650-0.00001)*0.001),'Drenagem pontual'!$C$2:$C$450,"DAD 02",'Drenagem pontual'!$E$2:$E$450,"LD"))</f>
        <v>7</v>
      </c>
      <c r="G211" s="60" t="n">
        <f aca="false">IF($N$6&lt;&gt;"",0,SUMIFS('Drenagem pontual'!$F$2:$F$450,'Drenagem pontual'!$B$2:$B$450,"&gt;="&amp;$M$2,'Drenagem pontual'!$B$2:$B$450,"&lt;"&amp;($N$2+($N$2&gt;=Estacas!$B$650-0.00001)*0.001),'Drenagem pontual'!$C$2:$C$450,"DAD 02"))</f>
        <v>20</v>
      </c>
      <c r="H211" s="31"/>
      <c r="I211" s="31"/>
      <c r="J211" s="31"/>
      <c r="K211" s="31"/>
      <c r="L211" s="0" t="n">
        <f aca="false">SUMIFS('Drenagem pontual'!$F$2:$F$450,'Drenagem pontual'!$B$2:$B$450,"&gt;="&amp;$M$12,'Drenagem pontual'!$B$2:$B$450,"&lt;"&amp;($N$12+($N$12&gt;=Estacas!$B$650-0.00001)*0.001),'Drenagem pontual'!$C$2:$C$450,"DAD 02")</f>
        <v>20</v>
      </c>
      <c r="P211" s="31"/>
      <c r="Q211" s="31"/>
      <c r="R211" s="67" t="s">
        <v>392</v>
      </c>
    </row>
    <row r="212" customFormat="false" ht="15" hidden="false" customHeight="false" outlineLevel="0" collapsed="false">
      <c r="B212" s="40"/>
      <c r="C212" s="59" t="s">
        <v>399</v>
      </c>
      <c r="D212" s="40" t="s">
        <v>80</v>
      </c>
      <c r="E212" s="68" t="n">
        <f aca="false">IF($N$6&lt;&gt;"",0,SUMIFS('Drenagem pontual'!$F$2:$F$450,'Drenagem pontual'!$B$2:$B$450,"&gt;="&amp;$M$2,'Drenagem pontual'!$B$2:$B$450,"&lt;"&amp;($N$2+($N$2&gt;=Estacas!$B$650-0.00001)*0.001),'Drenagem pontual'!$C$2:$C$450,"DCD 02",'Drenagem pontual'!$E$2:$E$450,"LE"))</f>
        <v>4</v>
      </c>
      <c r="F212" s="68" t="n">
        <f aca="false">IF($N$6&lt;&gt;"",0,SUMIFS('Drenagem pontual'!$F$2:$F$450,'Drenagem pontual'!$B$2:$B$450,"&gt;="&amp;$M$2,'Drenagem pontual'!$B$2:$B$450,"&lt;"&amp;($N$2+($N$2&gt;=Estacas!$B$650-0.00001)*0.001),'Drenagem pontual'!$C$2:$C$450,"DCD 02",'Drenagem pontual'!$E$2:$E$450,"LD"))</f>
        <v>9</v>
      </c>
      <c r="G212" s="60" t="n">
        <f aca="false">IF($N$6&lt;&gt;"",0,SUMIFS('Drenagem pontual'!$F$2:$F$450,'Drenagem pontual'!$B$2:$B$450,"&gt;="&amp;$M$2,'Drenagem pontual'!$B$2:$B$450,"&lt;"&amp;($N$2+($N$2&gt;=Estacas!$B$650-0.00001)*0.001),'Drenagem pontual'!$C$2:$C$450,"DCD 02"))</f>
        <v>13</v>
      </c>
      <c r="H212" s="31"/>
      <c r="I212" s="31"/>
      <c r="J212" s="31"/>
      <c r="K212" s="31"/>
      <c r="L212" s="0" t="n">
        <f aca="false">SUMIFS('Drenagem pontual'!$F$2:$F$450,'Drenagem pontual'!$B$2:$B$450,"&gt;="&amp;$M$12,'Drenagem pontual'!$B$2:$B$450,"&lt;"&amp;($N$12+($N$12&gt;=Estacas!$B$650-0.00001)*0.001),'Drenagem pontual'!$C$2:$C$450,"DCD 02")</f>
        <v>13</v>
      </c>
      <c r="P212" s="31"/>
      <c r="Q212" s="31"/>
      <c r="R212" s="67" t="s">
        <v>392</v>
      </c>
    </row>
    <row r="213" customFormat="false" ht="15" hidden="false" customHeight="false" outlineLevel="0" collapsed="false">
      <c r="B213" s="40"/>
      <c r="C213" s="59" t="s">
        <v>400</v>
      </c>
      <c r="D213" s="40" t="s">
        <v>80</v>
      </c>
      <c r="E213" s="68" t="n">
        <f aca="false">IF($N$6&lt;&gt;"",0,SUMIFS('Drenagem pontual'!$F$2:$F$450,'Drenagem pontual'!$B$2:$B$450,"&gt;="&amp;$M$2,'Drenagem pontual'!$B$2:$B$450,"&lt;"&amp;($N$2+($N$2&gt;=Estacas!$B$650-0.00001)*0.001),'Drenagem pontual'!$C$2:$C$450,"DCD 04",'Drenagem pontual'!$E$2:$E$450,"LE"))</f>
        <v>0</v>
      </c>
      <c r="F213" s="68" t="n">
        <f aca="false">IF($N$6&lt;&gt;"",0,SUMIFS('Drenagem pontual'!$F$2:$F$450,'Drenagem pontual'!$B$2:$B$450,"&gt;="&amp;$M$2,'Drenagem pontual'!$B$2:$B$450,"&lt;"&amp;($N$2+($N$2&gt;=Estacas!$B$650-0.00001)*0.001),'Drenagem pontual'!$C$2:$C$450,"DCD 04",'Drenagem pontual'!$E$2:$E$450,"LD"))</f>
        <v>3</v>
      </c>
      <c r="G213" s="60" t="n">
        <f aca="false">IF($N$6&lt;&gt;"",0,SUMIFS('Drenagem pontual'!$F$2:$F$450,'Drenagem pontual'!$B$2:$B$450,"&gt;="&amp;$M$2,'Drenagem pontual'!$B$2:$B$450,"&lt;"&amp;($N$2+($N$2&gt;=Estacas!$B$650-0.00001)*0.001),'Drenagem pontual'!$C$2:$C$450,"DCD 04"))</f>
        <v>3</v>
      </c>
      <c r="H213" s="31"/>
      <c r="I213" s="31"/>
      <c r="J213" s="31"/>
      <c r="K213" s="31"/>
      <c r="L213" s="0" t="n">
        <f aca="false">SUMIFS('Drenagem pontual'!$F$2:$F$450,'Drenagem pontual'!$B$2:$B$450,"&gt;="&amp;$M$12,'Drenagem pontual'!$B$2:$B$450,"&lt;"&amp;($N$12+($N$12&gt;=Estacas!$B$650-0.00001)*0.001),'Drenagem pontual'!$C$2:$C$450,"DCD 04")</f>
        <v>3</v>
      </c>
      <c r="P213" s="31"/>
      <c r="Q213" s="31"/>
      <c r="R213" s="67" t="s">
        <v>392</v>
      </c>
    </row>
    <row r="214" customFormat="false" ht="15" hidden="false" customHeight="false" outlineLevel="0" collapsed="false">
      <c r="B214" s="40"/>
      <c r="C214" s="59" t="s">
        <v>401</v>
      </c>
      <c r="D214" s="40" t="s">
        <v>80</v>
      </c>
      <c r="E214" s="68" t="n">
        <f aca="false">IF($N$6&lt;&gt;"",0,SUMIFS('Drenagem pontual'!$F$2:$F$450,'Drenagem pontual'!$B$2:$B$450,"&gt;="&amp;$M$2,'Drenagem pontual'!$B$2:$B$450,"&lt;"&amp;($N$2+($N$2&gt;=Estacas!$B$650-0.00001)*0.001),'Drenagem pontual'!$C$2:$C$450,"DR 13A",'Drenagem pontual'!$E$2:$E$450,"LE"))</f>
        <v>0</v>
      </c>
      <c r="F214" s="68" t="n">
        <f aca="false">IF($N$6&lt;&gt;"",0,SUMIFS('Drenagem pontual'!$F$2:$F$450,'Drenagem pontual'!$B$2:$B$450,"&gt;="&amp;$M$2,'Drenagem pontual'!$B$2:$B$450,"&lt;"&amp;($N$2+($N$2&gt;=Estacas!$B$650-0.00001)*0.001),'Drenagem pontual'!$C$2:$C$450,"DR 13A",'Drenagem pontual'!$E$2:$E$450,"LD"))</f>
        <v>1</v>
      </c>
      <c r="G214" s="60" t="n">
        <f aca="false">IF($N$6&lt;&gt;"",0,SUMIFS('Drenagem pontual'!$F$2:$F$450,'Drenagem pontual'!$B$2:$B$450,"&gt;="&amp;$M$2,'Drenagem pontual'!$B$2:$B$450,"&lt;"&amp;($N$2+($N$2&gt;=Estacas!$B$650-0.00001)*0.001),'Drenagem pontual'!$C$2:$C$450,"DR 13A"))</f>
        <v>1</v>
      </c>
      <c r="H214" s="31"/>
      <c r="I214" s="31"/>
      <c r="J214" s="31"/>
      <c r="K214" s="31"/>
      <c r="L214" s="0" t="n">
        <f aca="false">SUMIFS('Drenagem pontual'!$F$2:$F$450,'Drenagem pontual'!$B$2:$B$450,"&gt;="&amp;$M$12,'Drenagem pontual'!$B$2:$B$450,"&lt;"&amp;($N$12+($N$12&gt;=Estacas!$B$650-0.00001)*0.001),'Drenagem pontual'!$C$2:$C$450,"DR 13A")</f>
        <v>1</v>
      </c>
      <c r="P214" s="31"/>
      <c r="Q214" s="31"/>
      <c r="R214" s="67" t="s">
        <v>392</v>
      </c>
    </row>
    <row r="215" customFormat="false" ht="15" hidden="false" customHeight="false" outlineLevel="0" collapsed="false">
      <c r="B215" s="40"/>
      <c r="C215" s="59" t="s">
        <v>402</v>
      </c>
      <c r="D215" s="40" t="s">
        <v>80</v>
      </c>
      <c r="E215" s="68" t="n">
        <f aca="false">IF($N$6&lt;&gt;"",0,SUMIFS('Drenagem pontual'!$F$2:$F$450,'Drenagem pontual'!$B$2:$B$450,"&gt;="&amp;$M$2,'Drenagem pontual'!$B$2:$B$450,"&lt;"&amp;($N$2+($N$2&gt;=Estacas!$B$650-0.00001)*0.001),'Drenagem pontual'!$C$2:$C$450,"DAR 01",'Drenagem pontual'!$E$2:$E$450,"LE"))</f>
        <v>3</v>
      </c>
      <c r="F215" s="68" t="n">
        <f aca="false">IF($N$6&lt;&gt;"",0,SUMIFS('Drenagem pontual'!$F$2:$F$450,'Drenagem pontual'!$B$2:$B$450,"&gt;="&amp;$M$2,'Drenagem pontual'!$B$2:$B$450,"&lt;"&amp;($N$2+($N$2&gt;=Estacas!$B$650-0.00001)*0.001),'Drenagem pontual'!$C$2:$C$450,"DAR 01",'Drenagem pontual'!$E$2:$E$450,"LD"))</f>
        <v>5</v>
      </c>
      <c r="G215" s="60" t="n">
        <f aca="false">IF($N$6&lt;&gt;"",0,SUMIFS('Drenagem pontual'!$F$2:$F$450,'Drenagem pontual'!$B$2:$B$450,"&gt;="&amp;$M$2,'Drenagem pontual'!$B$2:$B$450,"&lt;"&amp;($N$2+($N$2&gt;=Estacas!$B$650-0.00001)*0.001),'Drenagem pontual'!$C$2:$C$450,"DAR 01"))</f>
        <v>8</v>
      </c>
      <c r="H215" s="31"/>
      <c r="I215" s="31"/>
      <c r="J215" s="31"/>
      <c r="K215" s="31"/>
      <c r="L215" s="0" t="n">
        <f aca="false">SUMIFS('Drenagem pontual'!$F$2:$F$450,'Drenagem pontual'!$B$2:$B$450,"&gt;="&amp;$M$12,'Drenagem pontual'!$B$2:$B$450,"&lt;"&amp;($N$12+($N$12&gt;=Estacas!$B$650-0.00001)*0.001),'Drenagem pontual'!$C$2:$C$450,"DAR 01")</f>
        <v>8</v>
      </c>
      <c r="P215" s="31"/>
      <c r="Q215" s="31"/>
      <c r="R215" s="67" t="s">
        <v>392</v>
      </c>
    </row>
    <row r="216" customFormat="false" ht="15" hidden="false" customHeight="false" outlineLevel="0" collapsed="false">
      <c r="B216" s="40"/>
      <c r="C216" s="59" t="s">
        <v>403</v>
      </c>
      <c r="D216" s="40" t="s">
        <v>80</v>
      </c>
      <c r="E216" s="68" t="n">
        <f aca="false">IF($N$6&lt;&gt;"",0,SUMIFS('Drenagem pontual'!$F$2:$F$450,'Drenagem pontual'!$B$2:$B$450,"&gt;="&amp;$M$2,'Drenagem pontual'!$B$2:$B$450,"&lt;"&amp;($N$2+($N$2&gt;=Estacas!$B$650-0.00001)*0.001),'Drenagem pontual'!$C$2:$C$450,"DES 02",'Drenagem pontual'!$E$2:$E$450,"LE"))</f>
        <v>0</v>
      </c>
      <c r="F216" s="68" t="n">
        <f aca="false">IF($N$6&lt;&gt;"",0,SUMIFS('Drenagem pontual'!$F$2:$F$450,'Drenagem pontual'!$B$2:$B$450,"&gt;="&amp;$M$2,'Drenagem pontual'!$B$2:$B$450,"&lt;"&amp;($N$2+($N$2&gt;=Estacas!$B$650-0.00001)*0.001),'Drenagem pontual'!$C$2:$C$450,"DES 02",'Drenagem pontual'!$E$2:$E$450,"LD"))</f>
        <v>2</v>
      </c>
      <c r="G216" s="60" t="n">
        <f aca="false">IF($N$6&lt;&gt;"",0,SUMIFS('Drenagem pontual'!$F$2:$F$450,'Drenagem pontual'!$B$2:$B$450,"&gt;="&amp;$M$2,'Drenagem pontual'!$B$2:$B$450,"&lt;"&amp;($N$2+($N$2&gt;=Estacas!$B$650-0.00001)*0.001),'Drenagem pontual'!$C$2:$C$450,"DES 02"))</f>
        <v>2</v>
      </c>
      <c r="H216" s="31"/>
      <c r="I216" s="31"/>
      <c r="J216" s="31"/>
      <c r="K216" s="31"/>
      <c r="L216" s="0" t="n">
        <f aca="false">SUMIFS('Drenagem pontual'!$F$2:$F$450,'Drenagem pontual'!$B$2:$B$450,"&gt;="&amp;$M$12,'Drenagem pontual'!$B$2:$B$450,"&lt;"&amp;($N$12+($N$12&gt;=Estacas!$B$650-0.00001)*0.001),'Drenagem pontual'!$C$2:$C$450,"DES 02")</f>
        <v>2</v>
      </c>
      <c r="P216" s="31"/>
      <c r="Q216" s="31"/>
      <c r="R216" s="67" t="s">
        <v>392</v>
      </c>
    </row>
    <row r="217" customFormat="false" ht="15" hidden="false" customHeight="false" outlineLevel="0" collapsed="false">
      <c r="B217" s="40"/>
      <c r="C217" s="59" t="s">
        <v>404</v>
      </c>
      <c r="D217" s="40" t="s">
        <v>80</v>
      </c>
      <c r="E217" s="68" t="n">
        <f aca="false">IF($N$6&lt;&gt;"",0,SUMIFS('Drenagem pontual'!$F$2:$F$450,'Drenagem pontual'!$B$2:$B$450,"&gt;="&amp;$M$2,'Drenagem pontual'!$B$2:$B$450,"&lt;"&amp;($N$2+($N$2&gt;=Estacas!$B$650-0.00001)*0.001),'Drenagem pontual'!$C$2:$C$450,"DES 03",'Drenagem pontual'!$E$2:$E$450,"LE"))</f>
        <v>11</v>
      </c>
      <c r="F217" s="68" t="n">
        <f aca="false">IF($N$6&lt;&gt;"",0,SUMIFS('Drenagem pontual'!$F$2:$F$450,'Drenagem pontual'!$B$2:$B$450,"&gt;="&amp;$M$2,'Drenagem pontual'!$B$2:$B$450,"&lt;"&amp;($N$2+($N$2&gt;=Estacas!$B$650-0.00001)*0.001),'Drenagem pontual'!$C$2:$C$450,"DES 03",'Drenagem pontual'!$E$2:$E$450,"LD"))</f>
        <v>4</v>
      </c>
      <c r="G217" s="60" t="n">
        <f aca="false">IF($N$6&lt;&gt;"",0,SUMIFS('Drenagem pontual'!$F$2:$F$450,'Drenagem pontual'!$B$2:$B$450,"&gt;="&amp;$M$2,'Drenagem pontual'!$B$2:$B$450,"&lt;"&amp;($N$2+($N$2&gt;=Estacas!$B$650-0.00001)*0.001),'Drenagem pontual'!$C$2:$C$450,"DES 03"))</f>
        <v>15</v>
      </c>
      <c r="H217" s="31"/>
      <c r="I217" s="31"/>
      <c r="J217" s="31"/>
      <c r="K217" s="31"/>
      <c r="L217" s="0" t="n">
        <f aca="false">SUMIFS('Drenagem pontual'!$F$2:$F$450,'Drenagem pontual'!$B$2:$B$450,"&gt;="&amp;$M$12,'Drenagem pontual'!$B$2:$B$450,"&lt;"&amp;($N$12+($N$12&gt;=Estacas!$B$650-0.00001)*0.001),'Drenagem pontual'!$C$2:$C$450,"DES 03")</f>
        <v>15</v>
      </c>
      <c r="P217" s="31"/>
      <c r="Q217" s="31"/>
      <c r="R217" s="67" t="s">
        <v>392</v>
      </c>
    </row>
    <row r="218" customFormat="false" ht="15" hidden="false" customHeight="false" outlineLevel="0" collapsed="false">
      <c r="B218" s="40"/>
      <c r="C218" s="59" t="s">
        <v>405</v>
      </c>
      <c r="D218" s="40" t="s">
        <v>80</v>
      </c>
      <c r="E218" s="68" t="n">
        <f aca="false">IF($N$6&lt;&gt;"",0,SUMIFS('Drenagem pontual'!$F$2:$F$450,'Drenagem pontual'!$B$2:$B$450,"&gt;="&amp;$M$2,'Drenagem pontual'!$B$2:$B$450,"&lt;"&amp;($N$2+($N$2&gt;=Estacas!$B$650-0.00001)*0.001),'Drenagem pontual'!$C$2:$C$450,"DES 05",'Drenagem pontual'!$E$2:$E$450,"LE"))</f>
        <v>5</v>
      </c>
      <c r="F218" s="68" t="n">
        <f aca="false">IF($N$6&lt;&gt;"",0,SUMIFS('Drenagem pontual'!$F$2:$F$450,'Drenagem pontual'!$B$2:$B$450,"&gt;="&amp;$M$2,'Drenagem pontual'!$B$2:$B$450,"&lt;"&amp;($N$2+($N$2&gt;=Estacas!$B$650-0.00001)*0.001),'Drenagem pontual'!$C$2:$C$450,"DES 05",'Drenagem pontual'!$E$2:$E$450,"LD"))</f>
        <v>2</v>
      </c>
      <c r="G218" s="60" t="n">
        <f aca="false">IF($N$6&lt;&gt;"",0,SUMIFS('Drenagem pontual'!$F$2:$F$450,'Drenagem pontual'!$B$2:$B$450,"&gt;="&amp;$M$2,'Drenagem pontual'!$B$2:$B$450,"&lt;"&amp;($N$2+($N$2&gt;=Estacas!$B$650-0.00001)*0.001),'Drenagem pontual'!$C$2:$C$450,"DES 05"))</f>
        <v>7</v>
      </c>
      <c r="H218" s="31"/>
      <c r="I218" s="31"/>
      <c r="J218" s="31"/>
      <c r="K218" s="31"/>
      <c r="L218" s="0" t="n">
        <f aca="false">SUMIFS('Drenagem pontual'!$F$2:$F$450,'Drenagem pontual'!$B$2:$B$450,"&gt;="&amp;$M$12,'Drenagem pontual'!$B$2:$B$450,"&lt;"&amp;($N$12+($N$12&gt;=Estacas!$B$650-0.00001)*0.001),'Drenagem pontual'!$C$2:$C$450,"DES 05")</f>
        <v>7</v>
      </c>
      <c r="P218" s="31"/>
      <c r="Q218" s="31"/>
      <c r="R218" s="67" t="s">
        <v>392</v>
      </c>
    </row>
    <row r="219" customFormat="false" ht="15" hidden="false" customHeight="false" outlineLevel="0" collapsed="false">
      <c r="B219" s="40"/>
      <c r="C219" s="59" t="s">
        <v>406</v>
      </c>
      <c r="D219" s="40" t="s">
        <v>80</v>
      </c>
      <c r="E219" s="68" t="n">
        <f aca="false">IF($N$6&lt;&gt;"",0,SUMIFS('Drenagem pontual'!$F$2:$F$450,'Drenagem pontual'!$B$2:$B$450,"&gt;="&amp;$M$2,'Drenagem pontual'!$B$2:$B$450,"&lt;"&amp;($N$2+($N$2&gt;=Estacas!$B$650-0.00001)*0.001),'Drenagem pontual'!$C$2:$C$450,"DES 06",'Drenagem pontual'!$E$2:$E$450,"LE"))</f>
        <v>0</v>
      </c>
      <c r="F219" s="68" t="n">
        <f aca="false">IF($N$6&lt;&gt;"",0,SUMIFS('Drenagem pontual'!$F$2:$F$450,'Drenagem pontual'!$B$2:$B$450,"&gt;="&amp;$M$2,'Drenagem pontual'!$B$2:$B$450,"&lt;"&amp;($N$2+($N$2&gt;=Estacas!$B$650-0.00001)*0.001),'Drenagem pontual'!$C$2:$C$450,"DES 06",'Drenagem pontual'!$E$2:$E$450,"LD"))</f>
        <v>3</v>
      </c>
      <c r="G219" s="60" t="n">
        <f aca="false">IF($N$6&lt;&gt;"",0,SUMIFS('Drenagem pontual'!$F$2:$F$450,'Drenagem pontual'!$B$2:$B$450,"&gt;="&amp;$M$2,'Drenagem pontual'!$B$2:$B$450,"&lt;"&amp;($N$2+($N$2&gt;=Estacas!$B$650-0.00001)*0.001),'Drenagem pontual'!$C$2:$C$450,"DES 06"))</f>
        <v>3</v>
      </c>
      <c r="H219" s="31"/>
      <c r="I219" s="31"/>
      <c r="J219" s="31"/>
      <c r="K219" s="31"/>
      <c r="L219" s="0" t="n">
        <f aca="false">SUMIFS('Drenagem pontual'!$F$2:$F$450,'Drenagem pontual'!$B$2:$B$450,"&gt;="&amp;$M$12,'Drenagem pontual'!$B$2:$B$450,"&lt;"&amp;($N$12+($N$12&gt;=Estacas!$B$650-0.00001)*0.001),'Drenagem pontual'!$C$2:$C$450,"DES 06")</f>
        <v>3</v>
      </c>
      <c r="P219" s="31"/>
      <c r="Q219" s="31"/>
      <c r="R219" s="67" t="s">
        <v>392</v>
      </c>
    </row>
    <row r="220" customFormat="false" ht="15" hidden="false" customHeight="false" outlineLevel="0" collapsed="false">
      <c r="B220" s="40"/>
      <c r="C220" s="59" t="s">
        <v>407</v>
      </c>
      <c r="D220" s="40" t="s">
        <v>80</v>
      </c>
      <c r="E220" s="68" t="n">
        <f aca="false">IF($N$6&lt;&gt;"",0,SUMIFS('Drenagem pontual'!$F$2:$F$450,'Drenagem pontual'!$B$2:$B$450,"&gt;="&amp;$M$2,'Drenagem pontual'!$B$2:$B$450,"&lt;"&amp;($N$2+($N$2&gt;=Estacas!$B$650-0.00001)*0.001),'Drenagem pontual'!$C$2:$C$450,"DEB 01",'Drenagem pontual'!$E$2:$E$450,"LE"))</f>
        <v>8</v>
      </c>
      <c r="F220" s="68" t="n">
        <f aca="false">IF($N$6&lt;&gt;"",0,SUMIFS('Drenagem pontual'!$F$2:$F$450,'Drenagem pontual'!$B$2:$B$450,"&gt;="&amp;$M$2,'Drenagem pontual'!$B$2:$B$450,"&lt;"&amp;($N$2+($N$2&gt;=Estacas!$B$650-0.00001)*0.001),'Drenagem pontual'!$C$2:$C$450,"DEB 01",'Drenagem pontual'!$E$2:$E$450,"LD"))</f>
        <v>6</v>
      </c>
      <c r="G220" s="60" t="n">
        <f aca="false">IF($N$6&lt;&gt;"",0,SUMIFS('Drenagem pontual'!$F$2:$F$450,'Drenagem pontual'!$B$2:$B$450,"&gt;="&amp;$M$2,'Drenagem pontual'!$B$2:$B$450,"&lt;"&amp;($N$2+($N$2&gt;=Estacas!$B$650-0.00001)*0.001),'Drenagem pontual'!$C$2:$C$450,"DEB 01"))</f>
        <v>14</v>
      </c>
      <c r="H220" s="31"/>
      <c r="I220" s="31"/>
      <c r="J220" s="31"/>
      <c r="K220" s="31"/>
      <c r="L220" s="0" t="n">
        <f aca="false">SUMIFS('Drenagem pontual'!$F$2:$F$450,'Drenagem pontual'!$B$2:$B$450,"&gt;="&amp;$M$12,'Drenagem pontual'!$B$2:$B$450,"&lt;"&amp;($N$12+($N$12&gt;=Estacas!$B$650-0.00001)*0.001),'Drenagem pontual'!$C$2:$C$450,"DEB 01")</f>
        <v>14</v>
      </c>
      <c r="P220" s="31"/>
      <c r="Q220" s="31"/>
      <c r="R220" s="67" t="s">
        <v>392</v>
      </c>
    </row>
    <row r="221" customFormat="false" ht="15" hidden="false" customHeight="false" outlineLevel="0" collapsed="false">
      <c r="B221" s="40"/>
      <c r="C221" s="59" t="s">
        <v>408</v>
      </c>
      <c r="D221" s="40" t="s">
        <v>80</v>
      </c>
      <c r="E221" s="68" t="n">
        <f aca="false">IF($N$6&lt;&gt;"",0,SUMIFS('Drenagem pontual'!$F$2:$F$450,'Drenagem pontual'!$B$2:$B$450,"&gt;="&amp;$M$2,'Drenagem pontual'!$B$2:$B$450,"&lt;"&amp;($N$2+($N$2&gt;=Estacas!$B$650-0.00001)*0.001),'Drenagem pontual'!$C$2:$C$450,"DEB 02",'Drenagem pontual'!$E$2:$E$450,"LE"))</f>
        <v>1</v>
      </c>
      <c r="F221" s="68" t="n">
        <f aca="false">IF($N$6&lt;&gt;"",0,SUMIFS('Drenagem pontual'!$F$2:$F$450,'Drenagem pontual'!$B$2:$B$450,"&gt;="&amp;$M$2,'Drenagem pontual'!$B$2:$B$450,"&lt;"&amp;($N$2+($N$2&gt;=Estacas!$B$650-0.00001)*0.001),'Drenagem pontual'!$C$2:$C$450,"DEB 02",'Drenagem pontual'!$E$2:$E$450,"LD"))</f>
        <v>0</v>
      </c>
      <c r="G221" s="60" t="n">
        <f aca="false">IF($N$6&lt;&gt;"",0,SUMIFS('Drenagem pontual'!$F$2:$F$450,'Drenagem pontual'!$B$2:$B$450,"&gt;="&amp;$M$2,'Drenagem pontual'!$B$2:$B$450,"&lt;"&amp;($N$2+($N$2&gt;=Estacas!$B$650-0.00001)*0.001),'Drenagem pontual'!$C$2:$C$450,"DEB 02"))</f>
        <v>1</v>
      </c>
      <c r="H221" s="31"/>
      <c r="I221" s="31"/>
      <c r="J221" s="31"/>
      <c r="K221" s="31"/>
      <c r="L221" s="0" t="n">
        <f aca="false">SUMIFS('Drenagem pontual'!$F$2:$F$450,'Drenagem pontual'!$B$2:$B$450,"&gt;="&amp;$M$12,'Drenagem pontual'!$B$2:$B$450,"&lt;"&amp;($N$12+($N$12&gt;=Estacas!$B$650-0.00001)*0.001),'Drenagem pontual'!$C$2:$C$450,"DEB 02")</f>
        <v>1</v>
      </c>
      <c r="P221" s="31"/>
      <c r="Q221" s="31"/>
      <c r="R221" s="67" t="s">
        <v>392</v>
      </c>
    </row>
    <row r="222" customFormat="false" ht="15" hidden="false" customHeight="false" outlineLevel="0" collapsed="false">
      <c r="B222" s="40"/>
      <c r="C222" s="59" t="s">
        <v>409</v>
      </c>
      <c r="D222" s="40" t="s">
        <v>80</v>
      </c>
      <c r="E222" s="68" t="n">
        <f aca="false">IF($N$6&lt;&gt;"",0,SUMIFS('Drenagem pontual'!$F$2:$F$450,'Drenagem pontual'!$B$2:$B$450,"&gt;="&amp;$M$2,'Drenagem pontual'!$B$2:$B$450,"&lt;"&amp;($N$2+($N$2&gt;=Estacas!$B$650-0.00001)*0.001),'Drenagem pontual'!$C$2:$C$450,"BLS",'Drenagem pontual'!$E$2:$E$450,"LE"))</f>
        <v>0</v>
      </c>
      <c r="F222" s="68" t="n">
        <f aca="false">IF($N$6&lt;&gt;"",0,SUMIFS('Drenagem pontual'!$F$2:$F$450,'Drenagem pontual'!$B$2:$B$450,"&gt;="&amp;$M$2,'Drenagem pontual'!$B$2:$B$450,"&lt;"&amp;($N$2+($N$2&gt;=Estacas!$B$650-0.00001)*0.001),'Drenagem pontual'!$C$2:$C$450,"BLS",'Drenagem pontual'!$E$2:$E$450,"LD"))</f>
        <v>0</v>
      </c>
      <c r="G222" s="60" t="n">
        <f aca="false">IF($N$6&lt;&gt;"",0,SUMIFS('Drenagem pontual'!$F$2:$F$450,'Drenagem pontual'!$B$2:$B$450,"&gt;="&amp;$M$2,'Drenagem pontual'!$B$2:$B$450,"&lt;"&amp;($N$2+($N$2&gt;=Estacas!$B$650-0.00001)*0.001),'Drenagem pontual'!$C$2:$C$450,"BLS"))</f>
        <v>53</v>
      </c>
      <c r="H222" s="31"/>
      <c r="I222" s="31"/>
      <c r="J222" s="31"/>
      <c r="K222" s="31"/>
      <c r="L222" s="0" t="n">
        <f aca="false">SUMIFS('Drenagem pontual'!$F$2:$F$450,'Drenagem pontual'!$B$2:$B$450,"&gt;="&amp;$M$12,'Drenagem pontual'!$B$2:$B$450,"&lt;"&amp;($N$12+($N$12&gt;=Estacas!$B$650-0.00001)*0.001),'Drenagem pontual'!$C$2:$C$450,"BLS")</f>
        <v>53</v>
      </c>
      <c r="P222" s="31"/>
      <c r="Q222" s="31"/>
      <c r="R222" s="67" t="s">
        <v>392</v>
      </c>
    </row>
    <row r="223" customFormat="false" ht="15" hidden="false" customHeight="false" outlineLevel="0" collapsed="false">
      <c r="B223" s="40"/>
      <c r="C223" s="59" t="s">
        <v>410</v>
      </c>
      <c r="D223" s="40" t="s">
        <v>80</v>
      </c>
      <c r="E223" s="68" t="n">
        <f aca="false">IF($N$6&lt;&gt;"",0,SUMIFS('Drenagem pontual'!$F$2:$F$450,'Drenagem pontual'!$B$2:$B$450,"&gt;="&amp;$M$2,'Drenagem pontual'!$B$2:$B$450,"&lt;"&amp;($N$2+($N$2&gt;=Estacas!$B$650-0.00001)*0.001),'Drenagem pontual'!$C$2:$C$450,"BLD",'Drenagem pontual'!$E$2:$E$450,"LE"))</f>
        <v>0</v>
      </c>
      <c r="F223" s="68" t="n">
        <f aca="false">IF($N$6&lt;&gt;"",0,SUMIFS('Drenagem pontual'!$F$2:$F$450,'Drenagem pontual'!$B$2:$B$450,"&gt;="&amp;$M$2,'Drenagem pontual'!$B$2:$B$450,"&lt;"&amp;($N$2+($N$2&gt;=Estacas!$B$650-0.00001)*0.001),'Drenagem pontual'!$C$2:$C$450,"BLD",'Drenagem pontual'!$E$2:$E$450,"LD"))</f>
        <v>0</v>
      </c>
      <c r="G223" s="60" t="n">
        <f aca="false">IF($N$6&lt;&gt;"",0,SUMIFS('Drenagem pontual'!$F$2:$F$450,'Drenagem pontual'!$B$2:$B$450,"&gt;="&amp;$M$2,'Drenagem pontual'!$B$2:$B$450,"&lt;"&amp;($N$2+($N$2&gt;=Estacas!$B$650-0.00001)*0.001),'Drenagem pontual'!$C$2:$C$450,"BLD"))</f>
        <v>4</v>
      </c>
      <c r="H223" s="31"/>
      <c r="I223" s="31"/>
      <c r="J223" s="31"/>
      <c r="K223" s="31"/>
      <c r="L223" s="0" t="n">
        <f aca="false">SUMIFS('Drenagem pontual'!$F$2:$F$450,'Drenagem pontual'!$B$2:$B$450,"&gt;="&amp;$M$12,'Drenagem pontual'!$B$2:$B$450,"&lt;"&amp;($N$12+($N$12&gt;=Estacas!$B$650-0.00001)*0.001),'Drenagem pontual'!$C$2:$C$450,"BLD")</f>
        <v>4</v>
      </c>
      <c r="P223" s="31"/>
      <c r="Q223" s="31"/>
      <c r="R223" s="67" t="s">
        <v>392</v>
      </c>
    </row>
    <row r="224" customFormat="false" ht="15" hidden="false" customHeight="false" outlineLevel="0" collapsed="false">
      <c r="B224" s="40"/>
      <c r="C224" s="59" t="s">
        <v>411</v>
      </c>
      <c r="D224" s="40" t="s">
        <v>80</v>
      </c>
      <c r="E224" s="68" t="n">
        <f aca="false">IF($N$6&lt;&gt;"",0,SUMIFS('Drenagem pontual'!$F$2:$F$450,'Drenagem pontual'!$B$2:$B$450,"&gt;="&amp;$M$2,'Drenagem pontual'!$B$2:$B$450,"&lt;"&amp;($N$2+($N$2&gt;=Estacas!$B$650-0.00001)*0.001),'Drenagem pontual'!$C$2:$C$450,"CCS",'Drenagem pontual'!$E$2:$E$450,"LE"))</f>
        <v>0</v>
      </c>
      <c r="F224" s="68" t="n">
        <f aca="false">IF($N$6&lt;&gt;"",0,SUMIFS('Drenagem pontual'!$F$2:$F$450,'Drenagem pontual'!$B$2:$B$450,"&gt;="&amp;$M$2,'Drenagem pontual'!$B$2:$B$450,"&lt;"&amp;($N$2+($N$2&gt;=Estacas!$B$650-0.00001)*0.001),'Drenagem pontual'!$C$2:$C$450,"CCS",'Drenagem pontual'!$E$2:$E$450,"LD"))</f>
        <v>0</v>
      </c>
      <c r="G224" s="60" t="n">
        <f aca="false">IF($N$6&lt;&gt;"",0,SUMIFS('Drenagem pontual'!$F$2:$F$450,'Drenagem pontual'!$B$2:$B$450,"&gt;="&amp;$M$2,'Drenagem pontual'!$B$2:$B$450,"&lt;"&amp;($N$2+($N$2&gt;=Estacas!$B$650-0.00001)*0.001),'Drenagem pontual'!$C$2:$C$450,"CCS"))</f>
        <v>4</v>
      </c>
      <c r="H224" s="31"/>
      <c r="I224" s="31"/>
      <c r="J224" s="31"/>
      <c r="K224" s="31"/>
      <c r="L224" s="0" t="n">
        <f aca="false">SUMIFS('Drenagem pontual'!$F$2:$F$450,'Drenagem pontual'!$B$2:$B$450,"&gt;="&amp;$M$12,'Drenagem pontual'!$B$2:$B$450,"&lt;"&amp;($N$12+($N$12&gt;=Estacas!$B$650-0.00001)*0.001),'Drenagem pontual'!$C$2:$C$450,"CCS")</f>
        <v>4</v>
      </c>
      <c r="P224" s="31"/>
      <c r="Q224" s="31"/>
      <c r="R224" s="67" t="s">
        <v>392</v>
      </c>
    </row>
    <row r="225" customFormat="false" ht="15" hidden="false" customHeight="false" outlineLevel="0" collapsed="false">
      <c r="B225" s="40"/>
      <c r="C225" s="59" t="s">
        <v>412</v>
      </c>
      <c r="D225" s="40" t="s">
        <v>80</v>
      </c>
      <c r="E225" s="68" t="n">
        <f aca="false">IF($N$6&lt;&gt;"",0,SUMIFS('Drenagem pontual'!$F$2:$F$450,'Drenagem pontual'!$B$2:$B$450,"&gt;="&amp;$M$2,'Drenagem pontual'!$B$2:$B$450,"&lt;"&amp;($N$2+($N$2&gt;=Estacas!$B$650-0.00001)*0.001),'Drenagem pontual'!$C$2:$C$450,"CLP",'Drenagem pontual'!$E$2:$E$450,"LE"))</f>
        <v>0</v>
      </c>
      <c r="F225" s="68" t="n">
        <f aca="false">IF($N$6&lt;&gt;"",0,SUMIFS('Drenagem pontual'!$F$2:$F$450,'Drenagem pontual'!$B$2:$B$450,"&gt;="&amp;$M$2,'Drenagem pontual'!$B$2:$B$450,"&lt;"&amp;($N$2+($N$2&gt;=Estacas!$B$650-0.00001)*0.001),'Drenagem pontual'!$C$2:$C$450,"CLP",'Drenagem pontual'!$E$2:$E$450,"LD"))</f>
        <v>0</v>
      </c>
      <c r="G225" s="60" t="n">
        <f aca="false">IF($N$6&lt;&gt;"",0,SUMIFS('Drenagem pontual'!$F$2:$F$450,'Drenagem pontual'!$B$2:$B$450,"&gt;="&amp;$M$2,'Drenagem pontual'!$B$2:$B$450,"&lt;"&amp;($N$2+($N$2&gt;=Estacas!$B$650-0.00001)*0.001),'Drenagem pontual'!$C$2:$C$450,"CLP"))</f>
        <v>5</v>
      </c>
      <c r="H225" s="31"/>
      <c r="I225" s="31"/>
      <c r="J225" s="31"/>
      <c r="K225" s="31"/>
      <c r="L225" s="0" t="n">
        <f aca="false">SUMIFS('Drenagem pontual'!$F$2:$F$450,'Drenagem pontual'!$B$2:$B$450,"&gt;="&amp;$M$12,'Drenagem pontual'!$B$2:$B$450,"&lt;"&amp;($N$12+($N$12&gt;=Estacas!$B$650-0.00001)*0.001),'Drenagem pontual'!$C$2:$C$450,"CLP")</f>
        <v>5</v>
      </c>
      <c r="P225" s="31"/>
      <c r="Q225" s="31"/>
      <c r="R225" s="67" t="s">
        <v>392</v>
      </c>
    </row>
    <row r="226" customFormat="false" ht="15" hidden="false" customHeight="false" outlineLevel="0" collapsed="false">
      <c r="B226" s="40"/>
      <c r="C226" s="59" t="s">
        <v>413</v>
      </c>
      <c r="D226" s="40" t="s">
        <v>77</v>
      </c>
      <c r="E226" s="31"/>
      <c r="F226" s="31"/>
      <c r="G226" s="60" t="n">
        <f aca="false">IF($N$6&lt;&gt;"",0,$G$209*0.144+$G$210*0.165+SUMIFS('Drenagem pontual'!$G$2:$G$450,'Drenagem pontual'!$B$2:$B$450,"&gt;="&amp;$M$2,'Drenagem pontual'!$B$2:$B$450,"&lt;"&amp;($N$2+($N$2&gt;=Estacas!$B$650-0.00001)*0.001),'Drenagem pontual'!$C$2:$C$450,"DAD 02")*0.198+SUMIFS('Drenagem pontual'!$G$2:$G$450,'Drenagem pontual'!$B$2:$B$450,"&gt;="&amp;$M$2,'Drenagem pontual'!$B$2:$B$450,"&lt;"&amp;($N$2+($N$2&gt;=Estacas!$B$650-0.00001)*0.001),'Drenagem pontual'!$C$2:$C$450,"DCD 02")*0.168+SUMIFS('Drenagem pontual'!$G$2:$G$450,'Drenagem pontual'!$B$2:$B$450,"&gt;="&amp;$M$2,'Drenagem pontual'!$B$2:$B$450,"&lt;"&amp;($N$2+($N$2&gt;=Estacas!$B$650-0.00001)*0.001),'Drenagem pontual'!$C$2:$C$450,"DCD 04")*0.267+SUMIFS('Drenagem pontual'!$G$2:$G$450,'Drenagem pontual'!$B$2:$B$450,"&gt;="&amp;$M$2,'Drenagem pontual'!$B$2:$B$450,"&lt;"&amp;($N$2+($N$2&gt;=Estacas!$B$650-0.00001)*0.001),'Drenagem pontual'!$C$2:$C$450,"DR 13A")*0.164+SUMIFS('Drenagem pontual'!$G$2:$G$450,'Drenagem pontual'!$B$2:$B$450,"&gt;="&amp;$M$2,'Drenagem pontual'!$B$2:$B$450,"&lt;"&amp;($N$2+($N$2&gt;=Estacas!$B$650-0.00001)*0.001),'Drenagem pontual'!$C$2:$C$450,"DAR 01")*0.164+$G$216*0.579+$G$217*0.655+$G$218*0.818+$G$219*0.895+$G$220*0.385+$G$221*1.185+$G$224*2.292+$G$222*0.75+$G$223*1.5+$G$225*2.24+$G$202*2.204)</f>
        <v>139.4781</v>
      </c>
      <c r="H226" s="31"/>
      <c r="I226" s="31"/>
      <c r="J226" s="31"/>
      <c r="K226" s="31"/>
      <c r="L226" s="0" t="n">
        <f aca="false">$L$209*0.144+$L$210*0.165+SUMIFS('Drenagem pontual'!$G$2:$G$450,'Drenagem pontual'!$B$2:$B$450,"&gt;="&amp;$M$12,'Drenagem pontual'!$B$2:$B$450,"&lt;"&amp;($N$12+($N$12&gt;=Estacas!$B$650-0.00001)*0.001),'Drenagem pontual'!$C$2:$C$450,"DAD 02")*0.198+SUMIFS('Drenagem pontual'!$G$2:$G$450,'Drenagem pontual'!$B$2:$B$450,"&gt;="&amp;$M$12,'Drenagem pontual'!$B$2:$B$450,"&lt;"&amp;($N$12+($N$12&gt;=Estacas!$B$650-0.00001)*0.001),'Drenagem pontual'!$C$2:$C$450,"DCD 02")*0.168+SUMIFS('Drenagem pontual'!$G$2:$G$450,'Drenagem pontual'!$B$2:$B$450,"&gt;="&amp;$M$12,'Drenagem pontual'!$B$2:$B$450,"&lt;"&amp;($N$12+($N$12&gt;=Estacas!$B$650-0.00001)*0.001),'Drenagem pontual'!$C$2:$C$450,"DCD 04")*0.267+SUMIFS('Drenagem pontual'!$G$2:$G$450,'Drenagem pontual'!$B$2:$B$450,"&gt;="&amp;$M$12,'Drenagem pontual'!$B$2:$B$450,"&lt;"&amp;($N$12+($N$12&gt;=Estacas!$B$650-0.00001)*0.001),'Drenagem pontual'!$C$2:$C$450,"DR 13A")*0.164+SUMIFS('Drenagem pontual'!$G$2:$G$450,'Drenagem pontual'!$B$2:$B$450,"&gt;="&amp;$M$12,'Drenagem pontual'!$B$2:$B$450,"&lt;"&amp;($N$12+($N$12&gt;=Estacas!$B$650-0.00001)*0.001),'Drenagem pontual'!$C$2:$C$450,"DAR 01")*0.164+$L$216*0.579+$L$217*0.655+$L$218*0.818+$L$219*0.895+$L$220*0.385+$L$221*1.185+$L$224*2.292+$L$222*0.75+$L$223*1.5+$L$225*2.24+$L$202*2.204</f>
        <v>139.4781</v>
      </c>
      <c r="P226" s="31"/>
      <c r="Q226" s="31"/>
      <c r="R226" s="67" t="s">
        <v>414</v>
      </c>
    </row>
    <row r="227" customFormat="false" ht="15" hidden="false" customHeight="false" outlineLevel="0" collapsed="false">
      <c r="B227" s="40"/>
      <c r="C227" s="59" t="s">
        <v>415</v>
      </c>
      <c r="D227" s="40" t="s">
        <v>77</v>
      </c>
      <c r="E227" s="31"/>
      <c r="F227" s="31"/>
      <c r="G227" s="60" t="n">
        <f aca="false">IF($N$6&lt;&gt;"",0,$G$225*0.56+$G$202*0.254)</f>
        <v>4.07</v>
      </c>
      <c r="H227" s="31"/>
      <c r="I227" s="31"/>
      <c r="J227" s="31"/>
      <c r="K227" s="31"/>
      <c r="L227" s="0" t="n">
        <f aca="false">$L$225*0.56+$L$202*0.254</f>
        <v>4.07</v>
      </c>
      <c r="P227" s="31"/>
      <c r="Q227" s="31"/>
      <c r="R227" s="67" t="s">
        <v>414</v>
      </c>
    </row>
    <row r="228" customFormat="false" ht="15" hidden="false" customHeight="false" outlineLevel="0" collapsed="false">
      <c r="B228" s="40"/>
      <c r="C228" s="59" t="s">
        <v>416</v>
      </c>
      <c r="D228" s="40" t="s">
        <v>73</v>
      </c>
      <c r="E228" s="31"/>
      <c r="F228" s="31"/>
      <c r="G228" s="60" t="n">
        <f aca="false">IF($N$6&lt;&gt;"",0,$G$209*0.8+$G$210*0.65+SUMIFS('Drenagem pontual'!$G$2:$G$450,'Drenagem pontual'!$B$2:$B$450,"&gt;="&amp;$M$2,'Drenagem pontual'!$B$2:$B$450,"&lt;"&amp;($N$2+($N$2&gt;=Estacas!$B$650-0.00001)*0.001),'Drenagem pontual'!$C$2:$C$450,"DAD 02")*1.78+SUMIFS('Drenagem pontual'!$G$2:$G$450,'Drenagem pontual'!$B$2:$B$450,"&gt;="&amp;$M$2,'Drenagem pontual'!$B$2:$B$450,"&lt;"&amp;($N$2+($N$2&gt;=Estacas!$B$650-0.00001)*0.001),'Drenagem pontual'!$C$2:$C$450,"DCD 02")*1.68+SUMIFS('Drenagem pontual'!$G$2:$G$450,'Drenagem pontual'!$B$2:$B$450,"&gt;="&amp;$M$2,'Drenagem pontual'!$B$2:$B$450,"&lt;"&amp;($N$2+($N$2&gt;=Estacas!$B$650-0.00001)*0.001),'Drenagem pontual'!$C$2:$C$450,"DCD 04")*2.32+SUMIFS('Drenagem pontual'!$G$2:$G$450,'Drenagem pontual'!$B$2:$B$450,"&gt;="&amp;$M$2,'Drenagem pontual'!$B$2:$B$450,"&lt;"&amp;($N$2+($N$2&gt;=Estacas!$B$650-0.00001)*0.001),'Drenagem pontual'!$C$2:$C$450,"DR 13A")*1.47+SUMIFS('Drenagem pontual'!$G$2:$G$450,'Drenagem pontual'!$B$2:$B$450,"&gt;="&amp;$M$2,'Drenagem pontual'!$B$2:$B$450,"&lt;"&amp;($N$2+($N$2&gt;=Estacas!$B$650-0.00001)*0.001),'Drenagem pontual'!$C$2:$C$450,"DAR 01")*1.47+$G$216*5+$G$217*5.22+$G$218*5.9+$G$219*6.15+$G$220*5.03+$G$221*8.15+$G$224*21.68+$G$222*9.8+$G$223*19.6+$G$225*27.24+$G$202*23.59)</f>
        <v>1483.994</v>
      </c>
      <c r="H228" s="31"/>
      <c r="I228" s="31"/>
      <c r="J228" s="31"/>
      <c r="K228" s="31"/>
      <c r="L228" s="0" t="n">
        <f aca="false">$L$209*0.8+$L$210*0.65+SUMIFS('Drenagem pontual'!$G$2:$G$450,'Drenagem pontual'!$B$2:$B$450,"&gt;="&amp;$M$12,'Drenagem pontual'!$B$2:$B$450,"&lt;"&amp;($N$12+($N$12&gt;=Estacas!$B$650-0.00001)*0.001),'Drenagem pontual'!$C$2:$C$450,"DAD 02")*1.78+SUMIFS('Drenagem pontual'!$G$2:$G$450,'Drenagem pontual'!$B$2:$B$450,"&gt;="&amp;$M$12,'Drenagem pontual'!$B$2:$B$450,"&lt;"&amp;($N$12+($N$12&gt;=Estacas!$B$650-0.00001)*0.001),'Drenagem pontual'!$C$2:$C$450,"DCD 02")*1.68+SUMIFS('Drenagem pontual'!$G$2:$G$450,'Drenagem pontual'!$B$2:$B$450,"&gt;="&amp;$M$12,'Drenagem pontual'!$B$2:$B$450,"&lt;"&amp;($N$12+($N$12&gt;=Estacas!$B$650-0.00001)*0.001),'Drenagem pontual'!$C$2:$C$450,"DCD 04")*2.32+SUMIFS('Drenagem pontual'!$G$2:$G$450,'Drenagem pontual'!$B$2:$B$450,"&gt;="&amp;$M$12,'Drenagem pontual'!$B$2:$B$450,"&lt;"&amp;($N$12+($N$12&gt;=Estacas!$B$650-0.00001)*0.001),'Drenagem pontual'!$C$2:$C$450,"DR 13A")*1.47+SUMIFS('Drenagem pontual'!$G$2:$G$450,'Drenagem pontual'!$B$2:$B$450,"&gt;="&amp;$M$12,'Drenagem pontual'!$B$2:$B$450,"&lt;"&amp;($N$12+($N$12&gt;=Estacas!$B$650-0.00001)*0.001),'Drenagem pontual'!$C$2:$C$450,"DAR 01")*1.47+$L$216*5+$L$217*5.22+$L$218*5.9+$L$219*6.15+$L$220*5.03+$L$221*8.15+$L$224*21.68+$L$222*9.8+$L$223*19.6+$L$225*27.24+$L$202*23.59</f>
        <v>1483.994</v>
      </c>
      <c r="P228" s="31"/>
      <c r="Q228" s="31"/>
      <c r="R228" s="67" t="s">
        <v>414</v>
      </c>
    </row>
    <row r="229" customFormat="false" ht="15" hidden="false" customHeight="false" outlineLevel="0" collapsed="false">
      <c r="B229" s="40"/>
      <c r="C229" s="59" t="s">
        <v>417</v>
      </c>
      <c r="D229" s="40" t="s">
        <v>173</v>
      </c>
      <c r="E229" s="31"/>
      <c r="F229" s="31"/>
      <c r="G229" s="60" t="n">
        <f aca="false">IF($N$6&lt;&gt;"",0,$G$224*19.08+$G$222*64.94+$G$223*129.88+$G$225*20+$G$202*109)</f>
        <v>4682.66</v>
      </c>
      <c r="H229" s="31"/>
      <c r="I229" s="31"/>
      <c r="J229" s="31"/>
      <c r="K229" s="31"/>
      <c r="L229" s="0" t="n">
        <f aca="false">$L$224*19.08+$L$222*64.94+$L$223*129.88+$L$225*20+$L$202*109</f>
        <v>4682.66</v>
      </c>
      <c r="P229" s="31"/>
      <c r="Q229" s="31"/>
      <c r="R229" s="67" t="s">
        <v>414</v>
      </c>
    </row>
    <row r="230" customFormat="false" ht="15" hidden="false" customHeight="false" outlineLevel="0" collapsed="false">
      <c r="B230" s="40"/>
      <c r="C230" s="59" t="s">
        <v>418</v>
      </c>
      <c r="D230" s="40" t="s">
        <v>173</v>
      </c>
      <c r="E230" s="31"/>
      <c r="F230" s="31"/>
      <c r="G230" s="60" t="n">
        <f aca="false">IF($N$6&lt;&gt;"",0,SUMIFS('Drenagem pontual'!$G$2:$G$450,'Drenagem pontual'!$B$2:$B$450,"&gt;="&amp;$M$2,'Drenagem pontual'!$B$2:$B$450,"&lt;"&amp;($N$2+($N$2&gt;=Estacas!$B$650-0.00001)*0.001),'Drenagem pontual'!$C$2:$C$450,"DAD 02")*6.28+SUMIFS('Drenagem pontual'!$G$2:$G$450,'Drenagem pontual'!$B$2:$B$450,"&gt;="&amp;$M$2,'Drenagem pontual'!$B$2:$B$450,"&lt;"&amp;($N$2+($N$2&gt;=Estacas!$B$650-0.00001)*0.001),'Drenagem pontual'!$C$2:$C$450,"DCD 02")*6.16+SUMIFS('Drenagem pontual'!$G$2:$G$450,'Drenagem pontual'!$B$2:$B$450,"&gt;="&amp;$M$2,'Drenagem pontual'!$B$2:$B$450,"&lt;"&amp;($N$2+($N$2&gt;=Estacas!$B$650-0.00001)*0.001),'Drenagem pontual'!$C$2:$C$450,"DCD 04")*9.77+$G$225*213)</f>
        <v>2083.632</v>
      </c>
      <c r="H230" s="31"/>
      <c r="I230" s="31"/>
      <c r="J230" s="31"/>
      <c r="K230" s="31"/>
      <c r="L230" s="0" t="n">
        <f aca="false">SUMIFS('Drenagem pontual'!$G$2:$G$450,'Drenagem pontual'!$B$2:$B$450,"&gt;="&amp;$M$12,'Drenagem pontual'!$B$2:$B$450,"&lt;"&amp;($N$12+($N$12&gt;=Estacas!$B$650-0.00001)*0.001),'Drenagem pontual'!$C$2:$C$450,"DAD 02")*6.28+SUMIFS('Drenagem pontual'!$G$2:$G$450,'Drenagem pontual'!$B$2:$B$450,"&gt;="&amp;$M$12,'Drenagem pontual'!$B$2:$B$450,"&lt;"&amp;($N$12+($N$12&gt;=Estacas!$B$650-0.00001)*0.001),'Drenagem pontual'!$C$2:$C$450,"DCD 02")*6.16+SUMIFS('Drenagem pontual'!$G$2:$G$450,'Drenagem pontual'!$B$2:$B$450,"&gt;="&amp;$M$12,'Drenagem pontual'!$B$2:$B$450,"&lt;"&amp;($N$12+($N$12&gt;=Estacas!$B$650-0.00001)*0.001),'Drenagem pontual'!$C$2:$C$450,"DCD 04")*9.77+$L$225*213</f>
        <v>2083.632</v>
      </c>
      <c r="P230" s="31"/>
      <c r="Q230" s="31"/>
      <c r="R230" s="67" t="s">
        <v>414</v>
      </c>
    </row>
    <row r="231" customFormat="false" ht="15" hidden="false" customHeight="false" outlineLevel="0" collapsed="false">
      <c r="B231" s="40"/>
      <c r="C231" s="59" t="s">
        <v>419</v>
      </c>
      <c r="D231" s="40" t="s">
        <v>77</v>
      </c>
      <c r="E231" s="31"/>
      <c r="F231" s="31"/>
      <c r="G231" s="60" t="n">
        <f aca="false">IF($N$6&lt;&gt;"",0,SUMIFS('Drenagem pontual'!$G$2:$G$450,'Drenagem pontual'!$B$2:$B$450,"&gt;="&amp;$M$2,'Drenagem pontual'!$B$2:$B$450,"&lt;"&amp;($N$2+($N$2&gt;=Estacas!$B$650-0.00001)*0.001),'Drenagem pontual'!$C$2:$C$450,"DAD 02")*0.49+SUMIFS('Drenagem pontual'!$G$2:$G$450,'Drenagem pontual'!$B$2:$B$450,"&gt;="&amp;$M$2,'Drenagem pontual'!$B$2:$B$450,"&lt;"&amp;($N$2+($N$2&gt;=Estacas!$B$650-0.00001)*0.001),'Drenagem pontual'!$C$2:$C$450,"DCD 02")*0.45+SUMIFS('Drenagem pontual'!$G$2:$G$450,'Drenagem pontual'!$B$2:$B$450,"&gt;="&amp;$M$2,'Drenagem pontual'!$B$2:$B$450,"&lt;"&amp;($N$2+($N$2&gt;=Estacas!$B$650-0.00001)*0.001),'Drenagem pontual'!$C$2:$C$450,"DCD 04")*0.75+SUMIFS('Drenagem pontual'!$G$2:$G$450,'Drenagem pontual'!$B$2:$B$450,"&gt;="&amp;$M$2,'Drenagem pontual'!$B$2:$B$450,"&lt;"&amp;($N$2+($N$2&gt;=Estacas!$B$650-0.00001)*0.001),'Drenagem pontual'!$C$2:$C$450,"DR 13A")*0.435+SUMIFS('Drenagem pontual'!$G$2:$G$450,'Drenagem pontual'!$B$2:$B$450,"&gt;="&amp;$M$2,'Drenagem pontual'!$B$2:$B$450,"&lt;"&amp;($N$2+($N$2&gt;=Estacas!$B$650-0.00001)*0.001),'Drenagem pontual'!$C$2:$C$450,"DAR 01")*0.435+$G$216*0.78+$G$217*0.9+$G$218*1.14+$G$219*1.26+$G$220*0.29+$G$221*1.53+$G$224*15)</f>
        <v>175.3235</v>
      </c>
      <c r="H231" s="31"/>
      <c r="I231" s="31"/>
      <c r="J231" s="31"/>
      <c r="K231" s="31"/>
      <c r="L231" s="0" t="n">
        <f aca="false">SUMIFS('Drenagem pontual'!$G$2:$G$450,'Drenagem pontual'!$B$2:$B$450,"&gt;="&amp;$M$12,'Drenagem pontual'!$B$2:$B$450,"&lt;"&amp;($N$12+($N$12&gt;=Estacas!$B$650-0.00001)*0.001),'Drenagem pontual'!$C$2:$C$450,"DAD 02")*0.49+SUMIFS('Drenagem pontual'!$G$2:$G$450,'Drenagem pontual'!$B$2:$B$450,"&gt;="&amp;$M$12,'Drenagem pontual'!$B$2:$B$450,"&lt;"&amp;($N$12+($N$12&gt;=Estacas!$B$650-0.00001)*0.001),'Drenagem pontual'!$C$2:$C$450,"DCD 02")*0.45+SUMIFS('Drenagem pontual'!$G$2:$G$450,'Drenagem pontual'!$B$2:$B$450,"&gt;="&amp;$M$12,'Drenagem pontual'!$B$2:$B$450,"&lt;"&amp;($N$12+($N$12&gt;=Estacas!$B$650-0.00001)*0.001),'Drenagem pontual'!$C$2:$C$450,"DCD 04")*0.75+SUMIFS('Drenagem pontual'!$G$2:$G$450,'Drenagem pontual'!$B$2:$B$450,"&gt;="&amp;$M$12,'Drenagem pontual'!$B$2:$B$450,"&lt;"&amp;($N$12+($N$12&gt;=Estacas!$B$650-0.00001)*0.001),'Drenagem pontual'!$C$2:$C$450,"DR 13A")*0.435+SUMIFS('Drenagem pontual'!$G$2:$G$450,'Drenagem pontual'!$B$2:$B$450,"&gt;="&amp;$M$12,'Drenagem pontual'!$B$2:$B$450,"&lt;"&amp;($N$12+($N$12&gt;=Estacas!$B$650-0.00001)*0.001),'Drenagem pontual'!$C$2:$C$450,"DAR 01")*0.435+$L$216*0.78+$L$217*0.9+$L$218*1.14+$L$219*1.26+$L$220*0.29+$L$221*1.53+$L$224*15</f>
        <v>175.3235</v>
      </c>
      <c r="P231" s="31"/>
      <c r="Q231" s="31"/>
      <c r="R231" s="67" t="s">
        <v>414</v>
      </c>
    </row>
    <row r="232" customFormat="false" ht="15" hidden="false" customHeight="false" outlineLevel="0" collapsed="false">
      <c r="B232" s="40"/>
      <c r="C232" s="59" t="s">
        <v>420</v>
      </c>
      <c r="D232" s="40" t="s">
        <v>77</v>
      </c>
      <c r="E232" s="31"/>
      <c r="F232" s="31"/>
      <c r="G232" s="60" t="n">
        <f aca="false">IF($N$6&lt;&gt;"",0,SUMIFS('Drenagem pontual'!$G$2:$G$450,'Drenagem pontual'!$B$2:$B$450,"&gt;="&amp;$M$2,'Drenagem pontual'!$B$2:$B$450,"&lt;"&amp;($N$2+($N$2&gt;=Estacas!$B$650-0.00001)*0.001),'Drenagem pontual'!$C$2:$C$450,"DAD 02")*0.23+SUMIFS('Drenagem pontual'!$G$2:$G$450,'Drenagem pontual'!$B$2:$B$450,"&gt;="&amp;$M$2,'Drenagem pontual'!$B$2:$B$450,"&lt;"&amp;($N$2+($N$2&gt;=Estacas!$B$650-0.00001)*0.001),'Drenagem pontual'!$C$2:$C$450,"DCD 02")*0.2+SUMIFS('Drenagem pontual'!$G$2:$G$450,'Drenagem pontual'!$B$2:$B$450,"&gt;="&amp;$M$2,'Drenagem pontual'!$B$2:$B$450,"&lt;"&amp;($N$2+($N$2&gt;=Estacas!$B$650-0.00001)*0.001),'Drenagem pontual'!$C$2:$C$450,"DCD 04")*0.25+SUMIFS('Drenagem pontual'!$G$2:$G$450,'Drenagem pontual'!$B$2:$B$450,"&gt;="&amp;$M$2,'Drenagem pontual'!$B$2:$B$450,"&lt;"&amp;($N$2+($N$2&gt;=Estacas!$B$650-0.00001)*0.001),'Drenagem pontual'!$C$2:$C$450,"DR 13A")*0.212+SUMIFS('Drenagem pontual'!$G$2:$G$450,'Drenagem pontual'!$B$2:$B$450,"&gt;="&amp;$M$2,'Drenagem pontual'!$B$2:$B$450,"&lt;"&amp;($N$2+($N$2&gt;=Estacas!$B$650-0.00001)*0.001),'Drenagem pontual'!$C$2:$C$450,"DAR 01")*0.212+$G$216*0.14+$G$217*0.15+$G$218*0.16+$G$219*0.17+$G$220*0.71+$G$221*2.42+$G$224*5)</f>
        <v>73.9807</v>
      </c>
      <c r="H232" s="31"/>
      <c r="I232" s="31"/>
      <c r="J232" s="31"/>
      <c r="K232" s="31"/>
      <c r="L232" s="0" t="n">
        <f aca="false">SUMIFS('Drenagem pontual'!$G$2:$G$450,'Drenagem pontual'!$B$2:$B$450,"&gt;="&amp;$M$12,'Drenagem pontual'!$B$2:$B$450,"&lt;"&amp;($N$12+($N$12&gt;=Estacas!$B$650-0.00001)*0.001),'Drenagem pontual'!$C$2:$C$450,"DAD 02")*0.23+SUMIFS('Drenagem pontual'!$G$2:$G$450,'Drenagem pontual'!$B$2:$B$450,"&gt;="&amp;$M$12,'Drenagem pontual'!$B$2:$B$450,"&lt;"&amp;($N$12+($N$12&gt;=Estacas!$B$650-0.00001)*0.001),'Drenagem pontual'!$C$2:$C$450,"DCD 02")*0.2+SUMIFS('Drenagem pontual'!$G$2:$G$450,'Drenagem pontual'!$B$2:$B$450,"&gt;="&amp;$M$12,'Drenagem pontual'!$B$2:$B$450,"&lt;"&amp;($N$12+($N$12&gt;=Estacas!$B$650-0.00001)*0.001),'Drenagem pontual'!$C$2:$C$450,"DCD 04")*0.25+SUMIFS('Drenagem pontual'!$G$2:$G$450,'Drenagem pontual'!$B$2:$B$450,"&gt;="&amp;$M$12,'Drenagem pontual'!$B$2:$B$450,"&lt;"&amp;($N$12+($N$12&gt;=Estacas!$B$650-0.00001)*0.001),'Drenagem pontual'!$C$2:$C$450,"DR 13A")*0.212+SUMIFS('Drenagem pontual'!$G$2:$G$450,'Drenagem pontual'!$B$2:$B$450,"&gt;="&amp;$M$12,'Drenagem pontual'!$B$2:$B$450,"&lt;"&amp;($N$12+($N$12&gt;=Estacas!$B$650-0.00001)*0.001),'Drenagem pontual'!$C$2:$C$450,"DAR 01")*0.212+$L$216*0.14+$L$217*0.15+$L$218*0.16+$L$219*0.17+$L$220*0.71+$L$221*2.42+$L$224*5</f>
        <v>73.9807</v>
      </c>
      <c r="P232" s="31"/>
      <c r="Q232" s="31"/>
      <c r="R232" s="67" t="s">
        <v>414</v>
      </c>
    </row>
    <row r="233" customFormat="false" ht="15" hidden="false" customHeight="false" outlineLevel="0" collapsed="false">
      <c r="B233" s="40"/>
      <c r="C233" s="59" t="s">
        <v>421</v>
      </c>
      <c r="D233" s="40" t="s">
        <v>77</v>
      </c>
      <c r="E233" s="31"/>
      <c r="F233" s="31"/>
      <c r="G233" s="60" t="n">
        <f aca="false">IF($N$6&lt;&gt;"",0,$G$216*0.396+$G$217*0.468+$G$218*0.612+$G$219*0.684+$G$220*0.2+$G$221*0.3)</f>
        <v>17.248</v>
      </c>
      <c r="H233" s="31"/>
      <c r="I233" s="31"/>
      <c r="J233" s="31"/>
      <c r="K233" s="31"/>
      <c r="L233" s="0" t="n">
        <f aca="false">$L$216*0.396+$L$217*0.468+$L$218*0.612+$L$219*0.684+$L$220*0.2+$L$221*0.3</f>
        <v>17.248</v>
      </c>
      <c r="P233" s="31"/>
      <c r="Q233" s="31"/>
      <c r="R233" s="67" t="s">
        <v>414</v>
      </c>
    </row>
    <row r="234" customFormat="false" ht="15" hidden="false" customHeight="false" outlineLevel="0" collapsed="false">
      <c r="B234" s="40" t="s">
        <v>422</v>
      </c>
      <c r="C234" s="69" t="s">
        <v>423</v>
      </c>
      <c r="D234" s="40" t="s">
        <v>173</v>
      </c>
      <c r="E234" s="31"/>
      <c r="F234" s="31"/>
      <c r="G234" s="31"/>
      <c r="H234" s="61" t="n">
        <f aca="false">IF($N$6&lt;&gt;"",0,($G$229)*1)</f>
        <v>4682.66</v>
      </c>
      <c r="I234" s="62" t="n">
        <v>18.67</v>
      </c>
      <c r="J234" s="63" t="n">
        <f aca="false">H234*I234</f>
        <v>87425.2622</v>
      </c>
      <c r="K234" s="64" t="n">
        <f aca="false">IF($N$6&lt;&gt;"",0,1999.81*IF(($L$229)=0,$N$9,($G$229)/($L$229)))</f>
        <v>1999.81</v>
      </c>
      <c r="O234" s="0" t="n">
        <f aca="false">IF($N$6&lt;&gt;"",0,37336.45*IF(($L$229)=0,$N$9,($G$229)/($L$229)))</f>
        <v>37336.45</v>
      </c>
      <c r="P234" s="65" t="n">
        <f aca="false">O234</f>
        <v>37336.45</v>
      </c>
      <c r="Q234" s="66" t="n">
        <f aca="false">J234-P234</f>
        <v>50088.8122</v>
      </c>
      <c r="R234" s="67" t="s">
        <v>424</v>
      </c>
    </row>
    <row r="235" customFormat="false" ht="15" hidden="false" customHeight="false" outlineLevel="0" collapsed="false">
      <c r="B235" s="40" t="s">
        <v>425</v>
      </c>
      <c r="C235" s="69" t="s">
        <v>426</v>
      </c>
      <c r="D235" s="40" t="s">
        <v>173</v>
      </c>
      <c r="E235" s="31"/>
      <c r="F235" s="31"/>
      <c r="G235" s="31"/>
      <c r="H235" s="61" t="n">
        <f aca="false">IF($N$6&lt;&gt;"",0,($G$230)*1)</f>
        <v>2083.632</v>
      </c>
      <c r="I235" s="62" t="n">
        <v>20.08</v>
      </c>
      <c r="J235" s="63" t="n">
        <f aca="false">H235*I235</f>
        <v>41839.33056</v>
      </c>
      <c r="K235" s="64" t="n">
        <f aca="false">IF($N$6&lt;&gt;"",0,8435.5*IF(($L$230)=0,$N$9,($G$230)/($L$230)))</f>
        <v>8435.5</v>
      </c>
      <c r="O235" s="0" t="n">
        <f aca="false">IF($N$6&lt;&gt;"",0,169384.84*IF(($L$230)=0,$N$9,($G$230)/($L$230)))</f>
        <v>169384.84</v>
      </c>
      <c r="P235" s="65" t="n">
        <f aca="false">O235</f>
        <v>169384.84</v>
      </c>
      <c r="Q235" s="66" t="n">
        <f aca="false">J235-P235</f>
        <v>-127545.50944</v>
      </c>
      <c r="R235" s="67" t="s">
        <v>424</v>
      </c>
    </row>
    <row r="236" customFormat="false" ht="15" hidden="false" customHeight="false" outlineLevel="0" collapsed="false">
      <c r="B236" s="40" t="s">
        <v>427</v>
      </c>
      <c r="C236" s="69" t="s">
        <v>428</v>
      </c>
      <c r="D236" s="40" t="s">
        <v>77</v>
      </c>
      <c r="E236" s="31"/>
      <c r="F236" s="31"/>
      <c r="G236" s="31"/>
      <c r="H236" s="61" t="n">
        <f aca="false">IF($N$6&lt;&gt;"",0,($G$232)*1)</f>
        <v>73.9807</v>
      </c>
      <c r="I236" s="62" t="n">
        <v>60.31</v>
      </c>
      <c r="J236" s="63" t="n">
        <f aca="false">H236*I236</f>
        <v>4461.776017</v>
      </c>
      <c r="K236" s="64" t="n">
        <f aca="false">IF($N$6&lt;&gt;"",0,211.15*IF(($L$232)=0,$N$9,($G$232)/($L$232)))</f>
        <v>211.15</v>
      </c>
      <c r="O236" s="0" t="n">
        <f aca="false">IF($N$6&lt;&gt;"",0,12734.45*IF(($L$232)=0,$N$9,($G$232)/($L$232)))</f>
        <v>12734.45</v>
      </c>
      <c r="P236" s="65" t="n">
        <f aca="false">O236</f>
        <v>12734.45</v>
      </c>
      <c r="Q236" s="66" t="n">
        <f aca="false">J236-P236</f>
        <v>-8272.673983</v>
      </c>
      <c r="R236" s="67" t="s">
        <v>424</v>
      </c>
    </row>
    <row r="237" customFormat="false" ht="15" hidden="false" customHeight="false" outlineLevel="0" collapsed="false">
      <c r="B237" s="40" t="s">
        <v>429</v>
      </c>
      <c r="C237" s="69" t="s">
        <v>430</v>
      </c>
      <c r="D237" s="40" t="s">
        <v>77</v>
      </c>
      <c r="E237" s="31"/>
      <c r="F237" s="31"/>
      <c r="G237" s="31"/>
      <c r="H237" s="61" t="n">
        <f aca="false">IF($N$6&lt;&gt;"",0,($G$226)*1)</f>
        <v>139.4781</v>
      </c>
      <c r="I237" s="62" t="n">
        <v>760.45</v>
      </c>
      <c r="J237" s="63" t="n">
        <f aca="false">H237*I237</f>
        <v>106066.121145</v>
      </c>
      <c r="K237" s="64" t="n">
        <f aca="false">IF($N$6&lt;&gt;"",0,920.67*IF(($L$226)=0,$N$9,($G$226)/($L$226)))</f>
        <v>920.67</v>
      </c>
      <c r="O237" s="0" t="n">
        <f aca="false">IF($N$6&lt;&gt;"",0,700123.5*IF(($L$226)=0,$N$9,($G$226)/($L$226)))</f>
        <v>700123.5</v>
      </c>
      <c r="P237" s="65" t="n">
        <f aca="false">O237</f>
        <v>700123.5</v>
      </c>
      <c r="Q237" s="66" t="n">
        <f aca="false">J237-P237</f>
        <v>-594057.378855</v>
      </c>
      <c r="R237" s="67" t="s">
        <v>424</v>
      </c>
    </row>
    <row r="238" customFormat="false" ht="15" hidden="false" customHeight="false" outlineLevel="0" collapsed="false">
      <c r="B238" s="40" t="s">
        <v>431</v>
      </c>
      <c r="C238" s="69" t="s">
        <v>432</v>
      </c>
      <c r="D238" s="40" t="s">
        <v>77</v>
      </c>
      <c r="E238" s="31"/>
      <c r="F238" s="31"/>
      <c r="G238" s="31"/>
      <c r="H238" s="61" t="n">
        <f aca="false">IF($N$6&lt;&gt;"",0,($G$227)*1)</f>
        <v>4.07</v>
      </c>
      <c r="I238" s="62" t="n">
        <v>675.02</v>
      </c>
      <c r="J238" s="63" t="n">
        <f aca="false">H238*I238</f>
        <v>2747.3314</v>
      </c>
      <c r="K238" s="64" t="n">
        <f aca="false">IF($N$6&lt;&gt;"",0,12.57*IF(($L$227)=0,$N$9,($G$227)/($L$227)))</f>
        <v>12.57</v>
      </c>
      <c r="O238" s="0" t="n">
        <f aca="false">IF($N$6&lt;&gt;"",0,8485*IF(($L$227)=0,$N$9,($G$227)/($L$227)))</f>
        <v>8485</v>
      </c>
      <c r="P238" s="65" t="n">
        <f aca="false">O238</f>
        <v>8485</v>
      </c>
      <c r="Q238" s="66" t="n">
        <f aca="false">J238-P238</f>
        <v>-5737.6686</v>
      </c>
      <c r="R238" s="67" t="s">
        <v>424</v>
      </c>
    </row>
    <row r="239" customFormat="false" ht="15" hidden="false" customHeight="false" outlineLevel="0" collapsed="false">
      <c r="B239" s="40" t="s">
        <v>433</v>
      </c>
      <c r="C239" s="69" t="s">
        <v>434</v>
      </c>
      <c r="D239" s="40" t="s">
        <v>73</v>
      </c>
      <c r="E239" s="31"/>
      <c r="F239" s="31"/>
      <c r="G239" s="31"/>
      <c r="H239" s="61" t="n">
        <f aca="false">IF($N$6&lt;&gt;"",0,($G$193)*1)</f>
        <v>1001.9928</v>
      </c>
      <c r="I239" s="62" t="n">
        <v>13.61</v>
      </c>
      <c r="J239" s="63" t="n">
        <f aca="false">H239*I239</f>
        <v>13637.122008</v>
      </c>
      <c r="K239" s="64" t="n">
        <f aca="false">IF($N$6&lt;&gt;"",0,3207*IF(($L$193)=0,$N$9,($G$193)/($L$193)))</f>
        <v>3207</v>
      </c>
      <c r="O239" s="0" t="n">
        <f aca="false">IF($N$6&lt;&gt;"",0,43647.27*IF(($L$193)=0,$N$9,($G$193)/($L$193)))</f>
        <v>43647.27</v>
      </c>
      <c r="P239" s="65" t="n">
        <f aca="false">O239</f>
        <v>43647.27</v>
      </c>
      <c r="Q239" s="66" t="n">
        <f aca="false">J239-P239</f>
        <v>-30010.147992</v>
      </c>
      <c r="R239" s="67" t="s">
        <v>435</v>
      </c>
    </row>
    <row r="240" customFormat="false" ht="15" hidden="false" customHeight="false" outlineLevel="0" collapsed="false">
      <c r="B240" s="40" t="s">
        <v>436</v>
      </c>
      <c r="C240" s="69" t="s">
        <v>437</v>
      </c>
      <c r="D240" s="40" t="s">
        <v>77</v>
      </c>
      <c r="E240" s="31"/>
      <c r="F240" s="31"/>
      <c r="G240" s="31"/>
      <c r="H240" s="61" t="n">
        <f aca="false">IF($N$6&lt;&gt;"",0,($G$194+$G$231)*1)</f>
        <v>17983.191</v>
      </c>
      <c r="I240" s="62" t="n">
        <v>20.76</v>
      </c>
      <c r="J240" s="63" t="n">
        <f aca="false">H240*I240</f>
        <v>373331.04516</v>
      </c>
      <c r="K240" s="64" t="n">
        <f aca="false">IF($N$6&lt;&gt;"",0,20153.71*IF(($L$194+$L$231)=0,$N$9,($G$194+$G$231)/($L$194+$L$231)))</f>
        <v>20153.71</v>
      </c>
      <c r="O240" s="0" t="n">
        <f aca="false">IF($N$6&lt;&gt;"",0,418391.01*IF(($L$194+$L$231)=0,$N$9,($G$194+$G$231)/($L$194+$L$231)))</f>
        <v>418391.01</v>
      </c>
      <c r="P240" s="65" t="n">
        <f aca="false">O240</f>
        <v>418391.01</v>
      </c>
      <c r="Q240" s="66" t="n">
        <f aca="false">J240-P240</f>
        <v>-45059.96484</v>
      </c>
      <c r="R240" s="67" t="s">
        <v>435</v>
      </c>
    </row>
    <row r="241" customFormat="false" ht="15" hidden="false" customHeight="false" outlineLevel="0" collapsed="false">
      <c r="B241" s="40" t="s">
        <v>438</v>
      </c>
      <c r="C241" s="69" t="s">
        <v>439</v>
      </c>
      <c r="D241" s="40" t="s">
        <v>73</v>
      </c>
      <c r="E241" s="31"/>
      <c r="F241" s="31"/>
      <c r="G241" s="31"/>
      <c r="H241" s="61" t="n">
        <f aca="false">IF($N$6&lt;&gt;"",0,($G$228)*1)</f>
        <v>1483.994</v>
      </c>
      <c r="I241" s="62" t="n">
        <v>68.59</v>
      </c>
      <c r="J241" s="63" t="n">
        <f aca="false">H241*I241</f>
        <v>101787.14846</v>
      </c>
      <c r="K241" s="64" t="n">
        <f aca="false">IF($N$6&lt;&gt;"",0,3752.7*IF(($L$228)=0,$N$9,($G$228)/($L$228)))</f>
        <v>3752.7</v>
      </c>
      <c r="O241" s="0" t="n">
        <f aca="false">IF($N$6&lt;&gt;"",0,257397.69*IF(($L$228)=0,$N$9,($G$228)/($L$228)))</f>
        <v>257397.69</v>
      </c>
      <c r="P241" s="65" t="n">
        <f aca="false">O241</f>
        <v>257397.69</v>
      </c>
      <c r="Q241" s="66" t="n">
        <f aca="false">J241-P241</f>
        <v>-155610.54154</v>
      </c>
      <c r="R241" s="67" t="s">
        <v>424</v>
      </c>
    </row>
    <row r="242" customFormat="false" ht="15" hidden="false" customHeight="false" outlineLevel="0" collapsed="false">
      <c r="B242" s="40" t="s">
        <v>440</v>
      </c>
      <c r="C242" s="69" t="s">
        <v>441</v>
      </c>
      <c r="D242" s="40" t="s">
        <v>77</v>
      </c>
      <c r="E242" s="31"/>
      <c r="F242" s="31"/>
      <c r="G242" s="31"/>
      <c r="H242" s="76" t="n">
        <f aca="false">IF($N$6&lt;&gt;"",0,48.01*IF(($L$205+$L$206+$L$207+$L$208+$L$209+$L$210+$L$211+$L$212+$L$213+$L$214+$L$215+$L$216+$L$217+$L$218+$L$219+$L$220+$L$221+$L$222+$L$223+$L$224+$L$225)=0,$N$9,($G$205+$G$206+$G$207+$G$208+$G$209+$G$210+$G$211+$G$212+$G$213+$G$214+$G$215+$G$216+$G$217+$G$218+$G$219+$G$220+$G$221+$G$222+$G$223+$G$224+$G$225)/($L$205+$L$206+$L$207+$L$208+$L$209+$L$210+$L$211+$L$212+$L$213+$L$214+$L$215+$L$216+$L$217+$L$218+$L$219+$L$220+$L$221+$L$222+$L$223+$L$224+$L$225)))</f>
        <v>48.01</v>
      </c>
      <c r="I242" s="62" t="n">
        <v>793.16</v>
      </c>
      <c r="J242" s="63" t="n">
        <f aca="false">H242*I242</f>
        <v>38079.6116</v>
      </c>
      <c r="K242" s="64" t="n">
        <f aca="false">IF($N$6&lt;&gt;"",0,48.01*IF(($L$205+$L$206+$L$207+$L$208+$L$209+$L$210+$L$211+$L$212+$L$213+$L$214+$L$215+$L$216+$L$217+$L$218+$L$219+$L$220+$L$221+$L$222+$L$223+$L$224+$L$225)=0,$N$9,($G$205+$G$206+$G$207+$G$208+$G$209+$G$210+$G$211+$G$212+$G$213+$G$214+$G$215+$G$216+$G$217+$G$218+$G$219+$G$220+$G$221+$G$222+$G$223+$G$224+$G$225)/($L$205+$L$206+$L$207+$L$208+$L$209+$L$210+$L$211+$L$212+$L$213+$L$214+$L$215+$L$216+$L$217+$L$218+$L$219+$L$220+$L$221+$L$222+$L$223+$L$224+$L$225)))</f>
        <v>48.01</v>
      </c>
      <c r="O242" s="0" t="n">
        <f aca="false">IF($N$6&lt;&gt;"",0,38079.61*IF(($L$205+$L$206+$L$207+$L$208+$L$209+$L$210+$L$211+$L$212+$L$213+$L$214+$L$215+$L$216+$L$217+$L$218+$L$219+$L$220+$L$221+$L$222+$L$223+$L$224+$L$225)=0,$N$9,($G$205+$G$206+$G$207+$G$208+$G$209+$G$210+$G$211+$G$212+$G$213+$G$214+$G$215+$G$216+$G$217+$G$218+$G$219+$G$220+$G$221+$G$222+$G$223+$G$224+$G$225)/($L$205+$L$206+$L$207+$L$208+$L$209+$L$210+$L$211+$L$212+$L$213+$L$214+$L$215+$L$216+$L$217+$L$218+$L$219+$L$220+$L$221+$L$222+$L$223+$L$224+$L$225)))</f>
        <v>38079.61</v>
      </c>
      <c r="P242" s="65" t="n">
        <f aca="false">O242</f>
        <v>38079.61</v>
      </c>
      <c r="Q242" s="66" t="n">
        <f aca="false">J242-P242</f>
        <v>0.00159999999596039</v>
      </c>
      <c r="R242" s="67" t="s">
        <v>442</v>
      </c>
    </row>
    <row r="243" customFormat="false" ht="15" hidden="false" customHeight="false" outlineLevel="0" collapsed="false">
      <c r="B243" s="40" t="s">
        <v>443</v>
      </c>
      <c r="C243" s="69" t="s">
        <v>444</v>
      </c>
      <c r="D243" s="40" t="s">
        <v>77</v>
      </c>
      <c r="E243" s="31"/>
      <c r="F243" s="31"/>
      <c r="G243" s="31"/>
      <c r="H243" s="76" t="n">
        <f aca="false">IF($N$6&lt;&gt;"",0,462.72*IF(($L$205+$L$206+$L$207+$L$208+$L$209+$L$210+$L$211+$L$212+$L$213+$L$214+$L$215+$L$216+$L$217+$L$218+$L$219+$L$220+$L$221+$L$222+$L$223+$L$224+$L$225)=0,$N$9,($G$205+$G$206+$G$207+$G$208+$G$209+$G$210+$G$211+$G$212+$G$213+$G$214+$G$215+$G$216+$G$217+$G$218+$G$219+$G$220+$G$221+$G$222+$G$223+$G$224+$G$225)/($L$205+$L$206+$L$207+$L$208+$L$209+$L$210+$L$211+$L$212+$L$213+$L$214+$L$215+$L$216+$L$217+$L$218+$L$219+$L$220+$L$221+$L$222+$L$223+$L$224+$L$225)))</f>
        <v>462.72</v>
      </c>
      <c r="I243" s="62" t="n">
        <v>175.43</v>
      </c>
      <c r="J243" s="63" t="n">
        <f aca="false">H243*I243</f>
        <v>81174.9696</v>
      </c>
      <c r="K243" s="64" t="n">
        <f aca="false">IF($N$6&lt;&gt;"",0,462.72*IF(($L$205+$L$206+$L$207+$L$208+$L$209+$L$210+$L$211+$L$212+$L$213+$L$214+$L$215+$L$216+$L$217+$L$218+$L$219+$L$220+$L$221+$L$222+$L$223+$L$224+$L$225)=0,$N$9,($G$205+$G$206+$G$207+$G$208+$G$209+$G$210+$G$211+$G$212+$G$213+$G$214+$G$215+$G$216+$G$217+$G$218+$G$219+$G$220+$G$221+$G$222+$G$223+$G$224+$G$225)/($L$205+$L$206+$L$207+$L$208+$L$209+$L$210+$L$211+$L$212+$L$213+$L$214+$L$215+$L$216+$L$217+$L$218+$L$219+$L$220+$L$221+$L$222+$L$223+$L$224+$L$225)))</f>
        <v>462.72</v>
      </c>
      <c r="O243" s="0" t="n">
        <f aca="false">IF($N$6&lt;&gt;"",0,81174.96*IF(($L$205+$L$206+$L$207+$L$208+$L$209+$L$210+$L$211+$L$212+$L$213+$L$214+$L$215+$L$216+$L$217+$L$218+$L$219+$L$220+$L$221+$L$222+$L$223+$L$224+$L$225)=0,$N$9,($G$205+$G$206+$G$207+$G$208+$G$209+$G$210+$G$211+$G$212+$G$213+$G$214+$G$215+$G$216+$G$217+$G$218+$G$219+$G$220+$G$221+$G$222+$G$223+$G$224+$G$225)/($L$205+$L$206+$L$207+$L$208+$L$209+$L$210+$L$211+$L$212+$L$213+$L$214+$L$215+$L$216+$L$217+$L$218+$L$219+$L$220+$L$221+$L$222+$L$223+$L$224+$L$225)))</f>
        <v>81174.96</v>
      </c>
      <c r="P243" s="65" t="n">
        <f aca="false">O243</f>
        <v>81174.96</v>
      </c>
      <c r="Q243" s="66" t="n">
        <f aca="false">J243-P243</f>
        <v>0.00960000000486616</v>
      </c>
      <c r="R243" s="67" t="s">
        <v>442</v>
      </c>
    </row>
    <row r="244" customFormat="false" ht="15" hidden="false" customHeight="false" outlineLevel="0" collapsed="false">
      <c r="B244" s="40"/>
      <c r="C244" s="59" t="s">
        <v>445</v>
      </c>
      <c r="D244" s="40" t="s">
        <v>73</v>
      </c>
      <c r="E244" s="31"/>
      <c r="F244" s="31"/>
      <c r="G244" s="60" t="n">
        <f aca="false">IF($N$6&lt;&gt;"",0,($G$200+$G$136)*2.15)</f>
        <v>6545.288</v>
      </c>
      <c r="H244" s="31"/>
      <c r="I244" s="31"/>
      <c r="J244" s="31"/>
      <c r="K244" s="31"/>
      <c r="L244" s="0" t="n">
        <f aca="false">($L$200+$L$136)*2.15</f>
        <v>6545.288</v>
      </c>
      <c r="P244" s="31"/>
      <c r="Q244" s="31"/>
      <c r="R244" s="67" t="s">
        <v>446</v>
      </c>
    </row>
    <row r="245" customFormat="false" ht="15" hidden="false" customHeight="false" outlineLevel="0" collapsed="false">
      <c r="B245" s="40"/>
      <c r="C245" s="59" t="s">
        <v>447</v>
      </c>
      <c r="D245" s="40" t="s">
        <v>77</v>
      </c>
      <c r="E245" s="31"/>
      <c r="F245" s="31"/>
      <c r="G245" s="60" t="n">
        <f aca="false">IF($N$6&lt;&gt;"",0,($G$200+$G$136)*0.16)</f>
        <v>487.0912</v>
      </c>
      <c r="H245" s="31"/>
      <c r="I245" s="31"/>
      <c r="J245" s="31"/>
      <c r="K245" s="31"/>
      <c r="L245" s="0" t="n">
        <f aca="false">($L$200+$L$136)*0.16</f>
        <v>487.0912</v>
      </c>
      <c r="P245" s="31"/>
      <c r="Q245" s="31"/>
      <c r="R245" s="67" t="s">
        <v>448</v>
      </c>
    </row>
    <row r="246" customFormat="false" ht="15" hidden="false" customHeight="false" outlineLevel="0" collapsed="false">
      <c r="B246" s="40" t="s">
        <v>449</v>
      </c>
      <c r="C246" s="69" t="s">
        <v>450</v>
      </c>
      <c r="D246" s="40" t="s">
        <v>73</v>
      </c>
      <c r="E246" s="31"/>
      <c r="F246" s="31"/>
      <c r="G246" s="31"/>
      <c r="H246" s="61" t="n">
        <f aca="false">IF($N$6&lt;&gt;"",0,($G$244)*1)</f>
        <v>6545.288</v>
      </c>
      <c r="I246" s="62" t="n">
        <v>10.13</v>
      </c>
      <c r="J246" s="63" t="n">
        <f aca="false">H246*I246</f>
        <v>66303.76744</v>
      </c>
      <c r="K246" s="64" t="n">
        <f aca="false">IF($N$6&lt;&gt;"",0,3186.3*IF(($L$244)=0,$N$9,($G$244)/($L$244)))</f>
        <v>3186.3</v>
      </c>
      <c r="O246" s="0" t="n">
        <f aca="false">IF($N$6&lt;&gt;"",0,32277.21*IF(($L$244)=0,$N$9,($G$244)/($L$244)))</f>
        <v>32277.21</v>
      </c>
      <c r="P246" s="65" t="n">
        <f aca="false">O246</f>
        <v>32277.21</v>
      </c>
      <c r="Q246" s="66" t="n">
        <f aca="false">J246-P246</f>
        <v>34026.55744</v>
      </c>
      <c r="R246" s="67" t="s">
        <v>451</v>
      </c>
    </row>
    <row r="247" customFormat="false" ht="15" hidden="false" customHeight="false" outlineLevel="0" collapsed="false">
      <c r="B247" s="40" t="s">
        <v>452</v>
      </c>
      <c r="C247" s="69" t="s">
        <v>453</v>
      </c>
      <c r="D247" s="40" t="s">
        <v>77</v>
      </c>
      <c r="E247" s="31"/>
      <c r="F247" s="31"/>
      <c r="G247" s="31"/>
      <c r="H247" s="61" t="n">
        <f aca="false">IF($N$6&lt;&gt;"",0,($G$245)*1)</f>
        <v>487.0912</v>
      </c>
      <c r="I247" s="62" t="n">
        <v>247.24</v>
      </c>
      <c r="J247" s="63" t="n">
        <f aca="false">H247*I247</f>
        <v>120428.428288</v>
      </c>
      <c r="K247" s="64" t="n">
        <f aca="false">IF($N$6&lt;&gt;"",0,237.12*IF(($L$245)=0,$N$9,($G$245)/($L$245)))</f>
        <v>237.12</v>
      </c>
      <c r="O247" s="0" t="n">
        <f aca="false">IF($N$6&lt;&gt;"",0,58625.54*IF(($L$245)=0,$N$9,($G$245)/($L$245)))</f>
        <v>58625.54</v>
      </c>
      <c r="P247" s="65" t="n">
        <f aca="false">O247</f>
        <v>58625.54</v>
      </c>
      <c r="Q247" s="66" t="n">
        <f aca="false">J247-P247</f>
        <v>61802.888288</v>
      </c>
      <c r="R247" s="67" t="s">
        <v>454</v>
      </c>
    </row>
    <row r="248" customFormat="false" ht="15" hidden="false" customHeight="false" outlineLevel="0" collapsed="false">
      <c r="B248" s="57"/>
      <c r="C248" s="58" t="s">
        <v>455</v>
      </c>
      <c r="D248" s="57"/>
      <c r="E248" s="57"/>
      <c r="F248" s="57"/>
      <c r="G248" s="57"/>
      <c r="H248" s="57"/>
      <c r="I248" s="57"/>
      <c r="J248" s="57"/>
      <c r="K248" s="57"/>
      <c r="P248" s="57"/>
      <c r="Q248" s="57"/>
      <c r="R248" s="57"/>
    </row>
    <row r="249" customFormat="false" ht="15" hidden="false" customHeight="false" outlineLevel="0" collapsed="false">
      <c r="B249" s="40" t="s">
        <v>456</v>
      </c>
      <c r="C249" s="59" t="s">
        <v>457</v>
      </c>
      <c r="D249" s="40" t="s">
        <v>77</v>
      </c>
      <c r="E249" s="31"/>
      <c r="F249" s="31"/>
      <c r="G249" s="60" t="n">
        <f aca="false">IF($N$6&lt;&gt;"",0,SUMIFS('Drenagem pontual'!$H$2:$H$450,'Drenagem pontual'!$B$2:$B$450,"&gt;="&amp;$M$2,'Drenagem pontual'!$B$2:$B$450,"&lt;"&amp;($N$2+($N$2&gt;=Estacas!$B$650-0.00001)*0.001))+SUMPRODUCT('Drenagem linear'!$I$2:$I$518,((('Drenagem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linear'!$C$2:$C$518)))</f>
        <v>12943.5537</v>
      </c>
      <c r="H249" s="61" t="n">
        <f aca="false">IF($N$6&lt;&gt;"",0,$G$249)</f>
        <v>12943.5537</v>
      </c>
      <c r="I249" s="62" t="n">
        <v>12.84</v>
      </c>
      <c r="J249" s="63" t="n">
        <f aca="false">H249*I249</f>
        <v>166195.229508</v>
      </c>
      <c r="K249" s="64" t="n">
        <f aca="false">IF($N$6&lt;&gt;"",0,11700*IF($L$249=0,$N$9,$G$249/$L$249))</f>
        <v>11700</v>
      </c>
      <c r="L249" s="0" t="n">
        <f aca="false">SUMIFS('Drenagem pontual'!$H$2:$H$450,'Drenagem pontual'!$B$2:$B$450,"&gt;="&amp;$M$12,'Drenagem pontual'!$B$2:$B$450,"&lt;"&amp;($N$12+($N$12&gt;=Estacas!$B$650-0.00001)*0.001))+SUMPRODUCT('Drenagem linear'!$I$2:$I$518,((('Drenagem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linear'!$C$2:$C$518))</f>
        <v>12943.5537</v>
      </c>
      <c r="O249" s="0" t="n">
        <f aca="false">IF($N$6&lt;&gt;"",0,150228*IF($L$249=0,$N$9,$G$249/$L$249))</f>
        <v>150228</v>
      </c>
      <c r="P249" s="65" t="n">
        <f aca="false">O249</f>
        <v>150228</v>
      </c>
      <c r="Q249" s="66" t="n">
        <f aca="false">J249-P249</f>
        <v>15967.229508</v>
      </c>
      <c r="R249" s="67" t="s">
        <v>458</v>
      </c>
    </row>
    <row r="250" customFormat="false" ht="15" hidden="false" customHeight="false" outlineLevel="0" collapsed="false">
      <c r="B250" s="40" t="s">
        <v>427</v>
      </c>
      <c r="C250" s="59" t="s">
        <v>459</v>
      </c>
      <c r="D250" s="40" t="s">
        <v>77</v>
      </c>
      <c r="E250" s="31"/>
      <c r="F250" s="31"/>
      <c r="G250" s="60" t="n">
        <f aca="false">IF($N$6&lt;&gt;"",0,SUMIFS('Drenagem pontual'!$I$2:$I$450,'Drenagem pontual'!$B$2:$B$450,"&gt;="&amp;$M$2,'Drenagem pontual'!$B$2:$B$450,"&lt;"&amp;($N$2+($N$2&gt;=Estacas!$B$650-0.00001)*0.001))+SUMPRODUCT('Drenagem linear'!$J$2:$J$518,((('Drenagem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linear'!$C$2:$C$518)))</f>
        <v>13854.12</v>
      </c>
      <c r="H250" s="61" t="n">
        <f aca="false">IF($N$6&lt;&gt;"",0,$G$250)</f>
        <v>13854.12</v>
      </c>
      <c r="I250" s="62" t="n">
        <v>60.31</v>
      </c>
      <c r="J250" s="63" t="n">
        <f aca="false">H250*I250</f>
        <v>835541.9772</v>
      </c>
      <c r="K250" s="64" t="n">
        <f aca="false">IF($N$6&lt;&gt;"",0,13601*IF($L$250=0,$N$9,$G$250/$L$250))</f>
        <v>13601</v>
      </c>
      <c r="L250" s="0" t="n">
        <f aca="false">SUMIFS('Drenagem pontual'!$I$2:$I$450,'Drenagem pontual'!$B$2:$B$450,"&gt;="&amp;$M$12,'Drenagem pontual'!$B$2:$B$450,"&lt;"&amp;($N$12+($N$12&gt;=Estacas!$B$650-0.00001)*0.001))+SUMPRODUCT('Drenagem linear'!$J$2:$J$518,((('Drenagem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linear'!$C$2:$C$518))</f>
        <v>13854.12</v>
      </c>
      <c r="O250" s="0" t="n">
        <f aca="false">IF($N$6&lt;&gt;"",0,820276.31*IF($L$250=0,$N$9,$G$250/$L$250))</f>
        <v>820276.31</v>
      </c>
      <c r="P250" s="65" t="n">
        <f aca="false">O250</f>
        <v>820276.31</v>
      </c>
      <c r="Q250" s="66" t="n">
        <f aca="false">J250-P250</f>
        <v>15265.6671999999</v>
      </c>
      <c r="R250" s="67" t="s">
        <v>458</v>
      </c>
    </row>
    <row r="251" customFormat="false" ht="15" hidden="false" customHeight="false" outlineLevel="0" collapsed="false">
      <c r="B251" s="40" t="s">
        <v>460</v>
      </c>
      <c r="C251" s="59" t="s">
        <v>461</v>
      </c>
      <c r="D251" s="40" t="s">
        <v>77</v>
      </c>
      <c r="E251" s="31"/>
      <c r="F251" s="31"/>
      <c r="G251" s="60" t="n">
        <f aca="false">IF($N$6&lt;&gt;"",0,SUMIFS('Drenagem pontual'!$J$2:$J$450,'Drenagem pontual'!$B$2:$B$450,"&gt;="&amp;$M$2,'Drenagem pontual'!$B$2:$B$450,"&lt;"&amp;($N$2+($N$2&gt;=Estacas!$B$650-0.00001)*0.001))+SUMPRODUCT('Drenagem linear'!$K$2:$K$518,((('Drenagem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linear'!$C$2:$C$518)))</f>
        <v>1057.03</v>
      </c>
      <c r="H251" s="61" t="n">
        <f aca="false">IF($N$6&lt;&gt;"",0,$G$251)</f>
        <v>1057.03</v>
      </c>
      <c r="I251" s="62" t="n">
        <v>38.19</v>
      </c>
      <c r="J251" s="63" t="n">
        <f aca="false">H251*I251</f>
        <v>40367.9757</v>
      </c>
      <c r="K251" s="64" t="n">
        <f aca="false">IF($N$6&lt;&gt;"",0,1425*IF($L$251=0,$N$9,$G$251/$L$251))</f>
        <v>1425</v>
      </c>
      <c r="L251" s="0" t="n">
        <f aca="false">SUMIFS('Drenagem pontual'!$J$2:$J$450,'Drenagem pontual'!$B$2:$B$450,"&gt;="&amp;$M$12,'Drenagem pontual'!$B$2:$B$450,"&lt;"&amp;($N$12+($N$12&gt;=Estacas!$B$650-0.00001)*0.001))+SUMPRODUCT('Drenagem linear'!$K$2:$K$518,((('Drenagem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linear'!$C$2:$C$518))</f>
        <v>1057.03</v>
      </c>
      <c r="O251" s="0" t="n">
        <f aca="false">IF($N$6&lt;&gt;"",0,54420.75*IF($L$251=0,$N$9,$G$251/$L$251))</f>
        <v>54420.75</v>
      </c>
      <c r="P251" s="65" t="n">
        <f aca="false">O251</f>
        <v>54420.75</v>
      </c>
      <c r="Q251" s="66" t="n">
        <f aca="false">J251-P251</f>
        <v>-14052.7743</v>
      </c>
      <c r="R251" s="67" t="s">
        <v>458</v>
      </c>
    </row>
    <row r="252" customFormat="false" ht="15" hidden="false" customHeight="false" outlineLevel="0" collapsed="false">
      <c r="B252" s="40" t="s">
        <v>462</v>
      </c>
      <c r="C252" s="59" t="s">
        <v>463</v>
      </c>
      <c r="D252" s="40" t="s">
        <v>73</v>
      </c>
      <c r="E252" s="31"/>
      <c r="F252" s="31"/>
      <c r="G252" s="60" t="n">
        <f aca="false">IF($N$6&lt;&gt;"",0,SUMIFS('Drenagem pontual'!$K$2:$K$450,'Drenagem pontual'!$B$2:$B$450,"&gt;="&amp;$M$2,'Drenagem pontual'!$B$2:$B$450,"&lt;"&amp;($N$2+($N$2&gt;=Estacas!$B$650-0.00001)*0.001))+SUMPRODUCT('Drenagem linear'!$L$2:$L$518,((('Drenagem linear'!$D$2:$D$518&lt;$N$2)*'Drenagem linear'!$D$2:$D$518+('Drenagem linear'!$D$2:$D$518&gt;=$N$2)*$N$2)-(('Drenagem linear'!$C$2:$C$518&gt;$M$2)*'Drenagem linear'!$C$2:$C$518+('Drenagem linear'!$C$2:$C$518&lt;=$M$2)*$M$2))*('Drenagem linear'!$C$2:$C$518&lt;$N$2)*('Drenagem linear'!$D$2:$D$518&gt;$M$2)/('Drenagem linear'!$D$2:$D$518-'Drenagem linear'!$C$2:$C$518)))</f>
        <v>587.77</v>
      </c>
      <c r="H252" s="61" t="n">
        <f aca="false">IF($N$6&lt;&gt;"",0,$G$252)</f>
        <v>587.77</v>
      </c>
      <c r="I252" s="62" t="n">
        <v>122.5</v>
      </c>
      <c r="J252" s="63" t="n">
        <f aca="false">H252*I252</f>
        <v>72001.825</v>
      </c>
      <c r="K252" s="64" t="n">
        <f aca="false">IF($N$6&lt;&gt;"",0,1808*IF($L$252=0,$N$9,$G$252/$L$252))</f>
        <v>1808</v>
      </c>
      <c r="L252" s="0" t="n">
        <f aca="false">SUMIFS('Drenagem pontual'!$K$2:$K$450,'Drenagem pontual'!$B$2:$B$450,"&gt;="&amp;$M$12,'Drenagem pontual'!$B$2:$B$450,"&lt;"&amp;($N$12+($N$12&gt;=Estacas!$B$650-0.00001)*0.001))+SUMPRODUCT('Drenagem linear'!$L$2:$L$518,((('Drenagem linear'!$D$2:$D$518&lt;$N$12)*'Drenagem linear'!$D$2:$D$518+('Drenagem linear'!$D$2:$D$518&gt;=$N$12)*$N$12)-(('Drenagem linear'!$C$2:$C$518&gt;$M$12)*'Drenagem linear'!$C$2:$C$518+('Drenagem linear'!$C$2:$C$518&lt;=$M$12)*$M$12))*('Drenagem linear'!$C$2:$C$518&lt;$N$12)*('Drenagem linear'!$D$2:$D$518&gt;$M$12)/('Drenagem linear'!$D$2:$D$518-'Drenagem linear'!$C$2:$C$518))</f>
        <v>587.77</v>
      </c>
      <c r="O252" s="0" t="n">
        <f aca="false">IF($N$6&lt;&gt;"",0,221480*IF($L$252=0,$N$9,$G$252/$L$252))</f>
        <v>221480</v>
      </c>
      <c r="P252" s="65" t="n">
        <f aca="false">O252</f>
        <v>221480</v>
      </c>
      <c r="Q252" s="66" t="n">
        <f aca="false">J252-P252</f>
        <v>-149478.175</v>
      </c>
      <c r="R252" s="67" t="s">
        <v>458</v>
      </c>
    </row>
    <row r="253" customFormat="false" ht="15" hidden="false" customHeight="false" outlineLevel="0" collapsed="false">
      <c r="B253" s="40" t="s">
        <v>375</v>
      </c>
      <c r="C253" s="59" t="s">
        <v>464</v>
      </c>
      <c r="D253" s="40" t="s">
        <v>77</v>
      </c>
      <c r="E253" s="31"/>
      <c r="F253" s="31"/>
      <c r="G253" s="60" t="n">
        <f aca="false">IF($N$6&lt;&gt;"",0,SUMIFS('Drenagem pontual'!$L$2:$L$450,'Drenagem pontual'!$B$2:$B$450,"&gt;="&amp;$M$2,'Drenagem pontual'!$B$2:$B$450,"&lt;"&amp;($N$2+($N$2&gt;=Estacas!$B$650-0.00001)*0.001)))</f>
        <v>100.95</v>
      </c>
      <c r="H253" s="31"/>
      <c r="I253" s="31"/>
      <c r="J253" s="31"/>
      <c r="K253" s="31"/>
      <c r="L253" s="0" t="n">
        <f aca="false">SUMIFS('Drenagem pontual'!$L$2:$L$450,'Drenagem pontual'!$B$2:$B$450,"&gt;="&amp;$M$12,'Drenagem pontual'!$B$2:$B$450,"&lt;"&amp;($N$12+($N$12&gt;=Estacas!$B$650-0.00001)*0.001))</f>
        <v>100.95</v>
      </c>
      <c r="P253" s="31"/>
      <c r="Q253" s="31"/>
      <c r="R253" s="67" t="s">
        <v>465</v>
      </c>
    </row>
    <row r="254" customFormat="false" ht="15" hidden="false" customHeight="false" outlineLevel="0" collapsed="false">
      <c r="B254" s="40" t="s">
        <v>433</v>
      </c>
      <c r="C254" s="59" t="s">
        <v>466</v>
      </c>
      <c r="D254" s="40" t="s">
        <v>73</v>
      </c>
      <c r="E254" s="31"/>
      <c r="F254" s="31"/>
      <c r="G254" s="60" t="n">
        <f aca="false">IF($N$6&lt;&gt;"",0,SUMIFS('Drenagem pontual'!$M$2:$M$450,'Drenagem pontual'!$B$2:$B$450,"&gt;="&amp;$M$2,'Drenagem pontual'!$B$2:$B$450,"&lt;"&amp;($N$2+($N$2&gt;=Estacas!$B$650-0.00001)*0.001)))</f>
        <v>897.9001385</v>
      </c>
      <c r="H254" s="61" t="n">
        <f aca="false">IF($N$6&lt;&gt;"",0,$G$254)</f>
        <v>897.9001385</v>
      </c>
      <c r="I254" s="62" t="n">
        <v>13.61</v>
      </c>
      <c r="J254" s="63" t="n">
        <f aca="false">H254*I254</f>
        <v>12220.420884985</v>
      </c>
      <c r="K254" s="64" t="n">
        <f aca="false">IF($N$6&lt;&gt;"",0,3412*IF($L$254=0,$N$9,$G$254/$L$254))</f>
        <v>3412</v>
      </c>
      <c r="L254" s="0" t="n">
        <f aca="false">SUMIFS('Drenagem pontual'!$M$2:$M$450,'Drenagem pontual'!$B$2:$B$450,"&gt;="&amp;$M$12,'Drenagem pontual'!$B$2:$B$450,"&lt;"&amp;($N$12+($N$12&gt;=Estacas!$B$650-0.00001)*0.001))</f>
        <v>897.9001385</v>
      </c>
      <c r="O254" s="0" t="n">
        <f aca="false">IF($N$6&lt;&gt;"",0,46437.32*IF($L$254=0,$N$9,$G$254/$L$254))</f>
        <v>46437.32</v>
      </c>
      <c r="P254" s="65" t="n">
        <f aca="false">O254</f>
        <v>46437.32</v>
      </c>
      <c r="Q254" s="66" t="n">
        <f aca="false">J254-P254</f>
        <v>-34216.899115015</v>
      </c>
      <c r="R254" s="67" t="s">
        <v>467</v>
      </c>
    </row>
    <row r="255" customFormat="false" ht="15" hidden="false" customHeight="false" outlineLevel="0" collapsed="false">
      <c r="B255" s="40" t="s">
        <v>468</v>
      </c>
      <c r="C255" s="59" t="s">
        <v>469</v>
      </c>
      <c r="D255" s="40" t="s">
        <v>176</v>
      </c>
      <c r="E255" s="31"/>
      <c r="F255" s="31"/>
      <c r="G255" s="60" t="n">
        <f aca="false">IF($N$6&lt;&gt;"",0,SUMIFS('Drenagem pontual'!$N$2:$N$450,'Drenagem pontual'!$B$2:$B$450,"&gt;="&amp;$M$2,'Drenagem pontual'!$B$2:$B$450,"&lt;"&amp;($N$2+($N$2&gt;=Estacas!$B$650-0.00001)*0.001)))</f>
        <v>57</v>
      </c>
      <c r="H255" s="61" t="n">
        <f aca="false">IF($N$6&lt;&gt;"",0,$G$255)</f>
        <v>57</v>
      </c>
      <c r="I255" s="62" t="n">
        <v>12.58</v>
      </c>
      <c r="J255" s="63" t="n">
        <f aca="false">H255*I255</f>
        <v>717.06</v>
      </c>
      <c r="K255" s="64" t="n">
        <f aca="false">IF($N$6&lt;&gt;"",0,1539*IF($L$255=0,$N$9,$G$255/$L$255))</f>
        <v>1539</v>
      </c>
      <c r="L255" s="0" t="n">
        <f aca="false">SUMIFS('Drenagem pontual'!$N$2:$N$450,'Drenagem pontual'!$B$2:$B$450,"&gt;="&amp;$M$12,'Drenagem pontual'!$B$2:$B$450,"&lt;"&amp;($N$12+($N$12&gt;=Estacas!$B$650-0.00001)*0.001))</f>
        <v>57</v>
      </c>
      <c r="O255" s="0" t="n">
        <f aca="false">IF($N$6&lt;&gt;"",0,19360.62*IF($L$255=0,$N$9,$G$255/$L$255))</f>
        <v>19360.62</v>
      </c>
      <c r="P255" s="65" t="n">
        <f aca="false">O255</f>
        <v>19360.62</v>
      </c>
      <c r="Q255" s="66" t="n">
        <f aca="false">J255-P255</f>
        <v>-18643.56</v>
      </c>
      <c r="R255" s="67" t="s">
        <v>467</v>
      </c>
    </row>
    <row r="256" customFormat="false" ht="15" hidden="false" customHeight="false" outlineLevel="0" collapsed="false">
      <c r="B256" s="40" t="s">
        <v>375</v>
      </c>
      <c r="C256" s="69" t="s">
        <v>470</v>
      </c>
      <c r="D256" s="40" t="s">
        <v>77</v>
      </c>
      <c r="E256" s="31"/>
      <c r="F256" s="31"/>
      <c r="G256" s="31"/>
      <c r="H256" s="61" t="n">
        <f aca="false">IF($N$6&lt;&gt;"",0,($G$253+$G$233)*1)</f>
        <v>118.198</v>
      </c>
      <c r="I256" s="62" t="n">
        <v>456.92</v>
      </c>
      <c r="J256" s="63" t="n">
        <f aca="false">H256*I256</f>
        <v>54007.03016</v>
      </c>
      <c r="K256" s="64" t="n">
        <f aca="false">IF($N$6&lt;&gt;"",0,137*IF(($L$253+$L$233)=0,$N$9,($G$253+$G$233)/($L$253+$L$233)))</f>
        <v>137</v>
      </c>
      <c r="O256" s="0" t="n">
        <f aca="false">IF($N$6&lt;&gt;"",0,62598.04*IF(($L$253+$L$233)=0,$N$9,($G$253+$G$233)/($L$253+$L$233)))</f>
        <v>62598.04</v>
      </c>
      <c r="P256" s="65" t="n">
        <f aca="false">O256</f>
        <v>62598.04</v>
      </c>
      <c r="Q256" s="66" t="n">
        <f aca="false">J256-P256</f>
        <v>-8591.00984</v>
      </c>
      <c r="R256" s="67" t="s">
        <v>471</v>
      </c>
    </row>
    <row r="257" customFormat="false" ht="15" hidden="false" customHeight="false" outlineLevel="0" collapsed="false">
      <c r="B257" s="40" t="s">
        <v>472</v>
      </c>
      <c r="C257" s="69" t="s">
        <v>473</v>
      </c>
      <c r="D257" s="40" t="s">
        <v>77</v>
      </c>
      <c r="E257" s="31"/>
      <c r="F257" s="31"/>
      <c r="G257" s="31"/>
      <c r="H257" s="76" t="n">
        <f aca="false">IF($N$6&lt;&gt;"",0,220.6*IF(($L$249)=0,$N$9,($G$249)/($L$249)))</f>
        <v>220.6</v>
      </c>
      <c r="I257" s="62" t="n">
        <v>136.1</v>
      </c>
      <c r="J257" s="63" t="n">
        <f aca="false">H257*I257</f>
        <v>30023.66</v>
      </c>
      <c r="K257" s="64" t="n">
        <f aca="false">IF($N$6&lt;&gt;"",0,220.6*IF(($L$249)=0,$N$9,($G$249)/($L$249)))</f>
        <v>220.6</v>
      </c>
      <c r="O257" s="0" t="n">
        <f aca="false">IF($N$6&lt;&gt;"",0,30023.66*IF(($L$249)=0,$N$9,($G$249)/($L$249)))</f>
        <v>30023.66</v>
      </c>
      <c r="P257" s="65" t="n">
        <f aca="false">O257</f>
        <v>30023.66</v>
      </c>
      <c r="Q257" s="66" t="n">
        <f aca="false">J257-P257</f>
        <v>0</v>
      </c>
      <c r="R257" s="67" t="s">
        <v>474</v>
      </c>
    </row>
    <row r="258" customFormat="false" ht="15" hidden="false" customHeight="false" outlineLevel="0" collapsed="false">
      <c r="B258" s="40" t="s">
        <v>436</v>
      </c>
      <c r="C258" s="69" t="s">
        <v>475</v>
      </c>
      <c r="D258" s="40" t="s">
        <v>77</v>
      </c>
      <c r="E258" s="31"/>
      <c r="F258" s="31"/>
      <c r="G258" s="31"/>
      <c r="H258" s="61" t="n">
        <f aca="false">IF($N$6&lt;&gt;"",0,($G$146)*1)</f>
        <v>4268.908</v>
      </c>
      <c r="I258" s="62" t="n">
        <v>20.76</v>
      </c>
      <c r="J258" s="63" t="n">
        <f aca="false">H258*I258</f>
        <v>88622.53008</v>
      </c>
      <c r="K258" s="64" t="n">
        <f aca="false">IF($N$6&lt;&gt;"",0,3919*IF(($L$146)=0,$N$9,($G$146)/($L$146)))</f>
        <v>3919</v>
      </c>
      <c r="O258" s="0" t="n">
        <f aca="false">IF($N$6&lt;&gt;"",0,81358.44*IF(($L$146)=0,$N$9,($G$146)/($L$146)))</f>
        <v>81358.44</v>
      </c>
      <c r="P258" s="65" t="n">
        <f aca="false">O258</f>
        <v>81358.44</v>
      </c>
      <c r="Q258" s="66" t="n">
        <f aca="false">J258-P258</f>
        <v>7264.09007999999</v>
      </c>
      <c r="R258" s="67" t="s">
        <v>476</v>
      </c>
    </row>
    <row r="259" customFormat="false" ht="15" hidden="false" customHeight="false" outlineLevel="0" collapsed="false">
      <c r="B259" s="40" t="s">
        <v>477</v>
      </c>
      <c r="C259" s="69" t="s">
        <v>478</v>
      </c>
      <c r="D259" s="40" t="s">
        <v>176</v>
      </c>
      <c r="E259" s="31"/>
      <c r="F259" s="31"/>
      <c r="G259" s="31"/>
      <c r="H259" s="76" t="n">
        <f aca="false">IF($N$6&lt;&gt;"",0,1076*$N$9)</f>
        <v>1076</v>
      </c>
      <c r="I259" s="62" t="n">
        <v>367.71</v>
      </c>
      <c r="J259" s="63" t="n">
        <f aca="false">H259*I259</f>
        <v>395655.96</v>
      </c>
      <c r="K259" s="64" t="n">
        <f aca="false">IF($N$6&lt;&gt;"",0,1076*$N$9)</f>
        <v>1076</v>
      </c>
      <c r="O259" s="0" t="n">
        <f aca="false">IF($N$6&lt;&gt;"",0,395655.96*$N$9)</f>
        <v>395655.96</v>
      </c>
      <c r="P259" s="65" t="n">
        <f aca="false">O259</f>
        <v>395655.96</v>
      </c>
      <c r="Q259" s="66" t="n">
        <f aca="false">J259-P259</f>
        <v>0</v>
      </c>
      <c r="R259" s="67" t="s">
        <v>479</v>
      </c>
    </row>
    <row r="260" customFormat="false" ht="15" hidden="false" customHeight="false" outlineLevel="0" collapsed="false">
      <c r="B260" s="40" t="s">
        <v>480</v>
      </c>
      <c r="C260" s="69" t="s">
        <v>481</v>
      </c>
      <c r="D260" s="40" t="s">
        <v>176</v>
      </c>
      <c r="E260" s="31"/>
      <c r="F260" s="31"/>
      <c r="G260" s="31"/>
      <c r="H260" s="76" t="n">
        <f aca="false">IF($N$6&lt;&gt;"",0,125*$N$9)</f>
        <v>125</v>
      </c>
      <c r="I260" s="62" t="n">
        <v>71.2</v>
      </c>
      <c r="J260" s="63" t="n">
        <f aca="false">H260*I260</f>
        <v>8900</v>
      </c>
      <c r="K260" s="64" t="n">
        <f aca="false">IF($N$6&lt;&gt;"",0,125*$N$9)</f>
        <v>125</v>
      </c>
      <c r="O260" s="0" t="n">
        <f aca="false">IF($N$6&lt;&gt;"",0,8900*$N$9)</f>
        <v>8900</v>
      </c>
      <c r="P260" s="65" t="n">
        <f aca="false">O260</f>
        <v>8900</v>
      </c>
      <c r="Q260" s="66" t="n">
        <f aca="false">J260-P260</f>
        <v>0</v>
      </c>
      <c r="R260" s="67" t="s">
        <v>479</v>
      </c>
    </row>
    <row r="261" customFormat="false" ht="15" hidden="false" customHeight="false" outlineLevel="0" collapsed="false">
      <c r="B261" s="40" t="s">
        <v>366</v>
      </c>
      <c r="C261" s="69" t="s">
        <v>482</v>
      </c>
      <c r="D261" s="40" t="s">
        <v>77</v>
      </c>
      <c r="E261" s="31"/>
      <c r="F261" s="31"/>
      <c r="G261" s="31"/>
      <c r="H261" s="76" t="n">
        <f aca="false">IF($N$6&lt;&gt;"",0,11*$N$9)</f>
        <v>11</v>
      </c>
      <c r="I261" s="62" t="n">
        <v>1017.57</v>
      </c>
      <c r="J261" s="63" t="n">
        <f aca="false">H261*I261</f>
        <v>11193.27</v>
      </c>
      <c r="K261" s="64" t="n">
        <f aca="false">IF($N$6&lt;&gt;"",0,11*$N$9)</f>
        <v>11</v>
      </c>
      <c r="O261" s="0" t="n">
        <f aca="false">IF($N$6&lt;&gt;"",0,11193.27*$N$9)</f>
        <v>11193.27</v>
      </c>
      <c r="P261" s="65" t="n">
        <f aca="false">O261</f>
        <v>11193.27</v>
      </c>
      <c r="Q261" s="66" t="n">
        <f aca="false">J261-P261</f>
        <v>0</v>
      </c>
      <c r="R261" s="67" t="s">
        <v>479</v>
      </c>
    </row>
    <row r="262" customFormat="false" ht="15" hidden="false" customHeight="false" outlineLevel="0" collapsed="false">
      <c r="B262" s="70"/>
      <c r="C262" s="71" t="s">
        <v>483</v>
      </c>
      <c r="D262" s="70"/>
      <c r="E262" s="70"/>
      <c r="F262" s="70"/>
      <c r="G262" s="70"/>
      <c r="H262" s="72" t="str">
        <f aca="false">COUNTIF(J118:J261,"&gt;0")&amp;" de "&amp;COUNT(J118:J261)&amp;" itens"</f>
        <v>68 de 68 itens</v>
      </c>
      <c r="I262" s="70"/>
      <c r="J262" s="73" t="n">
        <f aca="false">SUM(J118:J261)</f>
        <v>15129426.7012604</v>
      </c>
      <c r="K262" s="70"/>
      <c r="O262" s="0" t="n">
        <f aca="false">SUM(O118:O261)</f>
        <v>16405944.79</v>
      </c>
      <c r="P262" s="74" t="n">
        <f aca="false">SUM(P118:P261)</f>
        <v>16405944.79</v>
      </c>
      <c r="Q262" s="75" t="n">
        <f aca="false">J262-P262</f>
        <v>-1276518.08873962</v>
      </c>
      <c r="R262" s="70"/>
    </row>
    <row r="264" customFormat="false" ht="21.75" hidden="false" customHeight="true" outlineLevel="0" collapsed="false">
      <c r="B264" s="56" t="s">
        <v>484</v>
      </c>
      <c r="C264" s="5"/>
      <c r="D264" s="5"/>
      <c r="E264" s="5"/>
      <c r="F264" s="5"/>
      <c r="G264" s="5"/>
      <c r="H264" s="5"/>
      <c r="I264" s="5"/>
      <c r="J264" s="5"/>
      <c r="K264" s="5"/>
      <c r="P264" s="5"/>
      <c r="Q264" s="5"/>
      <c r="R264" s="5"/>
    </row>
    <row r="265" customFormat="false" ht="15" hidden="false" customHeight="false" outlineLevel="0" collapsed="false">
      <c r="B265" s="57"/>
      <c r="C265" s="58" t="s">
        <v>485</v>
      </c>
      <c r="D265" s="57"/>
      <c r="E265" s="57"/>
      <c r="F265" s="57"/>
      <c r="G265" s="57"/>
      <c r="H265" s="57"/>
      <c r="I265" s="57"/>
      <c r="J265" s="57"/>
      <c r="K265" s="57"/>
      <c r="P265" s="57"/>
      <c r="Q265" s="57"/>
      <c r="R265" s="57"/>
    </row>
    <row r="266" customFormat="false" ht="15" hidden="false" customHeight="false" outlineLevel="0" collapsed="false">
      <c r="B266" s="40"/>
      <c r="C266" s="59" t="s">
        <v>486</v>
      </c>
      <c r="D266" s="40" t="s">
        <v>176</v>
      </c>
      <c r="E266" s="31"/>
      <c r="F266" s="31"/>
      <c r="G266" s="60" t="n">
        <f aca="false">IF($N$6&lt;&gt;"",0,SUMIFS('Drenagem pontual'!$G$2:$G$450,'Drenagem pontual'!$B$2:$B$450,"&gt;="&amp;$M$2,'Drenagem pontual'!$B$2:$B$450,"&lt;"&amp;($N$2+($N$2&gt;=Estacas!$B$650-0.00001)*0.001),'Drenagem pontual'!$C$2:$C$450,"BSCC 2,00 x 2,00"))</f>
        <v>16.66</v>
      </c>
      <c r="H266" s="31"/>
      <c r="I266" s="31"/>
      <c r="J266" s="31"/>
      <c r="K266" s="31"/>
      <c r="L266" s="0" t="n">
        <f aca="false">SUMIFS('Drenagem pontual'!$G$2:$G$450,'Drenagem pontual'!$B$2:$B$450,"&gt;="&amp;$M$12,'Drenagem pontual'!$B$2:$B$450,"&lt;"&amp;($N$12+($N$12&gt;=Estacas!$B$650-0.00001)*0.001),'Drenagem pontual'!$C$2:$C$450,"BSCC 2,00 x 2,00")</f>
        <v>16.66</v>
      </c>
      <c r="P266" s="31"/>
      <c r="Q266" s="31"/>
      <c r="R266" s="67" t="s">
        <v>487</v>
      </c>
    </row>
    <row r="267" customFormat="false" ht="15" hidden="false" customHeight="false" outlineLevel="0" collapsed="false">
      <c r="B267" s="40"/>
      <c r="C267" s="59" t="s">
        <v>488</v>
      </c>
      <c r="D267" s="40" t="s">
        <v>176</v>
      </c>
      <c r="E267" s="31"/>
      <c r="F267" s="31"/>
      <c r="G267" s="60" t="n">
        <f aca="false">IF($N$6&lt;&gt;"",0,SUMIFS('Drenagem pontual'!$G$2:$G$450,'Drenagem pontual'!$B$2:$B$450,"&gt;="&amp;$M$2,'Drenagem pontual'!$B$2:$B$450,"&lt;"&amp;($N$2+($N$2&gt;=Estacas!$B$650-0.00001)*0.001),'Drenagem pontual'!$C$2:$C$450,"BSCC 2,50 x 2,50"))</f>
        <v>37.92</v>
      </c>
      <c r="H267" s="31"/>
      <c r="I267" s="31"/>
      <c r="J267" s="31"/>
      <c r="K267" s="31"/>
      <c r="L267" s="0" t="n">
        <f aca="false">SUMIFS('Drenagem pontual'!$G$2:$G$450,'Drenagem pontual'!$B$2:$B$450,"&gt;="&amp;$M$12,'Drenagem pontual'!$B$2:$B$450,"&lt;"&amp;($N$12+($N$12&gt;=Estacas!$B$650-0.00001)*0.001),'Drenagem pontual'!$C$2:$C$450,"BSCC 2,50 x 2,50")</f>
        <v>37.92</v>
      </c>
      <c r="P267" s="31"/>
      <c r="Q267" s="31"/>
      <c r="R267" s="67" t="s">
        <v>487</v>
      </c>
    </row>
    <row r="268" customFormat="false" ht="15" hidden="false" customHeight="false" outlineLevel="0" collapsed="false">
      <c r="B268" s="40"/>
      <c r="C268" s="59" t="s">
        <v>489</v>
      </c>
      <c r="D268" s="40" t="s">
        <v>176</v>
      </c>
      <c r="E268" s="31"/>
      <c r="F268" s="31"/>
      <c r="G268" s="60" t="n">
        <f aca="false">IF($N$6&lt;&gt;"",0,SUMIFS('Drenagem pontual'!$G$2:$G$450,'Drenagem pontual'!$B$2:$B$450,"&gt;="&amp;$M$2,'Drenagem pontual'!$B$2:$B$450,"&lt;"&amp;($N$2+($N$2&gt;=Estacas!$B$650-0.00001)*0.001),'Drenagem pontual'!$C$2:$C$450,"BSCC 3,00 x 3,00"))</f>
        <v>45.88</v>
      </c>
      <c r="H268" s="31"/>
      <c r="I268" s="31"/>
      <c r="J268" s="31"/>
      <c r="K268" s="31"/>
      <c r="L268" s="0" t="n">
        <f aca="false">SUMIFS('Drenagem pontual'!$G$2:$G$450,'Drenagem pontual'!$B$2:$B$450,"&gt;="&amp;$M$12,'Drenagem pontual'!$B$2:$B$450,"&lt;"&amp;($N$12+($N$12&gt;=Estacas!$B$650-0.00001)*0.001),'Drenagem pontual'!$C$2:$C$450,"BSCC 3,00 x 3,00")</f>
        <v>45.88</v>
      </c>
      <c r="P268" s="31"/>
      <c r="Q268" s="31"/>
      <c r="R268" s="67" t="s">
        <v>487</v>
      </c>
    </row>
    <row r="269" customFormat="false" ht="15" hidden="false" customHeight="false" outlineLevel="0" collapsed="false">
      <c r="B269" s="40"/>
      <c r="C269" s="59" t="s">
        <v>490</v>
      </c>
      <c r="D269" s="40" t="s">
        <v>176</v>
      </c>
      <c r="E269" s="31"/>
      <c r="F269" s="31"/>
      <c r="G269" s="60" t="n">
        <f aca="false">IF($N$6&lt;&gt;"",0,SUMIFS('Drenagem pontual'!$G$2:$G$450,'Drenagem pontual'!$B$2:$B$450,"&gt;="&amp;$M$2,'Drenagem pontual'!$B$2:$B$450,"&lt;"&amp;($N$2+($N$2&gt;=Estacas!$B$650-0.00001)*0.001),'Drenagem pontual'!$C$2:$C$450,"BTCC 3,00 x 3,00"))</f>
        <v>25.26</v>
      </c>
      <c r="H269" s="31"/>
      <c r="I269" s="31"/>
      <c r="J269" s="31"/>
      <c r="K269" s="31"/>
      <c r="L269" s="0" t="n">
        <f aca="false">SUMIFS('Drenagem pontual'!$G$2:$G$450,'Drenagem pontual'!$B$2:$B$450,"&gt;="&amp;$M$12,'Drenagem pontual'!$B$2:$B$450,"&lt;"&amp;($N$12+($N$12&gt;=Estacas!$B$650-0.00001)*0.001),'Drenagem pontual'!$C$2:$C$450,"BTCC 3,00 x 3,00")</f>
        <v>25.26</v>
      </c>
      <c r="P269" s="31"/>
      <c r="Q269" s="31"/>
      <c r="R269" s="67" t="s">
        <v>487</v>
      </c>
    </row>
    <row r="270" customFormat="false" ht="15" hidden="false" customHeight="false" outlineLevel="0" collapsed="false">
      <c r="B270" s="40"/>
      <c r="C270" s="59" t="s">
        <v>491</v>
      </c>
      <c r="D270" s="40" t="s">
        <v>176</v>
      </c>
      <c r="E270" s="31"/>
      <c r="F270" s="31"/>
      <c r="G270" s="60" t="n">
        <f aca="false">IF($N$6&lt;&gt;"",0,SUMIFS('Drenagem pontual'!$G$2:$G$450,'Drenagem pontual'!$B$2:$B$450,"&gt;="&amp;$M$2,'Drenagem pontual'!$B$2:$B$450,"&lt;"&amp;($N$2+($N$2&gt;=Estacas!$B$650-0.00001)*0.001),'Drenagem pontual'!$C$2:$C$450,"BTCC 3,00 x 4,00"))</f>
        <v>20.58</v>
      </c>
      <c r="H270" s="31"/>
      <c r="I270" s="31"/>
      <c r="J270" s="31"/>
      <c r="K270" s="31"/>
      <c r="L270" s="0" t="n">
        <f aca="false">SUMIFS('Drenagem pontual'!$G$2:$G$450,'Drenagem pontual'!$B$2:$B$450,"&gt;="&amp;$M$12,'Drenagem pontual'!$B$2:$B$450,"&lt;"&amp;($N$12+($N$12&gt;=Estacas!$B$650-0.00001)*0.001),'Drenagem pontual'!$C$2:$C$450,"BTCC 3,00 x 4,00")</f>
        <v>20.58</v>
      </c>
      <c r="P270" s="31"/>
      <c r="Q270" s="31"/>
      <c r="R270" s="67" t="s">
        <v>487</v>
      </c>
    </row>
    <row r="271" customFormat="false" ht="15" hidden="false" customHeight="false" outlineLevel="0" collapsed="false">
      <c r="B271" s="40"/>
      <c r="C271" s="59" t="s">
        <v>492</v>
      </c>
      <c r="D271" s="40" t="s">
        <v>77</v>
      </c>
      <c r="E271" s="31"/>
      <c r="F271" s="31"/>
      <c r="G271" s="60" t="n">
        <f aca="false">IF($N$6&lt;&gt;"",0,$G$266*1.31+SUMIFS('Drenagem pontual'!$F$2:$F$450,'Drenagem pontual'!$B$2:$B$450,"&gt;="&amp;$M$2,'Drenagem pontual'!$B$2:$B$450,"&lt;"&amp;($N$2+($N$2&gt;=Estacas!$B$650-0.00001)*0.001),'Drenagem pontual'!$C$2:$C$450,"BSCC 2,00 x 2,00")*17.86+$G$267*2.21+SUMIFS('Drenagem pontual'!$F$2:$F$450,'Drenagem pontual'!$B$2:$B$450,"&gt;="&amp;$M$2,'Drenagem pontual'!$B$2:$B$450,"&lt;"&amp;($N$2+($N$2&gt;=Estacas!$B$650-0.00001)*0.001),'Drenagem pontual'!$C$2:$C$450,"BSCC 2,50 x 2,50")*24.35+$G$268*3.3+SUMIFS('Drenagem pontual'!$F$2:$F$450,'Drenagem pontual'!$B$2:$B$450,"&gt;="&amp;$M$2,'Drenagem pontual'!$B$2:$B$450,"&lt;"&amp;($N$2+($N$2&gt;=Estacas!$B$650-0.00001)*0.001),'Drenagem pontual'!$C$2:$C$450,"BSCC 3,00 x 3,00")*36.53+$G$269*6.64+SUMIFS('Drenagem pontual'!$F$2:$F$450,'Drenagem pontual'!$B$2:$B$450,"&gt;="&amp;$M$2,'Drenagem pontual'!$B$2:$B$450,"&lt;"&amp;($N$2+($N$2&gt;=Estacas!$B$650-0.00001)*0.001),'Drenagem pontual'!$C$2:$C$450,"BTCC 3,00 x 3,00")*52.43+$G$270*7.36+SUMIFS('Drenagem pontual'!$F$2:$F$450,'Drenagem pontual'!$B$2:$B$450,"&gt;="&amp;$M$2,'Drenagem pontual'!$B$2:$B$450,"&lt;"&amp;($N$2+($N$2&gt;=Estacas!$B$650-0.00001)*0.001),'Drenagem pontual'!$C$2:$C$450,"BTCC 3,00 x 4,00")*60.29)</f>
        <v>804.217</v>
      </c>
      <c r="H271" s="31"/>
      <c r="I271" s="31"/>
      <c r="J271" s="31"/>
      <c r="K271" s="31"/>
      <c r="L271" s="0" t="n">
        <f aca="false">$L$266*1.31+SUMIFS('Drenagem pontual'!$F$2:$F$450,'Drenagem pontual'!$B$2:$B$450,"&gt;="&amp;$M$12,'Drenagem pontual'!$B$2:$B$450,"&lt;"&amp;($N$12+($N$12&gt;=Estacas!$B$650-0.00001)*0.001),'Drenagem pontual'!$C$2:$C$450,"BSCC 2,00 x 2,00")*17.86+$L$267*2.21+SUMIFS('Drenagem pontual'!$F$2:$F$450,'Drenagem pontual'!$B$2:$B$450,"&gt;="&amp;$M$12,'Drenagem pontual'!$B$2:$B$450,"&lt;"&amp;($N$12+($N$12&gt;=Estacas!$B$650-0.00001)*0.001),'Drenagem pontual'!$C$2:$C$450,"BSCC 2,50 x 2,50")*24.35+$L$268*3.3+SUMIFS('Drenagem pontual'!$F$2:$F$450,'Drenagem pontual'!$B$2:$B$450,"&gt;="&amp;$M$12,'Drenagem pontual'!$B$2:$B$450,"&lt;"&amp;($N$12+($N$12&gt;=Estacas!$B$650-0.00001)*0.001),'Drenagem pontual'!$C$2:$C$450,"BSCC 3,00 x 3,00")*36.53+$L$269*6.64+SUMIFS('Drenagem pontual'!$F$2:$F$450,'Drenagem pontual'!$B$2:$B$450,"&gt;="&amp;$M$12,'Drenagem pontual'!$B$2:$B$450,"&lt;"&amp;($N$12+($N$12&gt;=Estacas!$B$650-0.00001)*0.001),'Drenagem pontual'!$C$2:$C$450,"BTCC 3,00 x 3,00")*52.43+$L$270*7.36+SUMIFS('Drenagem pontual'!$F$2:$F$450,'Drenagem pontual'!$B$2:$B$450,"&gt;="&amp;$M$12,'Drenagem pontual'!$B$2:$B$450,"&lt;"&amp;($N$12+($N$12&gt;=Estacas!$B$650-0.00001)*0.001),'Drenagem pontual'!$C$2:$C$450,"BTCC 3,00 x 4,00")*60.29</f>
        <v>804.217</v>
      </c>
      <c r="P271" s="31"/>
      <c r="Q271" s="31"/>
      <c r="R271" s="67" t="s">
        <v>493</v>
      </c>
    </row>
    <row r="272" customFormat="false" ht="15" hidden="false" customHeight="false" outlineLevel="0" collapsed="false">
      <c r="B272" s="40"/>
      <c r="C272" s="59" t="s">
        <v>494</v>
      </c>
      <c r="D272" s="40" t="s">
        <v>77</v>
      </c>
      <c r="E272" s="31"/>
      <c r="F272" s="31"/>
      <c r="G272" s="60" t="n">
        <f aca="false">IF($N$6&lt;&gt;"",0,$G$266*0.26+SUMIFS('Drenagem pontual'!$F$2:$F$450,'Drenagem pontual'!$B$2:$B$450,"&gt;="&amp;$M$2,'Drenagem pontual'!$B$2:$B$450,"&lt;"&amp;($N$2+($N$2&gt;=Estacas!$B$650-0.00001)*0.001),'Drenagem pontual'!$C$2:$C$450,"BSCC 2,00 x 2,00")*6.3+$G$267*0.32+SUMIFS('Drenagem pontual'!$F$2:$F$450,'Drenagem pontual'!$B$2:$B$450,"&gt;="&amp;$M$2,'Drenagem pontual'!$B$2:$B$450,"&lt;"&amp;($N$2+($N$2&gt;=Estacas!$B$650-0.00001)*0.001),'Drenagem pontual'!$C$2:$C$450,"BSCC 2,50 x 2,50")*8.7+$G$268*0.38+SUMIFS('Drenagem pontual'!$F$2:$F$450,'Drenagem pontual'!$B$2:$B$450,"&gt;="&amp;$M$2,'Drenagem pontual'!$B$2:$B$450,"&lt;"&amp;($N$2+($N$2&gt;=Estacas!$B$650-0.00001)*0.001),'Drenagem pontual'!$C$2:$C$450,"BSCC 3,00 x 3,00")*11.55+$G$269*1.01+SUMIFS('Drenagem pontual'!$F$2:$F$450,'Drenagem pontual'!$B$2:$B$450,"&gt;="&amp;$M$2,'Drenagem pontual'!$B$2:$B$450,"&lt;"&amp;($N$2+($N$2&gt;=Estacas!$B$650-0.00001)*0.001),'Drenagem pontual'!$C$2:$C$450,"BTCC 3,00 x 3,00")*18.45+$G$270*1+SUMIFS('Drenagem pontual'!$F$2:$F$450,'Drenagem pontual'!$B$2:$B$450,"&gt;="&amp;$M$2,'Drenagem pontual'!$B$2:$B$450,"&lt;"&amp;($N$2+($N$2&gt;=Estacas!$B$650-0.00001)*0.001),'Drenagem pontual'!$C$2:$C$450,"BTCC 3,00 x 4,00")*21.22)</f>
        <v>157.763</v>
      </c>
      <c r="H272" s="31"/>
      <c r="I272" s="31"/>
      <c r="J272" s="31"/>
      <c r="K272" s="31"/>
      <c r="L272" s="0" t="n">
        <f aca="false">$L$266*0.26+SUMIFS('Drenagem pontual'!$F$2:$F$450,'Drenagem pontual'!$B$2:$B$450,"&gt;="&amp;$M$12,'Drenagem pontual'!$B$2:$B$450,"&lt;"&amp;($N$12+($N$12&gt;=Estacas!$B$650-0.00001)*0.001),'Drenagem pontual'!$C$2:$C$450,"BSCC 2,00 x 2,00")*6.3+$L$267*0.32+SUMIFS('Drenagem pontual'!$F$2:$F$450,'Drenagem pontual'!$B$2:$B$450,"&gt;="&amp;$M$12,'Drenagem pontual'!$B$2:$B$450,"&lt;"&amp;($N$12+($N$12&gt;=Estacas!$B$650-0.00001)*0.001),'Drenagem pontual'!$C$2:$C$450,"BSCC 2,50 x 2,50")*8.7+$L$268*0.38+SUMIFS('Drenagem pontual'!$F$2:$F$450,'Drenagem pontual'!$B$2:$B$450,"&gt;="&amp;$M$12,'Drenagem pontual'!$B$2:$B$450,"&lt;"&amp;($N$12+($N$12&gt;=Estacas!$B$650-0.00001)*0.001),'Drenagem pontual'!$C$2:$C$450,"BSCC 3,00 x 3,00")*11.55+$L$269*1.01+SUMIFS('Drenagem pontual'!$F$2:$F$450,'Drenagem pontual'!$B$2:$B$450,"&gt;="&amp;$M$12,'Drenagem pontual'!$B$2:$B$450,"&lt;"&amp;($N$12+($N$12&gt;=Estacas!$B$650-0.00001)*0.001),'Drenagem pontual'!$C$2:$C$450,"BTCC 3,00 x 3,00")*18.45+$L$270*1+SUMIFS('Drenagem pontual'!$F$2:$F$450,'Drenagem pontual'!$B$2:$B$450,"&gt;="&amp;$M$12,'Drenagem pontual'!$B$2:$B$450,"&lt;"&amp;($N$12+($N$12&gt;=Estacas!$B$650-0.00001)*0.001),'Drenagem pontual'!$C$2:$C$450,"BTCC 3,00 x 4,00")*21.22</f>
        <v>157.763</v>
      </c>
      <c r="P272" s="31"/>
      <c r="Q272" s="31"/>
      <c r="R272" s="67" t="s">
        <v>493</v>
      </c>
    </row>
    <row r="273" customFormat="false" ht="15" hidden="false" customHeight="false" outlineLevel="0" collapsed="false">
      <c r="B273" s="40"/>
      <c r="C273" s="59" t="s">
        <v>495</v>
      </c>
      <c r="D273" s="40" t="s">
        <v>73</v>
      </c>
      <c r="E273" s="31"/>
      <c r="F273" s="31"/>
      <c r="G273" s="60" t="n">
        <f aca="false">IF($N$6&lt;&gt;"",0,$G$266*10.6+SUMIFS('Drenagem pontual'!$F$2:$F$450,'Drenagem pontual'!$B$2:$B$450,"&gt;="&amp;$M$2,'Drenagem pontual'!$B$2:$B$450,"&lt;"&amp;($N$2+($N$2&gt;=Estacas!$B$650-0.00001)*0.001),'Drenagem pontual'!$C$2:$C$450,"BSCC 2,00 x 2,00")*113+$G$267*13.2+SUMIFS('Drenagem pontual'!$F$2:$F$450,'Drenagem pontual'!$B$2:$B$450,"&gt;="&amp;$M$2,'Drenagem pontual'!$B$2:$B$450,"&lt;"&amp;($N$2+($N$2&gt;=Estacas!$B$650-0.00001)*0.001),'Drenagem pontual'!$C$2:$C$450,"BSCC 2,50 x 2,50")*144+$G$268*15.9+SUMIFS('Drenagem pontual'!$F$2:$F$450,'Drenagem pontual'!$B$2:$B$450,"&gt;="&amp;$M$2,'Drenagem pontual'!$B$2:$B$450,"&lt;"&amp;($N$2+($N$2&gt;=Estacas!$B$650-0.00001)*0.001),'Drenagem pontual'!$C$2:$C$450,"BSCC 3,00 x 3,00")*181+$G$269*32.9+SUMIFS('Drenagem pontual'!$F$2:$F$450,'Drenagem pontual'!$B$2:$B$450,"&gt;="&amp;$M$2,'Drenagem pontual'!$B$2:$B$450,"&lt;"&amp;($N$2+($N$2&gt;=Estacas!$B$650-0.00001)*0.001),'Drenagem pontual'!$C$2:$C$450,"BTCC 3,00 x 3,00")*217+$G$270*41.6+SUMIFS('Drenagem pontual'!$F$2:$F$450,'Drenagem pontual'!$B$2:$B$450,"&gt;="&amp;$M$2,'Drenagem pontual'!$B$2:$B$450,"&lt;"&amp;($N$2+($N$2&gt;=Estacas!$B$650-0.00001)*0.001),'Drenagem pontual'!$C$2:$C$450,"BTCC 3,00 x 4,00")*249.6)</f>
        <v>4179.414</v>
      </c>
      <c r="H273" s="31"/>
      <c r="I273" s="31"/>
      <c r="J273" s="31"/>
      <c r="K273" s="31"/>
      <c r="L273" s="0" t="n">
        <f aca="false">$L$266*10.6+SUMIFS('Drenagem pontual'!$F$2:$F$450,'Drenagem pontual'!$B$2:$B$450,"&gt;="&amp;$M$12,'Drenagem pontual'!$B$2:$B$450,"&lt;"&amp;($N$12+($N$12&gt;=Estacas!$B$650-0.00001)*0.001),'Drenagem pontual'!$C$2:$C$450,"BSCC 2,00 x 2,00")*113+$L$267*13.2+SUMIFS('Drenagem pontual'!$F$2:$F$450,'Drenagem pontual'!$B$2:$B$450,"&gt;="&amp;$M$12,'Drenagem pontual'!$B$2:$B$450,"&lt;"&amp;($N$12+($N$12&gt;=Estacas!$B$650-0.00001)*0.001),'Drenagem pontual'!$C$2:$C$450,"BSCC 2,50 x 2,50")*144+$L$268*15.9+SUMIFS('Drenagem pontual'!$F$2:$F$450,'Drenagem pontual'!$B$2:$B$450,"&gt;="&amp;$M$12,'Drenagem pontual'!$B$2:$B$450,"&lt;"&amp;($N$12+($N$12&gt;=Estacas!$B$650-0.00001)*0.001),'Drenagem pontual'!$C$2:$C$450,"BSCC 3,00 x 3,00")*181+$L$269*32.9+SUMIFS('Drenagem pontual'!$F$2:$F$450,'Drenagem pontual'!$B$2:$B$450,"&gt;="&amp;$M$12,'Drenagem pontual'!$B$2:$B$450,"&lt;"&amp;($N$12+($N$12&gt;=Estacas!$B$650-0.00001)*0.001),'Drenagem pontual'!$C$2:$C$450,"BTCC 3,00 x 3,00")*217+$L$270*41.6+SUMIFS('Drenagem pontual'!$F$2:$F$450,'Drenagem pontual'!$B$2:$B$450,"&gt;="&amp;$M$12,'Drenagem pontual'!$B$2:$B$450,"&lt;"&amp;($N$12+($N$12&gt;=Estacas!$B$650-0.00001)*0.001),'Drenagem pontual'!$C$2:$C$450,"BTCC 3,00 x 4,00")*249.6</f>
        <v>4179.414</v>
      </c>
      <c r="P273" s="31"/>
      <c r="Q273" s="31"/>
      <c r="R273" s="67" t="s">
        <v>493</v>
      </c>
    </row>
    <row r="274" customFormat="false" ht="15" hidden="false" customHeight="false" outlineLevel="0" collapsed="false">
      <c r="B274" s="40"/>
      <c r="C274" s="59" t="s">
        <v>496</v>
      </c>
      <c r="D274" s="40" t="s">
        <v>77</v>
      </c>
      <c r="E274" s="31"/>
      <c r="F274" s="31"/>
      <c r="G274" s="60" t="n">
        <f aca="false">IF($N$6&lt;&gt;"",0,$G$266*0.1+SUMIFS('Drenagem pontual'!$F$2:$F$450,'Drenagem pontual'!$B$2:$B$450,"&gt;="&amp;$M$2,'Drenagem pontual'!$B$2:$B$450,"&lt;"&amp;($N$2+($N$2&gt;=Estacas!$B$650-0.00001)*0.001),'Drenagem pontual'!$C$2:$C$450,"BSCC 2,00 x 2,00")*0.87+$G$267*0.13+SUMIFS('Drenagem pontual'!$F$2:$F$450,'Drenagem pontual'!$B$2:$B$450,"&gt;="&amp;$M$2,'Drenagem pontual'!$B$2:$B$450,"&lt;"&amp;($N$2+($N$2&gt;=Estacas!$B$650-0.00001)*0.001),'Drenagem pontual'!$C$2:$C$450,"BSCC 2,50 x 2,50")*1.35+$G$268*0.15+SUMIFS('Drenagem pontual'!$F$2:$F$450,'Drenagem pontual'!$B$2:$B$450,"&gt;="&amp;$M$2,'Drenagem pontual'!$B$2:$B$450,"&lt;"&amp;($N$2+($N$2&gt;=Estacas!$B$650-0.00001)*0.001),'Drenagem pontual'!$C$2:$C$450,"BSCC 3,00 x 3,00")*1.75+$G$269*0.45+SUMIFS('Drenagem pontual'!$F$2:$F$450,'Drenagem pontual'!$B$2:$B$450,"&gt;="&amp;$M$2,'Drenagem pontual'!$B$2:$B$450,"&lt;"&amp;($N$2+($N$2&gt;=Estacas!$B$650-0.00001)*0.001),'Drenagem pontual'!$C$2:$C$450,"BTCC 3,00 x 3,00")*3.7+$G$270*0.42+SUMIFS('Drenagem pontual'!$F$2:$F$450,'Drenagem pontual'!$B$2:$B$450,"&gt;="&amp;$M$2,'Drenagem pontual'!$B$2:$B$450,"&lt;"&amp;($N$2+($N$2&gt;=Estacas!$B$650-0.00001)*0.001),'Drenagem pontual'!$C$2:$C$450,"BTCC 3,00 x 4,00")*4.26)</f>
        <v>47.1682</v>
      </c>
      <c r="H274" s="31"/>
      <c r="I274" s="31"/>
      <c r="J274" s="31"/>
      <c r="K274" s="31"/>
      <c r="L274" s="0" t="n">
        <f aca="false">$L$266*0.1+SUMIFS('Drenagem pontual'!$F$2:$F$450,'Drenagem pontual'!$B$2:$B$450,"&gt;="&amp;$M$12,'Drenagem pontual'!$B$2:$B$450,"&lt;"&amp;($N$12+($N$12&gt;=Estacas!$B$650-0.00001)*0.001),'Drenagem pontual'!$C$2:$C$450,"BSCC 2,00 x 2,00")*0.87+$L$267*0.13+SUMIFS('Drenagem pontual'!$F$2:$F$450,'Drenagem pontual'!$B$2:$B$450,"&gt;="&amp;$M$12,'Drenagem pontual'!$B$2:$B$450,"&lt;"&amp;($N$12+($N$12&gt;=Estacas!$B$650-0.00001)*0.001),'Drenagem pontual'!$C$2:$C$450,"BSCC 2,50 x 2,50")*1.35+$L$268*0.15+SUMIFS('Drenagem pontual'!$F$2:$F$450,'Drenagem pontual'!$B$2:$B$450,"&gt;="&amp;$M$12,'Drenagem pontual'!$B$2:$B$450,"&lt;"&amp;($N$12+($N$12&gt;=Estacas!$B$650-0.00001)*0.001),'Drenagem pontual'!$C$2:$C$450,"BSCC 3,00 x 3,00")*1.75+$L$269*0.45+SUMIFS('Drenagem pontual'!$F$2:$F$450,'Drenagem pontual'!$B$2:$B$450,"&gt;="&amp;$M$12,'Drenagem pontual'!$B$2:$B$450,"&lt;"&amp;($N$12+($N$12&gt;=Estacas!$B$650-0.00001)*0.001),'Drenagem pontual'!$C$2:$C$450,"BTCC 3,00 x 3,00")*3.7+$L$270*0.42+SUMIFS('Drenagem pontual'!$F$2:$F$450,'Drenagem pontual'!$B$2:$B$450,"&gt;="&amp;$M$12,'Drenagem pontual'!$B$2:$B$450,"&lt;"&amp;($N$12+($N$12&gt;=Estacas!$B$650-0.00001)*0.001),'Drenagem pontual'!$C$2:$C$450,"BTCC 3,00 x 4,00")*4.26</f>
        <v>47.1682</v>
      </c>
      <c r="P274" s="31"/>
      <c r="Q274" s="31"/>
      <c r="R274" s="67" t="s">
        <v>493</v>
      </c>
    </row>
    <row r="275" customFormat="false" ht="15" hidden="false" customHeight="false" outlineLevel="0" collapsed="false">
      <c r="B275" s="40"/>
      <c r="C275" s="59" t="s">
        <v>497</v>
      </c>
      <c r="D275" s="40" t="s">
        <v>173</v>
      </c>
      <c r="E275" s="31"/>
      <c r="F275" s="31"/>
      <c r="G275" s="60" t="n">
        <f aca="false">IF($N$6&lt;&gt;"",0,$G$266*119.405+SUMIFS('Drenagem pontual'!$F$2:$F$450,'Drenagem pontual'!$B$2:$B$450,"&gt;="&amp;$M$2,'Drenagem pontual'!$B$2:$B$450,"&lt;"&amp;($N$2+($N$2&gt;=Estacas!$B$650-0.00001)*0.001),'Drenagem pontual'!$C$2:$C$450,"BSCC 2,00 x 2,00")*1275+$G$267*184.175+SUMIFS('Drenagem pontual'!$F$2:$F$450,'Drenagem pontual'!$B$2:$B$450,"&gt;="&amp;$M$2,'Drenagem pontual'!$B$2:$B$450,"&lt;"&amp;($N$2+($N$2&gt;=Estacas!$B$650-0.00001)*0.001),'Drenagem pontual'!$C$2:$C$450,"BSCC 2,50 x 2,50")*1756+$G$268*174.822+SUMIFS('Drenagem pontual'!$F$2:$F$450,'Drenagem pontual'!$B$2:$B$450,"&gt;="&amp;$M$2,'Drenagem pontual'!$B$2:$B$450,"&lt;"&amp;($N$2+($N$2&gt;=Estacas!$B$650-0.00001)*0.001),'Drenagem pontual'!$C$2:$C$450,"BSCC 3,00 x 3,00")*2604+$G$269*348.887+SUMIFS('Drenagem pontual'!$F$2:$F$450,'Drenagem pontual'!$B$2:$B$450,"&gt;="&amp;$M$2,'Drenagem pontual'!$B$2:$B$450,"&lt;"&amp;($N$2+($N$2&gt;=Estacas!$B$650-0.00001)*0.001),'Drenagem pontual'!$C$2:$C$450,"BTCC 3,00 x 3,00")*4153+$G$270*598+SUMIFS('Drenagem pontual'!$F$2:$F$450,'Drenagem pontual'!$B$2:$B$450,"&gt;="&amp;$M$2,'Drenagem pontual'!$B$2:$B$450,"&lt;"&amp;($N$2+($N$2&gt;=Estacas!$B$650-0.00001)*0.001),'Drenagem pontual'!$C$2:$C$450,"BTCC 3,00 x 4,00")*4776)</f>
        <v>55281.76228</v>
      </c>
      <c r="H275" s="31"/>
      <c r="I275" s="31"/>
      <c r="J275" s="31"/>
      <c r="K275" s="31"/>
      <c r="L275" s="0" t="n">
        <f aca="false">$L$266*119.405+SUMIFS('Drenagem pontual'!$F$2:$F$450,'Drenagem pontual'!$B$2:$B$450,"&gt;="&amp;$M$12,'Drenagem pontual'!$B$2:$B$450,"&lt;"&amp;($N$12+($N$12&gt;=Estacas!$B$650-0.00001)*0.001),'Drenagem pontual'!$C$2:$C$450,"BSCC 2,00 x 2,00")*1275+$L$267*184.175+SUMIFS('Drenagem pontual'!$F$2:$F$450,'Drenagem pontual'!$B$2:$B$450,"&gt;="&amp;$M$12,'Drenagem pontual'!$B$2:$B$450,"&lt;"&amp;($N$12+($N$12&gt;=Estacas!$B$650-0.00001)*0.001),'Drenagem pontual'!$C$2:$C$450,"BSCC 2,50 x 2,50")*1756+$L$268*174.822+SUMIFS('Drenagem pontual'!$F$2:$F$450,'Drenagem pontual'!$B$2:$B$450,"&gt;="&amp;$M$12,'Drenagem pontual'!$B$2:$B$450,"&lt;"&amp;($N$12+($N$12&gt;=Estacas!$B$650-0.00001)*0.001),'Drenagem pontual'!$C$2:$C$450,"BSCC 3,00 x 3,00")*2604+$L$269*348.887+SUMIFS('Drenagem pontual'!$F$2:$F$450,'Drenagem pontual'!$B$2:$B$450,"&gt;="&amp;$M$12,'Drenagem pontual'!$B$2:$B$450,"&lt;"&amp;($N$12+($N$12&gt;=Estacas!$B$650-0.00001)*0.001),'Drenagem pontual'!$C$2:$C$450,"BTCC 3,00 x 3,00")*4153+$L$270*598+SUMIFS('Drenagem pontual'!$F$2:$F$450,'Drenagem pontual'!$B$2:$B$450,"&gt;="&amp;$M$12,'Drenagem pontual'!$B$2:$B$450,"&lt;"&amp;($N$12+($N$12&gt;=Estacas!$B$650-0.00001)*0.001),'Drenagem pontual'!$C$2:$C$450,"BTCC 3,00 x 4,00")*4776</f>
        <v>55281.76228</v>
      </c>
      <c r="P275" s="31"/>
      <c r="Q275" s="31"/>
      <c r="R275" s="67" t="s">
        <v>493</v>
      </c>
    </row>
    <row r="276" customFormat="false" ht="15" hidden="false" customHeight="false" outlineLevel="0" collapsed="false">
      <c r="B276" s="40" t="s">
        <v>498</v>
      </c>
      <c r="C276" s="69" t="s">
        <v>499</v>
      </c>
      <c r="D276" s="40" t="s">
        <v>173</v>
      </c>
      <c r="E276" s="31"/>
      <c r="F276" s="31"/>
      <c r="G276" s="31"/>
      <c r="H276" s="61" t="n">
        <f aca="false">IF($N$6&lt;&gt;"",0,($G$275)*1)</f>
        <v>55281.76228</v>
      </c>
      <c r="I276" s="62" t="n">
        <v>18.52</v>
      </c>
      <c r="J276" s="63" t="n">
        <f aca="false">H276*I276</f>
        <v>1023818.2374256</v>
      </c>
      <c r="K276" s="64" t="n">
        <f aca="false">IF($N$6&lt;&gt;"",0,60146.11*IF(($L$275)=0,$N$9,($G$275)/($L$275)))</f>
        <v>60146.11</v>
      </c>
      <c r="O276" s="0" t="n">
        <f aca="false">IF($N$6&lt;&gt;"",0,1113905.95*IF(($L$275)=0,$N$9,($G$275)/($L$275)))</f>
        <v>1113905.95</v>
      </c>
      <c r="P276" s="65" t="n">
        <f aca="false">O276</f>
        <v>1113905.95</v>
      </c>
      <c r="Q276" s="66" t="n">
        <f aca="false">J276-P276</f>
        <v>-90087.7125744</v>
      </c>
      <c r="R276" s="67" t="s">
        <v>500</v>
      </c>
    </row>
    <row r="277" customFormat="false" ht="15" hidden="false" customHeight="false" outlineLevel="0" collapsed="false">
      <c r="B277" s="40" t="s">
        <v>501</v>
      </c>
      <c r="C277" s="69" t="s">
        <v>502</v>
      </c>
      <c r="D277" s="40" t="s">
        <v>77</v>
      </c>
      <c r="E277" s="31"/>
      <c r="F277" s="31"/>
      <c r="G277" s="31"/>
      <c r="H277" s="61" t="n">
        <f aca="false">IF($N$6&lt;&gt;"",0,($G$271)*1)</f>
        <v>804.217</v>
      </c>
      <c r="I277" s="62" t="n">
        <v>518.43</v>
      </c>
      <c r="J277" s="63" t="n">
        <f aca="false">H277*I277</f>
        <v>416930.21931</v>
      </c>
      <c r="K277" s="64" t="n">
        <f aca="false">IF($N$6&lt;&gt;"",0,937.43*IF(($L$271)=0,$N$9,($G$271)/($L$271)))</f>
        <v>937.43</v>
      </c>
      <c r="O277" s="0" t="n">
        <f aca="false">IF($N$6&lt;&gt;"",0,485991.83*IF(($L$271)=0,$N$9,($G$271)/($L$271)))</f>
        <v>485991.83</v>
      </c>
      <c r="P277" s="65" t="n">
        <f aca="false">O277</f>
        <v>485991.83</v>
      </c>
      <c r="Q277" s="66" t="n">
        <f aca="false">J277-P277</f>
        <v>-69061.6106900001</v>
      </c>
      <c r="R277" s="67" t="s">
        <v>500</v>
      </c>
    </row>
    <row r="278" customFormat="false" ht="15" hidden="false" customHeight="false" outlineLevel="0" collapsed="false">
      <c r="B278" s="40" t="s">
        <v>503</v>
      </c>
      <c r="C278" s="69" t="s">
        <v>504</v>
      </c>
      <c r="D278" s="40" t="s">
        <v>77</v>
      </c>
      <c r="E278" s="31"/>
      <c r="F278" s="31"/>
      <c r="G278" s="31"/>
      <c r="H278" s="61" t="n">
        <f aca="false">IF($N$6&lt;&gt;"",0,($G$272)*1)</f>
        <v>157.763</v>
      </c>
      <c r="I278" s="62" t="n">
        <v>483.46</v>
      </c>
      <c r="J278" s="63" t="n">
        <f aca="false">H278*I278</f>
        <v>76272.09998</v>
      </c>
      <c r="K278" s="64" t="n">
        <f aca="false">IF($N$6&lt;&gt;"",0,174.64*IF(($L$272)=0,$N$9,($G$272)/($L$272)))</f>
        <v>174.64</v>
      </c>
      <c r="O278" s="0" t="n">
        <f aca="false">IF($N$6&lt;&gt;"",0,84431.45*IF(($L$272)=0,$N$9,($G$272)/($L$272)))</f>
        <v>84431.45</v>
      </c>
      <c r="P278" s="65" t="n">
        <f aca="false">O278</f>
        <v>84431.45</v>
      </c>
      <c r="Q278" s="66" t="n">
        <f aca="false">J278-P278</f>
        <v>-8159.35002</v>
      </c>
      <c r="R278" s="67" t="s">
        <v>500</v>
      </c>
    </row>
    <row r="279" customFormat="false" ht="15" hidden="false" customHeight="false" outlineLevel="0" collapsed="false">
      <c r="B279" s="40" t="s">
        <v>505</v>
      </c>
      <c r="C279" s="69" t="s">
        <v>506</v>
      </c>
      <c r="D279" s="40" t="s">
        <v>73</v>
      </c>
      <c r="E279" s="31"/>
      <c r="F279" s="31"/>
      <c r="G279" s="31"/>
      <c r="H279" s="61" t="n">
        <f aca="false">IF($N$6&lt;&gt;"",0,($G$273)*1)</f>
        <v>4179.414</v>
      </c>
      <c r="I279" s="62" t="n">
        <v>88.88</v>
      </c>
      <c r="J279" s="63" t="n">
        <f aca="false">H279*I279</f>
        <v>371466.31632</v>
      </c>
      <c r="K279" s="64" t="n">
        <f aca="false">IF($N$6&lt;&gt;"",0,4647.23*IF(($L$273)=0,$N$9,($G$273)/($L$273)))</f>
        <v>4647.23</v>
      </c>
      <c r="O279" s="0" t="n">
        <f aca="false">IF($N$6&lt;&gt;"",0,413045.8*IF(($L$273)=0,$N$9,($G$273)/($L$273)))</f>
        <v>413045.8</v>
      </c>
      <c r="P279" s="65" t="n">
        <f aca="false">O279</f>
        <v>413045.8</v>
      </c>
      <c r="Q279" s="66" t="n">
        <f aca="false">J279-P279</f>
        <v>-41579.48368</v>
      </c>
      <c r="R279" s="67" t="s">
        <v>500</v>
      </c>
    </row>
    <row r="280" customFormat="false" ht="15" hidden="false" customHeight="false" outlineLevel="0" collapsed="false">
      <c r="B280" s="40" t="s">
        <v>507</v>
      </c>
      <c r="C280" s="69" t="s">
        <v>508</v>
      </c>
      <c r="D280" s="40" t="s">
        <v>77</v>
      </c>
      <c r="E280" s="31"/>
      <c r="F280" s="31"/>
      <c r="G280" s="31"/>
      <c r="H280" s="61" t="n">
        <f aca="false">IF($N$6&lt;&gt;"",0,($G$274)*1)</f>
        <v>47.1682</v>
      </c>
      <c r="I280" s="62" t="n">
        <v>843.46</v>
      </c>
      <c r="J280" s="63" t="n">
        <f aca="false">H280*I280</f>
        <v>39784.489972</v>
      </c>
      <c r="K280" s="64" t="n">
        <f aca="false">IF($N$6&lt;&gt;"",0,47.93*IF(($L$274)=0,$N$9,($G$274)/($L$274)))</f>
        <v>47.93</v>
      </c>
      <c r="O280" s="0" t="n">
        <f aca="false">IF($N$6&lt;&gt;"",0,40427.03*IF(($L$274)=0,$N$9,($G$274)/($L$274)))</f>
        <v>40427.03</v>
      </c>
      <c r="P280" s="65" t="n">
        <f aca="false">O280</f>
        <v>40427.03</v>
      </c>
      <c r="Q280" s="66" t="n">
        <f aca="false">J280-P280</f>
        <v>-642.540027999996</v>
      </c>
      <c r="R280" s="67" t="s">
        <v>500</v>
      </c>
    </row>
    <row r="281" customFormat="false" ht="15" hidden="false" customHeight="false" outlineLevel="0" collapsed="false">
      <c r="B281" s="40" t="s">
        <v>509</v>
      </c>
      <c r="C281" s="69" t="s">
        <v>510</v>
      </c>
      <c r="D281" s="40" t="s">
        <v>77</v>
      </c>
      <c r="E281" s="31"/>
      <c r="F281" s="31"/>
      <c r="G281" s="31"/>
      <c r="H281" s="61" t="n">
        <f aca="false">IF($N$6&lt;&gt;"",0,($G$271+$G$272)*1)</f>
        <v>961.98</v>
      </c>
      <c r="I281" s="62" t="n">
        <v>42.33</v>
      </c>
      <c r="J281" s="63" t="n">
        <f aca="false">H281*I281</f>
        <v>40720.6134</v>
      </c>
      <c r="K281" s="64" t="n">
        <f aca="false">IF($N$6&lt;&gt;"",0,1112.07*IF(($L$271+$L$272)=0,$N$9,($G$271+$G$272)/($L$271+$L$272)))</f>
        <v>1112.07</v>
      </c>
      <c r="O281" s="0" t="n">
        <f aca="false">IF($N$6&lt;&gt;"",0,47073.92*IF(($L$271+$L$272)=0,$N$9,($G$271+$G$272)/($L$271+$L$272)))</f>
        <v>47073.92</v>
      </c>
      <c r="P281" s="65" t="n">
        <f aca="false">O281</f>
        <v>47073.92</v>
      </c>
      <c r="Q281" s="66" t="n">
        <f aca="false">J281-P281</f>
        <v>-6353.3066</v>
      </c>
      <c r="R281" s="67" t="s">
        <v>511</v>
      </c>
    </row>
    <row r="282" customFormat="false" ht="15" hidden="false" customHeight="false" outlineLevel="0" collapsed="false">
      <c r="B282" s="40"/>
      <c r="C282" s="59" t="s">
        <v>512</v>
      </c>
      <c r="D282" s="40" t="s">
        <v>73</v>
      </c>
      <c r="E282" s="31"/>
      <c r="F282" s="31"/>
      <c r="G282" s="60" t="n">
        <f aca="false">IF($N$6&lt;&gt;"",0,SUMIFS('Drenagem pontual'!$F$2:$F$450,'Drenagem pontual'!$B$2:$B$450,"&gt;="&amp;$M$2,'Drenagem pontual'!$B$2:$B$450,"&lt;"&amp;($N$2+($N$2&gt;=Estacas!$B$650-0.00001)*0.001),'Drenagem pontual'!$C$2:$C$450,"BSCC 2,00 x 2,00")*66+SUMIFS('Drenagem pontual'!$F$2:$F$450,'Drenagem pontual'!$B$2:$B$450,"&gt;="&amp;$M$2,'Drenagem pontual'!$B$2:$B$450,"&lt;"&amp;($N$2+($N$2&gt;=Estacas!$B$650-0.00001)*0.001),'Drenagem pontual'!$C$2:$C$450,"BSCC 2,50 x 2,50")*116+SUMIFS('Drenagem pontual'!$F$2:$F$450,'Drenagem pontual'!$B$2:$B$450,"&gt;="&amp;$M$2,'Drenagem pontual'!$B$2:$B$450,"&lt;"&amp;($N$2+($N$2&gt;=Estacas!$B$650-0.00001)*0.001),'Drenagem pontual'!$C$2:$C$450,"BSCC 3,00 x 3,00")*198+SUMIFS('Drenagem pontual'!$F$2:$F$450,'Drenagem pontual'!$B$2:$B$450,"&gt;="&amp;$M$2,'Drenagem pontual'!$B$2:$B$450,"&lt;"&amp;($N$2+($N$2&gt;=Estacas!$B$650-0.00001)*0.001),'Drenagem pontual'!$C$2:$C$450,"BTCC 3,00 x 3,00")*372.64+SUMIFS('Drenagem pontual'!$F$2:$F$450,'Drenagem pontual'!$B$2:$B$450,"&gt;="&amp;$M$2,'Drenagem pontual'!$B$2:$B$450,"&lt;"&amp;($N$2+($N$2&gt;=Estacas!$B$650-0.00001)*0.001),'Drenagem pontual'!$C$2:$C$450,"BTCC 3,00 x 4,00")*372.64)</f>
        <v>1323.28</v>
      </c>
      <c r="H282" s="31"/>
      <c r="I282" s="31"/>
      <c r="J282" s="31"/>
      <c r="K282" s="31"/>
      <c r="L282" s="0" t="n">
        <f aca="false">SUMIFS('Drenagem pontual'!$F$2:$F$450,'Drenagem pontual'!$B$2:$B$450,"&gt;="&amp;$M$12,'Drenagem pontual'!$B$2:$B$450,"&lt;"&amp;($N$12+($N$12&gt;=Estacas!$B$650-0.00001)*0.001),'Drenagem pontual'!$C$2:$C$450,"BSCC 2,00 x 2,00")*66+SUMIFS('Drenagem pontual'!$F$2:$F$450,'Drenagem pontual'!$B$2:$B$450,"&gt;="&amp;$M$12,'Drenagem pontual'!$B$2:$B$450,"&lt;"&amp;($N$12+($N$12&gt;=Estacas!$B$650-0.00001)*0.001),'Drenagem pontual'!$C$2:$C$450,"BSCC 2,50 x 2,50")*116+SUMIFS('Drenagem pontual'!$F$2:$F$450,'Drenagem pontual'!$B$2:$B$450,"&gt;="&amp;$M$12,'Drenagem pontual'!$B$2:$B$450,"&lt;"&amp;($N$12+($N$12&gt;=Estacas!$B$650-0.00001)*0.001),'Drenagem pontual'!$C$2:$C$450,"BSCC 3,00 x 3,00")*198+SUMIFS('Drenagem pontual'!$F$2:$F$450,'Drenagem pontual'!$B$2:$B$450,"&gt;="&amp;$M$12,'Drenagem pontual'!$B$2:$B$450,"&lt;"&amp;($N$12+($N$12&gt;=Estacas!$B$650-0.00001)*0.001),'Drenagem pontual'!$C$2:$C$450,"BTCC 3,00 x 3,00")*372.64+SUMIFS('Drenagem pontual'!$F$2:$F$450,'Drenagem pontual'!$B$2:$B$450,"&gt;="&amp;$M$12,'Drenagem pontual'!$B$2:$B$450,"&lt;"&amp;($N$12+($N$12&gt;=Estacas!$B$650-0.00001)*0.001),'Drenagem pontual'!$C$2:$C$450,"BTCC 3,00 x 4,00")*372.64</f>
        <v>1323.28</v>
      </c>
      <c r="P282" s="31"/>
      <c r="Q282" s="31"/>
      <c r="R282" s="67" t="s">
        <v>513</v>
      </c>
    </row>
    <row r="283" customFormat="false" ht="15" hidden="false" customHeight="false" outlineLevel="0" collapsed="false">
      <c r="B283" s="40" t="s">
        <v>514</v>
      </c>
      <c r="C283" s="69" t="s">
        <v>515</v>
      </c>
      <c r="D283" s="40" t="s">
        <v>73</v>
      </c>
      <c r="E283" s="31"/>
      <c r="F283" s="31"/>
      <c r="G283" s="31"/>
      <c r="H283" s="61" t="n">
        <f aca="false">IF($N$6&lt;&gt;"",0,($G$282)*1)</f>
        <v>1323.28</v>
      </c>
      <c r="I283" s="62" t="n">
        <v>122.5</v>
      </c>
      <c r="J283" s="63" t="n">
        <f aca="false">H283*I283</f>
        <v>162101.8</v>
      </c>
      <c r="K283" s="64" t="n">
        <f aca="false">IF($N$6&lt;&gt;"",0,1123.6*IF(($L$282)=0,$N$9,($G$282)/($L$282)))</f>
        <v>1123.6</v>
      </c>
      <c r="O283" s="0" t="n">
        <f aca="false">IF($N$6&lt;&gt;"",0,137641*IF(($L$282)=0,$N$9,($G$282)/($L$282)))</f>
        <v>137641</v>
      </c>
      <c r="P283" s="65" t="n">
        <f aca="false">O283</f>
        <v>137641</v>
      </c>
      <c r="Q283" s="66" t="n">
        <f aca="false">J283-P283</f>
        <v>24460.8</v>
      </c>
      <c r="R283" s="67" t="s">
        <v>516</v>
      </c>
    </row>
    <row r="284" customFormat="false" ht="15" hidden="false" customHeight="false" outlineLevel="0" collapsed="false">
      <c r="B284" s="57"/>
      <c r="C284" s="58" t="s">
        <v>517</v>
      </c>
      <c r="D284" s="57"/>
      <c r="E284" s="57"/>
      <c r="F284" s="57"/>
      <c r="G284" s="57"/>
      <c r="H284" s="57"/>
      <c r="I284" s="57"/>
      <c r="J284" s="57"/>
      <c r="K284" s="57"/>
      <c r="P284" s="57"/>
      <c r="Q284" s="57"/>
      <c r="R284" s="57"/>
    </row>
    <row r="285" customFormat="false" ht="15" hidden="false" customHeight="false" outlineLevel="0" collapsed="false">
      <c r="B285" s="40"/>
      <c r="C285" s="59" t="s">
        <v>518</v>
      </c>
      <c r="D285" s="40" t="s">
        <v>176</v>
      </c>
      <c r="E285" s="31"/>
      <c r="F285" s="31"/>
      <c r="G285" s="60" t="n">
        <f aca="false">IF($N$6&lt;&gt;"",0,18*((161.65&gt;=$M$2)*(161.65&lt;$N$2))+18*((235.05&gt;=$M$2)*(235.05&lt;$N$2)))</f>
        <v>36</v>
      </c>
      <c r="H285" s="31"/>
      <c r="I285" s="31"/>
      <c r="J285" s="31"/>
      <c r="K285" s="31"/>
      <c r="L285" s="0" t="n">
        <f aca="false">18*((161.65&gt;=$M$12)*(161.65&lt;$N$12))+18*((235.05&gt;=$M$12)*(235.05&lt;$N$12))</f>
        <v>36</v>
      </c>
      <c r="P285" s="31"/>
      <c r="Q285" s="31"/>
      <c r="R285" s="67" t="s">
        <v>519</v>
      </c>
    </row>
    <row r="286" customFormat="false" ht="15" hidden="false" customHeight="false" outlineLevel="0" collapsed="false">
      <c r="B286" s="40" t="s">
        <v>520</v>
      </c>
      <c r="C286" s="59" t="s">
        <v>521</v>
      </c>
      <c r="D286" s="40" t="s">
        <v>176</v>
      </c>
      <c r="E286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estaca'!$A$2:$A$974="CERCAS DE PROTEÇÃO PASSA FAUNA")*('MJ – quantidades por estaca'!$F$2:$F$974="LE")))</f>
        <v>322</v>
      </c>
      <c r="F286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estaca'!$A$2:$A$974="CERCAS DE PROTEÇÃO PASSA FAUNA")*('MJ – quantidades por estaca'!$F$2:$F$974="LD")))</f>
        <v>358</v>
      </c>
      <c r="G286" s="60" t="n">
        <f aca="false">E286+F286+IF($N$6&lt;&gt;"",0,SUMPRODUCT('MJ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estaca'!$A$2:$A$974="CERCAS DE PROTEÇÃO PASSA FAUNA")*('MJ – quantidades por estaca'!$F$2:$F$974="Eixo")))</f>
        <v>680</v>
      </c>
      <c r="H286" s="61" t="n">
        <f aca="false">IF($N$6&lt;&gt;"",0,$G$286)</f>
        <v>680</v>
      </c>
      <c r="I286" s="62" t="n">
        <v>249.91</v>
      </c>
      <c r="J286" s="63" t="n">
        <f aca="false">H286*I286</f>
        <v>169938.8</v>
      </c>
      <c r="K286" s="64" t="n">
        <f aca="false">IF($N$6&lt;&gt;"",0,680*IF($L$286=0,$N$9,$G$286/$L$286))</f>
        <v>680</v>
      </c>
      <c r="L286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estaca'!$A$2:$A$974="CERCAS DE PROTEÇÃO PASSA FAUNA")*('MJ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estaca'!$A$2:$A$974="CERCAS DE PROTEÇÃO PASSA FAUNA")*('MJ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estaca'!$A$2:$A$974="CERCAS DE PROTEÇÃO PASSA FAUNA")*('MJ – quantidades por estaca'!$F$2:$F$974="Eixo"))</f>
        <v>680</v>
      </c>
      <c r="O286" s="0" t="n">
        <f aca="false">IF($N$6&lt;&gt;"",0,169938.8*IF($L$286=0,$N$9,$G$286/$L$286))</f>
        <v>169938.8</v>
      </c>
      <c r="P286" s="65" t="n">
        <f aca="false">O286</f>
        <v>169938.8</v>
      </c>
      <c r="Q286" s="66" t="n">
        <f aca="false">J286-P286</f>
        <v>0</v>
      </c>
      <c r="R286" s="67" t="s">
        <v>522</v>
      </c>
    </row>
    <row r="287" customFormat="false" ht="15" hidden="false" customHeight="false" outlineLevel="0" collapsed="false">
      <c r="B287" s="40" t="s">
        <v>498</v>
      </c>
      <c r="C287" s="69" t="s">
        <v>523</v>
      </c>
      <c r="D287" s="40" t="s">
        <v>173</v>
      </c>
      <c r="E287" s="31"/>
      <c r="F287" s="31"/>
      <c r="G287" s="31"/>
      <c r="H287" s="61" t="n">
        <f aca="false">IF($N$6&lt;&gt;"",0,4298.58*IF(($L$285)=0,$N$9,($G$285)/($L$285)))</f>
        <v>4298.58</v>
      </c>
      <c r="I287" s="62" t="n">
        <v>18.52</v>
      </c>
      <c r="J287" s="63" t="n">
        <f aca="false">H287*I287</f>
        <v>79609.7016</v>
      </c>
      <c r="K287" s="64" t="n">
        <f aca="false">IF($N$6&lt;&gt;"",0,4298.58*IF(($L$285)=0,$N$9,($G$285)/($L$285)))</f>
        <v>4298.58</v>
      </c>
      <c r="O287" s="0" t="n">
        <f aca="false">IF($N$6&lt;&gt;"",0,79609.7*IF(($L$285)=0,$N$9,($G$285)/($L$285)))</f>
        <v>79609.7</v>
      </c>
      <c r="P287" s="65" t="n">
        <f aca="false">O287</f>
        <v>79609.7</v>
      </c>
      <c r="Q287" s="66" t="n">
        <f aca="false">J287-P287</f>
        <v>0.00160000000323635</v>
      </c>
      <c r="R287" s="67" t="s">
        <v>524</v>
      </c>
    </row>
    <row r="288" customFormat="false" ht="15" hidden="false" customHeight="false" outlineLevel="0" collapsed="false">
      <c r="B288" s="40" t="s">
        <v>507</v>
      </c>
      <c r="C288" s="69" t="s">
        <v>525</v>
      </c>
      <c r="D288" s="40" t="s">
        <v>77</v>
      </c>
      <c r="E288" s="31"/>
      <c r="F288" s="31"/>
      <c r="G288" s="31"/>
      <c r="H288" s="61" t="n">
        <f aca="false">IF($N$6&lt;&gt;"",0,3.6*IF(($L$285)=0,$N$9,($G$285)/($L$285)))</f>
        <v>3.6</v>
      </c>
      <c r="I288" s="62" t="n">
        <v>843.46</v>
      </c>
      <c r="J288" s="63" t="n">
        <f aca="false">H288*I288</f>
        <v>3036.456</v>
      </c>
      <c r="K288" s="64" t="n">
        <f aca="false">IF($N$6&lt;&gt;"",0,3.6*IF(($L$285)=0,$N$9,($G$285)/($L$285)))</f>
        <v>3.6</v>
      </c>
      <c r="O288" s="0" t="n">
        <f aca="false">IF($N$6&lt;&gt;"",0,3036.45*IF(($L$285)=0,$N$9,($G$285)/($L$285)))</f>
        <v>3036.45</v>
      </c>
      <c r="P288" s="65" t="n">
        <f aca="false">O288</f>
        <v>3036.45</v>
      </c>
      <c r="Q288" s="66" t="n">
        <f aca="false">J288-P288</f>
        <v>0.00600000000031287</v>
      </c>
      <c r="R288" s="67" t="s">
        <v>524</v>
      </c>
    </row>
    <row r="289" customFormat="false" ht="15" hidden="false" customHeight="false" outlineLevel="0" collapsed="false">
      <c r="B289" s="40" t="s">
        <v>526</v>
      </c>
      <c r="C289" s="69" t="s">
        <v>527</v>
      </c>
      <c r="D289" s="40" t="s">
        <v>77</v>
      </c>
      <c r="E289" s="31"/>
      <c r="F289" s="31"/>
      <c r="G289" s="31"/>
      <c r="H289" s="61" t="n">
        <f aca="false">IF($N$6&lt;&gt;"",0,9.36*IF(($L$285)=0,$N$9,($G$285)/($L$285)))</f>
        <v>9.36</v>
      </c>
      <c r="I289" s="62" t="n">
        <v>760.45</v>
      </c>
      <c r="J289" s="63" t="n">
        <f aca="false">H289*I289</f>
        <v>7117.812</v>
      </c>
      <c r="K289" s="64" t="n">
        <f aca="false">IF($N$6&lt;&gt;"",0,9.36*IF(($L$285)=0,$N$9,($G$285)/($L$285)))</f>
        <v>9.36</v>
      </c>
      <c r="O289" s="0" t="n">
        <f aca="false">IF($N$6&lt;&gt;"",0,7117.81*IF(($L$285)=0,$N$9,($G$285)/($L$285)))</f>
        <v>7117.81</v>
      </c>
      <c r="P289" s="65" t="n">
        <f aca="false">O289</f>
        <v>7117.81</v>
      </c>
      <c r="Q289" s="66" t="n">
        <f aca="false">J289-P289</f>
        <v>0.00199999999949796</v>
      </c>
      <c r="R289" s="67" t="s">
        <v>524</v>
      </c>
    </row>
    <row r="290" customFormat="false" ht="15" hidden="false" customHeight="false" outlineLevel="0" collapsed="false">
      <c r="B290" s="40" t="s">
        <v>528</v>
      </c>
      <c r="C290" s="69" t="s">
        <v>529</v>
      </c>
      <c r="D290" s="40" t="s">
        <v>77</v>
      </c>
      <c r="E290" s="31"/>
      <c r="F290" s="31"/>
      <c r="G290" s="31"/>
      <c r="H290" s="61" t="n">
        <f aca="false">IF($N$6&lt;&gt;"",0,47.16*IF(($L$285)=0,$N$9,($G$285)/($L$285)))</f>
        <v>47.16</v>
      </c>
      <c r="I290" s="62" t="n">
        <v>793.16</v>
      </c>
      <c r="J290" s="63" t="n">
        <f aca="false">H290*I290</f>
        <v>37405.4256</v>
      </c>
      <c r="K290" s="64" t="n">
        <f aca="false">IF($N$6&lt;&gt;"",0,47.16*IF(($L$285)=0,$N$9,($G$285)/($L$285)))</f>
        <v>47.16</v>
      </c>
      <c r="O290" s="0" t="n">
        <f aca="false">IF($N$6&lt;&gt;"",0,37405.42*IF(($L$285)=0,$N$9,($G$285)/($L$285)))</f>
        <v>37405.42</v>
      </c>
      <c r="P290" s="65" t="n">
        <f aca="false">O290</f>
        <v>37405.42</v>
      </c>
      <c r="Q290" s="66" t="n">
        <f aca="false">J290-P290</f>
        <v>0.0055999999967753</v>
      </c>
      <c r="R290" s="67" t="s">
        <v>524</v>
      </c>
    </row>
    <row r="291" customFormat="false" ht="15" hidden="false" customHeight="false" outlineLevel="0" collapsed="false">
      <c r="B291" s="40" t="s">
        <v>505</v>
      </c>
      <c r="C291" s="69" t="s">
        <v>530</v>
      </c>
      <c r="D291" s="40" t="s">
        <v>73</v>
      </c>
      <c r="E291" s="31"/>
      <c r="F291" s="31"/>
      <c r="G291" s="31"/>
      <c r="H291" s="61" t="n">
        <f aca="false">IF($N$6&lt;&gt;"",0,381.6*IF(($L$285)=0,$N$9,($G$285)/($L$285)))</f>
        <v>381.6</v>
      </c>
      <c r="I291" s="62" t="n">
        <v>88.88</v>
      </c>
      <c r="J291" s="63" t="n">
        <f aca="false">H291*I291</f>
        <v>33916.608</v>
      </c>
      <c r="K291" s="64" t="n">
        <f aca="false">IF($N$6&lt;&gt;"",0,381.6*IF(($L$285)=0,$N$9,($G$285)/($L$285)))</f>
        <v>381.6</v>
      </c>
      <c r="O291" s="0" t="n">
        <f aca="false">IF($N$6&lt;&gt;"",0,33916.6*IF(($L$285)=0,$N$9,($G$285)/($L$285)))</f>
        <v>33916.6</v>
      </c>
      <c r="P291" s="65" t="n">
        <f aca="false">O291</f>
        <v>33916.6</v>
      </c>
      <c r="Q291" s="66" t="n">
        <f aca="false">J291-P291</f>
        <v>0.00800000000162982</v>
      </c>
      <c r="R291" s="67" t="s">
        <v>524</v>
      </c>
    </row>
    <row r="292" customFormat="false" ht="15" hidden="false" customHeight="false" outlineLevel="0" collapsed="false">
      <c r="B292" s="40" t="s">
        <v>531</v>
      </c>
      <c r="C292" s="69" t="s">
        <v>532</v>
      </c>
      <c r="D292" s="40" t="s">
        <v>173</v>
      </c>
      <c r="E292" s="31"/>
      <c r="F292" s="31"/>
      <c r="G292" s="31"/>
      <c r="H292" s="61" t="n">
        <f aca="false">IF($N$6&lt;&gt;"",0,2550*IF(($L$285)=0,$N$9,($G$285)/($L$285)))</f>
        <v>2550</v>
      </c>
      <c r="I292" s="62" t="n">
        <v>18.52</v>
      </c>
      <c r="J292" s="63" t="n">
        <f aca="false">H292*I292</f>
        <v>47226</v>
      </c>
      <c r="K292" s="64" t="n">
        <f aca="false">IF($N$6&lt;&gt;"",0,2550*IF(($L$285)=0,$N$9,($G$285)/($L$285)))</f>
        <v>2550</v>
      </c>
      <c r="O292" s="0" t="n">
        <f aca="false">IF($N$6&lt;&gt;"",0,47226*IF(($L$285)=0,$N$9,($G$285)/($L$285)))</f>
        <v>47226</v>
      </c>
      <c r="P292" s="65" t="n">
        <f aca="false">O292</f>
        <v>47226</v>
      </c>
      <c r="Q292" s="66" t="n">
        <f aca="false">J292-P292</f>
        <v>0</v>
      </c>
      <c r="R292" s="67" t="s">
        <v>524</v>
      </c>
    </row>
    <row r="293" customFormat="false" ht="15" hidden="false" customHeight="false" outlineLevel="0" collapsed="false">
      <c r="B293" s="40" t="s">
        <v>427</v>
      </c>
      <c r="C293" s="69" t="s">
        <v>533</v>
      </c>
      <c r="D293" s="40" t="s">
        <v>77</v>
      </c>
      <c r="E293" s="31"/>
      <c r="F293" s="31"/>
      <c r="G293" s="31"/>
      <c r="H293" s="61" t="n">
        <f aca="false">IF($N$6&lt;&gt;"",0,487.8*IF(($L$285)=0,$N$9,($G$285)/($L$285)))</f>
        <v>487.8</v>
      </c>
      <c r="I293" s="62" t="n">
        <v>60.31</v>
      </c>
      <c r="J293" s="63" t="n">
        <f aca="false">H293*I293</f>
        <v>29419.218</v>
      </c>
      <c r="K293" s="64" t="n">
        <f aca="false">IF($N$6&lt;&gt;"",0,487.8*IF(($L$285)=0,$N$9,($G$285)/($L$285)))</f>
        <v>487.8</v>
      </c>
      <c r="O293" s="0" t="n">
        <f aca="false">IF($N$6&lt;&gt;"",0,29419.21*IF(($L$285)=0,$N$9,($G$285)/($L$285)))</f>
        <v>29419.21</v>
      </c>
      <c r="P293" s="65" t="n">
        <f aca="false">O293</f>
        <v>29419.21</v>
      </c>
      <c r="Q293" s="66" t="n">
        <f aca="false">J293-P293</f>
        <v>0.00800000000162982</v>
      </c>
      <c r="R293" s="67" t="s">
        <v>524</v>
      </c>
    </row>
    <row r="294" customFormat="false" ht="15" hidden="false" customHeight="false" outlineLevel="0" collapsed="false">
      <c r="B294" s="40" t="s">
        <v>507</v>
      </c>
      <c r="C294" s="69" t="s">
        <v>534</v>
      </c>
      <c r="D294" s="40" t="s">
        <v>77</v>
      </c>
      <c r="E294" s="31"/>
      <c r="F294" s="31"/>
      <c r="G294" s="31"/>
      <c r="H294" s="61" t="n">
        <f aca="false">IF($N$6&lt;&gt;"",0,1.74*IF(($L$285)=0,$N$9,($G$285)/($L$285)))</f>
        <v>1.74</v>
      </c>
      <c r="I294" s="62" t="n">
        <v>843.46</v>
      </c>
      <c r="J294" s="63" t="n">
        <f aca="false">H294*I294</f>
        <v>1467.6204</v>
      </c>
      <c r="K294" s="64" t="n">
        <f aca="false">IF($N$6&lt;&gt;"",0,1.74*IF(($L$285)=0,$N$9,($G$285)/($L$285)))</f>
        <v>1.74</v>
      </c>
      <c r="O294" s="0" t="n">
        <f aca="false">IF($N$6&lt;&gt;"",0,1467.62*IF(($L$285)=0,$N$9,($G$285)/($L$285)))</f>
        <v>1467.62</v>
      </c>
      <c r="P294" s="65" t="n">
        <f aca="false">O294</f>
        <v>1467.62</v>
      </c>
      <c r="Q294" s="66" t="n">
        <f aca="false">J294-P294</f>
        <v>0.000400000000126965</v>
      </c>
      <c r="R294" s="67" t="s">
        <v>524</v>
      </c>
    </row>
    <row r="295" customFormat="false" ht="15" hidden="false" customHeight="false" outlineLevel="0" collapsed="false">
      <c r="B295" s="40" t="s">
        <v>526</v>
      </c>
      <c r="C295" s="69" t="s">
        <v>535</v>
      </c>
      <c r="D295" s="40" t="s">
        <v>77</v>
      </c>
      <c r="E295" s="31"/>
      <c r="F295" s="31"/>
      <c r="G295" s="31"/>
      <c r="H295" s="61" t="n">
        <f aca="false">IF($N$6&lt;&gt;"",0,12.6*IF(($L$285)=0,$N$9,($G$285)/($L$285)))</f>
        <v>12.6</v>
      </c>
      <c r="I295" s="62" t="n">
        <v>760.45</v>
      </c>
      <c r="J295" s="63" t="n">
        <f aca="false">H295*I295</f>
        <v>9581.67</v>
      </c>
      <c r="K295" s="64" t="n">
        <f aca="false">IF($N$6&lt;&gt;"",0,12.6*IF(($L$285)=0,$N$9,($G$285)/($L$285)))</f>
        <v>12.6</v>
      </c>
      <c r="O295" s="0" t="n">
        <f aca="false">IF($N$6&lt;&gt;"",0,9581.67*IF(($L$285)=0,$N$9,($G$285)/($L$285)))</f>
        <v>9581.67</v>
      </c>
      <c r="P295" s="65" t="n">
        <f aca="false">O295</f>
        <v>9581.67</v>
      </c>
      <c r="Q295" s="66" t="n">
        <f aca="false">J295-P295</f>
        <v>0</v>
      </c>
      <c r="R295" s="67" t="s">
        <v>524</v>
      </c>
    </row>
    <row r="296" customFormat="false" ht="15" hidden="false" customHeight="false" outlineLevel="0" collapsed="false">
      <c r="B296" s="40" t="s">
        <v>528</v>
      </c>
      <c r="C296" s="69" t="s">
        <v>536</v>
      </c>
      <c r="D296" s="40" t="s">
        <v>77</v>
      </c>
      <c r="E296" s="31"/>
      <c r="F296" s="31"/>
      <c r="G296" s="31"/>
      <c r="H296" s="61" t="n">
        <f aca="false">IF($N$6&lt;&gt;"",0,35.72*IF(($L$285)=0,$N$9,($G$285)/($L$285)))</f>
        <v>35.72</v>
      </c>
      <c r="I296" s="62" t="n">
        <v>793.16</v>
      </c>
      <c r="J296" s="63" t="n">
        <f aca="false">H296*I296</f>
        <v>28331.6752</v>
      </c>
      <c r="K296" s="64" t="n">
        <f aca="false">IF($N$6&lt;&gt;"",0,35.72*IF(($L$285)=0,$N$9,($G$285)/($L$285)))</f>
        <v>35.72</v>
      </c>
      <c r="O296" s="0" t="n">
        <f aca="false">IF($N$6&lt;&gt;"",0,28331.67*IF(($L$285)=0,$N$9,($G$285)/($L$285)))</f>
        <v>28331.67</v>
      </c>
      <c r="P296" s="65" t="n">
        <f aca="false">O296</f>
        <v>28331.67</v>
      </c>
      <c r="Q296" s="66" t="n">
        <f aca="false">J296-P296</f>
        <v>0.00519999999960419</v>
      </c>
      <c r="R296" s="67" t="s">
        <v>524</v>
      </c>
    </row>
    <row r="297" customFormat="false" ht="15" hidden="false" customHeight="false" outlineLevel="0" collapsed="false">
      <c r="B297" s="40" t="s">
        <v>456</v>
      </c>
      <c r="C297" s="69" t="s">
        <v>537</v>
      </c>
      <c r="D297" s="40" t="s">
        <v>77</v>
      </c>
      <c r="E297" s="31"/>
      <c r="F297" s="31"/>
      <c r="G297" s="31"/>
      <c r="H297" s="61" t="n">
        <f aca="false">IF($N$6&lt;&gt;"",0,381.6*IF(($L$285)=0,$N$9,($G$285)/($L$285)))</f>
        <v>381.6</v>
      </c>
      <c r="I297" s="62" t="n">
        <v>12.84</v>
      </c>
      <c r="J297" s="63" t="n">
        <f aca="false">H297*I297</f>
        <v>4899.744</v>
      </c>
      <c r="K297" s="64" t="n">
        <f aca="false">IF($N$6&lt;&gt;"",0,381.6*IF(($L$285)=0,$N$9,($G$285)/($L$285)))</f>
        <v>381.6</v>
      </c>
      <c r="O297" s="0" t="n">
        <f aca="false">IF($N$6&lt;&gt;"",0,4899.74*IF(($L$285)=0,$N$9,($G$285)/($L$285)))</f>
        <v>4899.74</v>
      </c>
      <c r="P297" s="65" t="n">
        <f aca="false">O297</f>
        <v>4899.74</v>
      </c>
      <c r="Q297" s="66" t="n">
        <f aca="false">J297-P297</f>
        <v>0.00400000000081491</v>
      </c>
      <c r="R297" s="67" t="s">
        <v>524</v>
      </c>
    </row>
    <row r="298" customFormat="false" ht="15" hidden="false" customHeight="false" outlineLevel="0" collapsed="false">
      <c r="B298" s="40" t="s">
        <v>505</v>
      </c>
      <c r="C298" s="69" t="s">
        <v>538</v>
      </c>
      <c r="D298" s="40" t="s">
        <v>73</v>
      </c>
      <c r="E298" s="31"/>
      <c r="F298" s="31"/>
      <c r="G298" s="31"/>
      <c r="H298" s="61" t="n">
        <f aca="false">IF($N$6&lt;&gt;"",0,226*IF(($L$285)=0,$N$9,($G$285)/($L$285)))</f>
        <v>226</v>
      </c>
      <c r="I298" s="62" t="n">
        <v>88.88</v>
      </c>
      <c r="J298" s="63" t="n">
        <f aca="false">H298*I298</f>
        <v>20086.88</v>
      </c>
      <c r="K298" s="64" t="n">
        <f aca="false">IF($N$6&lt;&gt;"",0,226*IF(($L$285)=0,$N$9,($G$285)/($L$285)))</f>
        <v>226</v>
      </c>
      <c r="O298" s="0" t="n">
        <f aca="false">IF($N$6&lt;&gt;"",0,20086.88*IF(($L$285)=0,$N$9,($G$285)/($L$285)))</f>
        <v>20086.88</v>
      </c>
      <c r="P298" s="65" t="n">
        <f aca="false">O298</f>
        <v>20086.88</v>
      </c>
      <c r="Q298" s="66" t="n">
        <f aca="false">J298-P298</f>
        <v>0</v>
      </c>
      <c r="R298" s="67" t="s">
        <v>524</v>
      </c>
    </row>
    <row r="299" customFormat="false" ht="15" hidden="false" customHeight="false" outlineLevel="0" collapsed="false">
      <c r="B299" s="40" t="s">
        <v>539</v>
      </c>
      <c r="C299" s="69" t="s">
        <v>540</v>
      </c>
      <c r="D299" s="40" t="s">
        <v>77</v>
      </c>
      <c r="E299" s="31"/>
      <c r="F299" s="31"/>
      <c r="G299" s="31"/>
      <c r="H299" s="61" t="n">
        <f aca="false">IF($N$6&lt;&gt;"",0,8.28*IF(($L$285)=0,$N$9,($G$285)/($L$285)))</f>
        <v>8.28</v>
      </c>
      <c r="I299" s="62" t="n">
        <v>195.31</v>
      </c>
      <c r="J299" s="63" t="n">
        <f aca="false">H299*I299</f>
        <v>1617.1668</v>
      </c>
      <c r="K299" s="64" t="n">
        <f aca="false">IF($N$6&lt;&gt;"",0,8.28*IF(($L$285)=0,$N$9,($G$285)/($L$285)))</f>
        <v>8.28</v>
      </c>
      <c r="O299" s="0" t="n">
        <f aca="false">IF($N$6&lt;&gt;"",0,1617.16*IF(($L$285)=0,$N$9,($G$285)/($L$285)))</f>
        <v>1617.16</v>
      </c>
      <c r="P299" s="65" t="n">
        <f aca="false">O299</f>
        <v>1617.16</v>
      </c>
      <c r="Q299" s="66" t="n">
        <f aca="false">J299-P299</f>
        <v>0.00679999999988468</v>
      </c>
      <c r="R299" s="67" t="s">
        <v>524</v>
      </c>
    </row>
    <row r="300" customFormat="false" ht="15" hidden="false" customHeight="false" outlineLevel="0" collapsed="false">
      <c r="B300" s="70"/>
      <c r="C300" s="71" t="s">
        <v>541</v>
      </c>
      <c r="D300" s="70"/>
      <c r="E300" s="70"/>
      <c r="F300" s="70"/>
      <c r="G300" s="70"/>
      <c r="H300" s="72" t="str">
        <f aca="false">COUNTIF(J265:J299,"&gt;0")&amp;" de "&amp;COUNT(J265:J299)&amp;" itens"</f>
        <v>21 de 21 itens</v>
      </c>
      <c r="I300" s="70"/>
      <c r="J300" s="73" t="n">
        <f aca="false">SUM(J265:J299)</f>
        <v>2604748.5540076</v>
      </c>
      <c r="K300" s="70"/>
      <c r="O300" s="0" t="n">
        <f aca="false">SUM(O265:O299)</f>
        <v>2796171.71</v>
      </c>
      <c r="P300" s="74" t="n">
        <f aca="false">SUM(P265:P299)</f>
        <v>2796171.71</v>
      </c>
      <c r="Q300" s="75" t="n">
        <f aca="false">J300-P300</f>
        <v>-191423.1559924</v>
      </c>
      <c r="R300" s="70"/>
    </row>
    <row r="302" customFormat="false" ht="21.75" hidden="false" customHeight="true" outlineLevel="0" collapsed="false">
      <c r="B302" s="56" t="s">
        <v>542</v>
      </c>
      <c r="C302" s="5"/>
      <c r="D302" s="5"/>
      <c r="E302" s="5"/>
      <c r="F302" s="5"/>
      <c r="G302" s="5"/>
      <c r="H302" s="5"/>
      <c r="I302" s="5"/>
      <c r="J302" s="5"/>
      <c r="K302" s="5"/>
      <c r="P302" s="5"/>
      <c r="Q302" s="5"/>
      <c r="R302" s="5"/>
    </row>
    <row r="303" customFormat="false" ht="15" hidden="false" customHeight="false" outlineLevel="0" collapsed="false">
      <c r="B303" s="40"/>
      <c r="C303" s="59" t="s">
        <v>543</v>
      </c>
      <c r="D303" s="40" t="s">
        <v>176</v>
      </c>
      <c r="E303" s="31"/>
      <c r="F303" s="31"/>
      <c r="G303" s="60" t="n">
        <f aca="false">IF($N$6&lt;&gt;"",0,MAX(0,MIN($N$2,'OAE – ponte'!$I$2)-MAX($M$2,'OAE – ponte'!$H$2))/('OAE – ponte'!$I$2-'OAE – ponte'!$H$2)*('OAE – ponte'!$I$2-'OAE – ponte'!$H$2)*20)</f>
        <v>35</v>
      </c>
      <c r="H303" s="31"/>
      <c r="I303" s="31"/>
      <c r="J303" s="31"/>
      <c r="K303" s="31"/>
      <c r="L303" s="0" t="n">
        <f aca="false">MAX(0,MIN($N$12,'OAE – ponte'!$I$2)-MAX($M$12,'OAE – ponte'!$H$2))/('OAE – ponte'!$I$2-'OAE – ponte'!$H$2)*('OAE – ponte'!$I$2-'OAE – ponte'!$H$2)*20</f>
        <v>35</v>
      </c>
      <c r="P303" s="31"/>
      <c r="Q303" s="31"/>
      <c r="R303" s="67" t="s">
        <v>544</v>
      </c>
    </row>
    <row r="304" customFormat="false" ht="15" hidden="false" customHeight="false" outlineLevel="0" collapsed="false">
      <c r="B304" s="57"/>
      <c r="C304" s="58" t="s">
        <v>545</v>
      </c>
      <c r="D304" s="57"/>
      <c r="E304" s="57"/>
      <c r="F304" s="57"/>
      <c r="G304" s="57"/>
      <c r="H304" s="57"/>
      <c r="I304" s="57"/>
      <c r="J304" s="57"/>
      <c r="K304" s="57"/>
      <c r="P304" s="57"/>
      <c r="Q304" s="57"/>
      <c r="R304" s="57"/>
    </row>
    <row r="305" customFormat="false" ht="15" hidden="false" customHeight="false" outlineLevel="0" collapsed="false">
      <c r="B305" s="40" t="s">
        <v>498</v>
      </c>
      <c r="C305" s="69" t="s">
        <v>546</v>
      </c>
      <c r="D305" s="40" t="s">
        <v>173</v>
      </c>
      <c r="E305" s="31"/>
      <c r="F305" s="31"/>
      <c r="G305" s="31"/>
      <c r="H305" s="61" t="n">
        <f aca="false">IF($N$6&lt;&gt;"",0,22922*IF(($L$303)=0,$N$9,($G$303)/($L$303)))</f>
        <v>22922</v>
      </c>
      <c r="I305" s="62" t="n">
        <v>18.52</v>
      </c>
      <c r="J305" s="63" t="n">
        <f aca="false">H305*I305</f>
        <v>424515.44</v>
      </c>
      <c r="K305" s="64" t="n">
        <f aca="false">IF($N$6&lt;&gt;"",0,22922*IF(($L$303)=0,$N$9,($G$303)/($L$303)))</f>
        <v>22922</v>
      </c>
      <c r="O305" s="0" t="n">
        <f aca="false">IF($N$6&lt;&gt;"",0,424515.44*IF(($L$303)=0,$N$9,($G$303)/($L$303)))</f>
        <v>424515.44</v>
      </c>
      <c r="P305" s="65" t="n">
        <f aca="false">O305</f>
        <v>424515.44</v>
      </c>
      <c r="Q305" s="66" t="n">
        <f aca="false">J305-P305</f>
        <v>0</v>
      </c>
      <c r="R305" s="67" t="s">
        <v>547</v>
      </c>
    </row>
    <row r="306" customFormat="false" ht="15" hidden="false" customHeight="false" outlineLevel="0" collapsed="false">
      <c r="B306" s="40" t="s">
        <v>548</v>
      </c>
      <c r="C306" s="69" t="s">
        <v>549</v>
      </c>
      <c r="D306" s="40" t="s">
        <v>77</v>
      </c>
      <c r="E306" s="31"/>
      <c r="F306" s="31"/>
      <c r="G306" s="31"/>
      <c r="H306" s="61" t="n">
        <f aca="false">IF($N$6&lt;&gt;"",0,39.8*IF(($L$303)=0,$N$9,($G$303)/($L$303)))</f>
        <v>39.8</v>
      </c>
      <c r="I306" s="62" t="n">
        <v>1138.17</v>
      </c>
      <c r="J306" s="63" t="n">
        <f aca="false">H306*I306</f>
        <v>45299.166</v>
      </c>
      <c r="K306" s="64" t="n">
        <f aca="false">IF($N$6&lt;&gt;"",0,39.8*IF(($L$303)=0,$N$9,($G$303)/($L$303)))</f>
        <v>39.8</v>
      </c>
      <c r="O306" s="0" t="n">
        <f aca="false">IF($N$6&lt;&gt;"",0,45299.16*IF(($L$303)=0,$N$9,($G$303)/($L$303)))</f>
        <v>45299.16</v>
      </c>
      <c r="P306" s="65" t="n">
        <f aca="false">O306</f>
        <v>45299.16</v>
      </c>
      <c r="Q306" s="66" t="n">
        <f aca="false">J306-P306</f>
        <v>0.0059999999939464</v>
      </c>
      <c r="R306" s="67" t="s">
        <v>547</v>
      </c>
    </row>
    <row r="307" customFormat="false" ht="15" hidden="false" customHeight="false" outlineLevel="0" collapsed="false">
      <c r="B307" s="40" t="s">
        <v>509</v>
      </c>
      <c r="C307" s="69" t="s">
        <v>550</v>
      </c>
      <c r="D307" s="40" t="s">
        <v>77</v>
      </c>
      <c r="E307" s="31"/>
      <c r="F307" s="31"/>
      <c r="G307" s="31"/>
      <c r="H307" s="61" t="n">
        <f aca="false">IF($N$6&lt;&gt;"",0,130.4*IF(($L$303)=0,$N$9,($G$303)/($L$303)))</f>
        <v>130.4</v>
      </c>
      <c r="I307" s="62" t="n">
        <v>42.33</v>
      </c>
      <c r="J307" s="63" t="n">
        <f aca="false">H307*I307</f>
        <v>5519.832</v>
      </c>
      <c r="K307" s="64" t="n">
        <f aca="false">IF($N$6&lt;&gt;"",0,130.4*IF(($L$303)=0,$N$9,($G$303)/($L$303)))</f>
        <v>130.4</v>
      </c>
      <c r="O307" s="0" t="n">
        <f aca="false">IF($N$6&lt;&gt;"",0,5519.83*IF(($L$303)=0,$N$9,($G$303)/($L$303)))</f>
        <v>5519.83</v>
      </c>
      <c r="P307" s="65" t="n">
        <f aca="false">O307</f>
        <v>5519.83</v>
      </c>
      <c r="Q307" s="66" t="n">
        <f aca="false">J307-P307</f>
        <v>0.00200000000040745</v>
      </c>
      <c r="R307" s="67" t="s">
        <v>547</v>
      </c>
    </row>
    <row r="308" customFormat="false" ht="15" hidden="false" customHeight="false" outlineLevel="0" collapsed="false">
      <c r="B308" s="40" t="s">
        <v>551</v>
      </c>
      <c r="C308" s="69" t="s">
        <v>552</v>
      </c>
      <c r="D308" s="40" t="s">
        <v>77</v>
      </c>
      <c r="E308" s="31"/>
      <c r="F308" s="31"/>
      <c r="G308" s="31"/>
      <c r="H308" s="61" t="n">
        <f aca="false">IF($N$6&lt;&gt;"",0,116.44*IF(($L$303)=0,$N$9,($G$303)/($L$303)))</f>
        <v>116.44</v>
      </c>
      <c r="I308" s="62" t="n">
        <v>537.79</v>
      </c>
      <c r="J308" s="63" t="n">
        <f aca="false">H308*I308</f>
        <v>62620.2676</v>
      </c>
      <c r="K308" s="64" t="n">
        <f aca="false">IF($N$6&lt;&gt;"",0,116.44*IF(($L$303)=0,$N$9,($G$303)/($L$303)))</f>
        <v>116.44</v>
      </c>
      <c r="O308" s="0" t="n">
        <f aca="false">IF($N$6&lt;&gt;"",0,62620.26*IF(($L$303)=0,$N$9,($G$303)/($L$303)))</f>
        <v>62620.26</v>
      </c>
      <c r="P308" s="65" t="n">
        <f aca="false">O308</f>
        <v>62620.26</v>
      </c>
      <c r="Q308" s="66" t="n">
        <f aca="false">J308-P308</f>
        <v>0.00759999998990679</v>
      </c>
      <c r="R308" s="67" t="s">
        <v>547</v>
      </c>
    </row>
    <row r="309" customFormat="false" ht="15" hidden="false" customHeight="false" outlineLevel="0" collapsed="false">
      <c r="B309" s="40" t="s">
        <v>553</v>
      </c>
      <c r="C309" s="69" t="s">
        <v>554</v>
      </c>
      <c r="D309" s="40" t="s">
        <v>77</v>
      </c>
      <c r="E309" s="31"/>
      <c r="F309" s="31"/>
      <c r="G309" s="31"/>
      <c r="H309" s="61" t="n">
        <f aca="false">IF($N$6&lt;&gt;"",0,13.96*IF(($L$303)=0,$N$9,($G$303)/($L$303)))</f>
        <v>13.96</v>
      </c>
      <c r="I309" s="62" t="n">
        <v>503.57</v>
      </c>
      <c r="J309" s="63" t="n">
        <f aca="false">H309*I309</f>
        <v>7029.8372</v>
      </c>
      <c r="K309" s="64" t="n">
        <f aca="false">IF($N$6&lt;&gt;"",0,13.96*IF(($L$303)=0,$N$9,($G$303)/($L$303)))</f>
        <v>13.96</v>
      </c>
      <c r="O309" s="0" t="n">
        <f aca="false">IF($N$6&lt;&gt;"",0,7029.83*IF(($L$303)=0,$N$9,($G$303)/($L$303)))</f>
        <v>7029.83</v>
      </c>
      <c r="P309" s="65" t="n">
        <f aca="false">O309</f>
        <v>7029.83</v>
      </c>
      <c r="Q309" s="66" t="n">
        <f aca="false">J309-P309</f>
        <v>0.00720000000001164</v>
      </c>
      <c r="R309" s="67" t="s">
        <v>547</v>
      </c>
    </row>
    <row r="310" customFormat="false" ht="15" hidden="false" customHeight="false" outlineLevel="0" collapsed="false">
      <c r="B310" s="40" t="s">
        <v>555</v>
      </c>
      <c r="C310" s="69" t="s">
        <v>556</v>
      </c>
      <c r="D310" s="40" t="s">
        <v>176</v>
      </c>
      <c r="E310" s="31"/>
      <c r="F310" s="31"/>
      <c r="G310" s="31"/>
      <c r="H310" s="61" t="n">
        <f aca="false">IF($N$6&lt;&gt;"",0,120*IF(($L$303)=0,$N$9,($G$303)/($L$303)))</f>
        <v>120</v>
      </c>
      <c r="I310" s="62" t="n">
        <v>1164.36</v>
      </c>
      <c r="J310" s="63" t="n">
        <f aca="false">H310*I310</f>
        <v>139723.2</v>
      </c>
      <c r="K310" s="64" t="n">
        <f aca="false">IF($N$6&lt;&gt;"",0,120*IF(($L$303)=0,$N$9,($G$303)/($L$303)))</f>
        <v>120</v>
      </c>
      <c r="O310" s="0" t="n">
        <f aca="false">IF($N$6&lt;&gt;"",0,139723.2*IF(($L$303)=0,$N$9,($G$303)/($L$303)))</f>
        <v>139723.2</v>
      </c>
      <c r="P310" s="65" t="n">
        <f aca="false">O310</f>
        <v>139723.2</v>
      </c>
      <c r="Q310" s="66" t="n">
        <f aca="false">J310-P310</f>
        <v>0</v>
      </c>
      <c r="R310" s="67" t="s">
        <v>547</v>
      </c>
    </row>
    <row r="311" customFormat="false" ht="15" hidden="false" customHeight="false" outlineLevel="0" collapsed="false">
      <c r="B311" s="40" t="s">
        <v>557</v>
      </c>
      <c r="C311" s="69" t="s">
        <v>558</v>
      </c>
      <c r="D311" s="40" t="s">
        <v>176</v>
      </c>
      <c r="E311" s="31"/>
      <c r="F311" s="31"/>
      <c r="G311" s="31"/>
      <c r="H311" s="61" t="n">
        <f aca="false">IF($N$6&lt;&gt;"",0,168*IF(($L$303)=0,$N$9,($G$303)/($L$303)))</f>
        <v>168</v>
      </c>
      <c r="I311" s="62" t="n">
        <v>633.06</v>
      </c>
      <c r="J311" s="63" t="n">
        <f aca="false">H311*I311</f>
        <v>106354.08</v>
      </c>
      <c r="K311" s="64" t="n">
        <f aca="false">IF($N$6&lt;&gt;"",0,168*IF(($L$303)=0,$N$9,($G$303)/($L$303)))</f>
        <v>168</v>
      </c>
      <c r="O311" s="0" t="n">
        <f aca="false">IF($N$6&lt;&gt;"",0,106354.08*IF(($L$303)=0,$N$9,($G$303)/($L$303)))</f>
        <v>106354.08</v>
      </c>
      <c r="P311" s="65" t="n">
        <f aca="false">O311</f>
        <v>106354.08</v>
      </c>
      <c r="Q311" s="66" t="n">
        <f aca="false">J311-P311</f>
        <v>0</v>
      </c>
      <c r="R311" s="67" t="s">
        <v>547</v>
      </c>
    </row>
    <row r="312" customFormat="false" ht="15" hidden="false" customHeight="false" outlineLevel="0" collapsed="false">
      <c r="B312" s="40" t="s">
        <v>505</v>
      </c>
      <c r="C312" s="69" t="s">
        <v>559</v>
      </c>
      <c r="D312" s="40" t="s">
        <v>73</v>
      </c>
      <c r="E312" s="31"/>
      <c r="F312" s="31"/>
      <c r="G312" s="31"/>
      <c r="H312" s="61" t="n">
        <f aca="false">IF($N$6&lt;&gt;"",0,364.69*IF(($L$303)=0,$N$9,($G$303)/($L$303)))</f>
        <v>364.69</v>
      </c>
      <c r="I312" s="62" t="n">
        <v>88.88</v>
      </c>
      <c r="J312" s="63" t="n">
        <f aca="false">H312*I312</f>
        <v>32413.6472</v>
      </c>
      <c r="K312" s="64" t="n">
        <f aca="false">IF($N$6&lt;&gt;"",0,364.69*IF(($L$303)=0,$N$9,($G$303)/($L$303)))</f>
        <v>364.69</v>
      </c>
      <c r="O312" s="0" t="n">
        <f aca="false">IF($N$6&lt;&gt;"",0,32413.64*IF(($L$303)=0,$N$9,($G$303)/($L$303)))</f>
        <v>32413.64</v>
      </c>
      <c r="P312" s="65" t="n">
        <f aca="false">O312</f>
        <v>32413.64</v>
      </c>
      <c r="Q312" s="66" t="n">
        <f aca="false">J312-P312</f>
        <v>0.00720000000001164</v>
      </c>
      <c r="R312" s="67" t="s">
        <v>547</v>
      </c>
    </row>
    <row r="313" customFormat="false" ht="15" hidden="false" customHeight="false" outlineLevel="0" collapsed="false">
      <c r="B313" s="40" t="s">
        <v>560</v>
      </c>
      <c r="C313" s="69" t="s">
        <v>561</v>
      </c>
      <c r="D313" s="40" t="s">
        <v>176</v>
      </c>
      <c r="E313" s="31"/>
      <c r="F313" s="31"/>
      <c r="G313" s="31"/>
      <c r="H313" s="61" t="n">
        <f aca="false">IF($N$6&lt;&gt;"",0,23.6*IF(($L$303)=0,$N$9,($G$303)/($L$303)))</f>
        <v>23.6</v>
      </c>
      <c r="I313" s="62" t="n">
        <v>817.87</v>
      </c>
      <c r="J313" s="63" t="n">
        <f aca="false">H313*I313</f>
        <v>19301.732</v>
      </c>
      <c r="K313" s="64" t="n">
        <f aca="false">IF($N$6&lt;&gt;"",0,23.6*IF(($L$303)=0,$N$9,($G$303)/($L$303)))</f>
        <v>23.6</v>
      </c>
      <c r="O313" s="0" t="n">
        <f aca="false">IF($N$6&lt;&gt;"",0,19301.73*IF(($L$303)=0,$N$9,($G$303)/($L$303)))</f>
        <v>19301.73</v>
      </c>
      <c r="P313" s="65" t="n">
        <f aca="false">O313</f>
        <v>19301.73</v>
      </c>
      <c r="Q313" s="66" t="n">
        <f aca="false">J313-P313</f>
        <v>0.00200000000040745</v>
      </c>
      <c r="R313" s="67" t="s">
        <v>547</v>
      </c>
    </row>
    <row r="314" customFormat="false" ht="15" hidden="false" customHeight="false" outlineLevel="0" collapsed="false">
      <c r="B314" s="57"/>
      <c r="C314" s="58" t="s">
        <v>562</v>
      </c>
      <c r="D314" s="57"/>
      <c r="E314" s="57"/>
      <c r="F314" s="57"/>
      <c r="G314" s="57"/>
      <c r="H314" s="57"/>
      <c r="I314" s="57"/>
      <c r="J314" s="57"/>
      <c r="K314" s="57"/>
      <c r="P314" s="57"/>
      <c r="Q314" s="57"/>
      <c r="R314" s="57"/>
    </row>
    <row r="315" customFormat="false" ht="15" hidden="false" customHeight="false" outlineLevel="0" collapsed="false">
      <c r="B315" s="40" t="s">
        <v>498</v>
      </c>
      <c r="C315" s="69" t="s">
        <v>546</v>
      </c>
      <c r="D315" s="40" t="s">
        <v>173</v>
      </c>
      <c r="E315" s="31"/>
      <c r="F315" s="31"/>
      <c r="G315" s="31"/>
      <c r="H315" s="61" t="n">
        <f aca="false">IF($N$6&lt;&gt;"",0,37883*IF(($L$303)=0,$N$9,($G$303)/($L$303)))</f>
        <v>37883</v>
      </c>
      <c r="I315" s="62" t="n">
        <v>18.52</v>
      </c>
      <c r="J315" s="63" t="n">
        <f aca="false">H315*I315</f>
        <v>701593.16</v>
      </c>
      <c r="K315" s="64" t="n">
        <f aca="false">IF($N$6&lt;&gt;"",0,37883*IF(($L$303)=0,$N$9,($G$303)/($L$303)))</f>
        <v>37883</v>
      </c>
      <c r="O315" s="0" t="n">
        <f aca="false">IF($N$6&lt;&gt;"",0,701593.16*IF(($L$303)=0,$N$9,($G$303)/($L$303)))</f>
        <v>701593.16</v>
      </c>
      <c r="P315" s="65" t="n">
        <f aca="false">O315</f>
        <v>701593.16</v>
      </c>
      <c r="Q315" s="66" t="n">
        <f aca="false">J315-P315</f>
        <v>0</v>
      </c>
      <c r="R315" s="67" t="s">
        <v>547</v>
      </c>
    </row>
    <row r="316" customFormat="false" ht="15" hidden="false" customHeight="false" outlineLevel="0" collapsed="false">
      <c r="B316" s="40" t="s">
        <v>563</v>
      </c>
      <c r="C316" s="69" t="s">
        <v>564</v>
      </c>
      <c r="D316" s="40" t="s">
        <v>173</v>
      </c>
      <c r="E316" s="31"/>
      <c r="F316" s="31"/>
      <c r="G316" s="31"/>
      <c r="H316" s="61" t="n">
        <f aca="false">IF($N$6&lt;&gt;"",0,221.18*IF(($L$303)=0,$N$9,($G$303)/($L$303)))</f>
        <v>221.18</v>
      </c>
      <c r="I316" s="62" t="n">
        <v>97.45</v>
      </c>
      <c r="J316" s="63" t="n">
        <f aca="false">H316*I316</f>
        <v>21553.991</v>
      </c>
      <c r="K316" s="64" t="n">
        <f aca="false">IF($N$6&lt;&gt;"",0,221.18*IF(($L$303)=0,$N$9,($G$303)/($L$303)))</f>
        <v>221.18</v>
      </c>
      <c r="O316" s="0" t="n">
        <f aca="false">IF($N$6&lt;&gt;"",0,21553.99*IF(($L$303)=0,$N$9,($G$303)/($L$303)))</f>
        <v>21553.99</v>
      </c>
      <c r="P316" s="65" t="n">
        <f aca="false">O316</f>
        <v>21553.99</v>
      </c>
      <c r="Q316" s="66" t="n">
        <f aca="false">J316-P316</f>
        <v>0.00100000000020373</v>
      </c>
      <c r="R316" s="67" t="s">
        <v>547</v>
      </c>
    </row>
    <row r="317" customFormat="false" ht="15" hidden="false" customHeight="false" outlineLevel="0" collapsed="false">
      <c r="B317" s="40" t="s">
        <v>509</v>
      </c>
      <c r="C317" s="69" t="s">
        <v>550</v>
      </c>
      <c r="D317" s="40" t="s">
        <v>77</v>
      </c>
      <c r="E317" s="31"/>
      <c r="F317" s="31"/>
      <c r="G317" s="31"/>
      <c r="H317" s="61" t="n">
        <f aca="false">IF($N$6&lt;&gt;"",0,156*IF(($L$303)=0,$N$9,($G$303)/($L$303)))</f>
        <v>156</v>
      </c>
      <c r="I317" s="62" t="n">
        <v>42.33</v>
      </c>
      <c r="J317" s="63" t="n">
        <f aca="false">H317*I317</f>
        <v>6603.48</v>
      </c>
      <c r="K317" s="64" t="n">
        <f aca="false">IF($N$6&lt;&gt;"",0,156*IF(($L$303)=0,$N$9,($G$303)/($L$303)))</f>
        <v>156</v>
      </c>
      <c r="O317" s="0" t="n">
        <f aca="false">IF($N$6&lt;&gt;"",0,6603.48*IF(($L$303)=0,$N$9,($G$303)/($L$303)))</f>
        <v>6603.48</v>
      </c>
      <c r="P317" s="65" t="n">
        <f aca="false">O317</f>
        <v>6603.48</v>
      </c>
      <c r="Q317" s="66" t="n">
        <f aca="false">J317-P317</f>
        <v>0</v>
      </c>
      <c r="R317" s="67" t="s">
        <v>547</v>
      </c>
    </row>
    <row r="318" customFormat="false" ht="15" hidden="false" customHeight="false" outlineLevel="0" collapsed="false">
      <c r="B318" s="40" t="s">
        <v>565</v>
      </c>
      <c r="C318" s="69" t="s">
        <v>566</v>
      </c>
      <c r="D318" s="40" t="s">
        <v>80</v>
      </c>
      <c r="E318" s="31"/>
      <c r="F318" s="31"/>
      <c r="G318" s="31"/>
      <c r="H318" s="61" t="n">
        <f aca="false">IF($N$6&lt;&gt;"",0,52*IF(($L$303)=0,$N$9,($G$303)/($L$303)))</f>
        <v>52</v>
      </c>
      <c r="I318" s="62" t="n">
        <v>91.21</v>
      </c>
      <c r="J318" s="63" t="n">
        <f aca="false">H318*I318</f>
        <v>4742.92</v>
      </c>
      <c r="K318" s="64" t="n">
        <f aca="false">IF($N$6&lt;&gt;"",0,52*IF(($L$303)=0,$N$9,($G$303)/($L$303)))</f>
        <v>52</v>
      </c>
      <c r="O318" s="0" t="n">
        <f aca="false">IF($N$6&lt;&gt;"",0,4742.92*IF(($L$303)=0,$N$9,($G$303)/($L$303)))</f>
        <v>4742.92</v>
      </c>
      <c r="P318" s="65" t="n">
        <f aca="false">O318</f>
        <v>4742.92</v>
      </c>
      <c r="Q318" s="66" t="n">
        <f aca="false">J318-P318</f>
        <v>0</v>
      </c>
      <c r="R318" s="67" t="s">
        <v>547</v>
      </c>
    </row>
    <row r="319" customFormat="false" ht="15" hidden="false" customHeight="false" outlineLevel="0" collapsed="false">
      <c r="B319" s="40" t="s">
        <v>567</v>
      </c>
      <c r="C319" s="69" t="s">
        <v>568</v>
      </c>
      <c r="D319" s="40" t="s">
        <v>80</v>
      </c>
      <c r="E319" s="31"/>
      <c r="F319" s="31"/>
      <c r="G319" s="31"/>
      <c r="H319" s="61" t="n">
        <f aca="false">IF($N$6&lt;&gt;"",0,104*IF(($L$303)=0,$N$9,($G$303)/($L$303)))</f>
        <v>104</v>
      </c>
      <c r="I319" s="62" t="n">
        <v>265.38</v>
      </c>
      <c r="J319" s="63" t="n">
        <f aca="false">H319*I319</f>
        <v>27599.52</v>
      </c>
      <c r="K319" s="64" t="n">
        <f aca="false">IF($N$6&lt;&gt;"",0,104*IF(($L$303)=0,$N$9,($G$303)/($L$303)))</f>
        <v>104</v>
      </c>
      <c r="O319" s="0" t="n">
        <f aca="false">IF($N$6&lt;&gt;"",0,27599.52*IF(($L$303)=0,$N$9,($G$303)/($L$303)))</f>
        <v>27599.52</v>
      </c>
      <c r="P319" s="65" t="n">
        <f aca="false">O319</f>
        <v>27599.52</v>
      </c>
      <c r="Q319" s="66" t="n">
        <f aca="false">J319-P319</f>
        <v>0</v>
      </c>
      <c r="R319" s="67" t="s">
        <v>547</v>
      </c>
    </row>
    <row r="320" customFormat="false" ht="15" hidden="false" customHeight="false" outlineLevel="0" collapsed="false">
      <c r="B320" s="40" t="s">
        <v>569</v>
      </c>
      <c r="C320" s="69" t="s">
        <v>570</v>
      </c>
      <c r="D320" s="40" t="s">
        <v>80</v>
      </c>
      <c r="E320" s="31"/>
      <c r="F320" s="31"/>
      <c r="G320" s="31"/>
      <c r="H320" s="61" t="n">
        <f aca="false">IF($N$6&lt;&gt;"",0,4*IF(($L$303)=0,$N$9,($G$303)/($L$303)))</f>
        <v>4</v>
      </c>
      <c r="I320" s="62" t="n">
        <v>54233.55</v>
      </c>
      <c r="J320" s="63" t="n">
        <f aca="false">H320*I320</f>
        <v>216934.2</v>
      </c>
      <c r="K320" s="64" t="n">
        <f aca="false">IF($N$6&lt;&gt;"",0,4*IF(($L$303)=0,$N$9,($G$303)/($L$303)))</f>
        <v>4</v>
      </c>
      <c r="O320" s="0" t="n">
        <f aca="false">IF($N$6&lt;&gt;"",0,216934.2*IF(($L$303)=0,$N$9,($G$303)/($L$303)))</f>
        <v>216934.2</v>
      </c>
      <c r="P320" s="65" t="n">
        <f aca="false">O320</f>
        <v>216934.2</v>
      </c>
      <c r="Q320" s="66" t="n">
        <f aca="false">J320-P320</f>
        <v>0</v>
      </c>
      <c r="R320" s="67" t="s">
        <v>547</v>
      </c>
    </row>
    <row r="321" customFormat="false" ht="15" hidden="false" customHeight="false" outlineLevel="0" collapsed="false">
      <c r="B321" s="40" t="s">
        <v>553</v>
      </c>
      <c r="C321" s="69" t="s">
        <v>554</v>
      </c>
      <c r="D321" s="40" t="s">
        <v>77</v>
      </c>
      <c r="E321" s="31"/>
      <c r="F321" s="31"/>
      <c r="G321" s="31"/>
      <c r="H321" s="61" t="n">
        <f aca="false">IF($N$6&lt;&gt;"",0,16.75*IF(($L$303)=0,$N$9,($G$303)/($L$303)))</f>
        <v>16.75</v>
      </c>
      <c r="I321" s="62" t="n">
        <v>503.57</v>
      </c>
      <c r="J321" s="63" t="n">
        <f aca="false">H321*I321</f>
        <v>8434.7975</v>
      </c>
      <c r="K321" s="64" t="n">
        <f aca="false">IF($N$6&lt;&gt;"",0,16.75*IF(($L$303)=0,$N$9,($G$303)/($L$303)))</f>
        <v>16.75</v>
      </c>
      <c r="O321" s="0" t="n">
        <f aca="false">IF($N$6&lt;&gt;"",0,8434.79*IF(($L$303)=0,$N$9,($G$303)/($L$303)))</f>
        <v>8434.79</v>
      </c>
      <c r="P321" s="65" t="n">
        <f aca="false">O321</f>
        <v>8434.79</v>
      </c>
      <c r="Q321" s="66" t="n">
        <f aca="false">J321-P321</f>
        <v>0.00749999999970896</v>
      </c>
      <c r="R321" s="67" t="s">
        <v>547</v>
      </c>
    </row>
    <row r="322" customFormat="false" ht="15" hidden="false" customHeight="false" outlineLevel="0" collapsed="false">
      <c r="B322" s="40" t="s">
        <v>571</v>
      </c>
      <c r="C322" s="69" t="s">
        <v>572</v>
      </c>
      <c r="D322" s="40" t="s">
        <v>77</v>
      </c>
      <c r="E322" s="31"/>
      <c r="F322" s="31"/>
      <c r="G322" s="31"/>
      <c r="H322" s="61" t="n">
        <f aca="false">IF($N$6&lt;&gt;"",0,227.6*IF(($L$303)=0,$N$9,($G$303)/($L$303)))</f>
        <v>227.6</v>
      </c>
      <c r="I322" s="62" t="n">
        <v>600.78</v>
      </c>
      <c r="J322" s="63" t="n">
        <f aca="false">H322*I322</f>
        <v>136737.528</v>
      </c>
      <c r="K322" s="64" t="n">
        <f aca="false">IF($N$6&lt;&gt;"",0,227.6*IF(($L$303)=0,$N$9,($G$303)/($L$303)))</f>
        <v>227.6</v>
      </c>
      <c r="O322" s="0" t="n">
        <f aca="false">IF($N$6&lt;&gt;"",0,136737.52*IF(($L$303)=0,$N$9,($G$303)/($L$303)))</f>
        <v>136737.52</v>
      </c>
      <c r="P322" s="65" t="n">
        <f aca="false">O322</f>
        <v>136737.52</v>
      </c>
      <c r="Q322" s="66" t="n">
        <f aca="false">J322-P322</f>
        <v>0.00800000000162982</v>
      </c>
      <c r="R322" s="67" t="s">
        <v>547</v>
      </c>
    </row>
    <row r="323" customFormat="false" ht="15" hidden="false" customHeight="false" outlineLevel="0" collapsed="false">
      <c r="B323" s="40" t="s">
        <v>573</v>
      </c>
      <c r="C323" s="69" t="s">
        <v>574</v>
      </c>
      <c r="D323" s="40" t="s">
        <v>80</v>
      </c>
      <c r="E323" s="31"/>
      <c r="F323" s="31"/>
      <c r="G323" s="31"/>
      <c r="H323" s="61" t="n">
        <f aca="false">IF($N$6&lt;&gt;"",0,18*IF(($L$303)=0,$N$9,($G$303)/($L$303)))</f>
        <v>18</v>
      </c>
      <c r="I323" s="62" t="n">
        <v>87.21</v>
      </c>
      <c r="J323" s="63" t="n">
        <f aca="false">H323*I323</f>
        <v>1569.78</v>
      </c>
      <c r="K323" s="64" t="n">
        <f aca="false">IF($N$6&lt;&gt;"",0,18*IF(($L$303)=0,$N$9,($G$303)/($L$303)))</f>
        <v>18</v>
      </c>
      <c r="O323" s="0" t="n">
        <f aca="false">IF($N$6&lt;&gt;"",0,1569.78*IF(($L$303)=0,$N$9,($G$303)/($L$303)))</f>
        <v>1569.78</v>
      </c>
      <c r="P323" s="65" t="n">
        <f aca="false">O323</f>
        <v>1569.78</v>
      </c>
      <c r="Q323" s="66" t="n">
        <f aca="false">J323-P323</f>
        <v>0</v>
      </c>
      <c r="R323" s="67" t="s">
        <v>547</v>
      </c>
    </row>
    <row r="324" customFormat="false" ht="15" hidden="false" customHeight="false" outlineLevel="0" collapsed="false">
      <c r="B324" s="40" t="s">
        <v>505</v>
      </c>
      <c r="C324" s="69" t="s">
        <v>559</v>
      </c>
      <c r="D324" s="40" t="s">
        <v>73</v>
      </c>
      <c r="E324" s="31"/>
      <c r="F324" s="31"/>
      <c r="G324" s="31"/>
      <c r="H324" s="61" t="n">
        <f aca="false">IF($N$6&lt;&gt;"",0,1245.63*IF(($L$303)=0,$N$9,($G$303)/($L$303)))</f>
        <v>1245.63</v>
      </c>
      <c r="I324" s="62" t="n">
        <v>88.88</v>
      </c>
      <c r="J324" s="63" t="n">
        <f aca="false">H324*I324</f>
        <v>110711.5944</v>
      </c>
      <c r="K324" s="64" t="n">
        <f aca="false">IF($N$6&lt;&gt;"",0,1245.63*IF(($L$303)=0,$N$9,($G$303)/($L$303)))</f>
        <v>1245.63</v>
      </c>
      <c r="O324" s="0" t="n">
        <f aca="false">IF($N$6&lt;&gt;"",0,110711.59*IF(($L$303)=0,$N$9,($G$303)/($L$303)))</f>
        <v>110711.59</v>
      </c>
      <c r="P324" s="65" t="n">
        <f aca="false">O324</f>
        <v>110711.59</v>
      </c>
      <c r="Q324" s="66" t="n">
        <f aca="false">J324-P324</f>
        <v>0.00440000000526197</v>
      </c>
      <c r="R324" s="67" t="s">
        <v>547</v>
      </c>
    </row>
    <row r="325" customFormat="false" ht="15" hidden="false" customHeight="false" outlineLevel="0" collapsed="false">
      <c r="B325" s="40" t="s">
        <v>575</v>
      </c>
      <c r="C325" s="69" t="s">
        <v>576</v>
      </c>
      <c r="D325" s="40" t="s">
        <v>173</v>
      </c>
      <c r="E325" s="31"/>
      <c r="F325" s="31"/>
      <c r="G325" s="31"/>
      <c r="H325" s="61" t="n">
        <f aca="false">IF($N$6&lt;&gt;"",0,1302.08*IF(($L$303)=0,$N$9,($G$303)/($L$303)))</f>
        <v>1302.08</v>
      </c>
      <c r="I325" s="62" t="n">
        <v>12.82</v>
      </c>
      <c r="J325" s="63" t="n">
        <f aca="false">H325*I325</f>
        <v>16692.6656</v>
      </c>
      <c r="K325" s="64" t="n">
        <f aca="false">IF($N$6&lt;&gt;"",0,1302.08*IF(($L$303)=0,$N$9,($G$303)/($L$303)))</f>
        <v>1302.08</v>
      </c>
      <c r="O325" s="0" t="n">
        <f aca="false">IF($N$6&lt;&gt;"",0,16692.66*IF(($L$303)=0,$N$9,($G$303)/($L$303)))</f>
        <v>16692.66</v>
      </c>
      <c r="P325" s="65" t="n">
        <f aca="false">O325</f>
        <v>16692.66</v>
      </c>
      <c r="Q325" s="66" t="n">
        <f aca="false">J325-P325</f>
        <v>0.00560000000041327</v>
      </c>
      <c r="R325" s="67" t="s">
        <v>547</v>
      </c>
    </row>
    <row r="326" customFormat="false" ht="15" hidden="false" customHeight="false" outlineLevel="0" collapsed="false">
      <c r="B326" s="40" t="s">
        <v>577</v>
      </c>
      <c r="C326" s="69" t="s">
        <v>578</v>
      </c>
      <c r="D326" s="40" t="s">
        <v>80</v>
      </c>
      <c r="E326" s="31"/>
      <c r="F326" s="31"/>
      <c r="G326" s="31"/>
      <c r="H326" s="61" t="n">
        <f aca="false">IF($N$6&lt;&gt;"",0,8*IF(($L$303)=0,$N$9,($G$303)/($L$303)))</f>
        <v>8</v>
      </c>
      <c r="I326" s="62" t="n">
        <v>432.63</v>
      </c>
      <c r="J326" s="63" t="n">
        <f aca="false">H326*I326</f>
        <v>3461.04</v>
      </c>
      <c r="K326" s="64" t="n">
        <f aca="false">IF($N$6&lt;&gt;"",0,8*IF(($L$303)=0,$N$9,($G$303)/($L$303)))</f>
        <v>8</v>
      </c>
      <c r="O326" s="0" t="n">
        <f aca="false">IF($N$6&lt;&gt;"",0,3461.04*IF(($L$303)=0,$N$9,($G$303)/($L$303)))</f>
        <v>3461.04</v>
      </c>
      <c r="P326" s="65" t="n">
        <f aca="false">O326</f>
        <v>3461.04</v>
      </c>
      <c r="Q326" s="66" t="n">
        <f aca="false">J326-P326</f>
        <v>0</v>
      </c>
      <c r="R326" s="67" t="s">
        <v>547</v>
      </c>
    </row>
    <row r="327" customFormat="false" ht="15" hidden="false" customHeight="false" outlineLevel="0" collapsed="false">
      <c r="B327" s="40" t="s">
        <v>579</v>
      </c>
      <c r="C327" s="69" t="s">
        <v>580</v>
      </c>
      <c r="D327" s="40" t="s">
        <v>80</v>
      </c>
      <c r="E327" s="31"/>
      <c r="F327" s="31"/>
      <c r="G327" s="31"/>
      <c r="H327" s="61" t="n">
        <f aca="false">IF($N$6&lt;&gt;"",0,4*IF(($L$303)=0,$N$9,($G$303)/($L$303)))</f>
        <v>4</v>
      </c>
      <c r="I327" s="62" t="n">
        <v>319.59</v>
      </c>
      <c r="J327" s="63" t="n">
        <f aca="false">H327*I327</f>
        <v>1278.36</v>
      </c>
      <c r="K327" s="64" t="n">
        <f aca="false">IF($N$6&lt;&gt;"",0,4*IF(($L$303)=0,$N$9,($G$303)/($L$303)))</f>
        <v>4</v>
      </c>
      <c r="O327" s="0" t="n">
        <f aca="false">IF($N$6&lt;&gt;"",0,1278.36*IF(($L$303)=0,$N$9,($G$303)/($L$303)))</f>
        <v>1278.36</v>
      </c>
      <c r="P327" s="65" t="n">
        <f aca="false">O327</f>
        <v>1278.36</v>
      </c>
      <c r="Q327" s="66" t="n">
        <f aca="false">J327-P327</f>
        <v>0</v>
      </c>
      <c r="R327" s="67" t="s">
        <v>547</v>
      </c>
    </row>
    <row r="328" customFormat="false" ht="15" hidden="false" customHeight="false" outlineLevel="0" collapsed="false">
      <c r="B328" s="40" t="s">
        <v>581</v>
      </c>
      <c r="C328" s="69" t="s">
        <v>582</v>
      </c>
      <c r="D328" s="40" t="s">
        <v>80</v>
      </c>
      <c r="E328" s="31"/>
      <c r="F328" s="31"/>
      <c r="G328" s="31"/>
      <c r="H328" s="61" t="n">
        <f aca="false">IF($N$6&lt;&gt;"",0,4*IF(($L$303)=0,$N$9,($G$303)/($L$303)))</f>
        <v>4</v>
      </c>
      <c r="I328" s="62" t="n">
        <v>324.24</v>
      </c>
      <c r="J328" s="63" t="n">
        <f aca="false">H328*I328</f>
        <v>1296.96</v>
      </c>
      <c r="K328" s="64" t="n">
        <f aca="false">IF($N$6&lt;&gt;"",0,4*IF(($L$303)=0,$N$9,($G$303)/($L$303)))</f>
        <v>4</v>
      </c>
      <c r="O328" s="0" t="n">
        <f aca="false">IF($N$6&lt;&gt;"",0,1296.96*IF(($L$303)=0,$N$9,($G$303)/($L$303)))</f>
        <v>1296.96</v>
      </c>
      <c r="P328" s="65" t="n">
        <f aca="false">O328</f>
        <v>1296.96</v>
      </c>
      <c r="Q328" s="66" t="n">
        <f aca="false">J328-P328</f>
        <v>0</v>
      </c>
      <c r="R328" s="67" t="s">
        <v>547</v>
      </c>
    </row>
    <row r="329" customFormat="false" ht="15" hidden="false" customHeight="false" outlineLevel="0" collapsed="false">
      <c r="B329" s="40" t="s">
        <v>583</v>
      </c>
      <c r="C329" s="69" t="s">
        <v>584</v>
      </c>
      <c r="D329" s="40" t="s">
        <v>173</v>
      </c>
      <c r="E329" s="31"/>
      <c r="F329" s="31"/>
      <c r="G329" s="31"/>
      <c r="H329" s="61" t="n">
        <f aca="false">IF($N$6&lt;&gt;"",0,9727.92*IF(($L$303)=0,$N$9,($G$303)/($L$303)))</f>
        <v>9727.92</v>
      </c>
      <c r="I329" s="62" t="n">
        <v>14.92</v>
      </c>
      <c r="J329" s="63" t="n">
        <f aca="false">H329*I329</f>
        <v>145140.5664</v>
      </c>
      <c r="K329" s="64" t="n">
        <f aca="false">IF($N$6&lt;&gt;"",0,9727.92*IF(($L$303)=0,$N$9,($G$303)/($L$303)))</f>
        <v>9727.92</v>
      </c>
      <c r="O329" s="0" t="n">
        <f aca="false">IF($N$6&lt;&gt;"",0,145140.56*IF(($L$303)=0,$N$9,($G$303)/($L$303)))</f>
        <v>145140.56</v>
      </c>
      <c r="P329" s="65" t="n">
        <f aca="false">O329</f>
        <v>145140.56</v>
      </c>
      <c r="Q329" s="66" t="n">
        <f aca="false">J329-P329</f>
        <v>0.00640000001294538</v>
      </c>
      <c r="R329" s="67" t="s">
        <v>547</v>
      </c>
    </row>
    <row r="330" customFormat="false" ht="15" hidden="false" customHeight="false" outlineLevel="0" collapsed="false">
      <c r="B330" s="40" t="s">
        <v>585</v>
      </c>
      <c r="C330" s="69" t="s">
        <v>586</v>
      </c>
      <c r="D330" s="40" t="s">
        <v>80</v>
      </c>
      <c r="E330" s="31"/>
      <c r="F330" s="31"/>
      <c r="G330" s="31"/>
      <c r="H330" s="61" t="n">
        <f aca="false">IF($N$6&lt;&gt;"",0,12*IF(($L$303)=0,$N$9,($G$303)/($L$303)))</f>
        <v>12</v>
      </c>
      <c r="I330" s="62" t="n">
        <v>950.59</v>
      </c>
      <c r="J330" s="63" t="n">
        <f aca="false">H330*I330</f>
        <v>11407.08</v>
      </c>
      <c r="K330" s="64" t="n">
        <f aca="false">IF($N$6&lt;&gt;"",0,12*IF(($L$303)=0,$N$9,($G$303)/($L$303)))</f>
        <v>12</v>
      </c>
      <c r="O330" s="0" t="n">
        <f aca="false">IF($N$6&lt;&gt;"",0,11407.08*IF(($L$303)=0,$N$9,($G$303)/($L$303)))</f>
        <v>11407.08</v>
      </c>
      <c r="P330" s="65" t="n">
        <f aca="false">O330</f>
        <v>11407.08</v>
      </c>
      <c r="Q330" s="66" t="n">
        <f aca="false">J330-P330</f>
        <v>0</v>
      </c>
      <c r="R330" s="67" t="s">
        <v>547</v>
      </c>
    </row>
    <row r="331" customFormat="false" ht="15" hidden="false" customHeight="false" outlineLevel="0" collapsed="false">
      <c r="B331" s="40" t="s">
        <v>587</v>
      </c>
      <c r="C331" s="69" t="s">
        <v>588</v>
      </c>
      <c r="D331" s="40" t="s">
        <v>176</v>
      </c>
      <c r="E331" s="31"/>
      <c r="F331" s="31"/>
      <c r="G331" s="31"/>
      <c r="H331" s="61" t="n">
        <f aca="false">IF($N$6&lt;&gt;"",0,38*IF(($L$303)=0,$N$9,($G$303)/($L$303)))</f>
        <v>38</v>
      </c>
      <c r="I331" s="62" t="n">
        <v>74.23</v>
      </c>
      <c r="J331" s="63" t="n">
        <f aca="false">H331*I331</f>
        <v>2820.74</v>
      </c>
      <c r="K331" s="64" t="n">
        <f aca="false">IF($N$6&lt;&gt;"",0,38*IF(($L$303)=0,$N$9,($G$303)/($L$303)))</f>
        <v>38</v>
      </c>
      <c r="O331" s="0" t="n">
        <f aca="false">IF($N$6&lt;&gt;"",0,2820.74*IF(($L$303)=0,$N$9,($G$303)/($L$303)))</f>
        <v>2820.74</v>
      </c>
      <c r="P331" s="65" t="n">
        <f aca="false">O331</f>
        <v>2820.74</v>
      </c>
      <c r="Q331" s="66" t="n">
        <f aca="false">J331-P331</f>
        <v>0</v>
      </c>
      <c r="R331" s="67" t="s">
        <v>547</v>
      </c>
    </row>
    <row r="332" customFormat="false" ht="15" hidden="false" customHeight="false" outlineLevel="0" collapsed="false">
      <c r="B332" s="40" t="s">
        <v>589</v>
      </c>
      <c r="C332" s="69" t="s">
        <v>590</v>
      </c>
      <c r="D332" s="40" t="s">
        <v>176</v>
      </c>
      <c r="E332" s="31"/>
      <c r="F332" s="31"/>
      <c r="G332" s="31"/>
      <c r="H332" s="61" t="n">
        <f aca="false">IF($N$6&lt;&gt;"",0,549.32*IF(($L$303)=0,$N$9,($G$303)/($L$303)))</f>
        <v>549.32</v>
      </c>
      <c r="I332" s="62" t="n">
        <v>21.85</v>
      </c>
      <c r="J332" s="63" t="n">
        <f aca="false">H332*I332</f>
        <v>12002.642</v>
      </c>
      <c r="K332" s="64" t="n">
        <f aca="false">IF($N$6&lt;&gt;"",0,549.32*IF(($L$303)=0,$N$9,($G$303)/($L$303)))</f>
        <v>549.32</v>
      </c>
      <c r="O332" s="0" t="n">
        <f aca="false">IF($N$6&lt;&gt;"",0,12002.64*IF(($L$303)=0,$N$9,($G$303)/($L$303)))</f>
        <v>12002.64</v>
      </c>
      <c r="P332" s="65" t="n">
        <f aca="false">O332</f>
        <v>12002.64</v>
      </c>
      <c r="Q332" s="66" t="n">
        <f aca="false">J332-P332</f>
        <v>0.00200000000222644</v>
      </c>
      <c r="R332" s="67" t="s">
        <v>547</v>
      </c>
    </row>
    <row r="333" customFormat="false" ht="15" hidden="false" customHeight="false" outlineLevel="0" collapsed="false">
      <c r="B333" s="40" t="s">
        <v>591</v>
      </c>
      <c r="C333" s="69" t="s">
        <v>592</v>
      </c>
      <c r="D333" s="40" t="s">
        <v>80</v>
      </c>
      <c r="E333" s="31"/>
      <c r="F333" s="31"/>
      <c r="G333" s="31"/>
      <c r="H333" s="61" t="n">
        <f aca="false">IF($N$6&lt;&gt;"",0,12*IF(($L$303)=0,$N$9,($G$303)/($L$303)))</f>
        <v>12</v>
      </c>
      <c r="I333" s="62" t="n">
        <v>931.05</v>
      </c>
      <c r="J333" s="63" t="n">
        <f aca="false">H333*I333</f>
        <v>11172.6</v>
      </c>
      <c r="K333" s="64" t="n">
        <f aca="false">IF($N$6&lt;&gt;"",0,12*IF(($L$303)=0,$N$9,($G$303)/($L$303)))</f>
        <v>12</v>
      </c>
      <c r="O333" s="0" t="n">
        <f aca="false">IF($N$6&lt;&gt;"",0,11172.6*IF(($L$303)=0,$N$9,($G$303)/($L$303)))</f>
        <v>11172.6</v>
      </c>
      <c r="P333" s="65" t="n">
        <f aca="false">O333</f>
        <v>11172.6</v>
      </c>
      <c r="Q333" s="66" t="n">
        <f aca="false">J333-P333</f>
        <v>0</v>
      </c>
      <c r="R333" s="67" t="s">
        <v>547</v>
      </c>
    </row>
    <row r="334" customFormat="false" ht="15" hidden="false" customHeight="false" outlineLevel="0" collapsed="false">
      <c r="B334" s="70"/>
      <c r="C334" s="71" t="s">
        <v>593</v>
      </c>
      <c r="D334" s="70"/>
      <c r="E334" s="70"/>
      <c r="F334" s="70"/>
      <c r="G334" s="70"/>
      <c r="H334" s="72" t="str">
        <f aca="false">COUNTIF(J303:J333,"&gt;0")&amp;" de "&amp;COUNT(J303:J333)&amp;" itens"</f>
        <v>28 de 28 itens</v>
      </c>
      <c r="I334" s="70"/>
      <c r="J334" s="73" t="n">
        <f aca="false">SUM(J303:J333)</f>
        <v>2284530.8269</v>
      </c>
      <c r="K334" s="70"/>
      <c r="O334" s="0" t="n">
        <f aca="false">SUM(O303:O333)</f>
        <v>2284530.76</v>
      </c>
      <c r="P334" s="74" t="n">
        <f aca="false">SUM(P303:P333)</f>
        <v>2284530.76</v>
      </c>
      <c r="Q334" s="75" t="n">
        <f aca="false">J334-P334</f>
        <v>0.0668999999761581</v>
      </c>
      <c r="R334" s="70"/>
    </row>
    <row r="336" customFormat="false" ht="21.75" hidden="false" customHeight="true" outlineLevel="0" collapsed="false">
      <c r="B336" s="56" t="s">
        <v>594</v>
      </c>
      <c r="C336" s="5"/>
      <c r="D336" s="5"/>
      <c r="E336" s="5"/>
      <c r="F336" s="5"/>
      <c r="G336" s="5"/>
      <c r="H336" s="5"/>
      <c r="I336" s="5"/>
      <c r="J336" s="5"/>
      <c r="K336" s="5"/>
      <c r="P336" s="5"/>
      <c r="Q336" s="5"/>
      <c r="R336" s="5"/>
    </row>
    <row r="337" customFormat="false" ht="15" hidden="false" customHeight="false" outlineLevel="0" collapsed="false">
      <c r="B337" s="40" t="s">
        <v>595</v>
      </c>
      <c r="C337" s="59" t="s">
        <v>596</v>
      </c>
      <c r="D337" s="40" t="s">
        <v>80</v>
      </c>
      <c r="E337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Terramesh 0,50x1,00x4,00 m (un)")*(Contenções!$B$2:$B$19="LE")))</f>
        <v>36</v>
      </c>
      <c r="F337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Terramesh 0,50x1,00x4,00 m (un)")*(Contenções!$B$2:$B$19="LD")))</f>
        <v>145</v>
      </c>
      <c r="G337" s="60" t="n">
        <f aca="false">E337+F337</f>
        <v>181</v>
      </c>
      <c r="H337" s="61" t="n">
        <f aca="false">IF($N$6&lt;&gt;"",0,$G$337)</f>
        <v>181</v>
      </c>
      <c r="I337" s="62" t="n">
        <v>1284.24</v>
      </c>
      <c r="J337" s="63" t="n">
        <f aca="false">H337*I337</f>
        <v>232447.44</v>
      </c>
      <c r="K337" s="64" t="n">
        <f aca="false">IF($N$6&lt;&gt;"",0,181*IF($L$337=0,$N$9,$G$337/$L$337))</f>
        <v>181</v>
      </c>
      <c r="L337" s="0" t="n">
        <f aca="false">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Terramesh 0,50x1,00x4,00 m (un)")*(Contenções!$B$2:$B$19="LE"))+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Terramesh 0,50x1,00x4,00 m (un)")*(Contenções!$B$2:$B$19="LD"))</f>
        <v>181</v>
      </c>
      <c r="O337" s="0" t="n">
        <f aca="false">IF($N$6&lt;&gt;"",0,232447.44*IF($L$337=0,$N$9,$G$337/$L$337))</f>
        <v>232447.44</v>
      </c>
      <c r="P337" s="65" t="n">
        <f aca="false">O337</f>
        <v>232447.44</v>
      </c>
      <c r="Q337" s="66" t="n">
        <f aca="false">J337-P337</f>
        <v>0</v>
      </c>
      <c r="R337" s="67" t="s">
        <v>597</v>
      </c>
    </row>
    <row r="338" customFormat="false" ht="15" hidden="false" customHeight="false" outlineLevel="0" collapsed="false">
      <c r="B338" s="40" t="s">
        <v>598</v>
      </c>
      <c r="C338" s="59" t="s">
        <v>599</v>
      </c>
      <c r="D338" s="40" t="s">
        <v>80</v>
      </c>
      <c r="E338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Terramesh 0,50x1,00x5,00 m (un)")*(Contenções!$B$2:$B$19="LE")))</f>
        <v>57</v>
      </c>
      <c r="F338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Terramesh 0,50x1,00x5,00 m (un)")*(Contenções!$B$2:$B$19="LD")))</f>
        <v>0</v>
      </c>
      <c r="G338" s="60" t="n">
        <f aca="false">E338+F338</f>
        <v>57</v>
      </c>
      <c r="H338" s="61" t="n">
        <f aca="false">IF($N$6&lt;&gt;"",0,$G$338)</f>
        <v>57</v>
      </c>
      <c r="I338" s="62" t="n">
        <v>1382.17</v>
      </c>
      <c r="J338" s="63" t="n">
        <f aca="false">H338*I338</f>
        <v>78783.69</v>
      </c>
      <c r="K338" s="64" t="n">
        <f aca="false">IF($N$6&lt;&gt;"",0,57*IF($L$338=0,$N$9,$G$338/$L$338))</f>
        <v>57</v>
      </c>
      <c r="L338" s="0" t="n">
        <f aca="false">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Terramesh 0,50x1,00x5,00 m (un)")*(Contenções!$B$2:$B$19="LE"))+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Terramesh 0,50x1,00x5,00 m (un)")*(Contenções!$B$2:$B$19="LD"))</f>
        <v>57</v>
      </c>
      <c r="O338" s="0" t="n">
        <f aca="false">IF($N$6&lt;&gt;"",0,78783.69*IF($L$338=0,$N$9,$G$338/$L$338))</f>
        <v>78783.69</v>
      </c>
      <c r="P338" s="65" t="n">
        <f aca="false">O338</f>
        <v>78783.69</v>
      </c>
      <c r="Q338" s="66" t="n">
        <f aca="false">J338-P338</f>
        <v>0</v>
      </c>
      <c r="R338" s="67" t="s">
        <v>597</v>
      </c>
    </row>
    <row r="339" customFormat="false" ht="15" hidden="false" customHeight="false" outlineLevel="0" collapsed="false">
      <c r="B339" s="40" t="s">
        <v>600</v>
      </c>
      <c r="C339" s="59" t="s">
        <v>601</v>
      </c>
      <c r="D339" s="40" t="s">
        <v>80</v>
      </c>
      <c r="E339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Terramesh 1,00x1,00x4,00 m (un)")*(Contenções!$B$2:$B$19="LE")))</f>
        <v>19</v>
      </c>
      <c r="F339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Terramesh 1,00x1,00x4,00 m (un)")*(Contenções!$B$2:$B$19="LD")))</f>
        <v>83</v>
      </c>
      <c r="G339" s="60" t="n">
        <f aca="false">E339+F339</f>
        <v>102</v>
      </c>
      <c r="H339" s="61" t="n">
        <f aca="false">IF($N$6&lt;&gt;"",0,$G$339)</f>
        <v>102</v>
      </c>
      <c r="I339" s="62" t="n">
        <v>1844.25</v>
      </c>
      <c r="J339" s="63" t="n">
        <f aca="false">H339*I339</f>
        <v>188113.5</v>
      </c>
      <c r="K339" s="64" t="n">
        <f aca="false">IF($N$6&lt;&gt;"",0,102*IF($L$339=0,$N$9,$G$339/$L$339))</f>
        <v>102</v>
      </c>
      <c r="L339" s="0" t="n">
        <f aca="false">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Terramesh 1,00x1,00x4,00 m (un)")*(Contenções!$B$2:$B$19="LE"))+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Terramesh 1,00x1,00x4,00 m (un)")*(Contenções!$B$2:$B$19="LD"))</f>
        <v>102</v>
      </c>
      <c r="O339" s="0" t="n">
        <f aca="false">IF($N$6&lt;&gt;"",0,188113.5*IF($L$339=0,$N$9,$G$339/$L$339))</f>
        <v>188113.5</v>
      </c>
      <c r="P339" s="65" t="n">
        <f aca="false">O339</f>
        <v>188113.5</v>
      </c>
      <c r="Q339" s="66" t="n">
        <f aca="false">J339-P339</f>
        <v>0</v>
      </c>
      <c r="R339" s="67" t="s">
        <v>597</v>
      </c>
    </row>
    <row r="340" customFormat="false" ht="15" hidden="false" customHeight="false" outlineLevel="0" collapsed="false">
      <c r="B340" s="40" t="s">
        <v>602</v>
      </c>
      <c r="C340" s="59" t="s">
        <v>603</v>
      </c>
      <c r="D340" s="40" t="s">
        <v>80</v>
      </c>
      <c r="E340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Terramesh 1,00x1,00x5,00 m (un)")*(Contenções!$B$2:$B$19="LE")))</f>
        <v>36</v>
      </c>
      <c r="F340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Terramesh 1,00x1,00x5,00 m (un)")*(Contenções!$B$2:$B$19="LD")))</f>
        <v>0</v>
      </c>
      <c r="G340" s="60" t="n">
        <f aca="false">E340+F340</f>
        <v>36</v>
      </c>
      <c r="H340" s="61" t="n">
        <f aca="false">IF($N$6&lt;&gt;"",0,$G$340)</f>
        <v>36</v>
      </c>
      <c r="I340" s="62" t="n">
        <v>1960.95</v>
      </c>
      <c r="J340" s="63" t="n">
        <f aca="false">H340*I340</f>
        <v>70594.2</v>
      </c>
      <c r="K340" s="64" t="n">
        <f aca="false">IF($N$6&lt;&gt;"",0,36*IF($L$340=0,$N$9,$G$340/$L$340))</f>
        <v>36</v>
      </c>
      <c r="L340" s="0" t="n">
        <f aca="false">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Terramesh 1,00x1,00x5,00 m (un)")*(Contenções!$B$2:$B$19="LE"))+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Terramesh 1,00x1,00x5,00 m (un)")*(Contenções!$B$2:$B$19="LD"))</f>
        <v>36</v>
      </c>
      <c r="O340" s="0" t="n">
        <f aca="false">IF($N$6&lt;&gt;"",0,70594.2*IF($L$340=0,$N$9,$G$340/$L$340))</f>
        <v>70594.2</v>
      </c>
      <c r="P340" s="65" t="n">
        <f aca="false">O340</f>
        <v>70594.2</v>
      </c>
      <c r="Q340" s="66" t="n">
        <f aca="false">J340-P340</f>
        <v>0</v>
      </c>
      <c r="R340" s="67" t="s">
        <v>597</v>
      </c>
    </row>
    <row r="341" customFormat="false" ht="15" hidden="false" customHeight="false" outlineLevel="0" collapsed="false">
      <c r="B341" s="40" t="s">
        <v>366</v>
      </c>
      <c r="C341" s="59" t="s">
        <v>604</v>
      </c>
      <c r="D341" s="40" t="s">
        <v>77</v>
      </c>
      <c r="E341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Gabião tipo caixa h=0,50 m (m³)")*(Contenções!$B$2:$B$19="LE")))</f>
        <v>2.5</v>
      </c>
      <c r="F341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Gabião tipo caixa h=0,50 m (m³)")*(Contenções!$B$2:$B$19="LD")))</f>
        <v>18</v>
      </c>
      <c r="G341" s="60" t="n">
        <f aca="false">E341+F341</f>
        <v>20.5</v>
      </c>
      <c r="H341" s="61" t="n">
        <f aca="false">IF($N$6&lt;&gt;"",0,$G$341)</f>
        <v>20.5</v>
      </c>
      <c r="I341" s="62" t="n">
        <v>1017.57</v>
      </c>
      <c r="J341" s="63" t="n">
        <f aca="false">H341*I341</f>
        <v>20860.185</v>
      </c>
      <c r="K341" s="64" t="n">
        <f aca="false">IF($N$6&lt;&gt;"",0,20.5*IF($L$341=0,$N$9,$G$341/$L$341))</f>
        <v>20.5</v>
      </c>
      <c r="L341" s="0" t="n">
        <f aca="false">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Gabião tipo caixa h=0,50 m (m³)")*(Contenções!$B$2:$B$19="LE"))+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Gabião tipo caixa h=0,50 m (m³)")*(Contenções!$B$2:$B$19="LD"))</f>
        <v>20.5</v>
      </c>
      <c r="O341" s="0" t="n">
        <f aca="false">IF($N$6&lt;&gt;"",0,20860.18*IF($L$341=0,$N$9,$G$341/$L$341))</f>
        <v>20860.18</v>
      </c>
      <c r="P341" s="65" t="n">
        <f aca="false">O341</f>
        <v>20860.18</v>
      </c>
      <c r="Q341" s="66" t="n">
        <f aca="false">J341-P341</f>
        <v>0.00500000000101863</v>
      </c>
      <c r="R341" s="67" t="s">
        <v>597</v>
      </c>
    </row>
    <row r="342" customFormat="false" ht="15" hidden="false" customHeight="false" outlineLevel="0" collapsed="false">
      <c r="B342" s="40" t="s">
        <v>369</v>
      </c>
      <c r="C342" s="59" t="s">
        <v>605</v>
      </c>
      <c r="D342" s="40" t="s">
        <v>77</v>
      </c>
      <c r="E342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Gabião tipo caixa h=1,00 m (m³)")*(Contenções!$B$2:$B$19="LE")))</f>
        <v>42</v>
      </c>
      <c r="F342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Gabião tipo caixa h=1,00 m (m³)")*(Contenções!$B$2:$B$19="LD")))</f>
        <v>59</v>
      </c>
      <c r="G342" s="60" t="n">
        <f aca="false">E342+F342</f>
        <v>101</v>
      </c>
      <c r="H342" s="61" t="n">
        <f aca="false">IF($N$6&lt;&gt;"",0,$G$342)</f>
        <v>101</v>
      </c>
      <c r="I342" s="62" t="n">
        <v>823.68</v>
      </c>
      <c r="J342" s="63" t="n">
        <f aca="false">H342*I342</f>
        <v>83191.68</v>
      </c>
      <c r="K342" s="64" t="n">
        <f aca="false">IF($N$6&lt;&gt;"",0,101*IF($L$342=0,$N$9,$G$342/$L$342))</f>
        <v>101</v>
      </c>
      <c r="L342" s="0" t="n">
        <f aca="false">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Gabião tipo caixa h=1,00 m (m³)")*(Contenções!$B$2:$B$19="LE"))+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Gabião tipo caixa h=1,00 m (m³)")*(Contenções!$B$2:$B$19="LD"))</f>
        <v>101</v>
      </c>
      <c r="O342" s="0" t="n">
        <f aca="false">IF($N$6&lt;&gt;"",0,83191.68*IF($L$342=0,$N$9,$G$342/$L$342))</f>
        <v>83191.68</v>
      </c>
      <c r="P342" s="65" t="n">
        <f aca="false">O342</f>
        <v>83191.68</v>
      </c>
      <c r="Q342" s="66" t="n">
        <f aca="false">J342-P342</f>
        <v>0</v>
      </c>
      <c r="R342" s="67" t="s">
        <v>597</v>
      </c>
    </row>
    <row r="343" customFormat="false" ht="15" hidden="false" customHeight="false" outlineLevel="0" collapsed="false">
      <c r="B343" s="40" t="s">
        <v>449</v>
      </c>
      <c r="C343" s="59" t="s">
        <v>606</v>
      </c>
      <c r="D343" s="40" t="s">
        <v>73</v>
      </c>
      <c r="E343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Filtro geotêxtil (m²)")*(Contenções!$B$2:$B$19="LE")))</f>
        <v>475</v>
      </c>
      <c r="F343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Filtro geotêxtil (m²)")*(Contenções!$B$2:$B$19="LD")))</f>
        <v>740</v>
      </c>
      <c r="G343" s="60" t="n">
        <f aca="false">E343+F343</f>
        <v>1215</v>
      </c>
      <c r="H343" s="61" t="n">
        <f aca="false">IF($N$6&lt;&gt;"",0,$G$343)</f>
        <v>1215</v>
      </c>
      <c r="I343" s="62" t="n">
        <v>10.13</v>
      </c>
      <c r="J343" s="63" t="n">
        <f aca="false">H343*I343</f>
        <v>12307.95</v>
      </c>
      <c r="K343" s="64" t="n">
        <f aca="false">IF($N$6&lt;&gt;"",0,1380*IF($L$343=0,$N$9,$G$343/$L$343))</f>
        <v>1380</v>
      </c>
      <c r="L343" s="0" t="n">
        <f aca="false">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Filtro geotêxtil (m²)")*(Contenções!$B$2:$B$19="LE"))+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Filtro geotêxtil (m²)")*(Contenções!$B$2:$B$19="LD"))</f>
        <v>1215</v>
      </c>
      <c r="O343" s="0" t="n">
        <f aca="false">IF($N$6&lt;&gt;"",0,13979.4*IF($L$343=0,$N$9,$G$343/$L$343))</f>
        <v>13979.4</v>
      </c>
      <c r="P343" s="65" t="n">
        <f aca="false">O343</f>
        <v>13979.4</v>
      </c>
      <c r="Q343" s="66" t="n">
        <f aca="false">J343-P343</f>
        <v>-1671.45</v>
      </c>
      <c r="R343" s="67" t="s">
        <v>597</v>
      </c>
    </row>
    <row r="344" customFormat="false" ht="15" hidden="false" customHeight="false" outlineLevel="0" collapsed="false">
      <c r="B344" s="40"/>
      <c r="C344" s="59" t="s">
        <v>607</v>
      </c>
      <c r="D344" s="40" t="s">
        <v>77</v>
      </c>
      <c r="E344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Rachão para preparação da base (m³)")*(Contenções!$B$2:$B$19="LE")))</f>
        <v>161</v>
      </c>
      <c r="F344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Rachão para preparação da base (m³)")*(Contenções!$B$2:$B$19="LD")))</f>
        <v>269.5</v>
      </c>
      <c r="G344" s="60" t="n">
        <f aca="false">E344+F344</f>
        <v>430.5</v>
      </c>
      <c r="H344" s="31"/>
      <c r="I344" s="31"/>
      <c r="J344" s="31"/>
      <c r="K344" s="31"/>
      <c r="L344" s="0" t="n">
        <f aca="false">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Rachão para preparação da base (m³)")*(Contenções!$B$2:$B$19="LE"))+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Rachão para preparação da base (m³)")*(Contenções!$B$2:$B$19="LD"))</f>
        <v>430.5</v>
      </c>
      <c r="P344" s="31"/>
      <c r="Q344" s="31"/>
      <c r="R344" s="67" t="s">
        <v>608</v>
      </c>
    </row>
    <row r="345" customFormat="false" ht="15" hidden="false" customHeight="false" outlineLevel="0" collapsed="false">
      <c r="B345" s="40"/>
      <c r="C345" s="59" t="s">
        <v>609</v>
      </c>
      <c r="D345" s="40" t="s">
        <v>73</v>
      </c>
      <c r="E345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Área de face do muro (m²)")*(Contenções!$B$2:$B$19="LE")))</f>
        <v>227.5</v>
      </c>
      <c r="F345" s="68" t="n">
        <f aca="false">IF($N$6&lt;&gt;"",0,SUMPRODUCT(Contenções!$H$2:$H$19,(((Contenções!$D$2:$D$19&lt;$N$2)*Contenções!$D$2:$D$19+(Contenções!$D$2:$D$19&gt;=$N$2)*$N$2)-((Contenções!$C$2:$C$19&gt;$M$2)*Contenções!$C$2:$C$19+(Contenções!$C$2:$C$19&lt;=$M$2)*$M$2))*(Contenções!$C$2:$C$19&lt;$N$2)*(Contenções!$D$2:$D$19&gt;$M$2)/(Contenções!$D$2:$D$19-Contenções!$C$2:$C$19)*(Contenções!$G$2:$G$19="Área de face do muro (m²)")*(Contenções!$B$2:$B$19="LD")))</f>
        <v>349</v>
      </c>
      <c r="G345" s="60" t="n">
        <f aca="false">E345+F345</f>
        <v>576.5</v>
      </c>
      <c r="H345" s="31"/>
      <c r="I345" s="31"/>
      <c r="J345" s="31"/>
      <c r="K345" s="31"/>
      <c r="L345" s="0" t="n">
        <f aca="false">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Área de face do muro (m²)")*(Contenções!$B$2:$B$19="LE"))+SUMPRODUCT(Contenções!$H$2:$H$19,(((Contenções!$D$2:$D$19&lt;$N$12)*Contenções!$D$2:$D$19+(Contenções!$D$2:$D$19&gt;=$N$12)*$N$12)-((Contenções!$C$2:$C$19&gt;$M$12)*Contenções!$C$2:$C$19+(Contenções!$C$2:$C$19&lt;=$M$12)*$M$12))*(Contenções!$C$2:$C$19&lt;$N$12)*(Contenções!$D$2:$D$19&gt;$M$12)/(Contenções!$D$2:$D$19-Contenções!$C$2:$C$19)*(Contenções!$G$2:$G$19="Área de face do muro (m²)")*(Contenções!$B$2:$B$19="LD"))</f>
        <v>576.5</v>
      </c>
      <c r="P345" s="31"/>
      <c r="Q345" s="31"/>
      <c r="R345" s="67" t="s">
        <v>608</v>
      </c>
    </row>
    <row r="346" customFormat="false" ht="15" hidden="false" customHeight="false" outlineLevel="0" collapsed="false">
      <c r="B346" s="70"/>
      <c r="C346" s="71" t="s">
        <v>610</v>
      </c>
      <c r="D346" s="70"/>
      <c r="E346" s="70"/>
      <c r="F346" s="70"/>
      <c r="G346" s="70"/>
      <c r="H346" s="72" t="str">
        <f aca="false">COUNTIF(J337:J345,"&gt;0")&amp;" de "&amp;COUNT(J337:J345)&amp;" itens"</f>
        <v>7 de 7 itens</v>
      </c>
      <c r="I346" s="70"/>
      <c r="J346" s="73" t="n">
        <f aca="false">SUM(J337:J345)</f>
        <v>686298.645</v>
      </c>
      <c r="K346" s="70"/>
      <c r="O346" s="0" t="n">
        <f aca="false">SUM(O337:O345)</f>
        <v>687970.09</v>
      </c>
      <c r="P346" s="74" t="n">
        <f aca="false">SUM(P337:P345)</f>
        <v>687970.09</v>
      </c>
      <c r="Q346" s="75" t="n">
        <f aca="false">J346-P346</f>
        <v>-1671.44500000007</v>
      </c>
      <c r="R346" s="70"/>
    </row>
    <row r="348" customFormat="false" ht="21.75" hidden="false" customHeight="true" outlineLevel="0" collapsed="false">
      <c r="B348" s="56" t="s">
        <v>611</v>
      </c>
      <c r="C348" s="5"/>
      <c r="D348" s="5"/>
      <c r="E348" s="5"/>
      <c r="F348" s="5"/>
      <c r="G348" s="5"/>
      <c r="H348" s="5"/>
      <c r="I348" s="5"/>
      <c r="J348" s="5"/>
      <c r="K348" s="5"/>
      <c r="P348" s="5"/>
      <c r="Q348" s="5"/>
      <c r="R348" s="5"/>
    </row>
    <row r="349" customFormat="false" ht="15" hidden="false" customHeight="false" outlineLevel="0" collapsed="false">
      <c r="B349" s="57"/>
      <c r="C349" s="58" t="s">
        <v>612</v>
      </c>
      <c r="D349" s="57"/>
      <c r="E349" s="57"/>
      <c r="F349" s="57"/>
      <c r="G349" s="57"/>
      <c r="H349" s="57"/>
      <c r="I349" s="57"/>
      <c r="J349" s="57"/>
      <c r="K349" s="57"/>
      <c r="P349" s="57"/>
      <c r="Q349" s="57"/>
      <c r="R349" s="57"/>
    </row>
    <row r="350" customFormat="false" ht="15" hidden="false" customHeight="false" outlineLevel="0" collapsed="false">
      <c r="B350" s="40" t="s">
        <v>613</v>
      </c>
      <c r="C350" s="59" t="s">
        <v>614</v>
      </c>
      <c r="D350" s="40" t="s">
        <v>73</v>
      </c>
      <c r="E350" s="68" t="n">
        <f aca="false">IF($N$6&lt;&gt;"",0,SUMIFS('MJ – placas'!$E$2:$E$178,'MJ – placas'!$B$2:$B$178,"&gt;="&amp;$M$2,'MJ – placas'!$B$2:$B$178,"&lt;"&amp;($N$2+($N$2&gt;=Estacas!$B$650-0.00001)*0.001),'MJ – placas'!$C$2:$C$178,"LE"))</f>
        <v>90.17</v>
      </c>
      <c r="F350" s="68" t="n">
        <f aca="false">IF($N$6&lt;&gt;"",0,SUMIFS('MJ – placas'!$E$2:$E$178,'MJ – placas'!$B$2:$B$178,"&gt;="&amp;$M$2,'MJ – placas'!$B$2:$B$178,"&lt;"&amp;($N$2+($N$2&gt;=Estacas!$B$650-0.00001)*0.001),'MJ – placas'!$C$2:$C$178,"LD"))</f>
        <v>70.74</v>
      </c>
      <c r="G350" s="60" t="n">
        <f aca="false">E350+F350+IF($N$6&lt;&gt;"",0,SUMIFS('MJ – placas'!$E$2:$E$178,'MJ – placas'!$B$2:$B$178,"&gt;="&amp;$M$2,'MJ – placas'!$B$2:$B$178,"&lt;"&amp;($N$2+($N$2&gt;=Estacas!$B$650-0.00001)*0.001),'MJ – placas'!$C$2:$C$178,"Eixo"))</f>
        <v>164.45</v>
      </c>
      <c r="H350" s="61" t="n">
        <f aca="false">IF($N$6&lt;&gt;"",0,$G$350)</f>
        <v>164.45</v>
      </c>
      <c r="I350" s="62" t="n">
        <v>647.87</v>
      </c>
      <c r="J350" s="63" t="n">
        <f aca="false">H350*I350</f>
        <v>106542.2215</v>
      </c>
      <c r="K350" s="64" t="n">
        <f aca="false">IF($N$6&lt;&gt;"",0,161.58*IF($L$350=0,$N$9,$G$350/$L$350))</f>
        <v>161.58</v>
      </c>
      <c r="L350" s="0" t="n">
        <f aca="false">SUMIFS('MJ – placas'!$E$2:$E$178,'MJ – placas'!$B$2:$B$178,"&gt;="&amp;$M$12,'MJ – placas'!$B$2:$B$178,"&lt;"&amp;($N$12+($N$12&gt;=Estacas!$B$650-0.00001)*0.001),'MJ – placas'!$C$2:$C$178,"LE")+SUMIFS('MJ – placas'!$E$2:$E$178,'MJ – placas'!$B$2:$B$178,"&gt;="&amp;$M$12,'MJ – placas'!$B$2:$B$178,"&lt;"&amp;($N$12+($N$12&gt;=Estacas!$B$650-0.00001)*0.001),'MJ – placas'!$C$2:$C$178,"LD")+SUMIFS('MJ – placas'!$E$2:$E$178,'MJ – placas'!$B$2:$B$178,"&gt;="&amp;$M$12,'MJ – placas'!$B$2:$B$178,"&lt;"&amp;($N$12+($N$12&gt;=Estacas!$B$650-0.00001)*0.001),'MJ – placas'!$C$2:$C$178,"Eixo")</f>
        <v>164.45</v>
      </c>
      <c r="O350" s="0" t="n">
        <f aca="false">IF($N$6&lt;&gt;"",0,104682.83*IF($L$350=0,$N$9,$G$350/$L$350))</f>
        <v>104682.83</v>
      </c>
      <c r="P350" s="65" t="n">
        <f aca="false">O350</f>
        <v>104682.83</v>
      </c>
      <c r="Q350" s="66" t="n">
        <f aca="false">J350-P350</f>
        <v>1859.3915</v>
      </c>
      <c r="R350" s="67" t="s">
        <v>615</v>
      </c>
    </row>
    <row r="351" customFormat="false" ht="15" hidden="false" customHeight="false" outlineLevel="0" collapsed="false">
      <c r="B351" s="40"/>
      <c r="C351" s="59" t="s">
        <v>616</v>
      </c>
      <c r="D351" s="40" t="s">
        <v>80</v>
      </c>
      <c r="E351" s="68" t="n">
        <f aca="false">IF($N$6&lt;&gt;"",0,SUMIFS('MJ – placas'!$G$2:$G$178,'MJ – placas'!$B$2:$B$178,"&gt;="&amp;$M$2,'MJ – placas'!$B$2:$B$178,"&lt;"&amp;($N$2+($N$2&gt;=Estacas!$B$650-0.00001)*0.001),'MJ – placas'!$C$2:$C$178,"LE"))</f>
        <v>97</v>
      </c>
      <c r="F351" s="68" t="n">
        <f aca="false">IF($N$6&lt;&gt;"",0,SUMIFS('MJ – placas'!$G$2:$G$178,'MJ – placas'!$B$2:$B$178,"&gt;="&amp;$M$2,'MJ – placas'!$B$2:$B$178,"&lt;"&amp;($N$2+($N$2&gt;=Estacas!$B$650-0.00001)*0.001),'MJ – placas'!$C$2:$C$178,"LD"))</f>
        <v>95</v>
      </c>
      <c r="G351" s="60" t="n">
        <f aca="false">E351+F351+IF($N$6&lt;&gt;"",0,SUMIFS('MJ – placas'!$G$2:$G$178,'MJ – placas'!$B$2:$B$178,"&gt;="&amp;$M$2,'MJ – placas'!$B$2:$B$178,"&lt;"&amp;($N$2+($N$2&gt;=Estacas!$B$650-0.00001)*0.001),'MJ – placas'!$C$2:$C$178,"Eixo"))</f>
        <v>196</v>
      </c>
      <c r="H351" s="31"/>
      <c r="I351" s="31"/>
      <c r="J351" s="31"/>
      <c r="K351" s="31"/>
      <c r="L351" s="0" t="n">
        <f aca="false">SUMIFS('MJ – placas'!$G$2:$G$178,'MJ – placas'!$B$2:$B$178,"&gt;="&amp;$M$12,'MJ – placas'!$B$2:$B$178,"&lt;"&amp;($N$12+($N$12&gt;=Estacas!$B$650-0.00001)*0.001),'MJ – placas'!$C$2:$C$178,"LE")+SUMIFS('MJ – placas'!$G$2:$G$178,'MJ – placas'!$B$2:$B$178,"&gt;="&amp;$M$12,'MJ – placas'!$B$2:$B$178,"&lt;"&amp;($N$12+($N$12&gt;=Estacas!$B$650-0.00001)*0.001),'MJ – placas'!$C$2:$C$178,"LD")+SUMIFS('MJ – placas'!$G$2:$G$178,'MJ – placas'!$B$2:$B$178,"&gt;="&amp;$M$12,'MJ – placas'!$B$2:$B$178,"&lt;"&amp;($N$12+($N$12&gt;=Estacas!$B$650-0.00001)*0.001),'MJ – placas'!$C$2:$C$178,"Eixo")</f>
        <v>196</v>
      </c>
      <c r="P351" s="31"/>
      <c r="Q351" s="31"/>
      <c r="R351" s="67" t="s">
        <v>617</v>
      </c>
    </row>
    <row r="352" customFormat="false" ht="15" hidden="false" customHeight="false" outlineLevel="0" collapsed="false">
      <c r="B352" s="40" t="s">
        <v>618</v>
      </c>
      <c r="C352" s="69" t="s">
        <v>619</v>
      </c>
      <c r="D352" s="40" t="s">
        <v>80</v>
      </c>
      <c r="E352" s="31"/>
      <c r="F352" s="31"/>
      <c r="G352" s="31"/>
      <c r="H352" s="61" t="n">
        <f aca="false">IF($N$6&lt;&gt;"",0,45*IF(($L$351)=0,$N$9,($G$351)/($L$351)))</f>
        <v>45</v>
      </c>
      <c r="I352" s="62" t="n">
        <v>572.56</v>
      </c>
      <c r="J352" s="63" t="n">
        <f aca="false">H352*I352</f>
        <v>25765.2</v>
      </c>
      <c r="K352" s="64" t="n">
        <f aca="false">IF($N$6&lt;&gt;"",0,45*IF(($L$351)=0,$N$9,($G$351)/($L$351)))</f>
        <v>45</v>
      </c>
      <c r="O352" s="0" t="n">
        <f aca="false">IF($N$6&lt;&gt;"",0,25765.3*IF(($L$351)=0,$N$9,($G$351)/($L$351)))</f>
        <v>25765.3</v>
      </c>
      <c r="P352" s="65" t="n">
        <f aca="false">O352</f>
        <v>25765.3</v>
      </c>
      <c r="Q352" s="66" t="n">
        <f aca="false">J352-P352</f>
        <v>-0.100000000002183</v>
      </c>
      <c r="R352" s="67" t="s">
        <v>620</v>
      </c>
    </row>
    <row r="353" customFormat="false" ht="15" hidden="false" customHeight="false" outlineLevel="0" collapsed="false">
      <c r="B353" s="40" t="s">
        <v>621</v>
      </c>
      <c r="C353" s="69" t="s">
        <v>622</v>
      </c>
      <c r="D353" s="40" t="s">
        <v>80</v>
      </c>
      <c r="E353" s="31"/>
      <c r="F353" s="31"/>
      <c r="G353" s="31"/>
      <c r="H353" s="61" t="n">
        <f aca="false">IF($N$6&lt;&gt;"",0,103*IF(($L$351)=0,$N$9,($G$351)/($L$351)))</f>
        <v>103</v>
      </c>
      <c r="I353" s="62" t="n">
        <v>635.83</v>
      </c>
      <c r="J353" s="63" t="n">
        <f aca="false">H353*I353</f>
        <v>65490.49</v>
      </c>
      <c r="K353" s="64" t="n">
        <f aca="false">IF($N$6&lt;&gt;"",0,103*IF(($L$351)=0,$N$9,($G$351)/($L$351)))</f>
        <v>103</v>
      </c>
      <c r="O353" s="0" t="n">
        <f aca="false">IF($N$6&lt;&gt;"",0,65490.49*IF(($L$351)=0,$N$9,($G$351)/($L$351)))</f>
        <v>65490.49</v>
      </c>
      <c r="P353" s="65" t="n">
        <f aca="false">O353</f>
        <v>65490.49</v>
      </c>
      <c r="Q353" s="66" t="n">
        <f aca="false">J353-P353</f>
        <v>0</v>
      </c>
      <c r="R353" s="67" t="s">
        <v>620</v>
      </c>
    </row>
    <row r="354" customFormat="false" ht="15" hidden="false" customHeight="false" outlineLevel="0" collapsed="false">
      <c r="B354" s="40" t="s">
        <v>623</v>
      </c>
      <c r="C354" s="69" t="s">
        <v>624</v>
      </c>
      <c r="D354" s="40" t="s">
        <v>80</v>
      </c>
      <c r="E354" s="31"/>
      <c r="F354" s="31"/>
      <c r="G354" s="31"/>
      <c r="H354" s="61" t="n">
        <f aca="false">IF($N$6&lt;&gt;"",0,11*IF(($L$351)=0,$N$9,($G$351)/($L$351)))</f>
        <v>11</v>
      </c>
      <c r="I354" s="62" t="n">
        <v>1039.81</v>
      </c>
      <c r="J354" s="63" t="n">
        <f aca="false">H354*I354</f>
        <v>11437.91</v>
      </c>
      <c r="K354" s="64" t="n">
        <f aca="false">IF($N$6&lt;&gt;"",0,11*IF(($L$351)=0,$N$9,($G$351)/($L$351)))</f>
        <v>11</v>
      </c>
      <c r="O354" s="0" t="n">
        <f aca="false">IF($N$6&lt;&gt;"",0,11437.91*IF(($L$351)=0,$N$9,($G$351)/($L$351)))</f>
        <v>11437.91</v>
      </c>
      <c r="P354" s="65" t="n">
        <f aca="false">O354</f>
        <v>11437.91</v>
      </c>
      <c r="Q354" s="66" t="n">
        <f aca="false">J354-P354</f>
        <v>0</v>
      </c>
      <c r="R354" s="67" t="s">
        <v>620</v>
      </c>
    </row>
    <row r="355" customFormat="false" ht="15" hidden="false" customHeight="false" outlineLevel="0" collapsed="false">
      <c r="B355" s="40" t="s">
        <v>625</v>
      </c>
      <c r="C355" s="69" t="s">
        <v>626</v>
      </c>
      <c r="D355" s="40" t="s">
        <v>80</v>
      </c>
      <c r="E355" s="31"/>
      <c r="F355" s="31"/>
      <c r="G355" s="31"/>
      <c r="H355" s="61" t="n">
        <f aca="false">IF($N$6&lt;&gt;"",0,2*IF(($L$351)=0,$N$9,($G$351)/($L$351)))</f>
        <v>2</v>
      </c>
      <c r="I355" s="62" t="n">
        <v>1389.19</v>
      </c>
      <c r="J355" s="63" t="n">
        <f aca="false">H355*I355</f>
        <v>2778.38</v>
      </c>
      <c r="K355" s="64" t="n">
        <f aca="false">IF($N$6&lt;&gt;"",0,2*IF(($L$351)=0,$N$9,($G$351)/($L$351)))</f>
        <v>2</v>
      </c>
      <c r="O355" s="0" t="n">
        <f aca="false">IF($N$6&lt;&gt;"",0,2778.38*IF(($L$351)=0,$N$9,($G$351)/($L$351)))</f>
        <v>2778.38</v>
      </c>
      <c r="P355" s="65" t="n">
        <f aca="false">O355</f>
        <v>2778.38</v>
      </c>
      <c r="Q355" s="66" t="n">
        <f aca="false">J355-P355</f>
        <v>0</v>
      </c>
      <c r="R355" s="67" t="s">
        <v>620</v>
      </c>
    </row>
    <row r="356" customFormat="false" ht="15" hidden="false" customHeight="false" outlineLevel="0" collapsed="false">
      <c r="B356" s="40" t="s">
        <v>627</v>
      </c>
      <c r="C356" s="77" t="s">
        <v>628</v>
      </c>
      <c r="D356" s="40" t="s">
        <v>80</v>
      </c>
      <c r="E356" s="31"/>
      <c r="F356" s="31"/>
      <c r="G356" s="78" t="n">
        <f aca="false">IF($N$6&lt;&gt;"",0,'Sinalização – quadro'!$D$12*$N$9)</f>
        <v>1</v>
      </c>
      <c r="H356" s="61" t="n">
        <f aca="false">IF($N$6&lt;&gt;"",0,$G$356)</f>
        <v>1</v>
      </c>
      <c r="I356" s="62" t="n">
        <v>91807.55</v>
      </c>
      <c r="J356" s="63" t="n">
        <f aca="false">H356*I356</f>
        <v>91807.55</v>
      </c>
      <c r="K356" s="64" t="n">
        <f aca="false">IF($N$6&lt;&gt;"",0,1*IF($L$356=0,$N$9,$G$356/$L$356))</f>
        <v>1</v>
      </c>
      <c r="L356" s="0" t="n">
        <f aca="false">'Sinalização – quadro'!$D$12*1</f>
        <v>1</v>
      </c>
      <c r="O356" s="0" t="n">
        <f aca="false">IF($N$6&lt;&gt;"",0,91807.55*IF($L$356=0,$N$9,$G$356/$L$356))</f>
        <v>91807.55</v>
      </c>
      <c r="P356" s="65" t="n">
        <f aca="false">O356</f>
        <v>91807.55</v>
      </c>
      <c r="Q356" s="66" t="n">
        <f aca="false">J356-P356</f>
        <v>0</v>
      </c>
      <c r="R356" s="67" t="s">
        <v>629</v>
      </c>
    </row>
    <row r="357" customFormat="false" ht="15" hidden="false" customHeight="false" outlineLevel="0" collapsed="false">
      <c r="B357" s="40" t="s">
        <v>630</v>
      </c>
      <c r="C357" s="77" t="s">
        <v>631</v>
      </c>
      <c r="D357" s="40" t="s">
        <v>80</v>
      </c>
      <c r="E357" s="31"/>
      <c r="F357" s="31"/>
      <c r="G357" s="78" t="n">
        <f aca="false">IF($N$6&lt;&gt;"",0,'Sinalização – quadro'!$D$13*$N$9)</f>
        <v>2</v>
      </c>
      <c r="H357" s="61" t="n">
        <f aca="false">IF($N$6&lt;&gt;"",0,$G$357)</f>
        <v>2</v>
      </c>
      <c r="I357" s="62" t="n">
        <v>50878.52</v>
      </c>
      <c r="J357" s="63" t="n">
        <f aca="false">H357*I357</f>
        <v>101757.04</v>
      </c>
      <c r="K357" s="64" t="n">
        <f aca="false">IF($N$6&lt;&gt;"",0,2*IF($L$357=0,$N$9,$G$357/$L$357))</f>
        <v>2</v>
      </c>
      <c r="L357" s="0" t="n">
        <f aca="false">'Sinalização – quadro'!$D$13*1</f>
        <v>2</v>
      </c>
      <c r="O357" s="0" t="n">
        <f aca="false">IF($N$6&lt;&gt;"",0,101757.04*IF($L$357=0,$N$9,$G$357/$L$357))</f>
        <v>101757.04</v>
      </c>
      <c r="P357" s="65" t="n">
        <f aca="false">O357</f>
        <v>101757.04</v>
      </c>
      <c r="Q357" s="66" t="n">
        <f aca="false">J357-P357</f>
        <v>0</v>
      </c>
      <c r="R357" s="67" t="s">
        <v>629</v>
      </c>
    </row>
    <row r="358" customFormat="false" ht="15" hidden="false" customHeight="false" outlineLevel="0" collapsed="false">
      <c r="B358" s="40" t="s">
        <v>632</v>
      </c>
      <c r="C358" s="77" t="s">
        <v>633</v>
      </c>
      <c r="D358" s="40" t="s">
        <v>80</v>
      </c>
      <c r="E358" s="31"/>
      <c r="F358" s="31"/>
      <c r="G358" s="78" t="n">
        <f aca="false">IF($N$6&lt;&gt;"",0,'Sinalização – quadro'!$D$14*$N$9)</f>
        <v>5</v>
      </c>
      <c r="H358" s="61" t="n">
        <f aca="false">IF($N$6&lt;&gt;"",0,$G$358)</f>
        <v>5</v>
      </c>
      <c r="I358" s="62" t="n">
        <v>87.55</v>
      </c>
      <c r="J358" s="63" t="n">
        <f aca="false">H358*I358</f>
        <v>437.75</v>
      </c>
      <c r="K358" s="64" t="n">
        <f aca="false">IF($N$6&lt;&gt;"",0,5*IF($L$358=0,$N$9,$G$358/$L$358))</f>
        <v>5</v>
      </c>
      <c r="L358" s="0" t="n">
        <f aca="false">'Sinalização – quadro'!$D$14*1</f>
        <v>5</v>
      </c>
      <c r="O358" s="0" t="n">
        <f aca="false">IF($N$6&lt;&gt;"",0,437.75*IF($L$358=0,$N$9,$G$358/$L$358))</f>
        <v>437.75</v>
      </c>
      <c r="P358" s="65" t="n">
        <f aca="false">O358</f>
        <v>437.75</v>
      </c>
      <c r="Q358" s="66" t="n">
        <f aca="false">J358-P358</f>
        <v>0</v>
      </c>
      <c r="R358" s="67" t="s">
        <v>629</v>
      </c>
    </row>
    <row r="359" customFormat="false" ht="15" hidden="false" customHeight="false" outlineLevel="0" collapsed="false">
      <c r="B359" s="40"/>
      <c r="C359" s="77" t="s">
        <v>634</v>
      </c>
      <c r="D359" s="40" t="s">
        <v>80</v>
      </c>
      <c r="E359" s="31"/>
      <c r="F359" s="31"/>
      <c r="G359" s="78" t="n">
        <f aca="false">IF($N$6&lt;&gt;"",0,'Sinalização – quadro'!$D$16*$N$9)</f>
        <v>1</v>
      </c>
      <c r="H359" s="31"/>
      <c r="I359" s="31"/>
      <c r="J359" s="31"/>
      <c r="K359" s="31"/>
      <c r="L359" s="0" t="n">
        <f aca="false">'Sinalização – quadro'!$D$16*1</f>
        <v>1</v>
      </c>
      <c r="P359" s="31"/>
      <c r="Q359" s="31"/>
      <c r="R359" s="67" t="s">
        <v>635</v>
      </c>
    </row>
    <row r="360" customFormat="false" ht="15" hidden="false" customHeight="false" outlineLevel="0" collapsed="false">
      <c r="B360" s="40"/>
      <c r="C360" s="77" t="s">
        <v>636</v>
      </c>
      <c r="D360" s="40" t="s">
        <v>80</v>
      </c>
      <c r="E360" s="31"/>
      <c r="F360" s="31"/>
      <c r="G360" s="78" t="n">
        <f aca="false">IF($N$6&lt;&gt;"",0,'Sinalização – quadro'!$D$15*$N$9)</f>
        <v>1</v>
      </c>
      <c r="H360" s="31"/>
      <c r="I360" s="31"/>
      <c r="J360" s="31"/>
      <c r="K360" s="31"/>
      <c r="L360" s="0" t="n">
        <f aca="false">'Sinalização – quadro'!$D$15*1</f>
        <v>1</v>
      </c>
      <c r="P360" s="31"/>
      <c r="Q360" s="31"/>
      <c r="R360" s="67" t="s">
        <v>635</v>
      </c>
    </row>
    <row r="361" customFormat="false" ht="15" hidden="false" customHeight="false" outlineLevel="0" collapsed="false">
      <c r="B361" s="40" t="s">
        <v>637</v>
      </c>
      <c r="C361" s="69" t="s">
        <v>638</v>
      </c>
      <c r="D361" s="40" t="s">
        <v>80</v>
      </c>
      <c r="E361" s="31"/>
      <c r="F361" s="31"/>
      <c r="G361" s="31"/>
      <c r="H361" s="61" t="n">
        <f aca="false">IF($N$6&lt;&gt;"",0,($G$359+$G$360)*1)</f>
        <v>2</v>
      </c>
      <c r="I361" s="62" t="n">
        <v>1784.98</v>
      </c>
      <c r="J361" s="63" t="n">
        <f aca="false">H361*I361</f>
        <v>3569.96</v>
      </c>
      <c r="K361" s="64" t="n">
        <f aca="false">IF($N$6&lt;&gt;"",0,2.68*IF(($L$359+$L$360)=0,$N$9,($G$359+$G$360)/($L$359+$L$360)))</f>
        <v>2.68</v>
      </c>
      <c r="O361" s="0" t="n">
        <f aca="false">IF($N$6&lt;&gt;"",0,4783.74*IF(($L$359+$L$360)=0,$N$9,($G$359+$G$360)/($L$359+$L$360)))</f>
        <v>4783.74</v>
      </c>
      <c r="P361" s="65" t="n">
        <f aca="false">O361</f>
        <v>4783.74</v>
      </c>
      <c r="Q361" s="66" t="n">
        <f aca="false">J361-P361</f>
        <v>-1213.78</v>
      </c>
      <c r="R361" s="67" t="s">
        <v>639</v>
      </c>
    </row>
    <row r="362" customFormat="false" ht="15" hidden="false" customHeight="false" outlineLevel="0" collapsed="false">
      <c r="B362" s="57"/>
      <c r="C362" s="58" t="s">
        <v>640</v>
      </c>
      <c r="D362" s="57"/>
      <c r="E362" s="57"/>
      <c r="F362" s="57"/>
      <c r="G362" s="57"/>
      <c r="H362" s="57"/>
      <c r="I362" s="57"/>
      <c r="J362" s="57"/>
      <c r="K362" s="57"/>
      <c r="P362" s="57"/>
      <c r="Q362" s="57"/>
      <c r="R362" s="57"/>
    </row>
    <row r="363" customFormat="false" ht="15" hidden="false" customHeight="false" outlineLevel="0" collapsed="false">
      <c r="B363" s="40" t="s">
        <v>641</v>
      </c>
      <c r="C363" s="59" t="s">
        <v>642</v>
      </c>
      <c r="D363" s="40" t="s">
        <v>73</v>
      </c>
      <c r="E363" s="68" t="n">
        <f aca="false">IF($N$6&lt;&gt;"",0,SUMPRODUCT('MJ – sinalização horizontal'!$G$2:$G$363,((('MJ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horizontal'!$J$2:$J$363="Faixas (aspersão)")*('MJ – sinalização horizontal'!$E$2:$E$363="LE")))</f>
        <v>2886.9</v>
      </c>
      <c r="F363" s="68" t="n">
        <f aca="false">IF($N$6&lt;&gt;"",0,SUMPRODUCT('MJ – sinalização horizontal'!$G$2:$G$363,((('MJ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horizontal'!$J$2:$J$363="Faixas (aspersão)")*('MJ – sinalização horizontal'!$E$2:$E$363="LD")))</f>
        <v>1899.6</v>
      </c>
      <c r="G363" s="60" t="n">
        <f aca="false">E363+F363+IF($N$6&lt;&gt;"",0,SUMPRODUCT('MJ – sinalização horizontal'!$G$2:$G$363,((('MJ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horizontal'!$J$2:$J$363="Faixas (aspersão)")*('MJ – sinalização horizontal'!$E$2:$E$363="Eixo")))</f>
        <v>5334</v>
      </c>
      <c r="H363" s="61" t="n">
        <f aca="false">IF($N$6&lt;&gt;"",0,$G$363)</f>
        <v>5334</v>
      </c>
      <c r="I363" s="62" t="n">
        <v>26.85</v>
      </c>
      <c r="J363" s="63" t="n">
        <f aca="false">H363*I363</f>
        <v>143217.9</v>
      </c>
      <c r="K363" s="64" t="n">
        <f aca="false">IF($N$6&lt;&gt;"",0,5332.68*IF($L$363=0,$N$9,$G$363/$L$363))</f>
        <v>5332.68</v>
      </c>
      <c r="L363" s="0" t="n">
        <f aca="false">SUMPRODUCT('MJ – sinalização horizontal'!$G$2:$G$363,((('MJ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horizontal'!$J$2:$J$363="Faixas (aspersão)")*('MJ – sinalização horizontal'!$E$2:$E$363="LE"))+SUMPRODUCT('MJ – sinalização horizontal'!$G$2:$G$363,((('MJ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horizontal'!$J$2:$J$363="Faixas (aspersão)")*('MJ – sinalização horizontal'!$E$2:$E$363="LD"))+SUMPRODUCT('MJ – sinalização horizontal'!$G$2:$G$363,((('MJ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horizontal'!$J$2:$J$363="Faixas (aspersão)")*('MJ – sinalização horizontal'!$E$2:$E$363="Eixo"))</f>
        <v>5334</v>
      </c>
      <c r="O363" s="0" t="n">
        <f aca="false">IF($N$6&lt;&gt;"",0,143182.45*IF($L$363=0,$N$9,$G$363/$L$363))</f>
        <v>143182.45</v>
      </c>
      <c r="P363" s="65" t="n">
        <f aca="false">O363</f>
        <v>143182.45</v>
      </c>
      <c r="Q363" s="66" t="n">
        <f aca="false">J363-P363</f>
        <v>35.4499999999825</v>
      </c>
      <c r="R363" s="67" t="s">
        <v>643</v>
      </c>
    </row>
    <row r="364" customFormat="false" ht="15" hidden="false" customHeight="false" outlineLevel="0" collapsed="false">
      <c r="B364" s="40" t="s">
        <v>644</v>
      </c>
      <c r="C364" s="59" t="s">
        <v>645</v>
      </c>
      <c r="D364" s="40" t="s">
        <v>73</v>
      </c>
      <c r="E364" s="68" t="n">
        <f aca="false">IF($N$6&lt;&gt;"",0,SUMPRODUCT('MJ – sinalização horizontal'!$G$2:$G$363,((('MJ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horizontal'!$J$2:$J$363&lt;&gt;"Faixas (aspersão)")*('MJ – sinalização horizontal'!$E$2:$E$363="LE")))</f>
        <v>217</v>
      </c>
      <c r="F364" s="68" t="n">
        <f aca="false">IF($N$6&lt;&gt;"",0,SUMPRODUCT('MJ – sinalização horizontal'!$G$2:$G$363,((('MJ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horizontal'!$J$2:$J$363&lt;&gt;"Faixas (aspersão)")*('MJ – sinalização horizontal'!$E$2:$E$363="LD")))</f>
        <v>97.2</v>
      </c>
      <c r="G364" s="60" t="n">
        <f aca="false">E364+F364+IF($N$6&lt;&gt;"",0,SUMPRODUCT('MJ – sinalização horizontal'!$G$2:$G$363,((('MJ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horizontal'!$J$2:$J$363&lt;&gt;"Faixas (aspersão)")*('MJ – sinalização horizontal'!$E$2:$E$363="Eixo")))</f>
        <v>378.2</v>
      </c>
      <c r="H364" s="61" t="n">
        <f aca="false">IF($N$6&lt;&gt;"",0,$G$364)</f>
        <v>378.2</v>
      </c>
      <c r="I364" s="62" t="n">
        <v>81.62</v>
      </c>
      <c r="J364" s="63" t="n">
        <f aca="false">H364*I364</f>
        <v>30868.684</v>
      </c>
      <c r="K364" s="64" t="n">
        <f aca="false">IF($N$6&lt;&gt;"",0,376.12*IF($L$364=0,$N$9,$G$364/$L$364))</f>
        <v>376.12</v>
      </c>
      <c r="L364" s="0" t="n">
        <f aca="false">SUMPRODUCT('MJ – sinalização horizontal'!$G$2:$G$363,((('MJ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horizontal'!$J$2:$J$363&lt;&gt;"Faixas (aspersão)")*('MJ – sinalização horizontal'!$E$2:$E$363="LE"))+SUMPRODUCT('MJ – sinalização horizontal'!$G$2:$G$363,((('MJ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horizontal'!$J$2:$J$363&lt;&gt;"Faixas (aspersão)")*('MJ – sinalização horizontal'!$E$2:$E$363="LD"))+SUMPRODUCT('MJ – sinalização horizontal'!$G$2:$G$363,((('MJ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horizontal'!$J$2:$J$363&lt;&gt;"Faixas (aspersão)")*('MJ – sinalização horizontal'!$E$2:$E$363="Eixo"))</f>
        <v>378.2</v>
      </c>
      <c r="O364" s="0" t="n">
        <f aca="false">IF($N$6&lt;&gt;"",0,30698.91*IF($L$364=0,$N$9,$G$364/$L$364))</f>
        <v>30698.91</v>
      </c>
      <c r="P364" s="65" t="n">
        <f aca="false">O364</f>
        <v>30698.91</v>
      </c>
      <c r="Q364" s="66" t="n">
        <f aca="false">J364-P364</f>
        <v>169.774000000001</v>
      </c>
      <c r="R364" s="67" t="s">
        <v>643</v>
      </c>
    </row>
    <row r="365" customFormat="false" ht="15" hidden="false" customHeight="false" outlineLevel="0" collapsed="false">
      <c r="B365" s="40" t="s">
        <v>646</v>
      </c>
      <c r="C365" s="59" t="s">
        <v>647</v>
      </c>
      <c r="D365" s="40" t="s">
        <v>80</v>
      </c>
      <c r="E365" s="68" t="n">
        <f aca="false">IF($N$6&lt;&gt;"",0,SUMPRODUCT('MJ – sinalização horizontal'!$H$2:$H$363,((('MJ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horizontal'!$K$2:$K$363="Tacha bidirecional")*('MJ – sinalização horizontal'!$E$2:$E$363="LE")))</f>
        <v>304</v>
      </c>
      <c r="F365" s="68" t="n">
        <f aca="false">IF($N$6&lt;&gt;"",0,SUMPRODUCT('MJ – sinalização horizontal'!$H$2:$H$363,((('MJ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horizontal'!$K$2:$K$363="Tacha bidirecional")*('MJ – sinalização horizontal'!$E$2:$E$363="LD")))</f>
        <v>252</v>
      </c>
      <c r="G365" s="60" t="n">
        <f aca="false">E365+F365+IF($N$6&lt;&gt;"",0,SUMPRODUCT('MJ – sinalização horizontal'!$H$2:$H$363,((('MJ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horizontal'!$K$2:$K$363="Tacha bidirecional")*('MJ – sinalização horizontal'!$E$2:$E$363="Eixo")))</f>
        <v>1008</v>
      </c>
      <c r="H365" s="61" t="n">
        <f aca="false">IF($N$6&lt;&gt;"",0,$G$365)</f>
        <v>1008</v>
      </c>
      <c r="I365" s="62" t="n">
        <v>20.23</v>
      </c>
      <c r="J365" s="63" t="n">
        <f aca="false">H365*I365</f>
        <v>20391.84</v>
      </c>
      <c r="K365" s="64" t="n">
        <f aca="false">IF($N$6&lt;&gt;"",0,1008*IF($L$365=0,$N$9,$G$365/$L$365))</f>
        <v>1008</v>
      </c>
      <c r="L365" s="0" t="n">
        <f aca="false">SUMPRODUCT('MJ – sinalização horizontal'!$H$2:$H$363,((('MJ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horizontal'!$K$2:$K$363="Tacha bidirecional")*('MJ – sinalização horizontal'!$E$2:$E$363="LE"))+SUMPRODUCT('MJ – sinalização horizontal'!$H$2:$H$363,((('MJ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horizontal'!$K$2:$K$363="Tacha bidirecional")*('MJ – sinalização horizontal'!$E$2:$E$363="LD"))+SUMPRODUCT('MJ – sinalização horizontal'!$H$2:$H$363,((('MJ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horizontal'!$K$2:$K$363="Tacha bidirecional")*('MJ – sinalização horizontal'!$E$2:$E$363="Eixo"))</f>
        <v>1008</v>
      </c>
      <c r="O365" s="0" t="n">
        <f aca="false">IF($N$6&lt;&gt;"",0,20391.84*IF($L$365=0,$N$9,$G$365/$L$365))</f>
        <v>20391.84</v>
      </c>
      <c r="P365" s="65" t="n">
        <f aca="false">O365</f>
        <v>20391.84</v>
      </c>
      <c r="Q365" s="66" t="n">
        <f aca="false">J365-P365</f>
        <v>0</v>
      </c>
      <c r="R365" s="67" t="s">
        <v>643</v>
      </c>
    </row>
    <row r="366" customFormat="false" ht="15" hidden="false" customHeight="false" outlineLevel="0" collapsed="false">
      <c r="B366" s="40" t="s">
        <v>648</v>
      </c>
      <c r="C366" s="59" t="s">
        <v>649</v>
      </c>
      <c r="D366" s="40" t="s">
        <v>80</v>
      </c>
      <c r="E366" s="68" t="n">
        <f aca="false">IF($N$6&lt;&gt;"",0,SUMPRODUCT('MJ – sinalização horizontal'!$H$2:$H$363,((('MJ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horizontal'!$K$2:$K$363="Tachão bidirecional")*('MJ – sinalização horizontal'!$E$2:$E$363="LE")))</f>
        <v>798</v>
      </c>
      <c r="F366" s="68" t="n">
        <f aca="false">IF($N$6&lt;&gt;"",0,SUMPRODUCT('MJ – sinalização horizontal'!$H$2:$H$363,((('MJ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horizontal'!$K$2:$K$363="Tachão bidirecional")*('MJ – sinalização horizontal'!$E$2:$E$363="LD")))</f>
        <v>6</v>
      </c>
      <c r="G366" s="60" t="n">
        <f aca="false">E366+F366+IF($N$6&lt;&gt;"",0,SUMPRODUCT('MJ – sinalização horizontal'!$H$2:$H$363,((('MJ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horizontal'!$K$2:$K$363="Tachão bidirecional")*('MJ – sinalização horizontal'!$E$2:$E$363="Eixo")))</f>
        <v>1019</v>
      </c>
      <c r="H366" s="61" t="n">
        <f aca="false">IF($N$6&lt;&gt;"",0,$G$366)</f>
        <v>1019</v>
      </c>
      <c r="I366" s="62" t="n">
        <v>34.7</v>
      </c>
      <c r="J366" s="63" t="n">
        <f aca="false">H366*I366</f>
        <v>35359.3</v>
      </c>
      <c r="K366" s="64" t="n">
        <f aca="false">IF($N$6&lt;&gt;"",0,1019*IF($L$366=0,$N$9,$G$366/$L$366))</f>
        <v>1019</v>
      </c>
      <c r="L366" s="0" t="n">
        <f aca="false">SUMPRODUCT('MJ – sinalização horizontal'!$H$2:$H$363,((('MJ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horizontal'!$K$2:$K$363="Tachão bidirecional")*('MJ – sinalização horizontal'!$E$2:$E$363="LE"))+SUMPRODUCT('MJ – sinalização horizontal'!$H$2:$H$363,((('MJ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horizontal'!$K$2:$K$363="Tachão bidirecional")*('MJ – sinalização horizontal'!$E$2:$E$363="LD"))+SUMPRODUCT('MJ – sinalização horizontal'!$H$2:$H$363,((('MJ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horizontal'!$K$2:$K$363="Tachão bidirecional")*('MJ – sinalização horizontal'!$E$2:$E$363="Eixo"))</f>
        <v>1019</v>
      </c>
      <c r="O366" s="0" t="n">
        <f aca="false">IF($N$6&lt;&gt;"",0,35359.3*IF($L$366=0,$N$9,$G$366/$L$366))</f>
        <v>35359.3</v>
      </c>
      <c r="P366" s="65" t="n">
        <f aca="false">O366</f>
        <v>35359.3</v>
      </c>
      <c r="Q366" s="66" t="n">
        <f aca="false">J366-P366</f>
        <v>0</v>
      </c>
      <c r="R366" s="67" t="s">
        <v>643</v>
      </c>
    </row>
    <row r="367" customFormat="false" ht="15" hidden="false" customHeight="false" outlineLevel="0" collapsed="false">
      <c r="B367" s="40" t="s">
        <v>650</v>
      </c>
      <c r="C367" s="59" t="s">
        <v>651</v>
      </c>
      <c r="D367" s="40" t="s">
        <v>80</v>
      </c>
      <c r="E367" s="68" t="n">
        <f aca="false">IF($N$6&lt;&gt;"",0,SUMPRODUCT('MJ – sinalização horizontal'!$H$2:$H$363,((('MJ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horizontal'!$K$2:$K$363="Tacha monodirecional")*('MJ – sinalização horizontal'!$E$2:$E$363="LE")))</f>
        <v>1555</v>
      </c>
      <c r="F367" s="68" t="n">
        <f aca="false">IF($N$6&lt;&gt;"",0,SUMPRODUCT('MJ – sinalização horizontal'!$H$2:$H$363,((('MJ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horizontal'!$K$2:$K$363="Tacha monodirecional")*('MJ – sinalização horizontal'!$E$2:$E$363="LD")))</f>
        <v>1427</v>
      </c>
      <c r="G367" s="60" t="n">
        <f aca="false">E367+F367+IF($N$6&lt;&gt;"",0,SUMPRODUCT('MJ – sinalização horizontal'!$H$2:$H$363,((('MJ – sinalização horizontal'!$D$2:$D$363&lt;$N$2)*'MJ – sinalização horizontal'!$D$2:$D$363+('MJ – sinalização horizontal'!$D$2:$D$363&gt;=$N$2)*$N$2)-(('MJ – sinalização horizontal'!$C$2:$C$363&gt;$M$2)*'MJ – sinalização horizontal'!$C$2:$C$363+('MJ – sinalização horizontal'!$C$2:$C$363&lt;=$M$2)*$M$2))*('MJ – sinalização horizontal'!$C$2:$C$363&lt;$N$2)*('MJ – sinalização horizontal'!$D$2:$D$363&gt;$M$2)/('MJ – sinalização horizontal'!$D$2:$D$363-'MJ – sinalização horizontal'!$C$2:$C$363)*('MJ – sinalização horizontal'!$K$2:$K$363="Tacha monodirecional")*('MJ – sinalização horizontal'!$E$2:$E$363="Eixo")))</f>
        <v>3036</v>
      </c>
      <c r="H367" s="61" t="n">
        <f aca="false">IF($N$6&lt;&gt;"",0,$G$367)</f>
        <v>3036</v>
      </c>
      <c r="I367" s="62" t="n">
        <v>19.52</v>
      </c>
      <c r="J367" s="63" t="n">
        <f aca="false">H367*I367</f>
        <v>59262.72</v>
      </c>
      <c r="K367" s="64" t="n">
        <f aca="false">IF($N$6&lt;&gt;"",0,3036*IF($L$367=0,$N$9,$G$367/$L$367))</f>
        <v>3036</v>
      </c>
      <c r="L367" s="0" t="n">
        <f aca="false">SUMPRODUCT('MJ – sinalização horizontal'!$H$2:$H$363,((('MJ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horizontal'!$K$2:$K$363="Tacha monodirecional")*('MJ – sinalização horizontal'!$E$2:$E$363="LE"))+SUMPRODUCT('MJ – sinalização horizontal'!$H$2:$H$363,((('MJ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horizontal'!$K$2:$K$363="Tacha monodirecional")*('MJ – sinalização horizontal'!$E$2:$E$363="LD"))+SUMPRODUCT('MJ – sinalização horizontal'!$H$2:$H$363,((('MJ – sinalização horizontal'!$D$2:$D$363&lt;$N$12)*'MJ – sinalização horizontal'!$D$2:$D$363+('MJ – sinalização horizontal'!$D$2:$D$363&gt;=$N$12)*$N$12)-(('MJ – sinalização horizontal'!$C$2:$C$363&gt;$M$12)*'MJ – sinalização horizontal'!$C$2:$C$363+('MJ – sinalização horizontal'!$C$2:$C$363&lt;=$M$12)*$M$12))*('MJ – sinalização horizontal'!$C$2:$C$363&lt;$N$12)*('MJ – sinalização horizontal'!$D$2:$D$363&gt;$M$12)/('MJ – sinalização horizontal'!$D$2:$D$363-'MJ – sinalização horizontal'!$C$2:$C$363)*('MJ – sinalização horizontal'!$K$2:$K$363="Tacha monodirecional")*('MJ – sinalização horizontal'!$E$2:$E$363="Eixo"))</f>
        <v>3036</v>
      </c>
      <c r="O367" s="0" t="n">
        <f aca="false">IF($N$6&lt;&gt;"",0,59262.72*IF($L$367=0,$N$9,$G$367/$L$367))</f>
        <v>59262.72</v>
      </c>
      <c r="P367" s="65" t="n">
        <f aca="false">O367</f>
        <v>59262.72</v>
      </c>
      <c r="Q367" s="66" t="n">
        <f aca="false">J367-P367</f>
        <v>0</v>
      </c>
      <c r="R367" s="67" t="s">
        <v>643</v>
      </c>
    </row>
    <row r="368" customFormat="false" ht="15" hidden="false" customHeight="false" outlineLevel="0" collapsed="false">
      <c r="B368" s="57"/>
      <c r="C368" s="58" t="s">
        <v>652</v>
      </c>
      <c r="D368" s="57"/>
      <c r="E368" s="57"/>
      <c r="F368" s="57"/>
      <c r="G368" s="57"/>
      <c r="H368" s="57"/>
      <c r="I368" s="57"/>
      <c r="J368" s="57"/>
      <c r="K368" s="57"/>
      <c r="P368" s="57"/>
      <c r="Q368" s="57"/>
      <c r="R368" s="57"/>
    </row>
    <row r="369" customFormat="false" ht="15" hidden="false" customHeight="false" outlineLevel="0" collapsed="false">
      <c r="B369" s="40" t="s">
        <v>653</v>
      </c>
      <c r="C369" s="59" t="s">
        <v>654</v>
      </c>
      <c r="D369" s="40" t="s">
        <v>176</v>
      </c>
      <c r="E369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estaca'!$A$2:$A$974="DEFENSA METÁLICA")*('MJ – quantidades por estaca'!$F$2:$F$974="LE"))+SUMPRODUCT('MJ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estaca'!$A$2:$A$974="TERMINAL ABATIDO")*('MJ – quantidades por estaca'!$F$2:$F$974="LE")))</f>
        <v>2525</v>
      </c>
      <c r="F369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estaca'!$A$2:$A$974="DEFENSA METÁLICA")*('MJ – quantidades por estaca'!$F$2:$F$974="LD"))+SUMPRODUCT('MJ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estaca'!$A$2:$A$974="TERMINAL ABATIDO")*('MJ – quantidades por estaca'!$F$2:$F$974="LD")))</f>
        <v>2422</v>
      </c>
      <c r="G369" s="60" t="n">
        <f aca="false">E369+F369</f>
        <v>4947</v>
      </c>
      <c r="H369" s="61" t="n">
        <f aca="false">IF($N$6&lt;&gt;"",0,$G$369)</f>
        <v>4947</v>
      </c>
      <c r="I369" s="62" t="n">
        <v>541.03</v>
      </c>
      <c r="J369" s="63" t="n">
        <f aca="false">H369*I369</f>
        <v>2676475.41</v>
      </c>
      <c r="K369" s="64" t="n">
        <f aca="false">IF($N$6&lt;&gt;"",0,5039*IF($L$369=0,$N$9,$G$369/$L$369))</f>
        <v>5039</v>
      </c>
      <c r="L369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estaca'!$A$2:$A$974="DEFENSA METÁLICA")*('MJ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estaca'!$A$2:$A$974="TERMINAL ABATIDO")*('MJ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estaca'!$A$2:$A$974="DEFENSA METÁLICA")*('MJ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estaca'!$A$2:$A$974="TERMINAL ABATIDO")*('MJ – quantidades por estaca'!$F$2:$F$974="LD"))</f>
        <v>4947</v>
      </c>
      <c r="O369" s="0" t="n">
        <f aca="false">IF($N$6&lt;&gt;"",0,2726250.17*IF($L$369=0,$N$9,$G$369/$L$369))</f>
        <v>2726250.17</v>
      </c>
      <c r="P369" s="65" t="n">
        <f aca="false">O369</f>
        <v>2726250.17</v>
      </c>
      <c r="Q369" s="66" t="n">
        <f aca="false">J369-P369</f>
        <v>-49774.7600000002</v>
      </c>
      <c r="R369" s="67" t="s">
        <v>655</v>
      </c>
    </row>
    <row r="370" customFormat="false" ht="15" hidden="false" customHeight="false" outlineLevel="0" collapsed="false">
      <c r="B370" s="40" t="s">
        <v>656</v>
      </c>
      <c r="C370" s="59" t="s">
        <v>657</v>
      </c>
      <c r="D370" s="40" t="s">
        <v>80</v>
      </c>
      <c r="E370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estaca'!$A$2:$A$974="TERMINAL ABSORVEDOR")*('MJ – quantidades por estaca'!$F$2:$F$974="LE")))</f>
        <v>37</v>
      </c>
      <c r="F370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estaca'!$A$2:$A$974="TERMINAL ABSORVEDOR")*('MJ – quantidades por estaca'!$F$2:$F$974="LD")))</f>
        <v>46</v>
      </c>
      <c r="G370" s="60" t="n">
        <f aca="false">E370+F370+IF($N$6&lt;&gt;"",0,SUMPRODUCT('MJ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estaca'!$A$2:$A$974="TERMINAL ABSORVEDOR")*('MJ – quantidades por estaca'!$F$2:$F$974="Eixo")))</f>
        <v>83</v>
      </c>
      <c r="H370" s="61" t="n">
        <f aca="false">IF($N$6&lt;&gt;"",0,$G$370)</f>
        <v>83</v>
      </c>
      <c r="I370" s="62" t="n">
        <v>9929.17</v>
      </c>
      <c r="J370" s="63" t="n">
        <f aca="false">H370*I370</f>
        <v>824121.11</v>
      </c>
      <c r="K370" s="64" t="n">
        <f aca="false">IF($N$6&lt;&gt;"",0,83*IF($L$370=0,$N$9,$G$370/$L$370))</f>
        <v>83</v>
      </c>
      <c r="L370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estaca'!$A$2:$A$974="TERMINAL ABSORVEDOR")*('MJ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estaca'!$A$2:$A$974="TERMINAL ABSORVEDOR")*('MJ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estaca'!$A$2:$A$974="TERMINAL ABSORVEDOR")*('MJ – quantidades por estaca'!$F$2:$F$974="Eixo"))</f>
        <v>83</v>
      </c>
      <c r="O370" s="0" t="n">
        <f aca="false">IF($N$6&lt;&gt;"",0,824121.11*IF($L$370=0,$N$9,$G$370/$L$370))</f>
        <v>824121.11</v>
      </c>
      <c r="P370" s="65" t="n">
        <f aca="false">O370</f>
        <v>824121.11</v>
      </c>
      <c r="Q370" s="66" t="n">
        <f aca="false">J370-P370</f>
        <v>0</v>
      </c>
      <c r="R370" s="67" t="s">
        <v>658</v>
      </c>
    </row>
    <row r="371" customFormat="false" ht="15" hidden="false" customHeight="false" outlineLevel="0" collapsed="false">
      <c r="B371" s="40" t="s">
        <v>659</v>
      </c>
      <c r="C371" s="77" t="s">
        <v>660</v>
      </c>
      <c r="D371" s="40" t="s">
        <v>80</v>
      </c>
      <c r="E371" s="31"/>
      <c r="F371" s="31"/>
      <c r="G371" s="78" t="n">
        <f aca="false">IF($N$6&lt;&gt;"",0,$G$369*'Sinalização – quadro'!$D$22/4947)</f>
        <v>326</v>
      </c>
      <c r="H371" s="61" t="n">
        <f aca="false">IF($N$6&lt;&gt;"",0,$G$371)</f>
        <v>326</v>
      </c>
      <c r="I371" s="62" t="n">
        <v>22.4</v>
      </c>
      <c r="J371" s="63" t="n">
        <f aca="false">H371*I371</f>
        <v>7302.4</v>
      </c>
      <c r="K371" s="64" t="n">
        <f aca="false">IF($N$6&lt;&gt;"",0,322*IF($L$371=0,$N$9,$G$371/$L$371))</f>
        <v>322</v>
      </c>
      <c r="L371" s="0" t="n">
        <f aca="false">$L$369*'Sinalização – quadro'!$D$22/4947</f>
        <v>326</v>
      </c>
      <c r="O371" s="0" t="n">
        <f aca="false">IF($N$6&lt;&gt;"",0,7212.8*IF($L$371=0,$N$9,$G$371/$L$371))</f>
        <v>7212.8</v>
      </c>
      <c r="P371" s="65" t="n">
        <f aca="false">O371</f>
        <v>7212.8</v>
      </c>
      <c r="Q371" s="66" t="n">
        <f aca="false">J371-P371</f>
        <v>89.5999999999995</v>
      </c>
      <c r="R371" s="67" t="s">
        <v>661</v>
      </c>
    </row>
    <row r="372" customFormat="false" ht="15" hidden="false" customHeight="false" outlineLevel="0" collapsed="false">
      <c r="B372" s="40" t="s">
        <v>662</v>
      </c>
      <c r="C372" s="59" t="s">
        <v>663</v>
      </c>
      <c r="D372" s="40" t="s">
        <v>80</v>
      </c>
      <c r="E372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estaca'!$A$2:$A$974="ATENUADOR")*('MJ – quantidades por estaca'!$F$2:$F$974="LE")))</f>
        <v>1</v>
      </c>
      <c r="F372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estaca'!$A$2:$A$974="ATENUADOR")*('MJ – quantidades por estaca'!$F$2:$F$974="LD")))</f>
        <v>1</v>
      </c>
      <c r="G372" s="60" t="n">
        <f aca="false">E372+F372+IF($N$6&lt;&gt;"",0,SUMPRODUCT('MJ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estaca'!$A$2:$A$974="ATENUADOR")*('MJ – quantidades por estaca'!$F$2:$F$974="Eixo")))</f>
        <v>2</v>
      </c>
      <c r="H372" s="61" t="n">
        <f aca="false">IF($N$6&lt;&gt;"",0,$G$372)</f>
        <v>2</v>
      </c>
      <c r="I372" s="62" t="n">
        <v>68325.12</v>
      </c>
      <c r="J372" s="63" t="n">
        <f aca="false">H372*I372</f>
        <v>136650.24</v>
      </c>
      <c r="K372" s="64" t="n">
        <f aca="false">IF($N$6&lt;&gt;"",0,2*IF($L$372=0,$N$9,$G$372/$L$372))</f>
        <v>2</v>
      </c>
      <c r="L372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estaca'!$A$2:$A$974="ATENUADOR")*('MJ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estaca'!$A$2:$A$974="ATENUADOR")*('MJ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estaca'!$A$2:$A$974="ATENUADOR")*('MJ – quantidades por estaca'!$F$2:$F$974="Eixo"))</f>
        <v>2</v>
      </c>
      <c r="O372" s="0" t="n">
        <f aca="false">IF($N$6&lt;&gt;"",0,136650.24*IF($L$372=0,$N$9,$G$372/$L$372))</f>
        <v>136650.24</v>
      </c>
      <c r="P372" s="65" t="n">
        <f aca="false">O372</f>
        <v>136650.24</v>
      </c>
      <c r="Q372" s="66" t="n">
        <f aca="false">J372-P372</f>
        <v>0</v>
      </c>
      <c r="R372" s="67" t="s">
        <v>664</v>
      </c>
    </row>
    <row r="373" customFormat="false" ht="15" hidden="false" customHeight="false" outlineLevel="0" collapsed="false">
      <c r="B373" s="40"/>
      <c r="C373" s="77" t="s">
        <v>665</v>
      </c>
      <c r="D373" s="40" t="s">
        <v>176</v>
      </c>
      <c r="E373" s="31"/>
      <c r="F373" s="31"/>
      <c r="G373" s="78" t="n">
        <f aca="false">IF($N$6&lt;&gt;"",0,'Sinalização – quadro'!$D$17*$N$9)</f>
        <v>64</v>
      </c>
      <c r="H373" s="31"/>
      <c r="I373" s="31"/>
      <c r="J373" s="31"/>
      <c r="K373" s="31"/>
      <c r="L373" s="0" t="n">
        <f aca="false">'Sinalização – quadro'!$D$17*1</f>
        <v>64</v>
      </c>
      <c r="P373" s="31"/>
      <c r="Q373" s="31"/>
      <c r="R373" s="67" t="s">
        <v>666</v>
      </c>
    </row>
    <row r="374" customFormat="false" ht="15" hidden="false" customHeight="false" outlineLevel="0" collapsed="false">
      <c r="B374" s="40" t="s">
        <v>667</v>
      </c>
      <c r="C374" s="69" t="s">
        <v>668</v>
      </c>
      <c r="D374" s="40" t="s">
        <v>80</v>
      </c>
      <c r="E374" s="31"/>
      <c r="F374" s="31"/>
      <c r="G374" s="31"/>
      <c r="H374" s="76" t="n">
        <f aca="false">IF($N$6&lt;&gt;"",0,4*IF(($L$373)=0,$N$9,($G$373)/($L$373)))</f>
        <v>4</v>
      </c>
      <c r="I374" s="62" t="n">
        <v>33.99</v>
      </c>
      <c r="J374" s="63" t="n">
        <f aca="false">H374*I374</f>
        <v>135.96</v>
      </c>
      <c r="K374" s="64" t="n">
        <f aca="false">IF($N$6&lt;&gt;"",0,4*IF(($L$373)=0,$N$9,($G$373)/($L$373)))</f>
        <v>4</v>
      </c>
      <c r="O374" s="0" t="n">
        <f aca="false">IF($N$6&lt;&gt;"",0,135.96*IF(($L$373)=0,$N$9,($G$373)/($L$373)))</f>
        <v>135.96</v>
      </c>
      <c r="P374" s="65" t="n">
        <f aca="false">O374</f>
        <v>135.96</v>
      </c>
      <c r="Q374" s="66" t="n">
        <f aca="false">J374-P374</f>
        <v>0</v>
      </c>
      <c r="R374" s="67" t="s">
        <v>669</v>
      </c>
    </row>
    <row r="375" customFormat="false" ht="15" hidden="false" customHeight="false" outlineLevel="0" collapsed="false">
      <c r="B375" s="70"/>
      <c r="C375" s="71" t="s">
        <v>670</v>
      </c>
      <c r="D375" s="70"/>
      <c r="E375" s="70"/>
      <c r="F375" s="70"/>
      <c r="G375" s="70"/>
      <c r="H375" s="72" t="str">
        <f aca="false">COUNTIF(J349:J374,"&gt;0")&amp;" de "&amp;COUNT(J349:J374)&amp;" itens"</f>
        <v>19 de 19 itens</v>
      </c>
      <c r="I375" s="70"/>
      <c r="J375" s="73" t="n">
        <f aca="false">SUM(J349:J374)</f>
        <v>4343372.0655</v>
      </c>
      <c r="K375" s="70"/>
      <c r="O375" s="0" t="n">
        <f aca="false">SUM(O349:O374)</f>
        <v>4392206.49</v>
      </c>
      <c r="P375" s="74" t="n">
        <f aca="false">SUM(P349:P374)</f>
        <v>4392206.49</v>
      </c>
      <c r="Q375" s="75" t="n">
        <f aca="false">J375-P375</f>
        <v>-48834.4245000007</v>
      </c>
      <c r="R375" s="70"/>
    </row>
    <row r="377" customFormat="false" ht="21.75" hidden="false" customHeight="true" outlineLevel="0" collapsed="false">
      <c r="B377" s="56" t="s">
        <v>671</v>
      </c>
      <c r="C377" s="5"/>
      <c r="D377" s="5"/>
      <c r="E377" s="5"/>
      <c r="F377" s="5"/>
      <c r="G377" s="5"/>
      <c r="H377" s="5"/>
      <c r="I377" s="5"/>
      <c r="J377" s="5"/>
      <c r="K377" s="5"/>
      <c r="P377" s="5"/>
      <c r="Q377" s="5"/>
      <c r="R377" s="5"/>
    </row>
    <row r="378" customFormat="false" ht="15" hidden="false" customHeight="false" outlineLevel="0" collapsed="false">
      <c r="B378" s="40"/>
      <c r="C378" s="59" t="s">
        <v>672</v>
      </c>
      <c r="D378" s="40" t="s">
        <v>80</v>
      </c>
      <c r="E378" s="31"/>
      <c r="F378" s="31"/>
      <c r="G378" s="60" t="n">
        <f aca="false">IF($N$6&lt;&gt;"",0,COUNTIFS(Iluminação!$B$2:$B$27,"&gt;="&amp;$M$2,Iluminação!$B$2:$B$27,"&lt;"&amp;($N$2+($N$2&gt;=Estacas!$B$650-0.00001)*0.001),Iluminação!$C$2:$C$27,"LED 153W"))</f>
        <v>17</v>
      </c>
      <c r="H378" s="31"/>
      <c r="I378" s="31"/>
      <c r="J378" s="31"/>
      <c r="K378" s="31"/>
      <c r="L378" s="0" t="n">
        <f aca="false">COUNTIFS(Iluminação!$B$2:$B$27,"&gt;="&amp;$M$12,Iluminação!$B$2:$B$27,"&lt;"&amp;($N$12+($N$12&gt;=Estacas!$B$650-0.00001)*0.001),Iluminação!$C$2:$C$27,"LED 153W")</f>
        <v>17</v>
      </c>
      <c r="P378" s="31"/>
      <c r="Q378" s="31"/>
      <c r="R378" s="67" t="s">
        <v>673</v>
      </c>
    </row>
    <row r="379" customFormat="false" ht="15" hidden="false" customHeight="false" outlineLevel="0" collapsed="false">
      <c r="B379" s="40"/>
      <c r="C379" s="59" t="s">
        <v>674</v>
      </c>
      <c r="D379" s="40" t="s">
        <v>80</v>
      </c>
      <c r="E379" s="31"/>
      <c r="F379" s="31"/>
      <c r="G379" s="60" t="n">
        <f aca="false">IF($N$6&lt;&gt;"",0,COUNTIFS(Iluminação!$B$2:$B$27,"&gt;="&amp;$M$2,Iluminação!$B$2:$B$27,"&lt;"&amp;($N$2+($N$2&gt;=Estacas!$B$650-0.00001)*0.001),Iluminação!$C$2:$C$27,"LED 233W"))</f>
        <v>9</v>
      </c>
      <c r="H379" s="31"/>
      <c r="I379" s="31"/>
      <c r="J379" s="31"/>
      <c r="K379" s="31"/>
      <c r="L379" s="0" t="n">
        <f aca="false">COUNTIFS(Iluminação!$B$2:$B$27,"&gt;="&amp;$M$12,Iluminação!$B$2:$B$27,"&lt;"&amp;($N$12+($N$12&gt;=Estacas!$B$650-0.00001)*0.001),Iluminação!$C$2:$C$27,"LED 233W")</f>
        <v>9</v>
      </c>
      <c r="P379" s="31"/>
      <c r="Q379" s="31"/>
      <c r="R379" s="67" t="s">
        <v>673</v>
      </c>
    </row>
    <row r="380" customFormat="false" ht="15" hidden="false" customHeight="false" outlineLevel="0" collapsed="false">
      <c r="B380" s="40"/>
      <c r="C380" s="59" t="s">
        <v>675</v>
      </c>
      <c r="D380" s="40" t="s">
        <v>80</v>
      </c>
      <c r="E380" s="31"/>
      <c r="F380" s="31"/>
      <c r="G380" s="60" t="n">
        <f aca="false">IF($N$6&lt;&gt;"",0,COUNTIFS(Iluminação!$B$2:$B$27,"&gt;="&amp;$M$2,Iluminação!$B$2:$B$27,"&lt;"&amp;($N$2+($N$2&gt;=Estacas!$B$650-0.00001)*0.001)))</f>
        <v>26</v>
      </c>
      <c r="H380" s="31"/>
      <c r="I380" s="31"/>
      <c r="J380" s="31"/>
      <c r="K380" s="31"/>
      <c r="L380" s="0" t="n">
        <f aca="false">COUNTIFS(Iluminação!$B$2:$B$27,"&gt;="&amp;$M$12,Iluminação!$B$2:$B$27,"&lt;"&amp;($N$12+($N$12&gt;=Estacas!$B$650-0.00001)*0.001))</f>
        <v>26</v>
      </c>
      <c r="P380" s="31"/>
      <c r="Q380" s="31"/>
      <c r="R380" s="67" t="s">
        <v>676</v>
      </c>
    </row>
    <row r="381" customFormat="false" ht="15" hidden="false" customHeight="false" outlineLevel="0" collapsed="false">
      <c r="B381" s="40" t="s">
        <v>677</v>
      </c>
      <c r="C381" s="69" t="s">
        <v>678</v>
      </c>
      <c r="D381" s="40" t="s">
        <v>176</v>
      </c>
      <c r="E381" s="31"/>
      <c r="F381" s="31"/>
      <c r="G381" s="31"/>
      <c r="H381" s="76" t="n">
        <f aca="false">IF($N$6&lt;&gt;"",0,70*IF(($L$380)=0,$N$9,($G$380)/($L$380)))</f>
        <v>70</v>
      </c>
      <c r="I381" s="62" t="n">
        <v>26.43</v>
      </c>
      <c r="J381" s="63" t="n">
        <f aca="false">H381*I381</f>
        <v>1850.1</v>
      </c>
      <c r="K381" s="64" t="n">
        <f aca="false">IF($N$6&lt;&gt;"",0,70*IF(($L$380)=0,$N$9,($G$380)/($L$380)))</f>
        <v>70</v>
      </c>
      <c r="O381" s="0" t="n">
        <f aca="false">IF($N$6&lt;&gt;"",0,1850.44*IF(($L$380)=0,$N$9,($G$380)/($L$380)))</f>
        <v>1850.44</v>
      </c>
      <c r="P381" s="65" t="n">
        <f aca="false">O381</f>
        <v>1850.44</v>
      </c>
      <c r="Q381" s="66" t="n">
        <f aca="false">J381-P381</f>
        <v>-0.340000000000146</v>
      </c>
      <c r="R381" s="67" t="s">
        <v>679</v>
      </c>
    </row>
    <row r="382" customFormat="false" ht="15" hidden="false" customHeight="false" outlineLevel="0" collapsed="false">
      <c r="B382" s="40" t="s">
        <v>680</v>
      </c>
      <c r="C382" s="69" t="s">
        <v>681</v>
      </c>
      <c r="D382" s="40" t="s">
        <v>176</v>
      </c>
      <c r="E382" s="31"/>
      <c r="F382" s="31"/>
      <c r="G382" s="31"/>
      <c r="H382" s="76" t="n">
        <f aca="false">IF($N$6&lt;&gt;"",0,1224.6*IF(($L$380)=0,$N$9,($G$380)/($L$380)))</f>
        <v>1224.6</v>
      </c>
      <c r="I382" s="62" t="n">
        <v>5.17</v>
      </c>
      <c r="J382" s="63" t="n">
        <f aca="false">H382*I382</f>
        <v>6331.182</v>
      </c>
      <c r="K382" s="64" t="n">
        <f aca="false">IF($N$6&lt;&gt;"",0,1224.6*IF(($L$380)=0,$N$9,($G$380)/($L$380)))</f>
        <v>1224.6</v>
      </c>
      <c r="O382" s="0" t="n">
        <f aca="false">IF($N$6&lt;&gt;"",0,6336.94*IF(($L$380)=0,$N$9,($G$380)/($L$380)))</f>
        <v>6336.94</v>
      </c>
      <c r="P382" s="65" t="n">
        <f aca="false">O382</f>
        <v>6336.94</v>
      </c>
      <c r="Q382" s="66" t="n">
        <f aca="false">J382-P382</f>
        <v>-5.75799999999981</v>
      </c>
      <c r="R382" s="67" t="s">
        <v>679</v>
      </c>
    </row>
    <row r="383" customFormat="false" ht="15" hidden="false" customHeight="false" outlineLevel="0" collapsed="false">
      <c r="B383" s="40" t="s">
        <v>682</v>
      </c>
      <c r="C383" s="69" t="s">
        <v>683</v>
      </c>
      <c r="D383" s="40" t="s">
        <v>176</v>
      </c>
      <c r="E383" s="31"/>
      <c r="F383" s="31"/>
      <c r="G383" s="31"/>
      <c r="H383" s="76" t="n">
        <f aca="false">IF($N$6&lt;&gt;"",0,826*IF(($L$380)=0,$N$9,($G$380)/($L$380)))</f>
        <v>826</v>
      </c>
      <c r="I383" s="62" t="n">
        <v>12.82</v>
      </c>
      <c r="J383" s="63" t="n">
        <f aca="false">H383*I383</f>
        <v>10589.32</v>
      </c>
      <c r="K383" s="64" t="n">
        <f aca="false">IF($N$6&lt;&gt;"",0,826*IF(($L$380)=0,$N$9,($G$380)/($L$380)))</f>
        <v>826</v>
      </c>
      <c r="O383" s="0" t="n">
        <f aca="false">IF($N$6&lt;&gt;"",0,10588.81*IF(($L$380)=0,$N$9,($G$380)/($L$380)))</f>
        <v>10588.81</v>
      </c>
      <c r="P383" s="65" t="n">
        <f aca="false">O383</f>
        <v>10588.81</v>
      </c>
      <c r="Q383" s="66" t="n">
        <f aca="false">J383-P383</f>
        <v>0.510000000000218</v>
      </c>
      <c r="R383" s="67" t="s">
        <v>679</v>
      </c>
    </row>
    <row r="384" customFormat="false" ht="15" hidden="false" customHeight="false" outlineLevel="0" collapsed="false">
      <c r="B384" s="40" t="s">
        <v>684</v>
      </c>
      <c r="C384" s="69" t="s">
        <v>685</v>
      </c>
      <c r="D384" s="40" t="s">
        <v>686</v>
      </c>
      <c r="E384" s="31"/>
      <c r="F384" s="31"/>
      <c r="G384" s="31"/>
      <c r="H384" s="76" t="n">
        <f aca="false">IF($N$6&lt;&gt;"",0,30*IF(($L$380)=0,$N$9,($G$380)/($L$380)))</f>
        <v>30</v>
      </c>
      <c r="I384" s="62" t="n">
        <v>125.76</v>
      </c>
      <c r="J384" s="63" t="n">
        <f aca="false">H384*I384</f>
        <v>3772.8</v>
      </c>
      <c r="K384" s="64" t="n">
        <f aca="false">IF($N$6&lt;&gt;"",0,30*IF(($L$380)=0,$N$9,($G$380)/($L$380)))</f>
        <v>30</v>
      </c>
      <c r="O384" s="0" t="n">
        <f aca="false">IF($N$6&lt;&gt;"",0,3772.94*IF(($L$380)=0,$N$9,($G$380)/($L$380)))</f>
        <v>3772.94</v>
      </c>
      <c r="P384" s="65" t="n">
        <f aca="false">O384</f>
        <v>3772.94</v>
      </c>
      <c r="Q384" s="66" t="n">
        <f aca="false">J384-P384</f>
        <v>-0.139999999999873</v>
      </c>
      <c r="R384" s="67" t="s">
        <v>679</v>
      </c>
    </row>
    <row r="385" customFormat="false" ht="15" hidden="false" customHeight="false" outlineLevel="0" collapsed="false">
      <c r="B385" s="40" t="s">
        <v>687</v>
      </c>
      <c r="C385" s="69" t="s">
        <v>688</v>
      </c>
      <c r="D385" s="40" t="s">
        <v>686</v>
      </c>
      <c r="E385" s="31"/>
      <c r="F385" s="31"/>
      <c r="G385" s="31"/>
      <c r="H385" s="76" t="n">
        <f aca="false">IF($N$6&lt;&gt;"",0,2*IF(($L$380)=0,$N$9,($G$380)/($L$380)))</f>
        <v>2</v>
      </c>
      <c r="I385" s="62" t="n">
        <v>1111.05</v>
      </c>
      <c r="J385" s="63" t="n">
        <f aca="false">H385*I385</f>
        <v>2222.1</v>
      </c>
      <c r="K385" s="64" t="n">
        <f aca="false">IF($N$6&lt;&gt;"",0,2*IF(($L$380)=0,$N$9,($G$380)/($L$380)))</f>
        <v>2</v>
      </c>
      <c r="O385" s="0" t="n">
        <f aca="false">IF($N$6&lt;&gt;"",0,2222.1*IF(($L$380)=0,$N$9,($G$380)/($L$380)))</f>
        <v>2222.1</v>
      </c>
      <c r="P385" s="65" t="n">
        <f aca="false">O385</f>
        <v>2222.1</v>
      </c>
      <c r="Q385" s="66" t="n">
        <f aca="false">J385-P385</f>
        <v>0</v>
      </c>
      <c r="R385" s="67" t="s">
        <v>679</v>
      </c>
    </row>
    <row r="386" customFormat="false" ht="15" hidden="false" customHeight="false" outlineLevel="0" collapsed="false">
      <c r="B386" s="40" t="s">
        <v>689</v>
      </c>
      <c r="C386" s="69" t="s">
        <v>690</v>
      </c>
      <c r="D386" s="40" t="s">
        <v>686</v>
      </c>
      <c r="E386" s="31"/>
      <c r="F386" s="31"/>
      <c r="G386" s="31"/>
      <c r="H386" s="76" t="n">
        <f aca="false">IF($N$6&lt;&gt;"",0,2*IF(($L$380)=0,$N$9,($G$380)/($L$380)))</f>
        <v>2</v>
      </c>
      <c r="I386" s="62" t="n">
        <v>9.01</v>
      </c>
      <c r="J386" s="63" t="n">
        <f aca="false">H386*I386</f>
        <v>18.02</v>
      </c>
      <c r="K386" s="64" t="n">
        <f aca="false">IF($N$6&lt;&gt;"",0,2*IF(($L$380)=0,$N$9,($G$380)/($L$380)))</f>
        <v>2</v>
      </c>
      <c r="O386" s="0" t="n">
        <f aca="false">IF($N$6&lt;&gt;"",0,18.02*IF(($L$380)=0,$N$9,($G$380)/($L$380)))</f>
        <v>18.02</v>
      </c>
      <c r="P386" s="65" t="n">
        <f aca="false">O386</f>
        <v>18.02</v>
      </c>
      <c r="Q386" s="66" t="n">
        <f aca="false">J386-P386</f>
        <v>0</v>
      </c>
      <c r="R386" s="67" t="s">
        <v>679</v>
      </c>
    </row>
    <row r="387" customFormat="false" ht="15" hidden="false" customHeight="false" outlineLevel="0" collapsed="false">
      <c r="B387" s="40" t="s">
        <v>691</v>
      </c>
      <c r="C387" s="69" t="s">
        <v>692</v>
      </c>
      <c r="D387" s="40" t="s">
        <v>686</v>
      </c>
      <c r="E387" s="31"/>
      <c r="F387" s="31"/>
      <c r="G387" s="31"/>
      <c r="H387" s="76" t="n">
        <f aca="false">IF($N$6&lt;&gt;"",0,81*IF(($L$380)=0,$N$9,($G$380)/($L$380)))</f>
        <v>81</v>
      </c>
      <c r="I387" s="62" t="n">
        <v>8.88</v>
      </c>
      <c r="J387" s="63" t="n">
        <f aca="false">H387*I387</f>
        <v>719.28</v>
      </c>
      <c r="K387" s="64" t="n">
        <f aca="false">IF($N$6&lt;&gt;"",0,81*IF(($L$380)=0,$N$9,($G$380)/($L$380)))</f>
        <v>81</v>
      </c>
      <c r="O387" s="0" t="n">
        <f aca="false">IF($N$6&lt;&gt;"",0,719.25*IF(($L$380)=0,$N$9,($G$380)/($L$380)))</f>
        <v>719.25</v>
      </c>
      <c r="P387" s="65" t="n">
        <f aca="false">O387</f>
        <v>719.25</v>
      </c>
      <c r="Q387" s="66" t="n">
        <f aca="false">J387-P387</f>
        <v>0.0300000000000864</v>
      </c>
      <c r="R387" s="67" t="s">
        <v>679</v>
      </c>
    </row>
    <row r="388" customFormat="false" ht="15" hidden="false" customHeight="false" outlineLevel="0" collapsed="false">
      <c r="B388" s="40" t="s">
        <v>693</v>
      </c>
      <c r="C388" s="69" t="s">
        <v>694</v>
      </c>
      <c r="D388" s="40" t="s">
        <v>695</v>
      </c>
      <c r="E388" s="31"/>
      <c r="F388" s="31"/>
      <c r="G388" s="31"/>
      <c r="H388" s="76" t="n">
        <f aca="false">IF($N$6&lt;&gt;"",0,2*IF(($L$380)=0,$N$9,($G$380)/($L$380)))</f>
        <v>2</v>
      </c>
      <c r="I388" s="62" t="n">
        <v>31.43</v>
      </c>
      <c r="J388" s="63" t="n">
        <f aca="false">H388*I388</f>
        <v>62.86</v>
      </c>
      <c r="K388" s="64" t="n">
        <f aca="false">IF($N$6&lt;&gt;"",0,2*IF(($L$380)=0,$N$9,($G$380)/($L$380)))</f>
        <v>2</v>
      </c>
      <c r="O388" s="0" t="n">
        <f aca="false">IF($N$6&lt;&gt;"",0,62.85*IF(($L$380)=0,$N$9,($G$380)/($L$380)))</f>
        <v>62.85</v>
      </c>
      <c r="P388" s="65" t="n">
        <f aca="false">O388</f>
        <v>62.85</v>
      </c>
      <c r="Q388" s="66" t="n">
        <f aca="false">J388-P388</f>
        <v>0.00999999999999801</v>
      </c>
      <c r="R388" s="67" t="s">
        <v>679</v>
      </c>
    </row>
    <row r="389" customFormat="false" ht="15" hidden="false" customHeight="false" outlineLevel="0" collapsed="false">
      <c r="B389" s="40" t="s">
        <v>696</v>
      </c>
      <c r="C389" s="69" t="s">
        <v>697</v>
      </c>
      <c r="D389" s="40" t="s">
        <v>176</v>
      </c>
      <c r="E389" s="31"/>
      <c r="F389" s="31"/>
      <c r="G389" s="31"/>
      <c r="H389" s="76" t="n">
        <f aca="false">IF($N$6&lt;&gt;"",0,877*IF(($L$380)=0,$N$9,($G$380)/($L$380)))</f>
        <v>877</v>
      </c>
      <c r="I389" s="62" t="n">
        <v>10.37</v>
      </c>
      <c r="J389" s="63" t="n">
        <f aca="false">H389*I389</f>
        <v>9094.49</v>
      </c>
      <c r="K389" s="64" t="n">
        <f aca="false">IF($N$6&lt;&gt;"",0,877*IF(($L$380)=0,$N$9,($G$380)/($L$380)))</f>
        <v>877</v>
      </c>
      <c r="O389" s="0" t="n">
        <f aca="false">IF($N$6&lt;&gt;"",0,9094.33*IF(($L$380)=0,$N$9,($G$380)/($L$380)))</f>
        <v>9094.33</v>
      </c>
      <c r="P389" s="65" t="n">
        <f aca="false">O389</f>
        <v>9094.33</v>
      </c>
      <c r="Q389" s="66" t="n">
        <f aca="false">J389-P389</f>
        <v>0.159999999999854</v>
      </c>
      <c r="R389" s="67" t="s">
        <v>679</v>
      </c>
    </row>
    <row r="390" customFormat="false" ht="15" hidden="false" customHeight="false" outlineLevel="0" collapsed="false">
      <c r="B390" s="40" t="s">
        <v>698</v>
      </c>
      <c r="C390" s="69" t="s">
        <v>699</v>
      </c>
      <c r="D390" s="40" t="s">
        <v>700</v>
      </c>
      <c r="E390" s="31"/>
      <c r="F390" s="31"/>
      <c r="G390" s="31"/>
      <c r="H390" s="76" t="n">
        <f aca="false">IF($N$6&lt;&gt;"",0,1*IF(($L$380)=0,$N$9,($G$380)/($L$380)))</f>
        <v>1</v>
      </c>
      <c r="I390" s="62" t="n">
        <v>105.55</v>
      </c>
      <c r="J390" s="63" t="n">
        <f aca="false">H390*I390</f>
        <v>105.55</v>
      </c>
      <c r="K390" s="64" t="n">
        <f aca="false">IF($N$6&lt;&gt;"",0,1*IF(($L$380)=0,$N$9,($G$380)/($L$380)))</f>
        <v>1</v>
      </c>
      <c r="O390" s="0" t="n">
        <f aca="false">IF($N$6&lt;&gt;"",0,105.54*IF(($L$380)=0,$N$9,($G$380)/($L$380)))</f>
        <v>105.54</v>
      </c>
      <c r="P390" s="65" t="n">
        <f aca="false">O390</f>
        <v>105.54</v>
      </c>
      <c r="Q390" s="66" t="n">
        <f aca="false">J390-P390</f>
        <v>0.00999999999999091</v>
      </c>
      <c r="R390" s="67" t="s">
        <v>679</v>
      </c>
    </row>
    <row r="391" customFormat="false" ht="15" hidden="false" customHeight="false" outlineLevel="0" collapsed="false">
      <c r="B391" s="40" t="s">
        <v>701</v>
      </c>
      <c r="C391" s="69" t="s">
        <v>702</v>
      </c>
      <c r="D391" s="40" t="s">
        <v>176</v>
      </c>
      <c r="E391" s="31"/>
      <c r="F391" s="31"/>
      <c r="G391" s="31"/>
      <c r="H391" s="76" t="n">
        <f aca="false">IF($N$6&lt;&gt;"",0,6*IF(($L$380)=0,$N$9,($G$380)/($L$380)))</f>
        <v>6</v>
      </c>
      <c r="I391" s="62" t="n">
        <v>2.19</v>
      </c>
      <c r="J391" s="63" t="n">
        <f aca="false">H391*I391</f>
        <v>13.14</v>
      </c>
      <c r="K391" s="64" t="n">
        <f aca="false">IF($N$6&lt;&gt;"",0,6*IF(($L$380)=0,$N$9,($G$380)/($L$380)))</f>
        <v>6</v>
      </c>
      <c r="O391" s="0" t="n">
        <f aca="false">IF($N$6&lt;&gt;"",0,13.16*IF(($L$380)=0,$N$9,($G$380)/($L$380)))</f>
        <v>13.16</v>
      </c>
      <c r="P391" s="65" t="n">
        <f aca="false">O391</f>
        <v>13.16</v>
      </c>
      <c r="Q391" s="66" t="n">
        <f aca="false">J391-P391</f>
        <v>-0.0199999999999996</v>
      </c>
      <c r="R391" s="67" t="s">
        <v>679</v>
      </c>
    </row>
    <row r="392" customFormat="false" ht="15" hidden="false" customHeight="false" outlineLevel="0" collapsed="false">
      <c r="B392" s="40" t="s">
        <v>703</v>
      </c>
      <c r="C392" s="69" t="s">
        <v>704</v>
      </c>
      <c r="D392" s="40" t="s">
        <v>700</v>
      </c>
      <c r="E392" s="31"/>
      <c r="F392" s="31"/>
      <c r="G392" s="31"/>
      <c r="H392" s="76" t="n">
        <f aca="false">IF($N$6&lt;&gt;"",0,13*IF(($L$380)=0,$N$9,($G$380)/($L$380)))</f>
        <v>13</v>
      </c>
      <c r="I392" s="62" t="n">
        <v>16.13</v>
      </c>
      <c r="J392" s="63" t="n">
        <f aca="false">H392*I392</f>
        <v>209.69</v>
      </c>
      <c r="K392" s="64" t="n">
        <f aca="false">IF($N$6&lt;&gt;"",0,13*IF(($L$380)=0,$N$9,($G$380)/($L$380)))</f>
        <v>13</v>
      </c>
      <c r="O392" s="0" t="n">
        <f aca="false">IF($N$6&lt;&gt;"",0,209.64*IF(($L$380)=0,$N$9,($G$380)/($L$380)))</f>
        <v>209.64</v>
      </c>
      <c r="P392" s="65" t="n">
        <f aca="false">O392</f>
        <v>209.64</v>
      </c>
      <c r="Q392" s="66" t="n">
        <f aca="false">J392-P392</f>
        <v>0.0500000000000114</v>
      </c>
      <c r="R392" s="67" t="s">
        <v>679</v>
      </c>
    </row>
    <row r="393" customFormat="false" ht="15" hidden="false" customHeight="false" outlineLevel="0" collapsed="false">
      <c r="B393" s="40" t="s">
        <v>705</v>
      </c>
      <c r="C393" s="69" t="s">
        <v>706</v>
      </c>
      <c r="D393" s="40" t="s">
        <v>686</v>
      </c>
      <c r="E393" s="31"/>
      <c r="F393" s="31"/>
      <c r="G393" s="31"/>
      <c r="H393" s="76" t="n">
        <f aca="false">IF($N$6&lt;&gt;"",0,35*IF(($L$380)=0,$N$9,($G$380)/($L$380)))</f>
        <v>35</v>
      </c>
      <c r="I393" s="62" t="n">
        <v>7.43</v>
      </c>
      <c r="J393" s="63" t="n">
        <f aca="false">H393*I393</f>
        <v>260.05</v>
      </c>
      <c r="K393" s="64" t="n">
        <f aca="false">IF($N$6&lt;&gt;"",0,35*IF(($L$380)=0,$N$9,($G$380)/($L$380)))</f>
        <v>35</v>
      </c>
      <c r="O393" s="0" t="n">
        <f aca="false">IF($N$6&lt;&gt;"",0,260.06*IF(($L$380)=0,$N$9,($G$380)/($L$380)))</f>
        <v>260.06</v>
      </c>
      <c r="P393" s="65" t="n">
        <f aca="false">O393</f>
        <v>260.06</v>
      </c>
      <c r="Q393" s="66" t="n">
        <f aca="false">J393-P393</f>
        <v>-0.00999999999999091</v>
      </c>
      <c r="R393" s="67" t="s">
        <v>679</v>
      </c>
    </row>
    <row r="394" customFormat="false" ht="15" hidden="false" customHeight="false" outlineLevel="0" collapsed="false">
      <c r="B394" s="40" t="s">
        <v>707</v>
      </c>
      <c r="C394" s="69" t="s">
        <v>708</v>
      </c>
      <c r="D394" s="40" t="s">
        <v>686</v>
      </c>
      <c r="E394" s="31"/>
      <c r="F394" s="31"/>
      <c r="G394" s="31"/>
      <c r="H394" s="76" t="n">
        <f aca="false">IF($N$6&lt;&gt;"",0,35*IF(($L$380)=0,$N$9,($G$380)/($L$380)))</f>
        <v>35</v>
      </c>
      <c r="I394" s="62" t="n">
        <v>132.79</v>
      </c>
      <c r="J394" s="63" t="n">
        <f aca="false">H394*I394</f>
        <v>4647.65</v>
      </c>
      <c r="K394" s="64" t="n">
        <f aca="false">IF($N$6&lt;&gt;"",0,35*IF(($L$380)=0,$N$9,($G$380)/($L$380)))</f>
        <v>35</v>
      </c>
      <c r="O394" s="0" t="n">
        <f aca="false">IF($N$6&lt;&gt;"",0,4647.54*IF(($L$380)=0,$N$9,($G$380)/($L$380)))</f>
        <v>4647.54</v>
      </c>
      <c r="P394" s="65" t="n">
        <f aca="false">O394</f>
        <v>4647.54</v>
      </c>
      <c r="Q394" s="66" t="n">
        <f aca="false">J394-P394</f>
        <v>0.109999999999673</v>
      </c>
      <c r="R394" s="67" t="s">
        <v>679</v>
      </c>
    </row>
    <row r="395" customFormat="false" ht="15" hidden="false" customHeight="false" outlineLevel="0" collapsed="false">
      <c r="B395" s="40" t="s">
        <v>709</v>
      </c>
      <c r="C395" s="69" t="s">
        <v>710</v>
      </c>
      <c r="D395" s="40" t="s">
        <v>80</v>
      </c>
      <c r="E395" s="31"/>
      <c r="F395" s="31"/>
      <c r="G395" s="31"/>
      <c r="H395" s="76" t="n">
        <f aca="false">IF($N$6&lt;&gt;"",0,21*IF(($L$378)=0,$N$9,($G$378)/($L$378)))</f>
        <v>21</v>
      </c>
      <c r="I395" s="62" t="n">
        <v>1140.56</v>
      </c>
      <c r="J395" s="63" t="n">
        <f aca="false">H395*I395</f>
        <v>23951.76</v>
      </c>
      <c r="K395" s="64" t="n">
        <f aca="false">IF($N$6&lt;&gt;"",0,21*IF(($L$378)=0,$N$9,($G$378)/($L$378)))</f>
        <v>21</v>
      </c>
      <c r="O395" s="0" t="n">
        <f aca="false">IF($N$6&lt;&gt;"",0,23951.72*IF(($L$378)=0,$N$9,($G$378)/($L$378)))</f>
        <v>23951.72</v>
      </c>
      <c r="P395" s="65" t="n">
        <f aca="false">O395</f>
        <v>23951.72</v>
      </c>
      <c r="Q395" s="66" t="n">
        <f aca="false">J395-P395</f>
        <v>0.0399999999972351</v>
      </c>
      <c r="R395" s="67" t="s">
        <v>679</v>
      </c>
    </row>
    <row r="396" customFormat="false" ht="15" hidden="false" customHeight="false" outlineLevel="0" collapsed="false">
      <c r="B396" s="40" t="s">
        <v>711</v>
      </c>
      <c r="C396" s="69" t="s">
        <v>712</v>
      </c>
      <c r="D396" s="40" t="s">
        <v>80</v>
      </c>
      <c r="E396" s="31"/>
      <c r="F396" s="31"/>
      <c r="G396" s="31"/>
      <c r="H396" s="76" t="n">
        <f aca="false">IF($N$6&lt;&gt;"",0,11*IF(($L$379)=0,$N$9,($G$379)/($L$379)))</f>
        <v>11</v>
      </c>
      <c r="I396" s="62" t="n">
        <v>2064.86</v>
      </c>
      <c r="J396" s="63" t="n">
        <f aca="false">H396*I396</f>
        <v>22713.46</v>
      </c>
      <c r="K396" s="64" t="n">
        <f aca="false">IF($N$6&lt;&gt;"",0,11*IF(($L$379)=0,$N$9,($G$379)/($L$379)))</f>
        <v>11</v>
      </c>
      <c r="O396" s="0" t="n">
        <f aca="false">IF($N$6&lt;&gt;"",0,22713.47*IF(($L$379)=0,$N$9,($G$379)/($L$379)))</f>
        <v>22713.47</v>
      </c>
      <c r="P396" s="65" t="n">
        <f aca="false">O396</f>
        <v>22713.47</v>
      </c>
      <c r="Q396" s="66" t="n">
        <f aca="false">J396-P396</f>
        <v>-0.00999999999839929</v>
      </c>
      <c r="R396" s="67" t="s">
        <v>679</v>
      </c>
    </row>
    <row r="397" customFormat="false" ht="15" hidden="false" customHeight="false" outlineLevel="0" collapsed="false">
      <c r="B397" s="40" t="s">
        <v>713</v>
      </c>
      <c r="C397" s="69" t="s">
        <v>714</v>
      </c>
      <c r="D397" s="40" t="s">
        <v>80</v>
      </c>
      <c r="E397" s="31"/>
      <c r="F397" s="31"/>
      <c r="G397" s="31"/>
      <c r="H397" s="76" t="n">
        <f aca="false">IF($N$6&lt;&gt;"",0,25*IF(($L$380)=0,$N$9,($G$380)/($L$380)))</f>
        <v>25</v>
      </c>
      <c r="I397" s="62" t="n">
        <v>4919.63</v>
      </c>
      <c r="J397" s="63" t="n">
        <f aca="false">H397*I397</f>
        <v>122990.75</v>
      </c>
      <c r="K397" s="64" t="n">
        <f aca="false">IF($N$6&lt;&gt;"",0,25*IF(($L$380)=0,$N$9,($G$380)/($L$380)))</f>
        <v>25</v>
      </c>
      <c r="O397" s="0" t="n">
        <f aca="false">IF($N$6&lt;&gt;"",0,122990.64*IF(($L$380)=0,$N$9,($G$380)/($L$380)))</f>
        <v>122990.64</v>
      </c>
      <c r="P397" s="65" t="n">
        <f aca="false">O397</f>
        <v>122990.64</v>
      </c>
      <c r="Q397" s="66" t="n">
        <f aca="false">J397-P397</f>
        <v>0.110000000000582</v>
      </c>
      <c r="R397" s="67" t="s">
        <v>679</v>
      </c>
    </row>
    <row r="398" customFormat="false" ht="15" hidden="false" customHeight="false" outlineLevel="0" collapsed="false">
      <c r="B398" s="40" t="s">
        <v>715</v>
      </c>
      <c r="C398" s="69" t="s">
        <v>716</v>
      </c>
      <c r="D398" s="40" t="s">
        <v>80</v>
      </c>
      <c r="E398" s="31"/>
      <c r="F398" s="31"/>
      <c r="G398" s="31"/>
      <c r="H398" s="76" t="n">
        <f aca="false">IF($N$6&lt;&gt;"",0,1*IF(($L$380)=0,$N$9,($G$380)/($L$380)))</f>
        <v>1</v>
      </c>
      <c r="I398" s="62" t="n">
        <v>4052.53</v>
      </c>
      <c r="J398" s="63" t="n">
        <f aca="false">H398*I398</f>
        <v>4052.53</v>
      </c>
      <c r="K398" s="64" t="n">
        <f aca="false">IF($N$6&lt;&gt;"",0,1*IF(($L$380)=0,$N$9,($G$380)/($L$380)))</f>
        <v>1</v>
      </c>
      <c r="O398" s="0" t="n">
        <f aca="false">IF($N$6&lt;&gt;"",0,4052.53*IF(($L$380)=0,$N$9,($G$380)/($L$380)))</f>
        <v>4052.53</v>
      </c>
      <c r="P398" s="65" t="n">
        <f aca="false">O398</f>
        <v>4052.53</v>
      </c>
      <c r="Q398" s="66" t="n">
        <f aca="false">J398-P398</f>
        <v>0</v>
      </c>
      <c r="R398" s="67" t="s">
        <v>679</v>
      </c>
    </row>
    <row r="399" customFormat="false" ht="15" hidden="false" customHeight="false" outlineLevel="0" collapsed="false">
      <c r="B399" s="40" t="s">
        <v>717</v>
      </c>
      <c r="C399" s="69" t="s">
        <v>718</v>
      </c>
      <c r="D399" s="40" t="s">
        <v>686</v>
      </c>
      <c r="E399" s="31"/>
      <c r="F399" s="31"/>
      <c r="G399" s="31"/>
      <c r="H399" s="76" t="n">
        <f aca="false">IF($N$6&lt;&gt;"",0,32*IF(($L$380)=0,$N$9,($G$380)/($L$380)))</f>
        <v>32</v>
      </c>
      <c r="I399" s="62" t="n">
        <v>43.02</v>
      </c>
      <c r="J399" s="63" t="n">
        <f aca="false">H399*I399</f>
        <v>1376.64</v>
      </c>
      <c r="K399" s="64" t="n">
        <f aca="false">IF($N$6&lt;&gt;"",0,32*IF(($L$380)=0,$N$9,($G$380)/($L$380)))</f>
        <v>32</v>
      </c>
      <c r="O399" s="0" t="n">
        <f aca="false">IF($N$6&lt;&gt;"",0,1376.65*IF(($L$380)=0,$N$9,($G$380)/($L$380)))</f>
        <v>1376.65</v>
      </c>
      <c r="P399" s="65" t="n">
        <f aca="false">O399</f>
        <v>1376.65</v>
      </c>
      <c r="Q399" s="66" t="n">
        <f aca="false">J399-P399</f>
        <v>-0.00999999999999091</v>
      </c>
      <c r="R399" s="67" t="s">
        <v>679</v>
      </c>
    </row>
    <row r="400" customFormat="false" ht="15" hidden="false" customHeight="false" outlineLevel="0" collapsed="false">
      <c r="B400" s="40" t="s">
        <v>719</v>
      </c>
      <c r="C400" s="69" t="s">
        <v>720</v>
      </c>
      <c r="D400" s="40" t="s">
        <v>686</v>
      </c>
      <c r="E400" s="31"/>
      <c r="F400" s="31"/>
      <c r="G400" s="31"/>
      <c r="H400" s="76" t="n">
        <f aca="false">IF($N$6&lt;&gt;"",0,1*IF(($L$380)=0,$N$9,($G$380)/($L$380)))</f>
        <v>1</v>
      </c>
      <c r="I400" s="62" t="n">
        <v>185.75</v>
      </c>
      <c r="J400" s="63" t="n">
        <f aca="false">H400*I400</f>
        <v>185.75</v>
      </c>
      <c r="K400" s="64" t="n">
        <f aca="false">IF($N$6&lt;&gt;"",0,1*IF(($L$380)=0,$N$9,($G$380)/($L$380)))</f>
        <v>1</v>
      </c>
      <c r="O400" s="0" t="n">
        <f aca="false">IF($N$6&lt;&gt;"",0,185.74*IF(($L$380)=0,$N$9,($G$380)/($L$380)))</f>
        <v>185.74</v>
      </c>
      <c r="P400" s="65" t="n">
        <f aca="false">O400</f>
        <v>185.74</v>
      </c>
      <c r="Q400" s="66" t="n">
        <f aca="false">J400-P400</f>
        <v>0.00999999999999091</v>
      </c>
      <c r="R400" s="67" t="s">
        <v>679</v>
      </c>
    </row>
    <row r="401" customFormat="false" ht="15" hidden="false" customHeight="false" outlineLevel="0" collapsed="false">
      <c r="B401" s="40" t="s">
        <v>721</v>
      </c>
      <c r="C401" s="69" t="s">
        <v>722</v>
      </c>
      <c r="D401" s="40" t="s">
        <v>723</v>
      </c>
      <c r="E401" s="31"/>
      <c r="F401" s="31"/>
      <c r="G401" s="31"/>
      <c r="H401" s="76" t="n">
        <f aca="false">IF($N$6&lt;&gt;"",0,581.34*IF(($L$380)=0,$N$9,($G$380)/($L$380)))</f>
        <v>581.34</v>
      </c>
      <c r="I401" s="62" t="n">
        <v>94.1</v>
      </c>
      <c r="J401" s="63" t="n">
        <f aca="false">H401*I401</f>
        <v>54704.094</v>
      </c>
      <c r="K401" s="64" t="n">
        <f aca="false">IF($N$6&lt;&gt;"",0,581.34*IF(($L$380)=0,$N$9,($G$380)/($L$380)))</f>
        <v>581.34</v>
      </c>
      <c r="O401" s="0" t="n">
        <f aca="false">IF($N$6&lt;&gt;"",0,54706.49*IF(($L$380)=0,$N$9,($G$380)/($L$380)))</f>
        <v>54706.49</v>
      </c>
      <c r="P401" s="65" t="n">
        <f aca="false">O401</f>
        <v>54706.49</v>
      </c>
      <c r="Q401" s="66" t="n">
        <f aca="false">J401-P401</f>
        <v>-2.39600000000064</v>
      </c>
      <c r="R401" s="67" t="s">
        <v>679</v>
      </c>
    </row>
    <row r="402" customFormat="false" ht="15" hidden="false" customHeight="false" outlineLevel="0" collapsed="false">
      <c r="B402" s="70"/>
      <c r="C402" s="71" t="s">
        <v>724</v>
      </c>
      <c r="D402" s="70"/>
      <c r="E402" s="70"/>
      <c r="F402" s="70"/>
      <c r="G402" s="70"/>
      <c r="H402" s="72" t="str">
        <f aca="false">COUNTIF(J378:J401,"&gt;0")&amp;" de "&amp;COUNT(J378:J401)&amp;" itens"</f>
        <v>21 de 21 itens</v>
      </c>
      <c r="I402" s="70"/>
      <c r="J402" s="73" t="n">
        <f aca="false">SUM(J378:J401)</f>
        <v>269871.216</v>
      </c>
      <c r="K402" s="70"/>
      <c r="O402" s="0" t="n">
        <f aca="false">SUM(O378:O401)</f>
        <v>269878.86</v>
      </c>
      <c r="P402" s="74" t="n">
        <f aca="false">SUM(P378:P401)</f>
        <v>269878.86</v>
      </c>
      <c r="Q402" s="75" t="n">
        <f aca="false">J402-P402</f>
        <v>-7.64399999997113</v>
      </c>
      <c r="R402" s="70"/>
    </row>
    <row r="404" customFormat="false" ht="21.75" hidden="false" customHeight="true" outlineLevel="0" collapsed="false">
      <c r="B404" s="56" t="s">
        <v>725</v>
      </c>
      <c r="C404" s="5"/>
      <c r="D404" s="5"/>
      <c r="E404" s="5"/>
      <c r="F404" s="5"/>
      <c r="G404" s="5"/>
      <c r="H404" s="5"/>
      <c r="I404" s="5"/>
      <c r="J404" s="5"/>
      <c r="K404" s="5"/>
      <c r="P404" s="5"/>
      <c r="Q404" s="5"/>
      <c r="R404" s="5"/>
    </row>
    <row r="405" customFormat="false" ht="15" hidden="false" customHeight="false" outlineLevel="0" collapsed="false">
      <c r="B405" s="40" t="s">
        <v>726</v>
      </c>
      <c r="C405" s="59" t="s">
        <v>727</v>
      </c>
      <c r="D405" s="40" t="s">
        <v>73</v>
      </c>
      <c r="E405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estaca'!$A$2:$A$974="HIDROSSEMEADURA EM CORTES")*('MJ – quantidades por estaca'!$F$2:$F$974="LE")))</f>
        <v>19667.6</v>
      </c>
      <c r="F405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estaca'!$A$2:$A$974="HIDROSSEMEADURA EM CORTES")*('MJ – quantidades por estaca'!$F$2:$F$974="LD")))</f>
        <v>19934.26</v>
      </c>
      <c r="G405" s="60" t="n">
        <f aca="false">E405+F405+IF($N$6&lt;&gt;"",0,SUMPRODUCT('MJ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estaca'!$A$2:$A$974="HIDROSSEMEADURA EM CORTES")*('MJ – quantidades por estaca'!$F$2:$F$974="Eixo")))</f>
        <v>39601.86</v>
      </c>
      <c r="H405" s="61" t="n">
        <f aca="false">IF($N$6&lt;&gt;"",0,$G$405)</f>
        <v>39601.86</v>
      </c>
      <c r="I405" s="62" t="n">
        <v>10.72</v>
      </c>
      <c r="J405" s="63" t="n">
        <f aca="false">H405*I405</f>
        <v>424531.9392</v>
      </c>
      <c r="K405" s="64" t="n">
        <f aca="false">IF($N$6&lt;&gt;"",0,47522*IF($L$405=0,$N$9,$G$405/$L$405))</f>
        <v>47522</v>
      </c>
      <c r="L405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estaca'!$A$2:$A$974="HIDROSSEMEADURA EM CORTES")*('MJ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estaca'!$A$2:$A$974="HIDROSSEMEADURA EM CORTES")*('MJ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estaca'!$A$2:$A$974="HIDROSSEMEADURA EM CORTES")*('MJ – quantidades por estaca'!$F$2:$F$974="Eixo"))</f>
        <v>39601.86</v>
      </c>
      <c r="O405" s="0" t="n">
        <f aca="false">IF($N$6&lt;&gt;"",0,509435.84*IF($L$405=0,$N$9,$G$405/$L$405))</f>
        <v>509435.84</v>
      </c>
      <c r="P405" s="65" t="n">
        <f aca="false">O405</f>
        <v>509435.84</v>
      </c>
      <c r="Q405" s="66" t="n">
        <f aca="false">J405-P405</f>
        <v>-84903.9008</v>
      </c>
      <c r="R405" s="67" t="s">
        <v>728</v>
      </c>
    </row>
    <row r="406" customFormat="false" ht="15" hidden="false" customHeight="false" outlineLevel="0" collapsed="false">
      <c r="B406" s="40" t="s">
        <v>729</v>
      </c>
      <c r="C406" s="59" t="s">
        <v>730</v>
      </c>
      <c r="D406" s="40" t="s">
        <v>73</v>
      </c>
      <c r="E406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estaca'!$A$2:$A$974="MANTA ANTIEROSIVA")*('MJ – quantidades por estaca'!$F$2:$F$974="LE")))</f>
        <v>5904</v>
      </c>
      <c r="F406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estaca'!$A$2:$A$974="MANTA ANTIEROSIVA")*('MJ – quantidades por estaca'!$F$2:$F$974="LD")))</f>
        <v>7545</v>
      </c>
      <c r="G406" s="60" t="n">
        <f aca="false">E406+F406+IF($N$6&lt;&gt;"",0,SUMPRODUCT('MJ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estaca'!$A$2:$A$974="MANTA ANTIEROSIVA")*('MJ – quantidades por estaca'!$F$2:$F$974="Eixo")))</f>
        <v>13449</v>
      </c>
      <c r="H406" s="61" t="n">
        <f aca="false">IF($N$6&lt;&gt;"",0,$G$406)</f>
        <v>13449</v>
      </c>
      <c r="I406" s="62" t="n">
        <v>18.27</v>
      </c>
      <c r="J406" s="63" t="n">
        <f aca="false">H406*I406</f>
        <v>245713.23</v>
      </c>
      <c r="K406" s="64" t="n">
        <f aca="false">IF($N$6&lt;&gt;"",0,13449*IF($L$406=0,$N$9,$G$406/$L$406))</f>
        <v>13449</v>
      </c>
      <c r="L406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estaca'!$A$2:$A$974="MANTA ANTIEROSIVA")*('MJ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estaca'!$A$2:$A$974="MANTA ANTIEROSIVA")*('MJ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estaca'!$A$2:$A$974="MANTA ANTIEROSIVA")*('MJ – quantidades por estaca'!$F$2:$F$974="Eixo"))</f>
        <v>13449</v>
      </c>
      <c r="O406" s="0" t="n">
        <f aca="false">IF($N$6&lt;&gt;"",0,245713.23*IF($L$406=0,$N$9,$G$406/$L$406))</f>
        <v>245713.23</v>
      </c>
      <c r="P406" s="65" t="n">
        <f aca="false">O406</f>
        <v>245713.23</v>
      </c>
      <c r="Q406" s="66" t="n">
        <f aca="false">J406-P406</f>
        <v>0</v>
      </c>
      <c r="R406" s="67" t="s">
        <v>728</v>
      </c>
    </row>
    <row r="407" customFormat="false" ht="15" hidden="false" customHeight="false" outlineLevel="0" collapsed="false">
      <c r="B407" s="40"/>
      <c r="C407" s="59" t="s">
        <v>731</v>
      </c>
      <c r="D407" s="40" t="s">
        <v>73</v>
      </c>
      <c r="E407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estaca'!$A$2:$A$974="ENLEIVAMENTO EM ATERROS")*('MJ – quantidades por estaca'!$F$2:$F$974="LE")))</f>
        <v>16613.76</v>
      </c>
      <c r="F407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estaca'!$A$2:$A$974="ENLEIVAMENTO EM ATERROS")*('MJ – quantidades por estaca'!$F$2:$F$974="LD")))</f>
        <v>14852.53</v>
      </c>
      <c r="G407" s="60" t="n">
        <f aca="false">E407+F407+IF($N$6&lt;&gt;"",0,SUMPRODUCT('MJ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estaca'!$A$2:$A$974="ENLEIVAMENTO EM ATERROS")*('MJ – quantidades por estaca'!$F$2:$F$974="Eixo")))</f>
        <v>31646.76</v>
      </c>
      <c r="H407" s="31"/>
      <c r="I407" s="31"/>
      <c r="J407" s="31"/>
      <c r="K407" s="31"/>
      <c r="L407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estaca'!$A$2:$A$974="ENLEIVAMENTO EM ATERROS")*('MJ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estaca'!$A$2:$A$974="ENLEIVAMENTO EM ATERROS")*('MJ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estaca'!$A$2:$A$974="ENLEIVAMENTO EM ATERROS")*('MJ – quantidades por estaca'!$F$2:$F$974="Eixo"))</f>
        <v>31646.76</v>
      </c>
      <c r="P407" s="31"/>
      <c r="Q407" s="31"/>
      <c r="R407" s="67" t="s">
        <v>732</v>
      </c>
    </row>
    <row r="408" customFormat="false" ht="15" hidden="false" customHeight="false" outlineLevel="0" collapsed="false">
      <c r="B408" s="40"/>
      <c r="C408" s="59" t="s">
        <v>733</v>
      </c>
      <c r="D408" s="40" t="s">
        <v>73</v>
      </c>
      <c r="E408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estaca'!$A$2:$A$974="ENLEIVAMENTO EM CANTEIROS E ÁREA DE TERRAPLENAGEM")*('MJ – quantidades por estaca'!$F$2:$F$974="LE")))</f>
        <v>30206</v>
      </c>
      <c r="F408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estaca'!$A$2:$A$974="ENLEIVAMENTO EM CANTEIROS E ÁREA DE TERRAPLENAGEM")*('MJ – quantidades por estaca'!$F$2:$F$974="LD")))</f>
        <v>28304</v>
      </c>
      <c r="G408" s="60" t="n">
        <f aca="false">E408+F408+IF($N$6&lt;&gt;"",0,SUMPRODUCT('MJ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estaca'!$A$2:$A$974="ENLEIVAMENTO EM CANTEIROS E ÁREA DE TERRAPLENAGEM")*('MJ – quantidades por estaca'!$F$2:$F$974="Eixo")))</f>
        <v>58510</v>
      </c>
      <c r="H408" s="31"/>
      <c r="I408" s="31"/>
      <c r="J408" s="31"/>
      <c r="K408" s="31"/>
      <c r="L408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estaca'!$A$2:$A$974="ENLEIVAMENTO EM CANTEIROS E ÁREA DE TERRAPLENAGEM")*('MJ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estaca'!$A$2:$A$974="ENLEIVAMENTO EM CANTEIROS E ÁREA DE TERRAPLENAGEM")*('MJ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estaca'!$A$2:$A$974="ENLEIVAMENTO EM CANTEIROS E ÁREA DE TERRAPLENAGEM")*('MJ – quantidades por estaca'!$F$2:$F$974="Eixo"))</f>
        <v>58510</v>
      </c>
      <c r="P408" s="31"/>
      <c r="Q408" s="31"/>
      <c r="R408" s="67" t="s">
        <v>732</v>
      </c>
    </row>
    <row r="409" customFormat="false" ht="15" hidden="false" customHeight="false" outlineLevel="0" collapsed="false">
      <c r="B409" s="40"/>
      <c r="C409" s="77" t="s">
        <v>734</v>
      </c>
      <c r="D409" s="40" t="s">
        <v>73</v>
      </c>
      <c r="E409" s="31"/>
      <c r="F409" s="31"/>
      <c r="G409" s="78" t="n">
        <f aca="false">IF($N$6&lt;&gt;"",0,20900*$N$9)</f>
        <v>20900</v>
      </c>
      <c r="H409" s="31"/>
      <c r="I409" s="31"/>
      <c r="J409" s="31"/>
      <c r="K409" s="31"/>
      <c r="L409" s="0" t="n">
        <f aca="false">20900*1</f>
        <v>20900</v>
      </c>
      <c r="P409" s="31"/>
      <c r="Q409" s="31"/>
      <c r="R409" s="67" t="s">
        <v>735</v>
      </c>
    </row>
    <row r="410" customFormat="false" ht="15" hidden="false" customHeight="false" outlineLevel="0" collapsed="false">
      <c r="B410" s="40" t="s">
        <v>433</v>
      </c>
      <c r="C410" s="69" t="s">
        <v>736</v>
      </c>
      <c r="D410" s="40" t="s">
        <v>73</v>
      </c>
      <c r="E410" s="31"/>
      <c r="F410" s="31"/>
      <c r="G410" s="31"/>
      <c r="H410" s="61" t="n">
        <f aca="false">IF($N$6&lt;&gt;"",0,($G$407+$G$408+$G$409)*1)</f>
        <v>111056.76</v>
      </c>
      <c r="I410" s="62" t="n">
        <v>13.61</v>
      </c>
      <c r="J410" s="63" t="n">
        <f aca="false">H410*I410</f>
        <v>1511482.5036</v>
      </c>
      <c r="K410" s="64" t="n">
        <f aca="false">IF($N$6&lt;&gt;"",0,128450*IF(($L$407+$L$408+$L$409)=0,$N$9,($G$407+$G$408+$G$409)/($L$407+$L$408+$L$409)))</f>
        <v>128450</v>
      </c>
      <c r="O410" s="0" t="n">
        <f aca="false">IF($N$6&lt;&gt;"",0,1748204.5*IF(($L$407+$L$408+$L$409)=0,$N$9,($G$407+$G$408+$G$409)/($L$407+$L$408+$L$409)))</f>
        <v>1748204.5</v>
      </c>
      <c r="P410" s="65" t="n">
        <f aca="false">O410</f>
        <v>1748204.5</v>
      </c>
      <c r="Q410" s="66" t="n">
        <f aca="false">J410-P410</f>
        <v>-236721.9964</v>
      </c>
      <c r="R410" s="67" t="s">
        <v>737</v>
      </c>
    </row>
    <row r="411" customFormat="false" ht="15" hidden="false" customHeight="false" outlineLevel="0" collapsed="false">
      <c r="B411" s="40"/>
      <c r="C411" s="59" t="s">
        <v>738</v>
      </c>
      <c r="D411" s="40" t="s">
        <v>80</v>
      </c>
      <c r="E411" s="68" t="n">
        <f aca="false">IF($N$6&lt;&gt;"",0,COUNTIFS('Paisagismo – bordo e árvores'!$H$2:$H$17,"&gt;="&amp;$M$2,'Paisagismo – bordo e árvores'!$H$2:$H$17,"&lt;"&amp;($N$2+($N$2&gt;=Estacas!$B$650-0.00001)*0.001),'Paisagismo – bordo e árvores'!$I$2:$I$17,"LE"))</f>
        <v>5</v>
      </c>
      <c r="F411" s="68" t="n">
        <f aca="false">IF($N$6&lt;&gt;"",0,COUNTIFS('Paisagismo – bordo e árvores'!$H$2:$H$17,"&gt;="&amp;$M$2,'Paisagismo – bordo e árvores'!$H$2:$H$17,"&lt;"&amp;($N$2+($N$2&gt;=Estacas!$B$650-0.00001)*0.001),'Paisagismo – bordo e árvores'!$I$2:$I$17,"LD"))</f>
        <v>11</v>
      </c>
      <c r="G411" s="60" t="n">
        <f aca="false">E411+F411</f>
        <v>16</v>
      </c>
      <c r="H411" s="31"/>
      <c r="I411" s="31"/>
      <c r="J411" s="31"/>
      <c r="K411" s="31"/>
      <c r="L411" s="0" t="n">
        <f aca="false">COUNTIFS('Paisagismo – bordo e árvores'!$H$2:$H$17,"&gt;="&amp;$M$12,'Paisagismo – bordo e árvores'!$H$2:$H$17,"&lt;"&amp;($N$12+($N$12&gt;=Estacas!$B$650-0.00001)*0.001),'Paisagismo – bordo e árvores'!$I$2:$I$17,"LE")+COUNTIFS('Paisagismo – bordo e árvores'!$H$2:$H$17,"&gt;="&amp;$M$12,'Paisagismo – bordo e árvores'!$H$2:$H$17,"&lt;"&amp;($N$12+($N$12&gt;=Estacas!$B$650-0.00001)*0.001),'Paisagismo – bordo e árvores'!$I$2:$I$17,"LD")</f>
        <v>16</v>
      </c>
      <c r="P411" s="31"/>
      <c r="Q411" s="31"/>
      <c r="R411" s="67" t="s">
        <v>739</v>
      </c>
    </row>
    <row r="412" customFormat="false" ht="15" hidden="false" customHeight="false" outlineLevel="0" collapsed="false">
      <c r="B412" s="70"/>
      <c r="C412" s="71" t="s">
        <v>740</v>
      </c>
      <c r="D412" s="70"/>
      <c r="E412" s="70"/>
      <c r="F412" s="70"/>
      <c r="G412" s="70"/>
      <c r="H412" s="72" t="str">
        <f aca="false">COUNTIF(J405:J411,"&gt;0")&amp;" de "&amp;COUNT(J405:J411)&amp;" itens"</f>
        <v>3 de 3 itens</v>
      </c>
      <c r="I412" s="70"/>
      <c r="J412" s="73" t="n">
        <f aca="false">SUM(J405:J411)</f>
        <v>2181727.6728</v>
      </c>
      <c r="K412" s="70"/>
      <c r="O412" s="0" t="n">
        <f aca="false">SUM(O405:O411)</f>
        <v>2503353.57</v>
      </c>
      <c r="P412" s="74" t="n">
        <f aca="false">SUM(P405:P411)</f>
        <v>2503353.57</v>
      </c>
      <c r="Q412" s="75" t="n">
        <f aca="false">J412-P412</f>
        <v>-321625.897200001</v>
      </c>
      <c r="R412" s="70"/>
    </row>
    <row r="414" customFormat="false" ht="21.75" hidden="false" customHeight="true" outlineLevel="0" collapsed="false">
      <c r="B414" s="56" t="s">
        <v>741</v>
      </c>
      <c r="C414" s="5"/>
      <c r="D414" s="5"/>
      <c r="E414" s="5"/>
      <c r="F414" s="5"/>
      <c r="G414" s="5"/>
      <c r="H414" s="5"/>
      <c r="I414" s="5"/>
      <c r="J414" s="5"/>
      <c r="K414" s="5"/>
      <c r="P414" s="5"/>
      <c r="Q414" s="5"/>
      <c r="R414" s="5"/>
    </row>
    <row r="415" customFormat="false" ht="15" hidden="false" customHeight="false" outlineLevel="0" collapsed="false">
      <c r="B415" s="40" t="s">
        <v>742</v>
      </c>
      <c r="C415" s="59" t="s">
        <v>743</v>
      </c>
      <c r="D415" s="40" t="s">
        <v>176</v>
      </c>
      <c r="E415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CERCA")*('MJ – quantidades por estaca'!$F$2:$F$974="LE")))</f>
        <v>13542.97</v>
      </c>
      <c r="F415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CERCA")*('MJ – quantidades por estaca'!$F$2:$F$974="LD")))</f>
        <v>13700.67</v>
      </c>
      <c r="G415" s="60" t="n">
        <f aca="false">E415+F415+IF($N$6&lt;&gt;"",0,SUMPRODUCT('MJ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CERCA")*('MJ – quantidades por estaca'!$F$2:$F$974="Eixo")))</f>
        <v>27243.64</v>
      </c>
      <c r="H415" s="61" t="n">
        <f aca="false">IF($N$6&lt;&gt;"",0,$G$415)</f>
        <v>27243.64</v>
      </c>
      <c r="I415" s="62" t="n">
        <v>43.11</v>
      </c>
      <c r="J415" s="63" t="n">
        <f aca="false">H415*I415</f>
        <v>1174473.3204</v>
      </c>
      <c r="K415" s="64" t="n">
        <f aca="false">IF($N$6&lt;&gt;"",0,15906.82*IF($L$415=0,$N$9,$G$415/$L$415))</f>
        <v>15906.82</v>
      </c>
      <c r="L415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CERCA")*('MJ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CERCA")*('MJ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CERCA")*('MJ – quantidades por estaca'!$F$2:$F$974="Eixo"))</f>
        <v>27243.64</v>
      </c>
      <c r="O415" s="0" t="n">
        <f aca="false">IF($N$6&lt;&gt;"",0,685743.01*IF($L$415=0,$N$9,$G$415/$L$415))</f>
        <v>685743.01</v>
      </c>
      <c r="P415" s="65" t="n">
        <f aca="false">O415</f>
        <v>685743.01</v>
      </c>
      <c r="Q415" s="66" t="n">
        <f aca="false">J415-P415</f>
        <v>488730.3104</v>
      </c>
      <c r="R415" s="67" t="s">
        <v>522</v>
      </c>
    </row>
    <row r="416" customFormat="false" ht="15" hidden="false" customHeight="false" outlineLevel="0" collapsed="false">
      <c r="B416" s="40" t="s">
        <v>744</v>
      </c>
      <c r="C416" s="59" t="s">
        <v>745</v>
      </c>
      <c r="D416" s="40" t="s">
        <v>176</v>
      </c>
      <c r="E416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CERCA")*('MJ – quantidades por estaca'!$F$2:$F$974="LE")))</f>
        <v>3722.05</v>
      </c>
      <c r="F416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CERCA")*('MJ – quantidades por estaca'!$F$2:$F$974="LD")))</f>
        <v>3489.67</v>
      </c>
      <c r="G416" s="60" t="n">
        <f aca="false">E416+F416+IF($N$6&lt;&gt;"",0,SUMPRODUCT('MJ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CERCA")*('MJ – quantidades por estaca'!$F$2:$F$974="Eixo")))</f>
        <v>7211.72</v>
      </c>
      <c r="H416" s="61" t="n">
        <f aca="false">IF($N$6&lt;&gt;"",0,$G$416)</f>
        <v>7211.72</v>
      </c>
      <c r="I416" s="62" t="n">
        <v>13.95</v>
      </c>
      <c r="J416" s="63" t="n">
        <f aca="false">H416*I416</f>
        <v>100603.494</v>
      </c>
      <c r="K416" s="64" t="n">
        <f aca="false">IF($N$6&lt;&gt;"",0,6304.5*IF($L$416=0,$N$9,$G$416/$L$416))</f>
        <v>6304.5</v>
      </c>
      <c r="L416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CERCA")*('MJ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CERCA")*('MJ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CERCA")*('MJ – quantidades por estaca'!$F$2:$F$974="Eixo"))</f>
        <v>7211.72</v>
      </c>
      <c r="O416" s="0" t="n">
        <f aca="false">IF($N$6&lt;&gt;"",0,87947.77*IF($L$416=0,$N$9,$G$416/$L$416))</f>
        <v>87947.77</v>
      </c>
      <c r="P416" s="65" t="n">
        <f aca="false">O416</f>
        <v>87947.77</v>
      </c>
      <c r="Q416" s="66" t="n">
        <f aca="false">J416-P416</f>
        <v>12655.724</v>
      </c>
      <c r="R416" s="67" t="s">
        <v>522</v>
      </c>
    </row>
    <row r="417" customFormat="false" ht="15" hidden="false" customHeight="false" outlineLevel="0" collapsed="false">
      <c r="B417" s="40" t="s">
        <v>746</v>
      </c>
      <c r="C417" s="59" t="s">
        <v>747</v>
      </c>
      <c r="D417" s="40" t="s">
        <v>80</v>
      </c>
      <c r="E417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ABRIGO EM PARADA DE ÔNIBUS")*('MJ – quantidades por estaca'!$F$2:$F$974="LE")))</f>
        <v>8</v>
      </c>
      <c r="F417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ABRIGO EM PARADA DE ÔNIBUS")*('MJ – quantidades por estaca'!$F$2:$F$974="LD")))</f>
        <v>9</v>
      </c>
      <c r="G417" s="60" t="n">
        <f aca="false">E417+F417+IF($N$6&lt;&gt;"",0,SUMPRODUCT('MJ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ABRIGO EM PARADA DE ÔNIBUS")*('MJ – quantidades por estaca'!$F$2:$F$974="Eixo")))</f>
        <v>17</v>
      </c>
      <c r="H417" s="61" t="n">
        <f aca="false">IF($N$6&lt;&gt;"",0,$G$417)</f>
        <v>17</v>
      </c>
      <c r="I417" s="62" t="n">
        <v>8899.71</v>
      </c>
      <c r="J417" s="63" t="n">
        <f aca="false">H417*I417</f>
        <v>151295.07</v>
      </c>
      <c r="K417" s="64" t="n">
        <f aca="false">IF($N$6&lt;&gt;"",0,17*IF($L$417=0,$N$9,$G$417/$L$417))</f>
        <v>17</v>
      </c>
      <c r="L417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ABRIGO EM PARADA DE ÔNIBUS")*('MJ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ABRIGO EM PARADA DE ÔNIBUS")*('MJ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ABRIGO EM PARADA DE ÔNIBUS")*('MJ – quantidades por estaca'!$F$2:$F$974="Eixo"))</f>
        <v>17</v>
      </c>
      <c r="O417" s="0" t="n">
        <f aca="false">IF($N$6&lt;&gt;"",0,151295.07*IF($L$417=0,$N$9,$G$417/$L$417))</f>
        <v>151295.07</v>
      </c>
      <c r="P417" s="65" t="n">
        <f aca="false">O417</f>
        <v>151295.07</v>
      </c>
      <c r="Q417" s="66" t="n">
        <f aca="false">J417-P417</f>
        <v>0</v>
      </c>
      <c r="R417" s="67" t="s">
        <v>522</v>
      </c>
    </row>
    <row r="418" customFormat="false" ht="15" hidden="false" customHeight="false" outlineLevel="0" collapsed="false">
      <c r="B418" s="40" t="s">
        <v>748</v>
      </c>
      <c r="C418" s="59" t="s">
        <v>749</v>
      </c>
      <c r="D418" s="40" t="s">
        <v>80</v>
      </c>
      <c r="E418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PONTO DE ÔNIBUS")*('MJ – quantidades por estaca'!$F$2:$F$974="LE")))</f>
        <v>2</v>
      </c>
      <c r="F418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PONTO DE ÔNIBUS")*('MJ – quantidades por estaca'!$F$2:$F$974="LD")))</f>
        <v>1</v>
      </c>
      <c r="G418" s="60" t="n">
        <f aca="false">E418+F418+IF($N$6&lt;&gt;"",0,SUMPRODUCT('MJ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PONTO DE ÔNIBUS")*('MJ – quantidades por estaca'!$F$2:$F$974="Eixo")))</f>
        <v>3</v>
      </c>
      <c r="H418" s="61" t="n">
        <f aca="false">IF($N$6&lt;&gt;"",0,$G$418)</f>
        <v>3</v>
      </c>
      <c r="I418" s="62" t="n">
        <v>98.6</v>
      </c>
      <c r="J418" s="63" t="n">
        <f aca="false">H418*I418</f>
        <v>295.8</v>
      </c>
      <c r="K418" s="64" t="n">
        <f aca="false">IF($N$6&lt;&gt;"",0,3*IF($L$418=0,$N$9,$G$418/$L$418))</f>
        <v>3</v>
      </c>
      <c r="L418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PONTO DE ÔNIBUS")*('MJ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PONTO DE ÔNIBUS")*('MJ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PONTO DE ÔNIBUS")*('MJ – quantidades por estaca'!$F$2:$F$974="Eixo"))</f>
        <v>3</v>
      </c>
      <c r="O418" s="0" t="n">
        <f aca="false">IF($N$6&lt;&gt;"",0,295.8*IF($L$418=0,$N$9,$G$418/$L$418))</f>
        <v>295.8</v>
      </c>
      <c r="P418" s="65" t="n">
        <f aca="false">O418</f>
        <v>295.8</v>
      </c>
      <c r="Q418" s="66" t="n">
        <f aca="false">J418-P418</f>
        <v>0</v>
      </c>
      <c r="R418" s="67" t="s">
        <v>522</v>
      </c>
    </row>
    <row r="419" customFormat="false" ht="15" hidden="false" customHeight="false" outlineLevel="0" collapsed="false">
      <c r="B419" s="40" t="s">
        <v>750</v>
      </c>
      <c r="C419" s="59" t="s">
        <v>751</v>
      </c>
      <c r="D419" s="40" t="s">
        <v>80</v>
      </c>
      <c r="E419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estaca'!$A$2:$A$974="RELOCAÇÃO DE PORTÃO")*('MJ – quantidades por estaca'!$F$2:$F$974="LE")))</f>
        <v>3</v>
      </c>
      <c r="F419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estaca'!$A$2:$A$974="RELOCAÇÃO DE PORTÃO")*('MJ – quantidades por estaca'!$F$2:$F$974="LD")))</f>
        <v>1</v>
      </c>
      <c r="G419" s="60" t="n">
        <f aca="false">E419+F419+IF($N$6&lt;&gt;"",0,SUMPRODUCT('MJ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estaca'!$A$2:$A$974="RELOCAÇÃO DE PORTÃO")*('MJ – quantidades por estaca'!$F$2:$F$974="Eixo")))</f>
        <v>4</v>
      </c>
      <c r="H419" s="61" t="n">
        <f aca="false">IF($N$6&lt;&gt;"",0,$G$419)</f>
        <v>4</v>
      </c>
      <c r="I419" s="62" t="n">
        <v>678.11</v>
      </c>
      <c r="J419" s="63" t="n">
        <f aca="false">H419*I419</f>
        <v>2712.44</v>
      </c>
      <c r="K419" s="64" t="n">
        <f aca="false">IF($N$6&lt;&gt;"",0,4*IF($L$419=0,$N$9,$G$419/$L$419))</f>
        <v>4</v>
      </c>
      <c r="L419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estaca'!$A$2:$A$974="RELOCAÇÃO DE PORTÃO")*('MJ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estaca'!$A$2:$A$974="RELOCAÇÃO DE PORTÃO")*('MJ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estaca'!$A$2:$A$974="RELOCAÇÃO DE PORTÃO")*('MJ – quantidades por estaca'!$F$2:$F$974="Eixo"))</f>
        <v>4</v>
      </c>
      <c r="O419" s="0" t="n">
        <f aca="false">IF($N$6&lt;&gt;"",0,2712.44*IF($L$419=0,$N$9,$G$419/$L$419))</f>
        <v>2712.44</v>
      </c>
      <c r="P419" s="65" t="n">
        <f aca="false">O419</f>
        <v>2712.44</v>
      </c>
      <c r="Q419" s="66" t="n">
        <f aca="false">J419-P419</f>
        <v>0</v>
      </c>
      <c r="R419" s="67" t="s">
        <v>522</v>
      </c>
    </row>
    <row r="420" customFormat="false" ht="15" hidden="false" customHeight="false" outlineLevel="0" collapsed="false">
      <c r="B420" s="40" t="s">
        <v>352</v>
      </c>
      <c r="C420" s="59" t="s">
        <v>752</v>
      </c>
      <c r="D420" s="40" t="s">
        <v>77</v>
      </c>
      <c r="E420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CONCRETO")*('MJ – quantidades por estaca'!$F$2:$F$974="LE")))</f>
        <v>3</v>
      </c>
      <c r="F420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CONCRETO")*('MJ – quantidades por estaca'!$F$2:$F$974="LD")))</f>
        <v>1</v>
      </c>
      <c r="G420" s="60" t="n">
        <f aca="false">E420+F420+IF($N$6&lt;&gt;"",0,SUMPRODUCT('MJ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estaca'!$A$2:$A$974="REMOÇÃO DE CONCRETO")*('MJ – quantidades por estaca'!$F$2:$F$974="Eixo")))</f>
        <v>4</v>
      </c>
      <c r="H420" s="61" t="n">
        <f aca="false">IF($N$6&lt;&gt;"",0,$G$420)</f>
        <v>4</v>
      </c>
      <c r="I420" s="62" t="n">
        <v>164.4</v>
      </c>
      <c r="J420" s="63" t="n">
        <f aca="false">H420*I420</f>
        <v>657.6</v>
      </c>
      <c r="K420" s="64" t="n">
        <f aca="false">IF($N$6&lt;&gt;"",0,4*IF($L$420=0,$N$9,$G$420/$L$420))</f>
        <v>4</v>
      </c>
      <c r="L420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CONCRETO")*('MJ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CONCRETO")*('MJ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estaca'!$A$2:$A$974="REMOÇÃO DE CONCRETO")*('MJ – quantidades por estaca'!$F$2:$F$974="Eixo"))</f>
        <v>4</v>
      </c>
      <c r="O420" s="0" t="n">
        <f aca="false">IF($N$6&lt;&gt;"",0,657.6*IF($L$420=0,$N$9,$G$420/$L$420))</f>
        <v>657.6</v>
      </c>
      <c r="P420" s="65" t="n">
        <f aca="false">O420</f>
        <v>657.6</v>
      </c>
      <c r="Q420" s="66" t="n">
        <f aca="false">J420-P420</f>
        <v>0</v>
      </c>
      <c r="R420" s="67" t="s">
        <v>522</v>
      </c>
    </row>
    <row r="421" customFormat="false" ht="15" hidden="false" customHeight="false" outlineLevel="0" collapsed="false">
      <c r="B421" s="40" t="s">
        <v>753</v>
      </c>
      <c r="C421" s="59" t="s">
        <v>754</v>
      </c>
      <c r="D421" s="40" t="s">
        <v>176</v>
      </c>
      <c r="E421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estaca'!$A$2:$A$974="BARREIRA DE SILTAGEM")*('MJ – quantidades por estaca'!$F$2:$F$974="LE")))</f>
        <v>2402.5</v>
      </c>
      <c r="F421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estaca'!$A$2:$A$974="BARREIRA DE SILTAGEM")*('MJ – quantidades por estaca'!$F$2:$F$974="LD")))</f>
        <v>3061</v>
      </c>
      <c r="G421" s="60" t="n">
        <f aca="false">E421+F421+IF($N$6&lt;&gt;"",0,SUMPRODUCT('MJ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estaca'!$A$2:$A$974="BARREIRA DE SILTAGEM")*('MJ – quantidades por estaca'!$F$2:$F$974="Eixo")))</f>
        <v>5463.5</v>
      </c>
      <c r="H421" s="61" t="n">
        <f aca="false">IF($N$6&lt;&gt;"",0,$G$421)</f>
        <v>5463.5</v>
      </c>
      <c r="I421" s="62" t="n">
        <v>29.56</v>
      </c>
      <c r="J421" s="63" t="n">
        <f aca="false">H421*I421</f>
        <v>161501.06</v>
      </c>
      <c r="K421" s="64" t="n">
        <f aca="false">IF($N$6&lt;&gt;"",0,5463.5*IF($L$421=0,$N$9,$G$421/$L$421))</f>
        <v>5463.5</v>
      </c>
      <c r="L421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estaca'!$A$2:$A$974="BARREIRA DE SILTAGEM")*('MJ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estaca'!$A$2:$A$974="BARREIRA DE SILTAGEM")*('MJ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estaca'!$A$2:$A$974="BARREIRA DE SILTAGEM")*('MJ – quantidades por estaca'!$F$2:$F$974="Eixo"))</f>
        <v>5463.5</v>
      </c>
      <c r="O421" s="0" t="n">
        <f aca="false">IF($N$6&lt;&gt;"",0,161501.06*IF($L$421=0,$N$9,$G$421/$L$421))</f>
        <v>161501.06</v>
      </c>
      <c r="P421" s="65" t="n">
        <f aca="false">O421</f>
        <v>161501.06</v>
      </c>
      <c r="Q421" s="66" t="n">
        <f aca="false">J421-P421</f>
        <v>0</v>
      </c>
      <c r="R421" s="67" t="s">
        <v>522</v>
      </c>
    </row>
    <row r="422" customFormat="false" ht="15" hidden="false" customHeight="false" outlineLevel="0" collapsed="false">
      <c r="B422" s="57"/>
      <c r="C422" s="58" t="s">
        <v>755</v>
      </c>
      <c r="D422" s="57"/>
      <c r="E422" s="57"/>
      <c r="F422" s="57"/>
      <c r="G422" s="57"/>
      <c r="H422" s="57"/>
      <c r="I422" s="57"/>
      <c r="J422" s="57"/>
      <c r="K422" s="57"/>
      <c r="P422" s="57"/>
      <c r="Q422" s="57"/>
      <c r="R422" s="57"/>
    </row>
    <row r="423" customFormat="false" ht="15" hidden="false" customHeight="false" outlineLevel="0" collapsed="false">
      <c r="B423" s="40" t="s">
        <v>756</v>
      </c>
      <c r="C423" s="59" t="s">
        <v>757</v>
      </c>
      <c r="D423" s="40" t="s">
        <v>73</v>
      </c>
      <c r="E423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PASSEIO PAVER COM 0,06cm")*('MJ – quantidades por estaca'!$F$2:$F$974="LE")))</f>
        <v>1828</v>
      </c>
      <c r="F423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PASSEIO PAVER COM 0,06cm")*('MJ – quantidades por estaca'!$F$2:$F$974="LD")))</f>
        <v>2563</v>
      </c>
      <c r="G423" s="60" t="n">
        <f aca="false">E423+F423+IF($N$6&lt;&gt;"",0,SUMPRODUCT('MJ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PASSEIO PAVER COM 0,06cm")*('MJ – quantidades por estaca'!$F$2:$F$974="Eixo")))</f>
        <v>4391</v>
      </c>
      <c r="H423" s="61" t="n">
        <f aca="false">IF($N$6&lt;&gt;"",0,$G$423)</f>
        <v>4391</v>
      </c>
      <c r="I423" s="62" t="n">
        <v>96.75</v>
      </c>
      <c r="J423" s="63" t="n">
        <f aca="false">H423*I423</f>
        <v>424829.25</v>
      </c>
      <c r="K423" s="64" t="n">
        <f aca="false">IF($N$6&lt;&gt;"",0,4391*IF($L$423=0,$N$9,$G$423/$L$423))</f>
        <v>4391</v>
      </c>
      <c r="L423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PASSEIO PAVER COM 0,06cm")*('MJ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PASSEIO PAVER COM 0,06cm")*('MJ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PASSEIO PAVER COM 0,06cm")*('MJ – quantidades por estaca'!$F$2:$F$974="Eixo"))</f>
        <v>4391</v>
      </c>
      <c r="O423" s="0" t="n">
        <f aca="false">IF($N$6&lt;&gt;"",0,424829.25*IF($L$423=0,$N$9,$G$423/$L$423))</f>
        <v>424829.25</v>
      </c>
      <c r="P423" s="65" t="n">
        <f aca="false">O423</f>
        <v>424829.25</v>
      </c>
      <c r="Q423" s="66" t="n">
        <f aca="false">J423-P423</f>
        <v>0</v>
      </c>
      <c r="R423" s="67" t="s">
        <v>522</v>
      </c>
    </row>
    <row r="424" customFormat="false" ht="15" hidden="false" customHeight="false" outlineLevel="0" collapsed="false">
      <c r="B424" s="40" t="s">
        <v>758</v>
      </c>
      <c r="C424" s="59" t="s">
        <v>759</v>
      </c>
      <c r="D424" s="40" t="s">
        <v>73</v>
      </c>
      <c r="E424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PASSEIO PAVER COM 0,08cm")*('MJ – quantidades por estaca'!$F$2:$F$974="LE")))</f>
        <v>298</v>
      </c>
      <c r="F424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PASSEIO PAVER COM 0,08cm")*('MJ – quantidades por estaca'!$F$2:$F$974="LD")))</f>
        <v>228</v>
      </c>
      <c r="G424" s="60" t="n">
        <f aca="false">E424+F424+IF($N$6&lt;&gt;"",0,SUMPRODUCT('MJ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PASSEIO PAVER COM 0,08cm")*('MJ – quantidades por estaca'!$F$2:$F$974="Eixo")))</f>
        <v>526</v>
      </c>
      <c r="H424" s="61" t="n">
        <f aca="false">IF($N$6&lt;&gt;"",0,$G$424)</f>
        <v>526</v>
      </c>
      <c r="I424" s="62" t="n">
        <v>108.83</v>
      </c>
      <c r="J424" s="63" t="n">
        <f aca="false">H424*I424</f>
        <v>57244.58</v>
      </c>
      <c r="K424" s="64" t="n">
        <f aca="false">IF($N$6&lt;&gt;"",0,581*IF($L$424=0,$N$9,$G$424/$L$424))</f>
        <v>581</v>
      </c>
      <c r="L424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PASSEIO PAVER COM 0,08cm")*('MJ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PASSEIO PAVER COM 0,08cm")*('MJ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PASSEIO PAVER COM 0,08cm")*('MJ – quantidades por estaca'!$F$2:$F$974="Eixo"))</f>
        <v>526</v>
      </c>
      <c r="O424" s="0" t="n">
        <f aca="false">IF($N$6&lt;&gt;"",0,63230.23*IF($L$424=0,$N$9,$G$424/$L$424))</f>
        <v>63230.23</v>
      </c>
      <c r="P424" s="65" t="n">
        <f aca="false">O424</f>
        <v>63230.23</v>
      </c>
      <c r="Q424" s="66" t="n">
        <f aca="false">J424-P424</f>
        <v>-5985.65</v>
      </c>
      <c r="R424" s="67" t="s">
        <v>522</v>
      </c>
    </row>
    <row r="425" customFormat="false" ht="15" hidden="false" customHeight="false" outlineLevel="0" collapsed="false">
      <c r="B425" s="40" t="s">
        <v>760</v>
      </c>
      <c r="C425" s="59" t="s">
        <v>761</v>
      </c>
      <c r="D425" s="40" t="s">
        <v>176</v>
      </c>
      <c r="E425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GUARDA CORPO")*('MJ – quantidades por estaca'!$F$2:$F$974="LE")))</f>
        <v>108</v>
      </c>
      <c r="F425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GUARDA CORPO")*('MJ – quantidades por estaca'!$F$2:$F$974="LD")))</f>
        <v>232</v>
      </c>
      <c r="G425" s="60" t="n">
        <f aca="false">E425+F425+IF($N$6&lt;&gt;"",0,SUMPRODUCT('MJ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GUARDA CORPO")*('MJ – quantidades por estaca'!$F$2:$F$974="Eixo")))</f>
        <v>340</v>
      </c>
      <c r="H425" s="61" t="n">
        <f aca="false">IF($N$6&lt;&gt;"",0,$G$425)</f>
        <v>340</v>
      </c>
      <c r="I425" s="62" t="n">
        <v>638.51</v>
      </c>
      <c r="J425" s="63" t="n">
        <f aca="false">H425*I425</f>
        <v>217093.4</v>
      </c>
      <c r="K425" s="64" t="n">
        <f aca="false">IF($N$6&lt;&gt;"",0,340*IF($L$425=0,$N$9,$G$425/$L$425))</f>
        <v>340</v>
      </c>
      <c r="L425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GUARDA CORPO")*('MJ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GUARDA CORPO")*('MJ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GUARDA CORPO")*('MJ – quantidades por estaca'!$F$2:$F$974="Eixo"))</f>
        <v>340</v>
      </c>
      <c r="O425" s="0" t="n">
        <f aca="false">IF($N$6&lt;&gt;"",0,217093.4*IF($L$425=0,$N$9,$G$425/$L$425))</f>
        <v>217093.4</v>
      </c>
      <c r="P425" s="65" t="n">
        <f aca="false">O425</f>
        <v>217093.4</v>
      </c>
      <c r="Q425" s="66" t="n">
        <f aca="false">J425-P425</f>
        <v>0</v>
      </c>
      <c r="R425" s="67" t="s">
        <v>522</v>
      </c>
    </row>
    <row r="426" customFormat="false" ht="15" hidden="false" customHeight="false" outlineLevel="0" collapsed="false">
      <c r="B426" s="40"/>
      <c r="C426" s="59" t="s">
        <v>762</v>
      </c>
      <c r="D426" s="40" t="s">
        <v>176</v>
      </c>
      <c r="E426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PISO PODOTÁTIL")*('MJ – quantidades por estaca'!$F$2:$F$974="LE")))</f>
        <v>29</v>
      </c>
      <c r="F426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PISO PODOTÁTIL")*('MJ – quantidades por estaca'!$F$2:$F$974="LD")))</f>
        <v>54</v>
      </c>
      <c r="G426" s="60" t="n">
        <f aca="false">E426+F426+IF($N$6&lt;&gt;"",0,SUMPRODUCT('MJ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PISO PODOTÁTIL")*('MJ – quantidades por estaca'!$F$2:$F$974="Eixo")))</f>
        <v>83</v>
      </c>
      <c r="H426" s="31"/>
      <c r="I426" s="31"/>
      <c r="J426" s="31"/>
      <c r="K426" s="31"/>
      <c r="L426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PISO PODOTÁTIL")*('MJ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PISO PODOTÁTIL")*('MJ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PISO PODOTÁTIL")*('MJ – quantidades por estaca'!$F$2:$F$974="Eixo"))</f>
        <v>83</v>
      </c>
      <c r="P426" s="31"/>
      <c r="Q426" s="31"/>
      <c r="R426" s="67" t="s">
        <v>763</v>
      </c>
    </row>
    <row r="427" customFormat="false" ht="15" hidden="false" customHeight="false" outlineLevel="0" collapsed="false">
      <c r="B427" s="40"/>
      <c r="C427" s="59" t="s">
        <v>764</v>
      </c>
      <c r="D427" s="40" t="s">
        <v>80</v>
      </c>
      <c r="E427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RAMPA PCD -TIPO 1")*('MJ – quantidades por estaca'!$F$2:$F$974="LE"))+SUMPRODUCT('MJ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RAMPA PCD -TIPO 2")*('MJ – quantidades por estaca'!$F$2:$F$974="LE")))</f>
        <v>2</v>
      </c>
      <c r="F427" s="68" t="n">
        <f aca="false">IF($N$6&lt;&gt;"",0,SUMPRODUCT('MJ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RAMPA PCD -TIPO 1")*('MJ – quantidades por estaca'!$F$2:$F$974="LD"))+SUMPRODUCT('MJ – quantidades por estaca'!$G$2:$G$974,((('MJ – quantidades por estaca'!$E$2:$E$974&lt;$N$2)*'MJ – quantidades por estaca'!$E$2:$E$974+('MJ – quantidades por estaca'!$E$2:$E$974&gt;=$N$2)*$N$2)-(('MJ – quantidades por estaca'!$D$2:$D$974&gt;$M$2)*'MJ – quantidades por estaca'!$D$2:$D$974+('MJ – quantidades por estaca'!$D$2:$D$974&lt;=$M$2)*$M$2))*('MJ – quantidades por estaca'!$D$2:$D$974&lt;$N$2)*('MJ – quantidades por estaca'!$E$2:$E$974&gt;$M$2)/('MJ – quantidades por estaca'!$E$2:$E$974-'MJ – quantidades por estaca'!$D$2:$D$974)*('MJ – quantidades por estaca'!$A$2:$A$974="IMPLANTAÇÃO DE RAMPA PCD -TIPO 2")*('MJ – quantidades por estaca'!$F$2:$F$974="LD")))</f>
        <v>8</v>
      </c>
      <c r="G427" s="60" t="n">
        <f aca="false">E427+F427</f>
        <v>10</v>
      </c>
      <c r="H427" s="31"/>
      <c r="I427" s="31"/>
      <c r="J427" s="31"/>
      <c r="K427" s="31"/>
      <c r="L427" s="0" t="n">
        <f aca="false">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RAMPA PCD -TIPO 1")*('MJ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RAMPA PCD -TIPO 2")*('MJ – quantidades por estaca'!$F$2:$F$974="LE"))+SUMPRODUCT('MJ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RAMPA PCD -TIPO 1")*('MJ – quantidades por estaca'!$F$2:$F$974="LD"))+SUMPRODUCT('MJ – quantidades por estaca'!$G$2:$G$974,((('MJ – quantidades por estaca'!$E$2:$E$974&lt;$N$12)*'MJ – quantidades por estaca'!$E$2:$E$974+('MJ – quantidades por estaca'!$E$2:$E$974&gt;=$N$12)*$N$12)-(('MJ – quantidades por estaca'!$D$2:$D$974&gt;$M$12)*'MJ – quantidades por estaca'!$D$2:$D$974+('MJ – quantidades por estaca'!$D$2:$D$974&lt;=$M$12)*$M$12))*('MJ – quantidades por estaca'!$D$2:$D$974&lt;$N$12)*('MJ – quantidades por estaca'!$E$2:$E$974&gt;$M$12)/('MJ – quantidades por estaca'!$E$2:$E$974-'MJ – quantidades por estaca'!$D$2:$D$974)*('MJ – quantidades por estaca'!$A$2:$A$974="IMPLANTAÇÃO DE RAMPA PCD -TIPO 2")*('MJ – quantidades por estaca'!$F$2:$F$974="LD"))</f>
        <v>10</v>
      </c>
      <c r="P427" s="31"/>
      <c r="Q427" s="31"/>
      <c r="R427" s="67" t="s">
        <v>765</v>
      </c>
    </row>
    <row r="428" customFormat="false" ht="15" hidden="false" customHeight="false" outlineLevel="0" collapsed="false">
      <c r="B428" s="40" t="s">
        <v>766</v>
      </c>
      <c r="C428" s="69" t="s">
        <v>767</v>
      </c>
      <c r="D428" s="40" t="s">
        <v>73</v>
      </c>
      <c r="E428" s="31"/>
      <c r="F428" s="31"/>
      <c r="G428" s="31"/>
      <c r="H428" s="76" t="n">
        <f aca="false">IF($N$6&lt;&gt;"",0,13.28*IF(($L$426)=0,$N$9,($G$426)/($L$426)))</f>
        <v>13.28</v>
      </c>
      <c r="I428" s="62" t="n">
        <v>118.67</v>
      </c>
      <c r="J428" s="63" t="n">
        <f aca="false">H428*I428</f>
        <v>1575.9376</v>
      </c>
      <c r="K428" s="64" t="n">
        <f aca="false">IF($N$6&lt;&gt;"",0,13.28*IF(($L$426)=0,$N$9,($G$426)/($L$426)))</f>
        <v>13.28</v>
      </c>
      <c r="O428" s="0" t="n">
        <f aca="false">IF($N$6&lt;&gt;"",0,1575.93*IF(($L$426)=0,$N$9,($G$426)/($L$426)))</f>
        <v>1575.93</v>
      </c>
      <c r="P428" s="65" t="n">
        <f aca="false">O428</f>
        <v>1575.93</v>
      </c>
      <c r="Q428" s="66" t="n">
        <f aca="false">J428-P428</f>
        <v>0.00759999999991123</v>
      </c>
      <c r="R428" s="67" t="s">
        <v>768</v>
      </c>
    </row>
    <row r="429" customFormat="false" ht="15" hidden="false" customHeight="false" outlineLevel="0" collapsed="false">
      <c r="B429" s="40" t="s">
        <v>766</v>
      </c>
      <c r="C429" s="69" t="s">
        <v>769</v>
      </c>
      <c r="D429" s="40" t="s">
        <v>73</v>
      </c>
      <c r="E429" s="31"/>
      <c r="F429" s="31"/>
      <c r="G429" s="31"/>
      <c r="H429" s="76" t="n">
        <f aca="false">IF($N$6&lt;&gt;"",0,10*IF(($L$426)=0,$N$9,($G$426)/($L$426)))</f>
        <v>10</v>
      </c>
      <c r="I429" s="62" t="n">
        <v>118.67</v>
      </c>
      <c r="J429" s="63" t="n">
        <f aca="false">H429*I429</f>
        <v>1186.7</v>
      </c>
      <c r="K429" s="64" t="n">
        <f aca="false">IF($N$6&lt;&gt;"",0,10*IF(($L$426)=0,$N$9,($G$426)/($L$426)))</f>
        <v>10</v>
      </c>
      <c r="O429" s="0" t="n">
        <f aca="false">IF($N$6&lt;&gt;"",0,1186.7*IF(($L$426)=0,$N$9,($G$426)/($L$426)))</f>
        <v>1186.7</v>
      </c>
      <c r="P429" s="65" t="n">
        <f aca="false">O429</f>
        <v>1186.7</v>
      </c>
      <c r="Q429" s="66" t="n">
        <f aca="false">J429-P429</f>
        <v>0</v>
      </c>
      <c r="R429" s="67" t="s">
        <v>768</v>
      </c>
    </row>
    <row r="430" customFormat="false" ht="15" hidden="false" customHeight="false" outlineLevel="0" collapsed="false">
      <c r="B430" s="40" t="s">
        <v>422</v>
      </c>
      <c r="C430" s="69" t="s">
        <v>770</v>
      </c>
      <c r="D430" s="40" t="s">
        <v>173</v>
      </c>
      <c r="E430" s="31"/>
      <c r="F430" s="31"/>
      <c r="G430" s="31"/>
      <c r="H430" s="76" t="n">
        <f aca="false">IF($N$6&lt;&gt;"",0,839.12*IF(($L$423+$L$424)=0,$N$9,($G$423+$G$424)/($L$423+$L$424)))</f>
        <v>839.12</v>
      </c>
      <c r="I430" s="62" t="n">
        <v>18.67</v>
      </c>
      <c r="J430" s="63" t="n">
        <f aca="false">H430*I430</f>
        <v>15666.3704</v>
      </c>
      <c r="K430" s="64" t="n">
        <f aca="false">IF($N$6&lt;&gt;"",0,839.12*IF(($L$423+$L$424)=0,$N$9,($G$423+$G$424)/($L$423+$L$424)))</f>
        <v>839.12</v>
      </c>
      <c r="O430" s="0" t="n">
        <f aca="false">IF($N$6&lt;&gt;"",0,15666.37*IF(($L$423+$L$424)=0,$N$9,($G$423+$G$424)/($L$423+$L$424)))</f>
        <v>15666.37</v>
      </c>
      <c r="P430" s="65" t="n">
        <f aca="false">O430</f>
        <v>15666.37</v>
      </c>
      <c r="Q430" s="66" t="n">
        <f aca="false">J430-P430</f>
        <v>0.000400000000809087</v>
      </c>
      <c r="R430" s="67" t="s">
        <v>771</v>
      </c>
    </row>
    <row r="431" customFormat="false" ht="15" hidden="false" customHeight="false" outlineLevel="0" collapsed="false">
      <c r="B431" s="40" t="s">
        <v>425</v>
      </c>
      <c r="C431" s="69" t="s">
        <v>772</v>
      </c>
      <c r="D431" s="40" t="s">
        <v>173</v>
      </c>
      <c r="E431" s="31"/>
      <c r="F431" s="31"/>
      <c r="G431" s="31"/>
      <c r="H431" s="76" t="n">
        <f aca="false">IF($N$6&lt;&gt;"",0,1122*IF(($L$423+$L$424)=0,$N$9,($G$423+$G$424)/($L$423+$L$424)))</f>
        <v>1122</v>
      </c>
      <c r="I431" s="62" t="n">
        <v>20.08</v>
      </c>
      <c r="J431" s="63" t="n">
        <f aca="false">H431*I431</f>
        <v>22529.76</v>
      </c>
      <c r="K431" s="64" t="n">
        <f aca="false">IF($N$6&lt;&gt;"",0,1122*IF(($L$423+$L$424)=0,$N$9,($G$423+$G$424)/($L$423+$L$424)))</f>
        <v>1122</v>
      </c>
      <c r="O431" s="0" t="n">
        <f aca="false">IF($N$6&lt;&gt;"",0,22529.76*IF(($L$423+$L$424)=0,$N$9,($G$423+$G$424)/($L$423+$L$424)))</f>
        <v>22529.76</v>
      </c>
      <c r="P431" s="65" t="n">
        <f aca="false">O431</f>
        <v>22529.76</v>
      </c>
      <c r="Q431" s="66" t="n">
        <f aca="false">J431-P431</f>
        <v>0</v>
      </c>
      <c r="R431" s="67" t="s">
        <v>771</v>
      </c>
    </row>
    <row r="432" customFormat="false" ht="15" hidden="false" customHeight="false" outlineLevel="0" collapsed="false">
      <c r="B432" s="40" t="s">
        <v>190</v>
      </c>
      <c r="C432" s="69" t="s">
        <v>773</v>
      </c>
      <c r="D432" s="40" t="s">
        <v>77</v>
      </c>
      <c r="E432" s="31"/>
      <c r="F432" s="31"/>
      <c r="G432" s="31"/>
      <c r="H432" s="61" t="n">
        <f aca="false">IF($N$6&lt;&gt;"",0,491.7*IF(($L$423+$L$424)=0,$N$9,($G$423+$G$424)/($L$423+$L$424)))</f>
        <v>491.7</v>
      </c>
      <c r="I432" s="62" t="n">
        <v>241.97</v>
      </c>
      <c r="J432" s="63" t="n">
        <f aca="false">H432*I432</f>
        <v>118976.649</v>
      </c>
      <c r="K432" s="64" t="n">
        <f aca="false">IF($N$6&lt;&gt;"",0,491.7*IF(($L$423+$L$424)=0,$N$9,($G$423+$G$424)/($L$423+$L$424)))</f>
        <v>491.7</v>
      </c>
      <c r="O432" s="0" t="n">
        <f aca="false">IF($N$6&lt;&gt;"",0,118976.64*IF(($L$423+$L$424)=0,$N$9,($G$423+$G$424)/($L$423+$L$424)))</f>
        <v>118976.64</v>
      </c>
      <c r="P432" s="65" t="n">
        <f aca="false">O432</f>
        <v>118976.64</v>
      </c>
      <c r="Q432" s="66" t="n">
        <f aca="false">J432-P432</f>
        <v>0.00899999999091961</v>
      </c>
      <c r="R432" s="67" t="s">
        <v>774</v>
      </c>
    </row>
    <row r="433" customFormat="false" ht="15" hidden="false" customHeight="false" outlineLevel="0" collapsed="false">
      <c r="B433" s="40" t="s">
        <v>440</v>
      </c>
      <c r="C433" s="69" t="s">
        <v>775</v>
      </c>
      <c r="D433" s="40" t="s">
        <v>77</v>
      </c>
      <c r="E433" s="31"/>
      <c r="F433" s="31"/>
      <c r="G433" s="31"/>
      <c r="H433" s="76" t="n">
        <f aca="false">IF($N$6&lt;&gt;"",0,13.6*IF(($L$423+$L$424)=0,$N$9,($G$423+$G$424)/($L$423+$L$424)))</f>
        <v>13.6</v>
      </c>
      <c r="I433" s="62" t="n">
        <v>793.16</v>
      </c>
      <c r="J433" s="63" t="n">
        <f aca="false">H433*I433</f>
        <v>10786.976</v>
      </c>
      <c r="K433" s="64" t="n">
        <f aca="false">IF($N$6&lt;&gt;"",0,13.6*IF(($L$423+$L$424)=0,$N$9,($G$423+$G$424)/($L$423+$L$424)))</f>
        <v>13.6</v>
      </c>
      <c r="O433" s="0" t="n">
        <f aca="false">IF($N$6&lt;&gt;"",0,10786.97*IF(($L$423+$L$424)=0,$N$9,($G$423+$G$424)/($L$423+$L$424)))</f>
        <v>10786.97</v>
      </c>
      <c r="P433" s="65" t="n">
        <f aca="false">O433</f>
        <v>10786.97</v>
      </c>
      <c r="Q433" s="66" t="n">
        <f aca="false">J433-P433</f>
        <v>0.00599999999940337</v>
      </c>
      <c r="R433" s="67" t="s">
        <v>771</v>
      </c>
    </row>
    <row r="434" customFormat="false" ht="15" hidden="false" customHeight="false" outlineLevel="0" collapsed="false">
      <c r="B434" s="40" t="s">
        <v>776</v>
      </c>
      <c r="C434" s="69" t="s">
        <v>777</v>
      </c>
      <c r="D434" s="40" t="s">
        <v>77</v>
      </c>
      <c r="E434" s="31"/>
      <c r="F434" s="31"/>
      <c r="G434" s="31"/>
      <c r="H434" s="76" t="n">
        <f aca="false">IF($N$6&lt;&gt;"",0,16.81*IF(($L$423+$L$424)=0,$N$9,($G$423+$G$424)/($L$423+$L$424)))</f>
        <v>16.81</v>
      </c>
      <c r="I434" s="62" t="n">
        <v>55.27</v>
      </c>
      <c r="J434" s="63" t="n">
        <f aca="false">H434*I434</f>
        <v>929.0887</v>
      </c>
      <c r="K434" s="64" t="n">
        <f aca="false">IF($N$6&lt;&gt;"",0,16.81*IF(($L$423+$L$424)=0,$N$9,($G$423+$G$424)/($L$423+$L$424)))</f>
        <v>16.81</v>
      </c>
      <c r="O434" s="0" t="n">
        <f aca="false">IF($N$6&lt;&gt;"",0,929.08*IF(($L$423+$L$424)=0,$N$9,($G$423+$G$424)/($L$423+$L$424)))</f>
        <v>929.08</v>
      </c>
      <c r="P434" s="65" t="n">
        <f aca="false">O434</f>
        <v>929.08</v>
      </c>
      <c r="Q434" s="66" t="n">
        <f aca="false">J434-P434</f>
        <v>0.00869999999997617</v>
      </c>
      <c r="R434" s="67" t="s">
        <v>771</v>
      </c>
    </row>
    <row r="435" customFormat="false" ht="15" hidden="false" customHeight="false" outlineLevel="0" collapsed="false">
      <c r="B435" s="40" t="s">
        <v>438</v>
      </c>
      <c r="C435" s="69" t="s">
        <v>778</v>
      </c>
      <c r="D435" s="40" t="s">
        <v>73</v>
      </c>
      <c r="E435" s="31"/>
      <c r="F435" s="31"/>
      <c r="G435" s="31"/>
      <c r="H435" s="76" t="n">
        <f aca="false">IF($N$6&lt;&gt;"",0,214.2*IF(($L$423+$L$424)=0,$N$9,($G$423+$G$424)/($L$423+$L$424)))</f>
        <v>214.2</v>
      </c>
      <c r="I435" s="62" t="n">
        <v>68.59</v>
      </c>
      <c r="J435" s="63" t="n">
        <f aca="false">H435*I435</f>
        <v>14691.978</v>
      </c>
      <c r="K435" s="64" t="n">
        <f aca="false">IF($N$6&lt;&gt;"",0,214.2*IF(($L$423+$L$424)=0,$N$9,($G$423+$G$424)/($L$423+$L$424)))</f>
        <v>214.2</v>
      </c>
      <c r="O435" s="0" t="n">
        <f aca="false">IF($N$6&lt;&gt;"",0,14691.97*IF(($L$423+$L$424)=0,$N$9,($G$423+$G$424)/($L$423+$L$424)))</f>
        <v>14691.97</v>
      </c>
      <c r="P435" s="65" t="n">
        <f aca="false">O435</f>
        <v>14691.97</v>
      </c>
      <c r="Q435" s="66" t="n">
        <f aca="false">J435-P435</f>
        <v>0.00799999999981083</v>
      </c>
      <c r="R435" s="67" t="s">
        <v>771</v>
      </c>
    </row>
    <row r="436" customFormat="false" ht="15" hidden="false" customHeight="false" outlineLevel="0" collapsed="false">
      <c r="B436" s="40" t="s">
        <v>180</v>
      </c>
      <c r="C436" s="69" t="s">
        <v>779</v>
      </c>
      <c r="D436" s="40" t="s">
        <v>73</v>
      </c>
      <c r="E436" s="31"/>
      <c r="F436" s="31"/>
      <c r="G436" s="31"/>
      <c r="H436" s="61" t="n">
        <f aca="false">IF($N$6&lt;&gt;"",0,5180*IF(($L$423+$L$424)=0,$N$9,($G$423+$G$424)/($L$423+$L$424)))</f>
        <v>5180</v>
      </c>
      <c r="I436" s="62" t="n">
        <v>5.16</v>
      </c>
      <c r="J436" s="63" t="n">
        <f aca="false">H436*I436</f>
        <v>26728.8</v>
      </c>
      <c r="K436" s="64" t="n">
        <f aca="false">IF($N$6&lt;&gt;"",0,5180*IF(($L$423+$L$424)=0,$N$9,($G$423+$G$424)/($L$423+$L$424)))</f>
        <v>5180</v>
      </c>
      <c r="O436" s="0" t="n">
        <f aca="false">IF($N$6&lt;&gt;"",0,26728.8*IF(($L$423+$L$424)=0,$N$9,($G$423+$G$424)/($L$423+$L$424)))</f>
        <v>26728.8</v>
      </c>
      <c r="P436" s="65" t="n">
        <f aca="false">O436</f>
        <v>26728.8</v>
      </c>
      <c r="Q436" s="66" t="n">
        <f aca="false">J436-P436</f>
        <v>0</v>
      </c>
      <c r="R436" s="67" t="s">
        <v>774</v>
      </c>
    </row>
    <row r="437" customFormat="false" ht="15" hidden="false" customHeight="false" outlineLevel="0" collapsed="false">
      <c r="B437" s="40" t="s">
        <v>780</v>
      </c>
      <c r="C437" s="69" t="s">
        <v>781</v>
      </c>
      <c r="D437" s="40" t="s">
        <v>77</v>
      </c>
      <c r="E437" s="31"/>
      <c r="F437" s="31"/>
      <c r="G437" s="31"/>
      <c r="H437" s="76" t="n">
        <f aca="false">IF($N$6&lt;&gt;"",0,0.07*IF(($L$427)=0,$N$9,($G$427)/($L$427)))</f>
        <v>0.07</v>
      </c>
      <c r="I437" s="62" t="n">
        <v>843.46</v>
      </c>
      <c r="J437" s="63" t="n">
        <f aca="false">H437*I437</f>
        <v>59.0422</v>
      </c>
      <c r="K437" s="64" t="n">
        <f aca="false">IF($N$6&lt;&gt;"",0,0.07*IF(($L$427)=0,$N$9,($G$427)/($L$427)))</f>
        <v>0.07</v>
      </c>
      <c r="O437" s="0" t="n">
        <f aca="false">IF($N$6&lt;&gt;"",0,59.04*IF(($L$427)=0,$N$9,($G$427)/($L$427)))</f>
        <v>59.04</v>
      </c>
      <c r="P437" s="65" t="n">
        <f aca="false">O437</f>
        <v>59.04</v>
      </c>
      <c r="Q437" s="66" t="n">
        <f aca="false">J437-P437</f>
        <v>0.00220000000000908</v>
      </c>
      <c r="R437" s="67" t="s">
        <v>782</v>
      </c>
    </row>
    <row r="438" customFormat="false" ht="15" hidden="false" customHeight="false" outlineLevel="0" collapsed="false">
      <c r="B438" s="40" t="s">
        <v>440</v>
      </c>
      <c r="C438" s="69" t="s">
        <v>783</v>
      </c>
      <c r="D438" s="40" t="s">
        <v>77</v>
      </c>
      <c r="E438" s="31"/>
      <c r="F438" s="31"/>
      <c r="G438" s="31"/>
      <c r="H438" s="76" t="n">
        <f aca="false">IF($N$6&lt;&gt;"",0,3.03*IF(($L$427)=0,$N$9,($G$427)/($L$427)))</f>
        <v>3.03</v>
      </c>
      <c r="I438" s="62" t="n">
        <v>793.16</v>
      </c>
      <c r="J438" s="63" t="n">
        <f aca="false">H438*I438</f>
        <v>2403.2748</v>
      </c>
      <c r="K438" s="64" t="n">
        <f aca="false">IF($N$6&lt;&gt;"",0,3.03*IF(($L$427)=0,$N$9,($G$427)/($L$427)))</f>
        <v>3.03</v>
      </c>
      <c r="O438" s="0" t="n">
        <f aca="false">IF($N$6&lt;&gt;"",0,2403.27*IF(($L$427)=0,$N$9,($G$427)/($L$427)))</f>
        <v>2403.27</v>
      </c>
      <c r="P438" s="65" t="n">
        <f aca="false">O438</f>
        <v>2403.27</v>
      </c>
      <c r="Q438" s="66" t="n">
        <f aca="false">J438-P438</f>
        <v>0.0047999999997046</v>
      </c>
      <c r="R438" s="67" t="s">
        <v>782</v>
      </c>
    </row>
    <row r="439" customFormat="false" ht="15" hidden="false" customHeight="false" outlineLevel="0" collapsed="false">
      <c r="B439" s="40" t="s">
        <v>438</v>
      </c>
      <c r="C439" s="69" t="s">
        <v>784</v>
      </c>
      <c r="D439" s="40" t="s">
        <v>73</v>
      </c>
      <c r="E439" s="31"/>
      <c r="F439" s="31"/>
      <c r="G439" s="31"/>
      <c r="H439" s="76" t="n">
        <f aca="false">IF($N$6&lt;&gt;"",0,2.86*IF(($L$427)=0,$N$9,($G$427)/($L$427)))</f>
        <v>2.86</v>
      </c>
      <c r="I439" s="62" t="n">
        <v>68.59</v>
      </c>
      <c r="J439" s="63" t="n">
        <f aca="false">H439*I439</f>
        <v>196.1674</v>
      </c>
      <c r="K439" s="64" t="n">
        <f aca="false">IF($N$6&lt;&gt;"",0,2.86*IF(($L$427)=0,$N$9,($G$427)/($L$427)))</f>
        <v>2.86</v>
      </c>
      <c r="O439" s="0" t="n">
        <f aca="false">IF($N$6&lt;&gt;"",0,196.16*IF(($L$427)=0,$N$9,($G$427)/($L$427)))</f>
        <v>196.16</v>
      </c>
      <c r="P439" s="65" t="n">
        <f aca="false">O439</f>
        <v>196.16</v>
      </c>
      <c r="Q439" s="66" t="n">
        <f aca="false">J439-P439</f>
        <v>0.00740000000001828</v>
      </c>
      <c r="R439" s="67" t="s">
        <v>782</v>
      </c>
    </row>
    <row r="440" customFormat="false" ht="15" hidden="false" customHeight="false" outlineLevel="0" collapsed="false">
      <c r="B440" s="40" t="s">
        <v>766</v>
      </c>
      <c r="C440" s="69" t="s">
        <v>785</v>
      </c>
      <c r="D440" s="40" t="s">
        <v>73</v>
      </c>
      <c r="E440" s="31"/>
      <c r="F440" s="31"/>
      <c r="G440" s="31"/>
      <c r="H440" s="76" t="n">
        <f aca="false">IF($N$6&lt;&gt;"",0,15.68*IF(($L$427)=0,$N$9,($G$427)/($L$427)))</f>
        <v>15.68</v>
      </c>
      <c r="I440" s="62" t="n">
        <v>118.67</v>
      </c>
      <c r="J440" s="63" t="n">
        <f aca="false">H440*I440</f>
        <v>1860.7456</v>
      </c>
      <c r="K440" s="64" t="n">
        <f aca="false">IF($N$6&lt;&gt;"",0,15.68*IF(($L$427)=0,$N$9,($G$427)/($L$427)))</f>
        <v>15.68</v>
      </c>
      <c r="O440" s="0" t="n">
        <f aca="false">IF($N$6&lt;&gt;"",0,1860.74*IF(($L$427)=0,$N$9,($G$427)/($L$427)))</f>
        <v>1860.74</v>
      </c>
      <c r="P440" s="65" t="n">
        <f aca="false">O440</f>
        <v>1860.74</v>
      </c>
      <c r="Q440" s="66" t="n">
        <f aca="false">J440-P440</f>
        <v>0.00559999999995853</v>
      </c>
      <c r="R440" s="67" t="s">
        <v>782</v>
      </c>
    </row>
    <row r="441" customFormat="false" ht="15" hidden="false" customHeight="false" outlineLevel="0" collapsed="false">
      <c r="B441" s="40" t="s">
        <v>786</v>
      </c>
      <c r="C441" s="69" t="s">
        <v>787</v>
      </c>
      <c r="D441" s="40" t="s">
        <v>173</v>
      </c>
      <c r="E441" s="31"/>
      <c r="F441" s="31"/>
      <c r="G441" s="31"/>
      <c r="H441" s="76" t="n">
        <f aca="false">IF($N$6&lt;&gt;"",0,25.12*IF(($L$427)=0,$N$9,($G$427)/($L$427)))</f>
        <v>25.12</v>
      </c>
      <c r="I441" s="62" t="n">
        <v>10.37</v>
      </c>
      <c r="J441" s="63" t="n">
        <f aca="false">H441*I441</f>
        <v>260.4944</v>
      </c>
      <c r="K441" s="64" t="n">
        <f aca="false">IF($N$6&lt;&gt;"",0,25.12*IF(($L$427)=0,$N$9,($G$427)/($L$427)))</f>
        <v>25.12</v>
      </c>
      <c r="O441" s="0" t="n">
        <f aca="false">IF($N$6&lt;&gt;"",0,260.49*IF(($L$427)=0,$N$9,($G$427)/($L$427)))</f>
        <v>260.49</v>
      </c>
      <c r="P441" s="65" t="n">
        <f aca="false">O441</f>
        <v>260.49</v>
      </c>
      <c r="Q441" s="66" t="n">
        <f aca="false">J441-P441</f>
        <v>0.00439999999997554</v>
      </c>
      <c r="R441" s="67" t="s">
        <v>782</v>
      </c>
    </row>
    <row r="442" customFormat="false" ht="15" hidden="false" customHeight="false" outlineLevel="0" collapsed="false">
      <c r="B442" s="40" t="s">
        <v>330</v>
      </c>
      <c r="C442" s="69" t="s">
        <v>788</v>
      </c>
      <c r="D442" s="40" t="s">
        <v>77</v>
      </c>
      <c r="E442" s="31"/>
      <c r="F442" s="31"/>
      <c r="G442" s="31"/>
      <c r="H442" s="76" t="n">
        <f aca="false">IF($N$6&lt;&gt;"",0,1.22*IF(($L$427)=0,$N$9,($G$427)/($L$427)))</f>
        <v>1.22</v>
      </c>
      <c r="I442" s="62" t="n">
        <v>195.31</v>
      </c>
      <c r="J442" s="63" t="n">
        <f aca="false">H442*I442</f>
        <v>238.2782</v>
      </c>
      <c r="K442" s="64" t="n">
        <f aca="false">IF($N$6&lt;&gt;"",0,1.22*IF(($L$427)=0,$N$9,($G$427)/($L$427)))</f>
        <v>1.22</v>
      </c>
      <c r="O442" s="0" t="n">
        <f aca="false">IF($N$6&lt;&gt;"",0,238.27*IF(($L$427)=0,$N$9,($G$427)/($L$427)))</f>
        <v>238.27</v>
      </c>
      <c r="P442" s="65" t="n">
        <f aca="false">O442</f>
        <v>238.27</v>
      </c>
      <c r="Q442" s="66" t="n">
        <f aca="false">J442-P442</f>
        <v>0.008199999999988</v>
      </c>
      <c r="R442" s="67" t="s">
        <v>782</v>
      </c>
    </row>
    <row r="443" customFormat="false" ht="15" hidden="false" customHeight="false" outlineLevel="0" collapsed="false">
      <c r="B443" s="70"/>
      <c r="C443" s="71" t="s">
        <v>789</v>
      </c>
      <c r="D443" s="70"/>
      <c r="E443" s="70"/>
      <c r="F443" s="70"/>
      <c r="G443" s="70"/>
      <c r="H443" s="72" t="str">
        <f aca="false">COUNTIF(J415:J442,"&gt;0")&amp;" de "&amp;COUNT(J415:J442)&amp;" itens"</f>
        <v>25 de 25 itens</v>
      </c>
      <c r="I443" s="70"/>
      <c r="J443" s="73" t="n">
        <f aca="false">SUM(J415:J442)</f>
        <v>2508796.2767</v>
      </c>
      <c r="K443" s="70"/>
      <c r="O443" s="0" t="n">
        <f aca="false">SUM(O415:O442)</f>
        <v>2013395.82</v>
      </c>
      <c r="P443" s="74" t="n">
        <f aca="false">SUM(P415:P442)</f>
        <v>2013395.82</v>
      </c>
      <c r="Q443" s="75" t="n">
        <f aca="false">J443-P443</f>
        <v>495400.4567</v>
      </c>
      <c r="R443" s="70"/>
    </row>
    <row r="445" customFormat="false" ht="21.75" hidden="false" customHeight="true" outlineLevel="0" collapsed="false">
      <c r="B445" s="56" t="s">
        <v>790</v>
      </c>
      <c r="C445" s="5"/>
      <c r="D445" s="5"/>
      <c r="E445" s="5"/>
      <c r="F445" s="5"/>
      <c r="G445" s="5"/>
      <c r="H445" s="5"/>
      <c r="I445" s="5"/>
      <c r="J445" s="5"/>
      <c r="K445" s="5"/>
      <c r="P445" s="5"/>
      <c r="Q445" s="5"/>
      <c r="R445" s="5"/>
    </row>
    <row r="446" customFormat="false" ht="15" hidden="false" customHeight="false" outlineLevel="0" collapsed="false">
      <c r="B446" s="57"/>
      <c r="C446" s="58" t="s">
        <v>791</v>
      </c>
      <c r="D446" s="57"/>
      <c r="E446" s="57"/>
      <c r="F446" s="57"/>
      <c r="G446" s="57"/>
      <c r="H446" s="57"/>
      <c r="I446" s="57"/>
      <c r="J446" s="57"/>
      <c r="K446" s="57"/>
      <c r="P446" s="57"/>
      <c r="Q446" s="57"/>
      <c r="R446" s="57"/>
    </row>
    <row r="447" customFormat="false" ht="15" hidden="false" customHeight="false" outlineLevel="0" collapsed="false">
      <c r="B447" s="40" t="s">
        <v>792</v>
      </c>
      <c r="C447" s="69" t="s">
        <v>793</v>
      </c>
      <c r="D447" s="40" t="s">
        <v>794</v>
      </c>
      <c r="E447" s="31"/>
      <c r="F447" s="31"/>
      <c r="G447" s="31"/>
      <c r="H447" s="76" t="n">
        <f aca="false">IF($N$6&lt;&gt;"",0,4320*$N$9)</f>
        <v>4320</v>
      </c>
      <c r="I447" s="62" t="n">
        <v>35.09</v>
      </c>
      <c r="J447" s="63" t="n">
        <f aca="false">H447*I447</f>
        <v>151588.8</v>
      </c>
      <c r="K447" s="64" t="n">
        <f aca="false">IF($N$6&lt;&gt;"",0,4320*$N$9)</f>
        <v>4320</v>
      </c>
      <c r="O447" s="0" t="n">
        <f aca="false">IF($N$6&lt;&gt;"",0,151588.8*$N$9)</f>
        <v>151588.8</v>
      </c>
      <c r="P447" s="65" t="n">
        <f aca="false">O447</f>
        <v>151588.8</v>
      </c>
      <c r="Q447" s="66" t="n">
        <f aca="false">J447-P447</f>
        <v>0</v>
      </c>
      <c r="R447" s="67" t="s">
        <v>795</v>
      </c>
    </row>
    <row r="448" customFormat="false" ht="15" hidden="false" customHeight="false" outlineLevel="0" collapsed="false">
      <c r="B448" s="40" t="s">
        <v>796</v>
      </c>
      <c r="C448" s="69" t="s">
        <v>797</v>
      </c>
      <c r="D448" s="40" t="s">
        <v>176</v>
      </c>
      <c r="E448" s="31"/>
      <c r="F448" s="31"/>
      <c r="G448" s="31"/>
      <c r="H448" s="76" t="n">
        <f aca="false">IF($N$6&lt;&gt;"",0,120*$N$9)</f>
        <v>120</v>
      </c>
      <c r="I448" s="62" t="n">
        <v>90.84</v>
      </c>
      <c r="J448" s="63" t="n">
        <f aca="false">H448*I448</f>
        <v>10900.8</v>
      </c>
      <c r="K448" s="64" t="n">
        <f aca="false">IF($N$6&lt;&gt;"",0,120*$N$9)</f>
        <v>120</v>
      </c>
      <c r="O448" s="0" t="n">
        <f aca="false">IF($N$6&lt;&gt;"",0,10900.8*$N$9)</f>
        <v>10900.8</v>
      </c>
      <c r="P448" s="65" t="n">
        <f aca="false">O448</f>
        <v>10900.8</v>
      </c>
      <c r="Q448" s="66" t="n">
        <f aca="false">J448-P448</f>
        <v>0</v>
      </c>
      <c r="R448" s="67" t="s">
        <v>795</v>
      </c>
    </row>
    <row r="449" customFormat="false" ht="15" hidden="false" customHeight="false" outlineLevel="0" collapsed="false">
      <c r="B449" s="40" t="s">
        <v>798</v>
      </c>
      <c r="C449" s="69" t="s">
        <v>799</v>
      </c>
      <c r="D449" s="40" t="s">
        <v>80</v>
      </c>
      <c r="E449" s="31"/>
      <c r="F449" s="31"/>
      <c r="G449" s="31"/>
      <c r="H449" s="76" t="n">
        <f aca="false">IF($N$6&lt;&gt;"",0,20*$N$9)</f>
        <v>20</v>
      </c>
      <c r="I449" s="62" t="n">
        <v>19.76</v>
      </c>
      <c r="J449" s="63" t="n">
        <f aca="false">H449*I449</f>
        <v>395.2</v>
      </c>
      <c r="K449" s="64" t="n">
        <f aca="false">IF($N$6&lt;&gt;"",0,20*$N$9)</f>
        <v>20</v>
      </c>
      <c r="O449" s="0" t="n">
        <f aca="false">IF($N$6&lt;&gt;"",0,395.2*$N$9)</f>
        <v>395.2</v>
      </c>
      <c r="P449" s="65" t="n">
        <f aca="false">O449</f>
        <v>395.2</v>
      </c>
      <c r="Q449" s="66" t="n">
        <f aca="false">J449-P449</f>
        <v>0</v>
      </c>
      <c r="R449" s="67" t="s">
        <v>795</v>
      </c>
    </row>
    <row r="450" customFormat="false" ht="15" hidden="false" customHeight="false" outlineLevel="0" collapsed="false">
      <c r="B450" s="40" t="s">
        <v>800</v>
      </c>
      <c r="C450" s="69" t="s">
        <v>801</v>
      </c>
      <c r="D450" s="40" t="s">
        <v>80</v>
      </c>
      <c r="E450" s="31"/>
      <c r="F450" s="31"/>
      <c r="G450" s="31"/>
      <c r="H450" s="76" t="n">
        <f aca="false">IF($N$6&lt;&gt;"",0,8*$N$9)</f>
        <v>8</v>
      </c>
      <c r="I450" s="62" t="n">
        <v>116.37</v>
      </c>
      <c r="J450" s="63" t="n">
        <f aca="false">H450*I450</f>
        <v>930.96</v>
      </c>
      <c r="K450" s="64" t="n">
        <f aca="false">IF($N$6&lt;&gt;"",0,8*$N$9)</f>
        <v>8</v>
      </c>
      <c r="O450" s="0" t="n">
        <f aca="false">IF($N$6&lt;&gt;"",0,930.96*$N$9)</f>
        <v>930.96</v>
      </c>
      <c r="P450" s="65" t="n">
        <f aca="false">O450</f>
        <v>930.96</v>
      </c>
      <c r="Q450" s="66" t="n">
        <f aca="false">J450-P450</f>
        <v>0</v>
      </c>
      <c r="R450" s="67" t="s">
        <v>795</v>
      </c>
    </row>
    <row r="451" customFormat="false" ht="15" hidden="false" customHeight="false" outlineLevel="0" collapsed="false">
      <c r="B451" s="40" t="s">
        <v>802</v>
      </c>
      <c r="C451" s="69" t="s">
        <v>803</v>
      </c>
      <c r="D451" s="40" t="s">
        <v>80</v>
      </c>
      <c r="E451" s="31"/>
      <c r="F451" s="31"/>
      <c r="G451" s="31"/>
      <c r="H451" s="76" t="n">
        <f aca="false">IF($N$6&lt;&gt;"",0,456*$N$9)</f>
        <v>456</v>
      </c>
      <c r="I451" s="62" t="n">
        <v>49.11</v>
      </c>
      <c r="J451" s="63" t="n">
        <f aca="false">H451*I451</f>
        <v>22394.16</v>
      </c>
      <c r="K451" s="64" t="n">
        <f aca="false">IF($N$6&lt;&gt;"",0,456*$N$9)</f>
        <v>456</v>
      </c>
      <c r="O451" s="0" t="n">
        <f aca="false">IF($N$6&lt;&gt;"",0,22394.16*$N$9)</f>
        <v>22394.16</v>
      </c>
      <c r="P451" s="65" t="n">
        <f aca="false">O451</f>
        <v>22394.16</v>
      </c>
      <c r="Q451" s="66" t="n">
        <f aca="false">J451-P451</f>
        <v>0</v>
      </c>
      <c r="R451" s="67" t="s">
        <v>795</v>
      </c>
    </row>
    <row r="452" customFormat="false" ht="15" hidden="false" customHeight="false" outlineLevel="0" collapsed="false">
      <c r="B452" s="40" t="s">
        <v>804</v>
      </c>
      <c r="C452" s="69" t="s">
        <v>805</v>
      </c>
      <c r="D452" s="40" t="s">
        <v>73</v>
      </c>
      <c r="E452" s="31"/>
      <c r="F452" s="31"/>
      <c r="G452" s="31"/>
      <c r="H452" s="76" t="n">
        <f aca="false">IF($N$6&lt;&gt;"",0,1800*$N$9)</f>
        <v>1800</v>
      </c>
      <c r="I452" s="62" t="n">
        <v>21.39</v>
      </c>
      <c r="J452" s="63" t="n">
        <f aca="false">H452*I452</f>
        <v>38502</v>
      </c>
      <c r="K452" s="64" t="n">
        <f aca="false">IF($N$6&lt;&gt;"",0,1800*$N$9)</f>
        <v>1800</v>
      </c>
      <c r="O452" s="0" t="n">
        <f aca="false">IF($N$6&lt;&gt;"",0,38502*$N$9)</f>
        <v>38502</v>
      </c>
      <c r="P452" s="65" t="n">
        <f aca="false">O452</f>
        <v>38502</v>
      </c>
      <c r="Q452" s="66" t="n">
        <f aca="false">J452-P452</f>
        <v>0</v>
      </c>
      <c r="R452" s="67" t="s">
        <v>795</v>
      </c>
    </row>
    <row r="453" customFormat="false" ht="15" hidden="false" customHeight="false" outlineLevel="0" collapsed="false">
      <c r="B453" s="40" t="s">
        <v>806</v>
      </c>
      <c r="C453" s="69" t="s">
        <v>807</v>
      </c>
      <c r="D453" s="40" t="s">
        <v>80</v>
      </c>
      <c r="E453" s="31"/>
      <c r="F453" s="31"/>
      <c r="G453" s="31"/>
      <c r="H453" s="76" t="n">
        <f aca="false">IF($N$6&lt;&gt;"",0,30*$N$9)</f>
        <v>30</v>
      </c>
      <c r="I453" s="62" t="n">
        <v>52.02</v>
      </c>
      <c r="J453" s="63" t="n">
        <f aca="false">H453*I453</f>
        <v>1560.6</v>
      </c>
      <c r="K453" s="64" t="n">
        <f aca="false">IF($N$6&lt;&gt;"",0,30*$N$9)</f>
        <v>30</v>
      </c>
      <c r="O453" s="0" t="n">
        <f aca="false">IF($N$6&lt;&gt;"",0,1560.6*$N$9)</f>
        <v>1560.6</v>
      </c>
      <c r="P453" s="65" t="n">
        <f aca="false">O453</f>
        <v>1560.6</v>
      </c>
      <c r="Q453" s="66" t="n">
        <f aca="false">J453-P453</f>
        <v>0</v>
      </c>
      <c r="R453" s="67" t="s">
        <v>795</v>
      </c>
    </row>
    <row r="454" customFormat="false" ht="15" hidden="false" customHeight="false" outlineLevel="0" collapsed="false">
      <c r="B454" s="40" t="s">
        <v>808</v>
      </c>
      <c r="C454" s="69" t="s">
        <v>809</v>
      </c>
      <c r="D454" s="40" t="s">
        <v>73</v>
      </c>
      <c r="E454" s="31"/>
      <c r="F454" s="31"/>
      <c r="G454" s="31"/>
      <c r="H454" s="76" t="n">
        <f aca="false">IF($N$6&lt;&gt;"",0,162.1*$N$9)</f>
        <v>162.1</v>
      </c>
      <c r="I454" s="62" t="n">
        <v>97.16</v>
      </c>
      <c r="J454" s="63" t="n">
        <f aca="false">H454*I454</f>
        <v>15749.636</v>
      </c>
      <c r="K454" s="64" t="n">
        <f aca="false">IF($N$6&lt;&gt;"",0,162.1*$N$9)</f>
        <v>162.1</v>
      </c>
      <c r="O454" s="0" t="n">
        <f aca="false">IF($N$6&lt;&gt;"",0,15749.63*$N$9)</f>
        <v>15749.63</v>
      </c>
      <c r="P454" s="65" t="n">
        <f aca="false">O454</f>
        <v>15749.63</v>
      </c>
      <c r="Q454" s="66" t="n">
        <f aca="false">J454-P454</f>
        <v>0.00599999999940337</v>
      </c>
      <c r="R454" s="67" t="s">
        <v>795</v>
      </c>
    </row>
    <row r="455" customFormat="false" ht="15" hidden="false" customHeight="false" outlineLevel="0" collapsed="false">
      <c r="B455" s="40" t="s">
        <v>810</v>
      </c>
      <c r="C455" s="69" t="s">
        <v>811</v>
      </c>
      <c r="D455" s="40" t="s">
        <v>80</v>
      </c>
      <c r="E455" s="31"/>
      <c r="F455" s="31"/>
      <c r="G455" s="31"/>
      <c r="H455" s="76" t="n">
        <f aca="false">IF($N$6&lt;&gt;"",0,8*$N$9)</f>
        <v>8</v>
      </c>
      <c r="I455" s="62" t="n">
        <v>18.71</v>
      </c>
      <c r="J455" s="63" t="n">
        <f aca="false">H455*I455</f>
        <v>149.68</v>
      </c>
      <c r="K455" s="64" t="n">
        <f aca="false">IF($N$6&lt;&gt;"",0,8*$N$9)</f>
        <v>8</v>
      </c>
      <c r="O455" s="0" t="n">
        <f aca="false">IF($N$6&lt;&gt;"",0,149.68*$N$9)</f>
        <v>149.68</v>
      </c>
      <c r="P455" s="65" t="n">
        <f aca="false">O455</f>
        <v>149.68</v>
      </c>
      <c r="Q455" s="66" t="n">
        <f aca="false">J455-P455</f>
        <v>0</v>
      </c>
      <c r="R455" s="67" t="s">
        <v>795</v>
      </c>
    </row>
    <row r="456" customFormat="false" ht="15" hidden="false" customHeight="false" outlineLevel="0" collapsed="false">
      <c r="B456" s="57"/>
      <c r="C456" s="58" t="s">
        <v>812</v>
      </c>
      <c r="D456" s="57"/>
      <c r="E456" s="57"/>
      <c r="F456" s="57"/>
      <c r="G456" s="57"/>
      <c r="H456" s="57"/>
      <c r="I456" s="57"/>
      <c r="J456" s="57"/>
      <c r="K456" s="57"/>
      <c r="P456" s="57"/>
      <c r="Q456" s="57"/>
      <c r="R456" s="57"/>
    </row>
    <row r="457" customFormat="false" ht="15" hidden="false" customHeight="false" outlineLevel="0" collapsed="false">
      <c r="B457" s="40" t="s">
        <v>813</v>
      </c>
      <c r="C457" s="69" t="s">
        <v>814</v>
      </c>
      <c r="D457" s="40" t="s">
        <v>815</v>
      </c>
      <c r="E457" s="31"/>
      <c r="F457" s="31"/>
      <c r="G457" s="31"/>
      <c r="H457" s="76" t="n">
        <f aca="false">IF($N$6&lt;&gt;"",0,18*(($M$2&lt;=0.00001)*($N$2&gt;=Estacas!$B$650-0.00001)*($N$6="")))</f>
        <v>18</v>
      </c>
      <c r="I457" s="62" t="n">
        <v>7203.94</v>
      </c>
      <c r="J457" s="63" t="n">
        <f aca="false">H457*I457</f>
        <v>129670.92</v>
      </c>
      <c r="K457" s="64" t="n">
        <f aca="false">IF($N$6&lt;&gt;"",0,18*(($M$2&lt;=0.00001)*($N$2&gt;=Estacas!$B$650-0.00001)*($N$6="")))</f>
        <v>18</v>
      </c>
      <c r="O457" s="0" t="n">
        <f aca="false">IF($N$6&lt;&gt;"",0,129670.92*(($M$2&lt;=0.00001)*($N$2&gt;=Estacas!$B$650-0.00001)*($N$6="")))</f>
        <v>129670.92</v>
      </c>
      <c r="P457" s="65" t="n">
        <f aca="false">O457</f>
        <v>129670.92</v>
      </c>
      <c r="Q457" s="66" t="n">
        <f aca="false">J457-P457</f>
        <v>0</v>
      </c>
      <c r="R457" s="67" t="s">
        <v>816</v>
      </c>
    </row>
    <row r="458" customFormat="false" ht="15" hidden="false" customHeight="false" outlineLevel="0" collapsed="false">
      <c r="B458" s="40" t="s">
        <v>817</v>
      </c>
      <c r="C458" s="69" t="s">
        <v>818</v>
      </c>
      <c r="D458" s="40" t="s">
        <v>815</v>
      </c>
      <c r="E458" s="31"/>
      <c r="F458" s="31"/>
      <c r="G458" s="31"/>
      <c r="H458" s="76" t="n">
        <f aca="false">IF($N$6&lt;&gt;"",0,12*(($M$2&lt;=0.00001)*($N$2&gt;=Estacas!$B$650-0.00001)*($N$6="")))</f>
        <v>12</v>
      </c>
      <c r="I458" s="62" t="n">
        <v>7248.18</v>
      </c>
      <c r="J458" s="63" t="n">
        <f aca="false">H458*I458</f>
        <v>86978.16</v>
      </c>
      <c r="K458" s="64" t="n">
        <f aca="false">IF($N$6&lt;&gt;"",0,12*(($M$2&lt;=0.00001)*($N$2&gt;=Estacas!$B$650-0.00001)*($N$6="")))</f>
        <v>12</v>
      </c>
      <c r="O458" s="0" t="n">
        <f aca="false">IF($N$6&lt;&gt;"",0,86978.16*(($M$2&lt;=0.00001)*($N$2&gt;=Estacas!$B$650-0.00001)*($N$6="")))</f>
        <v>86978.16</v>
      </c>
      <c r="P458" s="65" t="n">
        <f aca="false">O458</f>
        <v>86978.16</v>
      </c>
      <c r="Q458" s="66" t="n">
        <f aca="false">J458-P458</f>
        <v>0</v>
      </c>
      <c r="R458" s="67" t="s">
        <v>816</v>
      </c>
    </row>
    <row r="459" customFormat="false" ht="15" hidden="false" customHeight="false" outlineLevel="0" collapsed="false">
      <c r="B459" s="40" t="s">
        <v>819</v>
      </c>
      <c r="C459" s="69" t="s">
        <v>820</v>
      </c>
      <c r="D459" s="40" t="s">
        <v>815</v>
      </c>
      <c r="E459" s="31"/>
      <c r="F459" s="31"/>
      <c r="G459" s="31"/>
      <c r="H459" s="76" t="n">
        <f aca="false">IF($N$6&lt;&gt;"",0,6*(($M$2&lt;=0.00001)*($N$2&gt;=Estacas!$B$650-0.00001)*($N$6="")))</f>
        <v>6</v>
      </c>
      <c r="I459" s="62" t="n">
        <v>8647.03</v>
      </c>
      <c r="J459" s="63" t="n">
        <f aca="false">H459*I459</f>
        <v>51882.18</v>
      </c>
      <c r="K459" s="64" t="n">
        <f aca="false">IF($N$6&lt;&gt;"",0,6*(($M$2&lt;=0.00001)*($N$2&gt;=Estacas!$B$650-0.00001)*($N$6="")))</f>
        <v>6</v>
      </c>
      <c r="O459" s="0" t="n">
        <f aca="false">IF($N$6&lt;&gt;"",0,51882.18*(($M$2&lt;=0.00001)*($N$2&gt;=Estacas!$B$650-0.00001)*($N$6="")))</f>
        <v>51882.18</v>
      </c>
      <c r="P459" s="65" t="n">
        <f aca="false">O459</f>
        <v>51882.18</v>
      </c>
      <c r="Q459" s="66" t="n">
        <f aca="false">J459-P459</f>
        <v>0</v>
      </c>
      <c r="R459" s="67" t="s">
        <v>816</v>
      </c>
    </row>
    <row r="460" customFormat="false" ht="15" hidden="false" customHeight="false" outlineLevel="0" collapsed="false">
      <c r="B460" s="40" t="s">
        <v>821</v>
      </c>
      <c r="C460" s="69" t="s">
        <v>822</v>
      </c>
      <c r="D460" s="40" t="s">
        <v>815</v>
      </c>
      <c r="E460" s="31"/>
      <c r="F460" s="31"/>
      <c r="G460" s="31"/>
      <c r="H460" s="76" t="n">
        <f aca="false">IF($N$6&lt;&gt;"",0,6*(($M$2&lt;=0.00001)*($N$2&gt;=Estacas!$B$650-0.00001)*($N$6="")))</f>
        <v>6</v>
      </c>
      <c r="I460" s="62" t="n">
        <v>11776.27</v>
      </c>
      <c r="J460" s="63" t="n">
        <f aca="false">H460*I460</f>
        <v>70657.62</v>
      </c>
      <c r="K460" s="64" t="n">
        <f aca="false">IF($N$6&lt;&gt;"",0,6*(($M$2&lt;=0.00001)*($N$2&gt;=Estacas!$B$650-0.00001)*($N$6="")))</f>
        <v>6</v>
      </c>
      <c r="O460" s="0" t="n">
        <f aca="false">IF($N$6&lt;&gt;"",0,70657.62*(($M$2&lt;=0.00001)*($N$2&gt;=Estacas!$B$650-0.00001)*($N$6="")))</f>
        <v>70657.62</v>
      </c>
      <c r="P460" s="65" t="n">
        <f aca="false">O460</f>
        <v>70657.62</v>
      </c>
      <c r="Q460" s="66" t="n">
        <f aca="false">J460-P460</f>
        <v>0</v>
      </c>
      <c r="R460" s="67" t="s">
        <v>816</v>
      </c>
    </row>
    <row r="461" customFormat="false" ht="15" hidden="false" customHeight="false" outlineLevel="0" collapsed="false">
      <c r="B461" s="40" t="s">
        <v>823</v>
      </c>
      <c r="C461" s="69" t="s">
        <v>824</v>
      </c>
      <c r="D461" s="40" t="s">
        <v>815</v>
      </c>
      <c r="E461" s="31"/>
      <c r="F461" s="31"/>
      <c r="G461" s="31"/>
      <c r="H461" s="76" t="n">
        <f aca="false">IF($N$6&lt;&gt;"",0,18*(($M$2&lt;=0.00001)*($N$2&gt;=Estacas!$B$650-0.00001)*($N$6="")))</f>
        <v>18</v>
      </c>
      <c r="I461" s="62" t="n">
        <v>10715.7</v>
      </c>
      <c r="J461" s="63" t="n">
        <f aca="false">H461*I461</f>
        <v>192882.6</v>
      </c>
      <c r="K461" s="64" t="n">
        <f aca="false">IF($N$6&lt;&gt;"",0,18*(($M$2&lt;=0.00001)*($N$2&gt;=Estacas!$B$650-0.00001)*($N$6="")))</f>
        <v>18</v>
      </c>
      <c r="O461" s="0" t="n">
        <f aca="false">IF($N$6&lt;&gt;"",0,192882.6*(($M$2&lt;=0.00001)*($N$2&gt;=Estacas!$B$650-0.00001)*($N$6="")))</f>
        <v>192882.6</v>
      </c>
      <c r="P461" s="65" t="n">
        <f aca="false">O461</f>
        <v>192882.6</v>
      </c>
      <c r="Q461" s="66" t="n">
        <f aca="false">J461-P461</f>
        <v>0</v>
      </c>
      <c r="R461" s="67" t="s">
        <v>816</v>
      </c>
    </row>
    <row r="462" customFormat="false" ht="15" hidden="false" customHeight="false" outlineLevel="0" collapsed="false">
      <c r="B462" s="40" t="s">
        <v>825</v>
      </c>
      <c r="C462" s="69" t="s">
        <v>826</v>
      </c>
      <c r="D462" s="40" t="s">
        <v>815</v>
      </c>
      <c r="E462" s="31"/>
      <c r="F462" s="31"/>
      <c r="G462" s="31"/>
      <c r="H462" s="76" t="n">
        <f aca="false">IF($N$6&lt;&gt;"",0,18*(($M$2&lt;=0.00001)*($N$2&gt;=Estacas!$B$650-0.00001)*($N$6="")))</f>
        <v>18</v>
      </c>
      <c r="I462" s="62" t="n">
        <v>3688.87</v>
      </c>
      <c r="J462" s="63" t="n">
        <f aca="false">H462*I462</f>
        <v>66399.66</v>
      </c>
      <c r="K462" s="64" t="n">
        <f aca="false">IF($N$6&lt;&gt;"",0,18*(($M$2&lt;=0.00001)*($N$2&gt;=Estacas!$B$650-0.00001)*($N$6="")))</f>
        <v>18</v>
      </c>
      <c r="O462" s="0" t="n">
        <f aca="false">IF($N$6&lt;&gt;"",0,66399.66*(($M$2&lt;=0.00001)*($N$2&gt;=Estacas!$B$650-0.00001)*($N$6="")))</f>
        <v>66399.66</v>
      </c>
      <c r="P462" s="65" t="n">
        <f aca="false">O462</f>
        <v>66399.66</v>
      </c>
      <c r="Q462" s="66" t="n">
        <f aca="false">J462-P462</f>
        <v>0</v>
      </c>
      <c r="R462" s="67" t="s">
        <v>816</v>
      </c>
    </row>
    <row r="463" customFormat="false" ht="15" hidden="false" customHeight="false" outlineLevel="0" collapsed="false">
      <c r="B463" s="40" t="s">
        <v>827</v>
      </c>
      <c r="C463" s="69" t="s">
        <v>828</v>
      </c>
      <c r="D463" s="40" t="s">
        <v>815</v>
      </c>
      <c r="E463" s="31"/>
      <c r="F463" s="31"/>
      <c r="G463" s="31"/>
      <c r="H463" s="76" t="n">
        <f aca="false">IF($N$6&lt;&gt;"",0,8*(($M$2&lt;=0.00001)*($N$2&gt;=Estacas!$B$650-0.00001)*($N$6="")))</f>
        <v>8</v>
      </c>
      <c r="I463" s="62" t="n">
        <v>35062.52</v>
      </c>
      <c r="J463" s="63" t="n">
        <f aca="false">H463*I463</f>
        <v>280500.16</v>
      </c>
      <c r="K463" s="64" t="n">
        <f aca="false">IF($N$6&lt;&gt;"",0,8*(($M$2&lt;=0.00001)*($N$2&gt;=Estacas!$B$650-0.00001)*($N$6="")))</f>
        <v>8</v>
      </c>
      <c r="O463" s="0" t="n">
        <f aca="false">IF($N$6&lt;&gt;"",0,280500.19*(($M$2&lt;=0.00001)*($N$2&gt;=Estacas!$B$650-0.00001)*($N$6="")))</f>
        <v>280500.19</v>
      </c>
      <c r="P463" s="65" t="n">
        <f aca="false">O463</f>
        <v>280500.19</v>
      </c>
      <c r="Q463" s="66" t="n">
        <f aca="false">J463-P463</f>
        <v>-0.0300000000279397</v>
      </c>
      <c r="R463" s="67" t="s">
        <v>816</v>
      </c>
    </row>
    <row r="464" customFormat="false" ht="15" hidden="false" customHeight="false" outlineLevel="0" collapsed="false">
      <c r="B464" s="57"/>
      <c r="C464" s="58" t="s">
        <v>829</v>
      </c>
      <c r="D464" s="57"/>
      <c r="E464" s="57"/>
      <c r="F464" s="57"/>
      <c r="G464" s="57"/>
      <c r="H464" s="57"/>
      <c r="I464" s="57"/>
      <c r="J464" s="57"/>
      <c r="K464" s="57"/>
      <c r="P464" s="57"/>
      <c r="Q464" s="57"/>
      <c r="R464" s="57"/>
    </row>
    <row r="465" customFormat="false" ht="15" hidden="false" customHeight="false" outlineLevel="0" collapsed="false">
      <c r="B465" s="40"/>
      <c r="C465" s="59" t="s">
        <v>830</v>
      </c>
      <c r="D465" s="40" t="s">
        <v>80</v>
      </c>
      <c r="E465" s="68" t="n">
        <f aca="false">IF($N$6&lt;&gt;"",0,COUNTIFS(Interferências!$C$2:$C$330,"&gt;="&amp;$M$2,Interferências!$C$2:$C$330,"&lt;"&amp;($N$2+($N$2&gt;=Estacas!$B$650-0.00001)*0.001),Interferências!$A$2:$A$330,"Poste*",Interferências!$D$2:$D$330,"LE"))</f>
        <v>26</v>
      </c>
      <c r="F465" s="68" t="n">
        <f aca="false">IF($N$6&lt;&gt;"",0,COUNTIFS(Interferências!$C$2:$C$330,"&gt;="&amp;$M$2,Interferências!$C$2:$C$330,"&lt;"&amp;($N$2+($N$2&gt;=Estacas!$B$650-0.00001)*0.001),Interferências!$A$2:$A$330,"Poste*",Interferências!$D$2:$D$330,"LD"))</f>
        <v>44</v>
      </c>
      <c r="G465" s="60" t="n">
        <f aca="false">E465+F465</f>
        <v>70</v>
      </c>
      <c r="H465" s="31"/>
      <c r="I465" s="31"/>
      <c r="J465" s="31"/>
      <c r="K465" s="31"/>
      <c r="L465" s="0" t="n">
        <f aca="false">COUNTIFS(Interferências!$C$2:$C$330,"&gt;="&amp;$M$12,Interferências!$C$2:$C$330,"&lt;"&amp;($N$12+($N$12&gt;=Estacas!$B$650-0.00001)*0.001),Interferências!$A$2:$A$330,"Poste*",Interferências!$D$2:$D$330,"LE")+COUNTIFS(Interferências!$C$2:$C$330,"&gt;="&amp;$M$12,Interferências!$C$2:$C$330,"&lt;"&amp;($N$12+($N$12&gt;=Estacas!$B$650-0.00001)*0.001),Interferências!$A$2:$A$330,"Poste*",Interferências!$D$2:$D$330,"LD")</f>
        <v>70</v>
      </c>
      <c r="P465" s="31"/>
      <c r="Q465" s="31"/>
      <c r="R465" s="67" t="s">
        <v>831</v>
      </c>
    </row>
    <row r="466" customFormat="false" ht="15" hidden="false" customHeight="false" outlineLevel="0" collapsed="false">
      <c r="B466" s="40" t="s">
        <v>832</v>
      </c>
      <c r="C466" s="69" t="s">
        <v>833</v>
      </c>
      <c r="D466" s="40" t="s">
        <v>834</v>
      </c>
      <c r="E466" s="31"/>
      <c r="F466" s="31"/>
      <c r="G466" s="31"/>
      <c r="H466" s="61" t="n">
        <f aca="false">IF($N$6&lt;&gt;"",0,1*IF(($L$465)=0,$N$9,($G$465)/($L$465)))</f>
        <v>1</v>
      </c>
      <c r="I466" s="62" t="n">
        <v>242314.51</v>
      </c>
      <c r="J466" s="63" t="n">
        <f aca="false">H466*I466</f>
        <v>242314.51</v>
      </c>
      <c r="K466" s="64" t="n">
        <f aca="false">IF($N$6&lt;&gt;"",0,1*IF(($L$465)=0,$N$9,($G$465)/($L$465)))</f>
        <v>1</v>
      </c>
      <c r="O466" s="0" t="n">
        <f aca="false">IF($N$6&lt;&gt;"",0,242314.51*IF(($L$465)=0,$N$9,($G$465)/($L$465)))</f>
        <v>242314.51</v>
      </c>
      <c r="P466" s="65" t="n">
        <f aca="false">O466</f>
        <v>242314.51</v>
      </c>
      <c r="Q466" s="66" t="n">
        <f aca="false">J466-P466</f>
        <v>0</v>
      </c>
      <c r="R466" s="67" t="s">
        <v>835</v>
      </c>
    </row>
    <row r="467" customFormat="false" ht="15" hidden="false" customHeight="false" outlineLevel="0" collapsed="false">
      <c r="B467" s="40"/>
      <c r="C467" s="59" t="s">
        <v>836</v>
      </c>
      <c r="D467" s="40" t="s">
        <v>176</v>
      </c>
      <c r="E467" s="68" t="n">
        <f aca="false">IF($N$6&lt;&gt;"",0,SUMPRODUCT(Interferências!$G$335:$G$339,(((Interferências!$E$335:$E$339&lt;$N$2)*Interferências!$E$335:$E$339+(Interferências!$E$335:$E$339&gt;=$N$2)*$N$2)-((Interferências!$D$335:$D$339&gt;$M$2)*Interferências!$D$335:$D$339+(Interferências!$D$335:$D$339&lt;=$M$2)*$M$2))*(Interferências!$D$335:$D$339&lt;$N$2)*(Interferências!$E$335:$E$339&gt;$M$2)/(Interferências!$E$335:$E$339-Interferências!$D$335:$D$339)*(LEFT(Interferências!$A$335:$A$339,12)="Rede SANEPAR")*(Interferências!$F$335:$F$339="LE")))</f>
        <v>0</v>
      </c>
      <c r="F467" s="68" t="n">
        <f aca="false">IF($N$6&lt;&gt;"",0,SUMPRODUCT(Interferências!$G$335:$G$339,(((Interferências!$E$335:$E$339&lt;$N$2)*Interferências!$E$335:$E$339+(Interferências!$E$335:$E$339&gt;=$N$2)*$N$2)-((Interferências!$D$335:$D$339&gt;$M$2)*Interferências!$D$335:$D$339+(Interferências!$D$335:$D$339&lt;=$M$2)*$M$2))*(Interferências!$D$335:$D$339&lt;$N$2)*(Interferências!$E$335:$E$339&gt;$M$2)/(Interferências!$E$335:$E$339-Interferências!$D$335:$D$339)*(LEFT(Interferências!$A$335:$A$339,12)="Rede SANEPAR")*(Interferências!$F$335:$F$339="LD")))</f>
        <v>724</v>
      </c>
      <c r="G467" s="60" t="n">
        <f aca="false">E467+F467</f>
        <v>724</v>
      </c>
      <c r="H467" s="31"/>
      <c r="I467" s="31"/>
      <c r="J467" s="31"/>
      <c r="K467" s="31"/>
      <c r="L467" s="0" t="n">
        <f aca="false">SUMPRODUCT(Interferências!$G$335:$G$339,(((Interferências!$E$335:$E$339&lt;$N$12)*Interferências!$E$335:$E$339+(Interferências!$E$335:$E$339&gt;=$N$12)*$N$12)-((Interferências!$D$335:$D$339&gt;$M$12)*Interferências!$D$335:$D$339+(Interferências!$D$335:$D$339&lt;=$M$12)*$M$12))*(Interferências!$D$335:$D$339&lt;$N$12)*(Interferências!$E$335:$E$339&gt;$M$12)/(Interferências!$E$335:$E$339-Interferências!$D$335:$D$339)*(LEFT(Interferências!$A$335:$A$339,12)="Rede SANEPAR")*(Interferências!$F$335:$F$339="LE"))+SUMPRODUCT(Interferências!$G$335:$G$339,(((Interferências!$E$335:$E$339&lt;$N$12)*Interferências!$E$335:$E$339+(Interferências!$E$335:$E$339&gt;=$N$12)*$N$12)-((Interferências!$D$335:$D$339&gt;$M$12)*Interferências!$D$335:$D$339+(Interferências!$D$335:$D$339&lt;=$M$12)*$M$12))*(Interferências!$D$335:$D$339&lt;$N$12)*(Interferências!$E$335:$E$339&gt;$M$12)/(Interferências!$E$335:$E$339-Interferências!$D$335:$D$339)*(LEFT(Interferências!$A$335:$A$339,12)="Rede SANEPAR")*(Interferências!$F$335:$F$339="LD"))</f>
        <v>724</v>
      </c>
      <c r="P467" s="31"/>
      <c r="Q467" s="31"/>
      <c r="R467" s="67" t="s">
        <v>837</v>
      </c>
    </row>
    <row r="468" customFormat="false" ht="15" hidden="false" customHeight="false" outlineLevel="0" collapsed="false">
      <c r="B468" s="40" t="s">
        <v>838</v>
      </c>
      <c r="C468" s="69" t="s">
        <v>839</v>
      </c>
      <c r="D468" s="40" t="s">
        <v>834</v>
      </c>
      <c r="E468" s="31"/>
      <c r="F468" s="31"/>
      <c r="G468" s="31"/>
      <c r="H468" s="61" t="n">
        <f aca="false">IF($N$6&lt;&gt;"",0,1*IF(($L$467)=0,$N$9,($G$467)/($L$467)))</f>
        <v>1</v>
      </c>
      <c r="I468" s="62" t="n">
        <v>60465.24</v>
      </c>
      <c r="J468" s="63" t="n">
        <f aca="false">H468*I468</f>
        <v>60465.24</v>
      </c>
      <c r="K468" s="64" t="n">
        <f aca="false">IF($N$6&lt;&gt;"",0,1*IF(($L$467)=0,$N$9,($G$467)/($L$467)))</f>
        <v>1</v>
      </c>
      <c r="O468" s="0" t="n">
        <f aca="false">IF($N$6&lt;&gt;"",0,60465.24*IF(($L$467)=0,$N$9,($G$467)/($L$467)))</f>
        <v>60465.24</v>
      </c>
      <c r="P468" s="65" t="n">
        <f aca="false">O468</f>
        <v>60465.24</v>
      </c>
      <c r="Q468" s="66" t="n">
        <f aca="false">J468-P468</f>
        <v>0</v>
      </c>
      <c r="R468" s="67" t="s">
        <v>840</v>
      </c>
    </row>
    <row r="469" customFormat="false" ht="15" hidden="false" customHeight="false" outlineLevel="0" collapsed="false">
      <c r="B469" s="40" t="s">
        <v>841</v>
      </c>
      <c r="C469" s="59" t="s">
        <v>842</v>
      </c>
      <c r="D469" s="40" t="s">
        <v>176</v>
      </c>
      <c r="E469" s="68" t="n">
        <f aca="false">IF($N$6&lt;&gt;"",0,SUMPRODUCT(Interferências!$G$335:$G$339,(((Interferências!$E$335:$E$339&lt;$N$2)*Interferências!$E$335:$E$339+(Interferências!$E$335:$E$339&gt;=$N$2)*$N$2)-((Interferências!$D$335:$D$339&gt;$M$2)*Interferências!$D$335:$D$339+(Interferências!$D$335:$D$339&lt;=$M$2)*$M$2))*(Interferências!$D$335:$D$339&lt;$N$2)*(Interferências!$E$335:$E$339&gt;$M$2)/(Interferências!$E$335:$E$339-Interferências!$D$335:$D$339)*(LEFT(Interferências!$A$335:$A$339,9)="Tubulação")*(Interferências!$F$335:$F$339="LE")))</f>
        <v>4808</v>
      </c>
      <c r="F469" s="68" t="n">
        <f aca="false">IF($N$6&lt;&gt;"",0,SUMPRODUCT(Interferências!$G$335:$G$339,(((Interferências!$E$335:$E$339&lt;$N$2)*Interferências!$E$335:$E$339+(Interferências!$E$335:$E$339&gt;=$N$2)*$N$2)-((Interferências!$D$335:$D$339&gt;$M$2)*Interferências!$D$335:$D$339+(Interferências!$D$335:$D$339&lt;=$M$2)*$M$2))*(Interferências!$D$335:$D$339&lt;$N$2)*(Interferências!$E$335:$E$339&gt;$M$2)/(Interferências!$E$335:$E$339-Interferências!$D$335:$D$339)*(LEFT(Interferências!$A$335:$A$339,9)="Tubulação")*(Interferências!$F$335:$F$339="LD")))</f>
        <v>0</v>
      </c>
      <c r="G469" s="60" t="n">
        <f aca="false">E469+F469</f>
        <v>4808</v>
      </c>
      <c r="H469" s="61" t="n">
        <f aca="false">IF($N$6&lt;&gt;"",0,$G$469)</f>
        <v>4808</v>
      </c>
      <c r="I469" s="62" t="n">
        <v>4.25</v>
      </c>
      <c r="J469" s="63" t="n">
        <f aca="false">H469*I469</f>
        <v>20434</v>
      </c>
      <c r="K469" s="64" t="n">
        <f aca="false">IF($N$6&lt;&gt;"",0,1150*IF($L$469=0,$N$9,$G$469/$L$469))</f>
        <v>1150</v>
      </c>
      <c r="L469" s="0" t="n">
        <f aca="false">SUMPRODUCT(Interferências!$G$335:$G$339,(((Interferências!$E$335:$E$339&lt;$N$12)*Interferências!$E$335:$E$339+(Interferências!$E$335:$E$339&gt;=$N$12)*$N$12)-((Interferências!$D$335:$D$339&gt;$M$12)*Interferências!$D$335:$D$339+(Interferências!$D$335:$D$339&lt;=$M$12)*$M$12))*(Interferências!$D$335:$D$339&lt;$N$12)*(Interferências!$E$335:$E$339&gt;$M$12)/(Interferências!$E$335:$E$339-Interferências!$D$335:$D$339)*(LEFT(Interferências!$A$335:$A$339,9)="Tubulação")*(Interferências!$F$335:$F$339="LE"))+SUMPRODUCT(Interferências!$G$335:$G$339,(((Interferências!$E$335:$E$339&lt;$N$12)*Interferências!$E$335:$E$339+(Interferências!$E$335:$E$339&gt;=$N$12)*$N$12)-((Interferências!$D$335:$D$339&gt;$M$12)*Interferências!$D$335:$D$339+(Interferências!$D$335:$D$339&lt;=$M$12)*$M$12))*(Interferências!$D$335:$D$339&lt;$N$12)*(Interferências!$E$335:$E$339&gt;$M$12)/(Interferências!$E$335:$E$339-Interferências!$D$335:$D$339)*(LEFT(Interferências!$A$335:$A$339,9)="Tubulação")*(Interferências!$F$335:$F$339="LD"))</f>
        <v>4808</v>
      </c>
      <c r="O469" s="0" t="n">
        <f aca="false">IF($N$6&lt;&gt;"",0,4887.5*IF($L$469=0,$N$9,$G$469/$L$469))</f>
        <v>4887.5</v>
      </c>
      <c r="P469" s="65" t="n">
        <f aca="false">O469</f>
        <v>4887.5</v>
      </c>
      <c r="Q469" s="66" t="n">
        <f aca="false">J469-P469</f>
        <v>15546.5</v>
      </c>
      <c r="R469" s="67" t="s">
        <v>843</v>
      </c>
    </row>
    <row r="470" customFormat="false" ht="15" hidden="false" customHeight="false" outlineLevel="0" collapsed="false">
      <c r="B470" s="40" t="s">
        <v>844</v>
      </c>
      <c r="C470" s="69" t="s">
        <v>736</v>
      </c>
      <c r="D470" s="40" t="s">
        <v>73</v>
      </c>
      <c r="E470" s="31"/>
      <c r="F470" s="31"/>
      <c r="G470" s="31"/>
      <c r="H470" s="61" t="n">
        <f aca="false">IF($N$6&lt;&gt;"",0,($G$469)*5)</f>
        <v>24040</v>
      </c>
      <c r="I470" s="62" t="n">
        <v>13.61</v>
      </c>
      <c r="J470" s="63" t="n">
        <f aca="false">H470*I470</f>
        <v>327184.4</v>
      </c>
      <c r="K470" s="64" t="n">
        <f aca="false">IF($N$6&lt;&gt;"",0,5750*IF(($L$469)=0,$N$9,($G$469)/($L$469)))</f>
        <v>5750</v>
      </c>
      <c r="O470" s="0" t="n">
        <f aca="false">IF($N$6&lt;&gt;"",0,78257.5*IF(($L$469)=0,$N$9,($G$469)/($L$469)))</f>
        <v>78257.5</v>
      </c>
      <c r="P470" s="65" t="n">
        <f aca="false">O470</f>
        <v>78257.5</v>
      </c>
      <c r="Q470" s="66" t="n">
        <f aca="false">J470-P470</f>
        <v>248926.9</v>
      </c>
      <c r="R470" s="67" t="s">
        <v>845</v>
      </c>
    </row>
    <row r="471" customFormat="false" ht="15" hidden="false" customHeight="false" outlineLevel="0" collapsed="false">
      <c r="B471" s="40" t="s">
        <v>846</v>
      </c>
      <c r="C471" s="69" t="s">
        <v>475</v>
      </c>
      <c r="D471" s="40" t="s">
        <v>77</v>
      </c>
      <c r="E471" s="31"/>
      <c r="F471" s="31"/>
      <c r="G471" s="31"/>
      <c r="H471" s="61" t="n">
        <f aca="false">IF($N$6&lt;&gt;"",0,($G$469)*6)</f>
        <v>28848</v>
      </c>
      <c r="I471" s="62" t="n">
        <v>20.76</v>
      </c>
      <c r="J471" s="63" t="n">
        <f aca="false">H471*I471</f>
        <v>598884.48</v>
      </c>
      <c r="K471" s="64" t="n">
        <f aca="false">IF($N$6&lt;&gt;"",0,6900*IF(($L$469)=0,$N$9,($G$469)/($L$469)))</f>
        <v>6900</v>
      </c>
      <c r="O471" s="0" t="n">
        <f aca="false">IF($N$6&lt;&gt;"",0,143244*IF(($L$469)=0,$N$9,($G$469)/($L$469)))</f>
        <v>143244</v>
      </c>
      <c r="P471" s="65" t="n">
        <f aca="false">O471</f>
        <v>143244</v>
      </c>
      <c r="Q471" s="66" t="n">
        <f aca="false">J471-P471</f>
        <v>455640.48</v>
      </c>
      <c r="R471" s="67" t="s">
        <v>847</v>
      </c>
    </row>
    <row r="472" customFormat="false" ht="15" hidden="false" customHeight="false" outlineLevel="0" collapsed="false">
      <c r="B472" s="40" t="s">
        <v>848</v>
      </c>
      <c r="C472" s="69" t="s">
        <v>331</v>
      </c>
      <c r="D472" s="40" t="s">
        <v>77</v>
      </c>
      <c r="E472" s="31"/>
      <c r="F472" s="31"/>
      <c r="G472" s="31"/>
      <c r="H472" s="61" t="n">
        <f aca="false">IF($N$6&lt;&gt;"",0,($G$469)*0.15)</f>
        <v>721.2</v>
      </c>
      <c r="I472" s="62" t="n">
        <v>195.31</v>
      </c>
      <c r="J472" s="63" t="n">
        <f aca="false">H472*I472</f>
        <v>140857.572</v>
      </c>
      <c r="K472" s="64" t="n">
        <f aca="false">IF($N$6&lt;&gt;"",0,172.5*IF(($L$469)=0,$N$9,($G$469)/($L$469)))</f>
        <v>172.5</v>
      </c>
      <c r="O472" s="0" t="n">
        <f aca="false">IF($N$6&lt;&gt;"",0,33690.97*IF(($L$469)=0,$N$9,($G$469)/($L$469)))</f>
        <v>33690.97</v>
      </c>
      <c r="P472" s="65" t="n">
        <f aca="false">O472</f>
        <v>33690.97</v>
      </c>
      <c r="Q472" s="66" t="n">
        <f aca="false">J472-P472</f>
        <v>107166.602</v>
      </c>
      <c r="R472" s="67" t="s">
        <v>849</v>
      </c>
    </row>
    <row r="473" customFormat="false" ht="15" hidden="false" customHeight="false" outlineLevel="0" collapsed="false">
      <c r="B473" s="40" t="s">
        <v>850</v>
      </c>
      <c r="C473" s="69" t="s">
        <v>461</v>
      </c>
      <c r="D473" s="40" t="s">
        <v>77</v>
      </c>
      <c r="E473" s="31"/>
      <c r="F473" s="31"/>
      <c r="G473" s="31"/>
      <c r="H473" s="61" t="n">
        <f aca="false">IF($N$6&lt;&gt;"",0,($G$469)*6)</f>
        <v>28848</v>
      </c>
      <c r="I473" s="62" t="n">
        <v>38.19</v>
      </c>
      <c r="J473" s="63" t="n">
        <f aca="false">H473*I473</f>
        <v>1101705.12</v>
      </c>
      <c r="K473" s="64" t="n">
        <f aca="false">IF($N$6&lt;&gt;"",0,6900*IF(($L$469)=0,$N$9,($G$469)/($L$469)))</f>
        <v>6900</v>
      </c>
      <c r="O473" s="0" t="n">
        <f aca="false">IF($N$6&lt;&gt;"",0,263511*IF(($L$469)=0,$N$9,($G$469)/($L$469)))</f>
        <v>263511</v>
      </c>
      <c r="P473" s="65" t="n">
        <f aca="false">O473</f>
        <v>263511</v>
      </c>
      <c r="Q473" s="66" t="n">
        <f aca="false">J473-P473</f>
        <v>838194.12</v>
      </c>
      <c r="R473" s="67" t="s">
        <v>847</v>
      </c>
    </row>
    <row r="474" customFormat="false" ht="15" hidden="false" customHeight="false" outlineLevel="0" collapsed="false">
      <c r="B474" s="57"/>
      <c r="C474" s="58" t="s">
        <v>851</v>
      </c>
      <c r="D474" s="57"/>
      <c r="E474" s="57"/>
      <c r="F474" s="57"/>
      <c r="G474" s="57"/>
      <c r="H474" s="57"/>
      <c r="I474" s="57"/>
      <c r="J474" s="57"/>
      <c r="K474" s="57"/>
      <c r="P474" s="57"/>
      <c r="Q474" s="57"/>
      <c r="R474" s="57"/>
    </row>
    <row r="475" customFormat="false" ht="15" hidden="false" customHeight="false" outlineLevel="0" collapsed="false">
      <c r="B475" s="40" t="s">
        <v>852</v>
      </c>
      <c r="C475" s="69" t="s">
        <v>853</v>
      </c>
      <c r="D475" s="40" t="s">
        <v>80</v>
      </c>
      <c r="E475" s="31"/>
      <c r="F475" s="31"/>
      <c r="G475" s="31"/>
      <c r="H475" s="76" t="n">
        <f aca="false">IF($N$6&lt;&gt;"",0,1*(($N$2&gt;=Estacas!$B$650-0.00001)*($N$6="")))</f>
        <v>1</v>
      </c>
      <c r="I475" s="62" t="n">
        <v>1273947.04</v>
      </c>
      <c r="J475" s="63" t="n">
        <f aca="false">H475*I475</f>
        <v>1273947.04</v>
      </c>
      <c r="K475" s="64" t="n">
        <f aca="false">IF($N$6&lt;&gt;"",0,1*(($N$2&gt;=Estacas!$B$650-0.00001)*($N$6="")))</f>
        <v>1</v>
      </c>
      <c r="O475" s="0" t="n">
        <f aca="false">IF($N$6&lt;&gt;"",0,1273947.04*(($N$2&gt;=Estacas!$B$650-0.00001)*($N$6="")))</f>
        <v>1273947.04</v>
      </c>
      <c r="P475" s="65" t="n">
        <f aca="false">O475</f>
        <v>1273947.04</v>
      </c>
      <c r="Q475" s="66" t="n">
        <f aca="false">J475-P475</f>
        <v>0</v>
      </c>
      <c r="R475" s="67" t="s">
        <v>854</v>
      </c>
    </row>
    <row r="476" customFormat="false" ht="15" hidden="false" customHeight="false" outlineLevel="0" collapsed="false">
      <c r="B476" s="70"/>
      <c r="C476" s="71" t="s">
        <v>855</v>
      </c>
      <c r="D476" s="70"/>
      <c r="E476" s="70"/>
      <c r="F476" s="70"/>
      <c r="G476" s="70"/>
      <c r="H476" s="72" t="str">
        <f aca="false">COUNTIF(J446:J475,"&gt;0")&amp;" de "&amp;COUNT(J446:J475)&amp;" itens"</f>
        <v>24 de 24 itens</v>
      </c>
      <c r="I476" s="70"/>
      <c r="J476" s="73" t="n">
        <f aca="false">SUM(J446:J475)</f>
        <v>4886935.498</v>
      </c>
      <c r="K476" s="70"/>
      <c r="O476" s="0" t="n">
        <f aca="false">SUM(O446:O475)</f>
        <v>3221460.92</v>
      </c>
      <c r="P476" s="74" t="n">
        <f aca="false">SUM(P446:P475)</f>
        <v>3221460.92</v>
      </c>
      <c r="Q476" s="75" t="n">
        <f aca="false">J476-P476</f>
        <v>1665474.578</v>
      </c>
      <c r="R476" s="70"/>
    </row>
    <row r="478" customFormat="false" ht="24" hidden="false" customHeight="true" outlineLevel="0" collapsed="false">
      <c r="B478" s="3"/>
      <c r="C478" s="79" t="s">
        <v>856</v>
      </c>
      <c r="D478" s="3"/>
      <c r="E478" s="3"/>
      <c r="F478" s="3"/>
      <c r="G478" s="3"/>
      <c r="H478" s="3"/>
      <c r="I478" s="3"/>
      <c r="J478" s="80" t="n">
        <f aca="false">J90+J109+J115+J262+J300+J334+J346+J375+J402+J412+J443+J476</f>
        <v>85313983.9902435</v>
      </c>
      <c r="K478" s="3"/>
      <c r="O478" s="2" t="n">
        <f aca="false">O90+O109+O115+O262+O300+O334+O346+O375+O402+O412+O443+O476</f>
        <v>87300000.04</v>
      </c>
      <c r="P478" s="80" t="n">
        <f aca="false">O478</f>
        <v>87300000.04</v>
      </c>
      <c r="Q478" s="81" t="n">
        <f aca="false">J478-P478</f>
        <v>-1986016.04975647</v>
      </c>
      <c r="R478" s="3"/>
    </row>
    <row r="479" customFormat="false" ht="15" hidden="false" customHeight="false" outlineLevel="0" collapsed="false">
      <c r="C479" s="16" t="s">
        <v>857</v>
      </c>
    </row>
    <row r="480" customFormat="false" ht="15" hidden="false" customHeight="false" outlineLevel="0" collapsed="false">
      <c r="C480" s="16" t="s">
        <v>858</v>
      </c>
    </row>
    <row r="482" customFormat="false" ht="21.75" hidden="false" customHeight="true" outlineLevel="0" collapsed="false">
      <c r="B482" s="82" t="s">
        <v>859</v>
      </c>
      <c r="C482" s="5"/>
      <c r="D482" s="5"/>
      <c r="E482" s="5"/>
      <c r="F482" s="5"/>
      <c r="G482" s="5"/>
      <c r="H482" s="5"/>
      <c r="I482" s="5"/>
      <c r="J482" s="5"/>
      <c r="K482" s="5"/>
      <c r="P482" s="5"/>
      <c r="Q482" s="5"/>
      <c r="R482" s="5"/>
    </row>
    <row r="483" customFormat="false" ht="15" hidden="false" customHeight="false" outlineLevel="0" collapsed="false">
      <c r="B483" s="31"/>
      <c r="C483" s="83" t="s">
        <v>860</v>
      </c>
      <c r="D483" s="40" t="s">
        <v>176</v>
      </c>
      <c r="E483" s="31"/>
      <c r="F483" s="31"/>
      <c r="G483" s="84" t="n">
        <f aca="false">IF($N$6&lt;&gt;"","",IF(INDEX('Geometria por estaca'!$B$2:$B$645,MIN(MATCH($M$2,'Geometria por estaca'!$B$2:$B$645,1)+1,644))=INDEX('Geometria por estaca'!$B$2:$B$645,MATCH($M$2,'Geometria por estaca'!$B$2:$B$645,1)),INDEX('Geometria por estaca'!$D$2:$D$645,MATCH($M$2,'Geometria por estaca'!$B$2:$B$645,1)),INDEX('Geometria por estaca'!$D$2:$D$645,MATCH($M$2,'Geometria por estaca'!$B$2:$B$645,1))+(INDEX('Geometria por estaca'!$D$2:$D$645,MIN(MATCH($M$2,'Geometria por estaca'!$B$2:$B$645,1)+1,644))-INDEX('Geometria por estaca'!$D$2:$D$645,MATCH($M$2,'Geometria por estaca'!$B$2:$B$645,1)))*($M$2-INDEX('Geometria por estaca'!$B$2:$B$645,MATCH($M$2,'Geometria por estaca'!$B$2:$B$645,1)))/(INDEX('Geometria por estaca'!$B$2:$B$645,MIN(MATCH($M$2,'Geometria por estaca'!$B$2:$B$645,1)+1,644))-INDEX('Geometria por estaca'!$B$2:$B$645,MATCH($M$2,'Geometria por estaca'!$B$2:$B$645,1)))))</f>
        <v>846.29</v>
      </c>
      <c r="H483" s="31"/>
      <c r="I483" s="31"/>
      <c r="J483" s="67" t="s">
        <v>861</v>
      </c>
      <c r="K483" s="31"/>
      <c r="P483" s="31"/>
      <c r="Q483" s="31"/>
      <c r="R483" s="31"/>
    </row>
    <row r="484" customFormat="false" ht="15" hidden="false" customHeight="false" outlineLevel="0" collapsed="false">
      <c r="B484" s="31"/>
      <c r="C484" s="83" t="s">
        <v>862</v>
      </c>
      <c r="D484" s="40" t="s">
        <v>176</v>
      </c>
      <c r="E484" s="31"/>
      <c r="F484" s="31"/>
      <c r="G484" s="84" t="n">
        <f aca="false">IF($N$6&lt;&gt;"","",IF(INDEX('Geometria por estaca'!$B$2:$B$645,MIN(MATCH($N$2,'Geometria por estaca'!$B$2:$B$645,1)+1,644))=INDEX('Geometria por estaca'!$B$2:$B$645,MATCH($N$2,'Geometria por estaca'!$B$2:$B$645,1)),INDEX('Geometria por estaca'!$D$2:$D$645,MATCH($N$2,'Geometria por estaca'!$B$2:$B$645,1)),INDEX('Geometria por estaca'!$D$2:$D$645,MATCH($N$2,'Geometria por estaca'!$B$2:$B$645,1))+(INDEX('Geometria por estaca'!$D$2:$D$645,MIN(MATCH($N$2,'Geometria por estaca'!$B$2:$B$645,1)+1,644))-INDEX('Geometria por estaca'!$D$2:$D$645,MATCH($N$2,'Geometria por estaca'!$B$2:$B$645,1)))*($N$2-INDEX('Geometria por estaca'!$B$2:$B$645,MATCH($N$2,'Geometria por estaca'!$B$2:$B$645,1)))/(INDEX('Geometria por estaca'!$B$2:$B$645,MIN(MATCH($N$2,'Geometria por estaca'!$B$2:$B$645,1)+1,644))-INDEX('Geometria por estaca'!$B$2:$B$645,MATCH($N$2,'Geometria por estaca'!$B$2:$B$645,1)))))</f>
        <v>796.614937800253</v>
      </c>
      <c r="H484" s="31"/>
      <c r="I484" s="31"/>
      <c r="J484" s="67" t="s">
        <v>861</v>
      </c>
      <c r="K484" s="31"/>
      <c r="P484" s="31"/>
      <c r="Q484" s="31"/>
      <c r="R484" s="31"/>
    </row>
    <row r="485" customFormat="false" ht="15" hidden="false" customHeight="false" outlineLevel="0" collapsed="false">
      <c r="B485" s="31"/>
      <c r="C485" s="83" t="s">
        <v>863</v>
      </c>
      <c r="D485" s="40" t="s">
        <v>176</v>
      </c>
      <c r="E485" s="31"/>
      <c r="F485" s="31"/>
      <c r="G485" s="84" t="n">
        <f aca="false">IF($N$6&lt;&gt;"","",G484-G483)</f>
        <v>-49.6750621997471</v>
      </c>
      <c r="H485" s="31"/>
      <c r="I485" s="31"/>
      <c r="J485" s="67"/>
      <c r="K485" s="31"/>
      <c r="P485" s="31"/>
      <c r="Q485" s="31"/>
      <c r="R485" s="31"/>
    </row>
    <row r="486" customFormat="false" ht="15" hidden="false" customHeight="false" outlineLevel="0" collapsed="false">
      <c r="B486" s="31"/>
      <c r="C486" s="83" t="s">
        <v>41</v>
      </c>
      <c r="D486" s="40" t="s">
        <v>864</v>
      </c>
      <c r="E486" s="31"/>
      <c r="F486" s="31"/>
      <c r="G486" s="84" t="n">
        <f aca="false">IF($N$6&lt;&gt;"","",IF($N$7=0,0,G485/$N$7*100))</f>
        <v>-0.386401441462236</v>
      </c>
      <c r="H486" s="31"/>
      <c r="I486" s="31"/>
      <c r="J486" s="67" t="s">
        <v>865</v>
      </c>
      <c r="K486" s="31"/>
      <c r="P486" s="31"/>
      <c r="Q486" s="31"/>
      <c r="R486" s="31"/>
    </row>
    <row r="487" customFormat="false" ht="15" hidden="false" customHeight="false" outlineLevel="0" collapsed="false">
      <c r="B487" s="31"/>
      <c r="C487" s="83" t="s">
        <v>866</v>
      </c>
      <c r="D487" s="40" t="s">
        <v>864</v>
      </c>
      <c r="E487" s="31"/>
      <c r="F487" s="31"/>
      <c r="G487" s="84" t="n">
        <f aca="false">IF($N$6&lt;&gt;"","",SUMPRODUCT(MAX(((('Geometria por estaca'!$B$2:$B$645&gt;=$M$2)*('Geometria por estaca'!$B$2:$B$645&lt;=$N$2))*'Geometria por estaca'!$G$2:$G$645))))</f>
        <v>6</v>
      </c>
      <c r="H487" s="31"/>
      <c r="I487" s="31"/>
      <c r="J487" s="67" t="s">
        <v>867</v>
      </c>
      <c r="K487" s="31"/>
      <c r="P487" s="31"/>
      <c r="Q487" s="31"/>
      <c r="R487" s="31"/>
    </row>
    <row r="488" customFormat="false" ht="15" hidden="false" customHeight="false" outlineLevel="0" collapsed="false">
      <c r="B488" s="31"/>
      <c r="C488" s="83" t="s">
        <v>868</v>
      </c>
      <c r="D488" s="40" t="s">
        <v>864</v>
      </c>
      <c r="E488" s="31"/>
      <c r="F488" s="31"/>
      <c r="G488" s="84" t="n">
        <f aca="false">IF($N$6&lt;&gt;"","",-SUMPRODUCT(MAX(((('Geometria por estaca'!$B$2:$B$645&gt;=$M$2)*('Geometria por estaca'!$B$2:$B$645&lt;=$N$2))*(-'Geometria por estaca'!$G$2:$G$645)))))</f>
        <v>-6.762</v>
      </c>
      <c r="H488" s="31"/>
      <c r="I488" s="31"/>
      <c r="J488" s="67" t="s">
        <v>867</v>
      </c>
      <c r="K488" s="31"/>
      <c r="P488" s="31"/>
      <c r="Q488" s="31"/>
      <c r="R488" s="31"/>
    </row>
    <row r="489" customFormat="false" ht="15" hidden="false" customHeight="false" outlineLevel="0" collapsed="false">
      <c r="B489" s="31"/>
      <c r="C489" s="83" t="s">
        <v>869</v>
      </c>
      <c r="D489" s="40" t="s">
        <v>176</v>
      </c>
      <c r="E489" s="31"/>
      <c r="F489" s="31"/>
      <c r="G489" s="84" t="n">
        <f aca="false">IF($N$6&lt;&gt;"","",SUMPRODUCT(MAX(((('Geometria por estaca'!$B$2:$B$645&gt;=$M$2)*('Geometria por estaca'!$B$2:$B$645&lt;=$N$2))*'Geometria por estaca'!$E$2:$E$645))))</f>
        <v>9.17199999999991</v>
      </c>
      <c r="H489" s="31"/>
      <c r="I489" s="31"/>
      <c r="J489" s="67" t="s">
        <v>870</v>
      </c>
      <c r="K489" s="31"/>
      <c r="P489" s="31"/>
      <c r="Q489" s="31"/>
      <c r="R489" s="31"/>
    </row>
    <row r="490" customFormat="false" ht="15" hidden="false" customHeight="false" outlineLevel="0" collapsed="false">
      <c r="B490" s="31"/>
      <c r="C490" s="83" t="s">
        <v>871</v>
      </c>
      <c r="D490" s="40" t="s">
        <v>176</v>
      </c>
      <c r="E490" s="31"/>
      <c r="F490" s="31"/>
      <c r="G490" s="84" t="n">
        <f aca="false">IF($N$6&lt;&gt;"","",SUMPRODUCT(MAX(((('Geometria por estaca'!$B$2:$B$645&gt;=$M$2)*('Geometria por estaca'!$B$2:$B$645&lt;=$N$2))*(-'Geometria por estaca'!$E$2:$E$645)))))</f>
        <v>5.38900000000001</v>
      </c>
      <c r="H490" s="31"/>
      <c r="I490" s="31"/>
      <c r="J490" s="67" t="s">
        <v>872</v>
      </c>
      <c r="K490" s="31"/>
      <c r="P490" s="31"/>
      <c r="Q490" s="31"/>
      <c r="R490" s="31"/>
    </row>
    <row r="491" customFormat="false" ht="15" hidden="false" customHeight="false" outlineLevel="0" collapsed="false">
      <c r="B491" s="31"/>
      <c r="C491" s="83" t="s">
        <v>873</v>
      </c>
      <c r="D491" s="40" t="s">
        <v>80</v>
      </c>
      <c r="E491" s="31"/>
      <c r="F491" s="31"/>
      <c r="G491" s="85" t="n">
        <f aca="false">IF($N$6&lt;&gt;"","",COUNTIFS('Geometria por estaca'!$B$2:$B$645,"&gt;="&amp;$M$2,'Geometria por estaca'!$B$2:$B$645,"&lt;"&amp;($N$2+($N$2&gt;=Estacas!$B$650-0.00001)*0.001),'Geometria por estaca'!$E$2:$E$645,"&gt;=0"))</f>
        <v>386</v>
      </c>
      <c r="H491" s="31"/>
      <c r="I491" s="31"/>
      <c r="J491" s="67" t="s">
        <v>874</v>
      </c>
      <c r="K491" s="31"/>
      <c r="P491" s="31"/>
      <c r="Q491" s="31"/>
      <c r="R491" s="31"/>
    </row>
    <row r="492" customFormat="false" ht="15" hidden="false" customHeight="false" outlineLevel="0" collapsed="false">
      <c r="B492" s="31"/>
      <c r="C492" s="83" t="s">
        <v>875</v>
      </c>
      <c r="D492" s="40" t="s">
        <v>80</v>
      </c>
      <c r="E492" s="31"/>
      <c r="F492" s="31"/>
      <c r="G492" s="85" t="n">
        <f aca="false">IF($N$6&lt;&gt;"","",COUNTIFS('Geometria por estaca'!$B$2:$B$645,"&gt;="&amp;$M$2,'Geometria por estaca'!$B$2:$B$645,"&lt;"&amp;($N$2+($N$2&gt;=Estacas!$B$650-0.00001)*0.001),'Geometria por estaca'!$E$2:$E$645,"&lt;0"))</f>
        <v>258</v>
      </c>
      <c r="H492" s="31"/>
      <c r="I492" s="31"/>
      <c r="J492" s="67" t="s">
        <v>874</v>
      </c>
      <c r="K492" s="31"/>
      <c r="P492" s="31"/>
      <c r="Q492" s="31"/>
      <c r="R492" s="31"/>
    </row>
    <row r="493" customFormat="false" ht="15" hidden="false" customHeight="false" outlineLevel="0" collapsed="false">
      <c r="B493" s="31"/>
      <c r="C493" s="83" t="s">
        <v>876</v>
      </c>
      <c r="D493" s="40" t="s">
        <v>80</v>
      </c>
      <c r="E493" s="31"/>
      <c r="F493" s="31"/>
      <c r="G493" s="85" t="n">
        <f aca="false">IF($N$6&lt;&gt;"","",COUNTIFS('Geometria – curvas'!$E$2:$E$26,"&lt;="&amp;$N$2,'Geometria – curvas'!$F$2:$F$26,"&gt;="&amp;$M$2))</f>
        <v>25</v>
      </c>
      <c r="H493" s="31"/>
      <c r="I493" s="31"/>
      <c r="J493" s="67" t="s">
        <v>877</v>
      </c>
      <c r="K493" s="31"/>
      <c r="P493" s="31"/>
      <c r="Q493" s="31"/>
      <c r="R493" s="31"/>
    </row>
    <row r="494" customFormat="false" ht="15" hidden="false" customHeight="false" outlineLevel="0" collapsed="false">
      <c r="B494" s="31"/>
      <c r="C494" s="83" t="s">
        <v>878</v>
      </c>
      <c r="D494" s="40" t="s">
        <v>176</v>
      </c>
      <c r="E494" s="31"/>
      <c r="F494" s="31"/>
      <c r="G494" s="84" t="n">
        <f aca="false">IF($N$6&lt;&gt;"","",IF(G493=0,"–",SUMPRODUCT(MIN((('Geometria – curvas'!$E$2:$E$26&lt;=$N$2)*('Geometria – curvas'!$F$2:$F$26&gt;=$M$2))*'Geometria – curvas'!$B$2:$B$26+(1-('Geometria – curvas'!$E$2:$E$26&lt;=$N$2)*('Geometria – curvas'!$F$2:$F$26&gt;=$M$2))*1000000000))))</f>
        <v>240</v>
      </c>
      <c r="H494" s="31"/>
      <c r="I494" s="31"/>
      <c r="J494" s="67"/>
      <c r="K494" s="31"/>
      <c r="P494" s="31"/>
      <c r="Q494" s="31"/>
      <c r="R494" s="31"/>
    </row>
    <row r="495" customFormat="false" ht="15" hidden="false" customHeight="false" outlineLevel="0" collapsed="false">
      <c r="B495" s="31"/>
      <c r="C495" s="83" t="s">
        <v>879</v>
      </c>
      <c r="D495" s="40" t="s">
        <v>80</v>
      </c>
      <c r="E495" s="31"/>
      <c r="F495" s="31"/>
      <c r="G495" s="85" t="n">
        <f aca="false">IF($N$6&lt;&gt;"","",COUNTIFS('Geometria – curvas'!$P$2:$P$45,"&lt;="&amp;$N$2,'Geometria – curvas'!$Q$2:$Q$45,"&gt;="&amp;$M$2))</f>
        <v>44</v>
      </c>
      <c r="H495" s="31"/>
      <c r="I495" s="31"/>
      <c r="J495" s="67" t="s">
        <v>880</v>
      </c>
      <c r="K495" s="31"/>
      <c r="P495" s="31"/>
      <c r="Q495" s="31"/>
      <c r="R495" s="31"/>
    </row>
    <row r="496" customFormat="false" ht="15" hidden="false" customHeight="false" outlineLevel="0" collapsed="false">
      <c r="B496" s="31"/>
      <c r="C496" s="83" t="s">
        <v>881</v>
      </c>
      <c r="D496" s="40"/>
      <c r="E496" s="31"/>
      <c r="F496" s="31"/>
      <c r="G496" s="84" t="n">
        <f aca="false">IF($N$6&lt;&gt;"","",IF(G495=0,"–",SUMPRODUCT(MIN((('Geometria – curvas'!$P$2:$P$45&lt;=$N$2)*('Geometria – curvas'!$Q$2:$Q$45&gt;=$M$2))*'Geometria – curvas'!$N$2:$N$45+(1-('Geometria – curvas'!$P$2:$P$45&lt;=$N$2)*('Geometria – curvas'!$Q$2:$Q$45&gt;=$M$2))*1000000000))))</f>
        <v>7.938</v>
      </c>
      <c r="H496" s="31"/>
      <c r="I496" s="31"/>
      <c r="J496" s="67"/>
      <c r="K496" s="31"/>
      <c r="P496" s="31"/>
      <c r="Q496" s="31"/>
      <c r="R496" s="31"/>
    </row>
  </sheetData>
  <mergeCells count="71">
    <mergeCell ref="B2:K2"/>
    <mergeCell ref="B3:K3"/>
    <mergeCell ref="I6:K6"/>
    <mergeCell ref="B7:D7"/>
    <mergeCell ref="I7:K7"/>
    <mergeCell ref="B8:D8"/>
    <mergeCell ref="I8:K8"/>
    <mergeCell ref="I9:K9"/>
    <mergeCell ref="B10:K10"/>
    <mergeCell ref="B13:C13"/>
    <mergeCell ref="E13:F13"/>
    <mergeCell ref="G13:H13"/>
    <mergeCell ref="I13:K13"/>
    <mergeCell ref="P13:R13"/>
    <mergeCell ref="B14:C14"/>
    <mergeCell ref="E14:F14"/>
    <mergeCell ref="G14:H14"/>
    <mergeCell ref="I14:K14"/>
    <mergeCell ref="P14:R14"/>
    <mergeCell ref="B15:C15"/>
    <mergeCell ref="E15:F15"/>
    <mergeCell ref="G15:H15"/>
    <mergeCell ref="I15:K15"/>
    <mergeCell ref="P15:R15"/>
    <mergeCell ref="B18:D18"/>
    <mergeCell ref="E18:F18"/>
    <mergeCell ref="G18:H18"/>
    <mergeCell ref="I18:K18"/>
    <mergeCell ref="B19:D19"/>
    <mergeCell ref="E19:F19"/>
    <mergeCell ref="G19:H19"/>
    <mergeCell ref="I19:K19"/>
    <mergeCell ref="B20:D20"/>
    <mergeCell ref="E20:F20"/>
    <mergeCell ref="G20:H20"/>
    <mergeCell ref="I20:K20"/>
    <mergeCell ref="B21:D21"/>
    <mergeCell ref="E21:F21"/>
    <mergeCell ref="G21:H21"/>
    <mergeCell ref="I21:K21"/>
    <mergeCell ref="G24:H24"/>
    <mergeCell ref="I24:J24"/>
    <mergeCell ref="G25:H25"/>
    <mergeCell ref="I25:J25"/>
    <mergeCell ref="G26:H26"/>
    <mergeCell ref="I26:J26"/>
    <mergeCell ref="G27:H27"/>
    <mergeCell ref="I27:J27"/>
    <mergeCell ref="G28:H28"/>
    <mergeCell ref="I28:J28"/>
    <mergeCell ref="G29:H29"/>
    <mergeCell ref="I29:J29"/>
    <mergeCell ref="G30:H30"/>
    <mergeCell ref="I30:J30"/>
    <mergeCell ref="G31:H31"/>
    <mergeCell ref="I31:J31"/>
    <mergeCell ref="G32:H32"/>
    <mergeCell ref="I32:J32"/>
    <mergeCell ref="G33:H33"/>
    <mergeCell ref="I33:J33"/>
    <mergeCell ref="G34:H34"/>
    <mergeCell ref="I34:J34"/>
    <mergeCell ref="G35:H35"/>
    <mergeCell ref="I35:J35"/>
    <mergeCell ref="G36:H36"/>
    <mergeCell ref="I36:J36"/>
    <mergeCell ref="G37:H37"/>
    <mergeCell ref="I37:J37"/>
    <mergeCell ref="E40:G40"/>
    <mergeCell ref="H40:J40"/>
    <mergeCell ref="K40:P40"/>
  </mergeCells>
  <conditionalFormatting sqref="B42:R477">
    <cfRule type="expression" priority="2" aboveAverage="0" equalAverage="0" bottom="0" percent="0" rank="0" text="" dxfId="0">
      <formula>AND(ISNUMBER($G42)+ISNUMBER($H42)&gt;0,N($G42)+N($H42)=0)</formula>
    </cfRule>
  </conditionalFormatting>
  <conditionalFormatting sqref="F25:F36">
    <cfRule type="dataBar" priority="3">
      <dataBar showValue="1" minLength="10" maxLength="90">
        <cfvo type="num" val="0"/>
        <cfvo type="num" val="1"/>
        <color rgb="FF9DC3E6"/>
      </dataBar>
      <extLst>
        <ext xmlns:x14="http://schemas.microsoft.com/office/spreadsheetml/2009/9/main" uri="{B025F937-C7B1-47D3-B67F-A62EFF666E3E}">
          <x14:id>{DD92F02A-816A-455C-9082-D4512833DD46}</x14:id>
        </ext>
      </extLst>
    </cfRule>
  </conditionalFormatting>
  <dataValidations count="2">
    <dataValidation allowBlank="false" error="Digite um número inteiro de 0 a 642." errorStyle="stop" errorTitle="Estaca inválida" operator="between" showDropDown="false" showErrorMessage="true" showInputMessage="false" sqref="E7:E8" type="whole">
      <formula1>0</formula1>
      <formula2>642</formula2>
    </dataValidation>
    <dataValidation allowBlank="false" error="Digite de 0 a 19,99 m (a estaca 642 vai até +15,817)." errorStyle="stop" errorTitle="Metros inválidos" operator="between" showDropDown="false" showErrorMessage="true" showInputMessage="false" sqref="F7:F8" type="decimal">
      <formula1>0</formula1>
      <formula2>19.999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92F02A-816A-455C-9082-D4512833DD4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9DC3E6"/>
              <x14:axisColor rgb="FF000000"/>
            </x14:dataBar>
          </x14:cfRule>
          <xm:sqref>F25:F36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B2:R35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11" topLeftCell="E12" activePane="bottomRight" state="frozen"/>
      <selection pane="topLeft" activeCell="A1" activeCellId="0" sqref="A1"/>
      <selection pane="topRight" activeCell="E1" activeCellId="0" sqref="E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52"/>
    <col collapsed="false" customWidth="true" hidden="false" outlineLevel="0" max="5" min="5" style="0" width="5"/>
    <col collapsed="false" customWidth="true" hidden="false" outlineLevel="0" max="8" min="6" style="0" width="13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3" min="12" style="0" width="15"/>
    <col collapsed="false" customWidth="true" hidden="false" outlineLevel="0" max="14" min="14" style="0" width="14"/>
    <col collapsed="false" customWidth="true" hidden="false" outlineLevel="0" max="15" min="15" style="0" width="20"/>
    <col collapsed="false" customWidth="true" hidden="false" outlineLevel="0" max="16" min="16" style="0" width="34"/>
    <col collapsed="false" customWidth="true" hidden="false" outlineLevel="0" max="17" min="17" style="0" width="70"/>
    <col collapsed="false" customWidth="true" hidden="false" outlineLevel="0" max="18" min="18" style="0" width="8"/>
  </cols>
  <sheetData>
    <row r="2" customFormat="false" ht="31.5" hidden="false" customHeight="true" outlineLevel="0" collapsed="false">
      <c r="B2" s="86" t="s">
        <v>882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3"/>
    </row>
    <row r="3" customFormat="false" ht="15" hidden="false" customHeight="false" outlineLevel="0" collapsed="false">
      <c r="B3" s="4" t="s">
        <v>883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</row>
    <row r="5" customFormat="false" ht="15" hidden="false" customHeight="false" outlineLevel="0" collapsed="false">
      <c r="B5" s="87" t="s">
        <v>884</v>
      </c>
    </row>
    <row r="6" customFormat="false" ht="15" hidden="false" customHeight="false" outlineLevel="0" collapsed="false">
      <c r="B6" s="88" t="s">
        <v>885</v>
      </c>
      <c r="C6" s="88"/>
      <c r="D6" s="88"/>
      <c r="F6" s="88" t="s">
        <v>886</v>
      </c>
      <c r="G6" s="88"/>
      <c r="H6" s="88"/>
      <c r="I6" s="88" t="s">
        <v>887</v>
      </c>
      <c r="J6" s="88"/>
      <c r="K6" s="88"/>
      <c r="L6" s="88"/>
      <c r="M6" s="88" t="s">
        <v>888</v>
      </c>
      <c r="N6" s="88"/>
      <c r="O6" s="88"/>
      <c r="P6" s="88"/>
      <c r="Q6" s="89" t="s">
        <v>889</v>
      </c>
    </row>
    <row r="7" customFormat="false" ht="27.75" hidden="false" customHeight="true" outlineLevel="0" collapsed="false">
      <c r="B7" s="90" t="n">
        <f aca="false">L359</f>
        <v>87300000.04</v>
      </c>
      <c r="C7" s="90"/>
      <c r="D7" s="90"/>
      <c r="F7" s="90" t="n">
        <f aca="false">M359</f>
        <v>85313983.9902435</v>
      </c>
      <c r="G7" s="90"/>
      <c r="H7" s="90"/>
      <c r="I7" s="91" t="n">
        <f aca="false">N359</f>
        <v>-1986016.04975651</v>
      </c>
      <c r="J7" s="91"/>
      <c r="K7" s="91"/>
      <c r="L7" s="91"/>
      <c r="M7" s="92" t="str">
        <f aca="false">COUNTIF(O12:O358,"Confere*")&amp;" conferem"</f>
        <v>140 conferem</v>
      </c>
      <c r="N7" s="92"/>
      <c r="O7" s="92"/>
      <c r="P7" s="92"/>
      <c r="Q7" s="93" t="s">
        <v>890</v>
      </c>
    </row>
    <row r="8" customFormat="false" ht="24" hidden="false" customHeight="true" outlineLevel="0" collapsed="false">
      <c r="B8" s="94" t="str">
        <f aca="false">COUNT(F12:F358)&amp;" itens da planilha contratual"</f>
        <v>269 itens da planilha contratual</v>
      </c>
      <c r="C8" s="94"/>
      <c r="D8" s="94"/>
      <c r="F8" s="94" t="s">
        <v>891</v>
      </c>
      <c r="G8" s="94"/>
      <c r="H8" s="94"/>
      <c r="I8" s="94" t="str">
        <f aca="false">FIXED(IF(L359=0,0,N359/L359*100),1)&amp;"% do contrato"</f>
        <v>-2.3% do contrato</v>
      </c>
      <c r="J8" s="94"/>
      <c r="K8" s="94"/>
      <c r="L8" s="94"/>
      <c r="M8" s="94" t="str">
        <f aca="false">COUNTIF(O12:O358,"Projeto maior")&amp;" maiores · "&amp;COUNTIF(O12:O358,"Projeto menor")&amp;" menores · "&amp;COUNTIF(O12:O358,"Não encontrado")&amp;" não encontrados · "&amp;(COUNTIF(O12:O358,"Medição mensal")+COUNTIF(O12:O358,"Mobilização"))&amp;" mensais/mobilização"</f>
        <v>29 maiores · 41 menores · 51 não encontrados · 8 mensais/mobilização</v>
      </c>
      <c r="N8" s="94"/>
      <c r="O8" s="94"/>
      <c r="P8" s="94"/>
      <c r="Q8" s="93" t="s">
        <v>892</v>
      </c>
    </row>
    <row r="10" customFormat="false" ht="15" hidden="false" customHeight="false" outlineLevel="0" collapsed="false">
      <c r="F10" s="51" t="s">
        <v>893</v>
      </c>
      <c r="G10" s="51"/>
      <c r="H10" s="52" t="s">
        <v>894</v>
      </c>
      <c r="I10" s="52"/>
      <c r="J10" s="52"/>
      <c r="K10" s="53" t="s">
        <v>895</v>
      </c>
      <c r="L10" s="53"/>
      <c r="M10" s="53"/>
      <c r="N10" s="53"/>
      <c r="O10" s="95" t="s">
        <v>896</v>
      </c>
      <c r="P10" s="95"/>
      <c r="Q10" s="95"/>
    </row>
    <row r="11" customFormat="false" ht="31.5" hidden="false" customHeight="true" outlineLevel="0" collapsed="false">
      <c r="B11" s="55" t="s">
        <v>897</v>
      </c>
      <c r="C11" s="55" t="s">
        <v>56</v>
      </c>
      <c r="D11" s="55" t="s">
        <v>57</v>
      </c>
      <c r="E11" s="55" t="s">
        <v>58</v>
      </c>
      <c r="F11" s="55" t="s">
        <v>898</v>
      </c>
      <c r="G11" s="55" t="s">
        <v>899</v>
      </c>
      <c r="H11" s="55" t="s">
        <v>900</v>
      </c>
      <c r="I11" s="55" t="s">
        <v>901</v>
      </c>
      <c r="J11" s="55" t="s">
        <v>902</v>
      </c>
      <c r="K11" s="55" t="s">
        <v>903</v>
      </c>
      <c r="L11" s="55" t="s">
        <v>904</v>
      </c>
      <c r="M11" s="55" t="s">
        <v>905</v>
      </c>
      <c r="N11" s="55" t="s">
        <v>906</v>
      </c>
      <c r="O11" s="55" t="s">
        <v>907</v>
      </c>
      <c r="P11" s="55" t="s">
        <v>908</v>
      </c>
      <c r="Q11" s="55" t="s">
        <v>909</v>
      </c>
      <c r="R11" s="55" t="s">
        <v>910</v>
      </c>
    </row>
    <row r="12" customFormat="false" ht="15" hidden="false" customHeight="false" outlineLevel="0" collapsed="false">
      <c r="B12" s="96" t="s">
        <v>911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</row>
    <row r="13" customFormat="false" ht="15" hidden="false" customHeight="false" outlineLevel="0" collapsed="false">
      <c r="B13" s="97" t="n">
        <v>17</v>
      </c>
      <c r="C13" s="40" t="s">
        <v>75</v>
      </c>
      <c r="D13" s="98" t="s">
        <v>912</v>
      </c>
      <c r="E13" s="40" t="s">
        <v>77</v>
      </c>
      <c r="F13" s="64" t="n">
        <v>46465.94</v>
      </c>
      <c r="G13" s="99" t="n">
        <v>46465.94</v>
      </c>
      <c r="H13" s="61" t="n">
        <f aca="false">Painel!$L$45</f>
        <v>47263.4706226296</v>
      </c>
      <c r="I13" s="100" t="n">
        <f aca="false">IF(H13="","",H13-F13)</f>
        <v>797.53062262958</v>
      </c>
      <c r="J13" s="101" t="n">
        <f aca="false">IF(OR(H13="",F13=0),"",H13/F13-1)</f>
        <v>0.0171637681843857</v>
      </c>
      <c r="K13" s="62" t="n">
        <v>11.78</v>
      </c>
      <c r="L13" s="42" t="n">
        <v>547368.77</v>
      </c>
      <c r="M13" s="43" t="n">
        <f aca="false">IF(H13="",F13*K13,H13*K13)</f>
        <v>556763.683934577</v>
      </c>
      <c r="N13" s="66" t="n">
        <f aca="false">M13-L13</f>
        <v>9394.91393457644</v>
      </c>
      <c r="O13" s="102" t="str">
        <f aca="false">IF(F13=0,"Sem qtd. no contrato",IF(ABS(H13/F13-1)&lt;=0.02,"Confere (±2%)",IF(H13&gt;F13,"Projeto maior","Projeto menor")))</f>
        <v>Confere (±2%)</v>
      </c>
      <c r="P13" s="67" t="s">
        <v>913</v>
      </c>
      <c r="Q13" s="103" t="s">
        <v>914</v>
      </c>
      <c r="R13" s="104" t="str">
        <f aca="false">HYPERLINK("#'Painel'!B45","→ 45")</f>
        <v>→ 45</v>
      </c>
    </row>
    <row r="14" customFormat="false" ht="15" hidden="false" customHeight="false" outlineLevel="0" collapsed="false">
      <c r="B14" s="97" t="n">
        <v>18</v>
      </c>
      <c r="C14" s="40" t="s">
        <v>158</v>
      </c>
      <c r="D14" s="98" t="s">
        <v>915</v>
      </c>
      <c r="E14" s="40" t="s">
        <v>77</v>
      </c>
      <c r="F14" s="64" t="n">
        <v>6633.83</v>
      </c>
      <c r="G14" s="99" t="n">
        <v>6633.83</v>
      </c>
      <c r="H14" s="61" t="n">
        <f aca="false">Painel!$L$82</f>
        <v>6633.825</v>
      </c>
      <c r="I14" s="100" t="n">
        <f aca="false">IF(H14="","",H14-F14)</f>
        <v>-0.00500000000010914</v>
      </c>
      <c r="J14" s="101" t="n">
        <f aca="false">IF(OR(H14="",F14=0),"",H14/F14-1)</f>
        <v>-7.53712410483942E-007</v>
      </c>
      <c r="K14" s="62" t="n">
        <v>324.85</v>
      </c>
      <c r="L14" s="42" t="n">
        <v>2154999.67</v>
      </c>
      <c r="M14" s="43" t="n">
        <f aca="false">IF(H14="",F14*K14,H14*K14)</f>
        <v>2154998.05125</v>
      </c>
      <c r="N14" s="66" t="n">
        <f aca="false">M14-L14</f>
        <v>-1.61874999990687</v>
      </c>
      <c r="O14" s="102" t="str">
        <f aca="false">IF(F14=0,"Sem qtd. no contrato",IF(ABS(H14/F14-1)&lt;=0.02,"Confere (±2%)",IF(H14&gt;F14,"Projeto maior","Projeto menor")))</f>
        <v>Confere (±2%)</v>
      </c>
      <c r="P14" s="67" t="s">
        <v>916</v>
      </c>
      <c r="Q14" s="103"/>
      <c r="R14" s="104" t="str">
        <f aca="false">HYPERLINK("#'Painel'!B82","→ 82")</f>
        <v>→ 82</v>
      </c>
    </row>
    <row r="15" customFormat="false" ht="15" hidden="false" customHeight="false" outlineLevel="0" collapsed="false">
      <c r="B15" s="97" t="n">
        <v>19</v>
      </c>
      <c r="C15" s="40" t="s">
        <v>147</v>
      </c>
      <c r="D15" s="98" t="s">
        <v>917</v>
      </c>
      <c r="E15" s="40" t="s">
        <v>77</v>
      </c>
      <c r="F15" s="64" t="n">
        <v>125515.05</v>
      </c>
      <c r="G15" s="99" t="n">
        <v>125515.05</v>
      </c>
      <c r="H15" s="61" t="n">
        <f aca="false">Painel!$L$78</f>
        <v>125515.045458281</v>
      </c>
      <c r="I15" s="100" t="n">
        <f aca="false">IF(H15="","",H15-F15)</f>
        <v>-0.0045417193468893</v>
      </c>
      <c r="J15" s="101" t="n">
        <f aca="false">IF(OR(H15="",F15=0),"",H15/F15-1)</f>
        <v>-3.61846594909565E-008</v>
      </c>
      <c r="K15" s="62" t="n">
        <v>6.18</v>
      </c>
      <c r="L15" s="42" t="n">
        <v>775683</v>
      </c>
      <c r="M15" s="43" t="n">
        <f aca="false">IF(H15="",F15*K15,H15*K15)</f>
        <v>775682.980932174</v>
      </c>
      <c r="N15" s="66" t="n">
        <f aca="false">M15-L15</f>
        <v>-0.0190678256331012</v>
      </c>
      <c r="O15" s="102" t="str">
        <f aca="false">IF(F15=0,"Sem qtd. no contrato",IF(ABS(H15/F15-1)&lt;=0.02,"Confere (±2%)",IF(H15&gt;F15,"Projeto maior","Projeto menor")))</f>
        <v>Confere (±2%)</v>
      </c>
      <c r="P15" s="67" t="s">
        <v>918</v>
      </c>
      <c r="Q15" s="103"/>
      <c r="R15" s="104" t="str">
        <f aca="false">HYPERLINK("#'Painel'!B78","→ 78")</f>
        <v>→ 78</v>
      </c>
    </row>
    <row r="16" customFormat="false" ht="15" hidden="false" customHeight="false" outlineLevel="0" collapsed="false">
      <c r="B16" s="97" t="n">
        <v>20</v>
      </c>
      <c r="C16" s="40" t="s">
        <v>150</v>
      </c>
      <c r="D16" s="98" t="s">
        <v>919</v>
      </c>
      <c r="E16" s="40" t="s">
        <v>77</v>
      </c>
      <c r="F16" s="64" t="n">
        <v>102477.69</v>
      </c>
      <c r="G16" s="99" t="n">
        <v>101065.34</v>
      </c>
      <c r="H16" s="61" t="n">
        <f aca="false">Painel!$L$79</f>
        <v>101065.32090866</v>
      </c>
      <c r="I16" s="100" t="n">
        <f aca="false">IF(H16="","",H16-F16)</f>
        <v>-1412.36909134009</v>
      </c>
      <c r="J16" s="101" t="n">
        <f aca="false">IF(OR(H16="",F16=0),"",H16/F16-1)</f>
        <v>-0.0137822104629807</v>
      </c>
      <c r="K16" s="62" t="n">
        <v>7.44</v>
      </c>
      <c r="L16" s="42" t="n">
        <v>762434.01</v>
      </c>
      <c r="M16" s="43" t="n">
        <f aca="false">IF(H16="",F16*K16,H16*K16)</f>
        <v>751925.98756043</v>
      </c>
      <c r="N16" s="66" t="n">
        <f aca="false">M16-L16</f>
        <v>-10508.0224395703</v>
      </c>
      <c r="O16" s="102" t="str">
        <f aca="false">IF(F16=0,"Sem qtd. no contrato",IF(ABS(H16/F16-1)&lt;=0.02,"Confere (±2%)",IF(H16&gt;F16,"Projeto maior","Projeto menor")))</f>
        <v>Confere (±2%)</v>
      </c>
      <c r="P16" s="67" t="s">
        <v>920</v>
      </c>
      <c r="Q16" s="103" t="s">
        <v>921</v>
      </c>
      <c r="R16" s="104" t="str">
        <f aca="false">HYPERLINK("#'Painel'!B79","→ 79")</f>
        <v>→ 79</v>
      </c>
    </row>
    <row r="17" customFormat="false" ht="15" hidden="false" customHeight="false" outlineLevel="0" collapsed="false">
      <c r="B17" s="97" t="n">
        <v>21</v>
      </c>
      <c r="C17" s="40" t="s">
        <v>152</v>
      </c>
      <c r="D17" s="98" t="s">
        <v>153</v>
      </c>
      <c r="E17" s="40" t="s">
        <v>77</v>
      </c>
      <c r="F17" s="64" t="n">
        <v>18294.23</v>
      </c>
      <c r="G17" s="99" t="n">
        <v>16881.88</v>
      </c>
      <c r="H17" s="61" t="n">
        <f aca="false">16881.88</f>
        <v>16881.88</v>
      </c>
      <c r="I17" s="100" t="n">
        <f aca="false">IF(H17="","",H17-F17)</f>
        <v>-1412.35</v>
      </c>
      <c r="J17" s="101" t="n">
        <f aca="false">IF(OR(H17="",F17=0),"",H17/F17-1)</f>
        <v>-0.0772019374414774</v>
      </c>
      <c r="K17" s="62" t="n">
        <v>8</v>
      </c>
      <c r="L17" s="42" t="n">
        <v>146353.84</v>
      </c>
      <c r="M17" s="43" t="n">
        <f aca="false">IF(H17="",F17*K17,H17*K17)</f>
        <v>135055.04</v>
      </c>
      <c r="N17" s="66" t="n">
        <f aca="false">M17-L17</f>
        <v>-11298.8</v>
      </c>
      <c r="O17" s="102" t="str">
        <f aca="false">IF(F17=0,"Sem qtd. no contrato",IF(ABS(H17/F17-1)&lt;=0.02,"Confere (±2%)",IF(H17&gt;F17,"Projeto maior","Projeto menor")))</f>
        <v>Projeto menor</v>
      </c>
      <c r="P17" s="67" t="s">
        <v>922</v>
      </c>
      <c r="Q17" s="103" t="s">
        <v>923</v>
      </c>
      <c r="R17" s="104" t="str">
        <f aca="false">HYPERLINK("#'Painel'!B80","→ 80")</f>
        <v>→ 80</v>
      </c>
    </row>
    <row r="18" customFormat="false" ht="15" hidden="false" customHeight="false" outlineLevel="0" collapsed="false">
      <c r="B18" s="97" t="n">
        <v>22</v>
      </c>
      <c r="C18" s="40" t="s">
        <v>71</v>
      </c>
      <c r="D18" s="98" t="s">
        <v>924</v>
      </c>
      <c r="E18" s="40" t="s">
        <v>73</v>
      </c>
      <c r="F18" s="64" t="n">
        <v>232329.7</v>
      </c>
      <c r="G18" s="99" t="n">
        <v>232329.7</v>
      </c>
      <c r="H18" s="61" t="n">
        <f aca="false">Painel!$L$44</f>
        <v>236317.353113148</v>
      </c>
      <c r="I18" s="100" t="n">
        <f aca="false">IF(H18="","",H18-F18)</f>
        <v>3987.65311314788</v>
      </c>
      <c r="J18" s="101" t="n">
        <f aca="false">IF(OR(H18="",F18=0),"",H18/F18-1)</f>
        <v>0.0171637681843857</v>
      </c>
      <c r="K18" s="62" t="n">
        <v>1.25</v>
      </c>
      <c r="L18" s="42" t="n">
        <v>290412.12</v>
      </c>
      <c r="M18" s="43" t="n">
        <f aca="false">IF(H18="",F18*K18,H18*K18)</f>
        <v>295396.691391435</v>
      </c>
      <c r="N18" s="66" t="n">
        <f aca="false">M18-L18</f>
        <v>4984.57139143487</v>
      </c>
      <c r="O18" s="102" t="str">
        <f aca="false">IF(F18=0,"Sem qtd. no contrato",IF(ABS(H18/F18-1)&lt;=0.02,"Confere (±2%)",IF(H18&gt;F18,"Projeto maior","Projeto menor")))</f>
        <v>Confere (±2%)</v>
      </c>
      <c r="P18" s="67" t="s">
        <v>925</v>
      </c>
      <c r="Q18" s="103"/>
      <c r="R18" s="104" t="str">
        <f aca="false">HYPERLINK("#'Painel'!B44","→ 44")</f>
        <v>→ 44</v>
      </c>
    </row>
    <row r="19" customFormat="false" ht="15" hidden="false" customHeight="false" outlineLevel="0" collapsed="false">
      <c r="B19" s="97" t="n">
        <v>23</v>
      </c>
      <c r="C19" s="40" t="s">
        <v>82</v>
      </c>
      <c r="D19" s="98" t="s">
        <v>83</v>
      </c>
      <c r="E19" s="40" t="s">
        <v>80</v>
      </c>
      <c r="F19" s="64" t="n">
        <v>259</v>
      </c>
      <c r="G19" s="99" t="n">
        <v>259</v>
      </c>
      <c r="H19" s="61" t="n">
        <f aca="false">(Painel!$L$46)*1</f>
        <v>259</v>
      </c>
      <c r="I19" s="100" t="n">
        <f aca="false">IF(H19="","",H19-F19)</f>
        <v>0</v>
      </c>
      <c r="J19" s="101" t="n">
        <f aca="false">IF(OR(H19="",F19=0),"",H19/F19-1)</f>
        <v>0</v>
      </c>
      <c r="K19" s="62" t="n">
        <v>54.77</v>
      </c>
      <c r="L19" s="42" t="n">
        <v>14185.43</v>
      </c>
      <c r="M19" s="43" t="n">
        <f aca="false">IF(H19="",F19*K19,H19*K19)</f>
        <v>14185.43</v>
      </c>
      <c r="N19" s="66" t="n">
        <f aca="false">M19-L19</f>
        <v>0</v>
      </c>
      <c r="O19" s="102" t="str">
        <f aca="false">IF(F19=0,"Sem qtd. no contrato",IF(ABS(H19/F19-1)&lt;=0.02,"Confere (±2%)",IF(H19&gt;F19,"Projeto maior","Projeto menor")))</f>
        <v>Confere (±2%)</v>
      </c>
      <c r="P19" s="67" t="s">
        <v>926</v>
      </c>
      <c r="Q19" s="103" t="s">
        <v>927</v>
      </c>
      <c r="R19" s="104" t="str">
        <f aca="false">HYPERLINK("#'Painel'!B47","→ 47")</f>
        <v>→ 47</v>
      </c>
    </row>
    <row r="20" customFormat="false" ht="15" hidden="false" customHeight="false" outlineLevel="0" collapsed="false">
      <c r="B20" s="97" t="n">
        <v>24</v>
      </c>
      <c r="C20" s="40" t="s">
        <v>88</v>
      </c>
      <c r="D20" s="98" t="s">
        <v>89</v>
      </c>
      <c r="E20" s="40" t="s">
        <v>77</v>
      </c>
      <c r="F20" s="64" t="n">
        <v>101294.29</v>
      </c>
      <c r="G20" s="99" t="n">
        <v>101294.29</v>
      </c>
      <c r="H20" s="61" t="n">
        <f aca="false">(Painel!$L$49)*0.38667268</f>
        <v>99858.7501186842</v>
      </c>
      <c r="I20" s="100" t="n">
        <f aca="false">IF(H20="","",H20-F20)</f>
        <v>-1435.53988131577</v>
      </c>
      <c r="J20" s="101" t="n">
        <f aca="false">IF(OR(H20="",F20=0),"",H20/F20-1)</f>
        <v>-0.0141719723916892</v>
      </c>
      <c r="K20" s="62" t="n">
        <v>10.47</v>
      </c>
      <c r="L20" s="42" t="n">
        <v>1060551.21</v>
      </c>
      <c r="M20" s="43" t="n">
        <f aca="false">IF(H20="",F20*K20,H20*K20)</f>
        <v>1045521.11374262</v>
      </c>
      <c r="N20" s="66" t="n">
        <f aca="false">M20-L20</f>
        <v>-15030.096257376</v>
      </c>
      <c r="O20" s="102" t="str">
        <f aca="false">IF(F20=0,"Sem qtd. no contrato",IF(ABS(H20/F20-1)&lt;=0.02,"Confere (±2%)",IF(H20&gt;F20,"Projeto maior","Projeto menor")))</f>
        <v>Confere (±2%)</v>
      </c>
      <c r="P20" s="67" t="s">
        <v>928</v>
      </c>
      <c r="Q20" s="103" t="s">
        <v>929</v>
      </c>
      <c r="R20" s="104" t="str">
        <f aca="false">HYPERLINK("#'Painel'!B50","→ 50")</f>
        <v>→ 50</v>
      </c>
    </row>
    <row r="21" customFormat="false" ht="15" hidden="false" customHeight="false" outlineLevel="0" collapsed="false">
      <c r="B21" s="97" t="n">
        <v>25</v>
      </c>
      <c r="C21" s="40" t="s">
        <v>91</v>
      </c>
      <c r="D21" s="98" t="s">
        <v>92</v>
      </c>
      <c r="E21" s="40" t="s">
        <v>77</v>
      </c>
      <c r="F21" s="64" t="n">
        <v>13280.16</v>
      </c>
      <c r="G21" s="99" t="n">
        <v>13280.16</v>
      </c>
      <c r="H21" s="61" t="n">
        <f aca="false">(Painel!$L$49)*0.05069461</f>
        <v>13091.9525846878</v>
      </c>
      <c r="I21" s="100" t="n">
        <f aca="false">IF(H21="","",H21-F21)</f>
        <v>-188.207415312219</v>
      </c>
      <c r="J21" s="101" t="n">
        <f aca="false">IF(OR(H21="",F21=0),"",H21/F21-1)</f>
        <v>-0.0141720743810481</v>
      </c>
      <c r="K21" s="62" t="n">
        <v>10.76</v>
      </c>
      <c r="L21" s="42" t="n">
        <v>142894.52</v>
      </c>
      <c r="M21" s="43" t="n">
        <f aca="false">IF(H21="",F21*K21,H21*K21)</f>
        <v>140869.409811241</v>
      </c>
      <c r="N21" s="66" t="n">
        <f aca="false">M21-L21</f>
        <v>-2025.11018875949</v>
      </c>
      <c r="O21" s="102" t="str">
        <f aca="false">IF(F21=0,"Sem qtd. no contrato",IF(ABS(H21/F21-1)&lt;=0.02,"Confere (±2%)",IF(H21&gt;F21,"Projeto maior","Projeto menor")))</f>
        <v>Confere (±2%)</v>
      </c>
      <c r="P21" s="67" t="s">
        <v>928</v>
      </c>
      <c r="Q21" s="103" t="s">
        <v>929</v>
      </c>
      <c r="R21" s="104" t="str">
        <f aca="false">HYPERLINK("#'Painel'!B51","→ 51")</f>
        <v>→ 51</v>
      </c>
    </row>
    <row r="22" customFormat="false" ht="15" hidden="false" customHeight="false" outlineLevel="0" collapsed="false">
      <c r="B22" s="97" t="n">
        <v>26</v>
      </c>
      <c r="C22" s="40" t="s">
        <v>93</v>
      </c>
      <c r="D22" s="98" t="s">
        <v>94</v>
      </c>
      <c r="E22" s="40" t="s">
        <v>77</v>
      </c>
      <c r="F22" s="64" t="n">
        <v>4653.93</v>
      </c>
      <c r="G22" s="99" t="n">
        <v>4653.93</v>
      </c>
      <c r="H22" s="61" t="n">
        <f aca="false">(Painel!$L$49)*0.01776554</f>
        <v>4587.97507903452</v>
      </c>
      <c r="I22" s="100" t="n">
        <f aca="false">IF(H22="","",H22-F22)</f>
        <v>-65.9549209654806</v>
      </c>
      <c r="J22" s="101" t="n">
        <f aca="false">IF(OR(H22="",F22=0),"",H22/F22-1)</f>
        <v>-0.0141718764496845</v>
      </c>
      <c r="K22" s="62" t="n">
        <v>11.55</v>
      </c>
      <c r="L22" s="42" t="n">
        <v>53752.89</v>
      </c>
      <c r="M22" s="43" t="n">
        <f aca="false">IF(H22="",F22*K22,H22*K22)</f>
        <v>52991.1121628487</v>
      </c>
      <c r="N22" s="66" t="n">
        <f aca="false">M22-L22</f>
        <v>-761.77783715129</v>
      </c>
      <c r="O22" s="102" t="str">
        <f aca="false">IF(F22=0,"Sem qtd. no contrato",IF(ABS(H22/F22-1)&lt;=0.02,"Confere (±2%)",IF(H22&gt;F22,"Projeto maior","Projeto menor")))</f>
        <v>Confere (±2%)</v>
      </c>
      <c r="P22" s="67" t="s">
        <v>928</v>
      </c>
      <c r="Q22" s="103" t="s">
        <v>929</v>
      </c>
      <c r="R22" s="104" t="str">
        <f aca="false">HYPERLINK("#'Painel'!B52","→ 52")</f>
        <v>→ 52</v>
      </c>
    </row>
    <row r="23" customFormat="false" ht="15" hidden="false" customHeight="false" outlineLevel="0" collapsed="false">
      <c r="B23" s="97" t="n">
        <v>27</v>
      </c>
      <c r="C23" s="40" t="s">
        <v>95</v>
      </c>
      <c r="D23" s="98" t="s">
        <v>96</v>
      </c>
      <c r="E23" s="40" t="s">
        <v>77</v>
      </c>
      <c r="F23" s="64" t="n">
        <v>1642.77</v>
      </c>
      <c r="G23" s="99" t="n">
        <v>1642.77</v>
      </c>
      <c r="H23" s="61" t="n">
        <f aca="false">(Painel!$L$49)*0.00627098</f>
        <v>1619.48918868348</v>
      </c>
      <c r="I23" s="100" t="n">
        <f aca="false">IF(H23="","",H23-F23)</f>
        <v>-23.2808113165211</v>
      </c>
      <c r="J23" s="101" t="n">
        <f aca="false">IF(OR(H23="",F23=0),"",H23/F23-1)</f>
        <v>-0.0141716803426658</v>
      </c>
      <c r="K23" s="62" t="n">
        <v>11.99</v>
      </c>
      <c r="L23" s="42" t="n">
        <v>19696.81</v>
      </c>
      <c r="M23" s="43" t="n">
        <f aca="false">IF(H23="",F23*K23,H23*K23)</f>
        <v>19417.6753723149</v>
      </c>
      <c r="N23" s="66" t="n">
        <f aca="false">M23-L23</f>
        <v>-279.134627685089</v>
      </c>
      <c r="O23" s="102" t="str">
        <f aca="false">IF(F23=0,"Sem qtd. no contrato",IF(ABS(H23/F23-1)&lt;=0.02,"Confere (±2%)",IF(H23&gt;F23,"Projeto maior","Projeto menor")))</f>
        <v>Confere (±2%)</v>
      </c>
      <c r="P23" s="67" t="s">
        <v>928</v>
      </c>
      <c r="Q23" s="103" t="s">
        <v>929</v>
      </c>
      <c r="R23" s="104" t="str">
        <f aca="false">HYPERLINK("#'Painel'!B53","→ 53")</f>
        <v>→ 53</v>
      </c>
    </row>
    <row r="24" customFormat="false" ht="15" hidden="false" customHeight="false" outlineLevel="0" collapsed="false">
      <c r="B24" s="97" t="n">
        <v>28</v>
      </c>
      <c r="C24" s="40" t="s">
        <v>97</v>
      </c>
      <c r="D24" s="98" t="s">
        <v>98</v>
      </c>
      <c r="E24" s="40" t="s">
        <v>77</v>
      </c>
      <c r="F24" s="64" t="n">
        <v>19198.55</v>
      </c>
      <c r="G24" s="99" t="n">
        <v>19198.55</v>
      </c>
      <c r="H24" s="61" t="n">
        <f aca="false">(Painel!$L$49)*0.073287</f>
        <v>18926.4682985827</v>
      </c>
      <c r="I24" s="100" t="n">
        <f aca="false">IF(H24="","",H24-F24)</f>
        <v>-272.081701417301</v>
      </c>
      <c r="J24" s="101" t="n">
        <f aca="false">IF(OR(H24="",F24=0),"",H24/F24-1)</f>
        <v>-0.014171992229481</v>
      </c>
      <c r="K24" s="62" t="n">
        <v>12.38</v>
      </c>
      <c r="L24" s="42" t="n">
        <v>237678.04</v>
      </c>
      <c r="M24" s="43" t="n">
        <f aca="false">IF(H24="",F24*K24,H24*K24)</f>
        <v>234309.677536454</v>
      </c>
      <c r="N24" s="66" t="n">
        <f aca="false">M24-L24</f>
        <v>-3368.36246354619</v>
      </c>
      <c r="O24" s="102" t="str">
        <f aca="false">IF(F24=0,"Sem qtd. no contrato",IF(ABS(H24/F24-1)&lt;=0.02,"Confere (±2%)",IF(H24&gt;F24,"Projeto maior","Projeto menor")))</f>
        <v>Confere (±2%)</v>
      </c>
      <c r="P24" s="67" t="s">
        <v>928</v>
      </c>
      <c r="Q24" s="103" t="s">
        <v>929</v>
      </c>
      <c r="R24" s="104" t="str">
        <f aca="false">HYPERLINK("#'Painel'!B54","→ 54")</f>
        <v>→ 54</v>
      </c>
    </row>
    <row r="25" customFormat="false" ht="15" hidden="false" customHeight="false" outlineLevel="0" collapsed="false">
      <c r="B25" s="97" t="n">
        <v>29</v>
      </c>
      <c r="C25" s="40" t="s">
        <v>99</v>
      </c>
      <c r="D25" s="98" t="s">
        <v>100</v>
      </c>
      <c r="E25" s="40" t="s">
        <v>77</v>
      </c>
      <c r="F25" s="64" t="n">
        <v>5665.84</v>
      </c>
      <c r="G25" s="99" t="n">
        <v>5665.84</v>
      </c>
      <c r="H25" s="61" t="n">
        <f aca="false">(Painel!$L$49)*0.02162832</f>
        <v>5585.54331370642</v>
      </c>
      <c r="I25" s="100" t="n">
        <f aca="false">IF(H25="","",H25-F25)</f>
        <v>-80.2966862935846</v>
      </c>
      <c r="J25" s="101" t="n">
        <f aca="false">IF(OR(H25="",F25=0),"",H25/F25-1)</f>
        <v>-0.0141720709186254</v>
      </c>
      <c r="K25" s="62" t="n">
        <v>13.71</v>
      </c>
      <c r="L25" s="42" t="n">
        <v>77678.66</v>
      </c>
      <c r="M25" s="43" t="n">
        <f aca="false">IF(H25="",F25*K25,H25*K25)</f>
        <v>76577.798830915</v>
      </c>
      <c r="N25" s="66" t="n">
        <f aca="false">M25-L25</f>
        <v>-1100.86116908504</v>
      </c>
      <c r="O25" s="102" t="str">
        <f aca="false">IF(F25=0,"Sem qtd. no contrato",IF(ABS(H25/F25-1)&lt;=0.02,"Confere (±2%)",IF(H25&gt;F25,"Projeto maior","Projeto menor")))</f>
        <v>Confere (±2%)</v>
      </c>
      <c r="P25" s="67" t="s">
        <v>928</v>
      </c>
      <c r="Q25" s="103" t="s">
        <v>929</v>
      </c>
      <c r="R25" s="104" t="str">
        <f aca="false">HYPERLINK("#'Painel'!B55","→ 55")</f>
        <v>→ 55</v>
      </c>
    </row>
    <row r="26" customFormat="false" ht="15" hidden="false" customHeight="false" outlineLevel="0" collapsed="false">
      <c r="B26" s="97" t="n">
        <v>30</v>
      </c>
      <c r="C26" s="40" t="s">
        <v>101</v>
      </c>
      <c r="D26" s="98" t="s">
        <v>102</v>
      </c>
      <c r="E26" s="40" t="s">
        <v>77</v>
      </c>
      <c r="F26" s="64" t="n">
        <v>601.86</v>
      </c>
      <c r="G26" s="99" t="n">
        <v>601.86</v>
      </c>
      <c r="H26" s="61" t="n">
        <f aca="false">(Painel!$L$49)*0.00229749</f>
        <v>593.329944619247</v>
      </c>
      <c r="I26" s="100" t="n">
        <f aca="false">IF(H26="","",H26-F26)</f>
        <v>-8.53005538075286</v>
      </c>
      <c r="J26" s="101" t="n">
        <f aca="false">IF(OR(H26="",F26=0),"",H26/F26-1)</f>
        <v>-0.0141728232159519</v>
      </c>
      <c r="K26" s="62" t="n">
        <v>14.16</v>
      </c>
      <c r="L26" s="42" t="n">
        <v>8522.33</v>
      </c>
      <c r="M26" s="43" t="n">
        <f aca="false">IF(H26="",F26*K26,H26*K26)</f>
        <v>8401.55201580854</v>
      </c>
      <c r="N26" s="66" t="n">
        <f aca="false">M26-L26</f>
        <v>-120.77798419146</v>
      </c>
      <c r="O26" s="102" t="str">
        <f aca="false">IF(F26=0,"Sem qtd. no contrato",IF(ABS(H26/F26-1)&lt;=0.02,"Confere (±2%)",IF(H26&gt;F26,"Projeto maior","Projeto menor")))</f>
        <v>Confere (±2%)</v>
      </c>
      <c r="P26" s="67" t="s">
        <v>928</v>
      </c>
      <c r="Q26" s="103" t="s">
        <v>929</v>
      </c>
      <c r="R26" s="104" t="str">
        <f aca="false">HYPERLINK("#'Painel'!B56","→ 56")</f>
        <v>→ 56</v>
      </c>
    </row>
    <row r="27" customFormat="false" ht="15" hidden="false" customHeight="false" outlineLevel="0" collapsed="false">
      <c r="B27" s="97" t="n">
        <v>31</v>
      </c>
      <c r="C27" s="40" t="s">
        <v>103</v>
      </c>
      <c r="D27" s="98" t="s">
        <v>104</v>
      </c>
      <c r="E27" s="40" t="s">
        <v>77</v>
      </c>
      <c r="F27" s="64" t="n">
        <v>6926.57</v>
      </c>
      <c r="G27" s="99" t="n">
        <v>6926.57</v>
      </c>
      <c r="H27" s="61" t="n">
        <f aca="false">(Painel!$L$49)*0.02644093</f>
        <v>6828.40644902976</v>
      </c>
      <c r="I27" s="100" t="n">
        <f aca="false">IF(H27="","",H27-F27)</f>
        <v>-98.1635509702373</v>
      </c>
      <c r="J27" s="101" t="n">
        <f aca="false">IF(OR(H27="",F27=0),"",H27/F27-1)</f>
        <v>-0.01417202900862</v>
      </c>
      <c r="K27" s="62" t="n">
        <v>14.9</v>
      </c>
      <c r="L27" s="42" t="n">
        <v>103205.89</v>
      </c>
      <c r="M27" s="43" t="n">
        <f aca="false">IF(H27="",F27*K27,H27*K27)</f>
        <v>101743.256090543</v>
      </c>
      <c r="N27" s="66" t="n">
        <f aca="false">M27-L27</f>
        <v>-1462.63390945653</v>
      </c>
      <c r="O27" s="102" t="str">
        <f aca="false">IF(F27=0,"Sem qtd. no contrato",IF(ABS(H27/F27-1)&lt;=0.02,"Confere (±2%)",IF(H27&gt;F27,"Projeto maior","Projeto menor")))</f>
        <v>Confere (±2%)</v>
      </c>
      <c r="P27" s="67" t="s">
        <v>928</v>
      </c>
      <c r="Q27" s="103" t="s">
        <v>929</v>
      </c>
      <c r="R27" s="104" t="str">
        <f aca="false">HYPERLINK("#'Painel'!B57","→ 57")</f>
        <v>→ 57</v>
      </c>
    </row>
    <row r="28" customFormat="false" ht="15" hidden="false" customHeight="false" outlineLevel="0" collapsed="false">
      <c r="B28" s="97" t="n">
        <v>32</v>
      </c>
      <c r="C28" s="40" t="s">
        <v>105</v>
      </c>
      <c r="D28" s="98" t="s">
        <v>106</v>
      </c>
      <c r="E28" s="40" t="s">
        <v>77</v>
      </c>
      <c r="F28" s="64" t="n">
        <v>17218.97</v>
      </c>
      <c r="G28" s="99" t="n">
        <v>17218.97</v>
      </c>
      <c r="H28" s="61" t="n">
        <f aca="false">(Painel!$L$49)*0.06573031</f>
        <v>16974.9427384258</v>
      </c>
      <c r="I28" s="100" t="n">
        <f aca="false">IF(H28="","",H28-F28)</f>
        <v>-244.027261574178</v>
      </c>
      <c r="J28" s="101" t="n">
        <f aca="false">IF(OR(H28="",F28=0),"",H28/F28-1)</f>
        <v>-0.0141720010879964</v>
      </c>
      <c r="K28" s="62" t="n">
        <v>17.21</v>
      </c>
      <c r="L28" s="42" t="n">
        <v>296338.47</v>
      </c>
      <c r="M28" s="43" t="n">
        <f aca="false">IF(H28="",F28*K28,H28*K28)</f>
        <v>292138.764528308</v>
      </c>
      <c r="N28" s="66" t="n">
        <f aca="false">M28-L28</f>
        <v>-4199.70547169156</v>
      </c>
      <c r="O28" s="102" t="str">
        <f aca="false">IF(F28=0,"Sem qtd. no contrato",IF(ABS(H28/F28-1)&lt;=0.02,"Confere (±2%)",IF(H28&gt;F28,"Projeto maior","Projeto menor")))</f>
        <v>Confere (±2%)</v>
      </c>
      <c r="P28" s="67" t="s">
        <v>928</v>
      </c>
      <c r="Q28" s="103" t="s">
        <v>929</v>
      </c>
      <c r="R28" s="104" t="str">
        <f aca="false">HYPERLINK("#'Painel'!B58","→ 58")</f>
        <v>→ 58</v>
      </c>
    </row>
    <row r="29" customFormat="false" ht="15" hidden="false" customHeight="false" outlineLevel="0" collapsed="false">
      <c r="B29" s="97" t="n">
        <v>33</v>
      </c>
      <c r="C29" s="40" t="s">
        <v>107</v>
      </c>
      <c r="D29" s="98" t="s">
        <v>108</v>
      </c>
      <c r="E29" s="40" t="s">
        <v>77</v>
      </c>
      <c r="F29" s="64" t="n">
        <v>34344.1</v>
      </c>
      <c r="G29" s="99" t="n">
        <v>34344.1</v>
      </c>
      <c r="H29" s="61" t="n">
        <f aca="false">(Painel!$L$49)*0.13110241</f>
        <v>33857.3772528933</v>
      </c>
      <c r="I29" s="100" t="n">
        <f aca="false">IF(H29="","",H29-F29)</f>
        <v>-486.722747106702</v>
      </c>
      <c r="J29" s="101" t="n">
        <f aca="false">IF(OR(H29="",F29=0),"",H29/F29-1)</f>
        <v>-0.0141719464800855</v>
      </c>
      <c r="K29" s="62" t="n">
        <v>19.27</v>
      </c>
      <c r="L29" s="42" t="n">
        <v>661810.8</v>
      </c>
      <c r="M29" s="43" t="n">
        <f aca="false">IF(H29="",F29*K29,H29*K29)</f>
        <v>652431.659663254</v>
      </c>
      <c r="N29" s="66" t="n">
        <f aca="false">M29-L29</f>
        <v>-9379.14033674623</v>
      </c>
      <c r="O29" s="102" t="str">
        <f aca="false">IF(F29=0,"Sem qtd. no contrato",IF(ABS(H29/F29-1)&lt;=0.02,"Confere (±2%)",IF(H29&gt;F29,"Projeto maior","Projeto menor")))</f>
        <v>Confere (±2%)</v>
      </c>
      <c r="P29" s="67" t="s">
        <v>928</v>
      </c>
      <c r="Q29" s="103" t="s">
        <v>929</v>
      </c>
      <c r="R29" s="104" t="str">
        <f aca="false">HYPERLINK("#'Painel'!B59","→ 59")</f>
        <v>→ 59</v>
      </c>
    </row>
    <row r="30" customFormat="false" ht="15" hidden="false" customHeight="false" outlineLevel="0" collapsed="false">
      <c r="B30" s="97" t="n">
        <v>34</v>
      </c>
      <c r="C30" s="40" t="s">
        <v>109</v>
      </c>
      <c r="D30" s="98" t="s">
        <v>110</v>
      </c>
      <c r="E30" s="40" t="s">
        <v>77</v>
      </c>
      <c r="F30" s="64" t="n">
        <v>39996.26</v>
      </c>
      <c r="G30" s="99" t="n">
        <v>39996.26</v>
      </c>
      <c r="H30" s="61" t="n">
        <f aca="false">(Painel!$L$49)*0.15267851</f>
        <v>39429.4346799547</v>
      </c>
      <c r="I30" s="100" t="n">
        <f aca="false">IF(H30="","",H30-F30)</f>
        <v>-566.825320045289</v>
      </c>
      <c r="J30" s="101" t="n">
        <f aca="false">IF(OR(H30="",F30=0),"",H30/F30-1)</f>
        <v>-0.0141719580792127</v>
      </c>
      <c r="K30" s="62" t="n">
        <v>22.25</v>
      </c>
      <c r="L30" s="42" t="n">
        <v>889916.78</v>
      </c>
      <c r="M30" s="43" t="n">
        <f aca="false">IF(H30="",F30*K30,H30*K30)</f>
        <v>877304.921628992</v>
      </c>
      <c r="N30" s="66" t="n">
        <f aca="false">M30-L30</f>
        <v>-12611.8583710077</v>
      </c>
      <c r="O30" s="102" t="str">
        <f aca="false">IF(F30=0,"Sem qtd. no contrato",IF(ABS(H30/F30-1)&lt;=0.02,"Confere (±2%)",IF(H30&gt;F30,"Projeto maior","Projeto menor")))</f>
        <v>Confere (±2%)</v>
      </c>
      <c r="P30" s="67" t="s">
        <v>928</v>
      </c>
      <c r="Q30" s="103" t="s">
        <v>929</v>
      </c>
      <c r="R30" s="104" t="str">
        <f aca="false">HYPERLINK("#'Painel'!B60","→ 60")</f>
        <v>→ 60</v>
      </c>
    </row>
    <row r="31" customFormat="false" ht="15" hidden="false" customHeight="false" outlineLevel="0" collapsed="false">
      <c r="B31" s="97" t="n">
        <v>35</v>
      </c>
      <c r="C31" s="40" t="s">
        <v>111</v>
      </c>
      <c r="D31" s="98" t="s">
        <v>112</v>
      </c>
      <c r="E31" s="40" t="s">
        <v>77</v>
      </c>
      <c r="F31" s="64" t="n">
        <v>13777.85</v>
      </c>
      <c r="G31" s="99" t="n">
        <v>13777.85</v>
      </c>
      <c r="H31" s="61" t="n">
        <f aca="false">(Painel!$L$49)*0.05259446</f>
        <v>13582.5914537514</v>
      </c>
      <c r="I31" s="100" t="n">
        <f aca="false">IF(H31="","",H31-F31)</f>
        <v>-195.258546248642</v>
      </c>
      <c r="J31" s="101" t="n">
        <f aca="false">IF(OR(H31="",F31=0),"",H31/F31-1)</f>
        <v>-0.0141719169717076</v>
      </c>
      <c r="K31" s="62" t="n">
        <v>25.37</v>
      </c>
      <c r="L31" s="42" t="n">
        <v>349544.05</v>
      </c>
      <c r="M31" s="43" t="n">
        <f aca="false">IF(H31="",F31*K31,H31*K31)</f>
        <v>344590.345181672</v>
      </c>
      <c r="N31" s="66" t="n">
        <f aca="false">M31-L31</f>
        <v>-4953.70481832803</v>
      </c>
      <c r="O31" s="102" t="str">
        <f aca="false">IF(F31=0,"Sem qtd. no contrato",IF(ABS(H31/F31-1)&lt;=0.02,"Confere (±2%)",IF(H31&gt;F31,"Projeto maior","Projeto menor")))</f>
        <v>Confere (±2%)</v>
      </c>
      <c r="P31" s="67" t="s">
        <v>928</v>
      </c>
      <c r="Q31" s="103" t="s">
        <v>929</v>
      </c>
      <c r="R31" s="104" t="str">
        <f aca="false">HYPERLINK("#'Painel'!B61","→ 61")</f>
        <v>→ 61</v>
      </c>
    </row>
    <row r="32" customFormat="false" ht="15" hidden="false" customHeight="false" outlineLevel="0" collapsed="false">
      <c r="B32" s="97" t="n">
        <v>36</v>
      </c>
      <c r="C32" s="40" t="s">
        <v>113</v>
      </c>
      <c r="D32" s="98" t="s">
        <v>114</v>
      </c>
      <c r="E32" s="40" t="s">
        <v>77</v>
      </c>
      <c r="F32" s="64" t="n">
        <v>3362.77</v>
      </c>
      <c r="G32" s="99" t="n">
        <v>3362.77</v>
      </c>
      <c r="H32" s="61" t="n">
        <f aca="false">(Painel!$L$49)*0.01283677</f>
        <v>3315.11346434153</v>
      </c>
      <c r="I32" s="100" t="n">
        <f aca="false">IF(H32="","",H32-F32)</f>
        <v>-47.6565356584738</v>
      </c>
      <c r="J32" s="101" t="n">
        <f aca="false">IF(OR(H32="",F32=0),"",H32/F32-1)</f>
        <v>-0.0141718094483042</v>
      </c>
      <c r="K32" s="62" t="n">
        <v>29.3</v>
      </c>
      <c r="L32" s="42" t="n">
        <v>98529.16</v>
      </c>
      <c r="M32" s="43" t="n">
        <f aca="false">IF(H32="",F32*K32,H32*K32)</f>
        <v>97132.8245052067</v>
      </c>
      <c r="N32" s="66" t="n">
        <f aca="false">M32-L32</f>
        <v>-1396.33549479328</v>
      </c>
      <c r="O32" s="102" t="str">
        <f aca="false">IF(F32=0,"Sem qtd. no contrato",IF(ABS(H32/F32-1)&lt;=0.02,"Confere (±2%)",IF(H32&gt;F32,"Projeto maior","Projeto menor")))</f>
        <v>Confere (±2%)</v>
      </c>
      <c r="P32" s="67" t="s">
        <v>928</v>
      </c>
      <c r="Q32" s="103" t="s">
        <v>929</v>
      </c>
      <c r="R32" s="104" t="str">
        <f aca="false">HYPERLINK("#'Painel'!B62","→ 62")</f>
        <v>→ 62</v>
      </c>
    </row>
    <row r="33" customFormat="false" ht="15" hidden="false" customHeight="false" outlineLevel="0" collapsed="false">
      <c r="B33" s="97" t="n">
        <v>37</v>
      </c>
      <c r="C33" s="40" t="s">
        <v>117</v>
      </c>
      <c r="D33" s="98" t="s">
        <v>118</v>
      </c>
      <c r="E33" s="40" t="s">
        <v>77</v>
      </c>
      <c r="F33" s="64" t="n">
        <v>5535</v>
      </c>
      <c r="G33" s="99" t="n">
        <v>5535</v>
      </c>
      <c r="H33" s="61" t="n">
        <f aca="false">(Painel!$L$63)*0.17495017</f>
        <v>5534.9999993886</v>
      </c>
      <c r="I33" s="100" t="n">
        <f aca="false">IF(H33="","",H33-F33)</f>
        <v>-6.11399627814535E-007</v>
      </c>
      <c r="J33" s="101" t="n">
        <f aca="false">IF(OR(H33="",F33=0),"",H33/F33-1)</f>
        <v>-1.10460640634358E-010</v>
      </c>
      <c r="K33" s="62" t="n">
        <v>14.84</v>
      </c>
      <c r="L33" s="42" t="n">
        <v>82139.4</v>
      </c>
      <c r="M33" s="43" t="n">
        <f aca="false">IF(H33="",F33*K33,H33*K33)</f>
        <v>82139.3999909268</v>
      </c>
      <c r="N33" s="66" t="n">
        <f aca="false">M33-L33</f>
        <v>-9.07316280063242E-006</v>
      </c>
      <c r="O33" s="102" t="str">
        <f aca="false">IF(F33=0,"Sem qtd. no contrato",IF(ABS(H33/F33-1)&lt;=0.02,"Confere (±2%)",IF(H33&gt;F33,"Projeto maior","Projeto menor")))</f>
        <v>Confere (±2%)</v>
      </c>
      <c r="P33" s="67" t="s">
        <v>930</v>
      </c>
      <c r="Q33" s="103" t="s">
        <v>931</v>
      </c>
      <c r="R33" s="104" t="str">
        <f aca="false">HYPERLINK("#'Painel'!B64","→ 64")</f>
        <v>→ 64</v>
      </c>
    </row>
    <row r="34" customFormat="false" ht="15" hidden="false" customHeight="false" outlineLevel="0" collapsed="false">
      <c r="B34" s="97" t="n">
        <v>38</v>
      </c>
      <c r="C34" s="40" t="s">
        <v>120</v>
      </c>
      <c r="D34" s="98" t="s">
        <v>121</v>
      </c>
      <c r="E34" s="40" t="s">
        <v>77</v>
      </c>
      <c r="F34" s="64" t="n">
        <v>267.12</v>
      </c>
      <c r="G34" s="99" t="n">
        <v>267.12</v>
      </c>
      <c r="H34" s="61" t="n">
        <f aca="false">(Painel!$L$63)*0.00844312</f>
        <v>267.1198844496</v>
      </c>
      <c r="I34" s="100" t="n">
        <f aca="false">IF(H34="","",H34-F34)</f>
        <v>-0.000115550399982567</v>
      </c>
      <c r="J34" s="101" t="n">
        <f aca="false">IF(OR(H34="",F34=0),"",H34/F34-1)</f>
        <v>-4.3257861626067E-007</v>
      </c>
      <c r="K34" s="62" t="n">
        <v>15.81</v>
      </c>
      <c r="L34" s="42" t="n">
        <v>4223.16</v>
      </c>
      <c r="M34" s="43" t="n">
        <f aca="false">IF(H34="",F34*K34,H34*K34)</f>
        <v>4223.16537314818</v>
      </c>
      <c r="N34" s="66" t="n">
        <f aca="false">M34-L34</f>
        <v>0.00537314817665902</v>
      </c>
      <c r="O34" s="102" t="str">
        <f aca="false">IF(F34=0,"Sem qtd. no contrato",IF(ABS(H34/F34-1)&lt;=0.02,"Confere (±2%)",IF(H34&gt;F34,"Projeto maior","Projeto menor")))</f>
        <v>Confere (±2%)</v>
      </c>
      <c r="P34" s="67" t="s">
        <v>930</v>
      </c>
      <c r="Q34" s="103" t="s">
        <v>931</v>
      </c>
      <c r="R34" s="104" t="str">
        <f aca="false">HYPERLINK("#'Painel'!B65","→ 65")</f>
        <v>→ 65</v>
      </c>
    </row>
    <row r="35" customFormat="false" ht="15" hidden="false" customHeight="false" outlineLevel="0" collapsed="false">
      <c r="B35" s="97" t="n">
        <v>39</v>
      </c>
      <c r="C35" s="40" t="s">
        <v>122</v>
      </c>
      <c r="D35" s="98" t="s">
        <v>123</v>
      </c>
      <c r="E35" s="40" t="s">
        <v>77</v>
      </c>
      <c r="F35" s="64" t="n">
        <v>8489.19</v>
      </c>
      <c r="G35" s="99" t="n">
        <v>8489.19</v>
      </c>
      <c r="H35" s="61" t="n">
        <f aca="false">(Painel!$L$63)*0.26832615</f>
        <v>8489.190036717</v>
      </c>
      <c r="I35" s="100" t="n">
        <f aca="false">IF(H35="","",H35-F35)</f>
        <v>3.67169996025041E-005</v>
      </c>
      <c r="J35" s="101" t="n">
        <f aca="false">IF(OR(H35="",F35=0),"",H35/F35-1)</f>
        <v>4.32514757342517E-009</v>
      </c>
      <c r="K35" s="62" t="n">
        <v>19.99</v>
      </c>
      <c r="L35" s="42" t="n">
        <v>169698.9</v>
      </c>
      <c r="M35" s="43" t="n">
        <f aca="false">IF(H35="",F35*K35,H35*K35)</f>
        <v>169698.908833973</v>
      </c>
      <c r="N35" s="66" t="n">
        <f aca="false">M35-L35</f>
        <v>0.0088339728245046</v>
      </c>
      <c r="O35" s="102" t="str">
        <f aca="false">IF(F35=0,"Sem qtd. no contrato",IF(ABS(H35/F35-1)&lt;=0.02,"Confere (±2%)",IF(H35&gt;F35,"Projeto maior","Projeto menor")))</f>
        <v>Confere (±2%)</v>
      </c>
      <c r="P35" s="67" t="s">
        <v>930</v>
      </c>
      <c r="Q35" s="103" t="s">
        <v>931</v>
      </c>
      <c r="R35" s="104" t="str">
        <f aca="false">HYPERLINK("#'Painel'!B66","→ 66")</f>
        <v>→ 66</v>
      </c>
    </row>
    <row r="36" customFormat="false" ht="15" hidden="false" customHeight="false" outlineLevel="0" collapsed="false">
      <c r="B36" s="97" t="n">
        <v>40</v>
      </c>
      <c r="C36" s="40" t="s">
        <v>124</v>
      </c>
      <c r="D36" s="98" t="s">
        <v>125</v>
      </c>
      <c r="E36" s="40" t="s">
        <v>77</v>
      </c>
      <c r="F36" s="64" t="n">
        <v>17346.27</v>
      </c>
      <c r="G36" s="99" t="n">
        <v>17346.27</v>
      </c>
      <c r="H36" s="61" t="n">
        <f aca="false">(Painel!$L$63)*0.54828056</f>
        <v>17346.2700794448</v>
      </c>
      <c r="I36" s="100" t="n">
        <f aca="false">IF(H36="","",H36-F36)</f>
        <v>7.94448023953009E-005</v>
      </c>
      <c r="J36" s="101" t="n">
        <f aca="false">IF(OR(H36="",F36=0),"",H36/F36-1)</f>
        <v>4.57993576397087E-009</v>
      </c>
      <c r="K36" s="62" t="n">
        <v>21.84</v>
      </c>
      <c r="L36" s="42" t="n">
        <v>378842.53</v>
      </c>
      <c r="M36" s="43" t="n">
        <f aca="false">IF(H36="",F36*K36,H36*K36)</f>
        <v>378842.538535075</v>
      </c>
      <c r="N36" s="66" t="n">
        <f aca="false">M36-L36</f>
        <v>0.00853507447754964</v>
      </c>
      <c r="O36" s="102" t="str">
        <f aca="false">IF(F36=0,"Sem qtd. no contrato",IF(ABS(H36/F36-1)&lt;=0.02,"Confere (±2%)",IF(H36&gt;F36,"Projeto maior","Projeto menor")))</f>
        <v>Confere (±2%)</v>
      </c>
      <c r="P36" s="67" t="s">
        <v>930</v>
      </c>
      <c r="Q36" s="103" t="s">
        <v>931</v>
      </c>
      <c r="R36" s="104" t="str">
        <f aca="false">HYPERLINK("#'Painel'!B67","→ 67")</f>
        <v>→ 67</v>
      </c>
    </row>
    <row r="37" customFormat="false" ht="15" hidden="false" customHeight="false" outlineLevel="0" collapsed="false">
      <c r="B37" s="97" t="n">
        <v>41</v>
      </c>
      <c r="C37" s="40" t="s">
        <v>127</v>
      </c>
      <c r="D37" s="98" t="s">
        <v>128</v>
      </c>
      <c r="E37" s="40" t="s">
        <v>77</v>
      </c>
      <c r="F37" s="64" t="n">
        <v>2271.55</v>
      </c>
      <c r="G37" s="99" t="n">
        <v>2271.55</v>
      </c>
      <c r="H37" s="61" t="n">
        <f aca="false">(Painel!$L$68)*0.15776395</f>
        <v>2757.32125041043</v>
      </c>
      <c r="I37" s="100" t="n">
        <f aca="false">IF(H37="","",H37-F37)</f>
        <v>485.771250410425</v>
      </c>
      <c r="J37" s="101" t="n">
        <f aca="false">IF(OR(H37="",F37=0),"",H37/F37-1)</f>
        <v>0.213850124545101</v>
      </c>
      <c r="K37" s="62" t="n">
        <v>46.71</v>
      </c>
      <c r="L37" s="42" t="n">
        <v>106104.1</v>
      </c>
      <c r="M37" s="43" t="n">
        <f aca="false">IF(H37="",F37*K37,H37*K37)</f>
        <v>128794.475606671</v>
      </c>
      <c r="N37" s="66" t="n">
        <f aca="false">M37-L37</f>
        <v>22690.3756066709</v>
      </c>
      <c r="O37" s="102" t="str">
        <f aca="false">IF(F37=0,"Sem qtd. no contrato",IF(ABS(H37/F37-1)&lt;=0.02,"Confere (±2%)",IF(H37&gt;F37,"Projeto maior","Projeto menor")))</f>
        <v>Projeto maior</v>
      </c>
      <c r="P37" s="67" t="s">
        <v>932</v>
      </c>
      <c r="Q37" s="103" t="s">
        <v>933</v>
      </c>
      <c r="R37" s="104" t="str">
        <f aca="false">HYPERLINK("#'Painel'!B69","→ 69")</f>
        <v>→ 69</v>
      </c>
    </row>
    <row r="38" customFormat="false" ht="15" hidden="false" customHeight="false" outlineLevel="0" collapsed="false">
      <c r="B38" s="97" t="n">
        <v>42</v>
      </c>
      <c r="C38" s="40" t="s">
        <v>130</v>
      </c>
      <c r="D38" s="98" t="s">
        <v>131</v>
      </c>
      <c r="E38" s="40" t="s">
        <v>77</v>
      </c>
      <c r="F38" s="64" t="n">
        <v>1412.35</v>
      </c>
      <c r="G38" s="99" t="n">
        <v>0</v>
      </c>
      <c r="H38" s="61" t="n">
        <f aca="false">(Painel!$L$68)*0.09809069</f>
        <v>1714.38116251793</v>
      </c>
      <c r="I38" s="100" t="n">
        <f aca="false">IF(H38="","",H38-F38)</f>
        <v>302.031162517935</v>
      </c>
      <c r="J38" s="101" t="n">
        <f aca="false">IF(OR(H38="",F38=0),"",H38/F38-1)</f>
        <v>0.213850081437275</v>
      </c>
      <c r="K38" s="62" t="n">
        <v>48.32</v>
      </c>
      <c r="L38" s="42" t="n">
        <v>68244.75</v>
      </c>
      <c r="M38" s="43" t="n">
        <f aca="false">IF(H38="",F38*K38,H38*K38)</f>
        <v>82838.8977728666</v>
      </c>
      <c r="N38" s="66" t="n">
        <f aca="false">M38-L38</f>
        <v>14594.1477728666</v>
      </c>
      <c r="O38" s="102" t="str">
        <f aca="false">IF(F38=0,"Sem qtd. no contrato",IF(ABS(H38/F38-1)&lt;=0.02,"Confere (±2%)",IF(H38&gt;F38,"Projeto maior","Projeto menor")))</f>
        <v>Projeto maior</v>
      </c>
      <c r="P38" s="67" t="s">
        <v>934</v>
      </c>
      <c r="Q38" s="103" t="s">
        <v>935</v>
      </c>
      <c r="R38" s="104" t="str">
        <f aca="false">HYPERLINK("#'Painel'!B70","→ 70")</f>
        <v>→ 70</v>
      </c>
    </row>
    <row r="39" customFormat="false" ht="15" hidden="false" customHeight="false" outlineLevel="0" collapsed="false">
      <c r="B39" s="97" t="n">
        <v>43</v>
      </c>
      <c r="C39" s="40" t="s">
        <v>132</v>
      </c>
      <c r="D39" s="98" t="s">
        <v>133</v>
      </c>
      <c r="E39" s="40" t="s">
        <v>77</v>
      </c>
      <c r="F39" s="64" t="n">
        <v>435.13</v>
      </c>
      <c r="G39" s="99" t="n">
        <v>435.13</v>
      </c>
      <c r="H39" s="61" t="n">
        <f aca="false">(Painel!$L$68)*0.0302207</f>
        <v>528.18263178805</v>
      </c>
      <c r="I39" s="100" t="n">
        <f aca="false">IF(H39="","",H39-F39)</f>
        <v>93.05263178805</v>
      </c>
      <c r="J39" s="101" t="n">
        <f aca="false">IF(OR(H39="",F39=0),"",H39/F39-1)</f>
        <v>0.213850186813251</v>
      </c>
      <c r="K39" s="62" t="n">
        <v>50.52</v>
      </c>
      <c r="L39" s="42" t="n">
        <v>21982.76</v>
      </c>
      <c r="M39" s="43" t="n">
        <f aca="false">IF(H39="",F39*K39,H39*K39)</f>
        <v>26683.7865579323</v>
      </c>
      <c r="N39" s="66" t="n">
        <f aca="false">M39-L39</f>
        <v>4701.02655793229</v>
      </c>
      <c r="O39" s="102" t="str">
        <f aca="false">IF(F39=0,"Sem qtd. no contrato",IF(ABS(H39/F39-1)&lt;=0.02,"Confere (±2%)",IF(H39&gt;F39,"Projeto maior","Projeto menor")))</f>
        <v>Projeto maior</v>
      </c>
      <c r="P39" s="67" t="s">
        <v>932</v>
      </c>
      <c r="Q39" s="103" t="s">
        <v>933</v>
      </c>
      <c r="R39" s="104" t="str">
        <f aca="false">HYPERLINK("#'Painel'!B71","→ 71")</f>
        <v>→ 71</v>
      </c>
    </row>
    <row r="40" customFormat="false" ht="15" hidden="false" customHeight="false" outlineLevel="0" collapsed="false">
      <c r="B40" s="97" t="n">
        <v>44</v>
      </c>
      <c r="C40" s="40" t="s">
        <v>134</v>
      </c>
      <c r="D40" s="98" t="s">
        <v>135</v>
      </c>
      <c r="E40" s="40" t="s">
        <v>77</v>
      </c>
      <c r="F40" s="64" t="n">
        <v>763.27</v>
      </c>
      <c r="G40" s="99" t="n">
        <v>763.27</v>
      </c>
      <c r="H40" s="61" t="n">
        <f aca="false">(Painel!$L$68)*0.05301071</f>
        <v>926.495293648165</v>
      </c>
      <c r="I40" s="100" t="n">
        <f aca="false">IF(H40="","",H40-F40)</f>
        <v>163.225293648165</v>
      </c>
      <c r="J40" s="101" t="n">
        <f aca="false">IF(OR(H40="",F40=0),"",H40/F40-1)</f>
        <v>0.213850005434728</v>
      </c>
      <c r="K40" s="62" t="n">
        <v>53.74</v>
      </c>
      <c r="L40" s="42" t="n">
        <v>41018.12</v>
      </c>
      <c r="M40" s="43" t="n">
        <f aca="false">IF(H40="",F40*K40,H40*K40)</f>
        <v>49789.8570806524</v>
      </c>
      <c r="N40" s="66" t="n">
        <f aca="false">M40-L40</f>
        <v>8771.73708065239</v>
      </c>
      <c r="O40" s="102" t="str">
        <f aca="false">IF(F40=0,"Sem qtd. no contrato",IF(ABS(H40/F40-1)&lt;=0.02,"Confere (±2%)",IF(H40&gt;F40,"Projeto maior","Projeto menor")))</f>
        <v>Projeto maior</v>
      </c>
      <c r="P40" s="67" t="s">
        <v>932</v>
      </c>
      <c r="Q40" s="103" t="s">
        <v>933</v>
      </c>
      <c r="R40" s="104" t="str">
        <f aca="false">HYPERLINK("#'Painel'!B72","→ 72")</f>
        <v>→ 72</v>
      </c>
    </row>
    <row r="41" customFormat="false" ht="15" hidden="false" customHeight="false" outlineLevel="0" collapsed="false">
      <c r="B41" s="97" t="n">
        <v>45</v>
      </c>
      <c r="C41" s="40" t="s">
        <v>136</v>
      </c>
      <c r="D41" s="98" t="s">
        <v>137</v>
      </c>
      <c r="E41" s="40" t="s">
        <v>77</v>
      </c>
      <c r="F41" s="64" t="n">
        <v>1070.38</v>
      </c>
      <c r="G41" s="99" t="n">
        <v>1070.38</v>
      </c>
      <c r="H41" s="61" t="n">
        <f aca="false">(Painel!$L$68)*0.07434015</f>
        <v>1299.28082653672</v>
      </c>
      <c r="I41" s="100" t="n">
        <f aca="false">IF(H41="","",H41-F41)</f>
        <v>228.900826536725</v>
      </c>
      <c r="J41" s="101" t="n">
        <f aca="false">IF(OR(H41="",F41=0),"",H41/F41-1)</f>
        <v>0.213850059359036</v>
      </c>
      <c r="K41" s="62" t="n">
        <v>57.73</v>
      </c>
      <c r="L41" s="42" t="n">
        <v>61793.03</v>
      </c>
      <c r="M41" s="43" t="n">
        <f aca="false">IF(H41="",F41*K41,H41*K41)</f>
        <v>75007.4821159651</v>
      </c>
      <c r="N41" s="66" t="n">
        <f aca="false">M41-L41</f>
        <v>13214.4521159651</v>
      </c>
      <c r="O41" s="102" t="str">
        <f aca="false">IF(F41=0,"Sem qtd. no contrato",IF(ABS(H41/F41-1)&lt;=0.02,"Confere (±2%)",IF(H41&gt;F41,"Projeto maior","Projeto menor")))</f>
        <v>Projeto maior</v>
      </c>
      <c r="P41" s="67" t="s">
        <v>932</v>
      </c>
      <c r="Q41" s="103" t="s">
        <v>933</v>
      </c>
      <c r="R41" s="104" t="str">
        <f aca="false">HYPERLINK("#'Painel'!B73","→ 73")</f>
        <v>→ 73</v>
      </c>
    </row>
    <row r="42" customFormat="false" ht="15" hidden="false" customHeight="false" outlineLevel="0" collapsed="false">
      <c r="B42" s="97" t="n">
        <v>46</v>
      </c>
      <c r="C42" s="40" t="s">
        <v>138</v>
      </c>
      <c r="D42" s="98" t="s">
        <v>139</v>
      </c>
      <c r="E42" s="40" t="s">
        <v>77</v>
      </c>
      <c r="F42" s="64" t="n">
        <v>8445.73</v>
      </c>
      <c r="G42" s="99" t="n">
        <v>8445.73</v>
      </c>
      <c r="H42" s="61" t="n">
        <f aca="false">(Painel!$L$68)*0.5865738</f>
        <v>10251.8503350987</v>
      </c>
      <c r="I42" s="100" t="n">
        <f aca="false">IF(H42="","",H42-F42)</f>
        <v>1806.1203350987</v>
      </c>
      <c r="J42" s="101" t="n">
        <f aca="false">IF(OR(H42="",F42=0),"",H42/F42-1)</f>
        <v>0.213850115395437</v>
      </c>
      <c r="K42" s="62" t="n">
        <v>62.3</v>
      </c>
      <c r="L42" s="42" t="n">
        <v>526168.97</v>
      </c>
      <c r="M42" s="43" t="n">
        <f aca="false">IF(H42="",F42*K42,H42*K42)</f>
        <v>638690.275876649</v>
      </c>
      <c r="N42" s="66" t="n">
        <f aca="false">M42-L42</f>
        <v>112521.305876649</v>
      </c>
      <c r="O42" s="102" t="str">
        <f aca="false">IF(F42=0,"Sem qtd. no contrato",IF(ABS(H42/F42-1)&lt;=0.02,"Confere (±2%)",IF(H42&gt;F42,"Projeto maior","Projeto menor")))</f>
        <v>Projeto maior</v>
      </c>
      <c r="P42" s="67" t="s">
        <v>932</v>
      </c>
      <c r="Q42" s="103" t="s">
        <v>933</v>
      </c>
      <c r="R42" s="104" t="str">
        <f aca="false">HYPERLINK("#'Painel'!B74","→ 74")</f>
        <v>→ 74</v>
      </c>
    </row>
    <row r="43" customFormat="false" ht="15" hidden="false" customHeight="false" outlineLevel="0" collapsed="false">
      <c r="B43" s="97" t="n">
        <v>47</v>
      </c>
      <c r="C43" s="40" t="s">
        <v>143</v>
      </c>
      <c r="D43" s="98" t="s">
        <v>144</v>
      </c>
      <c r="E43" s="40" t="s">
        <v>77</v>
      </c>
      <c r="F43" s="64" t="n">
        <v>75087.01</v>
      </c>
      <c r="G43" s="99" t="n">
        <v>75087.01</v>
      </c>
      <c r="H43" s="61" t="n">
        <f aca="false">Painel!$L$76</f>
        <v>75884.5406226296</v>
      </c>
      <c r="I43" s="100" t="n">
        <f aca="false">IF(H43="","",H43-F43)</f>
        <v>797.53062262958</v>
      </c>
      <c r="J43" s="101" t="n">
        <f aca="false">IF(OR(H43="",F43=0),"",H43/F43-1)</f>
        <v>0.0106214193723999</v>
      </c>
      <c r="K43" s="62" t="n">
        <v>0.87</v>
      </c>
      <c r="L43" s="42" t="n">
        <v>65325.69</v>
      </c>
      <c r="M43" s="43" t="n">
        <f aca="false">IF(H43="",F43*K43,H43*K43)</f>
        <v>66019.5503416877</v>
      </c>
      <c r="N43" s="66" t="n">
        <f aca="false">M43-L43</f>
        <v>693.86034168773</v>
      </c>
      <c r="O43" s="102" t="str">
        <f aca="false">IF(F43=0,"Sem qtd. no contrato",IF(ABS(H43/F43-1)&lt;=0.02,"Confere (±2%)",IF(H43&gt;F43,"Projeto maior","Projeto menor")))</f>
        <v>Confere (±2%)</v>
      </c>
      <c r="P43" s="67" t="s">
        <v>936</v>
      </c>
      <c r="Q43" s="103" t="s">
        <v>937</v>
      </c>
      <c r="R43" s="104" t="str">
        <f aca="false">HYPERLINK("#'Painel'!B76","→ 76")</f>
        <v>→ 76</v>
      </c>
    </row>
    <row r="44" customFormat="false" ht="15" hidden="false" customHeight="false" outlineLevel="0" collapsed="false">
      <c r="B44" s="97" t="n">
        <v>48</v>
      </c>
      <c r="C44" s="40" t="s">
        <v>140</v>
      </c>
      <c r="D44" s="98" t="s">
        <v>141</v>
      </c>
      <c r="E44" s="40" t="s">
        <v>77</v>
      </c>
      <c r="F44" s="64" t="n">
        <v>28621.07</v>
      </c>
      <c r="G44" s="99" t="n">
        <v>28621.07</v>
      </c>
      <c r="H44" s="61" t="n">
        <f aca="false">Painel!$L$75</f>
        <v>28621.07</v>
      </c>
      <c r="I44" s="100" t="n">
        <f aca="false">IF(H44="","",H44-F44)</f>
        <v>0</v>
      </c>
      <c r="J44" s="101" t="n">
        <f aca="false">IF(OR(H44="",F44=0),"",H44/F44-1)</f>
        <v>0</v>
      </c>
      <c r="K44" s="62" t="n">
        <v>20.54</v>
      </c>
      <c r="L44" s="42" t="n">
        <v>587876.77</v>
      </c>
      <c r="M44" s="43" t="n">
        <f aca="false">IF(H44="",F44*K44,H44*K44)</f>
        <v>587876.7778</v>
      </c>
      <c r="N44" s="66" t="n">
        <f aca="false">M44-L44</f>
        <v>0.00779999990481883</v>
      </c>
      <c r="O44" s="102" t="str">
        <f aca="false">IF(F44=0,"Sem qtd. no contrato",IF(ABS(H44/F44-1)&lt;=0.02,"Confere (±2%)",IF(H44&gt;F44,"Projeto maior","Projeto menor")))</f>
        <v>Confere (±2%)</v>
      </c>
      <c r="P44" s="67" t="s">
        <v>938</v>
      </c>
      <c r="Q44" s="103"/>
      <c r="R44" s="104" t="str">
        <f aca="false">HYPERLINK("#'Painel'!B75","→ 75")</f>
        <v>→ 75</v>
      </c>
    </row>
    <row r="45" customFormat="false" ht="15" hidden="false" customHeight="false" outlineLevel="0" collapsed="false">
      <c r="B45" s="97" t="n">
        <v>49</v>
      </c>
      <c r="C45" s="40" t="s">
        <v>161</v>
      </c>
      <c r="D45" s="98" t="s">
        <v>939</v>
      </c>
      <c r="E45" s="40" t="s">
        <v>77</v>
      </c>
      <c r="F45" s="64" t="n">
        <v>1326.77</v>
      </c>
      <c r="G45" s="99" t="n">
        <v>1326.77</v>
      </c>
      <c r="H45" s="61" t="n">
        <f aca="false">Painel!$L$83</f>
        <v>1326.765</v>
      </c>
      <c r="I45" s="100" t="n">
        <f aca="false">IF(H45="","",H45-F45)</f>
        <v>-0.00499999999988177</v>
      </c>
      <c r="J45" s="101" t="n">
        <f aca="false">IF(OR(H45="",F45=0),"",H45/F45-1)</f>
        <v>-3.76855069073034E-006</v>
      </c>
      <c r="K45" s="62" t="n">
        <v>164</v>
      </c>
      <c r="L45" s="42" t="n">
        <v>217590.28</v>
      </c>
      <c r="M45" s="43" t="n">
        <f aca="false">IF(H45="",F45*K45,H45*K45)</f>
        <v>217589.46</v>
      </c>
      <c r="N45" s="66" t="n">
        <f aca="false">M45-L45</f>
        <v>-0.819999999977881</v>
      </c>
      <c r="O45" s="102" t="str">
        <f aca="false">IF(F45=0,"Sem qtd. no contrato",IF(ABS(H45/F45-1)&lt;=0.02,"Confere (±2%)",IF(H45&gt;F45,"Projeto maior","Projeto menor")))</f>
        <v>Confere (±2%)</v>
      </c>
      <c r="P45" s="67" t="s">
        <v>940</v>
      </c>
      <c r="Q45" s="103"/>
      <c r="R45" s="104" t="str">
        <f aca="false">HYPERLINK("#'Painel'!B83","→ 83")</f>
        <v>→ 83</v>
      </c>
    </row>
    <row r="46" customFormat="false" ht="15" hidden="false" customHeight="false" outlineLevel="0" collapsed="false">
      <c r="B46" s="97" t="n">
        <v>50</v>
      </c>
      <c r="C46" s="40" t="s">
        <v>155</v>
      </c>
      <c r="D46" s="98" t="s">
        <v>941</v>
      </c>
      <c r="E46" s="40" t="s">
        <v>77</v>
      </c>
      <c r="F46" s="64" t="n">
        <v>28703.95</v>
      </c>
      <c r="G46" s="99" t="n">
        <v>27235.29</v>
      </c>
      <c r="H46" s="61" t="n">
        <f aca="false">Painel!$L$81</f>
        <v>27235.294</v>
      </c>
      <c r="I46" s="100" t="n">
        <f aca="false">IF(H46="","",H46-F46)</f>
        <v>-1468.656</v>
      </c>
      <c r="J46" s="101" t="n">
        <f aca="false">IF(OR(H46="",F46=0),"",H46/F46-1)</f>
        <v>-0.0511656409657905</v>
      </c>
      <c r="K46" s="62" t="n">
        <v>169.76</v>
      </c>
      <c r="L46" s="42" t="n">
        <v>4872782.55</v>
      </c>
      <c r="M46" s="43" t="n">
        <f aca="false">IF(H46="",F46*K46,H46*K46)</f>
        <v>4623463.50944</v>
      </c>
      <c r="N46" s="66" t="n">
        <f aca="false">M46-L46</f>
        <v>-249319.040560001</v>
      </c>
      <c r="O46" s="102" t="str">
        <f aca="false">IF(F46=0,"Sem qtd. no contrato",IF(ABS(H46/F46-1)&lt;=0.02,"Confere (±2%)",IF(H46&gt;F46,"Projeto maior","Projeto menor")))</f>
        <v>Projeto menor</v>
      </c>
      <c r="P46" s="67" t="s">
        <v>942</v>
      </c>
      <c r="Q46" s="103" t="s">
        <v>943</v>
      </c>
      <c r="R46" s="104" t="str">
        <f aca="false">HYPERLINK("#'Painel'!B81","→ 81")</f>
        <v>→ 81</v>
      </c>
    </row>
    <row r="47" customFormat="false" ht="15" hidden="false" customHeight="false" outlineLevel="0" collapsed="false">
      <c r="B47" s="45"/>
      <c r="C47" s="45"/>
      <c r="D47" s="105" t="s">
        <v>177</v>
      </c>
      <c r="E47" s="45"/>
      <c r="F47" s="45"/>
      <c r="G47" s="45"/>
      <c r="H47" s="45"/>
      <c r="I47" s="45"/>
      <c r="J47" s="45"/>
      <c r="K47" s="45"/>
      <c r="L47" s="106" t="n">
        <f aca="false">SUM(L13:L46)</f>
        <v>15895347.46</v>
      </c>
      <c r="M47" s="106" t="n">
        <f aca="false">SUM(M13:M46)</f>
        <v>15759096.0614643</v>
      </c>
      <c r="N47" s="107" t="n">
        <f aca="false">SUM(N13:N46)</f>
        <v>-136251.398535657</v>
      </c>
      <c r="O47" s="45"/>
      <c r="P47" s="45"/>
      <c r="Q47" s="45"/>
      <c r="R47" s="45"/>
    </row>
    <row r="49" customFormat="false" ht="15" hidden="false" customHeight="false" outlineLevel="0" collapsed="false">
      <c r="B49" s="96" t="s">
        <v>944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</row>
    <row r="50" customFormat="false" ht="15" hidden="false" customHeight="false" outlineLevel="0" collapsed="false">
      <c r="B50" s="97" t="n">
        <v>53</v>
      </c>
      <c r="C50" s="40" t="s">
        <v>187</v>
      </c>
      <c r="D50" s="98" t="s">
        <v>188</v>
      </c>
      <c r="E50" s="40" t="s">
        <v>77</v>
      </c>
      <c r="F50" s="64" t="n">
        <v>84642</v>
      </c>
      <c r="G50" s="99" t="n">
        <v>84642</v>
      </c>
      <c r="H50" s="61" t="n">
        <f aca="false">(Painel!$L$95+Painel!$L$96)*1</f>
        <v>82744.3908900004</v>
      </c>
      <c r="I50" s="100" t="n">
        <f aca="false">IF(H50="","",H50-F50)</f>
        <v>-1897.60910999963</v>
      </c>
      <c r="J50" s="101" t="n">
        <f aca="false">IF(OR(H50="",F50=0),"",H50/F50-1)</f>
        <v>-0.0224192376125284</v>
      </c>
      <c r="K50" s="62" t="n">
        <v>180.59</v>
      </c>
      <c r="L50" s="42" t="n">
        <v>15285498.78</v>
      </c>
      <c r="M50" s="43" t="n">
        <f aca="false">IF(H50="",F50*K50,H50*K50)</f>
        <v>14942809.5508252</v>
      </c>
      <c r="N50" s="66" t="n">
        <f aca="false">M50-L50</f>
        <v>-342689.229174832</v>
      </c>
      <c r="O50" s="102" t="str">
        <f aca="false">IF(F50=0,"Sem qtd. no contrato",IF(ABS(H50/F50-1)&lt;=0.02,"Confere (±2%)",IF(H50&gt;F50,"Projeto maior","Projeto menor")))</f>
        <v>Projeto menor</v>
      </c>
      <c r="P50" s="67" t="s">
        <v>945</v>
      </c>
      <c r="Q50" s="103" t="s">
        <v>946</v>
      </c>
      <c r="R50" s="104" t="str">
        <f aca="false">HYPERLINK("#'Painel'!B97","→ 97")</f>
        <v>→ 97</v>
      </c>
    </row>
    <row r="51" customFormat="false" ht="15" hidden="false" customHeight="false" outlineLevel="0" collapsed="false">
      <c r="B51" s="97" t="n">
        <v>54</v>
      </c>
      <c r="C51" s="40" t="s">
        <v>190</v>
      </c>
      <c r="D51" s="98" t="s">
        <v>947</v>
      </c>
      <c r="E51" s="40" t="s">
        <v>77</v>
      </c>
      <c r="F51" s="64" t="n">
        <v>25878.66</v>
      </c>
      <c r="G51" s="99" t="n">
        <v>25877.5</v>
      </c>
      <c r="H51" s="61" t="n">
        <f aca="false">Painel!$L$98</f>
        <v>24462.4129792</v>
      </c>
      <c r="I51" s="100" t="n">
        <f aca="false">IF(H51="","",H51-F51)</f>
        <v>-1416.24702080002</v>
      </c>
      <c r="J51" s="101" t="n">
        <f aca="false">IF(OR(H51="",F51=0),"",H51/F51-1)</f>
        <v>-0.054726443362988</v>
      </c>
      <c r="K51" s="62" t="n">
        <v>241.97</v>
      </c>
      <c r="L51" s="42" t="n">
        <v>6261859.36</v>
      </c>
      <c r="M51" s="43" t="n">
        <f aca="false">IF(H51="",F51*K51,H51*K51)</f>
        <v>5919170.06857702</v>
      </c>
      <c r="N51" s="66" t="n">
        <f aca="false">M51-L51</f>
        <v>-342689.291422982</v>
      </c>
      <c r="O51" s="102" t="str">
        <f aca="false">IF(F51=0,"Sem qtd. no contrato",IF(ABS(H51/F51-1)&lt;=0.02,"Confere (±2%)",IF(H51&gt;F51,"Projeto maior","Projeto menor")))</f>
        <v>Projeto menor</v>
      </c>
      <c r="P51" s="67" t="s">
        <v>948</v>
      </c>
      <c r="Q51" s="103" t="s">
        <v>949</v>
      </c>
      <c r="R51" s="104" t="str">
        <f aca="false">HYPERLINK("#'Painel'!B98","→ 98")</f>
        <v>→ 98</v>
      </c>
    </row>
    <row r="52" customFormat="false" ht="15" hidden="false" customHeight="false" outlineLevel="0" collapsed="false">
      <c r="B52" s="97" t="n">
        <v>55</v>
      </c>
      <c r="C52" s="40" t="s">
        <v>200</v>
      </c>
      <c r="D52" s="98" t="s">
        <v>950</v>
      </c>
      <c r="E52" s="40" t="s">
        <v>5</v>
      </c>
      <c r="F52" s="64" t="n">
        <v>18747.81</v>
      </c>
      <c r="G52" s="99" t="n">
        <v>18744.5</v>
      </c>
      <c r="H52" s="61" t="n">
        <f aca="false">Painel!$L$102</f>
        <v>17868.5733420001</v>
      </c>
      <c r="I52" s="100" t="n">
        <f aca="false">IF(H52="","",H52-F52)</f>
        <v>-879.2366579999</v>
      </c>
      <c r="J52" s="101" t="n">
        <f aca="false">IF(OR(H52="",F52=0),"",H52/F52-1)</f>
        <v>-0.0468980994580114</v>
      </c>
      <c r="K52" s="62" t="n">
        <v>263.04</v>
      </c>
      <c r="L52" s="42" t="n">
        <v>4931423.94</v>
      </c>
      <c r="M52" s="43" t="n">
        <f aca="false">IF(H52="",F52*K52,H52*K52)</f>
        <v>4700149.53187971</v>
      </c>
      <c r="N52" s="66" t="n">
        <f aca="false">M52-L52</f>
        <v>-231274.408120293</v>
      </c>
      <c r="O52" s="102" t="str">
        <f aca="false">IF(F52=0,"Sem qtd. no contrato",IF(ABS(H52/F52-1)&lt;=0.02,"Confere (±2%)",IF(H52&gt;F52,"Projeto maior","Projeto menor")))</f>
        <v>Projeto menor</v>
      </c>
      <c r="P52" s="67" t="s">
        <v>951</v>
      </c>
      <c r="Q52" s="103" t="s">
        <v>952</v>
      </c>
      <c r="R52" s="104" t="str">
        <f aca="false">HYPERLINK("#'Painel'!B102","→ 102")</f>
        <v>→ 102</v>
      </c>
    </row>
    <row r="53" customFormat="false" ht="15" hidden="false" customHeight="false" outlineLevel="0" collapsed="false">
      <c r="B53" s="97" t="n">
        <v>56</v>
      </c>
      <c r="C53" s="40" t="s">
        <v>203</v>
      </c>
      <c r="D53" s="98" t="s">
        <v>953</v>
      </c>
      <c r="E53" s="40" t="s">
        <v>77</v>
      </c>
      <c r="F53" s="64" t="n">
        <v>2514.01</v>
      </c>
      <c r="G53" s="99" t="n">
        <v>2514.01</v>
      </c>
      <c r="H53" s="61" t="n">
        <f aca="false">Painel!$L$103</f>
        <v>2514.01</v>
      </c>
      <c r="I53" s="100" t="n">
        <f aca="false">IF(H53="","",H53-F53)</f>
        <v>0</v>
      </c>
      <c r="J53" s="101" t="n">
        <f aca="false">IF(OR(H53="",F53=0),"",H53/F53-1)</f>
        <v>0</v>
      </c>
      <c r="K53" s="62" t="n">
        <v>44.25</v>
      </c>
      <c r="L53" s="42" t="n">
        <v>111244.94</v>
      </c>
      <c r="M53" s="43" t="n">
        <f aca="false">IF(H53="",F53*K53,H53*K53)</f>
        <v>111244.9425</v>
      </c>
      <c r="N53" s="66" t="n">
        <f aca="false">M53-L53</f>
        <v>0.00250000000232831</v>
      </c>
      <c r="O53" s="102" t="str">
        <f aca="false">IF(F53=0,"Sem qtd. no contrato",IF(ABS(H53/F53-1)&lt;=0.02,"Confere (±2%)",IF(H53&gt;F53,"Projeto maior","Projeto menor")))</f>
        <v>Confere (±2%)</v>
      </c>
      <c r="P53" s="67" t="s">
        <v>954</v>
      </c>
      <c r="Q53" s="103" t="s">
        <v>955</v>
      </c>
      <c r="R53" s="104" t="str">
        <f aca="false">HYPERLINK("#'Painel'!B103","→ 103")</f>
        <v>→ 103</v>
      </c>
    </row>
    <row r="54" customFormat="false" ht="15" hidden="false" customHeight="false" outlineLevel="0" collapsed="false">
      <c r="B54" s="97" t="n">
        <v>57</v>
      </c>
      <c r="C54" s="40" t="s">
        <v>213</v>
      </c>
      <c r="D54" s="98" t="s">
        <v>214</v>
      </c>
      <c r="E54" s="40" t="s">
        <v>176</v>
      </c>
      <c r="F54" s="64" t="n">
        <v>17</v>
      </c>
      <c r="G54" s="99" t="n">
        <v>17</v>
      </c>
      <c r="H54" s="61" t="n">
        <f aca="false">17</f>
        <v>17</v>
      </c>
      <c r="I54" s="100" t="n">
        <f aca="false">IF(H54="","",H54-F54)</f>
        <v>0</v>
      </c>
      <c r="J54" s="101" t="n">
        <f aca="false">IF(OR(H54="",F54=0),"",H54/F54-1)</f>
        <v>0</v>
      </c>
      <c r="K54" s="62" t="n">
        <v>9.59</v>
      </c>
      <c r="L54" s="42" t="n">
        <v>163.03</v>
      </c>
      <c r="M54" s="43" t="n">
        <f aca="false">IF(H54="",F54*K54,H54*K54)</f>
        <v>163.03</v>
      </c>
      <c r="N54" s="66" t="n">
        <f aca="false">M54-L54</f>
        <v>0</v>
      </c>
      <c r="O54" s="102" t="str">
        <f aca="false">IF(F54=0,"Sem qtd. no contrato",IF(ABS(H54/F54-1)&lt;=0.02,"Confere (±2%)",IF(H54&gt;F54,"Projeto maior","Projeto menor")))</f>
        <v>Confere (±2%)</v>
      </c>
      <c r="P54" s="67" t="s">
        <v>956</v>
      </c>
      <c r="Q54" s="103"/>
      <c r="R54" s="104" t="str">
        <f aca="false">HYPERLINK("#'Painel'!B107","→ 107")</f>
        <v>→ 107</v>
      </c>
    </row>
    <row r="55" customFormat="false" ht="15" hidden="false" customHeight="false" outlineLevel="0" collapsed="false">
      <c r="B55" s="97" t="n">
        <v>58</v>
      </c>
      <c r="C55" s="40" t="s">
        <v>210</v>
      </c>
      <c r="D55" s="98" t="s">
        <v>957</v>
      </c>
      <c r="E55" s="40" t="s">
        <v>77</v>
      </c>
      <c r="F55" s="64" t="n">
        <v>689</v>
      </c>
      <c r="G55" s="99" t="n">
        <v>689</v>
      </c>
      <c r="H55" s="61" t="n">
        <f aca="false">Painel!$L$106</f>
        <v>1028.202305</v>
      </c>
      <c r="I55" s="100" t="n">
        <f aca="false">IF(H55="","",H55-F55)</f>
        <v>339.202304999997</v>
      </c>
      <c r="J55" s="101" t="n">
        <f aca="false">IF(OR(H55="",F55=0),"",H55/F55-1)</f>
        <v>0.492311037735845</v>
      </c>
      <c r="K55" s="62" t="n">
        <v>57.28</v>
      </c>
      <c r="L55" s="42" t="n">
        <v>39465.92</v>
      </c>
      <c r="M55" s="43" t="n">
        <f aca="false">IF(H55="",F55*K55,H55*K55)</f>
        <v>58895.4280303998</v>
      </c>
      <c r="N55" s="66" t="n">
        <f aca="false">M55-L55</f>
        <v>19429.5080303998</v>
      </c>
      <c r="O55" s="102" t="str">
        <f aca="false">IF(F55=0,"Sem qtd. no contrato",IF(ABS(H55/F55-1)&lt;=0.02,"Confere (±2%)",IF(H55&gt;F55,"Projeto maior","Projeto menor")))</f>
        <v>Projeto maior</v>
      </c>
      <c r="P55" s="67" t="s">
        <v>958</v>
      </c>
      <c r="Q55" s="103" t="s">
        <v>959</v>
      </c>
      <c r="R55" s="104" t="str">
        <f aca="false">HYPERLINK("#'Painel'!B106","→ 106")</f>
        <v>→ 106</v>
      </c>
    </row>
    <row r="56" customFormat="false" ht="15" hidden="false" customHeight="false" outlineLevel="0" collapsed="false">
      <c r="B56" s="97" t="n">
        <v>59</v>
      </c>
      <c r="C56" s="40" t="s">
        <v>216</v>
      </c>
      <c r="D56" s="98" t="s">
        <v>217</v>
      </c>
      <c r="E56" s="40" t="s">
        <v>77</v>
      </c>
      <c r="F56" s="64" t="n">
        <v>172.5</v>
      </c>
      <c r="G56" s="99" t="n">
        <v>172.5</v>
      </c>
      <c r="H56" s="61" t="n">
        <f aca="false">172.5</f>
        <v>172.5</v>
      </c>
      <c r="I56" s="100" t="n">
        <f aca="false">IF(H56="","",H56-F56)</f>
        <v>0</v>
      </c>
      <c r="J56" s="101" t="n">
        <f aca="false">IF(OR(H56="",F56=0),"",H56/F56-1)</f>
        <v>0</v>
      </c>
      <c r="K56" s="62" t="n">
        <v>341.15</v>
      </c>
      <c r="L56" s="42" t="n">
        <v>58848.37</v>
      </c>
      <c r="M56" s="43" t="n">
        <f aca="false">IF(H56="",F56*K56,H56*K56)</f>
        <v>58848.375</v>
      </c>
      <c r="N56" s="66" t="n">
        <f aca="false">M56-L56</f>
        <v>0.0049999999901047</v>
      </c>
      <c r="O56" s="102" t="str">
        <f aca="false">IF(F56=0,"Sem qtd. no contrato",IF(ABS(H56/F56-1)&lt;=0.02,"Confere (±2%)",IF(H56&gt;F56,"Projeto maior","Projeto menor")))</f>
        <v>Confere (±2%)</v>
      </c>
      <c r="P56" s="67" t="s">
        <v>960</v>
      </c>
      <c r="Q56" s="103"/>
      <c r="R56" s="104" t="str">
        <f aca="false">HYPERLINK("#'Painel'!B108","→ 108")</f>
        <v>→ 108</v>
      </c>
    </row>
    <row r="57" customFormat="false" ht="15" hidden="false" customHeight="false" outlineLevel="0" collapsed="false">
      <c r="B57" s="97" t="n">
        <v>60</v>
      </c>
      <c r="C57" s="40" t="s">
        <v>193</v>
      </c>
      <c r="D57" s="98" t="s">
        <v>961</v>
      </c>
      <c r="E57" s="40" t="s">
        <v>73</v>
      </c>
      <c r="F57" s="64" t="n">
        <v>161756</v>
      </c>
      <c r="G57" s="99" t="n">
        <v>161734</v>
      </c>
      <c r="H57" s="61" t="n">
        <f aca="false">Painel!$L$99</f>
        <v>150833.1504</v>
      </c>
      <c r="I57" s="100" t="n">
        <f aca="false">IF(H57="","",H57-F57)</f>
        <v>-10922.8496</v>
      </c>
      <c r="J57" s="101" t="n">
        <f aca="false">IF(OR(H57="",F57=0),"",H57/F57-1)</f>
        <v>-0.0675267044190016</v>
      </c>
      <c r="K57" s="62" t="n">
        <v>0.79</v>
      </c>
      <c r="L57" s="42" t="n">
        <v>127787.24</v>
      </c>
      <c r="M57" s="43" t="n">
        <f aca="false">IF(H57="",F57*K57,H57*K57)</f>
        <v>119158.188816</v>
      </c>
      <c r="N57" s="66" t="n">
        <f aca="false">M57-L57</f>
        <v>-8629.05118400001</v>
      </c>
      <c r="O57" s="102" t="str">
        <f aca="false">IF(F57=0,"Sem qtd. no contrato",IF(ABS(H57/F57-1)&lt;=0.02,"Confere (±2%)",IF(H57&gt;F57,"Projeto maior","Projeto menor")))</f>
        <v>Projeto menor</v>
      </c>
      <c r="P57" s="67" t="s">
        <v>962</v>
      </c>
      <c r="Q57" s="103" t="s">
        <v>963</v>
      </c>
      <c r="R57" s="104" t="str">
        <f aca="false">HYPERLINK("#'Painel'!B99","→ 99")</f>
        <v>→ 99</v>
      </c>
    </row>
    <row r="58" customFormat="false" ht="15" hidden="false" customHeight="false" outlineLevel="0" collapsed="false">
      <c r="B58" s="97" t="n">
        <v>61</v>
      </c>
      <c r="C58" s="40" t="s">
        <v>196</v>
      </c>
      <c r="D58" s="98" t="s">
        <v>964</v>
      </c>
      <c r="E58" s="40" t="s">
        <v>73</v>
      </c>
      <c r="F58" s="64" t="n">
        <v>161734</v>
      </c>
      <c r="G58" s="99" t="n">
        <v>161734</v>
      </c>
      <c r="H58" s="61" t="n">
        <f aca="false">Painel!$L$100</f>
        <v>150833.1504</v>
      </c>
      <c r="I58" s="100" t="n">
        <f aca="false">IF(H58="","",H58-F58)</f>
        <v>-10900.8496</v>
      </c>
      <c r="J58" s="101" t="n">
        <f aca="false">IF(OR(H58="",F58=0),"",H58/F58-1)</f>
        <v>-0.06739986397418</v>
      </c>
      <c r="K58" s="62" t="n">
        <v>0.46</v>
      </c>
      <c r="L58" s="42" t="n">
        <v>74397.64</v>
      </c>
      <c r="M58" s="43" t="n">
        <f aca="false">IF(H58="",F58*K58,H58*K58)</f>
        <v>69383.249184</v>
      </c>
      <c r="N58" s="66" t="n">
        <f aca="false">M58-L58</f>
        <v>-5014.390816</v>
      </c>
      <c r="O58" s="102" t="str">
        <f aca="false">IF(F58=0,"Sem qtd. no contrato",IF(ABS(H58/F58-1)&lt;=0.02,"Confere (±2%)",IF(H58&gt;F58,"Projeto maior","Projeto menor")))</f>
        <v>Projeto menor</v>
      </c>
      <c r="P58" s="67" t="s">
        <v>965</v>
      </c>
      <c r="Q58" s="103" t="s">
        <v>966</v>
      </c>
      <c r="R58" s="104" t="str">
        <f aca="false">HYPERLINK("#'Painel'!B100","→ 100")</f>
        <v>→ 100</v>
      </c>
    </row>
    <row r="59" customFormat="false" ht="15" hidden="false" customHeight="false" outlineLevel="0" collapsed="false">
      <c r="B59" s="97" t="n">
        <v>62</v>
      </c>
      <c r="C59" s="40" t="s">
        <v>206</v>
      </c>
      <c r="D59" s="98" t="s">
        <v>967</v>
      </c>
      <c r="E59" s="40" t="s">
        <v>77</v>
      </c>
      <c r="F59" s="64" t="n">
        <v>3079.1</v>
      </c>
      <c r="G59" s="99" t="n">
        <v>3079.1</v>
      </c>
      <c r="H59" s="61" t="n">
        <f aca="false">Painel!$L$104</f>
        <v>3079.10275</v>
      </c>
      <c r="I59" s="100" t="n">
        <f aca="false">IF(H59="","",H59-F59)</f>
        <v>0.00274999999874126</v>
      </c>
      <c r="J59" s="101" t="n">
        <f aca="false">IF(OR(H59="",F59=0),"",H59/F59-1)</f>
        <v>8.93118118572289E-007</v>
      </c>
      <c r="K59" s="62" t="n">
        <v>26.84</v>
      </c>
      <c r="L59" s="42" t="n">
        <v>82643.04</v>
      </c>
      <c r="M59" s="43" t="n">
        <f aca="false">IF(H59="",F59*K59,H59*K59)</f>
        <v>82643.11781</v>
      </c>
      <c r="N59" s="66" t="n">
        <f aca="false">M59-L59</f>
        <v>0.0778099999733968</v>
      </c>
      <c r="O59" s="102" t="str">
        <f aca="false">IF(F59=0,"Sem qtd. no contrato",IF(ABS(H59/F59-1)&lt;=0.02,"Confere (±2%)",IF(H59&gt;F59,"Projeto maior","Projeto menor")))</f>
        <v>Confere (±2%)</v>
      </c>
      <c r="P59" s="67" t="s">
        <v>968</v>
      </c>
      <c r="Q59" s="103"/>
      <c r="R59" s="104" t="str">
        <f aca="false">HYPERLINK("#'Painel'!B104","→ 104")</f>
        <v>→ 104</v>
      </c>
    </row>
    <row r="60" customFormat="false" ht="15" hidden="false" customHeight="false" outlineLevel="0" collapsed="false">
      <c r="B60" s="97" t="n">
        <v>63</v>
      </c>
      <c r="C60" s="40" t="s">
        <v>180</v>
      </c>
      <c r="D60" s="98" t="s">
        <v>969</v>
      </c>
      <c r="E60" s="40" t="s">
        <v>73</v>
      </c>
      <c r="F60" s="64" t="n">
        <v>171057</v>
      </c>
      <c r="G60" s="99" t="n">
        <v>171057</v>
      </c>
      <c r="H60" s="61" t="n">
        <f aca="false">Painel!$L$94</f>
        <v>172945.155639998</v>
      </c>
      <c r="I60" s="100" t="n">
        <f aca="false">IF(H60="","",H60-F60)</f>
        <v>1888.15563999806</v>
      </c>
      <c r="J60" s="101" t="n">
        <f aca="false">IF(OR(H60="",F60=0),"",H60/F60-1)</f>
        <v>0.0110381664591221</v>
      </c>
      <c r="K60" s="62" t="n">
        <v>5.16</v>
      </c>
      <c r="L60" s="42" t="n">
        <v>882654.12</v>
      </c>
      <c r="M60" s="43" t="n">
        <f aca="false">IF(H60="",F60*K60,H60*K60)</f>
        <v>892397.00310239</v>
      </c>
      <c r="N60" s="66" t="n">
        <f aca="false">M60-L60</f>
        <v>9742.88310238998</v>
      </c>
      <c r="O60" s="102" t="str">
        <f aca="false">IF(F60=0,"Sem qtd. no contrato",IF(ABS(H60/F60-1)&lt;=0.02,"Confere (±2%)",IF(H60&gt;F60,"Projeto maior","Projeto menor")))</f>
        <v>Confere (±2%)</v>
      </c>
      <c r="P60" s="67" t="s">
        <v>970</v>
      </c>
      <c r="Q60" s="103"/>
      <c r="R60" s="104" t="str">
        <f aca="false">HYPERLINK("#'Painel'!B94","→ 94")</f>
        <v>→ 94</v>
      </c>
    </row>
    <row r="61" customFormat="false" ht="15" hidden="false" customHeight="false" outlineLevel="0" collapsed="false">
      <c r="B61" s="45"/>
      <c r="C61" s="45"/>
      <c r="D61" s="105" t="s">
        <v>219</v>
      </c>
      <c r="E61" s="45"/>
      <c r="F61" s="45"/>
      <c r="G61" s="45"/>
      <c r="H61" s="45"/>
      <c r="I61" s="45"/>
      <c r="J61" s="45"/>
      <c r="K61" s="45"/>
      <c r="L61" s="106" t="n">
        <f aca="false">SUM(L50:L60)</f>
        <v>27855986.38</v>
      </c>
      <c r="M61" s="106" t="n">
        <f aca="false">SUM(M50:M60)</f>
        <v>26954862.4857247</v>
      </c>
      <c r="N61" s="107" t="n">
        <f aca="false">SUM(N50:N60)</f>
        <v>-901123.894275317</v>
      </c>
      <c r="O61" s="45"/>
      <c r="P61" s="45"/>
      <c r="Q61" s="45"/>
      <c r="R61" s="45"/>
    </row>
    <row r="63" customFormat="false" ht="15" hidden="false" customHeight="false" outlineLevel="0" collapsed="false">
      <c r="B63" s="96" t="s">
        <v>971</v>
      </c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</row>
    <row r="64" customFormat="false" ht="15" hidden="false" customHeight="false" outlineLevel="0" collapsed="false">
      <c r="B64" s="97" t="n">
        <v>66</v>
      </c>
      <c r="C64" s="40" t="s">
        <v>221</v>
      </c>
      <c r="D64" s="98" t="s">
        <v>972</v>
      </c>
      <c r="E64" s="40" t="s">
        <v>5</v>
      </c>
      <c r="F64" s="64" t="n">
        <v>1068.62</v>
      </c>
      <c r="G64" s="99" t="n">
        <v>1068.64</v>
      </c>
      <c r="H64" s="61" t="n">
        <f aca="false">Painel!$L$112</f>
        <v>857.691520416005</v>
      </c>
      <c r="I64" s="100" t="n">
        <f aca="false">IF(H64="","",H64-F64)</f>
        <v>-210.928479583995</v>
      </c>
      <c r="J64" s="101" t="n">
        <f aca="false">IF(OR(H64="",F64=0),"",H64/F64-1)</f>
        <v>-0.197383990177982</v>
      </c>
      <c r="K64" s="62" t="n">
        <v>5547.75</v>
      </c>
      <c r="L64" s="42" t="n">
        <v>5928436.6</v>
      </c>
      <c r="M64" s="43" t="n">
        <f aca="false">IF(H64="",F64*K64,H64*K64)</f>
        <v>4758258.13238789</v>
      </c>
      <c r="N64" s="66" t="n">
        <f aca="false">M64-L64</f>
        <v>-1170178.46761211</v>
      </c>
      <c r="O64" s="102" t="str">
        <f aca="false">IF(F64=0,"Sem qtd. no contrato",IF(ABS(H64/F64-1)&lt;=0.02,"Confere (±2%)",IF(H64&gt;F64,"Projeto maior","Projeto menor")))</f>
        <v>Projeto menor</v>
      </c>
      <c r="P64" s="67" t="s">
        <v>973</v>
      </c>
      <c r="Q64" s="103" t="s">
        <v>974</v>
      </c>
      <c r="R64" s="104" t="str">
        <f aca="false">HYPERLINK("#'Painel'!B112","→ 112")</f>
        <v>→ 112</v>
      </c>
    </row>
    <row r="65" customFormat="false" ht="15" hidden="false" customHeight="false" outlineLevel="0" collapsed="false">
      <c r="B65" s="97" t="n">
        <v>67</v>
      </c>
      <c r="C65" s="40" t="s">
        <v>224</v>
      </c>
      <c r="D65" s="98" t="s">
        <v>975</v>
      </c>
      <c r="E65" s="40" t="s">
        <v>5</v>
      </c>
      <c r="F65" s="64" t="n">
        <v>194.1</v>
      </c>
      <c r="G65" s="99" t="n">
        <v>194.08</v>
      </c>
      <c r="H65" s="61" t="n">
        <f aca="false">Painel!$L$113</f>
        <v>180.99978048</v>
      </c>
      <c r="I65" s="100" t="n">
        <f aca="false">IF(H65="","",H65-F65)</f>
        <v>-13.10021952</v>
      </c>
      <c r="J65" s="101" t="n">
        <f aca="false">IF(OR(H65="",F65=0),"",H65/F65-1)</f>
        <v>-0.067492114992272</v>
      </c>
      <c r="K65" s="62" t="n">
        <v>5716.46</v>
      </c>
      <c r="L65" s="42" t="n">
        <v>1109564.88</v>
      </c>
      <c r="M65" s="43" t="n">
        <f aca="false">IF(H65="",F65*K65,H65*K65)</f>
        <v>1034678.0051227</v>
      </c>
      <c r="N65" s="66" t="n">
        <f aca="false">M65-L65</f>
        <v>-74886.8748772991</v>
      </c>
      <c r="O65" s="102" t="str">
        <f aca="false">IF(F65=0,"Sem qtd. no contrato",IF(ABS(H65/F65-1)&lt;=0.02,"Confere (±2%)",IF(H65&gt;F65,"Projeto maior","Projeto menor")))</f>
        <v>Projeto menor</v>
      </c>
      <c r="P65" s="67" t="s">
        <v>976</v>
      </c>
      <c r="Q65" s="103" t="s">
        <v>977</v>
      </c>
      <c r="R65" s="104" t="str">
        <f aca="false">HYPERLINK("#'Painel'!B113","→ 113")</f>
        <v>→ 113</v>
      </c>
    </row>
    <row r="66" customFormat="false" ht="15" hidden="false" customHeight="false" outlineLevel="0" collapsed="false">
      <c r="B66" s="97" t="n">
        <v>68</v>
      </c>
      <c r="C66" s="40" t="s">
        <v>227</v>
      </c>
      <c r="D66" s="98" t="s">
        <v>978</v>
      </c>
      <c r="E66" s="40" t="s">
        <v>5</v>
      </c>
      <c r="F66" s="64" t="n">
        <v>80.86</v>
      </c>
      <c r="G66" s="99" t="n">
        <v>80.87</v>
      </c>
      <c r="H66" s="61" t="n">
        <f aca="false">Painel!$L$114</f>
        <v>75.4165752</v>
      </c>
      <c r="I66" s="100" t="n">
        <f aca="false">IF(H66="","",H66-F66)</f>
        <v>-5.4434248</v>
      </c>
      <c r="J66" s="101" t="n">
        <f aca="false">IF(OR(H66="",F66=0),"",H66/F66-1)</f>
        <v>-0.0673191293593867</v>
      </c>
      <c r="K66" s="62" t="n">
        <v>4476.94</v>
      </c>
      <c r="L66" s="42" t="n">
        <v>362005.36</v>
      </c>
      <c r="M66" s="43" t="n">
        <f aca="false">IF(H66="",F66*K66,H66*K66)</f>
        <v>337635.482175888</v>
      </c>
      <c r="N66" s="66" t="n">
        <f aca="false">M66-L66</f>
        <v>-24369.877824112</v>
      </c>
      <c r="O66" s="102" t="str">
        <f aca="false">IF(F66=0,"Sem qtd. no contrato",IF(ABS(H66/F66-1)&lt;=0.02,"Confere (±2%)",IF(H66&gt;F66,"Projeto maior","Projeto menor")))</f>
        <v>Projeto menor</v>
      </c>
      <c r="P66" s="67" t="s">
        <v>979</v>
      </c>
      <c r="Q66" s="103" t="s">
        <v>980</v>
      </c>
      <c r="R66" s="104" t="str">
        <f aca="false">HYPERLINK("#'Painel'!B114","→ 114")</f>
        <v>→ 114</v>
      </c>
    </row>
    <row r="67" customFormat="false" ht="15" hidden="false" customHeight="false" outlineLevel="0" collapsed="false">
      <c r="B67" s="45"/>
      <c r="C67" s="45"/>
      <c r="D67" s="105" t="s">
        <v>981</v>
      </c>
      <c r="E67" s="45"/>
      <c r="F67" s="45"/>
      <c r="G67" s="45"/>
      <c r="H67" s="45"/>
      <c r="I67" s="45"/>
      <c r="J67" s="45"/>
      <c r="K67" s="45"/>
      <c r="L67" s="106" t="n">
        <f aca="false">SUM(L64:L66)</f>
        <v>7400006.84</v>
      </c>
      <c r="M67" s="106" t="n">
        <f aca="false">SUM(M64:M66)</f>
        <v>6130571.61968648</v>
      </c>
      <c r="N67" s="107" t="n">
        <f aca="false">SUM(N64:N66)</f>
        <v>-1269435.22031352</v>
      </c>
      <c r="O67" s="45"/>
      <c r="P67" s="45"/>
      <c r="Q67" s="45"/>
      <c r="R67" s="45"/>
    </row>
    <row r="69" customFormat="false" ht="15" hidden="false" customHeight="false" outlineLevel="0" collapsed="false">
      <c r="B69" s="96" t="s">
        <v>982</v>
      </c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</row>
    <row r="70" customFormat="false" ht="15" hidden="false" customHeight="false" outlineLevel="0" collapsed="false">
      <c r="B70" s="97" t="n">
        <v>71</v>
      </c>
      <c r="C70" s="40" t="s">
        <v>375</v>
      </c>
      <c r="D70" s="98" t="s">
        <v>470</v>
      </c>
      <c r="E70" s="40" t="s">
        <v>77</v>
      </c>
      <c r="F70" s="64" t="n">
        <v>137</v>
      </c>
      <c r="G70" s="31"/>
      <c r="H70" s="61" t="n">
        <f aca="false">(Painel!$L$253+Painel!$L$233)*1</f>
        <v>118.198</v>
      </c>
      <c r="I70" s="100" t="n">
        <f aca="false">IF(H70="","",H70-F70)</f>
        <v>-18.802</v>
      </c>
      <c r="J70" s="101" t="n">
        <f aca="false">IF(OR(H70="",F70=0),"",H70/F70-1)</f>
        <v>-0.137240875912409</v>
      </c>
      <c r="K70" s="62" t="n">
        <v>456.92</v>
      </c>
      <c r="L70" s="42" t="n">
        <v>62598.04</v>
      </c>
      <c r="M70" s="43" t="n">
        <f aca="false">IF(H70="",F70*K70,H70*K70)</f>
        <v>54007.03016</v>
      </c>
      <c r="N70" s="66" t="n">
        <f aca="false">M70-L70</f>
        <v>-8591.00984</v>
      </c>
      <c r="O70" s="102" t="str">
        <f aca="false">IF(F70=0,"Sem qtd. no contrato",IF(ABS(H70/F70-1)&lt;=0.02,"Confere (±2%)",IF(H70&gt;F70,"Projeto maior","Projeto menor")))</f>
        <v>Projeto menor</v>
      </c>
      <c r="P70" s="67" t="s">
        <v>983</v>
      </c>
      <c r="Q70" s="103"/>
      <c r="R70" s="104" t="str">
        <f aca="false">HYPERLINK("#'Painel'!B256","→ 256")</f>
        <v>→ 256</v>
      </c>
    </row>
    <row r="71" customFormat="false" ht="15" hidden="false" customHeight="false" outlineLevel="0" collapsed="false">
      <c r="B71" s="97" t="n">
        <v>72</v>
      </c>
      <c r="C71" s="40" t="s">
        <v>427</v>
      </c>
      <c r="D71" s="98" t="s">
        <v>984</v>
      </c>
      <c r="E71" s="40" t="s">
        <v>77</v>
      </c>
      <c r="F71" s="64" t="n">
        <v>13601</v>
      </c>
      <c r="G71" s="31"/>
      <c r="H71" s="61" t="n">
        <f aca="false">Painel!$L$250</f>
        <v>13854.12</v>
      </c>
      <c r="I71" s="100" t="n">
        <f aca="false">IF(H71="","",H71-F71)</f>
        <v>253.119999999999</v>
      </c>
      <c r="J71" s="101" t="n">
        <f aca="false">IF(OR(H71="",F71=0),"",H71/F71-1)</f>
        <v>0.01861039629439</v>
      </c>
      <c r="K71" s="62" t="n">
        <v>60.31</v>
      </c>
      <c r="L71" s="42" t="n">
        <v>820276.31</v>
      </c>
      <c r="M71" s="43" t="n">
        <f aca="false">IF(H71="",F71*K71,H71*K71)</f>
        <v>835541.9772</v>
      </c>
      <c r="N71" s="66" t="n">
        <f aca="false">M71-L71</f>
        <v>15265.6671999999</v>
      </c>
      <c r="O71" s="102" t="str">
        <f aca="false">IF(F71=0,"Sem qtd. no contrato",IF(ABS(H71/F71-1)&lt;=0.02,"Confere (±2%)",IF(H71&gt;F71,"Projeto maior","Projeto menor")))</f>
        <v>Confere (±2%)</v>
      </c>
      <c r="P71" s="67" t="s">
        <v>985</v>
      </c>
      <c r="Q71" s="103"/>
      <c r="R71" s="104" t="str">
        <f aca="false">HYPERLINK("#'Painel'!B250","→ 250")</f>
        <v>→ 250</v>
      </c>
    </row>
    <row r="72" customFormat="false" ht="15" hidden="false" customHeight="false" outlineLevel="0" collapsed="false">
      <c r="B72" s="97" t="n">
        <v>73</v>
      </c>
      <c r="C72" s="40" t="s">
        <v>299</v>
      </c>
      <c r="D72" s="98" t="s">
        <v>986</v>
      </c>
      <c r="E72" s="40" t="s">
        <v>80</v>
      </c>
      <c r="F72" s="64" t="n">
        <v>2</v>
      </c>
      <c r="G72" s="31"/>
      <c r="H72" s="61" t="n">
        <f aca="false">Painel!$L$159</f>
        <v>2</v>
      </c>
      <c r="I72" s="100" t="n">
        <f aca="false">IF(H72="","",H72-F72)</f>
        <v>0</v>
      </c>
      <c r="J72" s="101" t="n">
        <f aca="false">IF(OR(H72="",F72=0),"",H72/F72-1)</f>
        <v>0</v>
      </c>
      <c r="K72" s="62" t="n">
        <v>8161.87</v>
      </c>
      <c r="L72" s="42" t="n">
        <v>16323.74</v>
      </c>
      <c r="M72" s="43" t="n">
        <f aca="false">IF(H72="",F72*K72,H72*K72)</f>
        <v>16323.74</v>
      </c>
      <c r="N72" s="66" t="n">
        <f aca="false">M72-L72</f>
        <v>0</v>
      </c>
      <c r="O72" s="102" t="str">
        <f aca="false">IF(F72=0,"Sem qtd. no contrato",IF(ABS(H72/F72-1)&lt;=0.02,"Confere (±2%)",IF(H72&gt;F72,"Projeto maior","Projeto menor")))</f>
        <v>Confere (±2%)</v>
      </c>
      <c r="P72" s="67" t="s">
        <v>987</v>
      </c>
      <c r="Q72" s="103"/>
      <c r="R72" s="104" t="str">
        <f aca="false">HYPERLINK("#'Painel'!B159","→ 159")</f>
        <v>→ 159</v>
      </c>
    </row>
    <row r="73" customFormat="false" ht="15" hidden="false" customHeight="false" outlineLevel="0" collapsed="false">
      <c r="B73" s="97" t="n">
        <v>74</v>
      </c>
      <c r="C73" s="40" t="s">
        <v>283</v>
      </c>
      <c r="D73" s="98" t="s">
        <v>988</v>
      </c>
      <c r="E73" s="40" t="s">
        <v>80</v>
      </c>
      <c r="F73" s="64" t="n">
        <v>2</v>
      </c>
      <c r="G73" s="31"/>
      <c r="H73" s="61" t="n">
        <f aca="false">Painel!$L$149</f>
        <v>2</v>
      </c>
      <c r="I73" s="100" t="n">
        <f aca="false">IF(H73="","",H73-F73)</f>
        <v>0</v>
      </c>
      <c r="J73" s="101" t="n">
        <f aca="false">IF(OR(H73="",F73=0),"",H73/F73-1)</f>
        <v>0</v>
      </c>
      <c r="K73" s="62" t="n">
        <v>1268.62</v>
      </c>
      <c r="L73" s="42" t="n">
        <v>2537.24</v>
      </c>
      <c r="M73" s="43" t="n">
        <f aca="false">IF(H73="",F73*K73,H73*K73)</f>
        <v>2537.24</v>
      </c>
      <c r="N73" s="66" t="n">
        <f aca="false">M73-L73</f>
        <v>0</v>
      </c>
      <c r="O73" s="102" t="str">
        <f aca="false">IF(F73=0,"Sem qtd. no contrato",IF(ABS(H73/F73-1)&lt;=0.02,"Confere (±2%)",IF(H73&gt;F73,"Projeto maior","Projeto menor")))</f>
        <v>Confere (±2%)</v>
      </c>
      <c r="P73" s="67" t="s">
        <v>987</v>
      </c>
      <c r="Q73" s="103"/>
      <c r="R73" s="104" t="str">
        <f aca="false">HYPERLINK("#'Painel'!B149","→ 149")</f>
        <v>→ 149</v>
      </c>
    </row>
    <row r="74" customFormat="false" ht="15" hidden="false" customHeight="false" outlineLevel="0" collapsed="false">
      <c r="B74" s="97" t="n">
        <v>75</v>
      </c>
      <c r="C74" s="40" t="s">
        <v>287</v>
      </c>
      <c r="D74" s="98" t="s">
        <v>989</v>
      </c>
      <c r="E74" s="40" t="s">
        <v>80</v>
      </c>
      <c r="F74" s="64" t="n">
        <v>12</v>
      </c>
      <c r="G74" s="31"/>
      <c r="H74" s="61" t="n">
        <f aca="false">Painel!$L$151</f>
        <v>14</v>
      </c>
      <c r="I74" s="100" t="n">
        <f aca="false">IF(H74="","",H74-F74)</f>
        <v>2</v>
      </c>
      <c r="J74" s="101" t="n">
        <f aca="false">IF(OR(H74="",F74=0),"",H74/F74-1)</f>
        <v>0.166666666666667</v>
      </c>
      <c r="K74" s="62" t="n">
        <v>1770.39</v>
      </c>
      <c r="L74" s="42" t="n">
        <v>21244.68</v>
      </c>
      <c r="M74" s="43" t="n">
        <f aca="false">IF(H74="",F74*K74,H74*K74)</f>
        <v>24785.46</v>
      </c>
      <c r="N74" s="66" t="n">
        <f aca="false">M74-L74</f>
        <v>3540.78</v>
      </c>
      <c r="O74" s="102" t="str">
        <f aca="false">IF(F74=0,"Sem qtd. no contrato",IF(ABS(H74/F74-1)&lt;=0.02,"Confere (±2%)",IF(H74&gt;F74,"Projeto maior","Projeto menor")))</f>
        <v>Projeto maior</v>
      </c>
      <c r="P74" s="67" t="s">
        <v>987</v>
      </c>
      <c r="Q74" s="103"/>
      <c r="R74" s="104" t="str">
        <f aca="false">HYPERLINK("#'Painel'!B151","→ 151")</f>
        <v>→ 151</v>
      </c>
    </row>
    <row r="75" customFormat="false" ht="15" hidden="false" customHeight="false" outlineLevel="0" collapsed="false">
      <c r="B75" s="97" t="n">
        <v>76</v>
      </c>
      <c r="C75" s="40" t="s">
        <v>290</v>
      </c>
      <c r="D75" s="98" t="s">
        <v>990</v>
      </c>
      <c r="E75" s="40" t="s">
        <v>80</v>
      </c>
      <c r="F75" s="64" t="n">
        <v>17</v>
      </c>
      <c r="G75" s="31"/>
      <c r="H75" s="61" t="n">
        <f aca="false">Painel!$L$153</f>
        <v>24</v>
      </c>
      <c r="I75" s="100" t="n">
        <f aca="false">IF(H75="","",H75-F75)</f>
        <v>7</v>
      </c>
      <c r="J75" s="101" t="n">
        <f aca="false">IF(OR(H75="",F75=0),"",H75/F75-1)</f>
        <v>0.411764705882353</v>
      </c>
      <c r="K75" s="62" t="n">
        <v>2543.29</v>
      </c>
      <c r="L75" s="42" t="n">
        <v>43235.93</v>
      </c>
      <c r="M75" s="43" t="n">
        <f aca="false">IF(H75="",F75*K75,H75*K75)</f>
        <v>61038.96</v>
      </c>
      <c r="N75" s="66" t="n">
        <f aca="false">M75-L75</f>
        <v>17803.03</v>
      </c>
      <c r="O75" s="102" t="str">
        <f aca="false">IF(F75=0,"Sem qtd. no contrato",IF(ABS(H75/F75-1)&lt;=0.02,"Confere (±2%)",IF(H75&gt;F75,"Projeto maior","Projeto menor")))</f>
        <v>Projeto maior</v>
      </c>
      <c r="P75" s="67" t="s">
        <v>987</v>
      </c>
      <c r="Q75" s="103" t="s">
        <v>991</v>
      </c>
      <c r="R75" s="104" t="str">
        <f aca="false">HYPERLINK("#'Painel'!B153","→ 153")</f>
        <v>→ 153</v>
      </c>
    </row>
    <row r="76" customFormat="false" ht="15" hidden="false" customHeight="false" outlineLevel="0" collapsed="false">
      <c r="B76" s="97" t="n">
        <v>77</v>
      </c>
      <c r="C76" s="40" t="s">
        <v>293</v>
      </c>
      <c r="D76" s="98" t="s">
        <v>992</v>
      </c>
      <c r="E76" s="40" t="s">
        <v>80</v>
      </c>
      <c r="F76" s="64" t="n">
        <v>7</v>
      </c>
      <c r="G76" s="31"/>
      <c r="H76" s="61" t="n">
        <f aca="false">Painel!$L$155</f>
        <v>6</v>
      </c>
      <c r="I76" s="100" t="n">
        <f aca="false">IF(H76="","",H76-F76)</f>
        <v>-1</v>
      </c>
      <c r="J76" s="101" t="n">
        <f aca="false">IF(OR(H76="",F76=0),"",H76/F76-1)</f>
        <v>-0.142857142857143</v>
      </c>
      <c r="K76" s="62" t="n">
        <v>3289.4</v>
      </c>
      <c r="L76" s="42" t="n">
        <v>23025.8</v>
      </c>
      <c r="M76" s="43" t="n">
        <f aca="false">IF(H76="",F76*K76,H76*K76)</f>
        <v>19736.4</v>
      </c>
      <c r="N76" s="66" t="n">
        <f aca="false">M76-L76</f>
        <v>-3289.4</v>
      </c>
      <c r="O76" s="102" t="str">
        <f aca="false">IF(F76=0,"Sem qtd. no contrato",IF(ABS(H76/F76-1)&lt;=0.02,"Confere (±2%)",IF(H76&gt;F76,"Projeto maior","Projeto menor")))</f>
        <v>Projeto menor</v>
      </c>
      <c r="P76" s="67" t="s">
        <v>987</v>
      </c>
      <c r="Q76" s="103"/>
      <c r="R76" s="104" t="str">
        <f aca="false">HYPERLINK("#'Painel'!B155","→ 155")</f>
        <v>→ 155</v>
      </c>
    </row>
    <row r="77" customFormat="false" ht="15" hidden="false" customHeight="false" outlineLevel="0" collapsed="false">
      <c r="B77" s="97" t="n">
        <v>78</v>
      </c>
      <c r="C77" s="40" t="s">
        <v>296</v>
      </c>
      <c r="D77" s="98" t="s">
        <v>993</v>
      </c>
      <c r="E77" s="40" t="s">
        <v>80</v>
      </c>
      <c r="F77" s="64" t="n">
        <v>4</v>
      </c>
      <c r="G77" s="31"/>
      <c r="H77" s="61" t="n">
        <f aca="false">Painel!$L$157</f>
        <v>4</v>
      </c>
      <c r="I77" s="100" t="n">
        <f aca="false">IF(H77="","",H77-F77)</f>
        <v>0</v>
      </c>
      <c r="J77" s="101" t="n">
        <f aca="false">IF(OR(H77="",F77=0),"",H77/F77-1)</f>
        <v>0</v>
      </c>
      <c r="K77" s="62" t="n">
        <v>6019.67</v>
      </c>
      <c r="L77" s="42" t="n">
        <v>24078.68</v>
      </c>
      <c r="M77" s="43" t="n">
        <f aca="false">IF(H77="",F77*K77,H77*K77)</f>
        <v>24078.68</v>
      </c>
      <c r="N77" s="66" t="n">
        <f aca="false">M77-L77</f>
        <v>0</v>
      </c>
      <c r="O77" s="102" t="str">
        <f aca="false">IF(F77=0,"Sem qtd. no contrato",IF(ABS(H77/F77-1)&lt;=0.02,"Confere (±2%)",IF(H77&gt;F77,"Projeto maior","Projeto menor")))</f>
        <v>Confere (±2%)</v>
      </c>
      <c r="P77" s="67" t="s">
        <v>987</v>
      </c>
      <c r="Q77" s="103"/>
      <c r="R77" s="104" t="str">
        <f aca="false">HYPERLINK("#'Painel'!B157","→ 157")</f>
        <v>→ 157</v>
      </c>
    </row>
    <row r="78" customFormat="false" ht="15" hidden="false" customHeight="false" outlineLevel="0" collapsed="false">
      <c r="B78" s="97" t="n">
        <v>79</v>
      </c>
      <c r="C78" s="40" t="s">
        <v>302</v>
      </c>
      <c r="D78" s="98" t="s">
        <v>994</v>
      </c>
      <c r="E78" s="40" t="s">
        <v>80</v>
      </c>
      <c r="F78" s="64" t="n">
        <v>1</v>
      </c>
      <c r="G78" s="31"/>
      <c r="H78" s="61" t="n">
        <f aca="false">Painel!$L$161</f>
        <v>2</v>
      </c>
      <c r="I78" s="100" t="n">
        <f aca="false">IF(H78="","",H78-F78)</f>
        <v>1</v>
      </c>
      <c r="J78" s="101" t="n">
        <f aca="false">IF(OR(H78="",F78=0),"",H78/F78-1)</f>
        <v>1</v>
      </c>
      <c r="K78" s="62" t="n">
        <v>10307.89</v>
      </c>
      <c r="L78" s="42" t="n">
        <v>10307.89</v>
      </c>
      <c r="M78" s="43" t="n">
        <f aca="false">IF(H78="",F78*K78,H78*K78)</f>
        <v>20615.78</v>
      </c>
      <c r="N78" s="66" t="n">
        <f aca="false">M78-L78</f>
        <v>10307.89</v>
      </c>
      <c r="O78" s="102" t="str">
        <f aca="false">IF(F78=0,"Sem qtd. no contrato",IF(ABS(H78/F78-1)&lt;=0.02,"Confere (±2%)",IF(H78&gt;F78,"Projeto maior","Projeto menor")))</f>
        <v>Projeto maior</v>
      </c>
      <c r="P78" s="67" t="s">
        <v>987</v>
      </c>
      <c r="Q78" s="103" t="s">
        <v>995</v>
      </c>
      <c r="R78" s="104" t="str">
        <f aca="false">HYPERLINK("#'Painel'!B161","→ 161")</f>
        <v>→ 161</v>
      </c>
    </row>
    <row r="79" customFormat="false" ht="15" hidden="false" customHeight="false" outlineLevel="0" collapsed="false">
      <c r="B79" s="97" t="n">
        <v>80</v>
      </c>
      <c r="C79" s="40" t="s">
        <v>382</v>
      </c>
      <c r="D79" s="98" t="s">
        <v>996</v>
      </c>
      <c r="E79" s="40" t="s">
        <v>80</v>
      </c>
      <c r="F79" s="64" t="n">
        <v>58</v>
      </c>
      <c r="G79" s="31"/>
      <c r="H79" s="61" t="n">
        <f aca="false">Painel!$L$201</f>
        <v>70</v>
      </c>
      <c r="I79" s="100" t="n">
        <f aca="false">IF(H79="","",H79-F79)</f>
        <v>12</v>
      </c>
      <c r="J79" s="101" t="n">
        <f aca="false">IF(OR(H79="",F79=0),"",H79/F79-1)</f>
        <v>0.206896551724138</v>
      </c>
      <c r="K79" s="62" t="n">
        <v>384.51</v>
      </c>
      <c r="L79" s="42" t="n">
        <v>22301.58</v>
      </c>
      <c r="M79" s="43" t="n">
        <f aca="false">IF(H79="",F79*K79,H79*K79)</f>
        <v>26915.7</v>
      </c>
      <c r="N79" s="66" t="n">
        <f aca="false">M79-L79</f>
        <v>4614.12</v>
      </c>
      <c r="O79" s="102" t="str">
        <f aca="false">IF(F79=0,"Sem qtd. no contrato",IF(ABS(H79/F79-1)&lt;=0.02,"Confere (±2%)",IF(H79&gt;F79,"Projeto maior","Projeto menor")))</f>
        <v>Projeto maior</v>
      </c>
      <c r="P79" s="67" t="s">
        <v>997</v>
      </c>
      <c r="Q79" s="103" t="s">
        <v>998</v>
      </c>
      <c r="R79" s="104" t="str">
        <f aca="false">HYPERLINK("#'Painel'!B201","→ 201")</f>
        <v>→ 201</v>
      </c>
    </row>
    <row r="80" customFormat="false" ht="15" hidden="false" customHeight="false" outlineLevel="0" collapsed="false">
      <c r="B80" s="97" t="n">
        <v>81</v>
      </c>
      <c r="C80" s="40" t="s">
        <v>387</v>
      </c>
      <c r="D80" s="98" t="s">
        <v>388</v>
      </c>
      <c r="E80" s="40" t="s">
        <v>80</v>
      </c>
      <c r="F80" s="64" t="n">
        <v>12</v>
      </c>
      <c r="G80" s="31"/>
      <c r="H80" s="108"/>
      <c r="I80" s="100" t="str">
        <f aca="false">IF(H80="","",H80-F80)</f>
        <v/>
      </c>
      <c r="J80" s="101" t="str">
        <f aca="false">IF(OR(H80="",F80=0),"",H80/F80-1)</f>
        <v/>
      </c>
      <c r="K80" s="62" t="n">
        <v>211.89</v>
      </c>
      <c r="L80" s="42" t="n">
        <v>2542.68</v>
      </c>
      <c r="M80" s="43" t="n">
        <f aca="false">IF(H80="",F80*K80,H80*K80)</f>
        <v>2542.68</v>
      </c>
      <c r="N80" s="66" t="n">
        <f aca="false">M80-L80</f>
        <v>0</v>
      </c>
      <c r="O80" s="102" t="s">
        <v>999</v>
      </c>
      <c r="P80" s="67" t="s">
        <v>1000</v>
      </c>
      <c r="Q80" s="103"/>
      <c r="R80" s="104" t="str">
        <f aca="false">HYPERLINK("#'Painel'!B203","→ 203")</f>
        <v>→ 203</v>
      </c>
    </row>
    <row r="81" customFormat="false" ht="15" hidden="false" customHeight="false" outlineLevel="0" collapsed="false">
      <c r="B81" s="97" t="n">
        <v>82</v>
      </c>
      <c r="C81" s="40" t="s">
        <v>322</v>
      </c>
      <c r="D81" s="98" t="s">
        <v>323</v>
      </c>
      <c r="E81" s="40" t="s">
        <v>176</v>
      </c>
      <c r="F81" s="64" t="n">
        <v>25</v>
      </c>
      <c r="G81" s="31"/>
      <c r="H81" s="61" t="n">
        <f aca="false">(Painel!$L$158)*1</f>
        <v>24.85</v>
      </c>
      <c r="I81" s="100" t="n">
        <f aca="false">IF(H81="","",H81-F81)</f>
        <v>-0.149999999999999</v>
      </c>
      <c r="J81" s="101" t="n">
        <f aca="false">IF(OR(H81="",F81=0),"",H81/F81-1)</f>
        <v>-0.00599999999999989</v>
      </c>
      <c r="K81" s="62" t="n">
        <v>5569.35</v>
      </c>
      <c r="L81" s="42" t="n">
        <v>139233.75</v>
      </c>
      <c r="M81" s="43" t="n">
        <f aca="false">IF(H81="",F81*K81,H81*K81)</f>
        <v>138398.3475</v>
      </c>
      <c r="N81" s="66" t="n">
        <f aca="false">M81-L81</f>
        <v>-835.402499999997</v>
      </c>
      <c r="O81" s="102" t="str">
        <f aca="false">IF(F81=0,"Sem qtd. no contrato",IF(ABS(H81/F81-1)&lt;=0.02,"Confere (±2%)",IF(H81&gt;F81,"Projeto maior","Projeto menor")))</f>
        <v>Confere (±2%)</v>
      </c>
      <c r="P81" s="67" t="s">
        <v>1001</v>
      </c>
      <c r="Q81" s="103"/>
      <c r="R81" s="104" t="str">
        <f aca="false">HYPERLINK("#'Painel'!B168","→ 168")</f>
        <v>→ 168</v>
      </c>
    </row>
    <row r="82" customFormat="false" ht="15" hidden="false" customHeight="false" outlineLevel="0" collapsed="false">
      <c r="B82" s="97" t="n">
        <v>83</v>
      </c>
      <c r="C82" s="40" t="s">
        <v>304</v>
      </c>
      <c r="D82" s="98" t="s">
        <v>305</v>
      </c>
      <c r="E82" s="40" t="s">
        <v>176</v>
      </c>
      <c r="F82" s="64" t="n">
        <v>435</v>
      </c>
      <c r="G82" s="31"/>
      <c r="H82" s="61" t="n">
        <f aca="false">(Painel!$L$137)*1</f>
        <v>424.24</v>
      </c>
      <c r="I82" s="100" t="n">
        <f aca="false">IF(H82="","",H82-F82)</f>
        <v>-10.76</v>
      </c>
      <c r="J82" s="101" t="n">
        <f aca="false">IF(OR(H82="",F82=0),"",H82/F82-1)</f>
        <v>-0.0247356321839081</v>
      </c>
      <c r="K82" s="62" t="n">
        <v>270.12</v>
      </c>
      <c r="L82" s="42" t="n">
        <v>117502.2</v>
      </c>
      <c r="M82" s="43" t="n">
        <f aca="false">IF(H82="",F82*K82,H82*K82)</f>
        <v>114595.7088</v>
      </c>
      <c r="N82" s="66" t="n">
        <f aca="false">M82-L82</f>
        <v>-2906.49119999999</v>
      </c>
      <c r="O82" s="102" t="str">
        <f aca="false">IF(F82=0,"Sem qtd. no contrato",IF(ABS(H82/F82-1)&lt;=0.02,"Confere (±2%)",IF(H82&gt;F82,"Projeto maior","Projeto menor")))</f>
        <v>Projeto menor</v>
      </c>
      <c r="P82" s="67" t="s">
        <v>1002</v>
      </c>
      <c r="Q82" s="103"/>
      <c r="R82" s="104" t="str">
        <f aca="false">HYPERLINK("#'Painel'!B162","→ 162")</f>
        <v>→ 162</v>
      </c>
    </row>
    <row r="83" customFormat="false" ht="15" hidden="false" customHeight="false" outlineLevel="0" collapsed="false">
      <c r="B83" s="97" t="n">
        <v>84</v>
      </c>
      <c r="C83" s="40" t="s">
        <v>307</v>
      </c>
      <c r="D83" s="98" t="s">
        <v>308</v>
      </c>
      <c r="E83" s="40" t="s">
        <v>176</v>
      </c>
      <c r="F83" s="64" t="n">
        <v>223</v>
      </c>
      <c r="G83" s="31"/>
      <c r="H83" s="61" t="n">
        <f aca="false">(Painel!$L$148+Painel!$L$138)*1</f>
        <v>229.32</v>
      </c>
      <c r="I83" s="100" t="n">
        <f aca="false">IF(H83="","",H83-F83)</f>
        <v>6.31999999999999</v>
      </c>
      <c r="J83" s="101" t="n">
        <f aca="false">IF(OR(H83="",F83=0),"",H83/F83-1)</f>
        <v>0.0283408071748879</v>
      </c>
      <c r="K83" s="62" t="n">
        <v>537.86</v>
      </c>
      <c r="L83" s="42" t="n">
        <v>119942.78</v>
      </c>
      <c r="M83" s="43" t="n">
        <f aca="false">IF(H83="",F83*K83,H83*K83)</f>
        <v>123342.0552</v>
      </c>
      <c r="N83" s="66" t="n">
        <f aca="false">M83-L83</f>
        <v>3399.2752</v>
      </c>
      <c r="O83" s="102" t="str">
        <f aca="false">IF(F83=0,"Sem qtd. no contrato",IF(ABS(H83/F83-1)&lt;=0.02,"Confere (±2%)",IF(H83&gt;F83,"Projeto maior","Projeto menor")))</f>
        <v>Projeto maior</v>
      </c>
      <c r="P83" s="67" t="s">
        <v>1003</v>
      </c>
      <c r="Q83" s="103"/>
      <c r="R83" s="104" t="str">
        <f aca="false">HYPERLINK("#'Painel'!B163","→ 163")</f>
        <v>→ 163</v>
      </c>
    </row>
    <row r="84" customFormat="false" ht="15" hidden="false" customHeight="false" outlineLevel="0" collapsed="false">
      <c r="B84" s="97" t="n">
        <v>85</v>
      </c>
      <c r="C84" s="40" t="s">
        <v>310</v>
      </c>
      <c r="D84" s="98" t="s">
        <v>311</v>
      </c>
      <c r="E84" s="40" t="s">
        <v>176</v>
      </c>
      <c r="F84" s="64" t="n">
        <v>300</v>
      </c>
      <c r="G84" s="31"/>
      <c r="H84" s="61" t="n">
        <f aca="false">(Painel!$L$150+Painel!$L$139)*1</f>
        <v>300.23</v>
      </c>
      <c r="I84" s="100" t="n">
        <f aca="false">IF(H84="","",H84-F84)</f>
        <v>0.230000000000018</v>
      </c>
      <c r="J84" s="101" t="n">
        <f aca="false">IF(OR(H84="",F84=0),"",H84/F84-1)</f>
        <v>0.000766666666666804</v>
      </c>
      <c r="K84" s="62" t="n">
        <v>890.42</v>
      </c>
      <c r="L84" s="42" t="n">
        <v>267126</v>
      </c>
      <c r="M84" s="43" t="n">
        <f aca="false">IF(H84="",F84*K84,H84*K84)</f>
        <v>267330.7966</v>
      </c>
      <c r="N84" s="66" t="n">
        <f aca="false">M84-L84</f>
        <v>204.796600000002</v>
      </c>
      <c r="O84" s="102" t="str">
        <f aca="false">IF(F84=0,"Sem qtd. no contrato",IF(ABS(H84/F84-1)&lt;=0.02,"Confere (±2%)",IF(H84&gt;F84,"Projeto maior","Projeto menor")))</f>
        <v>Confere (±2%)</v>
      </c>
      <c r="P84" s="67" t="s">
        <v>1004</v>
      </c>
      <c r="Q84" s="103"/>
      <c r="R84" s="104" t="str">
        <f aca="false">HYPERLINK("#'Painel'!B164","→ 164")</f>
        <v>→ 164</v>
      </c>
    </row>
    <row r="85" customFormat="false" ht="15" hidden="false" customHeight="false" outlineLevel="0" collapsed="false">
      <c r="B85" s="97" t="n">
        <v>86</v>
      </c>
      <c r="C85" s="40" t="s">
        <v>313</v>
      </c>
      <c r="D85" s="98" t="s">
        <v>314</v>
      </c>
      <c r="E85" s="40" t="s">
        <v>176</v>
      </c>
      <c r="F85" s="64" t="n">
        <v>334</v>
      </c>
      <c r="G85" s="31"/>
      <c r="H85" s="61" t="n">
        <f aca="false">(Painel!$L$152+Painel!$L$140)*1</f>
        <v>331.53</v>
      </c>
      <c r="I85" s="100" t="n">
        <f aca="false">IF(H85="","",H85-F85)</f>
        <v>-2.47000000000003</v>
      </c>
      <c r="J85" s="101" t="n">
        <f aca="false">IF(OR(H85="",F85=0),"",H85/F85-1)</f>
        <v>-0.00739520958083839</v>
      </c>
      <c r="K85" s="62" t="n">
        <v>1487.9</v>
      </c>
      <c r="L85" s="42" t="n">
        <v>496958.6</v>
      </c>
      <c r="M85" s="43" t="n">
        <f aca="false">IF(H85="",F85*K85,H85*K85)</f>
        <v>493283.487</v>
      </c>
      <c r="N85" s="66" t="n">
        <f aca="false">M85-L85</f>
        <v>-3675.11300000001</v>
      </c>
      <c r="O85" s="102" t="str">
        <f aca="false">IF(F85=0,"Sem qtd. no contrato",IF(ABS(H85/F85-1)&lt;=0.02,"Confere (±2%)",IF(H85&gt;F85,"Projeto maior","Projeto menor")))</f>
        <v>Confere (±2%)</v>
      </c>
      <c r="P85" s="67" t="s">
        <v>1005</v>
      </c>
      <c r="Q85" s="103"/>
      <c r="R85" s="104" t="str">
        <f aca="false">HYPERLINK("#'Painel'!B165","→ 165")</f>
        <v>→ 165</v>
      </c>
    </row>
    <row r="86" customFormat="false" ht="15" hidden="false" customHeight="false" outlineLevel="0" collapsed="false">
      <c r="B86" s="97" t="n">
        <v>87</v>
      </c>
      <c r="C86" s="40" t="s">
        <v>316</v>
      </c>
      <c r="D86" s="98" t="s">
        <v>317</v>
      </c>
      <c r="E86" s="40" t="s">
        <v>176</v>
      </c>
      <c r="F86" s="64" t="n">
        <v>228</v>
      </c>
      <c r="G86" s="31"/>
      <c r="H86" s="61" t="n">
        <f aca="false">(Painel!$L$154+Painel!$L$141)*1</f>
        <v>183.67</v>
      </c>
      <c r="I86" s="100" t="n">
        <f aca="false">IF(H86="","",H86-F86)</f>
        <v>-44.33</v>
      </c>
      <c r="J86" s="101" t="n">
        <f aca="false">IF(OR(H86="",F86=0),"",H86/F86-1)</f>
        <v>-0.194429824561403</v>
      </c>
      <c r="K86" s="62" t="n">
        <v>1819</v>
      </c>
      <c r="L86" s="42" t="n">
        <v>414732</v>
      </c>
      <c r="M86" s="43" t="n">
        <f aca="false">IF(H86="",F86*K86,H86*K86)</f>
        <v>334095.73</v>
      </c>
      <c r="N86" s="66" t="n">
        <f aca="false">M86-L86</f>
        <v>-80636.27</v>
      </c>
      <c r="O86" s="102" t="str">
        <f aca="false">IF(F86=0,"Sem qtd. no contrato",IF(ABS(H86/F86-1)&lt;=0.02,"Confere (±2%)",IF(H86&gt;F86,"Projeto maior","Projeto menor")))</f>
        <v>Projeto menor</v>
      </c>
      <c r="P86" s="67" t="s">
        <v>1006</v>
      </c>
      <c r="Q86" s="103" t="s">
        <v>1007</v>
      </c>
      <c r="R86" s="104" t="str">
        <f aca="false">HYPERLINK("#'Painel'!B166","→ 166")</f>
        <v>→ 166</v>
      </c>
    </row>
    <row r="87" customFormat="false" ht="15" hidden="false" customHeight="false" outlineLevel="0" collapsed="false">
      <c r="B87" s="97" t="n">
        <v>88</v>
      </c>
      <c r="C87" s="40" t="s">
        <v>319</v>
      </c>
      <c r="D87" s="98" t="s">
        <v>320</v>
      </c>
      <c r="E87" s="40" t="s">
        <v>176</v>
      </c>
      <c r="F87" s="64" t="n">
        <v>37</v>
      </c>
      <c r="G87" s="31"/>
      <c r="H87" s="61" t="n">
        <f aca="false">(Painel!$L$156)*1</f>
        <v>37.25</v>
      </c>
      <c r="I87" s="100" t="n">
        <f aca="false">IF(H87="","",H87-F87)</f>
        <v>0.25</v>
      </c>
      <c r="J87" s="101" t="n">
        <f aca="false">IF(OR(H87="",F87=0),"",H87/F87-1)</f>
        <v>0.0067567567567568</v>
      </c>
      <c r="K87" s="62" t="n">
        <v>2831.3</v>
      </c>
      <c r="L87" s="42" t="n">
        <v>104758.1</v>
      </c>
      <c r="M87" s="43" t="n">
        <f aca="false">IF(H87="",F87*K87,H87*K87)</f>
        <v>105465.925</v>
      </c>
      <c r="N87" s="66" t="n">
        <f aca="false">M87-L87</f>
        <v>707.824999999997</v>
      </c>
      <c r="O87" s="102" t="str">
        <f aca="false">IF(F87=0,"Sem qtd. no contrato",IF(ABS(H87/F87-1)&lt;=0.02,"Confere (±2%)",IF(H87&gt;F87,"Projeto maior","Projeto menor")))</f>
        <v>Confere (±2%)</v>
      </c>
      <c r="P87" s="67" t="s">
        <v>1008</v>
      </c>
      <c r="Q87" s="103"/>
      <c r="R87" s="104" t="str">
        <f aca="false">HYPERLINK("#'Painel'!B167","→ 167")</f>
        <v>→ 167</v>
      </c>
    </row>
    <row r="88" customFormat="false" ht="15" hidden="false" customHeight="false" outlineLevel="0" collapsed="false">
      <c r="B88" s="97" t="n">
        <v>89</v>
      </c>
      <c r="C88" s="40" t="s">
        <v>325</v>
      </c>
      <c r="D88" s="98" t="s">
        <v>326</v>
      </c>
      <c r="E88" s="40" t="s">
        <v>176</v>
      </c>
      <c r="F88" s="64" t="n">
        <v>19</v>
      </c>
      <c r="G88" s="31"/>
      <c r="H88" s="61" t="n">
        <f aca="false">(Painel!$L$160)*1</f>
        <v>18.84</v>
      </c>
      <c r="I88" s="100" t="n">
        <f aca="false">IF(H88="","",H88-F88)</f>
        <v>-0.16</v>
      </c>
      <c r="J88" s="101" t="n">
        <f aca="false">IF(OR(H88="",F88=0),"",H88/F88-1)</f>
        <v>-0.008421052631579</v>
      </c>
      <c r="K88" s="62" t="n">
        <v>8396.93</v>
      </c>
      <c r="L88" s="42" t="n">
        <v>159541.67</v>
      </c>
      <c r="M88" s="43" t="n">
        <f aca="false">IF(H88="",F88*K88,H88*K88)</f>
        <v>158198.1612</v>
      </c>
      <c r="N88" s="66" t="n">
        <f aca="false">M88-L88</f>
        <v>-1343.50880000001</v>
      </c>
      <c r="O88" s="102" t="str">
        <f aca="false">IF(F88=0,"Sem qtd. no contrato",IF(ABS(H88/F88-1)&lt;=0.02,"Confere (±2%)",IF(H88&gt;F88,"Projeto maior","Projeto menor")))</f>
        <v>Confere (±2%)</v>
      </c>
      <c r="P88" s="67" t="s">
        <v>1009</v>
      </c>
      <c r="Q88" s="103"/>
      <c r="R88" s="104" t="str">
        <f aca="false">HYPERLINK("#'Painel'!B169","→ 169")</f>
        <v>→ 169</v>
      </c>
    </row>
    <row r="89" customFormat="false" ht="15" hidden="false" customHeight="false" outlineLevel="0" collapsed="false">
      <c r="B89" s="97" t="n">
        <v>90</v>
      </c>
      <c r="C89" s="40" t="s">
        <v>350</v>
      </c>
      <c r="D89" s="98" t="s">
        <v>351</v>
      </c>
      <c r="E89" s="40" t="s">
        <v>77</v>
      </c>
      <c r="F89" s="64" t="n">
        <v>12.08</v>
      </c>
      <c r="G89" s="31"/>
      <c r="H89" s="61" t="n">
        <f aca="false">(Painel!$L$177)*1</f>
        <v>12.07</v>
      </c>
      <c r="I89" s="100" t="n">
        <f aca="false">IF(H89="","",H89-F89)</f>
        <v>-0.00999999999999979</v>
      </c>
      <c r="J89" s="101" t="n">
        <f aca="false">IF(OR(H89="",F89=0),"",H89/F89-1)</f>
        <v>-0.0008278145695364</v>
      </c>
      <c r="K89" s="62" t="n">
        <v>343.82</v>
      </c>
      <c r="L89" s="42" t="n">
        <v>4153.34</v>
      </c>
      <c r="M89" s="43" t="n">
        <f aca="false">IF(H89="",F89*K89,H89*K89)</f>
        <v>4149.9074</v>
      </c>
      <c r="N89" s="66" t="n">
        <f aca="false">M89-L89</f>
        <v>-3.43260000000009</v>
      </c>
      <c r="O89" s="102" t="str">
        <f aca="false">IF(F89=0,"Sem qtd. no contrato",IF(ABS(H89/F89-1)&lt;=0.02,"Confere (±2%)",IF(H89&gt;F89,"Projeto maior","Projeto menor")))</f>
        <v>Confere (±2%)</v>
      </c>
      <c r="P89" s="67" t="s">
        <v>1010</v>
      </c>
      <c r="Q89" s="103"/>
      <c r="R89" s="104" t="str">
        <f aca="false">HYPERLINK("#'Painel'!B183","→ 183")</f>
        <v>→ 183</v>
      </c>
    </row>
    <row r="90" customFormat="false" ht="15" hidden="false" customHeight="false" outlineLevel="0" collapsed="false">
      <c r="B90" s="97" t="n">
        <v>91</v>
      </c>
      <c r="C90" s="40" t="s">
        <v>352</v>
      </c>
      <c r="D90" s="98" t="s">
        <v>353</v>
      </c>
      <c r="E90" s="40" t="s">
        <v>77</v>
      </c>
      <c r="F90" s="64" t="n">
        <v>5.95</v>
      </c>
      <c r="G90" s="31"/>
      <c r="H90" s="61" t="n">
        <f aca="false">(Painel!$L$178)*1</f>
        <v>5.95</v>
      </c>
      <c r="I90" s="100" t="n">
        <f aca="false">IF(H90="","",H90-F90)</f>
        <v>0</v>
      </c>
      <c r="J90" s="101" t="n">
        <f aca="false">IF(OR(H90="",F90=0),"",H90/F90-1)</f>
        <v>0</v>
      </c>
      <c r="K90" s="62" t="n">
        <v>164.4</v>
      </c>
      <c r="L90" s="42" t="n">
        <v>978.18</v>
      </c>
      <c r="M90" s="43" t="n">
        <f aca="false">IF(H90="",F90*K90,H90*K90)</f>
        <v>978.18</v>
      </c>
      <c r="N90" s="66" t="n">
        <f aca="false">M90-L90</f>
        <v>0</v>
      </c>
      <c r="O90" s="102" t="str">
        <f aca="false">IF(F90=0,"Sem qtd. no contrato",IF(ABS(H90/F90-1)&lt;=0.02,"Confere (±2%)",IF(H90&gt;F90,"Projeto maior","Projeto menor")))</f>
        <v>Confere (±2%)</v>
      </c>
      <c r="P90" s="67" t="s">
        <v>1010</v>
      </c>
      <c r="Q90" s="103"/>
      <c r="R90" s="104" t="str">
        <f aca="false">HYPERLINK("#'Painel'!B184","→ 184")</f>
        <v>→ 184</v>
      </c>
    </row>
    <row r="91" customFormat="false" ht="15" hidden="false" customHeight="false" outlineLevel="0" collapsed="false">
      <c r="B91" s="97" t="n">
        <v>92</v>
      </c>
      <c r="C91" s="40" t="s">
        <v>477</v>
      </c>
      <c r="D91" s="98" t="s">
        <v>478</v>
      </c>
      <c r="E91" s="40" t="s">
        <v>176</v>
      </c>
      <c r="F91" s="64" t="n">
        <v>1076</v>
      </c>
      <c r="G91" s="31"/>
      <c r="H91" s="108"/>
      <c r="I91" s="100" t="str">
        <f aca="false">IF(H91="","",H91-F91)</f>
        <v/>
      </c>
      <c r="J91" s="101" t="str">
        <f aca="false">IF(OR(H91="",F91=0),"",H91/F91-1)</f>
        <v/>
      </c>
      <c r="K91" s="62" t="n">
        <v>367.71</v>
      </c>
      <c r="L91" s="42" t="n">
        <v>395655.96</v>
      </c>
      <c r="M91" s="43" t="n">
        <f aca="false">IF(H91="",F91*K91,H91*K91)</f>
        <v>395655.96</v>
      </c>
      <c r="N91" s="66" t="n">
        <f aca="false">M91-L91</f>
        <v>0</v>
      </c>
      <c r="O91" s="102" t="s">
        <v>999</v>
      </c>
      <c r="P91" s="67" t="s">
        <v>1011</v>
      </c>
      <c r="Q91" s="103" t="s">
        <v>1012</v>
      </c>
      <c r="R91" s="104" t="str">
        <f aca="false">HYPERLINK("#'Painel'!B259","→ 259")</f>
        <v>→ 259</v>
      </c>
    </row>
    <row r="92" customFormat="false" ht="15" hidden="false" customHeight="false" outlineLevel="0" collapsed="false">
      <c r="B92" s="97" t="n">
        <v>93</v>
      </c>
      <c r="C92" s="40" t="s">
        <v>263</v>
      </c>
      <c r="D92" s="98" t="s">
        <v>1013</v>
      </c>
      <c r="E92" s="40" t="s">
        <v>176</v>
      </c>
      <c r="F92" s="64" t="n">
        <v>2870</v>
      </c>
      <c r="G92" s="31"/>
      <c r="H92" s="61" t="n">
        <f aca="false">Painel!$L$135</f>
        <v>2862.27</v>
      </c>
      <c r="I92" s="100" t="n">
        <f aca="false">IF(H92="","",H92-F92)</f>
        <v>-7.73000000000002</v>
      </c>
      <c r="J92" s="101" t="n">
        <f aca="false">IF(OR(H92="",F92=0),"",H92/F92-1)</f>
        <v>-0.00269337979094075</v>
      </c>
      <c r="K92" s="62" t="n">
        <v>111.66</v>
      </c>
      <c r="L92" s="42" t="n">
        <v>320464.2</v>
      </c>
      <c r="M92" s="43" t="n">
        <f aca="false">IF(H92="",F92*K92,H92*K92)</f>
        <v>319601.0682</v>
      </c>
      <c r="N92" s="66" t="n">
        <f aca="false">M92-L92</f>
        <v>-863.131800000032</v>
      </c>
      <c r="O92" s="102" t="str">
        <f aca="false">IF(F92=0,"Sem qtd. no contrato",IF(ABS(H92/F92-1)&lt;=0.02,"Confere (±2%)",IF(H92&gt;F92,"Projeto maior","Projeto menor")))</f>
        <v>Confere (±2%)</v>
      </c>
      <c r="P92" s="67" t="s">
        <v>1014</v>
      </c>
      <c r="Q92" s="103"/>
      <c r="R92" s="104" t="str">
        <f aca="false">HYPERLINK("#'Painel'!B135","→ 135")</f>
        <v>→ 135</v>
      </c>
    </row>
    <row r="93" customFormat="false" ht="15" hidden="false" customHeight="false" outlineLevel="0" collapsed="false">
      <c r="B93" s="97" t="n">
        <v>94</v>
      </c>
      <c r="C93" s="40" t="s">
        <v>261</v>
      </c>
      <c r="D93" s="98" t="s">
        <v>1015</v>
      </c>
      <c r="E93" s="40" t="s">
        <v>176</v>
      </c>
      <c r="F93" s="64" t="n">
        <v>10410</v>
      </c>
      <c r="G93" s="31"/>
      <c r="H93" s="61" t="n">
        <f aca="false">Painel!$L$134</f>
        <v>10366.84</v>
      </c>
      <c r="I93" s="100" t="n">
        <f aca="false">IF(H93="","",H93-F93)</f>
        <v>-43.1599999999999</v>
      </c>
      <c r="J93" s="101" t="n">
        <f aca="false">IF(OR(H93="",F93=0),"",H93/F93-1)</f>
        <v>-0.0041460134486071</v>
      </c>
      <c r="K93" s="62" t="n">
        <v>251.83</v>
      </c>
      <c r="L93" s="42" t="n">
        <v>2621550.3</v>
      </c>
      <c r="M93" s="43" t="n">
        <f aca="false">IF(H93="",F93*K93,H93*K93)</f>
        <v>2610681.3172</v>
      </c>
      <c r="N93" s="66" t="n">
        <f aca="false">M93-L93</f>
        <v>-10868.9827999994</v>
      </c>
      <c r="O93" s="102" t="str">
        <f aca="false">IF(F93=0,"Sem qtd. no contrato",IF(ABS(H93/F93-1)&lt;=0.02,"Confere (±2%)",IF(H93&gt;F93,"Projeto maior","Projeto menor")))</f>
        <v>Confere (±2%)</v>
      </c>
      <c r="P93" s="67" t="s">
        <v>1014</v>
      </c>
      <c r="Q93" s="103"/>
      <c r="R93" s="104" t="str">
        <f aca="false">HYPERLINK("#'Painel'!B134","→ 134")</f>
        <v>→ 134</v>
      </c>
    </row>
    <row r="94" customFormat="false" ht="15" hidden="false" customHeight="false" outlineLevel="0" collapsed="false">
      <c r="B94" s="97" t="n">
        <v>95</v>
      </c>
      <c r="C94" s="40" t="s">
        <v>379</v>
      </c>
      <c r="D94" s="98" t="s">
        <v>1016</v>
      </c>
      <c r="E94" s="40" t="s">
        <v>176</v>
      </c>
      <c r="F94" s="64" t="n">
        <v>1594</v>
      </c>
      <c r="G94" s="31"/>
      <c r="H94" s="61" t="n">
        <f aca="false">Painel!$L$200</f>
        <v>1593.85</v>
      </c>
      <c r="I94" s="100" t="n">
        <f aca="false">IF(H94="","",H94-F94)</f>
        <v>-0.150000000000091</v>
      </c>
      <c r="J94" s="101" t="n">
        <f aca="false">IF(OR(H94="",F94=0),"",H94/F94-1)</f>
        <v>-9.41028858219006E-005</v>
      </c>
      <c r="K94" s="62" t="n">
        <v>25.59</v>
      </c>
      <c r="L94" s="42" t="n">
        <v>40790.46</v>
      </c>
      <c r="M94" s="43" t="n">
        <f aca="false">IF(H94="",F94*K94,H94*K94)</f>
        <v>40786.6215</v>
      </c>
      <c r="N94" s="66" t="n">
        <f aca="false">M94-L94</f>
        <v>-3.8385000000053</v>
      </c>
      <c r="O94" s="102" t="str">
        <f aca="false">IF(F94=0,"Sem qtd. no contrato",IF(ABS(H94/F94-1)&lt;=0.02,"Confere (±2%)",IF(H94&gt;F94,"Projeto maior","Projeto menor")))</f>
        <v>Confere (±2%)</v>
      </c>
      <c r="P94" s="67" t="s">
        <v>1017</v>
      </c>
      <c r="Q94" s="103"/>
      <c r="R94" s="104" t="str">
        <f aca="false">HYPERLINK("#'Painel'!B200","→ 200")</f>
        <v>→ 200</v>
      </c>
    </row>
    <row r="95" customFormat="false" ht="15" hidden="false" customHeight="false" outlineLevel="0" collapsed="false">
      <c r="B95" s="97" t="n">
        <v>96</v>
      </c>
      <c r="C95" s="40" t="s">
        <v>433</v>
      </c>
      <c r="D95" s="98" t="s">
        <v>736</v>
      </c>
      <c r="E95" s="40" t="s">
        <v>73</v>
      </c>
      <c r="F95" s="64" t="n">
        <v>3412</v>
      </c>
      <c r="G95" s="31"/>
      <c r="H95" s="61" t="n">
        <f aca="false">Painel!$L$254</f>
        <v>897.9001385</v>
      </c>
      <c r="I95" s="100" t="n">
        <f aca="false">IF(H95="","",H95-F95)</f>
        <v>-2514.0998615</v>
      </c>
      <c r="J95" s="101" t="n">
        <f aca="false">IF(OR(H95="",F95=0),"",H95/F95-1)</f>
        <v>-0.736840522127784</v>
      </c>
      <c r="K95" s="62" t="n">
        <v>13.61</v>
      </c>
      <c r="L95" s="42" t="n">
        <v>46437.32</v>
      </c>
      <c r="M95" s="43" t="n">
        <f aca="false">IF(H95="",F95*K95,H95*K95)</f>
        <v>12220.420884985</v>
      </c>
      <c r="N95" s="66" t="n">
        <f aca="false">M95-L95</f>
        <v>-34216.899115015</v>
      </c>
      <c r="O95" s="102" t="str">
        <f aca="false">IF(F95=0,"Sem qtd. no contrato",IF(ABS(H95/F95-1)&lt;=0.02,"Confere (±2%)",IF(H95&gt;F95,"Projeto maior","Projeto menor")))</f>
        <v>Projeto menor</v>
      </c>
      <c r="P95" s="67" t="s">
        <v>1018</v>
      </c>
      <c r="Q95" s="103" t="s">
        <v>1019</v>
      </c>
      <c r="R95" s="104" t="str">
        <f aca="false">HYPERLINK("#'Painel'!B254","→ 254")</f>
        <v>→ 254</v>
      </c>
    </row>
    <row r="96" customFormat="false" ht="15" hidden="false" customHeight="false" outlineLevel="0" collapsed="false">
      <c r="B96" s="97" t="n">
        <v>97</v>
      </c>
      <c r="C96" s="40" t="s">
        <v>456</v>
      </c>
      <c r="D96" s="98" t="s">
        <v>1020</v>
      </c>
      <c r="E96" s="40" t="s">
        <v>77</v>
      </c>
      <c r="F96" s="64" t="n">
        <v>11700</v>
      </c>
      <c r="G96" s="31"/>
      <c r="H96" s="61" t="n">
        <f aca="false">Painel!$L$249</f>
        <v>12943.5537</v>
      </c>
      <c r="I96" s="100" t="n">
        <f aca="false">IF(H96="","",H96-F96)</f>
        <v>1243.5537</v>
      </c>
      <c r="J96" s="101" t="n">
        <f aca="false">IF(OR(H96="",F96=0),"",H96/F96-1)</f>
        <v>0.106286641025641</v>
      </c>
      <c r="K96" s="62" t="n">
        <v>12.84</v>
      </c>
      <c r="L96" s="42" t="n">
        <v>150228</v>
      </c>
      <c r="M96" s="43" t="n">
        <f aca="false">IF(H96="",F96*K96,H96*K96)</f>
        <v>166195.229508</v>
      </c>
      <c r="N96" s="66" t="n">
        <f aca="false">M96-L96</f>
        <v>15967.229508</v>
      </c>
      <c r="O96" s="102" t="str">
        <f aca="false">IF(F96=0,"Sem qtd. no contrato",IF(ABS(H96/F96-1)&lt;=0.02,"Confere (±2%)",IF(H96&gt;F96,"Projeto maior","Projeto menor")))</f>
        <v>Projeto maior</v>
      </c>
      <c r="P96" s="67" t="s">
        <v>985</v>
      </c>
      <c r="Q96" s="103" t="s">
        <v>1021</v>
      </c>
      <c r="R96" s="104" t="str">
        <f aca="false">HYPERLINK("#'Painel'!B249","→ 249")</f>
        <v>→ 249</v>
      </c>
    </row>
    <row r="97" customFormat="false" ht="15" hidden="false" customHeight="false" outlineLevel="0" collapsed="false">
      <c r="B97" s="97" t="n">
        <v>98</v>
      </c>
      <c r="C97" s="40" t="s">
        <v>472</v>
      </c>
      <c r="D97" s="98" t="s">
        <v>473</v>
      </c>
      <c r="E97" s="40" t="s">
        <v>77</v>
      </c>
      <c r="F97" s="64" t="n">
        <v>220.6</v>
      </c>
      <c r="G97" s="31"/>
      <c r="H97" s="108"/>
      <c r="I97" s="100" t="str">
        <f aca="false">IF(H97="","",H97-F97)</f>
        <v/>
      </c>
      <c r="J97" s="101" t="str">
        <f aca="false">IF(OR(H97="",F97=0),"",H97/F97-1)</f>
        <v/>
      </c>
      <c r="K97" s="62" t="n">
        <v>136.1</v>
      </c>
      <c r="L97" s="42" t="n">
        <v>30023.66</v>
      </c>
      <c r="M97" s="43" t="n">
        <f aca="false">IF(H97="",F97*K97,H97*K97)</f>
        <v>30023.66</v>
      </c>
      <c r="N97" s="66" t="n">
        <f aca="false">M97-L97</f>
        <v>0</v>
      </c>
      <c r="O97" s="102" t="s">
        <v>999</v>
      </c>
      <c r="P97" s="67" t="s">
        <v>1022</v>
      </c>
      <c r="Q97" s="103" t="s">
        <v>1023</v>
      </c>
      <c r="R97" s="104" t="str">
        <f aca="false">HYPERLINK("#'Painel'!B257","→ 257")</f>
        <v>→ 257</v>
      </c>
    </row>
    <row r="98" customFormat="false" ht="15" hidden="false" customHeight="false" outlineLevel="0" collapsed="false">
      <c r="B98" s="97" t="n">
        <v>99</v>
      </c>
      <c r="C98" s="40" t="s">
        <v>436</v>
      </c>
      <c r="D98" s="98" t="s">
        <v>475</v>
      </c>
      <c r="E98" s="40" t="s">
        <v>77</v>
      </c>
      <c r="F98" s="64" t="n">
        <v>3919</v>
      </c>
      <c r="G98" s="31"/>
      <c r="H98" s="61" t="n">
        <f aca="false">(Painel!$L$146)*1</f>
        <v>4268.908</v>
      </c>
      <c r="I98" s="100" t="n">
        <f aca="false">IF(H98="","",H98-F98)</f>
        <v>349.907999999999</v>
      </c>
      <c r="J98" s="101" t="n">
        <f aca="false">IF(OR(H98="",F98=0),"",H98/F98-1)</f>
        <v>0.0892850216892063</v>
      </c>
      <c r="K98" s="62" t="n">
        <v>20.76</v>
      </c>
      <c r="L98" s="42" t="n">
        <v>81358.44</v>
      </c>
      <c r="M98" s="43" t="n">
        <f aca="false">IF(H98="",F98*K98,H98*K98)</f>
        <v>88622.53008</v>
      </c>
      <c r="N98" s="66" t="n">
        <f aca="false">M98-L98</f>
        <v>7264.09007999999</v>
      </c>
      <c r="O98" s="102" t="str">
        <f aca="false">IF(F98=0,"Sem qtd. no contrato",IF(ABS(H98/F98-1)&lt;=0.02,"Confere (±2%)",IF(H98&gt;F98,"Projeto maior","Projeto menor")))</f>
        <v>Projeto maior</v>
      </c>
      <c r="P98" s="67" t="s">
        <v>1024</v>
      </c>
      <c r="Q98" s="103"/>
      <c r="R98" s="104" t="str">
        <f aca="false">HYPERLINK("#'Painel'!B258","→ 258")</f>
        <v>→ 258</v>
      </c>
    </row>
    <row r="99" customFormat="false" ht="15" hidden="false" customHeight="false" outlineLevel="0" collapsed="false">
      <c r="B99" s="97" t="n">
        <v>100</v>
      </c>
      <c r="C99" s="40" t="s">
        <v>462</v>
      </c>
      <c r="D99" s="98" t="s">
        <v>463</v>
      </c>
      <c r="E99" s="40" t="s">
        <v>73</v>
      </c>
      <c r="F99" s="64" t="n">
        <v>1808</v>
      </c>
      <c r="G99" s="31"/>
      <c r="H99" s="61" t="n">
        <f aca="false">Painel!$L$252</f>
        <v>587.77</v>
      </c>
      <c r="I99" s="100" t="n">
        <f aca="false">IF(H99="","",H99-F99)</f>
        <v>-1220.23</v>
      </c>
      <c r="J99" s="101" t="n">
        <f aca="false">IF(OR(H99="",F99=0),"",H99/F99-1)</f>
        <v>-0.674905973451327</v>
      </c>
      <c r="K99" s="62" t="n">
        <v>122.5</v>
      </c>
      <c r="L99" s="42" t="n">
        <v>221480</v>
      </c>
      <c r="M99" s="43" t="n">
        <f aca="false">IF(H99="",F99*K99,H99*K99)</f>
        <v>72001.825</v>
      </c>
      <c r="N99" s="66" t="n">
        <f aca="false">M99-L99</f>
        <v>-149478.175</v>
      </c>
      <c r="O99" s="102" t="str">
        <f aca="false">IF(F99=0,"Sem qtd. no contrato",IF(ABS(H99/F99-1)&lt;=0.02,"Confere (±2%)",IF(H99&gt;F99,"Projeto maior","Projeto menor")))</f>
        <v>Projeto menor</v>
      </c>
      <c r="P99" s="67" t="s">
        <v>985</v>
      </c>
      <c r="Q99" s="103" t="s">
        <v>1025</v>
      </c>
      <c r="R99" s="104" t="str">
        <f aca="false">HYPERLINK("#'Painel'!B252","→ 252")</f>
        <v>→ 252</v>
      </c>
    </row>
    <row r="100" customFormat="false" ht="15" hidden="false" customHeight="false" outlineLevel="0" collapsed="false">
      <c r="B100" s="97" t="n">
        <v>101</v>
      </c>
      <c r="C100" s="40" t="s">
        <v>480</v>
      </c>
      <c r="D100" s="98" t="s">
        <v>481</v>
      </c>
      <c r="E100" s="40" t="s">
        <v>176</v>
      </c>
      <c r="F100" s="64" t="n">
        <v>125</v>
      </c>
      <c r="G100" s="31"/>
      <c r="H100" s="108"/>
      <c r="I100" s="100" t="str">
        <f aca="false">IF(H100="","",H100-F100)</f>
        <v/>
      </c>
      <c r="J100" s="101" t="str">
        <f aca="false">IF(OR(H100="",F100=0),"",H100/F100-1)</f>
        <v/>
      </c>
      <c r="K100" s="62" t="n">
        <v>71.2</v>
      </c>
      <c r="L100" s="42" t="n">
        <v>8900</v>
      </c>
      <c r="M100" s="43" t="n">
        <f aca="false">IF(H100="",F100*K100,H100*K100)</f>
        <v>8900</v>
      </c>
      <c r="N100" s="66" t="n">
        <f aca="false">M100-L100</f>
        <v>0</v>
      </c>
      <c r="O100" s="102" t="s">
        <v>999</v>
      </c>
      <c r="P100" s="67" t="s">
        <v>1011</v>
      </c>
      <c r="Q100" s="103" t="s">
        <v>1026</v>
      </c>
      <c r="R100" s="104" t="str">
        <f aca="false">HYPERLINK("#'Painel'!B260","→ 260")</f>
        <v>→ 260</v>
      </c>
    </row>
    <row r="101" customFormat="false" ht="15" hidden="false" customHeight="false" outlineLevel="0" collapsed="false">
      <c r="B101" s="97" t="n">
        <v>102</v>
      </c>
      <c r="C101" s="40" t="s">
        <v>366</v>
      </c>
      <c r="D101" s="98" t="s">
        <v>482</v>
      </c>
      <c r="E101" s="40" t="s">
        <v>77</v>
      </c>
      <c r="F101" s="64" t="n">
        <v>11</v>
      </c>
      <c r="G101" s="31"/>
      <c r="H101" s="108"/>
      <c r="I101" s="100" t="str">
        <f aca="false">IF(H101="","",H101-F101)</f>
        <v/>
      </c>
      <c r="J101" s="101" t="str">
        <f aca="false">IF(OR(H101="",F101=0),"",H101/F101-1)</f>
        <v/>
      </c>
      <c r="K101" s="62" t="n">
        <v>1017.57</v>
      </c>
      <c r="L101" s="42" t="n">
        <v>11193.27</v>
      </c>
      <c r="M101" s="43" t="n">
        <f aca="false">IF(H101="",F101*K101,H101*K101)</f>
        <v>11193.27</v>
      </c>
      <c r="N101" s="66" t="n">
        <f aca="false">M101-L101</f>
        <v>0</v>
      </c>
      <c r="O101" s="102" t="s">
        <v>999</v>
      </c>
      <c r="P101" s="67" t="s">
        <v>1011</v>
      </c>
      <c r="Q101" s="103" t="s">
        <v>1027</v>
      </c>
      <c r="R101" s="104" t="str">
        <f aca="false">HYPERLINK("#'Painel'!B261","→ 261")</f>
        <v>→ 261</v>
      </c>
    </row>
    <row r="102" customFormat="false" ht="15" hidden="false" customHeight="false" outlineLevel="0" collapsed="false">
      <c r="B102" s="97" t="n">
        <v>103</v>
      </c>
      <c r="C102" s="40" t="s">
        <v>330</v>
      </c>
      <c r="D102" s="98" t="s">
        <v>331</v>
      </c>
      <c r="E102" s="40" t="s">
        <v>77</v>
      </c>
      <c r="F102" s="64" t="n">
        <v>385</v>
      </c>
      <c r="G102" s="31"/>
      <c r="H102" s="61" t="n">
        <f aca="false">(Painel!$L$170)*1</f>
        <v>291.73274</v>
      </c>
      <c r="I102" s="100" t="n">
        <f aca="false">IF(H102="","",H102-F102)</f>
        <v>-93.26726</v>
      </c>
      <c r="J102" s="101" t="n">
        <f aca="false">IF(OR(H102="",F102=0),"",H102/F102-1)</f>
        <v>-0.242252623376623</v>
      </c>
      <c r="K102" s="62" t="n">
        <v>195.31</v>
      </c>
      <c r="L102" s="42" t="n">
        <v>75194.35</v>
      </c>
      <c r="M102" s="43" t="n">
        <f aca="false">IF(H102="",F102*K102,H102*K102)</f>
        <v>56978.3214494</v>
      </c>
      <c r="N102" s="66" t="n">
        <f aca="false">M102-L102</f>
        <v>-18216.0285506</v>
      </c>
      <c r="O102" s="102" t="str">
        <f aca="false">IF(F102=0,"Sem qtd. no contrato",IF(ABS(H102/F102-1)&lt;=0.02,"Confere (±2%)",IF(H102&gt;F102,"Projeto maior","Projeto menor")))</f>
        <v>Projeto menor</v>
      </c>
      <c r="P102" s="67" t="s">
        <v>1028</v>
      </c>
      <c r="Q102" s="103" t="s">
        <v>1029</v>
      </c>
      <c r="R102" s="104" t="str">
        <f aca="false">HYPERLINK("#'Painel'!B171","→ 171")</f>
        <v>→ 171</v>
      </c>
    </row>
    <row r="103" customFormat="false" ht="15" hidden="false" customHeight="false" outlineLevel="0" collapsed="false">
      <c r="B103" s="97" t="n">
        <v>104</v>
      </c>
      <c r="C103" s="40" t="s">
        <v>243</v>
      </c>
      <c r="D103" s="98" t="s">
        <v>1030</v>
      </c>
      <c r="E103" s="40" t="s">
        <v>176</v>
      </c>
      <c r="F103" s="64" t="n">
        <v>1860.5</v>
      </c>
      <c r="G103" s="31"/>
      <c r="H103" s="61" t="n">
        <f aca="false">Painel!$L$125</f>
        <v>1751.5</v>
      </c>
      <c r="I103" s="100" t="n">
        <f aca="false">IF(H103="","",H103-F103)</f>
        <v>-109</v>
      </c>
      <c r="J103" s="101" t="n">
        <f aca="false">IF(OR(H103="",F103=0),"",H103/F103-1)</f>
        <v>-0.0585864015049717</v>
      </c>
      <c r="K103" s="62" t="n">
        <v>44.4</v>
      </c>
      <c r="L103" s="42" t="n">
        <v>82606.2</v>
      </c>
      <c r="M103" s="43" t="n">
        <f aca="false">IF(H103="",F103*K103,H103*K103)</f>
        <v>77766.6</v>
      </c>
      <c r="N103" s="66" t="n">
        <f aca="false">M103-L103</f>
        <v>-4839.60000000001</v>
      </c>
      <c r="O103" s="102" t="str">
        <f aca="false">IF(F103=0,"Sem qtd. no contrato",IF(ABS(H103/F103-1)&lt;=0.02,"Confere (±2%)",IF(H103&gt;F103,"Projeto maior","Projeto menor")))</f>
        <v>Projeto menor</v>
      </c>
      <c r="P103" s="67" t="s">
        <v>1014</v>
      </c>
      <c r="Q103" s="103"/>
      <c r="R103" s="104" t="str">
        <f aca="false">HYPERLINK("#'Painel'!B125","→ 125")</f>
        <v>→ 125</v>
      </c>
    </row>
    <row r="104" customFormat="false" ht="15" hidden="false" customHeight="false" outlineLevel="0" collapsed="false">
      <c r="B104" s="97" t="n">
        <v>105</v>
      </c>
      <c r="C104" s="40" t="s">
        <v>245</v>
      </c>
      <c r="D104" s="98" t="s">
        <v>1031</v>
      </c>
      <c r="E104" s="40" t="s">
        <v>176</v>
      </c>
      <c r="F104" s="64" t="n">
        <v>130</v>
      </c>
      <c r="G104" s="31"/>
      <c r="H104" s="61" t="n">
        <f aca="false">Painel!$L$126</f>
        <v>130</v>
      </c>
      <c r="I104" s="100" t="n">
        <f aca="false">IF(H104="","",H104-F104)</f>
        <v>0</v>
      </c>
      <c r="J104" s="101" t="n">
        <f aca="false">IF(OR(H104="",F104=0),"",H104/F104-1)</f>
        <v>0</v>
      </c>
      <c r="K104" s="62" t="n">
        <v>35.68</v>
      </c>
      <c r="L104" s="42" t="n">
        <v>4638.4</v>
      </c>
      <c r="M104" s="43" t="n">
        <f aca="false">IF(H104="",F104*K104,H104*K104)</f>
        <v>4638.4</v>
      </c>
      <c r="N104" s="66" t="n">
        <f aca="false">M104-L104</f>
        <v>0</v>
      </c>
      <c r="O104" s="102" t="str">
        <f aca="false">IF(F104=0,"Sem qtd. no contrato",IF(ABS(H104/F104-1)&lt;=0.02,"Confere (±2%)",IF(H104&gt;F104,"Projeto maior","Projeto menor")))</f>
        <v>Confere (±2%)</v>
      </c>
      <c r="P104" s="67" t="s">
        <v>1014</v>
      </c>
      <c r="Q104" s="103"/>
      <c r="R104" s="104" t="str">
        <f aca="false">HYPERLINK("#'Painel'!B126","→ 126")</f>
        <v>→ 126</v>
      </c>
    </row>
    <row r="105" customFormat="false" ht="15" hidden="false" customHeight="false" outlineLevel="0" collapsed="false">
      <c r="B105" s="97" t="n">
        <v>106</v>
      </c>
      <c r="C105" s="40" t="s">
        <v>460</v>
      </c>
      <c r="D105" s="98" t="s">
        <v>461</v>
      </c>
      <c r="E105" s="40" t="s">
        <v>77</v>
      </c>
      <c r="F105" s="64" t="n">
        <v>1425</v>
      </c>
      <c r="G105" s="31"/>
      <c r="H105" s="61" t="n">
        <f aca="false">Painel!$L$251</f>
        <v>1057.03</v>
      </c>
      <c r="I105" s="100" t="n">
        <f aca="false">IF(H105="","",H105-F105)</f>
        <v>-367.97</v>
      </c>
      <c r="J105" s="101" t="n">
        <f aca="false">IF(OR(H105="",F105=0),"",H105/F105-1)</f>
        <v>-0.258224561403509</v>
      </c>
      <c r="K105" s="62" t="n">
        <v>38.19</v>
      </c>
      <c r="L105" s="42" t="n">
        <v>54420.75</v>
      </c>
      <c r="M105" s="43" t="n">
        <f aca="false">IF(H105="",F105*K105,H105*K105)</f>
        <v>40367.9757</v>
      </c>
      <c r="N105" s="66" t="n">
        <f aca="false">M105-L105</f>
        <v>-14052.7743</v>
      </c>
      <c r="O105" s="102" t="str">
        <f aca="false">IF(F105=0,"Sem qtd. no contrato",IF(ABS(H105/F105-1)&lt;=0.02,"Confere (±2%)",IF(H105&gt;F105,"Projeto maior","Projeto menor")))</f>
        <v>Projeto menor</v>
      </c>
      <c r="P105" s="67" t="s">
        <v>985</v>
      </c>
      <c r="Q105" s="103"/>
      <c r="R105" s="104" t="str">
        <f aca="false">HYPERLINK("#'Painel'!B251","→ 251")</f>
        <v>→ 251</v>
      </c>
    </row>
    <row r="106" customFormat="false" ht="15" hidden="false" customHeight="false" outlineLevel="0" collapsed="false">
      <c r="B106" s="97" t="n">
        <v>107</v>
      </c>
      <c r="C106" s="40" t="s">
        <v>341</v>
      </c>
      <c r="D106" s="98" t="s">
        <v>342</v>
      </c>
      <c r="E106" s="40" t="s">
        <v>176</v>
      </c>
      <c r="F106" s="64" t="n">
        <v>343</v>
      </c>
      <c r="G106" s="31"/>
      <c r="H106" s="61" t="n">
        <f aca="false">(Painel!$L$173)*1</f>
        <v>343</v>
      </c>
      <c r="I106" s="100" t="n">
        <f aca="false">IF(H106="","",H106-F106)</f>
        <v>0</v>
      </c>
      <c r="J106" s="101" t="n">
        <f aca="false">IF(OR(H106="",F106=0),"",H106/F106-1)</f>
        <v>0</v>
      </c>
      <c r="K106" s="62" t="n">
        <v>22.17</v>
      </c>
      <c r="L106" s="42" t="n">
        <v>7604.31</v>
      </c>
      <c r="M106" s="43" t="n">
        <f aca="false">IF(H106="",F106*K106,H106*K106)</f>
        <v>7604.31</v>
      </c>
      <c r="N106" s="66" t="n">
        <f aca="false">M106-L106</f>
        <v>0</v>
      </c>
      <c r="O106" s="102" t="str">
        <f aca="false">IF(F106=0,"Sem qtd. no contrato",IF(ABS(H106/F106-1)&lt;=0.02,"Confere (±2%)",IF(H106&gt;F106,"Projeto maior","Projeto menor")))</f>
        <v>Confere (±2%)</v>
      </c>
      <c r="P106" s="67" t="s">
        <v>1010</v>
      </c>
      <c r="Q106" s="103"/>
      <c r="R106" s="104" t="str">
        <f aca="false">HYPERLINK("#'Painel'!B179","→ 179")</f>
        <v>→ 179</v>
      </c>
    </row>
    <row r="107" customFormat="false" ht="15" hidden="false" customHeight="false" outlineLevel="0" collapsed="false">
      <c r="B107" s="97" t="n">
        <v>108</v>
      </c>
      <c r="C107" s="40" t="s">
        <v>344</v>
      </c>
      <c r="D107" s="98" t="s">
        <v>345</v>
      </c>
      <c r="E107" s="40" t="s">
        <v>176</v>
      </c>
      <c r="F107" s="64" t="n">
        <v>453</v>
      </c>
      <c r="G107" s="31"/>
      <c r="H107" s="61" t="n">
        <f aca="false">(Painel!$L$174)*1</f>
        <v>453</v>
      </c>
      <c r="I107" s="100" t="n">
        <f aca="false">IF(H107="","",H107-F107)</f>
        <v>0</v>
      </c>
      <c r="J107" s="101" t="n">
        <f aca="false">IF(OR(H107="",F107=0),"",H107/F107-1)</f>
        <v>0</v>
      </c>
      <c r="K107" s="62" t="n">
        <v>26.6</v>
      </c>
      <c r="L107" s="42" t="n">
        <v>12049.8</v>
      </c>
      <c r="M107" s="43" t="n">
        <f aca="false">IF(H107="",F107*K107,H107*K107)</f>
        <v>12049.8</v>
      </c>
      <c r="N107" s="66" t="n">
        <f aca="false">M107-L107</f>
        <v>0</v>
      </c>
      <c r="O107" s="102" t="str">
        <f aca="false">IF(F107=0,"Sem qtd. no contrato",IF(ABS(H107/F107-1)&lt;=0.02,"Confere (±2%)",IF(H107&gt;F107,"Projeto maior","Projeto menor")))</f>
        <v>Confere (±2%)</v>
      </c>
      <c r="P107" s="67" t="s">
        <v>1010</v>
      </c>
      <c r="Q107" s="103"/>
      <c r="R107" s="104" t="str">
        <f aca="false">HYPERLINK("#'Painel'!B180","→ 180")</f>
        <v>→ 180</v>
      </c>
    </row>
    <row r="108" customFormat="false" ht="15" hidden="false" customHeight="false" outlineLevel="0" collapsed="false">
      <c r="B108" s="97" t="n">
        <v>109</v>
      </c>
      <c r="C108" s="40" t="s">
        <v>346</v>
      </c>
      <c r="D108" s="98" t="s">
        <v>347</v>
      </c>
      <c r="E108" s="40" t="s">
        <v>176</v>
      </c>
      <c r="F108" s="64" t="n">
        <v>30</v>
      </c>
      <c r="G108" s="31"/>
      <c r="H108" s="61" t="n">
        <f aca="false">(Painel!$L$175)*1</f>
        <v>30</v>
      </c>
      <c r="I108" s="100" t="n">
        <f aca="false">IF(H108="","",H108-F108)</f>
        <v>0</v>
      </c>
      <c r="J108" s="101" t="n">
        <f aca="false">IF(OR(H108="",F108=0),"",H108/F108-1)</f>
        <v>0</v>
      </c>
      <c r="K108" s="62" t="n">
        <v>53.21</v>
      </c>
      <c r="L108" s="42" t="n">
        <v>1596.3</v>
      </c>
      <c r="M108" s="43" t="n">
        <f aca="false">IF(H108="",F108*K108,H108*K108)</f>
        <v>1596.3</v>
      </c>
      <c r="N108" s="66" t="n">
        <f aca="false">M108-L108</f>
        <v>0</v>
      </c>
      <c r="O108" s="102" t="str">
        <f aca="false">IF(F108=0,"Sem qtd. no contrato",IF(ABS(H108/F108-1)&lt;=0.02,"Confere (±2%)",IF(H108&gt;F108,"Projeto maior","Projeto menor")))</f>
        <v>Confere (±2%)</v>
      </c>
      <c r="P108" s="67" t="s">
        <v>1010</v>
      </c>
      <c r="Q108" s="103"/>
      <c r="R108" s="104" t="str">
        <f aca="false">HYPERLINK("#'Painel'!B181","→ 181")</f>
        <v>→ 181</v>
      </c>
    </row>
    <row r="109" customFormat="false" ht="15" hidden="false" customHeight="false" outlineLevel="0" collapsed="false">
      <c r="B109" s="97" t="n">
        <v>110</v>
      </c>
      <c r="C109" s="40" t="s">
        <v>348</v>
      </c>
      <c r="D109" s="98" t="s">
        <v>349</v>
      </c>
      <c r="E109" s="40" t="s">
        <v>176</v>
      </c>
      <c r="F109" s="64" t="n">
        <v>51</v>
      </c>
      <c r="G109" s="31"/>
      <c r="H109" s="61" t="n">
        <f aca="false">(Painel!$L$176)*1</f>
        <v>51</v>
      </c>
      <c r="I109" s="100" t="n">
        <f aca="false">IF(H109="","",H109-F109)</f>
        <v>0</v>
      </c>
      <c r="J109" s="101" t="n">
        <f aca="false">IF(OR(H109="",F109=0),"",H109/F109-1)</f>
        <v>0</v>
      </c>
      <c r="K109" s="62" t="n">
        <v>53.06</v>
      </c>
      <c r="L109" s="42" t="n">
        <v>2706.06</v>
      </c>
      <c r="M109" s="43" t="n">
        <f aca="false">IF(H109="",F109*K109,H109*K109)</f>
        <v>2706.06</v>
      </c>
      <c r="N109" s="66" t="n">
        <f aca="false">M109-L109</f>
        <v>0</v>
      </c>
      <c r="O109" s="102" t="str">
        <f aca="false">IF(F109=0,"Sem qtd. no contrato",IF(ABS(H109/F109-1)&lt;=0.02,"Confere (±2%)",IF(H109&gt;F109,"Projeto maior","Projeto menor")))</f>
        <v>Confere (±2%)</v>
      </c>
      <c r="P109" s="67" t="s">
        <v>1010</v>
      </c>
      <c r="Q109" s="103"/>
      <c r="R109" s="104" t="str">
        <f aca="false">HYPERLINK("#'Painel'!B182","→ 182")</f>
        <v>→ 182</v>
      </c>
    </row>
    <row r="110" customFormat="false" ht="15" hidden="false" customHeight="false" outlineLevel="0" collapsed="false">
      <c r="B110" s="97" t="n">
        <v>111</v>
      </c>
      <c r="C110" s="40" t="s">
        <v>272</v>
      </c>
      <c r="D110" s="98" t="s">
        <v>273</v>
      </c>
      <c r="E110" s="40" t="s">
        <v>176</v>
      </c>
      <c r="F110" s="64" t="n">
        <v>109</v>
      </c>
      <c r="G110" s="31"/>
      <c r="H110" s="61" t="n">
        <f aca="false">(Painel!$L$123+Painel!$L$122)*1</f>
        <v>1767</v>
      </c>
      <c r="I110" s="100" t="n">
        <f aca="false">IF(H110="","",H110-F110)</f>
        <v>1658</v>
      </c>
      <c r="J110" s="101" t="n">
        <f aca="false">IF(OR(H110="",F110=0),"",H110/F110-1)</f>
        <v>15.2110091743119</v>
      </c>
      <c r="K110" s="62" t="n">
        <v>123.16</v>
      </c>
      <c r="L110" s="42" t="n">
        <v>13424.44</v>
      </c>
      <c r="M110" s="43" t="n">
        <f aca="false">IF(H110="",F110*K110,H110*K110)</f>
        <v>217623.72</v>
      </c>
      <c r="N110" s="66" t="n">
        <f aca="false">M110-L110</f>
        <v>204199.28</v>
      </c>
      <c r="O110" s="102" t="str">
        <f aca="false">IF(F110=0,"Sem qtd. no contrato",IF(ABS(H110/F110-1)&lt;=0.02,"Confere (±2%)",IF(H110&gt;F110,"Projeto maior","Projeto menor")))</f>
        <v>Projeto maior</v>
      </c>
      <c r="P110" s="67" t="s">
        <v>1032</v>
      </c>
      <c r="Q110" s="103" t="s">
        <v>1033</v>
      </c>
      <c r="R110" s="104" t="str">
        <f aca="false">HYPERLINK("#'Painel'!B142","→ 142")</f>
        <v>→ 142</v>
      </c>
    </row>
    <row r="111" customFormat="false" ht="15" hidden="false" customHeight="false" outlineLevel="0" collapsed="false">
      <c r="B111" s="97" t="n">
        <v>112</v>
      </c>
      <c r="C111" s="40" t="s">
        <v>241</v>
      </c>
      <c r="D111" s="98" t="s">
        <v>1034</v>
      </c>
      <c r="E111" s="40" t="s">
        <v>176</v>
      </c>
      <c r="F111" s="64" t="n">
        <v>74</v>
      </c>
      <c r="G111" s="31"/>
      <c r="H111" s="61" t="n">
        <f aca="false">Painel!$L$124</f>
        <v>122</v>
      </c>
      <c r="I111" s="100" t="n">
        <f aca="false">IF(H111="","",H111-F111)</f>
        <v>48</v>
      </c>
      <c r="J111" s="101" t="n">
        <f aca="false">IF(OR(H111="",F111=0),"",H111/F111-1)</f>
        <v>0.648648648648649</v>
      </c>
      <c r="K111" s="62" t="n">
        <v>89.82</v>
      </c>
      <c r="L111" s="42" t="n">
        <v>6646.68</v>
      </c>
      <c r="M111" s="43" t="n">
        <f aca="false">IF(H111="",F111*K111,H111*K111)</f>
        <v>10958.04</v>
      </c>
      <c r="N111" s="66" t="n">
        <f aca="false">M111-L111</f>
        <v>4311.36</v>
      </c>
      <c r="O111" s="102" t="str">
        <f aca="false">IF(F111=0,"Sem qtd. no contrato",IF(ABS(H111/F111-1)&lt;=0.02,"Confere (±2%)",IF(H111&gt;F111,"Projeto maior","Projeto menor")))</f>
        <v>Projeto maior</v>
      </c>
      <c r="P111" s="67" t="s">
        <v>1014</v>
      </c>
      <c r="Q111" s="103" t="s">
        <v>1035</v>
      </c>
      <c r="R111" s="104" t="str">
        <f aca="false">HYPERLINK("#'Painel'!B124","→ 124")</f>
        <v>→ 124</v>
      </c>
    </row>
    <row r="112" customFormat="false" ht="15" hidden="false" customHeight="false" outlineLevel="0" collapsed="false">
      <c r="B112" s="97" t="n">
        <v>113</v>
      </c>
      <c r="C112" s="40" t="s">
        <v>232</v>
      </c>
      <c r="D112" s="98" t="s">
        <v>1036</v>
      </c>
      <c r="E112" s="40" t="s">
        <v>176</v>
      </c>
      <c r="F112" s="64" t="n">
        <v>11825</v>
      </c>
      <c r="G112" s="31"/>
      <c r="H112" s="61" t="n">
        <f aca="false">Painel!$L$119</f>
        <v>11779</v>
      </c>
      <c r="I112" s="100" t="n">
        <f aca="false">IF(H112="","",H112-F112)</f>
        <v>-46</v>
      </c>
      <c r="J112" s="101" t="n">
        <f aca="false">IF(OR(H112="",F112=0),"",H112/F112-1)</f>
        <v>-0.00389006342494713</v>
      </c>
      <c r="K112" s="62" t="n">
        <v>176.99</v>
      </c>
      <c r="L112" s="42" t="n">
        <v>2092906.75</v>
      </c>
      <c r="M112" s="43" t="n">
        <f aca="false">IF(H112="",F112*K112,H112*K112)</f>
        <v>2084765.21</v>
      </c>
      <c r="N112" s="66" t="n">
        <f aca="false">M112-L112</f>
        <v>-8141.5399999998</v>
      </c>
      <c r="O112" s="102" t="str">
        <f aca="false">IF(F112=0,"Sem qtd. no contrato",IF(ABS(H112/F112-1)&lt;=0.02,"Confere (±2%)",IF(H112&gt;F112,"Projeto maior","Projeto menor")))</f>
        <v>Confere (±2%)</v>
      </c>
      <c r="P112" s="67" t="s">
        <v>1014</v>
      </c>
      <c r="Q112" s="103"/>
      <c r="R112" s="104" t="str">
        <f aca="false">HYPERLINK("#'Painel'!B119","→ 119")</f>
        <v>→ 119</v>
      </c>
    </row>
    <row r="113" customFormat="false" ht="15" hidden="false" customHeight="false" outlineLevel="0" collapsed="false">
      <c r="B113" s="97" t="n">
        <v>114</v>
      </c>
      <c r="C113" s="40" t="s">
        <v>259</v>
      </c>
      <c r="D113" s="98" t="s">
        <v>1037</v>
      </c>
      <c r="E113" s="40" t="s">
        <v>176</v>
      </c>
      <c r="F113" s="64" t="n">
        <v>381</v>
      </c>
      <c r="G113" s="31"/>
      <c r="H113" s="61" t="n">
        <f aca="false">Painel!$L$133</f>
        <v>426</v>
      </c>
      <c r="I113" s="100" t="n">
        <f aca="false">IF(H113="","",H113-F113)</f>
        <v>45</v>
      </c>
      <c r="J113" s="101" t="n">
        <f aca="false">IF(OR(H113="",F113=0),"",H113/F113-1)</f>
        <v>0.118110236220472</v>
      </c>
      <c r="K113" s="62" t="n">
        <v>726.9</v>
      </c>
      <c r="L113" s="42" t="n">
        <v>276948.9</v>
      </c>
      <c r="M113" s="43" t="n">
        <f aca="false">IF(H113="",F113*K113,H113*K113)</f>
        <v>309659.4</v>
      </c>
      <c r="N113" s="66" t="n">
        <f aca="false">M113-L113</f>
        <v>32710.4999999999</v>
      </c>
      <c r="O113" s="102" t="str">
        <f aca="false">IF(F113=0,"Sem qtd. no contrato",IF(ABS(H113/F113-1)&lt;=0.02,"Confere (±2%)",IF(H113&gt;F113,"Projeto maior","Projeto menor")))</f>
        <v>Projeto maior</v>
      </c>
      <c r="P113" s="67" t="s">
        <v>1014</v>
      </c>
      <c r="Q113" s="103" t="s">
        <v>1038</v>
      </c>
      <c r="R113" s="104" t="str">
        <f aca="false">HYPERLINK("#'Painel'!B133","→ 133")</f>
        <v>→ 133</v>
      </c>
    </row>
    <row r="114" customFormat="false" ht="15" hidden="false" customHeight="false" outlineLevel="0" collapsed="false">
      <c r="B114" s="97" t="n">
        <v>115</v>
      </c>
      <c r="C114" s="40" t="s">
        <v>253</v>
      </c>
      <c r="D114" s="98" t="s">
        <v>1039</v>
      </c>
      <c r="E114" s="40" t="s">
        <v>176</v>
      </c>
      <c r="F114" s="64" t="n">
        <v>403</v>
      </c>
      <c r="G114" s="31"/>
      <c r="H114" s="61" t="n">
        <f aca="false">Painel!$L$130</f>
        <v>423</v>
      </c>
      <c r="I114" s="100" t="n">
        <f aca="false">IF(H114="","",H114-F114)</f>
        <v>20</v>
      </c>
      <c r="J114" s="101" t="n">
        <f aca="false">IF(OR(H114="",F114=0),"",H114/F114-1)</f>
        <v>0.0496277915632755</v>
      </c>
      <c r="K114" s="62" t="n">
        <v>191</v>
      </c>
      <c r="L114" s="42" t="n">
        <v>76973</v>
      </c>
      <c r="M114" s="43" t="n">
        <f aca="false">IF(H114="",F114*K114,H114*K114)</f>
        <v>80793</v>
      </c>
      <c r="N114" s="66" t="n">
        <f aca="false">M114-L114</f>
        <v>3820</v>
      </c>
      <c r="O114" s="102" t="str">
        <f aca="false">IF(F114=0,"Sem qtd. no contrato",IF(ABS(H114/F114-1)&lt;=0.02,"Confere (±2%)",IF(H114&gt;F114,"Projeto maior","Projeto menor")))</f>
        <v>Projeto maior</v>
      </c>
      <c r="P114" s="67" t="s">
        <v>1014</v>
      </c>
      <c r="Q114" s="103"/>
      <c r="R114" s="104" t="str">
        <f aca="false">HYPERLINK("#'Painel'!B130","→ 130")</f>
        <v>→ 130</v>
      </c>
    </row>
    <row r="115" customFormat="false" ht="15" hidden="false" customHeight="false" outlineLevel="0" collapsed="false">
      <c r="B115" s="97" t="n">
        <v>116</v>
      </c>
      <c r="C115" s="40" t="s">
        <v>255</v>
      </c>
      <c r="D115" s="98" t="s">
        <v>1040</v>
      </c>
      <c r="E115" s="40" t="s">
        <v>176</v>
      </c>
      <c r="F115" s="64" t="n">
        <v>703</v>
      </c>
      <c r="G115" s="31"/>
      <c r="H115" s="61" t="n">
        <f aca="false">Painel!$L$131</f>
        <v>710</v>
      </c>
      <c r="I115" s="100" t="n">
        <f aca="false">IF(H115="","",H115-F115)</f>
        <v>7</v>
      </c>
      <c r="J115" s="101" t="n">
        <f aca="false">IF(OR(H115="",F115=0),"",H115/F115-1)</f>
        <v>0.00995732574679953</v>
      </c>
      <c r="K115" s="62" t="n">
        <v>254</v>
      </c>
      <c r="L115" s="42" t="n">
        <v>178562</v>
      </c>
      <c r="M115" s="43" t="n">
        <f aca="false">IF(H115="",F115*K115,H115*K115)</f>
        <v>180340</v>
      </c>
      <c r="N115" s="66" t="n">
        <f aca="false">M115-L115</f>
        <v>1778</v>
      </c>
      <c r="O115" s="102" t="str">
        <f aca="false">IF(F115=0,"Sem qtd. no contrato",IF(ABS(H115/F115-1)&lt;=0.02,"Confere (±2%)",IF(H115&gt;F115,"Projeto maior","Projeto menor")))</f>
        <v>Confere (±2%)</v>
      </c>
      <c r="P115" s="67" t="s">
        <v>1014</v>
      </c>
      <c r="Q115" s="103"/>
      <c r="R115" s="104" t="str">
        <f aca="false">HYPERLINK("#'Painel'!B131","→ 131")</f>
        <v>→ 131</v>
      </c>
    </row>
    <row r="116" customFormat="false" ht="15" hidden="false" customHeight="false" outlineLevel="0" collapsed="false">
      <c r="B116" s="97" t="n">
        <v>117</v>
      </c>
      <c r="C116" s="40" t="s">
        <v>257</v>
      </c>
      <c r="D116" s="98" t="s">
        <v>1041</v>
      </c>
      <c r="E116" s="40" t="s">
        <v>176</v>
      </c>
      <c r="F116" s="64" t="n">
        <v>3385</v>
      </c>
      <c r="G116" s="31"/>
      <c r="H116" s="61" t="n">
        <f aca="false">Painel!$L$132</f>
        <v>3380</v>
      </c>
      <c r="I116" s="100" t="n">
        <f aca="false">IF(H116="","",H116-F116)</f>
        <v>-5</v>
      </c>
      <c r="J116" s="101" t="n">
        <f aca="false">IF(OR(H116="",F116=0),"",H116/F116-1)</f>
        <v>-0.00147710487444608</v>
      </c>
      <c r="K116" s="62" t="n">
        <v>151.59</v>
      </c>
      <c r="L116" s="42" t="n">
        <v>513132.15</v>
      </c>
      <c r="M116" s="43" t="n">
        <f aca="false">IF(H116="",F116*K116,H116*K116)</f>
        <v>512374.2</v>
      </c>
      <c r="N116" s="66" t="n">
        <f aca="false">M116-L116</f>
        <v>-757.950000000012</v>
      </c>
      <c r="O116" s="102" t="str">
        <f aca="false">IF(F116=0,"Sem qtd. no contrato",IF(ABS(H116/F116-1)&lt;=0.02,"Confere (±2%)",IF(H116&gt;F116,"Projeto maior","Projeto menor")))</f>
        <v>Confere (±2%)</v>
      </c>
      <c r="P116" s="67" t="s">
        <v>1014</v>
      </c>
      <c r="Q116" s="103"/>
      <c r="R116" s="104" t="str">
        <f aca="false">HYPERLINK("#'Painel'!B132","→ 132")</f>
        <v>→ 132</v>
      </c>
    </row>
    <row r="117" customFormat="false" ht="15" hidden="false" customHeight="false" outlineLevel="0" collapsed="false">
      <c r="B117" s="97" t="n">
        <v>118</v>
      </c>
      <c r="C117" s="40" t="s">
        <v>247</v>
      </c>
      <c r="D117" s="98" t="s">
        <v>1042</v>
      </c>
      <c r="E117" s="40" t="s">
        <v>176</v>
      </c>
      <c r="F117" s="64" t="n">
        <v>366</v>
      </c>
      <c r="G117" s="31"/>
      <c r="H117" s="61" t="n">
        <f aca="false">Painel!$L$127</f>
        <v>366</v>
      </c>
      <c r="I117" s="100" t="n">
        <f aca="false">IF(H117="","",H117-F117)</f>
        <v>0</v>
      </c>
      <c r="J117" s="101" t="n">
        <f aca="false">IF(OR(H117="",F117=0),"",H117/F117-1)</f>
        <v>0</v>
      </c>
      <c r="K117" s="62" t="n">
        <v>228.74</v>
      </c>
      <c r="L117" s="42" t="n">
        <v>83718.84</v>
      </c>
      <c r="M117" s="43" t="n">
        <f aca="false">IF(H117="",F117*K117,H117*K117)</f>
        <v>83718.84</v>
      </c>
      <c r="N117" s="66" t="n">
        <f aca="false">M117-L117</f>
        <v>0</v>
      </c>
      <c r="O117" s="102" t="str">
        <f aca="false">IF(F117=0,"Sem qtd. no contrato",IF(ABS(H117/F117-1)&lt;=0.02,"Confere (±2%)",IF(H117&gt;F117,"Projeto maior","Projeto menor")))</f>
        <v>Confere (±2%)</v>
      </c>
      <c r="P117" s="67" t="s">
        <v>1014</v>
      </c>
      <c r="Q117" s="103"/>
      <c r="R117" s="104" t="str">
        <f aca="false">HYPERLINK("#'Painel'!B127","→ 127")</f>
        <v>→ 127</v>
      </c>
    </row>
    <row r="118" customFormat="false" ht="15" hidden="false" customHeight="false" outlineLevel="0" collapsed="false">
      <c r="B118" s="97" t="n">
        <v>119</v>
      </c>
      <c r="C118" s="40" t="s">
        <v>249</v>
      </c>
      <c r="D118" s="98" t="s">
        <v>1043</v>
      </c>
      <c r="E118" s="40" t="s">
        <v>176</v>
      </c>
      <c r="F118" s="64" t="n">
        <v>216</v>
      </c>
      <c r="G118" s="31"/>
      <c r="H118" s="61" t="n">
        <f aca="false">Painel!$L$128</f>
        <v>216</v>
      </c>
      <c r="I118" s="100" t="n">
        <f aca="false">IF(H118="","",H118-F118)</f>
        <v>0</v>
      </c>
      <c r="J118" s="101" t="n">
        <f aca="false">IF(OR(H118="",F118=0),"",H118/F118-1)</f>
        <v>0</v>
      </c>
      <c r="K118" s="62" t="n">
        <v>311.55</v>
      </c>
      <c r="L118" s="42" t="n">
        <v>67294.8</v>
      </c>
      <c r="M118" s="43" t="n">
        <f aca="false">IF(H118="",F118*K118,H118*K118)</f>
        <v>67294.8</v>
      </c>
      <c r="N118" s="66" t="n">
        <f aca="false">M118-L118</f>
        <v>0</v>
      </c>
      <c r="O118" s="102" t="str">
        <f aca="false">IF(F118=0,"Sem qtd. no contrato",IF(ABS(H118/F118-1)&lt;=0.02,"Confere (±2%)",IF(H118&gt;F118,"Projeto maior","Projeto menor")))</f>
        <v>Confere (±2%)</v>
      </c>
      <c r="P118" s="67" t="s">
        <v>1014</v>
      </c>
      <c r="Q118" s="103"/>
      <c r="R118" s="104" t="str">
        <f aca="false">HYPERLINK("#'Painel'!B128","→ 128")</f>
        <v>→ 128</v>
      </c>
    </row>
    <row r="119" customFormat="false" ht="15" hidden="false" customHeight="false" outlineLevel="0" collapsed="false">
      <c r="B119" s="97" t="n">
        <v>120</v>
      </c>
      <c r="C119" s="40" t="s">
        <v>251</v>
      </c>
      <c r="D119" s="98" t="s">
        <v>1044</v>
      </c>
      <c r="E119" s="40" t="s">
        <v>176</v>
      </c>
      <c r="F119" s="64" t="n">
        <v>4927</v>
      </c>
      <c r="G119" s="31"/>
      <c r="H119" s="61" t="n">
        <f aca="false">Painel!$L$129</f>
        <v>4927</v>
      </c>
      <c r="I119" s="100" t="n">
        <f aca="false">IF(H119="","",H119-F119)</f>
        <v>0</v>
      </c>
      <c r="J119" s="101" t="n">
        <f aca="false">IF(OR(H119="",F119=0),"",H119/F119-1)</f>
        <v>0</v>
      </c>
      <c r="K119" s="62" t="n">
        <v>185.04</v>
      </c>
      <c r="L119" s="42" t="n">
        <v>911692.08</v>
      </c>
      <c r="M119" s="43" t="n">
        <f aca="false">IF(H119="",F119*K119,H119*K119)</f>
        <v>911692.08</v>
      </c>
      <c r="N119" s="66" t="n">
        <f aca="false">M119-L119</f>
        <v>0</v>
      </c>
      <c r="O119" s="102" t="str">
        <f aca="false">IF(F119=0,"Sem qtd. no contrato",IF(ABS(H119/F119-1)&lt;=0.02,"Confere (±2%)",IF(H119&gt;F119,"Projeto maior","Projeto menor")))</f>
        <v>Confere (±2%)</v>
      </c>
      <c r="P119" s="67" t="s">
        <v>1014</v>
      </c>
      <c r="Q119" s="103"/>
      <c r="R119" s="104" t="str">
        <f aca="false">HYPERLINK("#'Painel'!B129","→ 129")</f>
        <v>→ 129</v>
      </c>
    </row>
    <row r="120" customFormat="false" ht="15" hidden="false" customHeight="false" outlineLevel="0" collapsed="false">
      <c r="B120" s="45"/>
      <c r="C120" s="45"/>
      <c r="D120" s="105" t="s">
        <v>1045</v>
      </c>
      <c r="E120" s="45"/>
      <c r="F120" s="45"/>
      <c r="G120" s="45"/>
      <c r="H120" s="45"/>
      <c r="I120" s="45"/>
      <c r="J120" s="45"/>
      <c r="K120" s="45"/>
      <c r="L120" s="106" t="n">
        <f aca="false">SUM(L70:L119)</f>
        <v>11263596.61</v>
      </c>
      <c r="M120" s="106" t="n">
        <f aca="false">SUM(M70:M119)</f>
        <v>11246770.9055824</v>
      </c>
      <c r="N120" s="107" t="n">
        <f aca="false">SUM(N70:N119)</f>
        <v>-16825.7044176144</v>
      </c>
      <c r="O120" s="45"/>
      <c r="P120" s="45"/>
      <c r="Q120" s="45"/>
      <c r="R120" s="45"/>
    </row>
    <row r="122" customFormat="false" ht="15" hidden="false" customHeight="false" outlineLevel="0" collapsed="false">
      <c r="B122" s="96" t="s">
        <v>1046</v>
      </c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</row>
    <row r="123" customFormat="false" ht="15" hidden="false" customHeight="false" outlineLevel="0" collapsed="false">
      <c r="B123" s="97" t="n">
        <v>123</v>
      </c>
      <c r="C123" s="40" t="s">
        <v>422</v>
      </c>
      <c r="D123" s="98" t="s">
        <v>546</v>
      </c>
      <c r="E123" s="40" t="s">
        <v>173</v>
      </c>
      <c r="F123" s="64" t="n">
        <v>1999.81</v>
      </c>
      <c r="G123" s="31"/>
      <c r="H123" s="61" t="n">
        <f aca="false">(Painel!$L$229)*1</f>
        <v>4682.66</v>
      </c>
      <c r="I123" s="100" t="n">
        <f aca="false">IF(H123="","",H123-F123)</f>
        <v>2682.85</v>
      </c>
      <c r="J123" s="101" t="n">
        <f aca="false">IF(OR(H123="",F123=0),"",H123/F123-1)</f>
        <v>1.34155244748251</v>
      </c>
      <c r="K123" s="62" t="n">
        <v>18.67</v>
      </c>
      <c r="L123" s="42" t="n">
        <v>37336.45</v>
      </c>
      <c r="M123" s="43" t="n">
        <f aca="false">IF(H123="",F123*K123,H123*K123)</f>
        <v>87425.2622</v>
      </c>
      <c r="N123" s="66" t="n">
        <f aca="false">M123-L123</f>
        <v>50088.8122</v>
      </c>
      <c r="O123" s="102" t="str">
        <f aca="false">IF(F123=0,"Sem qtd. no contrato",IF(ABS(H123/F123-1)&lt;=0.02,"Confere (±2%)",IF(H123&gt;F123,"Projeto maior","Projeto menor")))</f>
        <v>Projeto maior</v>
      </c>
      <c r="P123" s="67" t="s">
        <v>1047</v>
      </c>
      <c r="Q123" s="103" t="s">
        <v>1048</v>
      </c>
      <c r="R123" s="104" t="str">
        <f aca="false">HYPERLINK("#'Painel'!B234","→ 234")</f>
        <v>→ 234</v>
      </c>
    </row>
    <row r="124" customFormat="false" ht="15" hidden="false" customHeight="false" outlineLevel="0" collapsed="false">
      <c r="B124" s="97" t="n">
        <v>124</v>
      </c>
      <c r="C124" s="40" t="s">
        <v>425</v>
      </c>
      <c r="D124" s="98" t="s">
        <v>1049</v>
      </c>
      <c r="E124" s="40" t="s">
        <v>173</v>
      </c>
      <c r="F124" s="64" t="n">
        <v>8435.5</v>
      </c>
      <c r="G124" s="31"/>
      <c r="H124" s="61" t="n">
        <f aca="false">(Painel!$L$230)*1</f>
        <v>2083.632</v>
      </c>
      <c r="I124" s="100" t="n">
        <f aca="false">IF(H124="","",H124-F124)</f>
        <v>-6351.868</v>
      </c>
      <c r="J124" s="101" t="n">
        <f aca="false">IF(OR(H124="",F124=0),"",H124/F124-1)</f>
        <v>-0.752992472289728</v>
      </c>
      <c r="K124" s="62" t="n">
        <v>20.08</v>
      </c>
      <c r="L124" s="42" t="n">
        <v>169384.84</v>
      </c>
      <c r="M124" s="43" t="n">
        <f aca="false">IF(H124="",F124*K124,H124*K124)</f>
        <v>41839.33056</v>
      </c>
      <c r="N124" s="66" t="n">
        <f aca="false">M124-L124</f>
        <v>-127545.50944</v>
      </c>
      <c r="O124" s="102" t="str">
        <f aca="false">IF(F124=0,"Sem qtd. no contrato",IF(ABS(H124/F124-1)&lt;=0.02,"Confere (±2%)",IF(H124&gt;F124,"Projeto maior","Projeto menor")))</f>
        <v>Projeto menor</v>
      </c>
      <c r="P124" s="67" t="s">
        <v>1047</v>
      </c>
      <c r="Q124" s="103" t="s">
        <v>1050</v>
      </c>
      <c r="R124" s="104" t="str">
        <f aca="false">HYPERLINK("#'Painel'!B235","→ 235")</f>
        <v>→ 235</v>
      </c>
    </row>
    <row r="125" customFormat="false" ht="15" hidden="false" customHeight="false" outlineLevel="0" collapsed="false">
      <c r="B125" s="97" t="n">
        <v>125</v>
      </c>
      <c r="C125" s="40" t="s">
        <v>375</v>
      </c>
      <c r="D125" s="98" t="s">
        <v>470</v>
      </c>
      <c r="E125" s="40" t="s">
        <v>77</v>
      </c>
      <c r="F125" s="64" t="n">
        <v>226.82</v>
      </c>
      <c r="G125" s="31"/>
      <c r="H125" s="61" t="n">
        <f aca="false">(Painel!$L$192)*1</f>
        <v>227.04</v>
      </c>
      <c r="I125" s="100" t="n">
        <f aca="false">IF(H125="","",H125-F125)</f>
        <v>0.220000000000027</v>
      </c>
      <c r="J125" s="101" t="n">
        <f aca="false">IF(OR(H125="",F125=0),"",H125/F125-1)</f>
        <v>0.000969932104752713</v>
      </c>
      <c r="K125" s="62" t="n">
        <v>456.92</v>
      </c>
      <c r="L125" s="42" t="n">
        <v>103638.59</v>
      </c>
      <c r="M125" s="43" t="n">
        <f aca="false">IF(H125="",F125*K125,H125*K125)</f>
        <v>103739.1168</v>
      </c>
      <c r="N125" s="66" t="n">
        <f aca="false">M125-L125</f>
        <v>100.526800000021</v>
      </c>
      <c r="O125" s="102" t="str">
        <f aca="false">IF(F125=0,"Sem qtd. no contrato",IF(ABS(H125/F125-1)&lt;=0.02,"Confere (±2%)",IF(H125&gt;F125,"Projeto maior","Projeto menor")))</f>
        <v>Confere (±2%)</v>
      </c>
      <c r="P125" s="67" t="s">
        <v>1051</v>
      </c>
      <c r="Q125" s="103"/>
      <c r="R125" s="104" t="str">
        <f aca="false">HYPERLINK("#'Painel'!B198","→ 198")</f>
        <v>→ 198</v>
      </c>
    </row>
    <row r="126" customFormat="false" ht="15" hidden="false" customHeight="false" outlineLevel="0" collapsed="false">
      <c r="B126" s="97" t="n">
        <v>126</v>
      </c>
      <c r="C126" s="40" t="s">
        <v>427</v>
      </c>
      <c r="D126" s="98" t="s">
        <v>984</v>
      </c>
      <c r="E126" s="40" t="s">
        <v>77</v>
      </c>
      <c r="F126" s="64" t="n">
        <v>211.15</v>
      </c>
      <c r="G126" s="31"/>
      <c r="H126" s="61" t="n">
        <f aca="false">(Painel!$L$232)*1</f>
        <v>73.9807</v>
      </c>
      <c r="I126" s="100" t="n">
        <f aca="false">IF(H126="","",H126-F126)</f>
        <v>-137.1693</v>
      </c>
      <c r="J126" s="101" t="n">
        <f aca="false">IF(OR(H126="",F126=0),"",H126/F126-1)</f>
        <v>-0.649629647170258</v>
      </c>
      <c r="K126" s="62" t="n">
        <v>60.31</v>
      </c>
      <c r="L126" s="42" t="n">
        <v>12734.45</v>
      </c>
      <c r="M126" s="43" t="n">
        <f aca="false">IF(H126="",F126*K126,H126*K126)</f>
        <v>4461.776017</v>
      </c>
      <c r="N126" s="66" t="n">
        <f aca="false">M126-L126</f>
        <v>-8272.673983</v>
      </c>
      <c r="O126" s="102" t="str">
        <f aca="false">IF(F126=0,"Sem qtd. no contrato",IF(ABS(H126/F126-1)&lt;=0.02,"Confere (±2%)",IF(H126&gt;F126,"Projeto maior","Projeto menor")))</f>
        <v>Projeto menor</v>
      </c>
      <c r="P126" s="67" t="s">
        <v>1047</v>
      </c>
      <c r="Q126" s="103" t="s">
        <v>1052</v>
      </c>
      <c r="R126" s="104" t="str">
        <f aca="false">HYPERLINK("#'Painel'!B236","→ 236")</f>
        <v>→ 236</v>
      </c>
    </row>
    <row r="127" customFormat="false" ht="15" hidden="false" customHeight="false" outlineLevel="0" collapsed="false">
      <c r="B127" s="97" t="n">
        <v>127</v>
      </c>
      <c r="C127" s="40" t="s">
        <v>429</v>
      </c>
      <c r="D127" s="98" t="s">
        <v>1053</v>
      </c>
      <c r="E127" s="40" t="s">
        <v>77</v>
      </c>
      <c r="F127" s="64" t="n">
        <v>920.67</v>
      </c>
      <c r="G127" s="31"/>
      <c r="H127" s="61" t="n">
        <f aca="false">(Painel!$L$226)*1</f>
        <v>139.4781</v>
      </c>
      <c r="I127" s="100" t="n">
        <f aca="false">IF(H127="","",H127-F127)</f>
        <v>-781.1919</v>
      </c>
      <c r="J127" s="101" t="n">
        <f aca="false">IF(OR(H127="",F127=0),"",H127/F127-1)</f>
        <v>-0.848503698393561</v>
      </c>
      <c r="K127" s="62" t="n">
        <v>760.45</v>
      </c>
      <c r="L127" s="42" t="n">
        <v>700123.5</v>
      </c>
      <c r="M127" s="43" t="n">
        <f aca="false">IF(H127="",F127*K127,H127*K127)</f>
        <v>106066.121145</v>
      </c>
      <c r="N127" s="66" t="n">
        <f aca="false">M127-L127</f>
        <v>-594057.378855</v>
      </c>
      <c r="O127" s="102" t="str">
        <f aca="false">IF(F127=0,"Sem qtd. no contrato",IF(ABS(H127/F127-1)&lt;=0.02,"Confere (±2%)",IF(H127&gt;F127,"Projeto maior","Projeto menor")))</f>
        <v>Projeto menor</v>
      </c>
      <c r="P127" s="67" t="s">
        <v>1047</v>
      </c>
      <c r="Q127" s="103" t="s">
        <v>1054</v>
      </c>
      <c r="R127" s="104" t="str">
        <f aca="false">HYPERLINK("#'Painel'!B237","→ 237")</f>
        <v>→ 237</v>
      </c>
    </row>
    <row r="128" customFormat="false" ht="15" hidden="false" customHeight="false" outlineLevel="0" collapsed="false">
      <c r="B128" s="97" t="n">
        <v>128</v>
      </c>
      <c r="C128" s="40" t="s">
        <v>440</v>
      </c>
      <c r="D128" s="98" t="s">
        <v>1055</v>
      </c>
      <c r="E128" s="40" t="s">
        <v>77</v>
      </c>
      <c r="F128" s="64" t="n">
        <v>48.01</v>
      </c>
      <c r="G128" s="31"/>
      <c r="H128" s="108"/>
      <c r="I128" s="100" t="str">
        <f aca="false">IF(H128="","",H128-F128)</f>
        <v/>
      </c>
      <c r="J128" s="101" t="str">
        <f aca="false">IF(OR(H128="",F128=0),"",H128/F128-1)</f>
        <v/>
      </c>
      <c r="K128" s="62" t="n">
        <v>793.16</v>
      </c>
      <c r="L128" s="42" t="n">
        <v>38079.61</v>
      </c>
      <c r="M128" s="43" t="n">
        <f aca="false">IF(H128="",F128*K128,H128*K128)</f>
        <v>38079.6116</v>
      </c>
      <c r="N128" s="66" t="n">
        <f aca="false">M128-L128</f>
        <v>0.00159999999596039</v>
      </c>
      <c r="O128" s="102" t="s">
        <v>999</v>
      </c>
      <c r="P128" s="67" t="s">
        <v>1056</v>
      </c>
      <c r="Q128" s="103" t="s">
        <v>1057</v>
      </c>
      <c r="R128" s="104" t="str">
        <f aca="false">HYPERLINK("#'Painel'!B242","→ 242")</f>
        <v>→ 242</v>
      </c>
    </row>
    <row r="129" customFormat="false" ht="15" hidden="false" customHeight="false" outlineLevel="0" collapsed="false">
      <c r="B129" s="97" t="n">
        <v>129</v>
      </c>
      <c r="C129" s="40" t="s">
        <v>431</v>
      </c>
      <c r="D129" s="98" t="s">
        <v>1058</v>
      </c>
      <c r="E129" s="40" t="s">
        <v>77</v>
      </c>
      <c r="F129" s="64" t="n">
        <v>12.57</v>
      </c>
      <c r="G129" s="31"/>
      <c r="H129" s="61" t="n">
        <f aca="false">(Painel!$L$227)*1</f>
        <v>4.07</v>
      </c>
      <c r="I129" s="100" t="n">
        <f aca="false">IF(H129="","",H129-F129)</f>
        <v>-8.5</v>
      </c>
      <c r="J129" s="101" t="n">
        <f aca="false">IF(OR(H129="",F129=0),"",H129/F129-1)</f>
        <v>-0.676213206046142</v>
      </c>
      <c r="K129" s="62" t="n">
        <v>675.02</v>
      </c>
      <c r="L129" s="42" t="n">
        <v>8485</v>
      </c>
      <c r="M129" s="43" t="n">
        <f aca="false">IF(H129="",F129*K129,H129*K129)</f>
        <v>2747.3314</v>
      </c>
      <c r="N129" s="66" t="n">
        <f aca="false">M129-L129</f>
        <v>-5737.6686</v>
      </c>
      <c r="O129" s="102" t="str">
        <f aca="false">IF(F129=0,"Sem qtd. no contrato",IF(ABS(H129/F129-1)&lt;=0.02,"Confere (±2%)",IF(H129&gt;F129,"Projeto maior","Projeto menor")))</f>
        <v>Projeto menor</v>
      </c>
      <c r="P129" s="67" t="s">
        <v>1047</v>
      </c>
      <c r="Q129" s="103" t="s">
        <v>1059</v>
      </c>
      <c r="R129" s="104" t="str">
        <f aca="false">HYPERLINK("#'Painel'!B238","→ 238")</f>
        <v>→ 238</v>
      </c>
    </row>
    <row r="130" customFormat="false" ht="15" hidden="false" customHeight="false" outlineLevel="0" collapsed="false">
      <c r="B130" s="97" t="n">
        <v>130</v>
      </c>
      <c r="C130" s="40" t="s">
        <v>433</v>
      </c>
      <c r="D130" s="98" t="s">
        <v>736</v>
      </c>
      <c r="E130" s="40" t="s">
        <v>73</v>
      </c>
      <c r="F130" s="64" t="n">
        <v>3207</v>
      </c>
      <c r="G130" s="31"/>
      <c r="H130" s="61" t="n">
        <f aca="false">(Painel!$L$193)*1</f>
        <v>1001.9928</v>
      </c>
      <c r="I130" s="100" t="n">
        <f aca="false">IF(H130="","",H130-F130)</f>
        <v>-2205.0072</v>
      </c>
      <c r="J130" s="101" t="n">
        <f aca="false">IF(OR(H130="",F130=0),"",H130/F130-1)</f>
        <v>-0.687560710944808</v>
      </c>
      <c r="K130" s="62" t="n">
        <v>13.61</v>
      </c>
      <c r="L130" s="42" t="n">
        <v>43647.27</v>
      </c>
      <c r="M130" s="43" t="n">
        <f aca="false">IF(H130="",F130*K130,H130*K130)</f>
        <v>13637.122008</v>
      </c>
      <c r="N130" s="66" t="n">
        <f aca="false">M130-L130</f>
        <v>-30010.147992</v>
      </c>
      <c r="O130" s="102" t="str">
        <f aca="false">IF(F130=0,"Sem qtd. no contrato",IF(ABS(H130/F130-1)&lt;=0.02,"Confere (±2%)",IF(H130&gt;F130,"Projeto maior","Projeto menor")))</f>
        <v>Projeto menor</v>
      </c>
      <c r="P130" s="67" t="s">
        <v>1060</v>
      </c>
      <c r="Q130" s="103" t="s">
        <v>1061</v>
      </c>
      <c r="R130" s="104" t="str">
        <f aca="false">HYPERLINK("#'Painel'!B239","→ 239")</f>
        <v>→ 239</v>
      </c>
    </row>
    <row r="131" customFormat="false" ht="15" hidden="false" customHeight="false" outlineLevel="0" collapsed="false">
      <c r="B131" s="97" t="n">
        <v>131</v>
      </c>
      <c r="C131" s="40" t="s">
        <v>436</v>
      </c>
      <c r="D131" s="98" t="s">
        <v>475</v>
      </c>
      <c r="E131" s="40" t="s">
        <v>77</v>
      </c>
      <c r="F131" s="64" t="n">
        <v>20153.71</v>
      </c>
      <c r="G131" s="31"/>
      <c r="H131" s="61" t="n">
        <f aca="false">(Painel!$L$194+Painel!$L$231)*1</f>
        <v>17983.191</v>
      </c>
      <c r="I131" s="100" t="n">
        <f aca="false">IF(H131="","",H131-F131)</f>
        <v>-2170.519</v>
      </c>
      <c r="J131" s="101" t="n">
        <f aca="false">IF(OR(H131="",F131=0),"",H131/F131-1)</f>
        <v>-0.107698235213268</v>
      </c>
      <c r="K131" s="62" t="n">
        <v>20.76</v>
      </c>
      <c r="L131" s="42" t="n">
        <v>418391.01</v>
      </c>
      <c r="M131" s="43" t="n">
        <f aca="false">IF(H131="",F131*K131,H131*K131)</f>
        <v>373331.04516</v>
      </c>
      <c r="N131" s="66" t="n">
        <f aca="false">M131-L131</f>
        <v>-45059.96484</v>
      </c>
      <c r="O131" s="102" t="str">
        <f aca="false">IF(F131=0,"Sem qtd. no contrato",IF(ABS(H131/F131-1)&lt;=0.02,"Confere (±2%)",IF(H131&gt;F131,"Projeto maior","Projeto menor")))</f>
        <v>Projeto menor</v>
      </c>
      <c r="P131" s="67" t="s">
        <v>1060</v>
      </c>
      <c r="Q131" s="103" t="s">
        <v>1062</v>
      </c>
      <c r="R131" s="104" t="str">
        <f aca="false">HYPERLINK("#'Painel'!B240","→ 240")</f>
        <v>→ 240</v>
      </c>
    </row>
    <row r="132" customFormat="false" ht="15" hidden="false" customHeight="false" outlineLevel="0" collapsed="false">
      <c r="B132" s="97" t="n">
        <v>132</v>
      </c>
      <c r="C132" s="40" t="s">
        <v>443</v>
      </c>
      <c r="D132" s="98" t="s">
        <v>1063</v>
      </c>
      <c r="E132" s="40" t="s">
        <v>77</v>
      </c>
      <c r="F132" s="64" t="n">
        <v>462.72</v>
      </c>
      <c r="G132" s="31"/>
      <c r="H132" s="108"/>
      <c r="I132" s="100" t="str">
        <f aca="false">IF(H132="","",H132-F132)</f>
        <v/>
      </c>
      <c r="J132" s="101" t="str">
        <f aca="false">IF(OR(H132="",F132=0),"",H132/F132-1)</f>
        <v/>
      </c>
      <c r="K132" s="62" t="n">
        <v>175.43</v>
      </c>
      <c r="L132" s="42" t="n">
        <v>81174.96</v>
      </c>
      <c r="M132" s="43" t="n">
        <f aca="false">IF(H132="",F132*K132,H132*K132)</f>
        <v>81174.9696</v>
      </c>
      <c r="N132" s="66" t="n">
        <f aca="false">M132-L132</f>
        <v>0.00960000000486616</v>
      </c>
      <c r="O132" s="102" t="s">
        <v>999</v>
      </c>
      <c r="P132" s="67" t="s">
        <v>1056</v>
      </c>
      <c r="Q132" s="103" t="s">
        <v>1064</v>
      </c>
      <c r="R132" s="104" t="str">
        <f aca="false">HYPERLINK("#'Painel'!B243","→ 243")</f>
        <v>→ 243</v>
      </c>
    </row>
    <row r="133" customFormat="false" ht="15" hidden="false" customHeight="false" outlineLevel="0" collapsed="false">
      <c r="B133" s="97" t="n">
        <v>133</v>
      </c>
      <c r="C133" s="40" t="s">
        <v>438</v>
      </c>
      <c r="D133" s="98" t="s">
        <v>1065</v>
      </c>
      <c r="E133" s="40" t="s">
        <v>73</v>
      </c>
      <c r="F133" s="64" t="n">
        <v>3752.7</v>
      </c>
      <c r="G133" s="31"/>
      <c r="H133" s="61" t="n">
        <f aca="false">(Painel!$L$228)*1</f>
        <v>1483.994</v>
      </c>
      <c r="I133" s="100" t="n">
        <f aca="false">IF(H133="","",H133-F133)</f>
        <v>-2268.706</v>
      </c>
      <c r="J133" s="101" t="n">
        <f aca="false">IF(OR(H133="",F133=0),"",H133/F133-1)</f>
        <v>-0.604552988514936</v>
      </c>
      <c r="K133" s="62" t="n">
        <v>68.59</v>
      </c>
      <c r="L133" s="42" t="n">
        <v>257397.69</v>
      </c>
      <c r="M133" s="43" t="n">
        <f aca="false">IF(H133="",F133*K133,H133*K133)</f>
        <v>101787.14846</v>
      </c>
      <c r="N133" s="66" t="n">
        <f aca="false">M133-L133</f>
        <v>-155610.54154</v>
      </c>
      <c r="O133" s="102" t="str">
        <f aca="false">IF(F133=0,"Sem qtd. no contrato",IF(ABS(H133/F133-1)&lt;=0.02,"Confere (±2%)",IF(H133&gt;F133,"Projeto maior","Projeto menor")))</f>
        <v>Projeto menor</v>
      </c>
      <c r="P133" s="67" t="s">
        <v>1047</v>
      </c>
      <c r="Q133" s="103" t="s">
        <v>1066</v>
      </c>
      <c r="R133" s="104" t="str">
        <f aca="false">HYPERLINK("#'Painel'!B241","→ 241")</f>
        <v>→ 241</v>
      </c>
    </row>
    <row r="134" customFormat="false" ht="15" hidden="false" customHeight="false" outlineLevel="0" collapsed="false">
      <c r="B134" s="97" t="n">
        <v>134</v>
      </c>
      <c r="C134" s="40" t="s">
        <v>385</v>
      </c>
      <c r="D134" s="98" t="s">
        <v>1067</v>
      </c>
      <c r="E134" s="40" t="s">
        <v>80</v>
      </c>
      <c r="F134" s="64" t="n">
        <v>36</v>
      </c>
      <c r="G134" s="31"/>
      <c r="H134" s="61" t="n">
        <f aca="false">Painel!$L$202</f>
        <v>5</v>
      </c>
      <c r="I134" s="100" t="n">
        <f aca="false">IF(H134="","",H134-F134)</f>
        <v>-31</v>
      </c>
      <c r="J134" s="101" t="n">
        <f aca="false">IF(OR(H134="",F134=0),"",H134/F134-1)</f>
        <v>-0.861111111111111</v>
      </c>
      <c r="K134" s="62" t="n">
        <v>544.96</v>
      </c>
      <c r="L134" s="42" t="n">
        <v>19618.56</v>
      </c>
      <c r="M134" s="43" t="n">
        <f aca="false">IF(H134="",F134*K134,H134*K134)</f>
        <v>2724.8</v>
      </c>
      <c r="N134" s="66" t="n">
        <f aca="false">M134-L134</f>
        <v>-16893.76</v>
      </c>
      <c r="O134" s="102" t="str">
        <f aca="false">IF(F134=0,"Sem qtd. no contrato",IF(ABS(H134/F134-1)&lt;=0.02,"Confere (±2%)",IF(H134&gt;F134,"Projeto maior","Projeto menor")))</f>
        <v>Projeto menor</v>
      </c>
      <c r="P134" s="67" t="s">
        <v>997</v>
      </c>
      <c r="Q134" s="103" t="s">
        <v>1068</v>
      </c>
      <c r="R134" s="104" t="str">
        <f aca="false">HYPERLINK("#'Painel'!B202","→ 202")</f>
        <v>→ 202</v>
      </c>
    </row>
    <row r="135" customFormat="false" ht="15" hidden="false" customHeight="false" outlineLevel="0" collapsed="false">
      <c r="B135" s="97" t="n">
        <v>135</v>
      </c>
      <c r="C135" s="40" t="s">
        <v>468</v>
      </c>
      <c r="D135" s="98" t="s">
        <v>1069</v>
      </c>
      <c r="E135" s="40" t="s">
        <v>176</v>
      </c>
      <c r="F135" s="64" t="n">
        <v>1539</v>
      </c>
      <c r="G135" s="31"/>
      <c r="H135" s="61" t="n">
        <f aca="false">Painel!$L$255</f>
        <v>57</v>
      </c>
      <c r="I135" s="100" t="n">
        <f aca="false">IF(H135="","",H135-F135)</f>
        <v>-1482</v>
      </c>
      <c r="J135" s="101" t="n">
        <f aca="false">IF(OR(H135="",F135=0),"",H135/F135-1)</f>
        <v>-0.962962962962963</v>
      </c>
      <c r="K135" s="62" t="n">
        <v>12.58</v>
      </c>
      <c r="L135" s="42" t="n">
        <v>19360.62</v>
      </c>
      <c r="M135" s="43" t="n">
        <f aca="false">IF(H135="",F135*K135,H135*K135)</f>
        <v>717.06</v>
      </c>
      <c r="N135" s="66" t="n">
        <f aca="false">M135-L135</f>
        <v>-18643.56</v>
      </c>
      <c r="O135" s="102" t="str">
        <f aca="false">IF(F135=0,"Sem qtd. no contrato",IF(ABS(H135/F135-1)&lt;=0.02,"Confere (±2%)",IF(H135&gt;F135,"Projeto maior","Projeto menor")))</f>
        <v>Projeto menor</v>
      </c>
      <c r="P135" s="67" t="s">
        <v>1018</v>
      </c>
      <c r="Q135" s="103" t="s">
        <v>1070</v>
      </c>
      <c r="R135" s="104" t="str">
        <f aca="false">HYPERLINK("#'Painel'!B255","→ 255")</f>
        <v>→ 255</v>
      </c>
    </row>
    <row r="136" customFormat="false" ht="15" hidden="false" customHeight="false" outlineLevel="0" collapsed="false">
      <c r="B136" s="97" t="n">
        <v>136</v>
      </c>
      <c r="C136" s="40" t="s">
        <v>449</v>
      </c>
      <c r="D136" s="98" t="s">
        <v>450</v>
      </c>
      <c r="E136" s="40" t="s">
        <v>73</v>
      </c>
      <c r="F136" s="64" t="n">
        <v>3186.3</v>
      </c>
      <c r="G136" s="31"/>
      <c r="H136" s="61" t="n">
        <f aca="false">(Painel!$L$244)*1</f>
        <v>6545.288</v>
      </c>
      <c r="I136" s="100" t="n">
        <f aca="false">IF(H136="","",H136-F136)</f>
        <v>3358.988</v>
      </c>
      <c r="J136" s="101" t="n">
        <f aca="false">IF(OR(H136="",F136=0),"",H136/F136-1)</f>
        <v>1.05419703103914</v>
      </c>
      <c r="K136" s="62" t="n">
        <v>10.13</v>
      </c>
      <c r="L136" s="42" t="n">
        <v>32277.21</v>
      </c>
      <c r="M136" s="43" t="n">
        <f aca="false">IF(H136="",F136*K136,H136*K136)</f>
        <v>66303.76744</v>
      </c>
      <c r="N136" s="66" t="n">
        <f aca="false">M136-L136</f>
        <v>34026.55744</v>
      </c>
      <c r="O136" s="102" t="str">
        <f aca="false">IF(F136=0,"Sem qtd. no contrato",IF(ABS(H136/F136-1)&lt;=0.02,"Confere (±2%)",IF(H136&gt;F136,"Projeto maior","Projeto menor")))</f>
        <v>Projeto maior</v>
      </c>
      <c r="P136" s="67" t="s">
        <v>1071</v>
      </c>
      <c r="Q136" s="103" t="s">
        <v>1072</v>
      </c>
      <c r="R136" s="104" t="str">
        <f aca="false">HYPERLINK("#'Painel'!B246","→ 246")</f>
        <v>→ 246</v>
      </c>
    </row>
    <row r="137" customFormat="false" ht="15" hidden="false" customHeight="false" outlineLevel="0" collapsed="false">
      <c r="B137" s="97" t="n">
        <v>137</v>
      </c>
      <c r="C137" s="40" t="s">
        <v>452</v>
      </c>
      <c r="D137" s="98" t="s">
        <v>453</v>
      </c>
      <c r="E137" s="40" t="s">
        <v>77</v>
      </c>
      <c r="F137" s="64" t="n">
        <v>237.12</v>
      </c>
      <c r="G137" s="31"/>
      <c r="H137" s="61" t="n">
        <f aca="false">(Painel!$L$245)*1</f>
        <v>487.0912</v>
      </c>
      <c r="I137" s="100" t="n">
        <f aca="false">IF(H137="","",H137-F137)</f>
        <v>249.9712</v>
      </c>
      <c r="J137" s="101" t="n">
        <f aca="false">IF(OR(H137="",F137=0),"",H137/F137-1)</f>
        <v>1.05419703103914</v>
      </c>
      <c r="K137" s="62" t="n">
        <v>247.24</v>
      </c>
      <c r="L137" s="42" t="n">
        <v>58625.54</v>
      </c>
      <c r="M137" s="43" t="n">
        <f aca="false">IF(H137="",F137*K137,H137*K137)</f>
        <v>120428.428288</v>
      </c>
      <c r="N137" s="66" t="n">
        <f aca="false">M137-L137</f>
        <v>61802.888288</v>
      </c>
      <c r="O137" s="102" t="str">
        <f aca="false">IF(F137=0,"Sem qtd. no contrato",IF(ABS(H137/F137-1)&lt;=0.02,"Confere (±2%)",IF(H137&gt;F137,"Projeto maior","Projeto menor")))</f>
        <v>Projeto maior</v>
      </c>
      <c r="P137" s="67" t="s">
        <v>1073</v>
      </c>
      <c r="Q137" s="103" t="s">
        <v>1074</v>
      </c>
      <c r="R137" s="104" t="str">
        <f aca="false">HYPERLINK("#'Painel'!B247","→ 247")</f>
        <v>→ 247</v>
      </c>
    </row>
    <row r="138" customFormat="false" ht="15" hidden="false" customHeight="false" outlineLevel="0" collapsed="false">
      <c r="B138" s="97" t="n">
        <v>138</v>
      </c>
      <c r="C138" s="40" t="s">
        <v>366</v>
      </c>
      <c r="D138" s="98" t="s">
        <v>482</v>
      </c>
      <c r="E138" s="40" t="s">
        <v>77</v>
      </c>
      <c r="F138" s="64" t="n">
        <v>360.5</v>
      </c>
      <c r="G138" s="31"/>
      <c r="H138" s="61" t="n">
        <f aca="false">(Painel!$L$187)*1</f>
        <v>166.5</v>
      </c>
      <c r="I138" s="100" t="n">
        <f aca="false">IF(H138="","",H138-F138)</f>
        <v>-194</v>
      </c>
      <c r="J138" s="101" t="n">
        <f aca="false">IF(OR(H138="",F138=0),"",H138/F138-1)</f>
        <v>-0.538141470180305</v>
      </c>
      <c r="K138" s="62" t="n">
        <v>1017.57</v>
      </c>
      <c r="L138" s="42" t="n">
        <v>366833.98</v>
      </c>
      <c r="M138" s="43" t="n">
        <f aca="false">IF(H138="",F138*K138,H138*K138)</f>
        <v>169425.405</v>
      </c>
      <c r="N138" s="66" t="n">
        <f aca="false">M138-L138</f>
        <v>-197408.575</v>
      </c>
      <c r="O138" s="102" t="str">
        <f aca="false">IF(F138=0,"Sem qtd. no contrato",IF(ABS(H138/F138-1)&lt;=0.02,"Confere (±2%)",IF(H138&gt;F138,"Projeto maior","Projeto menor")))</f>
        <v>Projeto menor</v>
      </c>
      <c r="P138" s="67" t="s">
        <v>1075</v>
      </c>
      <c r="Q138" s="103" t="s">
        <v>1076</v>
      </c>
      <c r="R138" s="104" t="str">
        <f aca="false">HYPERLINK("#'Painel'!B195","→ 195")</f>
        <v>→ 195</v>
      </c>
    </row>
    <row r="139" customFormat="false" ht="15" hidden="false" customHeight="false" outlineLevel="0" collapsed="false">
      <c r="B139" s="97" t="n">
        <v>139</v>
      </c>
      <c r="C139" s="40" t="s">
        <v>369</v>
      </c>
      <c r="D139" s="98" t="s">
        <v>1077</v>
      </c>
      <c r="E139" s="40" t="s">
        <v>77</v>
      </c>
      <c r="F139" s="64" t="n">
        <v>902</v>
      </c>
      <c r="G139" s="31"/>
      <c r="H139" s="61" t="n">
        <f aca="false">(Painel!$L$188)*1</f>
        <v>863</v>
      </c>
      <c r="I139" s="100" t="n">
        <f aca="false">IF(H139="","",H139-F139)</f>
        <v>-39</v>
      </c>
      <c r="J139" s="101" t="n">
        <f aca="false">IF(OR(H139="",F139=0),"",H139/F139-1)</f>
        <v>-0.0432372505543237</v>
      </c>
      <c r="K139" s="62" t="n">
        <v>823.68</v>
      </c>
      <c r="L139" s="42" t="n">
        <v>742959.36</v>
      </c>
      <c r="M139" s="43" t="n">
        <f aca="false">IF(H139="",F139*K139,H139*K139)</f>
        <v>710835.84</v>
      </c>
      <c r="N139" s="66" t="n">
        <f aca="false">M139-L139</f>
        <v>-32123.52</v>
      </c>
      <c r="O139" s="102" t="str">
        <f aca="false">IF(F139=0,"Sem qtd. no contrato",IF(ABS(H139/F139-1)&lt;=0.02,"Confere (±2%)",IF(H139&gt;F139,"Projeto maior","Projeto menor")))</f>
        <v>Projeto menor</v>
      </c>
      <c r="P139" s="67" t="s">
        <v>1078</v>
      </c>
      <c r="Q139" s="103" t="s">
        <v>1079</v>
      </c>
      <c r="R139" s="104" t="str">
        <f aca="false">HYPERLINK("#'Painel'!B196","→ 196")</f>
        <v>→ 196</v>
      </c>
    </row>
    <row r="140" customFormat="false" ht="15" hidden="false" customHeight="false" outlineLevel="0" collapsed="false">
      <c r="B140" s="97" t="n">
        <v>140</v>
      </c>
      <c r="C140" s="40" t="s">
        <v>372</v>
      </c>
      <c r="D140" s="98" t="s">
        <v>1080</v>
      </c>
      <c r="E140" s="40" t="s">
        <v>73</v>
      </c>
      <c r="F140" s="64" t="n">
        <v>6854</v>
      </c>
      <c r="G140" s="31"/>
      <c r="H140" s="61" t="n">
        <f aca="false">(Painel!$L$189)*1</f>
        <v>6266</v>
      </c>
      <c r="I140" s="100" t="n">
        <f aca="false">IF(H140="","",H140-F140)</f>
        <v>-588</v>
      </c>
      <c r="J140" s="101" t="n">
        <f aca="false">IF(OR(H140="",F140=0),"",H140/F140-1)</f>
        <v>-0.0857893201050481</v>
      </c>
      <c r="K140" s="62" t="n">
        <v>296.51</v>
      </c>
      <c r="L140" s="42" t="n">
        <v>2032279.54</v>
      </c>
      <c r="M140" s="43" t="n">
        <f aca="false">IF(H140="",F140*K140,H140*K140)</f>
        <v>1857931.66</v>
      </c>
      <c r="N140" s="66" t="n">
        <f aca="false">M140-L140</f>
        <v>-174347.88</v>
      </c>
      <c r="O140" s="102" t="str">
        <f aca="false">IF(F140=0,"Sem qtd. no contrato",IF(ABS(H140/F140-1)&lt;=0.02,"Confere (±2%)",IF(H140&gt;F140,"Projeto maior","Projeto menor")))</f>
        <v>Projeto menor</v>
      </c>
      <c r="P140" s="67" t="s">
        <v>1081</v>
      </c>
      <c r="Q140" s="103" t="s">
        <v>1082</v>
      </c>
      <c r="R140" s="104" t="str">
        <f aca="false">HYPERLINK("#'Painel'!B197","→ 197")</f>
        <v>→ 197</v>
      </c>
    </row>
    <row r="141" customFormat="false" ht="15" hidden="false" customHeight="false" outlineLevel="0" collapsed="false">
      <c r="B141" s="45"/>
      <c r="C141" s="45"/>
      <c r="D141" s="105" t="s">
        <v>1083</v>
      </c>
      <c r="E141" s="45"/>
      <c r="F141" s="45"/>
      <c r="G141" s="45"/>
      <c r="H141" s="45"/>
      <c r="I141" s="45"/>
      <c r="J141" s="45"/>
      <c r="K141" s="45"/>
      <c r="L141" s="106" t="n">
        <f aca="false">SUM(L123:L140)</f>
        <v>5142348.18</v>
      </c>
      <c r="M141" s="106" t="n">
        <f aca="false">SUM(M123:M140)</f>
        <v>3882655.795678</v>
      </c>
      <c r="N141" s="107" t="n">
        <f aca="false">SUM(N123:N140)</f>
        <v>-1259692.384322</v>
      </c>
      <c r="O141" s="45"/>
      <c r="P141" s="45"/>
      <c r="Q141" s="45"/>
      <c r="R141" s="45"/>
    </row>
    <row r="143" customFormat="false" ht="15" hidden="false" customHeight="false" outlineLevel="0" collapsed="false">
      <c r="B143" s="96" t="s">
        <v>1084</v>
      </c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</row>
    <row r="144" customFormat="false" ht="15" hidden="false" customHeight="false" outlineLevel="0" collapsed="false">
      <c r="B144" s="97" t="n">
        <v>143</v>
      </c>
      <c r="C144" s="40" t="s">
        <v>164</v>
      </c>
      <c r="D144" s="98" t="s">
        <v>165</v>
      </c>
      <c r="E144" s="40" t="s">
        <v>73</v>
      </c>
      <c r="F144" s="64" t="n">
        <v>3099</v>
      </c>
      <c r="G144" s="99" t="n">
        <v>3099</v>
      </c>
      <c r="H144" s="61" t="n">
        <f aca="false">3099</f>
        <v>3099</v>
      </c>
      <c r="I144" s="100" t="n">
        <f aca="false">IF(H144="","",H144-F144)</f>
        <v>0</v>
      </c>
      <c r="J144" s="101" t="n">
        <f aca="false">IF(OR(H144="",F144=0),"",H144/F144-1)</f>
        <v>0</v>
      </c>
      <c r="K144" s="62" t="n">
        <v>73.18</v>
      </c>
      <c r="L144" s="42" t="n">
        <v>226784.82</v>
      </c>
      <c r="M144" s="43" t="n">
        <f aca="false">IF(H144="",F144*K144,H144*K144)</f>
        <v>226784.82</v>
      </c>
      <c r="N144" s="66" t="n">
        <f aca="false">M144-L144</f>
        <v>0</v>
      </c>
      <c r="O144" s="102" t="str">
        <f aca="false">IF(F144=0,"Sem qtd. no contrato",IF(ABS(H144/F144-1)&lt;=0.02,"Confere (±2%)",IF(H144&gt;F144,"Projeto maior","Projeto menor")))</f>
        <v>Confere (±2%)</v>
      </c>
      <c r="P144" s="67" t="s">
        <v>1085</v>
      </c>
      <c r="Q144" s="103"/>
      <c r="R144" s="104" t="str">
        <f aca="false">HYPERLINK("#'Painel'!B85","→ 85")</f>
        <v>→ 85</v>
      </c>
    </row>
    <row r="145" customFormat="false" ht="15" hidden="false" customHeight="false" outlineLevel="0" collapsed="false">
      <c r="B145" s="97" t="n">
        <v>144</v>
      </c>
      <c r="C145" s="40" t="s">
        <v>167</v>
      </c>
      <c r="D145" s="98" t="s">
        <v>168</v>
      </c>
      <c r="E145" s="40" t="s">
        <v>80</v>
      </c>
      <c r="F145" s="64" t="n">
        <v>179</v>
      </c>
      <c r="G145" s="99" t="n">
        <v>179</v>
      </c>
      <c r="H145" s="61" t="n">
        <f aca="false">179</f>
        <v>179</v>
      </c>
      <c r="I145" s="100" t="n">
        <f aca="false">IF(H145="","",H145-F145)</f>
        <v>0</v>
      </c>
      <c r="J145" s="101" t="n">
        <f aca="false">IF(OR(H145="",F145=0),"",H145/F145-1)</f>
        <v>0</v>
      </c>
      <c r="K145" s="62" t="n">
        <v>43.19</v>
      </c>
      <c r="L145" s="42" t="n">
        <v>7731.01</v>
      </c>
      <c r="M145" s="43" t="n">
        <f aca="false">IF(H145="",F145*K145,H145*K145)</f>
        <v>7731.01</v>
      </c>
      <c r="N145" s="66" t="n">
        <f aca="false">M145-L145</f>
        <v>0</v>
      </c>
      <c r="O145" s="102" t="str">
        <f aca="false">IF(F145=0,"Sem qtd. no contrato",IF(ABS(H145/F145-1)&lt;=0.02,"Confere (±2%)",IF(H145&gt;F145,"Projeto maior","Projeto menor")))</f>
        <v>Confere (±2%)</v>
      </c>
      <c r="P145" s="67" t="s">
        <v>1086</v>
      </c>
      <c r="Q145" s="103"/>
      <c r="R145" s="104" t="str">
        <f aca="false">HYPERLINK("#'Painel'!B86","→ 86")</f>
        <v>→ 86</v>
      </c>
    </row>
    <row r="146" customFormat="false" ht="15" hidden="false" customHeight="false" outlineLevel="0" collapsed="false">
      <c r="B146" s="97" t="n">
        <v>145</v>
      </c>
      <c r="C146" s="40" t="s">
        <v>169</v>
      </c>
      <c r="D146" s="98" t="s">
        <v>170</v>
      </c>
      <c r="E146" s="40" t="s">
        <v>77</v>
      </c>
      <c r="F146" s="64" t="n">
        <v>201.44</v>
      </c>
      <c r="G146" s="99" t="n">
        <v>201.44</v>
      </c>
      <c r="H146" s="61" t="n">
        <f aca="false">201.44</f>
        <v>201.44</v>
      </c>
      <c r="I146" s="100" t="n">
        <f aca="false">IF(H146="","",H146-F146)</f>
        <v>0</v>
      </c>
      <c r="J146" s="101" t="n">
        <f aca="false">IF(OR(H146="",F146=0),"",H146/F146-1)</f>
        <v>0</v>
      </c>
      <c r="K146" s="62" t="n">
        <v>2549.55</v>
      </c>
      <c r="L146" s="42" t="n">
        <v>513581.35</v>
      </c>
      <c r="M146" s="43" t="n">
        <f aca="false">IF(H146="",F146*K146,H146*K146)</f>
        <v>513581.352</v>
      </c>
      <c r="N146" s="66" t="n">
        <f aca="false">M146-L146</f>
        <v>0.00200000003678724</v>
      </c>
      <c r="O146" s="102" t="str">
        <f aca="false">IF(F146=0,"Sem qtd. no contrato",IF(ABS(H146/F146-1)&lt;=0.02,"Confere (±2%)",IF(H146&gt;F146,"Projeto maior","Projeto menor")))</f>
        <v>Confere (±2%)</v>
      </c>
      <c r="P146" s="67" t="s">
        <v>1087</v>
      </c>
      <c r="Q146" s="103"/>
      <c r="R146" s="104" t="str">
        <f aca="false">HYPERLINK("#'Painel'!B87","→ 87")</f>
        <v>→ 87</v>
      </c>
    </row>
    <row r="147" customFormat="false" ht="15" hidden="false" customHeight="false" outlineLevel="0" collapsed="false">
      <c r="B147" s="97" t="n">
        <v>146</v>
      </c>
      <c r="C147" s="40" t="s">
        <v>171</v>
      </c>
      <c r="D147" s="98" t="s">
        <v>172</v>
      </c>
      <c r="E147" s="40" t="s">
        <v>173</v>
      </c>
      <c r="F147" s="64" t="n">
        <v>2409.47</v>
      </c>
      <c r="G147" s="99" t="n">
        <v>2409.47</v>
      </c>
      <c r="H147" s="61" t="n">
        <f aca="false">2409.47</f>
        <v>2409.47</v>
      </c>
      <c r="I147" s="100" t="n">
        <f aca="false">IF(H147="","",H147-F147)</f>
        <v>0</v>
      </c>
      <c r="J147" s="101" t="n">
        <f aca="false">IF(OR(H147="",F147=0),"",H147/F147-1)</f>
        <v>0</v>
      </c>
      <c r="K147" s="62" t="n">
        <v>19.53</v>
      </c>
      <c r="L147" s="42" t="n">
        <v>47056.94</v>
      </c>
      <c r="M147" s="43" t="n">
        <f aca="false">IF(H147="",F147*K147,H147*K147)</f>
        <v>47056.9491</v>
      </c>
      <c r="N147" s="66" t="n">
        <f aca="false">M147-L147</f>
        <v>0.00909999999566935</v>
      </c>
      <c r="O147" s="102" t="str">
        <f aca="false">IF(F147=0,"Sem qtd. no contrato",IF(ABS(H147/F147-1)&lt;=0.02,"Confere (±2%)",IF(H147&gt;F147,"Projeto maior","Projeto menor")))</f>
        <v>Confere (±2%)</v>
      </c>
      <c r="P147" s="67" t="s">
        <v>1088</v>
      </c>
      <c r="Q147" s="103" t="s">
        <v>1089</v>
      </c>
      <c r="R147" s="104" t="str">
        <f aca="false">HYPERLINK("#'Painel'!B88","→ 88")</f>
        <v>→ 88</v>
      </c>
    </row>
    <row r="148" customFormat="false" ht="15" hidden="false" customHeight="false" outlineLevel="0" collapsed="false">
      <c r="B148" s="97" t="n">
        <v>147</v>
      </c>
      <c r="C148" s="40" t="s">
        <v>174</v>
      </c>
      <c r="D148" s="98" t="s">
        <v>175</v>
      </c>
      <c r="E148" s="40" t="s">
        <v>176</v>
      </c>
      <c r="F148" s="64" t="n">
        <v>1162.13</v>
      </c>
      <c r="G148" s="99" t="n">
        <v>1162.13</v>
      </c>
      <c r="H148" s="61" t="n">
        <f aca="false">1162.13</f>
        <v>1162.13</v>
      </c>
      <c r="I148" s="100" t="n">
        <f aca="false">IF(H148="","",H148-F148)</f>
        <v>0</v>
      </c>
      <c r="J148" s="101" t="n">
        <f aca="false">IF(OR(H148="",F148=0),"",H148/F148-1)</f>
        <v>0</v>
      </c>
      <c r="K148" s="62" t="n">
        <v>669.97</v>
      </c>
      <c r="L148" s="42" t="n">
        <v>778592.23</v>
      </c>
      <c r="M148" s="43" t="n">
        <f aca="false">IF(H148="",F148*K148,H148*K148)</f>
        <v>778592.2361</v>
      </c>
      <c r="N148" s="66" t="n">
        <f aca="false">M148-L148</f>
        <v>0.00610000011511147</v>
      </c>
      <c r="O148" s="102" t="str">
        <f aca="false">IF(F148=0,"Sem qtd. no contrato",IF(ABS(H148/F148-1)&lt;=0.02,"Confere (±2%)",IF(H148&gt;F148,"Projeto maior","Projeto menor")))</f>
        <v>Confere (±2%)</v>
      </c>
      <c r="P148" s="67" t="s">
        <v>1090</v>
      </c>
      <c r="Q148" s="103"/>
      <c r="R148" s="104" t="str">
        <f aca="false">HYPERLINK("#'Painel'!B89","→ 89")</f>
        <v>→ 89</v>
      </c>
    </row>
    <row r="149" customFormat="false" ht="15" hidden="false" customHeight="false" outlineLevel="0" collapsed="false">
      <c r="B149" s="45"/>
      <c r="C149" s="45"/>
      <c r="D149" s="105" t="s">
        <v>1091</v>
      </c>
      <c r="E149" s="45"/>
      <c r="F149" s="45"/>
      <c r="G149" s="45"/>
      <c r="H149" s="45"/>
      <c r="I149" s="45"/>
      <c r="J149" s="45"/>
      <c r="K149" s="45"/>
      <c r="L149" s="106" t="n">
        <f aca="false">SUM(L144:L148)</f>
        <v>1573746.35</v>
      </c>
      <c r="M149" s="106" t="n">
        <f aca="false">SUM(M144:M148)</f>
        <v>1573746.3672</v>
      </c>
      <c r="N149" s="107" t="n">
        <f aca="false">SUM(N144:N148)</f>
        <v>0.0172000001475681</v>
      </c>
      <c r="O149" s="45"/>
      <c r="P149" s="45"/>
      <c r="Q149" s="45"/>
      <c r="R149" s="45"/>
    </row>
    <row r="151" customFormat="false" ht="15" hidden="false" customHeight="false" outlineLevel="0" collapsed="false">
      <c r="B151" s="96" t="s">
        <v>1092</v>
      </c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</row>
    <row r="152" customFormat="false" ht="15" hidden="false" customHeight="false" outlineLevel="0" collapsed="false">
      <c r="B152" s="97" t="n">
        <v>151</v>
      </c>
      <c r="C152" s="40" t="s">
        <v>498</v>
      </c>
      <c r="D152" s="98" t="s">
        <v>546</v>
      </c>
      <c r="E152" s="40" t="s">
        <v>173</v>
      </c>
      <c r="F152" s="64" t="n">
        <v>22922</v>
      </c>
      <c r="G152" s="31"/>
      <c r="H152" s="61" t="n">
        <f aca="false">22922</f>
        <v>22922</v>
      </c>
      <c r="I152" s="100" t="n">
        <f aca="false">IF(H152="","",H152-F152)</f>
        <v>0</v>
      </c>
      <c r="J152" s="101" t="n">
        <f aca="false">IF(OR(H152="",F152=0),"",H152/F152-1)</f>
        <v>0</v>
      </c>
      <c r="K152" s="62" t="n">
        <v>18.52</v>
      </c>
      <c r="L152" s="42" t="n">
        <v>424515.44</v>
      </c>
      <c r="M152" s="43" t="n">
        <f aca="false">IF(H152="",F152*K152,H152*K152)</f>
        <v>424515.44</v>
      </c>
      <c r="N152" s="66" t="n">
        <f aca="false">M152-L152</f>
        <v>0</v>
      </c>
      <c r="O152" s="102" t="str">
        <f aca="false">IF(F152=0,"Sem qtd. no contrato",IF(ABS(H152/F152-1)&lt;=0.02,"Confere (±2%)",IF(H152&gt;F152,"Projeto maior","Projeto menor")))</f>
        <v>Confere (±2%)</v>
      </c>
      <c r="P152" s="67" t="s">
        <v>1093</v>
      </c>
      <c r="Q152" s="103" t="s">
        <v>1094</v>
      </c>
      <c r="R152" s="104" t="str">
        <f aca="false">HYPERLINK("#'Painel'!B305","→ 305")</f>
        <v>→ 305</v>
      </c>
    </row>
    <row r="153" customFormat="false" ht="15" hidden="false" customHeight="false" outlineLevel="0" collapsed="false">
      <c r="B153" s="97" t="n">
        <v>152</v>
      </c>
      <c r="C153" s="40" t="s">
        <v>548</v>
      </c>
      <c r="D153" s="98" t="s">
        <v>549</v>
      </c>
      <c r="E153" s="40" t="s">
        <v>77</v>
      </c>
      <c r="F153" s="64" t="n">
        <v>39.8</v>
      </c>
      <c r="G153" s="31"/>
      <c r="H153" s="61" t="n">
        <f aca="false">39.8</f>
        <v>39.8</v>
      </c>
      <c r="I153" s="100" t="n">
        <f aca="false">IF(H153="","",H153-F153)</f>
        <v>0</v>
      </c>
      <c r="J153" s="101" t="n">
        <f aca="false">IF(OR(H153="",F153=0),"",H153/F153-1)</f>
        <v>0</v>
      </c>
      <c r="K153" s="62" t="n">
        <v>1138.17</v>
      </c>
      <c r="L153" s="42" t="n">
        <v>45299.16</v>
      </c>
      <c r="M153" s="43" t="n">
        <f aca="false">IF(H153="",F153*K153,H153*K153)</f>
        <v>45299.166</v>
      </c>
      <c r="N153" s="66" t="n">
        <f aca="false">M153-L153</f>
        <v>0.0059999999939464</v>
      </c>
      <c r="O153" s="102" t="str">
        <f aca="false">IF(F153=0,"Sem qtd. no contrato",IF(ABS(H153/F153-1)&lt;=0.02,"Confere (±2%)",IF(H153&gt;F153,"Projeto maior","Projeto menor")))</f>
        <v>Confere (±2%)</v>
      </c>
      <c r="P153" s="67" t="s">
        <v>1093</v>
      </c>
      <c r="Q153" s="103" t="s">
        <v>1094</v>
      </c>
      <c r="R153" s="104" t="str">
        <f aca="false">HYPERLINK("#'Painel'!B306","→ 306")</f>
        <v>→ 306</v>
      </c>
    </row>
    <row r="154" customFormat="false" ht="15" hidden="false" customHeight="false" outlineLevel="0" collapsed="false">
      <c r="B154" s="97" t="n">
        <v>153</v>
      </c>
      <c r="C154" s="40" t="s">
        <v>509</v>
      </c>
      <c r="D154" s="98" t="s">
        <v>550</v>
      </c>
      <c r="E154" s="40" t="s">
        <v>77</v>
      </c>
      <c r="F154" s="64" t="n">
        <v>130.4</v>
      </c>
      <c r="G154" s="31"/>
      <c r="H154" s="61" t="n">
        <f aca="false">130.4</f>
        <v>130.4</v>
      </c>
      <c r="I154" s="100" t="n">
        <f aca="false">IF(H154="","",H154-F154)</f>
        <v>0</v>
      </c>
      <c r="J154" s="101" t="n">
        <f aca="false">IF(OR(H154="",F154=0),"",H154/F154-1)</f>
        <v>0</v>
      </c>
      <c r="K154" s="62" t="n">
        <v>42.33</v>
      </c>
      <c r="L154" s="42" t="n">
        <v>5519.83</v>
      </c>
      <c r="M154" s="43" t="n">
        <f aca="false">IF(H154="",F154*K154,H154*K154)</f>
        <v>5519.832</v>
      </c>
      <c r="N154" s="66" t="n">
        <f aca="false">M154-L154</f>
        <v>0.00200000000040745</v>
      </c>
      <c r="O154" s="102" t="str">
        <f aca="false">IF(F154=0,"Sem qtd. no contrato",IF(ABS(H154/F154-1)&lt;=0.02,"Confere (±2%)",IF(H154&gt;F154,"Projeto maior","Projeto menor")))</f>
        <v>Confere (±2%)</v>
      </c>
      <c r="P154" s="67" t="s">
        <v>1093</v>
      </c>
      <c r="Q154" s="103" t="s">
        <v>1094</v>
      </c>
      <c r="R154" s="104" t="str">
        <f aca="false">HYPERLINK("#'Painel'!B307","→ 307")</f>
        <v>→ 307</v>
      </c>
    </row>
    <row r="155" customFormat="false" ht="15" hidden="false" customHeight="false" outlineLevel="0" collapsed="false">
      <c r="B155" s="97" t="n">
        <v>154</v>
      </c>
      <c r="C155" s="40" t="s">
        <v>551</v>
      </c>
      <c r="D155" s="98" t="s">
        <v>552</v>
      </c>
      <c r="E155" s="40" t="s">
        <v>77</v>
      </c>
      <c r="F155" s="64" t="n">
        <v>116.44</v>
      </c>
      <c r="G155" s="31"/>
      <c r="H155" s="61" t="n">
        <f aca="false">116.44</f>
        <v>116.44</v>
      </c>
      <c r="I155" s="100" t="n">
        <f aca="false">IF(H155="","",H155-F155)</f>
        <v>0</v>
      </c>
      <c r="J155" s="101" t="n">
        <f aca="false">IF(OR(H155="",F155=0),"",H155/F155-1)</f>
        <v>0</v>
      </c>
      <c r="K155" s="62" t="n">
        <v>537.79</v>
      </c>
      <c r="L155" s="42" t="n">
        <v>62620.26</v>
      </c>
      <c r="M155" s="43" t="n">
        <f aca="false">IF(H155="",F155*K155,H155*K155)</f>
        <v>62620.2676</v>
      </c>
      <c r="N155" s="66" t="n">
        <f aca="false">M155-L155</f>
        <v>0.00759999998990679</v>
      </c>
      <c r="O155" s="102" t="str">
        <f aca="false">IF(F155=0,"Sem qtd. no contrato",IF(ABS(H155/F155-1)&lt;=0.02,"Confere (±2%)",IF(H155&gt;F155,"Projeto maior","Projeto menor")))</f>
        <v>Confere (±2%)</v>
      </c>
      <c r="P155" s="67" t="s">
        <v>1093</v>
      </c>
      <c r="Q155" s="103" t="s">
        <v>1094</v>
      </c>
      <c r="R155" s="104" t="str">
        <f aca="false">HYPERLINK("#'Painel'!B308","→ 308")</f>
        <v>→ 308</v>
      </c>
    </row>
    <row r="156" customFormat="false" ht="15" hidden="false" customHeight="false" outlineLevel="0" collapsed="false">
      <c r="B156" s="97" t="n">
        <v>155</v>
      </c>
      <c r="C156" s="40" t="s">
        <v>553</v>
      </c>
      <c r="D156" s="98" t="s">
        <v>554</v>
      </c>
      <c r="E156" s="40" t="s">
        <v>77</v>
      </c>
      <c r="F156" s="64" t="n">
        <v>13.96</v>
      </c>
      <c r="G156" s="31"/>
      <c r="H156" s="61" t="n">
        <f aca="false">13.96</f>
        <v>13.96</v>
      </c>
      <c r="I156" s="100" t="n">
        <f aca="false">IF(H156="","",H156-F156)</f>
        <v>0</v>
      </c>
      <c r="J156" s="101" t="n">
        <f aca="false">IF(OR(H156="",F156=0),"",H156/F156-1)</f>
        <v>0</v>
      </c>
      <c r="K156" s="62" t="n">
        <v>503.57</v>
      </c>
      <c r="L156" s="42" t="n">
        <v>7029.83</v>
      </c>
      <c r="M156" s="43" t="n">
        <f aca="false">IF(H156="",F156*K156,H156*K156)</f>
        <v>7029.8372</v>
      </c>
      <c r="N156" s="66" t="n">
        <f aca="false">M156-L156</f>
        <v>0.00720000000001164</v>
      </c>
      <c r="O156" s="102" t="str">
        <f aca="false">IF(F156=0,"Sem qtd. no contrato",IF(ABS(H156/F156-1)&lt;=0.02,"Confere (±2%)",IF(H156&gt;F156,"Projeto maior","Projeto menor")))</f>
        <v>Confere (±2%)</v>
      </c>
      <c r="P156" s="67" t="s">
        <v>1093</v>
      </c>
      <c r="Q156" s="103" t="s">
        <v>1094</v>
      </c>
      <c r="R156" s="104" t="str">
        <f aca="false">HYPERLINK("#'Painel'!B309","→ 309")</f>
        <v>→ 309</v>
      </c>
    </row>
    <row r="157" customFormat="false" ht="15" hidden="false" customHeight="false" outlineLevel="0" collapsed="false">
      <c r="B157" s="97" t="n">
        <v>156</v>
      </c>
      <c r="C157" s="40" t="s">
        <v>555</v>
      </c>
      <c r="D157" s="98" t="s">
        <v>556</v>
      </c>
      <c r="E157" s="40" t="s">
        <v>176</v>
      </c>
      <c r="F157" s="64" t="n">
        <v>120</v>
      </c>
      <c r="G157" s="31"/>
      <c r="H157" s="61" t="n">
        <f aca="false">120</f>
        <v>120</v>
      </c>
      <c r="I157" s="100" t="n">
        <f aca="false">IF(H157="","",H157-F157)</f>
        <v>0</v>
      </c>
      <c r="J157" s="101" t="n">
        <f aca="false">IF(OR(H157="",F157=0),"",H157/F157-1)</f>
        <v>0</v>
      </c>
      <c r="K157" s="62" t="n">
        <v>1164.36</v>
      </c>
      <c r="L157" s="42" t="n">
        <v>139723.2</v>
      </c>
      <c r="M157" s="43" t="n">
        <f aca="false">IF(H157="",F157*K157,H157*K157)</f>
        <v>139723.2</v>
      </c>
      <c r="N157" s="66" t="n">
        <f aca="false">M157-L157</f>
        <v>0</v>
      </c>
      <c r="O157" s="102" t="str">
        <f aca="false">IF(F157=0,"Sem qtd. no contrato",IF(ABS(H157/F157-1)&lt;=0.02,"Confere (±2%)",IF(H157&gt;F157,"Projeto maior","Projeto menor")))</f>
        <v>Confere (±2%)</v>
      </c>
      <c r="P157" s="67" t="s">
        <v>1093</v>
      </c>
      <c r="Q157" s="103" t="s">
        <v>1094</v>
      </c>
      <c r="R157" s="104" t="str">
        <f aca="false">HYPERLINK("#'Painel'!B310","→ 310")</f>
        <v>→ 310</v>
      </c>
    </row>
    <row r="158" customFormat="false" ht="15" hidden="false" customHeight="false" outlineLevel="0" collapsed="false">
      <c r="B158" s="97" t="n">
        <v>157</v>
      </c>
      <c r="C158" s="40" t="s">
        <v>557</v>
      </c>
      <c r="D158" s="98" t="s">
        <v>558</v>
      </c>
      <c r="E158" s="40" t="s">
        <v>176</v>
      </c>
      <c r="F158" s="64" t="n">
        <v>168</v>
      </c>
      <c r="G158" s="31"/>
      <c r="H158" s="61" t="n">
        <f aca="false">168</f>
        <v>168</v>
      </c>
      <c r="I158" s="100" t="n">
        <f aca="false">IF(H158="","",H158-F158)</f>
        <v>0</v>
      </c>
      <c r="J158" s="101" t="n">
        <f aca="false">IF(OR(H158="",F158=0),"",H158/F158-1)</f>
        <v>0</v>
      </c>
      <c r="K158" s="62" t="n">
        <v>633.06</v>
      </c>
      <c r="L158" s="42" t="n">
        <v>106354.08</v>
      </c>
      <c r="M158" s="43" t="n">
        <f aca="false">IF(H158="",F158*K158,H158*K158)</f>
        <v>106354.08</v>
      </c>
      <c r="N158" s="66" t="n">
        <f aca="false">M158-L158</f>
        <v>0</v>
      </c>
      <c r="O158" s="102" t="str">
        <f aca="false">IF(F158=0,"Sem qtd. no contrato",IF(ABS(H158/F158-1)&lt;=0.02,"Confere (±2%)",IF(H158&gt;F158,"Projeto maior","Projeto menor")))</f>
        <v>Confere (±2%)</v>
      </c>
      <c r="P158" s="67" t="s">
        <v>1093</v>
      </c>
      <c r="Q158" s="103" t="s">
        <v>1094</v>
      </c>
      <c r="R158" s="104" t="str">
        <f aca="false">HYPERLINK("#'Painel'!B311","→ 311")</f>
        <v>→ 311</v>
      </c>
    </row>
    <row r="159" customFormat="false" ht="15" hidden="false" customHeight="false" outlineLevel="0" collapsed="false">
      <c r="B159" s="97" t="n">
        <v>158</v>
      </c>
      <c r="C159" s="40" t="s">
        <v>505</v>
      </c>
      <c r="D159" s="98" t="s">
        <v>559</v>
      </c>
      <c r="E159" s="40" t="s">
        <v>73</v>
      </c>
      <c r="F159" s="64" t="n">
        <v>364.69</v>
      </c>
      <c r="G159" s="31"/>
      <c r="H159" s="61" t="n">
        <f aca="false">364.69</f>
        <v>364.69</v>
      </c>
      <c r="I159" s="100" t="n">
        <f aca="false">IF(H159="","",H159-F159)</f>
        <v>0</v>
      </c>
      <c r="J159" s="101" t="n">
        <f aca="false">IF(OR(H159="",F159=0),"",H159/F159-1)</f>
        <v>0</v>
      </c>
      <c r="K159" s="62" t="n">
        <v>88.88</v>
      </c>
      <c r="L159" s="42" t="n">
        <v>32413.64</v>
      </c>
      <c r="M159" s="43" t="n">
        <f aca="false">IF(H159="",F159*K159,H159*K159)</f>
        <v>32413.6472</v>
      </c>
      <c r="N159" s="66" t="n">
        <f aca="false">M159-L159</f>
        <v>0.00720000000001164</v>
      </c>
      <c r="O159" s="102" t="str">
        <f aca="false">IF(F159=0,"Sem qtd. no contrato",IF(ABS(H159/F159-1)&lt;=0.02,"Confere (±2%)",IF(H159&gt;F159,"Projeto maior","Projeto menor")))</f>
        <v>Confere (±2%)</v>
      </c>
      <c r="P159" s="67" t="s">
        <v>1093</v>
      </c>
      <c r="Q159" s="103" t="s">
        <v>1094</v>
      </c>
      <c r="R159" s="104" t="str">
        <f aca="false">HYPERLINK("#'Painel'!B312","→ 312")</f>
        <v>→ 312</v>
      </c>
    </row>
    <row r="160" customFormat="false" ht="15" hidden="false" customHeight="false" outlineLevel="0" collapsed="false">
      <c r="B160" s="97" t="n">
        <v>159</v>
      </c>
      <c r="C160" s="40" t="s">
        <v>560</v>
      </c>
      <c r="D160" s="98" t="s">
        <v>561</v>
      </c>
      <c r="E160" s="40" t="s">
        <v>176</v>
      </c>
      <c r="F160" s="64" t="n">
        <v>23.6</v>
      </c>
      <c r="G160" s="31"/>
      <c r="H160" s="61" t="n">
        <f aca="false">23.6</f>
        <v>23.6</v>
      </c>
      <c r="I160" s="100" t="n">
        <f aca="false">IF(H160="","",H160-F160)</f>
        <v>0</v>
      </c>
      <c r="J160" s="101" t="n">
        <f aca="false">IF(OR(H160="",F160=0),"",H160/F160-1)</f>
        <v>0</v>
      </c>
      <c r="K160" s="62" t="n">
        <v>817.87</v>
      </c>
      <c r="L160" s="42" t="n">
        <v>19301.73</v>
      </c>
      <c r="M160" s="43" t="n">
        <f aca="false">IF(H160="",F160*K160,H160*K160)</f>
        <v>19301.732</v>
      </c>
      <c r="N160" s="66" t="n">
        <f aca="false">M160-L160</f>
        <v>0.00200000000040745</v>
      </c>
      <c r="O160" s="102" t="str">
        <f aca="false">IF(F160=0,"Sem qtd. no contrato",IF(ABS(H160/F160-1)&lt;=0.02,"Confere (±2%)",IF(H160&gt;F160,"Projeto maior","Projeto menor")))</f>
        <v>Confere (±2%)</v>
      </c>
      <c r="P160" s="67" t="s">
        <v>1093</v>
      </c>
      <c r="Q160" s="103" t="s">
        <v>1094</v>
      </c>
      <c r="R160" s="104" t="str">
        <f aca="false">HYPERLINK("#'Painel'!B313","→ 313")</f>
        <v>→ 313</v>
      </c>
    </row>
    <row r="161" customFormat="false" ht="15" hidden="false" customHeight="false" outlineLevel="0" collapsed="false">
      <c r="B161" s="45"/>
      <c r="C161" s="45"/>
      <c r="D161" s="105" t="s">
        <v>1095</v>
      </c>
      <c r="E161" s="45"/>
      <c r="F161" s="45"/>
      <c r="G161" s="45"/>
      <c r="H161" s="45"/>
      <c r="I161" s="45"/>
      <c r="J161" s="45"/>
      <c r="K161" s="45"/>
      <c r="L161" s="106" t="n">
        <f aca="false">SUM(L152:L160)</f>
        <v>842777.17</v>
      </c>
      <c r="M161" s="106" t="n">
        <f aca="false">SUM(M152:M160)</f>
        <v>842777.202</v>
      </c>
      <c r="N161" s="107" t="n">
        <f aca="false">SUM(N152:N160)</f>
        <v>0.0319999999846914</v>
      </c>
      <c r="O161" s="45"/>
      <c r="P161" s="45"/>
      <c r="Q161" s="45"/>
      <c r="R161" s="45"/>
    </row>
    <row r="163" customFormat="false" ht="15" hidden="false" customHeight="false" outlineLevel="0" collapsed="false">
      <c r="B163" s="96" t="s">
        <v>562</v>
      </c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</row>
    <row r="164" customFormat="false" ht="15" hidden="false" customHeight="false" outlineLevel="0" collapsed="false">
      <c r="B164" s="97" t="n">
        <v>162</v>
      </c>
      <c r="C164" s="40" t="s">
        <v>498</v>
      </c>
      <c r="D164" s="98" t="s">
        <v>546</v>
      </c>
      <c r="E164" s="40" t="s">
        <v>173</v>
      </c>
      <c r="F164" s="64" t="n">
        <v>37883</v>
      </c>
      <c r="G164" s="31"/>
      <c r="H164" s="61" t="n">
        <f aca="false">37883</f>
        <v>37883</v>
      </c>
      <c r="I164" s="100" t="n">
        <f aca="false">IF(H164="","",H164-F164)</f>
        <v>0</v>
      </c>
      <c r="J164" s="101" t="n">
        <f aca="false">IF(OR(H164="",F164=0),"",H164/F164-1)</f>
        <v>0</v>
      </c>
      <c r="K164" s="62" t="n">
        <v>18.52</v>
      </c>
      <c r="L164" s="42" t="n">
        <v>701593.16</v>
      </c>
      <c r="M164" s="43" t="n">
        <f aca="false">IF(H164="",F164*K164,H164*K164)</f>
        <v>701593.16</v>
      </c>
      <c r="N164" s="66" t="n">
        <f aca="false">M164-L164</f>
        <v>0</v>
      </c>
      <c r="O164" s="102" t="str">
        <f aca="false">IF(F164=0,"Sem qtd. no contrato",IF(ABS(H164/F164-1)&lt;=0.02,"Confere (±2%)",IF(H164&gt;F164,"Projeto maior","Projeto menor")))</f>
        <v>Confere (±2%)</v>
      </c>
      <c r="P164" s="67" t="s">
        <v>1093</v>
      </c>
      <c r="Q164" s="103" t="s">
        <v>1094</v>
      </c>
      <c r="R164" s="104" t="str">
        <f aca="false">HYPERLINK("#'Painel'!B315","→ 315")</f>
        <v>→ 315</v>
      </c>
    </row>
    <row r="165" customFormat="false" ht="15" hidden="false" customHeight="false" outlineLevel="0" collapsed="false">
      <c r="B165" s="97" t="n">
        <v>163</v>
      </c>
      <c r="C165" s="40" t="s">
        <v>563</v>
      </c>
      <c r="D165" s="98" t="s">
        <v>564</v>
      </c>
      <c r="E165" s="40" t="s">
        <v>173</v>
      </c>
      <c r="F165" s="64" t="n">
        <v>221.18</v>
      </c>
      <c r="G165" s="31"/>
      <c r="H165" s="61" t="n">
        <f aca="false">221.18</f>
        <v>221.18</v>
      </c>
      <c r="I165" s="100" t="n">
        <f aca="false">IF(H165="","",H165-F165)</f>
        <v>0</v>
      </c>
      <c r="J165" s="101" t="n">
        <f aca="false">IF(OR(H165="",F165=0),"",H165/F165-1)</f>
        <v>0</v>
      </c>
      <c r="K165" s="62" t="n">
        <v>97.45</v>
      </c>
      <c r="L165" s="42" t="n">
        <v>21553.99</v>
      </c>
      <c r="M165" s="43" t="n">
        <f aca="false">IF(H165="",F165*K165,H165*K165)</f>
        <v>21553.991</v>
      </c>
      <c r="N165" s="66" t="n">
        <f aca="false">M165-L165</f>
        <v>0.00100000000020373</v>
      </c>
      <c r="O165" s="102" t="str">
        <f aca="false">IF(F165=0,"Sem qtd. no contrato",IF(ABS(H165/F165-1)&lt;=0.02,"Confere (±2%)",IF(H165&gt;F165,"Projeto maior","Projeto menor")))</f>
        <v>Confere (±2%)</v>
      </c>
      <c r="P165" s="67" t="s">
        <v>1093</v>
      </c>
      <c r="Q165" s="103" t="s">
        <v>1094</v>
      </c>
      <c r="R165" s="104" t="str">
        <f aca="false">HYPERLINK("#'Painel'!B316","→ 316")</f>
        <v>→ 316</v>
      </c>
    </row>
    <row r="166" customFormat="false" ht="15" hidden="false" customHeight="false" outlineLevel="0" collapsed="false">
      <c r="B166" s="97" t="n">
        <v>164</v>
      </c>
      <c r="C166" s="40" t="s">
        <v>509</v>
      </c>
      <c r="D166" s="98" t="s">
        <v>550</v>
      </c>
      <c r="E166" s="40" t="s">
        <v>77</v>
      </c>
      <c r="F166" s="64" t="n">
        <v>156</v>
      </c>
      <c r="G166" s="31"/>
      <c r="H166" s="61" t="n">
        <f aca="false">156</f>
        <v>156</v>
      </c>
      <c r="I166" s="100" t="n">
        <f aca="false">IF(H166="","",H166-F166)</f>
        <v>0</v>
      </c>
      <c r="J166" s="101" t="n">
        <f aca="false">IF(OR(H166="",F166=0),"",H166/F166-1)</f>
        <v>0</v>
      </c>
      <c r="K166" s="62" t="n">
        <v>42.33</v>
      </c>
      <c r="L166" s="42" t="n">
        <v>6603.48</v>
      </c>
      <c r="M166" s="43" t="n">
        <f aca="false">IF(H166="",F166*K166,H166*K166)</f>
        <v>6603.48</v>
      </c>
      <c r="N166" s="66" t="n">
        <f aca="false">M166-L166</f>
        <v>0</v>
      </c>
      <c r="O166" s="102" t="str">
        <f aca="false">IF(F166=0,"Sem qtd. no contrato",IF(ABS(H166/F166-1)&lt;=0.02,"Confere (±2%)",IF(H166&gt;F166,"Projeto maior","Projeto menor")))</f>
        <v>Confere (±2%)</v>
      </c>
      <c r="P166" s="67" t="s">
        <v>1093</v>
      </c>
      <c r="Q166" s="103" t="s">
        <v>1094</v>
      </c>
      <c r="R166" s="104" t="str">
        <f aca="false">HYPERLINK("#'Painel'!B317","→ 317")</f>
        <v>→ 317</v>
      </c>
    </row>
    <row r="167" customFormat="false" ht="15" hidden="false" customHeight="false" outlineLevel="0" collapsed="false">
      <c r="B167" s="97" t="n">
        <v>165</v>
      </c>
      <c r="C167" s="40" t="s">
        <v>565</v>
      </c>
      <c r="D167" s="98" t="s">
        <v>566</v>
      </c>
      <c r="E167" s="40" t="s">
        <v>80</v>
      </c>
      <c r="F167" s="64" t="n">
        <v>52</v>
      </c>
      <c r="G167" s="31"/>
      <c r="H167" s="61" t="n">
        <f aca="false">52</f>
        <v>52</v>
      </c>
      <c r="I167" s="100" t="n">
        <f aca="false">IF(H167="","",H167-F167)</f>
        <v>0</v>
      </c>
      <c r="J167" s="101" t="n">
        <f aca="false">IF(OR(H167="",F167=0),"",H167/F167-1)</f>
        <v>0</v>
      </c>
      <c r="K167" s="62" t="n">
        <v>91.21</v>
      </c>
      <c r="L167" s="42" t="n">
        <v>4742.92</v>
      </c>
      <c r="M167" s="43" t="n">
        <f aca="false">IF(H167="",F167*K167,H167*K167)</f>
        <v>4742.92</v>
      </c>
      <c r="N167" s="66" t="n">
        <f aca="false">M167-L167</f>
        <v>0</v>
      </c>
      <c r="O167" s="102" t="str">
        <f aca="false">IF(F167=0,"Sem qtd. no contrato",IF(ABS(H167/F167-1)&lt;=0.02,"Confere (±2%)",IF(H167&gt;F167,"Projeto maior","Projeto menor")))</f>
        <v>Confere (±2%)</v>
      </c>
      <c r="P167" s="67" t="s">
        <v>1093</v>
      </c>
      <c r="Q167" s="103" t="s">
        <v>1094</v>
      </c>
      <c r="R167" s="104" t="str">
        <f aca="false">HYPERLINK("#'Painel'!B318","→ 318")</f>
        <v>→ 318</v>
      </c>
    </row>
    <row r="168" customFormat="false" ht="15" hidden="false" customHeight="false" outlineLevel="0" collapsed="false">
      <c r="B168" s="97" t="n">
        <v>166</v>
      </c>
      <c r="C168" s="40" t="s">
        <v>567</v>
      </c>
      <c r="D168" s="98" t="s">
        <v>568</v>
      </c>
      <c r="E168" s="40" t="s">
        <v>80</v>
      </c>
      <c r="F168" s="64" t="n">
        <v>104</v>
      </c>
      <c r="G168" s="31"/>
      <c r="H168" s="61" t="n">
        <f aca="false">104</f>
        <v>104</v>
      </c>
      <c r="I168" s="100" t="n">
        <f aca="false">IF(H168="","",H168-F168)</f>
        <v>0</v>
      </c>
      <c r="J168" s="101" t="n">
        <f aca="false">IF(OR(H168="",F168=0),"",H168/F168-1)</f>
        <v>0</v>
      </c>
      <c r="K168" s="62" t="n">
        <v>265.38</v>
      </c>
      <c r="L168" s="42" t="n">
        <v>27599.52</v>
      </c>
      <c r="M168" s="43" t="n">
        <f aca="false">IF(H168="",F168*K168,H168*K168)</f>
        <v>27599.52</v>
      </c>
      <c r="N168" s="66" t="n">
        <f aca="false">M168-L168</f>
        <v>0</v>
      </c>
      <c r="O168" s="102" t="str">
        <f aca="false">IF(F168=0,"Sem qtd. no contrato",IF(ABS(H168/F168-1)&lt;=0.02,"Confere (±2%)",IF(H168&gt;F168,"Projeto maior","Projeto menor")))</f>
        <v>Confere (±2%)</v>
      </c>
      <c r="P168" s="67" t="s">
        <v>1093</v>
      </c>
      <c r="Q168" s="103" t="s">
        <v>1094</v>
      </c>
      <c r="R168" s="104" t="str">
        <f aca="false">HYPERLINK("#'Painel'!B319","→ 319")</f>
        <v>→ 319</v>
      </c>
    </row>
    <row r="169" customFormat="false" ht="15" hidden="false" customHeight="false" outlineLevel="0" collapsed="false">
      <c r="B169" s="97" t="n">
        <v>167</v>
      </c>
      <c r="C169" s="40" t="s">
        <v>569</v>
      </c>
      <c r="D169" s="98" t="s">
        <v>570</v>
      </c>
      <c r="E169" s="40" t="s">
        <v>80</v>
      </c>
      <c r="F169" s="64" t="n">
        <v>4</v>
      </c>
      <c r="G169" s="31"/>
      <c r="H169" s="61" t="n">
        <f aca="false">4</f>
        <v>4</v>
      </c>
      <c r="I169" s="100" t="n">
        <f aca="false">IF(H169="","",H169-F169)</f>
        <v>0</v>
      </c>
      <c r="J169" s="101" t="n">
        <f aca="false">IF(OR(H169="",F169=0),"",H169/F169-1)</f>
        <v>0</v>
      </c>
      <c r="K169" s="62" t="n">
        <v>54233.55</v>
      </c>
      <c r="L169" s="42" t="n">
        <v>216934.2</v>
      </c>
      <c r="M169" s="43" t="n">
        <f aca="false">IF(H169="",F169*K169,H169*K169)</f>
        <v>216934.2</v>
      </c>
      <c r="N169" s="66" t="n">
        <f aca="false">M169-L169</f>
        <v>0</v>
      </c>
      <c r="O169" s="102" t="str">
        <f aca="false">IF(F169=0,"Sem qtd. no contrato",IF(ABS(H169/F169-1)&lt;=0.02,"Confere (±2%)",IF(H169&gt;F169,"Projeto maior","Projeto menor")))</f>
        <v>Confere (±2%)</v>
      </c>
      <c r="P169" s="67" t="s">
        <v>1093</v>
      </c>
      <c r="Q169" s="103" t="s">
        <v>1094</v>
      </c>
      <c r="R169" s="104" t="str">
        <f aca="false">HYPERLINK("#'Painel'!B320","→ 320")</f>
        <v>→ 320</v>
      </c>
    </row>
    <row r="170" customFormat="false" ht="15" hidden="false" customHeight="false" outlineLevel="0" collapsed="false">
      <c r="B170" s="97" t="n">
        <v>168</v>
      </c>
      <c r="C170" s="40" t="s">
        <v>553</v>
      </c>
      <c r="D170" s="98" t="s">
        <v>554</v>
      </c>
      <c r="E170" s="40" t="s">
        <v>77</v>
      </c>
      <c r="F170" s="64" t="n">
        <v>16.75</v>
      </c>
      <c r="G170" s="31"/>
      <c r="H170" s="61" t="n">
        <f aca="false">16.75</f>
        <v>16.75</v>
      </c>
      <c r="I170" s="100" t="n">
        <f aca="false">IF(H170="","",H170-F170)</f>
        <v>0</v>
      </c>
      <c r="J170" s="101" t="n">
        <f aca="false">IF(OR(H170="",F170=0),"",H170/F170-1)</f>
        <v>0</v>
      </c>
      <c r="K170" s="62" t="n">
        <v>503.57</v>
      </c>
      <c r="L170" s="42" t="n">
        <v>8434.79</v>
      </c>
      <c r="M170" s="43" t="n">
        <f aca="false">IF(H170="",F170*K170,H170*K170)</f>
        <v>8434.7975</v>
      </c>
      <c r="N170" s="66" t="n">
        <f aca="false">M170-L170</f>
        <v>0.00749999999970896</v>
      </c>
      <c r="O170" s="102" t="str">
        <f aca="false">IF(F170=0,"Sem qtd. no contrato",IF(ABS(H170/F170-1)&lt;=0.02,"Confere (±2%)",IF(H170&gt;F170,"Projeto maior","Projeto menor")))</f>
        <v>Confere (±2%)</v>
      </c>
      <c r="P170" s="67" t="s">
        <v>1093</v>
      </c>
      <c r="Q170" s="103" t="s">
        <v>1094</v>
      </c>
      <c r="R170" s="104" t="str">
        <f aca="false">HYPERLINK("#'Painel'!B321","→ 321")</f>
        <v>→ 321</v>
      </c>
    </row>
    <row r="171" customFormat="false" ht="15" hidden="false" customHeight="false" outlineLevel="0" collapsed="false">
      <c r="B171" s="97" t="n">
        <v>169</v>
      </c>
      <c r="C171" s="40" t="s">
        <v>571</v>
      </c>
      <c r="D171" s="98" t="s">
        <v>572</v>
      </c>
      <c r="E171" s="40" t="s">
        <v>77</v>
      </c>
      <c r="F171" s="64" t="n">
        <v>227.6</v>
      </c>
      <c r="G171" s="31"/>
      <c r="H171" s="61" t="n">
        <f aca="false">227.6</f>
        <v>227.6</v>
      </c>
      <c r="I171" s="100" t="n">
        <f aca="false">IF(H171="","",H171-F171)</f>
        <v>0</v>
      </c>
      <c r="J171" s="101" t="n">
        <f aca="false">IF(OR(H171="",F171=0),"",H171/F171-1)</f>
        <v>0</v>
      </c>
      <c r="K171" s="62" t="n">
        <v>600.78</v>
      </c>
      <c r="L171" s="42" t="n">
        <v>136737.52</v>
      </c>
      <c r="M171" s="43" t="n">
        <f aca="false">IF(H171="",F171*K171,H171*K171)</f>
        <v>136737.528</v>
      </c>
      <c r="N171" s="66" t="n">
        <f aca="false">M171-L171</f>
        <v>0.00800000000162982</v>
      </c>
      <c r="O171" s="102" t="str">
        <f aca="false">IF(F171=0,"Sem qtd. no contrato",IF(ABS(H171/F171-1)&lt;=0.02,"Confere (±2%)",IF(H171&gt;F171,"Projeto maior","Projeto menor")))</f>
        <v>Confere (±2%)</v>
      </c>
      <c r="P171" s="67" t="s">
        <v>1093</v>
      </c>
      <c r="Q171" s="103" t="s">
        <v>1094</v>
      </c>
      <c r="R171" s="104" t="str">
        <f aca="false">HYPERLINK("#'Painel'!B322","→ 322")</f>
        <v>→ 322</v>
      </c>
    </row>
    <row r="172" customFormat="false" ht="15" hidden="false" customHeight="false" outlineLevel="0" collapsed="false">
      <c r="B172" s="97" t="n">
        <v>170</v>
      </c>
      <c r="C172" s="40" t="s">
        <v>573</v>
      </c>
      <c r="D172" s="98" t="s">
        <v>574</v>
      </c>
      <c r="E172" s="40" t="s">
        <v>80</v>
      </c>
      <c r="F172" s="64" t="n">
        <v>18</v>
      </c>
      <c r="G172" s="31"/>
      <c r="H172" s="61" t="n">
        <f aca="false">18</f>
        <v>18</v>
      </c>
      <c r="I172" s="100" t="n">
        <f aca="false">IF(H172="","",H172-F172)</f>
        <v>0</v>
      </c>
      <c r="J172" s="101" t="n">
        <f aca="false">IF(OR(H172="",F172=0),"",H172/F172-1)</f>
        <v>0</v>
      </c>
      <c r="K172" s="62" t="n">
        <v>87.21</v>
      </c>
      <c r="L172" s="42" t="n">
        <v>1569.78</v>
      </c>
      <c r="M172" s="43" t="n">
        <f aca="false">IF(H172="",F172*K172,H172*K172)</f>
        <v>1569.78</v>
      </c>
      <c r="N172" s="66" t="n">
        <f aca="false">M172-L172</f>
        <v>0</v>
      </c>
      <c r="O172" s="102" t="str">
        <f aca="false">IF(F172=0,"Sem qtd. no contrato",IF(ABS(H172/F172-1)&lt;=0.02,"Confere (±2%)",IF(H172&gt;F172,"Projeto maior","Projeto menor")))</f>
        <v>Confere (±2%)</v>
      </c>
      <c r="P172" s="67" t="s">
        <v>1093</v>
      </c>
      <c r="Q172" s="103" t="s">
        <v>1094</v>
      </c>
      <c r="R172" s="104" t="str">
        <f aca="false">HYPERLINK("#'Painel'!B323","→ 323")</f>
        <v>→ 323</v>
      </c>
    </row>
    <row r="173" customFormat="false" ht="15" hidden="false" customHeight="false" outlineLevel="0" collapsed="false">
      <c r="B173" s="97" t="n">
        <v>171</v>
      </c>
      <c r="C173" s="40" t="s">
        <v>505</v>
      </c>
      <c r="D173" s="98" t="s">
        <v>559</v>
      </c>
      <c r="E173" s="40" t="s">
        <v>73</v>
      </c>
      <c r="F173" s="64" t="n">
        <v>1245.63</v>
      </c>
      <c r="G173" s="31"/>
      <c r="H173" s="61" t="n">
        <f aca="false">1245.63</f>
        <v>1245.63</v>
      </c>
      <c r="I173" s="100" t="n">
        <f aca="false">IF(H173="","",H173-F173)</f>
        <v>0</v>
      </c>
      <c r="J173" s="101" t="n">
        <f aca="false">IF(OR(H173="",F173=0),"",H173/F173-1)</f>
        <v>0</v>
      </c>
      <c r="K173" s="62" t="n">
        <v>88.88</v>
      </c>
      <c r="L173" s="42" t="n">
        <v>110711.59</v>
      </c>
      <c r="M173" s="43" t="n">
        <f aca="false">IF(H173="",F173*K173,H173*K173)</f>
        <v>110711.5944</v>
      </c>
      <c r="N173" s="66" t="n">
        <f aca="false">M173-L173</f>
        <v>0.00440000000526197</v>
      </c>
      <c r="O173" s="102" t="str">
        <f aca="false">IF(F173=0,"Sem qtd. no contrato",IF(ABS(H173/F173-1)&lt;=0.02,"Confere (±2%)",IF(H173&gt;F173,"Projeto maior","Projeto menor")))</f>
        <v>Confere (±2%)</v>
      </c>
      <c r="P173" s="67" t="s">
        <v>1093</v>
      </c>
      <c r="Q173" s="103" t="s">
        <v>1094</v>
      </c>
      <c r="R173" s="104" t="str">
        <f aca="false">HYPERLINK("#'Painel'!B324","→ 324")</f>
        <v>→ 324</v>
      </c>
    </row>
    <row r="174" customFormat="false" ht="15" hidden="false" customHeight="false" outlineLevel="0" collapsed="false">
      <c r="B174" s="97" t="n">
        <v>172</v>
      </c>
      <c r="C174" s="40" t="s">
        <v>575</v>
      </c>
      <c r="D174" s="98" t="s">
        <v>576</v>
      </c>
      <c r="E174" s="40" t="s">
        <v>173</v>
      </c>
      <c r="F174" s="64" t="n">
        <v>1302.08</v>
      </c>
      <c r="G174" s="31"/>
      <c r="H174" s="61" t="n">
        <f aca="false">1302.08</f>
        <v>1302.08</v>
      </c>
      <c r="I174" s="100" t="n">
        <f aca="false">IF(H174="","",H174-F174)</f>
        <v>0</v>
      </c>
      <c r="J174" s="101" t="n">
        <f aca="false">IF(OR(H174="",F174=0),"",H174/F174-1)</f>
        <v>0</v>
      </c>
      <c r="K174" s="62" t="n">
        <v>12.82</v>
      </c>
      <c r="L174" s="42" t="n">
        <v>16692.66</v>
      </c>
      <c r="M174" s="43" t="n">
        <f aca="false">IF(H174="",F174*K174,H174*K174)</f>
        <v>16692.6656</v>
      </c>
      <c r="N174" s="66" t="n">
        <f aca="false">M174-L174</f>
        <v>0.00560000000041327</v>
      </c>
      <c r="O174" s="102" t="str">
        <f aca="false">IF(F174=0,"Sem qtd. no contrato",IF(ABS(H174/F174-1)&lt;=0.02,"Confere (±2%)",IF(H174&gt;F174,"Projeto maior","Projeto menor")))</f>
        <v>Confere (±2%)</v>
      </c>
      <c r="P174" s="67" t="s">
        <v>1093</v>
      </c>
      <c r="Q174" s="103" t="s">
        <v>1094</v>
      </c>
      <c r="R174" s="104" t="str">
        <f aca="false">HYPERLINK("#'Painel'!B325","→ 325")</f>
        <v>→ 325</v>
      </c>
    </row>
    <row r="175" customFormat="false" ht="15" hidden="false" customHeight="false" outlineLevel="0" collapsed="false">
      <c r="B175" s="97" t="n">
        <v>173</v>
      </c>
      <c r="C175" s="40" t="s">
        <v>577</v>
      </c>
      <c r="D175" s="98" t="s">
        <v>578</v>
      </c>
      <c r="E175" s="40" t="s">
        <v>80</v>
      </c>
      <c r="F175" s="64" t="n">
        <v>8</v>
      </c>
      <c r="G175" s="31"/>
      <c r="H175" s="61" t="n">
        <f aca="false">8</f>
        <v>8</v>
      </c>
      <c r="I175" s="100" t="n">
        <f aca="false">IF(H175="","",H175-F175)</f>
        <v>0</v>
      </c>
      <c r="J175" s="101" t="n">
        <f aca="false">IF(OR(H175="",F175=0),"",H175/F175-1)</f>
        <v>0</v>
      </c>
      <c r="K175" s="62" t="n">
        <v>432.63</v>
      </c>
      <c r="L175" s="42" t="n">
        <v>3461.04</v>
      </c>
      <c r="M175" s="43" t="n">
        <f aca="false">IF(H175="",F175*K175,H175*K175)</f>
        <v>3461.04</v>
      </c>
      <c r="N175" s="66" t="n">
        <f aca="false">M175-L175</f>
        <v>0</v>
      </c>
      <c r="O175" s="102" t="str">
        <f aca="false">IF(F175=0,"Sem qtd. no contrato",IF(ABS(H175/F175-1)&lt;=0.02,"Confere (±2%)",IF(H175&gt;F175,"Projeto maior","Projeto menor")))</f>
        <v>Confere (±2%)</v>
      </c>
      <c r="P175" s="67" t="s">
        <v>1093</v>
      </c>
      <c r="Q175" s="103" t="s">
        <v>1094</v>
      </c>
      <c r="R175" s="104" t="str">
        <f aca="false">HYPERLINK("#'Painel'!B326","→ 326")</f>
        <v>→ 326</v>
      </c>
    </row>
    <row r="176" customFormat="false" ht="15" hidden="false" customHeight="false" outlineLevel="0" collapsed="false">
      <c r="B176" s="97" t="n">
        <v>174</v>
      </c>
      <c r="C176" s="40" t="s">
        <v>579</v>
      </c>
      <c r="D176" s="98" t="s">
        <v>580</v>
      </c>
      <c r="E176" s="40" t="s">
        <v>80</v>
      </c>
      <c r="F176" s="64" t="n">
        <v>4</v>
      </c>
      <c r="G176" s="31"/>
      <c r="H176" s="61" t="n">
        <f aca="false">4</f>
        <v>4</v>
      </c>
      <c r="I176" s="100" t="n">
        <f aca="false">IF(H176="","",H176-F176)</f>
        <v>0</v>
      </c>
      <c r="J176" s="101" t="n">
        <f aca="false">IF(OR(H176="",F176=0),"",H176/F176-1)</f>
        <v>0</v>
      </c>
      <c r="K176" s="62" t="n">
        <v>319.59</v>
      </c>
      <c r="L176" s="42" t="n">
        <v>1278.36</v>
      </c>
      <c r="M176" s="43" t="n">
        <f aca="false">IF(H176="",F176*K176,H176*K176)</f>
        <v>1278.36</v>
      </c>
      <c r="N176" s="66" t="n">
        <f aca="false">M176-L176</f>
        <v>0</v>
      </c>
      <c r="O176" s="102" t="str">
        <f aca="false">IF(F176=0,"Sem qtd. no contrato",IF(ABS(H176/F176-1)&lt;=0.02,"Confere (±2%)",IF(H176&gt;F176,"Projeto maior","Projeto menor")))</f>
        <v>Confere (±2%)</v>
      </c>
      <c r="P176" s="67" t="s">
        <v>1093</v>
      </c>
      <c r="Q176" s="103" t="s">
        <v>1094</v>
      </c>
      <c r="R176" s="104" t="str">
        <f aca="false">HYPERLINK("#'Painel'!B327","→ 327")</f>
        <v>→ 327</v>
      </c>
    </row>
    <row r="177" customFormat="false" ht="15" hidden="false" customHeight="false" outlineLevel="0" collapsed="false">
      <c r="B177" s="97" t="n">
        <v>175</v>
      </c>
      <c r="C177" s="40" t="s">
        <v>581</v>
      </c>
      <c r="D177" s="98" t="s">
        <v>582</v>
      </c>
      <c r="E177" s="40" t="s">
        <v>80</v>
      </c>
      <c r="F177" s="64" t="n">
        <v>4</v>
      </c>
      <c r="G177" s="31"/>
      <c r="H177" s="61" t="n">
        <f aca="false">4</f>
        <v>4</v>
      </c>
      <c r="I177" s="100" t="n">
        <f aca="false">IF(H177="","",H177-F177)</f>
        <v>0</v>
      </c>
      <c r="J177" s="101" t="n">
        <f aca="false">IF(OR(H177="",F177=0),"",H177/F177-1)</f>
        <v>0</v>
      </c>
      <c r="K177" s="62" t="n">
        <v>324.24</v>
      </c>
      <c r="L177" s="42" t="n">
        <v>1296.96</v>
      </c>
      <c r="M177" s="43" t="n">
        <f aca="false">IF(H177="",F177*K177,H177*K177)</f>
        <v>1296.96</v>
      </c>
      <c r="N177" s="66" t="n">
        <f aca="false">M177-L177</f>
        <v>0</v>
      </c>
      <c r="O177" s="102" t="str">
        <f aca="false">IF(F177=0,"Sem qtd. no contrato",IF(ABS(H177/F177-1)&lt;=0.02,"Confere (±2%)",IF(H177&gt;F177,"Projeto maior","Projeto menor")))</f>
        <v>Confere (±2%)</v>
      </c>
      <c r="P177" s="67" t="s">
        <v>1093</v>
      </c>
      <c r="Q177" s="103" t="s">
        <v>1094</v>
      </c>
      <c r="R177" s="104" t="str">
        <f aca="false">HYPERLINK("#'Painel'!B328","→ 328")</f>
        <v>→ 328</v>
      </c>
    </row>
    <row r="178" customFormat="false" ht="15" hidden="false" customHeight="false" outlineLevel="0" collapsed="false">
      <c r="B178" s="97" t="n">
        <v>176</v>
      </c>
      <c r="C178" s="40" t="s">
        <v>583</v>
      </c>
      <c r="D178" s="98" t="s">
        <v>584</v>
      </c>
      <c r="E178" s="40" t="s">
        <v>173</v>
      </c>
      <c r="F178" s="64" t="n">
        <v>9727.92</v>
      </c>
      <c r="G178" s="31"/>
      <c r="H178" s="61" t="n">
        <f aca="false">9727.92</f>
        <v>9727.92</v>
      </c>
      <c r="I178" s="100" t="n">
        <f aca="false">IF(H178="","",H178-F178)</f>
        <v>0</v>
      </c>
      <c r="J178" s="101" t="n">
        <f aca="false">IF(OR(H178="",F178=0),"",H178/F178-1)</f>
        <v>0</v>
      </c>
      <c r="K178" s="62" t="n">
        <v>14.92</v>
      </c>
      <c r="L178" s="42" t="n">
        <v>145140.56</v>
      </c>
      <c r="M178" s="43" t="n">
        <f aca="false">IF(H178="",F178*K178,H178*K178)</f>
        <v>145140.5664</v>
      </c>
      <c r="N178" s="66" t="n">
        <f aca="false">M178-L178</f>
        <v>0.00640000001294538</v>
      </c>
      <c r="O178" s="102" t="str">
        <f aca="false">IF(F178=0,"Sem qtd. no contrato",IF(ABS(H178/F178-1)&lt;=0.02,"Confere (±2%)",IF(H178&gt;F178,"Projeto maior","Projeto menor")))</f>
        <v>Confere (±2%)</v>
      </c>
      <c r="P178" s="67" t="s">
        <v>1093</v>
      </c>
      <c r="Q178" s="103" t="s">
        <v>1094</v>
      </c>
      <c r="R178" s="104" t="str">
        <f aca="false">HYPERLINK("#'Painel'!B329","→ 329")</f>
        <v>→ 329</v>
      </c>
    </row>
    <row r="179" customFormat="false" ht="15" hidden="false" customHeight="false" outlineLevel="0" collapsed="false">
      <c r="B179" s="97" t="n">
        <v>177</v>
      </c>
      <c r="C179" s="40" t="s">
        <v>585</v>
      </c>
      <c r="D179" s="98" t="s">
        <v>586</v>
      </c>
      <c r="E179" s="40" t="s">
        <v>80</v>
      </c>
      <c r="F179" s="64" t="n">
        <v>12</v>
      </c>
      <c r="G179" s="31"/>
      <c r="H179" s="61" t="n">
        <f aca="false">12</f>
        <v>12</v>
      </c>
      <c r="I179" s="100" t="n">
        <f aca="false">IF(H179="","",H179-F179)</f>
        <v>0</v>
      </c>
      <c r="J179" s="101" t="n">
        <f aca="false">IF(OR(H179="",F179=0),"",H179/F179-1)</f>
        <v>0</v>
      </c>
      <c r="K179" s="62" t="n">
        <v>950.59</v>
      </c>
      <c r="L179" s="42" t="n">
        <v>11407.08</v>
      </c>
      <c r="M179" s="43" t="n">
        <f aca="false">IF(H179="",F179*K179,H179*K179)</f>
        <v>11407.08</v>
      </c>
      <c r="N179" s="66" t="n">
        <f aca="false">M179-L179</f>
        <v>0</v>
      </c>
      <c r="O179" s="102" t="str">
        <f aca="false">IF(F179=0,"Sem qtd. no contrato",IF(ABS(H179/F179-1)&lt;=0.02,"Confere (±2%)",IF(H179&gt;F179,"Projeto maior","Projeto menor")))</f>
        <v>Confere (±2%)</v>
      </c>
      <c r="P179" s="67" t="s">
        <v>1093</v>
      </c>
      <c r="Q179" s="103" t="s">
        <v>1094</v>
      </c>
      <c r="R179" s="104" t="str">
        <f aca="false">HYPERLINK("#'Painel'!B330","→ 330")</f>
        <v>→ 330</v>
      </c>
    </row>
    <row r="180" customFormat="false" ht="15" hidden="false" customHeight="false" outlineLevel="0" collapsed="false">
      <c r="B180" s="97" t="n">
        <v>178</v>
      </c>
      <c r="C180" s="40" t="s">
        <v>587</v>
      </c>
      <c r="D180" s="98" t="s">
        <v>588</v>
      </c>
      <c r="E180" s="40" t="s">
        <v>176</v>
      </c>
      <c r="F180" s="64" t="n">
        <v>38</v>
      </c>
      <c r="G180" s="31"/>
      <c r="H180" s="61" t="n">
        <f aca="false">38</f>
        <v>38</v>
      </c>
      <c r="I180" s="100" t="n">
        <f aca="false">IF(H180="","",H180-F180)</f>
        <v>0</v>
      </c>
      <c r="J180" s="101" t="n">
        <f aca="false">IF(OR(H180="",F180=0),"",H180/F180-1)</f>
        <v>0</v>
      </c>
      <c r="K180" s="62" t="n">
        <v>74.23</v>
      </c>
      <c r="L180" s="42" t="n">
        <v>2820.74</v>
      </c>
      <c r="M180" s="43" t="n">
        <f aca="false">IF(H180="",F180*K180,H180*K180)</f>
        <v>2820.74</v>
      </c>
      <c r="N180" s="66" t="n">
        <f aca="false">M180-L180</f>
        <v>0</v>
      </c>
      <c r="O180" s="102" t="str">
        <f aca="false">IF(F180=0,"Sem qtd. no contrato",IF(ABS(H180/F180-1)&lt;=0.02,"Confere (±2%)",IF(H180&gt;F180,"Projeto maior","Projeto menor")))</f>
        <v>Confere (±2%)</v>
      </c>
      <c r="P180" s="67" t="s">
        <v>1093</v>
      </c>
      <c r="Q180" s="103" t="s">
        <v>1094</v>
      </c>
      <c r="R180" s="104" t="str">
        <f aca="false">HYPERLINK("#'Painel'!B331","→ 331")</f>
        <v>→ 331</v>
      </c>
    </row>
    <row r="181" customFormat="false" ht="15" hidden="false" customHeight="false" outlineLevel="0" collapsed="false">
      <c r="B181" s="97" t="n">
        <v>179</v>
      </c>
      <c r="C181" s="40" t="s">
        <v>589</v>
      </c>
      <c r="D181" s="98" t="s">
        <v>590</v>
      </c>
      <c r="E181" s="40" t="s">
        <v>176</v>
      </c>
      <c r="F181" s="64" t="n">
        <v>549.32</v>
      </c>
      <c r="G181" s="31"/>
      <c r="H181" s="61" t="n">
        <f aca="false">549.32</f>
        <v>549.32</v>
      </c>
      <c r="I181" s="100" t="n">
        <f aca="false">IF(H181="","",H181-F181)</f>
        <v>0</v>
      </c>
      <c r="J181" s="101" t="n">
        <f aca="false">IF(OR(H181="",F181=0),"",H181/F181-1)</f>
        <v>0</v>
      </c>
      <c r="K181" s="62" t="n">
        <v>21.85</v>
      </c>
      <c r="L181" s="42" t="n">
        <v>12002.64</v>
      </c>
      <c r="M181" s="43" t="n">
        <f aca="false">IF(H181="",F181*K181,H181*K181)</f>
        <v>12002.642</v>
      </c>
      <c r="N181" s="66" t="n">
        <f aca="false">M181-L181</f>
        <v>0.00200000000222644</v>
      </c>
      <c r="O181" s="102" t="str">
        <f aca="false">IF(F181=0,"Sem qtd. no contrato",IF(ABS(H181/F181-1)&lt;=0.02,"Confere (±2%)",IF(H181&gt;F181,"Projeto maior","Projeto menor")))</f>
        <v>Confere (±2%)</v>
      </c>
      <c r="P181" s="67" t="s">
        <v>1093</v>
      </c>
      <c r="Q181" s="103" t="s">
        <v>1094</v>
      </c>
      <c r="R181" s="104" t="str">
        <f aca="false">HYPERLINK("#'Painel'!B332","→ 332")</f>
        <v>→ 332</v>
      </c>
    </row>
    <row r="182" customFormat="false" ht="15" hidden="false" customHeight="false" outlineLevel="0" collapsed="false">
      <c r="B182" s="97" t="n">
        <v>180</v>
      </c>
      <c r="C182" s="40" t="s">
        <v>591</v>
      </c>
      <c r="D182" s="98" t="s">
        <v>592</v>
      </c>
      <c r="E182" s="40" t="s">
        <v>80</v>
      </c>
      <c r="F182" s="64" t="n">
        <v>12</v>
      </c>
      <c r="G182" s="31"/>
      <c r="H182" s="61" t="n">
        <f aca="false">12</f>
        <v>12</v>
      </c>
      <c r="I182" s="100" t="n">
        <f aca="false">IF(H182="","",H182-F182)</f>
        <v>0</v>
      </c>
      <c r="J182" s="101" t="n">
        <f aca="false">IF(OR(H182="",F182=0),"",H182/F182-1)</f>
        <v>0</v>
      </c>
      <c r="K182" s="62" t="n">
        <v>931.05</v>
      </c>
      <c r="L182" s="42" t="n">
        <v>11172.6</v>
      </c>
      <c r="M182" s="43" t="n">
        <f aca="false">IF(H182="",F182*K182,H182*K182)</f>
        <v>11172.6</v>
      </c>
      <c r="N182" s="66" t="n">
        <f aca="false">M182-L182</f>
        <v>0</v>
      </c>
      <c r="O182" s="102" t="str">
        <f aca="false">IF(F182=0,"Sem qtd. no contrato",IF(ABS(H182/F182-1)&lt;=0.02,"Confere (±2%)",IF(H182&gt;F182,"Projeto maior","Projeto menor")))</f>
        <v>Confere (±2%)</v>
      </c>
      <c r="P182" s="67" t="s">
        <v>1093</v>
      </c>
      <c r="Q182" s="103" t="s">
        <v>1094</v>
      </c>
      <c r="R182" s="104" t="str">
        <f aca="false">HYPERLINK("#'Painel'!B333","→ 333")</f>
        <v>→ 333</v>
      </c>
    </row>
    <row r="183" customFormat="false" ht="15" hidden="false" customHeight="false" outlineLevel="0" collapsed="false">
      <c r="B183" s="45"/>
      <c r="C183" s="45"/>
      <c r="D183" s="105" t="s">
        <v>1096</v>
      </c>
      <c r="E183" s="45"/>
      <c r="F183" s="45"/>
      <c r="G183" s="45"/>
      <c r="H183" s="45"/>
      <c r="I183" s="45"/>
      <c r="J183" s="45"/>
      <c r="K183" s="45"/>
      <c r="L183" s="106" t="n">
        <f aca="false">SUM(L164:L182)</f>
        <v>1441753.59</v>
      </c>
      <c r="M183" s="106" t="n">
        <f aca="false">SUM(M164:M182)</f>
        <v>1441753.6249</v>
      </c>
      <c r="N183" s="107" t="n">
        <f aca="false">SUM(N164:N182)</f>
        <v>0.0349000000223896</v>
      </c>
      <c r="O183" s="45"/>
      <c r="P183" s="45"/>
      <c r="Q183" s="45"/>
      <c r="R183" s="45"/>
    </row>
    <row r="185" customFormat="false" ht="15" hidden="false" customHeight="false" outlineLevel="0" collapsed="false">
      <c r="B185" s="96" t="s">
        <v>1097</v>
      </c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</row>
    <row r="186" customFormat="false" ht="15" hidden="false" customHeight="false" outlineLevel="0" collapsed="false">
      <c r="B186" s="97" t="n">
        <v>183</v>
      </c>
      <c r="C186" s="40" t="s">
        <v>600</v>
      </c>
      <c r="D186" s="98" t="s">
        <v>1098</v>
      </c>
      <c r="E186" s="40" t="s">
        <v>80</v>
      </c>
      <c r="F186" s="64" t="n">
        <v>102</v>
      </c>
      <c r="G186" s="99" t="n">
        <v>102</v>
      </c>
      <c r="H186" s="61" t="n">
        <f aca="false">Painel!$L$339</f>
        <v>102</v>
      </c>
      <c r="I186" s="100" t="n">
        <f aca="false">IF(H186="","",H186-F186)</f>
        <v>0</v>
      </c>
      <c r="J186" s="101" t="n">
        <f aca="false">IF(OR(H186="",F186=0),"",H186/F186-1)</f>
        <v>0</v>
      </c>
      <c r="K186" s="62" t="n">
        <v>1844.25</v>
      </c>
      <c r="L186" s="42" t="n">
        <v>188113.5</v>
      </c>
      <c r="M186" s="43" t="n">
        <f aca="false">IF(H186="",F186*K186,H186*K186)</f>
        <v>188113.5</v>
      </c>
      <c r="N186" s="66" t="n">
        <f aca="false">M186-L186</f>
        <v>0</v>
      </c>
      <c r="O186" s="102" t="str">
        <f aca="false">IF(F186=0,"Sem qtd. no contrato",IF(ABS(H186/F186-1)&lt;=0.02,"Confere (±2%)",IF(H186&gt;F186,"Projeto maior","Projeto menor")))</f>
        <v>Confere (±2%)</v>
      </c>
      <c r="P186" s="67" t="s">
        <v>1099</v>
      </c>
      <c r="Q186" s="103"/>
      <c r="R186" s="104" t="str">
        <f aca="false">HYPERLINK("#'Painel'!B339","→ 339")</f>
        <v>→ 339</v>
      </c>
    </row>
    <row r="187" customFormat="false" ht="15" hidden="false" customHeight="false" outlineLevel="0" collapsed="false">
      <c r="B187" s="97" t="n">
        <v>184</v>
      </c>
      <c r="C187" s="40" t="s">
        <v>602</v>
      </c>
      <c r="D187" s="98" t="s">
        <v>1100</v>
      </c>
      <c r="E187" s="40" t="s">
        <v>80</v>
      </c>
      <c r="F187" s="64" t="n">
        <v>36</v>
      </c>
      <c r="G187" s="99" t="n">
        <v>36</v>
      </c>
      <c r="H187" s="61" t="n">
        <f aca="false">Painel!$L$340</f>
        <v>36</v>
      </c>
      <c r="I187" s="100" t="n">
        <f aca="false">IF(H187="","",H187-F187)</f>
        <v>0</v>
      </c>
      <c r="J187" s="101" t="n">
        <f aca="false">IF(OR(H187="",F187=0),"",H187/F187-1)</f>
        <v>0</v>
      </c>
      <c r="K187" s="62" t="n">
        <v>1960.95</v>
      </c>
      <c r="L187" s="42" t="n">
        <v>70594.2</v>
      </c>
      <c r="M187" s="43" t="n">
        <f aca="false">IF(H187="",F187*K187,H187*K187)</f>
        <v>70594.2</v>
      </c>
      <c r="N187" s="66" t="n">
        <f aca="false">M187-L187</f>
        <v>0</v>
      </c>
      <c r="O187" s="102" t="str">
        <f aca="false">IF(F187=0,"Sem qtd. no contrato",IF(ABS(H187/F187-1)&lt;=0.02,"Confere (±2%)",IF(H187&gt;F187,"Projeto maior","Projeto menor")))</f>
        <v>Confere (±2%)</v>
      </c>
      <c r="P187" s="67" t="s">
        <v>1099</v>
      </c>
      <c r="Q187" s="103"/>
      <c r="R187" s="104" t="str">
        <f aca="false">HYPERLINK("#'Painel'!B340","→ 340")</f>
        <v>→ 340</v>
      </c>
    </row>
    <row r="188" customFormat="false" ht="15" hidden="false" customHeight="false" outlineLevel="0" collapsed="false">
      <c r="B188" s="97" t="n">
        <v>185</v>
      </c>
      <c r="C188" s="40" t="s">
        <v>595</v>
      </c>
      <c r="D188" s="98" t="s">
        <v>1101</v>
      </c>
      <c r="E188" s="40" t="s">
        <v>80</v>
      </c>
      <c r="F188" s="64" t="n">
        <v>181</v>
      </c>
      <c r="G188" s="99" t="n">
        <v>181</v>
      </c>
      <c r="H188" s="61" t="n">
        <f aca="false">Painel!$L$337</f>
        <v>181</v>
      </c>
      <c r="I188" s="100" t="n">
        <f aca="false">IF(H188="","",H188-F188)</f>
        <v>0</v>
      </c>
      <c r="J188" s="101" t="n">
        <f aca="false">IF(OR(H188="",F188=0),"",H188/F188-1)</f>
        <v>0</v>
      </c>
      <c r="K188" s="62" t="n">
        <v>1284.24</v>
      </c>
      <c r="L188" s="42" t="n">
        <v>232447.44</v>
      </c>
      <c r="M188" s="43" t="n">
        <f aca="false">IF(H188="",F188*K188,H188*K188)</f>
        <v>232447.44</v>
      </c>
      <c r="N188" s="66" t="n">
        <f aca="false">M188-L188</f>
        <v>0</v>
      </c>
      <c r="O188" s="102" t="str">
        <f aca="false">IF(F188=0,"Sem qtd. no contrato",IF(ABS(H188/F188-1)&lt;=0.02,"Confere (±2%)",IF(H188&gt;F188,"Projeto maior","Projeto menor")))</f>
        <v>Confere (±2%)</v>
      </c>
      <c r="P188" s="67" t="s">
        <v>1099</v>
      </c>
      <c r="Q188" s="103"/>
      <c r="R188" s="104" t="str">
        <f aca="false">HYPERLINK("#'Painel'!B337","→ 337")</f>
        <v>→ 337</v>
      </c>
    </row>
    <row r="189" customFormat="false" ht="15" hidden="false" customHeight="false" outlineLevel="0" collapsed="false">
      <c r="B189" s="97" t="n">
        <v>186</v>
      </c>
      <c r="C189" s="40" t="s">
        <v>598</v>
      </c>
      <c r="D189" s="98" t="s">
        <v>1102</v>
      </c>
      <c r="E189" s="40" t="s">
        <v>80</v>
      </c>
      <c r="F189" s="64" t="n">
        <v>57</v>
      </c>
      <c r="G189" s="99" t="n">
        <v>57</v>
      </c>
      <c r="H189" s="61" t="n">
        <f aca="false">Painel!$L$338</f>
        <v>57</v>
      </c>
      <c r="I189" s="100" t="n">
        <f aca="false">IF(H189="","",H189-F189)</f>
        <v>0</v>
      </c>
      <c r="J189" s="101" t="n">
        <f aca="false">IF(OR(H189="",F189=0),"",H189/F189-1)</f>
        <v>0</v>
      </c>
      <c r="K189" s="62" t="n">
        <v>1382.17</v>
      </c>
      <c r="L189" s="42" t="n">
        <v>78783.69</v>
      </c>
      <c r="M189" s="43" t="n">
        <f aca="false">IF(H189="",F189*K189,H189*K189)</f>
        <v>78783.69</v>
      </c>
      <c r="N189" s="66" t="n">
        <f aca="false">M189-L189</f>
        <v>0</v>
      </c>
      <c r="O189" s="102" t="str">
        <f aca="false">IF(F189=0,"Sem qtd. no contrato",IF(ABS(H189/F189-1)&lt;=0.02,"Confere (±2%)",IF(H189&gt;F189,"Projeto maior","Projeto menor")))</f>
        <v>Confere (±2%)</v>
      </c>
      <c r="P189" s="67" t="s">
        <v>1099</v>
      </c>
      <c r="Q189" s="103"/>
      <c r="R189" s="104" t="str">
        <f aca="false">HYPERLINK("#'Painel'!B338","→ 338")</f>
        <v>→ 338</v>
      </c>
    </row>
    <row r="190" customFormat="false" ht="15" hidden="false" customHeight="false" outlineLevel="0" collapsed="false">
      <c r="B190" s="97" t="n">
        <v>187</v>
      </c>
      <c r="C190" s="40" t="s">
        <v>449</v>
      </c>
      <c r="D190" s="98" t="s">
        <v>450</v>
      </c>
      <c r="E190" s="40" t="s">
        <v>73</v>
      </c>
      <c r="F190" s="64" t="n">
        <v>1380</v>
      </c>
      <c r="G190" s="99" t="n">
        <v>1215</v>
      </c>
      <c r="H190" s="61" t="n">
        <f aca="false">Painel!$L$343</f>
        <v>1215</v>
      </c>
      <c r="I190" s="100" t="n">
        <f aca="false">IF(H190="","",H190-F190)</f>
        <v>-165</v>
      </c>
      <c r="J190" s="101" t="n">
        <f aca="false">IF(OR(H190="",F190=0),"",H190/F190-1)</f>
        <v>-0.119565217391304</v>
      </c>
      <c r="K190" s="62" t="n">
        <v>10.13</v>
      </c>
      <c r="L190" s="42" t="n">
        <v>13979.4</v>
      </c>
      <c r="M190" s="43" t="n">
        <f aca="false">IF(H190="",F190*K190,H190*K190)</f>
        <v>12307.95</v>
      </c>
      <c r="N190" s="66" t="n">
        <f aca="false">M190-L190</f>
        <v>-1671.45</v>
      </c>
      <c r="O190" s="102" t="str">
        <f aca="false">IF(F190=0,"Sem qtd. no contrato",IF(ABS(H190/F190-1)&lt;=0.02,"Confere (±2%)",IF(H190&gt;F190,"Projeto maior","Projeto menor")))</f>
        <v>Projeto menor</v>
      </c>
      <c r="P190" s="67" t="s">
        <v>1103</v>
      </c>
      <c r="Q190" s="103" t="s">
        <v>1104</v>
      </c>
      <c r="R190" s="104" t="str">
        <f aca="false">HYPERLINK("#'Painel'!B343","→ 343")</f>
        <v>→ 343</v>
      </c>
    </row>
    <row r="191" customFormat="false" ht="15" hidden="false" customHeight="false" outlineLevel="0" collapsed="false">
      <c r="B191" s="97" t="n">
        <v>188</v>
      </c>
      <c r="C191" s="40" t="s">
        <v>366</v>
      </c>
      <c r="D191" s="98" t="s">
        <v>482</v>
      </c>
      <c r="E191" s="40" t="s">
        <v>77</v>
      </c>
      <c r="F191" s="64" t="n">
        <v>20.5</v>
      </c>
      <c r="G191" s="99" t="n">
        <v>20.5</v>
      </c>
      <c r="H191" s="61" t="n">
        <f aca="false">Painel!$L$341</f>
        <v>20.5</v>
      </c>
      <c r="I191" s="100" t="n">
        <f aca="false">IF(H191="","",H191-F191)</f>
        <v>0</v>
      </c>
      <c r="J191" s="101" t="n">
        <f aca="false">IF(OR(H191="",F191=0),"",H191/F191-1)</f>
        <v>0</v>
      </c>
      <c r="K191" s="62" t="n">
        <v>1017.57</v>
      </c>
      <c r="L191" s="42" t="n">
        <v>20860.18</v>
      </c>
      <c r="M191" s="43" t="n">
        <f aca="false">IF(H191="",F191*K191,H191*K191)</f>
        <v>20860.185</v>
      </c>
      <c r="N191" s="66" t="n">
        <f aca="false">M191-L191</f>
        <v>0.00500000000101863</v>
      </c>
      <c r="O191" s="102" t="str">
        <f aca="false">IF(F191=0,"Sem qtd. no contrato",IF(ABS(H191/F191-1)&lt;=0.02,"Confere (±2%)",IF(H191&gt;F191,"Projeto maior","Projeto menor")))</f>
        <v>Confere (±2%)</v>
      </c>
      <c r="P191" s="67" t="s">
        <v>1105</v>
      </c>
      <c r="Q191" s="103"/>
      <c r="R191" s="104" t="str">
        <f aca="false">HYPERLINK("#'Painel'!B341","→ 341")</f>
        <v>→ 341</v>
      </c>
    </row>
    <row r="192" customFormat="false" ht="15" hidden="false" customHeight="false" outlineLevel="0" collapsed="false">
      <c r="B192" s="97" t="n">
        <v>189</v>
      </c>
      <c r="C192" s="40" t="s">
        <v>369</v>
      </c>
      <c r="D192" s="98" t="s">
        <v>1077</v>
      </c>
      <c r="E192" s="40" t="s">
        <v>77</v>
      </c>
      <c r="F192" s="64" t="n">
        <v>101</v>
      </c>
      <c r="G192" s="99" t="n">
        <v>101</v>
      </c>
      <c r="H192" s="61" t="n">
        <f aca="false">Painel!$L$342</f>
        <v>101</v>
      </c>
      <c r="I192" s="100" t="n">
        <f aca="false">IF(H192="","",H192-F192)</f>
        <v>0</v>
      </c>
      <c r="J192" s="101" t="n">
        <f aca="false">IF(OR(H192="",F192=0),"",H192/F192-1)</f>
        <v>0</v>
      </c>
      <c r="K192" s="62" t="n">
        <v>823.68</v>
      </c>
      <c r="L192" s="42" t="n">
        <v>83191.68</v>
      </c>
      <c r="M192" s="43" t="n">
        <f aca="false">IF(H192="",F192*K192,H192*K192)</f>
        <v>83191.68</v>
      </c>
      <c r="N192" s="66" t="n">
        <f aca="false">M192-L192</f>
        <v>0</v>
      </c>
      <c r="O192" s="102" t="str">
        <f aca="false">IF(F192=0,"Sem qtd. no contrato",IF(ABS(H192/F192-1)&lt;=0.02,"Confere (±2%)",IF(H192&gt;F192,"Projeto maior","Projeto menor")))</f>
        <v>Confere (±2%)</v>
      </c>
      <c r="P192" s="67" t="s">
        <v>1105</v>
      </c>
      <c r="Q192" s="103"/>
      <c r="R192" s="104" t="str">
        <f aca="false">HYPERLINK("#'Painel'!B342","→ 342")</f>
        <v>→ 342</v>
      </c>
    </row>
    <row r="193" customFormat="false" ht="15" hidden="false" customHeight="false" outlineLevel="0" collapsed="false">
      <c r="B193" s="45"/>
      <c r="C193" s="45"/>
      <c r="D193" s="105" t="s">
        <v>610</v>
      </c>
      <c r="E193" s="45"/>
      <c r="F193" s="45"/>
      <c r="G193" s="45"/>
      <c r="H193" s="45"/>
      <c r="I193" s="45"/>
      <c r="J193" s="45"/>
      <c r="K193" s="45"/>
      <c r="L193" s="106" t="n">
        <f aca="false">SUM(L186:L192)</f>
        <v>687970.09</v>
      </c>
      <c r="M193" s="106" t="n">
        <f aca="false">SUM(M186:M192)</f>
        <v>686298.645</v>
      </c>
      <c r="N193" s="107" t="n">
        <f aca="false">SUM(N186:N192)</f>
        <v>-1671.445</v>
      </c>
      <c r="O193" s="45"/>
      <c r="P193" s="45"/>
      <c r="Q193" s="45"/>
      <c r="R193" s="45"/>
    </row>
    <row r="195" customFormat="false" ht="15" hidden="false" customHeight="false" outlineLevel="0" collapsed="false">
      <c r="B195" s="96" t="s">
        <v>1106</v>
      </c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</row>
    <row r="196" customFormat="false" ht="15" hidden="false" customHeight="false" outlineLevel="0" collapsed="false">
      <c r="B196" s="97" t="n">
        <v>192</v>
      </c>
      <c r="C196" s="40" t="s">
        <v>498</v>
      </c>
      <c r="D196" s="98" t="s">
        <v>546</v>
      </c>
      <c r="E196" s="40" t="s">
        <v>173</v>
      </c>
      <c r="F196" s="64" t="n">
        <v>60146.11</v>
      </c>
      <c r="G196" s="31"/>
      <c r="H196" s="61" t="n">
        <f aca="false">(Painel!$L$275)*1</f>
        <v>55281.76228</v>
      </c>
      <c r="I196" s="100" t="n">
        <f aca="false">IF(H196="","",H196-F196)</f>
        <v>-4864.34772000001</v>
      </c>
      <c r="J196" s="101" t="n">
        <f aca="false">IF(OR(H196="",F196=0),"",H196/F196-1)</f>
        <v>-0.0808755166377344</v>
      </c>
      <c r="K196" s="62" t="n">
        <v>18.52</v>
      </c>
      <c r="L196" s="42" t="n">
        <v>1113905.95</v>
      </c>
      <c r="M196" s="43" t="n">
        <f aca="false">IF(H196="",F196*K196,H196*K196)</f>
        <v>1023818.2374256</v>
      </c>
      <c r="N196" s="66" t="n">
        <f aca="false">M196-L196</f>
        <v>-90087.7125744</v>
      </c>
      <c r="O196" s="102" t="str">
        <f aca="false">IF(F196=0,"Sem qtd. no contrato",IF(ABS(H196/F196-1)&lt;=0.02,"Confere (±2%)",IF(H196&gt;F196,"Projeto maior","Projeto menor")))</f>
        <v>Projeto menor</v>
      </c>
      <c r="P196" s="67" t="s">
        <v>1107</v>
      </c>
      <c r="Q196" s="103" t="s">
        <v>1108</v>
      </c>
      <c r="R196" s="104" t="str">
        <f aca="false">HYPERLINK("#'Painel'!B276","→ 276")</f>
        <v>→ 276</v>
      </c>
    </row>
    <row r="197" customFormat="false" ht="15" hidden="false" customHeight="false" outlineLevel="0" collapsed="false">
      <c r="B197" s="97" t="n">
        <v>193</v>
      </c>
      <c r="C197" s="40" t="s">
        <v>501</v>
      </c>
      <c r="D197" s="98" t="s">
        <v>1109</v>
      </c>
      <c r="E197" s="40" t="s">
        <v>77</v>
      </c>
      <c r="F197" s="64" t="n">
        <v>937.43</v>
      </c>
      <c r="G197" s="31"/>
      <c r="H197" s="61" t="n">
        <f aca="false">(Painel!$L$271)*1</f>
        <v>804.217</v>
      </c>
      <c r="I197" s="100" t="n">
        <f aca="false">IF(H197="","",H197-F197)</f>
        <v>-133.213</v>
      </c>
      <c r="J197" s="101" t="n">
        <f aca="false">IF(OR(H197="",F197=0),"",H197/F197-1)</f>
        <v>-0.142104477134293</v>
      </c>
      <c r="K197" s="62" t="n">
        <v>518.43</v>
      </c>
      <c r="L197" s="42" t="n">
        <v>485991.83</v>
      </c>
      <c r="M197" s="43" t="n">
        <f aca="false">IF(H197="",F197*K197,H197*K197)</f>
        <v>416930.21931</v>
      </c>
      <c r="N197" s="66" t="n">
        <f aca="false">M197-L197</f>
        <v>-69061.6106900001</v>
      </c>
      <c r="O197" s="102" t="str">
        <f aca="false">IF(F197=0,"Sem qtd. no contrato",IF(ABS(H197/F197-1)&lt;=0.02,"Confere (±2%)",IF(H197&gt;F197,"Projeto maior","Projeto menor")))</f>
        <v>Projeto menor</v>
      </c>
      <c r="P197" s="67" t="s">
        <v>1107</v>
      </c>
      <c r="Q197" s="103" t="s">
        <v>1110</v>
      </c>
      <c r="R197" s="104" t="str">
        <f aca="false">HYPERLINK("#'Painel'!B277","→ 277")</f>
        <v>→ 277</v>
      </c>
    </row>
    <row r="198" customFormat="false" ht="15" hidden="false" customHeight="false" outlineLevel="0" collapsed="false">
      <c r="B198" s="97" t="n">
        <v>194</v>
      </c>
      <c r="C198" s="40" t="s">
        <v>507</v>
      </c>
      <c r="D198" s="98" t="s">
        <v>1111</v>
      </c>
      <c r="E198" s="40" t="s">
        <v>77</v>
      </c>
      <c r="F198" s="64" t="n">
        <v>47.93</v>
      </c>
      <c r="G198" s="31"/>
      <c r="H198" s="61" t="n">
        <f aca="false">(Painel!$L$274)*1</f>
        <v>47.1682</v>
      </c>
      <c r="I198" s="100" t="n">
        <f aca="false">IF(H198="","",H198-F198)</f>
        <v>-0.761800000000001</v>
      </c>
      <c r="J198" s="101" t="n">
        <f aca="false">IF(OR(H198="",F198=0),"",H198/F198-1)</f>
        <v>-0.0158940121009806</v>
      </c>
      <c r="K198" s="62" t="n">
        <v>843.46</v>
      </c>
      <c r="L198" s="42" t="n">
        <v>40427.03</v>
      </c>
      <c r="M198" s="43" t="n">
        <f aca="false">IF(H198="",F198*K198,H198*K198)</f>
        <v>39784.489972</v>
      </c>
      <c r="N198" s="66" t="n">
        <f aca="false">M198-L198</f>
        <v>-642.540027999996</v>
      </c>
      <c r="O198" s="102" t="str">
        <f aca="false">IF(F198=0,"Sem qtd. no contrato",IF(ABS(H198/F198-1)&lt;=0.02,"Confere (±2%)",IF(H198&gt;F198,"Projeto maior","Projeto menor")))</f>
        <v>Confere (±2%)</v>
      </c>
      <c r="P198" s="67" t="s">
        <v>1107</v>
      </c>
      <c r="Q198" s="103"/>
      <c r="R198" s="104" t="str">
        <f aca="false">HYPERLINK("#'Painel'!B280","→ 280")</f>
        <v>→ 280</v>
      </c>
    </row>
    <row r="199" customFormat="false" ht="15" hidden="false" customHeight="false" outlineLevel="0" collapsed="false">
      <c r="B199" s="97" t="n">
        <v>195</v>
      </c>
      <c r="C199" s="40" t="s">
        <v>509</v>
      </c>
      <c r="D199" s="98" t="s">
        <v>550</v>
      </c>
      <c r="E199" s="40" t="s">
        <v>77</v>
      </c>
      <c r="F199" s="64" t="n">
        <v>1112.07</v>
      </c>
      <c r="G199" s="31"/>
      <c r="H199" s="61" t="n">
        <f aca="false">(Painel!$L$271+Painel!$L$272)*1</f>
        <v>961.98</v>
      </c>
      <c r="I199" s="100" t="n">
        <f aca="false">IF(H199="","",H199-F199)</f>
        <v>-150.09</v>
      </c>
      <c r="J199" s="101" t="n">
        <f aca="false">IF(OR(H199="",F199=0),"",H199/F199-1)</f>
        <v>-0.134964525614395</v>
      </c>
      <c r="K199" s="62" t="n">
        <v>42.33</v>
      </c>
      <c r="L199" s="42" t="n">
        <v>47073.92</v>
      </c>
      <c r="M199" s="43" t="n">
        <f aca="false">IF(H199="",F199*K199,H199*K199)</f>
        <v>40720.6134</v>
      </c>
      <c r="N199" s="66" t="n">
        <f aca="false">M199-L199</f>
        <v>-6353.3066</v>
      </c>
      <c r="O199" s="102" t="str">
        <f aca="false">IF(F199=0,"Sem qtd. no contrato",IF(ABS(H199/F199-1)&lt;=0.02,"Confere (±2%)",IF(H199&gt;F199,"Projeto maior","Projeto menor")))</f>
        <v>Projeto menor</v>
      </c>
      <c r="P199" s="67" t="s">
        <v>1112</v>
      </c>
      <c r="Q199" s="103" t="s">
        <v>1113</v>
      </c>
      <c r="R199" s="104" t="str">
        <f aca="false">HYPERLINK("#'Painel'!B281","→ 281")</f>
        <v>→ 281</v>
      </c>
    </row>
    <row r="200" customFormat="false" ht="15" hidden="false" customHeight="false" outlineLevel="0" collapsed="false">
      <c r="B200" s="97" t="n">
        <v>196</v>
      </c>
      <c r="C200" s="40" t="s">
        <v>503</v>
      </c>
      <c r="D200" s="98" t="s">
        <v>1114</v>
      </c>
      <c r="E200" s="40" t="s">
        <v>77</v>
      </c>
      <c r="F200" s="64" t="n">
        <v>174.64</v>
      </c>
      <c r="G200" s="31"/>
      <c r="H200" s="61" t="n">
        <f aca="false">(Painel!$L$272)*1</f>
        <v>157.763</v>
      </c>
      <c r="I200" s="100" t="n">
        <f aca="false">IF(H200="","",H200-F200)</f>
        <v>-16.877</v>
      </c>
      <c r="J200" s="101" t="n">
        <f aca="false">IF(OR(H200="",F200=0),"",H200/F200-1)</f>
        <v>-0.0966387998167658</v>
      </c>
      <c r="K200" s="62" t="n">
        <v>483.46</v>
      </c>
      <c r="L200" s="42" t="n">
        <v>84431.45</v>
      </c>
      <c r="M200" s="43" t="n">
        <f aca="false">IF(H200="",F200*K200,H200*K200)</f>
        <v>76272.09998</v>
      </c>
      <c r="N200" s="66" t="n">
        <f aca="false">M200-L200</f>
        <v>-8159.35002</v>
      </c>
      <c r="O200" s="102" t="str">
        <f aca="false">IF(F200=0,"Sem qtd. no contrato",IF(ABS(H200/F200-1)&lt;=0.02,"Confere (±2%)",IF(H200&gt;F200,"Projeto maior","Projeto menor")))</f>
        <v>Projeto menor</v>
      </c>
      <c r="P200" s="67" t="s">
        <v>1107</v>
      </c>
      <c r="Q200" s="103" t="s">
        <v>1115</v>
      </c>
      <c r="R200" s="104" t="str">
        <f aca="false">HYPERLINK("#'Painel'!B278","→ 278")</f>
        <v>→ 278</v>
      </c>
    </row>
    <row r="201" customFormat="false" ht="15" hidden="false" customHeight="false" outlineLevel="0" collapsed="false">
      <c r="B201" s="97" t="n">
        <v>197</v>
      </c>
      <c r="C201" s="40" t="s">
        <v>514</v>
      </c>
      <c r="D201" s="98" t="s">
        <v>1116</v>
      </c>
      <c r="E201" s="40" t="s">
        <v>73</v>
      </c>
      <c r="F201" s="64" t="n">
        <v>1123.6</v>
      </c>
      <c r="G201" s="31"/>
      <c r="H201" s="61" t="n">
        <f aca="false">(Painel!$L$282)*1</f>
        <v>1323.28</v>
      </c>
      <c r="I201" s="100" t="n">
        <f aca="false">IF(H201="","",H201-F201)</f>
        <v>199.68</v>
      </c>
      <c r="J201" s="101" t="n">
        <f aca="false">IF(OR(H201="",F201=0),"",H201/F201-1)</f>
        <v>0.177714489142043</v>
      </c>
      <c r="K201" s="62" t="n">
        <v>122.5</v>
      </c>
      <c r="L201" s="42" t="n">
        <v>137641</v>
      </c>
      <c r="M201" s="43" t="n">
        <f aca="false">IF(H201="",F201*K201,H201*K201)</f>
        <v>162101.8</v>
      </c>
      <c r="N201" s="66" t="n">
        <f aca="false">M201-L201</f>
        <v>24460.8</v>
      </c>
      <c r="O201" s="102" t="str">
        <f aca="false">IF(F201=0,"Sem qtd. no contrato",IF(ABS(H201/F201-1)&lt;=0.02,"Confere (±2%)",IF(H201&gt;F201,"Projeto maior","Projeto menor")))</f>
        <v>Projeto maior</v>
      </c>
      <c r="P201" s="67" t="s">
        <v>1117</v>
      </c>
      <c r="Q201" s="103" t="s">
        <v>1118</v>
      </c>
      <c r="R201" s="104" t="str">
        <f aca="false">HYPERLINK("#'Painel'!B283","→ 283")</f>
        <v>→ 283</v>
      </c>
    </row>
    <row r="202" customFormat="false" ht="15" hidden="false" customHeight="false" outlineLevel="0" collapsed="false">
      <c r="B202" s="97" t="n">
        <v>198</v>
      </c>
      <c r="C202" s="40" t="s">
        <v>505</v>
      </c>
      <c r="D202" s="98" t="s">
        <v>559</v>
      </c>
      <c r="E202" s="40" t="s">
        <v>73</v>
      </c>
      <c r="F202" s="64" t="n">
        <v>4647.23</v>
      </c>
      <c r="G202" s="31"/>
      <c r="H202" s="61" t="n">
        <f aca="false">(Painel!$L$273)*1</f>
        <v>4179.414</v>
      </c>
      <c r="I202" s="100" t="n">
        <f aca="false">IF(H202="","",H202-F202)</f>
        <v>-467.815999999999</v>
      </c>
      <c r="J202" s="101" t="n">
        <f aca="false">IF(OR(H202="",F202=0),"",H202/F202-1)</f>
        <v>-0.100665557762366</v>
      </c>
      <c r="K202" s="62" t="n">
        <v>88.88</v>
      </c>
      <c r="L202" s="42" t="n">
        <v>413045.8</v>
      </c>
      <c r="M202" s="43" t="n">
        <f aca="false">IF(H202="",F202*K202,H202*K202)</f>
        <v>371466.31632</v>
      </c>
      <c r="N202" s="66" t="n">
        <f aca="false">M202-L202</f>
        <v>-41579.48368</v>
      </c>
      <c r="O202" s="102" t="str">
        <f aca="false">IF(F202=0,"Sem qtd. no contrato",IF(ABS(H202/F202-1)&lt;=0.02,"Confere (±2%)",IF(H202&gt;F202,"Projeto maior","Projeto menor")))</f>
        <v>Projeto menor</v>
      </c>
      <c r="P202" s="67" t="s">
        <v>1107</v>
      </c>
      <c r="Q202" s="103" t="s">
        <v>1119</v>
      </c>
      <c r="R202" s="104" t="str">
        <f aca="false">HYPERLINK("#'Painel'!B279","→ 279")</f>
        <v>→ 279</v>
      </c>
    </row>
    <row r="203" customFormat="false" ht="15" hidden="false" customHeight="false" outlineLevel="0" collapsed="false">
      <c r="B203" s="45"/>
      <c r="C203" s="45"/>
      <c r="D203" s="105" t="s">
        <v>1120</v>
      </c>
      <c r="E203" s="45"/>
      <c r="F203" s="45"/>
      <c r="G203" s="45"/>
      <c r="H203" s="45"/>
      <c r="I203" s="45"/>
      <c r="J203" s="45"/>
      <c r="K203" s="45"/>
      <c r="L203" s="106" t="n">
        <f aca="false">SUM(L196:L202)</f>
        <v>2322516.98</v>
      </c>
      <c r="M203" s="106" t="n">
        <f aca="false">SUM(M196:M202)</f>
        <v>2131093.7764076</v>
      </c>
      <c r="N203" s="107" t="n">
        <f aca="false">SUM(N196:N202)</f>
        <v>-191423.2035924</v>
      </c>
      <c r="O203" s="45"/>
      <c r="P203" s="45"/>
      <c r="Q203" s="45"/>
      <c r="R203" s="45"/>
    </row>
    <row r="205" customFormat="false" ht="15" hidden="false" customHeight="false" outlineLevel="0" collapsed="false">
      <c r="B205" s="96" t="s">
        <v>1121</v>
      </c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</row>
    <row r="206" customFormat="false" ht="15" hidden="false" customHeight="false" outlineLevel="0" collapsed="false">
      <c r="B206" s="97" t="n">
        <v>201</v>
      </c>
      <c r="C206" s="40" t="s">
        <v>520</v>
      </c>
      <c r="D206" s="98" t="s">
        <v>1122</v>
      </c>
      <c r="E206" s="40" t="s">
        <v>176</v>
      </c>
      <c r="F206" s="64" t="n">
        <v>680</v>
      </c>
      <c r="G206" s="99" t="n">
        <v>680</v>
      </c>
      <c r="H206" s="61" t="n">
        <f aca="false">Painel!$L$286</f>
        <v>680</v>
      </c>
      <c r="I206" s="100" t="n">
        <f aca="false">IF(H206="","",H206-F206)</f>
        <v>0</v>
      </c>
      <c r="J206" s="101" t="n">
        <f aca="false">IF(OR(H206="",F206=0),"",H206/F206-1)</f>
        <v>0</v>
      </c>
      <c r="K206" s="62" t="n">
        <v>249.91</v>
      </c>
      <c r="L206" s="42" t="n">
        <v>169938.8</v>
      </c>
      <c r="M206" s="43" t="n">
        <f aca="false">IF(H206="",F206*K206,H206*K206)</f>
        <v>169938.8</v>
      </c>
      <c r="N206" s="66" t="n">
        <f aca="false">M206-L206</f>
        <v>0</v>
      </c>
      <c r="O206" s="102" t="str">
        <f aca="false">IF(F206=0,"Sem qtd. no contrato",IF(ABS(H206/F206-1)&lt;=0.02,"Confere (±2%)",IF(H206&gt;F206,"Projeto maior","Projeto menor")))</f>
        <v>Confere (±2%)</v>
      </c>
      <c r="P206" s="67" t="s">
        <v>1123</v>
      </c>
      <c r="Q206" s="103"/>
      <c r="R206" s="104" t="str">
        <f aca="false">HYPERLINK("#'Painel'!B286","→ 286")</f>
        <v>→ 286</v>
      </c>
    </row>
    <row r="207" customFormat="false" ht="15" hidden="false" customHeight="false" outlineLevel="0" collapsed="false">
      <c r="B207" s="45"/>
      <c r="C207" s="45"/>
      <c r="D207" s="105" t="s">
        <v>1124</v>
      </c>
      <c r="E207" s="45"/>
      <c r="F207" s="45"/>
      <c r="G207" s="45"/>
      <c r="H207" s="45"/>
      <c r="I207" s="45"/>
      <c r="J207" s="45"/>
      <c r="K207" s="45"/>
      <c r="L207" s="106" t="n">
        <f aca="false">SUM(L206:L206)</f>
        <v>169938.8</v>
      </c>
      <c r="M207" s="106" t="n">
        <f aca="false">SUM(M206:M206)</f>
        <v>169938.8</v>
      </c>
      <c r="N207" s="107" t="n">
        <f aca="false">SUM(N206:N206)</f>
        <v>0</v>
      </c>
      <c r="O207" s="45"/>
      <c r="P207" s="45"/>
      <c r="Q207" s="45"/>
      <c r="R207" s="45"/>
    </row>
    <row r="209" customFormat="false" ht="15" hidden="false" customHeight="false" outlineLevel="0" collapsed="false">
      <c r="B209" s="96" t="s">
        <v>1125</v>
      </c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</row>
    <row r="210" customFormat="false" ht="15" hidden="false" customHeight="false" outlineLevel="0" collapsed="false">
      <c r="B210" s="97" t="n">
        <v>204</v>
      </c>
      <c r="C210" s="40" t="s">
        <v>498</v>
      </c>
      <c r="D210" s="98" t="s">
        <v>546</v>
      </c>
      <c r="E210" s="40" t="s">
        <v>173</v>
      </c>
      <c r="F210" s="64" t="n">
        <v>4298.58</v>
      </c>
      <c r="G210" s="99" t="n">
        <v>4298.58</v>
      </c>
      <c r="H210" s="61" t="n">
        <f aca="false">4298.58</f>
        <v>4298.58</v>
      </c>
      <c r="I210" s="100" t="n">
        <f aca="false">IF(H210="","",H210-F210)</f>
        <v>0</v>
      </c>
      <c r="J210" s="101" t="n">
        <f aca="false">IF(OR(H210="",F210=0),"",H210/F210-1)</f>
        <v>0</v>
      </c>
      <c r="K210" s="62" t="n">
        <v>18.52</v>
      </c>
      <c r="L210" s="42" t="n">
        <v>79609.7</v>
      </c>
      <c r="M210" s="43" t="n">
        <f aca="false">IF(H210="",F210*K210,H210*K210)</f>
        <v>79609.7016</v>
      </c>
      <c r="N210" s="66" t="n">
        <f aca="false">M210-L210</f>
        <v>0.00160000000323635</v>
      </c>
      <c r="O210" s="102" t="str">
        <f aca="false">IF(F210=0,"Sem qtd. no contrato",IF(ABS(H210/F210-1)&lt;=0.02,"Confere (±2%)",IF(H210&gt;F210,"Projeto maior","Projeto menor")))</f>
        <v>Confere (±2%)</v>
      </c>
      <c r="P210" s="67" t="s">
        <v>1126</v>
      </c>
      <c r="Q210" s="103"/>
      <c r="R210" s="104" t="str">
        <f aca="false">HYPERLINK("#'Painel'!B287","→ 287")</f>
        <v>→ 287</v>
      </c>
    </row>
    <row r="211" customFormat="false" ht="15" hidden="false" customHeight="false" outlineLevel="0" collapsed="false">
      <c r="B211" s="97" t="n">
        <v>205</v>
      </c>
      <c r="C211" s="40" t="s">
        <v>507</v>
      </c>
      <c r="D211" s="98" t="s">
        <v>1111</v>
      </c>
      <c r="E211" s="40" t="s">
        <v>77</v>
      </c>
      <c r="F211" s="64" t="n">
        <v>3.6</v>
      </c>
      <c r="G211" s="99" t="n">
        <v>3.6</v>
      </c>
      <c r="H211" s="61" t="n">
        <f aca="false">3.6</f>
        <v>3.6</v>
      </c>
      <c r="I211" s="100" t="n">
        <f aca="false">IF(H211="","",H211-F211)</f>
        <v>0</v>
      </c>
      <c r="J211" s="101" t="n">
        <f aca="false">IF(OR(H211="",F211=0),"",H211/F211-1)</f>
        <v>0</v>
      </c>
      <c r="K211" s="62" t="n">
        <v>843.46</v>
      </c>
      <c r="L211" s="42" t="n">
        <v>3036.45</v>
      </c>
      <c r="M211" s="43" t="n">
        <f aca="false">IF(H211="",F211*K211,H211*K211)</f>
        <v>3036.456</v>
      </c>
      <c r="N211" s="66" t="n">
        <f aca="false">M211-L211</f>
        <v>0.00600000000031287</v>
      </c>
      <c r="O211" s="102" t="str">
        <f aca="false">IF(F211=0,"Sem qtd. no contrato",IF(ABS(H211/F211-1)&lt;=0.02,"Confere (±2%)",IF(H211&gt;F211,"Projeto maior","Projeto menor")))</f>
        <v>Confere (±2%)</v>
      </c>
      <c r="P211" s="67" t="s">
        <v>1127</v>
      </c>
      <c r="Q211" s="103"/>
      <c r="R211" s="104" t="str">
        <f aca="false">HYPERLINK("#'Painel'!B288","→ 288")</f>
        <v>→ 288</v>
      </c>
    </row>
    <row r="212" customFormat="false" ht="15" hidden="false" customHeight="false" outlineLevel="0" collapsed="false">
      <c r="B212" s="97" t="n">
        <v>206</v>
      </c>
      <c r="C212" s="40" t="s">
        <v>526</v>
      </c>
      <c r="D212" s="98" t="s">
        <v>1053</v>
      </c>
      <c r="E212" s="40" t="s">
        <v>77</v>
      </c>
      <c r="F212" s="64" t="n">
        <v>9.36</v>
      </c>
      <c r="G212" s="99" t="n">
        <v>9.36</v>
      </c>
      <c r="H212" s="61" t="n">
        <f aca="false">9.36</f>
        <v>9.36</v>
      </c>
      <c r="I212" s="100" t="n">
        <f aca="false">IF(H212="","",H212-F212)</f>
        <v>0</v>
      </c>
      <c r="J212" s="101" t="n">
        <f aca="false">IF(OR(H212="",F212=0),"",H212/F212-1)</f>
        <v>0</v>
      </c>
      <c r="K212" s="62" t="n">
        <v>760.45</v>
      </c>
      <c r="L212" s="42" t="n">
        <v>7117.81</v>
      </c>
      <c r="M212" s="43" t="n">
        <f aca="false">IF(H212="",F212*K212,H212*K212)</f>
        <v>7117.812</v>
      </c>
      <c r="N212" s="66" t="n">
        <f aca="false">M212-L212</f>
        <v>0.00199999999949796</v>
      </c>
      <c r="O212" s="102" t="str">
        <f aca="false">IF(F212=0,"Sem qtd. no contrato",IF(ABS(H212/F212-1)&lt;=0.02,"Confere (±2%)",IF(H212&gt;F212,"Projeto maior","Projeto menor")))</f>
        <v>Confere (±2%)</v>
      </c>
      <c r="P212" s="67" t="s">
        <v>1128</v>
      </c>
      <c r="Q212" s="103"/>
      <c r="R212" s="104" t="str">
        <f aca="false">HYPERLINK("#'Painel'!B289","→ 289")</f>
        <v>→ 289</v>
      </c>
    </row>
    <row r="213" customFormat="false" ht="15" hidden="false" customHeight="false" outlineLevel="0" collapsed="false">
      <c r="B213" s="97" t="n">
        <v>207</v>
      </c>
      <c r="C213" s="40" t="s">
        <v>528</v>
      </c>
      <c r="D213" s="98" t="s">
        <v>1055</v>
      </c>
      <c r="E213" s="40" t="s">
        <v>77</v>
      </c>
      <c r="F213" s="64" t="n">
        <v>47.16</v>
      </c>
      <c r="G213" s="99" t="n">
        <v>47.16</v>
      </c>
      <c r="H213" s="61" t="n">
        <f aca="false">47.16</f>
        <v>47.16</v>
      </c>
      <c r="I213" s="100" t="n">
        <f aca="false">IF(H213="","",H213-F213)</f>
        <v>0</v>
      </c>
      <c r="J213" s="101" t="n">
        <f aca="false">IF(OR(H213="",F213=0),"",H213/F213-1)</f>
        <v>0</v>
      </c>
      <c r="K213" s="62" t="n">
        <v>793.16</v>
      </c>
      <c r="L213" s="42" t="n">
        <v>37405.42</v>
      </c>
      <c r="M213" s="43" t="n">
        <f aca="false">IF(H213="",F213*K213,H213*K213)</f>
        <v>37405.4256</v>
      </c>
      <c r="N213" s="66" t="n">
        <f aca="false">M213-L213</f>
        <v>0.0055999999967753</v>
      </c>
      <c r="O213" s="102" t="str">
        <f aca="false">IF(F213=0,"Sem qtd. no contrato",IF(ABS(H213/F213-1)&lt;=0.02,"Confere (±2%)",IF(H213&gt;F213,"Projeto maior","Projeto menor")))</f>
        <v>Confere (±2%)</v>
      </c>
      <c r="P213" s="67" t="s">
        <v>1129</v>
      </c>
      <c r="Q213" s="103"/>
      <c r="R213" s="104" t="str">
        <f aca="false">HYPERLINK("#'Painel'!B290","→ 290")</f>
        <v>→ 290</v>
      </c>
    </row>
    <row r="214" customFormat="false" ht="15" hidden="false" customHeight="false" outlineLevel="0" collapsed="false">
      <c r="B214" s="97" t="n">
        <v>208</v>
      </c>
      <c r="C214" s="40" t="s">
        <v>505</v>
      </c>
      <c r="D214" s="98" t="s">
        <v>559</v>
      </c>
      <c r="E214" s="40" t="s">
        <v>73</v>
      </c>
      <c r="F214" s="64" t="n">
        <v>381.6</v>
      </c>
      <c r="G214" s="99" t="n">
        <v>381.6</v>
      </c>
      <c r="H214" s="61" t="n">
        <f aca="false">381.6</f>
        <v>381.6</v>
      </c>
      <c r="I214" s="100" t="n">
        <f aca="false">IF(H214="","",H214-F214)</f>
        <v>0</v>
      </c>
      <c r="J214" s="101" t="n">
        <f aca="false">IF(OR(H214="",F214=0),"",H214/F214-1)</f>
        <v>0</v>
      </c>
      <c r="K214" s="62" t="n">
        <v>88.88</v>
      </c>
      <c r="L214" s="42" t="n">
        <v>33916.6</v>
      </c>
      <c r="M214" s="43" t="n">
        <f aca="false">IF(H214="",F214*K214,H214*K214)</f>
        <v>33916.608</v>
      </c>
      <c r="N214" s="66" t="n">
        <f aca="false">M214-L214</f>
        <v>0.00800000000162982</v>
      </c>
      <c r="O214" s="102" t="str">
        <f aca="false">IF(F214=0,"Sem qtd. no contrato",IF(ABS(H214/F214-1)&lt;=0.02,"Confere (±2%)",IF(H214&gt;F214,"Projeto maior","Projeto menor")))</f>
        <v>Confere (±2%)</v>
      </c>
      <c r="P214" s="67" t="s">
        <v>1130</v>
      </c>
      <c r="Q214" s="103"/>
      <c r="R214" s="104" t="str">
        <f aca="false">HYPERLINK("#'Painel'!B291","→ 291")</f>
        <v>→ 291</v>
      </c>
    </row>
    <row r="215" customFormat="false" ht="15" hidden="false" customHeight="false" outlineLevel="0" collapsed="false">
      <c r="B215" s="45"/>
      <c r="C215" s="45"/>
      <c r="D215" s="105" t="s">
        <v>1131</v>
      </c>
      <c r="E215" s="45"/>
      <c r="F215" s="45"/>
      <c r="G215" s="45"/>
      <c r="H215" s="45"/>
      <c r="I215" s="45"/>
      <c r="J215" s="45"/>
      <c r="K215" s="45"/>
      <c r="L215" s="106" t="n">
        <f aca="false">SUM(L210:L214)</f>
        <v>161085.98</v>
      </c>
      <c r="M215" s="106" t="n">
        <f aca="false">SUM(M210:M214)</f>
        <v>161086.0032</v>
      </c>
      <c r="N215" s="107" t="n">
        <f aca="false">SUM(N210:N214)</f>
        <v>0.0232000000014523</v>
      </c>
      <c r="O215" s="45"/>
      <c r="P215" s="45"/>
      <c r="Q215" s="45"/>
      <c r="R215" s="45"/>
    </row>
    <row r="217" customFormat="false" ht="15" hidden="false" customHeight="false" outlineLevel="0" collapsed="false">
      <c r="B217" s="96" t="s">
        <v>1132</v>
      </c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</row>
    <row r="218" customFormat="false" ht="15" hidden="false" customHeight="false" outlineLevel="0" collapsed="false">
      <c r="B218" s="97" t="n">
        <v>211</v>
      </c>
      <c r="C218" s="40" t="s">
        <v>531</v>
      </c>
      <c r="D218" s="98" t="s">
        <v>546</v>
      </c>
      <c r="E218" s="40" t="s">
        <v>173</v>
      </c>
      <c r="F218" s="64" t="n">
        <v>2550</v>
      </c>
      <c r="G218" s="99" t="n">
        <v>2550</v>
      </c>
      <c r="H218" s="61" t="n">
        <f aca="false">2550</f>
        <v>2550</v>
      </c>
      <c r="I218" s="100" t="n">
        <f aca="false">IF(H218="","",H218-F218)</f>
        <v>0</v>
      </c>
      <c r="J218" s="101" t="n">
        <f aca="false">IF(OR(H218="",F218=0),"",H218/F218-1)</f>
        <v>0</v>
      </c>
      <c r="K218" s="62" t="n">
        <v>18.52</v>
      </c>
      <c r="L218" s="42" t="n">
        <v>47226</v>
      </c>
      <c r="M218" s="43" t="n">
        <f aca="false">IF(H218="",F218*K218,H218*K218)</f>
        <v>47226</v>
      </c>
      <c r="N218" s="66" t="n">
        <f aca="false">M218-L218</f>
        <v>0</v>
      </c>
      <c r="O218" s="102" t="str">
        <f aca="false">IF(F218=0,"Sem qtd. no contrato",IF(ABS(H218/F218-1)&lt;=0.02,"Confere (±2%)",IF(H218&gt;F218,"Projeto maior","Projeto menor")))</f>
        <v>Confere (±2%)</v>
      </c>
      <c r="P218" s="67" t="s">
        <v>1133</v>
      </c>
      <c r="Q218" s="103"/>
      <c r="R218" s="104" t="str">
        <f aca="false">HYPERLINK("#'Painel'!B292","→ 292")</f>
        <v>→ 292</v>
      </c>
    </row>
    <row r="219" customFormat="false" ht="15" hidden="false" customHeight="false" outlineLevel="0" collapsed="false">
      <c r="B219" s="97" t="n">
        <v>212</v>
      </c>
      <c r="C219" s="40" t="s">
        <v>427</v>
      </c>
      <c r="D219" s="98" t="s">
        <v>984</v>
      </c>
      <c r="E219" s="40" t="s">
        <v>77</v>
      </c>
      <c r="F219" s="64" t="n">
        <v>487.8</v>
      </c>
      <c r="G219" s="99" t="n">
        <v>487.8</v>
      </c>
      <c r="H219" s="61" t="n">
        <f aca="false">487.8</f>
        <v>487.8</v>
      </c>
      <c r="I219" s="100" t="n">
        <f aca="false">IF(H219="","",H219-F219)</f>
        <v>0</v>
      </c>
      <c r="J219" s="101" t="n">
        <f aca="false">IF(OR(H219="",F219=0),"",H219/F219-1)</f>
        <v>0</v>
      </c>
      <c r="K219" s="62" t="n">
        <v>60.31</v>
      </c>
      <c r="L219" s="42" t="n">
        <v>29419.21</v>
      </c>
      <c r="M219" s="43" t="n">
        <f aca="false">IF(H219="",F219*K219,H219*K219)</f>
        <v>29419.218</v>
      </c>
      <c r="N219" s="66" t="n">
        <f aca="false">M219-L219</f>
        <v>0.00800000000162982</v>
      </c>
      <c r="O219" s="102" t="str">
        <f aca="false">IF(F219=0,"Sem qtd. no contrato",IF(ABS(H219/F219-1)&lt;=0.02,"Confere (±2%)",IF(H219&gt;F219,"Projeto maior","Projeto menor")))</f>
        <v>Confere (±2%)</v>
      </c>
      <c r="P219" s="67" t="s">
        <v>1134</v>
      </c>
      <c r="Q219" s="103"/>
      <c r="R219" s="104" t="str">
        <f aca="false">HYPERLINK("#'Painel'!B293","→ 293")</f>
        <v>→ 293</v>
      </c>
    </row>
    <row r="220" customFormat="false" ht="15" hidden="false" customHeight="false" outlineLevel="0" collapsed="false">
      <c r="B220" s="97" t="n">
        <v>213</v>
      </c>
      <c r="C220" s="40" t="s">
        <v>507</v>
      </c>
      <c r="D220" s="98" t="s">
        <v>1111</v>
      </c>
      <c r="E220" s="40" t="s">
        <v>77</v>
      </c>
      <c r="F220" s="64" t="n">
        <v>1.74</v>
      </c>
      <c r="G220" s="99" t="n">
        <v>1.74</v>
      </c>
      <c r="H220" s="61" t="n">
        <f aca="false">1.74</f>
        <v>1.74</v>
      </c>
      <c r="I220" s="100" t="n">
        <f aca="false">IF(H220="","",H220-F220)</f>
        <v>0</v>
      </c>
      <c r="J220" s="101" t="n">
        <f aca="false">IF(OR(H220="",F220=0),"",H220/F220-1)</f>
        <v>0</v>
      </c>
      <c r="K220" s="62" t="n">
        <v>843.46</v>
      </c>
      <c r="L220" s="42" t="n">
        <v>1467.62</v>
      </c>
      <c r="M220" s="43" t="n">
        <f aca="false">IF(H220="",F220*K220,H220*K220)</f>
        <v>1467.6204</v>
      </c>
      <c r="N220" s="66" t="n">
        <f aca="false">M220-L220</f>
        <v>0.000400000000126965</v>
      </c>
      <c r="O220" s="102" t="str">
        <f aca="false">IF(F220=0,"Sem qtd. no contrato",IF(ABS(H220/F220-1)&lt;=0.02,"Confere (±2%)",IF(H220&gt;F220,"Projeto maior","Projeto menor")))</f>
        <v>Confere (±2%)</v>
      </c>
      <c r="P220" s="67" t="s">
        <v>1135</v>
      </c>
      <c r="Q220" s="103"/>
      <c r="R220" s="104" t="str">
        <f aca="false">HYPERLINK("#'Painel'!B294","→ 294")</f>
        <v>→ 294</v>
      </c>
    </row>
    <row r="221" customFormat="false" ht="15" hidden="false" customHeight="false" outlineLevel="0" collapsed="false">
      <c r="B221" s="97" t="n">
        <v>214</v>
      </c>
      <c r="C221" s="40" t="s">
        <v>526</v>
      </c>
      <c r="D221" s="98" t="s">
        <v>1053</v>
      </c>
      <c r="E221" s="40" t="s">
        <v>77</v>
      </c>
      <c r="F221" s="64" t="n">
        <v>12.6</v>
      </c>
      <c r="G221" s="99" t="n">
        <v>12.6</v>
      </c>
      <c r="H221" s="61" t="n">
        <f aca="false">12.6</f>
        <v>12.6</v>
      </c>
      <c r="I221" s="100" t="n">
        <f aca="false">IF(H221="","",H221-F221)</f>
        <v>0</v>
      </c>
      <c r="J221" s="101" t="n">
        <f aca="false">IF(OR(H221="",F221=0),"",H221/F221-1)</f>
        <v>0</v>
      </c>
      <c r="K221" s="62" t="n">
        <v>760.45</v>
      </c>
      <c r="L221" s="42" t="n">
        <v>9581.67</v>
      </c>
      <c r="M221" s="43" t="n">
        <f aca="false">IF(H221="",F221*K221,H221*K221)</f>
        <v>9581.67</v>
      </c>
      <c r="N221" s="66" t="n">
        <f aca="false">M221-L221</f>
        <v>0</v>
      </c>
      <c r="O221" s="102" t="str">
        <f aca="false">IF(F221=0,"Sem qtd. no contrato",IF(ABS(H221/F221-1)&lt;=0.02,"Confere (±2%)",IF(H221&gt;F221,"Projeto maior","Projeto menor")))</f>
        <v>Confere (±2%)</v>
      </c>
      <c r="P221" s="67" t="s">
        <v>1136</v>
      </c>
      <c r="Q221" s="103"/>
      <c r="R221" s="104" t="str">
        <f aca="false">HYPERLINK("#'Painel'!B295","→ 295")</f>
        <v>→ 295</v>
      </c>
    </row>
    <row r="222" customFormat="false" ht="15" hidden="false" customHeight="false" outlineLevel="0" collapsed="false">
      <c r="B222" s="97" t="n">
        <v>215</v>
      </c>
      <c r="C222" s="40" t="s">
        <v>528</v>
      </c>
      <c r="D222" s="98" t="s">
        <v>1055</v>
      </c>
      <c r="E222" s="40" t="s">
        <v>77</v>
      </c>
      <c r="F222" s="64" t="n">
        <v>35.72</v>
      </c>
      <c r="G222" s="99" t="n">
        <v>35.72</v>
      </c>
      <c r="H222" s="61" t="n">
        <f aca="false">35.72</f>
        <v>35.72</v>
      </c>
      <c r="I222" s="100" t="n">
        <f aca="false">IF(H222="","",H222-F222)</f>
        <v>0</v>
      </c>
      <c r="J222" s="101" t="n">
        <f aca="false">IF(OR(H222="",F222=0),"",H222/F222-1)</f>
        <v>0</v>
      </c>
      <c r="K222" s="62" t="n">
        <v>793.16</v>
      </c>
      <c r="L222" s="42" t="n">
        <v>28331.67</v>
      </c>
      <c r="M222" s="43" t="n">
        <f aca="false">IF(H222="",F222*K222,H222*K222)</f>
        <v>28331.6752</v>
      </c>
      <c r="N222" s="66" t="n">
        <f aca="false">M222-L222</f>
        <v>0.00519999999960419</v>
      </c>
      <c r="O222" s="102" t="str">
        <f aca="false">IF(F222=0,"Sem qtd. no contrato",IF(ABS(H222/F222-1)&lt;=0.02,"Confere (±2%)",IF(H222&gt;F222,"Projeto maior","Projeto menor")))</f>
        <v>Confere (±2%)</v>
      </c>
      <c r="P222" s="67" t="s">
        <v>1137</v>
      </c>
      <c r="Q222" s="103"/>
      <c r="R222" s="104" t="str">
        <f aca="false">HYPERLINK("#'Painel'!B296","→ 296")</f>
        <v>→ 296</v>
      </c>
    </row>
    <row r="223" customFormat="false" ht="15" hidden="false" customHeight="false" outlineLevel="0" collapsed="false">
      <c r="B223" s="97" t="n">
        <v>216</v>
      </c>
      <c r="C223" s="40" t="s">
        <v>456</v>
      </c>
      <c r="D223" s="98" t="s">
        <v>1020</v>
      </c>
      <c r="E223" s="40" t="s">
        <v>77</v>
      </c>
      <c r="F223" s="64" t="n">
        <v>381.6</v>
      </c>
      <c r="G223" s="99" t="n">
        <v>381.6</v>
      </c>
      <c r="H223" s="61" t="n">
        <f aca="false">381.6</f>
        <v>381.6</v>
      </c>
      <c r="I223" s="100" t="n">
        <f aca="false">IF(H223="","",H223-F223)</f>
        <v>0</v>
      </c>
      <c r="J223" s="101" t="n">
        <f aca="false">IF(OR(H223="",F223=0),"",H223/F223-1)</f>
        <v>0</v>
      </c>
      <c r="K223" s="62" t="n">
        <v>12.84</v>
      </c>
      <c r="L223" s="42" t="n">
        <v>4899.74</v>
      </c>
      <c r="M223" s="43" t="n">
        <f aca="false">IF(H223="",F223*K223,H223*K223)</f>
        <v>4899.744</v>
      </c>
      <c r="N223" s="66" t="n">
        <f aca="false">M223-L223</f>
        <v>0.00400000000081491</v>
      </c>
      <c r="O223" s="102" t="str">
        <f aca="false">IF(F223=0,"Sem qtd. no contrato",IF(ABS(H223/F223-1)&lt;=0.02,"Confere (±2%)",IF(H223&gt;F223,"Projeto maior","Projeto menor")))</f>
        <v>Confere (±2%)</v>
      </c>
      <c r="P223" s="67" t="s">
        <v>1138</v>
      </c>
      <c r="Q223" s="103"/>
      <c r="R223" s="104" t="str">
        <f aca="false">HYPERLINK("#'Painel'!B297","→ 297")</f>
        <v>→ 297</v>
      </c>
    </row>
    <row r="224" customFormat="false" ht="15" hidden="false" customHeight="false" outlineLevel="0" collapsed="false">
      <c r="B224" s="97" t="n">
        <v>217</v>
      </c>
      <c r="C224" s="40" t="s">
        <v>505</v>
      </c>
      <c r="D224" s="98" t="s">
        <v>559</v>
      </c>
      <c r="E224" s="40" t="s">
        <v>73</v>
      </c>
      <c r="F224" s="64" t="n">
        <v>226</v>
      </c>
      <c r="G224" s="99" t="n">
        <v>226</v>
      </c>
      <c r="H224" s="61" t="n">
        <f aca="false">226</f>
        <v>226</v>
      </c>
      <c r="I224" s="100" t="n">
        <f aca="false">IF(H224="","",H224-F224)</f>
        <v>0</v>
      </c>
      <c r="J224" s="101" t="n">
        <f aca="false">IF(OR(H224="",F224=0),"",H224/F224-1)</f>
        <v>0</v>
      </c>
      <c r="K224" s="62" t="n">
        <v>88.88</v>
      </c>
      <c r="L224" s="42" t="n">
        <v>20086.88</v>
      </c>
      <c r="M224" s="43" t="n">
        <f aca="false">IF(H224="",F224*K224,H224*K224)</f>
        <v>20086.88</v>
      </c>
      <c r="N224" s="66" t="n">
        <f aca="false">M224-L224</f>
        <v>0</v>
      </c>
      <c r="O224" s="102" t="str">
        <f aca="false">IF(F224=0,"Sem qtd. no contrato",IF(ABS(H224/F224-1)&lt;=0.02,"Confere (±2%)",IF(H224&gt;F224,"Projeto maior","Projeto menor")))</f>
        <v>Confere (±2%)</v>
      </c>
      <c r="P224" s="67" t="s">
        <v>1139</v>
      </c>
      <c r="Q224" s="103"/>
      <c r="R224" s="104" t="str">
        <f aca="false">HYPERLINK("#'Painel'!B298","→ 298")</f>
        <v>→ 298</v>
      </c>
    </row>
    <row r="225" customFormat="false" ht="15" hidden="false" customHeight="false" outlineLevel="0" collapsed="false">
      <c r="B225" s="97" t="n">
        <v>218</v>
      </c>
      <c r="C225" s="40" t="s">
        <v>539</v>
      </c>
      <c r="D225" s="98" t="s">
        <v>331</v>
      </c>
      <c r="E225" s="40" t="s">
        <v>77</v>
      </c>
      <c r="F225" s="64" t="n">
        <v>8.28</v>
      </c>
      <c r="G225" s="99" t="n">
        <v>8.28</v>
      </c>
      <c r="H225" s="61" t="n">
        <f aca="false">8.28</f>
        <v>8.28</v>
      </c>
      <c r="I225" s="100" t="n">
        <f aca="false">IF(H225="","",H225-F225)</f>
        <v>0</v>
      </c>
      <c r="J225" s="101" t="n">
        <f aca="false">IF(OR(H225="",F225=0),"",H225/F225-1)</f>
        <v>0</v>
      </c>
      <c r="K225" s="62" t="n">
        <v>195.31</v>
      </c>
      <c r="L225" s="42" t="n">
        <v>1617.16</v>
      </c>
      <c r="M225" s="43" t="n">
        <f aca="false">IF(H225="",F225*K225,H225*K225)</f>
        <v>1617.1668</v>
      </c>
      <c r="N225" s="66" t="n">
        <f aca="false">M225-L225</f>
        <v>0.00679999999988468</v>
      </c>
      <c r="O225" s="102" t="str">
        <f aca="false">IF(F225=0,"Sem qtd. no contrato",IF(ABS(H225/F225-1)&lt;=0.02,"Confere (±2%)",IF(H225&gt;F225,"Projeto maior","Projeto menor")))</f>
        <v>Confere (±2%)</v>
      </c>
      <c r="P225" s="67" t="s">
        <v>1140</v>
      </c>
      <c r="Q225" s="103"/>
      <c r="R225" s="104" t="str">
        <f aca="false">HYPERLINK("#'Painel'!B299","→ 299")</f>
        <v>→ 299</v>
      </c>
    </row>
    <row r="226" customFormat="false" ht="15" hidden="false" customHeight="false" outlineLevel="0" collapsed="false">
      <c r="B226" s="45"/>
      <c r="C226" s="45"/>
      <c r="D226" s="105" t="s">
        <v>1141</v>
      </c>
      <c r="E226" s="45"/>
      <c r="F226" s="45"/>
      <c r="G226" s="45"/>
      <c r="H226" s="45"/>
      <c r="I226" s="45"/>
      <c r="J226" s="45"/>
      <c r="K226" s="45"/>
      <c r="L226" s="106" t="n">
        <f aca="false">SUM(L218:L225)</f>
        <v>142629.95</v>
      </c>
      <c r="M226" s="106" t="n">
        <f aca="false">SUM(M218:M225)</f>
        <v>142629.9744</v>
      </c>
      <c r="N226" s="107" t="n">
        <f aca="false">SUM(N218:N225)</f>
        <v>0.0244000000020606</v>
      </c>
      <c r="O226" s="45"/>
      <c r="P226" s="45"/>
      <c r="Q226" s="45"/>
      <c r="R226" s="45"/>
    </row>
    <row r="228" customFormat="false" ht="15" hidden="false" customHeight="false" outlineLevel="0" collapsed="false">
      <c r="B228" s="96" t="s">
        <v>1142</v>
      </c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</row>
    <row r="229" customFormat="false" ht="15" hidden="false" customHeight="false" outlineLevel="0" collapsed="false">
      <c r="B229" s="97" t="n">
        <v>221</v>
      </c>
      <c r="C229" s="40" t="s">
        <v>746</v>
      </c>
      <c r="D229" s="98" t="s">
        <v>747</v>
      </c>
      <c r="E229" s="40" t="s">
        <v>80</v>
      </c>
      <c r="F229" s="64" t="n">
        <v>17</v>
      </c>
      <c r="G229" s="99" t="n">
        <v>17</v>
      </c>
      <c r="H229" s="61" t="n">
        <f aca="false">Painel!$L$417</f>
        <v>17</v>
      </c>
      <c r="I229" s="100" t="n">
        <f aca="false">IF(H229="","",H229-F229)</f>
        <v>0</v>
      </c>
      <c r="J229" s="101" t="n">
        <f aca="false">IF(OR(H229="",F229=0),"",H229/F229-1)</f>
        <v>0</v>
      </c>
      <c r="K229" s="62" t="n">
        <v>8899.71</v>
      </c>
      <c r="L229" s="42" t="n">
        <v>151295.07</v>
      </c>
      <c r="M229" s="43" t="n">
        <f aca="false">IF(H229="",F229*K229,H229*K229)</f>
        <v>151295.07</v>
      </c>
      <c r="N229" s="66" t="n">
        <f aca="false">M229-L229</f>
        <v>0</v>
      </c>
      <c r="O229" s="102" t="str">
        <f aca="false">IF(F229=0,"Sem qtd. no contrato",IF(ABS(H229/F229-1)&lt;=0.02,"Confere (±2%)",IF(H229&gt;F229,"Projeto maior","Projeto menor")))</f>
        <v>Confere (±2%)</v>
      </c>
      <c r="P229" s="67" t="s">
        <v>1143</v>
      </c>
      <c r="Q229" s="103"/>
      <c r="R229" s="104" t="str">
        <f aca="false">HYPERLINK("#'Painel'!B417","→ 417")</f>
        <v>→ 417</v>
      </c>
    </row>
    <row r="230" customFormat="false" ht="15" hidden="false" customHeight="false" outlineLevel="0" collapsed="false">
      <c r="B230" s="97" t="n">
        <v>222</v>
      </c>
      <c r="C230" s="40" t="s">
        <v>753</v>
      </c>
      <c r="D230" s="98" t="s">
        <v>754</v>
      </c>
      <c r="E230" s="40" t="s">
        <v>176</v>
      </c>
      <c r="F230" s="64" t="n">
        <v>5463.5</v>
      </c>
      <c r="G230" s="99" t="n">
        <v>5463.5</v>
      </c>
      <c r="H230" s="61" t="n">
        <f aca="false">Painel!$L$421</f>
        <v>5463.5</v>
      </c>
      <c r="I230" s="100" t="n">
        <f aca="false">IF(H230="","",H230-F230)</f>
        <v>0</v>
      </c>
      <c r="J230" s="101" t="n">
        <f aca="false">IF(OR(H230="",F230=0),"",H230/F230-1)</f>
        <v>0</v>
      </c>
      <c r="K230" s="62" t="n">
        <v>29.56</v>
      </c>
      <c r="L230" s="42" t="n">
        <v>161501.06</v>
      </c>
      <c r="M230" s="43" t="n">
        <f aca="false">IF(H230="",F230*K230,H230*K230)</f>
        <v>161501.06</v>
      </c>
      <c r="N230" s="66" t="n">
        <f aca="false">M230-L230</f>
        <v>0</v>
      </c>
      <c r="O230" s="102" t="str">
        <f aca="false">IF(F230=0,"Sem qtd. no contrato",IF(ABS(H230/F230-1)&lt;=0.02,"Confere (±2%)",IF(H230&gt;F230,"Projeto maior","Projeto menor")))</f>
        <v>Confere (±2%)</v>
      </c>
      <c r="P230" s="67" t="s">
        <v>1144</v>
      </c>
      <c r="Q230" s="103"/>
      <c r="R230" s="104" t="str">
        <f aca="false">HYPERLINK("#'Painel'!B421","→ 421")</f>
        <v>→ 421</v>
      </c>
    </row>
    <row r="231" customFormat="false" ht="15" hidden="false" customHeight="false" outlineLevel="0" collapsed="false">
      <c r="B231" s="97" t="n">
        <v>223</v>
      </c>
      <c r="C231" s="40" t="s">
        <v>742</v>
      </c>
      <c r="D231" s="98" t="s">
        <v>1145</v>
      </c>
      <c r="E231" s="40" t="s">
        <v>176</v>
      </c>
      <c r="F231" s="64" t="n">
        <v>15906.82</v>
      </c>
      <c r="G231" s="99" t="n">
        <v>27243.64</v>
      </c>
      <c r="H231" s="61" t="n">
        <f aca="false">Painel!$L$415</f>
        <v>27243.64</v>
      </c>
      <c r="I231" s="100" t="n">
        <f aca="false">IF(H231="","",H231-F231)</f>
        <v>11336.82</v>
      </c>
      <c r="J231" s="101" t="n">
        <f aca="false">IF(OR(H231="",F231=0),"",H231/F231-1)</f>
        <v>0.712701847383701</v>
      </c>
      <c r="K231" s="62" t="n">
        <v>43.11</v>
      </c>
      <c r="L231" s="42" t="n">
        <v>685743.01</v>
      </c>
      <c r="M231" s="43" t="n">
        <f aca="false">IF(H231="",F231*K231,H231*K231)</f>
        <v>1174473.3204</v>
      </c>
      <c r="N231" s="66" t="n">
        <f aca="false">M231-L231</f>
        <v>488730.3104</v>
      </c>
      <c r="O231" s="102" t="str">
        <f aca="false">IF(F231=0,"Sem qtd. no contrato",IF(ABS(H231/F231-1)&lt;=0.02,"Confere (±2%)",IF(H231&gt;F231,"Projeto maior","Projeto menor")))</f>
        <v>Projeto maior</v>
      </c>
      <c r="P231" s="67" t="s">
        <v>1146</v>
      </c>
      <c r="Q231" s="103" t="s">
        <v>1147</v>
      </c>
      <c r="R231" s="104" t="str">
        <f aca="false">HYPERLINK("#'Painel'!B415","→ 415")</f>
        <v>→ 415</v>
      </c>
    </row>
    <row r="232" customFormat="false" ht="15" hidden="false" customHeight="false" outlineLevel="0" collapsed="false">
      <c r="B232" s="97" t="n">
        <v>224</v>
      </c>
      <c r="C232" s="40" t="s">
        <v>352</v>
      </c>
      <c r="D232" s="98" t="s">
        <v>353</v>
      </c>
      <c r="E232" s="40" t="s">
        <v>77</v>
      </c>
      <c r="F232" s="64" t="n">
        <v>4</v>
      </c>
      <c r="G232" s="99" t="n">
        <v>4</v>
      </c>
      <c r="H232" s="61" t="n">
        <f aca="false">Painel!$L$420</f>
        <v>4</v>
      </c>
      <c r="I232" s="100" t="n">
        <f aca="false">IF(H232="","",H232-F232)</f>
        <v>0</v>
      </c>
      <c r="J232" s="101" t="n">
        <f aca="false">IF(OR(H232="",F232=0),"",H232/F232-1)</f>
        <v>0</v>
      </c>
      <c r="K232" s="62" t="n">
        <v>164.4</v>
      </c>
      <c r="L232" s="42" t="n">
        <v>657.6</v>
      </c>
      <c r="M232" s="43" t="n">
        <f aca="false">IF(H232="",F232*K232,H232*K232)</f>
        <v>657.6</v>
      </c>
      <c r="N232" s="66" t="n">
        <f aca="false">M232-L232</f>
        <v>0</v>
      </c>
      <c r="O232" s="102" t="str">
        <f aca="false">IF(F232=0,"Sem qtd. no contrato",IF(ABS(H232/F232-1)&lt;=0.02,"Confere (±2%)",IF(H232&gt;F232,"Projeto maior","Projeto menor")))</f>
        <v>Confere (±2%)</v>
      </c>
      <c r="P232" s="67" t="s">
        <v>1148</v>
      </c>
      <c r="Q232" s="103"/>
      <c r="R232" s="104" t="str">
        <f aca="false">HYPERLINK("#'Painel'!B420","→ 420")</f>
        <v>→ 420</v>
      </c>
    </row>
    <row r="233" customFormat="false" ht="15" hidden="false" customHeight="false" outlineLevel="0" collapsed="false">
      <c r="B233" s="97" t="n">
        <v>225</v>
      </c>
      <c r="C233" s="40" t="s">
        <v>750</v>
      </c>
      <c r="D233" s="98" t="s">
        <v>751</v>
      </c>
      <c r="E233" s="40" t="s">
        <v>80</v>
      </c>
      <c r="F233" s="64" t="n">
        <v>4</v>
      </c>
      <c r="G233" s="99" t="n">
        <v>4</v>
      </c>
      <c r="H233" s="61" t="n">
        <f aca="false">Painel!$L$419</f>
        <v>4</v>
      </c>
      <c r="I233" s="100" t="n">
        <f aca="false">IF(H233="","",H233-F233)</f>
        <v>0</v>
      </c>
      <c r="J233" s="101" t="n">
        <f aca="false">IF(OR(H233="",F233=0),"",H233/F233-1)</f>
        <v>0</v>
      </c>
      <c r="K233" s="62" t="n">
        <v>678.11</v>
      </c>
      <c r="L233" s="42" t="n">
        <v>2712.44</v>
      </c>
      <c r="M233" s="43" t="n">
        <f aca="false">IF(H233="",F233*K233,H233*K233)</f>
        <v>2712.44</v>
      </c>
      <c r="N233" s="66" t="n">
        <f aca="false">M233-L233</f>
        <v>0</v>
      </c>
      <c r="O233" s="102" t="str">
        <f aca="false">IF(F233=0,"Sem qtd. no contrato",IF(ABS(H233/F233-1)&lt;=0.02,"Confere (±2%)",IF(H233&gt;F233,"Projeto maior","Projeto menor")))</f>
        <v>Confere (±2%)</v>
      </c>
      <c r="P233" s="67" t="s">
        <v>1149</v>
      </c>
      <c r="Q233" s="103"/>
      <c r="R233" s="104" t="str">
        <f aca="false">HYPERLINK("#'Painel'!B419","→ 419")</f>
        <v>→ 419</v>
      </c>
    </row>
    <row r="234" customFormat="false" ht="15" hidden="false" customHeight="false" outlineLevel="0" collapsed="false">
      <c r="B234" s="97" t="n">
        <v>226</v>
      </c>
      <c r="C234" s="40" t="s">
        <v>748</v>
      </c>
      <c r="D234" s="98" t="s">
        <v>749</v>
      </c>
      <c r="E234" s="40" t="s">
        <v>80</v>
      </c>
      <c r="F234" s="64" t="n">
        <v>3</v>
      </c>
      <c r="G234" s="99" t="n">
        <v>3</v>
      </c>
      <c r="H234" s="61" t="n">
        <f aca="false">Painel!$L$418</f>
        <v>3</v>
      </c>
      <c r="I234" s="100" t="n">
        <f aca="false">IF(H234="","",H234-F234)</f>
        <v>0</v>
      </c>
      <c r="J234" s="101" t="n">
        <f aca="false">IF(OR(H234="",F234=0),"",H234/F234-1)</f>
        <v>0</v>
      </c>
      <c r="K234" s="62" t="n">
        <v>98.6</v>
      </c>
      <c r="L234" s="42" t="n">
        <v>295.8</v>
      </c>
      <c r="M234" s="43" t="n">
        <f aca="false">IF(H234="",F234*K234,H234*K234)</f>
        <v>295.8</v>
      </c>
      <c r="N234" s="66" t="n">
        <f aca="false">M234-L234</f>
        <v>0</v>
      </c>
      <c r="O234" s="102" t="str">
        <f aca="false">IF(F234=0,"Sem qtd. no contrato",IF(ABS(H234/F234-1)&lt;=0.02,"Confere (±2%)",IF(H234&gt;F234,"Projeto maior","Projeto menor")))</f>
        <v>Confere (±2%)</v>
      </c>
      <c r="P234" s="67" t="s">
        <v>1150</v>
      </c>
      <c r="Q234" s="103"/>
      <c r="R234" s="104" t="str">
        <f aca="false">HYPERLINK("#'Painel'!B418","→ 418")</f>
        <v>→ 418</v>
      </c>
    </row>
    <row r="235" customFormat="false" ht="15" hidden="false" customHeight="false" outlineLevel="0" collapsed="false">
      <c r="B235" s="97" t="n">
        <v>227</v>
      </c>
      <c r="C235" s="40" t="s">
        <v>744</v>
      </c>
      <c r="D235" s="98" t="s">
        <v>745</v>
      </c>
      <c r="E235" s="40" t="s">
        <v>176</v>
      </c>
      <c r="F235" s="64" t="n">
        <v>6304.5</v>
      </c>
      <c r="G235" s="99" t="n">
        <v>7211.72</v>
      </c>
      <c r="H235" s="61" t="n">
        <f aca="false">Painel!$L$416</f>
        <v>7211.72</v>
      </c>
      <c r="I235" s="100" t="n">
        <f aca="false">IF(H235="","",H235-F235)</f>
        <v>907.22</v>
      </c>
      <c r="J235" s="101" t="n">
        <f aca="false">IF(OR(H235="",F235=0),"",H235/F235-1)</f>
        <v>0.14390038861131</v>
      </c>
      <c r="K235" s="62" t="n">
        <v>13.95</v>
      </c>
      <c r="L235" s="42" t="n">
        <v>87947.77</v>
      </c>
      <c r="M235" s="43" t="n">
        <f aca="false">IF(H235="",F235*K235,H235*K235)</f>
        <v>100603.494</v>
      </c>
      <c r="N235" s="66" t="n">
        <f aca="false">M235-L235</f>
        <v>12655.724</v>
      </c>
      <c r="O235" s="102" t="str">
        <f aca="false">IF(F235=0,"Sem qtd. no contrato",IF(ABS(H235/F235-1)&lt;=0.02,"Confere (±2%)",IF(H235&gt;F235,"Projeto maior","Projeto menor")))</f>
        <v>Projeto maior</v>
      </c>
      <c r="P235" s="67" t="s">
        <v>1151</v>
      </c>
      <c r="Q235" s="103" t="s">
        <v>1152</v>
      </c>
      <c r="R235" s="104" t="str">
        <f aca="false">HYPERLINK("#'Painel'!B416","→ 416")</f>
        <v>→ 416</v>
      </c>
    </row>
    <row r="236" customFormat="false" ht="15" hidden="false" customHeight="false" outlineLevel="0" collapsed="false">
      <c r="B236" s="45"/>
      <c r="C236" s="45"/>
      <c r="D236" s="105" t="s">
        <v>1153</v>
      </c>
      <c r="E236" s="45"/>
      <c r="F236" s="45"/>
      <c r="G236" s="45"/>
      <c r="H236" s="45"/>
      <c r="I236" s="45"/>
      <c r="J236" s="45"/>
      <c r="K236" s="45"/>
      <c r="L236" s="106" t="n">
        <f aca="false">SUM(L229:L235)</f>
        <v>1090152.75</v>
      </c>
      <c r="M236" s="106" t="n">
        <f aca="false">SUM(M229:M235)</f>
        <v>1591538.7844</v>
      </c>
      <c r="N236" s="107" t="n">
        <f aca="false">SUM(N229:N235)</f>
        <v>501386.0344</v>
      </c>
      <c r="O236" s="45"/>
      <c r="P236" s="45"/>
      <c r="Q236" s="45"/>
      <c r="R236" s="45"/>
    </row>
    <row r="238" customFormat="false" ht="15" hidden="false" customHeight="false" outlineLevel="0" collapsed="false">
      <c r="B238" s="96" t="s">
        <v>1154</v>
      </c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</row>
    <row r="239" customFormat="false" ht="15" hidden="false" customHeight="false" outlineLevel="0" collapsed="false">
      <c r="B239" s="97" t="n">
        <v>230</v>
      </c>
      <c r="C239" s="40" t="s">
        <v>422</v>
      </c>
      <c r="D239" s="98" t="s">
        <v>546</v>
      </c>
      <c r="E239" s="40" t="s">
        <v>173</v>
      </c>
      <c r="F239" s="64" t="n">
        <v>839.12</v>
      </c>
      <c r="G239" s="31"/>
      <c r="H239" s="108"/>
      <c r="I239" s="100" t="str">
        <f aca="false">IF(H239="","",H239-F239)</f>
        <v/>
      </c>
      <c r="J239" s="101" t="str">
        <f aca="false">IF(OR(H239="",F239=0),"",H239/F239-1)</f>
        <v/>
      </c>
      <c r="K239" s="62" t="n">
        <v>18.67</v>
      </c>
      <c r="L239" s="42" t="n">
        <v>15666.37</v>
      </c>
      <c r="M239" s="43" t="n">
        <f aca="false">IF(H239="",F239*K239,H239*K239)</f>
        <v>15666.3704</v>
      </c>
      <c r="N239" s="66" t="n">
        <f aca="false">M239-L239</f>
        <v>0.000400000000809087</v>
      </c>
      <c r="O239" s="102" t="s">
        <v>999</v>
      </c>
      <c r="P239" s="67" t="s">
        <v>1155</v>
      </c>
      <c r="Q239" s="103"/>
      <c r="R239" s="104" t="str">
        <f aca="false">HYPERLINK("#'Painel'!B430","→ 430")</f>
        <v>→ 430</v>
      </c>
    </row>
    <row r="240" customFormat="false" ht="15" hidden="false" customHeight="false" outlineLevel="0" collapsed="false">
      <c r="B240" s="97" t="n">
        <v>231</v>
      </c>
      <c r="C240" s="40" t="s">
        <v>425</v>
      </c>
      <c r="D240" s="98" t="s">
        <v>1049</v>
      </c>
      <c r="E240" s="40" t="s">
        <v>173</v>
      </c>
      <c r="F240" s="64" t="n">
        <v>1122</v>
      </c>
      <c r="G240" s="31"/>
      <c r="H240" s="108"/>
      <c r="I240" s="100" t="str">
        <f aca="false">IF(H240="","",H240-F240)</f>
        <v/>
      </c>
      <c r="J240" s="101" t="str">
        <f aca="false">IF(OR(H240="",F240=0),"",H240/F240-1)</f>
        <v/>
      </c>
      <c r="K240" s="62" t="n">
        <v>20.08</v>
      </c>
      <c r="L240" s="42" t="n">
        <v>22529.76</v>
      </c>
      <c r="M240" s="43" t="n">
        <f aca="false">IF(H240="",F240*K240,H240*K240)</f>
        <v>22529.76</v>
      </c>
      <c r="N240" s="66" t="n">
        <f aca="false">M240-L240</f>
        <v>0</v>
      </c>
      <c r="O240" s="102" t="s">
        <v>999</v>
      </c>
      <c r="P240" s="67" t="s">
        <v>1155</v>
      </c>
      <c r="Q240" s="103"/>
      <c r="R240" s="104" t="str">
        <f aca="false">HYPERLINK("#'Painel'!B431","→ 431")</f>
        <v>→ 431</v>
      </c>
    </row>
    <row r="241" customFormat="false" ht="15" hidden="false" customHeight="false" outlineLevel="0" collapsed="false">
      <c r="B241" s="97" t="n">
        <v>232</v>
      </c>
      <c r="C241" s="40" t="s">
        <v>190</v>
      </c>
      <c r="D241" s="98" t="s">
        <v>947</v>
      </c>
      <c r="E241" s="40" t="s">
        <v>77</v>
      </c>
      <c r="F241" s="64" t="n">
        <v>491.7</v>
      </c>
      <c r="G241" s="99" t="n">
        <v>491.7</v>
      </c>
      <c r="H241" s="61" t="n">
        <f aca="false">491.7</f>
        <v>491.7</v>
      </c>
      <c r="I241" s="100" t="n">
        <f aca="false">IF(H241="","",H241-F241)</f>
        <v>0</v>
      </c>
      <c r="J241" s="101" t="n">
        <f aca="false">IF(OR(H241="",F241=0),"",H241/F241-1)</f>
        <v>0</v>
      </c>
      <c r="K241" s="62" t="n">
        <v>241.97</v>
      </c>
      <c r="L241" s="42" t="n">
        <v>118976.64</v>
      </c>
      <c r="M241" s="43" t="n">
        <f aca="false">IF(H241="",F241*K241,H241*K241)</f>
        <v>118976.649</v>
      </c>
      <c r="N241" s="66" t="n">
        <f aca="false">M241-L241</f>
        <v>0.00899999999091961</v>
      </c>
      <c r="O241" s="102" t="str">
        <f aca="false">IF(F241=0,"Sem qtd. no contrato",IF(ABS(H241/F241-1)&lt;=0.02,"Confere (±2%)",IF(H241&gt;F241,"Projeto maior","Projeto menor")))</f>
        <v>Confere (±2%)</v>
      </c>
      <c r="P241" s="67" t="s">
        <v>1156</v>
      </c>
      <c r="Q241" s="103"/>
      <c r="R241" s="104" t="str">
        <f aca="false">HYPERLINK("#'Painel'!B432","→ 432")</f>
        <v>→ 432</v>
      </c>
    </row>
    <row r="242" customFormat="false" ht="15" hidden="false" customHeight="false" outlineLevel="0" collapsed="false">
      <c r="B242" s="97" t="n">
        <v>233</v>
      </c>
      <c r="C242" s="40" t="s">
        <v>440</v>
      </c>
      <c r="D242" s="98" t="s">
        <v>1055</v>
      </c>
      <c r="E242" s="40" t="s">
        <v>77</v>
      </c>
      <c r="F242" s="64" t="n">
        <v>13.6</v>
      </c>
      <c r="G242" s="31"/>
      <c r="H242" s="108"/>
      <c r="I242" s="100" t="str">
        <f aca="false">IF(H242="","",H242-F242)</f>
        <v/>
      </c>
      <c r="J242" s="101" t="str">
        <f aca="false">IF(OR(H242="",F242=0),"",H242/F242-1)</f>
        <v/>
      </c>
      <c r="K242" s="62" t="n">
        <v>793.16</v>
      </c>
      <c r="L242" s="42" t="n">
        <v>10786.97</v>
      </c>
      <c r="M242" s="43" t="n">
        <f aca="false">IF(H242="",F242*K242,H242*K242)</f>
        <v>10786.976</v>
      </c>
      <c r="N242" s="66" t="n">
        <f aca="false">M242-L242</f>
        <v>0.00599999999940337</v>
      </c>
      <c r="O242" s="102" t="s">
        <v>999</v>
      </c>
      <c r="P242" s="67" t="s">
        <v>1155</v>
      </c>
      <c r="Q242" s="103"/>
      <c r="R242" s="104" t="str">
        <f aca="false">HYPERLINK("#'Painel'!B433","→ 433")</f>
        <v>→ 433</v>
      </c>
    </row>
    <row r="243" customFormat="false" ht="15" hidden="false" customHeight="false" outlineLevel="0" collapsed="false">
      <c r="B243" s="97" t="n">
        <v>234</v>
      </c>
      <c r="C243" s="40" t="s">
        <v>776</v>
      </c>
      <c r="D243" s="98" t="s">
        <v>1157</v>
      </c>
      <c r="E243" s="40" t="s">
        <v>77</v>
      </c>
      <c r="F243" s="64" t="n">
        <v>16.81</v>
      </c>
      <c r="G243" s="31"/>
      <c r="H243" s="108"/>
      <c r="I243" s="100" t="str">
        <f aca="false">IF(H243="","",H243-F243)</f>
        <v/>
      </c>
      <c r="J243" s="101" t="str">
        <f aca="false">IF(OR(H243="",F243=0),"",H243/F243-1)</f>
        <v/>
      </c>
      <c r="K243" s="62" t="n">
        <v>55.27</v>
      </c>
      <c r="L243" s="42" t="n">
        <v>929.08</v>
      </c>
      <c r="M243" s="43" t="n">
        <f aca="false">IF(H243="",F243*K243,H243*K243)</f>
        <v>929.0887</v>
      </c>
      <c r="N243" s="66" t="n">
        <f aca="false">M243-L243</f>
        <v>0.00869999999997617</v>
      </c>
      <c r="O243" s="102" t="s">
        <v>999</v>
      </c>
      <c r="P243" s="67" t="s">
        <v>1155</v>
      </c>
      <c r="Q243" s="103"/>
      <c r="R243" s="104" t="str">
        <f aca="false">HYPERLINK("#'Painel'!B434","→ 434")</f>
        <v>→ 434</v>
      </c>
    </row>
    <row r="244" customFormat="false" ht="15" hidden="false" customHeight="false" outlineLevel="0" collapsed="false">
      <c r="B244" s="97" t="n">
        <v>235</v>
      </c>
      <c r="C244" s="40" t="s">
        <v>438</v>
      </c>
      <c r="D244" s="98" t="s">
        <v>1065</v>
      </c>
      <c r="E244" s="40" t="s">
        <v>73</v>
      </c>
      <c r="F244" s="64" t="n">
        <v>214.2</v>
      </c>
      <c r="G244" s="31"/>
      <c r="H244" s="108"/>
      <c r="I244" s="100" t="str">
        <f aca="false">IF(H244="","",H244-F244)</f>
        <v/>
      </c>
      <c r="J244" s="101" t="str">
        <f aca="false">IF(OR(H244="",F244=0),"",H244/F244-1)</f>
        <v/>
      </c>
      <c r="K244" s="62" t="n">
        <v>68.59</v>
      </c>
      <c r="L244" s="42" t="n">
        <v>14691.97</v>
      </c>
      <c r="M244" s="43" t="n">
        <f aca="false">IF(H244="",F244*K244,H244*K244)</f>
        <v>14691.978</v>
      </c>
      <c r="N244" s="66" t="n">
        <f aca="false">M244-L244</f>
        <v>0.00799999999981083</v>
      </c>
      <c r="O244" s="102" t="s">
        <v>999</v>
      </c>
      <c r="P244" s="67" t="s">
        <v>1155</v>
      </c>
      <c r="Q244" s="103"/>
      <c r="R244" s="104" t="str">
        <f aca="false">HYPERLINK("#'Painel'!B435","→ 435")</f>
        <v>→ 435</v>
      </c>
    </row>
    <row r="245" customFormat="false" ht="15" hidden="false" customHeight="false" outlineLevel="0" collapsed="false">
      <c r="B245" s="97" t="n">
        <v>236</v>
      </c>
      <c r="C245" s="40" t="s">
        <v>766</v>
      </c>
      <c r="D245" s="98" t="s">
        <v>767</v>
      </c>
      <c r="E245" s="40" t="s">
        <v>73</v>
      </c>
      <c r="F245" s="64" t="n">
        <v>13.28</v>
      </c>
      <c r="G245" s="31"/>
      <c r="H245" s="108"/>
      <c r="I245" s="100" t="str">
        <f aca="false">IF(H245="","",H245-F245)</f>
        <v/>
      </c>
      <c r="J245" s="101" t="str">
        <f aca="false">IF(OR(H245="",F245=0),"",H245/F245-1)</f>
        <v/>
      </c>
      <c r="K245" s="62" t="n">
        <v>118.67</v>
      </c>
      <c r="L245" s="42" t="n">
        <v>1575.93</v>
      </c>
      <c r="M245" s="43" t="n">
        <f aca="false">IF(H245="",F245*K245,H245*K245)</f>
        <v>1575.9376</v>
      </c>
      <c r="N245" s="66" t="n">
        <f aca="false">M245-L245</f>
        <v>0.00759999999991123</v>
      </c>
      <c r="O245" s="102" t="s">
        <v>999</v>
      </c>
      <c r="P245" s="67" t="s">
        <v>1158</v>
      </c>
      <c r="Q245" s="103" t="s">
        <v>1159</v>
      </c>
      <c r="R245" s="104" t="str">
        <f aca="false">HYPERLINK("#'Painel'!B428","→ 428")</f>
        <v>→ 428</v>
      </c>
    </row>
    <row r="246" customFormat="false" ht="15" hidden="false" customHeight="false" outlineLevel="0" collapsed="false">
      <c r="B246" s="97" t="n">
        <v>237</v>
      </c>
      <c r="C246" s="40" t="s">
        <v>760</v>
      </c>
      <c r="D246" s="98" t="s">
        <v>1160</v>
      </c>
      <c r="E246" s="40" t="s">
        <v>176</v>
      </c>
      <c r="F246" s="64" t="n">
        <v>340</v>
      </c>
      <c r="G246" s="99" t="n">
        <v>340</v>
      </c>
      <c r="H246" s="61" t="n">
        <f aca="false">Painel!$L$425</f>
        <v>340</v>
      </c>
      <c r="I246" s="100" t="n">
        <f aca="false">IF(H246="","",H246-F246)</f>
        <v>0</v>
      </c>
      <c r="J246" s="101" t="n">
        <f aca="false">IF(OR(H246="",F246=0),"",H246/F246-1)</f>
        <v>0</v>
      </c>
      <c r="K246" s="62" t="n">
        <v>638.51</v>
      </c>
      <c r="L246" s="42" t="n">
        <v>217093.4</v>
      </c>
      <c r="M246" s="43" t="n">
        <f aca="false">IF(H246="",F246*K246,H246*K246)</f>
        <v>217093.4</v>
      </c>
      <c r="N246" s="66" t="n">
        <f aca="false">M246-L246</f>
        <v>0</v>
      </c>
      <c r="O246" s="102" t="str">
        <f aca="false">IF(F246=0,"Sem qtd. no contrato",IF(ABS(H246/F246-1)&lt;=0.02,"Confere (±2%)",IF(H246&gt;F246,"Projeto maior","Projeto menor")))</f>
        <v>Confere (±2%)</v>
      </c>
      <c r="P246" s="67" t="s">
        <v>1161</v>
      </c>
      <c r="Q246" s="103"/>
      <c r="R246" s="104" t="str">
        <f aca="false">HYPERLINK("#'Painel'!B425","→ 425")</f>
        <v>→ 425</v>
      </c>
    </row>
    <row r="247" customFormat="false" ht="15" hidden="false" customHeight="false" outlineLevel="0" collapsed="false">
      <c r="B247" s="97" t="n">
        <v>238</v>
      </c>
      <c r="C247" s="40" t="s">
        <v>756</v>
      </c>
      <c r="D247" s="98" t="s">
        <v>1162</v>
      </c>
      <c r="E247" s="40" t="s">
        <v>73</v>
      </c>
      <c r="F247" s="64" t="n">
        <v>4391</v>
      </c>
      <c r="G247" s="99" t="n">
        <v>4391</v>
      </c>
      <c r="H247" s="61" t="n">
        <f aca="false">Painel!$L$423</f>
        <v>4391</v>
      </c>
      <c r="I247" s="100" t="n">
        <f aca="false">IF(H247="","",H247-F247)</f>
        <v>0</v>
      </c>
      <c r="J247" s="101" t="n">
        <f aca="false">IF(OR(H247="",F247=0),"",H247/F247-1)</f>
        <v>0</v>
      </c>
      <c r="K247" s="62" t="n">
        <v>96.75</v>
      </c>
      <c r="L247" s="42" t="n">
        <v>424829.25</v>
      </c>
      <c r="M247" s="43" t="n">
        <f aca="false">IF(H247="",F247*K247,H247*K247)</f>
        <v>424829.25</v>
      </c>
      <c r="N247" s="66" t="n">
        <f aca="false">M247-L247</f>
        <v>0</v>
      </c>
      <c r="O247" s="102" t="str">
        <f aca="false">IF(F247=0,"Sem qtd. no contrato",IF(ABS(H247/F247-1)&lt;=0.02,"Confere (±2%)",IF(H247&gt;F247,"Projeto maior","Projeto menor")))</f>
        <v>Confere (±2%)</v>
      </c>
      <c r="P247" s="67" t="s">
        <v>1163</v>
      </c>
      <c r="Q247" s="103"/>
      <c r="R247" s="104" t="str">
        <f aca="false">HYPERLINK("#'Painel'!B423","→ 423")</f>
        <v>→ 423</v>
      </c>
    </row>
    <row r="248" customFormat="false" ht="15" hidden="false" customHeight="false" outlineLevel="0" collapsed="false">
      <c r="B248" s="97" t="n">
        <v>239</v>
      </c>
      <c r="C248" s="40" t="s">
        <v>758</v>
      </c>
      <c r="D248" s="98" t="s">
        <v>1164</v>
      </c>
      <c r="E248" s="40" t="s">
        <v>73</v>
      </c>
      <c r="F248" s="64" t="n">
        <v>581</v>
      </c>
      <c r="G248" s="99" t="n">
        <v>526</v>
      </c>
      <c r="H248" s="61" t="n">
        <f aca="false">Painel!$L$424</f>
        <v>526</v>
      </c>
      <c r="I248" s="100" t="n">
        <f aca="false">IF(H248="","",H248-F248)</f>
        <v>-55</v>
      </c>
      <c r="J248" s="101" t="n">
        <f aca="false">IF(OR(H248="",F248=0),"",H248/F248-1)</f>
        <v>-0.0946643717728055</v>
      </c>
      <c r="K248" s="62" t="n">
        <v>108.83</v>
      </c>
      <c r="L248" s="42" t="n">
        <v>63230.23</v>
      </c>
      <c r="M248" s="43" t="n">
        <f aca="false">IF(H248="",F248*K248,H248*K248)</f>
        <v>57244.58</v>
      </c>
      <c r="N248" s="66" t="n">
        <f aca="false">M248-L248</f>
        <v>-5985.65</v>
      </c>
      <c r="O248" s="102" t="str">
        <f aca="false">IF(F248=0,"Sem qtd. no contrato",IF(ABS(H248/F248-1)&lt;=0.02,"Confere (±2%)",IF(H248&gt;F248,"Projeto maior","Projeto menor")))</f>
        <v>Projeto menor</v>
      </c>
      <c r="P248" s="67" t="s">
        <v>1165</v>
      </c>
      <c r="Q248" s="103" t="s">
        <v>1166</v>
      </c>
      <c r="R248" s="104" t="str">
        <f aca="false">HYPERLINK("#'Painel'!B424","→ 424")</f>
        <v>→ 424</v>
      </c>
    </row>
    <row r="249" customFormat="false" ht="15" hidden="false" customHeight="false" outlineLevel="0" collapsed="false">
      <c r="B249" s="97" t="n">
        <v>240</v>
      </c>
      <c r="C249" s="40" t="s">
        <v>180</v>
      </c>
      <c r="D249" s="98" t="s">
        <v>969</v>
      </c>
      <c r="E249" s="40" t="s">
        <v>73</v>
      </c>
      <c r="F249" s="64" t="n">
        <v>5180</v>
      </c>
      <c r="G249" s="99" t="n">
        <v>5180</v>
      </c>
      <c r="H249" s="61" t="n">
        <f aca="false">5180</f>
        <v>5180</v>
      </c>
      <c r="I249" s="100" t="n">
        <f aca="false">IF(H249="","",H249-F249)</f>
        <v>0</v>
      </c>
      <c r="J249" s="101" t="n">
        <f aca="false">IF(OR(H249="",F249=0),"",H249/F249-1)</f>
        <v>0</v>
      </c>
      <c r="K249" s="62" t="n">
        <v>5.16</v>
      </c>
      <c r="L249" s="42" t="n">
        <v>26728.8</v>
      </c>
      <c r="M249" s="43" t="n">
        <f aca="false">IF(H249="",F249*K249,H249*K249)</f>
        <v>26728.8</v>
      </c>
      <c r="N249" s="66" t="n">
        <f aca="false">M249-L249</f>
        <v>0</v>
      </c>
      <c r="O249" s="102" t="str">
        <f aca="false">IF(F249=0,"Sem qtd. no contrato",IF(ABS(H249/F249-1)&lt;=0.02,"Confere (±2%)",IF(H249&gt;F249,"Projeto maior","Projeto menor")))</f>
        <v>Confere (±2%)</v>
      </c>
      <c r="P249" s="67" t="s">
        <v>1167</v>
      </c>
      <c r="Q249" s="103"/>
      <c r="R249" s="104" t="str">
        <f aca="false">HYPERLINK("#'Painel'!B436","→ 436")</f>
        <v>→ 436</v>
      </c>
    </row>
    <row r="250" customFormat="false" ht="15" hidden="false" customHeight="false" outlineLevel="0" collapsed="false">
      <c r="B250" s="45"/>
      <c r="C250" s="45"/>
      <c r="D250" s="105" t="s">
        <v>1168</v>
      </c>
      <c r="E250" s="45"/>
      <c r="F250" s="45"/>
      <c r="G250" s="45"/>
      <c r="H250" s="45"/>
      <c r="I250" s="45"/>
      <c r="J250" s="45"/>
      <c r="K250" s="45"/>
      <c r="L250" s="106" t="n">
        <f aca="false">SUM(L239:L249)</f>
        <v>917038.4</v>
      </c>
      <c r="M250" s="106" t="n">
        <f aca="false">SUM(M239:M249)</f>
        <v>911052.7897</v>
      </c>
      <c r="N250" s="107" t="n">
        <f aca="false">SUM(N239:N249)</f>
        <v>-5985.61030000001</v>
      </c>
      <c r="O250" s="45"/>
      <c r="P250" s="45"/>
      <c r="Q250" s="45"/>
      <c r="R250" s="45"/>
    </row>
    <row r="252" customFormat="false" ht="15" hidden="false" customHeight="false" outlineLevel="0" collapsed="false">
      <c r="B252" s="96" t="s">
        <v>1169</v>
      </c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</row>
    <row r="253" customFormat="false" ht="15" hidden="false" customHeight="false" outlineLevel="0" collapsed="false">
      <c r="B253" s="97" t="n">
        <v>243</v>
      </c>
      <c r="C253" s="40" t="s">
        <v>780</v>
      </c>
      <c r="D253" s="98" t="s">
        <v>1111</v>
      </c>
      <c r="E253" s="40" t="s">
        <v>77</v>
      </c>
      <c r="F253" s="64" t="n">
        <v>0.07</v>
      </c>
      <c r="G253" s="31"/>
      <c r="H253" s="108"/>
      <c r="I253" s="100" t="str">
        <f aca="false">IF(H253="","",H253-F253)</f>
        <v/>
      </c>
      <c r="J253" s="101" t="str">
        <f aca="false">IF(OR(H253="",F253=0),"",H253/F253-1)</f>
        <v/>
      </c>
      <c r="K253" s="62" t="n">
        <v>843.46</v>
      </c>
      <c r="L253" s="42" t="n">
        <v>59.04</v>
      </c>
      <c r="M253" s="43" t="n">
        <f aca="false">IF(H253="",F253*K253,H253*K253)</f>
        <v>59.0422</v>
      </c>
      <c r="N253" s="66" t="n">
        <f aca="false">M253-L253</f>
        <v>0.00220000000000908</v>
      </c>
      <c r="O253" s="102" t="s">
        <v>999</v>
      </c>
      <c r="P253" s="67" t="s">
        <v>1170</v>
      </c>
      <c r="Q253" s="103"/>
      <c r="R253" s="104" t="str">
        <f aca="false">HYPERLINK("#'Painel'!B437","→ 437")</f>
        <v>→ 437</v>
      </c>
    </row>
    <row r="254" customFormat="false" ht="15" hidden="false" customHeight="false" outlineLevel="0" collapsed="false">
      <c r="B254" s="97" t="n">
        <v>244</v>
      </c>
      <c r="C254" s="40" t="s">
        <v>440</v>
      </c>
      <c r="D254" s="98" t="s">
        <v>1055</v>
      </c>
      <c r="E254" s="40" t="s">
        <v>77</v>
      </c>
      <c r="F254" s="64" t="n">
        <v>3.03</v>
      </c>
      <c r="G254" s="31"/>
      <c r="H254" s="108"/>
      <c r="I254" s="100" t="str">
        <f aca="false">IF(H254="","",H254-F254)</f>
        <v/>
      </c>
      <c r="J254" s="101" t="str">
        <f aca="false">IF(OR(H254="",F254=0),"",H254/F254-1)</f>
        <v/>
      </c>
      <c r="K254" s="62" t="n">
        <v>793.16</v>
      </c>
      <c r="L254" s="42" t="n">
        <v>2403.27</v>
      </c>
      <c r="M254" s="43" t="n">
        <f aca="false">IF(H254="",F254*K254,H254*K254)</f>
        <v>2403.2748</v>
      </c>
      <c r="N254" s="66" t="n">
        <f aca="false">M254-L254</f>
        <v>0.0047999999997046</v>
      </c>
      <c r="O254" s="102" t="s">
        <v>999</v>
      </c>
      <c r="P254" s="67" t="s">
        <v>1170</v>
      </c>
      <c r="Q254" s="103"/>
      <c r="R254" s="104" t="str">
        <f aca="false">HYPERLINK("#'Painel'!B438","→ 438")</f>
        <v>→ 438</v>
      </c>
    </row>
    <row r="255" customFormat="false" ht="15" hidden="false" customHeight="false" outlineLevel="0" collapsed="false">
      <c r="B255" s="97" t="n">
        <v>245</v>
      </c>
      <c r="C255" s="40" t="s">
        <v>438</v>
      </c>
      <c r="D255" s="98" t="s">
        <v>1065</v>
      </c>
      <c r="E255" s="40" t="s">
        <v>73</v>
      </c>
      <c r="F255" s="64" t="n">
        <v>2.86</v>
      </c>
      <c r="G255" s="31"/>
      <c r="H255" s="108"/>
      <c r="I255" s="100" t="str">
        <f aca="false">IF(H255="","",H255-F255)</f>
        <v/>
      </c>
      <c r="J255" s="101" t="str">
        <f aca="false">IF(OR(H255="",F255=0),"",H255/F255-1)</f>
        <v/>
      </c>
      <c r="K255" s="62" t="n">
        <v>68.59</v>
      </c>
      <c r="L255" s="42" t="n">
        <v>196.16</v>
      </c>
      <c r="M255" s="43" t="n">
        <f aca="false">IF(H255="",F255*K255,H255*K255)</f>
        <v>196.1674</v>
      </c>
      <c r="N255" s="66" t="n">
        <f aca="false">M255-L255</f>
        <v>0.00740000000001828</v>
      </c>
      <c r="O255" s="102" t="s">
        <v>999</v>
      </c>
      <c r="P255" s="67" t="s">
        <v>1170</v>
      </c>
      <c r="Q255" s="103"/>
      <c r="R255" s="104" t="str">
        <f aca="false">HYPERLINK("#'Painel'!B439","→ 439")</f>
        <v>→ 439</v>
      </c>
    </row>
    <row r="256" customFormat="false" ht="15" hidden="false" customHeight="false" outlineLevel="0" collapsed="false">
      <c r="B256" s="97" t="n">
        <v>246</v>
      </c>
      <c r="C256" s="40" t="s">
        <v>766</v>
      </c>
      <c r="D256" s="98" t="s">
        <v>767</v>
      </c>
      <c r="E256" s="40" t="s">
        <v>73</v>
      </c>
      <c r="F256" s="64" t="n">
        <v>15.68</v>
      </c>
      <c r="G256" s="31"/>
      <c r="H256" s="108"/>
      <c r="I256" s="100" t="str">
        <f aca="false">IF(H256="","",H256-F256)</f>
        <v/>
      </c>
      <c r="J256" s="101" t="str">
        <f aca="false">IF(OR(H256="",F256=0),"",H256/F256-1)</f>
        <v/>
      </c>
      <c r="K256" s="62" t="n">
        <v>118.67</v>
      </c>
      <c r="L256" s="42" t="n">
        <v>1860.74</v>
      </c>
      <c r="M256" s="43" t="n">
        <f aca="false">IF(H256="",F256*K256,H256*K256)</f>
        <v>1860.7456</v>
      </c>
      <c r="N256" s="66" t="n">
        <f aca="false">M256-L256</f>
        <v>0.00559999999995853</v>
      </c>
      <c r="O256" s="102" t="s">
        <v>999</v>
      </c>
      <c r="P256" s="67" t="s">
        <v>1170</v>
      </c>
      <c r="Q256" s="103"/>
      <c r="R256" s="104" t="str">
        <f aca="false">HYPERLINK("#'Painel'!B440","→ 440")</f>
        <v>→ 440</v>
      </c>
    </row>
    <row r="257" customFormat="false" ht="15" hidden="false" customHeight="false" outlineLevel="0" collapsed="false">
      <c r="B257" s="97" t="n">
        <v>247</v>
      </c>
      <c r="C257" s="40" t="s">
        <v>786</v>
      </c>
      <c r="D257" s="98" t="s">
        <v>1171</v>
      </c>
      <c r="E257" s="40" t="s">
        <v>173</v>
      </c>
      <c r="F257" s="64" t="n">
        <v>25.12</v>
      </c>
      <c r="G257" s="31"/>
      <c r="H257" s="108"/>
      <c r="I257" s="100" t="str">
        <f aca="false">IF(H257="","",H257-F257)</f>
        <v/>
      </c>
      <c r="J257" s="101" t="str">
        <f aca="false">IF(OR(H257="",F257=0),"",H257/F257-1)</f>
        <v/>
      </c>
      <c r="K257" s="62" t="n">
        <v>10.37</v>
      </c>
      <c r="L257" s="42" t="n">
        <v>260.49</v>
      </c>
      <c r="M257" s="43" t="n">
        <f aca="false">IF(H257="",F257*K257,H257*K257)</f>
        <v>260.4944</v>
      </c>
      <c r="N257" s="66" t="n">
        <f aca="false">M257-L257</f>
        <v>0.00439999999997554</v>
      </c>
      <c r="O257" s="102" t="s">
        <v>999</v>
      </c>
      <c r="P257" s="67" t="s">
        <v>1170</v>
      </c>
      <c r="Q257" s="103"/>
      <c r="R257" s="104" t="str">
        <f aca="false">HYPERLINK("#'Painel'!B441","→ 441")</f>
        <v>→ 441</v>
      </c>
    </row>
    <row r="258" customFormat="false" ht="15" hidden="false" customHeight="false" outlineLevel="0" collapsed="false">
      <c r="B258" s="97" t="n">
        <v>248</v>
      </c>
      <c r="C258" s="40" t="s">
        <v>330</v>
      </c>
      <c r="D258" s="98" t="s">
        <v>331</v>
      </c>
      <c r="E258" s="40" t="s">
        <v>77</v>
      </c>
      <c r="F258" s="64" t="n">
        <v>1.22</v>
      </c>
      <c r="G258" s="31"/>
      <c r="H258" s="108"/>
      <c r="I258" s="100" t="str">
        <f aca="false">IF(H258="","",H258-F258)</f>
        <v/>
      </c>
      <c r="J258" s="101" t="str">
        <f aca="false">IF(OR(H258="",F258=0),"",H258/F258-1)</f>
        <v/>
      </c>
      <c r="K258" s="62" t="n">
        <v>195.31</v>
      </c>
      <c r="L258" s="42" t="n">
        <v>238.27</v>
      </c>
      <c r="M258" s="43" t="n">
        <f aca="false">IF(H258="",F258*K258,H258*K258)</f>
        <v>238.2782</v>
      </c>
      <c r="N258" s="66" t="n">
        <f aca="false">M258-L258</f>
        <v>0.008199999999988</v>
      </c>
      <c r="O258" s="102" t="s">
        <v>999</v>
      </c>
      <c r="P258" s="67" t="s">
        <v>1170</v>
      </c>
      <c r="Q258" s="103"/>
      <c r="R258" s="104" t="str">
        <f aca="false">HYPERLINK("#'Painel'!B442","→ 442")</f>
        <v>→ 442</v>
      </c>
    </row>
    <row r="259" customFormat="false" ht="15" hidden="false" customHeight="false" outlineLevel="0" collapsed="false">
      <c r="B259" s="45"/>
      <c r="C259" s="45"/>
      <c r="D259" s="105" t="s">
        <v>1172</v>
      </c>
      <c r="E259" s="45"/>
      <c r="F259" s="45"/>
      <c r="G259" s="45"/>
      <c r="H259" s="45"/>
      <c r="I259" s="45"/>
      <c r="J259" s="45"/>
      <c r="K259" s="45"/>
      <c r="L259" s="106" t="n">
        <f aca="false">SUM(L253:L258)</f>
        <v>5017.97</v>
      </c>
      <c r="M259" s="106" t="n">
        <f aca="false">SUM(M253:M258)</f>
        <v>5018.0026</v>
      </c>
      <c r="N259" s="107" t="n">
        <f aca="false">SUM(N253:N258)</f>
        <v>0.032599999999654</v>
      </c>
      <c r="O259" s="45"/>
      <c r="P259" s="45"/>
      <c r="Q259" s="45"/>
      <c r="R259" s="45"/>
    </row>
    <row r="261" customFormat="false" ht="15" hidden="false" customHeight="false" outlineLevel="0" collapsed="false">
      <c r="B261" s="96" t="s">
        <v>1173</v>
      </c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</row>
    <row r="262" customFormat="false" ht="15" hidden="false" customHeight="false" outlineLevel="0" collapsed="false">
      <c r="B262" s="97" t="n">
        <v>251</v>
      </c>
      <c r="C262" s="40" t="s">
        <v>766</v>
      </c>
      <c r="D262" s="98" t="s">
        <v>767</v>
      </c>
      <c r="E262" s="40" t="s">
        <v>73</v>
      </c>
      <c r="F262" s="64" t="n">
        <v>10</v>
      </c>
      <c r="G262" s="31"/>
      <c r="H262" s="108"/>
      <c r="I262" s="100" t="str">
        <f aca="false">IF(H262="","",H262-F262)</f>
        <v/>
      </c>
      <c r="J262" s="101" t="str">
        <f aca="false">IF(OR(H262="",F262=0),"",H262/F262-1)</f>
        <v/>
      </c>
      <c r="K262" s="62" t="n">
        <v>118.67</v>
      </c>
      <c r="L262" s="42" t="n">
        <v>1186.7</v>
      </c>
      <c r="M262" s="43" t="n">
        <f aca="false">IF(H262="",F262*K262,H262*K262)</f>
        <v>1186.7</v>
      </c>
      <c r="N262" s="66" t="n">
        <f aca="false">M262-L262</f>
        <v>0</v>
      </c>
      <c r="O262" s="102" t="s">
        <v>999</v>
      </c>
      <c r="P262" s="67" t="s">
        <v>1158</v>
      </c>
      <c r="Q262" s="103"/>
      <c r="R262" s="104" t="str">
        <f aca="false">HYPERLINK("#'Painel'!B429","→ 429")</f>
        <v>→ 429</v>
      </c>
    </row>
    <row r="263" customFormat="false" ht="15" hidden="false" customHeight="false" outlineLevel="0" collapsed="false">
      <c r="B263" s="45"/>
      <c r="C263" s="45"/>
      <c r="D263" s="105" t="s">
        <v>1174</v>
      </c>
      <c r="E263" s="45"/>
      <c r="F263" s="45"/>
      <c r="G263" s="45"/>
      <c r="H263" s="45"/>
      <c r="I263" s="45"/>
      <c r="J263" s="45"/>
      <c r="K263" s="45"/>
      <c r="L263" s="106" t="n">
        <f aca="false">SUM(L262:L262)</f>
        <v>1186.7</v>
      </c>
      <c r="M263" s="106" t="n">
        <f aca="false">SUM(M262:M262)</f>
        <v>1186.7</v>
      </c>
      <c r="N263" s="107" t="n">
        <f aca="false">SUM(N262:N262)</f>
        <v>0</v>
      </c>
      <c r="O263" s="45"/>
      <c r="P263" s="45"/>
      <c r="Q263" s="45"/>
      <c r="R263" s="45"/>
    </row>
    <row r="265" customFormat="false" ht="15" hidden="false" customHeight="false" outlineLevel="0" collapsed="false">
      <c r="B265" s="96" t="s">
        <v>1175</v>
      </c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</row>
    <row r="266" customFormat="false" ht="15" hidden="false" customHeight="false" outlineLevel="0" collapsed="false">
      <c r="B266" s="97" t="n">
        <v>254</v>
      </c>
      <c r="C266" s="40" t="s">
        <v>433</v>
      </c>
      <c r="D266" s="98" t="s">
        <v>736</v>
      </c>
      <c r="E266" s="40" t="s">
        <v>73</v>
      </c>
      <c r="F266" s="64" t="n">
        <v>128450</v>
      </c>
      <c r="G266" s="99" t="n">
        <v>111056.76</v>
      </c>
      <c r="H266" s="61" t="n">
        <f aca="false">(Painel!$L$407+Painel!$L$408+Painel!$L$409)*1</f>
        <v>111056.76</v>
      </c>
      <c r="I266" s="100" t="n">
        <f aca="false">IF(H266="","",H266-F266)</f>
        <v>-17393.24</v>
      </c>
      <c r="J266" s="101" t="n">
        <f aca="false">IF(OR(H266="",F266=0),"",H266/F266-1)</f>
        <v>-0.135408641494745</v>
      </c>
      <c r="K266" s="62" t="n">
        <v>13.61</v>
      </c>
      <c r="L266" s="42" t="n">
        <v>1748204.5</v>
      </c>
      <c r="M266" s="43" t="n">
        <f aca="false">IF(H266="",F266*K266,H266*K266)</f>
        <v>1511482.5036</v>
      </c>
      <c r="N266" s="66" t="n">
        <f aca="false">M266-L266</f>
        <v>-236721.9964</v>
      </c>
      <c r="O266" s="102" t="str">
        <f aca="false">IF(F266=0,"Sem qtd. no contrato",IF(ABS(H266/F266-1)&lt;=0.02,"Confere (±2%)",IF(H266&gt;F266,"Projeto maior","Projeto menor")))</f>
        <v>Projeto menor</v>
      </c>
      <c r="P266" s="67" t="s">
        <v>1176</v>
      </c>
      <c r="Q266" s="103" t="s">
        <v>1177</v>
      </c>
      <c r="R266" s="104" t="str">
        <f aca="false">HYPERLINK("#'Painel'!B410","→ 410")</f>
        <v>→ 410</v>
      </c>
    </row>
    <row r="267" customFormat="false" ht="15" hidden="false" customHeight="false" outlineLevel="0" collapsed="false">
      <c r="B267" s="97" t="n">
        <v>255</v>
      </c>
      <c r="C267" s="40" t="s">
        <v>729</v>
      </c>
      <c r="D267" s="98" t="s">
        <v>1178</v>
      </c>
      <c r="E267" s="40" t="s">
        <v>73</v>
      </c>
      <c r="F267" s="64" t="n">
        <v>13449</v>
      </c>
      <c r="G267" s="99" t="n">
        <v>13449</v>
      </c>
      <c r="H267" s="61" t="n">
        <f aca="false">Painel!$L$406</f>
        <v>13449</v>
      </c>
      <c r="I267" s="100" t="n">
        <f aca="false">IF(H267="","",H267-F267)</f>
        <v>0</v>
      </c>
      <c r="J267" s="101" t="n">
        <f aca="false">IF(OR(H267="",F267=0),"",H267/F267-1)</f>
        <v>0</v>
      </c>
      <c r="K267" s="62" t="n">
        <v>18.27</v>
      </c>
      <c r="L267" s="42" t="n">
        <v>245713.23</v>
      </c>
      <c r="M267" s="43" t="n">
        <f aca="false">IF(H267="",F267*K267,H267*K267)</f>
        <v>245713.23</v>
      </c>
      <c r="N267" s="66" t="n">
        <f aca="false">M267-L267</f>
        <v>0</v>
      </c>
      <c r="O267" s="102" t="str">
        <f aca="false">IF(F267=0,"Sem qtd. no contrato",IF(ABS(H267/F267-1)&lt;=0.02,"Confere (±2%)",IF(H267&gt;F267,"Projeto maior","Projeto menor")))</f>
        <v>Confere (±2%)</v>
      </c>
      <c r="P267" s="67" t="s">
        <v>1179</v>
      </c>
      <c r="Q267" s="103"/>
      <c r="R267" s="104" t="str">
        <f aca="false">HYPERLINK("#'Painel'!B406","→ 406")</f>
        <v>→ 406</v>
      </c>
    </row>
    <row r="268" customFormat="false" ht="15" hidden="false" customHeight="false" outlineLevel="0" collapsed="false">
      <c r="B268" s="97" t="n">
        <v>256</v>
      </c>
      <c r="C268" s="40" t="s">
        <v>726</v>
      </c>
      <c r="D268" s="98" t="s">
        <v>1180</v>
      </c>
      <c r="E268" s="40" t="s">
        <v>73</v>
      </c>
      <c r="F268" s="64" t="n">
        <v>47522</v>
      </c>
      <c r="G268" s="99" t="n">
        <v>39601.86</v>
      </c>
      <c r="H268" s="61" t="n">
        <f aca="false">Painel!$L$405</f>
        <v>39601.86</v>
      </c>
      <c r="I268" s="100" t="n">
        <f aca="false">IF(H268="","",H268-F268)</f>
        <v>-7920.14</v>
      </c>
      <c r="J268" s="101" t="n">
        <f aca="false">IF(OR(H268="",F268=0),"",H268/F268-1)</f>
        <v>-0.166662598375489</v>
      </c>
      <c r="K268" s="62" t="n">
        <v>10.72</v>
      </c>
      <c r="L268" s="42" t="n">
        <v>509435.84</v>
      </c>
      <c r="M268" s="43" t="n">
        <f aca="false">IF(H268="",F268*K268,H268*K268)</f>
        <v>424531.9392</v>
      </c>
      <c r="N268" s="66" t="n">
        <f aca="false">M268-L268</f>
        <v>-84903.9008</v>
      </c>
      <c r="O268" s="102" t="str">
        <f aca="false">IF(F268=0,"Sem qtd. no contrato",IF(ABS(H268/F268-1)&lt;=0.02,"Confere (±2%)",IF(H268&gt;F268,"Projeto maior","Projeto menor")))</f>
        <v>Projeto menor</v>
      </c>
      <c r="P268" s="67" t="s">
        <v>1179</v>
      </c>
      <c r="Q268" s="103" t="s">
        <v>1181</v>
      </c>
      <c r="R268" s="104" t="str">
        <f aca="false">HYPERLINK("#'Painel'!B405","→ 405")</f>
        <v>→ 405</v>
      </c>
    </row>
    <row r="269" customFormat="false" ht="15" hidden="false" customHeight="false" outlineLevel="0" collapsed="false">
      <c r="B269" s="45"/>
      <c r="C269" s="45"/>
      <c r="D269" s="105" t="s">
        <v>740</v>
      </c>
      <c r="E269" s="45"/>
      <c r="F269" s="45"/>
      <c r="G269" s="45"/>
      <c r="H269" s="45"/>
      <c r="I269" s="45"/>
      <c r="J269" s="45"/>
      <c r="K269" s="45"/>
      <c r="L269" s="106" t="n">
        <f aca="false">SUM(L266:L268)</f>
        <v>2503353.57</v>
      </c>
      <c r="M269" s="106" t="n">
        <f aca="false">SUM(M266:M268)</f>
        <v>2181727.6728</v>
      </c>
      <c r="N269" s="107" t="n">
        <f aca="false">SUM(N266:N268)</f>
        <v>-321625.8972</v>
      </c>
      <c r="O269" s="45"/>
      <c r="P269" s="45"/>
      <c r="Q269" s="45"/>
      <c r="R269" s="45"/>
    </row>
    <row r="271" customFormat="false" ht="15" hidden="false" customHeight="false" outlineLevel="0" collapsed="false">
      <c r="B271" s="96" t="s">
        <v>1182</v>
      </c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</row>
    <row r="272" customFormat="false" ht="15" hidden="false" customHeight="false" outlineLevel="0" collapsed="false">
      <c r="B272" s="97" t="n">
        <v>259</v>
      </c>
      <c r="C272" s="40" t="s">
        <v>653</v>
      </c>
      <c r="D272" s="98" t="s">
        <v>1183</v>
      </c>
      <c r="E272" s="40" t="s">
        <v>176</v>
      </c>
      <c r="F272" s="64" t="n">
        <v>5039</v>
      </c>
      <c r="G272" s="99" t="n">
        <v>5039</v>
      </c>
      <c r="H272" s="61" t="n">
        <f aca="false">Painel!$L$369</f>
        <v>4947</v>
      </c>
      <c r="I272" s="100" t="n">
        <f aca="false">IF(H272="","",H272-F272)</f>
        <v>-92</v>
      </c>
      <c r="J272" s="101" t="n">
        <f aca="false">IF(OR(H272="",F272=0),"",H272/F272-1)</f>
        <v>-0.0182575907918238</v>
      </c>
      <c r="K272" s="62" t="n">
        <v>541.03</v>
      </c>
      <c r="L272" s="42" t="n">
        <v>2726250.17</v>
      </c>
      <c r="M272" s="43" t="n">
        <f aca="false">IF(H272="",F272*K272,H272*K272)</f>
        <v>2676475.41</v>
      </c>
      <c r="N272" s="66" t="n">
        <f aca="false">M272-L272</f>
        <v>-49774.7600000002</v>
      </c>
      <c r="O272" s="102" t="str">
        <f aca="false">IF(F272=0,"Sem qtd. no contrato",IF(ABS(H272/F272-1)&lt;=0.02,"Confere (±2%)",IF(H272&gt;F272,"Projeto maior","Projeto menor")))</f>
        <v>Confere (±2%)</v>
      </c>
      <c r="P272" s="67" t="s">
        <v>1184</v>
      </c>
      <c r="Q272" s="103" t="s">
        <v>1185</v>
      </c>
      <c r="R272" s="104" t="str">
        <f aca="false">HYPERLINK("#'Painel'!B369","→ 369")</f>
        <v>→ 369</v>
      </c>
    </row>
    <row r="273" customFormat="false" ht="15" hidden="false" customHeight="false" outlineLevel="0" collapsed="false">
      <c r="B273" s="97" t="n">
        <v>260</v>
      </c>
      <c r="C273" s="40" t="s">
        <v>641</v>
      </c>
      <c r="D273" s="98" t="s">
        <v>1186</v>
      </c>
      <c r="E273" s="40" t="s">
        <v>73</v>
      </c>
      <c r="F273" s="64" t="n">
        <v>5332.68</v>
      </c>
      <c r="G273" s="99" t="n">
        <v>5332.68</v>
      </c>
      <c r="H273" s="61" t="n">
        <f aca="false">Painel!$L$363</f>
        <v>5334</v>
      </c>
      <c r="I273" s="100" t="n">
        <f aca="false">IF(H273="","",H273-F273)</f>
        <v>1.31999999999971</v>
      </c>
      <c r="J273" s="101" t="n">
        <f aca="false">IF(OR(H273="",F273=0),"",H273/F273-1)</f>
        <v>0.000247530322464495</v>
      </c>
      <c r="K273" s="62" t="n">
        <v>26.85</v>
      </c>
      <c r="L273" s="42" t="n">
        <v>143182.45</v>
      </c>
      <c r="M273" s="43" t="n">
        <f aca="false">IF(H273="",F273*K273,H273*K273)</f>
        <v>143217.9</v>
      </c>
      <c r="N273" s="66" t="n">
        <f aca="false">M273-L273</f>
        <v>35.4499999999825</v>
      </c>
      <c r="O273" s="102" t="str">
        <f aca="false">IF(F273=0,"Sem qtd. no contrato",IF(ABS(H273/F273-1)&lt;=0.02,"Confere (±2%)",IF(H273&gt;F273,"Projeto maior","Projeto menor")))</f>
        <v>Confere (±2%)</v>
      </c>
      <c r="P273" s="67" t="s">
        <v>1187</v>
      </c>
      <c r="Q273" s="103"/>
      <c r="R273" s="104" t="str">
        <f aca="false">HYPERLINK("#'Painel'!B363","→ 363")</f>
        <v>→ 363</v>
      </c>
    </row>
    <row r="274" customFormat="false" ht="15" hidden="false" customHeight="false" outlineLevel="0" collapsed="false">
      <c r="B274" s="97" t="n">
        <v>261</v>
      </c>
      <c r="C274" s="40" t="s">
        <v>667</v>
      </c>
      <c r="D274" s="98" t="s">
        <v>668</v>
      </c>
      <c r="E274" s="40" t="s">
        <v>80</v>
      </c>
      <c r="F274" s="64" t="n">
        <v>4</v>
      </c>
      <c r="G274" s="31"/>
      <c r="H274" s="108"/>
      <c r="I274" s="100" t="str">
        <f aca="false">IF(H274="","",H274-F274)</f>
        <v/>
      </c>
      <c r="J274" s="101" t="str">
        <f aca="false">IF(OR(H274="",F274=0),"",H274/F274-1)</f>
        <v/>
      </c>
      <c r="K274" s="62" t="n">
        <v>33.99</v>
      </c>
      <c r="L274" s="42" t="n">
        <v>135.96</v>
      </c>
      <c r="M274" s="43" t="n">
        <f aca="false">IF(H274="",F274*K274,H274*K274)</f>
        <v>135.96</v>
      </c>
      <c r="N274" s="66" t="n">
        <f aca="false">M274-L274</f>
        <v>0</v>
      </c>
      <c r="O274" s="102" t="s">
        <v>999</v>
      </c>
      <c r="P274" s="67" t="s">
        <v>1188</v>
      </c>
      <c r="Q274" s="103" t="s">
        <v>1189</v>
      </c>
      <c r="R274" s="104" t="str">
        <f aca="false">HYPERLINK("#'Painel'!B374","→ 374")</f>
        <v>→ 374</v>
      </c>
    </row>
    <row r="275" customFormat="false" ht="15" hidden="false" customHeight="false" outlineLevel="0" collapsed="false">
      <c r="B275" s="97" t="n">
        <v>262</v>
      </c>
      <c r="C275" s="40" t="s">
        <v>659</v>
      </c>
      <c r="D275" s="98" t="s">
        <v>1190</v>
      </c>
      <c r="E275" s="40" t="s">
        <v>80</v>
      </c>
      <c r="F275" s="64" t="n">
        <v>322</v>
      </c>
      <c r="G275" s="99" t="n">
        <v>326</v>
      </c>
      <c r="H275" s="61" t="n">
        <f aca="false">Painel!$L$371</f>
        <v>326</v>
      </c>
      <c r="I275" s="100" t="n">
        <f aca="false">IF(H275="","",H275-F275)</f>
        <v>4</v>
      </c>
      <c r="J275" s="101" t="n">
        <f aca="false">IF(OR(H275="",F275=0),"",H275/F275-1)</f>
        <v>0.0124223602484472</v>
      </c>
      <c r="K275" s="62" t="n">
        <v>22.4</v>
      </c>
      <c r="L275" s="42" t="n">
        <v>7212.8</v>
      </c>
      <c r="M275" s="43" t="n">
        <f aca="false">IF(H275="",F275*K275,H275*K275)</f>
        <v>7302.4</v>
      </c>
      <c r="N275" s="66" t="n">
        <f aca="false">M275-L275</f>
        <v>89.5999999999995</v>
      </c>
      <c r="O275" s="102" t="str">
        <f aca="false">IF(F275=0,"Sem qtd. no contrato",IF(ABS(H275/F275-1)&lt;=0.02,"Confere (±2%)",IF(H275&gt;F275,"Projeto maior","Projeto menor")))</f>
        <v>Confere (±2%)</v>
      </c>
      <c r="P275" s="67" t="s">
        <v>1191</v>
      </c>
      <c r="Q275" s="103" t="s">
        <v>1192</v>
      </c>
      <c r="R275" s="104" t="str">
        <f aca="false">HYPERLINK("#'Painel'!B371","→ 371")</f>
        <v>→ 371</v>
      </c>
    </row>
    <row r="276" customFormat="false" ht="15" hidden="false" customHeight="false" outlineLevel="0" collapsed="false">
      <c r="B276" s="97" t="n">
        <v>263</v>
      </c>
      <c r="C276" s="40" t="s">
        <v>656</v>
      </c>
      <c r="D276" s="98" t="s">
        <v>1193</v>
      </c>
      <c r="E276" s="40" t="s">
        <v>80</v>
      </c>
      <c r="F276" s="64" t="n">
        <v>83</v>
      </c>
      <c r="G276" s="99" t="n">
        <v>83</v>
      </c>
      <c r="H276" s="61" t="n">
        <f aca="false">Painel!$L$370</f>
        <v>83</v>
      </c>
      <c r="I276" s="100" t="n">
        <f aca="false">IF(H276="","",H276-F276)</f>
        <v>0</v>
      </c>
      <c r="J276" s="101" t="n">
        <f aca="false">IF(OR(H276="",F276=0),"",H276/F276-1)</f>
        <v>0</v>
      </c>
      <c r="K276" s="62" t="n">
        <v>9929.17</v>
      </c>
      <c r="L276" s="42" t="n">
        <v>824121.11</v>
      </c>
      <c r="M276" s="43" t="n">
        <f aca="false">IF(H276="",F276*K276,H276*K276)</f>
        <v>824121.11</v>
      </c>
      <c r="N276" s="66" t="n">
        <f aca="false">M276-L276</f>
        <v>0</v>
      </c>
      <c r="O276" s="102" t="str">
        <f aca="false">IF(F276=0,"Sem qtd. no contrato",IF(ABS(H276/F276-1)&lt;=0.02,"Confere (±2%)",IF(H276&gt;F276,"Projeto maior","Projeto menor")))</f>
        <v>Confere (±2%)</v>
      </c>
      <c r="P276" s="67" t="s">
        <v>1194</v>
      </c>
      <c r="Q276" s="103"/>
      <c r="R276" s="104" t="str">
        <f aca="false">HYPERLINK("#'Painel'!B370","→ 370")</f>
        <v>→ 370</v>
      </c>
    </row>
    <row r="277" customFormat="false" ht="15" hidden="false" customHeight="false" outlineLevel="0" collapsed="false">
      <c r="B277" s="97" t="n">
        <v>264</v>
      </c>
      <c r="C277" s="40" t="s">
        <v>662</v>
      </c>
      <c r="D277" s="98" t="s">
        <v>1195</v>
      </c>
      <c r="E277" s="40" t="s">
        <v>80</v>
      </c>
      <c r="F277" s="64" t="n">
        <v>2</v>
      </c>
      <c r="G277" s="99" t="n">
        <v>2</v>
      </c>
      <c r="H277" s="61" t="n">
        <f aca="false">Painel!$L$372</f>
        <v>2</v>
      </c>
      <c r="I277" s="100" t="n">
        <f aca="false">IF(H277="","",H277-F277)</f>
        <v>0</v>
      </c>
      <c r="J277" s="101" t="n">
        <f aca="false">IF(OR(H277="",F277=0),"",H277/F277-1)</f>
        <v>0</v>
      </c>
      <c r="K277" s="62" t="n">
        <v>68325.12</v>
      </c>
      <c r="L277" s="42" t="n">
        <v>136650.24</v>
      </c>
      <c r="M277" s="43" t="n">
        <f aca="false">IF(H277="",F277*K277,H277*K277)</f>
        <v>136650.24</v>
      </c>
      <c r="N277" s="66" t="n">
        <f aca="false">M277-L277</f>
        <v>0</v>
      </c>
      <c r="O277" s="102" t="str">
        <f aca="false">IF(F277=0,"Sem qtd. no contrato",IF(ABS(H277/F277-1)&lt;=0.02,"Confere (±2%)",IF(H277&gt;F277,"Projeto maior","Projeto menor")))</f>
        <v>Confere (±2%)</v>
      </c>
      <c r="P277" s="67" t="s">
        <v>1196</v>
      </c>
      <c r="Q277" s="103"/>
      <c r="R277" s="104" t="str">
        <f aca="false">HYPERLINK("#'Painel'!B372","→ 372")</f>
        <v>→ 372</v>
      </c>
    </row>
    <row r="278" customFormat="false" ht="15" hidden="false" customHeight="false" outlineLevel="0" collapsed="false">
      <c r="B278" s="97" t="n">
        <v>265</v>
      </c>
      <c r="C278" s="40" t="s">
        <v>644</v>
      </c>
      <c r="D278" s="98" t="s">
        <v>1197</v>
      </c>
      <c r="E278" s="40" t="s">
        <v>73</v>
      </c>
      <c r="F278" s="64" t="n">
        <v>376.12</v>
      </c>
      <c r="G278" s="99" t="n">
        <v>376.12</v>
      </c>
      <c r="H278" s="61" t="n">
        <f aca="false">Painel!$L$364</f>
        <v>378.2</v>
      </c>
      <c r="I278" s="100" t="n">
        <f aca="false">IF(H278="","",H278-F278)</f>
        <v>2.07999999999998</v>
      </c>
      <c r="J278" s="101" t="n">
        <f aca="false">IF(OR(H278="",F278=0),"",H278/F278-1)</f>
        <v>0.00553014995214296</v>
      </c>
      <c r="K278" s="62" t="n">
        <v>81.62</v>
      </c>
      <c r="L278" s="42" t="n">
        <v>30698.91</v>
      </c>
      <c r="M278" s="43" t="n">
        <f aca="false">IF(H278="",F278*K278,H278*K278)</f>
        <v>30868.684</v>
      </c>
      <c r="N278" s="66" t="n">
        <f aca="false">M278-L278</f>
        <v>169.774000000001</v>
      </c>
      <c r="O278" s="102" t="str">
        <f aca="false">IF(F278=0,"Sem qtd. no contrato",IF(ABS(H278/F278-1)&lt;=0.02,"Confere (±2%)",IF(H278&gt;F278,"Projeto maior","Projeto menor")))</f>
        <v>Confere (±2%)</v>
      </c>
      <c r="P278" s="67" t="s">
        <v>1187</v>
      </c>
      <c r="Q278" s="103"/>
      <c r="R278" s="104" t="str">
        <f aca="false">HYPERLINK("#'Painel'!B364","→ 364")</f>
        <v>→ 364</v>
      </c>
    </row>
    <row r="279" customFormat="false" ht="15" hidden="false" customHeight="false" outlineLevel="0" collapsed="false">
      <c r="B279" s="97" t="n">
        <v>266</v>
      </c>
      <c r="C279" s="40" t="s">
        <v>613</v>
      </c>
      <c r="D279" s="98" t="s">
        <v>1198</v>
      </c>
      <c r="E279" s="40" t="s">
        <v>73</v>
      </c>
      <c r="F279" s="64" t="n">
        <v>161.58</v>
      </c>
      <c r="G279" s="99" t="n">
        <v>161.58</v>
      </c>
      <c r="H279" s="61" t="n">
        <f aca="false">Painel!$L$350</f>
        <v>164.45</v>
      </c>
      <c r="I279" s="100" t="n">
        <f aca="false">IF(H279="","",H279-F279)</f>
        <v>2.86999999999998</v>
      </c>
      <c r="J279" s="101" t="n">
        <f aca="false">IF(OR(H279="",F279=0),"",H279/F279-1)</f>
        <v>0.0177620992697114</v>
      </c>
      <c r="K279" s="62" t="n">
        <v>647.87</v>
      </c>
      <c r="L279" s="42" t="n">
        <v>104682.83</v>
      </c>
      <c r="M279" s="43" t="n">
        <f aca="false">IF(H279="",F279*K279,H279*K279)</f>
        <v>106542.2215</v>
      </c>
      <c r="N279" s="66" t="n">
        <f aca="false">M279-L279</f>
        <v>1859.3915</v>
      </c>
      <c r="O279" s="102" t="str">
        <f aca="false">IF(F279=0,"Sem qtd. no contrato",IF(ABS(H279/F279-1)&lt;=0.02,"Confere (±2%)",IF(H279&gt;F279,"Projeto maior","Projeto menor")))</f>
        <v>Confere (±2%)</v>
      </c>
      <c r="P279" s="67" t="s">
        <v>1199</v>
      </c>
      <c r="Q279" s="103"/>
      <c r="R279" s="104" t="str">
        <f aca="false">HYPERLINK("#'Painel'!B350","→ 350")</f>
        <v>→ 350</v>
      </c>
    </row>
    <row r="280" customFormat="false" ht="15" hidden="false" customHeight="false" outlineLevel="0" collapsed="false">
      <c r="B280" s="97" t="n">
        <v>267</v>
      </c>
      <c r="C280" s="40" t="s">
        <v>627</v>
      </c>
      <c r="D280" s="98" t="s">
        <v>1200</v>
      </c>
      <c r="E280" s="40" t="s">
        <v>80</v>
      </c>
      <c r="F280" s="64" t="n">
        <v>1</v>
      </c>
      <c r="G280" s="99" t="n">
        <v>1</v>
      </c>
      <c r="H280" s="61" t="n">
        <f aca="false">Painel!$L$356</f>
        <v>1</v>
      </c>
      <c r="I280" s="100" t="n">
        <f aca="false">IF(H280="","",H280-F280)</f>
        <v>0</v>
      </c>
      <c r="J280" s="101" t="n">
        <f aca="false">IF(OR(H280="",F280=0),"",H280/F280-1)</f>
        <v>0</v>
      </c>
      <c r="K280" s="62" t="n">
        <v>91807.55</v>
      </c>
      <c r="L280" s="42" t="n">
        <v>91807.55</v>
      </c>
      <c r="M280" s="43" t="n">
        <f aca="false">IF(H280="",F280*K280,H280*K280)</f>
        <v>91807.55</v>
      </c>
      <c r="N280" s="66" t="n">
        <f aca="false">M280-L280</f>
        <v>0</v>
      </c>
      <c r="O280" s="102" t="str">
        <f aca="false">IF(F280=0,"Sem qtd. no contrato",IF(ABS(H280/F280-1)&lt;=0.02,"Confere (±2%)",IF(H280&gt;F280,"Projeto maior","Projeto menor")))</f>
        <v>Confere (±2%)</v>
      </c>
      <c r="P280" s="67" t="s">
        <v>1201</v>
      </c>
      <c r="Q280" s="103"/>
      <c r="R280" s="104" t="str">
        <f aca="false">HYPERLINK("#'Painel'!B356","→ 356")</f>
        <v>→ 356</v>
      </c>
    </row>
    <row r="281" customFormat="false" ht="15" hidden="false" customHeight="false" outlineLevel="0" collapsed="false">
      <c r="B281" s="97" t="n">
        <v>268</v>
      </c>
      <c r="C281" s="40" t="s">
        <v>632</v>
      </c>
      <c r="D281" s="98" t="s">
        <v>1202</v>
      </c>
      <c r="E281" s="40" t="s">
        <v>73</v>
      </c>
      <c r="F281" s="64" t="n">
        <v>5</v>
      </c>
      <c r="G281" s="99" t="n">
        <v>5</v>
      </c>
      <c r="H281" s="61" t="n">
        <f aca="false">Painel!$L$358</f>
        <v>5</v>
      </c>
      <c r="I281" s="100" t="n">
        <f aca="false">IF(H281="","",H281-F281)</f>
        <v>0</v>
      </c>
      <c r="J281" s="101" t="n">
        <f aca="false">IF(OR(H281="",F281=0),"",H281/F281-1)</f>
        <v>0</v>
      </c>
      <c r="K281" s="62" t="n">
        <v>87.55</v>
      </c>
      <c r="L281" s="42" t="n">
        <v>437.75</v>
      </c>
      <c r="M281" s="43" t="n">
        <f aca="false">IF(H281="",F281*K281,H281*K281)</f>
        <v>437.75</v>
      </c>
      <c r="N281" s="66" t="n">
        <f aca="false">M281-L281</f>
        <v>0</v>
      </c>
      <c r="O281" s="102" t="str">
        <f aca="false">IF(F281=0,"Sem qtd. no contrato",IF(ABS(H281/F281-1)&lt;=0.02,"Confere (±2%)",IF(H281&gt;F281,"Projeto maior","Projeto menor")))</f>
        <v>Confere (±2%)</v>
      </c>
      <c r="P281" s="67" t="s">
        <v>1203</v>
      </c>
      <c r="Q281" s="103" t="s">
        <v>1204</v>
      </c>
      <c r="R281" s="104" t="str">
        <f aca="false">HYPERLINK("#'Painel'!B358","→ 358")</f>
        <v>→ 358</v>
      </c>
    </row>
    <row r="282" customFormat="false" ht="15" hidden="false" customHeight="false" outlineLevel="0" collapsed="false">
      <c r="B282" s="97" t="n">
        <v>269</v>
      </c>
      <c r="C282" s="40" t="s">
        <v>637</v>
      </c>
      <c r="D282" s="98" t="s">
        <v>638</v>
      </c>
      <c r="E282" s="40" t="s">
        <v>80</v>
      </c>
      <c r="F282" s="64" t="n">
        <v>2.68</v>
      </c>
      <c r="G282" s="99" t="n">
        <v>2</v>
      </c>
      <c r="H282" s="61" t="n">
        <f aca="false">(Painel!$L$359+Painel!$L$360)*1</f>
        <v>2</v>
      </c>
      <c r="I282" s="100" t="n">
        <f aca="false">IF(H282="","",H282-F282)</f>
        <v>-0.68</v>
      </c>
      <c r="J282" s="101" t="n">
        <f aca="false">IF(OR(H282="",F282=0),"",H282/F282-1)</f>
        <v>-0.253731343283582</v>
      </c>
      <c r="K282" s="62" t="n">
        <v>1784.98</v>
      </c>
      <c r="L282" s="42" t="n">
        <v>4783.74</v>
      </c>
      <c r="M282" s="43" t="n">
        <f aca="false">IF(H282="",F282*K282,H282*K282)</f>
        <v>3569.96</v>
      </c>
      <c r="N282" s="66" t="n">
        <f aca="false">M282-L282</f>
        <v>-1213.78</v>
      </c>
      <c r="O282" s="102" t="str">
        <f aca="false">IF(F282=0,"Sem qtd. no contrato",IF(ABS(H282/F282-1)&lt;=0.02,"Confere (±2%)",IF(H282&gt;F282,"Projeto maior","Projeto menor")))</f>
        <v>Projeto menor</v>
      </c>
      <c r="P282" s="67" t="s">
        <v>1205</v>
      </c>
      <c r="Q282" s="103" t="s">
        <v>1206</v>
      </c>
      <c r="R282" s="104" t="str">
        <f aca="false">HYPERLINK("#'Painel'!B361","→ 361")</f>
        <v>→ 361</v>
      </c>
    </row>
    <row r="283" customFormat="false" ht="15" hidden="false" customHeight="false" outlineLevel="0" collapsed="false">
      <c r="B283" s="97" t="n">
        <v>270</v>
      </c>
      <c r="C283" s="40" t="s">
        <v>630</v>
      </c>
      <c r="D283" s="98" t="s">
        <v>1207</v>
      </c>
      <c r="E283" s="40" t="s">
        <v>80</v>
      </c>
      <c r="F283" s="64" t="n">
        <v>2</v>
      </c>
      <c r="G283" s="99" t="n">
        <v>2</v>
      </c>
      <c r="H283" s="61" t="n">
        <f aca="false">Painel!$L$357</f>
        <v>2</v>
      </c>
      <c r="I283" s="100" t="n">
        <f aca="false">IF(H283="","",H283-F283)</f>
        <v>0</v>
      </c>
      <c r="J283" s="101" t="n">
        <f aca="false">IF(OR(H283="",F283=0),"",H283/F283-1)</f>
        <v>0</v>
      </c>
      <c r="K283" s="62" t="n">
        <v>50878.52</v>
      </c>
      <c r="L283" s="42" t="n">
        <v>101757.04</v>
      </c>
      <c r="M283" s="43" t="n">
        <f aca="false">IF(H283="",F283*K283,H283*K283)</f>
        <v>101757.04</v>
      </c>
      <c r="N283" s="66" t="n">
        <f aca="false">M283-L283</f>
        <v>0</v>
      </c>
      <c r="O283" s="102" t="str">
        <f aca="false">IF(F283=0,"Sem qtd. no contrato",IF(ABS(H283/F283-1)&lt;=0.02,"Confere (±2%)",IF(H283&gt;F283,"Projeto maior","Projeto menor")))</f>
        <v>Confere (±2%)</v>
      </c>
      <c r="P283" s="67" t="s">
        <v>1201</v>
      </c>
      <c r="Q283" s="103"/>
      <c r="R283" s="104" t="str">
        <f aca="false">HYPERLINK("#'Painel'!B357","→ 357")</f>
        <v>→ 357</v>
      </c>
    </row>
    <row r="284" customFormat="false" ht="15" hidden="false" customHeight="false" outlineLevel="0" collapsed="false">
      <c r="B284" s="97" t="n">
        <v>271</v>
      </c>
      <c r="C284" s="40" t="s">
        <v>618</v>
      </c>
      <c r="D284" s="98" t="s">
        <v>1208</v>
      </c>
      <c r="E284" s="40" t="s">
        <v>80</v>
      </c>
      <c r="F284" s="64" t="n">
        <v>45</v>
      </c>
      <c r="G284" s="99" t="n">
        <v>45</v>
      </c>
      <c r="H284" s="61" t="n">
        <f aca="false">45</f>
        <v>45</v>
      </c>
      <c r="I284" s="100" t="n">
        <f aca="false">IF(H284="","",H284-F284)</f>
        <v>0</v>
      </c>
      <c r="J284" s="101" t="n">
        <f aca="false">IF(OR(H284="",F284=0),"",H284/F284-1)</f>
        <v>0</v>
      </c>
      <c r="K284" s="62" t="n">
        <v>572.56</v>
      </c>
      <c r="L284" s="42" t="n">
        <v>25765.3</v>
      </c>
      <c r="M284" s="43" t="n">
        <f aca="false">IF(H284="",F284*K284,H284*K284)</f>
        <v>25765.2</v>
      </c>
      <c r="N284" s="66" t="n">
        <f aca="false">M284-L284</f>
        <v>-0.100000000002183</v>
      </c>
      <c r="O284" s="102" t="str">
        <f aca="false">IF(F284=0,"Sem qtd. no contrato",IF(ABS(H284/F284-1)&lt;=0.02,"Confere (±2%)",IF(H284&gt;F284,"Projeto maior","Projeto menor")))</f>
        <v>Confere (±2%)</v>
      </c>
      <c r="P284" s="67" t="s">
        <v>1209</v>
      </c>
      <c r="Q284" s="103"/>
      <c r="R284" s="104" t="str">
        <f aca="false">HYPERLINK("#'Painel'!B352","→ 352")</f>
        <v>→ 352</v>
      </c>
    </row>
    <row r="285" customFormat="false" ht="15" hidden="false" customHeight="false" outlineLevel="0" collapsed="false">
      <c r="B285" s="97" t="n">
        <v>272</v>
      </c>
      <c r="C285" s="40" t="s">
        <v>621</v>
      </c>
      <c r="D285" s="98" t="s">
        <v>1210</v>
      </c>
      <c r="E285" s="40" t="s">
        <v>80</v>
      </c>
      <c r="F285" s="64" t="n">
        <v>103</v>
      </c>
      <c r="G285" s="99" t="n">
        <v>103</v>
      </c>
      <c r="H285" s="61" t="n">
        <f aca="false">103</f>
        <v>103</v>
      </c>
      <c r="I285" s="100" t="n">
        <f aca="false">IF(H285="","",H285-F285)</f>
        <v>0</v>
      </c>
      <c r="J285" s="101" t="n">
        <f aca="false">IF(OR(H285="",F285=0),"",H285/F285-1)</f>
        <v>0</v>
      </c>
      <c r="K285" s="62" t="n">
        <v>635.83</v>
      </c>
      <c r="L285" s="42" t="n">
        <v>65490.49</v>
      </c>
      <c r="M285" s="43" t="n">
        <f aca="false">IF(H285="",F285*K285,H285*K285)</f>
        <v>65490.49</v>
      </c>
      <c r="N285" s="66" t="n">
        <f aca="false">M285-L285</f>
        <v>0</v>
      </c>
      <c r="O285" s="102" t="str">
        <f aca="false">IF(F285=0,"Sem qtd. no contrato",IF(ABS(H285/F285-1)&lt;=0.02,"Confere (±2%)",IF(H285&gt;F285,"Projeto maior","Projeto menor")))</f>
        <v>Confere (±2%)</v>
      </c>
      <c r="P285" s="67" t="s">
        <v>1209</v>
      </c>
      <c r="Q285" s="103"/>
      <c r="R285" s="104" t="str">
        <f aca="false">HYPERLINK("#'Painel'!B353","→ 353")</f>
        <v>→ 353</v>
      </c>
    </row>
    <row r="286" customFormat="false" ht="15" hidden="false" customHeight="false" outlineLevel="0" collapsed="false">
      <c r="B286" s="97" t="n">
        <v>273</v>
      </c>
      <c r="C286" s="40" t="s">
        <v>623</v>
      </c>
      <c r="D286" s="98" t="s">
        <v>1211</v>
      </c>
      <c r="E286" s="40" t="s">
        <v>80</v>
      </c>
      <c r="F286" s="64" t="n">
        <v>11</v>
      </c>
      <c r="G286" s="99" t="n">
        <v>11</v>
      </c>
      <c r="H286" s="61" t="n">
        <f aca="false">11</f>
        <v>11</v>
      </c>
      <c r="I286" s="100" t="n">
        <f aca="false">IF(H286="","",H286-F286)</f>
        <v>0</v>
      </c>
      <c r="J286" s="101" t="n">
        <f aca="false">IF(OR(H286="",F286=0),"",H286/F286-1)</f>
        <v>0</v>
      </c>
      <c r="K286" s="62" t="n">
        <v>1039.81</v>
      </c>
      <c r="L286" s="42" t="n">
        <v>11437.91</v>
      </c>
      <c r="M286" s="43" t="n">
        <f aca="false">IF(H286="",F286*K286,H286*K286)</f>
        <v>11437.91</v>
      </c>
      <c r="N286" s="66" t="n">
        <f aca="false">M286-L286</f>
        <v>0</v>
      </c>
      <c r="O286" s="102" t="str">
        <f aca="false">IF(F286=0,"Sem qtd. no contrato",IF(ABS(H286/F286-1)&lt;=0.02,"Confere (±2%)",IF(H286&gt;F286,"Projeto maior","Projeto menor")))</f>
        <v>Confere (±2%)</v>
      </c>
      <c r="P286" s="67" t="s">
        <v>1209</v>
      </c>
      <c r="Q286" s="103"/>
      <c r="R286" s="104" t="str">
        <f aca="false">HYPERLINK("#'Painel'!B354","→ 354")</f>
        <v>→ 354</v>
      </c>
    </row>
    <row r="287" customFormat="false" ht="15" hidden="false" customHeight="false" outlineLevel="0" collapsed="false">
      <c r="B287" s="97" t="n">
        <v>274</v>
      </c>
      <c r="C287" s="40" t="s">
        <v>625</v>
      </c>
      <c r="D287" s="98" t="s">
        <v>1212</v>
      </c>
      <c r="E287" s="40" t="s">
        <v>80</v>
      </c>
      <c r="F287" s="64" t="n">
        <v>2</v>
      </c>
      <c r="G287" s="99" t="n">
        <v>2</v>
      </c>
      <c r="H287" s="61" t="n">
        <f aca="false">2</f>
        <v>2</v>
      </c>
      <c r="I287" s="100" t="n">
        <f aca="false">IF(H287="","",H287-F287)</f>
        <v>0</v>
      </c>
      <c r="J287" s="101" t="n">
        <f aca="false">IF(OR(H287="",F287=0),"",H287/F287-1)</f>
        <v>0</v>
      </c>
      <c r="K287" s="62" t="n">
        <v>1389.19</v>
      </c>
      <c r="L287" s="42" t="n">
        <v>2778.38</v>
      </c>
      <c r="M287" s="43" t="n">
        <f aca="false">IF(H287="",F287*K287,H287*K287)</f>
        <v>2778.38</v>
      </c>
      <c r="N287" s="66" t="n">
        <f aca="false">M287-L287</f>
        <v>0</v>
      </c>
      <c r="O287" s="102" t="str">
        <f aca="false">IF(F287=0,"Sem qtd. no contrato",IF(ABS(H287/F287-1)&lt;=0.02,"Confere (±2%)",IF(H287&gt;F287,"Projeto maior","Projeto menor")))</f>
        <v>Confere (±2%)</v>
      </c>
      <c r="P287" s="67" t="s">
        <v>1209</v>
      </c>
      <c r="Q287" s="103"/>
      <c r="R287" s="104" t="str">
        <f aca="false">HYPERLINK("#'Painel'!B355","→ 355")</f>
        <v>→ 355</v>
      </c>
    </row>
    <row r="288" customFormat="false" ht="15" hidden="false" customHeight="false" outlineLevel="0" collapsed="false">
      <c r="B288" s="97" t="n">
        <v>275</v>
      </c>
      <c r="C288" s="40" t="s">
        <v>646</v>
      </c>
      <c r="D288" s="98" t="s">
        <v>647</v>
      </c>
      <c r="E288" s="40" t="s">
        <v>80</v>
      </c>
      <c r="F288" s="64" t="n">
        <v>1008</v>
      </c>
      <c r="G288" s="99" t="n">
        <v>1008</v>
      </c>
      <c r="H288" s="61" t="n">
        <f aca="false">Painel!$L$365</f>
        <v>1008</v>
      </c>
      <c r="I288" s="100" t="n">
        <f aca="false">IF(H288="","",H288-F288)</f>
        <v>0</v>
      </c>
      <c r="J288" s="101" t="n">
        <f aca="false">IF(OR(H288="",F288=0),"",H288/F288-1)</f>
        <v>0</v>
      </c>
      <c r="K288" s="62" t="n">
        <v>20.23</v>
      </c>
      <c r="L288" s="42" t="n">
        <v>20391.84</v>
      </c>
      <c r="M288" s="43" t="n">
        <f aca="false">IF(H288="",F288*K288,H288*K288)</f>
        <v>20391.84</v>
      </c>
      <c r="N288" s="66" t="n">
        <f aca="false">M288-L288</f>
        <v>0</v>
      </c>
      <c r="O288" s="102" t="str">
        <f aca="false">IF(F288=0,"Sem qtd. no contrato",IF(ABS(H288/F288-1)&lt;=0.02,"Confere (±2%)",IF(H288&gt;F288,"Projeto maior","Projeto menor")))</f>
        <v>Confere (±2%)</v>
      </c>
      <c r="P288" s="67" t="s">
        <v>1187</v>
      </c>
      <c r="Q288" s="103"/>
      <c r="R288" s="104" t="str">
        <f aca="false">HYPERLINK("#'Painel'!B365","→ 365")</f>
        <v>→ 365</v>
      </c>
    </row>
    <row r="289" customFormat="false" ht="15" hidden="false" customHeight="false" outlineLevel="0" collapsed="false">
      <c r="B289" s="97" t="n">
        <v>276</v>
      </c>
      <c r="C289" s="40" t="s">
        <v>650</v>
      </c>
      <c r="D289" s="98" t="s">
        <v>651</v>
      </c>
      <c r="E289" s="40" t="s">
        <v>80</v>
      </c>
      <c r="F289" s="64" t="n">
        <v>3036</v>
      </c>
      <c r="G289" s="99" t="n">
        <v>3036</v>
      </c>
      <c r="H289" s="61" t="n">
        <f aca="false">Painel!$L$367</f>
        <v>3036</v>
      </c>
      <c r="I289" s="100" t="n">
        <f aca="false">IF(H289="","",H289-F289)</f>
        <v>0</v>
      </c>
      <c r="J289" s="101" t="n">
        <f aca="false">IF(OR(H289="",F289=0),"",H289/F289-1)</f>
        <v>0</v>
      </c>
      <c r="K289" s="62" t="n">
        <v>19.52</v>
      </c>
      <c r="L289" s="42" t="n">
        <v>59262.72</v>
      </c>
      <c r="M289" s="43" t="n">
        <f aca="false">IF(H289="",F289*K289,H289*K289)</f>
        <v>59262.72</v>
      </c>
      <c r="N289" s="66" t="n">
        <f aca="false">M289-L289</f>
        <v>0</v>
      </c>
      <c r="O289" s="102" t="str">
        <f aca="false">IF(F289=0,"Sem qtd. no contrato",IF(ABS(H289/F289-1)&lt;=0.02,"Confere (±2%)",IF(H289&gt;F289,"Projeto maior","Projeto menor")))</f>
        <v>Confere (±2%)</v>
      </c>
      <c r="P289" s="67" t="s">
        <v>1187</v>
      </c>
      <c r="Q289" s="103"/>
      <c r="R289" s="104" t="str">
        <f aca="false">HYPERLINK("#'Painel'!B367","→ 367")</f>
        <v>→ 367</v>
      </c>
    </row>
    <row r="290" customFormat="false" ht="15" hidden="false" customHeight="false" outlineLevel="0" collapsed="false">
      <c r="B290" s="97" t="n">
        <v>277</v>
      </c>
      <c r="C290" s="40" t="s">
        <v>648</v>
      </c>
      <c r="D290" s="98" t="s">
        <v>649</v>
      </c>
      <c r="E290" s="40" t="s">
        <v>80</v>
      </c>
      <c r="F290" s="64" t="n">
        <v>1019</v>
      </c>
      <c r="G290" s="99" t="n">
        <v>1019</v>
      </c>
      <c r="H290" s="61" t="n">
        <f aca="false">Painel!$L$366</f>
        <v>1019</v>
      </c>
      <c r="I290" s="100" t="n">
        <f aca="false">IF(H290="","",H290-F290)</f>
        <v>0</v>
      </c>
      <c r="J290" s="101" t="n">
        <f aca="false">IF(OR(H290="",F290=0),"",H290/F290-1)</f>
        <v>0</v>
      </c>
      <c r="K290" s="62" t="n">
        <v>34.7</v>
      </c>
      <c r="L290" s="42" t="n">
        <v>35359.3</v>
      </c>
      <c r="M290" s="43" t="n">
        <f aca="false">IF(H290="",F290*K290,H290*K290)</f>
        <v>35359.3</v>
      </c>
      <c r="N290" s="66" t="n">
        <f aca="false">M290-L290</f>
        <v>0</v>
      </c>
      <c r="O290" s="102" t="str">
        <f aca="false">IF(F290=0,"Sem qtd. no contrato",IF(ABS(H290/F290-1)&lt;=0.02,"Confere (±2%)",IF(H290&gt;F290,"Projeto maior","Projeto menor")))</f>
        <v>Confere (±2%)</v>
      </c>
      <c r="P290" s="67" t="s">
        <v>1187</v>
      </c>
      <c r="Q290" s="103"/>
      <c r="R290" s="104" t="str">
        <f aca="false">HYPERLINK("#'Painel'!B366","→ 366")</f>
        <v>→ 366</v>
      </c>
    </row>
    <row r="291" customFormat="false" ht="15" hidden="false" customHeight="false" outlineLevel="0" collapsed="false">
      <c r="B291" s="45"/>
      <c r="C291" s="45"/>
      <c r="D291" s="105" t="s">
        <v>670</v>
      </c>
      <c r="E291" s="45"/>
      <c r="F291" s="45"/>
      <c r="G291" s="45"/>
      <c r="H291" s="45"/>
      <c r="I291" s="45"/>
      <c r="J291" s="45"/>
      <c r="K291" s="45"/>
      <c r="L291" s="106" t="n">
        <f aca="false">SUM(L272:L290)</f>
        <v>4392206.49</v>
      </c>
      <c r="M291" s="106" t="n">
        <f aca="false">SUM(M272:M290)</f>
        <v>4343372.0655</v>
      </c>
      <c r="N291" s="107" t="n">
        <f aca="false">SUM(N272:N290)</f>
        <v>-48834.4245000003</v>
      </c>
      <c r="O291" s="45"/>
      <c r="P291" s="45"/>
      <c r="Q291" s="45"/>
      <c r="R291" s="45"/>
    </row>
    <row r="293" customFormat="false" ht="15" hidden="false" customHeight="false" outlineLevel="0" collapsed="false">
      <c r="B293" s="96" t="s">
        <v>1213</v>
      </c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</row>
    <row r="294" customFormat="false" ht="15" hidden="false" customHeight="false" outlineLevel="0" collapsed="false">
      <c r="B294" s="97" t="n">
        <v>280</v>
      </c>
      <c r="C294" s="40" t="s">
        <v>792</v>
      </c>
      <c r="D294" s="98" t="s">
        <v>793</v>
      </c>
      <c r="E294" s="40" t="s">
        <v>794</v>
      </c>
      <c r="F294" s="64" t="n">
        <v>4320</v>
      </c>
      <c r="G294" s="31"/>
      <c r="H294" s="108"/>
      <c r="I294" s="100" t="str">
        <f aca="false">IF(H294="","",H294-F294)</f>
        <v/>
      </c>
      <c r="J294" s="101" t="str">
        <f aca="false">IF(OR(H294="",F294=0),"",H294/F294-1)</f>
        <v/>
      </c>
      <c r="K294" s="62" t="n">
        <v>35.09</v>
      </c>
      <c r="L294" s="42" t="n">
        <v>151588.8</v>
      </c>
      <c r="M294" s="43" t="n">
        <f aca="false">IF(H294="",F294*K294,H294*K294)</f>
        <v>151588.8</v>
      </c>
      <c r="N294" s="66" t="n">
        <f aca="false">M294-L294</f>
        <v>0</v>
      </c>
      <c r="O294" s="102" t="s">
        <v>999</v>
      </c>
      <c r="P294" s="67" t="s">
        <v>1214</v>
      </c>
      <c r="Q294" s="103"/>
      <c r="R294" s="104" t="str">
        <f aca="false">HYPERLINK("#'Painel'!B447","→ 447")</f>
        <v>→ 447</v>
      </c>
    </row>
    <row r="295" customFormat="false" ht="15" hidden="false" customHeight="false" outlineLevel="0" collapsed="false">
      <c r="B295" s="97" t="n">
        <v>281</v>
      </c>
      <c r="C295" s="40" t="s">
        <v>796</v>
      </c>
      <c r="D295" s="98" t="s">
        <v>797</v>
      </c>
      <c r="E295" s="40" t="s">
        <v>176</v>
      </c>
      <c r="F295" s="64" t="n">
        <v>120</v>
      </c>
      <c r="G295" s="31"/>
      <c r="H295" s="108"/>
      <c r="I295" s="100" t="str">
        <f aca="false">IF(H295="","",H295-F295)</f>
        <v/>
      </c>
      <c r="J295" s="101" t="str">
        <f aca="false">IF(OR(H295="",F295=0),"",H295/F295-1)</f>
        <v/>
      </c>
      <c r="K295" s="62" t="n">
        <v>90.84</v>
      </c>
      <c r="L295" s="42" t="n">
        <v>10900.8</v>
      </c>
      <c r="M295" s="43" t="n">
        <f aca="false">IF(H295="",F295*K295,H295*K295)</f>
        <v>10900.8</v>
      </c>
      <c r="N295" s="66" t="n">
        <f aca="false">M295-L295</f>
        <v>0</v>
      </c>
      <c r="O295" s="102" t="s">
        <v>999</v>
      </c>
      <c r="P295" s="67" t="s">
        <v>1214</v>
      </c>
      <c r="Q295" s="103"/>
      <c r="R295" s="104" t="str">
        <f aca="false">HYPERLINK("#'Painel'!B448","→ 448")</f>
        <v>→ 448</v>
      </c>
    </row>
    <row r="296" customFormat="false" ht="15" hidden="false" customHeight="false" outlineLevel="0" collapsed="false">
      <c r="B296" s="97" t="n">
        <v>282</v>
      </c>
      <c r="C296" s="40" t="s">
        <v>798</v>
      </c>
      <c r="D296" s="98" t="s">
        <v>799</v>
      </c>
      <c r="E296" s="40" t="s">
        <v>80</v>
      </c>
      <c r="F296" s="64" t="n">
        <v>20</v>
      </c>
      <c r="G296" s="31"/>
      <c r="H296" s="108"/>
      <c r="I296" s="100" t="str">
        <f aca="false">IF(H296="","",H296-F296)</f>
        <v/>
      </c>
      <c r="J296" s="101" t="str">
        <f aca="false">IF(OR(H296="",F296=0),"",H296/F296-1)</f>
        <v/>
      </c>
      <c r="K296" s="62" t="n">
        <v>19.76</v>
      </c>
      <c r="L296" s="42" t="n">
        <v>395.2</v>
      </c>
      <c r="M296" s="43" t="n">
        <f aca="false">IF(H296="",F296*K296,H296*K296)</f>
        <v>395.2</v>
      </c>
      <c r="N296" s="66" t="n">
        <f aca="false">M296-L296</f>
        <v>0</v>
      </c>
      <c r="O296" s="102" t="s">
        <v>999</v>
      </c>
      <c r="P296" s="67" t="s">
        <v>1214</v>
      </c>
      <c r="Q296" s="103"/>
      <c r="R296" s="104" t="str">
        <f aca="false">HYPERLINK("#'Painel'!B449","→ 449")</f>
        <v>→ 449</v>
      </c>
    </row>
    <row r="297" customFormat="false" ht="15" hidden="false" customHeight="false" outlineLevel="0" collapsed="false">
      <c r="B297" s="97" t="n">
        <v>283</v>
      </c>
      <c r="C297" s="40" t="s">
        <v>800</v>
      </c>
      <c r="D297" s="98" t="s">
        <v>801</v>
      </c>
      <c r="E297" s="40" t="s">
        <v>80</v>
      </c>
      <c r="F297" s="64" t="n">
        <v>8</v>
      </c>
      <c r="G297" s="31"/>
      <c r="H297" s="108"/>
      <c r="I297" s="100" t="str">
        <f aca="false">IF(H297="","",H297-F297)</f>
        <v/>
      </c>
      <c r="J297" s="101" t="str">
        <f aca="false">IF(OR(H297="",F297=0),"",H297/F297-1)</f>
        <v/>
      </c>
      <c r="K297" s="62" t="n">
        <v>116.37</v>
      </c>
      <c r="L297" s="42" t="n">
        <v>930.96</v>
      </c>
      <c r="M297" s="43" t="n">
        <f aca="false">IF(H297="",F297*K297,H297*K297)</f>
        <v>930.96</v>
      </c>
      <c r="N297" s="66" t="n">
        <f aca="false">M297-L297</f>
        <v>0</v>
      </c>
      <c r="O297" s="102" t="s">
        <v>999</v>
      </c>
      <c r="P297" s="67" t="s">
        <v>1214</v>
      </c>
      <c r="Q297" s="103"/>
      <c r="R297" s="104" t="str">
        <f aca="false">HYPERLINK("#'Painel'!B450","→ 450")</f>
        <v>→ 450</v>
      </c>
    </row>
    <row r="298" customFormat="false" ht="15" hidden="false" customHeight="false" outlineLevel="0" collapsed="false">
      <c r="B298" s="97" t="n">
        <v>284</v>
      </c>
      <c r="C298" s="40" t="s">
        <v>802</v>
      </c>
      <c r="D298" s="98" t="s">
        <v>803</v>
      </c>
      <c r="E298" s="40" t="s">
        <v>80</v>
      </c>
      <c r="F298" s="64" t="n">
        <v>456</v>
      </c>
      <c r="G298" s="31"/>
      <c r="H298" s="108"/>
      <c r="I298" s="100" t="str">
        <f aca="false">IF(H298="","",H298-F298)</f>
        <v/>
      </c>
      <c r="J298" s="101" t="str">
        <f aca="false">IF(OR(H298="",F298=0),"",H298/F298-1)</f>
        <v/>
      </c>
      <c r="K298" s="62" t="n">
        <v>49.11</v>
      </c>
      <c r="L298" s="42" t="n">
        <v>22394.16</v>
      </c>
      <c r="M298" s="43" t="n">
        <f aca="false">IF(H298="",F298*K298,H298*K298)</f>
        <v>22394.16</v>
      </c>
      <c r="N298" s="66" t="n">
        <f aca="false">M298-L298</f>
        <v>0</v>
      </c>
      <c r="O298" s="102" t="s">
        <v>999</v>
      </c>
      <c r="P298" s="67" t="s">
        <v>1214</v>
      </c>
      <c r="Q298" s="103"/>
      <c r="R298" s="104" t="str">
        <f aca="false">HYPERLINK("#'Painel'!B451","→ 451")</f>
        <v>→ 451</v>
      </c>
    </row>
    <row r="299" customFormat="false" ht="15" hidden="false" customHeight="false" outlineLevel="0" collapsed="false">
      <c r="B299" s="97" t="n">
        <v>285</v>
      </c>
      <c r="C299" s="40" t="s">
        <v>804</v>
      </c>
      <c r="D299" s="98" t="s">
        <v>805</v>
      </c>
      <c r="E299" s="40" t="s">
        <v>73</v>
      </c>
      <c r="F299" s="64" t="n">
        <v>1800</v>
      </c>
      <c r="G299" s="31"/>
      <c r="H299" s="108"/>
      <c r="I299" s="100" t="str">
        <f aca="false">IF(H299="","",H299-F299)</f>
        <v/>
      </c>
      <c r="J299" s="101" t="str">
        <f aca="false">IF(OR(H299="",F299=0),"",H299/F299-1)</f>
        <v/>
      </c>
      <c r="K299" s="62" t="n">
        <v>21.39</v>
      </c>
      <c r="L299" s="42" t="n">
        <v>38502</v>
      </c>
      <c r="M299" s="43" t="n">
        <f aca="false">IF(H299="",F299*K299,H299*K299)</f>
        <v>38502</v>
      </c>
      <c r="N299" s="66" t="n">
        <f aca="false">M299-L299</f>
        <v>0</v>
      </c>
      <c r="O299" s="102" t="s">
        <v>999</v>
      </c>
      <c r="P299" s="67" t="s">
        <v>1214</v>
      </c>
      <c r="Q299" s="103"/>
      <c r="R299" s="104" t="str">
        <f aca="false">HYPERLINK("#'Painel'!B452","→ 452")</f>
        <v>→ 452</v>
      </c>
    </row>
    <row r="300" customFormat="false" ht="15" hidden="false" customHeight="false" outlineLevel="0" collapsed="false">
      <c r="B300" s="97" t="n">
        <v>286</v>
      </c>
      <c r="C300" s="40" t="s">
        <v>806</v>
      </c>
      <c r="D300" s="98" t="s">
        <v>807</v>
      </c>
      <c r="E300" s="40" t="s">
        <v>80</v>
      </c>
      <c r="F300" s="64" t="n">
        <v>30</v>
      </c>
      <c r="G300" s="31"/>
      <c r="H300" s="108"/>
      <c r="I300" s="100" t="str">
        <f aca="false">IF(H300="","",H300-F300)</f>
        <v/>
      </c>
      <c r="J300" s="101" t="str">
        <f aca="false">IF(OR(H300="",F300=0),"",H300/F300-1)</f>
        <v/>
      </c>
      <c r="K300" s="62" t="n">
        <v>52.02</v>
      </c>
      <c r="L300" s="42" t="n">
        <v>1560.6</v>
      </c>
      <c r="M300" s="43" t="n">
        <f aca="false">IF(H300="",F300*K300,H300*K300)</f>
        <v>1560.6</v>
      </c>
      <c r="N300" s="66" t="n">
        <f aca="false">M300-L300</f>
        <v>0</v>
      </c>
      <c r="O300" s="102" t="s">
        <v>999</v>
      </c>
      <c r="P300" s="67" t="s">
        <v>1214</v>
      </c>
      <c r="Q300" s="103"/>
      <c r="R300" s="104" t="str">
        <f aca="false">HYPERLINK("#'Painel'!B453","→ 453")</f>
        <v>→ 453</v>
      </c>
    </row>
    <row r="301" customFormat="false" ht="15" hidden="false" customHeight="false" outlineLevel="0" collapsed="false">
      <c r="B301" s="97" t="n">
        <v>287</v>
      </c>
      <c r="C301" s="40" t="s">
        <v>808</v>
      </c>
      <c r="D301" s="98" t="s">
        <v>809</v>
      </c>
      <c r="E301" s="40" t="s">
        <v>73</v>
      </c>
      <c r="F301" s="64" t="n">
        <v>162.1</v>
      </c>
      <c r="G301" s="31"/>
      <c r="H301" s="108"/>
      <c r="I301" s="100" t="str">
        <f aca="false">IF(H301="","",H301-F301)</f>
        <v/>
      </c>
      <c r="J301" s="101" t="str">
        <f aca="false">IF(OR(H301="",F301=0),"",H301/F301-1)</f>
        <v/>
      </c>
      <c r="K301" s="62" t="n">
        <v>97.16</v>
      </c>
      <c r="L301" s="42" t="n">
        <v>15749.63</v>
      </c>
      <c r="M301" s="43" t="n">
        <f aca="false">IF(H301="",F301*K301,H301*K301)</f>
        <v>15749.636</v>
      </c>
      <c r="N301" s="66" t="n">
        <f aca="false">M301-L301</f>
        <v>0.00599999999940337</v>
      </c>
      <c r="O301" s="102" t="s">
        <v>999</v>
      </c>
      <c r="P301" s="67" t="s">
        <v>1214</v>
      </c>
      <c r="Q301" s="103"/>
      <c r="R301" s="104" t="str">
        <f aca="false">HYPERLINK("#'Painel'!B454","→ 454")</f>
        <v>→ 454</v>
      </c>
    </row>
    <row r="302" customFormat="false" ht="15" hidden="false" customHeight="false" outlineLevel="0" collapsed="false">
      <c r="B302" s="97" t="n">
        <v>288</v>
      </c>
      <c r="C302" s="40" t="s">
        <v>810</v>
      </c>
      <c r="D302" s="98" t="s">
        <v>811</v>
      </c>
      <c r="E302" s="40" t="s">
        <v>80</v>
      </c>
      <c r="F302" s="64" t="n">
        <v>8</v>
      </c>
      <c r="G302" s="31"/>
      <c r="H302" s="108"/>
      <c r="I302" s="100" t="str">
        <f aca="false">IF(H302="","",H302-F302)</f>
        <v/>
      </c>
      <c r="J302" s="101" t="str">
        <f aca="false">IF(OR(H302="",F302=0),"",H302/F302-1)</f>
        <v/>
      </c>
      <c r="K302" s="62" t="n">
        <v>18.71</v>
      </c>
      <c r="L302" s="42" t="n">
        <v>149.68</v>
      </c>
      <c r="M302" s="43" t="n">
        <f aca="false">IF(H302="",F302*K302,H302*K302)</f>
        <v>149.68</v>
      </c>
      <c r="N302" s="66" t="n">
        <f aca="false">M302-L302</f>
        <v>0</v>
      </c>
      <c r="O302" s="102" t="s">
        <v>999</v>
      </c>
      <c r="P302" s="67" t="s">
        <v>1214</v>
      </c>
      <c r="Q302" s="103"/>
      <c r="R302" s="104" t="str">
        <f aca="false">HYPERLINK("#'Painel'!B455","→ 455")</f>
        <v>→ 455</v>
      </c>
    </row>
    <row r="303" customFormat="false" ht="15" hidden="false" customHeight="false" outlineLevel="0" collapsed="false">
      <c r="B303" s="45"/>
      <c r="C303" s="45"/>
      <c r="D303" s="105" t="s">
        <v>1215</v>
      </c>
      <c r="E303" s="45"/>
      <c r="F303" s="45"/>
      <c r="G303" s="45"/>
      <c r="H303" s="45"/>
      <c r="I303" s="45"/>
      <c r="J303" s="45"/>
      <c r="K303" s="45"/>
      <c r="L303" s="106" t="n">
        <f aca="false">SUM(L294:L302)</f>
        <v>242171.83</v>
      </c>
      <c r="M303" s="106" t="n">
        <f aca="false">SUM(M294:M302)</f>
        <v>242171.836</v>
      </c>
      <c r="N303" s="107" t="n">
        <f aca="false">SUM(N294:N302)</f>
        <v>0.00599999999940337</v>
      </c>
      <c r="O303" s="45"/>
      <c r="P303" s="45"/>
      <c r="Q303" s="45"/>
      <c r="R303" s="45"/>
    </row>
    <row r="305" customFormat="false" ht="15" hidden="false" customHeight="false" outlineLevel="0" collapsed="false">
      <c r="B305" s="96" t="s">
        <v>1216</v>
      </c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</row>
    <row r="306" customFormat="false" ht="15" hidden="false" customHeight="false" outlineLevel="0" collapsed="false">
      <c r="B306" s="97" t="n">
        <v>291</v>
      </c>
      <c r="C306" s="40" t="s">
        <v>813</v>
      </c>
      <c r="D306" s="98" t="s">
        <v>814</v>
      </c>
      <c r="E306" s="40" t="s">
        <v>815</v>
      </c>
      <c r="F306" s="64" t="n">
        <v>18</v>
      </c>
      <c r="G306" s="31"/>
      <c r="H306" s="108"/>
      <c r="I306" s="100" t="str">
        <f aca="false">IF(H306="","",H306-F306)</f>
        <v/>
      </c>
      <c r="J306" s="101" t="str">
        <f aca="false">IF(OR(H306="",F306=0),"",H306/F306-1)</f>
        <v/>
      </c>
      <c r="K306" s="62" t="n">
        <v>7203.94</v>
      </c>
      <c r="L306" s="42" t="n">
        <v>129670.92</v>
      </c>
      <c r="M306" s="43" t="n">
        <f aca="false">IF(H306="",F306*K306,H306*K306)</f>
        <v>129670.92</v>
      </c>
      <c r="N306" s="66" t="n">
        <f aca="false">M306-L306</f>
        <v>0</v>
      </c>
      <c r="O306" s="102" t="s">
        <v>1217</v>
      </c>
      <c r="P306" s="67" t="s">
        <v>1218</v>
      </c>
      <c r="Q306" s="103"/>
      <c r="R306" s="104" t="str">
        <f aca="false">HYPERLINK("#'Painel'!B457","→ 457")</f>
        <v>→ 457</v>
      </c>
    </row>
    <row r="307" customFormat="false" ht="15" hidden="false" customHeight="false" outlineLevel="0" collapsed="false">
      <c r="B307" s="97" t="n">
        <v>292</v>
      </c>
      <c r="C307" s="40" t="s">
        <v>817</v>
      </c>
      <c r="D307" s="98" t="s">
        <v>818</v>
      </c>
      <c r="E307" s="40" t="s">
        <v>815</v>
      </c>
      <c r="F307" s="64" t="n">
        <v>12</v>
      </c>
      <c r="G307" s="31"/>
      <c r="H307" s="108"/>
      <c r="I307" s="100" t="str">
        <f aca="false">IF(H307="","",H307-F307)</f>
        <v/>
      </c>
      <c r="J307" s="101" t="str">
        <f aca="false">IF(OR(H307="",F307=0),"",H307/F307-1)</f>
        <v/>
      </c>
      <c r="K307" s="62" t="n">
        <v>7248.18</v>
      </c>
      <c r="L307" s="42" t="n">
        <v>86978.16</v>
      </c>
      <c r="M307" s="43" t="n">
        <f aca="false">IF(H307="",F307*K307,H307*K307)</f>
        <v>86978.16</v>
      </c>
      <c r="N307" s="66" t="n">
        <f aca="false">M307-L307</f>
        <v>0</v>
      </c>
      <c r="O307" s="102" t="s">
        <v>1217</v>
      </c>
      <c r="P307" s="67" t="s">
        <v>1218</v>
      </c>
      <c r="Q307" s="103"/>
      <c r="R307" s="104" t="str">
        <f aca="false">HYPERLINK("#'Painel'!B458","→ 458")</f>
        <v>→ 458</v>
      </c>
    </row>
    <row r="308" customFormat="false" ht="15" hidden="false" customHeight="false" outlineLevel="0" collapsed="false">
      <c r="B308" s="97" t="n">
        <v>293</v>
      </c>
      <c r="C308" s="40" t="s">
        <v>819</v>
      </c>
      <c r="D308" s="98" t="s">
        <v>820</v>
      </c>
      <c r="E308" s="40" t="s">
        <v>815</v>
      </c>
      <c r="F308" s="64" t="n">
        <v>6</v>
      </c>
      <c r="G308" s="31"/>
      <c r="H308" s="108"/>
      <c r="I308" s="100" t="str">
        <f aca="false">IF(H308="","",H308-F308)</f>
        <v/>
      </c>
      <c r="J308" s="101" t="str">
        <f aca="false">IF(OR(H308="",F308=0),"",H308/F308-1)</f>
        <v/>
      </c>
      <c r="K308" s="62" t="n">
        <v>8647.03</v>
      </c>
      <c r="L308" s="42" t="n">
        <v>51882.18</v>
      </c>
      <c r="M308" s="43" t="n">
        <f aca="false">IF(H308="",F308*K308,H308*K308)</f>
        <v>51882.18</v>
      </c>
      <c r="N308" s="66" t="n">
        <f aca="false">M308-L308</f>
        <v>0</v>
      </c>
      <c r="O308" s="102" t="s">
        <v>1217</v>
      </c>
      <c r="P308" s="67" t="s">
        <v>1218</v>
      </c>
      <c r="Q308" s="103"/>
      <c r="R308" s="104" t="str">
        <f aca="false">HYPERLINK("#'Painel'!B459","→ 459")</f>
        <v>→ 459</v>
      </c>
    </row>
    <row r="309" customFormat="false" ht="15" hidden="false" customHeight="false" outlineLevel="0" collapsed="false">
      <c r="B309" s="97" t="n">
        <v>294</v>
      </c>
      <c r="C309" s="40" t="s">
        <v>821</v>
      </c>
      <c r="D309" s="98" t="s">
        <v>822</v>
      </c>
      <c r="E309" s="40" t="s">
        <v>815</v>
      </c>
      <c r="F309" s="64" t="n">
        <v>6</v>
      </c>
      <c r="G309" s="31"/>
      <c r="H309" s="108"/>
      <c r="I309" s="100" t="str">
        <f aca="false">IF(H309="","",H309-F309)</f>
        <v/>
      </c>
      <c r="J309" s="101" t="str">
        <f aca="false">IF(OR(H309="",F309=0),"",H309/F309-1)</f>
        <v/>
      </c>
      <c r="K309" s="62" t="n">
        <v>11776.27</v>
      </c>
      <c r="L309" s="42" t="n">
        <v>70657.62</v>
      </c>
      <c r="M309" s="43" t="n">
        <f aca="false">IF(H309="",F309*K309,H309*K309)</f>
        <v>70657.62</v>
      </c>
      <c r="N309" s="66" t="n">
        <f aca="false">M309-L309</f>
        <v>0</v>
      </c>
      <c r="O309" s="102" t="s">
        <v>1217</v>
      </c>
      <c r="P309" s="67" t="s">
        <v>1218</v>
      </c>
      <c r="Q309" s="103"/>
      <c r="R309" s="104" t="str">
        <f aca="false">HYPERLINK("#'Painel'!B460","→ 460")</f>
        <v>→ 460</v>
      </c>
    </row>
    <row r="310" customFormat="false" ht="15" hidden="false" customHeight="false" outlineLevel="0" collapsed="false">
      <c r="B310" s="97" t="n">
        <v>295</v>
      </c>
      <c r="C310" s="40" t="s">
        <v>823</v>
      </c>
      <c r="D310" s="98" t="s">
        <v>824</v>
      </c>
      <c r="E310" s="40" t="s">
        <v>815</v>
      </c>
      <c r="F310" s="64" t="n">
        <v>18</v>
      </c>
      <c r="G310" s="31"/>
      <c r="H310" s="108"/>
      <c r="I310" s="100" t="str">
        <f aca="false">IF(H310="","",H310-F310)</f>
        <v/>
      </c>
      <c r="J310" s="101" t="str">
        <f aca="false">IF(OR(H310="",F310=0),"",H310/F310-1)</f>
        <v/>
      </c>
      <c r="K310" s="62" t="n">
        <v>10715.7</v>
      </c>
      <c r="L310" s="42" t="n">
        <v>192882.6</v>
      </c>
      <c r="M310" s="43" t="n">
        <f aca="false">IF(H310="",F310*K310,H310*K310)</f>
        <v>192882.6</v>
      </c>
      <c r="N310" s="66" t="n">
        <f aca="false">M310-L310</f>
        <v>0</v>
      </c>
      <c r="O310" s="102" t="s">
        <v>1217</v>
      </c>
      <c r="P310" s="67" t="s">
        <v>1218</v>
      </c>
      <c r="Q310" s="103"/>
      <c r="R310" s="104" t="str">
        <f aca="false">HYPERLINK("#'Painel'!B461","→ 461")</f>
        <v>→ 461</v>
      </c>
    </row>
    <row r="311" customFormat="false" ht="15" hidden="false" customHeight="false" outlineLevel="0" collapsed="false">
      <c r="B311" s="97" t="n">
        <v>296</v>
      </c>
      <c r="C311" s="40" t="s">
        <v>825</v>
      </c>
      <c r="D311" s="98" t="s">
        <v>826</v>
      </c>
      <c r="E311" s="40" t="s">
        <v>815</v>
      </c>
      <c r="F311" s="64" t="n">
        <v>18</v>
      </c>
      <c r="G311" s="31"/>
      <c r="H311" s="108"/>
      <c r="I311" s="100" t="str">
        <f aca="false">IF(H311="","",H311-F311)</f>
        <v/>
      </c>
      <c r="J311" s="101" t="str">
        <f aca="false">IF(OR(H311="",F311=0),"",H311/F311-1)</f>
        <v/>
      </c>
      <c r="K311" s="62" t="n">
        <v>3688.87</v>
      </c>
      <c r="L311" s="42" t="n">
        <v>66399.66</v>
      </c>
      <c r="M311" s="43" t="n">
        <f aca="false">IF(H311="",F311*K311,H311*K311)</f>
        <v>66399.66</v>
      </c>
      <c r="N311" s="66" t="n">
        <f aca="false">M311-L311</f>
        <v>0</v>
      </c>
      <c r="O311" s="102" t="s">
        <v>1217</v>
      </c>
      <c r="P311" s="67" t="s">
        <v>1218</v>
      </c>
      <c r="Q311" s="103"/>
      <c r="R311" s="104" t="str">
        <f aca="false">HYPERLINK("#'Painel'!B462","→ 462")</f>
        <v>→ 462</v>
      </c>
    </row>
    <row r="312" customFormat="false" ht="15" hidden="false" customHeight="false" outlineLevel="0" collapsed="false">
      <c r="B312" s="97" t="n">
        <v>297</v>
      </c>
      <c r="C312" s="40" t="s">
        <v>827</v>
      </c>
      <c r="D312" s="98" t="s">
        <v>828</v>
      </c>
      <c r="E312" s="40" t="s">
        <v>815</v>
      </c>
      <c r="F312" s="64" t="n">
        <v>8</v>
      </c>
      <c r="G312" s="31"/>
      <c r="H312" s="108"/>
      <c r="I312" s="100" t="str">
        <f aca="false">IF(H312="","",H312-F312)</f>
        <v/>
      </c>
      <c r="J312" s="101" t="str">
        <f aca="false">IF(OR(H312="",F312=0),"",H312/F312-1)</f>
        <v/>
      </c>
      <c r="K312" s="62" t="n">
        <v>35062.52</v>
      </c>
      <c r="L312" s="42" t="n">
        <v>280500.19</v>
      </c>
      <c r="M312" s="43" t="n">
        <f aca="false">IF(H312="",F312*K312,H312*K312)</f>
        <v>280500.16</v>
      </c>
      <c r="N312" s="66" t="n">
        <f aca="false">M312-L312</f>
        <v>-0.0300000000279397</v>
      </c>
      <c r="O312" s="102" t="s">
        <v>1217</v>
      </c>
      <c r="P312" s="67" t="s">
        <v>1218</v>
      </c>
      <c r="Q312" s="103"/>
      <c r="R312" s="104" t="str">
        <f aca="false">HYPERLINK("#'Painel'!B463","→ 463")</f>
        <v>→ 463</v>
      </c>
    </row>
    <row r="313" customFormat="false" ht="15" hidden="false" customHeight="false" outlineLevel="0" collapsed="false">
      <c r="B313" s="45"/>
      <c r="C313" s="45"/>
      <c r="D313" s="105" t="s">
        <v>1219</v>
      </c>
      <c r="E313" s="45"/>
      <c r="F313" s="45"/>
      <c r="G313" s="45"/>
      <c r="H313" s="45"/>
      <c r="I313" s="45"/>
      <c r="J313" s="45"/>
      <c r="K313" s="45"/>
      <c r="L313" s="106" t="n">
        <f aca="false">SUM(L306:L312)</f>
        <v>878971.33</v>
      </c>
      <c r="M313" s="106" t="n">
        <f aca="false">SUM(M306:M312)</f>
        <v>878971.3</v>
      </c>
      <c r="N313" s="107" t="n">
        <f aca="false">SUM(N306:N312)</f>
        <v>-0.0300000000279397</v>
      </c>
      <c r="O313" s="45"/>
      <c r="P313" s="45"/>
      <c r="Q313" s="45"/>
      <c r="R313" s="45"/>
    </row>
    <row r="315" customFormat="false" ht="15" hidden="false" customHeight="false" outlineLevel="0" collapsed="false">
      <c r="B315" s="96" t="s">
        <v>1220</v>
      </c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</row>
    <row r="316" customFormat="false" ht="15" hidden="false" customHeight="false" outlineLevel="0" collapsed="false">
      <c r="B316" s="97" t="n">
        <v>300</v>
      </c>
      <c r="C316" s="40" t="s">
        <v>677</v>
      </c>
      <c r="D316" s="98" t="s">
        <v>678</v>
      </c>
      <c r="E316" s="40" t="s">
        <v>176</v>
      </c>
      <c r="F316" s="64" t="n">
        <v>70</v>
      </c>
      <c r="G316" s="31"/>
      <c r="H316" s="108"/>
      <c r="I316" s="100" t="str">
        <f aca="false">IF(H316="","",H316-F316)</f>
        <v/>
      </c>
      <c r="J316" s="101" t="str">
        <f aca="false">IF(OR(H316="",F316=0),"",H316/F316-1)</f>
        <v/>
      </c>
      <c r="K316" s="62" t="n">
        <v>26.43</v>
      </c>
      <c r="L316" s="42" t="n">
        <v>1850.44</v>
      </c>
      <c r="M316" s="43" t="n">
        <f aca="false">IF(H316="",F316*K316,H316*K316)</f>
        <v>1850.1</v>
      </c>
      <c r="N316" s="66" t="n">
        <f aca="false">M316-L316</f>
        <v>-0.340000000000146</v>
      </c>
      <c r="O316" s="102" t="s">
        <v>999</v>
      </c>
      <c r="P316" s="67" t="s">
        <v>1221</v>
      </c>
      <c r="Q316" s="103"/>
      <c r="R316" s="104" t="str">
        <f aca="false">HYPERLINK("#'Painel'!B381","→ 381")</f>
        <v>→ 381</v>
      </c>
    </row>
    <row r="317" customFormat="false" ht="15" hidden="false" customHeight="false" outlineLevel="0" collapsed="false">
      <c r="B317" s="97" t="n">
        <v>301</v>
      </c>
      <c r="C317" s="40" t="s">
        <v>680</v>
      </c>
      <c r="D317" s="98" t="s">
        <v>681</v>
      </c>
      <c r="E317" s="40" t="s">
        <v>176</v>
      </c>
      <c r="F317" s="64" t="n">
        <v>1224.6</v>
      </c>
      <c r="G317" s="31"/>
      <c r="H317" s="108"/>
      <c r="I317" s="100" t="str">
        <f aca="false">IF(H317="","",H317-F317)</f>
        <v/>
      </c>
      <c r="J317" s="101" t="str">
        <f aca="false">IF(OR(H317="",F317=0),"",H317/F317-1)</f>
        <v/>
      </c>
      <c r="K317" s="62" t="n">
        <v>5.17</v>
      </c>
      <c r="L317" s="42" t="n">
        <v>6336.94</v>
      </c>
      <c r="M317" s="43" t="n">
        <f aca="false">IF(H317="",F317*K317,H317*K317)</f>
        <v>6331.182</v>
      </c>
      <c r="N317" s="66" t="n">
        <f aca="false">M317-L317</f>
        <v>-5.75799999999981</v>
      </c>
      <c r="O317" s="102" t="s">
        <v>999</v>
      </c>
      <c r="P317" s="67" t="s">
        <v>1221</v>
      </c>
      <c r="Q317" s="103"/>
      <c r="R317" s="104" t="str">
        <f aca="false">HYPERLINK("#'Painel'!B382","→ 382")</f>
        <v>→ 382</v>
      </c>
    </row>
    <row r="318" customFormat="false" ht="15" hidden="false" customHeight="false" outlineLevel="0" collapsed="false">
      <c r="B318" s="97" t="n">
        <v>302</v>
      </c>
      <c r="C318" s="40" t="s">
        <v>682</v>
      </c>
      <c r="D318" s="98" t="s">
        <v>683</v>
      </c>
      <c r="E318" s="40" t="s">
        <v>176</v>
      </c>
      <c r="F318" s="64" t="n">
        <v>826</v>
      </c>
      <c r="G318" s="31"/>
      <c r="H318" s="108"/>
      <c r="I318" s="100" t="str">
        <f aca="false">IF(H318="","",H318-F318)</f>
        <v/>
      </c>
      <c r="J318" s="101" t="str">
        <f aca="false">IF(OR(H318="",F318=0),"",H318/F318-1)</f>
        <v/>
      </c>
      <c r="K318" s="62" t="n">
        <v>12.82</v>
      </c>
      <c r="L318" s="42" t="n">
        <v>10588.81</v>
      </c>
      <c r="M318" s="43" t="n">
        <f aca="false">IF(H318="",F318*K318,H318*K318)</f>
        <v>10589.32</v>
      </c>
      <c r="N318" s="66" t="n">
        <f aca="false">M318-L318</f>
        <v>0.510000000000218</v>
      </c>
      <c r="O318" s="102" t="s">
        <v>999</v>
      </c>
      <c r="P318" s="67" t="s">
        <v>1221</v>
      </c>
      <c r="Q318" s="103"/>
      <c r="R318" s="104" t="str">
        <f aca="false">HYPERLINK("#'Painel'!B383","→ 383")</f>
        <v>→ 383</v>
      </c>
    </row>
    <row r="319" customFormat="false" ht="15" hidden="false" customHeight="false" outlineLevel="0" collapsed="false">
      <c r="B319" s="97" t="n">
        <v>303</v>
      </c>
      <c r="C319" s="40" t="s">
        <v>684</v>
      </c>
      <c r="D319" s="98" t="s">
        <v>685</v>
      </c>
      <c r="E319" s="40" t="s">
        <v>686</v>
      </c>
      <c r="F319" s="64" t="n">
        <v>30</v>
      </c>
      <c r="G319" s="31"/>
      <c r="H319" s="108"/>
      <c r="I319" s="100" t="str">
        <f aca="false">IF(H319="","",H319-F319)</f>
        <v/>
      </c>
      <c r="J319" s="101" t="str">
        <f aca="false">IF(OR(H319="",F319=0),"",H319/F319-1)</f>
        <v/>
      </c>
      <c r="K319" s="62" t="n">
        <v>125.76</v>
      </c>
      <c r="L319" s="42" t="n">
        <v>3772.94</v>
      </c>
      <c r="M319" s="43" t="n">
        <f aca="false">IF(H319="",F319*K319,H319*K319)</f>
        <v>3772.8</v>
      </c>
      <c r="N319" s="66" t="n">
        <f aca="false">M319-L319</f>
        <v>-0.139999999999873</v>
      </c>
      <c r="O319" s="102" t="s">
        <v>999</v>
      </c>
      <c r="P319" s="67" t="s">
        <v>1221</v>
      </c>
      <c r="Q319" s="103"/>
      <c r="R319" s="104" t="str">
        <f aca="false">HYPERLINK("#'Painel'!B384","→ 384")</f>
        <v>→ 384</v>
      </c>
    </row>
    <row r="320" customFormat="false" ht="15" hidden="false" customHeight="false" outlineLevel="0" collapsed="false">
      <c r="B320" s="97" t="n">
        <v>304</v>
      </c>
      <c r="C320" s="40" t="s">
        <v>687</v>
      </c>
      <c r="D320" s="98" t="s">
        <v>688</v>
      </c>
      <c r="E320" s="40" t="s">
        <v>686</v>
      </c>
      <c r="F320" s="64" t="n">
        <v>2</v>
      </c>
      <c r="G320" s="31"/>
      <c r="H320" s="108"/>
      <c r="I320" s="100" t="str">
        <f aca="false">IF(H320="","",H320-F320)</f>
        <v/>
      </c>
      <c r="J320" s="101" t="str">
        <f aca="false">IF(OR(H320="",F320=0),"",H320/F320-1)</f>
        <v/>
      </c>
      <c r="K320" s="62" t="n">
        <v>1111.05</v>
      </c>
      <c r="L320" s="42" t="n">
        <v>2222.1</v>
      </c>
      <c r="M320" s="43" t="n">
        <f aca="false">IF(H320="",F320*K320,H320*K320)</f>
        <v>2222.1</v>
      </c>
      <c r="N320" s="66" t="n">
        <f aca="false">M320-L320</f>
        <v>0</v>
      </c>
      <c r="O320" s="102" t="s">
        <v>999</v>
      </c>
      <c r="P320" s="67" t="s">
        <v>1221</v>
      </c>
      <c r="Q320" s="103"/>
      <c r="R320" s="104" t="str">
        <f aca="false">HYPERLINK("#'Painel'!B385","→ 385")</f>
        <v>→ 385</v>
      </c>
    </row>
    <row r="321" customFormat="false" ht="15" hidden="false" customHeight="false" outlineLevel="0" collapsed="false">
      <c r="B321" s="97" t="n">
        <v>305</v>
      </c>
      <c r="C321" s="40" t="s">
        <v>689</v>
      </c>
      <c r="D321" s="98" t="s">
        <v>690</v>
      </c>
      <c r="E321" s="40" t="s">
        <v>686</v>
      </c>
      <c r="F321" s="64" t="n">
        <v>2</v>
      </c>
      <c r="G321" s="31"/>
      <c r="H321" s="108"/>
      <c r="I321" s="100" t="str">
        <f aca="false">IF(H321="","",H321-F321)</f>
        <v/>
      </c>
      <c r="J321" s="101" t="str">
        <f aca="false">IF(OR(H321="",F321=0),"",H321/F321-1)</f>
        <v/>
      </c>
      <c r="K321" s="62" t="n">
        <v>9.01</v>
      </c>
      <c r="L321" s="42" t="n">
        <v>18.02</v>
      </c>
      <c r="M321" s="43" t="n">
        <f aca="false">IF(H321="",F321*K321,H321*K321)</f>
        <v>18.02</v>
      </c>
      <c r="N321" s="66" t="n">
        <f aca="false">M321-L321</f>
        <v>0</v>
      </c>
      <c r="O321" s="102" t="s">
        <v>999</v>
      </c>
      <c r="P321" s="67" t="s">
        <v>1221</v>
      </c>
      <c r="Q321" s="103"/>
      <c r="R321" s="104" t="str">
        <f aca="false">HYPERLINK("#'Painel'!B386","→ 386")</f>
        <v>→ 386</v>
      </c>
    </row>
    <row r="322" customFormat="false" ht="15" hidden="false" customHeight="false" outlineLevel="0" collapsed="false">
      <c r="B322" s="97" t="n">
        <v>306</v>
      </c>
      <c r="C322" s="40" t="s">
        <v>691</v>
      </c>
      <c r="D322" s="98" t="s">
        <v>692</v>
      </c>
      <c r="E322" s="40" t="s">
        <v>686</v>
      </c>
      <c r="F322" s="64" t="n">
        <v>81</v>
      </c>
      <c r="G322" s="31"/>
      <c r="H322" s="108"/>
      <c r="I322" s="100" t="str">
        <f aca="false">IF(H322="","",H322-F322)</f>
        <v/>
      </c>
      <c r="J322" s="101" t="str">
        <f aca="false">IF(OR(H322="",F322=0),"",H322/F322-1)</f>
        <v/>
      </c>
      <c r="K322" s="62" t="n">
        <v>8.88</v>
      </c>
      <c r="L322" s="42" t="n">
        <v>719.25</v>
      </c>
      <c r="M322" s="43" t="n">
        <f aca="false">IF(H322="",F322*K322,H322*K322)</f>
        <v>719.28</v>
      </c>
      <c r="N322" s="66" t="n">
        <f aca="false">M322-L322</f>
        <v>0.0300000000000864</v>
      </c>
      <c r="O322" s="102" t="s">
        <v>999</v>
      </c>
      <c r="P322" s="67" t="s">
        <v>1221</v>
      </c>
      <c r="Q322" s="103"/>
      <c r="R322" s="104" t="str">
        <f aca="false">HYPERLINK("#'Painel'!B387","→ 387")</f>
        <v>→ 387</v>
      </c>
    </row>
    <row r="323" customFormat="false" ht="15" hidden="false" customHeight="false" outlineLevel="0" collapsed="false">
      <c r="B323" s="97" t="n">
        <v>307</v>
      </c>
      <c r="C323" s="40" t="s">
        <v>693</v>
      </c>
      <c r="D323" s="98" t="s">
        <v>694</v>
      </c>
      <c r="E323" s="40" t="s">
        <v>695</v>
      </c>
      <c r="F323" s="64" t="n">
        <v>2</v>
      </c>
      <c r="G323" s="31"/>
      <c r="H323" s="108"/>
      <c r="I323" s="100" t="str">
        <f aca="false">IF(H323="","",H323-F323)</f>
        <v/>
      </c>
      <c r="J323" s="101" t="str">
        <f aca="false">IF(OR(H323="",F323=0),"",H323/F323-1)</f>
        <v/>
      </c>
      <c r="K323" s="62" t="n">
        <v>31.43</v>
      </c>
      <c r="L323" s="42" t="n">
        <v>62.85</v>
      </c>
      <c r="M323" s="43" t="n">
        <f aca="false">IF(H323="",F323*K323,H323*K323)</f>
        <v>62.86</v>
      </c>
      <c r="N323" s="66" t="n">
        <f aca="false">M323-L323</f>
        <v>0.00999999999999801</v>
      </c>
      <c r="O323" s="102" t="s">
        <v>999</v>
      </c>
      <c r="P323" s="67" t="s">
        <v>1221</v>
      </c>
      <c r="Q323" s="103"/>
      <c r="R323" s="104" t="str">
        <f aca="false">HYPERLINK("#'Painel'!B388","→ 388")</f>
        <v>→ 388</v>
      </c>
    </row>
    <row r="324" customFormat="false" ht="15" hidden="false" customHeight="false" outlineLevel="0" collapsed="false">
      <c r="B324" s="97" t="n">
        <v>308</v>
      </c>
      <c r="C324" s="40" t="s">
        <v>696</v>
      </c>
      <c r="D324" s="98" t="s">
        <v>697</v>
      </c>
      <c r="E324" s="40" t="s">
        <v>176</v>
      </c>
      <c r="F324" s="64" t="n">
        <v>877</v>
      </c>
      <c r="G324" s="31"/>
      <c r="H324" s="108"/>
      <c r="I324" s="100" t="str">
        <f aca="false">IF(H324="","",H324-F324)</f>
        <v/>
      </c>
      <c r="J324" s="101" t="str">
        <f aca="false">IF(OR(H324="",F324=0),"",H324/F324-1)</f>
        <v/>
      </c>
      <c r="K324" s="62" t="n">
        <v>10.37</v>
      </c>
      <c r="L324" s="42" t="n">
        <v>9094.33</v>
      </c>
      <c r="M324" s="43" t="n">
        <f aca="false">IF(H324="",F324*K324,H324*K324)</f>
        <v>9094.49</v>
      </c>
      <c r="N324" s="66" t="n">
        <f aca="false">M324-L324</f>
        <v>0.159999999999854</v>
      </c>
      <c r="O324" s="102" t="s">
        <v>999</v>
      </c>
      <c r="P324" s="67" t="s">
        <v>1221</v>
      </c>
      <c r="Q324" s="103"/>
      <c r="R324" s="104" t="str">
        <f aca="false">HYPERLINK("#'Painel'!B389","→ 389")</f>
        <v>→ 389</v>
      </c>
    </row>
    <row r="325" customFormat="false" ht="15" hidden="false" customHeight="false" outlineLevel="0" collapsed="false">
      <c r="B325" s="97" t="n">
        <v>309</v>
      </c>
      <c r="C325" s="40" t="s">
        <v>698</v>
      </c>
      <c r="D325" s="98" t="s">
        <v>699</v>
      </c>
      <c r="E325" s="40" t="s">
        <v>700</v>
      </c>
      <c r="F325" s="64" t="n">
        <v>1</v>
      </c>
      <c r="G325" s="31"/>
      <c r="H325" s="108"/>
      <c r="I325" s="100" t="str">
        <f aca="false">IF(H325="","",H325-F325)</f>
        <v/>
      </c>
      <c r="J325" s="101" t="str">
        <f aca="false">IF(OR(H325="",F325=0),"",H325/F325-1)</f>
        <v/>
      </c>
      <c r="K325" s="62" t="n">
        <v>105.55</v>
      </c>
      <c r="L325" s="42" t="n">
        <v>105.54</v>
      </c>
      <c r="M325" s="43" t="n">
        <f aca="false">IF(H325="",F325*K325,H325*K325)</f>
        <v>105.55</v>
      </c>
      <c r="N325" s="66" t="n">
        <f aca="false">M325-L325</f>
        <v>0.00999999999999091</v>
      </c>
      <c r="O325" s="102" t="s">
        <v>999</v>
      </c>
      <c r="P325" s="67" t="s">
        <v>1221</v>
      </c>
      <c r="Q325" s="103"/>
      <c r="R325" s="104" t="str">
        <f aca="false">HYPERLINK("#'Painel'!B390","→ 390")</f>
        <v>→ 390</v>
      </c>
    </row>
    <row r="326" customFormat="false" ht="15" hidden="false" customHeight="false" outlineLevel="0" collapsed="false">
      <c r="B326" s="97" t="n">
        <v>310</v>
      </c>
      <c r="C326" s="40" t="s">
        <v>701</v>
      </c>
      <c r="D326" s="98" t="s">
        <v>702</v>
      </c>
      <c r="E326" s="40" t="s">
        <v>176</v>
      </c>
      <c r="F326" s="64" t="n">
        <v>6</v>
      </c>
      <c r="G326" s="31"/>
      <c r="H326" s="108"/>
      <c r="I326" s="100" t="str">
        <f aca="false">IF(H326="","",H326-F326)</f>
        <v/>
      </c>
      <c r="J326" s="101" t="str">
        <f aca="false">IF(OR(H326="",F326=0),"",H326/F326-1)</f>
        <v/>
      </c>
      <c r="K326" s="62" t="n">
        <v>2.19</v>
      </c>
      <c r="L326" s="42" t="n">
        <v>13.16</v>
      </c>
      <c r="M326" s="43" t="n">
        <f aca="false">IF(H326="",F326*K326,H326*K326)</f>
        <v>13.14</v>
      </c>
      <c r="N326" s="66" t="n">
        <f aca="false">M326-L326</f>
        <v>-0.0199999999999996</v>
      </c>
      <c r="O326" s="102" t="s">
        <v>999</v>
      </c>
      <c r="P326" s="67" t="s">
        <v>1221</v>
      </c>
      <c r="Q326" s="103"/>
      <c r="R326" s="104" t="str">
        <f aca="false">HYPERLINK("#'Painel'!B391","→ 391")</f>
        <v>→ 391</v>
      </c>
    </row>
    <row r="327" customFormat="false" ht="15" hidden="false" customHeight="false" outlineLevel="0" collapsed="false">
      <c r="B327" s="97" t="n">
        <v>311</v>
      </c>
      <c r="C327" s="40" t="s">
        <v>703</v>
      </c>
      <c r="D327" s="98" t="s">
        <v>704</v>
      </c>
      <c r="E327" s="40" t="s">
        <v>700</v>
      </c>
      <c r="F327" s="64" t="n">
        <v>13</v>
      </c>
      <c r="G327" s="31"/>
      <c r="H327" s="108"/>
      <c r="I327" s="100" t="str">
        <f aca="false">IF(H327="","",H327-F327)</f>
        <v/>
      </c>
      <c r="J327" s="101" t="str">
        <f aca="false">IF(OR(H327="",F327=0),"",H327/F327-1)</f>
        <v/>
      </c>
      <c r="K327" s="62" t="n">
        <v>16.13</v>
      </c>
      <c r="L327" s="42" t="n">
        <v>209.64</v>
      </c>
      <c r="M327" s="43" t="n">
        <f aca="false">IF(H327="",F327*K327,H327*K327)</f>
        <v>209.69</v>
      </c>
      <c r="N327" s="66" t="n">
        <f aca="false">M327-L327</f>
        <v>0.0500000000000114</v>
      </c>
      <c r="O327" s="102" t="s">
        <v>999</v>
      </c>
      <c r="P327" s="67" t="s">
        <v>1221</v>
      </c>
      <c r="Q327" s="103"/>
      <c r="R327" s="104" t="str">
        <f aca="false">HYPERLINK("#'Painel'!B392","→ 392")</f>
        <v>→ 392</v>
      </c>
    </row>
    <row r="328" customFormat="false" ht="15" hidden="false" customHeight="false" outlineLevel="0" collapsed="false">
      <c r="B328" s="97" t="n">
        <v>312</v>
      </c>
      <c r="C328" s="40" t="s">
        <v>705</v>
      </c>
      <c r="D328" s="98" t="s">
        <v>706</v>
      </c>
      <c r="E328" s="40" t="s">
        <v>686</v>
      </c>
      <c r="F328" s="64" t="n">
        <v>35</v>
      </c>
      <c r="G328" s="31"/>
      <c r="H328" s="108"/>
      <c r="I328" s="100" t="str">
        <f aca="false">IF(H328="","",H328-F328)</f>
        <v/>
      </c>
      <c r="J328" s="101" t="str">
        <f aca="false">IF(OR(H328="",F328=0),"",H328/F328-1)</f>
        <v/>
      </c>
      <c r="K328" s="62" t="n">
        <v>7.43</v>
      </c>
      <c r="L328" s="42" t="n">
        <v>260.06</v>
      </c>
      <c r="M328" s="43" t="n">
        <f aca="false">IF(H328="",F328*K328,H328*K328)</f>
        <v>260.05</v>
      </c>
      <c r="N328" s="66" t="n">
        <f aca="false">M328-L328</f>
        <v>-0.00999999999999091</v>
      </c>
      <c r="O328" s="102" t="s">
        <v>999</v>
      </c>
      <c r="P328" s="67" t="s">
        <v>1221</v>
      </c>
      <c r="Q328" s="103"/>
      <c r="R328" s="104" t="str">
        <f aca="false">HYPERLINK("#'Painel'!B393","→ 393")</f>
        <v>→ 393</v>
      </c>
    </row>
    <row r="329" customFormat="false" ht="15" hidden="false" customHeight="false" outlineLevel="0" collapsed="false">
      <c r="B329" s="97" t="n">
        <v>313</v>
      </c>
      <c r="C329" s="40" t="s">
        <v>707</v>
      </c>
      <c r="D329" s="98" t="s">
        <v>708</v>
      </c>
      <c r="E329" s="40" t="s">
        <v>686</v>
      </c>
      <c r="F329" s="64" t="n">
        <v>35</v>
      </c>
      <c r="G329" s="31"/>
      <c r="H329" s="108"/>
      <c r="I329" s="100" t="str">
        <f aca="false">IF(H329="","",H329-F329)</f>
        <v/>
      </c>
      <c r="J329" s="101" t="str">
        <f aca="false">IF(OR(H329="",F329=0),"",H329/F329-1)</f>
        <v/>
      </c>
      <c r="K329" s="62" t="n">
        <v>132.79</v>
      </c>
      <c r="L329" s="42" t="n">
        <v>4647.54</v>
      </c>
      <c r="M329" s="43" t="n">
        <f aca="false">IF(H329="",F329*K329,H329*K329)</f>
        <v>4647.65</v>
      </c>
      <c r="N329" s="66" t="n">
        <f aca="false">M329-L329</f>
        <v>0.109999999999673</v>
      </c>
      <c r="O329" s="102" t="s">
        <v>999</v>
      </c>
      <c r="P329" s="67" t="s">
        <v>1221</v>
      </c>
      <c r="Q329" s="103"/>
      <c r="R329" s="104" t="str">
        <f aca="false">HYPERLINK("#'Painel'!B394","→ 394")</f>
        <v>→ 394</v>
      </c>
    </row>
    <row r="330" customFormat="false" ht="15" hidden="false" customHeight="false" outlineLevel="0" collapsed="false">
      <c r="B330" s="97" t="n">
        <v>314</v>
      </c>
      <c r="C330" s="40" t="s">
        <v>709</v>
      </c>
      <c r="D330" s="98" t="s">
        <v>710</v>
      </c>
      <c r="E330" s="40" t="s">
        <v>80</v>
      </c>
      <c r="F330" s="64" t="n">
        <v>21</v>
      </c>
      <c r="G330" s="31"/>
      <c r="H330" s="108"/>
      <c r="I330" s="100" t="str">
        <f aca="false">IF(H330="","",H330-F330)</f>
        <v/>
      </c>
      <c r="J330" s="101" t="str">
        <f aca="false">IF(OR(H330="",F330=0),"",H330/F330-1)</f>
        <v/>
      </c>
      <c r="K330" s="62" t="n">
        <v>1140.56</v>
      </c>
      <c r="L330" s="42" t="n">
        <v>23951.72</v>
      </c>
      <c r="M330" s="43" t="n">
        <f aca="false">IF(H330="",F330*K330,H330*K330)</f>
        <v>23951.76</v>
      </c>
      <c r="N330" s="66" t="n">
        <f aca="false">M330-L330</f>
        <v>0.0399999999972351</v>
      </c>
      <c r="O330" s="102" t="s">
        <v>999</v>
      </c>
      <c r="P330" s="67" t="s">
        <v>1221</v>
      </c>
      <c r="Q330" s="103"/>
      <c r="R330" s="104" t="str">
        <f aca="false">HYPERLINK("#'Painel'!B395","→ 395")</f>
        <v>→ 395</v>
      </c>
    </row>
    <row r="331" customFormat="false" ht="15" hidden="false" customHeight="false" outlineLevel="0" collapsed="false">
      <c r="B331" s="97" t="n">
        <v>315</v>
      </c>
      <c r="C331" s="40" t="s">
        <v>711</v>
      </c>
      <c r="D331" s="98" t="s">
        <v>712</v>
      </c>
      <c r="E331" s="40" t="s">
        <v>80</v>
      </c>
      <c r="F331" s="64" t="n">
        <v>11</v>
      </c>
      <c r="G331" s="31"/>
      <c r="H331" s="108"/>
      <c r="I331" s="100" t="str">
        <f aca="false">IF(H331="","",H331-F331)</f>
        <v/>
      </c>
      <c r="J331" s="101" t="str">
        <f aca="false">IF(OR(H331="",F331=0),"",H331/F331-1)</f>
        <v/>
      </c>
      <c r="K331" s="62" t="n">
        <v>2064.86</v>
      </c>
      <c r="L331" s="42" t="n">
        <v>22713.47</v>
      </c>
      <c r="M331" s="43" t="n">
        <f aca="false">IF(H331="",F331*K331,H331*K331)</f>
        <v>22713.46</v>
      </c>
      <c r="N331" s="66" t="n">
        <f aca="false">M331-L331</f>
        <v>-0.00999999999839929</v>
      </c>
      <c r="O331" s="102" t="s">
        <v>999</v>
      </c>
      <c r="P331" s="67" t="s">
        <v>1221</v>
      </c>
      <c r="Q331" s="103"/>
      <c r="R331" s="104" t="str">
        <f aca="false">HYPERLINK("#'Painel'!B396","→ 396")</f>
        <v>→ 396</v>
      </c>
    </row>
    <row r="332" customFormat="false" ht="15" hidden="false" customHeight="false" outlineLevel="0" collapsed="false">
      <c r="B332" s="97" t="n">
        <v>316</v>
      </c>
      <c r="C332" s="40" t="s">
        <v>713</v>
      </c>
      <c r="D332" s="98" t="s">
        <v>714</v>
      </c>
      <c r="E332" s="40" t="s">
        <v>80</v>
      </c>
      <c r="F332" s="64" t="n">
        <v>25</v>
      </c>
      <c r="G332" s="31"/>
      <c r="H332" s="108"/>
      <c r="I332" s="100" t="str">
        <f aca="false">IF(H332="","",H332-F332)</f>
        <v/>
      </c>
      <c r="J332" s="101" t="str">
        <f aca="false">IF(OR(H332="",F332=0),"",H332/F332-1)</f>
        <v/>
      </c>
      <c r="K332" s="62" t="n">
        <v>4919.63</v>
      </c>
      <c r="L332" s="42" t="n">
        <v>122990.64</v>
      </c>
      <c r="M332" s="43" t="n">
        <f aca="false">IF(H332="",F332*K332,H332*K332)</f>
        <v>122990.75</v>
      </c>
      <c r="N332" s="66" t="n">
        <f aca="false">M332-L332</f>
        <v>0.110000000000582</v>
      </c>
      <c r="O332" s="102" t="s">
        <v>999</v>
      </c>
      <c r="P332" s="67" t="s">
        <v>1221</v>
      </c>
      <c r="Q332" s="103"/>
      <c r="R332" s="104" t="str">
        <f aca="false">HYPERLINK("#'Painel'!B397","→ 397")</f>
        <v>→ 397</v>
      </c>
    </row>
    <row r="333" customFormat="false" ht="15" hidden="false" customHeight="false" outlineLevel="0" collapsed="false">
      <c r="B333" s="97" t="n">
        <v>317</v>
      </c>
      <c r="C333" s="40" t="s">
        <v>715</v>
      </c>
      <c r="D333" s="98" t="s">
        <v>716</v>
      </c>
      <c r="E333" s="40" t="s">
        <v>80</v>
      </c>
      <c r="F333" s="64" t="n">
        <v>1</v>
      </c>
      <c r="G333" s="31"/>
      <c r="H333" s="108"/>
      <c r="I333" s="100" t="str">
        <f aca="false">IF(H333="","",H333-F333)</f>
        <v/>
      </c>
      <c r="J333" s="101" t="str">
        <f aca="false">IF(OR(H333="",F333=0),"",H333/F333-1)</f>
        <v/>
      </c>
      <c r="K333" s="62" t="n">
        <v>4052.53</v>
      </c>
      <c r="L333" s="42" t="n">
        <v>4052.53</v>
      </c>
      <c r="M333" s="43" t="n">
        <f aca="false">IF(H333="",F333*K333,H333*K333)</f>
        <v>4052.53</v>
      </c>
      <c r="N333" s="66" t="n">
        <f aca="false">M333-L333</f>
        <v>0</v>
      </c>
      <c r="O333" s="102" t="s">
        <v>999</v>
      </c>
      <c r="P333" s="67" t="s">
        <v>1221</v>
      </c>
      <c r="Q333" s="103"/>
      <c r="R333" s="104" t="str">
        <f aca="false">HYPERLINK("#'Painel'!B398","→ 398")</f>
        <v>→ 398</v>
      </c>
    </row>
    <row r="334" customFormat="false" ht="15" hidden="false" customHeight="false" outlineLevel="0" collapsed="false">
      <c r="B334" s="97" t="n">
        <v>318</v>
      </c>
      <c r="C334" s="40" t="s">
        <v>717</v>
      </c>
      <c r="D334" s="98" t="s">
        <v>718</v>
      </c>
      <c r="E334" s="40" t="s">
        <v>686</v>
      </c>
      <c r="F334" s="64" t="n">
        <v>32</v>
      </c>
      <c r="G334" s="31"/>
      <c r="H334" s="108"/>
      <c r="I334" s="100" t="str">
        <f aca="false">IF(H334="","",H334-F334)</f>
        <v/>
      </c>
      <c r="J334" s="101" t="str">
        <f aca="false">IF(OR(H334="",F334=0),"",H334/F334-1)</f>
        <v/>
      </c>
      <c r="K334" s="62" t="n">
        <v>43.02</v>
      </c>
      <c r="L334" s="42" t="n">
        <v>1376.65</v>
      </c>
      <c r="M334" s="43" t="n">
        <f aca="false">IF(H334="",F334*K334,H334*K334)</f>
        <v>1376.64</v>
      </c>
      <c r="N334" s="66" t="n">
        <f aca="false">M334-L334</f>
        <v>-0.00999999999999091</v>
      </c>
      <c r="O334" s="102" t="s">
        <v>999</v>
      </c>
      <c r="P334" s="67" t="s">
        <v>1221</v>
      </c>
      <c r="Q334" s="103"/>
      <c r="R334" s="104" t="str">
        <f aca="false">HYPERLINK("#'Painel'!B399","→ 399")</f>
        <v>→ 399</v>
      </c>
    </row>
    <row r="335" customFormat="false" ht="15" hidden="false" customHeight="false" outlineLevel="0" collapsed="false">
      <c r="B335" s="97" t="n">
        <v>319</v>
      </c>
      <c r="C335" s="40" t="s">
        <v>719</v>
      </c>
      <c r="D335" s="98" t="s">
        <v>720</v>
      </c>
      <c r="E335" s="40" t="s">
        <v>686</v>
      </c>
      <c r="F335" s="64" t="n">
        <v>1</v>
      </c>
      <c r="G335" s="31"/>
      <c r="H335" s="108"/>
      <c r="I335" s="100" t="str">
        <f aca="false">IF(H335="","",H335-F335)</f>
        <v/>
      </c>
      <c r="J335" s="101" t="str">
        <f aca="false">IF(OR(H335="",F335=0),"",H335/F335-1)</f>
        <v/>
      </c>
      <c r="K335" s="62" t="n">
        <v>185.75</v>
      </c>
      <c r="L335" s="42" t="n">
        <v>185.74</v>
      </c>
      <c r="M335" s="43" t="n">
        <f aca="false">IF(H335="",F335*K335,H335*K335)</f>
        <v>185.75</v>
      </c>
      <c r="N335" s="66" t="n">
        <f aca="false">M335-L335</f>
        <v>0.00999999999999091</v>
      </c>
      <c r="O335" s="102" t="s">
        <v>999</v>
      </c>
      <c r="P335" s="67" t="s">
        <v>1221</v>
      </c>
      <c r="Q335" s="103"/>
      <c r="R335" s="104" t="str">
        <f aca="false">HYPERLINK("#'Painel'!B400","→ 400")</f>
        <v>→ 400</v>
      </c>
    </row>
    <row r="336" customFormat="false" ht="15" hidden="false" customHeight="false" outlineLevel="0" collapsed="false">
      <c r="B336" s="97" t="n">
        <v>320</v>
      </c>
      <c r="C336" s="40" t="s">
        <v>721</v>
      </c>
      <c r="D336" s="98" t="s">
        <v>722</v>
      </c>
      <c r="E336" s="40" t="s">
        <v>723</v>
      </c>
      <c r="F336" s="64" t="n">
        <v>581.34</v>
      </c>
      <c r="G336" s="31"/>
      <c r="H336" s="108"/>
      <c r="I336" s="100" t="str">
        <f aca="false">IF(H336="","",H336-F336)</f>
        <v/>
      </c>
      <c r="J336" s="101" t="str">
        <f aca="false">IF(OR(H336="",F336=0),"",H336/F336-1)</f>
        <v/>
      </c>
      <c r="K336" s="62" t="n">
        <v>94.1</v>
      </c>
      <c r="L336" s="42" t="n">
        <v>54706.49</v>
      </c>
      <c r="M336" s="43" t="n">
        <f aca="false">IF(H336="",F336*K336,H336*K336)</f>
        <v>54704.094</v>
      </c>
      <c r="N336" s="66" t="n">
        <f aca="false">M336-L336</f>
        <v>-2.39600000000064</v>
      </c>
      <c r="O336" s="102" t="s">
        <v>999</v>
      </c>
      <c r="P336" s="67" t="s">
        <v>1221</v>
      </c>
      <c r="Q336" s="103"/>
      <c r="R336" s="104" t="str">
        <f aca="false">HYPERLINK("#'Painel'!B401","→ 401")</f>
        <v>→ 401</v>
      </c>
    </row>
    <row r="337" customFormat="false" ht="15" hidden="false" customHeight="false" outlineLevel="0" collapsed="false">
      <c r="B337" s="45"/>
      <c r="C337" s="45"/>
      <c r="D337" s="105" t="s">
        <v>724</v>
      </c>
      <c r="E337" s="45"/>
      <c r="F337" s="45"/>
      <c r="G337" s="45"/>
      <c r="H337" s="45"/>
      <c r="I337" s="45"/>
      <c r="J337" s="45"/>
      <c r="K337" s="45"/>
      <c r="L337" s="106" t="n">
        <f aca="false">SUM(L316:L336)</f>
        <v>269878.86</v>
      </c>
      <c r="M337" s="106" t="n">
        <f aca="false">SUM(M316:M336)</f>
        <v>269871.216</v>
      </c>
      <c r="N337" s="107" t="n">
        <f aca="false">SUM(N316:N336)</f>
        <v>-7.64400000000121</v>
      </c>
      <c r="O337" s="45"/>
      <c r="P337" s="45"/>
      <c r="Q337" s="45"/>
      <c r="R337" s="45"/>
    </row>
    <row r="339" customFormat="false" ht="15" hidden="false" customHeight="false" outlineLevel="0" collapsed="false">
      <c r="B339" s="96" t="s">
        <v>1222</v>
      </c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</row>
    <row r="340" customFormat="false" ht="15" hidden="false" customHeight="false" outlineLevel="0" collapsed="false">
      <c r="B340" s="97" t="n">
        <v>325</v>
      </c>
      <c r="C340" s="40" t="s">
        <v>832</v>
      </c>
      <c r="D340" s="98" t="s">
        <v>833</v>
      </c>
      <c r="E340" s="40" t="s">
        <v>834</v>
      </c>
      <c r="F340" s="64" t="n">
        <v>1</v>
      </c>
      <c r="G340" s="31"/>
      <c r="H340" s="61" t="n">
        <f aca="false">1</f>
        <v>1</v>
      </c>
      <c r="I340" s="100" t="n">
        <f aca="false">IF(H340="","",H340-F340)</f>
        <v>0</v>
      </c>
      <c r="J340" s="101" t="n">
        <f aca="false">IF(OR(H340="",F340=0),"",H340/F340-1)</f>
        <v>0</v>
      </c>
      <c r="K340" s="62" t="n">
        <v>242314.51</v>
      </c>
      <c r="L340" s="42" t="n">
        <v>242314.51</v>
      </c>
      <c r="M340" s="43" t="n">
        <f aca="false">IF(H340="",F340*K340,H340*K340)</f>
        <v>242314.51</v>
      </c>
      <c r="N340" s="66" t="n">
        <f aca="false">M340-L340</f>
        <v>0</v>
      </c>
      <c r="O340" s="102" t="str">
        <f aca="false">IF(F340=0,"Sem qtd. no contrato",IF(ABS(H340/F340-1)&lt;=0.02,"Confere (±2%)",IF(H340&gt;F340,"Projeto maior","Projeto menor")))</f>
        <v>Confere (±2%)</v>
      </c>
      <c r="P340" s="67" t="s">
        <v>1223</v>
      </c>
      <c r="Q340" s="103" t="s">
        <v>1224</v>
      </c>
      <c r="R340" s="104" t="str">
        <f aca="false">HYPERLINK("#'Painel'!B466","→ 466")</f>
        <v>→ 466</v>
      </c>
    </row>
    <row r="341" customFormat="false" ht="15" hidden="false" customHeight="false" outlineLevel="0" collapsed="false">
      <c r="B341" s="45"/>
      <c r="C341" s="45"/>
      <c r="D341" s="105" t="s">
        <v>1225</v>
      </c>
      <c r="E341" s="45"/>
      <c r="F341" s="45"/>
      <c r="G341" s="45"/>
      <c r="H341" s="45"/>
      <c r="I341" s="45"/>
      <c r="J341" s="45"/>
      <c r="K341" s="45"/>
      <c r="L341" s="106" t="n">
        <f aca="false">SUM(L340:L340)</f>
        <v>242314.51</v>
      </c>
      <c r="M341" s="106" t="n">
        <f aca="false">SUM(M340:M340)</f>
        <v>242314.51</v>
      </c>
      <c r="N341" s="107" t="n">
        <f aca="false">SUM(N340:N340)</f>
        <v>0</v>
      </c>
      <c r="O341" s="45"/>
      <c r="P341" s="45"/>
      <c r="Q341" s="45"/>
      <c r="R341" s="45"/>
    </row>
    <row r="343" customFormat="false" ht="15" hidden="false" customHeight="false" outlineLevel="0" collapsed="false">
      <c r="B343" s="96" t="s">
        <v>1226</v>
      </c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</row>
    <row r="344" customFormat="false" ht="15" hidden="false" customHeight="false" outlineLevel="0" collapsed="false">
      <c r="B344" s="97" t="n">
        <v>328</v>
      </c>
      <c r="C344" s="40" t="s">
        <v>838</v>
      </c>
      <c r="D344" s="98" t="s">
        <v>839</v>
      </c>
      <c r="E344" s="40" t="s">
        <v>834</v>
      </c>
      <c r="F344" s="64" t="n">
        <v>1</v>
      </c>
      <c r="G344" s="31"/>
      <c r="H344" s="61" t="n">
        <f aca="false">1</f>
        <v>1</v>
      </c>
      <c r="I344" s="100" t="n">
        <f aca="false">IF(H344="","",H344-F344)</f>
        <v>0</v>
      </c>
      <c r="J344" s="101" t="n">
        <f aca="false">IF(OR(H344="",F344=0),"",H344/F344-1)</f>
        <v>0</v>
      </c>
      <c r="K344" s="62" t="n">
        <v>60465.24</v>
      </c>
      <c r="L344" s="42" t="n">
        <v>60465.24</v>
      </c>
      <c r="M344" s="43" t="n">
        <f aca="false">IF(H344="",F344*K344,H344*K344)</f>
        <v>60465.24</v>
      </c>
      <c r="N344" s="66" t="n">
        <f aca="false">M344-L344</f>
        <v>0</v>
      </c>
      <c r="O344" s="102" t="str">
        <f aca="false">IF(F344=0,"Sem qtd. no contrato",IF(ABS(H344/F344-1)&lt;=0.02,"Confere (±2%)",IF(H344&gt;F344,"Projeto maior","Projeto menor")))</f>
        <v>Confere (±2%)</v>
      </c>
      <c r="P344" s="67" t="s">
        <v>1227</v>
      </c>
      <c r="Q344" s="103" t="s">
        <v>1228</v>
      </c>
      <c r="R344" s="104" t="str">
        <f aca="false">HYPERLINK("#'Painel'!B468","→ 468")</f>
        <v>→ 468</v>
      </c>
    </row>
    <row r="345" customFormat="false" ht="15" hidden="false" customHeight="false" outlineLevel="0" collapsed="false">
      <c r="B345" s="45"/>
      <c r="C345" s="45"/>
      <c r="D345" s="105" t="s">
        <v>1229</v>
      </c>
      <c r="E345" s="45"/>
      <c r="F345" s="45"/>
      <c r="G345" s="45"/>
      <c r="H345" s="45"/>
      <c r="I345" s="45"/>
      <c r="J345" s="45"/>
      <c r="K345" s="45"/>
      <c r="L345" s="106" t="n">
        <f aca="false">SUM(L344:L344)</f>
        <v>60465.24</v>
      </c>
      <c r="M345" s="106" t="n">
        <f aca="false">SUM(M344:M344)</f>
        <v>60465.24</v>
      </c>
      <c r="N345" s="107" t="n">
        <f aca="false">SUM(N344:N344)</f>
        <v>0</v>
      </c>
      <c r="O345" s="45"/>
      <c r="P345" s="45"/>
      <c r="Q345" s="45"/>
      <c r="R345" s="45"/>
    </row>
    <row r="347" customFormat="false" ht="15" hidden="false" customHeight="false" outlineLevel="0" collapsed="false">
      <c r="B347" s="96" t="s">
        <v>1230</v>
      </c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</row>
    <row r="348" customFormat="false" ht="15" hidden="false" customHeight="false" outlineLevel="0" collapsed="false">
      <c r="B348" s="97" t="n">
        <v>331</v>
      </c>
      <c r="C348" s="40" t="s">
        <v>841</v>
      </c>
      <c r="D348" s="98" t="s">
        <v>1231</v>
      </c>
      <c r="E348" s="40" t="s">
        <v>176</v>
      </c>
      <c r="F348" s="64" t="n">
        <v>1150</v>
      </c>
      <c r="G348" s="99" t="n">
        <v>4808</v>
      </c>
      <c r="H348" s="61" t="n">
        <f aca="false">Painel!$L$469</f>
        <v>4808</v>
      </c>
      <c r="I348" s="100" t="n">
        <f aca="false">IF(H348="","",H348-F348)</f>
        <v>3658</v>
      </c>
      <c r="J348" s="101" t="n">
        <f aca="false">IF(OR(H348="",F348=0),"",H348/F348-1)</f>
        <v>3.18086956521739</v>
      </c>
      <c r="K348" s="62" t="n">
        <v>4.25</v>
      </c>
      <c r="L348" s="42" t="n">
        <v>4887.5</v>
      </c>
      <c r="M348" s="43" t="n">
        <f aca="false">IF(H348="",F348*K348,H348*K348)</f>
        <v>20434</v>
      </c>
      <c r="N348" s="66" t="n">
        <f aca="false">M348-L348</f>
        <v>15546.5</v>
      </c>
      <c r="O348" s="102" t="str">
        <f aca="false">IF(F348=0,"Sem qtd. no contrato",IF(ABS(H348/F348-1)&lt;=0.02,"Confere (±2%)",IF(H348&gt;F348,"Projeto maior","Projeto menor")))</f>
        <v>Projeto maior</v>
      </c>
      <c r="P348" s="67" t="s">
        <v>1232</v>
      </c>
      <c r="Q348" s="103" t="s">
        <v>1233</v>
      </c>
      <c r="R348" s="104" t="str">
        <f aca="false">HYPERLINK("#'Painel'!B469","→ 469")</f>
        <v>→ 469</v>
      </c>
    </row>
    <row r="349" customFormat="false" ht="15" hidden="false" customHeight="false" outlineLevel="0" collapsed="false">
      <c r="B349" s="97" t="n">
        <v>332</v>
      </c>
      <c r="C349" s="40" t="s">
        <v>844</v>
      </c>
      <c r="D349" s="98" t="s">
        <v>736</v>
      </c>
      <c r="E349" s="40" t="s">
        <v>73</v>
      </c>
      <c r="F349" s="64" t="n">
        <v>5750</v>
      </c>
      <c r="G349" s="31"/>
      <c r="H349" s="61" t="n">
        <f aca="false">(Painel!$L$469)*5</f>
        <v>24040</v>
      </c>
      <c r="I349" s="100" t="n">
        <f aca="false">IF(H349="","",H349-F349)</f>
        <v>18290</v>
      </c>
      <c r="J349" s="101" t="n">
        <f aca="false">IF(OR(H349="",F349=0),"",H349/F349-1)</f>
        <v>3.18086956521739</v>
      </c>
      <c r="K349" s="62" t="n">
        <v>13.61</v>
      </c>
      <c r="L349" s="42" t="n">
        <v>78257.5</v>
      </c>
      <c r="M349" s="43" t="n">
        <f aca="false">IF(H349="",F349*K349,H349*K349)</f>
        <v>327184.4</v>
      </c>
      <c r="N349" s="66" t="n">
        <f aca="false">M349-L349</f>
        <v>248926.9</v>
      </c>
      <c r="O349" s="102" t="str">
        <f aca="false">IF(F349=0,"Sem qtd. no contrato",IF(ABS(H349/F349-1)&lt;=0.02,"Confere (±2%)",IF(H349&gt;F349,"Projeto maior","Projeto menor")))</f>
        <v>Projeto maior</v>
      </c>
      <c r="P349" s="67" t="s">
        <v>1234</v>
      </c>
      <c r="Q349" s="103" t="s">
        <v>1235</v>
      </c>
      <c r="R349" s="104" t="str">
        <f aca="false">HYPERLINK("#'Painel'!B470","→ 470")</f>
        <v>→ 470</v>
      </c>
    </row>
    <row r="350" customFormat="false" ht="15" hidden="false" customHeight="false" outlineLevel="0" collapsed="false">
      <c r="B350" s="97" t="n">
        <v>333</v>
      </c>
      <c r="C350" s="40" t="s">
        <v>846</v>
      </c>
      <c r="D350" s="98" t="s">
        <v>475</v>
      </c>
      <c r="E350" s="40" t="s">
        <v>77</v>
      </c>
      <c r="F350" s="64" t="n">
        <v>6900</v>
      </c>
      <c r="G350" s="31"/>
      <c r="H350" s="61" t="n">
        <f aca="false">(Painel!$L$469)*6</f>
        <v>28848</v>
      </c>
      <c r="I350" s="100" t="n">
        <f aca="false">IF(H350="","",H350-F350)</f>
        <v>21948</v>
      </c>
      <c r="J350" s="101" t="n">
        <f aca="false">IF(OR(H350="",F350=0),"",H350/F350-1)</f>
        <v>3.18086956521739</v>
      </c>
      <c r="K350" s="62" t="n">
        <v>20.76</v>
      </c>
      <c r="L350" s="42" t="n">
        <v>143244</v>
      </c>
      <c r="M350" s="43" t="n">
        <f aca="false">IF(H350="",F350*K350,H350*K350)</f>
        <v>598884.48</v>
      </c>
      <c r="N350" s="66" t="n">
        <f aca="false">M350-L350</f>
        <v>455640.48</v>
      </c>
      <c r="O350" s="102" t="str">
        <f aca="false">IF(F350=0,"Sem qtd. no contrato",IF(ABS(H350/F350-1)&lt;=0.02,"Confere (±2%)",IF(H350&gt;F350,"Projeto maior","Projeto menor")))</f>
        <v>Projeto maior</v>
      </c>
      <c r="P350" s="67" t="s">
        <v>1236</v>
      </c>
      <c r="Q350" s="103" t="s">
        <v>1237</v>
      </c>
      <c r="R350" s="104" t="str">
        <f aca="false">HYPERLINK("#'Painel'!B471","→ 471")</f>
        <v>→ 471</v>
      </c>
    </row>
    <row r="351" customFormat="false" ht="15" hidden="false" customHeight="false" outlineLevel="0" collapsed="false">
      <c r="B351" s="97" t="n">
        <v>334</v>
      </c>
      <c r="C351" s="40" t="s">
        <v>848</v>
      </c>
      <c r="D351" s="98" t="s">
        <v>331</v>
      </c>
      <c r="E351" s="40" t="s">
        <v>77</v>
      </c>
      <c r="F351" s="64" t="n">
        <v>172.5</v>
      </c>
      <c r="G351" s="31"/>
      <c r="H351" s="61" t="n">
        <f aca="false">(Painel!$L$469)*0.15</f>
        <v>721.2</v>
      </c>
      <c r="I351" s="100" t="n">
        <f aca="false">IF(H351="","",H351-F351)</f>
        <v>548.7</v>
      </c>
      <c r="J351" s="101" t="n">
        <f aca="false">IF(OR(H351="",F351=0),"",H351/F351-1)</f>
        <v>3.18086956521739</v>
      </c>
      <c r="K351" s="62" t="n">
        <v>195.31</v>
      </c>
      <c r="L351" s="42" t="n">
        <v>33690.97</v>
      </c>
      <c r="M351" s="43" t="n">
        <f aca="false">IF(H351="",F351*K351,H351*K351)</f>
        <v>140857.572</v>
      </c>
      <c r="N351" s="66" t="n">
        <f aca="false">M351-L351</f>
        <v>107166.602</v>
      </c>
      <c r="O351" s="102" t="str">
        <f aca="false">IF(F351=0,"Sem qtd. no contrato",IF(ABS(H351/F351-1)&lt;=0.02,"Confere (±2%)",IF(H351&gt;F351,"Projeto maior","Projeto menor")))</f>
        <v>Projeto maior</v>
      </c>
      <c r="P351" s="67" t="s">
        <v>1238</v>
      </c>
      <c r="Q351" s="103" t="s">
        <v>1239</v>
      </c>
      <c r="R351" s="104" t="str">
        <f aca="false">HYPERLINK("#'Painel'!B472","→ 472")</f>
        <v>→ 472</v>
      </c>
    </row>
    <row r="352" customFormat="false" ht="15" hidden="false" customHeight="false" outlineLevel="0" collapsed="false">
      <c r="B352" s="97" t="n">
        <v>335</v>
      </c>
      <c r="C352" s="40" t="s">
        <v>850</v>
      </c>
      <c r="D352" s="98" t="s">
        <v>461</v>
      </c>
      <c r="E352" s="40" t="s">
        <v>77</v>
      </c>
      <c r="F352" s="64" t="n">
        <v>6900</v>
      </c>
      <c r="G352" s="31"/>
      <c r="H352" s="61" t="n">
        <f aca="false">(Painel!$L$469)*6</f>
        <v>28848</v>
      </c>
      <c r="I352" s="100" t="n">
        <f aca="false">IF(H352="","",H352-F352)</f>
        <v>21948</v>
      </c>
      <c r="J352" s="101" t="n">
        <f aca="false">IF(OR(H352="",F352=0),"",H352/F352-1)</f>
        <v>3.18086956521739</v>
      </c>
      <c r="K352" s="62" t="n">
        <v>38.19</v>
      </c>
      <c r="L352" s="42" t="n">
        <v>263511</v>
      </c>
      <c r="M352" s="43" t="n">
        <f aca="false">IF(H352="",F352*K352,H352*K352)</f>
        <v>1101705.12</v>
      </c>
      <c r="N352" s="66" t="n">
        <f aca="false">M352-L352</f>
        <v>838194.12</v>
      </c>
      <c r="O352" s="102" t="str">
        <f aca="false">IF(F352=0,"Sem qtd. no contrato",IF(ABS(H352/F352-1)&lt;=0.02,"Confere (±2%)",IF(H352&gt;F352,"Projeto maior","Projeto menor")))</f>
        <v>Projeto maior</v>
      </c>
      <c r="P352" s="67" t="s">
        <v>1236</v>
      </c>
      <c r="Q352" s="103" t="s">
        <v>1237</v>
      </c>
      <c r="R352" s="104" t="str">
        <f aca="false">HYPERLINK("#'Painel'!B473","→ 473")</f>
        <v>→ 473</v>
      </c>
    </row>
    <row r="353" customFormat="false" ht="15" hidden="false" customHeight="false" outlineLevel="0" collapsed="false">
      <c r="B353" s="45"/>
      <c r="C353" s="45"/>
      <c r="D353" s="105" t="s">
        <v>1240</v>
      </c>
      <c r="E353" s="45"/>
      <c r="F353" s="45"/>
      <c r="G353" s="45"/>
      <c r="H353" s="45"/>
      <c r="I353" s="45"/>
      <c r="J353" s="45"/>
      <c r="K353" s="45"/>
      <c r="L353" s="106" t="n">
        <f aca="false">SUM(L348:L352)</f>
        <v>523590.97</v>
      </c>
      <c r="M353" s="106" t="n">
        <f aca="false">SUM(M348:M352)</f>
        <v>2189065.572</v>
      </c>
      <c r="N353" s="107" t="n">
        <f aca="false">SUM(N348:N352)</f>
        <v>1665474.602</v>
      </c>
      <c r="O353" s="45"/>
      <c r="P353" s="45"/>
      <c r="Q353" s="45"/>
      <c r="R353" s="45"/>
    </row>
    <row r="355" customFormat="false" ht="15" hidden="false" customHeight="false" outlineLevel="0" collapsed="false">
      <c r="B355" s="96" t="s">
        <v>1241</v>
      </c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</row>
    <row r="356" customFormat="false" ht="15" hidden="false" customHeight="false" outlineLevel="0" collapsed="false">
      <c r="B356" s="97" t="n">
        <v>338</v>
      </c>
      <c r="C356" s="40" t="s">
        <v>852</v>
      </c>
      <c r="D356" s="98" t="s">
        <v>853</v>
      </c>
      <c r="E356" s="40" t="s">
        <v>80</v>
      </c>
      <c r="F356" s="64" t="n">
        <v>1</v>
      </c>
      <c r="G356" s="31"/>
      <c r="H356" s="108"/>
      <c r="I356" s="100" t="str">
        <f aca="false">IF(H356="","",H356-F356)</f>
        <v/>
      </c>
      <c r="J356" s="101" t="str">
        <f aca="false">IF(OR(H356="",F356=0),"",H356/F356-1)</f>
        <v/>
      </c>
      <c r="K356" s="62" t="n">
        <v>1273947.04</v>
      </c>
      <c r="L356" s="42" t="n">
        <v>1273947.04</v>
      </c>
      <c r="M356" s="43" t="n">
        <f aca="false">IF(H356="",F356*K356,H356*K356)</f>
        <v>1273947.04</v>
      </c>
      <c r="N356" s="66" t="n">
        <f aca="false">M356-L356</f>
        <v>0</v>
      </c>
      <c r="O356" s="102" t="s">
        <v>1242</v>
      </c>
      <c r="P356" s="67" t="s">
        <v>1243</v>
      </c>
      <c r="Q356" s="103"/>
      <c r="R356" s="104" t="str">
        <f aca="false">HYPERLINK("#'Painel'!B475","→ 475")</f>
        <v>→ 475</v>
      </c>
    </row>
    <row r="357" customFormat="false" ht="15" hidden="false" customHeight="false" outlineLevel="0" collapsed="false">
      <c r="B357" s="45"/>
      <c r="C357" s="45"/>
      <c r="D357" s="105" t="s">
        <v>1244</v>
      </c>
      <c r="E357" s="45"/>
      <c r="F357" s="45"/>
      <c r="G357" s="45"/>
      <c r="H357" s="45"/>
      <c r="I357" s="45"/>
      <c r="J357" s="45"/>
      <c r="K357" s="45"/>
      <c r="L357" s="106" t="n">
        <f aca="false">SUM(L356:L356)</f>
        <v>1273947.04</v>
      </c>
      <c r="M357" s="106" t="n">
        <f aca="false">SUM(M356:M356)</f>
        <v>1273947.04</v>
      </c>
      <c r="N357" s="107" t="n">
        <f aca="false">SUM(N356:N356)</f>
        <v>0</v>
      </c>
      <c r="O357" s="45"/>
      <c r="P357" s="45"/>
      <c r="Q357" s="45"/>
      <c r="R357" s="45"/>
    </row>
    <row r="359" customFormat="false" ht="21.75" hidden="false" customHeight="true" outlineLevel="0" collapsed="false">
      <c r="B359" s="3"/>
      <c r="C359" s="3"/>
      <c r="D359" s="109" t="s">
        <v>1245</v>
      </c>
      <c r="E359" s="3"/>
      <c r="F359" s="3"/>
      <c r="G359" s="3"/>
      <c r="H359" s="3"/>
      <c r="I359" s="3"/>
      <c r="J359" s="3"/>
      <c r="K359" s="3"/>
      <c r="L359" s="81" t="n">
        <f aca="false">L47+L61+L67+L120+L141+L149+L161+L183+L193+L203+L207+L215+L226+L236+L250+L259+L263+L269+L291+L303+L313+L337+L341+L345+L353+L357</f>
        <v>87300000.04</v>
      </c>
      <c r="M359" s="81" t="n">
        <f aca="false">M47+M61+M67+M120+M141+M149+M161+M183+M193+M203+M207+M215+M226+M236+M250+M259+M263+M269+M291+M303+M313+M337+M341+M345+M353+M357</f>
        <v>85313983.9902435</v>
      </c>
      <c r="N359" s="81" t="n">
        <f aca="false">N47+N61+N67+N120+N141+N149+N161+N183+N193+N203+N207+N215+N226+N236+N250+N259+N263+N269+N291+N303+N313+N337+N341+N345+N353+N357</f>
        <v>-1986016.04975651</v>
      </c>
      <c r="O359" s="3"/>
      <c r="P359" s="3"/>
      <c r="Q359" s="3"/>
      <c r="R359" s="3"/>
    </row>
  </sheetData>
  <autoFilter ref="B11:R358"/>
  <mergeCells count="18">
    <mergeCell ref="B2:Q2"/>
    <mergeCell ref="B3:Q3"/>
    <mergeCell ref="B6:D6"/>
    <mergeCell ref="F6:H6"/>
    <mergeCell ref="I6:L6"/>
    <mergeCell ref="M6:P6"/>
    <mergeCell ref="B7:D7"/>
    <mergeCell ref="F7:H7"/>
    <mergeCell ref="I7:L7"/>
    <mergeCell ref="M7:P7"/>
    <mergeCell ref="B8:D8"/>
    <mergeCell ref="F8:H8"/>
    <mergeCell ref="I8:L8"/>
    <mergeCell ref="M8:P8"/>
    <mergeCell ref="F10:G10"/>
    <mergeCell ref="H10:J10"/>
    <mergeCell ref="K10:N10"/>
    <mergeCell ref="O10:Q10"/>
  </mergeCells>
  <conditionalFormatting sqref="O12:O358">
    <cfRule type="expression" priority="2" aboveAverage="0" equalAverage="0" bottom="0" percent="0" rank="0" text="" dxfId="20">
      <formula>LEFT($O12,7)="Confere"</formula>
    </cfRule>
    <cfRule type="expression" priority="3" aboveAverage="0" equalAverage="0" bottom="0" percent="0" rank="0" text="" dxfId="21">
      <formula>LEFT($O12,13)="Projeto maior"</formula>
    </cfRule>
    <cfRule type="expression" priority="4" aboveAverage="0" equalAverage="0" bottom="0" percent="0" rank="0" text="" dxfId="22">
      <formula>LEFT($O12,13)="Projeto menor"</formula>
    </cfRule>
    <cfRule type="expression" priority="5" aboveAverage="0" equalAverage="0" bottom="0" percent="0" rank="0" text="" dxfId="23">
      <formula>LEFT($O12,14)="Não encontrado"</formula>
    </cfRule>
    <cfRule type="expression" priority="6" aboveAverage="0" equalAverage="0" bottom="0" percent="0" rank="0" text="" dxfId="24">
      <formula>LEFT($O12,14)="Medição mensal"</formula>
    </cfRule>
    <cfRule type="expression" priority="7" aboveAverage="0" equalAverage="0" bottom="0" percent="0" rank="0" text="" dxfId="24">
      <formula>LEFT($O12,11)="Mobilização"</formula>
    </cfRule>
  </conditionalFormatting>
  <conditionalFormatting sqref="J12:J358">
    <cfRule type="expression" priority="8" aboveAverage="0" equalAverage="0" bottom="0" percent="0" rank="0" text="" dxfId="25">
      <formula>AND(ISNUMBER($J12),ABS($J12)&gt;0.2)</formula>
    </cfRule>
  </conditionalFormatting>
  <conditionalFormatting sqref="G12:G358">
    <cfRule type="expression" priority="9" aboveAverage="0" equalAverage="0" bottom="0" percent="0" rank="0" text="" dxfId="26">
      <formula>AND(ISNUMBER($G12),ABS($G12-$F12)&gt;0.005*MAX(1,ABS($F12)))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B2:K6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8" min="6" style="0" width="14"/>
    <col collapsed="false" customWidth="true" hidden="false" outlineLevel="0" max="9" min="9" style="0" width="16"/>
    <col collapsed="false" customWidth="true" hidden="false" outlineLevel="0" max="10" min="10" style="0" width="70"/>
    <col collapsed="false" customWidth="true" hidden="false" outlineLevel="0" max="11" min="11" style="0" width="44"/>
  </cols>
  <sheetData>
    <row r="2" customFormat="false" ht="31.5" hidden="false" customHeight="true" outlineLevel="0" collapsed="false">
      <c r="B2" s="86" t="s">
        <v>1246</v>
      </c>
      <c r="C2" s="86"/>
      <c r="D2" s="86"/>
      <c r="E2" s="86"/>
      <c r="F2" s="86"/>
      <c r="G2" s="86"/>
      <c r="H2" s="86"/>
      <c r="I2" s="86"/>
      <c r="J2" s="86"/>
      <c r="K2" s="86"/>
    </row>
    <row r="3" customFormat="false" ht="15" hidden="false" customHeight="false" outlineLevel="0" collapsed="false">
      <c r="B3" s="4" t="s">
        <v>1247</v>
      </c>
      <c r="C3" s="4"/>
      <c r="D3" s="4"/>
      <c r="E3" s="4"/>
      <c r="F3" s="4"/>
      <c r="G3" s="4"/>
      <c r="H3" s="4"/>
      <c r="I3" s="4"/>
      <c r="J3" s="4"/>
      <c r="K3" s="4"/>
    </row>
    <row r="5" customFormat="false" ht="19.5" hidden="false" customHeight="true" outlineLevel="0" collapsed="false">
      <c r="B5" s="109" t="s">
        <v>1248</v>
      </c>
      <c r="C5" s="3"/>
      <c r="D5" s="3"/>
      <c r="E5" s="3"/>
      <c r="F5" s="3"/>
      <c r="G5" s="3"/>
      <c r="H5" s="3"/>
      <c r="I5" s="3"/>
      <c r="J5" s="3"/>
      <c r="K5" s="3"/>
    </row>
    <row r="6" customFormat="false" ht="27.75" hidden="false" customHeight="true" outlineLevel="0" collapsed="false">
      <c r="B6" s="110" t="s">
        <v>43</v>
      </c>
      <c r="C6" s="110" t="s">
        <v>1249</v>
      </c>
      <c r="D6" s="110" t="s">
        <v>1250</v>
      </c>
      <c r="E6" s="110" t="s">
        <v>57</v>
      </c>
      <c r="F6" s="110" t="s">
        <v>1251</v>
      </c>
      <c r="G6" s="110" t="s">
        <v>1252</v>
      </c>
      <c r="H6" s="110" t="s">
        <v>1253</v>
      </c>
      <c r="I6" s="110" t="s">
        <v>1254</v>
      </c>
      <c r="J6" s="110" t="s">
        <v>1255</v>
      </c>
      <c r="K6" s="110" t="s">
        <v>1256</v>
      </c>
    </row>
    <row r="7" customFormat="false" ht="30" hidden="false" customHeight="true" outlineLevel="0" collapsed="false">
      <c r="B7" s="111" t="n">
        <v>1</v>
      </c>
      <c r="C7" s="112" t="s">
        <v>1257</v>
      </c>
      <c r="D7" s="113" t="s">
        <v>221</v>
      </c>
      <c r="E7" s="114" t="s">
        <v>1258</v>
      </c>
      <c r="F7" s="115" t="n">
        <f aca="false">'Contrato × Projeto'!F64</f>
        <v>1068.62</v>
      </c>
      <c r="G7" s="116" t="n">
        <v>1068.64</v>
      </c>
      <c r="H7" s="117" t="n">
        <f aca="false">'Contrato × Projeto'!H64</f>
        <v>857.691520416005</v>
      </c>
      <c r="I7" s="118" t="n">
        <f aca="false">'Contrato × Projeto'!N64</f>
        <v>-1170178.46761211</v>
      </c>
      <c r="J7" s="114" t="s">
        <v>1259</v>
      </c>
      <c r="K7" s="119" t="s">
        <v>1260</v>
      </c>
    </row>
    <row r="8" customFormat="false" ht="42" hidden="false" customHeight="true" outlineLevel="0" collapsed="false">
      <c r="B8" s="111" t="n">
        <v>2</v>
      </c>
      <c r="C8" s="112" t="s">
        <v>1261</v>
      </c>
      <c r="D8" s="113" t="s">
        <v>1262</v>
      </c>
      <c r="E8" s="114" t="s">
        <v>1263</v>
      </c>
      <c r="F8" s="120" t="s">
        <v>1264</v>
      </c>
      <c r="G8" s="31"/>
      <c r="H8" s="120" t="s">
        <v>1264</v>
      </c>
      <c r="I8" s="118" t="n">
        <f aca="false">'Contrato × Projeto'!N127+'Contrato × Projeto'!N133+'Contrato × Projeto'!N123+'Contrato × Projeto'!N124+'Contrato × Projeto'!N126+'Contrato × Projeto'!N129</f>
        <v>-841134.960218</v>
      </c>
      <c r="J8" s="114" t="s">
        <v>1265</v>
      </c>
      <c r="K8" s="119" t="s">
        <v>1266</v>
      </c>
    </row>
    <row r="9" customFormat="false" ht="30" hidden="false" customHeight="true" outlineLevel="0" collapsed="false">
      <c r="B9" s="111" t="n">
        <v>3</v>
      </c>
      <c r="C9" s="112" t="s">
        <v>1267</v>
      </c>
      <c r="D9" s="113" t="s">
        <v>742</v>
      </c>
      <c r="E9" s="114" t="s">
        <v>1268</v>
      </c>
      <c r="F9" s="115" t="n">
        <f aca="false">'Contrato × Projeto'!F231</f>
        <v>15906.82</v>
      </c>
      <c r="G9" s="116" t="n">
        <v>27243.64</v>
      </c>
      <c r="H9" s="117" t="n">
        <f aca="false">'Contrato × Projeto'!H231</f>
        <v>27243.64</v>
      </c>
      <c r="I9" s="118" t="n">
        <f aca="false">'Contrato × Projeto'!N231</f>
        <v>488730.3104</v>
      </c>
      <c r="J9" s="114" t="s">
        <v>1269</v>
      </c>
      <c r="K9" s="119" t="s">
        <v>1270</v>
      </c>
    </row>
    <row r="10" customFormat="false" ht="30" hidden="false" customHeight="true" outlineLevel="0" collapsed="false">
      <c r="B10" s="111" t="n">
        <v>4</v>
      </c>
      <c r="C10" s="112" t="s">
        <v>1271</v>
      </c>
      <c r="D10" s="113" t="s">
        <v>272</v>
      </c>
      <c r="E10" s="114" t="s">
        <v>1272</v>
      </c>
      <c r="F10" s="115" t="n">
        <f aca="false">'Contrato × Projeto'!F110</f>
        <v>109</v>
      </c>
      <c r="G10" s="31"/>
      <c r="H10" s="117" t="n">
        <f aca="false">'Contrato × Projeto'!H110</f>
        <v>1767</v>
      </c>
      <c r="I10" s="118" t="n">
        <f aca="false">'Contrato × Projeto'!N110</f>
        <v>204199.28</v>
      </c>
      <c r="J10" s="114" t="s">
        <v>1273</v>
      </c>
      <c r="K10" s="119" t="s">
        <v>1274</v>
      </c>
    </row>
    <row r="11" customFormat="false" ht="30" hidden="false" customHeight="true" outlineLevel="0" collapsed="false">
      <c r="B11" s="111" t="n">
        <v>5</v>
      </c>
      <c r="C11" s="112" t="s">
        <v>944</v>
      </c>
      <c r="D11" s="113" t="s">
        <v>1275</v>
      </c>
      <c r="E11" s="114" t="s">
        <v>1276</v>
      </c>
      <c r="F11" s="120" t="s">
        <v>1264</v>
      </c>
      <c r="G11" s="31"/>
      <c r="H11" s="120" t="s">
        <v>1264</v>
      </c>
      <c r="I11" s="118" t="n">
        <f aca="false">'Contrato × Projeto'!N50+'Contrato × Projeto'!N51+'Contrato × Projeto'!N52</f>
        <v>-916652.928718107</v>
      </c>
      <c r="J11" s="114" t="s">
        <v>1277</v>
      </c>
      <c r="K11" s="119" t="s">
        <v>1278</v>
      </c>
    </row>
    <row r="12" customFormat="false" ht="42" hidden="false" customHeight="true" outlineLevel="0" collapsed="false">
      <c r="B12" s="111" t="n">
        <v>6</v>
      </c>
      <c r="C12" s="112" t="s">
        <v>911</v>
      </c>
      <c r="D12" s="113" t="s">
        <v>1279</v>
      </c>
      <c r="E12" s="114" t="s">
        <v>1280</v>
      </c>
      <c r="F12" s="120" t="s">
        <v>1264</v>
      </c>
      <c r="G12" s="31"/>
      <c r="H12" s="120" t="s">
        <v>1264</v>
      </c>
      <c r="I12" s="118" t="n">
        <f aca="false">'Contrato × Projeto'!N38+'Contrato × Projeto'!N16+'Contrato × Projeto'!N17</f>
        <v>-7212.67466670366</v>
      </c>
      <c r="J12" s="114" t="s">
        <v>1281</v>
      </c>
      <c r="K12" s="119" t="s">
        <v>1282</v>
      </c>
    </row>
    <row r="13" customFormat="false" ht="30" hidden="false" customHeight="true" outlineLevel="0" collapsed="false">
      <c r="B13" s="111" t="n">
        <v>7</v>
      </c>
      <c r="C13" s="112" t="s">
        <v>911</v>
      </c>
      <c r="D13" s="113" t="s">
        <v>1283</v>
      </c>
      <c r="E13" s="114" t="s">
        <v>1284</v>
      </c>
      <c r="F13" s="115" t="n">
        <f aca="false">'Contrato × Projeto'!F37+'Contrato × Projeto'!F38+'Contrato × Projeto'!F39+'Contrato × Projeto'!F40+'Contrato × Projeto'!F41+'Contrato × Projeto'!F42</f>
        <v>14398.41</v>
      </c>
      <c r="G13" s="31"/>
      <c r="H13" s="117" t="n">
        <f aca="false">N('Contrato × Projeto'!H37)+N('Contrato × Projeto'!H38)+N('Contrato × Projeto'!H39)+N('Contrato × Projeto'!H40)+N('Contrato × Projeto'!H41)+N('Contrato × Projeto'!H42)</f>
        <v>17477.5115</v>
      </c>
      <c r="I13" s="118" t="n">
        <f aca="false">'Contrato × Projeto'!N37+'Contrato × Projeto'!N38+'Contrato × Projeto'!N39+'Contrato × Projeto'!N40+'Contrato × Projeto'!N41+'Contrato × Projeto'!N42</f>
        <v>176493.045010736</v>
      </c>
      <c r="J13" s="114" t="s">
        <v>1285</v>
      </c>
      <c r="K13" s="119" t="s">
        <v>1286</v>
      </c>
    </row>
    <row r="14" customFormat="false" ht="30" hidden="false" customHeight="true" outlineLevel="0" collapsed="false">
      <c r="B14" s="111" t="n">
        <v>8</v>
      </c>
      <c r="C14" s="112" t="s">
        <v>911</v>
      </c>
      <c r="D14" s="113" t="s">
        <v>155</v>
      </c>
      <c r="E14" s="114" t="s">
        <v>941</v>
      </c>
      <c r="F14" s="115" t="n">
        <f aca="false">'Contrato × Projeto'!F46</f>
        <v>28703.95</v>
      </c>
      <c r="G14" s="116" t="n">
        <v>27235.29</v>
      </c>
      <c r="H14" s="117" t="n">
        <f aca="false">'Contrato × Projeto'!H46</f>
        <v>27235.294</v>
      </c>
      <c r="I14" s="118" t="n">
        <f aca="false">'Contrato × Projeto'!N46</f>
        <v>-249319.040560001</v>
      </c>
      <c r="J14" s="114" t="s">
        <v>1287</v>
      </c>
      <c r="K14" s="119" t="s">
        <v>1288</v>
      </c>
    </row>
    <row r="15" customFormat="false" ht="42" hidden="false" customHeight="true" outlineLevel="0" collapsed="false">
      <c r="B15" s="111" t="n">
        <v>9</v>
      </c>
      <c r="C15" s="112" t="s">
        <v>1175</v>
      </c>
      <c r="D15" s="113" t="s">
        <v>1289</v>
      </c>
      <c r="E15" s="114" t="s">
        <v>1290</v>
      </c>
      <c r="F15" s="120" t="s">
        <v>1264</v>
      </c>
      <c r="G15" s="31"/>
      <c r="H15" s="120" t="s">
        <v>1264</v>
      </c>
      <c r="I15" s="118" t="n">
        <f aca="false">'Contrato × Projeto'!N266+'Contrato × Projeto'!N268</f>
        <v>-321625.8972</v>
      </c>
      <c r="J15" s="114" t="s">
        <v>1291</v>
      </c>
      <c r="K15" s="119" t="s">
        <v>1292</v>
      </c>
    </row>
    <row r="16" customFormat="false" ht="30" hidden="false" customHeight="true" outlineLevel="0" collapsed="false">
      <c r="B16" s="111" t="n">
        <v>10</v>
      </c>
      <c r="C16" s="112" t="s">
        <v>1293</v>
      </c>
      <c r="D16" s="113" t="s">
        <v>1294</v>
      </c>
      <c r="E16" s="114" t="s">
        <v>1295</v>
      </c>
      <c r="F16" s="120" t="s">
        <v>1264</v>
      </c>
      <c r="G16" s="31"/>
      <c r="H16" s="120" t="s">
        <v>1264</v>
      </c>
      <c r="I16" s="118" t="n">
        <f aca="false">'Contrato × Projeto'!N138+'Contrato × Projeto'!N139+'Contrato × Projeto'!N140</f>
        <v>-403879.975</v>
      </c>
      <c r="J16" s="114" t="s">
        <v>1296</v>
      </c>
      <c r="K16" s="119" t="s">
        <v>1297</v>
      </c>
    </row>
    <row r="17" customFormat="false" ht="30" hidden="false" customHeight="true" outlineLevel="0" collapsed="false">
      <c r="B17" s="111" t="n">
        <v>11</v>
      </c>
      <c r="C17" s="112" t="s">
        <v>1271</v>
      </c>
      <c r="D17" s="113" t="s">
        <v>1298</v>
      </c>
      <c r="E17" s="114" t="s">
        <v>1299</v>
      </c>
      <c r="F17" s="120" t="s">
        <v>1264</v>
      </c>
      <c r="G17" s="31"/>
      <c r="H17" s="120" t="s">
        <v>1264</v>
      </c>
      <c r="I17" s="118" t="n">
        <f aca="false">'Contrato × Projeto'!N99+'Contrato × Projeto'!N95+'Contrato × Projeto'!N135</f>
        <v>-202338.634115015</v>
      </c>
      <c r="J17" s="114" t="s">
        <v>1300</v>
      </c>
      <c r="K17" s="119" t="s">
        <v>1301</v>
      </c>
    </row>
    <row r="18" customFormat="false" ht="30" hidden="false" customHeight="true" outlineLevel="0" collapsed="false">
      <c r="B18" s="111" t="n">
        <v>12</v>
      </c>
      <c r="C18" s="112" t="s">
        <v>1271</v>
      </c>
      <c r="D18" s="113" t="s">
        <v>1302</v>
      </c>
      <c r="E18" s="114" t="s">
        <v>1303</v>
      </c>
      <c r="F18" s="120" t="s">
        <v>1264</v>
      </c>
      <c r="G18" s="31"/>
      <c r="H18" s="120" t="s">
        <v>1264</v>
      </c>
      <c r="I18" s="118" t="n">
        <f aca="false">'Contrato × Projeto'!N136+'Contrato × Projeto'!N137</f>
        <v>95829.445728</v>
      </c>
      <c r="J18" s="114" t="s">
        <v>1304</v>
      </c>
      <c r="K18" s="119" t="s">
        <v>1305</v>
      </c>
    </row>
    <row r="19" customFormat="false" ht="30" hidden="false" customHeight="true" outlineLevel="0" collapsed="false">
      <c r="B19" s="111" t="n">
        <v>13</v>
      </c>
      <c r="C19" s="112" t="s">
        <v>1306</v>
      </c>
      <c r="D19" s="113" t="s">
        <v>1307</v>
      </c>
      <c r="E19" s="114" t="s">
        <v>1308</v>
      </c>
      <c r="F19" s="120" t="s">
        <v>1264</v>
      </c>
      <c r="G19" s="31"/>
      <c r="H19" s="120" t="s">
        <v>1264</v>
      </c>
      <c r="I19" s="118" t="n">
        <f aca="false">'Contrato × Projeto'!N196+'Contrato × Projeto'!N197+'Contrato × Projeto'!N202+'Contrato × Projeto'!N199+'Contrato × Projeto'!N200+'Contrato × Projeto'!N201</f>
        <v>-190780.6635644</v>
      </c>
      <c r="J19" s="114" t="s">
        <v>1309</v>
      </c>
      <c r="K19" s="119" t="s">
        <v>1310</v>
      </c>
    </row>
    <row r="20" customFormat="false" ht="30" hidden="false" customHeight="true" outlineLevel="0" collapsed="false">
      <c r="B20" s="111" t="n">
        <v>14</v>
      </c>
      <c r="C20" s="112" t="s">
        <v>1271</v>
      </c>
      <c r="D20" s="113" t="s">
        <v>1311</v>
      </c>
      <c r="E20" s="114" t="s">
        <v>1312</v>
      </c>
      <c r="F20" s="120" t="s">
        <v>1264</v>
      </c>
      <c r="G20" s="31"/>
      <c r="H20" s="120" t="s">
        <v>1264</v>
      </c>
      <c r="I20" s="118" t="n">
        <f aca="false">'Contrato × Projeto'!N134+'Contrato × Projeto'!N79+'Contrato × Projeto'!N86</f>
        <v>-92915.91</v>
      </c>
      <c r="J20" s="114" t="s">
        <v>1313</v>
      </c>
      <c r="K20" s="119" t="s">
        <v>1314</v>
      </c>
    </row>
    <row r="21" customFormat="false" ht="42" hidden="false" customHeight="true" outlineLevel="0" collapsed="false">
      <c r="B21" s="111" t="n">
        <v>15</v>
      </c>
      <c r="C21" s="112" t="s">
        <v>1315</v>
      </c>
      <c r="D21" s="113" t="s">
        <v>1316</v>
      </c>
      <c r="E21" s="114" t="s">
        <v>1317</v>
      </c>
      <c r="F21" s="120" t="s">
        <v>1264</v>
      </c>
      <c r="G21" s="31"/>
      <c r="H21" s="120" t="s">
        <v>1264</v>
      </c>
      <c r="I21" s="118" t="n">
        <f aca="false">'Contrato × Projeto'!N348+'Contrato × Projeto'!N349+'Contrato × Projeto'!N350+'Contrato × Projeto'!N351+'Contrato × Projeto'!N352</f>
        <v>1665474.602</v>
      </c>
      <c r="J21" s="114" t="s">
        <v>1318</v>
      </c>
      <c r="K21" s="119" t="s">
        <v>1319</v>
      </c>
    </row>
    <row r="22" customFormat="false" ht="30" hidden="false" customHeight="true" outlineLevel="0" collapsed="false">
      <c r="B22" s="111" t="n">
        <v>16</v>
      </c>
      <c r="C22" s="112" t="s">
        <v>1182</v>
      </c>
      <c r="D22" s="113" t="s">
        <v>653</v>
      </c>
      <c r="E22" s="114" t="s">
        <v>1320</v>
      </c>
      <c r="F22" s="115" t="n">
        <f aca="false">'Contrato × Projeto'!F272</f>
        <v>5039</v>
      </c>
      <c r="G22" s="116" t="n">
        <v>5039</v>
      </c>
      <c r="H22" s="117" t="n">
        <f aca="false">'Contrato × Projeto'!H272</f>
        <v>4947</v>
      </c>
      <c r="I22" s="118" t="n">
        <f aca="false">'Contrato × Projeto'!N272</f>
        <v>-49774.7600000002</v>
      </c>
      <c r="J22" s="114" t="s">
        <v>1321</v>
      </c>
      <c r="K22" s="119" t="s">
        <v>1322</v>
      </c>
    </row>
    <row r="23" customFormat="false" ht="30" hidden="false" customHeight="true" outlineLevel="0" collapsed="false">
      <c r="B23" s="111" t="n">
        <v>17</v>
      </c>
      <c r="C23" s="112" t="s">
        <v>1097</v>
      </c>
      <c r="D23" s="113" t="s">
        <v>449</v>
      </c>
      <c r="E23" s="114" t="s">
        <v>1323</v>
      </c>
      <c r="F23" s="115" t="n">
        <f aca="false">'Contrato × Projeto'!F190</f>
        <v>1380</v>
      </c>
      <c r="G23" s="116" t="n">
        <v>1215</v>
      </c>
      <c r="H23" s="117" t="n">
        <f aca="false">'Contrato × Projeto'!H190</f>
        <v>1215</v>
      </c>
      <c r="I23" s="118" t="n">
        <f aca="false">'Contrato × Projeto'!N190</f>
        <v>-1671.45</v>
      </c>
      <c r="J23" s="114" t="s">
        <v>1324</v>
      </c>
      <c r="K23" s="119" t="s">
        <v>1325</v>
      </c>
    </row>
    <row r="24" customFormat="false" ht="15" hidden="false" customHeight="false" outlineLevel="0" collapsed="false">
      <c r="H24" s="121" t="s">
        <v>1326</v>
      </c>
      <c r="I24" s="122" t="n">
        <f aca="false">SUM(I7:I23)</f>
        <v>-1816758.6785156</v>
      </c>
      <c r="J24" s="16" t="str">
        <f aca="false">"Diferença total real − contrato (todos os itens): R$ "&amp;FIXED('Contrato × Projeto'!N359,2)</f>
        <v>Diferença total real − contrato (todos os itens): R$ -1,986,016.05</v>
      </c>
    </row>
    <row r="26" customFormat="false" ht="19.5" hidden="false" customHeight="true" outlineLevel="0" collapsed="false">
      <c r="B26" s="109" t="s">
        <v>1327</v>
      </c>
      <c r="C26" s="3"/>
      <c r="D26" s="3"/>
      <c r="E26" s="3"/>
      <c r="F26" s="3"/>
      <c r="G26" s="3"/>
      <c r="H26" s="3"/>
      <c r="I26" s="3"/>
      <c r="J26" s="3"/>
      <c r="K26" s="3"/>
    </row>
    <row r="27" customFormat="false" ht="27.75" hidden="false" customHeight="true" outlineLevel="0" collapsed="false">
      <c r="B27" s="110" t="s">
        <v>43</v>
      </c>
      <c r="C27" s="110" t="s">
        <v>1249</v>
      </c>
      <c r="D27" s="110" t="s">
        <v>1328</v>
      </c>
      <c r="E27" s="110" t="s">
        <v>57</v>
      </c>
      <c r="F27" s="110" t="s">
        <v>58</v>
      </c>
      <c r="G27" s="110" t="s">
        <v>1329</v>
      </c>
      <c r="H27" s="110" t="s">
        <v>1330</v>
      </c>
      <c r="I27" s="110" t="s">
        <v>1331</v>
      </c>
      <c r="J27" s="110" t="s">
        <v>1332</v>
      </c>
      <c r="K27" s="110" t="s">
        <v>1333</v>
      </c>
    </row>
    <row r="28" customFormat="false" ht="30" hidden="false" customHeight="true" outlineLevel="0" collapsed="false">
      <c r="B28" s="111" t="n">
        <v>1</v>
      </c>
      <c r="C28" s="112" t="s">
        <v>1271</v>
      </c>
      <c r="D28" s="113" t="s">
        <v>1334</v>
      </c>
      <c r="E28" s="114" t="s">
        <v>235</v>
      </c>
      <c r="F28" s="111" t="s">
        <v>176</v>
      </c>
      <c r="G28" s="31"/>
      <c r="H28" s="117" t="n">
        <f aca="false">Painel!$L$120</f>
        <v>1928</v>
      </c>
      <c r="I28" s="123" t="n">
        <f aca="false">H28*176.99</f>
        <v>341236.72</v>
      </c>
      <c r="J28" s="114" t="s">
        <v>1335</v>
      </c>
      <c r="K28" s="119" t="s">
        <v>1336</v>
      </c>
    </row>
    <row r="29" customFormat="false" ht="30" hidden="false" customHeight="true" outlineLevel="0" collapsed="false">
      <c r="B29" s="111" t="n">
        <v>2</v>
      </c>
      <c r="C29" s="112" t="s">
        <v>1271</v>
      </c>
      <c r="D29" s="113" t="s">
        <v>1334</v>
      </c>
      <c r="E29" s="114" t="s">
        <v>237</v>
      </c>
      <c r="F29" s="111" t="s">
        <v>176</v>
      </c>
      <c r="G29" s="31"/>
      <c r="H29" s="117" t="n">
        <f aca="false">Painel!$L$121</f>
        <v>1273</v>
      </c>
      <c r="I29" s="123" t="n">
        <f aca="false">H29*176.99</f>
        <v>225308.27</v>
      </c>
      <c r="J29" s="114" t="s">
        <v>1337</v>
      </c>
      <c r="K29" s="119" t="s">
        <v>1336</v>
      </c>
    </row>
    <row r="30" customFormat="false" ht="30" hidden="false" customHeight="true" outlineLevel="0" collapsed="false">
      <c r="B30" s="111" t="n">
        <v>3</v>
      </c>
      <c r="C30" s="112" t="s">
        <v>1271</v>
      </c>
      <c r="D30" s="113" t="s">
        <v>1338</v>
      </c>
      <c r="E30" s="114" t="s">
        <v>1339</v>
      </c>
      <c r="F30" s="111" t="s">
        <v>176</v>
      </c>
      <c r="G30" s="31"/>
      <c r="H30" s="117" t="n">
        <f aca="false">Painel!$L$136</f>
        <v>1450.47</v>
      </c>
      <c r="I30" s="123" t="n">
        <f aca="false">H30*25.59</f>
        <v>37117.5273</v>
      </c>
      <c r="J30" s="114" t="s">
        <v>1340</v>
      </c>
      <c r="K30" s="119" t="s">
        <v>1341</v>
      </c>
    </row>
    <row r="31" customFormat="false" ht="30" hidden="false" customHeight="true" outlineLevel="0" collapsed="false">
      <c r="B31" s="111" t="n">
        <v>4</v>
      </c>
      <c r="C31" s="112" t="s">
        <v>1293</v>
      </c>
      <c r="D31" s="113" t="s">
        <v>1342</v>
      </c>
      <c r="E31" s="114" t="s">
        <v>1343</v>
      </c>
      <c r="F31" s="111" t="s">
        <v>77</v>
      </c>
      <c r="G31" s="31"/>
      <c r="H31" s="117" t="n">
        <f aca="false">Painel!$L$190</f>
        <v>2752.8</v>
      </c>
      <c r="I31" s="123" t="n">
        <f aca="false">H31*169.76</f>
        <v>467315.328</v>
      </c>
      <c r="J31" s="114" t="s">
        <v>1344</v>
      </c>
      <c r="K31" s="119" t="s">
        <v>1345</v>
      </c>
    </row>
    <row r="32" customFormat="false" ht="30" hidden="false" customHeight="true" outlineLevel="0" collapsed="false">
      <c r="B32" s="111" t="n">
        <v>5</v>
      </c>
      <c r="C32" s="112" t="s">
        <v>1293</v>
      </c>
      <c r="D32" s="113" t="s">
        <v>1342</v>
      </c>
      <c r="E32" s="114" t="s">
        <v>1346</v>
      </c>
      <c r="F32" s="111" t="s">
        <v>73</v>
      </c>
      <c r="G32" s="31"/>
      <c r="H32" s="117" t="n">
        <f aca="false">Painel!$L$191</f>
        <v>7654</v>
      </c>
      <c r="I32" s="123" t="n">
        <f aca="false">H32*10.13</f>
        <v>77535.02</v>
      </c>
      <c r="J32" s="114" t="s">
        <v>1347</v>
      </c>
      <c r="K32" s="119" t="s">
        <v>1348</v>
      </c>
    </row>
    <row r="33" customFormat="false" ht="30" hidden="false" customHeight="true" outlineLevel="0" collapsed="false">
      <c r="B33" s="111" t="n">
        <v>6</v>
      </c>
      <c r="C33" s="112" t="s">
        <v>1182</v>
      </c>
      <c r="D33" s="113" t="s">
        <v>1349</v>
      </c>
      <c r="E33" s="114" t="s">
        <v>1350</v>
      </c>
      <c r="F33" s="111" t="s">
        <v>176</v>
      </c>
      <c r="G33" s="31"/>
      <c r="H33" s="117" t="n">
        <v>64</v>
      </c>
      <c r="I33" s="111" t="s">
        <v>1351</v>
      </c>
      <c r="J33" s="114" t="s">
        <v>1352</v>
      </c>
      <c r="K33" s="119" t="s">
        <v>1353</v>
      </c>
    </row>
    <row r="34" customFormat="false" ht="30" hidden="false" customHeight="true" outlineLevel="0" collapsed="false">
      <c r="B34" s="111" t="n">
        <v>7</v>
      </c>
      <c r="C34" s="112" t="s">
        <v>1175</v>
      </c>
      <c r="D34" s="113" t="s">
        <v>1354</v>
      </c>
      <c r="E34" s="114" t="s">
        <v>1355</v>
      </c>
      <c r="F34" s="111" t="s">
        <v>73</v>
      </c>
      <c r="G34" s="31"/>
      <c r="H34" s="117" t="n">
        <v>38927.59</v>
      </c>
      <c r="I34" s="111" t="s">
        <v>1351</v>
      </c>
      <c r="J34" s="114" t="s">
        <v>1356</v>
      </c>
      <c r="K34" s="119" t="s">
        <v>1353</v>
      </c>
    </row>
    <row r="35" customFormat="false" ht="30" hidden="false" customHeight="true" outlineLevel="0" collapsed="false">
      <c r="B35" s="111" t="n">
        <v>8</v>
      </c>
      <c r="C35" s="112" t="s">
        <v>1267</v>
      </c>
      <c r="D35" s="113" t="s">
        <v>1357</v>
      </c>
      <c r="E35" s="114" t="s">
        <v>1358</v>
      </c>
      <c r="F35" s="111" t="s">
        <v>80</v>
      </c>
      <c r="G35" s="31"/>
      <c r="H35" s="117" t="n">
        <v>1</v>
      </c>
      <c r="I35" s="111" t="s">
        <v>1351</v>
      </c>
      <c r="J35" s="114" t="s">
        <v>1359</v>
      </c>
      <c r="K35" s="119" t="s">
        <v>1353</v>
      </c>
    </row>
    <row r="36" customFormat="false" ht="30" hidden="false" customHeight="true" outlineLevel="0" collapsed="false">
      <c r="B36" s="111" t="n">
        <v>9</v>
      </c>
      <c r="C36" s="112" t="s">
        <v>1097</v>
      </c>
      <c r="D36" s="113" t="s">
        <v>1360</v>
      </c>
      <c r="E36" s="114" t="s">
        <v>1361</v>
      </c>
      <c r="F36" s="111" t="s">
        <v>77</v>
      </c>
      <c r="G36" s="31"/>
      <c r="H36" s="117" t="n">
        <f aca="false">Painel!$L$344</f>
        <v>430.5</v>
      </c>
      <c r="I36" s="123" t="n">
        <f aca="false">H36*169.76</f>
        <v>73081.68</v>
      </c>
      <c r="J36" s="114" t="s">
        <v>1362</v>
      </c>
      <c r="K36" s="119" t="s">
        <v>1345</v>
      </c>
    </row>
    <row r="37" customFormat="false" ht="15" hidden="false" customHeight="false" outlineLevel="0" collapsed="false">
      <c r="H37" s="121" t="s">
        <v>1326</v>
      </c>
      <c r="I37" s="124" t="n">
        <f aca="false">SUM(I28:I36)</f>
        <v>1221594.5453</v>
      </c>
      <c r="J37" s="16" t="s">
        <v>1363</v>
      </c>
    </row>
    <row r="39" customFormat="false" ht="19.5" hidden="false" customHeight="true" outlineLevel="0" collapsed="false">
      <c r="B39" s="109" t="s">
        <v>1364</v>
      </c>
      <c r="C39" s="3"/>
      <c r="D39" s="3"/>
      <c r="E39" s="3"/>
      <c r="F39" s="3"/>
      <c r="G39" s="3"/>
      <c r="H39" s="3"/>
      <c r="I39" s="3"/>
      <c r="J39" s="3"/>
      <c r="K39" s="3"/>
    </row>
    <row r="40" customFormat="false" ht="27.75" hidden="false" customHeight="true" outlineLevel="0" collapsed="false">
      <c r="B40" s="110" t="s">
        <v>43</v>
      </c>
      <c r="C40" s="110" t="s">
        <v>1249</v>
      </c>
      <c r="D40" s="110" t="s">
        <v>1365</v>
      </c>
      <c r="E40" s="110" t="s">
        <v>1366</v>
      </c>
      <c r="F40" s="110" t="s">
        <v>1329</v>
      </c>
      <c r="G40" s="110" t="s">
        <v>1329</v>
      </c>
      <c r="H40" s="110" t="s">
        <v>1329</v>
      </c>
      <c r="I40" s="110" t="s">
        <v>1329</v>
      </c>
      <c r="J40" s="110" t="s">
        <v>1367</v>
      </c>
      <c r="K40" s="110" t="s">
        <v>1368</v>
      </c>
    </row>
    <row r="41" customFormat="false" ht="30" hidden="false" customHeight="true" outlineLevel="0" collapsed="false">
      <c r="B41" s="111" t="n">
        <v>1</v>
      </c>
      <c r="C41" s="112" t="s">
        <v>911</v>
      </c>
      <c r="D41" s="113" t="s">
        <v>1369</v>
      </c>
      <c r="E41" s="114" t="s">
        <v>1370</v>
      </c>
      <c r="F41" s="31"/>
      <c r="G41" s="31"/>
      <c r="H41" s="31"/>
      <c r="I41" s="31"/>
      <c r="J41" s="114" t="s">
        <v>1371</v>
      </c>
      <c r="K41" s="119" t="s">
        <v>1372</v>
      </c>
    </row>
    <row r="42" customFormat="false" ht="30" hidden="false" customHeight="true" outlineLevel="0" collapsed="false">
      <c r="B42" s="111" t="n">
        <v>2</v>
      </c>
      <c r="C42" s="112" t="s">
        <v>944</v>
      </c>
      <c r="D42" s="113" t="s">
        <v>1373</v>
      </c>
      <c r="E42" s="114" t="s">
        <v>1374</v>
      </c>
      <c r="F42" s="31"/>
      <c r="G42" s="31"/>
      <c r="H42" s="31"/>
      <c r="I42" s="31"/>
      <c r="J42" s="114" t="s">
        <v>1375</v>
      </c>
      <c r="K42" s="119" t="s">
        <v>1376</v>
      </c>
    </row>
    <row r="43" customFormat="false" ht="30" hidden="false" customHeight="true" outlineLevel="0" collapsed="false">
      <c r="B43" s="111" t="n">
        <v>3</v>
      </c>
      <c r="C43" s="112" t="s">
        <v>944</v>
      </c>
      <c r="D43" s="113" t="s">
        <v>1377</v>
      </c>
      <c r="E43" s="114" t="s">
        <v>1378</v>
      </c>
      <c r="F43" s="31"/>
      <c r="G43" s="31"/>
      <c r="H43" s="31"/>
      <c r="I43" s="31"/>
      <c r="J43" s="114" t="s">
        <v>1379</v>
      </c>
      <c r="K43" s="119" t="s">
        <v>1329</v>
      </c>
    </row>
    <row r="44" customFormat="false" ht="30" hidden="false" customHeight="true" outlineLevel="0" collapsed="false">
      <c r="B44" s="111" t="n">
        <v>4</v>
      </c>
      <c r="C44" s="112" t="s">
        <v>1097</v>
      </c>
      <c r="D44" s="113" t="s">
        <v>1380</v>
      </c>
      <c r="E44" s="114" t="s">
        <v>1381</v>
      </c>
      <c r="F44" s="31"/>
      <c r="G44" s="31"/>
      <c r="H44" s="31"/>
      <c r="I44" s="31"/>
      <c r="J44" s="114" t="s">
        <v>1382</v>
      </c>
      <c r="K44" s="119" t="s">
        <v>1325</v>
      </c>
    </row>
    <row r="45" customFormat="false" ht="42" hidden="false" customHeight="true" outlineLevel="0" collapsed="false">
      <c r="B45" s="111" t="n">
        <v>5</v>
      </c>
      <c r="C45" s="112" t="s">
        <v>1182</v>
      </c>
      <c r="D45" s="113" t="s">
        <v>1383</v>
      </c>
      <c r="E45" s="114" t="s">
        <v>1320</v>
      </c>
      <c r="F45" s="31"/>
      <c r="G45" s="31"/>
      <c r="H45" s="31"/>
      <c r="I45" s="31"/>
      <c r="J45" s="114" t="s">
        <v>1384</v>
      </c>
      <c r="K45" s="119" t="s">
        <v>1385</v>
      </c>
    </row>
    <row r="46" customFormat="false" ht="30" hidden="false" customHeight="true" outlineLevel="0" collapsed="false">
      <c r="B46" s="111" t="n">
        <v>6</v>
      </c>
      <c r="C46" s="112" t="s">
        <v>1182</v>
      </c>
      <c r="D46" s="113" t="s">
        <v>1386</v>
      </c>
      <c r="E46" s="114" t="s">
        <v>1387</v>
      </c>
      <c r="F46" s="31"/>
      <c r="G46" s="31"/>
      <c r="H46" s="31"/>
      <c r="I46" s="31"/>
      <c r="J46" s="114" t="s">
        <v>1388</v>
      </c>
      <c r="K46" s="119" t="s">
        <v>1389</v>
      </c>
    </row>
    <row r="47" customFormat="false" ht="30" hidden="false" customHeight="true" outlineLevel="0" collapsed="false">
      <c r="B47" s="111" t="n">
        <v>7</v>
      </c>
      <c r="C47" s="112" t="s">
        <v>1182</v>
      </c>
      <c r="D47" s="113" t="s">
        <v>1390</v>
      </c>
      <c r="E47" s="114" t="s">
        <v>1391</v>
      </c>
      <c r="F47" s="31"/>
      <c r="G47" s="31"/>
      <c r="H47" s="31"/>
      <c r="I47" s="31"/>
      <c r="J47" s="114" t="s">
        <v>1392</v>
      </c>
      <c r="K47" s="119" t="s">
        <v>1393</v>
      </c>
    </row>
    <row r="48" customFormat="false" ht="30" hidden="false" customHeight="true" outlineLevel="0" collapsed="false">
      <c r="B48" s="111" t="n">
        <v>8</v>
      </c>
      <c r="C48" s="112" t="s">
        <v>1182</v>
      </c>
      <c r="D48" s="113" t="s">
        <v>1394</v>
      </c>
      <c r="E48" s="114" t="s">
        <v>1395</v>
      </c>
      <c r="F48" s="31"/>
      <c r="G48" s="31"/>
      <c r="H48" s="31"/>
      <c r="I48" s="31"/>
      <c r="J48" s="114" t="s">
        <v>1396</v>
      </c>
      <c r="K48" s="119" t="s">
        <v>1329</v>
      </c>
    </row>
    <row r="49" customFormat="false" ht="30" hidden="false" customHeight="true" outlineLevel="0" collapsed="false">
      <c r="B49" s="111" t="n">
        <v>9</v>
      </c>
      <c r="C49" s="112" t="s">
        <v>1267</v>
      </c>
      <c r="D49" s="113" t="s">
        <v>1397</v>
      </c>
      <c r="E49" s="114" t="s">
        <v>1398</v>
      </c>
      <c r="F49" s="31"/>
      <c r="G49" s="31"/>
      <c r="H49" s="31"/>
      <c r="I49" s="31"/>
      <c r="J49" s="114" t="s">
        <v>1399</v>
      </c>
      <c r="K49" s="119" t="s">
        <v>1400</v>
      </c>
    </row>
    <row r="50" customFormat="false" ht="30" hidden="false" customHeight="true" outlineLevel="0" collapsed="false">
      <c r="B50" s="111" t="n">
        <v>10</v>
      </c>
      <c r="C50" s="112" t="s">
        <v>1267</v>
      </c>
      <c r="D50" s="113" t="s">
        <v>1401</v>
      </c>
      <c r="E50" s="114" t="s">
        <v>1402</v>
      </c>
      <c r="F50" s="31"/>
      <c r="G50" s="31"/>
      <c r="H50" s="31"/>
      <c r="I50" s="31"/>
      <c r="J50" s="114" t="s">
        <v>1403</v>
      </c>
      <c r="K50" s="119" t="s">
        <v>1404</v>
      </c>
    </row>
    <row r="51" customFormat="false" ht="42" hidden="false" customHeight="true" outlineLevel="0" collapsed="false">
      <c r="B51" s="111" t="n">
        <v>11</v>
      </c>
      <c r="C51" s="112" t="s">
        <v>1271</v>
      </c>
      <c r="D51" s="113" t="s">
        <v>1405</v>
      </c>
      <c r="E51" s="114" t="s">
        <v>1406</v>
      </c>
      <c r="F51" s="31"/>
      <c r="G51" s="31"/>
      <c r="H51" s="31"/>
      <c r="I51" s="31"/>
      <c r="J51" s="114" t="s">
        <v>1407</v>
      </c>
      <c r="K51" s="119" t="s">
        <v>1408</v>
      </c>
    </row>
    <row r="52" customFormat="false" ht="30" hidden="false" customHeight="true" outlineLevel="0" collapsed="false">
      <c r="B52" s="111" t="n">
        <v>12</v>
      </c>
      <c r="C52" s="112" t="s">
        <v>911</v>
      </c>
      <c r="D52" s="113" t="s">
        <v>1409</v>
      </c>
      <c r="E52" s="114" t="s">
        <v>1410</v>
      </c>
      <c r="F52" s="31"/>
      <c r="G52" s="31"/>
      <c r="H52" s="31"/>
      <c r="I52" s="31"/>
      <c r="J52" s="114" t="s">
        <v>1411</v>
      </c>
      <c r="K52" s="119" t="s">
        <v>1412</v>
      </c>
    </row>
    <row r="54" customFormat="false" ht="19.5" hidden="false" customHeight="true" outlineLevel="0" collapsed="false">
      <c r="B54" s="109" t="s">
        <v>1413</v>
      </c>
      <c r="C54" s="3"/>
      <c r="D54" s="3"/>
      <c r="E54" s="3"/>
      <c r="F54" s="3"/>
      <c r="G54" s="3"/>
      <c r="H54" s="3"/>
      <c r="I54" s="3"/>
      <c r="J54" s="3"/>
      <c r="K54" s="3"/>
    </row>
    <row r="55" customFormat="false" ht="27.75" hidden="false" customHeight="true" outlineLevel="0" collapsed="false">
      <c r="B55" s="110" t="s">
        <v>43</v>
      </c>
      <c r="C55" s="110" t="s">
        <v>1414</v>
      </c>
      <c r="D55" s="110" t="s">
        <v>1329</v>
      </c>
      <c r="E55" s="110" t="s">
        <v>1329</v>
      </c>
      <c r="F55" s="110" t="s">
        <v>1329</v>
      </c>
      <c r="G55" s="110" t="s">
        <v>1329</v>
      </c>
      <c r="H55" s="110" t="s">
        <v>1415</v>
      </c>
      <c r="I55" s="110" t="s">
        <v>1416</v>
      </c>
      <c r="J55" s="110" t="s">
        <v>1417</v>
      </c>
      <c r="K55" s="110" t="s">
        <v>1329</v>
      </c>
    </row>
    <row r="56" customFormat="false" ht="30" hidden="false" customHeight="true" outlineLevel="0" collapsed="false">
      <c r="B56" s="111" t="n">
        <v>1</v>
      </c>
      <c r="C56" s="112" t="s">
        <v>1418</v>
      </c>
      <c r="D56" s="112"/>
      <c r="E56" s="112"/>
      <c r="F56" s="112"/>
      <c r="G56" s="112"/>
      <c r="H56" s="125" t="n">
        <f aca="false">SUMPRODUCT(--ISERROR(Painel!B1:R497))</f>
        <v>0</v>
      </c>
      <c r="I56" s="126" t="str">
        <f aca="false">IF(H56=0,"OK","ERRO")</f>
        <v>OK</v>
      </c>
      <c r="J56" s="127" t="s">
        <v>1419</v>
      </c>
      <c r="K56" s="127"/>
    </row>
    <row r="57" customFormat="false" ht="30" hidden="false" customHeight="true" outlineLevel="0" collapsed="false">
      <c r="B57" s="111" t="n">
        <v>2</v>
      </c>
      <c r="C57" s="112" t="s">
        <v>1420</v>
      </c>
      <c r="D57" s="112"/>
      <c r="E57" s="112"/>
      <c r="F57" s="112"/>
      <c r="G57" s="112"/>
      <c r="H57" s="125" t="n">
        <f aca="false">SUMPRODUCT(--ISERROR('Contrato × Projeto'!F12:N358))</f>
        <v>0</v>
      </c>
      <c r="I57" s="126" t="str">
        <f aca="false">IF(H57=0,"OK","ERRO")</f>
        <v>OK</v>
      </c>
      <c r="J57" s="127" t="s">
        <v>1419</v>
      </c>
      <c r="K57" s="127"/>
    </row>
    <row r="58" customFormat="false" ht="30" hidden="false" customHeight="true" outlineLevel="0" collapsed="false">
      <c r="B58" s="111" t="n">
        <v>3</v>
      </c>
      <c r="C58" s="112" t="s">
        <v>1421</v>
      </c>
      <c r="D58" s="112"/>
      <c r="E58" s="112"/>
      <c r="F58" s="112"/>
      <c r="G58" s="112"/>
      <c r="H58" s="128" t="n">
        <f aca="false">'Contrato × Projeto'!L359</f>
        <v>87300000.04</v>
      </c>
      <c r="I58" s="126" t="str">
        <f aca="false">IF(ABS(H58-87300000.04)&lt;0.05,"OK","ERRO")</f>
        <v>OK</v>
      </c>
      <c r="J58" s="127" t="s">
        <v>1422</v>
      </c>
      <c r="K58" s="127"/>
    </row>
    <row r="59" customFormat="false" ht="30" hidden="false" customHeight="true" outlineLevel="0" collapsed="false">
      <c r="B59" s="111" t="n">
        <v>4</v>
      </c>
      <c r="C59" s="112" t="s">
        <v>1423</v>
      </c>
      <c r="D59" s="112"/>
      <c r="E59" s="112"/>
      <c r="F59" s="112"/>
      <c r="G59" s="112"/>
      <c r="H59" s="125" t="n">
        <v>0</v>
      </c>
      <c r="I59" s="126" t="str">
        <f aca="false">IF(H59=0,"OK","ERRO")</f>
        <v>OK</v>
      </c>
      <c r="J59" s="127" t="s">
        <v>1424</v>
      </c>
      <c r="K59" s="127"/>
    </row>
    <row r="60" customFormat="false" ht="30" hidden="false" customHeight="true" outlineLevel="0" collapsed="false">
      <c r="B60" s="111" t="n">
        <v>5</v>
      </c>
      <c r="C60" s="112" t="s">
        <v>1425</v>
      </c>
      <c r="D60" s="112"/>
      <c r="E60" s="112"/>
      <c r="F60" s="112"/>
      <c r="G60" s="112"/>
      <c r="H60" s="128" t="n">
        <f aca="false">'Contrato × Projeto'!M359</f>
        <v>85313983.9902435</v>
      </c>
      <c r="I60" s="126" t="str">
        <f aca="false">"OK – conferido na geração"</f>
        <v>OK – conferido na geração</v>
      </c>
      <c r="J60" s="127" t="s">
        <v>1426</v>
      </c>
      <c r="K60" s="127"/>
    </row>
    <row r="61" customFormat="false" ht="30" hidden="false" customHeight="true" outlineLevel="0" collapsed="false">
      <c r="B61" s="111" t="n">
        <v>6</v>
      </c>
      <c r="C61" s="112" t="s">
        <v>1427</v>
      </c>
      <c r="D61" s="112"/>
      <c r="E61" s="112"/>
      <c r="F61" s="112"/>
      <c r="G61" s="112"/>
      <c r="H61" s="129" t="s">
        <v>1428</v>
      </c>
      <c r="I61" s="126" t="str">
        <f aca="false">"OK"</f>
        <v>OK</v>
      </c>
      <c r="J61" s="127" t="s">
        <v>1429</v>
      </c>
      <c r="K61" s="127"/>
    </row>
    <row r="62" customFormat="false" ht="30" hidden="false" customHeight="true" outlineLevel="0" collapsed="false">
      <c r="B62" s="111" t="n">
        <v>7</v>
      </c>
      <c r="C62" s="112" t="s">
        <v>1430</v>
      </c>
      <c r="D62" s="112"/>
      <c r="E62" s="112"/>
      <c r="F62" s="112"/>
      <c r="G62" s="112"/>
      <c r="H62" s="129" t="s">
        <v>1431</v>
      </c>
      <c r="I62" s="126" t="str">
        <f aca="false">"OK"</f>
        <v>OK</v>
      </c>
      <c r="J62" s="127" t="s">
        <v>1432</v>
      </c>
      <c r="K62" s="127"/>
    </row>
    <row r="63" customFormat="false" ht="30" hidden="false" customHeight="true" outlineLevel="0" collapsed="false">
      <c r="B63" s="111" t="n">
        <v>8</v>
      </c>
      <c r="C63" s="112" t="s">
        <v>1433</v>
      </c>
      <c r="D63" s="112"/>
      <c r="E63" s="112"/>
      <c r="F63" s="112"/>
      <c r="G63" s="112"/>
      <c r="H63" s="129" t="s">
        <v>1434</v>
      </c>
      <c r="I63" s="126" t="str">
        <f aca="false">"ATENÇÃO"</f>
        <v>ATENÇÃO</v>
      </c>
      <c r="J63" s="127" t="s">
        <v>1435</v>
      </c>
      <c r="K63" s="127"/>
    </row>
  </sheetData>
  <mergeCells count="30">
    <mergeCell ref="B2:K2"/>
    <mergeCell ref="B3:K3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C56:G56"/>
    <mergeCell ref="J56:K56"/>
    <mergeCell ref="C57:G57"/>
    <mergeCell ref="J57:K57"/>
    <mergeCell ref="C58:G58"/>
    <mergeCell ref="J58:K58"/>
    <mergeCell ref="C59:G59"/>
    <mergeCell ref="J59:K59"/>
    <mergeCell ref="C60:G60"/>
    <mergeCell ref="J60:K60"/>
    <mergeCell ref="C61:G61"/>
    <mergeCell ref="J61:K61"/>
    <mergeCell ref="C62:G62"/>
    <mergeCell ref="J62:K62"/>
    <mergeCell ref="C63:G63"/>
    <mergeCell ref="J63:K63"/>
  </mergeCells>
  <conditionalFormatting sqref="I5:I64">
    <cfRule type="expression" priority="2" aboveAverage="0" equalAverage="0" bottom="0" percent="0" rank="0" text="" dxfId="27">
      <formula>LEFT($I5,2)="OK"</formula>
    </cfRule>
    <cfRule type="expression" priority="3" aboveAverage="0" equalAverage="0" bottom="0" percent="0" rank="0" text="" dxfId="28">
      <formula>OR($I5="ERRO",$I5="ATENÇÃO")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5"/>
  </cols>
  <sheetData>
    <row r="1" customFormat="false" ht="15" hidden="false" customHeight="false" outlineLevel="0" collapsed="false">
      <c r="A1" s="130" t="s">
        <v>1436</v>
      </c>
    </row>
    <row r="2" customFormat="false" ht="23.85" hidden="false" customHeight="false" outlineLevel="0" collapsed="false">
      <c r="A2" s="131" t="s">
        <v>1437</v>
      </c>
    </row>
    <row r="3" customFormat="false" ht="15" hidden="false" customHeight="false" outlineLevel="0" collapsed="false">
      <c r="A3" s="131"/>
    </row>
    <row r="4" customFormat="false" ht="15" hidden="false" customHeight="false" outlineLevel="0" collapsed="false">
      <c r="A4" s="130" t="s">
        <v>1438</v>
      </c>
    </row>
    <row r="5" customFormat="false" ht="23.85" hidden="false" customHeight="false" outlineLevel="0" collapsed="false">
      <c r="A5" s="131" t="s">
        <v>1439</v>
      </c>
    </row>
    <row r="6" customFormat="false" ht="23.85" hidden="false" customHeight="false" outlineLevel="0" collapsed="false">
      <c r="A6" s="131" t="s">
        <v>1440</v>
      </c>
    </row>
    <row r="7" customFormat="false" ht="15" hidden="false" customHeight="false" outlineLevel="0" collapsed="false">
      <c r="A7" s="131" t="s">
        <v>1441</v>
      </c>
    </row>
    <row r="8" customFormat="false" ht="23.85" hidden="false" customHeight="false" outlineLevel="0" collapsed="false">
      <c r="A8" s="131" t="s">
        <v>1442</v>
      </c>
    </row>
    <row r="9" customFormat="false" ht="15" hidden="false" customHeight="false" outlineLevel="0" collapsed="false">
      <c r="A9" s="131" t="s">
        <v>1443</v>
      </c>
    </row>
    <row r="10" customFormat="false" ht="15" hidden="false" customHeight="false" outlineLevel="0" collapsed="false">
      <c r="A10" s="131"/>
    </row>
    <row r="11" customFormat="false" ht="15" hidden="false" customHeight="false" outlineLevel="0" collapsed="false">
      <c r="A11" s="130" t="s">
        <v>1444</v>
      </c>
    </row>
    <row r="12" customFormat="false" ht="23.85" hidden="false" customHeight="false" outlineLevel="0" collapsed="false">
      <c r="A12" s="131" t="s">
        <v>1445</v>
      </c>
    </row>
    <row r="13" customFormat="false" ht="23.85" hidden="false" customHeight="false" outlineLevel="0" collapsed="false">
      <c r="A13" s="131" t="s">
        <v>1446</v>
      </c>
    </row>
    <row r="14" customFormat="false" ht="15" hidden="false" customHeight="false" outlineLevel="0" collapsed="false">
      <c r="A14" s="131" t="s">
        <v>1447</v>
      </c>
    </row>
    <row r="15" customFormat="false" ht="15" hidden="false" customHeight="false" outlineLevel="0" collapsed="false">
      <c r="A15" s="131" t="s">
        <v>1448</v>
      </c>
    </row>
    <row r="16" customFormat="false" ht="15" hidden="false" customHeight="false" outlineLevel="0" collapsed="false">
      <c r="A16" s="131" t="s">
        <v>1449</v>
      </c>
    </row>
    <row r="17" customFormat="false" ht="15" hidden="false" customHeight="false" outlineLevel="0" collapsed="false">
      <c r="A17" s="131"/>
    </row>
    <row r="18" customFormat="false" ht="15" hidden="false" customHeight="false" outlineLevel="0" collapsed="false">
      <c r="A18" s="130" t="s">
        <v>1450</v>
      </c>
    </row>
    <row r="19" customFormat="false" ht="15" hidden="false" customHeight="false" outlineLevel="0" collapsed="false">
      <c r="A19" s="131" t="s">
        <v>1451</v>
      </c>
    </row>
    <row r="20" customFormat="false" ht="23.85" hidden="false" customHeight="false" outlineLevel="0" collapsed="false">
      <c r="A20" s="131" t="s">
        <v>1452</v>
      </c>
    </row>
    <row r="21" customFormat="false" ht="15" hidden="false" customHeight="false" outlineLevel="0" collapsed="false">
      <c r="A21" s="131" t="s">
        <v>1453</v>
      </c>
    </row>
    <row r="22" customFormat="false" ht="15" hidden="false" customHeight="false" outlineLevel="0" collapsed="false">
      <c r="A22" s="131" t="s">
        <v>1454</v>
      </c>
    </row>
    <row r="23" customFormat="false" ht="15" hidden="false" customHeight="false" outlineLevel="0" collapsed="false">
      <c r="A23" s="131" t="s">
        <v>1455</v>
      </c>
    </row>
    <row r="24" customFormat="false" ht="15" hidden="false" customHeight="false" outlineLevel="0" collapsed="false">
      <c r="A24" s="131"/>
    </row>
    <row r="25" customFormat="false" ht="15" hidden="false" customHeight="false" outlineLevel="0" collapsed="false">
      <c r="A25" s="130" t="s">
        <v>1271</v>
      </c>
    </row>
    <row r="26" customFormat="false" ht="23.85" hidden="false" customHeight="false" outlineLevel="0" collapsed="false">
      <c r="A26" s="131" t="s">
        <v>1456</v>
      </c>
    </row>
    <row r="27" customFormat="false" ht="23.85" hidden="false" customHeight="false" outlineLevel="0" collapsed="false">
      <c r="A27" s="131" t="s">
        <v>1457</v>
      </c>
    </row>
    <row r="28" customFormat="false" ht="23.85" hidden="false" customHeight="false" outlineLevel="0" collapsed="false">
      <c r="A28" s="131" t="s">
        <v>1458</v>
      </c>
    </row>
    <row r="29" customFormat="false" ht="23.85" hidden="false" customHeight="false" outlineLevel="0" collapsed="false">
      <c r="A29" s="131" t="s">
        <v>1459</v>
      </c>
    </row>
    <row r="30" customFormat="false" ht="23.85" hidden="false" customHeight="false" outlineLevel="0" collapsed="false">
      <c r="A30" s="131" t="s">
        <v>1460</v>
      </c>
    </row>
    <row r="31" customFormat="false" ht="15" hidden="false" customHeight="false" outlineLevel="0" collapsed="false">
      <c r="A31" s="131"/>
    </row>
    <row r="32" customFormat="false" ht="15" hidden="false" customHeight="false" outlineLevel="0" collapsed="false">
      <c r="A32" s="130" t="s">
        <v>1461</v>
      </c>
    </row>
    <row r="33" customFormat="false" ht="23.85" hidden="false" customHeight="false" outlineLevel="0" collapsed="false">
      <c r="A33" s="131" t="s">
        <v>1462</v>
      </c>
    </row>
    <row r="34" customFormat="false" ht="23.85" hidden="false" customHeight="false" outlineLevel="0" collapsed="false">
      <c r="A34" s="131" t="s">
        <v>1463</v>
      </c>
    </row>
    <row r="35" customFormat="false" ht="23.85" hidden="false" customHeight="false" outlineLevel="0" collapsed="false">
      <c r="A35" s="131" t="s">
        <v>1464</v>
      </c>
    </row>
    <row r="36" customFormat="false" ht="23.85" hidden="false" customHeight="false" outlineLevel="0" collapsed="false">
      <c r="A36" s="131" t="s">
        <v>1465</v>
      </c>
    </row>
    <row r="37" customFormat="false" ht="15" hidden="false" customHeight="false" outlineLevel="0" collapsed="false">
      <c r="A37" s="131"/>
    </row>
    <row r="38" customFormat="false" ht="15" hidden="false" customHeight="false" outlineLevel="0" collapsed="false">
      <c r="A38" s="130" t="s">
        <v>911</v>
      </c>
    </row>
    <row r="39" customFormat="false" ht="23.85" hidden="false" customHeight="false" outlineLevel="0" collapsed="false">
      <c r="A39" s="131" t="s">
        <v>1466</v>
      </c>
    </row>
    <row r="40" customFormat="false" ht="23.85" hidden="false" customHeight="false" outlineLevel="0" collapsed="false">
      <c r="A40" s="131" t="s">
        <v>1467</v>
      </c>
    </row>
    <row r="41" customFormat="false" ht="23.85" hidden="false" customHeight="false" outlineLevel="0" collapsed="false">
      <c r="A41" s="131" t="s">
        <v>1468</v>
      </c>
    </row>
    <row r="42" customFormat="false" ht="23.85" hidden="false" customHeight="false" outlineLevel="0" collapsed="false">
      <c r="A42" s="131" t="s">
        <v>1469</v>
      </c>
    </row>
    <row r="43" customFormat="false" ht="15" hidden="false" customHeight="false" outlineLevel="0" collapsed="false">
      <c r="A43" s="131"/>
    </row>
    <row r="44" customFormat="false" ht="15" hidden="false" customHeight="false" outlineLevel="0" collapsed="false">
      <c r="A44" s="130" t="s">
        <v>1470</v>
      </c>
    </row>
    <row r="45" customFormat="false" ht="23.85" hidden="false" customHeight="false" outlineLevel="0" collapsed="false">
      <c r="A45" s="131" t="s">
        <v>1471</v>
      </c>
    </row>
    <row r="46" customFormat="false" ht="23.85" hidden="false" customHeight="false" outlineLevel="0" collapsed="false">
      <c r="A46" s="131" t="s">
        <v>1472</v>
      </c>
    </row>
    <row r="47" customFormat="false" ht="15" hidden="false" customHeight="false" outlineLevel="0" collapsed="false">
      <c r="A47" s="131"/>
    </row>
    <row r="48" customFormat="false" ht="15" hidden="false" customHeight="false" outlineLevel="0" collapsed="false">
      <c r="A48" s="130" t="s">
        <v>1473</v>
      </c>
    </row>
    <row r="49" customFormat="false" ht="35.05" hidden="false" customHeight="false" outlineLevel="0" collapsed="false">
      <c r="A49" s="131" t="s">
        <v>1474</v>
      </c>
    </row>
    <row r="50" customFormat="false" ht="23.85" hidden="false" customHeight="false" outlineLevel="0" collapsed="false">
      <c r="A50" s="131" t="s">
        <v>1475</v>
      </c>
    </row>
    <row r="51" customFormat="false" ht="15" hidden="false" customHeight="false" outlineLevel="0" collapsed="false">
      <c r="A51" s="131" t="s">
        <v>1476</v>
      </c>
    </row>
    <row r="52" customFormat="false" ht="15" hidden="false" customHeight="false" outlineLevel="0" collapsed="false">
      <c r="A52" s="131"/>
    </row>
    <row r="53" customFormat="false" ht="15" hidden="false" customHeight="false" outlineLevel="0" collapsed="false">
      <c r="A53" s="130" t="s">
        <v>1477</v>
      </c>
    </row>
    <row r="54" customFormat="false" ht="23.85" hidden="false" customHeight="false" outlineLevel="0" collapsed="false">
      <c r="A54" s="131" t="s">
        <v>1478</v>
      </c>
    </row>
    <row r="55" customFormat="false" ht="23.85" hidden="false" customHeight="false" outlineLevel="0" collapsed="false">
      <c r="A55" s="131" t="s">
        <v>1479</v>
      </c>
    </row>
    <row r="56" customFormat="false" ht="23.85" hidden="false" customHeight="false" outlineLevel="0" collapsed="false">
      <c r="A56" s="131" t="s">
        <v>1480</v>
      </c>
    </row>
    <row r="57" customFormat="false" ht="15" hidden="false" customHeight="false" outlineLevel="0" collapsed="false">
      <c r="A57" s="131"/>
    </row>
    <row r="58" customFormat="false" ht="15" hidden="false" customHeight="false" outlineLevel="0" collapsed="false">
      <c r="A58" s="130" t="s">
        <v>1481</v>
      </c>
    </row>
    <row r="59" customFormat="false" ht="23.85" hidden="false" customHeight="false" outlineLevel="0" collapsed="false">
      <c r="A59" s="131" t="s">
        <v>1482</v>
      </c>
    </row>
    <row r="60" customFormat="false" ht="23.85" hidden="false" customHeight="false" outlineLevel="0" collapsed="false">
      <c r="A60" s="131" t="s">
        <v>1483</v>
      </c>
    </row>
    <row r="61" customFormat="false" ht="15" hidden="false" customHeight="false" outlineLevel="0" collapsed="false">
      <c r="A61" s="131" t="s">
        <v>1484</v>
      </c>
    </row>
    <row r="63" customFormat="false" ht="15" hidden="false" customHeight="false" outlineLevel="0" collapsed="false">
      <c r="A63" s="130" t="s">
        <v>1485</v>
      </c>
    </row>
    <row r="64" customFormat="false" ht="15" hidden="false" customHeight="false" outlineLevel="0" collapsed="false">
      <c r="A64" s="131" t="s">
        <v>1486</v>
      </c>
    </row>
    <row r="65" customFormat="false" ht="35.05" hidden="false" customHeight="false" outlineLevel="0" collapsed="false">
      <c r="A65" s="131" t="s">
        <v>1487</v>
      </c>
    </row>
    <row r="66" customFormat="false" ht="23.85" hidden="false" customHeight="false" outlineLevel="0" collapsed="false">
      <c r="A66" s="131" t="s">
        <v>1488</v>
      </c>
    </row>
    <row r="67" customFormat="false" ht="46.25" hidden="false" customHeight="false" outlineLevel="0" collapsed="false">
      <c r="A67" s="131" t="s">
        <v>1489</v>
      </c>
    </row>
    <row r="68" customFormat="false" ht="35.05" hidden="false" customHeight="false" outlineLevel="0" collapsed="false">
      <c r="A68" s="131" t="s">
        <v>1490</v>
      </c>
    </row>
    <row r="69" customFormat="false" ht="35.05" hidden="false" customHeight="false" outlineLevel="0" collapsed="false">
      <c r="A69" s="131" t="s">
        <v>1491</v>
      </c>
    </row>
    <row r="70" customFormat="false" ht="35.05" hidden="false" customHeight="false" outlineLevel="0" collapsed="false">
      <c r="A70" s="131" t="s">
        <v>1492</v>
      </c>
    </row>
    <row r="71" customFormat="false" ht="23.85" hidden="false" customHeight="false" outlineLevel="0" collapsed="false">
      <c r="A71" s="131" t="s">
        <v>1493</v>
      </c>
    </row>
    <row r="72" customFormat="false" ht="23.85" hidden="false" customHeight="false" outlineLevel="0" collapsed="false">
      <c r="A72" s="131" t="s">
        <v>1494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1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15" hidden="false" customHeight="false" outlineLevel="0" collapsed="false">
      <c r="A1" s="132" t="s">
        <v>1495</v>
      </c>
    </row>
    <row r="3" customFormat="false" ht="48" hidden="false" customHeight="true" outlineLevel="0" collapsed="false">
      <c r="A3" s="133" t="s">
        <v>1496</v>
      </c>
      <c r="B3" s="133" t="s">
        <v>1497</v>
      </c>
      <c r="C3" s="133" t="s">
        <v>1498</v>
      </c>
      <c r="D3" s="133" t="s">
        <v>1499</v>
      </c>
      <c r="E3" s="133" t="s">
        <v>1500</v>
      </c>
      <c r="F3" s="133" t="s">
        <v>1501</v>
      </c>
      <c r="G3" s="133" t="s">
        <v>1502</v>
      </c>
      <c r="H3" s="133" t="s">
        <v>1503</v>
      </c>
    </row>
    <row r="4" customFormat="false" ht="15" hidden="false" customHeight="false" outlineLevel="0" collapsed="false">
      <c r="A4" s="134" t="s">
        <v>1504</v>
      </c>
      <c r="B4" s="134" t="s">
        <v>1505</v>
      </c>
      <c r="C4" s="135" t="n">
        <v>0.05</v>
      </c>
      <c r="D4" s="135" t="n">
        <v>0</v>
      </c>
      <c r="E4" s="135" t="n">
        <v>1</v>
      </c>
      <c r="F4" s="134" t="s">
        <v>77</v>
      </c>
      <c r="G4" s="134" t="s">
        <v>1506</v>
      </c>
      <c r="H4" s="134" t="s">
        <v>1507</v>
      </c>
    </row>
    <row r="5" customFormat="false" ht="15" hidden="false" customHeight="false" outlineLevel="0" collapsed="false">
      <c r="A5" s="134" t="s">
        <v>1508</v>
      </c>
      <c r="B5" s="134" t="s">
        <v>1509</v>
      </c>
      <c r="C5" s="135" t="n">
        <v>0.16</v>
      </c>
      <c r="D5" s="135" t="n">
        <v>0.1</v>
      </c>
      <c r="E5" s="135" t="n">
        <v>1</v>
      </c>
      <c r="F5" s="134" t="s">
        <v>77</v>
      </c>
      <c r="G5" s="134" t="s">
        <v>1510</v>
      </c>
      <c r="H5" s="134" t="s">
        <v>1511</v>
      </c>
    </row>
    <row r="6" customFormat="false" ht="15" hidden="false" customHeight="false" outlineLevel="0" collapsed="false">
      <c r="A6" s="134" t="s">
        <v>1512</v>
      </c>
      <c r="B6" s="134" t="s">
        <v>1513</v>
      </c>
      <c r="C6" s="135" t="n">
        <v>0.2</v>
      </c>
      <c r="D6" s="135" t="n">
        <v>0.36</v>
      </c>
      <c r="E6" s="135" t="n">
        <v>1</v>
      </c>
      <c r="F6" s="134" t="s">
        <v>77</v>
      </c>
      <c r="G6" s="134" t="s">
        <v>1514</v>
      </c>
      <c r="H6" s="134" t="s">
        <v>1515</v>
      </c>
    </row>
    <row r="7" customFormat="false" ht="15" hidden="false" customHeight="false" outlineLevel="0" collapsed="false">
      <c r="A7" s="134" t="s">
        <v>1516</v>
      </c>
      <c r="B7" s="134" t="s">
        <v>1517</v>
      </c>
      <c r="C7" s="135" t="n">
        <v>0.3</v>
      </c>
      <c r="D7" s="135" t="n">
        <v>0.66</v>
      </c>
      <c r="E7" s="135" t="n">
        <v>1</v>
      </c>
      <c r="F7" s="134" t="s">
        <v>77</v>
      </c>
      <c r="G7" s="134" t="s">
        <v>1514</v>
      </c>
      <c r="H7" s="134" t="s">
        <v>1518</v>
      </c>
    </row>
    <row r="8" customFormat="false" ht="15" hidden="false" customHeight="false" outlineLevel="0" collapsed="false">
      <c r="A8" s="134" t="s">
        <v>1519</v>
      </c>
      <c r="B8" s="134" t="s">
        <v>1520</v>
      </c>
      <c r="C8" s="134"/>
      <c r="D8" s="135" t="n">
        <v>0.1</v>
      </c>
      <c r="E8" s="134"/>
      <c r="F8" s="134" t="s">
        <v>73</v>
      </c>
      <c r="G8" s="134" t="s">
        <v>1521</v>
      </c>
      <c r="H8" s="134" t="s">
        <v>1522</v>
      </c>
    </row>
    <row r="9" customFormat="false" ht="15" hidden="false" customHeight="false" outlineLevel="0" collapsed="false">
      <c r="A9" s="134" t="s">
        <v>1523</v>
      </c>
      <c r="B9" s="134" t="s">
        <v>1524</v>
      </c>
      <c r="C9" s="134"/>
      <c r="D9" s="135" t="n">
        <v>0.1</v>
      </c>
      <c r="E9" s="134"/>
      <c r="F9" s="134" t="s">
        <v>73</v>
      </c>
      <c r="G9" s="134" t="s">
        <v>1521</v>
      </c>
      <c r="H9" s="134" t="s">
        <v>1525</v>
      </c>
    </row>
    <row r="10" customFormat="false" ht="15" hidden="false" customHeight="false" outlineLevel="0" collapsed="false">
      <c r="A10" s="134" t="s">
        <v>1526</v>
      </c>
      <c r="B10" s="134" t="s">
        <v>181</v>
      </c>
      <c r="C10" s="134"/>
      <c r="D10" s="135" t="n">
        <v>0.96</v>
      </c>
      <c r="E10" s="134"/>
      <c r="F10" s="134" t="s">
        <v>73</v>
      </c>
      <c r="G10" s="134" t="s">
        <v>1527</v>
      </c>
      <c r="H10" s="134" t="s">
        <v>1528</v>
      </c>
    </row>
    <row r="11" customFormat="false" ht="15" hidden="false" customHeight="false" outlineLevel="0" collapsed="false">
      <c r="A11" s="134" t="s">
        <v>1529</v>
      </c>
      <c r="B11" s="134" t="s">
        <v>1530</v>
      </c>
      <c r="C11" s="135" t="n">
        <v>0.06</v>
      </c>
      <c r="D11" s="135" t="n">
        <v>0</v>
      </c>
      <c r="E11" s="134"/>
      <c r="F11" s="134" t="s">
        <v>77</v>
      </c>
      <c r="G11" s="134" t="s">
        <v>1531</v>
      </c>
      <c r="H11" s="134" t="s">
        <v>1532</v>
      </c>
    </row>
    <row r="12" customFormat="false" ht="15" hidden="false" customHeight="false" outlineLevel="0" collapsed="false">
      <c r="A12" s="134" t="s">
        <v>1533</v>
      </c>
      <c r="B12" s="134" t="s">
        <v>1534</v>
      </c>
      <c r="C12" s="135" t="n">
        <v>0.05</v>
      </c>
      <c r="D12" s="135" t="n">
        <v>0</v>
      </c>
      <c r="E12" s="134"/>
      <c r="F12" s="134" t="s">
        <v>77</v>
      </c>
      <c r="G12" s="134" t="s">
        <v>1531</v>
      </c>
      <c r="H12" s="134" t="s">
        <v>1535</v>
      </c>
    </row>
    <row r="13" customFormat="false" ht="22.35" hidden="false" customHeight="false" outlineLevel="0" collapsed="false">
      <c r="A13" s="134" t="s">
        <v>1536</v>
      </c>
      <c r="B13" s="134" t="s">
        <v>1537</v>
      </c>
      <c r="C13" s="135" t="n">
        <v>0.41</v>
      </c>
      <c r="D13" s="135" t="n">
        <v>6.5</v>
      </c>
      <c r="E13" s="134"/>
      <c r="F13" s="134" t="s">
        <v>77</v>
      </c>
      <c r="G13" s="134" t="s">
        <v>1538</v>
      </c>
      <c r="H13" s="134" t="s">
        <v>1539</v>
      </c>
    </row>
    <row r="14" customFormat="false" ht="15" hidden="false" customHeight="false" outlineLevel="0" collapsed="false">
      <c r="A14" s="134" t="s">
        <v>1540</v>
      </c>
      <c r="B14" s="134" t="s">
        <v>1541</v>
      </c>
      <c r="C14" s="135" t="n">
        <v>2.4</v>
      </c>
      <c r="D14" s="134"/>
      <c r="E14" s="134"/>
      <c r="F14" s="134" t="s">
        <v>1542</v>
      </c>
      <c r="G14" s="134"/>
      <c r="H14" s="134" t="s">
        <v>1543</v>
      </c>
    </row>
    <row r="16" customFormat="false" ht="15" hidden="false" customHeight="false" outlineLevel="0" collapsed="false">
      <c r="A16" s="136" t="s">
        <v>1544</v>
      </c>
    </row>
    <row r="17" customFormat="false" ht="15" hidden="false" customHeight="false" outlineLevel="0" collapsed="false">
      <c r="A17" s="136" t="s">
        <v>1545</v>
      </c>
    </row>
    <row r="18" customFormat="false" ht="15" hidden="false" customHeight="false" outlineLevel="0" collapsed="false">
      <c r="A18" s="136" t="s">
        <v>1546</v>
      </c>
    </row>
    <row r="21" customFormat="false" ht="15" hidden="false" customHeight="false" outlineLevel="0" collapsed="false">
      <c r="A21" s="137" t="s">
        <v>1547</v>
      </c>
    </row>
    <row r="22" customFormat="false" ht="15" hidden="false" customHeight="false" outlineLevel="0" collapsed="false">
      <c r="B22" s="138" t="s">
        <v>1548</v>
      </c>
      <c r="C22" s="139" t="n">
        <v>0.2</v>
      </c>
      <c r="H22" s="138" t="s">
        <v>1549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48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11" min="7" style="0" width="11"/>
    <col collapsed="false" customWidth="true" hidden="false" outlineLevel="0" max="13" min="12" style="0" width="12"/>
    <col collapsed="false" customWidth="true" hidden="false" outlineLevel="0" max="14" min="14" style="0" width="13"/>
    <col collapsed="false" customWidth="true" hidden="false" outlineLevel="0" max="16" min="15" style="0" width="10"/>
    <col collapsed="false" customWidth="true" hidden="false" outlineLevel="0" max="17" min="17" style="0" width="11"/>
    <col collapsed="false" customWidth="true" hidden="false" outlineLevel="0" max="18" min="18" style="0" width="12"/>
  </cols>
  <sheetData>
    <row r="1" customFormat="false" ht="48" hidden="false" customHeight="true" outlineLevel="0" collapsed="false">
      <c r="A1" s="133" t="s">
        <v>1550</v>
      </c>
      <c r="B1" s="133" t="s">
        <v>1551</v>
      </c>
      <c r="C1" s="133" t="s">
        <v>1367</v>
      </c>
      <c r="D1" s="133" t="s">
        <v>14</v>
      </c>
      <c r="E1" s="133" t="s">
        <v>17</v>
      </c>
      <c r="F1" s="133" t="s">
        <v>1552</v>
      </c>
      <c r="G1" s="133" t="s">
        <v>1553</v>
      </c>
      <c r="H1" s="133" t="s">
        <v>1554</v>
      </c>
      <c r="I1" s="133" t="s">
        <v>1555</v>
      </c>
      <c r="J1" s="133" t="s">
        <v>1556</v>
      </c>
      <c r="K1" s="133" t="s">
        <v>1557</v>
      </c>
      <c r="L1" s="133" t="s">
        <v>1558</v>
      </c>
      <c r="M1" s="133" t="s">
        <v>1559</v>
      </c>
      <c r="N1" s="133" t="s">
        <v>1560</v>
      </c>
      <c r="O1" s="133" t="s">
        <v>1561</v>
      </c>
      <c r="P1" s="133" t="s">
        <v>1562</v>
      </c>
      <c r="Q1" s="133" t="s">
        <v>1563</v>
      </c>
      <c r="R1" s="133" t="s">
        <v>1564</v>
      </c>
    </row>
    <row r="2" customFormat="false" ht="15" hidden="false" customHeight="false" outlineLevel="0" collapsed="false">
      <c r="A2" s="138" t="s">
        <v>1565</v>
      </c>
      <c r="B2" s="138" t="s">
        <v>1566</v>
      </c>
      <c r="C2" s="140" t="s">
        <v>1567</v>
      </c>
      <c r="D2" s="138" t="s">
        <v>1568</v>
      </c>
      <c r="E2" s="138" t="s">
        <v>1569</v>
      </c>
      <c r="F2" s="141" t="n">
        <f aca="false">SUMIFS('Volumes por intervalo'!$C$2:$C$649,'Volumes por intervalo'!$D$2:$D$649,A2)</f>
        <v>6380</v>
      </c>
      <c r="G2" s="141" t="n">
        <f aca="false">SUMIFS('Volumes por intervalo'!$H$2:$H$649,'Volumes por intervalo'!$D$2:$D$649,A2)</f>
        <v>3607.6</v>
      </c>
      <c r="H2" s="141" t="n">
        <f aca="false">SUMIFS('Volumes por intervalo'!$I$2:$I$649,'Volumes por intervalo'!$D$2:$D$649,A2)</f>
        <v>8658.24</v>
      </c>
      <c r="I2" s="141" t="n">
        <f aca="false">SUMIFS('Volumes por intervalo'!$J$2:$J$649,'Volumes por intervalo'!$D$2:$D$649,A2)</f>
        <v>11860.768</v>
      </c>
      <c r="J2" s="141" t="n">
        <f aca="false">SUMIFS('Volumes por intervalo'!$K$2:$K$649,'Volumes por intervalo'!$D$2:$D$649,A2)</f>
        <v>15540.52</v>
      </c>
      <c r="K2" s="141" t="n">
        <f aca="false">SUMIFS('Volumes por intervalo'!$L$2:$L$649,'Volumes por intervalo'!$D$2:$D$649,A2)</f>
        <v>24650.58</v>
      </c>
      <c r="L2" s="141" t="n">
        <f aca="false">SUMIFS('Volumes por intervalo'!$M$2:$M$649,'Volumes por intervalo'!$D$2:$D$649,A2)</f>
        <v>73109</v>
      </c>
      <c r="M2" s="141" t="n">
        <f aca="false">SUMIFS('Volumes por intervalo'!$N$2:$N$649,'Volumes por intervalo'!$D$2:$D$649,A2)</f>
        <v>73109</v>
      </c>
      <c r="N2" s="141" t="n">
        <f aca="false">SUMIFS('Volumes por intervalo'!$O$2:$O$649,'Volumes por intervalo'!$D$2:$D$649,A2)</f>
        <v>84082.6</v>
      </c>
      <c r="O2" s="141" t="n">
        <f aca="false">SUMIFS('Volumes por intervalo'!$P$2:$P$649,'Volumes por intervalo'!$D$2:$D$649,A2)</f>
        <v>0</v>
      </c>
      <c r="P2" s="141" t="n">
        <f aca="false">SUMIFS('Volumes por intervalo'!$Q$2:$Q$649,'Volumes por intervalo'!$D$2:$D$649,A2)</f>
        <v>0</v>
      </c>
      <c r="Q2" s="141" t="n">
        <f aca="false">SUMIFS('Volumes por intervalo'!$R$2:$R$649,'Volumes por intervalo'!$D$2:$D$649,A2)</f>
        <v>0</v>
      </c>
      <c r="R2" s="141" t="n">
        <f aca="false">SUMIFS('Volumes por intervalo'!$S$2:$S$649,'Volumes por intervalo'!$D$2:$D$649,A2)</f>
        <v>0</v>
      </c>
    </row>
    <row r="3" customFormat="false" ht="15" hidden="false" customHeight="false" outlineLevel="0" collapsed="false">
      <c r="A3" s="138" t="s">
        <v>1570</v>
      </c>
      <c r="B3" s="138" t="s">
        <v>1571</v>
      </c>
      <c r="C3" s="140" t="s">
        <v>1572</v>
      </c>
      <c r="D3" s="138" t="s">
        <v>1569</v>
      </c>
      <c r="E3" s="138" t="s">
        <v>1573</v>
      </c>
      <c r="F3" s="141" t="n">
        <f aca="false">SUMIFS('Volumes por intervalo'!$C$2:$C$649,'Volumes por intervalo'!$D$2:$D$649,A3)</f>
        <v>260</v>
      </c>
      <c r="G3" s="141" t="n">
        <f aca="false">SUMIFS('Volumes por intervalo'!$H$2:$H$649,'Volumes por intervalo'!$D$2:$D$649,A3)</f>
        <v>230</v>
      </c>
      <c r="H3" s="141" t="n">
        <f aca="false">SUMIFS('Volumes por intervalo'!$I$2:$I$649,'Volumes por intervalo'!$D$2:$D$649,A3)</f>
        <v>552</v>
      </c>
      <c r="I3" s="141" t="n">
        <f aca="false">SUMIFS('Volumes por intervalo'!$J$2:$J$649,'Volumes por intervalo'!$D$2:$D$649,A3)</f>
        <v>748.896</v>
      </c>
      <c r="J3" s="141" t="n">
        <f aca="false">SUMIFS('Volumes por intervalo'!$K$2:$K$649,'Volumes por intervalo'!$D$2:$D$649,A3)</f>
        <v>965.24</v>
      </c>
      <c r="K3" s="141" t="n">
        <f aca="false">SUMIFS('Volumes por intervalo'!$L$2:$L$649,'Volumes por intervalo'!$D$2:$D$649,A3)</f>
        <v>1502.46</v>
      </c>
      <c r="L3" s="141" t="n">
        <f aca="false">SUMIFS('Volumes por intervalo'!$M$2:$M$649,'Volumes por intervalo'!$D$2:$D$649,A3)</f>
        <v>4639</v>
      </c>
      <c r="M3" s="141" t="n">
        <f aca="false">SUMIFS('Volumes por intervalo'!$N$2:$N$649,'Volumes por intervalo'!$D$2:$D$649,A3)</f>
        <v>4639</v>
      </c>
      <c r="N3" s="141" t="n">
        <f aca="false">SUMIFS('Volumes por intervalo'!$O$2:$O$649,'Volumes por intervalo'!$D$2:$D$649,A3)</f>
        <v>5086.2</v>
      </c>
      <c r="O3" s="141" t="n">
        <f aca="false">SUMIFS('Volumes por intervalo'!$P$2:$P$649,'Volumes por intervalo'!$D$2:$D$649,A3)</f>
        <v>0</v>
      </c>
      <c r="P3" s="141" t="n">
        <f aca="false">SUMIFS('Volumes por intervalo'!$Q$2:$Q$649,'Volumes por intervalo'!$D$2:$D$649,A3)</f>
        <v>0</v>
      </c>
      <c r="Q3" s="141" t="n">
        <f aca="false">SUMIFS('Volumes por intervalo'!$R$2:$R$649,'Volumes por intervalo'!$D$2:$D$649,A3)</f>
        <v>0</v>
      </c>
      <c r="R3" s="141" t="n">
        <f aca="false">SUMIFS('Volumes por intervalo'!$S$2:$S$649,'Volumes por intervalo'!$D$2:$D$649,A3)</f>
        <v>0</v>
      </c>
    </row>
    <row r="4" customFormat="false" ht="15" hidden="false" customHeight="false" outlineLevel="0" collapsed="false">
      <c r="A4" s="138" t="s">
        <v>1574</v>
      </c>
      <c r="B4" s="138" t="s">
        <v>1566</v>
      </c>
      <c r="C4" s="140" t="s">
        <v>1567</v>
      </c>
      <c r="D4" s="138" t="s">
        <v>1573</v>
      </c>
      <c r="E4" s="138" t="s">
        <v>1575</v>
      </c>
      <c r="F4" s="141" t="n">
        <f aca="false">SUMIFS('Volumes por intervalo'!$C$2:$C$649,'Volumes por intervalo'!$D$2:$D$649,A4)</f>
        <v>1210</v>
      </c>
      <c r="G4" s="141" t="n">
        <f aca="false">SUMIFS('Volumes por intervalo'!$H$2:$H$649,'Volumes por intervalo'!$D$2:$D$649,A4)</f>
        <v>701.375</v>
      </c>
      <c r="H4" s="141" t="n">
        <f aca="false">SUMIFS('Volumes por intervalo'!$I$2:$I$649,'Volumes por intervalo'!$D$2:$D$649,A4)</f>
        <v>1683.3</v>
      </c>
      <c r="I4" s="141" t="n">
        <f aca="false">SUMIFS('Volumes por intervalo'!$J$2:$J$649,'Volumes por intervalo'!$D$2:$D$649,A4)</f>
        <v>2304.416</v>
      </c>
      <c r="J4" s="141" t="n">
        <f aca="false">SUMIFS('Volumes por intervalo'!$K$2:$K$649,'Volumes por intervalo'!$D$2:$D$649,A4)</f>
        <v>3016.04</v>
      </c>
      <c r="K4" s="141" t="n">
        <f aca="false">SUMIFS('Volumes por intervalo'!$L$2:$L$649,'Volumes por intervalo'!$D$2:$D$649,A4)</f>
        <v>4778.16</v>
      </c>
      <c r="L4" s="141" t="n">
        <f aca="false">SUMIFS('Volumes por intervalo'!$M$2:$M$649,'Volumes por intervalo'!$D$2:$D$649,A4)</f>
        <v>14209</v>
      </c>
      <c r="M4" s="141" t="n">
        <f aca="false">SUMIFS('Volumes por intervalo'!$N$2:$N$649,'Volumes por intervalo'!$D$2:$D$649,A4)</f>
        <v>14209</v>
      </c>
      <c r="N4" s="141" t="n">
        <f aca="false">SUMIFS('Volumes por intervalo'!$O$2:$O$649,'Volumes por intervalo'!$D$2:$D$649,A4)</f>
        <v>16290.2</v>
      </c>
      <c r="O4" s="141" t="n">
        <f aca="false">SUMIFS('Volumes por intervalo'!$P$2:$P$649,'Volumes por intervalo'!$D$2:$D$649,A4)</f>
        <v>0</v>
      </c>
      <c r="P4" s="141" t="n">
        <f aca="false">SUMIFS('Volumes por intervalo'!$Q$2:$Q$649,'Volumes por intervalo'!$D$2:$D$649,A4)</f>
        <v>0</v>
      </c>
      <c r="Q4" s="141" t="n">
        <f aca="false">SUMIFS('Volumes por intervalo'!$R$2:$R$649,'Volumes por intervalo'!$D$2:$D$649,A4)</f>
        <v>0</v>
      </c>
      <c r="R4" s="141" t="n">
        <f aca="false">SUMIFS('Volumes por intervalo'!$S$2:$S$649,'Volumes por intervalo'!$D$2:$D$649,A4)</f>
        <v>0</v>
      </c>
    </row>
    <row r="5" customFormat="false" ht="22.35" hidden="false" customHeight="false" outlineLevel="0" collapsed="false">
      <c r="A5" s="138" t="s">
        <v>1576</v>
      </c>
      <c r="B5" s="138" t="s">
        <v>1577</v>
      </c>
      <c r="C5" s="140" t="s">
        <v>1578</v>
      </c>
      <c r="D5" s="138" t="s">
        <v>1575</v>
      </c>
      <c r="E5" s="138" t="s">
        <v>1579</v>
      </c>
      <c r="F5" s="141" t="n">
        <f aca="false">SUMIFS('Volumes por intervalo'!$C$2:$C$649,'Volumes por intervalo'!$D$2:$D$649,A5)</f>
        <v>190</v>
      </c>
      <c r="G5" s="141" t="n">
        <f aca="false">SUMIFS('Volumes por intervalo'!$H$2:$H$649,'Volumes por intervalo'!$D$2:$D$649,A5)</f>
        <v>124.6</v>
      </c>
      <c r="H5" s="141" t="n">
        <f aca="false">SUMIFS('Volumes por intervalo'!$I$2:$I$649,'Volumes por intervalo'!$D$2:$D$649,A5)</f>
        <v>299.04</v>
      </c>
      <c r="I5" s="141" t="n">
        <f aca="false">SUMIFS('Volumes por intervalo'!$J$2:$J$649,'Volumes por intervalo'!$D$2:$D$649,A5)</f>
        <v>408.144</v>
      </c>
      <c r="J5" s="141" t="n">
        <f aca="false">SUMIFS('Volumes por intervalo'!$K$2:$K$649,'Volumes por intervalo'!$D$2:$D$649,A5)</f>
        <v>531.46</v>
      </c>
      <c r="K5" s="141" t="n">
        <f aca="false">SUMIFS('Volumes por intervalo'!$L$2:$L$649,'Volumes por intervalo'!$D$2:$D$649,A5)</f>
        <v>837.09</v>
      </c>
      <c r="L5" s="141" t="n">
        <f aca="false">SUMIFS('Volumes por intervalo'!$M$2:$M$649,'Volumes por intervalo'!$D$2:$D$649,A5)</f>
        <v>2520.5</v>
      </c>
      <c r="M5" s="141" t="n">
        <f aca="false">SUMIFS('Volumes por intervalo'!$N$2:$N$649,'Volumes por intervalo'!$D$2:$D$649,A5)</f>
        <v>2520.5</v>
      </c>
      <c r="N5" s="141" t="n">
        <f aca="false">SUMIFS('Volumes por intervalo'!$O$2:$O$649,'Volumes por intervalo'!$D$2:$D$649,A5)</f>
        <v>2847.3</v>
      </c>
      <c r="O5" s="141" t="n">
        <f aca="false">SUMIFS('Volumes por intervalo'!$P$2:$P$649,'Volumes por intervalo'!$D$2:$D$649,A5)</f>
        <v>0</v>
      </c>
      <c r="P5" s="141" t="n">
        <f aca="false">SUMIFS('Volumes por intervalo'!$Q$2:$Q$649,'Volumes por intervalo'!$D$2:$D$649,A5)</f>
        <v>0</v>
      </c>
      <c r="Q5" s="141" t="n">
        <f aca="false">SUMIFS('Volumes por intervalo'!$R$2:$R$649,'Volumes por intervalo'!$D$2:$D$649,A5)</f>
        <v>0</v>
      </c>
      <c r="R5" s="141" t="n">
        <f aca="false">SUMIFS('Volumes por intervalo'!$S$2:$S$649,'Volumes por intervalo'!$D$2:$D$649,A5)</f>
        <v>0</v>
      </c>
    </row>
    <row r="6" customFormat="false" ht="15" hidden="false" customHeight="false" outlineLevel="0" collapsed="false">
      <c r="A6" s="138" t="s">
        <v>1580</v>
      </c>
      <c r="B6" s="138" t="s">
        <v>1566</v>
      </c>
      <c r="C6" s="140" t="s">
        <v>1567</v>
      </c>
      <c r="D6" s="138" t="s">
        <v>1579</v>
      </c>
      <c r="E6" s="138" t="s">
        <v>1581</v>
      </c>
      <c r="F6" s="141" t="n">
        <f aca="false">SUMIFS('Volumes por intervalo'!$C$2:$C$649,'Volumes por intervalo'!$D$2:$D$649,A6)</f>
        <v>1710</v>
      </c>
      <c r="G6" s="141" t="n">
        <f aca="false">SUMIFS('Volumes por intervalo'!$H$2:$H$649,'Volumes por intervalo'!$D$2:$D$649,A6)</f>
        <v>1000.125</v>
      </c>
      <c r="H6" s="141" t="n">
        <f aca="false">SUMIFS('Volumes por intervalo'!$I$2:$I$649,'Volumes por intervalo'!$D$2:$D$649,A6)</f>
        <v>2400.3</v>
      </c>
      <c r="I6" s="141" t="n">
        <f aca="false">SUMIFS('Volumes por intervalo'!$J$2:$J$649,'Volumes por intervalo'!$D$2:$D$649,A6)</f>
        <v>3285.216</v>
      </c>
      <c r="J6" s="141" t="n">
        <f aca="false">SUMIFS('Volumes por intervalo'!$K$2:$K$649,'Volumes por intervalo'!$D$2:$D$649,A6)</f>
        <v>4298.04</v>
      </c>
      <c r="K6" s="141" t="n">
        <f aca="false">SUMIFS('Volumes por intervalo'!$L$2:$L$649,'Volumes por intervalo'!$D$2:$D$649,A6)</f>
        <v>6806.16</v>
      </c>
      <c r="L6" s="141" t="n">
        <f aca="false">SUMIFS('Volumes por intervalo'!$M$2:$M$649,'Volumes por intervalo'!$D$2:$D$649,A6)</f>
        <v>20259</v>
      </c>
      <c r="M6" s="141" t="n">
        <f aca="false">SUMIFS('Volumes por intervalo'!$N$2:$N$649,'Volumes por intervalo'!$D$2:$D$649,A6)</f>
        <v>20259</v>
      </c>
      <c r="N6" s="141" t="n">
        <f aca="false">SUMIFS('Volumes por intervalo'!$O$2:$O$649,'Volumes por intervalo'!$D$2:$D$649,A6)</f>
        <v>23200.2</v>
      </c>
      <c r="O6" s="141" t="n">
        <f aca="false">SUMIFS('Volumes por intervalo'!$P$2:$P$649,'Volumes por intervalo'!$D$2:$D$649,A6)</f>
        <v>0</v>
      </c>
      <c r="P6" s="141" t="n">
        <f aca="false">SUMIFS('Volumes por intervalo'!$Q$2:$Q$649,'Volumes por intervalo'!$D$2:$D$649,A6)</f>
        <v>0</v>
      </c>
      <c r="Q6" s="141" t="n">
        <f aca="false">SUMIFS('Volumes por intervalo'!$R$2:$R$649,'Volumes por intervalo'!$D$2:$D$649,A6)</f>
        <v>0</v>
      </c>
      <c r="R6" s="141" t="n">
        <f aca="false">SUMIFS('Volumes por intervalo'!$S$2:$S$649,'Volumes por intervalo'!$D$2:$D$649,A6)</f>
        <v>0</v>
      </c>
    </row>
    <row r="7" customFormat="false" ht="15" hidden="false" customHeight="false" outlineLevel="0" collapsed="false">
      <c r="A7" s="138" t="s">
        <v>1582</v>
      </c>
      <c r="B7" s="138" t="s">
        <v>1583</v>
      </c>
      <c r="C7" s="140" t="s">
        <v>1584</v>
      </c>
      <c r="D7" s="138" t="s">
        <v>1581</v>
      </c>
      <c r="E7" s="138" t="s">
        <v>1585</v>
      </c>
      <c r="F7" s="141" t="n">
        <f aca="false">SUMIFS('Volumes por intervalo'!$C$2:$C$649,'Volumes por intervalo'!$D$2:$D$649,A7)</f>
        <v>90</v>
      </c>
      <c r="G7" s="141" t="n">
        <f aca="false">SUMIFS('Volumes por intervalo'!$H$2:$H$649,'Volumes por intervalo'!$D$2:$D$649,A7)</f>
        <v>64.225</v>
      </c>
      <c r="H7" s="141" t="n">
        <f aca="false">SUMIFS('Volumes por intervalo'!$I$2:$I$649,'Volumes por intervalo'!$D$2:$D$649,A7)</f>
        <v>154.14</v>
      </c>
      <c r="I7" s="141" t="n">
        <f aca="false">SUMIFS('Volumes por intervalo'!$J$2:$J$649,'Volumes por intervalo'!$D$2:$D$649,A7)</f>
        <v>209.984</v>
      </c>
      <c r="J7" s="141" t="n">
        <f aca="false">SUMIFS('Volumes por intervalo'!$K$2:$K$649,'Volumes por intervalo'!$D$2:$D$649,A7)</f>
        <v>272.56</v>
      </c>
      <c r="K7" s="141" t="n">
        <f aca="false">SUMIFS('Volumes por intervalo'!$L$2:$L$649,'Volumes por intervalo'!$D$2:$D$649,A7)</f>
        <v>427.74</v>
      </c>
      <c r="L7" s="141" t="n">
        <f aca="false">SUMIFS('Volumes por intervalo'!$M$2:$M$649,'Volumes por intervalo'!$D$2:$D$649,A7)</f>
        <v>1298</v>
      </c>
      <c r="M7" s="141" t="n">
        <f aca="false">SUMIFS('Volumes por intervalo'!$N$2:$N$649,'Volumes por intervalo'!$D$2:$D$649,A7)</f>
        <v>1298</v>
      </c>
      <c r="N7" s="141" t="n">
        <f aca="false">SUMIFS('Volumes por intervalo'!$O$2:$O$649,'Volumes por intervalo'!$D$2:$D$649,A7)</f>
        <v>1452.8</v>
      </c>
      <c r="O7" s="141" t="n">
        <f aca="false">SUMIFS('Volumes por intervalo'!$P$2:$P$649,'Volumes por intervalo'!$D$2:$D$649,A7)</f>
        <v>0</v>
      </c>
      <c r="P7" s="141" t="n">
        <f aca="false">SUMIFS('Volumes por intervalo'!$Q$2:$Q$649,'Volumes por intervalo'!$D$2:$D$649,A7)</f>
        <v>0</v>
      </c>
      <c r="Q7" s="141" t="n">
        <f aca="false">SUMIFS('Volumes por intervalo'!$R$2:$R$649,'Volumes por intervalo'!$D$2:$D$649,A7)</f>
        <v>0</v>
      </c>
      <c r="R7" s="141" t="n">
        <f aca="false">SUMIFS('Volumes por intervalo'!$S$2:$S$649,'Volumes por intervalo'!$D$2:$D$649,A7)</f>
        <v>0</v>
      </c>
    </row>
    <row r="8" customFormat="false" ht="15" hidden="false" customHeight="false" outlineLevel="0" collapsed="false">
      <c r="A8" s="138" t="s">
        <v>1586</v>
      </c>
      <c r="B8" s="138" t="s">
        <v>1587</v>
      </c>
      <c r="C8" s="140" t="s">
        <v>1588</v>
      </c>
      <c r="D8" s="138" t="s">
        <v>1585</v>
      </c>
      <c r="E8" s="138" t="s">
        <v>1589</v>
      </c>
      <c r="F8" s="141" t="n">
        <f aca="false">SUMIFS('Volumes por intervalo'!$C$2:$C$649,'Volumes por intervalo'!$D$2:$D$649,A8)</f>
        <v>80</v>
      </c>
      <c r="G8" s="141" t="n">
        <f aca="false">SUMIFS('Volumes por intervalo'!$H$2:$H$649,'Volumes por intervalo'!$D$2:$D$649,A8)</f>
        <v>64.9</v>
      </c>
      <c r="H8" s="141" t="n">
        <f aca="false">SUMIFS('Volumes por intervalo'!$I$2:$I$649,'Volumes por intervalo'!$D$2:$D$649,A8)</f>
        <v>155.76</v>
      </c>
      <c r="I8" s="141" t="n">
        <f aca="false">SUMIFS('Volumes por intervalo'!$J$2:$J$649,'Volumes por intervalo'!$D$2:$D$649,A8)</f>
        <v>211.648</v>
      </c>
      <c r="J8" s="141" t="n">
        <f aca="false">SUMIFS('Volumes por intervalo'!$K$2:$K$649,'Volumes por intervalo'!$D$2:$D$649,A8)</f>
        <v>273.52</v>
      </c>
      <c r="K8" s="141" t="n">
        <f aca="false">SUMIFS('Volumes por intervalo'!$L$2:$L$649,'Volumes por intervalo'!$D$2:$D$649,A8)</f>
        <v>427.08</v>
      </c>
      <c r="L8" s="141" t="n">
        <f aca="false">SUMIFS('Volumes por intervalo'!$M$2:$M$649,'Volumes por intervalo'!$D$2:$D$649,A8)</f>
        <v>1310</v>
      </c>
      <c r="M8" s="141" t="n">
        <f aca="false">SUMIFS('Volumes por intervalo'!$N$2:$N$649,'Volumes por intervalo'!$D$2:$D$649,A8)</f>
        <v>1310</v>
      </c>
      <c r="N8" s="141" t="n">
        <f aca="false">SUMIFS('Volumes por intervalo'!$O$2:$O$649,'Volumes por intervalo'!$D$2:$D$649,A8)</f>
        <v>1447.6</v>
      </c>
      <c r="O8" s="141" t="n">
        <f aca="false">SUMIFS('Volumes por intervalo'!$P$2:$P$649,'Volumes por intervalo'!$D$2:$D$649,A8)</f>
        <v>0</v>
      </c>
      <c r="P8" s="141" t="n">
        <f aca="false">SUMIFS('Volumes por intervalo'!$Q$2:$Q$649,'Volumes por intervalo'!$D$2:$D$649,A8)</f>
        <v>0</v>
      </c>
      <c r="Q8" s="141" t="n">
        <f aca="false">SUMIFS('Volumes por intervalo'!$R$2:$R$649,'Volumes por intervalo'!$D$2:$D$649,A8)</f>
        <v>0</v>
      </c>
      <c r="R8" s="141" t="n">
        <f aca="false">SUMIFS('Volumes por intervalo'!$S$2:$S$649,'Volumes por intervalo'!$D$2:$D$649,A8)</f>
        <v>0</v>
      </c>
    </row>
    <row r="9" customFormat="false" ht="15" hidden="false" customHeight="false" outlineLevel="0" collapsed="false">
      <c r="A9" s="138" t="s">
        <v>1590</v>
      </c>
      <c r="B9" s="138" t="s">
        <v>1591</v>
      </c>
      <c r="C9" s="140" t="s">
        <v>1592</v>
      </c>
      <c r="D9" s="138" t="s">
        <v>1589</v>
      </c>
      <c r="E9" s="138" t="s">
        <v>1593</v>
      </c>
      <c r="F9" s="141" t="n">
        <f aca="false">SUMIFS('Volumes por intervalo'!$C$2:$C$649,'Volumes por intervalo'!$D$2:$D$649,A9)</f>
        <v>410</v>
      </c>
      <c r="G9" s="141" t="n">
        <f aca="false">SUMIFS('Volumes por intervalo'!$H$2:$H$649,'Volumes por intervalo'!$D$2:$D$649,A9)</f>
        <v>282.175</v>
      </c>
      <c r="H9" s="141" t="n">
        <f aca="false">SUMIFS('Volumes por intervalo'!$I$2:$I$649,'Volumes por intervalo'!$D$2:$D$649,A9)</f>
        <v>677.22</v>
      </c>
      <c r="I9" s="141" t="n">
        <f aca="false">SUMIFS('Volumes por intervalo'!$J$2:$J$649,'Volumes por intervalo'!$D$2:$D$649,A9)</f>
        <v>923.296</v>
      </c>
      <c r="J9" s="141" t="n">
        <f aca="false">SUMIFS('Volumes por intervalo'!$K$2:$K$649,'Volumes por intervalo'!$D$2:$D$649,A9)</f>
        <v>1200.04</v>
      </c>
      <c r="K9" s="141" t="n">
        <f aca="false">SUMIFS('Volumes por intervalo'!$L$2:$L$649,'Volumes por intervalo'!$D$2:$D$649,A9)</f>
        <v>1886.16</v>
      </c>
      <c r="L9" s="141" t="n">
        <f aca="false">SUMIFS('Volumes por intervalo'!$M$2:$M$649,'Volumes por intervalo'!$D$2:$D$649,A9)</f>
        <v>5705</v>
      </c>
      <c r="M9" s="141" t="n">
        <f aca="false">SUMIFS('Volumes por intervalo'!$N$2:$N$649,'Volumes por intervalo'!$D$2:$D$649,A9)</f>
        <v>5705</v>
      </c>
      <c r="N9" s="141" t="n">
        <f aca="false">SUMIFS('Volumes por intervalo'!$O$2:$O$649,'Volumes por intervalo'!$D$2:$D$649,A9)</f>
        <v>6410.2</v>
      </c>
      <c r="O9" s="141" t="n">
        <f aca="false">SUMIFS('Volumes por intervalo'!$P$2:$P$649,'Volumes por intervalo'!$D$2:$D$649,A9)</f>
        <v>0</v>
      </c>
      <c r="P9" s="141" t="n">
        <f aca="false">SUMIFS('Volumes por intervalo'!$Q$2:$Q$649,'Volumes por intervalo'!$D$2:$D$649,A9)</f>
        <v>0</v>
      </c>
      <c r="Q9" s="141" t="n">
        <f aca="false">SUMIFS('Volumes por intervalo'!$R$2:$R$649,'Volumes por intervalo'!$D$2:$D$649,A9)</f>
        <v>0</v>
      </c>
      <c r="R9" s="141" t="n">
        <f aca="false">SUMIFS('Volumes por intervalo'!$S$2:$S$649,'Volumes por intervalo'!$D$2:$D$649,A9)</f>
        <v>0</v>
      </c>
    </row>
    <row r="10" customFormat="false" ht="15" hidden="false" customHeight="false" outlineLevel="0" collapsed="false">
      <c r="A10" s="138" t="s">
        <v>1594</v>
      </c>
      <c r="B10" s="138" t="s">
        <v>1566</v>
      </c>
      <c r="C10" s="140" t="s">
        <v>1567</v>
      </c>
      <c r="D10" s="138" t="s">
        <v>1593</v>
      </c>
      <c r="E10" s="138" t="s">
        <v>1595</v>
      </c>
      <c r="F10" s="141" t="n">
        <f aca="false">SUMIFS('Volumes por intervalo'!$C$2:$C$649,'Volumes por intervalo'!$D$2:$D$649,A10)</f>
        <v>1630</v>
      </c>
      <c r="G10" s="141" t="n">
        <f aca="false">SUMIFS('Volumes por intervalo'!$H$2:$H$649,'Volumes por intervalo'!$D$2:$D$649,A10)</f>
        <v>909.875</v>
      </c>
      <c r="H10" s="141" t="n">
        <f aca="false">SUMIFS('Volumes por intervalo'!$I$2:$I$649,'Volumes por intervalo'!$D$2:$D$649,A10)</f>
        <v>2183.7</v>
      </c>
      <c r="I10" s="141" t="n">
        <f aca="false">SUMIFS('Volumes por intervalo'!$J$2:$J$649,'Volumes por intervalo'!$D$2:$D$649,A10)</f>
        <v>2992.448</v>
      </c>
      <c r="J10" s="141" t="n">
        <f aca="false">SUMIFS('Volumes por intervalo'!$K$2:$K$649,'Volumes por intervalo'!$D$2:$D$649,A10)</f>
        <v>3923.12</v>
      </c>
      <c r="K10" s="141" t="n">
        <f aca="false">SUMIFS('Volumes por intervalo'!$L$2:$L$649,'Volumes por intervalo'!$D$2:$D$649,A10)</f>
        <v>6226.98</v>
      </c>
      <c r="L10" s="141" t="n">
        <f aca="false">SUMIFS('Volumes por intervalo'!$M$2:$M$649,'Volumes por intervalo'!$D$2:$D$649,A10)</f>
        <v>18442</v>
      </c>
      <c r="M10" s="141" t="n">
        <f aca="false">SUMIFS('Volumes por intervalo'!$N$2:$N$649,'Volumes por intervalo'!$D$2:$D$649,A10)</f>
        <v>18442</v>
      </c>
      <c r="N10" s="141" t="n">
        <f aca="false">SUMIFS('Volumes por intervalo'!$O$2:$O$649,'Volumes por intervalo'!$D$2:$D$649,A10)</f>
        <v>21245.6</v>
      </c>
      <c r="O10" s="141" t="n">
        <f aca="false">SUMIFS('Volumes por intervalo'!$P$2:$P$649,'Volumes por intervalo'!$D$2:$D$649,A10)</f>
        <v>0</v>
      </c>
      <c r="P10" s="141" t="n">
        <f aca="false">SUMIFS('Volumes por intervalo'!$Q$2:$Q$649,'Volumes por intervalo'!$D$2:$D$649,A10)</f>
        <v>0</v>
      </c>
      <c r="Q10" s="141" t="n">
        <f aca="false">SUMIFS('Volumes por intervalo'!$R$2:$R$649,'Volumes por intervalo'!$D$2:$D$649,A10)</f>
        <v>0</v>
      </c>
      <c r="R10" s="141" t="n">
        <f aca="false">SUMIFS('Volumes por intervalo'!$S$2:$S$649,'Volumes por intervalo'!$D$2:$D$649,A10)</f>
        <v>0</v>
      </c>
    </row>
    <row r="11" customFormat="false" ht="15" hidden="false" customHeight="false" outlineLevel="0" collapsed="false">
      <c r="A11" s="138" t="s">
        <v>1596</v>
      </c>
      <c r="B11" s="138" t="s">
        <v>1597</v>
      </c>
      <c r="C11" s="140" t="s">
        <v>1598</v>
      </c>
      <c r="D11" s="138" t="s">
        <v>1595</v>
      </c>
      <c r="E11" s="138" t="s">
        <v>1599</v>
      </c>
      <c r="F11" s="141" t="n">
        <f aca="false">SUMIFS('Volumes por intervalo'!$C$2:$C$649,'Volumes por intervalo'!$D$2:$D$649,A11)</f>
        <v>80</v>
      </c>
      <c r="G11" s="141" t="n">
        <f aca="false">SUMIFS('Volumes por intervalo'!$H$2:$H$649,'Volumes por intervalo'!$D$2:$D$649,A11)</f>
        <v>44.2</v>
      </c>
      <c r="H11" s="141" t="n">
        <f aca="false">SUMIFS('Volumes por intervalo'!$I$2:$I$649,'Volumes por intervalo'!$D$2:$D$649,A11)</f>
        <v>106.08</v>
      </c>
      <c r="I11" s="141" t="n">
        <f aca="false">SUMIFS('Volumes por intervalo'!$J$2:$J$649,'Volumes por intervalo'!$D$2:$D$649,A11)</f>
        <v>145.408</v>
      </c>
      <c r="J11" s="141" t="n">
        <f aca="false">SUMIFS('Volumes por intervalo'!$K$2:$K$649,'Volumes por intervalo'!$D$2:$D$649,A11)</f>
        <v>190.72</v>
      </c>
      <c r="K11" s="141" t="n">
        <f aca="false">SUMIFS('Volumes por intervalo'!$L$2:$L$649,'Volumes por intervalo'!$D$2:$D$649,A11)</f>
        <v>302.88</v>
      </c>
      <c r="L11" s="141" t="n">
        <f aca="false">SUMIFS('Volumes por intervalo'!$M$2:$M$649,'Volumes por intervalo'!$D$2:$D$649,A11)</f>
        <v>896</v>
      </c>
      <c r="M11" s="141" t="n">
        <f aca="false">SUMIFS('Volumes por intervalo'!$N$2:$N$649,'Volumes por intervalo'!$D$2:$D$649,A11)</f>
        <v>896</v>
      </c>
      <c r="N11" s="141" t="n">
        <f aca="false">SUMIFS('Volumes por intervalo'!$O$2:$O$649,'Volumes por intervalo'!$D$2:$D$649,A11)</f>
        <v>1033.6</v>
      </c>
      <c r="O11" s="141" t="n">
        <f aca="false">SUMIFS('Volumes por intervalo'!$P$2:$P$649,'Volumes por intervalo'!$D$2:$D$649,A11)</f>
        <v>13.5</v>
      </c>
      <c r="P11" s="141" t="n">
        <f aca="false">SUMIFS('Volumes por intervalo'!$Q$2:$Q$649,'Volumes por intervalo'!$D$2:$D$649,A11)</f>
        <v>11.25</v>
      </c>
      <c r="Q11" s="141" t="n">
        <f aca="false">SUMIFS('Volumes por intervalo'!$R$2:$R$649,'Volumes por intervalo'!$D$2:$D$649,A11)</f>
        <v>225</v>
      </c>
      <c r="R11" s="141" t="n">
        <f aca="false">SUMIFS('Volumes por intervalo'!$S$2:$S$649,'Volumes por intervalo'!$D$2:$D$649,A11)</f>
        <v>0</v>
      </c>
    </row>
    <row r="12" customFormat="false" ht="15" hidden="false" customHeight="false" outlineLevel="0" collapsed="false">
      <c r="A12" s="138" t="s">
        <v>1600</v>
      </c>
      <c r="B12" s="138" t="s">
        <v>1601</v>
      </c>
      <c r="C12" s="140" t="s">
        <v>1602</v>
      </c>
      <c r="D12" s="138" t="s">
        <v>1599</v>
      </c>
      <c r="E12" s="138" t="s">
        <v>1603</v>
      </c>
      <c r="F12" s="141" t="n">
        <f aca="false">SUMIFS('Volumes por intervalo'!$C$2:$C$649,'Volumes por intervalo'!$D$2:$D$649,A12)</f>
        <v>430</v>
      </c>
      <c r="G12" s="141" t="n">
        <f aca="false">SUMIFS('Volumes por intervalo'!$H$2:$H$649,'Volumes por intervalo'!$D$2:$D$649,A12)</f>
        <v>218.075</v>
      </c>
      <c r="H12" s="141" t="n">
        <f aca="false">SUMIFS('Volumes por intervalo'!$I$2:$I$649,'Volumes por intervalo'!$D$2:$D$649,A12)</f>
        <v>523.38</v>
      </c>
      <c r="I12" s="141" t="n">
        <f aca="false">SUMIFS('Volumes por intervalo'!$J$2:$J$649,'Volumes por intervalo'!$D$2:$D$649,A12)</f>
        <v>719.168</v>
      </c>
      <c r="J12" s="141" t="n">
        <f aca="false">SUMIFS('Volumes por intervalo'!$K$2:$K$649,'Volumes por intervalo'!$D$2:$D$649,A12)</f>
        <v>947.12</v>
      </c>
      <c r="K12" s="141" t="n">
        <f aca="false">SUMIFS('Volumes por intervalo'!$L$2:$L$649,'Volumes por intervalo'!$D$2:$D$649,A12)</f>
        <v>1510.98</v>
      </c>
      <c r="L12" s="141" t="n">
        <f aca="false">SUMIFS('Volumes por intervalo'!$M$2:$M$649,'Volumes por intervalo'!$D$2:$D$649,A12)</f>
        <v>4426</v>
      </c>
      <c r="M12" s="141" t="n">
        <f aca="false">SUMIFS('Volumes por intervalo'!$N$2:$N$649,'Volumes por intervalo'!$D$2:$D$649,A12)</f>
        <v>4426</v>
      </c>
      <c r="N12" s="141" t="n">
        <f aca="false">SUMIFS('Volumes por intervalo'!$O$2:$O$649,'Volumes por intervalo'!$D$2:$D$649,A12)</f>
        <v>5165.6</v>
      </c>
      <c r="O12" s="141" t="n">
        <f aca="false">SUMIFS('Volumes por intervalo'!$P$2:$P$649,'Volumes por intervalo'!$D$2:$D$649,A12)</f>
        <v>135.78</v>
      </c>
      <c r="P12" s="141" t="n">
        <f aca="false">SUMIFS('Volumes por intervalo'!$Q$2:$Q$649,'Volumes por intervalo'!$D$2:$D$649,A12)</f>
        <v>113.15</v>
      </c>
      <c r="Q12" s="141" t="n">
        <f aca="false">SUMIFS('Volumes por intervalo'!$R$2:$R$649,'Volumes por intervalo'!$D$2:$D$649,A12)</f>
        <v>2263</v>
      </c>
      <c r="R12" s="141" t="n">
        <f aca="false">SUMIFS('Volumes por intervalo'!$S$2:$S$649,'Volumes por intervalo'!$D$2:$D$649,A12)</f>
        <v>0</v>
      </c>
    </row>
    <row r="13" customFormat="false" ht="22.35" hidden="false" customHeight="false" outlineLevel="0" collapsed="false">
      <c r="A13" s="138" t="s">
        <v>1604</v>
      </c>
      <c r="B13" s="138" t="s">
        <v>1605</v>
      </c>
      <c r="C13" s="140" t="s">
        <v>1606</v>
      </c>
      <c r="D13" s="138" t="s">
        <v>1603</v>
      </c>
      <c r="E13" s="138" t="s">
        <v>1607</v>
      </c>
      <c r="F13" s="141" t="n">
        <f aca="false">SUMIFS('Volumes por intervalo'!$C$2:$C$649,'Volumes por intervalo'!$D$2:$D$649,A13)</f>
        <v>370</v>
      </c>
      <c r="G13" s="141" t="n">
        <f aca="false">SUMIFS('Volumes por intervalo'!$H$2:$H$649,'Volumes por intervalo'!$D$2:$D$649,A13)</f>
        <v>189.35</v>
      </c>
      <c r="H13" s="141" t="n">
        <f aca="false">SUMIFS('Volumes por intervalo'!$I$2:$I$649,'Volumes por intervalo'!$D$2:$D$649,A13)</f>
        <v>454.44</v>
      </c>
      <c r="I13" s="141" t="n">
        <f aca="false">SUMIFS('Volumes por intervalo'!$J$2:$J$649,'Volumes por intervalo'!$D$2:$D$649,A13)</f>
        <v>624.272</v>
      </c>
      <c r="J13" s="141" t="n">
        <f aca="false">SUMIFS('Volumes por intervalo'!$K$2:$K$649,'Volumes por intervalo'!$D$2:$D$649,A13)</f>
        <v>821.78</v>
      </c>
      <c r="K13" s="141" t="n">
        <f aca="false">SUMIFS('Volumes por intervalo'!$L$2:$L$649,'Volumes por intervalo'!$D$2:$D$649,A13)</f>
        <v>1310.37</v>
      </c>
      <c r="L13" s="141" t="n">
        <f aca="false">SUMIFS('Volumes por intervalo'!$M$2:$M$649,'Volumes por intervalo'!$D$2:$D$649,A13)</f>
        <v>3842.5</v>
      </c>
      <c r="M13" s="141" t="n">
        <f aca="false">SUMIFS('Volumes por intervalo'!$N$2:$N$649,'Volumes por intervalo'!$D$2:$D$649,A13)</f>
        <v>3842.5</v>
      </c>
      <c r="N13" s="141" t="n">
        <f aca="false">SUMIFS('Volumes por intervalo'!$O$2:$O$649,'Volumes por intervalo'!$D$2:$D$649,A13)</f>
        <v>4478.9</v>
      </c>
      <c r="O13" s="141" t="n">
        <f aca="false">SUMIFS('Volumes por intervalo'!$P$2:$P$649,'Volumes por intervalo'!$D$2:$D$649,A13)</f>
        <v>114</v>
      </c>
      <c r="P13" s="141" t="n">
        <f aca="false">SUMIFS('Volumes por intervalo'!$Q$2:$Q$649,'Volumes por intervalo'!$D$2:$D$649,A13)</f>
        <v>95</v>
      </c>
      <c r="Q13" s="141" t="n">
        <f aca="false">SUMIFS('Volumes por intervalo'!$R$2:$R$649,'Volumes por intervalo'!$D$2:$D$649,A13)</f>
        <v>1900</v>
      </c>
      <c r="R13" s="141" t="n">
        <f aca="false">SUMIFS('Volumes por intervalo'!$S$2:$S$649,'Volumes por intervalo'!$D$2:$D$649,A13)</f>
        <v>986.05</v>
      </c>
    </row>
    <row r="14" customFormat="false" ht="15" hidden="false" customHeight="false" outlineLevel="0" collapsed="false">
      <c r="A14" s="138" t="s">
        <v>1608</v>
      </c>
      <c r="B14" s="138" t="s">
        <v>1609</v>
      </c>
      <c r="C14" s="140" t="s">
        <v>1610</v>
      </c>
      <c r="D14" s="138" t="s">
        <v>1607</v>
      </c>
      <c r="E14" s="138" t="s">
        <v>1611</v>
      </c>
      <c r="F14" s="141" t="n">
        <f aca="false">SUMIFS('Volumes por intervalo'!$C$2:$C$649,'Volumes por intervalo'!$D$2:$D$649,A14)</f>
        <v>15.8169999999991</v>
      </c>
      <c r="G14" s="141" t="n">
        <f aca="false">SUMIFS('Volumes por intervalo'!$H$2:$H$649,'Volumes por intervalo'!$D$2:$D$649,A14)</f>
        <v>8.7388924999995</v>
      </c>
      <c r="H14" s="141" t="n">
        <f aca="false">SUMIFS('Volumes por intervalo'!$I$2:$I$649,'Volumes por intervalo'!$D$2:$D$649,A14)</f>
        <v>20.9733419999988</v>
      </c>
      <c r="I14" s="141" t="n">
        <f aca="false">SUMIFS('Volumes por intervalo'!$J$2:$J$649,'Volumes por intervalo'!$D$2:$D$649,A14)</f>
        <v>28.7489791999984</v>
      </c>
      <c r="J14" s="141" t="n">
        <f aca="false">SUMIFS('Volumes por intervalo'!$K$2:$K$649,'Volumes por intervalo'!$D$2:$D$649,A14)</f>
        <v>37.7077279999979</v>
      </c>
      <c r="K14" s="141" t="n">
        <f aca="false">SUMIFS('Volumes por intervalo'!$L$2:$L$649,'Volumes por intervalo'!$D$2:$D$649,A14)</f>
        <v>59.8831619999966</v>
      </c>
      <c r="L14" s="141" t="n">
        <f aca="false">SUMIFS('Volumes por intervalo'!$M$2:$M$649,'Volumes por intervalo'!$D$2:$D$649,A14)</f>
        <v>177.15039999999</v>
      </c>
      <c r="M14" s="141" t="n">
        <f aca="false">SUMIFS('Volumes por intervalo'!$N$2:$N$649,'Volumes por intervalo'!$D$2:$D$649,A14)</f>
        <v>177.15039999999</v>
      </c>
      <c r="N14" s="141" t="n">
        <f aca="false">SUMIFS('Volumes por intervalo'!$O$2:$O$649,'Volumes por intervalo'!$D$2:$D$649,A14)</f>
        <v>204.355639999988</v>
      </c>
      <c r="O14" s="141" t="n">
        <f aca="false">SUMIFS('Volumes por intervalo'!$P$2:$P$649,'Volumes por intervalo'!$D$2:$D$649,A14)</f>
        <v>5.69411999999968</v>
      </c>
      <c r="P14" s="141" t="n">
        <f aca="false">SUMIFS('Volumes por intervalo'!$Q$2:$Q$649,'Volumes por intervalo'!$D$2:$D$649,A14)</f>
        <v>4.74509999999973</v>
      </c>
      <c r="Q14" s="141" t="n">
        <f aca="false">SUMIFS('Volumes por intervalo'!$R$2:$R$649,'Volumes por intervalo'!$D$2:$D$649,A14)</f>
        <v>94.9019999999946</v>
      </c>
      <c r="R14" s="141" t="n">
        <f aca="false">SUMIFS('Volumes por intervalo'!$S$2:$S$649,'Volumes por intervalo'!$D$2:$D$649,A14)</f>
        <v>42.1523049999976</v>
      </c>
    </row>
    <row r="15" customFormat="false" ht="15" hidden="false" customHeight="false" outlineLevel="0" collapsed="false">
      <c r="A15" s="142" t="s">
        <v>1612</v>
      </c>
      <c r="F15" s="143" t="n">
        <f aca="false">SUM(F2:F14)</f>
        <v>12855.817</v>
      </c>
      <c r="G15" s="143" t="n">
        <f aca="false">SUM(G2:G14)</f>
        <v>7445.2388925</v>
      </c>
      <c r="H15" s="143" t="n">
        <f aca="false">SUM(H2:H14)</f>
        <v>17868.573342</v>
      </c>
      <c r="I15" s="143" t="n">
        <f aca="false">SUM(I2:I14)</f>
        <v>24462.4129792</v>
      </c>
      <c r="J15" s="143" t="n">
        <f aca="false">SUM(J2:J14)</f>
        <v>32017.867728</v>
      </c>
      <c r="K15" s="143" t="n">
        <f aca="false">SUM(K2:K14)</f>
        <v>50726.523162</v>
      </c>
      <c r="L15" s="143" t="n">
        <f aca="false">SUM(L2:L14)</f>
        <v>150833.1504</v>
      </c>
      <c r="M15" s="143" t="n">
        <f aca="false">SUM(M2:M14)</f>
        <v>150833.1504</v>
      </c>
      <c r="N15" s="143" t="n">
        <f aca="false">SUM(N2:N14)</f>
        <v>172945.15564</v>
      </c>
      <c r="O15" s="143" t="n">
        <f aca="false">SUM(O2:O14)</f>
        <v>268.97412</v>
      </c>
      <c r="P15" s="143" t="n">
        <f aca="false">SUM(P2:P14)</f>
        <v>224.1451</v>
      </c>
      <c r="Q15" s="143" t="n">
        <f aca="false">SUM(Q2:Q14)</f>
        <v>4482.902</v>
      </c>
      <c r="R15" s="143" t="n">
        <f aca="false">SUM(R2:R14)</f>
        <v>1028.202305</v>
      </c>
    </row>
    <row r="17" customFormat="false" ht="15" hidden="false" customHeight="false" outlineLevel="0" collapsed="false">
      <c r="A17" s="136" t="s">
        <v>1613</v>
      </c>
    </row>
    <row r="18" customFormat="false" ht="15" hidden="false" customHeight="false" outlineLevel="0" collapsed="false">
      <c r="C18" s="138" t="s">
        <v>1614</v>
      </c>
      <c r="G18" s="144" t="n">
        <f aca="false">0.5*0.05*(Estacas!F2+Estacas!F650)</f>
        <v>0.55</v>
      </c>
    </row>
    <row r="19" customFormat="false" ht="15" hidden="false" customHeight="false" outlineLevel="0" collapsed="false">
      <c r="C19" s="138" t="s">
        <v>1615</v>
      </c>
      <c r="G19" s="138" t="n">
        <f aca="false">2*(Estacas!F2+Estacas!F650)</f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8" min="7" style="0" width="9"/>
    <col collapsed="false" customWidth="true" hidden="false" outlineLevel="0" max="9" min="9" style="0" width="12"/>
    <col collapsed="false" customWidth="true" hidden="false" outlineLevel="0" max="10" min="10" style="0" width="60"/>
    <col collapsed="false" customWidth="true" hidden="false" outlineLevel="0" max="14" min="11" style="0" width="10"/>
    <col collapsed="false" customWidth="true" hidden="false" outlineLevel="0" max="16" min="15" style="0" width="11"/>
    <col collapsed="false" customWidth="true" hidden="false" outlineLevel="0" max="17" min="17" style="0" width="10"/>
    <col collapsed="false" customWidth="true" hidden="false" outlineLevel="0" max="30" min="19" style="0" width="11"/>
  </cols>
  <sheetData>
    <row r="1" customFormat="false" ht="48" hidden="false" customHeight="true" outlineLevel="0" collapsed="false">
      <c r="A1" s="133" t="s">
        <v>9</v>
      </c>
      <c r="B1" s="133" t="s">
        <v>1616</v>
      </c>
      <c r="C1" s="133" t="s">
        <v>1617</v>
      </c>
      <c r="D1" s="133" t="s">
        <v>1550</v>
      </c>
      <c r="E1" s="133" t="s">
        <v>1551</v>
      </c>
      <c r="F1" s="133" t="s">
        <v>1618</v>
      </c>
      <c r="G1" s="133" t="s">
        <v>1619</v>
      </c>
      <c r="H1" s="133" t="s">
        <v>1620</v>
      </c>
      <c r="I1" s="133" t="s">
        <v>1621</v>
      </c>
      <c r="J1" s="133" t="s">
        <v>1622</v>
      </c>
      <c r="K1" s="133" t="s">
        <v>1623</v>
      </c>
      <c r="L1" s="133" t="s">
        <v>1624</v>
      </c>
      <c r="M1" s="133" t="s">
        <v>1625</v>
      </c>
      <c r="N1" s="133" t="s">
        <v>1626</v>
      </c>
      <c r="O1" s="133" t="s">
        <v>1627</v>
      </c>
      <c r="P1" s="133" t="s">
        <v>1628</v>
      </c>
      <c r="Q1" s="133" t="s">
        <v>1629</v>
      </c>
      <c r="S1" s="145" t="s">
        <v>1630</v>
      </c>
      <c r="T1" s="145" t="s">
        <v>1631</v>
      </c>
      <c r="U1" s="145" t="s">
        <v>1632</v>
      </c>
      <c r="V1" s="145" t="s">
        <v>1633</v>
      </c>
      <c r="W1" s="145" t="s">
        <v>1634</v>
      </c>
      <c r="X1" s="145" t="s">
        <v>1635</v>
      </c>
      <c r="Y1" s="145" t="s">
        <v>1636</v>
      </c>
      <c r="Z1" s="145" t="s">
        <v>1637</v>
      </c>
      <c r="AA1" s="145" t="s">
        <v>1638</v>
      </c>
      <c r="AB1" s="145" t="s">
        <v>1639</v>
      </c>
      <c r="AC1" s="145" t="s">
        <v>1640</v>
      </c>
      <c r="AD1" s="145" t="s">
        <v>1641</v>
      </c>
    </row>
    <row r="2" customFormat="false" ht="15" hidden="false" customHeight="false" outlineLevel="0" collapsed="false">
      <c r="A2" s="138" t="s">
        <v>1568</v>
      </c>
      <c r="B2" s="146" t="n">
        <v>0</v>
      </c>
      <c r="C2" s="144" t="n">
        <v>0</v>
      </c>
      <c r="D2" s="138" t="s">
        <v>1565</v>
      </c>
      <c r="E2" s="138" t="s">
        <v>1566</v>
      </c>
      <c r="F2" s="147" t="n">
        <v>11</v>
      </c>
      <c r="G2" s="148" t="n">
        <v>0</v>
      </c>
      <c r="H2" s="148" t="n">
        <v>0</v>
      </c>
      <c r="I2" s="138" t="s">
        <v>1642</v>
      </c>
      <c r="J2" s="138"/>
      <c r="K2" s="146" t="n">
        <f aca="false">Parâmetros!$C$4*(F2+2*Parâmetros!$D$4+Parâmetros!$C$4*Parâmetros!$E$4)</f>
        <v>0.5525</v>
      </c>
      <c r="L2" s="146" t="n">
        <f aca="false">Parâmetros!$C$5*(F2+2*Parâmetros!$D$5+Parâmetros!$C$5*Parâmetros!$E$5)</f>
        <v>1.8176</v>
      </c>
      <c r="M2" s="146" t="n">
        <f aca="false">Parâmetros!$C$6*(F2+2*Parâmetros!$D$6+Parâmetros!$C$6*Parâmetros!$E$6)</f>
        <v>2.384</v>
      </c>
      <c r="N2" s="146" t="n">
        <f aca="false">Parâmetros!$C$7*(F2+2*Parâmetros!$D$7+Parâmetros!$C$7*Parâmetros!$E$7)</f>
        <v>3.786</v>
      </c>
      <c r="O2" s="146" t="n">
        <f aca="false">F2+2*Parâmetros!$D$8</f>
        <v>11.2</v>
      </c>
      <c r="P2" s="146" t="n">
        <f aca="false">F2+2*Parâmetros!$D$10</f>
        <v>12.92</v>
      </c>
      <c r="Q2" s="146" t="n">
        <f aca="false">G2+H2</f>
        <v>0</v>
      </c>
      <c r="S2" s="149" t="n">
        <v>0</v>
      </c>
      <c r="T2" s="149" t="n">
        <v>0</v>
      </c>
      <c r="U2" s="149" t="n">
        <v>0</v>
      </c>
      <c r="V2" s="149" t="n">
        <v>0</v>
      </c>
      <c r="W2" s="149" t="n">
        <v>0</v>
      </c>
      <c r="X2" s="149" t="n">
        <v>0</v>
      </c>
      <c r="Y2" s="149" t="n">
        <v>0</v>
      </c>
      <c r="Z2" s="149" t="n">
        <v>0</v>
      </c>
      <c r="AA2" s="149" t="n">
        <v>0</v>
      </c>
      <c r="AB2" s="149" t="n">
        <v>0</v>
      </c>
      <c r="AC2" s="149" t="n">
        <v>0</v>
      </c>
      <c r="AD2" s="149" t="n">
        <v>0</v>
      </c>
    </row>
    <row r="3" customFormat="false" ht="15" hidden="false" customHeight="false" outlineLevel="0" collapsed="false">
      <c r="A3" s="138" t="s">
        <v>1643</v>
      </c>
      <c r="B3" s="146" t="n">
        <v>1</v>
      </c>
      <c r="C3" s="144" t="n">
        <v>20</v>
      </c>
      <c r="D3" s="138" t="s">
        <v>1565</v>
      </c>
      <c r="E3" s="138" t="s">
        <v>1566</v>
      </c>
      <c r="F3" s="147" t="n">
        <v>11</v>
      </c>
      <c r="G3" s="148" t="n">
        <v>0</v>
      </c>
      <c r="H3" s="148" t="n">
        <v>0</v>
      </c>
      <c r="I3" s="138" t="s">
        <v>1642</v>
      </c>
      <c r="J3" s="138"/>
      <c r="K3" s="146" t="n">
        <f aca="false">Parâmetros!$C$4*(F3+2*Parâmetros!$D$4+Parâmetros!$C$4*Parâmetros!$E$4)</f>
        <v>0.5525</v>
      </c>
      <c r="L3" s="146" t="n">
        <f aca="false">Parâmetros!$C$5*(F3+2*Parâmetros!$D$5+Parâmetros!$C$5*Parâmetros!$E$5)</f>
        <v>1.8176</v>
      </c>
      <c r="M3" s="146" t="n">
        <f aca="false">Parâmetros!$C$6*(F3+2*Parâmetros!$D$6+Parâmetros!$C$6*Parâmetros!$E$6)</f>
        <v>2.384</v>
      </c>
      <c r="N3" s="146" t="n">
        <f aca="false">Parâmetros!$C$7*(F3+2*Parâmetros!$D$7+Parâmetros!$C$7*Parâmetros!$E$7)</f>
        <v>3.786</v>
      </c>
      <c r="O3" s="146" t="n">
        <f aca="false">F3+2*Parâmetros!$D$8</f>
        <v>11.2</v>
      </c>
      <c r="P3" s="146" t="n">
        <f aca="false">F3+2*Parâmetros!$D$10</f>
        <v>12.92</v>
      </c>
      <c r="Q3" s="146" t="n">
        <f aca="false">G3+H3</f>
        <v>0</v>
      </c>
      <c r="S3" s="149" t="n">
        <f aca="false">S2+'Volumes por intervalo'!C2*(F2+F3)/2</f>
        <v>220</v>
      </c>
      <c r="T3" s="149" t="n">
        <f aca="false">T2+'Volumes por intervalo'!H2</f>
        <v>11.05</v>
      </c>
      <c r="U3" s="149" t="n">
        <f aca="false">U2+'Volumes por intervalo'!J2</f>
        <v>36.352</v>
      </c>
      <c r="V3" s="149" t="n">
        <f aca="false">V2+'Volumes por intervalo'!K2</f>
        <v>47.68</v>
      </c>
      <c r="W3" s="149" t="n">
        <f aca="false">W2+'Volumes por intervalo'!L2</f>
        <v>75.72</v>
      </c>
      <c r="X3" s="149" t="n">
        <f aca="false">X2+'Volumes por intervalo'!M2</f>
        <v>224</v>
      </c>
      <c r="Y3" s="149" t="n">
        <f aca="false">Y2+'Volumes por intervalo'!N2</f>
        <v>224</v>
      </c>
      <c r="Z3" s="149" t="n">
        <f aca="false">Z2+'Volumes por intervalo'!O2</f>
        <v>258.4</v>
      </c>
      <c r="AA3" s="149" t="n">
        <f aca="false">AA2+'Volumes por intervalo'!P2</f>
        <v>0</v>
      </c>
      <c r="AB3" s="149" t="n">
        <f aca="false">AB2+'Volumes por intervalo'!Q2</f>
        <v>0</v>
      </c>
      <c r="AC3" s="149" t="n">
        <f aca="false">AC2+'Volumes por intervalo'!R2</f>
        <v>0</v>
      </c>
      <c r="AD3" s="149" t="n">
        <f aca="false">AD2+'Volumes por intervalo'!S2</f>
        <v>0</v>
      </c>
    </row>
    <row r="4" customFormat="false" ht="15" hidden="false" customHeight="false" outlineLevel="0" collapsed="false">
      <c r="A4" s="138" t="s">
        <v>1644</v>
      </c>
      <c r="B4" s="146" t="n">
        <v>2</v>
      </c>
      <c r="C4" s="144" t="n">
        <v>40</v>
      </c>
      <c r="D4" s="138" t="s">
        <v>1565</v>
      </c>
      <c r="E4" s="138" t="s">
        <v>1566</v>
      </c>
      <c r="F4" s="147" t="n">
        <v>11</v>
      </c>
      <c r="G4" s="148" t="n">
        <v>0</v>
      </c>
      <c r="H4" s="148" t="n">
        <v>0</v>
      </c>
      <c r="I4" s="138" t="s">
        <v>1642</v>
      </c>
      <c r="J4" s="138"/>
      <c r="K4" s="146" t="n">
        <f aca="false">Parâmetros!$C$4*(F4+2*Parâmetros!$D$4+Parâmetros!$C$4*Parâmetros!$E$4)</f>
        <v>0.5525</v>
      </c>
      <c r="L4" s="146" t="n">
        <f aca="false">Parâmetros!$C$5*(F4+2*Parâmetros!$D$5+Parâmetros!$C$5*Parâmetros!$E$5)</f>
        <v>1.8176</v>
      </c>
      <c r="M4" s="146" t="n">
        <f aca="false">Parâmetros!$C$6*(F4+2*Parâmetros!$D$6+Parâmetros!$C$6*Parâmetros!$E$6)</f>
        <v>2.384</v>
      </c>
      <c r="N4" s="146" t="n">
        <f aca="false">Parâmetros!$C$7*(F4+2*Parâmetros!$D$7+Parâmetros!$C$7*Parâmetros!$E$7)</f>
        <v>3.786</v>
      </c>
      <c r="O4" s="146" t="n">
        <f aca="false">F4+2*Parâmetros!$D$8</f>
        <v>11.2</v>
      </c>
      <c r="P4" s="146" t="n">
        <f aca="false">F4+2*Parâmetros!$D$10</f>
        <v>12.92</v>
      </c>
      <c r="Q4" s="146" t="n">
        <f aca="false">G4+H4</f>
        <v>0</v>
      </c>
      <c r="S4" s="149" t="n">
        <f aca="false">S3+'Volumes por intervalo'!C3*(F3+F4)/2</f>
        <v>440</v>
      </c>
      <c r="T4" s="149" t="n">
        <f aca="false">T3+'Volumes por intervalo'!H3</f>
        <v>22.1</v>
      </c>
      <c r="U4" s="149" t="n">
        <f aca="false">U3+'Volumes por intervalo'!J3</f>
        <v>72.704</v>
      </c>
      <c r="V4" s="149" t="n">
        <f aca="false">V3+'Volumes por intervalo'!K3</f>
        <v>95.36</v>
      </c>
      <c r="W4" s="149" t="n">
        <f aca="false">W3+'Volumes por intervalo'!L3</f>
        <v>151.44</v>
      </c>
      <c r="X4" s="149" t="n">
        <f aca="false">X3+'Volumes por intervalo'!M3</f>
        <v>448</v>
      </c>
      <c r="Y4" s="149" t="n">
        <f aca="false">Y3+'Volumes por intervalo'!N3</f>
        <v>448</v>
      </c>
      <c r="Z4" s="149" t="n">
        <f aca="false">Z3+'Volumes por intervalo'!O3</f>
        <v>516.8</v>
      </c>
      <c r="AA4" s="149" t="n">
        <f aca="false">AA3+'Volumes por intervalo'!P3</f>
        <v>0</v>
      </c>
      <c r="AB4" s="149" t="n">
        <f aca="false">AB3+'Volumes por intervalo'!Q3</f>
        <v>0</v>
      </c>
      <c r="AC4" s="149" t="n">
        <f aca="false">AC3+'Volumes por intervalo'!R3</f>
        <v>0</v>
      </c>
      <c r="AD4" s="149" t="n">
        <f aca="false">AD3+'Volumes por intervalo'!S3</f>
        <v>0</v>
      </c>
    </row>
    <row r="5" customFormat="false" ht="15" hidden="false" customHeight="false" outlineLevel="0" collapsed="false">
      <c r="A5" s="138" t="s">
        <v>1645</v>
      </c>
      <c r="B5" s="146" t="n">
        <v>3</v>
      </c>
      <c r="C5" s="144" t="n">
        <v>60</v>
      </c>
      <c r="D5" s="138" t="s">
        <v>1565</v>
      </c>
      <c r="E5" s="138" t="s">
        <v>1566</v>
      </c>
      <c r="F5" s="147" t="n">
        <v>11</v>
      </c>
      <c r="G5" s="148" t="n">
        <v>0</v>
      </c>
      <c r="H5" s="148" t="n">
        <v>0</v>
      </c>
      <c r="I5" s="138" t="s">
        <v>1642</v>
      </c>
      <c r="J5" s="138"/>
      <c r="K5" s="146" t="n">
        <f aca="false">Parâmetros!$C$4*(F5+2*Parâmetros!$D$4+Parâmetros!$C$4*Parâmetros!$E$4)</f>
        <v>0.5525</v>
      </c>
      <c r="L5" s="146" t="n">
        <f aca="false">Parâmetros!$C$5*(F5+2*Parâmetros!$D$5+Parâmetros!$C$5*Parâmetros!$E$5)</f>
        <v>1.8176</v>
      </c>
      <c r="M5" s="146" t="n">
        <f aca="false">Parâmetros!$C$6*(F5+2*Parâmetros!$D$6+Parâmetros!$C$6*Parâmetros!$E$6)</f>
        <v>2.384</v>
      </c>
      <c r="N5" s="146" t="n">
        <f aca="false">Parâmetros!$C$7*(F5+2*Parâmetros!$D$7+Parâmetros!$C$7*Parâmetros!$E$7)</f>
        <v>3.786</v>
      </c>
      <c r="O5" s="146" t="n">
        <f aca="false">F5+2*Parâmetros!$D$8</f>
        <v>11.2</v>
      </c>
      <c r="P5" s="146" t="n">
        <f aca="false">F5+2*Parâmetros!$D$10</f>
        <v>12.92</v>
      </c>
      <c r="Q5" s="146" t="n">
        <f aca="false">G5+H5</f>
        <v>0</v>
      </c>
      <c r="S5" s="149" t="n">
        <f aca="false">S4+'Volumes por intervalo'!C4*(F4+F5)/2</f>
        <v>660</v>
      </c>
      <c r="T5" s="149" t="n">
        <f aca="false">T4+'Volumes por intervalo'!H4</f>
        <v>33.15</v>
      </c>
      <c r="U5" s="149" t="n">
        <f aca="false">U4+'Volumes por intervalo'!J4</f>
        <v>109.056</v>
      </c>
      <c r="V5" s="149" t="n">
        <f aca="false">V4+'Volumes por intervalo'!K4</f>
        <v>143.04</v>
      </c>
      <c r="W5" s="149" t="n">
        <f aca="false">W4+'Volumes por intervalo'!L4</f>
        <v>227.16</v>
      </c>
      <c r="X5" s="149" t="n">
        <f aca="false">X4+'Volumes por intervalo'!M4</f>
        <v>672</v>
      </c>
      <c r="Y5" s="149" t="n">
        <f aca="false">Y4+'Volumes por intervalo'!N4</f>
        <v>672</v>
      </c>
      <c r="Z5" s="149" t="n">
        <f aca="false">Z4+'Volumes por intervalo'!O4</f>
        <v>775.2</v>
      </c>
      <c r="AA5" s="149" t="n">
        <f aca="false">AA4+'Volumes por intervalo'!P4</f>
        <v>0</v>
      </c>
      <c r="AB5" s="149" t="n">
        <f aca="false">AB4+'Volumes por intervalo'!Q4</f>
        <v>0</v>
      </c>
      <c r="AC5" s="149" t="n">
        <f aca="false">AC4+'Volumes por intervalo'!R4</f>
        <v>0</v>
      </c>
      <c r="AD5" s="149" t="n">
        <f aca="false">AD4+'Volumes por intervalo'!S4</f>
        <v>0</v>
      </c>
    </row>
    <row r="6" customFormat="false" ht="15" hidden="false" customHeight="false" outlineLevel="0" collapsed="false">
      <c r="A6" s="138" t="s">
        <v>1646</v>
      </c>
      <c r="B6" s="146" t="n">
        <v>4</v>
      </c>
      <c r="C6" s="144" t="n">
        <v>80</v>
      </c>
      <c r="D6" s="138" t="s">
        <v>1565</v>
      </c>
      <c r="E6" s="138" t="s">
        <v>1566</v>
      </c>
      <c r="F6" s="147" t="n">
        <v>11</v>
      </c>
      <c r="G6" s="148" t="n">
        <v>0</v>
      </c>
      <c r="H6" s="148" t="n">
        <v>0</v>
      </c>
      <c r="I6" s="138" t="s">
        <v>1642</v>
      </c>
      <c r="J6" s="138"/>
      <c r="K6" s="146" t="n">
        <f aca="false">Parâmetros!$C$4*(F6+2*Parâmetros!$D$4+Parâmetros!$C$4*Parâmetros!$E$4)</f>
        <v>0.5525</v>
      </c>
      <c r="L6" s="146" t="n">
        <f aca="false">Parâmetros!$C$5*(F6+2*Parâmetros!$D$5+Parâmetros!$C$5*Parâmetros!$E$5)</f>
        <v>1.8176</v>
      </c>
      <c r="M6" s="146" t="n">
        <f aca="false">Parâmetros!$C$6*(F6+2*Parâmetros!$D$6+Parâmetros!$C$6*Parâmetros!$E$6)</f>
        <v>2.384</v>
      </c>
      <c r="N6" s="146" t="n">
        <f aca="false">Parâmetros!$C$7*(F6+2*Parâmetros!$D$7+Parâmetros!$C$7*Parâmetros!$E$7)</f>
        <v>3.786</v>
      </c>
      <c r="O6" s="146" t="n">
        <f aca="false">F6+2*Parâmetros!$D$8</f>
        <v>11.2</v>
      </c>
      <c r="P6" s="146" t="n">
        <f aca="false">F6+2*Parâmetros!$D$10</f>
        <v>12.92</v>
      </c>
      <c r="Q6" s="146" t="n">
        <f aca="false">G6+H6</f>
        <v>0</v>
      </c>
      <c r="S6" s="149" t="n">
        <f aca="false">S5+'Volumes por intervalo'!C5*(F5+F6)/2</f>
        <v>880</v>
      </c>
      <c r="T6" s="149" t="n">
        <f aca="false">T5+'Volumes por intervalo'!H5</f>
        <v>44.2</v>
      </c>
      <c r="U6" s="149" t="n">
        <f aca="false">U5+'Volumes por intervalo'!J5</f>
        <v>145.408</v>
      </c>
      <c r="V6" s="149" t="n">
        <f aca="false">V5+'Volumes por intervalo'!K5</f>
        <v>190.72</v>
      </c>
      <c r="W6" s="149" t="n">
        <f aca="false">W5+'Volumes por intervalo'!L5</f>
        <v>302.88</v>
      </c>
      <c r="X6" s="149" t="n">
        <f aca="false">X5+'Volumes por intervalo'!M5</f>
        <v>896</v>
      </c>
      <c r="Y6" s="149" t="n">
        <f aca="false">Y5+'Volumes por intervalo'!N5</f>
        <v>896</v>
      </c>
      <c r="Z6" s="149" t="n">
        <f aca="false">Z5+'Volumes por intervalo'!O5</f>
        <v>1033.6</v>
      </c>
      <c r="AA6" s="149" t="n">
        <f aca="false">AA5+'Volumes por intervalo'!P5</f>
        <v>0</v>
      </c>
      <c r="AB6" s="149" t="n">
        <f aca="false">AB5+'Volumes por intervalo'!Q5</f>
        <v>0</v>
      </c>
      <c r="AC6" s="149" t="n">
        <f aca="false">AC5+'Volumes por intervalo'!R5</f>
        <v>0</v>
      </c>
      <c r="AD6" s="149" t="n">
        <f aca="false">AD5+'Volumes por intervalo'!S5</f>
        <v>0</v>
      </c>
    </row>
    <row r="7" customFormat="false" ht="15" hidden="false" customHeight="false" outlineLevel="0" collapsed="false">
      <c r="A7" s="138" t="s">
        <v>1647</v>
      </c>
      <c r="B7" s="146" t="n">
        <v>5</v>
      </c>
      <c r="C7" s="144" t="n">
        <v>100</v>
      </c>
      <c r="D7" s="138" t="s">
        <v>1565</v>
      </c>
      <c r="E7" s="138" t="s">
        <v>1566</v>
      </c>
      <c r="F7" s="147" t="n">
        <v>11</v>
      </c>
      <c r="G7" s="148" t="n">
        <v>0</v>
      </c>
      <c r="H7" s="148" t="n">
        <v>0</v>
      </c>
      <c r="I7" s="138" t="s">
        <v>1642</v>
      </c>
      <c r="J7" s="138"/>
      <c r="K7" s="146" t="n">
        <f aca="false">Parâmetros!$C$4*(F7+2*Parâmetros!$D$4+Parâmetros!$C$4*Parâmetros!$E$4)</f>
        <v>0.5525</v>
      </c>
      <c r="L7" s="146" t="n">
        <f aca="false">Parâmetros!$C$5*(F7+2*Parâmetros!$D$5+Parâmetros!$C$5*Parâmetros!$E$5)</f>
        <v>1.8176</v>
      </c>
      <c r="M7" s="146" t="n">
        <f aca="false">Parâmetros!$C$6*(F7+2*Parâmetros!$D$6+Parâmetros!$C$6*Parâmetros!$E$6)</f>
        <v>2.384</v>
      </c>
      <c r="N7" s="146" t="n">
        <f aca="false">Parâmetros!$C$7*(F7+2*Parâmetros!$D$7+Parâmetros!$C$7*Parâmetros!$E$7)</f>
        <v>3.786</v>
      </c>
      <c r="O7" s="146" t="n">
        <f aca="false">F7+2*Parâmetros!$D$8</f>
        <v>11.2</v>
      </c>
      <c r="P7" s="146" t="n">
        <f aca="false">F7+2*Parâmetros!$D$10</f>
        <v>12.92</v>
      </c>
      <c r="Q7" s="146" t="n">
        <f aca="false">G7+H7</f>
        <v>0</v>
      </c>
      <c r="S7" s="149" t="n">
        <f aca="false">S6+'Volumes por intervalo'!C6*(F6+F7)/2</f>
        <v>1100</v>
      </c>
      <c r="T7" s="149" t="n">
        <f aca="false">T6+'Volumes por intervalo'!H6</f>
        <v>55.25</v>
      </c>
      <c r="U7" s="149" t="n">
        <f aca="false">U6+'Volumes por intervalo'!J6</f>
        <v>181.76</v>
      </c>
      <c r="V7" s="149" t="n">
        <f aca="false">V6+'Volumes por intervalo'!K6</f>
        <v>238.4</v>
      </c>
      <c r="W7" s="149" t="n">
        <f aca="false">W6+'Volumes por intervalo'!L6</f>
        <v>378.6</v>
      </c>
      <c r="X7" s="149" t="n">
        <f aca="false">X6+'Volumes por intervalo'!M6</f>
        <v>1120</v>
      </c>
      <c r="Y7" s="149" t="n">
        <f aca="false">Y6+'Volumes por intervalo'!N6</f>
        <v>1120</v>
      </c>
      <c r="Z7" s="149" t="n">
        <f aca="false">Z6+'Volumes por intervalo'!O6</f>
        <v>1292</v>
      </c>
      <c r="AA7" s="149" t="n">
        <f aca="false">AA6+'Volumes por intervalo'!P6</f>
        <v>0</v>
      </c>
      <c r="AB7" s="149" t="n">
        <f aca="false">AB6+'Volumes por intervalo'!Q6</f>
        <v>0</v>
      </c>
      <c r="AC7" s="149" t="n">
        <f aca="false">AC6+'Volumes por intervalo'!R6</f>
        <v>0</v>
      </c>
      <c r="AD7" s="149" t="n">
        <f aca="false">AD6+'Volumes por intervalo'!S6</f>
        <v>0</v>
      </c>
    </row>
    <row r="8" customFormat="false" ht="15" hidden="false" customHeight="false" outlineLevel="0" collapsed="false">
      <c r="A8" s="138" t="s">
        <v>1648</v>
      </c>
      <c r="B8" s="146" t="n">
        <v>6</v>
      </c>
      <c r="C8" s="144" t="n">
        <v>120</v>
      </c>
      <c r="D8" s="138" t="s">
        <v>1565</v>
      </c>
      <c r="E8" s="138" t="s">
        <v>1566</v>
      </c>
      <c r="F8" s="147" t="n">
        <v>11</v>
      </c>
      <c r="G8" s="148" t="n">
        <v>0</v>
      </c>
      <c r="H8" s="148" t="n">
        <v>0</v>
      </c>
      <c r="I8" s="138" t="s">
        <v>1642</v>
      </c>
      <c r="J8" s="138"/>
      <c r="K8" s="146" t="n">
        <f aca="false">Parâmetros!$C$4*(F8+2*Parâmetros!$D$4+Parâmetros!$C$4*Parâmetros!$E$4)</f>
        <v>0.5525</v>
      </c>
      <c r="L8" s="146" t="n">
        <f aca="false">Parâmetros!$C$5*(F8+2*Parâmetros!$D$5+Parâmetros!$C$5*Parâmetros!$E$5)</f>
        <v>1.8176</v>
      </c>
      <c r="M8" s="146" t="n">
        <f aca="false">Parâmetros!$C$6*(F8+2*Parâmetros!$D$6+Parâmetros!$C$6*Parâmetros!$E$6)</f>
        <v>2.384</v>
      </c>
      <c r="N8" s="146" t="n">
        <f aca="false">Parâmetros!$C$7*(F8+2*Parâmetros!$D$7+Parâmetros!$C$7*Parâmetros!$E$7)</f>
        <v>3.786</v>
      </c>
      <c r="O8" s="146" t="n">
        <f aca="false">F8+2*Parâmetros!$D$8</f>
        <v>11.2</v>
      </c>
      <c r="P8" s="146" t="n">
        <f aca="false">F8+2*Parâmetros!$D$10</f>
        <v>12.92</v>
      </c>
      <c r="Q8" s="146" t="n">
        <f aca="false">G8+H8</f>
        <v>0</v>
      </c>
      <c r="S8" s="149" t="n">
        <f aca="false">S7+'Volumes por intervalo'!C7*(F7+F8)/2</f>
        <v>1320</v>
      </c>
      <c r="T8" s="149" t="n">
        <f aca="false">T7+'Volumes por intervalo'!H7</f>
        <v>66.3</v>
      </c>
      <c r="U8" s="149" t="n">
        <f aca="false">U7+'Volumes por intervalo'!J7</f>
        <v>218.112</v>
      </c>
      <c r="V8" s="149" t="n">
        <f aca="false">V7+'Volumes por intervalo'!K7</f>
        <v>286.08</v>
      </c>
      <c r="W8" s="149" t="n">
        <f aca="false">W7+'Volumes por intervalo'!L7</f>
        <v>454.32</v>
      </c>
      <c r="X8" s="149" t="n">
        <f aca="false">X7+'Volumes por intervalo'!M7</f>
        <v>1344</v>
      </c>
      <c r="Y8" s="149" t="n">
        <f aca="false">Y7+'Volumes por intervalo'!N7</f>
        <v>1344</v>
      </c>
      <c r="Z8" s="149" t="n">
        <f aca="false">Z7+'Volumes por intervalo'!O7</f>
        <v>1550.4</v>
      </c>
      <c r="AA8" s="149" t="n">
        <f aca="false">AA7+'Volumes por intervalo'!P7</f>
        <v>0</v>
      </c>
      <c r="AB8" s="149" t="n">
        <f aca="false">AB7+'Volumes por intervalo'!Q7</f>
        <v>0</v>
      </c>
      <c r="AC8" s="149" t="n">
        <f aca="false">AC7+'Volumes por intervalo'!R7</f>
        <v>0</v>
      </c>
      <c r="AD8" s="149" t="n">
        <f aca="false">AD7+'Volumes por intervalo'!S7</f>
        <v>0</v>
      </c>
    </row>
    <row r="9" customFormat="false" ht="15" hidden="false" customHeight="false" outlineLevel="0" collapsed="false">
      <c r="A9" s="138" t="s">
        <v>1649</v>
      </c>
      <c r="B9" s="146" t="n">
        <v>7</v>
      </c>
      <c r="C9" s="144" t="n">
        <v>140</v>
      </c>
      <c r="D9" s="138" t="s">
        <v>1565</v>
      </c>
      <c r="E9" s="138" t="s">
        <v>1566</v>
      </c>
      <c r="F9" s="147" t="n">
        <v>11</v>
      </c>
      <c r="G9" s="148" t="n">
        <v>0</v>
      </c>
      <c r="H9" s="148" t="n">
        <v>0</v>
      </c>
      <c r="I9" s="138" t="s">
        <v>1642</v>
      </c>
      <c r="J9" s="138"/>
      <c r="K9" s="146" t="n">
        <f aca="false">Parâmetros!$C$4*(F9+2*Parâmetros!$D$4+Parâmetros!$C$4*Parâmetros!$E$4)</f>
        <v>0.5525</v>
      </c>
      <c r="L9" s="146" t="n">
        <f aca="false">Parâmetros!$C$5*(F9+2*Parâmetros!$D$5+Parâmetros!$C$5*Parâmetros!$E$5)</f>
        <v>1.8176</v>
      </c>
      <c r="M9" s="146" t="n">
        <f aca="false">Parâmetros!$C$6*(F9+2*Parâmetros!$D$6+Parâmetros!$C$6*Parâmetros!$E$6)</f>
        <v>2.384</v>
      </c>
      <c r="N9" s="146" t="n">
        <f aca="false">Parâmetros!$C$7*(F9+2*Parâmetros!$D$7+Parâmetros!$C$7*Parâmetros!$E$7)</f>
        <v>3.786</v>
      </c>
      <c r="O9" s="146" t="n">
        <f aca="false">F9+2*Parâmetros!$D$8</f>
        <v>11.2</v>
      </c>
      <c r="P9" s="146" t="n">
        <f aca="false">F9+2*Parâmetros!$D$10</f>
        <v>12.92</v>
      </c>
      <c r="Q9" s="146" t="n">
        <f aca="false">G9+H9</f>
        <v>0</v>
      </c>
      <c r="S9" s="149" t="n">
        <f aca="false">S8+'Volumes por intervalo'!C8*(F8+F9)/2</f>
        <v>1540</v>
      </c>
      <c r="T9" s="149" t="n">
        <f aca="false">T8+'Volumes por intervalo'!H8</f>
        <v>77.35</v>
      </c>
      <c r="U9" s="149" t="n">
        <f aca="false">U8+'Volumes por intervalo'!J8</f>
        <v>254.464</v>
      </c>
      <c r="V9" s="149" t="n">
        <f aca="false">V8+'Volumes por intervalo'!K8</f>
        <v>333.76</v>
      </c>
      <c r="W9" s="149" t="n">
        <f aca="false">W8+'Volumes por intervalo'!L8</f>
        <v>530.04</v>
      </c>
      <c r="X9" s="149" t="n">
        <f aca="false">X8+'Volumes por intervalo'!M8</f>
        <v>1568</v>
      </c>
      <c r="Y9" s="149" t="n">
        <f aca="false">Y8+'Volumes por intervalo'!N8</f>
        <v>1568</v>
      </c>
      <c r="Z9" s="149" t="n">
        <f aca="false">Z8+'Volumes por intervalo'!O8</f>
        <v>1808.8</v>
      </c>
      <c r="AA9" s="149" t="n">
        <f aca="false">AA8+'Volumes por intervalo'!P8</f>
        <v>0</v>
      </c>
      <c r="AB9" s="149" t="n">
        <f aca="false">AB8+'Volumes por intervalo'!Q8</f>
        <v>0</v>
      </c>
      <c r="AC9" s="149" t="n">
        <f aca="false">AC8+'Volumes por intervalo'!R8</f>
        <v>0</v>
      </c>
      <c r="AD9" s="149" t="n">
        <f aca="false">AD8+'Volumes por intervalo'!S8</f>
        <v>0</v>
      </c>
    </row>
    <row r="10" customFormat="false" ht="15" hidden="false" customHeight="false" outlineLevel="0" collapsed="false">
      <c r="A10" s="138" t="s">
        <v>1650</v>
      </c>
      <c r="B10" s="146" t="n">
        <v>8</v>
      </c>
      <c r="C10" s="144" t="n">
        <v>160</v>
      </c>
      <c r="D10" s="138" t="s">
        <v>1565</v>
      </c>
      <c r="E10" s="138" t="s">
        <v>1566</v>
      </c>
      <c r="F10" s="147" t="n">
        <v>11</v>
      </c>
      <c r="G10" s="148" t="n">
        <v>0</v>
      </c>
      <c r="H10" s="148" t="n">
        <v>0</v>
      </c>
      <c r="I10" s="138" t="s">
        <v>1642</v>
      </c>
      <c r="J10" s="138"/>
      <c r="K10" s="146" t="n">
        <f aca="false">Parâmetros!$C$4*(F10+2*Parâmetros!$D$4+Parâmetros!$C$4*Parâmetros!$E$4)</f>
        <v>0.5525</v>
      </c>
      <c r="L10" s="146" t="n">
        <f aca="false">Parâmetros!$C$5*(F10+2*Parâmetros!$D$5+Parâmetros!$C$5*Parâmetros!$E$5)</f>
        <v>1.8176</v>
      </c>
      <c r="M10" s="146" t="n">
        <f aca="false">Parâmetros!$C$6*(F10+2*Parâmetros!$D$6+Parâmetros!$C$6*Parâmetros!$E$6)</f>
        <v>2.384</v>
      </c>
      <c r="N10" s="146" t="n">
        <f aca="false">Parâmetros!$C$7*(F10+2*Parâmetros!$D$7+Parâmetros!$C$7*Parâmetros!$E$7)</f>
        <v>3.786</v>
      </c>
      <c r="O10" s="146" t="n">
        <f aca="false">F10+2*Parâmetros!$D$8</f>
        <v>11.2</v>
      </c>
      <c r="P10" s="146" t="n">
        <f aca="false">F10+2*Parâmetros!$D$10</f>
        <v>12.92</v>
      </c>
      <c r="Q10" s="146" t="n">
        <f aca="false">G10+H10</f>
        <v>0</v>
      </c>
      <c r="S10" s="149" t="n">
        <f aca="false">S9+'Volumes por intervalo'!C9*(F9+F10)/2</f>
        <v>1760</v>
      </c>
      <c r="T10" s="149" t="n">
        <f aca="false">T9+'Volumes por intervalo'!H9</f>
        <v>88.4</v>
      </c>
      <c r="U10" s="149" t="n">
        <f aca="false">U9+'Volumes por intervalo'!J9</f>
        <v>290.816</v>
      </c>
      <c r="V10" s="149" t="n">
        <f aca="false">V9+'Volumes por intervalo'!K9</f>
        <v>381.44</v>
      </c>
      <c r="W10" s="149" t="n">
        <f aca="false">W9+'Volumes por intervalo'!L9</f>
        <v>605.76</v>
      </c>
      <c r="X10" s="149" t="n">
        <f aca="false">X9+'Volumes por intervalo'!M9</f>
        <v>1792</v>
      </c>
      <c r="Y10" s="149" t="n">
        <f aca="false">Y9+'Volumes por intervalo'!N9</f>
        <v>1792</v>
      </c>
      <c r="Z10" s="149" t="n">
        <f aca="false">Z9+'Volumes por intervalo'!O9</f>
        <v>2067.2</v>
      </c>
      <c r="AA10" s="149" t="n">
        <f aca="false">AA9+'Volumes por intervalo'!P9</f>
        <v>0</v>
      </c>
      <c r="AB10" s="149" t="n">
        <f aca="false">AB9+'Volumes por intervalo'!Q9</f>
        <v>0</v>
      </c>
      <c r="AC10" s="149" t="n">
        <f aca="false">AC9+'Volumes por intervalo'!R9</f>
        <v>0</v>
      </c>
      <c r="AD10" s="149" t="n">
        <f aca="false">AD9+'Volumes por intervalo'!S9</f>
        <v>0</v>
      </c>
    </row>
    <row r="11" customFormat="false" ht="15" hidden="false" customHeight="false" outlineLevel="0" collapsed="false">
      <c r="A11" s="138" t="s">
        <v>1651</v>
      </c>
      <c r="B11" s="146" t="n">
        <v>9</v>
      </c>
      <c r="C11" s="144" t="n">
        <v>180</v>
      </c>
      <c r="D11" s="138" t="s">
        <v>1565</v>
      </c>
      <c r="E11" s="138" t="s">
        <v>1566</v>
      </c>
      <c r="F11" s="147" t="n">
        <v>11</v>
      </c>
      <c r="G11" s="148" t="n">
        <v>0</v>
      </c>
      <c r="H11" s="148" t="n">
        <v>0</v>
      </c>
      <c r="I11" s="138" t="s">
        <v>1642</v>
      </c>
      <c r="J11" s="138"/>
      <c r="K11" s="146" t="n">
        <f aca="false">Parâmetros!$C$4*(F11+2*Parâmetros!$D$4+Parâmetros!$C$4*Parâmetros!$E$4)</f>
        <v>0.5525</v>
      </c>
      <c r="L11" s="146" t="n">
        <f aca="false">Parâmetros!$C$5*(F11+2*Parâmetros!$D$5+Parâmetros!$C$5*Parâmetros!$E$5)</f>
        <v>1.8176</v>
      </c>
      <c r="M11" s="146" t="n">
        <f aca="false">Parâmetros!$C$6*(F11+2*Parâmetros!$D$6+Parâmetros!$C$6*Parâmetros!$E$6)</f>
        <v>2.384</v>
      </c>
      <c r="N11" s="146" t="n">
        <f aca="false">Parâmetros!$C$7*(F11+2*Parâmetros!$D$7+Parâmetros!$C$7*Parâmetros!$E$7)</f>
        <v>3.786</v>
      </c>
      <c r="O11" s="146" t="n">
        <f aca="false">F11+2*Parâmetros!$D$8</f>
        <v>11.2</v>
      </c>
      <c r="P11" s="146" t="n">
        <f aca="false">F11+2*Parâmetros!$D$10</f>
        <v>12.92</v>
      </c>
      <c r="Q11" s="146" t="n">
        <f aca="false">G11+H11</f>
        <v>0</v>
      </c>
      <c r="S11" s="149" t="n">
        <f aca="false">S10+'Volumes por intervalo'!C10*(F10+F11)/2</f>
        <v>1980</v>
      </c>
      <c r="T11" s="149" t="n">
        <f aca="false">T10+'Volumes por intervalo'!H10</f>
        <v>99.45</v>
      </c>
      <c r="U11" s="149" t="n">
        <f aca="false">U10+'Volumes por intervalo'!J10</f>
        <v>327.168</v>
      </c>
      <c r="V11" s="149" t="n">
        <f aca="false">V10+'Volumes por intervalo'!K10</f>
        <v>429.12</v>
      </c>
      <c r="W11" s="149" t="n">
        <f aca="false">W10+'Volumes por intervalo'!L10</f>
        <v>681.48</v>
      </c>
      <c r="X11" s="149" t="n">
        <f aca="false">X10+'Volumes por intervalo'!M10</f>
        <v>2016</v>
      </c>
      <c r="Y11" s="149" t="n">
        <f aca="false">Y10+'Volumes por intervalo'!N10</f>
        <v>2016</v>
      </c>
      <c r="Z11" s="149" t="n">
        <f aca="false">Z10+'Volumes por intervalo'!O10</f>
        <v>2325.6</v>
      </c>
      <c r="AA11" s="149" t="n">
        <f aca="false">AA10+'Volumes por intervalo'!P10</f>
        <v>0</v>
      </c>
      <c r="AB11" s="149" t="n">
        <f aca="false">AB10+'Volumes por intervalo'!Q10</f>
        <v>0</v>
      </c>
      <c r="AC11" s="149" t="n">
        <f aca="false">AC10+'Volumes por intervalo'!R10</f>
        <v>0</v>
      </c>
      <c r="AD11" s="149" t="n">
        <f aca="false">AD10+'Volumes por intervalo'!S10</f>
        <v>0</v>
      </c>
    </row>
    <row r="12" customFormat="false" ht="15" hidden="false" customHeight="false" outlineLevel="0" collapsed="false">
      <c r="A12" s="138" t="s">
        <v>1652</v>
      </c>
      <c r="B12" s="146" t="n">
        <v>10</v>
      </c>
      <c r="C12" s="144" t="n">
        <v>200</v>
      </c>
      <c r="D12" s="138" t="s">
        <v>1565</v>
      </c>
      <c r="E12" s="138" t="s">
        <v>1566</v>
      </c>
      <c r="F12" s="147" t="n">
        <v>11</v>
      </c>
      <c r="G12" s="148" t="n">
        <v>0</v>
      </c>
      <c r="H12" s="148" t="n">
        <v>0</v>
      </c>
      <c r="I12" s="138" t="s">
        <v>1642</v>
      </c>
      <c r="J12" s="138"/>
      <c r="K12" s="146" t="n">
        <f aca="false">Parâmetros!$C$4*(F12+2*Parâmetros!$D$4+Parâmetros!$C$4*Parâmetros!$E$4)</f>
        <v>0.5525</v>
      </c>
      <c r="L12" s="146" t="n">
        <f aca="false">Parâmetros!$C$5*(F12+2*Parâmetros!$D$5+Parâmetros!$C$5*Parâmetros!$E$5)</f>
        <v>1.8176</v>
      </c>
      <c r="M12" s="146" t="n">
        <f aca="false">Parâmetros!$C$6*(F12+2*Parâmetros!$D$6+Parâmetros!$C$6*Parâmetros!$E$6)</f>
        <v>2.384</v>
      </c>
      <c r="N12" s="146" t="n">
        <f aca="false">Parâmetros!$C$7*(F12+2*Parâmetros!$D$7+Parâmetros!$C$7*Parâmetros!$E$7)</f>
        <v>3.786</v>
      </c>
      <c r="O12" s="146" t="n">
        <f aca="false">F12+2*Parâmetros!$D$8</f>
        <v>11.2</v>
      </c>
      <c r="P12" s="146" t="n">
        <f aca="false">F12+2*Parâmetros!$D$10</f>
        <v>12.92</v>
      </c>
      <c r="Q12" s="146" t="n">
        <f aca="false">G12+H12</f>
        <v>0</v>
      </c>
      <c r="S12" s="149" t="n">
        <f aca="false">S11+'Volumes por intervalo'!C11*(F11+F12)/2</f>
        <v>2200</v>
      </c>
      <c r="T12" s="149" t="n">
        <f aca="false">T11+'Volumes por intervalo'!H11</f>
        <v>110.5</v>
      </c>
      <c r="U12" s="149" t="n">
        <f aca="false">U11+'Volumes por intervalo'!J11</f>
        <v>363.52</v>
      </c>
      <c r="V12" s="149" t="n">
        <f aca="false">V11+'Volumes por intervalo'!K11</f>
        <v>476.8</v>
      </c>
      <c r="W12" s="149" t="n">
        <f aca="false">W11+'Volumes por intervalo'!L11</f>
        <v>757.2</v>
      </c>
      <c r="X12" s="149" t="n">
        <f aca="false">X11+'Volumes por intervalo'!M11</f>
        <v>2240</v>
      </c>
      <c r="Y12" s="149" t="n">
        <f aca="false">Y11+'Volumes por intervalo'!N11</f>
        <v>2240</v>
      </c>
      <c r="Z12" s="149" t="n">
        <f aca="false">Z11+'Volumes por intervalo'!O11</f>
        <v>2584</v>
      </c>
      <c r="AA12" s="149" t="n">
        <f aca="false">AA11+'Volumes por intervalo'!P11</f>
        <v>0</v>
      </c>
      <c r="AB12" s="149" t="n">
        <f aca="false">AB11+'Volumes por intervalo'!Q11</f>
        <v>0</v>
      </c>
      <c r="AC12" s="149" t="n">
        <f aca="false">AC11+'Volumes por intervalo'!R11</f>
        <v>0</v>
      </c>
      <c r="AD12" s="149" t="n">
        <f aca="false">AD11+'Volumes por intervalo'!S11</f>
        <v>0</v>
      </c>
    </row>
    <row r="13" customFormat="false" ht="15" hidden="false" customHeight="false" outlineLevel="0" collapsed="false">
      <c r="A13" s="138" t="s">
        <v>1653</v>
      </c>
      <c r="B13" s="146" t="n">
        <v>11</v>
      </c>
      <c r="C13" s="144" t="n">
        <v>220</v>
      </c>
      <c r="D13" s="138" t="s">
        <v>1565</v>
      </c>
      <c r="E13" s="138" t="s">
        <v>1566</v>
      </c>
      <c r="F13" s="147" t="n">
        <v>11</v>
      </c>
      <c r="G13" s="148" t="n">
        <v>0</v>
      </c>
      <c r="H13" s="148" t="n">
        <v>0</v>
      </c>
      <c r="I13" s="138" t="s">
        <v>1642</v>
      </c>
      <c r="J13" s="138"/>
      <c r="K13" s="146" t="n">
        <f aca="false">Parâmetros!$C$4*(F13+2*Parâmetros!$D$4+Parâmetros!$C$4*Parâmetros!$E$4)</f>
        <v>0.5525</v>
      </c>
      <c r="L13" s="146" t="n">
        <f aca="false">Parâmetros!$C$5*(F13+2*Parâmetros!$D$5+Parâmetros!$C$5*Parâmetros!$E$5)</f>
        <v>1.8176</v>
      </c>
      <c r="M13" s="146" t="n">
        <f aca="false">Parâmetros!$C$6*(F13+2*Parâmetros!$D$6+Parâmetros!$C$6*Parâmetros!$E$6)</f>
        <v>2.384</v>
      </c>
      <c r="N13" s="146" t="n">
        <f aca="false">Parâmetros!$C$7*(F13+2*Parâmetros!$D$7+Parâmetros!$C$7*Parâmetros!$E$7)</f>
        <v>3.786</v>
      </c>
      <c r="O13" s="146" t="n">
        <f aca="false">F13+2*Parâmetros!$D$8</f>
        <v>11.2</v>
      </c>
      <c r="P13" s="146" t="n">
        <f aca="false">F13+2*Parâmetros!$D$10</f>
        <v>12.92</v>
      </c>
      <c r="Q13" s="146" t="n">
        <f aca="false">G13+H13</f>
        <v>0</v>
      </c>
      <c r="S13" s="149" t="n">
        <f aca="false">S12+'Volumes por intervalo'!C12*(F12+F13)/2</f>
        <v>2420</v>
      </c>
      <c r="T13" s="149" t="n">
        <f aca="false">T12+'Volumes por intervalo'!H12</f>
        <v>121.55</v>
      </c>
      <c r="U13" s="149" t="n">
        <f aca="false">U12+'Volumes por intervalo'!J12</f>
        <v>399.872</v>
      </c>
      <c r="V13" s="149" t="n">
        <f aca="false">V12+'Volumes por intervalo'!K12</f>
        <v>524.48</v>
      </c>
      <c r="W13" s="149" t="n">
        <f aca="false">W12+'Volumes por intervalo'!L12</f>
        <v>832.92</v>
      </c>
      <c r="X13" s="149" t="n">
        <f aca="false">X12+'Volumes por intervalo'!M12</f>
        <v>2464</v>
      </c>
      <c r="Y13" s="149" t="n">
        <f aca="false">Y12+'Volumes por intervalo'!N12</f>
        <v>2464</v>
      </c>
      <c r="Z13" s="149" t="n">
        <f aca="false">Z12+'Volumes por intervalo'!O12</f>
        <v>2842.4</v>
      </c>
      <c r="AA13" s="149" t="n">
        <f aca="false">AA12+'Volumes por intervalo'!P12</f>
        <v>0</v>
      </c>
      <c r="AB13" s="149" t="n">
        <f aca="false">AB12+'Volumes por intervalo'!Q12</f>
        <v>0</v>
      </c>
      <c r="AC13" s="149" t="n">
        <f aca="false">AC12+'Volumes por intervalo'!R12</f>
        <v>0</v>
      </c>
      <c r="AD13" s="149" t="n">
        <f aca="false">AD12+'Volumes por intervalo'!S12</f>
        <v>0</v>
      </c>
    </row>
    <row r="14" customFormat="false" ht="15" hidden="false" customHeight="false" outlineLevel="0" collapsed="false">
      <c r="A14" s="138" t="s">
        <v>1654</v>
      </c>
      <c r="B14" s="146" t="n">
        <v>12</v>
      </c>
      <c r="C14" s="144" t="n">
        <v>240</v>
      </c>
      <c r="D14" s="138" t="s">
        <v>1565</v>
      </c>
      <c r="E14" s="138" t="s">
        <v>1566</v>
      </c>
      <c r="F14" s="147" t="n">
        <v>11</v>
      </c>
      <c r="G14" s="148" t="n">
        <v>0</v>
      </c>
      <c r="H14" s="148" t="n">
        <v>0</v>
      </c>
      <c r="I14" s="138" t="s">
        <v>1642</v>
      </c>
      <c r="J14" s="138"/>
      <c r="K14" s="146" t="n">
        <f aca="false">Parâmetros!$C$4*(F14+2*Parâmetros!$D$4+Parâmetros!$C$4*Parâmetros!$E$4)</f>
        <v>0.5525</v>
      </c>
      <c r="L14" s="146" t="n">
        <f aca="false">Parâmetros!$C$5*(F14+2*Parâmetros!$D$5+Parâmetros!$C$5*Parâmetros!$E$5)</f>
        <v>1.8176</v>
      </c>
      <c r="M14" s="146" t="n">
        <f aca="false">Parâmetros!$C$6*(F14+2*Parâmetros!$D$6+Parâmetros!$C$6*Parâmetros!$E$6)</f>
        <v>2.384</v>
      </c>
      <c r="N14" s="146" t="n">
        <f aca="false">Parâmetros!$C$7*(F14+2*Parâmetros!$D$7+Parâmetros!$C$7*Parâmetros!$E$7)</f>
        <v>3.786</v>
      </c>
      <c r="O14" s="146" t="n">
        <f aca="false">F14+2*Parâmetros!$D$8</f>
        <v>11.2</v>
      </c>
      <c r="P14" s="146" t="n">
        <f aca="false">F14+2*Parâmetros!$D$10</f>
        <v>12.92</v>
      </c>
      <c r="Q14" s="146" t="n">
        <f aca="false">G14+H14</f>
        <v>0</v>
      </c>
      <c r="S14" s="149" t="n">
        <f aca="false">S13+'Volumes por intervalo'!C13*(F13+F14)/2</f>
        <v>2640</v>
      </c>
      <c r="T14" s="149" t="n">
        <f aca="false">T13+'Volumes por intervalo'!H13</f>
        <v>132.6</v>
      </c>
      <c r="U14" s="149" t="n">
        <f aca="false">U13+'Volumes por intervalo'!J13</f>
        <v>436.224</v>
      </c>
      <c r="V14" s="149" t="n">
        <f aca="false">V13+'Volumes por intervalo'!K13</f>
        <v>572.16</v>
      </c>
      <c r="W14" s="149" t="n">
        <f aca="false">W13+'Volumes por intervalo'!L13</f>
        <v>908.64</v>
      </c>
      <c r="X14" s="149" t="n">
        <f aca="false">X13+'Volumes por intervalo'!M13</f>
        <v>2688</v>
      </c>
      <c r="Y14" s="149" t="n">
        <f aca="false">Y13+'Volumes por intervalo'!N13</f>
        <v>2688</v>
      </c>
      <c r="Z14" s="149" t="n">
        <f aca="false">Z13+'Volumes por intervalo'!O13</f>
        <v>3100.8</v>
      </c>
      <c r="AA14" s="149" t="n">
        <f aca="false">AA13+'Volumes por intervalo'!P13</f>
        <v>0</v>
      </c>
      <c r="AB14" s="149" t="n">
        <f aca="false">AB13+'Volumes por intervalo'!Q13</f>
        <v>0</v>
      </c>
      <c r="AC14" s="149" t="n">
        <f aca="false">AC13+'Volumes por intervalo'!R13</f>
        <v>0</v>
      </c>
      <c r="AD14" s="149" t="n">
        <f aca="false">AD13+'Volumes por intervalo'!S13</f>
        <v>0</v>
      </c>
    </row>
    <row r="15" customFormat="false" ht="15" hidden="false" customHeight="false" outlineLevel="0" collapsed="false">
      <c r="A15" s="138" t="s">
        <v>1655</v>
      </c>
      <c r="B15" s="146" t="n">
        <v>13</v>
      </c>
      <c r="C15" s="144" t="n">
        <v>260</v>
      </c>
      <c r="D15" s="138" t="s">
        <v>1565</v>
      </c>
      <c r="E15" s="138" t="s">
        <v>1566</v>
      </c>
      <c r="F15" s="147" t="n">
        <v>11</v>
      </c>
      <c r="G15" s="148" t="n">
        <v>0</v>
      </c>
      <c r="H15" s="148" t="n">
        <v>0</v>
      </c>
      <c r="I15" s="138" t="s">
        <v>1642</v>
      </c>
      <c r="J15" s="138"/>
      <c r="K15" s="146" t="n">
        <f aca="false">Parâmetros!$C$4*(F15+2*Parâmetros!$D$4+Parâmetros!$C$4*Parâmetros!$E$4)</f>
        <v>0.5525</v>
      </c>
      <c r="L15" s="146" t="n">
        <f aca="false">Parâmetros!$C$5*(F15+2*Parâmetros!$D$5+Parâmetros!$C$5*Parâmetros!$E$5)</f>
        <v>1.8176</v>
      </c>
      <c r="M15" s="146" t="n">
        <f aca="false">Parâmetros!$C$6*(F15+2*Parâmetros!$D$6+Parâmetros!$C$6*Parâmetros!$E$6)</f>
        <v>2.384</v>
      </c>
      <c r="N15" s="146" t="n">
        <f aca="false">Parâmetros!$C$7*(F15+2*Parâmetros!$D$7+Parâmetros!$C$7*Parâmetros!$E$7)</f>
        <v>3.786</v>
      </c>
      <c r="O15" s="146" t="n">
        <f aca="false">F15+2*Parâmetros!$D$8</f>
        <v>11.2</v>
      </c>
      <c r="P15" s="146" t="n">
        <f aca="false">F15+2*Parâmetros!$D$10</f>
        <v>12.92</v>
      </c>
      <c r="Q15" s="146" t="n">
        <f aca="false">G15+H15</f>
        <v>0</v>
      </c>
      <c r="S15" s="149" t="n">
        <f aca="false">S14+'Volumes por intervalo'!C14*(F14+F15)/2</f>
        <v>2860</v>
      </c>
      <c r="T15" s="149" t="n">
        <f aca="false">T14+'Volumes por intervalo'!H14</f>
        <v>143.65</v>
      </c>
      <c r="U15" s="149" t="n">
        <f aca="false">U14+'Volumes por intervalo'!J14</f>
        <v>472.576</v>
      </c>
      <c r="V15" s="149" t="n">
        <f aca="false">V14+'Volumes por intervalo'!K14</f>
        <v>619.84</v>
      </c>
      <c r="W15" s="149" t="n">
        <f aca="false">W14+'Volumes por intervalo'!L14</f>
        <v>984.36</v>
      </c>
      <c r="X15" s="149" t="n">
        <f aca="false">X14+'Volumes por intervalo'!M14</f>
        <v>2912</v>
      </c>
      <c r="Y15" s="149" t="n">
        <f aca="false">Y14+'Volumes por intervalo'!N14</f>
        <v>2912</v>
      </c>
      <c r="Z15" s="149" t="n">
        <f aca="false">Z14+'Volumes por intervalo'!O14</f>
        <v>3359.2</v>
      </c>
      <c r="AA15" s="149" t="n">
        <f aca="false">AA14+'Volumes por intervalo'!P14</f>
        <v>0</v>
      </c>
      <c r="AB15" s="149" t="n">
        <f aca="false">AB14+'Volumes por intervalo'!Q14</f>
        <v>0</v>
      </c>
      <c r="AC15" s="149" t="n">
        <f aca="false">AC14+'Volumes por intervalo'!R14</f>
        <v>0</v>
      </c>
      <c r="AD15" s="149" t="n">
        <f aca="false">AD14+'Volumes por intervalo'!S14</f>
        <v>0</v>
      </c>
    </row>
    <row r="16" customFormat="false" ht="15" hidden="false" customHeight="false" outlineLevel="0" collapsed="false">
      <c r="A16" s="138" t="s">
        <v>1656</v>
      </c>
      <c r="B16" s="146" t="n">
        <v>14</v>
      </c>
      <c r="C16" s="144" t="n">
        <v>280</v>
      </c>
      <c r="D16" s="138" t="s">
        <v>1565</v>
      </c>
      <c r="E16" s="138" t="s">
        <v>1566</v>
      </c>
      <c r="F16" s="147" t="n">
        <v>11</v>
      </c>
      <c r="G16" s="148" t="n">
        <v>0</v>
      </c>
      <c r="H16" s="148" t="n">
        <v>0</v>
      </c>
      <c r="I16" s="138" t="s">
        <v>1642</v>
      </c>
      <c r="J16" s="138"/>
      <c r="K16" s="146" t="n">
        <f aca="false">Parâmetros!$C$4*(F16+2*Parâmetros!$D$4+Parâmetros!$C$4*Parâmetros!$E$4)</f>
        <v>0.5525</v>
      </c>
      <c r="L16" s="146" t="n">
        <f aca="false">Parâmetros!$C$5*(F16+2*Parâmetros!$D$5+Parâmetros!$C$5*Parâmetros!$E$5)</f>
        <v>1.8176</v>
      </c>
      <c r="M16" s="146" t="n">
        <f aca="false">Parâmetros!$C$6*(F16+2*Parâmetros!$D$6+Parâmetros!$C$6*Parâmetros!$E$6)</f>
        <v>2.384</v>
      </c>
      <c r="N16" s="146" t="n">
        <f aca="false">Parâmetros!$C$7*(F16+2*Parâmetros!$D$7+Parâmetros!$C$7*Parâmetros!$E$7)</f>
        <v>3.786</v>
      </c>
      <c r="O16" s="146" t="n">
        <f aca="false">F16+2*Parâmetros!$D$8</f>
        <v>11.2</v>
      </c>
      <c r="P16" s="146" t="n">
        <f aca="false">F16+2*Parâmetros!$D$10</f>
        <v>12.92</v>
      </c>
      <c r="Q16" s="146" t="n">
        <f aca="false">G16+H16</f>
        <v>0</v>
      </c>
      <c r="S16" s="149" t="n">
        <f aca="false">S15+'Volumes por intervalo'!C15*(F15+F16)/2</f>
        <v>3080</v>
      </c>
      <c r="T16" s="149" t="n">
        <f aca="false">T15+'Volumes por intervalo'!H15</f>
        <v>154.7</v>
      </c>
      <c r="U16" s="149" t="n">
        <f aca="false">U15+'Volumes por intervalo'!J15</f>
        <v>508.928</v>
      </c>
      <c r="V16" s="149" t="n">
        <f aca="false">V15+'Volumes por intervalo'!K15</f>
        <v>667.52</v>
      </c>
      <c r="W16" s="149" t="n">
        <f aca="false">W15+'Volumes por intervalo'!L15</f>
        <v>1060.08</v>
      </c>
      <c r="X16" s="149" t="n">
        <f aca="false">X15+'Volumes por intervalo'!M15</f>
        <v>3136</v>
      </c>
      <c r="Y16" s="149" t="n">
        <f aca="false">Y15+'Volumes por intervalo'!N15</f>
        <v>3136</v>
      </c>
      <c r="Z16" s="149" t="n">
        <f aca="false">Z15+'Volumes por intervalo'!O15</f>
        <v>3617.6</v>
      </c>
      <c r="AA16" s="149" t="n">
        <f aca="false">AA15+'Volumes por intervalo'!P15</f>
        <v>0</v>
      </c>
      <c r="AB16" s="149" t="n">
        <f aca="false">AB15+'Volumes por intervalo'!Q15</f>
        <v>0</v>
      </c>
      <c r="AC16" s="149" t="n">
        <f aca="false">AC15+'Volumes por intervalo'!R15</f>
        <v>0</v>
      </c>
      <c r="AD16" s="149" t="n">
        <f aca="false">AD15+'Volumes por intervalo'!S15</f>
        <v>0</v>
      </c>
    </row>
    <row r="17" customFormat="false" ht="15" hidden="false" customHeight="false" outlineLevel="0" collapsed="false">
      <c r="A17" s="138" t="s">
        <v>1657</v>
      </c>
      <c r="B17" s="146" t="n">
        <v>15</v>
      </c>
      <c r="C17" s="144" t="n">
        <v>300</v>
      </c>
      <c r="D17" s="138" t="s">
        <v>1565</v>
      </c>
      <c r="E17" s="138" t="s">
        <v>1566</v>
      </c>
      <c r="F17" s="147" t="n">
        <v>11</v>
      </c>
      <c r="G17" s="148" t="n">
        <v>0</v>
      </c>
      <c r="H17" s="148" t="n">
        <v>0</v>
      </c>
      <c r="I17" s="138" t="s">
        <v>1642</v>
      </c>
      <c r="J17" s="138"/>
      <c r="K17" s="146" t="n">
        <f aca="false">Parâmetros!$C$4*(F17+2*Parâmetros!$D$4+Parâmetros!$C$4*Parâmetros!$E$4)</f>
        <v>0.5525</v>
      </c>
      <c r="L17" s="146" t="n">
        <f aca="false">Parâmetros!$C$5*(F17+2*Parâmetros!$D$5+Parâmetros!$C$5*Parâmetros!$E$5)</f>
        <v>1.8176</v>
      </c>
      <c r="M17" s="146" t="n">
        <f aca="false">Parâmetros!$C$6*(F17+2*Parâmetros!$D$6+Parâmetros!$C$6*Parâmetros!$E$6)</f>
        <v>2.384</v>
      </c>
      <c r="N17" s="146" t="n">
        <f aca="false">Parâmetros!$C$7*(F17+2*Parâmetros!$D$7+Parâmetros!$C$7*Parâmetros!$E$7)</f>
        <v>3.786</v>
      </c>
      <c r="O17" s="146" t="n">
        <f aca="false">F17+2*Parâmetros!$D$8</f>
        <v>11.2</v>
      </c>
      <c r="P17" s="146" t="n">
        <f aca="false">F17+2*Parâmetros!$D$10</f>
        <v>12.92</v>
      </c>
      <c r="Q17" s="146" t="n">
        <f aca="false">G17+H17</f>
        <v>0</v>
      </c>
      <c r="S17" s="149" t="n">
        <f aca="false">S16+'Volumes por intervalo'!C16*(F16+F17)/2</f>
        <v>3300</v>
      </c>
      <c r="T17" s="149" t="n">
        <f aca="false">T16+'Volumes por intervalo'!H16</f>
        <v>165.75</v>
      </c>
      <c r="U17" s="149" t="n">
        <f aca="false">U16+'Volumes por intervalo'!J16</f>
        <v>545.28</v>
      </c>
      <c r="V17" s="149" t="n">
        <f aca="false">V16+'Volumes por intervalo'!K16</f>
        <v>715.2</v>
      </c>
      <c r="W17" s="149" t="n">
        <f aca="false">W16+'Volumes por intervalo'!L16</f>
        <v>1135.8</v>
      </c>
      <c r="X17" s="149" t="n">
        <f aca="false">X16+'Volumes por intervalo'!M16</f>
        <v>3360</v>
      </c>
      <c r="Y17" s="149" t="n">
        <f aca="false">Y16+'Volumes por intervalo'!N16</f>
        <v>3360</v>
      </c>
      <c r="Z17" s="149" t="n">
        <f aca="false">Z16+'Volumes por intervalo'!O16</f>
        <v>3876</v>
      </c>
      <c r="AA17" s="149" t="n">
        <f aca="false">AA16+'Volumes por intervalo'!P16</f>
        <v>0</v>
      </c>
      <c r="AB17" s="149" t="n">
        <f aca="false">AB16+'Volumes por intervalo'!Q16</f>
        <v>0</v>
      </c>
      <c r="AC17" s="149" t="n">
        <f aca="false">AC16+'Volumes por intervalo'!R16</f>
        <v>0</v>
      </c>
      <c r="AD17" s="149" t="n">
        <f aca="false">AD16+'Volumes por intervalo'!S16</f>
        <v>0</v>
      </c>
    </row>
    <row r="18" customFormat="false" ht="15" hidden="false" customHeight="false" outlineLevel="0" collapsed="false">
      <c r="A18" s="138" t="s">
        <v>1658</v>
      </c>
      <c r="B18" s="146" t="n">
        <v>16</v>
      </c>
      <c r="C18" s="144" t="n">
        <v>320</v>
      </c>
      <c r="D18" s="138" t="s">
        <v>1565</v>
      </c>
      <c r="E18" s="138" t="s">
        <v>1566</v>
      </c>
      <c r="F18" s="147" t="n">
        <v>11</v>
      </c>
      <c r="G18" s="148" t="n">
        <v>0</v>
      </c>
      <c r="H18" s="148" t="n">
        <v>0</v>
      </c>
      <c r="I18" s="138" t="s">
        <v>1642</v>
      </c>
      <c r="J18" s="138"/>
      <c r="K18" s="146" t="n">
        <f aca="false">Parâmetros!$C$4*(F18+2*Parâmetros!$D$4+Parâmetros!$C$4*Parâmetros!$E$4)</f>
        <v>0.5525</v>
      </c>
      <c r="L18" s="146" t="n">
        <f aca="false">Parâmetros!$C$5*(F18+2*Parâmetros!$D$5+Parâmetros!$C$5*Parâmetros!$E$5)</f>
        <v>1.8176</v>
      </c>
      <c r="M18" s="146" t="n">
        <f aca="false">Parâmetros!$C$6*(F18+2*Parâmetros!$D$6+Parâmetros!$C$6*Parâmetros!$E$6)</f>
        <v>2.384</v>
      </c>
      <c r="N18" s="146" t="n">
        <f aca="false">Parâmetros!$C$7*(F18+2*Parâmetros!$D$7+Parâmetros!$C$7*Parâmetros!$E$7)</f>
        <v>3.786</v>
      </c>
      <c r="O18" s="146" t="n">
        <f aca="false">F18+2*Parâmetros!$D$8</f>
        <v>11.2</v>
      </c>
      <c r="P18" s="146" t="n">
        <f aca="false">F18+2*Parâmetros!$D$10</f>
        <v>12.92</v>
      </c>
      <c r="Q18" s="146" t="n">
        <f aca="false">G18+H18</f>
        <v>0</v>
      </c>
      <c r="S18" s="149" t="n">
        <f aca="false">S17+'Volumes por intervalo'!C17*(F17+F18)/2</f>
        <v>3520</v>
      </c>
      <c r="T18" s="149" t="n">
        <f aca="false">T17+'Volumes por intervalo'!H17</f>
        <v>176.8</v>
      </c>
      <c r="U18" s="149" t="n">
        <f aca="false">U17+'Volumes por intervalo'!J17</f>
        <v>581.632</v>
      </c>
      <c r="V18" s="149" t="n">
        <f aca="false">V17+'Volumes por intervalo'!K17</f>
        <v>762.88</v>
      </c>
      <c r="W18" s="149" t="n">
        <f aca="false">W17+'Volumes por intervalo'!L17</f>
        <v>1211.52</v>
      </c>
      <c r="X18" s="149" t="n">
        <f aca="false">X17+'Volumes por intervalo'!M17</f>
        <v>3584</v>
      </c>
      <c r="Y18" s="149" t="n">
        <f aca="false">Y17+'Volumes por intervalo'!N17</f>
        <v>3584</v>
      </c>
      <c r="Z18" s="149" t="n">
        <f aca="false">Z17+'Volumes por intervalo'!O17</f>
        <v>4134.4</v>
      </c>
      <c r="AA18" s="149" t="n">
        <f aca="false">AA17+'Volumes por intervalo'!P17</f>
        <v>0</v>
      </c>
      <c r="AB18" s="149" t="n">
        <f aca="false">AB17+'Volumes por intervalo'!Q17</f>
        <v>0</v>
      </c>
      <c r="AC18" s="149" t="n">
        <f aca="false">AC17+'Volumes por intervalo'!R17</f>
        <v>0</v>
      </c>
      <c r="AD18" s="149" t="n">
        <f aca="false">AD17+'Volumes por intervalo'!S17</f>
        <v>0</v>
      </c>
    </row>
    <row r="19" customFormat="false" ht="15" hidden="false" customHeight="false" outlineLevel="0" collapsed="false">
      <c r="A19" s="138" t="s">
        <v>1659</v>
      </c>
      <c r="B19" s="146" t="n">
        <v>17</v>
      </c>
      <c r="C19" s="144" t="n">
        <v>340</v>
      </c>
      <c r="D19" s="138" t="s">
        <v>1565</v>
      </c>
      <c r="E19" s="138" t="s">
        <v>1566</v>
      </c>
      <c r="F19" s="147" t="n">
        <v>11</v>
      </c>
      <c r="G19" s="148" t="n">
        <v>0</v>
      </c>
      <c r="H19" s="148" t="n">
        <v>0</v>
      </c>
      <c r="I19" s="138" t="s">
        <v>1642</v>
      </c>
      <c r="J19" s="138"/>
      <c r="K19" s="146" t="n">
        <f aca="false">Parâmetros!$C$4*(F19+2*Parâmetros!$D$4+Parâmetros!$C$4*Parâmetros!$E$4)</f>
        <v>0.5525</v>
      </c>
      <c r="L19" s="146" t="n">
        <f aca="false">Parâmetros!$C$5*(F19+2*Parâmetros!$D$5+Parâmetros!$C$5*Parâmetros!$E$5)</f>
        <v>1.8176</v>
      </c>
      <c r="M19" s="146" t="n">
        <f aca="false">Parâmetros!$C$6*(F19+2*Parâmetros!$D$6+Parâmetros!$C$6*Parâmetros!$E$6)</f>
        <v>2.384</v>
      </c>
      <c r="N19" s="146" t="n">
        <f aca="false">Parâmetros!$C$7*(F19+2*Parâmetros!$D$7+Parâmetros!$C$7*Parâmetros!$E$7)</f>
        <v>3.786</v>
      </c>
      <c r="O19" s="146" t="n">
        <f aca="false">F19+2*Parâmetros!$D$8</f>
        <v>11.2</v>
      </c>
      <c r="P19" s="146" t="n">
        <f aca="false">F19+2*Parâmetros!$D$10</f>
        <v>12.92</v>
      </c>
      <c r="Q19" s="146" t="n">
        <f aca="false">G19+H19</f>
        <v>0</v>
      </c>
      <c r="S19" s="149" t="n">
        <f aca="false">S18+'Volumes por intervalo'!C18*(F18+F19)/2</f>
        <v>3740</v>
      </c>
      <c r="T19" s="149" t="n">
        <f aca="false">T18+'Volumes por intervalo'!H18</f>
        <v>187.85</v>
      </c>
      <c r="U19" s="149" t="n">
        <f aca="false">U18+'Volumes por intervalo'!J18</f>
        <v>617.984</v>
      </c>
      <c r="V19" s="149" t="n">
        <f aca="false">V18+'Volumes por intervalo'!K18</f>
        <v>810.56</v>
      </c>
      <c r="W19" s="149" t="n">
        <f aca="false">W18+'Volumes por intervalo'!L18</f>
        <v>1287.24</v>
      </c>
      <c r="X19" s="149" t="n">
        <f aca="false">X18+'Volumes por intervalo'!M18</f>
        <v>3808</v>
      </c>
      <c r="Y19" s="149" t="n">
        <f aca="false">Y18+'Volumes por intervalo'!N18</f>
        <v>3808</v>
      </c>
      <c r="Z19" s="149" t="n">
        <f aca="false">Z18+'Volumes por intervalo'!O18</f>
        <v>4392.8</v>
      </c>
      <c r="AA19" s="149" t="n">
        <f aca="false">AA18+'Volumes por intervalo'!P18</f>
        <v>0</v>
      </c>
      <c r="AB19" s="149" t="n">
        <f aca="false">AB18+'Volumes por intervalo'!Q18</f>
        <v>0</v>
      </c>
      <c r="AC19" s="149" t="n">
        <f aca="false">AC18+'Volumes por intervalo'!R18</f>
        <v>0</v>
      </c>
      <c r="AD19" s="149" t="n">
        <f aca="false">AD18+'Volumes por intervalo'!S18</f>
        <v>0</v>
      </c>
    </row>
    <row r="20" customFormat="false" ht="15" hidden="false" customHeight="false" outlineLevel="0" collapsed="false">
      <c r="A20" s="138" t="s">
        <v>1660</v>
      </c>
      <c r="B20" s="146" t="n">
        <v>18</v>
      </c>
      <c r="C20" s="144" t="n">
        <v>360</v>
      </c>
      <c r="D20" s="138" t="s">
        <v>1565</v>
      </c>
      <c r="E20" s="138" t="s">
        <v>1566</v>
      </c>
      <c r="F20" s="147" t="n">
        <v>11</v>
      </c>
      <c r="G20" s="148" t="n">
        <v>0</v>
      </c>
      <c r="H20" s="148" t="n">
        <v>0</v>
      </c>
      <c r="I20" s="138" t="s">
        <v>1642</v>
      </c>
      <c r="J20" s="138"/>
      <c r="K20" s="146" t="n">
        <f aca="false">Parâmetros!$C$4*(F20+2*Parâmetros!$D$4+Parâmetros!$C$4*Parâmetros!$E$4)</f>
        <v>0.5525</v>
      </c>
      <c r="L20" s="146" t="n">
        <f aca="false">Parâmetros!$C$5*(F20+2*Parâmetros!$D$5+Parâmetros!$C$5*Parâmetros!$E$5)</f>
        <v>1.8176</v>
      </c>
      <c r="M20" s="146" t="n">
        <f aca="false">Parâmetros!$C$6*(F20+2*Parâmetros!$D$6+Parâmetros!$C$6*Parâmetros!$E$6)</f>
        <v>2.384</v>
      </c>
      <c r="N20" s="146" t="n">
        <f aca="false">Parâmetros!$C$7*(F20+2*Parâmetros!$D$7+Parâmetros!$C$7*Parâmetros!$E$7)</f>
        <v>3.786</v>
      </c>
      <c r="O20" s="146" t="n">
        <f aca="false">F20+2*Parâmetros!$D$8</f>
        <v>11.2</v>
      </c>
      <c r="P20" s="146" t="n">
        <f aca="false">F20+2*Parâmetros!$D$10</f>
        <v>12.92</v>
      </c>
      <c r="Q20" s="146" t="n">
        <f aca="false">G20+H20</f>
        <v>0</v>
      </c>
      <c r="S20" s="149" t="n">
        <f aca="false">S19+'Volumes por intervalo'!C19*(F19+F20)/2</f>
        <v>3960</v>
      </c>
      <c r="T20" s="149" t="n">
        <f aca="false">T19+'Volumes por intervalo'!H19</f>
        <v>198.9</v>
      </c>
      <c r="U20" s="149" t="n">
        <f aca="false">U19+'Volumes por intervalo'!J19</f>
        <v>654.336</v>
      </c>
      <c r="V20" s="149" t="n">
        <f aca="false">V19+'Volumes por intervalo'!K19</f>
        <v>858.24</v>
      </c>
      <c r="W20" s="149" t="n">
        <f aca="false">W19+'Volumes por intervalo'!L19</f>
        <v>1362.96</v>
      </c>
      <c r="X20" s="149" t="n">
        <f aca="false">X19+'Volumes por intervalo'!M19</f>
        <v>4032</v>
      </c>
      <c r="Y20" s="149" t="n">
        <f aca="false">Y19+'Volumes por intervalo'!N19</f>
        <v>4032</v>
      </c>
      <c r="Z20" s="149" t="n">
        <f aca="false">Z19+'Volumes por intervalo'!O19</f>
        <v>4651.2</v>
      </c>
      <c r="AA20" s="149" t="n">
        <f aca="false">AA19+'Volumes por intervalo'!P19</f>
        <v>0</v>
      </c>
      <c r="AB20" s="149" t="n">
        <f aca="false">AB19+'Volumes por intervalo'!Q19</f>
        <v>0</v>
      </c>
      <c r="AC20" s="149" t="n">
        <f aca="false">AC19+'Volumes por intervalo'!R19</f>
        <v>0</v>
      </c>
      <c r="AD20" s="149" t="n">
        <f aca="false">AD19+'Volumes por intervalo'!S19</f>
        <v>0</v>
      </c>
    </row>
    <row r="21" customFormat="false" ht="15" hidden="false" customHeight="false" outlineLevel="0" collapsed="false">
      <c r="A21" s="138" t="s">
        <v>1661</v>
      </c>
      <c r="B21" s="146" t="n">
        <v>19</v>
      </c>
      <c r="C21" s="144" t="n">
        <v>380</v>
      </c>
      <c r="D21" s="138" t="s">
        <v>1565</v>
      </c>
      <c r="E21" s="138" t="s">
        <v>1566</v>
      </c>
      <c r="F21" s="147" t="n">
        <v>11</v>
      </c>
      <c r="G21" s="148" t="n">
        <v>0</v>
      </c>
      <c r="H21" s="148" t="n">
        <v>0</v>
      </c>
      <c r="I21" s="138" t="s">
        <v>1642</v>
      </c>
      <c r="J21" s="138"/>
      <c r="K21" s="146" t="n">
        <f aca="false">Parâmetros!$C$4*(F21+2*Parâmetros!$D$4+Parâmetros!$C$4*Parâmetros!$E$4)</f>
        <v>0.5525</v>
      </c>
      <c r="L21" s="146" t="n">
        <f aca="false">Parâmetros!$C$5*(F21+2*Parâmetros!$D$5+Parâmetros!$C$5*Parâmetros!$E$5)</f>
        <v>1.8176</v>
      </c>
      <c r="M21" s="146" t="n">
        <f aca="false">Parâmetros!$C$6*(F21+2*Parâmetros!$D$6+Parâmetros!$C$6*Parâmetros!$E$6)</f>
        <v>2.384</v>
      </c>
      <c r="N21" s="146" t="n">
        <f aca="false">Parâmetros!$C$7*(F21+2*Parâmetros!$D$7+Parâmetros!$C$7*Parâmetros!$E$7)</f>
        <v>3.786</v>
      </c>
      <c r="O21" s="146" t="n">
        <f aca="false">F21+2*Parâmetros!$D$8</f>
        <v>11.2</v>
      </c>
      <c r="P21" s="146" t="n">
        <f aca="false">F21+2*Parâmetros!$D$10</f>
        <v>12.92</v>
      </c>
      <c r="Q21" s="146" t="n">
        <f aca="false">G21+H21</f>
        <v>0</v>
      </c>
      <c r="S21" s="149" t="n">
        <f aca="false">S20+'Volumes por intervalo'!C20*(F20+F21)/2</f>
        <v>4180</v>
      </c>
      <c r="T21" s="149" t="n">
        <f aca="false">T20+'Volumes por intervalo'!H20</f>
        <v>209.95</v>
      </c>
      <c r="U21" s="149" t="n">
        <f aca="false">U20+'Volumes por intervalo'!J20</f>
        <v>690.688</v>
      </c>
      <c r="V21" s="149" t="n">
        <f aca="false">V20+'Volumes por intervalo'!K20</f>
        <v>905.92</v>
      </c>
      <c r="W21" s="149" t="n">
        <f aca="false">W20+'Volumes por intervalo'!L20</f>
        <v>1438.68</v>
      </c>
      <c r="X21" s="149" t="n">
        <f aca="false">X20+'Volumes por intervalo'!M20</f>
        <v>4256</v>
      </c>
      <c r="Y21" s="149" t="n">
        <f aca="false">Y20+'Volumes por intervalo'!N20</f>
        <v>4256</v>
      </c>
      <c r="Z21" s="149" t="n">
        <f aca="false">Z20+'Volumes por intervalo'!O20</f>
        <v>4909.6</v>
      </c>
      <c r="AA21" s="149" t="n">
        <f aca="false">AA20+'Volumes por intervalo'!P20</f>
        <v>0</v>
      </c>
      <c r="AB21" s="149" t="n">
        <f aca="false">AB20+'Volumes por intervalo'!Q20</f>
        <v>0</v>
      </c>
      <c r="AC21" s="149" t="n">
        <f aca="false">AC20+'Volumes por intervalo'!R20</f>
        <v>0</v>
      </c>
      <c r="AD21" s="149" t="n">
        <f aca="false">AD20+'Volumes por intervalo'!S20</f>
        <v>0</v>
      </c>
    </row>
    <row r="22" customFormat="false" ht="15" hidden="false" customHeight="false" outlineLevel="0" collapsed="false">
      <c r="A22" s="138" t="s">
        <v>1662</v>
      </c>
      <c r="B22" s="146" t="n">
        <v>20</v>
      </c>
      <c r="C22" s="144" t="n">
        <v>400</v>
      </c>
      <c r="D22" s="138" t="s">
        <v>1565</v>
      </c>
      <c r="E22" s="138" t="s">
        <v>1566</v>
      </c>
      <c r="F22" s="147" t="n">
        <v>11</v>
      </c>
      <c r="G22" s="148" t="n">
        <v>0</v>
      </c>
      <c r="H22" s="148" t="n">
        <v>0</v>
      </c>
      <c r="I22" s="138" t="s">
        <v>1642</v>
      </c>
      <c r="J22" s="138"/>
      <c r="K22" s="146" t="n">
        <f aca="false">Parâmetros!$C$4*(F22+2*Parâmetros!$D$4+Parâmetros!$C$4*Parâmetros!$E$4)</f>
        <v>0.5525</v>
      </c>
      <c r="L22" s="146" t="n">
        <f aca="false">Parâmetros!$C$5*(F22+2*Parâmetros!$D$5+Parâmetros!$C$5*Parâmetros!$E$5)</f>
        <v>1.8176</v>
      </c>
      <c r="M22" s="146" t="n">
        <f aca="false">Parâmetros!$C$6*(F22+2*Parâmetros!$D$6+Parâmetros!$C$6*Parâmetros!$E$6)</f>
        <v>2.384</v>
      </c>
      <c r="N22" s="146" t="n">
        <f aca="false">Parâmetros!$C$7*(F22+2*Parâmetros!$D$7+Parâmetros!$C$7*Parâmetros!$E$7)</f>
        <v>3.786</v>
      </c>
      <c r="O22" s="146" t="n">
        <f aca="false">F22+2*Parâmetros!$D$8</f>
        <v>11.2</v>
      </c>
      <c r="P22" s="146" t="n">
        <f aca="false">F22+2*Parâmetros!$D$10</f>
        <v>12.92</v>
      </c>
      <c r="Q22" s="146" t="n">
        <f aca="false">G22+H22</f>
        <v>0</v>
      </c>
      <c r="S22" s="149" t="n">
        <f aca="false">S21+'Volumes por intervalo'!C21*(F21+F22)/2</f>
        <v>4400</v>
      </c>
      <c r="T22" s="149" t="n">
        <f aca="false">T21+'Volumes por intervalo'!H21</f>
        <v>221</v>
      </c>
      <c r="U22" s="149" t="n">
        <f aca="false">U21+'Volumes por intervalo'!J21</f>
        <v>727.04</v>
      </c>
      <c r="V22" s="149" t="n">
        <f aca="false">V21+'Volumes por intervalo'!K21</f>
        <v>953.6</v>
      </c>
      <c r="W22" s="149" t="n">
        <f aca="false">W21+'Volumes por intervalo'!L21</f>
        <v>1514.4</v>
      </c>
      <c r="X22" s="149" t="n">
        <f aca="false">X21+'Volumes por intervalo'!M21</f>
        <v>4480</v>
      </c>
      <c r="Y22" s="149" t="n">
        <f aca="false">Y21+'Volumes por intervalo'!N21</f>
        <v>4480</v>
      </c>
      <c r="Z22" s="149" t="n">
        <f aca="false">Z21+'Volumes por intervalo'!O21</f>
        <v>5168</v>
      </c>
      <c r="AA22" s="149" t="n">
        <f aca="false">AA21+'Volumes por intervalo'!P21</f>
        <v>0</v>
      </c>
      <c r="AB22" s="149" t="n">
        <f aca="false">AB21+'Volumes por intervalo'!Q21</f>
        <v>0</v>
      </c>
      <c r="AC22" s="149" t="n">
        <f aca="false">AC21+'Volumes por intervalo'!R21</f>
        <v>0</v>
      </c>
      <c r="AD22" s="149" t="n">
        <f aca="false">AD21+'Volumes por intervalo'!S21</f>
        <v>0</v>
      </c>
    </row>
    <row r="23" customFormat="false" ht="15" hidden="false" customHeight="false" outlineLevel="0" collapsed="false">
      <c r="A23" s="138" t="s">
        <v>1663</v>
      </c>
      <c r="B23" s="146" t="n">
        <v>21</v>
      </c>
      <c r="C23" s="144" t="n">
        <v>420</v>
      </c>
      <c r="D23" s="138" t="s">
        <v>1565</v>
      </c>
      <c r="E23" s="138" t="s">
        <v>1566</v>
      </c>
      <c r="F23" s="147" t="n">
        <v>11</v>
      </c>
      <c r="G23" s="148" t="n">
        <v>0</v>
      </c>
      <c r="H23" s="148" t="n">
        <v>0</v>
      </c>
      <c r="I23" s="138" t="s">
        <v>1642</v>
      </c>
      <c r="J23" s="138"/>
      <c r="K23" s="146" t="n">
        <f aca="false">Parâmetros!$C$4*(F23+2*Parâmetros!$D$4+Parâmetros!$C$4*Parâmetros!$E$4)</f>
        <v>0.5525</v>
      </c>
      <c r="L23" s="146" t="n">
        <f aca="false">Parâmetros!$C$5*(F23+2*Parâmetros!$D$5+Parâmetros!$C$5*Parâmetros!$E$5)</f>
        <v>1.8176</v>
      </c>
      <c r="M23" s="146" t="n">
        <f aca="false">Parâmetros!$C$6*(F23+2*Parâmetros!$D$6+Parâmetros!$C$6*Parâmetros!$E$6)</f>
        <v>2.384</v>
      </c>
      <c r="N23" s="146" t="n">
        <f aca="false">Parâmetros!$C$7*(F23+2*Parâmetros!$D$7+Parâmetros!$C$7*Parâmetros!$E$7)</f>
        <v>3.786</v>
      </c>
      <c r="O23" s="146" t="n">
        <f aca="false">F23+2*Parâmetros!$D$8</f>
        <v>11.2</v>
      </c>
      <c r="P23" s="146" t="n">
        <f aca="false">F23+2*Parâmetros!$D$10</f>
        <v>12.92</v>
      </c>
      <c r="Q23" s="146" t="n">
        <f aca="false">G23+H23</f>
        <v>0</v>
      </c>
      <c r="S23" s="149" t="n">
        <f aca="false">S22+'Volumes por intervalo'!C22*(F22+F23)/2</f>
        <v>4620</v>
      </c>
      <c r="T23" s="149" t="n">
        <f aca="false">T22+'Volumes por intervalo'!H22</f>
        <v>232.05</v>
      </c>
      <c r="U23" s="149" t="n">
        <f aca="false">U22+'Volumes por intervalo'!J22</f>
        <v>763.392</v>
      </c>
      <c r="V23" s="149" t="n">
        <f aca="false">V22+'Volumes por intervalo'!K22</f>
        <v>1001.28</v>
      </c>
      <c r="W23" s="149" t="n">
        <f aca="false">W22+'Volumes por intervalo'!L22</f>
        <v>1590.12</v>
      </c>
      <c r="X23" s="149" t="n">
        <f aca="false">X22+'Volumes por intervalo'!M22</f>
        <v>4704</v>
      </c>
      <c r="Y23" s="149" t="n">
        <f aca="false">Y22+'Volumes por intervalo'!N22</f>
        <v>4704</v>
      </c>
      <c r="Z23" s="149" t="n">
        <f aca="false">Z22+'Volumes por intervalo'!O22</f>
        <v>5426.4</v>
      </c>
      <c r="AA23" s="149" t="n">
        <f aca="false">AA22+'Volumes por intervalo'!P22</f>
        <v>0</v>
      </c>
      <c r="AB23" s="149" t="n">
        <f aca="false">AB22+'Volumes por intervalo'!Q22</f>
        <v>0</v>
      </c>
      <c r="AC23" s="149" t="n">
        <f aca="false">AC22+'Volumes por intervalo'!R22</f>
        <v>0</v>
      </c>
      <c r="AD23" s="149" t="n">
        <f aca="false">AD22+'Volumes por intervalo'!S22</f>
        <v>0</v>
      </c>
    </row>
    <row r="24" customFormat="false" ht="15" hidden="false" customHeight="false" outlineLevel="0" collapsed="false">
      <c r="A24" s="138" t="s">
        <v>1664</v>
      </c>
      <c r="B24" s="146" t="n">
        <v>22</v>
      </c>
      <c r="C24" s="144" t="n">
        <v>440</v>
      </c>
      <c r="D24" s="138" t="s">
        <v>1565</v>
      </c>
      <c r="E24" s="138" t="s">
        <v>1566</v>
      </c>
      <c r="F24" s="147" t="n">
        <v>11</v>
      </c>
      <c r="G24" s="148" t="n">
        <v>0</v>
      </c>
      <c r="H24" s="148" t="n">
        <v>0</v>
      </c>
      <c r="I24" s="138" t="s">
        <v>1642</v>
      </c>
      <c r="J24" s="138"/>
      <c r="K24" s="146" t="n">
        <f aca="false">Parâmetros!$C$4*(F24+2*Parâmetros!$D$4+Parâmetros!$C$4*Parâmetros!$E$4)</f>
        <v>0.5525</v>
      </c>
      <c r="L24" s="146" t="n">
        <f aca="false">Parâmetros!$C$5*(F24+2*Parâmetros!$D$5+Parâmetros!$C$5*Parâmetros!$E$5)</f>
        <v>1.8176</v>
      </c>
      <c r="M24" s="146" t="n">
        <f aca="false">Parâmetros!$C$6*(F24+2*Parâmetros!$D$6+Parâmetros!$C$6*Parâmetros!$E$6)</f>
        <v>2.384</v>
      </c>
      <c r="N24" s="146" t="n">
        <f aca="false">Parâmetros!$C$7*(F24+2*Parâmetros!$D$7+Parâmetros!$C$7*Parâmetros!$E$7)</f>
        <v>3.786</v>
      </c>
      <c r="O24" s="146" t="n">
        <f aca="false">F24+2*Parâmetros!$D$8</f>
        <v>11.2</v>
      </c>
      <c r="P24" s="146" t="n">
        <f aca="false">F24+2*Parâmetros!$D$10</f>
        <v>12.92</v>
      </c>
      <c r="Q24" s="146" t="n">
        <f aca="false">G24+H24</f>
        <v>0</v>
      </c>
      <c r="S24" s="149" t="n">
        <f aca="false">S23+'Volumes por intervalo'!C23*(F23+F24)/2</f>
        <v>4840</v>
      </c>
      <c r="T24" s="149" t="n">
        <f aca="false">T23+'Volumes por intervalo'!H23</f>
        <v>243.1</v>
      </c>
      <c r="U24" s="149" t="n">
        <f aca="false">U23+'Volumes por intervalo'!J23</f>
        <v>799.744</v>
      </c>
      <c r="V24" s="149" t="n">
        <f aca="false">V23+'Volumes por intervalo'!K23</f>
        <v>1048.96</v>
      </c>
      <c r="W24" s="149" t="n">
        <f aca="false">W23+'Volumes por intervalo'!L23</f>
        <v>1665.84</v>
      </c>
      <c r="X24" s="149" t="n">
        <f aca="false">X23+'Volumes por intervalo'!M23</f>
        <v>4928</v>
      </c>
      <c r="Y24" s="149" t="n">
        <f aca="false">Y23+'Volumes por intervalo'!N23</f>
        <v>4928</v>
      </c>
      <c r="Z24" s="149" t="n">
        <f aca="false">Z23+'Volumes por intervalo'!O23</f>
        <v>5684.8</v>
      </c>
      <c r="AA24" s="149" t="n">
        <f aca="false">AA23+'Volumes por intervalo'!P23</f>
        <v>0</v>
      </c>
      <c r="AB24" s="149" t="n">
        <f aca="false">AB23+'Volumes por intervalo'!Q23</f>
        <v>0</v>
      </c>
      <c r="AC24" s="149" t="n">
        <f aca="false">AC23+'Volumes por intervalo'!R23</f>
        <v>0</v>
      </c>
      <c r="AD24" s="149" t="n">
        <f aca="false">AD23+'Volumes por intervalo'!S23</f>
        <v>0</v>
      </c>
    </row>
    <row r="25" customFormat="false" ht="15" hidden="false" customHeight="false" outlineLevel="0" collapsed="false">
      <c r="A25" s="138" t="s">
        <v>1665</v>
      </c>
      <c r="B25" s="146" t="n">
        <v>23</v>
      </c>
      <c r="C25" s="144" t="n">
        <v>460</v>
      </c>
      <c r="D25" s="138" t="s">
        <v>1565</v>
      </c>
      <c r="E25" s="138" t="s">
        <v>1566</v>
      </c>
      <c r="F25" s="147" t="n">
        <v>11</v>
      </c>
      <c r="G25" s="148" t="n">
        <v>0</v>
      </c>
      <c r="H25" s="148" t="n">
        <v>0</v>
      </c>
      <c r="I25" s="138" t="s">
        <v>1642</v>
      </c>
      <c r="J25" s="138"/>
      <c r="K25" s="146" t="n">
        <f aca="false">Parâmetros!$C$4*(F25+2*Parâmetros!$D$4+Parâmetros!$C$4*Parâmetros!$E$4)</f>
        <v>0.5525</v>
      </c>
      <c r="L25" s="146" t="n">
        <f aca="false">Parâmetros!$C$5*(F25+2*Parâmetros!$D$5+Parâmetros!$C$5*Parâmetros!$E$5)</f>
        <v>1.8176</v>
      </c>
      <c r="M25" s="146" t="n">
        <f aca="false">Parâmetros!$C$6*(F25+2*Parâmetros!$D$6+Parâmetros!$C$6*Parâmetros!$E$6)</f>
        <v>2.384</v>
      </c>
      <c r="N25" s="146" t="n">
        <f aca="false">Parâmetros!$C$7*(F25+2*Parâmetros!$D$7+Parâmetros!$C$7*Parâmetros!$E$7)</f>
        <v>3.786</v>
      </c>
      <c r="O25" s="146" t="n">
        <f aca="false">F25+2*Parâmetros!$D$8</f>
        <v>11.2</v>
      </c>
      <c r="P25" s="146" t="n">
        <f aca="false">F25+2*Parâmetros!$D$10</f>
        <v>12.92</v>
      </c>
      <c r="Q25" s="146" t="n">
        <f aca="false">G25+H25</f>
        <v>0</v>
      </c>
      <c r="S25" s="149" t="n">
        <f aca="false">S24+'Volumes por intervalo'!C24*(F24+F25)/2</f>
        <v>5060</v>
      </c>
      <c r="T25" s="149" t="n">
        <f aca="false">T24+'Volumes por intervalo'!H24</f>
        <v>254.15</v>
      </c>
      <c r="U25" s="149" t="n">
        <f aca="false">U24+'Volumes por intervalo'!J24</f>
        <v>836.096</v>
      </c>
      <c r="V25" s="149" t="n">
        <f aca="false">V24+'Volumes por intervalo'!K24</f>
        <v>1096.64</v>
      </c>
      <c r="W25" s="149" t="n">
        <f aca="false">W24+'Volumes por intervalo'!L24</f>
        <v>1741.56</v>
      </c>
      <c r="X25" s="149" t="n">
        <f aca="false">X24+'Volumes por intervalo'!M24</f>
        <v>5152</v>
      </c>
      <c r="Y25" s="149" t="n">
        <f aca="false">Y24+'Volumes por intervalo'!N24</f>
        <v>5152</v>
      </c>
      <c r="Z25" s="149" t="n">
        <f aca="false">Z24+'Volumes por intervalo'!O24</f>
        <v>5943.2</v>
      </c>
      <c r="AA25" s="149" t="n">
        <f aca="false">AA24+'Volumes por intervalo'!P24</f>
        <v>0</v>
      </c>
      <c r="AB25" s="149" t="n">
        <f aca="false">AB24+'Volumes por intervalo'!Q24</f>
        <v>0</v>
      </c>
      <c r="AC25" s="149" t="n">
        <f aca="false">AC24+'Volumes por intervalo'!R24</f>
        <v>0</v>
      </c>
      <c r="AD25" s="149" t="n">
        <f aca="false">AD24+'Volumes por intervalo'!S24</f>
        <v>0</v>
      </c>
    </row>
    <row r="26" customFormat="false" ht="15" hidden="false" customHeight="false" outlineLevel="0" collapsed="false">
      <c r="A26" s="138" t="s">
        <v>1666</v>
      </c>
      <c r="B26" s="146" t="n">
        <v>24</v>
      </c>
      <c r="C26" s="144" t="n">
        <v>480</v>
      </c>
      <c r="D26" s="138" t="s">
        <v>1565</v>
      </c>
      <c r="E26" s="138" t="s">
        <v>1566</v>
      </c>
      <c r="F26" s="147" t="n">
        <v>11</v>
      </c>
      <c r="G26" s="148" t="n">
        <v>0</v>
      </c>
      <c r="H26" s="148" t="n">
        <v>0</v>
      </c>
      <c r="I26" s="138" t="s">
        <v>1642</v>
      </c>
      <c r="J26" s="138"/>
      <c r="K26" s="146" t="n">
        <f aca="false">Parâmetros!$C$4*(F26+2*Parâmetros!$D$4+Parâmetros!$C$4*Parâmetros!$E$4)</f>
        <v>0.5525</v>
      </c>
      <c r="L26" s="146" t="n">
        <f aca="false">Parâmetros!$C$5*(F26+2*Parâmetros!$D$5+Parâmetros!$C$5*Parâmetros!$E$5)</f>
        <v>1.8176</v>
      </c>
      <c r="M26" s="146" t="n">
        <f aca="false">Parâmetros!$C$6*(F26+2*Parâmetros!$D$6+Parâmetros!$C$6*Parâmetros!$E$6)</f>
        <v>2.384</v>
      </c>
      <c r="N26" s="146" t="n">
        <f aca="false">Parâmetros!$C$7*(F26+2*Parâmetros!$D$7+Parâmetros!$C$7*Parâmetros!$E$7)</f>
        <v>3.786</v>
      </c>
      <c r="O26" s="146" t="n">
        <f aca="false">F26+2*Parâmetros!$D$8</f>
        <v>11.2</v>
      </c>
      <c r="P26" s="146" t="n">
        <f aca="false">F26+2*Parâmetros!$D$10</f>
        <v>12.92</v>
      </c>
      <c r="Q26" s="146" t="n">
        <f aca="false">G26+H26</f>
        <v>0</v>
      </c>
      <c r="S26" s="149" t="n">
        <f aca="false">S25+'Volumes por intervalo'!C25*(F25+F26)/2</f>
        <v>5280</v>
      </c>
      <c r="T26" s="149" t="n">
        <f aca="false">T25+'Volumes por intervalo'!H25</f>
        <v>265.2</v>
      </c>
      <c r="U26" s="149" t="n">
        <f aca="false">U25+'Volumes por intervalo'!J25</f>
        <v>872.448</v>
      </c>
      <c r="V26" s="149" t="n">
        <f aca="false">V25+'Volumes por intervalo'!K25</f>
        <v>1144.32</v>
      </c>
      <c r="W26" s="149" t="n">
        <f aca="false">W25+'Volumes por intervalo'!L25</f>
        <v>1817.28</v>
      </c>
      <c r="X26" s="149" t="n">
        <f aca="false">X25+'Volumes por intervalo'!M25</f>
        <v>5376</v>
      </c>
      <c r="Y26" s="149" t="n">
        <f aca="false">Y25+'Volumes por intervalo'!N25</f>
        <v>5376</v>
      </c>
      <c r="Z26" s="149" t="n">
        <f aca="false">Z25+'Volumes por intervalo'!O25</f>
        <v>6201.6</v>
      </c>
      <c r="AA26" s="149" t="n">
        <f aca="false">AA25+'Volumes por intervalo'!P25</f>
        <v>0</v>
      </c>
      <c r="AB26" s="149" t="n">
        <f aca="false">AB25+'Volumes por intervalo'!Q25</f>
        <v>0</v>
      </c>
      <c r="AC26" s="149" t="n">
        <f aca="false">AC25+'Volumes por intervalo'!R25</f>
        <v>0</v>
      </c>
      <c r="AD26" s="149" t="n">
        <f aca="false">AD25+'Volumes por intervalo'!S25</f>
        <v>0</v>
      </c>
    </row>
    <row r="27" customFormat="false" ht="15" hidden="false" customHeight="false" outlineLevel="0" collapsed="false">
      <c r="A27" s="138" t="s">
        <v>1667</v>
      </c>
      <c r="B27" s="146" t="n">
        <v>25</v>
      </c>
      <c r="C27" s="144" t="n">
        <v>500</v>
      </c>
      <c r="D27" s="138" t="s">
        <v>1565</v>
      </c>
      <c r="E27" s="138" t="s">
        <v>1566</v>
      </c>
      <c r="F27" s="147" t="n">
        <v>11</v>
      </c>
      <c r="G27" s="148" t="n">
        <v>0</v>
      </c>
      <c r="H27" s="148" t="n">
        <v>0</v>
      </c>
      <c r="I27" s="138" t="s">
        <v>1642</v>
      </c>
      <c r="J27" s="138"/>
      <c r="K27" s="146" t="n">
        <f aca="false">Parâmetros!$C$4*(F27+2*Parâmetros!$D$4+Parâmetros!$C$4*Parâmetros!$E$4)</f>
        <v>0.5525</v>
      </c>
      <c r="L27" s="146" t="n">
        <f aca="false">Parâmetros!$C$5*(F27+2*Parâmetros!$D$5+Parâmetros!$C$5*Parâmetros!$E$5)</f>
        <v>1.8176</v>
      </c>
      <c r="M27" s="146" t="n">
        <f aca="false">Parâmetros!$C$6*(F27+2*Parâmetros!$D$6+Parâmetros!$C$6*Parâmetros!$E$6)</f>
        <v>2.384</v>
      </c>
      <c r="N27" s="146" t="n">
        <f aca="false">Parâmetros!$C$7*(F27+2*Parâmetros!$D$7+Parâmetros!$C$7*Parâmetros!$E$7)</f>
        <v>3.786</v>
      </c>
      <c r="O27" s="146" t="n">
        <f aca="false">F27+2*Parâmetros!$D$8</f>
        <v>11.2</v>
      </c>
      <c r="P27" s="146" t="n">
        <f aca="false">F27+2*Parâmetros!$D$10</f>
        <v>12.92</v>
      </c>
      <c r="Q27" s="146" t="n">
        <f aca="false">G27+H27</f>
        <v>0</v>
      </c>
      <c r="S27" s="149" t="n">
        <f aca="false">S26+'Volumes por intervalo'!C26*(F26+F27)/2</f>
        <v>5500</v>
      </c>
      <c r="T27" s="149" t="n">
        <f aca="false">T26+'Volumes por intervalo'!H26</f>
        <v>276.25</v>
      </c>
      <c r="U27" s="149" t="n">
        <f aca="false">U26+'Volumes por intervalo'!J26</f>
        <v>908.8</v>
      </c>
      <c r="V27" s="149" t="n">
        <f aca="false">V26+'Volumes por intervalo'!K26</f>
        <v>1192</v>
      </c>
      <c r="W27" s="149" t="n">
        <f aca="false">W26+'Volumes por intervalo'!L26</f>
        <v>1893</v>
      </c>
      <c r="X27" s="149" t="n">
        <f aca="false">X26+'Volumes por intervalo'!M26</f>
        <v>5600</v>
      </c>
      <c r="Y27" s="149" t="n">
        <f aca="false">Y26+'Volumes por intervalo'!N26</f>
        <v>5600</v>
      </c>
      <c r="Z27" s="149" t="n">
        <f aca="false">Z26+'Volumes por intervalo'!O26</f>
        <v>6460</v>
      </c>
      <c r="AA27" s="149" t="n">
        <f aca="false">AA26+'Volumes por intervalo'!P26</f>
        <v>0</v>
      </c>
      <c r="AB27" s="149" t="n">
        <f aca="false">AB26+'Volumes por intervalo'!Q26</f>
        <v>0</v>
      </c>
      <c r="AC27" s="149" t="n">
        <f aca="false">AC26+'Volumes por intervalo'!R26</f>
        <v>0</v>
      </c>
      <c r="AD27" s="149" t="n">
        <f aca="false">AD26+'Volumes por intervalo'!S26</f>
        <v>0</v>
      </c>
    </row>
    <row r="28" customFormat="false" ht="15" hidden="false" customHeight="false" outlineLevel="0" collapsed="false">
      <c r="A28" s="138" t="s">
        <v>1668</v>
      </c>
      <c r="B28" s="146" t="n">
        <v>26</v>
      </c>
      <c r="C28" s="144" t="n">
        <v>520</v>
      </c>
      <c r="D28" s="138" t="s">
        <v>1565</v>
      </c>
      <c r="E28" s="138" t="s">
        <v>1566</v>
      </c>
      <c r="F28" s="147" t="n">
        <v>11</v>
      </c>
      <c r="G28" s="148" t="n">
        <v>0</v>
      </c>
      <c r="H28" s="148" t="n">
        <v>0</v>
      </c>
      <c r="I28" s="138" t="s">
        <v>1642</v>
      </c>
      <c r="J28" s="138"/>
      <c r="K28" s="146" t="n">
        <f aca="false">Parâmetros!$C$4*(F28+2*Parâmetros!$D$4+Parâmetros!$C$4*Parâmetros!$E$4)</f>
        <v>0.5525</v>
      </c>
      <c r="L28" s="146" t="n">
        <f aca="false">Parâmetros!$C$5*(F28+2*Parâmetros!$D$5+Parâmetros!$C$5*Parâmetros!$E$5)</f>
        <v>1.8176</v>
      </c>
      <c r="M28" s="146" t="n">
        <f aca="false">Parâmetros!$C$6*(F28+2*Parâmetros!$D$6+Parâmetros!$C$6*Parâmetros!$E$6)</f>
        <v>2.384</v>
      </c>
      <c r="N28" s="146" t="n">
        <f aca="false">Parâmetros!$C$7*(F28+2*Parâmetros!$D$7+Parâmetros!$C$7*Parâmetros!$E$7)</f>
        <v>3.786</v>
      </c>
      <c r="O28" s="146" t="n">
        <f aca="false">F28+2*Parâmetros!$D$8</f>
        <v>11.2</v>
      </c>
      <c r="P28" s="146" t="n">
        <f aca="false">F28+2*Parâmetros!$D$10</f>
        <v>12.92</v>
      </c>
      <c r="Q28" s="146" t="n">
        <f aca="false">G28+H28</f>
        <v>0</v>
      </c>
      <c r="S28" s="149" t="n">
        <f aca="false">S27+'Volumes por intervalo'!C27*(F27+F28)/2</f>
        <v>5720</v>
      </c>
      <c r="T28" s="149" t="n">
        <f aca="false">T27+'Volumes por intervalo'!H27</f>
        <v>287.3</v>
      </c>
      <c r="U28" s="149" t="n">
        <f aca="false">U27+'Volumes por intervalo'!J27</f>
        <v>945.152</v>
      </c>
      <c r="V28" s="149" t="n">
        <f aca="false">V27+'Volumes por intervalo'!K27</f>
        <v>1239.68</v>
      </c>
      <c r="W28" s="149" t="n">
        <f aca="false">W27+'Volumes por intervalo'!L27</f>
        <v>1968.72</v>
      </c>
      <c r="X28" s="149" t="n">
        <f aca="false">X27+'Volumes por intervalo'!M27</f>
        <v>5824</v>
      </c>
      <c r="Y28" s="149" t="n">
        <f aca="false">Y27+'Volumes por intervalo'!N27</f>
        <v>5824</v>
      </c>
      <c r="Z28" s="149" t="n">
        <f aca="false">Z27+'Volumes por intervalo'!O27</f>
        <v>6718.4</v>
      </c>
      <c r="AA28" s="149" t="n">
        <f aca="false">AA27+'Volumes por intervalo'!P27</f>
        <v>0</v>
      </c>
      <c r="AB28" s="149" t="n">
        <f aca="false">AB27+'Volumes por intervalo'!Q27</f>
        <v>0</v>
      </c>
      <c r="AC28" s="149" t="n">
        <f aca="false">AC27+'Volumes por intervalo'!R27</f>
        <v>0</v>
      </c>
      <c r="AD28" s="149" t="n">
        <f aca="false">AD27+'Volumes por intervalo'!S27</f>
        <v>0</v>
      </c>
    </row>
    <row r="29" customFormat="false" ht="15" hidden="false" customHeight="false" outlineLevel="0" collapsed="false">
      <c r="A29" s="138" t="s">
        <v>1669</v>
      </c>
      <c r="B29" s="146" t="n">
        <v>27</v>
      </c>
      <c r="C29" s="144" t="n">
        <v>540</v>
      </c>
      <c r="D29" s="138" t="s">
        <v>1565</v>
      </c>
      <c r="E29" s="138" t="s">
        <v>1566</v>
      </c>
      <c r="F29" s="147" t="n">
        <v>11</v>
      </c>
      <c r="G29" s="148" t="n">
        <v>0</v>
      </c>
      <c r="H29" s="148" t="n">
        <v>0</v>
      </c>
      <c r="I29" s="138" t="s">
        <v>1642</v>
      </c>
      <c r="J29" s="138"/>
      <c r="K29" s="146" t="n">
        <f aca="false">Parâmetros!$C$4*(F29+2*Parâmetros!$D$4+Parâmetros!$C$4*Parâmetros!$E$4)</f>
        <v>0.5525</v>
      </c>
      <c r="L29" s="146" t="n">
        <f aca="false">Parâmetros!$C$5*(F29+2*Parâmetros!$D$5+Parâmetros!$C$5*Parâmetros!$E$5)</f>
        <v>1.8176</v>
      </c>
      <c r="M29" s="146" t="n">
        <f aca="false">Parâmetros!$C$6*(F29+2*Parâmetros!$D$6+Parâmetros!$C$6*Parâmetros!$E$6)</f>
        <v>2.384</v>
      </c>
      <c r="N29" s="146" t="n">
        <f aca="false">Parâmetros!$C$7*(F29+2*Parâmetros!$D$7+Parâmetros!$C$7*Parâmetros!$E$7)</f>
        <v>3.786</v>
      </c>
      <c r="O29" s="146" t="n">
        <f aca="false">F29+2*Parâmetros!$D$8</f>
        <v>11.2</v>
      </c>
      <c r="P29" s="146" t="n">
        <f aca="false">F29+2*Parâmetros!$D$10</f>
        <v>12.92</v>
      </c>
      <c r="Q29" s="146" t="n">
        <f aca="false">G29+H29</f>
        <v>0</v>
      </c>
      <c r="S29" s="149" t="n">
        <f aca="false">S28+'Volumes por intervalo'!C28*(F28+F29)/2</f>
        <v>5940</v>
      </c>
      <c r="T29" s="149" t="n">
        <f aca="false">T28+'Volumes por intervalo'!H28</f>
        <v>298.35</v>
      </c>
      <c r="U29" s="149" t="n">
        <f aca="false">U28+'Volumes por intervalo'!J28</f>
        <v>981.504</v>
      </c>
      <c r="V29" s="149" t="n">
        <f aca="false">V28+'Volumes por intervalo'!K28</f>
        <v>1287.36</v>
      </c>
      <c r="W29" s="149" t="n">
        <f aca="false">W28+'Volumes por intervalo'!L28</f>
        <v>2044.44</v>
      </c>
      <c r="X29" s="149" t="n">
        <f aca="false">X28+'Volumes por intervalo'!M28</f>
        <v>6048</v>
      </c>
      <c r="Y29" s="149" t="n">
        <f aca="false">Y28+'Volumes por intervalo'!N28</f>
        <v>6048</v>
      </c>
      <c r="Z29" s="149" t="n">
        <f aca="false">Z28+'Volumes por intervalo'!O28</f>
        <v>6976.8</v>
      </c>
      <c r="AA29" s="149" t="n">
        <f aca="false">AA28+'Volumes por intervalo'!P28</f>
        <v>0</v>
      </c>
      <c r="AB29" s="149" t="n">
        <f aca="false">AB28+'Volumes por intervalo'!Q28</f>
        <v>0</v>
      </c>
      <c r="AC29" s="149" t="n">
        <f aca="false">AC28+'Volumes por intervalo'!R28</f>
        <v>0</v>
      </c>
      <c r="AD29" s="149" t="n">
        <f aca="false">AD28+'Volumes por intervalo'!S28</f>
        <v>0</v>
      </c>
    </row>
    <row r="30" customFormat="false" ht="15" hidden="false" customHeight="false" outlineLevel="0" collapsed="false">
      <c r="A30" s="138" t="s">
        <v>1670</v>
      </c>
      <c r="B30" s="146" t="n">
        <v>28</v>
      </c>
      <c r="C30" s="144" t="n">
        <v>560</v>
      </c>
      <c r="D30" s="138" t="s">
        <v>1565</v>
      </c>
      <c r="E30" s="138" t="s">
        <v>1566</v>
      </c>
      <c r="F30" s="147" t="n">
        <v>11</v>
      </c>
      <c r="G30" s="148" t="n">
        <v>0</v>
      </c>
      <c r="H30" s="148" t="n">
        <v>0</v>
      </c>
      <c r="I30" s="138" t="s">
        <v>1642</v>
      </c>
      <c r="J30" s="138"/>
      <c r="K30" s="146" t="n">
        <f aca="false">Parâmetros!$C$4*(F30+2*Parâmetros!$D$4+Parâmetros!$C$4*Parâmetros!$E$4)</f>
        <v>0.5525</v>
      </c>
      <c r="L30" s="146" t="n">
        <f aca="false">Parâmetros!$C$5*(F30+2*Parâmetros!$D$5+Parâmetros!$C$5*Parâmetros!$E$5)</f>
        <v>1.8176</v>
      </c>
      <c r="M30" s="146" t="n">
        <f aca="false">Parâmetros!$C$6*(F30+2*Parâmetros!$D$6+Parâmetros!$C$6*Parâmetros!$E$6)</f>
        <v>2.384</v>
      </c>
      <c r="N30" s="146" t="n">
        <f aca="false">Parâmetros!$C$7*(F30+2*Parâmetros!$D$7+Parâmetros!$C$7*Parâmetros!$E$7)</f>
        <v>3.786</v>
      </c>
      <c r="O30" s="146" t="n">
        <f aca="false">F30+2*Parâmetros!$D$8</f>
        <v>11.2</v>
      </c>
      <c r="P30" s="146" t="n">
        <f aca="false">F30+2*Parâmetros!$D$10</f>
        <v>12.92</v>
      </c>
      <c r="Q30" s="146" t="n">
        <f aca="false">G30+H30</f>
        <v>0</v>
      </c>
      <c r="S30" s="149" t="n">
        <f aca="false">S29+'Volumes por intervalo'!C29*(F29+F30)/2</f>
        <v>6160</v>
      </c>
      <c r="T30" s="149" t="n">
        <f aca="false">T29+'Volumes por intervalo'!H29</f>
        <v>309.4</v>
      </c>
      <c r="U30" s="149" t="n">
        <f aca="false">U29+'Volumes por intervalo'!J29</f>
        <v>1017.856</v>
      </c>
      <c r="V30" s="149" t="n">
        <f aca="false">V29+'Volumes por intervalo'!K29</f>
        <v>1335.04</v>
      </c>
      <c r="W30" s="149" t="n">
        <f aca="false">W29+'Volumes por intervalo'!L29</f>
        <v>2120.16</v>
      </c>
      <c r="X30" s="149" t="n">
        <f aca="false">X29+'Volumes por intervalo'!M29</f>
        <v>6272</v>
      </c>
      <c r="Y30" s="149" t="n">
        <f aca="false">Y29+'Volumes por intervalo'!N29</f>
        <v>6272</v>
      </c>
      <c r="Z30" s="149" t="n">
        <f aca="false">Z29+'Volumes por intervalo'!O29</f>
        <v>7235.2</v>
      </c>
      <c r="AA30" s="149" t="n">
        <f aca="false">AA29+'Volumes por intervalo'!P29</f>
        <v>0</v>
      </c>
      <c r="AB30" s="149" t="n">
        <f aca="false">AB29+'Volumes por intervalo'!Q29</f>
        <v>0</v>
      </c>
      <c r="AC30" s="149" t="n">
        <f aca="false">AC29+'Volumes por intervalo'!R29</f>
        <v>0</v>
      </c>
      <c r="AD30" s="149" t="n">
        <f aca="false">AD29+'Volumes por intervalo'!S29</f>
        <v>0</v>
      </c>
    </row>
    <row r="31" customFormat="false" ht="15" hidden="false" customHeight="false" outlineLevel="0" collapsed="false">
      <c r="A31" s="138" t="s">
        <v>1671</v>
      </c>
      <c r="B31" s="146" t="n">
        <v>29</v>
      </c>
      <c r="C31" s="144" t="n">
        <v>580</v>
      </c>
      <c r="D31" s="138" t="s">
        <v>1565</v>
      </c>
      <c r="E31" s="138" t="s">
        <v>1566</v>
      </c>
      <c r="F31" s="147" t="n">
        <v>11</v>
      </c>
      <c r="G31" s="148" t="n">
        <v>0</v>
      </c>
      <c r="H31" s="148" t="n">
        <v>0</v>
      </c>
      <c r="I31" s="138" t="s">
        <v>1642</v>
      </c>
      <c r="J31" s="138"/>
      <c r="K31" s="146" t="n">
        <f aca="false">Parâmetros!$C$4*(F31+2*Parâmetros!$D$4+Parâmetros!$C$4*Parâmetros!$E$4)</f>
        <v>0.5525</v>
      </c>
      <c r="L31" s="146" t="n">
        <f aca="false">Parâmetros!$C$5*(F31+2*Parâmetros!$D$5+Parâmetros!$C$5*Parâmetros!$E$5)</f>
        <v>1.8176</v>
      </c>
      <c r="M31" s="146" t="n">
        <f aca="false">Parâmetros!$C$6*(F31+2*Parâmetros!$D$6+Parâmetros!$C$6*Parâmetros!$E$6)</f>
        <v>2.384</v>
      </c>
      <c r="N31" s="146" t="n">
        <f aca="false">Parâmetros!$C$7*(F31+2*Parâmetros!$D$7+Parâmetros!$C$7*Parâmetros!$E$7)</f>
        <v>3.786</v>
      </c>
      <c r="O31" s="146" t="n">
        <f aca="false">F31+2*Parâmetros!$D$8</f>
        <v>11.2</v>
      </c>
      <c r="P31" s="146" t="n">
        <f aca="false">F31+2*Parâmetros!$D$10</f>
        <v>12.92</v>
      </c>
      <c r="Q31" s="146" t="n">
        <f aca="false">G31+H31</f>
        <v>0</v>
      </c>
      <c r="S31" s="149" t="n">
        <f aca="false">S30+'Volumes por intervalo'!C30*(F30+F31)/2</f>
        <v>6380</v>
      </c>
      <c r="T31" s="149" t="n">
        <f aca="false">T30+'Volumes por intervalo'!H30</f>
        <v>320.45</v>
      </c>
      <c r="U31" s="149" t="n">
        <f aca="false">U30+'Volumes por intervalo'!J30</f>
        <v>1054.208</v>
      </c>
      <c r="V31" s="149" t="n">
        <f aca="false">V30+'Volumes por intervalo'!K30</f>
        <v>1382.72</v>
      </c>
      <c r="W31" s="149" t="n">
        <f aca="false">W30+'Volumes por intervalo'!L30</f>
        <v>2195.88</v>
      </c>
      <c r="X31" s="149" t="n">
        <f aca="false">X30+'Volumes por intervalo'!M30</f>
        <v>6496</v>
      </c>
      <c r="Y31" s="149" t="n">
        <f aca="false">Y30+'Volumes por intervalo'!N30</f>
        <v>6496</v>
      </c>
      <c r="Z31" s="149" t="n">
        <f aca="false">Z30+'Volumes por intervalo'!O30</f>
        <v>7493.6</v>
      </c>
      <c r="AA31" s="149" t="n">
        <f aca="false">AA30+'Volumes por intervalo'!P30</f>
        <v>0</v>
      </c>
      <c r="AB31" s="149" t="n">
        <f aca="false">AB30+'Volumes por intervalo'!Q30</f>
        <v>0</v>
      </c>
      <c r="AC31" s="149" t="n">
        <f aca="false">AC30+'Volumes por intervalo'!R30</f>
        <v>0</v>
      </c>
      <c r="AD31" s="149" t="n">
        <f aca="false">AD30+'Volumes por intervalo'!S30</f>
        <v>0</v>
      </c>
    </row>
    <row r="32" customFormat="false" ht="15" hidden="false" customHeight="false" outlineLevel="0" collapsed="false">
      <c r="A32" s="138" t="s">
        <v>1672</v>
      </c>
      <c r="B32" s="146" t="n">
        <v>30</v>
      </c>
      <c r="C32" s="144" t="n">
        <v>600</v>
      </c>
      <c r="D32" s="138" t="s">
        <v>1565</v>
      </c>
      <c r="E32" s="138" t="s">
        <v>1566</v>
      </c>
      <c r="F32" s="147" t="n">
        <v>11</v>
      </c>
      <c r="G32" s="148" t="n">
        <v>0</v>
      </c>
      <c r="H32" s="148" t="n">
        <v>0</v>
      </c>
      <c r="I32" s="138" t="s">
        <v>1642</v>
      </c>
      <c r="J32" s="138"/>
      <c r="K32" s="146" t="n">
        <f aca="false">Parâmetros!$C$4*(F32+2*Parâmetros!$D$4+Parâmetros!$C$4*Parâmetros!$E$4)</f>
        <v>0.5525</v>
      </c>
      <c r="L32" s="146" t="n">
        <f aca="false">Parâmetros!$C$5*(F32+2*Parâmetros!$D$5+Parâmetros!$C$5*Parâmetros!$E$5)</f>
        <v>1.8176</v>
      </c>
      <c r="M32" s="146" t="n">
        <f aca="false">Parâmetros!$C$6*(F32+2*Parâmetros!$D$6+Parâmetros!$C$6*Parâmetros!$E$6)</f>
        <v>2.384</v>
      </c>
      <c r="N32" s="146" t="n">
        <f aca="false">Parâmetros!$C$7*(F32+2*Parâmetros!$D$7+Parâmetros!$C$7*Parâmetros!$E$7)</f>
        <v>3.786</v>
      </c>
      <c r="O32" s="146" t="n">
        <f aca="false">F32+2*Parâmetros!$D$8</f>
        <v>11.2</v>
      </c>
      <c r="P32" s="146" t="n">
        <f aca="false">F32+2*Parâmetros!$D$10</f>
        <v>12.92</v>
      </c>
      <c r="Q32" s="146" t="n">
        <f aca="false">G32+H32</f>
        <v>0</v>
      </c>
      <c r="S32" s="149" t="n">
        <f aca="false">S31+'Volumes por intervalo'!C31*(F31+F32)/2</f>
        <v>6600</v>
      </c>
      <c r="T32" s="149" t="n">
        <f aca="false">T31+'Volumes por intervalo'!H31</f>
        <v>331.5</v>
      </c>
      <c r="U32" s="149" t="n">
        <f aca="false">U31+'Volumes por intervalo'!J31</f>
        <v>1090.56</v>
      </c>
      <c r="V32" s="149" t="n">
        <f aca="false">V31+'Volumes por intervalo'!K31</f>
        <v>1430.4</v>
      </c>
      <c r="W32" s="149" t="n">
        <f aca="false">W31+'Volumes por intervalo'!L31</f>
        <v>2271.6</v>
      </c>
      <c r="X32" s="149" t="n">
        <f aca="false">X31+'Volumes por intervalo'!M31</f>
        <v>6720</v>
      </c>
      <c r="Y32" s="149" t="n">
        <f aca="false">Y31+'Volumes por intervalo'!N31</f>
        <v>6720</v>
      </c>
      <c r="Z32" s="149" t="n">
        <f aca="false">Z31+'Volumes por intervalo'!O31</f>
        <v>7752</v>
      </c>
      <c r="AA32" s="149" t="n">
        <f aca="false">AA31+'Volumes por intervalo'!P31</f>
        <v>0</v>
      </c>
      <c r="AB32" s="149" t="n">
        <f aca="false">AB31+'Volumes por intervalo'!Q31</f>
        <v>0</v>
      </c>
      <c r="AC32" s="149" t="n">
        <f aca="false">AC31+'Volumes por intervalo'!R31</f>
        <v>0</v>
      </c>
      <c r="AD32" s="149" t="n">
        <f aca="false">AD31+'Volumes por intervalo'!S31</f>
        <v>0</v>
      </c>
    </row>
    <row r="33" customFormat="false" ht="15" hidden="false" customHeight="false" outlineLevel="0" collapsed="false">
      <c r="A33" s="138" t="s">
        <v>1673</v>
      </c>
      <c r="B33" s="146" t="n">
        <v>31</v>
      </c>
      <c r="C33" s="144" t="n">
        <v>620</v>
      </c>
      <c r="D33" s="138" t="s">
        <v>1565</v>
      </c>
      <c r="E33" s="138" t="s">
        <v>1566</v>
      </c>
      <c r="F33" s="147" t="n">
        <v>11</v>
      </c>
      <c r="G33" s="148" t="n">
        <v>0</v>
      </c>
      <c r="H33" s="148" t="n">
        <v>0</v>
      </c>
      <c r="I33" s="138" t="s">
        <v>1642</v>
      </c>
      <c r="J33" s="138"/>
      <c r="K33" s="146" t="n">
        <f aca="false">Parâmetros!$C$4*(F33+2*Parâmetros!$D$4+Parâmetros!$C$4*Parâmetros!$E$4)</f>
        <v>0.5525</v>
      </c>
      <c r="L33" s="146" t="n">
        <f aca="false">Parâmetros!$C$5*(F33+2*Parâmetros!$D$5+Parâmetros!$C$5*Parâmetros!$E$5)</f>
        <v>1.8176</v>
      </c>
      <c r="M33" s="146" t="n">
        <f aca="false">Parâmetros!$C$6*(F33+2*Parâmetros!$D$6+Parâmetros!$C$6*Parâmetros!$E$6)</f>
        <v>2.384</v>
      </c>
      <c r="N33" s="146" t="n">
        <f aca="false">Parâmetros!$C$7*(F33+2*Parâmetros!$D$7+Parâmetros!$C$7*Parâmetros!$E$7)</f>
        <v>3.786</v>
      </c>
      <c r="O33" s="146" t="n">
        <f aca="false">F33+2*Parâmetros!$D$8</f>
        <v>11.2</v>
      </c>
      <c r="P33" s="146" t="n">
        <f aca="false">F33+2*Parâmetros!$D$10</f>
        <v>12.92</v>
      </c>
      <c r="Q33" s="146" t="n">
        <f aca="false">G33+H33</f>
        <v>0</v>
      </c>
      <c r="S33" s="149" t="n">
        <f aca="false">S32+'Volumes por intervalo'!C32*(F32+F33)/2</f>
        <v>6820</v>
      </c>
      <c r="T33" s="149" t="n">
        <f aca="false">T32+'Volumes por intervalo'!H32</f>
        <v>342.55</v>
      </c>
      <c r="U33" s="149" t="n">
        <f aca="false">U32+'Volumes por intervalo'!J32</f>
        <v>1126.912</v>
      </c>
      <c r="V33" s="149" t="n">
        <f aca="false">V32+'Volumes por intervalo'!K32</f>
        <v>1478.08</v>
      </c>
      <c r="W33" s="149" t="n">
        <f aca="false">W32+'Volumes por intervalo'!L32</f>
        <v>2347.32</v>
      </c>
      <c r="X33" s="149" t="n">
        <f aca="false">X32+'Volumes por intervalo'!M32</f>
        <v>6944</v>
      </c>
      <c r="Y33" s="149" t="n">
        <f aca="false">Y32+'Volumes por intervalo'!N32</f>
        <v>6944</v>
      </c>
      <c r="Z33" s="149" t="n">
        <f aca="false">Z32+'Volumes por intervalo'!O32</f>
        <v>8010.4</v>
      </c>
      <c r="AA33" s="149" t="n">
        <f aca="false">AA32+'Volumes por intervalo'!P32</f>
        <v>0</v>
      </c>
      <c r="AB33" s="149" t="n">
        <f aca="false">AB32+'Volumes por intervalo'!Q32</f>
        <v>0</v>
      </c>
      <c r="AC33" s="149" t="n">
        <f aca="false">AC32+'Volumes por intervalo'!R32</f>
        <v>0</v>
      </c>
      <c r="AD33" s="149" t="n">
        <f aca="false">AD32+'Volumes por intervalo'!S32</f>
        <v>0</v>
      </c>
    </row>
    <row r="34" customFormat="false" ht="15" hidden="false" customHeight="false" outlineLevel="0" collapsed="false">
      <c r="A34" s="138" t="s">
        <v>1674</v>
      </c>
      <c r="B34" s="146" t="n">
        <v>32</v>
      </c>
      <c r="C34" s="144" t="n">
        <v>640</v>
      </c>
      <c r="D34" s="138" t="s">
        <v>1565</v>
      </c>
      <c r="E34" s="138" t="s">
        <v>1566</v>
      </c>
      <c r="F34" s="147" t="n">
        <v>11</v>
      </c>
      <c r="G34" s="148" t="n">
        <v>0</v>
      </c>
      <c r="H34" s="148" t="n">
        <v>0</v>
      </c>
      <c r="I34" s="138" t="s">
        <v>1642</v>
      </c>
      <c r="J34" s="138"/>
      <c r="K34" s="146" t="n">
        <f aca="false">Parâmetros!$C$4*(F34+2*Parâmetros!$D$4+Parâmetros!$C$4*Parâmetros!$E$4)</f>
        <v>0.5525</v>
      </c>
      <c r="L34" s="146" t="n">
        <f aca="false">Parâmetros!$C$5*(F34+2*Parâmetros!$D$5+Parâmetros!$C$5*Parâmetros!$E$5)</f>
        <v>1.8176</v>
      </c>
      <c r="M34" s="146" t="n">
        <f aca="false">Parâmetros!$C$6*(F34+2*Parâmetros!$D$6+Parâmetros!$C$6*Parâmetros!$E$6)</f>
        <v>2.384</v>
      </c>
      <c r="N34" s="146" t="n">
        <f aca="false">Parâmetros!$C$7*(F34+2*Parâmetros!$D$7+Parâmetros!$C$7*Parâmetros!$E$7)</f>
        <v>3.786</v>
      </c>
      <c r="O34" s="146" t="n">
        <f aca="false">F34+2*Parâmetros!$D$8</f>
        <v>11.2</v>
      </c>
      <c r="P34" s="146" t="n">
        <f aca="false">F34+2*Parâmetros!$D$10</f>
        <v>12.92</v>
      </c>
      <c r="Q34" s="146" t="n">
        <f aca="false">G34+H34</f>
        <v>0</v>
      </c>
      <c r="S34" s="149" t="n">
        <f aca="false">S33+'Volumes por intervalo'!C33*(F33+F34)/2</f>
        <v>7040</v>
      </c>
      <c r="T34" s="149" t="n">
        <f aca="false">T33+'Volumes por intervalo'!H33</f>
        <v>353.6</v>
      </c>
      <c r="U34" s="149" t="n">
        <f aca="false">U33+'Volumes por intervalo'!J33</f>
        <v>1163.264</v>
      </c>
      <c r="V34" s="149" t="n">
        <f aca="false">V33+'Volumes por intervalo'!K33</f>
        <v>1525.76</v>
      </c>
      <c r="W34" s="149" t="n">
        <f aca="false">W33+'Volumes por intervalo'!L33</f>
        <v>2423.04</v>
      </c>
      <c r="X34" s="149" t="n">
        <f aca="false">X33+'Volumes por intervalo'!M33</f>
        <v>7168</v>
      </c>
      <c r="Y34" s="149" t="n">
        <f aca="false">Y33+'Volumes por intervalo'!N33</f>
        <v>7168</v>
      </c>
      <c r="Z34" s="149" t="n">
        <f aca="false">Z33+'Volumes por intervalo'!O33</f>
        <v>8268.8</v>
      </c>
      <c r="AA34" s="149" t="n">
        <f aca="false">AA33+'Volumes por intervalo'!P33</f>
        <v>0</v>
      </c>
      <c r="AB34" s="149" t="n">
        <f aca="false">AB33+'Volumes por intervalo'!Q33</f>
        <v>0</v>
      </c>
      <c r="AC34" s="149" t="n">
        <f aca="false">AC33+'Volumes por intervalo'!R33</f>
        <v>0</v>
      </c>
      <c r="AD34" s="149" t="n">
        <f aca="false">AD33+'Volumes por intervalo'!S33</f>
        <v>0</v>
      </c>
    </row>
    <row r="35" customFormat="false" ht="15" hidden="false" customHeight="false" outlineLevel="0" collapsed="false">
      <c r="A35" s="138" t="s">
        <v>1675</v>
      </c>
      <c r="B35" s="146" t="n">
        <v>33</v>
      </c>
      <c r="C35" s="144" t="n">
        <v>660</v>
      </c>
      <c r="D35" s="138" t="s">
        <v>1565</v>
      </c>
      <c r="E35" s="138" t="s">
        <v>1566</v>
      </c>
      <c r="F35" s="147" t="n">
        <v>11</v>
      </c>
      <c r="G35" s="148" t="n">
        <v>0</v>
      </c>
      <c r="H35" s="148" t="n">
        <v>0</v>
      </c>
      <c r="I35" s="138" t="s">
        <v>1642</v>
      </c>
      <c r="J35" s="138"/>
      <c r="K35" s="146" t="n">
        <f aca="false">Parâmetros!$C$4*(F35+2*Parâmetros!$D$4+Parâmetros!$C$4*Parâmetros!$E$4)</f>
        <v>0.5525</v>
      </c>
      <c r="L35" s="146" t="n">
        <f aca="false">Parâmetros!$C$5*(F35+2*Parâmetros!$D$5+Parâmetros!$C$5*Parâmetros!$E$5)</f>
        <v>1.8176</v>
      </c>
      <c r="M35" s="146" t="n">
        <f aca="false">Parâmetros!$C$6*(F35+2*Parâmetros!$D$6+Parâmetros!$C$6*Parâmetros!$E$6)</f>
        <v>2.384</v>
      </c>
      <c r="N35" s="146" t="n">
        <f aca="false">Parâmetros!$C$7*(F35+2*Parâmetros!$D$7+Parâmetros!$C$7*Parâmetros!$E$7)</f>
        <v>3.786</v>
      </c>
      <c r="O35" s="146" t="n">
        <f aca="false">F35+2*Parâmetros!$D$8</f>
        <v>11.2</v>
      </c>
      <c r="P35" s="146" t="n">
        <f aca="false">F35+2*Parâmetros!$D$10</f>
        <v>12.92</v>
      </c>
      <c r="Q35" s="146" t="n">
        <f aca="false">G35+H35</f>
        <v>0</v>
      </c>
      <c r="S35" s="149" t="n">
        <f aca="false">S34+'Volumes por intervalo'!C34*(F34+F35)/2</f>
        <v>7260</v>
      </c>
      <c r="T35" s="149" t="n">
        <f aca="false">T34+'Volumes por intervalo'!H34</f>
        <v>364.65</v>
      </c>
      <c r="U35" s="149" t="n">
        <f aca="false">U34+'Volumes por intervalo'!J34</f>
        <v>1199.616</v>
      </c>
      <c r="V35" s="149" t="n">
        <f aca="false">V34+'Volumes por intervalo'!K34</f>
        <v>1573.44</v>
      </c>
      <c r="W35" s="149" t="n">
        <f aca="false">W34+'Volumes por intervalo'!L34</f>
        <v>2498.76</v>
      </c>
      <c r="X35" s="149" t="n">
        <f aca="false">X34+'Volumes por intervalo'!M34</f>
        <v>7392</v>
      </c>
      <c r="Y35" s="149" t="n">
        <f aca="false">Y34+'Volumes por intervalo'!N34</f>
        <v>7392</v>
      </c>
      <c r="Z35" s="149" t="n">
        <f aca="false">Z34+'Volumes por intervalo'!O34</f>
        <v>8527.2</v>
      </c>
      <c r="AA35" s="149" t="n">
        <f aca="false">AA34+'Volumes por intervalo'!P34</f>
        <v>0</v>
      </c>
      <c r="AB35" s="149" t="n">
        <f aca="false">AB34+'Volumes por intervalo'!Q34</f>
        <v>0</v>
      </c>
      <c r="AC35" s="149" t="n">
        <f aca="false">AC34+'Volumes por intervalo'!R34</f>
        <v>0</v>
      </c>
      <c r="AD35" s="149" t="n">
        <f aca="false">AD34+'Volumes por intervalo'!S34</f>
        <v>0</v>
      </c>
    </row>
    <row r="36" customFormat="false" ht="15" hidden="false" customHeight="false" outlineLevel="0" collapsed="false">
      <c r="A36" s="138" t="s">
        <v>1676</v>
      </c>
      <c r="B36" s="146" t="n">
        <v>34</v>
      </c>
      <c r="C36" s="144" t="n">
        <v>680</v>
      </c>
      <c r="D36" s="138" t="s">
        <v>1565</v>
      </c>
      <c r="E36" s="138" t="s">
        <v>1566</v>
      </c>
      <c r="F36" s="147" t="n">
        <v>11</v>
      </c>
      <c r="G36" s="148" t="n">
        <v>0</v>
      </c>
      <c r="H36" s="148" t="n">
        <v>0</v>
      </c>
      <c r="I36" s="138" t="s">
        <v>1642</v>
      </c>
      <c r="J36" s="138"/>
      <c r="K36" s="146" t="n">
        <f aca="false">Parâmetros!$C$4*(F36+2*Parâmetros!$D$4+Parâmetros!$C$4*Parâmetros!$E$4)</f>
        <v>0.5525</v>
      </c>
      <c r="L36" s="146" t="n">
        <f aca="false">Parâmetros!$C$5*(F36+2*Parâmetros!$D$5+Parâmetros!$C$5*Parâmetros!$E$5)</f>
        <v>1.8176</v>
      </c>
      <c r="M36" s="146" t="n">
        <f aca="false">Parâmetros!$C$6*(F36+2*Parâmetros!$D$6+Parâmetros!$C$6*Parâmetros!$E$6)</f>
        <v>2.384</v>
      </c>
      <c r="N36" s="146" t="n">
        <f aca="false">Parâmetros!$C$7*(F36+2*Parâmetros!$D$7+Parâmetros!$C$7*Parâmetros!$E$7)</f>
        <v>3.786</v>
      </c>
      <c r="O36" s="146" t="n">
        <f aca="false">F36+2*Parâmetros!$D$8</f>
        <v>11.2</v>
      </c>
      <c r="P36" s="146" t="n">
        <f aca="false">F36+2*Parâmetros!$D$10</f>
        <v>12.92</v>
      </c>
      <c r="Q36" s="146" t="n">
        <f aca="false">G36+H36</f>
        <v>0</v>
      </c>
      <c r="S36" s="149" t="n">
        <f aca="false">S35+'Volumes por intervalo'!C35*(F35+F36)/2</f>
        <v>7480</v>
      </c>
      <c r="T36" s="149" t="n">
        <f aca="false">T35+'Volumes por intervalo'!H35</f>
        <v>375.7</v>
      </c>
      <c r="U36" s="149" t="n">
        <f aca="false">U35+'Volumes por intervalo'!J35</f>
        <v>1235.968</v>
      </c>
      <c r="V36" s="149" t="n">
        <f aca="false">V35+'Volumes por intervalo'!K35</f>
        <v>1621.12</v>
      </c>
      <c r="W36" s="149" t="n">
        <f aca="false">W35+'Volumes por intervalo'!L35</f>
        <v>2574.48</v>
      </c>
      <c r="X36" s="149" t="n">
        <f aca="false">X35+'Volumes por intervalo'!M35</f>
        <v>7616</v>
      </c>
      <c r="Y36" s="149" t="n">
        <f aca="false">Y35+'Volumes por intervalo'!N35</f>
        <v>7616</v>
      </c>
      <c r="Z36" s="149" t="n">
        <f aca="false">Z35+'Volumes por intervalo'!O35</f>
        <v>8785.6</v>
      </c>
      <c r="AA36" s="149" t="n">
        <f aca="false">AA35+'Volumes por intervalo'!P35</f>
        <v>0</v>
      </c>
      <c r="AB36" s="149" t="n">
        <f aca="false">AB35+'Volumes por intervalo'!Q35</f>
        <v>0</v>
      </c>
      <c r="AC36" s="149" t="n">
        <f aca="false">AC35+'Volumes por intervalo'!R35</f>
        <v>0</v>
      </c>
      <c r="AD36" s="149" t="n">
        <f aca="false">AD35+'Volumes por intervalo'!S35</f>
        <v>0</v>
      </c>
    </row>
    <row r="37" customFormat="false" ht="15" hidden="false" customHeight="false" outlineLevel="0" collapsed="false">
      <c r="A37" s="138" t="s">
        <v>1677</v>
      </c>
      <c r="B37" s="146" t="n">
        <v>35</v>
      </c>
      <c r="C37" s="144" t="n">
        <v>700</v>
      </c>
      <c r="D37" s="138" t="s">
        <v>1565</v>
      </c>
      <c r="E37" s="138" t="s">
        <v>1566</v>
      </c>
      <c r="F37" s="147" t="n">
        <v>11</v>
      </c>
      <c r="G37" s="148" t="n">
        <v>0</v>
      </c>
      <c r="H37" s="148" t="n">
        <v>0</v>
      </c>
      <c r="I37" s="138" t="s">
        <v>1642</v>
      </c>
      <c r="J37" s="138"/>
      <c r="K37" s="146" t="n">
        <f aca="false">Parâmetros!$C$4*(F37+2*Parâmetros!$D$4+Parâmetros!$C$4*Parâmetros!$E$4)</f>
        <v>0.5525</v>
      </c>
      <c r="L37" s="146" t="n">
        <f aca="false">Parâmetros!$C$5*(F37+2*Parâmetros!$D$5+Parâmetros!$C$5*Parâmetros!$E$5)</f>
        <v>1.8176</v>
      </c>
      <c r="M37" s="146" t="n">
        <f aca="false">Parâmetros!$C$6*(F37+2*Parâmetros!$D$6+Parâmetros!$C$6*Parâmetros!$E$6)</f>
        <v>2.384</v>
      </c>
      <c r="N37" s="146" t="n">
        <f aca="false">Parâmetros!$C$7*(F37+2*Parâmetros!$D$7+Parâmetros!$C$7*Parâmetros!$E$7)</f>
        <v>3.786</v>
      </c>
      <c r="O37" s="146" t="n">
        <f aca="false">F37+2*Parâmetros!$D$8</f>
        <v>11.2</v>
      </c>
      <c r="P37" s="146" t="n">
        <f aca="false">F37+2*Parâmetros!$D$10</f>
        <v>12.92</v>
      </c>
      <c r="Q37" s="146" t="n">
        <f aca="false">G37+H37</f>
        <v>0</v>
      </c>
      <c r="S37" s="149" t="n">
        <f aca="false">S36+'Volumes por intervalo'!C36*(F36+F37)/2</f>
        <v>7700</v>
      </c>
      <c r="T37" s="149" t="n">
        <f aca="false">T36+'Volumes por intervalo'!H36</f>
        <v>386.75</v>
      </c>
      <c r="U37" s="149" t="n">
        <f aca="false">U36+'Volumes por intervalo'!J36</f>
        <v>1272.32</v>
      </c>
      <c r="V37" s="149" t="n">
        <f aca="false">V36+'Volumes por intervalo'!K36</f>
        <v>1668.8</v>
      </c>
      <c r="W37" s="149" t="n">
        <f aca="false">W36+'Volumes por intervalo'!L36</f>
        <v>2650.2</v>
      </c>
      <c r="X37" s="149" t="n">
        <f aca="false">X36+'Volumes por intervalo'!M36</f>
        <v>7840</v>
      </c>
      <c r="Y37" s="149" t="n">
        <f aca="false">Y36+'Volumes por intervalo'!N36</f>
        <v>7840</v>
      </c>
      <c r="Z37" s="149" t="n">
        <f aca="false">Z36+'Volumes por intervalo'!O36</f>
        <v>9044</v>
      </c>
      <c r="AA37" s="149" t="n">
        <f aca="false">AA36+'Volumes por intervalo'!P36</f>
        <v>0</v>
      </c>
      <c r="AB37" s="149" t="n">
        <f aca="false">AB36+'Volumes por intervalo'!Q36</f>
        <v>0</v>
      </c>
      <c r="AC37" s="149" t="n">
        <f aca="false">AC36+'Volumes por intervalo'!R36</f>
        <v>0</v>
      </c>
      <c r="AD37" s="149" t="n">
        <f aca="false">AD36+'Volumes por intervalo'!S36</f>
        <v>0</v>
      </c>
    </row>
    <row r="38" customFormat="false" ht="15" hidden="false" customHeight="false" outlineLevel="0" collapsed="false">
      <c r="A38" s="138" t="s">
        <v>1678</v>
      </c>
      <c r="B38" s="146" t="n">
        <v>36</v>
      </c>
      <c r="C38" s="144" t="n">
        <v>720</v>
      </c>
      <c r="D38" s="138" t="s">
        <v>1565</v>
      </c>
      <c r="E38" s="138" t="s">
        <v>1566</v>
      </c>
      <c r="F38" s="147" t="n">
        <v>11</v>
      </c>
      <c r="G38" s="148" t="n">
        <v>0</v>
      </c>
      <c r="H38" s="148" t="n">
        <v>0</v>
      </c>
      <c r="I38" s="138" t="s">
        <v>1642</v>
      </c>
      <c r="J38" s="138"/>
      <c r="K38" s="146" t="n">
        <f aca="false">Parâmetros!$C$4*(F38+2*Parâmetros!$D$4+Parâmetros!$C$4*Parâmetros!$E$4)</f>
        <v>0.5525</v>
      </c>
      <c r="L38" s="146" t="n">
        <f aca="false">Parâmetros!$C$5*(F38+2*Parâmetros!$D$5+Parâmetros!$C$5*Parâmetros!$E$5)</f>
        <v>1.8176</v>
      </c>
      <c r="M38" s="146" t="n">
        <f aca="false">Parâmetros!$C$6*(F38+2*Parâmetros!$D$6+Parâmetros!$C$6*Parâmetros!$E$6)</f>
        <v>2.384</v>
      </c>
      <c r="N38" s="146" t="n">
        <f aca="false">Parâmetros!$C$7*(F38+2*Parâmetros!$D$7+Parâmetros!$C$7*Parâmetros!$E$7)</f>
        <v>3.786</v>
      </c>
      <c r="O38" s="146" t="n">
        <f aca="false">F38+2*Parâmetros!$D$8</f>
        <v>11.2</v>
      </c>
      <c r="P38" s="146" t="n">
        <f aca="false">F38+2*Parâmetros!$D$10</f>
        <v>12.92</v>
      </c>
      <c r="Q38" s="146" t="n">
        <f aca="false">G38+H38</f>
        <v>0</v>
      </c>
      <c r="S38" s="149" t="n">
        <f aca="false">S37+'Volumes por intervalo'!C37*(F37+F38)/2</f>
        <v>7920</v>
      </c>
      <c r="T38" s="149" t="n">
        <f aca="false">T37+'Volumes por intervalo'!H37</f>
        <v>397.8</v>
      </c>
      <c r="U38" s="149" t="n">
        <f aca="false">U37+'Volumes por intervalo'!J37</f>
        <v>1308.672</v>
      </c>
      <c r="V38" s="149" t="n">
        <f aca="false">V37+'Volumes por intervalo'!K37</f>
        <v>1716.48</v>
      </c>
      <c r="W38" s="149" t="n">
        <f aca="false">W37+'Volumes por intervalo'!L37</f>
        <v>2725.92</v>
      </c>
      <c r="X38" s="149" t="n">
        <f aca="false">X37+'Volumes por intervalo'!M37</f>
        <v>8064</v>
      </c>
      <c r="Y38" s="149" t="n">
        <f aca="false">Y37+'Volumes por intervalo'!N37</f>
        <v>8064</v>
      </c>
      <c r="Z38" s="149" t="n">
        <f aca="false">Z37+'Volumes por intervalo'!O37</f>
        <v>9302.39999999999</v>
      </c>
      <c r="AA38" s="149" t="n">
        <f aca="false">AA37+'Volumes por intervalo'!P37</f>
        <v>0</v>
      </c>
      <c r="AB38" s="149" t="n">
        <f aca="false">AB37+'Volumes por intervalo'!Q37</f>
        <v>0</v>
      </c>
      <c r="AC38" s="149" t="n">
        <f aca="false">AC37+'Volumes por intervalo'!R37</f>
        <v>0</v>
      </c>
      <c r="AD38" s="149" t="n">
        <f aca="false">AD37+'Volumes por intervalo'!S37</f>
        <v>0</v>
      </c>
    </row>
    <row r="39" customFormat="false" ht="15" hidden="false" customHeight="false" outlineLevel="0" collapsed="false">
      <c r="A39" s="138" t="s">
        <v>1679</v>
      </c>
      <c r="B39" s="146" t="n">
        <v>37</v>
      </c>
      <c r="C39" s="144" t="n">
        <v>740</v>
      </c>
      <c r="D39" s="138" t="s">
        <v>1565</v>
      </c>
      <c r="E39" s="138" t="s">
        <v>1566</v>
      </c>
      <c r="F39" s="147" t="n">
        <v>11</v>
      </c>
      <c r="G39" s="148" t="n">
        <v>0</v>
      </c>
      <c r="H39" s="148" t="n">
        <v>0</v>
      </c>
      <c r="I39" s="138" t="s">
        <v>1642</v>
      </c>
      <c r="J39" s="138"/>
      <c r="K39" s="146" t="n">
        <f aca="false">Parâmetros!$C$4*(F39+2*Parâmetros!$D$4+Parâmetros!$C$4*Parâmetros!$E$4)</f>
        <v>0.5525</v>
      </c>
      <c r="L39" s="146" t="n">
        <f aca="false">Parâmetros!$C$5*(F39+2*Parâmetros!$D$5+Parâmetros!$C$5*Parâmetros!$E$5)</f>
        <v>1.8176</v>
      </c>
      <c r="M39" s="146" t="n">
        <f aca="false">Parâmetros!$C$6*(F39+2*Parâmetros!$D$6+Parâmetros!$C$6*Parâmetros!$E$6)</f>
        <v>2.384</v>
      </c>
      <c r="N39" s="146" t="n">
        <f aca="false">Parâmetros!$C$7*(F39+2*Parâmetros!$D$7+Parâmetros!$C$7*Parâmetros!$E$7)</f>
        <v>3.786</v>
      </c>
      <c r="O39" s="146" t="n">
        <f aca="false">F39+2*Parâmetros!$D$8</f>
        <v>11.2</v>
      </c>
      <c r="P39" s="146" t="n">
        <f aca="false">F39+2*Parâmetros!$D$10</f>
        <v>12.92</v>
      </c>
      <c r="Q39" s="146" t="n">
        <f aca="false">G39+H39</f>
        <v>0</v>
      </c>
      <c r="S39" s="149" t="n">
        <f aca="false">S38+'Volumes por intervalo'!C38*(F38+F39)/2</f>
        <v>8140</v>
      </c>
      <c r="T39" s="149" t="n">
        <f aca="false">T38+'Volumes por intervalo'!H38</f>
        <v>408.85</v>
      </c>
      <c r="U39" s="149" t="n">
        <f aca="false">U38+'Volumes por intervalo'!J38</f>
        <v>1345.024</v>
      </c>
      <c r="V39" s="149" t="n">
        <f aca="false">V38+'Volumes por intervalo'!K38</f>
        <v>1764.16</v>
      </c>
      <c r="W39" s="149" t="n">
        <f aca="false">W38+'Volumes por intervalo'!L38</f>
        <v>2801.64</v>
      </c>
      <c r="X39" s="149" t="n">
        <f aca="false">X38+'Volumes por intervalo'!M38</f>
        <v>8288</v>
      </c>
      <c r="Y39" s="149" t="n">
        <f aca="false">Y38+'Volumes por intervalo'!N38</f>
        <v>8288</v>
      </c>
      <c r="Z39" s="149" t="n">
        <f aca="false">Z38+'Volumes por intervalo'!O38</f>
        <v>9560.79999999999</v>
      </c>
      <c r="AA39" s="149" t="n">
        <f aca="false">AA38+'Volumes por intervalo'!P38</f>
        <v>0</v>
      </c>
      <c r="AB39" s="149" t="n">
        <f aca="false">AB38+'Volumes por intervalo'!Q38</f>
        <v>0</v>
      </c>
      <c r="AC39" s="149" t="n">
        <f aca="false">AC38+'Volumes por intervalo'!R38</f>
        <v>0</v>
      </c>
      <c r="AD39" s="149" t="n">
        <f aca="false">AD38+'Volumes por intervalo'!S38</f>
        <v>0</v>
      </c>
    </row>
    <row r="40" customFormat="false" ht="15" hidden="false" customHeight="false" outlineLevel="0" collapsed="false">
      <c r="A40" s="138" t="s">
        <v>1680</v>
      </c>
      <c r="B40" s="146" t="n">
        <v>38</v>
      </c>
      <c r="C40" s="144" t="n">
        <v>760</v>
      </c>
      <c r="D40" s="138" t="s">
        <v>1565</v>
      </c>
      <c r="E40" s="138" t="s">
        <v>1566</v>
      </c>
      <c r="F40" s="147" t="n">
        <v>11</v>
      </c>
      <c r="G40" s="148" t="n">
        <v>0</v>
      </c>
      <c r="H40" s="148" t="n">
        <v>0</v>
      </c>
      <c r="I40" s="138" t="s">
        <v>1642</v>
      </c>
      <c r="J40" s="138"/>
      <c r="K40" s="146" t="n">
        <f aca="false">Parâmetros!$C$4*(F40+2*Parâmetros!$D$4+Parâmetros!$C$4*Parâmetros!$E$4)</f>
        <v>0.5525</v>
      </c>
      <c r="L40" s="146" t="n">
        <f aca="false">Parâmetros!$C$5*(F40+2*Parâmetros!$D$5+Parâmetros!$C$5*Parâmetros!$E$5)</f>
        <v>1.8176</v>
      </c>
      <c r="M40" s="146" t="n">
        <f aca="false">Parâmetros!$C$6*(F40+2*Parâmetros!$D$6+Parâmetros!$C$6*Parâmetros!$E$6)</f>
        <v>2.384</v>
      </c>
      <c r="N40" s="146" t="n">
        <f aca="false">Parâmetros!$C$7*(F40+2*Parâmetros!$D$7+Parâmetros!$C$7*Parâmetros!$E$7)</f>
        <v>3.786</v>
      </c>
      <c r="O40" s="146" t="n">
        <f aca="false">F40+2*Parâmetros!$D$8</f>
        <v>11.2</v>
      </c>
      <c r="P40" s="146" t="n">
        <f aca="false">F40+2*Parâmetros!$D$10</f>
        <v>12.92</v>
      </c>
      <c r="Q40" s="146" t="n">
        <f aca="false">G40+H40</f>
        <v>0</v>
      </c>
      <c r="S40" s="149" t="n">
        <f aca="false">S39+'Volumes por intervalo'!C39*(F39+F40)/2</f>
        <v>8360</v>
      </c>
      <c r="T40" s="149" t="n">
        <f aca="false">T39+'Volumes por intervalo'!H39</f>
        <v>419.9</v>
      </c>
      <c r="U40" s="149" t="n">
        <f aca="false">U39+'Volumes por intervalo'!J39</f>
        <v>1381.376</v>
      </c>
      <c r="V40" s="149" t="n">
        <f aca="false">V39+'Volumes por intervalo'!K39</f>
        <v>1811.84</v>
      </c>
      <c r="W40" s="149" t="n">
        <f aca="false">W39+'Volumes por intervalo'!L39</f>
        <v>2877.36</v>
      </c>
      <c r="X40" s="149" t="n">
        <f aca="false">X39+'Volumes por intervalo'!M39</f>
        <v>8512</v>
      </c>
      <c r="Y40" s="149" t="n">
        <f aca="false">Y39+'Volumes por intervalo'!N39</f>
        <v>8512</v>
      </c>
      <c r="Z40" s="149" t="n">
        <f aca="false">Z39+'Volumes por intervalo'!O39</f>
        <v>9819.19999999999</v>
      </c>
      <c r="AA40" s="149" t="n">
        <f aca="false">AA39+'Volumes por intervalo'!P39</f>
        <v>0</v>
      </c>
      <c r="AB40" s="149" t="n">
        <f aca="false">AB39+'Volumes por intervalo'!Q39</f>
        <v>0</v>
      </c>
      <c r="AC40" s="149" t="n">
        <f aca="false">AC39+'Volumes por intervalo'!R39</f>
        <v>0</v>
      </c>
      <c r="AD40" s="149" t="n">
        <f aca="false">AD39+'Volumes por intervalo'!S39</f>
        <v>0</v>
      </c>
    </row>
    <row r="41" customFormat="false" ht="15" hidden="false" customHeight="false" outlineLevel="0" collapsed="false">
      <c r="A41" s="138" t="s">
        <v>1681</v>
      </c>
      <c r="B41" s="146" t="n">
        <v>39</v>
      </c>
      <c r="C41" s="144" t="n">
        <v>780</v>
      </c>
      <c r="D41" s="138" t="s">
        <v>1565</v>
      </c>
      <c r="E41" s="138" t="s">
        <v>1566</v>
      </c>
      <c r="F41" s="147" t="n">
        <v>11</v>
      </c>
      <c r="G41" s="148" t="n">
        <v>0</v>
      </c>
      <c r="H41" s="148" t="n">
        <v>0</v>
      </c>
      <c r="I41" s="138" t="s">
        <v>1642</v>
      </c>
      <c r="J41" s="138"/>
      <c r="K41" s="146" t="n">
        <f aca="false">Parâmetros!$C$4*(F41+2*Parâmetros!$D$4+Parâmetros!$C$4*Parâmetros!$E$4)</f>
        <v>0.5525</v>
      </c>
      <c r="L41" s="146" t="n">
        <f aca="false">Parâmetros!$C$5*(F41+2*Parâmetros!$D$5+Parâmetros!$C$5*Parâmetros!$E$5)</f>
        <v>1.8176</v>
      </c>
      <c r="M41" s="146" t="n">
        <f aca="false">Parâmetros!$C$6*(F41+2*Parâmetros!$D$6+Parâmetros!$C$6*Parâmetros!$E$6)</f>
        <v>2.384</v>
      </c>
      <c r="N41" s="146" t="n">
        <f aca="false">Parâmetros!$C$7*(F41+2*Parâmetros!$D$7+Parâmetros!$C$7*Parâmetros!$E$7)</f>
        <v>3.786</v>
      </c>
      <c r="O41" s="146" t="n">
        <f aca="false">F41+2*Parâmetros!$D$8</f>
        <v>11.2</v>
      </c>
      <c r="P41" s="146" t="n">
        <f aca="false">F41+2*Parâmetros!$D$10</f>
        <v>12.92</v>
      </c>
      <c r="Q41" s="146" t="n">
        <f aca="false">G41+H41</f>
        <v>0</v>
      </c>
      <c r="S41" s="149" t="n">
        <f aca="false">S40+'Volumes por intervalo'!C40*(F40+F41)/2</f>
        <v>8580</v>
      </c>
      <c r="T41" s="149" t="n">
        <f aca="false">T40+'Volumes por intervalo'!H40</f>
        <v>430.95</v>
      </c>
      <c r="U41" s="149" t="n">
        <f aca="false">U40+'Volumes por intervalo'!J40</f>
        <v>1417.728</v>
      </c>
      <c r="V41" s="149" t="n">
        <f aca="false">V40+'Volumes por intervalo'!K40</f>
        <v>1859.52</v>
      </c>
      <c r="W41" s="149" t="n">
        <f aca="false">W40+'Volumes por intervalo'!L40</f>
        <v>2953.08</v>
      </c>
      <c r="X41" s="149" t="n">
        <f aca="false">X40+'Volumes por intervalo'!M40</f>
        <v>8736</v>
      </c>
      <c r="Y41" s="149" t="n">
        <f aca="false">Y40+'Volumes por intervalo'!N40</f>
        <v>8736</v>
      </c>
      <c r="Z41" s="149" t="n">
        <f aca="false">Z40+'Volumes por intervalo'!O40</f>
        <v>10077.6</v>
      </c>
      <c r="AA41" s="149" t="n">
        <f aca="false">AA40+'Volumes por intervalo'!P40</f>
        <v>0</v>
      </c>
      <c r="AB41" s="149" t="n">
        <f aca="false">AB40+'Volumes por intervalo'!Q40</f>
        <v>0</v>
      </c>
      <c r="AC41" s="149" t="n">
        <f aca="false">AC40+'Volumes por intervalo'!R40</f>
        <v>0</v>
      </c>
      <c r="AD41" s="149" t="n">
        <f aca="false">AD40+'Volumes por intervalo'!S40</f>
        <v>0</v>
      </c>
    </row>
    <row r="42" customFormat="false" ht="15" hidden="false" customHeight="false" outlineLevel="0" collapsed="false">
      <c r="A42" s="138" t="s">
        <v>1682</v>
      </c>
      <c r="B42" s="146" t="n">
        <v>40</v>
      </c>
      <c r="C42" s="144" t="n">
        <v>800</v>
      </c>
      <c r="D42" s="138" t="s">
        <v>1565</v>
      </c>
      <c r="E42" s="138" t="s">
        <v>1566</v>
      </c>
      <c r="F42" s="147" t="n">
        <v>11</v>
      </c>
      <c r="G42" s="148" t="n">
        <v>0</v>
      </c>
      <c r="H42" s="148" t="n">
        <v>0</v>
      </c>
      <c r="I42" s="138" t="s">
        <v>1642</v>
      </c>
      <c r="J42" s="138"/>
      <c r="K42" s="146" t="n">
        <f aca="false">Parâmetros!$C$4*(F42+2*Parâmetros!$D$4+Parâmetros!$C$4*Parâmetros!$E$4)</f>
        <v>0.5525</v>
      </c>
      <c r="L42" s="146" t="n">
        <f aca="false">Parâmetros!$C$5*(F42+2*Parâmetros!$D$5+Parâmetros!$C$5*Parâmetros!$E$5)</f>
        <v>1.8176</v>
      </c>
      <c r="M42" s="146" t="n">
        <f aca="false">Parâmetros!$C$6*(F42+2*Parâmetros!$D$6+Parâmetros!$C$6*Parâmetros!$E$6)</f>
        <v>2.384</v>
      </c>
      <c r="N42" s="146" t="n">
        <f aca="false">Parâmetros!$C$7*(F42+2*Parâmetros!$D$7+Parâmetros!$C$7*Parâmetros!$E$7)</f>
        <v>3.786</v>
      </c>
      <c r="O42" s="146" t="n">
        <f aca="false">F42+2*Parâmetros!$D$8</f>
        <v>11.2</v>
      </c>
      <c r="P42" s="146" t="n">
        <f aca="false">F42+2*Parâmetros!$D$10</f>
        <v>12.92</v>
      </c>
      <c r="Q42" s="146" t="n">
        <f aca="false">G42+H42</f>
        <v>0</v>
      </c>
      <c r="S42" s="149" t="n">
        <f aca="false">S41+'Volumes por intervalo'!C41*(F41+F42)/2</f>
        <v>8800</v>
      </c>
      <c r="T42" s="149" t="n">
        <f aca="false">T41+'Volumes por intervalo'!H41</f>
        <v>442</v>
      </c>
      <c r="U42" s="149" t="n">
        <f aca="false">U41+'Volumes por intervalo'!J41</f>
        <v>1454.08</v>
      </c>
      <c r="V42" s="149" t="n">
        <f aca="false">V41+'Volumes por intervalo'!K41</f>
        <v>1907.2</v>
      </c>
      <c r="W42" s="149" t="n">
        <f aca="false">W41+'Volumes por intervalo'!L41</f>
        <v>3028.8</v>
      </c>
      <c r="X42" s="149" t="n">
        <f aca="false">X41+'Volumes por intervalo'!M41</f>
        <v>8960</v>
      </c>
      <c r="Y42" s="149" t="n">
        <f aca="false">Y41+'Volumes por intervalo'!N41</f>
        <v>8960</v>
      </c>
      <c r="Z42" s="149" t="n">
        <f aca="false">Z41+'Volumes por intervalo'!O41</f>
        <v>10336</v>
      </c>
      <c r="AA42" s="149" t="n">
        <f aca="false">AA41+'Volumes por intervalo'!P41</f>
        <v>0</v>
      </c>
      <c r="AB42" s="149" t="n">
        <f aca="false">AB41+'Volumes por intervalo'!Q41</f>
        <v>0</v>
      </c>
      <c r="AC42" s="149" t="n">
        <f aca="false">AC41+'Volumes por intervalo'!R41</f>
        <v>0</v>
      </c>
      <c r="AD42" s="149" t="n">
        <f aca="false">AD41+'Volumes por intervalo'!S41</f>
        <v>0</v>
      </c>
    </row>
    <row r="43" customFormat="false" ht="15" hidden="false" customHeight="false" outlineLevel="0" collapsed="false">
      <c r="A43" s="138" t="s">
        <v>1683</v>
      </c>
      <c r="B43" s="146" t="n">
        <v>41</v>
      </c>
      <c r="C43" s="144" t="n">
        <v>820</v>
      </c>
      <c r="D43" s="138" t="s">
        <v>1565</v>
      </c>
      <c r="E43" s="138" t="s">
        <v>1566</v>
      </c>
      <c r="F43" s="147" t="n">
        <v>11</v>
      </c>
      <c r="G43" s="148" t="n">
        <v>0</v>
      </c>
      <c r="H43" s="148" t="n">
        <v>0</v>
      </c>
      <c r="I43" s="138" t="s">
        <v>1642</v>
      </c>
      <c r="J43" s="138"/>
      <c r="K43" s="146" t="n">
        <f aca="false">Parâmetros!$C$4*(F43+2*Parâmetros!$D$4+Parâmetros!$C$4*Parâmetros!$E$4)</f>
        <v>0.5525</v>
      </c>
      <c r="L43" s="146" t="n">
        <f aca="false">Parâmetros!$C$5*(F43+2*Parâmetros!$D$5+Parâmetros!$C$5*Parâmetros!$E$5)</f>
        <v>1.8176</v>
      </c>
      <c r="M43" s="146" t="n">
        <f aca="false">Parâmetros!$C$6*(F43+2*Parâmetros!$D$6+Parâmetros!$C$6*Parâmetros!$E$6)</f>
        <v>2.384</v>
      </c>
      <c r="N43" s="146" t="n">
        <f aca="false">Parâmetros!$C$7*(F43+2*Parâmetros!$D$7+Parâmetros!$C$7*Parâmetros!$E$7)</f>
        <v>3.786</v>
      </c>
      <c r="O43" s="146" t="n">
        <f aca="false">F43+2*Parâmetros!$D$8</f>
        <v>11.2</v>
      </c>
      <c r="P43" s="146" t="n">
        <f aca="false">F43+2*Parâmetros!$D$10</f>
        <v>12.92</v>
      </c>
      <c r="Q43" s="146" t="n">
        <f aca="false">G43+H43</f>
        <v>0</v>
      </c>
      <c r="S43" s="149" t="n">
        <f aca="false">S42+'Volumes por intervalo'!C42*(F42+F43)/2</f>
        <v>9020</v>
      </c>
      <c r="T43" s="149" t="n">
        <f aca="false">T42+'Volumes por intervalo'!H42</f>
        <v>453.05</v>
      </c>
      <c r="U43" s="149" t="n">
        <f aca="false">U42+'Volumes por intervalo'!J42</f>
        <v>1490.432</v>
      </c>
      <c r="V43" s="149" t="n">
        <f aca="false">V42+'Volumes por intervalo'!K42</f>
        <v>1954.88</v>
      </c>
      <c r="W43" s="149" t="n">
        <f aca="false">W42+'Volumes por intervalo'!L42</f>
        <v>3104.52</v>
      </c>
      <c r="X43" s="149" t="n">
        <f aca="false">X42+'Volumes por intervalo'!M42</f>
        <v>9184</v>
      </c>
      <c r="Y43" s="149" t="n">
        <f aca="false">Y42+'Volumes por intervalo'!N42</f>
        <v>9184</v>
      </c>
      <c r="Z43" s="149" t="n">
        <f aca="false">Z42+'Volumes por intervalo'!O42</f>
        <v>10594.4</v>
      </c>
      <c r="AA43" s="149" t="n">
        <f aca="false">AA42+'Volumes por intervalo'!P42</f>
        <v>0</v>
      </c>
      <c r="AB43" s="149" t="n">
        <f aca="false">AB42+'Volumes por intervalo'!Q42</f>
        <v>0</v>
      </c>
      <c r="AC43" s="149" t="n">
        <f aca="false">AC42+'Volumes por intervalo'!R42</f>
        <v>0</v>
      </c>
      <c r="AD43" s="149" t="n">
        <f aca="false">AD42+'Volumes por intervalo'!S42</f>
        <v>0</v>
      </c>
    </row>
    <row r="44" customFormat="false" ht="15" hidden="false" customHeight="false" outlineLevel="0" collapsed="false">
      <c r="A44" s="138" t="s">
        <v>1684</v>
      </c>
      <c r="B44" s="146" t="n">
        <v>42</v>
      </c>
      <c r="C44" s="144" t="n">
        <v>840</v>
      </c>
      <c r="D44" s="138" t="s">
        <v>1565</v>
      </c>
      <c r="E44" s="138" t="s">
        <v>1566</v>
      </c>
      <c r="F44" s="147" t="n">
        <v>11</v>
      </c>
      <c r="G44" s="148" t="n">
        <v>0</v>
      </c>
      <c r="H44" s="148" t="n">
        <v>0</v>
      </c>
      <c r="I44" s="138" t="s">
        <v>1642</v>
      </c>
      <c r="J44" s="138" t="s">
        <v>1685</v>
      </c>
      <c r="K44" s="146" t="n">
        <f aca="false">Parâmetros!$C$4*(F44+2*Parâmetros!$D$4+Parâmetros!$C$4*Parâmetros!$E$4)</f>
        <v>0.5525</v>
      </c>
      <c r="L44" s="146" t="n">
        <f aca="false">Parâmetros!$C$5*(F44+2*Parâmetros!$D$5+Parâmetros!$C$5*Parâmetros!$E$5)</f>
        <v>1.8176</v>
      </c>
      <c r="M44" s="146" t="n">
        <f aca="false">Parâmetros!$C$6*(F44+2*Parâmetros!$D$6+Parâmetros!$C$6*Parâmetros!$E$6)</f>
        <v>2.384</v>
      </c>
      <c r="N44" s="146" t="n">
        <f aca="false">Parâmetros!$C$7*(F44+2*Parâmetros!$D$7+Parâmetros!$C$7*Parâmetros!$E$7)</f>
        <v>3.786</v>
      </c>
      <c r="O44" s="146" t="n">
        <f aca="false">F44+2*Parâmetros!$D$8</f>
        <v>11.2</v>
      </c>
      <c r="P44" s="146" t="n">
        <f aca="false">F44+2*Parâmetros!$D$10</f>
        <v>12.92</v>
      </c>
      <c r="Q44" s="146" t="n">
        <f aca="false">G44+H44</f>
        <v>0</v>
      </c>
      <c r="S44" s="149" t="n">
        <f aca="false">S43+'Volumes por intervalo'!C43*(F43+F44)/2</f>
        <v>9240</v>
      </c>
      <c r="T44" s="149" t="n">
        <f aca="false">T43+'Volumes por intervalo'!H43</f>
        <v>464.1</v>
      </c>
      <c r="U44" s="149" t="n">
        <f aca="false">U43+'Volumes por intervalo'!J43</f>
        <v>1526.784</v>
      </c>
      <c r="V44" s="149" t="n">
        <f aca="false">V43+'Volumes por intervalo'!K43</f>
        <v>2002.56</v>
      </c>
      <c r="W44" s="149" t="n">
        <f aca="false">W43+'Volumes por intervalo'!L43</f>
        <v>3180.24</v>
      </c>
      <c r="X44" s="149" t="n">
        <f aca="false">X43+'Volumes por intervalo'!M43</f>
        <v>9408</v>
      </c>
      <c r="Y44" s="149" t="n">
        <f aca="false">Y43+'Volumes por intervalo'!N43</f>
        <v>9408</v>
      </c>
      <c r="Z44" s="149" t="n">
        <f aca="false">Z43+'Volumes por intervalo'!O43</f>
        <v>10852.8</v>
      </c>
      <c r="AA44" s="149" t="n">
        <f aca="false">AA43+'Volumes por intervalo'!P43</f>
        <v>0</v>
      </c>
      <c r="AB44" s="149" t="n">
        <f aca="false">AB43+'Volumes por intervalo'!Q43</f>
        <v>0</v>
      </c>
      <c r="AC44" s="149" t="n">
        <f aca="false">AC43+'Volumes por intervalo'!R43</f>
        <v>0</v>
      </c>
      <c r="AD44" s="149" t="n">
        <f aca="false">AD43+'Volumes por intervalo'!S43</f>
        <v>0</v>
      </c>
    </row>
    <row r="45" customFormat="false" ht="15" hidden="false" customHeight="false" outlineLevel="0" collapsed="false">
      <c r="A45" s="138" t="s">
        <v>1686</v>
      </c>
      <c r="B45" s="146" t="n">
        <v>43</v>
      </c>
      <c r="C45" s="144" t="n">
        <v>860</v>
      </c>
      <c r="D45" s="138" t="s">
        <v>1565</v>
      </c>
      <c r="E45" s="138" t="s">
        <v>1566</v>
      </c>
      <c r="F45" s="147" t="n">
        <v>11</v>
      </c>
      <c r="G45" s="148" t="n">
        <v>0</v>
      </c>
      <c r="H45" s="148" t="n">
        <v>0</v>
      </c>
      <c r="I45" s="138" t="s">
        <v>1642</v>
      </c>
      <c r="J45" s="138"/>
      <c r="K45" s="146" t="n">
        <f aca="false">Parâmetros!$C$4*(F45+2*Parâmetros!$D$4+Parâmetros!$C$4*Parâmetros!$E$4)</f>
        <v>0.5525</v>
      </c>
      <c r="L45" s="146" t="n">
        <f aca="false">Parâmetros!$C$5*(F45+2*Parâmetros!$D$5+Parâmetros!$C$5*Parâmetros!$E$5)</f>
        <v>1.8176</v>
      </c>
      <c r="M45" s="146" t="n">
        <f aca="false">Parâmetros!$C$6*(F45+2*Parâmetros!$D$6+Parâmetros!$C$6*Parâmetros!$E$6)</f>
        <v>2.384</v>
      </c>
      <c r="N45" s="146" t="n">
        <f aca="false">Parâmetros!$C$7*(F45+2*Parâmetros!$D$7+Parâmetros!$C$7*Parâmetros!$E$7)</f>
        <v>3.786</v>
      </c>
      <c r="O45" s="146" t="n">
        <f aca="false">F45+2*Parâmetros!$D$8</f>
        <v>11.2</v>
      </c>
      <c r="P45" s="146" t="n">
        <f aca="false">F45+2*Parâmetros!$D$10</f>
        <v>12.92</v>
      </c>
      <c r="Q45" s="146" t="n">
        <f aca="false">G45+H45</f>
        <v>0</v>
      </c>
      <c r="S45" s="149" t="n">
        <f aca="false">S44+'Volumes por intervalo'!C44*(F44+F45)/2</f>
        <v>9460</v>
      </c>
      <c r="T45" s="149" t="n">
        <f aca="false">T44+'Volumes por intervalo'!H44</f>
        <v>475.15</v>
      </c>
      <c r="U45" s="149" t="n">
        <f aca="false">U44+'Volumes por intervalo'!J44</f>
        <v>1563.136</v>
      </c>
      <c r="V45" s="149" t="n">
        <f aca="false">V44+'Volumes por intervalo'!K44</f>
        <v>2050.24</v>
      </c>
      <c r="W45" s="149" t="n">
        <f aca="false">W44+'Volumes por intervalo'!L44</f>
        <v>3255.96</v>
      </c>
      <c r="X45" s="149" t="n">
        <f aca="false">X44+'Volumes por intervalo'!M44</f>
        <v>9632</v>
      </c>
      <c r="Y45" s="149" t="n">
        <f aca="false">Y44+'Volumes por intervalo'!N44</f>
        <v>9632</v>
      </c>
      <c r="Z45" s="149" t="n">
        <f aca="false">Z44+'Volumes por intervalo'!O44</f>
        <v>11111.2</v>
      </c>
      <c r="AA45" s="149" t="n">
        <f aca="false">AA44+'Volumes por intervalo'!P44</f>
        <v>0</v>
      </c>
      <c r="AB45" s="149" t="n">
        <f aca="false">AB44+'Volumes por intervalo'!Q44</f>
        <v>0</v>
      </c>
      <c r="AC45" s="149" t="n">
        <f aca="false">AC44+'Volumes por intervalo'!R44</f>
        <v>0</v>
      </c>
      <c r="AD45" s="149" t="n">
        <f aca="false">AD44+'Volumes por intervalo'!S44</f>
        <v>0</v>
      </c>
    </row>
    <row r="46" customFormat="false" ht="15" hidden="false" customHeight="false" outlineLevel="0" collapsed="false">
      <c r="A46" s="138" t="s">
        <v>1687</v>
      </c>
      <c r="B46" s="146" t="n">
        <v>44</v>
      </c>
      <c r="C46" s="144" t="n">
        <v>880</v>
      </c>
      <c r="D46" s="138" t="s">
        <v>1565</v>
      </c>
      <c r="E46" s="138" t="s">
        <v>1566</v>
      </c>
      <c r="F46" s="147" t="n">
        <v>11</v>
      </c>
      <c r="G46" s="148" t="n">
        <v>0</v>
      </c>
      <c r="H46" s="148" t="n">
        <v>0</v>
      </c>
      <c r="I46" s="138" t="s">
        <v>1642</v>
      </c>
      <c r="J46" s="138"/>
      <c r="K46" s="146" t="n">
        <f aca="false">Parâmetros!$C$4*(F46+2*Parâmetros!$D$4+Parâmetros!$C$4*Parâmetros!$E$4)</f>
        <v>0.5525</v>
      </c>
      <c r="L46" s="146" t="n">
        <f aca="false">Parâmetros!$C$5*(F46+2*Parâmetros!$D$5+Parâmetros!$C$5*Parâmetros!$E$5)</f>
        <v>1.8176</v>
      </c>
      <c r="M46" s="146" t="n">
        <f aca="false">Parâmetros!$C$6*(F46+2*Parâmetros!$D$6+Parâmetros!$C$6*Parâmetros!$E$6)</f>
        <v>2.384</v>
      </c>
      <c r="N46" s="146" t="n">
        <f aca="false">Parâmetros!$C$7*(F46+2*Parâmetros!$D$7+Parâmetros!$C$7*Parâmetros!$E$7)</f>
        <v>3.786</v>
      </c>
      <c r="O46" s="146" t="n">
        <f aca="false">F46+2*Parâmetros!$D$8</f>
        <v>11.2</v>
      </c>
      <c r="P46" s="146" t="n">
        <f aca="false">F46+2*Parâmetros!$D$10</f>
        <v>12.92</v>
      </c>
      <c r="Q46" s="146" t="n">
        <f aca="false">G46+H46</f>
        <v>0</v>
      </c>
      <c r="S46" s="149" t="n">
        <f aca="false">S45+'Volumes por intervalo'!C45*(F45+F46)/2</f>
        <v>9680</v>
      </c>
      <c r="T46" s="149" t="n">
        <f aca="false">T45+'Volumes por intervalo'!H45</f>
        <v>486.2</v>
      </c>
      <c r="U46" s="149" t="n">
        <f aca="false">U45+'Volumes por intervalo'!J45</f>
        <v>1599.488</v>
      </c>
      <c r="V46" s="149" t="n">
        <f aca="false">V45+'Volumes por intervalo'!K45</f>
        <v>2097.92</v>
      </c>
      <c r="W46" s="149" t="n">
        <f aca="false">W45+'Volumes por intervalo'!L45</f>
        <v>3331.68</v>
      </c>
      <c r="X46" s="149" t="n">
        <f aca="false">X45+'Volumes por intervalo'!M45</f>
        <v>9856</v>
      </c>
      <c r="Y46" s="149" t="n">
        <f aca="false">Y45+'Volumes por intervalo'!N45</f>
        <v>9856</v>
      </c>
      <c r="Z46" s="149" t="n">
        <f aca="false">Z45+'Volumes por intervalo'!O45</f>
        <v>11369.6</v>
      </c>
      <c r="AA46" s="149" t="n">
        <f aca="false">AA45+'Volumes por intervalo'!P45</f>
        <v>0</v>
      </c>
      <c r="AB46" s="149" t="n">
        <f aca="false">AB45+'Volumes por intervalo'!Q45</f>
        <v>0</v>
      </c>
      <c r="AC46" s="149" t="n">
        <f aca="false">AC45+'Volumes por intervalo'!R45</f>
        <v>0</v>
      </c>
      <c r="AD46" s="149" t="n">
        <f aca="false">AD45+'Volumes por intervalo'!S45</f>
        <v>0</v>
      </c>
    </row>
    <row r="47" customFormat="false" ht="15" hidden="false" customHeight="false" outlineLevel="0" collapsed="false">
      <c r="A47" s="138" t="s">
        <v>1688</v>
      </c>
      <c r="B47" s="146" t="n">
        <v>45</v>
      </c>
      <c r="C47" s="144" t="n">
        <v>900</v>
      </c>
      <c r="D47" s="138" t="s">
        <v>1565</v>
      </c>
      <c r="E47" s="138" t="s">
        <v>1566</v>
      </c>
      <c r="F47" s="147" t="n">
        <v>11</v>
      </c>
      <c r="G47" s="148" t="n">
        <v>0</v>
      </c>
      <c r="H47" s="148" t="n">
        <v>0</v>
      </c>
      <c r="I47" s="138" t="s">
        <v>1642</v>
      </c>
      <c r="J47" s="138"/>
      <c r="K47" s="146" t="n">
        <f aca="false">Parâmetros!$C$4*(F47+2*Parâmetros!$D$4+Parâmetros!$C$4*Parâmetros!$E$4)</f>
        <v>0.5525</v>
      </c>
      <c r="L47" s="146" t="n">
        <f aca="false">Parâmetros!$C$5*(F47+2*Parâmetros!$D$5+Parâmetros!$C$5*Parâmetros!$E$5)</f>
        <v>1.8176</v>
      </c>
      <c r="M47" s="146" t="n">
        <f aca="false">Parâmetros!$C$6*(F47+2*Parâmetros!$D$6+Parâmetros!$C$6*Parâmetros!$E$6)</f>
        <v>2.384</v>
      </c>
      <c r="N47" s="146" t="n">
        <f aca="false">Parâmetros!$C$7*(F47+2*Parâmetros!$D$7+Parâmetros!$C$7*Parâmetros!$E$7)</f>
        <v>3.786</v>
      </c>
      <c r="O47" s="146" t="n">
        <f aca="false">F47+2*Parâmetros!$D$8</f>
        <v>11.2</v>
      </c>
      <c r="P47" s="146" t="n">
        <f aca="false">F47+2*Parâmetros!$D$10</f>
        <v>12.92</v>
      </c>
      <c r="Q47" s="146" t="n">
        <f aca="false">G47+H47</f>
        <v>0</v>
      </c>
      <c r="S47" s="149" t="n">
        <f aca="false">S46+'Volumes por intervalo'!C46*(F46+F47)/2</f>
        <v>9900</v>
      </c>
      <c r="T47" s="149" t="n">
        <f aca="false">T46+'Volumes por intervalo'!H46</f>
        <v>497.25</v>
      </c>
      <c r="U47" s="149" t="n">
        <f aca="false">U46+'Volumes por intervalo'!J46</f>
        <v>1635.84</v>
      </c>
      <c r="V47" s="149" t="n">
        <f aca="false">V46+'Volumes por intervalo'!K46</f>
        <v>2145.6</v>
      </c>
      <c r="W47" s="149" t="n">
        <f aca="false">W46+'Volumes por intervalo'!L46</f>
        <v>3407.4</v>
      </c>
      <c r="X47" s="149" t="n">
        <f aca="false">X46+'Volumes por intervalo'!M46</f>
        <v>10080</v>
      </c>
      <c r="Y47" s="149" t="n">
        <f aca="false">Y46+'Volumes por intervalo'!N46</f>
        <v>10080</v>
      </c>
      <c r="Z47" s="149" t="n">
        <f aca="false">Z46+'Volumes por intervalo'!O46</f>
        <v>11628</v>
      </c>
      <c r="AA47" s="149" t="n">
        <f aca="false">AA46+'Volumes por intervalo'!P46</f>
        <v>0</v>
      </c>
      <c r="AB47" s="149" t="n">
        <f aca="false">AB46+'Volumes por intervalo'!Q46</f>
        <v>0</v>
      </c>
      <c r="AC47" s="149" t="n">
        <f aca="false">AC46+'Volumes por intervalo'!R46</f>
        <v>0</v>
      </c>
      <c r="AD47" s="149" t="n">
        <f aca="false">AD46+'Volumes por intervalo'!S46</f>
        <v>0</v>
      </c>
    </row>
    <row r="48" customFormat="false" ht="15" hidden="false" customHeight="false" outlineLevel="0" collapsed="false">
      <c r="A48" s="138" t="s">
        <v>1689</v>
      </c>
      <c r="B48" s="146" t="n">
        <v>46</v>
      </c>
      <c r="C48" s="144" t="n">
        <v>920</v>
      </c>
      <c r="D48" s="138" t="s">
        <v>1565</v>
      </c>
      <c r="E48" s="138" t="s">
        <v>1566</v>
      </c>
      <c r="F48" s="147" t="n">
        <v>11</v>
      </c>
      <c r="G48" s="148" t="n">
        <v>0</v>
      </c>
      <c r="H48" s="148" t="n">
        <v>0</v>
      </c>
      <c r="I48" s="138" t="s">
        <v>1642</v>
      </c>
      <c r="J48" s="138"/>
      <c r="K48" s="146" t="n">
        <f aca="false">Parâmetros!$C$4*(F48+2*Parâmetros!$D$4+Parâmetros!$C$4*Parâmetros!$E$4)</f>
        <v>0.5525</v>
      </c>
      <c r="L48" s="146" t="n">
        <f aca="false">Parâmetros!$C$5*(F48+2*Parâmetros!$D$5+Parâmetros!$C$5*Parâmetros!$E$5)</f>
        <v>1.8176</v>
      </c>
      <c r="M48" s="146" t="n">
        <f aca="false">Parâmetros!$C$6*(F48+2*Parâmetros!$D$6+Parâmetros!$C$6*Parâmetros!$E$6)</f>
        <v>2.384</v>
      </c>
      <c r="N48" s="146" t="n">
        <f aca="false">Parâmetros!$C$7*(F48+2*Parâmetros!$D$7+Parâmetros!$C$7*Parâmetros!$E$7)</f>
        <v>3.786</v>
      </c>
      <c r="O48" s="146" t="n">
        <f aca="false">F48+2*Parâmetros!$D$8</f>
        <v>11.2</v>
      </c>
      <c r="P48" s="146" t="n">
        <f aca="false">F48+2*Parâmetros!$D$10</f>
        <v>12.92</v>
      </c>
      <c r="Q48" s="146" t="n">
        <f aca="false">G48+H48</f>
        <v>0</v>
      </c>
      <c r="S48" s="149" t="n">
        <f aca="false">S47+'Volumes por intervalo'!C47*(F47+F48)/2</f>
        <v>10120</v>
      </c>
      <c r="T48" s="149" t="n">
        <f aca="false">T47+'Volumes por intervalo'!H47</f>
        <v>508.3</v>
      </c>
      <c r="U48" s="149" t="n">
        <f aca="false">U47+'Volumes por intervalo'!J47</f>
        <v>1672.192</v>
      </c>
      <c r="V48" s="149" t="n">
        <f aca="false">V47+'Volumes por intervalo'!K47</f>
        <v>2193.28</v>
      </c>
      <c r="W48" s="149" t="n">
        <f aca="false">W47+'Volumes por intervalo'!L47</f>
        <v>3483.12</v>
      </c>
      <c r="X48" s="149" t="n">
        <f aca="false">X47+'Volumes por intervalo'!M47</f>
        <v>10304</v>
      </c>
      <c r="Y48" s="149" t="n">
        <f aca="false">Y47+'Volumes por intervalo'!N47</f>
        <v>10304</v>
      </c>
      <c r="Z48" s="149" t="n">
        <f aca="false">Z47+'Volumes por intervalo'!O47</f>
        <v>11886.4</v>
      </c>
      <c r="AA48" s="149" t="n">
        <f aca="false">AA47+'Volumes por intervalo'!P47</f>
        <v>0</v>
      </c>
      <c r="AB48" s="149" t="n">
        <f aca="false">AB47+'Volumes por intervalo'!Q47</f>
        <v>0</v>
      </c>
      <c r="AC48" s="149" t="n">
        <f aca="false">AC47+'Volumes por intervalo'!R47</f>
        <v>0</v>
      </c>
      <c r="AD48" s="149" t="n">
        <f aca="false">AD47+'Volumes por intervalo'!S47</f>
        <v>0</v>
      </c>
    </row>
    <row r="49" customFormat="false" ht="15" hidden="false" customHeight="false" outlineLevel="0" collapsed="false">
      <c r="A49" s="138" t="s">
        <v>1690</v>
      </c>
      <c r="B49" s="146" t="n">
        <v>47</v>
      </c>
      <c r="C49" s="144" t="n">
        <v>940</v>
      </c>
      <c r="D49" s="138" t="s">
        <v>1565</v>
      </c>
      <c r="E49" s="138" t="s">
        <v>1566</v>
      </c>
      <c r="F49" s="147" t="n">
        <v>11</v>
      </c>
      <c r="G49" s="148" t="n">
        <v>0</v>
      </c>
      <c r="H49" s="148" t="n">
        <v>0</v>
      </c>
      <c r="I49" s="138" t="s">
        <v>1642</v>
      </c>
      <c r="J49" s="138"/>
      <c r="K49" s="146" t="n">
        <f aca="false">Parâmetros!$C$4*(F49+2*Parâmetros!$D$4+Parâmetros!$C$4*Parâmetros!$E$4)</f>
        <v>0.5525</v>
      </c>
      <c r="L49" s="146" t="n">
        <f aca="false">Parâmetros!$C$5*(F49+2*Parâmetros!$D$5+Parâmetros!$C$5*Parâmetros!$E$5)</f>
        <v>1.8176</v>
      </c>
      <c r="M49" s="146" t="n">
        <f aca="false">Parâmetros!$C$6*(F49+2*Parâmetros!$D$6+Parâmetros!$C$6*Parâmetros!$E$6)</f>
        <v>2.384</v>
      </c>
      <c r="N49" s="146" t="n">
        <f aca="false">Parâmetros!$C$7*(F49+2*Parâmetros!$D$7+Parâmetros!$C$7*Parâmetros!$E$7)</f>
        <v>3.786</v>
      </c>
      <c r="O49" s="146" t="n">
        <f aca="false">F49+2*Parâmetros!$D$8</f>
        <v>11.2</v>
      </c>
      <c r="P49" s="146" t="n">
        <f aca="false">F49+2*Parâmetros!$D$10</f>
        <v>12.92</v>
      </c>
      <c r="Q49" s="146" t="n">
        <f aca="false">G49+H49</f>
        <v>0</v>
      </c>
      <c r="S49" s="149" t="n">
        <f aca="false">S48+'Volumes por intervalo'!C48*(F48+F49)/2</f>
        <v>10340</v>
      </c>
      <c r="T49" s="149" t="n">
        <f aca="false">T48+'Volumes por intervalo'!H48</f>
        <v>519.35</v>
      </c>
      <c r="U49" s="149" t="n">
        <f aca="false">U48+'Volumes por intervalo'!J48</f>
        <v>1708.544</v>
      </c>
      <c r="V49" s="149" t="n">
        <f aca="false">V48+'Volumes por intervalo'!K48</f>
        <v>2240.96</v>
      </c>
      <c r="W49" s="149" t="n">
        <f aca="false">W48+'Volumes por intervalo'!L48</f>
        <v>3558.84</v>
      </c>
      <c r="X49" s="149" t="n">
        <f aca="false">X48+'Volumes por intervalo'!M48</f>
        <v>10528</v>
      </c>
      <c r="Y49" s="149" t="n">
        <f aca="false">Y48+'Volumes por intervalo'!N48</f>
        <v>10528</v>
      </c>
      <c r="Z49" s="149" t="n">
        <f aca="false">Z48+'Volumes por intervalo'!O48</f>
        <v>12144.8</v>
      </c>
      <c r="AA49" s="149" t="n">
        <f aca="false">AA48+'Volumes por intervalo'!P48</f>
        <v>0</v>
      </c>
      <c r="AB49" s="149" t="n">
        <f aca="false">AB48+'Volumes por intervalo'!Q48</f>
        <v>0</v>
      </c>
      <c r="AC49" s="149" t="n">
        <f aca="false">AC48+'Volumes por intervalo'!R48</f>
        <v>0</v>
      </c>
      <c r="AD49" s="149" t="n">
        <f aca="false">AD48+'Volumes por intervalo'!S48</f>
        <v>0</v>
      </c>
    </row>
    <row r="50" customFormat="false" ht="15" hidden="false" customHeight="false" outlineLevel="0" collapsed="false">
      <c r="A50" s="138" t="s">
        <v>1691</v>
      </c>
      <c r="B50" s="146" t="n">
        <v>48</v>
      </c>
      <c r="C50" s="144" t="n">
        <v>960</v>
      </c>
      <c r="D50" s="138" t="s">
        <v>1565</v>
      </c>
      <c r="E50" s="138" t="s">
        <v>1566</v>
      </c>
      <c r="F50" s="147" t="n">
        <v>11</v>
      </c>
      <c r="G50" s="148" t="n">
        <v>0</v>
      </c>
      <c r="H50" s="148" t="n">
        <v>0</v>
      </c>
      <c r="I50" s="138" t="s">
        <v>1642</v>
      </c>
      <c r="J50" s="138"/>
      <c r="K50" s="146" t="n">
        <f aca="false">Parâmetros!$C$4*(F50+2*Parâmetros!$D$4+Parâmetros!$C$4*Parâmetros!$E$4)</f>
        <v>0.5525</v>
      </c>
      <c r="L50" s="146" t="n">
        <f aca="false">Parâmetros!$C$5*(F50+2*Parâmetros!$D$5+Parâmetros!$C$5*Parâmetros!$E$5)</f>
        <v>1.8176</v>
      </c>
      <c r="M50" s="146" t="n">
        <f aca="false">Parâmetros!$C$6*(F50+2*Parâmetros!$D$6+Parâmetros!$C$6*Parâmetros!$E$6)</f>
        <v>2.384</v>
      </c>
      <c r="N50" s="146" t="n">
        <f aca="false">Parâmetros!$C$7*(F50+2*Parâmetros!$D$7+Parâmetros!$C$7*Parâmetros!$E$7)</f>
        <v>3.786</v>
      </c>
      <c r="O50" s="146" t="n">
        <f aca="false">F50+2*Parâmetros!$D$8</f>
        <v>11.2</v>
      </c>
      <c r="P50" s="146" t="n">
        <f aca="false">F50+2*Parâmetros!$D$10</f>
        <v>12.92</v>
      </c>
      <c r="Q50" s="146" t="n">
        <f aca="false">G50+H50</f>
        <v>0</v>
      </c>
      <c r="S50" s="149" t="n">
        <f aca="false">S49+'Volumes por intervalo'!C49*(F49+F50)/2</f>
        <v>10560</v>
      </c>
      <c r="T50" s="149" t="n">
        <f aca="false">T49+'Volumes por intervalo'!H49</f>
        <v>530.4</v>
      </c>
      <c r="U50" s="149" t="n">
        <f aca="false">U49+'Volumes por intervalo'!J49</f>
        <v>1744.896</v>
      </c>
      <c r="V50" s="149" t="n">
        <f aca="false">V49+'Volumes por intervalo'!K49</f>
        <v>2288.64</v>
      </c>
      <c r="W50" s="149" t="n">
        <f aca="false">W49+'Volumes por intervalo'!L49</f>
        <v>3634.56</v>
      </c>
      <c r="X50" s="149" t="n">
        <f aca="false">X49+'Volumes por intervalo'!M49</f>
        <v>10752</v>
      </c>
      <c r="Y50" s="149" t="n">
        <f aca="false">Y49+'Volumes por intervalo'!N49</f>
        <v>10752</v>
      </c>
      <c r="Z50" s="149" t="n">
        <f aca="false">Z49+'Volumes por intervalo'!O49</f>
        <v>12403.2</v>
      </c>
      <c r="AA50" s="149" t="n">
        <f aca="false">AA49+'Volumes por intervalo'!P49</f>
        <v>0</v>
      </c>
      <c r="AB50" s="149" t="n">
        <f aca="false">AB49+'Volumes por intervalo'!Q49</f>
        <v>0</v>
      </c>
      <c r="AC50" s="149" t="n">
        <f aca="false">AC49+'Volumes por intervalo'!R49</f>
        <v>0</v>
      </c>
      <c r="AD50" s="149" t="n">
        <f aca="false">AD49+'Volumes por intervalo'!S49</f>
        <v>0</v>
      </c>
    </row>
    <row r="51" customFormat="false" ht="15" hidden="false" customHeight="false" outlineLevel="0" collapsed="false">
      <c r="A51" s="138" t="s">
        <v>1692</v>
      </c>
      <c r="B51" s="146" t="n">
        <v>49</v>
      </c>
      <c r="C51" s="144" t="n">
        <v>980</v>
      </c>
      <c r="D51" s="138" t="s">
        <v>1565</v>
      </c>
      <c r="E51" s="138" t="s">
        <v>1566</v>
      </c>
      <c r="F51" s="147" t="n">
        <v>11</v>
      </c>
      <c r="G51" s="148" t="n">
        <v>0</v>
      </c>
      <c r="H51" s="148" t="n">
        <v>0</v>
      </c>
      <c r="I51" s="138" t="s">
        <v>1642</v>
      </c>
      <c r="J51" s="138"/>
      <c r="K51" s="146" t="n">
        <f aca="false">Parâmetros!$C$4*(F51+2*Parâmetros!$D$4+Parâmetros!$C$4*Parâmetros!$E$4)</f>
        <v>0.5525</v>
      </c>
      <c r="L51" s="146" t="n">
        <f aca="false">Parâmetros!$C$5*(F51+2*Parâmetros!$D$5+Parâmetros!$C$5*Parâmetros!$E$5)</f>
        <v>1.8176</v>
      </c>
      <c r="M51" s="146" t="n">
        <f aca="false">Parâmetros!$C$6*(F51+2*Parâmetros!$D$6+Parâmetros!$C$6*Parâmetros!$E$6)</f>
        <v>2.384</v>
      </c>
      <c r="N51" s="146" t="n">
        <f aca="false">Parâmetros!$C$7*(F51+2*Parâmetros!$D$7+Parâmetros!$C$7*Parâmetros!$E$7)</f>
        <v>3.786</v>
      </c>
      <c r="O51" s="146" t="n">
        <f aca="false">F51+2*Parâmetros!$D$8</f>
        <v>11.2</v>
      </c>
      <c r="P51" s="146" t="n">
        <f aca="false">F51+2*Parâmetros!$D$10</f>
        <v>12.92</v>
      </c>
      <c r="Q51" s="146" t="n">
        <f aca="false">G51+H51</f>
        <v>0</v>
      </c>
      <c r="S51" s="149" t="n">
        <f aca="false">S50+'Volumes por intervalo'!C50*(F50+F51)/2</f>
        <v>10780</v>
      </c>
      <c r="T51" s="149" t="n">
        <f aca="false">T50+'Volumes por intervalo'!H50</f>
        <v>541.45</v>
      </c>
      <c r="U51" s="149" t="n">
        <f aca="false">U50+'Volumes por intervalo'!J50</f>
        <v>1781.248</v>
      </c>
      <c r="V51" s="149" t="n">
        <f aca="false">V50+'Volumes por intervalo'!K50</f>
        <v>2336.32</v>
      </c>
      <c r="W51" s="149" t="n">
        <f aca="false">W50+'Volumes por intervalo'!L50</f>
        <v>3710.28</v>
      </c>
      <c r="X51" s="149" t="n">
        <f aca="false">X50+'Volumes por intervalo'!M50</f>
        <v>10976</v>
      </c>
      <c r="Y51" s="149" t="n">
        <f aca="false">Y50+'Volumes por intervalo'!N50</f>
        <v>10976</v>
      </c>
      <c r="Z51" s="149" t="n">
        <f aca="false">Z50+'Volumes por intervalo'!O50</f>
        <v>12661.6</v>
      </c>
      <c r="AA51" s="149" t="n">
        <f aca="false">AA50+'Volumes por intervalo'!P50</f>
        <v>0</v>
      </c>
      <c r="AB51" s="149" t="n">
        <f aca="false">AB50+'Volumes por intervalo'!Q50</f>
        <v>0</v>
      </c>
      <c r="AC51" s="149" t="n">
        <f aca="false">AC50+'Volumes por intervalo'!R50</f>
        <v>0</v>
      </c>
      <c r="AD51" s="149" t="n">
        <f aca="false">AD50+'Volumes por intervalo'!S50</f>
        <v>0</v>
      </c>
    </row>
    <row r="52" customFormat="false" ht="15" hidden="false" customHeight="false" outlineLevel="0" collapsed="false">
      <c r="A52" s="138" t="s">
        <v>1693</v>
      </c>
      <c r="B52" s="146" t="n">
        <v>50</v>
      </c>
      <c r="C52" s="144" t="n">
        <v>1000</v>
      </c>
      <c r="D52" s="138" t="s">
        <v>1565</v>
      </c>
      <c r="E52" s="138" t="s">
        <v>1566</v>
      </c>
      <c r="F52" s="147" t="n">
        <v>12.9</v>
      </c>
      <c r="G52" s="148" t="n">
        <v>0</v>
      </c>
      <c r="H52" s="148" t="n">
        <v>0</v>
      </c>
      <c r="I52" s="138" t="s">
        <v>1642</v>
      </c>
      <c r="J52" s="138"/>
      <c r="K52" s="146" t="n">
        <f aca="false">Parâmetros!$C$4*(F52+2*Parâmetros!$D$4+Parâmetros!$C$4*Parâmetros!$E$4)</f>
        <v>0.6475</v>
      </c>
      <c r="L52" s="146" t="n">
        <f aca="false">Parâmetros!$C$5*(F52+2*Parâmetros!$D$5+Parâmetros!$C$5*Parâmetros!$E$5)</f>
        <v>2.1216</v>
      </c>
      <c r="M52" s="146" t="n">
        <f aca="false">Parâmetros!$C$6*(F52+2*Parâmetros!$D$6+Parâmetros!$C$6*Parâmetros!$E$6)</f>
        <v>2.764</v>
      </c>
      <c r="N52" s="146" t="n">
        <f aca="false">Parâmetros!$C$7*(F52+2*Parâmetros!$D$7+Parâmetros!$C$7*Parâmetros!$E$7)</f>
        <v>4.356</v>
      </c>
      <c r="O52" s="146" t="n">
        <f aca="false">F52+2*Parâmetros!$D$8</f>
        <v>13.1</v>
      </c>
      <c r="P52" s="146" t="n">
        <f aca="false">F52+2*Parâmetros!$D$10</f>
        <v>14.82</v>
      </c>
      <c r="Q52" s="146" t="n">
        <f aca="false">G52+H52</f>
        <v>0</v>
      </c>
      <c r="S52" s="149" t="n">
        <f aca="false">S51+'Volumes por intervalo'!C51*(F51+F52)/2</f>
        <v>11019</v>
      </c>
      <c r="T52" s="149" t="n">
        <f aca="false">T51+'Volumes por intervalo'!H51</f>
        <v>553.45</v>
      </c>
      <c r="U52" s="149" t="n">
        <f aca="false">U51+'Volumes por intervalo'!J51</f>
        <v>1820.64</v>
      </c>
      <c r="V52" s="149" t="n">
        <f aca="false">V51+'Volumes por intervalo'!K51</f>
        <v>2387.8</v>
      </c>
      <c r="W52" s="149" t="n">
        <f aca="false">W51+'Volumes por intervalo'!L51</f>
        <v>3791.7</v>
      </c>
      <c r="X52" s="149" t="n">
        <f aca="false">X51+'Volumes por intervalo'!M51</f>
        <v>11219</v>
      </c>
      <c r="Y52" s="149" t="n">
        <f aca="false">Y51+'Volumes por intervalo'!N51</f>
        <v>11219</v>
      </c>
      <c r="Z52" s="149" t="n">
        <f aca="false">Z51+'Volumes por intervalo'!O51</f>
        <v>12939</v>
      </c>
      <c r="AA52" s="149" t="n">
        <f aca="false">AA51+'Volumes por intervalo'!P51</f>
        <v>0</v>
      </c>
      <c r="AB52" s="149" t="n">
        <f aca="false">AB51+'Volumes por intervalo'!Q51</f>
        <v>0</v>
      </c>
      <c r="AC52" s="149" t="n">
        <f aca="false">AC51+'Volumes por intervalo'!R51</f>
        <v>0</v>
      </c>
      <c r="AD52" s="149" t="n">
        <f aca="false">AD51+'Volumes por intervalo'!S51</f>
        <v>0</v>
      </c>
    </row>
    <row r="53" customFormat="false" ht="15" hidden="false" customHeight="false" outlineLevel="0" collapsed="false">
      <c r="A53" s="138" t="s">
        <v>1694</v>
      </c>
      <c r="B53" s="146" t="n">
        <v>51</v>
      </c>
      <c r="C53" s="144" t="n">
        <v>1020</v>
      </c>
      <c r="D53" s="138" t="s">
        <v>1565</v>
      </c>
      <c r="E53" s="138" t="s">
        <v>1566</v>
      </c>
      <c r="F53" s="147" t="n">
        <v>11</v>
      </c>
      <c r="G53" s="148" t="n">
        <v>0</v>
      </c>
      <c r="H53" s="148" t="n">
        <v>0</v>
      </c>
      <c r="I53" s="138" t="s">
        <v>1642</v>
      </c>
      <c r="J53" s="138"/>
      <c r="K53" s="146" t="n">
        <f aca="false">Parâmetros!$C$4*(F53+2*Parâmetros!$D$4+Parâmetros!$C$4*Parâmetros!$E$4)</f>
        <v>0.5525</v>
      </c>
      <c r="L53" s="146" t="n">
        <f aca="false">Parâmetros!$C$5*(F53+2*Parâmetros!$D$5+Parâmetros!$C$5*Parâmetros!$E$5)</f>
        <v>1.8176</v>
      </c>
      <c r="M53" s="146" t="n">
        <f aca="false">Parâmetros!$C$6*(F53+2*Parâmetros!$D$6+Parâmetros!$C$6*Parâmetros!$E$6)</f>
        <v>2.384</v>
      </c>
      <c r="N53" s="146" t="n">
        <f aca="false">Parâmetros!$C$7*(F53+2*Parâmetros!$D$7+Parâmetros!$C$7*Parâmetros!$E$7)</f>
        <v>3.786</v>
      </c>
      <c r="O53" s="146" t="n">
        <f aca="false">F53+2*Parâmetros!$D$8</f>
        <v>11.2</v>
      </c>
      <c r="P53" s="146" t="n">
        <f aca="false">F53+2*Parâmetros!$D$10</f>
        <v>12.92</v>
      </c>
      <c r="Q53" s="146" t="n">
        <f aca="false">G53+H53</f>
        <v>0</v>
      </c>
      <c r="S53" s="149" t="n">
        <f aca="false">S52+'Volumes por intervalo'!C52*(F52+F53)/2</f>
        <v>11258</v>
      </c>
      <c r="T53" s="149" t="n">
        <f aca="false">T52+'Volumes por intervalo'!H52</f>
        <v>565.45</v>
      </c>
      <c r="U53" s="149" t="n">
        <f aca="false">U52+'Volumes por intervalo'!J52</f>
        <v>1860.032</v>
      </c>
      <c r="V53" s="149" t="n">
        <f aca="false">V52+'Volumes por intervalo'!K52</f>
        <v>2439.28</v>
      </c>
      <c r="W53" s="149" t="n">
        <f aca="false">W52+'Volumes por intervalo'!L52</f>
        <v>3873.12</v>
      </c>
      <c r="X53" s="149" t="n">
        <f aca="false">X52+'Volumes por intervalo'!M52</f>
        <v>11462</v>
      </c>
      <c r="Y53" s="149" t="n">
        <f aca="false">Y52+'Volumes por intervalo'!N52</f>
        <v>11462</v>
      </c>
      <c r="Z53" s="149" t="n">
        <f aca="false">Z52+'Volumes por intervalo'!O52</f>
        <v>13216.4</v>
      </c>
      <c r="AA53" s="149" t="n">
        <f aca="false">AA52+'Volumes por intervalo'!P52</f>
        <v>0</v>
      </c>
      <c r="AB53" s="149" t="n">
        <f aca="false">AB52+'Volumes por intervalo'!Q52</f>
        <v>0</v>
      </c>
      <c r="AC53" s="149" t="n">
        <f aca="false">AC52+'Volumes por intervalo'!R52</f>
        <v>0</v>
      </c>
      <c r="AD53" s="149" t="n">
        <f aca="false">AD52+'Volumes por intervalo'!S52</f>
        <v>0</v>
      </c>
    </row>
    <row r="54" customFormat="false" ht="15" hidden="false" customHeight="false" outlineLevel="0" collapsed="false">
      <c r="A54" s="138" t="s">
        <v>1695</v>
      </c>
      <c r="B54" s="146" t="n">
        <v>52</v>
      </c>
      <c r="C54" s="144" t="n">
        <v>1040</v>
      </c>
      <c r="D54" s="138" t="s">
        <v>1565</v>
      </c>
      <c r="E54" s="138" t="s">
        <v>1566</v>
      </c>
      <c r="F54" s="147" t="n">
        <v>11</v>
      </c>
      <c r="G54" s="148" t="n">
        <v>0</v>
      </c>
      <c r="H54" s="148" t="n">
        <v>0</v>
      </c>
      <c r="I54" s="138" t="s">
        <v>1642</v>
      </c>
      <c r="J54" s="138"/>
      <c r="K54" s="146" t="n">
        <f aca="false">Parâmetros!$C$4*(F54+2*Parâmetros!$D$4+Parâmetros!$C$4*Parâmetros!$E$4)</f>
        <v>0.5525</v>
      </c>
      <c r="L54" s="146" t="n">
        <f aca="false">Parâmetros!$C$5*(F54+2*Parâmetros!$D$5+Parâmetros!$C$5*Parâmetros!$E$5)</f>
        <v>1.8176</v>
      </c>
      <c r="M54" s="146" t="n">
        <f aca="false">Parâmetros!$C$6*(F54+2*Parâmetros!$D$6+Parâmetros!$C$6*Parâmetros!$E$6)</f>
        <v>2.384</v>
      </c>
      <c r="N54" s="146" t="n">
        <f aca="false">Parâmetros!$C$7*(F54+2*Parâmetros!$D$7+Parâmetros!$C$7*Parâmetros!$E$7)</f>
        <v>3.786</v>
      </c>
      <c r="O54" s="146" t="n">
        <f aca="false">F54+2*Parâmetros!$D$8</f>
        <v>11.2</v>
      </c>
      <c r="P54" s="146" t="n">
        <f aca="false">F54+2*Parâmetros!$D$10</f>
        <v>12.92</v>
      </c>
      <c r="Q54" s="146" t="n">
        <f aca="false">G54+H54</f>
        <v>0</v>
      </c>
      <c r="S54" s="149" t="n">
        <f aca="false">S53+'Volumes por intervalo'!C53*(F53+F54)/2</f>
        <v>11478</v>
      </c>
      <c r="T54" s="149" t="n">
        <f aca="false">T53+'Volumes por intervalo'!H53</f>
        <v>576.5</v>
      </c>
      <c r="U54" s="149" t="n">
        <f aca="false">U53+'Volumes por intervalo'!J53</f>
        <v>1896.384</v>
      </c>
      <c r="V54" s="149" t="n">
        <f aca="false">V53+'Volumes por intervalo'!K53</f>
        <v>2486.96</v>
      </c>
      <c r="W54" s="149" t="n">
        <f aca="false">W53+'Volumes por intervalo'!L53</f>
        <v>3948.84</v>
      </c>
      <c r="X54" s="149" t="n">
        <f aca="false">X53+'Volumes por intervalo'!M53</f>
        <v>11686</v>
      </c>
      <c r="Y54" s="149" t="n">
        <f aca="false">Y53+'Volumes por intervalo'!N53</f>
        <v>11686</v>
      </c>
      <c r="Z54" s="149" t="n">
        <f aca="false">Z53+'Volumes por intervalo'!O53</f>
        <v>13474.8</v>
      </c>
      <c r="AA54" s="149" t="n">
        <f aca="false">AA53+'Volumes por intervalo'!P53</f>
        <v>0</v>
      </c>
      <c r="AB54" s="149" t="n">
        <f aca="false">AB53+'Volumes por intervalo'!Q53</f>
        <v>0</v>
      </c>
      <c r="AC54" s="149" t="n">
        <f aca="false">AC53+'Volumes por intervalo'!R53</f>
        <v>0</v>
      </c>
      <c r="AD54" s="149" t="n">
        <f aca="false">AD53+'Volumes por intervalo'!S53</f>
        <v>0</v>
      </c>
    </row>
    <row r="55" customFormat="false" ht="15" hidden="false" customHeight="false" outlineLevel="0" collapsed="false">
      <c r="A55" s="138" t="s">
        <v>1696</v>
      </c>
      <c r="B55" s="146" t="n">
        <v>53</v>
      </c>
      <c r="C55" s="144" t="n">
        <v>1060</v>
      </c>
      <c r="D55" s="138" t="s">
        <v>1565</v>
      </c>
      <c r="E55" s="138" t="s">
        <v>1566</v>
      </c>
      <c r="F55" s="147" t="n">
        <v>11</v>
      </c>
      <c r="G55" s="148" t="n">
        <v>0</v>
      </c>
      <c r="H55" s="148" t="n">
        <v>0</v>
      </c>
      <c r="I55" s="138" t="s">
        <v>1642</v>
      </c>
      <c r="J55" s="138"/>
      <c r="K55" s="146" t="n">
        <f aca="false">Parâmetros!$C$4*(F55+2*Parâmetros!$D$4+Parâmetros!$C$4*Parâmetros!$E$4)</f>
        <v>0.5525</v>
      </c>
      <c r="L55" s="146" t="n">
        <f aca="false">Parâmetros!$C$5*(F55+2*Parâmetros!$D$5+Parâmetros!$C$5*Parâmetros!$E$5)</f>
        <v>1.8176</v>
      </c>
      <c r="M55" s="146" t="n">
        <f aca="false">Parâmetros!$C$6*(F55+2*Parâmetros!$D$6+Parâmetros!$C$6*Parâmetros!$E$6)</f>
        <v>2.384</v>
      </c>
      <c r="N55" s="146" t="n">
        <f aca="false">Parâmetros!$C$7*(F55+2*Parâmetros!$D$7+Parâmetros!$C$7*Parâmetros!$E$7)</f>
        <v>3.786</v>
      </c>
      <c r="O55" s="146" t="n">
        <f aca="false">F55+2*Parâmetros!$D$8</f>
        <v>11.2</v>
      </c>
      <c r="P55" s="146" t="n">
        <f aca="false">F55+2*Parâmetros!$D$10</f>
        <v>12.92</v>
      </c>
      <c r="Q55" s="146" t="n">
        <f aca="false">G55+H55</f>
        <v>0</v>
      </c>
      <c r="S55" s="149" t="n">
        <f aca="false">S54+'Volumes por intervalo'!C54*(F54+F55)/2</f>
        <v>11698</v>
      </c>
      <c r="T55" s="149" t="n">
        <f aca="false">T54+'Volumes por intervalo'!H54</f>
        <v>587.55</v>
      </c>
      <c r="U55" s="149" t="n">
        <f aca="false">U54+'Volumes por intervalo'!J54</f>
        <v>1932.736</v>
      </c>
      <c r="V55" s="149" t="n">
        <f aca="false">V54+'Volumes por intervalo'!K54</f>
        <v>2534.64</v>
      </c>
      <c r="W55" s="149" t="n">
        <f aca="false">W54+'Volumes por intervalo'!L54</f>
        <v>4024.56</v>
      </c>
      <c r="X55" s="149" t="n">
        <f aca="false">X54+'Volumes por intervalo'!M54</f>
        <v>11910</v>
      </c>
      <c r="Y55" s="149" t="n">
        <f aca="false">Y54+'Volumes por intervalo'!N54</f>
        <v>11910</v>
      </c>
      <c r="Z55" s="149" t="n">
        <f aca="false">Z54+'Volumes por intervalo'!O54</f>
        <v>13733.2</v>
      </c>
      <c r="AA55" s="149" t="n">
        <f aca="false">AA54+'Volumes por intervalo'!P54</f>
        <v>0</v>
      </c>
      <c r="AB55" s="149" t="n">
        <f aca="false">AB54+'Volumes por intervalo'!Q54</f>
        <v>0</v>
      </c>
      <c r="AC55" s="149" t="n">
        <f aca="false">AC54+'Volumes por intervalo'!R54</f>
        <v>0</v>
      </c>
      <c r="AD55" s="149" t="n">
        <f aca="false">AD54+'Volumes por intervalo'!S54</f>
        <v>0</v>
      </c>
    </row>
    <row r="56" customFormat="false" ht="15" hidden="false" customHeight="false" outlineLevel="0" collapsed="false">
      <c r="A56" s="138" t="s">
        <v>1697</v>
      </c>
      <c r="B56" s="146" t="n">
        <v>54</v>
      </c>
      <c r="C56" s="144" t="n">
        <v>1080</v>
      </c>
      <c r="D56" s="138" t="s">
        <v>1565</v>
      </c>
      <c r="E56" s="138" t="s">
        <v>1566</v>
      </c>
      <c r="F56" s="147" t="n">
        <v>11</v>
      </c>
      <c r="G56" s="148" t="n">
        <v>0</v>
      </c>
      <c r="H56" s="148" t="n">
        <v>0</v>
      </c>
      <c r="I56" s="138" t="s">
        <v>1642</v>
      </c>
      <c r="J56" s="138"/>
      <c r="K56" s="146" t="n">
        <f aca="false">Parâmetros!$C$4*(F56+2*Parâmetros!$D$4+Parâmetros!$C$4*Parâmetros!$E$4)</f>
        <v>0.5525</v>
      </c>
      <c r="L56" s="146" t="n">
        <f aca="false">Parâmetros!$C$5*(F56+2*Parâmetros!$D$5+Parâmetros!$C$5*Parâmetros!$E$5)</f>
        <v>1.8176</v>
      </c>
      <c r="M56" s="146" t="n">
        <f aca="false">Parâmetros!$C$6*(F56+2*Parâmetros!$D$6+Parâmetros!$C$6*Parâmetros!$E$6)</f>
        <v>2.384</v>
      </c>
      <c r="N56" s="146" t="n">
        <f aca="false">Parâmetros!$C$7*(F56+2*Parâmetros!$D$7+Parâmetros!$C$7*Parâmetros!$E$7)</f>
        <v>3.786</v>
      </c>
      <c r="O56" s="146" t="n">
        <f aca="false">F56+2*Parâmetros!$D$8</f>
        <v>11.2</v>
      </c>
      <c r="P56" s="146" t="n">
        <f aca="false">F56+2*Parâmetros!$D$10</f>
        <v>12.92</v>
      </c>
      <c r="Q56" s="146" t="n">
        <f aca="false">G56+H56</f>
        <v>0</v>
      </c>
      <c r="S56" s="149" t="n">
        <f aca="false">S55+'Volumes por intervalo'!C55*(F55+F56)/2</f>
        <v>11918</v>
      </c>
      <c r="T56" s="149" t="n">
        <f aca="false">T55+'Volumes por intervalo'!H55</f>
        <v>598.6</v>
      </c>
      <c r="U56" s="149" t="n">
        <f aca="false">U55+'Volumes por intervalo'!J55</f>
        <v>1969.088</v>
      </c>
      <c r="V56" s="149" t="n">
        <f aca="false">V55+'Volumes por intervalo'!K55</f>
        <v>2582.32</v>
      </c>
      <c r="W56" s="149" t="n">
        <f aca="false">W55+'Volumes por intervalo'!L55</f>
        <v>4100.28</v>
      </c>
      <c r="X56" s="149" t="n">
        <f aca="false">X55+'Volumes por intervalo'!M55</f>
        <v>12134</v>
      </c>
      <c r="Y56" s="149" t="n">
        <f aca="false">Y55+'Volumes por intervalo'!N55</f>
        <v>12134</v>
      </c>
      <c r="Z56" s="149" t="n">
        <f aca="false">Z55+'Volumes por intervalo'!O55</f>
        <v>13991.6</v>
      </c>
      <c r="AA56" s="149" t="n">
        <f aca="false">AA55+'Volumes por intervalo'!P55</f>
        <v>0</v>
      </c>
      <c r="AB56" s="149" t="n">
        <f aca="false">AB55+'Volumes por intervalo'!Q55</f>
        <v>0</v>
      </c>
      <c r="AC56" s="149" t="n">
        <f aca="false">AC55+'Volumes por intervalo'!R55</f>
        <v>0</v>
      </c>
      <c r="AD56" s="149" t="n">
        <f aca="false">AD55+'Volumes por intervalo'!S55</f>
        <v>0</v>
      </c>
    </row>
    <row r="57" customFormat="false" ht="15" hidden="false" customHeight="false" outlineLevel="0" collapsed="false">
      <c r="A57" s="138" t="s">
        <v>1698</v>
      </c>
      <c r="B57" s="146" t="n">
        <v>55</v>
      </c>
      <c r="C57" s="144" t="n">
        <v>1100</v>
      </c>
      <c r="D57" s="138" t="s">
        <v>1565</v>
      </c>
      <c r="E57" s="138" t="s">
        <v>1566</v>
      </c>
      <c r="F57" s="147" t="n">
        <v>11</v>
      </c>
      <c r="G57" s="148" t="n">
        <v>0</v>
      </c>
      <c r="H57" s="148" t="n">
        <v>0</v>
      </c>
      <c r="I57" s="138" t="s">
        <v>1642</v>
      </c>
      <c r="J57" s="138"/>
      <c r="K57" s="146" t="n">
        <f aca="false">Parâmetros!$C$4*(F57+2*Parâmetros!$D$4+Parâmetros!$C$4*Parâmetros!$E$4)</f>
        <v>0.5525</v>
      </c>
      <c r="L57" s="146" t="n">
        <f aca="false">Parâmetros!$C$5*(F57+2*Parâmetros!$D$5+Parâmetros!$C$5*Parâmetros!$E$5)</f>
        <v>1.8176</v>
      </c>
      <c r="M57" s="146" t="n">
        <f aca="false">Parâmetros!$C$6*(F57+2*Parâmetros!$D$6+Parâmetros!$C$6*Parâmetros!$E$6)</f>
        <v>2.384</v>
      </c>
      <c r="N57" s="146" t="n">
        <f aca="false">Parâmetros!$C$7*(F57+2*Parâmetros!$D$7+Parâmetros!$C$7*Parâmetros!$E$7)</f>
        <v>3.786</v>
      </c>
      <c r="O57" s="146" t="n">
        <f aca="false">F57+2*Parâmetros!$D$8</f>
        <v>11.2</v>
      </c>
      <c r="P57" s="146" t="n">
        <f aca="false">F57+2*Parâmetros!$D$10</f>
        <v>12.92</v>
      </c>
      <c r="Q57" s="146" t="n">
        <f aca="false">G57+H57</f>
        <v>0</v>
      </c>
      <c r="S57" s="149" t="n">
        <f aca="false">S56+'Volumes por intervalo'!C56*(F56+F57)/2</f>
        <v>12138</v>
      </c>
      <c r="T57" s="149" t="n">
        <f aca="false">T56+'Volumes por intervalo'!H56</f>
        <v>609.65</v>
      </c>
      <c r="U57" s="149" t="n">
        <f aca="false">U56+'Volumes por intervalo'!J56</f>
        <v>2005.44</v>
      </c>
      <c r="V57" s="149" t="n">
        <f aca="false">V56+'Volumes por intervalo'!K56</f>
        <v>2630</v>
      </c>
      <c r="W57" s="149" t="n">
        <f aca="false">W56+'Volumes por intervalo'!L56</f>
        <v>4176</v>
      </c>
      <c r="X57" s="149" t="n">
        <f aca="false">X56+'Volumes por intervalo'!M56</f>
        <v>12358</v>
      </c>
      <c r="Y57" s="149" t="n">
        <f aca="false">Y56+'Volumes por intervalo'!N56</f>
        <v>12358</v>
      </c>
      <c r="Z57" s="149" t="n">
        <f aca="false">Z56+'Volumes por intervalo'!O56</f>
        <v>14250</v>
      </c>
      <c r="AA57" s="149" t="n">
        <f aca="false">AA56+'Volumes por intervalo'!P56</f>
        <v>0</v>
      </c>
      <c r="AB57" s="149" t="n">
        <f aca="false">AB56+'Volumes por intervalo'!Q56</f>
        <v>0</v>
      </c>
      <c r="AC57" s="149" t="n">
        <f aca="false">AC56+'Volumes por intervalo'!R56</f>
        <v>0</v>
      </c>
      <c r="AD57" s="149" t="n">
        <f aca="false">AD56+'Volumes por intervalo'!S56</f>
        <v>0</v>
      </c>
    </row>
    <row r="58" customFormat="false" ht="15" hidden="false" customHeight="false" outlineLevel="0" collapsed="false">
      <c r="A58" s="138" t="s">
        <v>1699</v>
      </c>
      <c r="B58" s="146" t="n">
        <v>56</v>
      </c>
      <c r="C58" s="144" t="n">
        <v>1120</v>
      </c>
      <c r="D58" s="138" t="s">
        <v>1565</v>
      </c>
      <c r="E58" s="138" t="s">
        <v>1566</v>
      </c>
      <c r="F58" s="147" t="n">
        <v>11</v>
      </c>
      <c r="G58" s="148" t="n">
        <v>0</v>
      </c>
      <c r="H58" s="148" t="n">
        <v>0</v>
      </c>
      <c r="I58" s="138" t="s">
        <v>1642</v>
      </c>
      <c r="J58" s="138"/>
      <c r="K58" s="146" t="n">
        <f aca="false">Parâmetros!$C$4*(F58+2*Parâmetros!$D$4+Parâmetros!$C$4*Parâmetros!$E$4)</f>
        <v>0.5525</v>
      </c>
      <c r="L58" s="146" t="n">
        <f aca="false">Parâmetros!$C$5*(F58+2*Parâmetros!$D$5+Parâmetros!$C$5*Parâmetros!$E$5)</f>
        <v>1.8176</v>
      </c>
      <c r="M58" s="146" t="n">
        <f aca="false">Parâmetros!$C$6*(F58+2*Parâmetros!$D$6+Parâmetros!$C$6*Parâmetros!$E$6)</f>
        <v>2.384</v>
      </c>
      <c r="N58" s="146" t="n">
        <f aca="false">Parâmetros!$C$7*(F58+2*Parâmetros!$D$7+Parâmetros!$C$7*Parâmetros!$E$7)</f>
        <v>3.786</v>
      </c>
      <c r="O58" s="146" t="n">
        <f aca="false">F58+2*Parâmetros!$D$8</f>
        <v>11.2</v>
      </c>
      <c r="P58" s="146" t="n">
        <f aca="false">F58+2*Parâmetros!$D$10</f>
        <v>12.92</v>
      </c>
      <c r="Q58" s="146" t="n">
        <f aca="false">G58+H58</f>
        <v>0</v>
      </c>
      <c r="S58" s="149" t="n">
        <f aca="false">S57+'Volumes por intervalo'!C57*(F57+F58)/2</f>
        <v>12358</v>
      </c>
      <c r="T58" s="149" t="n">
        <f aca="false">T57+'Volumes por intervalo'!H57</f>
        <v>620.7</v>
      </c>
      <c r="U58" s="149" t="n">
        <f aca="false">U57+'Volumes por intervalo'!J57</f>
        <v>2041.792</v>
      </c>
      <c r="V58" s="149" t="n">
        <f aca="false">V57+'Volumes por intervalo'!K57</f>
        <v>2677.68</v>
      </c>
      <c r="W58" s="149" t="n">
        <f aca="false">W57+'Volumes por intervalo'!L57</f>
        <v>4251.72</v>
      </c>
      <c r="X58" s="149" t="n">
        <f aca="false">X57+'Volumes por intervalo'!M57</f>
        <v>12582</v>
      </c>
      <c r="Y58" s="149" t="n">
        <f aca="false">Y57+'Volumes por intervalo'!N57</f>
        <v>12582</v>
      </c>
      <c r="Z58" s="149" t="n">
        <f aca="false">Z57+'Volumes por intervalo'!O57</f>
        <v>14508.4</v>
      </c>
      <c r="AA58" s="149" t="n">
        <f aca="false">AA57+'Volumes por intervalo'!P57</f>
        <v>0</v>
      </c>
      <c r="AB58" s="149" t="n">
        <f aca="false">AB57+'Volumes por intervalo'!Q57</f>
        <v>0</v>
      </c>
      <c r="AC58" s="149" t="n">
        <f aca="false">AC57+'Volumes por intervalo'!R57</f>
        <v>0</v>
      </c>
      <c r="AD58" s="149" t="n">
        <f aca="false">AD57+'Volumes por intervalo'!S57</f>
        <v>0</v>
      </c>
    </row>
    <row r="59" customFormat="false" ht="15" hidden="false" customHeight="false" outlineLevel="0" collapsed="false">
      <c r="A59" s="138" t="s">
        <v>1700</v>
      </c>
      <c r="B59" s="146" t="n">
        <v>57</v>
      </c>
      <c r="C59" s="144" t="n">
        <v>1140</v>
      </c>
      <c r="D59" s="138" t="s">
        <v>1565</v>
      </c>
      <c r="E59" s="138" t="s">
        <v>1566</v>
      </c>
      <c r="F59" s="147" t="n">
        <v>11</v>
      </c>
      <c r="G59" s="148" t="n">
        <v>0</v>
      </c>
      <c r="H59" s="148" t="n">
        <v>0</v>
      </c>
      <c r="I59" s="138" t="s">
        <v>1642</v>
      </c>
      <c r="J59" s="138"/>
      <c r="K59" s="146" t="n">
        <f aca="false">Parâmetros!$C$4*(F59+2*Parâmetros!$D$4+Parâmetros!$C$4*Parâmetros!$E$4)</f>
        <v>0.5525</v>
      </c>
      <c r="L59" s="146" t="n">
        <f aca="false">Parâmetros!$C$5*(F59+2*Parâmetros!$D$5+Parâmetros!$C$5*Parâmetros!$E$5)</f>
        <v>1.8176</v>
      </c>
      <c r="M59" s="146" t="n">
        <f aca="false">Parâmetros!$C$6*(F59+2*Parâmetros!$D$6+Parâmetros!$C$6*Parâmetros!$E$6)</f>
        <v>2.384</v>
      </c>
      <c r="N59" s="146" t="n">
        <f aca="false">Parâmetros!$C$7*(F59+2*Parâmetros!$D$7+Parâmetros!$C$7*Parâmetros!$E$7)</f>
        <v>3.786</v>
      </c>
      <c r="O59" s="146" t="n">
        <f aca="false">F59+2*Parâmetros!$D$8</f>
        <v>11.2</v>
      </c>
      <c r="P59" s="146" t="n">
        <f aca="false">F59+2*Parâmetros!$D$10</f>
        <v>12.92</v>
      </c>
      <c r="Q59" s="146" t="n">
        <f aca="false">G59+H59</f>
        <v>0</v>
      </c>
      <c r="S59" s="149" t="n">
        <f aca="false">S58+'Volumes por intervalo'!C58*(F58+F59)/2</f>
        <v>12578</v>
      </c>
      <c r="T59" s="149" t="n">
        <f aca="false">T58+'Volumes por intervalo'!H58</f>
        <v>631.75</v>
      </c>
      <c r="U59" s="149" t="n">
        <f aca="false">U58+'Volumes por intervalo'!J58</f>
        <v>2078.144</v>
      </c>
      <c r="V59" s="149" t="n">
        <f aca="false">V58+'Volumes por intervalo'!K58</f>
        <v>2725.36</v>
      </c>
      <c r="W59" s="149" t="n">
        <f aca="false">W58+'Volumes por intervalo'!L58</f>
        <v>4327.44</v>
      </c>
      <c r="X59" s="149" t="n">
        <f aca="false">X58+'Volumes por intervalo'!M58</f>
        <v>12806</v>
      </c>
      <c r="Y59" s="149" t="n">
        <f aca="false">Y58+'Volumes por intervalo'!N58</f>
        <v>12806</v>
      </c>
      <c r="Z59" s="149" t="n">
        <f aca="false">Z58+'Volumes por intervalo'!O58</f>
        <v>14766.8</v>
      </c>
      <c r="AA59" s="149" t="n">
        <f aca="false">AA58+'Volumes por intervalo'!P58</f>
        <v>0</v>
      </c>
      <c r="AB59" s="149" t="n">
        <f aca="false">AB58+'Volumes por intervalo'!Q58</f>
        <v>0</v>
      </c>
      <c r="AC59" s="149" t="n">
        <f aca="false">AC58+'Volumes por intervalo'!R58</f>
        <v>0</v>
      </c>
      <c r="AD59" s="149" t="n">
        <f aca="false">AD58+'Volumes por intervalo'!S58</f>
        <v>0</v>
      </c>
    </row>
    <row r="60" customFormat="false" ht="15" hidden="false" customHeight="false" outlineLevel="0" collapsed="false">
      <c r="A60" s="138" t="s">
        <v>1701</v>
      </c>
      <c r="B60" s="146" t="n">
        <v>58</v>
      </c>
      <c r="C60" s="144" t="n">
        <v>1160</v>
      </c>
      <c r="D60" s="138" t="s">
        <v>1565</v>
      </c>
      <c r="E60" s="138" t="s">
        <v>1566</v>
      </c>
      <c r="F60" s="147" t="n">
        <v>11</v>
      </c>
      <c r="G60" s="148" t="n">
        <v>0</v>
      </c>
      <c r="H60" s="148" t="n">
        <v>0</v>
      </c>
      <c r="I60" s="138" t="s">
        <v>1642</v>
      </c>
      <c r="J60" s="138"/>
      <c r="K60" s="146" t="n">
        <f aca="false">Parâmetros!$C$4*(F60+2*Parâmetros!$D$4+Parâmetros!$C$4*Parâmetros!$E$4)</f>
        <v>0.5525</v>
      </c>
      <c r="L60" s="146" t="n">
        <f aca="false">Parâmetros!$C$5*(F60+2*Parâmetros!$D$5+Parâmetros!$C$5*Parâmetros!$E$5)</f>
        <v>1.8176</v>
      </c>
      <c r="M60" s="146" t="n">
        <f aca="false">Parâmetros!$C$6*(F60+2*Parâmetros!$D$6+Parâmetros!$C$6*Parâmetros!$E$6)</f>
        <v>2.384</v>
      </c>
      <c r="N60" s="146" t="n">
        <f aca="false">Parâmetros!$C$7*(F60+2*Parâmetros!$D$7+Parâmetros!$C$7*Parâmetros!$E$7)</f>
        <v>3.786</v>
      </c>
      <c r="O60" s="146" t="n">
        <f aca="false">F60+2*Parâmetros!$D$8</f>
        <v>11.2</v>
      </c>
      <c r="P60" s="146" t="n">
        <f aca="false">F60+2*Parâmetros!$D$10</f>
        <v>12.92</v>
      </c>
      <c r="Q60" s="146" t="n">
        <f aca="false">G60+H60</f>
        <v>0</v>
      </c>
      <c r="S60" s="149" t="n">
        <f aca="false">S59+'Volumes por intervalo'!C59*(F59+F60)/2</f>
        <v>12798</v>
      </c>
      <c r="T60" s="149" t="n">
        <f aca="false">T59+'Volumes por intervalo'!H59</f>
        <v>642.8</v>
      </c>
      <c r="U60" s="149" t="n">
        <f aca="false">U59+'Volumes por intervalo'!J59</f>
        <v>2114.496</v>
      </c>
      <c r="V60" s="149" t="n">
        <f aca="false">V59+'Volumes por intervalo'!K59</f>
        <v>2773.04</v>
      </c>
      <c r="W60" s="149" t="n">
        <f aca="false">W59+'Volumes por intervalo'!L59</f>
        <v>4403.16</v>
      </c>
      <c r="X60" s="149" t="n">
        <f aca="false">X59+'Volumes por intervalo'!M59</f>
        <v>13030</v>
      </c>
      <c r="Y60" s="149" t="n">
        <f aca="false">Y59+'Volumes por intervalo'!N59</f>
        <v>13030</v>
      </c>
      <c r="Z60" s="149" t="n">
        <f aca="false">Z59+'Volumes por intervalo'!O59</f>
        <v>15025.2</v>
      </c>
      <c r="AA60" s="149" t="n">
        <f aca="false">AA59+'Volumes por intervalo'!P59</f>
        <v>0</v>
      </c>
      <c r="AB60" s="149" t="n">
        <f aca="false">AB59+'Volumes por intervalo'!Q59</f>
        <v>0</v>
      </c>
      <c r="AC60" s="149" t="n">
        <f aca="false">AC59+'Volumes por intervalo'!R59</f>
        <v>0</v>
      </c>
      <c r="AD60" s="149" t="n">
        <f aca="false">AD59+'Volumes por intervalo'!S59</f>
        <v>0</v>
      </c>
    </row>
    <row r="61" customFormat="false" ht="15" hidden="false" customHeight="false" outlineLevel="0" collapsed="false">
      <c r="A61" s="138" t="s">
        <v>1702</v>
      </c>
      <c r="B61" s="146" t="n">
        <v>59</v>
      </c>
      <c r="C61" s="144" t="n">
        <v>1180</v>
      </c>
      <c r="D61" s="138" t="s">
        <v>1565</v>
      </c>
      <c r="E61" s="138" t="s">
        <v>1566</v>
      </c>
      <c r="F61" s="147" t="n">
        <v>11</v>
      </c>
      <c r="G61" s="148" t="n">
        <v>0</v>
      </c>
      <c r="H61" s="148" t="n">
        <v>0</v>
      </c>
      <c r="I61" s="138" t="s">
        <v>1642</v>
      </c>
      <c r="J61" s="138"/>
      <c r="K61" s="146" t="n">
        <f aca="false">Parâmetros!$C$4*(F61+2*Parâmetros!$D$4+Parâmetros!$C$4*Parâmetros!$E$4)</f>
        <v>0.5525</v>
      </c>
      <c r="L61" s="146" t="n">
        <f aca="false">Parâmetros!$C$5*(F61+2*Parâmetros!$D$5+Parâmetros!$C$5*Parâmetros!$E$5)</f>
        <v>1.8176</v>
      </c>
      <c r="M61" s="146" t="n">
        <f aca="false">Parâmetros!$C$6*(F61+2*Parâmetros!$D$6+Parâmetros!$C$6*Parâmetros!$E$6)</f>
        <v>2.384</v>
      </c>
      <c r="N61" s="146" t="n">
        <f aca="false">Parâmetros!$C$7*(F61+2*Parâmetros!$D$7+Parâmetros!$C$7*Parâmetros!$E$7)</f>
        <v>3.786</v>
      </c>
      <c r="O61" s="146" t="n">
        <f aca="false">F61+2*Parâmetros!$D$8</f>
        <v>11.2</v>
      </c>
      <c r="P61" s="146" t="n">
        <f aca="false">F61+2*Parâmetros!$D$10</f>
        <v>12.92</v>
      </c>
      <c r="Q61" s="146" t="n">
        <f aca="false">G61+H61</f>
        <v>0</v>
      </c>
      <c r="S61" s="149" t="n">
        <f aca="false">S60+'Volumes por intervalo'!C60*(F60+F61)/2</f>
        <v>13018</v>
      </c>
      <c r="T61" s="149" t="n">
        <f aca="false">T60+'Volumes por intervalo'!H60</f>
        <v>653.85</v>
      </c>
      <c r="U61" s="149" t="n">
        <f aca="false">U60+'Volumes por intervalo'!J60</f>
        <v>2150.848</v>
      </c>
      <c r="V61" s="149" t="n">
        <f aca="false">V60+'Volumes por intervalo'!K60</f>
        <v>2820.72</v>
      </c>
      <c r="W61" s="149" t="n">
        <f aca="false">W60+'Volumes por intervalo'!L60</f>
        <v>4478.88</v>
      </c>
      <c r="X61" s="149" t="n">
        <f aca="false">X60+'Volumes por intervalo'!M60</f>
        <v>13254</v>
      </c>
      <c r="Y61" s="149" t="n">
        <f aca="false">Y60+'Volumes por intervalo'!N60</f>
        <v>13254</v>
      </c>
      <c r="Z61" s="149" t="n">
        <f aca="false">Z60+'Volumes por intervalo'!O60</f>
        <v>15283.6</v>
      </c>
      <c r="AA61" s="149" t="n">
        <f aca="false">AA60+'Volumes por intervalo'!P60</f>
        <v>0</v>
      </c>
      <c r="AB61" s="149" t="n">
        <f aca="false">AB60+'Volumes por intervalo'!Q60</f>
        <v>0</v>
      </c>
      <c r="AC61" s="149" t="n">
        <f aca="false">AC60+'Volumes por intervalo'!R60</f>
        <v>0</v>
      </c>
      <c r="AD61" s="149" t="n">
        <f aca="false">AD60+'Volumes por intervalo'!S60</f>
        <v>0</v>
      </c>
    </row>
    <row r="62" customFormat="false" ht="15" hidden="false" customHeight="false" outlineLevel="0" collapsed="false">
      <c r="A62" s="138" t="s">
        <v>1703</v>
      </c>
      <c r="B62" s="146" t="n">
        <v>60</v>
      </c>
      <c r="C62" s="144" t="n">
        <v>1200</v>
      </c>
      <c r="D62" s="138" t="s">
        <v>1565</v>
      </c>
      <c r="E62" s="138" t="s">
        <v>1566</v>
      </c>
      <c r="F62" s="147" t="n">
        <v>11</v>
      </c>
      <c r="G62" s="148" t="n">
        <v>0</v>
      </c>
      <c r="H62" s="148" t="n">
        <v>0</v>
      </c>
      <c r="I62" s="138" t="s">
        <v>1642</v>
      </c>
      <c r="J62" s="138"/>
      <c r="K62" s="146" t="n">
        <f aca="false">Parâmetros!$C$4*(F62+2*Parâmetros!$D$4+Parâmetros!$C$4*Parâmetros!$E$4)</f>
        <v>0.5525</v>
      </c>
      <c r="L62" s="146" t="n">
        <f aca="false">Parâmetros!$C$5*(F62+2*Parâmetros!$D$5+Parâmetros!$C$5*Parâmetros!$E$5)</f>
        <v>1.8176</v>
      </c>
      <c r="M62" s="146" t="n">
        <f aca="false">Parâmetros!$C$6*(F62+2*Parâmetros!$D$6+Parâmetros!$C$6*Parâmetros!$E$6)</f>
        <v>2.384</v>
      </c>
      <c r="N62" s="146" t="n">
        <f aca="false">Parâmetros!$C$7*(F62+2*Parâmetros!$D$7+Parâmetros!$C$7*Parâmetros!$E$7)</f>
        <v>3.786</v>
      </c>
      <c r="O62" s="146" t="n">
        <f aca="false">F62+2*Parâmetros!$D$8</f>
        <v>11.2</v>
      </c>
      <c r="P62" s="146" t="n">
        <f aca="false">F62+2*Parâmetros!$D$10</f>
        <v>12.92</v>
      </c>
      <c r="Q62" s="146" t="n">
        <f aca="false">G62+H62</f>
        <v>0</v>
      </c>
      <c r="S62" s="149" t="n">
        <f aca="false">S61+'Volumes por intervalo'!C61*(F61+F62)/2</f>
        <v>13238</v>
      </c>
      <c r="T62" s="149" t="n">
        <f aca="false">T61+'Volumes por intervalo'!H61</f>
        <v>664.9</v>
      </c>
      <c r="U62" s="149" t="n">
        <f aca="false">U61+'Volumes por intervalo'!J61</f>
        <v>2187.2</v>
      </c>
      <c r="V62" s="149" t="n">
        <f aca="false">V61+'Volumes por intervalo'!K61</f>
        <v>2868.4</v>
      </c>
      <c r="W62" s="149" t="n">
        <f aca="false">W61+'Volumes por intervalo'!L61</f>
        <v>4554.6</v>
      </c>
      <c r="X62" s="149" t="n">
        <f aca="false">X61+'Volumes por intervalo'!M61</f>
        <v>13478</v>
      </c>
      <c r="Y62" s="149" t="n">
        <f aca="false">Y61+'Volumes por intervalo'!N61</f>
        <v>13478</v>
      </c>
      <c r="Z62" s="149" t="n">
        <f aca="false">Z61+'Volumes por intervalo'!O61</f>
        <v>15542</v>
      </c>
      <c r="AA62" s="149" t="n">
        <f aca="false">AA61+'Volumes por intervalo'!P61</f>
        <v>0</v>
      </c>
      <c r="AB62" s="149" t="n">
        <f aca="false">AB61+'Volumes por intervalo'!Q61</f>
        <v>0</v>
      </c>
      <c r="AC62" s="149" t="n">
        <f aca="false">AC61+'Volumes por intervalo'!R61</f>
        <v>0</v>
      </c>
      <c r="AD62" s="149" t="n">
        <f aca="false">AD61+'Volumes por intervalo'!S61</f>
        <v>0</v>
      </c>
    </row>
    <row r="63" customFormat="false" ht="15" hidden="false" customHeight="false" outlineLevel="0" collapsed="false">
      <c r="A63" s="138" t="s">
        <v>1704</v>
      </c>
      <c r="B63" s="146" t="n">
        <v>61</v>
      </c>
      <c r="C63" s="144" t="n">
        <v>1220</v>
      </c>
      <c r="D63" s="138" t="s">
        <v>1565</v>
      </c>
      <c r="E63" s="138" t="s">
        <v>1566</v>
      </c>
      <c r="F63" s="147" t="n">
        <v>11</v>
      </c>
      <c r="G63" s="148" t="n">
        <v>0</v>
      </c>
      <c r="H63" s="148" t="n">
        <v>0</v>
      </c>
      <c r="I63" s="138" t="s">
        <v>1642</v>
      </c>
      <c r="J63" s="138"/>
      <c r="K63" s="146" t="n">
        <f aca="false">Parâmetros!$C$4*(F63+2*Parâmetros!$D$4+Parâmetros!$C$4*Parâmetros!$E$4)</f>
        <v>0.5525</v>
      </c>
      <c r="L63" s="146" t="n">
        <f aca="false">Parâmetros!$C$5*(F63+2*Parâmetros!$D$5+Parâmetros!$C$5*Parâmetros!$E$5)</f>
        <v>1.8176</v>
      </c>
      <c r="M63" s="146" t="n">
        <f aca="false">Parâmetros!$C$6*(F63+2*Parâmetros!$D$6+Parâmetros!$C$6*Parâmetros!$E$6)</f>
        <v>2.384</v>
      </c>
      <c r="N63" s="146" t="n">
        <f aca="false">Parâmetros!$C$7*(F63+2*Parâmetros!$D$7+Parâmetros!$C$7*Parâmetros!$E$7)</f>
        <v>3.786</v>
      </c>
      <c r="O63" s="146" t="n">
        <f aca="false">F63+2*Parâmetros!$D$8</f>
        <v>11.2</v>
      </c>
      <c r="P63" s="146" t="n">
        <f aca="false">F63+2*Parâmetros!$D$10</f>
        <v>12.92</v>
      </c>
      <c r="Q63" s="146" t="n">
        <f aca="false">G63+H63</f>
        <v>0</v>
      </c>
      <c r="S63" s="149" t="n">
        <f aca="false">S62+'Volumes por intervalo'!C62*(F62+F63)/2</f>
        <v>13458</v>
      </c>
      <c r="T63" s="149" t="n">
        <f aca="false">T62+'Volumes por intervalo'!H62</f>
        <v>675.95</v>
      </c>
      <c r="U63" s="149" t="n">
        <f aca="false">U62+'Volumes por intervalo'!J62</f>
        <v>2223.552</v>
      </c>
      <c r="V63" s="149" t="n">
        <f aca="false">V62+'Volumes por intervalo'!K62</f>
        <v>2916.08</v>
      </c>
      <c r="W63" s="149" t="n">
        <f aca="false">W62+'Volumes por intervalo'!L62</f>
        <v>4630.32</v>
      </c>
      <c r="X63" s="149" t="n">
        <f aca="false">X62+'Volumes por intervalo'!M62</f>
        <v>13702</v>
      </c>
      <c r="Y63" s="149" t="n">
        <f aca="false">Y62+'Volumes por intervalo'!N62</f>
        <v>13702</v>
      </c>
      <c r="Z63" s="149" t="n">
        <f aca="false">Z62+'Volumes por intervalo'!O62</f>
        <v>15800.4</v>
      </c>
      <c r="AA63" s="149" t="n">
        <f aca="false">AA62+'Volumes por intervalo'!P62</f>
        <v>0</v>
      </c>
      <c r="AB63" s="149" t="n">
        <f aca="false">AB62+'Volumes por intervalo'!Q62</f>
        <v>0</v>
      </c>
      <c r="AC63" s="149" t="n">
        <f aca="false">AC62+'Volumes por intervalo'!R62</f>
        <v>0</v>
      </c>
      <c r="AD63" s="149" t="n">
        <f aca="false">AD62+'Volumes por intervalo'!S62</f>
        <v>0</v>
      </c>
    </row>
    <row r="64" customFormat="false" ht="15" hidden="false" customHeight="false" outlineLevel="0" collapsed="false">
      <c r="A64" s="138" t="s">
        <v>1705</v>
      </c>
      <c r="B64" s="146" t="n">
        <v>62</v>
      </c>
      <c r="C64" s="144" t="n">
        <v>1240</v>
      </c>
      <c r="D64" s="138" t="s">
        <v>1565</v>
      </c>
      <c r="E64" s="138" t="s">
        <v>1566</v>
      </c>
      <c r="F64" s="147" t="n">
        <v>11</v>
      </c>
      <c r="G64" s="148" t="n">
        <v>0</v>
      </c>
      <c r="H64" s="148" t="n">
        <v>0</v>
      </c>
      <c r="I64" s="138" t="s">
        <v>1642</v>
      </c>
      <c r="J64" s="138"/>
      <c r="K64" s="146" t="n">
        <f aca="false">Parâmetros!$C$4*(F64+2*Parâmetros!$D$4+Parâmetros!$C$4*Parâmetros!$E$4)</f>
        <v>0.5525</v>
      </c>
      <c r="L64" s="146" t="n">
        <f aca="false">Parâmetros!$C$5*(F64+2*Parâmetros!$D$5+Parâmetros!$C$5*Parâmetros!$E$5)</f>
        <v>1.8176</v>
      </c>
      <c r="M64" s="146" t="n">
        <f aca="false">Parâmetros!$C$6*(F64+2*Parâmetros!$D$6+Parâmetros!$C$6*Parâmetros!$E$6)</f>
        <v>2.384</v>
      </c>
      <c r="N64" s="146" t="n">
        <f aca="false">Parâmetros!$C$7*(F64+2*Parâmetros!$D$7+Parâmetros!$C$7*Parâmetros!$E$7)</f>
        <v>3.786</v>
      </c>
      <c r="O64" s="146" t="n">
        <f aca="false">F64+2*Parâmetros!$D$8</f>
        <v>11.2</v>
      </c>
      <c r="P64" s="146" t="n">
        <f aca="false">F64+2*Parâmetros!$D$10</f>
        <v>12.92</v>
      </c>
      <c r="Q64" s="146" t="n">
        <f aca="false">G64+H64</f>
        <v>0</v>
      </c>
      <c r="S64" s="149" t="n">
        <f aca="false">S63+'Volumes por intervalo'!C63*(F63+F64)/2</f>
        <v>13678</v>
      </c>
      <c r="T64" s="149" t="n">
        <f aca="false">T63+'Volumes por intervalo'!H63</f>
        <v>687</v>
      </c>
      <c r="U64" s="149" t="n">
        <f aca="false">U63+'Volumes por intervalo'!J63</f>
        <v>2259.904</v>
      </c>
      <c r="V64" s="149" t="n">
        <f aca="false">V63+'Volumes por intervalo'!K63</f>
        <v>2963.76</v>
      </c>
      <c r="W64" s="149" t="n">
        <f aca="false">W63+'Volumes por intervalo'!L63</f>
        <v>4706.04</v>
      </c>
      <c r="X64" s="149" t="n">
        <f aca="false">X63+'Volumes por intervalo'!M63</f>
        <v>13926</v>
      </c>
      <c r="Y64" s="149" t="n">
        <f aca="false">Y63+'Volumes por intervalo'!N63</f>
        <v>13926</v>
      </c>
      <c r="Z64" s="149" t="n">
        <f aca="false">Z63+'Volumes por intervalo'!O63</f>
        <v>16058.8</v>
      </c>
      <c r="AA64" s="149" t="n">
        <f aca="false">AA63+'Volumes por intervalo'!P63</f>
        <v>0</v>
      </c>
      <c r="AB64" s="149" t="n">
        <f aca="false">AB63+'Volumes por intervalo'!Q63</f>
        <v>0</v>
      </c>
      <c r="AC64" s="149" t="n">
        <f aca="false">AC63+'Volumes por intervalo'!R63</f>
        <v>0</v>
      </c>
      <c r="AD64" s="149" t="n">
        <f aca="false">AD63+'Volumes por intervalo'!S63</f>
        <v>0</v>
      </c>
    </row>
    <row r="65" customFormat="false" ht="15" hidden="false" customHeight="false" outlineLevel="0" collapsed="false">
      <c r="A65" s="138" t="s">
        <v>1706</v>
      </c>
      <c r="B65" s="146" t="n">
        <v>63</v>
      </c>
      <c r="C65" s="144" t="n">
        <v>1260</v>
      </c>
      <c r="D65" s="138" t="s">
        <v>1565</v>
      </c>
      <c r="E65" s="138" t="s">
        <v>1566</v>
      </c>
      <c r="F65" s="147" t="n">
        <v>11</v>
      </c>
      <c r="G65" s="148" t="n">
        <v>0</v>
      </c>
      <c r="H65" s="148" t="n">
        <v>0</v>
      </c>
      <c r="I65" s="138" t="s">
        <v>1642</v>
      </c>
      <c r="J65" s="138"/>
      <c r="K65" s="146" t="n">
        <f aca="false">Parâmetros!$C$4*(F65+2*Parâmetros!$D$4+Parâmetros!$C$4*Parâmetros!$E$4)</f>
        <v>0.5525</v>
      </c>
      <c r="L65" s="146" t="n">
        <f aca="false">Parâmetros!$C$5*(F65+2*Parâmetros!$D$5+Parâmetros!$C$5*Parâmetros!$E$5)</f>
        <v>1.8176</v>
      </c>
      <c r="M65" s="146" t="n">
        <f aca="false">Parâmetros!$C$6*(F65+2*Parâmetros!$D$6+Parâmetros!$C$6*Parâmetros!$E$6)</f>
        <v>2.384</v>
      </c>
      <c r="N65" s="146" t="n">
        <f aca="false">Parâmetros!$C$7*(F65+2*Parâmetros!$D$7+Parâmetros!$C$7*Parâmetros!$E$7)</f>
        <v>3.786</v>
      </c>
      <c r="O65" s="146" t="n">
        <f aca="false">F65+2*Parâmetros!$D$8</f>
        <v>11.2</v>
      </c>
      <c r="P65" s="146" t="n">
        <f aca="false">F65+2*Parâmetros!$D$10</f>
        <v>12.92</v>
      </c>
      <c r="Q65" s="146" t="n">
        <f aca="false">G65+H65</f>
        <v>0</v>
      </c>
      <c r="S65" s="149" t="n">
        <f aca="false">S64+'Volumes por intervalo'!C64*(F64+F65)/2</f>
        <v>13898</v>
      </c>
      <c r="T65" s="149" t="n">
        <f aca="false">T64+'Volumes por intervalo'!H64</f>
        <v>698.05</v>
      </c>
      <c r="U65" s="149" t="n">
        <f aca="false">U64+'Volumes por intervalo'!J64</f>
        <v>2296.256</v>
      </c>
      <c r="V65" s="149" t="n">
        <f aca="false">V64+'Volumes por intervalo'!K64</f>
        <v>3011.44</v>
      </c>
      <c r="W65" s="149" t="n">
        <f aca="false">W64+'Volumes por intervalo'!L64</f>
        <v>4781.76</v>
      </c>
      <c r="X65" s="149" t="n">
        <f aca="false">X64+'Volumes por intervalo'!M64</f>
        <v>14150</v>
      </c>
      <c r="Y65" s="149" t="n">
        <f aca="false">Y64+'Volumes por intervalo'!N64</f>
        <v>14150</v>
      </c>
      <c r="Z65" s="149" t="n">
        <f aca="false">Z64+'Volumes por intervalo'!O64</f>
        <v>16317.2</v>
      </c>
      <c r="AA65" s="149" t="n">
        <f aca="false">AA64+'Volumes por intervalo'!P64</f>
        <v>0</v>
      </c>
      <c r="AB65" s="149" t="n">
        <f aca="false">AB64+'Volumes por intervalo'!Q64</f>
        <v>0</v>
      </c>
      <c r="AC65" s="149" t="n">
        <f aca="false">AC64+'Volumes por intervalo'!R64</f>
        <v>0</v>
      </c>
      <c r="AD65" s="149" t="n">
        <f aca="false">AD64+'Volumes por intervalo'!S64</f>
        <v>0</v>
      </c>
    </row>
    <row r="66" customFormat="false" ht="15" hidden="false" customHeight="false" outlineLevel="0" collapsed="false">
      <c r="A66" s="138" t="s">
        <v>1707</v>
      </c>
      <c r="B66" s="146" t="n">
        <v>64</v>
      </c>
      <c r="C66" s="144" t="n">
        <v>1280</v>
      </c>
      <c r="D66" s="138" t="s">
        <v>1565</v>
      </c>
      <c r="E66" s="138" t="s">
        <v>1566</v>
      </c>
      <c r="F66" s="147" t="n">
        <v>11</v>
      </c>
      <c r="G66" s="148" t="n">
        <v>0</v>
      </c>
      <c r="H66" s="148" t="n">
        <v>0</v>
      </c>
      <c r="I66" s="138" t="s">
        <v>1642</v>
      </c>
      <c r="J66" s="138"/>
      <c r="K66" s="146" t="n">
        <f aca="false">Parâmetros!$C$4*(F66+2*Parâmetros!$D$4+Parâmetros!$C$4*Parâmetros!$E$4)</f>
        <v>0.5525</v>
      </c>
      <c r="L66" s="146" t="n">
        <f aca="false">Parâmetros!$C$5*(F66+2*Parâmetros!$D$5+Parâmetros!$C$5*Parâmetros!$E$5)</f>
        <v>1.8176</v>
      </c>
      <c r="M66" s="146" t="n">
        <f aca="false">Parâmetros!$C$6*(F66+2*Parâmetros!$D$6+Parâmetros!$C$6*Parâmetros!$E$6)</f>
        <v>2.384</v>
      </c>
      <c r="N66" s="146" t="n">
        <f aca="false">Parâmetros!$C$7*(F66+2*Parâmetros!$D$7+Parâmetros!$C$7*Parâmetros!$E$7)</f>
        <v>3.786</v>
      </c>
      <c r="O66" s="146" t="n">
        <f aca="false">F66+2*Parâmetros!$D$8</f>
        <v>11.2</v>
      </c>
      <c r="P66" s="146" t="n">
        <f aca="false">F66+2*Parâmetros!$D$10</f>
        <v>12.92</v>
      </c>
      <c r="Q66" s="146" t="n">
        <f aca="false">G66+H66</f>
        <v>0</v>
      </c>
      <c r="S66" s="149" t="n">
        <f aca="false">S65+'Volumes por intervalo'!C65*(F65+F66)/2</f>
        <v>14118</v>
      </c>
      <c r="T66" s="149" t="n">
        <f aca="false">T65+'Volumes por intervalo'!H65</f>
        <v>709.1</v>
      </c>
      <c r="U66" s="149" t="n">
        <f aca="false">U65+'Volumes por intervalo'!J65</f>
        <v>2332.608</v>
      </c>
      <c r="V66" s="149" t="n">
        <f aca="false">V65+'Volumes por intervalo'!K65</f>
        <v>3059.12</v>
      </c>
      <c r="W66" s="149" t="n">
        <f aca="false">W65+'Volumes por intervalo'!L65</f>
        <v>4857.48</v>
      </c>
      <c r="X66" s="149" t="n">
        <f aca="false">X65+'Volumes por intervalo'!M65</f>
        <v>14374</v>
      </c>
      <c r="Y66" s="149" t="n">
        <f aca="false">Y65+'Volumes por intervalo'!N65</f>
        <v>14374</v>
      </c>
      <c r="Z66" s="149" t="n">
        <f aca="false">Z65+'Volumes por intervalo'!O65</f>
        <v>16575.6</v>
      </c>
      <c r="AA66" s="149" t="n">
        <f aca="false">AA65+'Volumes por intervalo'!P65</f>
        <v>0</v>
      </c>
      <c r="AB66" s="149" t="n">
        <f aca="false">AB65+'Volumes por intervalo'!Q65</f>
        <v>0</v>
      </c>
      <c r="AC66" s="149" t="n">
        <f aca="false">AC65+'Volumes por intervalo'!R65</f>
        <v>0</v>
      </c>
      <c r="AD66" s="149" t="n">
        <f aca="false">AD65+'Volumes por intervalo'!S65</f>
        <v>0</v>
      </c>
    </row>
    <row r="67" customFormat="false" ht="15" hidden="false" customHeight="false" outlineLevel="0" collapsed="false">
      <c r="A67" s="138" t="s">
        <v>1708</v>
      </c>
      <c r="B67" s="146" t="n">
        <v>65</v>
      </c>
      <c r="C67" s="144" t="n">
        <v>1300</v>
      </c>
      <c r="D67" s="138" t="s">
        <v>1565</v>
      </c>
      <c r="E67" s="138" t="s">
        <v>1566</v>
      </c>
      <c r="F67" s="147" t="n">
        <v>11</v>
      </c>
      <c r="G67" s="148" t="n">
        <v>0</v>
      </c>
      <c r="H67" s="148" t="n">
        <v>0</v>
      </c>
      <c r="I67" s="138" t="s">
        <v>1642</v>
      </c>
      <c r="J67" s="138"/>
      <c r="K67" s="146" t="n">
        <f aca="false">Parâmetros!$C$4*(F67+2*Parâmetros!$D$4+Parâmetros!$C$4*Parâmetros!$E$4)</f>
        <v>0.5525</v>
      </c>
      <c r="L67" s="146" t="n">
        <f aca="false">Parâmetros!$C$5*(F67+2*Parâmetros!$D$5+Parâmetros!$C$5*Parâmetros!$E$5)</f>
        <v>1.8176</v>
      </c>
      <c r="M67" s="146" t="n">
        <f aca="false">Parâmetros!$C$6*(F67+2*Parâmetros!$D$6+Parâmetros!$C$6*Parâmetros!$E$6)</f>
        <v>2.384</v>
      </c>
      <c r="N67" s="146" t="n">
        <f aca="false">Parâmetros!$C$7*(F67+2*Parâmetros!$D$7+Parâmetros!$C$7*Parâmetros!$E$7)</f>
        <v>3.786</v>
      </c>
      <c r="O67" s="146" t="n">
        <f aca="false">F67+2*Parâmetros!$D$8</f>
        <v>11.2</v>
      </c>
      <c r="P67" s="146" t="n">
        <f aca="false">F67+2*Parâmetros!$D$10</f>
        <v>12.92</v>
      </c>
      <c r="Q67" s="146" t="n">
        <f aca="false">G67+H67</f>
        <v>0</v>
      </c>
      <c r="S67" s="149" t="n">
        <f aca="false">S66+'Volumes por intervalo'!C66*(F66+F67)/2</f>
        <v>14338</v>
      </c>
      <c r="T67" s="149" t="n">
        <f aca="false">T66+'Volumes por intervalo'!H66</f>
        <v>720.15</v>
      </c>
      <c r="U67" s="149" t="n">
        <f aca="false">U66+'Volumes por intervalo'!J66</f>
        <v>2368.96</v>
      </c>
      <c r="V67" s="149" t="n">
        <f aca="false">V66+'Volumes por intervalo'!K66</f>
        <v>3106.8</v>
      </c>
      <c r="W67" s="149" t="n">
        <f aca="false">W66+'Volumes por intervalo'!L66</f>
        <v>4933.2</v>
      </c>
      <c r="X67" s="149" t="n">
        <f aca="false">X66+'Volumes por intervalo'!M66</f>
        <v>14598</v>
      </c>
      <c r="Y67" s="149" t="n">
        <f aca="false">Y66+'Volumes por intervalo'!N66</f>
        <v>14598</v>
      </c>
      <c r="Z67" s="149" t="n">
        <f aca="false">Z66+'Volumes por intervalo'!O66</f>
        <v>16834</v>
      </c>
      <c r="AA67" s="149" t="n">
        <f aca="false">AA66+'Volumes por intervalo'!P66</f>
        <v>0</v>
      </c>
      <c r="AB67" s="149" t="n">
        <f aca="false">AB66+'Volumes por intervalo'!Q66</f>
        <v>0</v>
      </c>
      <c r="AC67" s="149" t="n">
        <f aca="false">AC66+'Volumes por intervalo'!R66</f>
        <v>0</v>
      </c>
      <c r="AD67" s="149" t="n">
        <f aca="false">AD66+'Volumes por intervalo'!S66</f>
        <v>0</v>
      </c>
    </row>
    <row r="68" customFormat="false" ht="15" hidden="false" customHeight="false" outlineLevel="0" collapsed="false">
      <c r="A68" s="138" t="s">
        <v>1709</v>
      </c>
      <c r="B68" s="146" t="n">
        <v>66</v>
      </c>
      <c r="C68" s="144" t="n">
        <v>1320</v>
      </c>
      <c r="D68" s="138" t="s">
        <v>1565</v>
      </c>
      <c r="E68" s="138" t="s">
        <v>1566</v>
      </c>
      <c r="F68" s="147" t="n">
        <v>11</v>
      </c>
      <c r="G68" s="148" t="n">
        <v>0</v>
      </c>
      <c r="H68" s="148" t="n">
        <v>0</v>
      </c>
      <c r="I68" s="138" t="s">
        <v>1642</v>
      </c>
      <c r="J68" s="138"/>
      <c r="K68" s="146" t="n">
        <f aca="false">Parâmetros!$C$4*(F68+2*Parâmetros!$D$4+Parâmetros!$C$4*Parâmetros!$E$4)</f>
        <v>0.5525</v>
      </c>
      <c r="L68" s="146" t="n">
        <f aca="false">Parâmetros!$C$5*(F68+2*Parâmetros!$D$5+Parâmetros!$C$5*Parâmetros!$E$5)</f>
        <v>1.8176</v>
      </c>
      <c r="M68" s="146" t="n">
        <f aca="false">Parâmetros!$C$6*(F68+2*Parâmetros!$D$6+Parâmetros!$C$6*Parâmetros!$E$6)</f>
        <v>2.384</v>
      </c>
      <c r="N68" s="146" t="n">
        <f aca="false">Parâmetros!$C$7*(F68+2*Parâmetros!$D$7+Parâmetros!$C$7*Parâmetros!$E$7)</f>
        <v>3.786</v>
      </c>
      <c r="O68" s="146" t="n">
        <f aca="false">F68+2*Parâmetros!$D$8</f>
        <v>11.2</v>
      </c>
      <c r="P68" s="146" t="n">
        <f aca="false">F68+2*Parâmetros!$D$10</f>
        <v>12.92</v>
      </c>
      <c r="Q68" s="146" t="n">
        <f aca="false">G68+H68</f>
        <v>0</v>
      </c>
      <c r="S68" s="149" t="n">
        <f aca="false">S67+'Volumes por intervalo'!C67*(F67+F68)/2</f>
        <v>14558</v>
      </c>
      <c r="T68" s="149" t="n">
        <f aca="false">T67+'Volumes por intervalo'!H67</f>
        <v>731.2</v>
      </c>
      <c r="U68" s="149" t="n">
        <f aca="false">U67+'Volumes por intervalo'!J67</f>
        <v>2405.312</v>
      </c>
      <c r="V68" s="149" t="n">
        <f aca="false">V67+'Volumes por intervalo'!K67</f>
        <v>3154.48</v>
      </c>
      <c r="W68" s="149" t="n">
        <f aca="false">W67+'Volumes por intervalo'!L67</f>
        <v>5008.92</v>
      </c>
      <c r="X68" s="149" t="n">
        <f aca="false">X67+'Volumes por intervalo'!M67</f>
        <v>14822</v>
      </c>
      <c r="Y68" s="149" t="n">
        <f aca="false">Y67+'Volumes por intervalo'!N67</f>
        <v>14822</v>
      </c>
      <c r="Z68" s="149" t="n">
        <f aca="false">Z67+'Volumes por intervalo'!O67</f>
        <v>17092.4</v>
      </c>
      <c r="AA68" s="149" t="n">
        <f aca="false">AA67+'Volumes por intervalo'!P67</f>
        <v>0</v>
      </c>
      <c r="AB68" s="149" t="n">
        <f aca="false">AB67+'Volumes por intervalo'!Q67</f>
        <v>0</v>
      </c>
      <c r="AC68" s="149" t="n">
        <f aca="false">AC67+'Volumes por intervalo'!R67</f>
        <v>0</v>
      </c>
      <c r="AD68" s="149" t="n">
        <f aca="false">AD67+'Volumes por intervalo'!S67</f>
        <v>0</v>
      </c>
    </row>
    <row r="69" customFormat="false" ht="15" hidden="false" customHeight="false" outlineLevel="0" collapsed="false">
      <c r="A69" s="138" t="s">
        <v>1710</v>
      </c>
      <c r="B69" s="146" t="n">
        <v>67</v>
      </c>
      <c r="C69" s="144" t="n">
        <v>1340</v>
      </c>
      <c r="D69" s="138" t="s">
        <v>1565</v>
      </c>
      <c r="E69" s="138" t="s">
        <v>1566</v>
      </c>
      <c r="F69" s="147" t="n">
        <v>11</v>
      </c>
      <c r="G69" s="148" t="n">
        <v>0</v>
      </c>
      <c r="H69" s="148" t="n">
        <v>0</v>
      </c>
      <c r="I69" s="138" t="s">
        <v>1642</v>
      </c>
      <c r="J69" s="138"/>
      <c r="K69" s="146" t="n">
        <f aca="false">Parâmetros!$C$4*(F69+2*Parâmetros!$D$4+Parâmetros!$C$4*Parâmetros!$E$4)</f>
        <v>0.5525</v>
      </c>
      <c r="L69" s="146" t="n">
        <f aca="false">Parâmetros!$C$5*(F69+2*Parâmetros!$D$5+Parâmetros!$C$5*Parâmetros!$E$5)</f>
        <v>1.8176</v>
      </c>
      <c r="M69" s="146" t="n">
        <f aca="false">Parâmetros!$C$6*(F69+2*Parâmetros!$D$6+Parâmetros!$C$6*Parâmetros!$E$6)</f>
        <v>2.384</v>
      </c>
      <c r="N69" s="146" t="n">
        <f aca="false">Parâmetros!$C$7*(F69+2*Parâmetros!$D$7+Parâmetros!$C$7*Parâmetros!$E$7)</f>
        <v>3.786</v>
      </c>
      <c r="O69" s="146" t="n">
        <f aca="false">F69+2*Parâmetros!$D$8</f>
        <v>11.2</v>
      </c>
      <c r="P69" s="146" t="n">
        <f aca="false">F69+2*Parâmetros!$D$10</f>
        <v>12.92</v>
      </c>
      <c r="Q69" s="146" t="n">
        <f aca="false">G69+H69</f>
        <v>0</v>
      </c>
      <c r="S69" s="149" t="n">
        <f aca="false">S68+'Volumes por intervalo'!C68*(F68+F69)/2</f>
        <v>14778</v>
      </c>
      <c r="T69" s="149" t="n">
        <f aca="false">T68+'Volumes por intervalo'!H68</f>
        <v>742.25</v>
      </c>
      <c r="U69" s="149" t="n">
        <f aca="false">U68+'Volumes por intervalo'!J68</f>
        <v>2441.664</v>
      </c>
      <c r="V69" s="149" t="n">
        <f aca="false">V68+'Volumes por intervalo'!K68</f>
        <v>3202.16</v>
      </c>
      <c r="W69" s="149" t="n">
        <f aca="false">W68+'Volumes por intervalo'!L68</f>
        <v>5084.64</v>
      </c>
      <c r="X69" s="149" t="n">
        <f aca="false">X68+'Volumes por intervalo'!M68</f>
        <v>15046</v>
      </c>
      <c r="Y69" s="149" t="n">
        <f aca="false">Y68+'Volumes por intervalo'!N68</f>
        <v>15046</v>
      </c>
      <c r="Z69" s="149" t="n">
        <f aca="false">Z68+'Volumes por intervalo'!O68</f>
        <v>17350.8</v>
      </c>
      <c r="AA69" s="149" t="n">
        <f aca="false">AA68+'Volumes por intervalo'!P68</f>
        <v>0</v>
      </c>
      <c r="AB69" s="149" t="n">
        <f aca="false">AB68+'Volumes por intervalo'!Q68</f>
        <v>0</v>
      </c>
      <c r="AC69" s="149" t="n">
        <f aca="false">AC68+'Volumes por intervalo'!R68</f>
        <v>0</v>
      </c>
      <c r="AD69" s="149" t="n">
        <f aca="false">AD68+'Volumes por intervalo'!S68</f>
        <v>0</v>
      </c>
    </row>
    <row r="70" customFormat="false" ht="15" hidden="false" customHeight="false" outlineLevel="0" collapsed="false">
      <c r="A70" s="138" t="s">
        <v>1711</v>
      </c>
      <c r="B70" s="146" t="n">
        <v>68</v>
      </c>
      <c r="C70" s="144" t="n">
        <v>1360</v>
      </c>
      <c r="D70" s="138" t="s">
        <v>1565</v>
      </c>
      <c r="E70" s="138" t="s">
        <v>1566</v>
      </c>
      <c r="F70" s="147" t="n">
        <v>11</v>
      </c>
      <c r="G70" s="148" t="n">
        <v>0</v>
      </c>
      <c r="H70" s="148" t="n">
        <v>0</v>
      </c>
      <c r="I70" s="138" t="s">
        <v>1642</v>
      </c>
      <c r="J70" s="138"/>
      <c r="K70" s="146" t="n">
        <f aca="false">Parâmetros!$C$4*(F70+2*Parâmetros!$D$4+Parâmetros!$C$4*Parâmetros!$E$4)</f>
        <v>0.5525</v>
      </c>
      <c r="L70" s="146" t="n">
        <f aca="false">Parâmetros!$C$5*(F70+2*Parâmetros!$D$5+Parâmetros!$C$5*Parâmetros!$E$5)</f>
        <v>1.8176</v>
      </c>
      <c r="M70" s="146" t="n">
        <f aca="false">Parâmetros!$C$6*(F70+2*Parâmetros!$D$6+Parâmetros!$C$6*Parâmetros!$E$6)</f>
        <v>2.384</v>
      </c>
      <c r="N70" s="146" t="n">
        <f aca="false">Parâmetros!$C$7*(F70+2*Parâmetros!$D$7+Parâmetros!$C$7*Parâmetros!$E$7)</f>
        <v>3.786</v>
      </c>
      <c r="O70" s="146" t="n">
        <f aca="false">F70+2*Parâmetros!$D$8</f>
        <v>11.2</v>
      </c>
      <c r="P70" s="146" t="n">
        <f aca="false">F70+2*Parâmetros!$D$10</f>
        <v>12.92</v>
      </c>
      <c r="Q70" s="146" t="n">
        <f aca="false">G70+H70</f>
        <v>0</v>
      </c>
      <c r="S70" s="149" t="n">
        <f aca="false">S69+'Volumes por intervalo'!C69*(F69+F70)/2</f>
        <v>14998</v>
      </c>
      <c r="T70" s="149" t="n">
        <f aca="false">T69+'Volumes por intervalo'!H69</f>
        <v>753.3</v>
      </c>
      <c r="U70" s="149" t="n">
        <f aca="false">U69+'Volumes por intervalo'!J69</f>
        <v>2478.016</v>
      </c>
      <c r="V70" s="149" t="n">
        <f aca="false">V69+'Volumes por intervalo'!K69</f>
        <v>3249.84</v>
      </c>
      <c r="W70" s="149" t="n">
        <f aca="false">W69+'Volumes por intervalo'!L69</f>
        <v>5160.36</v>
      </c>
      <c r="X70" s="149" t="n">
        <f aca="false">X69+'Volumes por intervalo'!M69</f>
        <v>15270</v>
      </c>
      <c r="Y70" s="149" t="n">
        <f aca="false">Y69+'Volumes por intervalo'!N69</f>
        <v>15270</v>
      </c>
      <c r="Z70" s="149" t="n">
        <f aca="false">Z69+'Volumes por intervalo'!O69</f>
        <v>17609.2</v>
      </c>
      <c r="AA70" s="149" t="n">
        <f aca="false">AA69+'Volumes por intervalo'!P69</f>
        <v>0</v>
      </c>
      <c r="AB70" s="149" t="n">
        <f aca="false">AB69+'Volumes por intervalo'!Q69</f>
        <v>0</v>
      </c>
      <c r="AC70" s="149" t="n">
        <f aca="false">AC69+'Volumes por intervalo'!R69</f>
        <v>0</v>
      </c>
      <c r="AD70" s="149" t="n">
        <f aca="false">AD69+'Volumes por intervalo'!S69</f>
        <v>0</v>
      </c>
    </row>
    <row r="71" customFormat="false" ht="15" hidden="false" customHeight="false" outlineLevel="0" collapsed="false">
      <c r="A71" s="138" t="s">
        <v>1712</v>
      </c>
      <c r="B71" s="146" t="n">
        <v>69</v>
      </c>
      <c r="C71" s="144" t="n">
        <v>1380</v>
      </c>
      <c r="D71" s="138" t="s">
        <v>1565</v>
      </c>
      <c r="E71" s="138" t="s">
        <v>1566</v>
      </c>
      <c r="F71" s="147" t="n">
        <v>11</v>
      </c>
      <c r="G71" s="148" t="n">
        <v>0</v>
      </c>
      <c r="H71" s="148" t="n">
        <v>0</v>
      </c>
      <c r="I71" s="138" t="s">
        <v>1642</v>
      </c>
      <c r="J71" s="138"/>
      <c r="K71" s="146" t="n">
        <f aca="false">Parâmetros!$C$4*(F71+2*Parâmetros!$D$4+Parâmetros!$C$4*Parâmetros!$E$4)</f>
        <v>0.5525</v>
      </c>
      <c r="L71" s="146" t="n">
        <f aca="false">Parâmetros!$C$5*(F71+2*Parâmetros!$D$5+Parâmetros!$C$5*Parâmetros!$E$5)</f>
        <v>1.8176</v>
      </c>
      <c r="M71" s="146" t="n">
        <f aca="false">Parâmetros!$C$6*(F71+2*Parâmetros!$D$6+Parâmetros!$C$6*Parâmetros!$E$6)</f>
        <v>2.384</v>
      </c>
      <c r="N71" s="146" t="n">
        <f aca="false">Parâmetros!$C$7*(F71+2*Parâmetros!$D$7+Parâmetros!$C$7*Parâmetros!$E$7)</f>
        <v>3.786</v>
      </c>
      <c r="O71" s="146" t="n">
        <f aca="false">F71+2*Parâmetros!$D$8</f>
        <v>11.2</v>
      </c>
      <c r="P71" s="146" t="n">
        <f aca="false">F71+2*Parâmetros!$D$10</f>
        <v>12.92</v>
      </c>
      <c r="Q71" s="146" t="n">
        <f aca="false">G71+H71</f>
        <v>0</v>
      </c>
      <c r="S71" s="149" t="n">
        <f aca="false">S70+'Volumes por intervalo'!C70*(F70+F71)/2</f>
        <v>15218</v>
      </c>
      <c r="T71" s="149" t="n">
        <f aca="false">T70+'Volumes por intervalo'!H70</f>
        <v>764.35</v>
      </c>
      <c r="U71" s="149" t="n">
        <f aca="false">U70+'Volumes por intervalo'!J70</f>
        <v>2514.368</v>
      </c>
      <c r="V71" s="149" t="n">
        <f aca="false">V70+'Volumes por intervalo'!K70</f>
        <v>3297.52</v>
      </c>
      <c r="W71" s="149" t="n">
        <f aca="false">W70+'Volumes por intervalo'!L70</f>
        <v>5236.08</v>
      </c>
      <c r="X71" s="149" t="n">
        <f aca="false">X70+'Volumes por intervalo'!M70</f>
        <v>15494</v>
      </c>
      <c r="Y71" s="149" t="n">
        <f aca="false">Y70+'Volumes por intervalo'!N70</f>
        <v>15494</v>
      </c>
      <c r="Z71" s="149" t="n">
        <f aca="false">Z70+'Volumes por intervalo'!O70</f>
        <v>17867.6</v>
      </c>
      <c r="AA71" s="149" t="n">
        <f aca="false">AA70+'Volumes por intervalo'!P70</f>
        <v>0</v>
      </c>
      <c r="AB71" s="149" t="n">
        <f aca="false">AB70+'Volumes por intervalo'!Q70</f>
        <v>0</v>
      </c>
      <c r="AC71" s="149" t="n">
        <f aca="false">AC70+'Volumes por intervalo'!R70</f>
        <v>0</v>
      </c>
      <c r="AD71" s="149" t="n">
        <f aca="false">AD70+'Volumes por intervalo'!S70</f>
        <v>0</v>
      </c>
    </row>
    <row r="72" customFormat="false" ht="15" hidden="false" customHeight="false" outlineLevel="0" collapsed="false">
      <c r="A72" s="138" t="s">
        <v>1713</v>
      </c>
      <c r="B72" s="146" t="n">
        <v>70</v>
      </c>
      <c r="C72" s="144" t="n">
        <v>1400</v>
      </c>
      <c r="D72" s="138" t="s">
        <v>1565</v>
      </c>
      <c r="E72" s="138" t="s">
        <v>1566</v>
      </c>
      <c r="F72" s="147" t="n">
        <v>11</v>
      </c>
      <c r="G72" s="148" t="n">
        <v>0</v>
      </c>
      <c r="H72" s="148" t="n">
        <v>0</v>
      </c>
      <c r="I72" s="138" t="s">
        <v>1642</v>
      </c>
      <c r="J72" s="138"/>
      <c r="K72" s="146" t="n">
        <f aca="false">Parâmetros!$C$4*(F72+2*Parâmetros!$D$4+Parâmetros!$C$4*Parâmetros!$E$4)</f>
        <v>0.5525</v>
      </c>
      <c r="L72" s="146" t="n">
        <f aca="false">Parâmetros!$C$5*(F72+2*Parâmetros!$D$5+Parâmetros!$C$5*Parâmetros!$E$5)</f>
        <v>1.8176</v>
      </c>
      <c r="M72" s="146" t="n">
        <f aca="false">Parâmetros!$C$6*(F72+2*Parâmetros!$D$6+Parâmetros!$C$6*Parâmetros!$E$6)</f>
        <v>2.384</v>
      </c>
      <c r="N72" s="146" t="n">
        <f aca="false">Parâmetros!$C$7*(F72+2*Parâmetros!$D$7+Parâmetros!$C$7*Parâmetros!$E$7)</f>
        <v>3.786</v>
      </c>
      <c r="O72" s="146" t="n">
        <f aca="false">F72+2*Parâmetros!$D$8</f>
        <v>11.2</v>
      </c>
      <c r="P72" s="146" t="n">
        <f aca="false">F72+2*Parâmetros!$D$10</f>
        <v>12.92</v>
      </c>
      <c r="Q72" s="146" t="n">
        <f aca="false">G72+H72</f>
        <v>0</v>
      </c>
      <c r="S72" s="149" t="n">
        <f aca="false">S71+'Volumes por intervalo'!C71*(F71+F72)/2</f>
        <v>15438</v>
      </c>
      <c r="T72" s="149" t="n">
        <f aca="false">T71+'Volumes por intervalo'!H71</f>
        <v>775.399999999999</v>
      </c>
      <c r="U72" s="149" t="n">
        <f aca="false">U71+'Volumes por intervalo'!J71</f>
        <v>2550.72</v>
      </c>
      <c r="V72" s="149" t="n">
        <f aca="false">V71+'Volumes por intervalo'!K71</f>
        <v>3345.2</v>
      </c>
      <c r="W72" s="149" t="n">
        <f aca="false">W71+'Volumes por intervalo'!L71</f>
        <v>5311.8</v>
      </c>
      <c r="X72" s="149" t="n">
        <f aca="false">X71+'Volumes por intervalo'!M71</f>
        <v>15718</v>
      </c>
      <c r="Y72" s="149" t="n">
        <f aca="false">Y71+'Volumes por intervalo'!N71</f>
        <v>15718</v>
      </c>
      <c r="Z72" s="149" t="n">
        <f aca="false">Z71+'Volumes por intervalo'!O71</f>
        <v>18126</v>
      </c>
      <c r="AA72" s="149" t="n">
        <f aca="false">AA71+'Volumes por intervalo'!P71</f>
        <v>0</v>
      </c>
      <c r="AB72" s="149" t="n">
        <f aca="false">AB71+'Volumes por intervalo'!Q71</f>
        <v>0</v>
      </c>
      <c r="AC72" s="149" t="n">
        <f aca="false">AC71+'Volumes por intervalo'!R71</f>
        <v>0</v>
      </c>
      <c r="AD72" s="149" t="n">
        <f aca="false">AD71+'Volumes por intervalo'!S71</f>
        <v>0</v>
      </c>
    </row>
    <row r="73" customFormat="false" ht="15" hidden="false" customHeight="false" outlineLevel="0" collapsed="false">
      <c r="A73" s="138" t="s">
        <v>1714</v>
      </c>
      <c r="B73" s="146" t="n">
        <v>71</v>
      </c>
      <c r="C73" s="144" t="n">
        <v>1420</v>
      </c>
      <c r="D73" s="138" t="s">
        <v>1565</v>
      </c>
      <c r="E73" s="138" t="s">
        <v>1566</v>
      </c>
      <c r="F73" s="147" t="n">
        <v>11</v>
      </c>
      <c r="G73" s="148" t="n">
        <v>0</v>
      </c>
      <c r="H73" s="148" t="n">
        <v>0</v>
      </c>
      <c r="I73" s="138" t="s">
        <v>1642</v>
      </c>
      <c r="J73" s="138"/>
      <c r="K73" s="146" t="n">
        <f aca="false">Parâmetros!$C$4*(F73+2*Parâmetros!$D$4+Parâmetros!$C$4*Parâmetros!$E$4)</f>
        <v>0.5525</v>
      </c>
      <c r="L73" s="146" t="n">
        <f aca="false">Parâmetros!$C$5*(F73+2*Parâmetros!$D$5+Parâmetros!$C$5*Parâmetros!$E$5)</f>
        <v>1.8176</v>
      </c>
      <c r="M73" s="146" t="n">
        <f aca="false">Parâmetros!$C$6*(F73+2*Parâmetros!$D$6+Parâmetros!$C$6*Parâmetros!$E$6)</f>
        <v>2.384</v>
      </c>
      <c r="N73" s="146" t="n">
        <f aca="false">Parâmetros!$C$7*(F73+2*Parâmetros!$D$7+Parâmetros!$C$7*Parâmetros!$E$7)</f>
        <v>3.786</v>
      </c>
      <c r="O73" s="146" t="n">
        <f aca="false">F73+2*Parâmetros!$D$8</f>
        <v>11.2</v>
      </c>
      <c r="P73" s="146" t="n">
        <f aca="false">F73+2*Parâmetros!$D$10</f>
        <v>12.92</v>
      </c>
      <c r="Q73" s="146" t="n">
        <f aca="false">G73+H73</f>
        <v>0</v>
      </c>
      <c r="S73" s="149" t="n">
        <f aca="false">S72+'Volumes por intervalo'!C72*(F72+F73)/2</f>
        <v>15658</v>
      </c>
      <c r="T73" s="149" t="n">
        <f aca="false">T72+'Volumes por intervalo'!H72</f>
        <v>786.449999999999</v>
      </c>
      <c r="U73" s="149" t="n">
        <f aca="false">U72+'Volumes por intervalo'!J72</f>
        <v>2587.072</v>
      </c>
      <c r="V73" s="149" t="n">
        <f aca="false">V72+'Volumes por intervalo'!K72</f>
        <v>3392.88</v>
      </c>
      <c r="W73" s="149" t="n">
        <f aca="false">W72+'Volumes por intervalo'!L72</f>
        <v>5387.52</v>
      </c>
      <c r="X73" s="149" t="n">
        <f aca="false">X72+'Volumes por intervalo'!M72</f>
        <v>15942</v>
      </c>
      <c r="Y73" s="149" t="n">
        <f aca="false">Y72+'Volumes por intervalo'!N72</f>
        <v>15942</v>
      </c>
      <c r="Z73" s="149" t="n">
        <f aca="false">Z72+'Volumes por intervalo'!O72</f>
        <v>18384.4</v>
      </c>
      <c r="AA73" s="149" t="n">
        <f aca="false">AA72+'Volumes por intervalo'!P72</f>
        <v>0</v>
      </c>
      <c r="AB73" s="149" t="n">
        <f aca="false">AB72+'Volumes por intervalo'!Q72</f>
        <v>0</v>
      </c>
      <c r="AC73" s="149" t="n">
        <f aca="false">AC72+'Volumes por intervalo'!R72</f>
        <v>0</v>
      </c>
      <c r="AD73" s="149" t="n">
        <f aca="false">AD72+'Volumes por intervalo'!S72</f>
        <v>0</v>
      </c>
    </row>
    <row r="74" customFormat="false" ht="15" hidden="false" customHeight="false" outlineLevel="0" collapsed="false">
      <c r="A74" s="138" t="s">
        <v>1715</v>
      </c>
      <c r="B74" s="146" t="n">
        <v>72</v>
      </c>
      <c r="C74" s="144" t="n">
        <v>1440</v>
      </c>
      <c r="D74" s="138" t="s">
        <v>1565</v>
      </c>
      <c r="E74" s="138" t="s">
        <v>1566</v>
      </c>
      <c r="F74" s="147" t="n">
        <v>11</v>
      </c>
      <c r="G74" s="148" t="n">
        <v>0</v>
      </c>
      <c r="H74" s="148" t="n">
        <v>0</v>
      </c>
      <c r="I74" s="138" t="s">
        <v>1642</v>
      </c>
      <c r="J74" s="138"/>
      <c r="K74" s="146" t="n">
        <f aca="false">Parâmetros!$C$4*(F74+2*Parâmetros!$D$4+Parâmetros!$C$4*Parâmetros!$E$4)</f>
        <v>0.5525</v>
      </c>
      <c r="L74" s="146" t="n">
        <f aca="false">Parâmetros!$C$5*(F74+2*Parâmetros!$D$5+Parâmetros!$C$5*Parâmetros!$E$5)</f>
        <v>1.8176</v>
      </c>
      <c r="M74" s="146" t="n">
        <f aca="false">Parâmetros!$C$6*(F74+2*Parâmetros!$D$6+Parâmetros!$C$6*Parâmetros!$E$6)</f>
        <v>2.384</v>
      </c>
      <c r="N74" s="146" t="n">
        <f aca="false">Parâmetros!$C$7*(F74+2*Parâmetros!$D$7+Parâmetros!$C$7*Parâmetros!$E$7)</f>
        <v>3.786</v>
      </c>
      <c r="O74" s="146" t="n">
        <f aca="false">F74+2*Parâmetros!$D$8</f>
        <v>11.2</v>
      </c>
      <c r="P74" s="146" t="n">
        <f aca="false">F74+2*Parâmetros!$D$10</f>
        <v>12.92</v>
      </c>
      <c r="Q74" s="146" t="n">
        <f aca="false">G74+H74</f>
        <v>0</v>
      </c>
      <c r="S74" s="149" t="n">
        <f aca="false">S73+'Volumes por intervalo'!C73*(F73+F74)/2</f>
        <v>15878</v>
      </c>
      <c r="T74" s="149" t="n">
        <f aca="false">T73+'Volumes por intervalo'!H73</f>
        <v>797.499999999999</v>
      </c>
      <c r="U74" s="149" t="n">
        <f aca="false">U73+'Volumes por intervalo'!J73</f>
        <v>2623.424</v>
      </c>
      <c r="V74" s="149" t="n">
        <f aca="false">V73+'Volumes por intervalo'!K73</f>
        <v>3440.56</v>
      </c>
      <c r="W74" s="149" t="n">
        <f aca="false">W73+'Volumes por intervalo'!L73</f>
        <v>5463.24</v>
      </c>
      <c r="X74" s="149" t="n">
        <f aca="false">X73+'Volumes por intervalo'!M73</f>
        <v>16166</v>
      </c>
      <c r="Y74" s="149" t="n">
        <f aca="false">Y73+'Volumes por intervalo'!N73</f>
        <v>16166</v>
      </c>
      <c r="Z74" s="149" t="n">
        <f aca="false">Z73+'Volumes por intervalo'!O73</f>
        <v>18642.8</v>
      </c>
      <c r="AA74" s="149" t="n">
        <f aca="false">AA73+'Volumes por intervalo'!P73</f>
        <v>0</v>
      </c>
      <c r="AB74" s="149" t="n">
        <f aca="false">AB73+'Volumes por intervalo'!Q73</f>
        <v>0</v>
      </c>
      <c r="AC74" s="149" t="n">
        <f aca="false">AC73+'Volumes por intervalo'!R73</f>
        <v>0</v>
      </c>
      <c r="AD74" s="149" t="n">
        <f aca="false">AD73+'Volumes por intervalo'!S73</f>
        <v>0</v>
      </c>
    </row>
    <row r="75" customFormat="false" ht="15" hidden="false" customHeight="false" outlineLevel="0" collapsed="false">
      <c r="A75" s="138" t="s">
        <v>1716</v>
      </c>
      <c r="B75" s="146" t="n">
        <v>73</v>
      </c>
      <c r="C75" s="144" t="n">
        <v>1460</v>
      </c>
      <c r="D75" s="138" t="s">
        <v>1565</v>
      </c>
      <c r="E75" s="138" t="s">
        <v>1566</v>
      </c>
      <c r="F75" s="147" t="n">
        <v>11</v>
      </c>
      <c r="G75" s="148" t="n">
        <v>0</v>
      </c>
      <c r="H75" s="148" t="n">
        <v>0</v>
      </c>
      <c r="I75" s="138" t="s">
        <v>1642</v>
      </c>
      <c r="J75" s="138"/>
      <c r="K75" s="146" t="n">
        <f aca="false">Parâmetros!$C$4*(F75+2*Parâmetros!$D$4+Parâmetros!$C$4*Parâmetros!$E$4)</f>
        <v>0.5525</v>
      </c>
      <c r="L75" s="146" t="n">
        <f aca="false">Parâmetros!$C$5*(F75+2*Parâmetros!$D$5+Parâmetros!$C$5*Parâmetros!$E$5)</f>
        <v>1.8176</v>
      </c>
      <c r="M75" s="146" t="n">
        <f aca="false">Parâmetros!$C$6*(F75+2*Parâmetros!$D$6+Parâmetros!$C$6*Parâmetros!$E$6)</f>
        <v>2.384</v>
      </c>
      <c r="N75" s="146" t="n">
        <f aca="false">Parâmetros!$C$7*(F75+2*Parâmetros!$D$7+Parâmetros!$C$7*Parâmetros!$E$7)</f>
        <v>3.786</v>
      </c>
      <c r="O75" s="146" t="n">
        <f aca="false">F75+2*Parâmetros!$D$8</f>
        <v>11.2</v>
      </c>
      <c r="P75" s="146" t="n">
        <f aca="false">F75+2*Parâmetros!$D$10</f>
        <v>12.92</v>
      </c>
      <c r="Q75" s="146" t="n">
        <f aca="false">G75+H75</f>
        <v>0</v>
      </c>
      <c r="S75" s="149" t="n">
        <f aca="false">S74+'Volumes por intervalo'!C74*(F74+F75)/2</f>
        <v>16098</v>
      </c>
      <c r="T75" s="149" t="n">
        <f aca="false">T74+'Volumes por intervalo'!H74</f>
        <v>808.549999999999</v>
      </c>
      <c r="U75" s="149" t="n">
        <f aca="false">U74+'Volumes por intervalo'!J74</f>
        <v>2659.776</v>
      </c>
      <c r="V75" s="149" t="n">
        <f aca="false">V74+'Volumes por intervalo'!K74</f>
        <v>3488.24</v>
      </c>
      <c r="W75" s="149" t="n">
        <f aca="false">W74+'Volumes por intervalo'!L74</f>
        <v>5538.96</v>
      </c>
      <c r="X75" s="149" t="n">
        <f aca="false">X74+'Volumes por intervalo'!M74</f>
        <v>16390</v>
      </c>
      <c r="Y75" s="149" t="n">
        <f aca="false">Y74+'Volumes por intervalo'!N74</f>
        <v>16390</v>
      </c>
      <c r="Z75" s="149" t="n">
        <f aca="false">Z74+'Volumes por intervalo'!O74</f>
        <v>18901.2</v>
      </c>
      <c r="AA75" s="149" t="n">
        <f aca="false">AA74+'Volumes por intervalo'!P74</f>
        <v>0</v>
      </c>
      <c r="AB75" s="149" t="n">
        <f aca="false">AB74+'Volumes por intervalo'!Q74</f>
        <v>0</v>
      </c>
      <c r="AC75" s="149" t="n">
        <f aca="false">AC74+'Volumes por intervalo'!R74</f>
        <v>0</v>
      </c>
      <c r="AD75" s="149" t="n">
        <f aca="false">AD74+'Volumes por intervalo'!S74</f>
        <v>0</v>
      </c>
    </row>
    <row r="76" customFormat="false" ht="15" hidden="false" customHeight="false" outlineLevel="0" collapsed="false">
      <c r="A76" s="138" t="s">
        <v>1717</v>
      </c>
      <c r="B76" s="146" t="n">
        <v>74</v>
      </c>
      <c r="C76" s="144" t="n">
        <v>1480</v>
      </c>
      <c r="D76" s="138" t="s">
        <v>1565</v>
      </c>
      <c r="E76" s="138" t="s">
        <v>1566</v>
      </c>
      <c r="F76" s="147" t="n">
        <v>11</v>
      </c>
      <c r="G76" s="148" t="n">
        <v>0</v>
      </c>
      <c r="H76" s="148" t="n">
        <v>0</v>
      </c>
      <c r="I76" s="138" t="s">
        <v>1642</v>
      </c>
      <c r="J76" s="138"/>
      <c r="K76" s="146" t="n">
        <f aca="false">Parâmetros!$C$4*(F76+2*Parâmetros!$D$4+Parâmetros!$C$4*Parâmetros!$E$4)</f>
        <v>0.5525</v>
      </c>
      <c r="L76" s="146" t="n">
        <f aca="false">Parâmetros!$C$5*(F76+2*Parâmetros!$D$5+Parâmetros!$C$5*Parâmetros!$E$5)</f>
        <v>1.8176</v>
      </c>
      <c r="M76" s="146" t="n">
        <f aca="false">Parâmetros!$C$6*(F76+2*Parâmetros!$D$6+Parâmetros!$C$6*Parâmetros!$E$6)</f>
        <v>2.384</v>
      </c>
      <c r="N76" s="146" t="n">
        <f aca="false">Parâmetros!$C$7*(F76+2*Parâmetros!$D$7+Parâmetros!$C$7*Parâmetros!$E$7)</f>
        <v>3.786</v>
      </c>
      <c r="O76" s="146" t="n">
        <f aca="false">F76+2*Parâmetros!$D$8</f>
        <v>11.2</v>
      </c>
      <c r="P76" s="146" t="n">
        <f aca="false">F76+2*Parâmetros!$D$10</f>
        <v>12.92</v>
      </c>
      <c r="Q76" s="146" t="n">
        <f aca="false">G76+H76</f>
        <v>0</v>
      </c>
      <c r="S76" s="149" t="n">
        <f aca="false">S75+'Volumes por intervalo'!C75*(F75+F76)/2</f>
        <v>16318</v>
      </c>
      <c r="T76" s="149" t="n">
        <f aca="false">T75+'Volumes por intervalo'!H75</f>
        <v>819.599999999999</v>
      </c>
      <c r="U76" s="149" t="n">
        <f aca="false">U75+'Volumes por intervalo'!J75</f>
        <v>2696.128</v>
      </c>
      <c r="V76" s="149" t="n">
        <f aca="false">V75+'Volumes por intervalo'!K75</f>
        <v>3535.92</v>
      </c>
      <c r="W76" s="149" t="n">
        <f aca="false">W75+'Volumes por intervalo'!L75</f>
        <v>5614.68</v>
      </c>
      <c r="X76" s="149" t="n">
        <f aca="false">X75+'Volumes por intervalo'!M75</f>
        <v>16614</v>
      </c>
      <c r="Y76" s="149" t="n">
        <f aca="false">Y75+'Volumes por intervalo'!N75</f>
        <v>16614</v>
      </c>
      <c r="Z76" s="149" t="n">
        <f aca="false">Z75+'Volumes por intervalo'!O75</f>
        <v>19159.6</v>
      </c>
      <c r="AA76" s="149" t="n">
        <f aca="false">AA75+'Volumes por intervalo'!P75</f>
        <v>0</v>
      </c>
      <c r="AB76" s="149" t="n">
        <f aca="false">AB75+'Volumes por intervalo'!Q75</f>
        <v>0</v>
      </c>
      <c r="AC76" s="149" t="n">
        <f aca="false">AC75+'Volumes por intervalo'!R75</f>
        <v>0</v>
      </c>
      <c r="AD76" s="149" t="n">
        <f aca="false">AD75+'Volumes por intervalo'!S75</f>
        <v>0</v>
      </c>
    </row>
    <row r="77" customFormat="false" ht="15" hidden="false" customHeight="false" outlineLevel="0" collapsed="false">
      <c r="A77" s="138" t="s">
        <v>1718</v>
      </c>
      <c r="B77" s="146" t="n">
        <v>75</v>
      </c>
      <c r="C77" s="144" t="n">
        <v>1500</v>
      </c>
      <c r="D77" s="138" t="s">
        <v>1565</v>
      </c>
      <c r="E77" s="138" t="s">
        <v>1566</v>
      </c>
      <c r="F77" s="147" t="n">
        <v>11</v>
      </c>
      <c r="G77" s="148" t="n">
        <v>0</v>
      </c>
      <c r="H77" s="148" t="n">
        <v>0</v>
      </c>
      <c r="I77" s="138" t="s">
        <v>1642</v>
      </c>
      <c r="J77" s="138"/>
      <c r="K77" s="146" t="n">
        <f aca="false">Parâmetros!$C$4*(F77+2*Parâmetros!$D$4+Parâmetros!$C$4*Parâmetros!$E$4)</f>
        <v>0.5525</v>
      </c>
      <c r="L77" s="146" t="n">
        <f aca="false">Parâmetros!$C$5*(F77+2*Parâmetros!$D$5+Parâmetros!$C$5*Parâmetros!$E$5)</f>
        <v>1.8176</v>
      </c>
      <c r="M77" s="146" t="n">
        <f aca="false">Parâmetros!$C$6*(F77+2*Parâmetros!$D$6+Parâmetros!$C$6*Parâmetros!$E$6)</f>
        <v>2.384</v>
      </c>
      <c r="N77" s="146" t="n">
        <f aca="false">Parâmetros!$C$7*(F77+2*Parâmetros!$D$7+Parâmetros!$C$7*Parâmetros!$E$7)</f>
        <v>3.786</v>
      </c>
      <c r="O77" s="146" t="n">
        <f aca="false">F77+2*Parâmetros!$D$8</f>
        <v>11.2</v>
      </c>
      <c r="P77" s="146" t="n">
        <f aca="false">F77+2*Parâmetros!$D$10</f>
        <v>12.92</v>
      </c>
      <c r="Q77" s="146" t="n">
        <f aca="false">G77+H77</f>
        <v>0</v>
      </c>
      <c r="S77" s="149" t="n">
        <f aca="false">S76+'Volumes por intervalo'!C76*(F76+F77)/2</f>
        <v>16538</v>
      </c>
      <c r="T77" s="149" t="n">
        <f aca="false">T76+'Volumes por intervalo'!H76</f>
        <v>830.649999999999</v>
      </c>
      <c r="U77" s="149" t="n">
        <f aca="false">U76+'Volumes por intervalo'!J76</f>
        <v>2732.48</v>
      </c>
      <c r="V77" s="149" t="n">
        <f aca="false">V76+'Volumes por intervalo'!K76</f>
        <v>3583.6</v>
      </c>
      <c r="W77" s="149" t="n">
        <f aca="false">W76+'Volumes por intervalo'!L76</f>
        <v>5690.4</v>
      </c>
      <c r="X77" s="149" t="n">
        <f aca="false">X76+'Volumes por intervalo'!M76</f>
        <v>16838</v>
      </c>
      <c r="Y77" s="149" t="n">
        <f aca="false">Y76+'Volumes por intervalo'!N76</f>
        <v>16838</v>
      </c>
      <c r="Z77" s="149" t="n">
        <f aca="false">Z76+'Volumes por intervalo'!O76</f>
        <v>19418</v>
      </c>
      <c r="AA77" s="149" t="n">
        <f aca="false">AA76+'Volumes por intervalo'!P76</f>
        <v>0</v>
      </c>
      <c r="AB77" s="149" t="n">
        <f aca="false">AB76+'Volumes por intervalo'!Q76</f>
        <v>0</v>
      </c>
      <c r="AC77" s="149" t="n">
        <f aca="false">AC76+'Volumes por intervalo'!R76</f>
        <v>0</v>
      </c>
      <c r="AD77" s="149" t="n">
        <f aca="false">AD76+'Volumes por intervalo'!S76</f>
        <v>0</v>
      </c>
    </row>
    <row r="78" customFormat="false" ht="15" hidden="false" customHeight="false" outlineLevel="0" collapsed="false">
      <c r="A78" s="138" t="s">
        <v>1719</v>
      </c>
      <c r="B78" s="146" t="n">
        <v>76</v>
      </c>
      <c r="C78" s="144" t="n">
        <v>1520</v>
      </c>
      <c r="D78" s="138" t="s">
        <v>1565</v>
      </c>
      <c r="E78" s="138" t="s">
        <v>1566</v>
      </c>
      <c r="F78" s="147" t="n">
        <v>11</v>
      </c>
      <c r="G78" s="148" t="n">
        <v>0</v>
      </c>
      <c r="H78" s="148" t="n">
        <v>0</v>
      </c>
      <c r="I78" s="138" t="s">
        <v>1642</v>
      </c>
      <c r="J78" s="138"/>
      <c r="K78" s="146" t="n">
        <f aca="false">Parâmetros!$C$4*(F78+2*Parâmetros!$D$4+Parâmetros!$C$4*Parâmetros!$E$4)</f>
        <v>0.5525</v>
      </c>
      <c r="L78" s="146" t="n">
        <f aca="false">Parâmetros!$C$5*(F78+2*Parâmetros!$D$5+Parâmetros!$C$5*Parâmetros!$E$5)</f>
        <v>1.8176</v>
      </c>
      <c r="M78" s="146" t="n">
        <f aca="false">Parâmetros!$C$6*(F78+2*Parâmetros!$D$6+Parâmetros!$C$6*Parâmetros!$E$6)</f>
        <v>2.384</v>
      </c>
      <c r="N78" s="146" t="n">
        <f aca="false">Parâmetros!$C$7*(F78+2*Parâmetros!$D$7+Parâmetros!$C$7*Parâmetros!$E$7)</f>
        <v>3.786</v>
      </c>
      <c r="O78" s="146" t="n">
        <f aca="false">F78+2*Parâmetros!$D$8</f>
        <v>11.2</v>
      </c>
      <c r="P78" s="146" t="n">
        <f aca="false">F78+2*Parâmetros!$D$10</f>
        <v>12.92</v>
      </c>
      <c r="Q78" s="146" t="n">
        <f aca="false">G78+H78</f>
        <v>0</v>
      </c>
      <c r="S78" s="149" t="n">
        <f aca="false">S77+'Volumes por intervalo'!C77*(F77+F78)/2</f>
        <v>16758</v>
      </c>
      <c r="T78" s="149" t="n">
        <f aca="false">T77+'Volumes por intervalo'!H77</f>
        <v>841.699999999999</v>
      </c>
      <c r="U78" s="149" t="n">
        <f aca="false">U77+'Volumes por intervalo'!J77</f>
        <v>2768.832</v>
      </c>
      <c r="V78" s="149" t="n">
        <f aca="false">V77+'Volumes por intervalo'!K77</f>
        <v>3631.28</v>
      </c>
      <c r="W78" s="149" t="n">
        <f aca="false">W77+'Volumes por intervalo'!L77</f>
        <v>5766.12</v>
      </c>
      <c r="X78" s="149" t="n">
        <f aca="false">X77+'Volumes por intervalo'!M77</f>
        <v>17062</v>
      </c>
      <c r="Y78" s="149" t="n">
        <f aca="false">Y77+'Volumes por intervalo'!N77</f>
        <v>17062</v>
      </c>
      <c r="Z78" s="149" t="n">
        <f aca="false">Z77+'Volumes por intervalo'!O77</f>
        <v>19676.4</v>
      </c>
      <c r="AA78" s="149" t="n">
        <f aca="false">AA77+'Volumes por intervalo'!P77</f>
        <v>0</v>
      </c>
      <c r="AB78" s="149" t="n">
        <f aca="false">AB77+'Volumes por intervalo'!Q77</f>
        <v>0</v>
      </c>
      <c r="AC78" s="149" t="n">
        <f aca="false">AC77+'Volumes por intervalo'!R77</f>
        <v>0</v>
      </c>
      <c r="AD78" s="149" t="n">
        <f aca="false">AD77+'Volumes por intervalo'!S77</f>
        <v>0</v>
      </c>
    </row>
    <row r="79" customFormat="false" ht="15" hidden="false" customHeight="false" outlineLevel="0" collapsed="false">
      <c r="A79" s="138" t="s">
        <v>1720</v>
      </c>
      <c r="B79" s="146" t="n">
        <v>77</v>
      </c>
      <c r="C79" s="144" t="n">
        <v>1540</v>
      </c>
      <c r="D79" s="138" t="s">
        <v>1565</v>
      </c>
      <c r="E79" s="138" t="s">
        <v>1566</v>
      </c>
      <c r="F79" s="147" t="n">
        <v>11</v>
      </c>
      <c r="G79" s="148" t="n">
        <v>0</v>
      </c>
      <c r="H79" s="148" t="n">
        <v>0</v>
      </c>
      <c r="I79" s="138" t="s">
        <v>1642</v>
      </c>
      <c r="J79" s="138"/>
      <c r="K79" s="146" t="n">
        <f aca="false">Parâmetros!$C$4*(F79+2*Parâmetros!$D$4+Parâmetros!$C$4*Parâmetros!$E$4)</f>
        <v>0.5525</v>
      </c>
      <c r="L79" s="146" t="n">
        <f aca="false">Parâmetros!$C$5*(F79+2*Parâmetros!$D$5+Parâmetros!$C$5*Parâmetros!$E$5)</f>
        <v>1.8176</v>
      </c>
      <c r="M79" s="146" t="n">
        <f aca="false">Parâmetros!$C$6*(F79+2*Parâmetros!$D$6+Parâmetros!$C$6*Parâmetros!$E$6)</f>
        <v>2.384</v>
      </c>
      <c r="N79" s="146" t="n">
        <f aca="false">Parâmetros!$C$7*(F79+2*Parâmetros!$D$7+Parâmetros!$C$7*Parâmetros!$E$7)</f>
        <v>3.786</v>
      </c>
      <c r="O79" s="146" t="n">
        <f aca="false">F79+2*Parâmetros!$D$8</f>
        <v>11.2</v>
      </c>
      <c r="P79" s="146" t="n">
        <f aca="false">F79+2*Parâmetros!$D$10</f>
        <v>12.92</v>
      </c>
      <c r="Q79" s="146" t="n">
        <f aca="false">G79+H79</f>
        <v>0</v>
      </c>
      <c r="S79" s="149" t="n">
        <f aca="false">S78+'Volumes por intervalo'!C78*(F78+F79)/2</f>
        <v>16978</v>
      </c>
      <c r="T79" s="149" t="n">
        <f aca="false">T78+'Volumes por intervalo'!H78</f>
        <v>852.749999999999</v>
      </c>
      <c r="U79" s="149" t="n">
        <f aca="false">U78+'Volumes por intervalo'!J78</f>
        <v>2805.184</v>
      </c>
      <c r="V79" s="149" t="n">
        <f aca="false">V78+'Volumes por intervalo'!K78</f>
        <v>3678.96</v>
      </c>
      <c r="W79" s="149" t="n">
        <f aca="false">W78+'Volumes por intervalo'!L78</f>
        <v>5841.84</v>
      </c>
      <c r="X79" s="149" t="n">
        <f aca="false">X78+'Volumes por intervalo'!M78</f>
        <v>17286</v>
      </c>
      <c r="Y79" s="149" t="n">
        <f aca="false">Y78+'Volumes por intervalo'!N78</f>
        <v>17286</v>
      </c>
      <c r="Z79" s="149" t="n">
        <f aca="false">Z78+'Volumes por intervalo'!O78</f>
        <v>19934.8</v>
      </c>
      <c r="AA79" s="149" t="n">
        <f aca="false">AA78+'Volumes por intervalo'!P78</f>
        <v>0</v>
      </c>
      <c r="AB79" s="149" t="n">
        <f aca="false">AB78+'Volumes por intervalo'!Q78</f>
        <v>0</v>
      </c>
      <c r="AC79" s="149" t="n">
        <f aca="false">AC78+'Volumes por intervalo'!R78</f>
        <v>0</v>
      </c>
      <c r="AD79" s="149" t="n">
        <f aca="false">AD78+'Volumes por intervalo'!S78</f>
        <v>0</v>
      </c>
    </row>
    <row r="80" customFormat="false" ht="15" hidden="false" customHeight="false" outlineLevel="0" collapsed="false">
      <c r="A80" s="138" t="s">
        <v>1721</v>
      </c>
      <c r="B80" s="146" t="n">
        <v>78</v>
      </c>
      <c r="C80" s="144" t="n">
        <v>1560</v>
      </c>
      <c r="D80" s="138" t="s">
        <v>1565</v>
      </c>
      <c r="E80" s="138" t="s">
        <v>1566</v>
      </c>
      <c r="F80" s="147" t="n">
        <v>11</v>
      </c>
      <c r="G80" s="148" t="n">
        <v>0</v>
      </c>
      <c r="H80" s="148" t="n">
        <v>0</v>
      </c>
      <c r="I80" s="138" t="s">
        <v>1642</v>
      </c>
      <c r="J80" s="138"/>
      <c r="K80" s="146" t="n">
        <f aca="false">Parâmetros!$C$4*(F80+2*Parâmetros!$D$4+Parâmetros!$C$4*Parâmetros!$E$4)</f>
        <v>0.5525</v>
      </c>
      <c r="L80" s="146" t="n">
        <f aca="false">Parâmetros!$C$5*(F80+2*Parâmetros!$D$5+Parâmetros!$C$5*Parâmetros!$E$5)</f>
        <v>1.8176</v>
      </c>
      <c r="M80" s="146" t="n">
        <f aca="false">Parâmetros!$C$6*(F80+2*Parâmetros!$D$6+Parâmetros!$C$6*Parâmetros!$E$6)</f>
        <v>2.384</v>
      </c>
      <c r="N80" s="146" t="n">
        <f aca="false">Parâmetros!$C$7*(F80+2*Parâmetros!$D$7+Parâmetros!$C$7*Parâmetros!$E$7)</f>
        <v>3.786</v>
      </c>
      <c r="O80" s="146" t="n">
        <f aca="false">F80+2*Parâmetros!$D$8</f>
        <v>11.2</v>
      </c>
      <c r="P80" s="146" t="n">
        <f aca="false">F80+2*Parâmetros!$D$10</f>
        <v>12.92</v>
      </c>
      <c r="Q80" s="146" t="n">
        <f aca="false">G80+H80</f>
        <v>0</v>
      </c>
      <c r="S80" s="149" t="n">
        <f aca="false">S79+'Volumes por intervalo'!C79*(F79+F80)/2</f>
        <v>17198</v>
      </c>
      <c r="T80" s="149" t="n">
        <f aca="false">T79+'Volumes por intervalo'!H79</f>
        <v>863.799999999999</v>
      </c>
      <c r="U80" s="149" t="n">
        <f aca="false">U79+'Volumes por intervalo'!J79</f>
        <v>2841.536</v>
      </c>
      <c r="V80" s="149" t="n">
        <f aca="false">V79+'Volumes por intervalo'!K79</f>
        <v>3726.64</v>
      </c>
      <c r="W80" s="149" t="n">
        <f aca="false">W79+'Volumes por intervalo'!L79</f>
        <v>5917.56</v>
      </c>
      <c r="X80" s="149" t="n">
        <f aca="false">X79+'Volumes por intervalo'!M79</f>
        <v>17510</v>
      </c>
      <c r="Y80" s="149" t="n">
        <f aca="false">Y79+'Volumes por intervalo'!N79</f>
        <v>17510</v>
      </c>
      <c r="Z80" s="149" t="n">
        <f aca="false">Z79+'Volumes por intervalo'!O79</f>
        <v>20193.2</v>
      </c>
      <c r="AA80" s="149" t="n">
        <f aca="false">AA79+'Volumes por intervalo'!P79</f>
        <v>0</v>
      </c>
      <c r="AB80" s="149" t="n">
        <f aca="false">AB79+'Volumes por intervalo'!Q79</f>
        <v>0</v>
      </c>
      <c r="AC80" s="149" t="n">
        <f aca="false">AC79+'Volumes por intervalo'!R79</f>
        <v>0</v>
      </c>
      <c r="AD80" s="149" t="n">
        <f aca="false">AD79+'Volumes por intervalo'!S79</f>
        <v>0</v>
      </c>
    </row>
    <row r="81" customFormat="false" ht="15" hidden="false" customHeight="false" outlineLevel="0" collapsed="false">
      <c r="A81" s="138" t="s">
        <v>1722</v>
      </c>
      <c r="B81" s="146" t="n">
        <v>79</v>
      </c>
      <c r="C81" s="144" t="n">
        <v>1580</v>
      </c>
      <c r="D81" s="138" t="s">
        <v>1565</v>
      </c>
      <c r="E81" s="138" t="s">
        <v>1566</v>
      </c>
      <c r="F81" s="147" t="n">
        <v>11</v>
      </c>
      <c r="G81" s="148" t="n">
        <v>0</v>
      </c>
      <c r="H81" s="148" t="n">
        <v>0</v>
      </c>
      <c r="I81" s="138" t="s">
        <v>1642</v>
      </c>
      <c r="J81" s="138"/>
      <c r="K81" s="146" t="n">
        <f aca="false">Parâmetros!$C$4*(F81+2*Parâmetros!$D$4+Parâmetros!$C$4*Parâmetros!$E$4)</f>
        <v>0.5525</v>
      </c>
      <c r="L81" s="146" t="n">
        <f aca="false">Parâmetros!$C$5*(F81+2*Parâmetros!$D$5+Parâmetros!$C$5*Parâmetros!$E$5)</f>
        <v>1.8176</v>
      </c>
      <c r="M81" s="146" t="n">
        <f aca="false">Parâmetros!$C$6*(F81+2*Parâmetros!$D$6+Parâmetros!$C$6*Parâmetros!$E$6)</f>
        <v>2.384</v>
      </c>
      <c r="N81" s="146" t="n">
        <f aca="false">Parâmetros!$C$7*(F81+2*Parâmetros!$D$7+Parâmetros!$C$7*Parâmetros!$E$7)</f>
        <v>3.786</v>
      </c>
      <c r="O81" s="146" t="n">
        <f aca="false">F81+2*Parâmetros!$D$8</f>
        <v>11.2</v>
      </c>
      <c r="P81" s="146" t="n">
        <f aca="false">F81+2*Parâmetros!$D$10</f>
        <v>12.92</v>
      </c>
      <c r="Q81" s="146" t="n">
        <f aca="false">G81+H81</f>
        <v>0</v>
      </c>
      <c r="S81" s="149" t="n">
        <f aca="false">S80+'Volumes por intervalo'!C80*(F80+F81)/2</f>
        <v>17418</v>
      </c>
      <c r="T81" s="149" t="n">
        <f aca="false">T80+'Volumes por intervalo'!H80</f>
        <v>874.849999999999</v>
      </c>
      <c r="U81" s="149" t="n">
        <f aca="false">U80+'Volumes por intervalo'!J80</f>
        <v>2877.888</v>
      </c>
      <c r="V81" s="149" t="n">
        <f aca="false">V80+'Volumes por intervalo'!K80</f>
        <v>3774.32</v>
      </c>
      <c r="W81" s="149" t="n">
        <f aca="false">W80+'Volumes por intervalo'!L80</f>
        <v>5993.28</v>
      </c>
      <c r="X81" s="149" t="n">
        <f aca="false">X80+'Volumes por intervalo'!M80</f>
        <v>17734</v>
      </c>
      <c r="Y81" s="149" t="n">
        <f aca="false">Y80+'Volumes por intervalo'!N80</f>
        <v>17734</v>
      </c>
      <c r="Z81" s="149" t="n">
        <f aca="false">Z80+'Volumes por intervalo'!O80</f>
        <v>20451.6</v>
      </c>
      <c r="AA81" s="149" t="n">
        <f aca="false">AA80+'Volumes por intervalo'!P80</f>
        <v>0</v>
      </c>
      <c r="AB81" s="149" t="n">
        <f aca="false">AB80+'Volumes por intervalo'!Q80</f>
        <v>0</v>
      </c>
      <c r="AC81" s="149" t="n">
        <f aca="false">AC80+'Volumes por intervalo'!R80</f>
        <v>0</v>
      </c>
      <c r="AD81" s="149" t="n">
        <f aca="false">AD80+'Volumes por intervalo'!S80</f>
        <v>0</v>
      </c>
    </row>
    <row r="82" customFormat="false" ht="15" hidden="false" customHeight="false" outlineLevel="0" collapsed="false">
      <c r="A82" s="138" t="s">
        <v>1723</v>
      </c>
      <c r="B82" s="146" t="n">
        <v>80</v>
      </c>
      <c r="C82" s="144" t="n">
        <v>1600</v>
      </c>
      <c r="D82" s="138" t="s">
        <v>1565</v>
      </c>
      <c r="E82" s="138" t="s">
        <v>1566</v>
      </c>
      <c r="F82" s="147" t="n">
        <v>11</v>
      </c>
      <c r="G82" s="148" t="n">
        <v>0</v>
      </c>
      <c r="H82" s="148" t="n">
        <v>0</v>
      </c>
      <c r="I82" s="138" t="s">
        <v>1642</v>
      </c>
      <c r="J82" s="138"/>
      <c r="K82" s="146" t="n">
        <f aca="false">Parâmetros!$C$4*(F82+2*Parâmetros!$D$4+Parâmetros!$C$4*Parâmetros!$E$4)</f>
        <v>0.5525</v>
      </c>
      <c r="L82" s="146" t="n">
        <f aca="false">Parâmetros!$C$5*(F82+2*Parâmetros!$D$5+Parâmetros!$C$5*Parâmetros!$E$5)</f>
        <v>1.8176</v>
      </c>
      <c r="M82" s="146" t="n">
        <f aca="false">Parâmetros!$C$6*(F82+2*Parâmetros!$D$6+Parâmetros!$C$6*Parâmetros!$E$6)</f>
        <v>2.384</v>
      </c>
      <c r="N82" s="146" t="n">
        <f aca="false">Parâmetros!$C$7*(F82+2*Parâmetros!$D$7+Parâmetros!$C$7*Parâmetros!$E$7)</f>
        <v>3.786</v>
      </c>
      <c r="O82" s="146" t="n">
        <f aca="false">F82+2*Parâmetros!$D$8</f>
        <v>11.2</v>
      </c>
      <c r="P82" s="146" t="n">
        <f aca="false">F82+2*Parâmetros!$D$10</f>
        <v>12.92</v>
      </c>
      <c r="Q82" s="146" t="n">
        <f aca="false">G82+H82</f>
        <v>0</v>
      </c>
      <c r="S82" s="149" t="n">
        <f aca="false">S81+'Volumes por intervalo'!C81*(F81+F82)/2</f>
        <v>17638</v>
      </c>
      <c r="T82" s="149" t="n">
        <f aca="false">T81+'Volumes por intervalo'!H81</f>
        <v>885.899999999999</v>
      </c>
      <c r="U82" s="149" t="n">
        <f aca="false">U81+'Volumes por intervalo'!J81</f>
        <v>2914.24</v>
      </c>
      <c r="V82" s="149" t="n">
        <f aca="false">V81+'Volumes por intervalo'!K81</f>
        <v>3822</v>
      </c>
      <c r="W82" s="149" t="n">
        <f aca="false">W81+'Volumes por intervalo'!L81</f>
        <v>6069</v>
      </c>
      <c r="X82" s="149" t="n">
        <f aca="false">X81+'Volumes por intervalo'!M81</f>
        <v>17958</v>
      </c>
      <c r="Y82" s="149" t="n">
        <f aca="false">Y81+'Volumes por intervalo'!N81</f>
        <v>17958</v>
      </c>
      <c r="Z82" s="149" t="n">
        <f aca="false">Z81+'Volumes por intervalo'!O81</f>
        <v>20710</v>
      </c>
      <c r="AA82" s="149" t="n">
        <f aca="false">AA81+'Volumes por intervalo'!P81</f>
        <v>0</v>
      </c>
      <c r="AB82" s="149" t="n">
        <f aca="false">AB81+'Volumes por intervalo'!Q81</f>
        <v>0</v>
      </c>
      <c r="AC82" s="149" t="n">
        <f aca="false">AC81+'Volumes por intervalo'!R81</f>
        <v>0</v>
      </c>
      <c r="AD82" s="149" t="n">
        <f aca="false">AD81+'Volumes por intervalo'!S81</f>
        <v>0</v>
      </c>
    </row>
    <row r="83" customFormat="false" ht="15" hidden="false" customHeight="false" outlineLevel="0" collapsed="false">
      <c r="A83" s="138" t="s">
        <v>1724</v>
      </c>
      <c r="B83" s="146" t="n">
        <v>81</v>
      </c>
      <c r="C83" s="144" t="n">
        <v>1620</v>
      </c>
      <c r="D83" s="138" t="s">
        <v>1565</v>
      </c>
      <c r="E83" s="138" t="s">
        <v>1566</v>
      </c>
      <c r="F83" s="147" t="n">
        <v>11</v>
      </c>
      <c r="G83" s="148" t="n">
        <v>0</v>
      </c>
      <c r="H83" s="148" t="n">
        <v>0</v>
      </c>
      <c r="I83" s="138" t="s">
        <v>1642</v>
      </c>
      <c r="J83" s="138"/>
      <c r="K83" s="146" t="n">
        <f aca="false">Parâmetros!$C$4*(F83+2*Parâmetros!$D$4+Parâmetros!$C$4*Parâmetros!$E$4)</f>
        <v>0.5525</v>
      </c>
      <c r="L83" s="146" t="n">
        <f aca="false">Parâmetros!$C$5*(F83+2*Parâmetros!$D$5+Parâmetros!$C$5*Parâmetros!$E$5)</f>
        <v>1.8176</v>
      </c>
      <c r="M83" s="146" t="n">
        <f aca="false">Parâmetros!$C$6*(F83+2*Parâmetros!$D$6+Parâmetros!$C$6*Parâmetros!$E$6)</f>
        <v>2.384</v>
      </c>
      <c r="N83" s="146" t="n">
        <f aca="false">Parâmetros!$C$7*(F83+2*Parâmetros!$D$7+Parâmetros!$C$7*Parâmetros!$E$7)</f>
        <v>3.786</v>
      </c>
      <c r="O83" s="146" t="n">
        <f aca="false">F83+2*Parâmetros!$D$8</f>
        <v>11.2</v>
      </c>
      <c r="P83" s="146" t="n">
        <f aca="false">F83+2*Parâmetros!$D$10</f>
        <v>12.92</v>
      </c>
      <c r="Q83" s="146" t="n">
        <f aca="false">G83+H83</f>
        <v>0</v>
      </c>
      <c r="S83" s="149" t="n">
        <f aca="false">S82+'Volumes por intervalo'!C82*(F82+F83)/2</f>
        <v>17858</v>
      </c>
      <c r="T83" s="149" t="n">
        <f aca="false">T82+'Volumes por intervalo'!H82</f>
        <v>896.949999999999</v>
      </c>
      <c r="U83" s="149" t="n">
        <f aca="false">U82+'Volumes por intervalo'!J82</f>
        <v>2950.592</v>
      </c>
      <c r="V83" s="149" t="n">
        <f aca="false">V82+'Volumes por intervalo'!K82</f>
        <v>3869.68</v>
      </c>
      <c r="W83" s="149" t="n">
        <f aca="false">W82+'Volumes por intervalo'!L82</f>
        <v>6144.72</v>
      </c>
      <c r="X83" s="149" t="n">
        <f aca="false">X82+'Volumes por intervalo'!M82</f>
        <v>18182</v>
      </c>
      <c r="Y83" s="149" t="n">
        <f aca="false">Y82+'Volumes por intervalo'!N82</f>
        <v>18182</v>
      </c>
      <c r="Z83" s="149" t="n">
        <f aca="false">Z82+'Volumes por intervalo'!O82</f>
        <v>20968.4</v>
      </c>
      <c r="AA83" s="149" t="n">
        <f aca="false">AA82+'Volumes por intervalo'!P82</f>
        <v>0</v>
      </c>
      <c r="AB83" s="149" t="n">
        <f aca="false">AB82+'Volumes por intervalo'!Q82</f>
        <v>0</v>
      </c>
      <c r="AC83" s="149" t="n">
        <f aca="false">AC82+'Volumes por intervalo'!R82</f>
        <v>0</v>
      </c>
      <c r="AD83" s="149" t="n">
        <f aca="false">AD82+'Volumes por intervalo'!S82</f>
        <v>0</v>
      </c>
    </row>
    <row r="84" customFormat="false" ht="15" hidden="false" customHeight="false" outlineLevel="0" collapsed="false">
      <c r="A84" s="138" t="s">
        <v>1725</v>
      </c>
      <c r="B84" s="146" t="n">
        <v>82</v>
      </c>
      <c r="C84" s="144" t="n">
        <v>1640</v>
      </c>
      <c r="D84" s="138" t="s">
        <v>1565</v>
      </c>
      <c r="E84" s="138" t="s">
        <v>1566</v>
      </c>
      <c r="F84" s="147" t="n">
        <v>11</v>
      </c>
      <c r="G84" s="148" t="n">
        <v>0</v>
      </c>
      <c r="H84" s="148" t="n">
        <v>0</v>
      </c>
      <c r="I84" s="138" t="s">
        <v>1642</v>
      </c>
      <c r="J84" s="138"/>
      <c r="K84" s="146" t="n">
        <f aca="false">Parâmetros!$C$4*(F84+2*Parâmetros!$D$4+Parâmetros!$C$4*Parâmetros!$E$4)</f>
        <v>0.5525</v>
      </c>
      <c r="L84" s="146" t="n">
        <f aca="false">Parâmetros!$C$5*(F84+2*Parâmetros!$D$5+Parâmetros!$C$5*Parâmetros!$E$5)</f>
        <v>1.8176</v>
      </c>
      <c r="M84" s="146" t="n">
        <f aca="false">Parâmetros!$C$6*(F84+2*Parâmetros!$D$6+Parâmetros!$C$6*Parâmetros!$E$6)</f>
        <v>2.384</v>
      </c>
      <c r="N84" s="146" t="n">
        <f aca="false">Parâmetros!$C$7*(F84+2*Parâmetros!$D$7+Parâmetros!$C$7*Parâmetros!$E$7)</f>
        <v>3.786</v>
      </c>
      <c r="O84" s="146" t="n">
        <f aca="false">F84+2*Parâmetros!$D$8</f>
        <v>11.2</v>
      </c>
      <c r="P84" s="146" t="n">
        <f aca="false">F84+2*Parâmetros!$D$10</f>
        <v>12.92</v>
      </c>
      <c r="Q84" s="146" t="n">
        <f aca="false">G84+H84</f>
        <v>0</v>
      </c>
      <c r="S84" s="149" t="n">
        <f aca="false">S83+'Volumes por intervalo'!C83*(F83+F84)/2</f>
        <v>18078</v>
      </c>
      <c r="T84" s="149" t="n">
        <f aca="false">T83+'Volumes por intervalo'!H83</f>
        <v>907.999999999999</v>
      </c>
      <c r="U84" s="149" t="n">
        <f aca="false">U83+'Volumes por intervalo'!J83</f>
        <v>2986.944</v>
      </c>
      <c r="V84" s="149" t="n">
        <f aca="false">V83+'Volumes por intervalo'!K83</f>
        <v>3917.35999999999</v>
      </c>
      <c r="W84" s="149" t="n">
        <f aca="false">W83+'Volumes por intervalo'!L83</f>
        <v>6220.44</v>
      </c>
      <c r="X84" s="149" t="n">
        <f aca="false">X83+'Volumes por intervalo'!M83</f>
        <v>18406</v>
      </c>
      <c r="Y84" s="149" t="n">
        <f aca="false">Y83+'Volumes por intervalo'!N83</f>
        <v>18406</v>
      </c>
      <c r="Z84" s="149" t="n">
        <f aca="false">Z83+'Volumes por intervalo'!O83</f>
        <v>21226.8</v>
      </c>
      <c r="AA84" s="149" t="n">
        <f aca="false">AA83+'Volumes por intervalo'!P83</f>
        <v>0</v>
      </c>
      <c r="AB84" s="149" t="n">
        <f aca="false">AB83+'Volumes por intervalo'!Q83</f>
        <v>0</v>
      </c>
      <c r="AC84" s="149" t="n">
        <f aca="false">AC83+'Volumes por intervalo'!R83</f>
        <v>0</v>
      </c>
      <c r="AD84" s="149" t="n">
        <f aca="false">AD83+'Volumes por intervalo'!S83</f>
        <v>0</v>
      </c>
    </row>
    <row r="85" customFormat="false" ht="15" hidden="false" customHeight="false" outlineLevel="0" collapsed="false">
      <c r="A85" s="138" t="s">
        <v>1726</v>
      </c>
      <c r="B85" s="146" t="n">
        <v>83</v>
      </c>
      <c r="C85" s="144" t="n">
        <v>1660</v>
      </c>
      <c r="D85" s="138" t="s">
        <v>1565</v>
      </c>
      <c r="E85" s="138" t="s">
        <v>1566</v>
      </c>
      <c r="F85" s="147" t="n">
        <v>11</v>
      </c>
      <c r="G85" s="148" t="n">
        <v>0</v>
      </c>
      <c r="H85" s="148" t="n">
        <v>0</v>
      </c>
      <c r="I85" s="138" t="s">
        <v>1642</v>
      </c>
      <c r="J85" s="138"/>
      <c r="K85" s="146" t="n">
        <f aca="false">Parâmetros!$C$4*(F85+2*Parâmetros!$D$4+Parâmetros!$C$4*Parâmetros!$E$4)</f>
        <v>0.5525</v>
      </c>
      <c r="L85" s="146" t="n">
        <f aca="false">Parâmetros!$C$5*(F85+2*Parâmetros!$D$5+Parâmetros!$C$5*Parâmetros!$E$5)</f>
        <v>1.8176</v>
      </c>
      <c r="M85" s="146" t="n">
        <f aca="false">Parâmetros!$C$6*(F85+2*Parâmetros!$D$6+Parâmetros!$C$6*Parâmetros!$E$6)</f>
        <v>2.384</v>
      </c>
      <c r="N85" s="146" t="n">
        <f aca="false">Parâmetros!$C$7*(F85+2*Parâmetros!$D$7+Parâmetros!$C$7*Parâmetros!$E$7)</f>
        <v>3.786</v>
      </c>
      <c r="O85" s="146" t="n">
        <f aca="false">F85+2*Parâmetros!$D$8</f>
        <v>11.2</v>
      </c>
      <c r="P85" s="146" t="n">
        <f aca="false">F85+2*Parâmetros!$D$10</f>
        <v>12.92</v>
      </c>
      <c r="Q85" s="146" t="n">
        <f aca="false">G85+H85</f>
        <v>0</v>
      </c>
      <c r="S85" s="149" t="n">
        <f aca="false">S84+'Volumes por intervalo'!C84*(F84+F85)/2</f>
        <v>18298</v>
      </c>
      <c r="T85" s="149" t="n">
        <f aca="false">T84+'Volumes por intervalo'!H84</f>
        <v>919.049999999999</v>
      </c>
      <c r="U85" s="149" t="n">
        <f aca="false">U84+'Volumes por intervalo'!J84</f>
        <v>3023.296</v>
      </c>
      <c r="V85" s="149" t="n">
        <f aca="false">V84+'Volumes por intervalo'!K84</f>
        <v>3965.03999999999</v>
      </c>
      <c r="W85" s="149" t="n">
        <f aca="false">W84+'Volumes por intervalo'!L84</f>
        <v>6296.16</v>
      </c>
      <c r="X85" s="149" t="n">
        <f aca="false">X84+'Volumes por intervalo'!M84</f>
        <v>18630</v>
      </c>
      <c r="Y85" s="149" t="n">
        <f aca="false">Y84+'Volumes por intervalo'!N84</f>
        <v>18630</v>
      </c>
      <c r="Z85" s="149" t="n">
        <f aca="false">Z84+'Volumes por intervalo'!O84</f>
        <v>21485.2</v>
      </c>
      <c r="AA85" s="149" t="n">
        <f aca="false">AA84+'Volumes por intervalo'!P84</f>
        <v>0</v>
      </c>
      <c r="AB85" s="149" t="n">
        <f aca="false">AB84+'Volumes por intervalo'!Q84</f>
        <v>0</v>
      </c>
      <c r="AC85" s="149" t="n">
        <f aca="false">AC84+'Volumes por intervalo'!R84</f>
        <v>0</v>
      </c>
      <c r="AD85" s="149" t="n">
        <f aca="false">AD84+'Volumes por intervalo'!S84</f>
        <v>0</v>
      </c>
    </row>
    <row r="86" customFormat="false" ht="15" hidden="false" customHeight="false" outlineLevel="0" collapsed="false">
      <c r="A86" s="138" t="s">
        <v>1727</v>
      </c>
      <c r="B86" s="146" t="n">
        <v>84</v>
      </c>
      <c r="C86" s="144" t="n">
        <v>1680</v>
      </c>
      <c r="D86" s="138" t="s">
        <v>1565</v>
      </c>
      <c r="E86" s="138" t="s">
        <v>1566</v>
      </c>
      <c r="F86" s="147" t="n">
        <v>11</v>
      </c>
      <c r="G86" s="148" t="n">
        <v>0</v>
      </c>
      <c r="H86" s="148" t="n">
        <v>0</v>
      </c>
      <c r="I86" s="138" t="s">
        <v>1642</v>
      </c>
      <c r="J86" s="138"/>
      <c r="K86" s="146" t="n">
        <f aca="false">Parâmetros!$C$4*(F86+2*Parâmetros!$D$4+Parâmetros!$C$4*Parâmetros!$E$4)</f>
        <v>0.5525</v>
      </c>
      <c r="L86" s="146" t="n">
        <f aca="false">Parâmetros!$C$5*(F86+2*Parâmetros!$D$5+Parâmetros!$C$5*Parâmetros!$E$5)</f>
        <v>1.8176</v>
      </c>
      <c r="M86" s="146" t="n">
        <f aca="false">Parâmetros!$C$6*(F86+2*Parâmetros!$D$6+Parâmetros!$C$6*Parâmetros!$E$6)</f>
        <v>2.384</v>
      </c>
      <c r="N86" s="146" t="n">
        <f aca="false">Parâmetros!$C$7*(F86+2*Parâmetros!$D$7+Parâmetros!$C$7*Parâmetros!$E$7)</f>
        <v>3.786</v>
      </c>
      <c r="O86" s="146" t="n">
        <f aca="false">F86+2*Parâmetros!$D$8</f>
        <v>11.2</v>
      </c>
      <c r="P86" s="146" t="n">
        <f aca="false">F86+2*Parâmetros!$D$10</f>
        <v>12.92</v>
      </c>
      <c r="Q86" s="146" t="n">
        <f aca="false">G86+H86</f>
        <v>0</v>
      </c>
      <c r="S86" s="149" t="n">
        <f aca="false">S85+'Volumes por intervalo'!C85*(F85+F86)/2</f>
        <v>18518</v>
      </c>
      <c r="T86" s="149" t="n">
        <f aca="false">T85+'Volumes por intervalo'!H85</f>
        <v>930.099999999999</v>
      </c>
      <c r="U86" s="149" t="n">
        <f aca="false">U85+'Volumes por intervalo'!J85</f>
        <v>3059.648</v>
      </c>
      <c r="V86" s="149" t="n">
        <f aca="false">V85+'Volumes por intervalo'!K85</f>
        <v>4012.71999999999</v>
      </c>
      <c r="W86" s="149" t="n">
        <f aca="false">W85+'Volumes por intervalo'!L85</f>
        <v>6371.88</v>
      </c>
      <c r="X86" s="149" t="n">
        <f aca="false">X85+'Volumes por intervalo'!M85</f>
        <v>18854</v>
      </c>
      <c r="Y86" s="149" t="n">
        <f aca="false">Y85+'Volumes por intervalo'!N85</f>
        <v>18854</v>
      </c>
      <c r="Z86" s="149" t="n">
        <f aca="false">Z85+'Volumes por intervalo'!O85</f>
        <v>21743.6</v>
      </c>
      <c r="AA86" s="149" t="n">
        <f aca="false">AA85+'Volumes por intervalo'!P85</f>
        <v>0</v>
      </c>
      <c r="AB86" s="149" t="n">
        <f aca="false">AB85+'Volumes por intervalo'!Q85</f>
        <v>0</v>
      </c>
      <c r="AC86" s="149" t="n">
        <f aca="false">AC85+'Volumes por intervalo'!R85</f>
        <v>0</v>
      </c>
      <c r="AD86" s="149" t="n">
        <f aca="false">AD85+'Volumes por intervalo'!S85</f>
        <v>0</v>
      </c>
    </row>
    <row r="87" customFormat="false" ht="15" hidden="false" customHeight="false" outlineLevel="0" collapsed="false">
      <c r="A87" s="138" t="s">
        <v>1728</v>
      </c>
      <c r="B87" s="146" t="n">
        <v>85</v>
      </c>
      <c r="C87" s="144" t="n">
        <v>1700</v>
      </c>
      <c r="D87" s="138" t="s">
        <v>1565</v>
      </c>
      <c r="E87" s="138" t="s">
        <v>1566</v>
      </c>
      <c r="F87" s="147" t="n">
        <v>11</v>
      </c>
      <c r="G87" s="148" t="n">
        <v>0</v>
      </c>
      <c r="H87" s="148" t="n">
        <v>0</v>
      </c>
      <c r="I87" s="138" t="s">
        <v>1642</v>
      </c>
      <c r="J87" s="138"/>
      <c r="K87" s="146" t="n">
        <f aca="false">Parâmetros!$C$4*(F87+2*Parâmetros!$D$4+Parâmetros!$C$4*Parâmetros!$E$4)</f>
        <v>0.5525</v>
      </c>
      <c r="L87" s="146" t="n">
        <f aca="false">Parâmetros!$C$5*(F87+2*Parâmetros!$D$5+Parâmetros!$C$5*Parâmetros!$E$5)</f>
        <v>1.8176</v>
      </c>
      <c r="M87" s="146" t="n">
        <f aca="false">Parâmetros!$C$6*(F87+2*Parâmetros!$D$6+Parâmetros!$C$6*Parâmetros!$E$6)</f>
        <v>2.384</v>
      </c>
      <c r="N87" s="146" t="n">
        <f aca="false">Parâmetros!$C$7*(F87+2*Parâmetros!$D$7+Parâmetros!$C$7*Parâmetros!$E$7)</f>
        <v>3.786</v>
      </c>
      <c r="O87" s="146" t="n">
        <f aca="false">F87+2*Parâmetros!$D$8</f>
        <v>11.2</v>
      </c>
      <c r="P87" s="146" t="n">
        <f aca="false">F87+2*Parâmetros!$D$10</f>
        <v>12.92</v>
      </c>
      <c r="Q87" s="146" t="n">
        <f aca="false">G87+H87</f>
        <v>0</v>
      </c>
      <c r="S87" s="149" t="n">
        <f aca="false">S86+'Volumes por intervalo'!C86*(F86+F87)/2</f>
        <v>18738</v>
      </c>
      <c r="T87" s="149" t="n">
        <f aca="false">T86+'Volumes por intervalo'!H86</f>
        <v>941.149999999999</v>
      </c>
      <c r="U87" s="149" t="n">
        <f aca="false">U86+'Volumes por intervalo'!J86</f>
        <v>3096</v>
      </c>
      <c r="V87" s="149" t="n">
        <f aca="false">V86+'Volumes por intervalo'!K86</f>
        <v>4060.39999999999</v>
      </c>
      <c r="W87" s="149" t="n">
        <f aca="false">W86+'Volumes por intervalo'!L86</f>
        <v>6447.6</v>
      </c>
      <c r="X87" s="149" t="n">
        <f aca="false">X86+'Volumes por intervalo'!M86</f>
        <v>19078</v>
      </c>
      <c r="Y87" s="149" t="n">
        <f aca="false">Y86+'Volumes por intervalo'!N86</f>
        <v>19078</v>
      </c>
      <c r="Z87" s="149" t="n">
        <f aca="false">Z86+'Volumes por intervalo'!O86</f>
        <v>22002</v>
      </c>
      <c r="AA87" s="149" t="n">
        <f aca="false">AA86+'Volumes por intervalo'!P86</f>
        <v>0</v>
      </c>
      <c r="AB87" s="149" t="n">
        <f aca="false">AB86+'Volumes por intervalo'!Q86</f>
        <v>0</v>
      </c>
      <c r="AC87" s="149" t="n">
        <f aca="false">AC86+'Volumes por intervalo'!R86</f>
        <v>0</v>
      </c>
      <c r="AD87" s="149" t="n">
        <f aca="false">AD86+'Volumes por intervalo'!S86</f>
        <v>0</v>
      </c>
    </row>
    <row r="88" customFormat="false" ht="15" hidden="false" customHeight="false" outlineLevel="0" collapsed="false">
      <c r="A88" s="138" t="s">
        <v>1729</v>
      </c>
      <c r="B88" s="146" t="n">
        <v>86</v>
      </c>
      <c r="C88" s="144" t="n">
        <v>1720</v>
      </c>
      <c r="D88" s="138" t="s">
        <v>1565</v>
      </c>
      <c r="E88" s="138" t="s">
        <v>1566</v>
      </c>
      <c r="F88" s="147" t="n">
        <v>11</v>
      </c>
      <c r="G88" s="148" t="n">
        <v>0</v>
      </c>
      <c r="H88" s="148" t="n">
        <v>0</v>
      </c>
      <c r="I88" s="138" t="s">
        <v>1642</v>
      </c>
      <c r="J88" s="138"/>
      <c r="K88" s="146" t="n">
        <f aca="false">Parâmetros!$C$4*(F88+2*Parâmetros!$D$4+Parâmetros!$C$4*Parâmetros!$E$4)</f>
        <v>0.5525</v>
      </c>
      <c r="L88" s="146" t="n">
        <f aca="false">Parâmetros!$C$5*(F88+2*Parâmetros!$D$5+Parâmetros!$C$5*Parâmetros!$E$5)</f>
        <v>1.8176</v>
      </c>
      <c r="M88" s="146" t="n">
        <f aca="false">Parâmetros!$C$6*(F88+2*Parâmetros!$D$6+Parâmetros!$C$6*Parâmetros!$E$6)</f>
        <v>2.384</v>
      </c>
      <c r="N88" s="146" t="n">
        <f aca="false">Parâmetros!$C$7*(F88+2*Parâmetros!$D$7+Parâmetros!$C$7*Parâmetros!$E$7)</f>
        <v>3.786</v>
      </c>
      <c r="O88" s="146" t="n">
        <f aca="false">F88+2*Parâmetros!$D$8</f>
        <v>11.2</v>
      </c>
      <c r="P88" s="146" t="n">
        <f aca="false">F88+2*Parâmetros!$D$10</f>
        <v>12.92</v>
      </c>
      <c r="Q88" s="146" t="n">
        <f aca="false">G88+H88</f>
        <v>0</v>
      </c>
      <c r="S88" s="149" t="n">
        <f aca="false">S87+'Volumes por intervalo'!C87*(F87+F88)/2</f>
        <v>18958</v>
      </c>
      <c r="T88" s="149" t="n">
        <f aca="false">T87+'Volumes por intervalo'!H87</f>
        <v>952.199999999999</v>
      </c>
      <c r="U88" s="149" t="n">
        <f aca="false">U87+'Volumes por intervalo'!J87</f>
        <v>3132.352</v>
      </c>
      <c r="V88" s="149" t="n">
        <f aca="false">V87+'Volumes por intervalo'!K87</f>
        <v>4108.07999999999</v>
      </c>
      <c r="W88" s="149" t="n">
        <f aca="false">W87+'Volumes por intervalo'!L87</f>
        <v>6523.32</v>
      </c>
      <c r="X88" s="149" t="n">
        <f aca="false">X87+'Volumes por intervalo'!M87</f>
        <v>19302</v>
      </c>
      <c r="Y88" s="149" t="n">
        <f aca="false">Y87+'Volumes por intervalo'!N87</f>
        <v>19302</v>
      </c>
      <c r="Z88" s="149" t="n">
        <f aca="false">Z87+'Volumes por intervalo'!O87</f>
        <v>22260.4</v>
      </c>
      <c r="AA88" s="149" t="n">
        <f aca="false">AA87+'Volumes por intervalo'!P87</f>
        <v>0</v>
      </c>
      <c r="AB88" s="149" t="n">
        <f aca="false">AB87+'Volumes por intervalo'!Q87</f>
        <v>0</v>
      </c>
      <c r="AC88" s="149" t="n">
        <f aca="false">AC87+'Volumes por intervalo'!R87</f>
        <v>0</v>
      </c>
      <c r="AD88" s="149" t="n">
        <f aca="false">AD87+'Volumes por intervalo'!S87</f>
        <v>0</v>
      </c>
    </row>
    <row r="89" customFormat="false" ht="15" hidden="false" customHeight="false" outlineLevel="0" collapsed="false">
      <c r="A89" s="138" t="s">
        <v>1730</v>
      </c>
      <c r="B89" s="146" t="n">
        <v>87</v>
      </c>
      <c r="C89" s="144" t="n">
        <v>1740</v>
      </c>
      <c r="D89" s="138" t="s">
        <v>1565</v>
      </c>
      <c r="E89" s="138" t="s">
        <v>1566</v>
      </c>
      <c r="F89" s="147" t="n">
        <v>11</v>
      </c>
      <c r="G89" s="148" t="n">
        <v>0</v>
      </c>
      <c r="H89" s="148" t="n">
        <v>0</v>
      </c>
      <c r="I89" s="138" t="s">
        <v>1642</v>
      </c>
      <c r="J89" s="138"/>
      <c r="K89" s="146" t="n">
        <f aca="false">Parâmetros!$C$4*(F89+2*Parâmetros!$D$4+Parâmetros!$C$4*Parâmetros!$E$4)</f>
        <v>0.5525</v>
      </c>
      <c r="L89" s="146" t="n">
        <f aca="false">Parâmetros!$C$5*(F89+2*Parâmetros!$D$5+Parâmetros!$C$5*Parâmetros!$E$5)</f>
        <v>1.8176</v>
      </c>
      <c r="M89" s="146" t="n">
        <f aca="false">Parâmetros!$C$6*(F89+2*Parâmetros!$D$6+Parâmetros!$C$6*Parâmetros!$E$6)</f>
        <v>2.384</v>
      </c>
      <c r="N89" s="146" t="n">
        <f aca="false">Parâmetros!$C$7*(F89+2*Parâmetros!$D$7+Parâmetros!$C$7*Parâmetros!$E$7)</f>
        <v>3.786</v>
      </c>
      <c r="O89" s="146" t="n">
        <f aca="false">F89+2*Parâmetros!$D$8</f>
        <v>11.2</v>
      </c>
      <c r="P89" s="146" t="n">
        <f aca="false">F89+2*Parâmetros!$D$10</f>
        <v>12.92</v>
      </c>
      <c r="Q89" s="146" t="n">
        <f aca="false">G89+H89</f>
        <v>0</v>
      </c>
      <c r="S89" s="149" t="n">
        <f aca="false">S88+'Volumes por intervalo'!C88*(F88+F89)/2</f>
        <v>19178</v>
      </c>
      <c r="T89" s="149" t="n">
        <f aca="false">T88+'Volumes por intervalo'!H88</f>
        <v>963.249999999999</v>
      </c>
      <c r="U89" s="149" t="n">
        <f aca="false">U88+'Volumes por intervalo'!J88</f>
        <v>3168.704</v>
      </c>
      <c r="V89" s="149" t="n">
        <f aca="false">V88+'Volumes por intervalo'!K88</f>
        <v>4155.76</v>
      </c>
      <c r="W89" s="149" t="n">
        <f aca="false">W88+'Volumes por intervalo'!L88</f>
        <v>6599.04</v>
      </c>
      <c r="X89" s="149" t="n">
        <f aca="false">X88+'Volumes por intervalo'!M88</f>
        <v>19526</v>
      </c>
      <c r="Y89" s="149" t="n">
        <f aca="false">Y88+'Volumes por intervalo'!N88</f>
        <v>19526</v>
      </c>
      <c r="Z89" s="149" t="n">
        <f aca="false">Z88+'Volumes por intervalo'!O88</f>
        <v>22518.8</v>
      </c>
      <c r="AA89" s="149" t="n">
        <f aca="false">AA88+'Volumes por intervalo'!P88</f>
        <v>0</v>
      </c>
      <c r="AB89" s="149" t="n">
        <f aca="false">AB88+'Volumes por intervalo'!Q88</f>
        <v>0</v>
      </c>
      <c r="AC89" s="149" t="n">
        <f aca="false">AC88+'Volumes por intervalo'!R88</f>
        <v>0</v>
      </c>
      <c r="AD89" s="149" t="n">
        <f aca="false">AD88+'Volumes por intervalo'!S88</f>
        <v>0</v>
      </c>
    </row>
    <row r="90" customFormat="false" ht="15" hidden="false" customHeight="false" outlineLevel="0" collapsed="false">
      <c r="A90" s="138" t="s">
        <v>1731</v>
      </c>
      <c r="B90" s="146" t="n">
        <v>88</v>
      </c>
      <c r="C90" s="144" t="n">
        <v>1760</v>
      </c>
      <c r="D90" s="138" t="s">
        <v>1565</v>
      </c>
      <c r="E90" s="138" t="s">
        <v>1566</v>
      </c>
      <c r="F90" s="147" t="n">
        <v>11</v>
      </c>
      <c r="G90" s="148" t="n">
        <v>0</v>
      </c>
      <c r="H90" s="148" t="n">
        <v>0</v>
      </c>
      <c r="I90" s="138" t="s">
        <v>1642</v>
      </c>
      <c r="J90" s="138"/>
      <c r="K90" s="146" t="n">
        <f aca="false">Parâmetros!$C$4*(F90+2*Parâmetros!$D$4+Parâmetros!$C$4*Parâmetros!$E$4)</f>
        <v>0.5525</v>
      </c>
      <c r="L90" s="146" t="n">
        <f aca="false">Parâmetros!$C$5*(F90+2*Parâmetros!$D$5+Parâmetros!$C$5*Parâmetros!$E$5)</f>
        <v>1.8176</v>
      </c>
      <c r="M90" s="146" t="n">
        <f aca="false">Parâmetros!$C$6*(F90+2*Parâmetros!$D$6+Parâmetros!$C$6*Parâmetros!$E$6)</f>
        <v>2.384</v>
      </c>
      <c r="N90" s="146" t="n">
        <f aca="false">Parâmetros!$C$7*(F90+2*Parâmetros!$D$7+Parâmetros!$C$7*Parâmetros!$E$7)</f>
        <v>3.786</v>
      </c>
      <c r="O90" s="146" t="n">
        <f aca="false">F90+2*Parâmetros!$D$8</f>
        <v>11.2</v>
      </c>
      <c r="P90" s="146" t="n">
        <f aca="false">F90+2*Parâmetros!$D$10</f>
        <v>12.92</v>
      </c>
      <c r="Q90" s="146" t="n">
        <f aca="false">G90+H90</f>
        <v>0</v>
      </c>
      <c r="S90" s="149" t="n">
        <f aca="false">S89+'Volumes por intervalo'!C89*(F89+F90)/2</f>
        <v>19398</v>
      </c>
      <c r="T90" s="149" t="n">
        <f aca="false">T89+'Volumes por intervalo'!H89</f>
        <v>974.299999999999</v>
      </c>
      <c r="U90" s="149" t="n">
        <f aca="false">U89+'Volumes por intervalo'!J89</f>
        <v>3205.056</v>
      </c>
      <c r="V90" s="149" t="n">
        <f aca="false">V89+'Volumes por intervalo'!K89</f>
        <v>4203.44</v>
      </c>
      <c r="W90" s="149" t="n">
        <f aca="false">W89+'Volumes por intervalo'!L89</f>
        <v>6674.76000000001</v>
      </c>
      <c r="X90" s="149" t="n">
        <f aca="false">X89+'Volumes por intervalo'!M89</f>
        <v>19750</v>
      </c>
      <c r="Y90" s="149" t="n">
        <f aca="false">Y89+'Volumes por intervalo'!N89</f>
        <v>19750</v>
      </c>
      <c r="Z90" s="149" t="n">
        <f aca="false">Z89+'Volumes por intervalo'!O89</f>
        <v>22777.2</v>
      </c>
      <c r="AA90" s="149" t="n">
        <f aca="false">AA89+'Volumes por intervalo'!P89</f>
        <v>0</v>
      </c>
      <c r="AB90" s="149" t="n">
        <f aca="false">AB89+'Volumes por intervalo'!Q89</f>
        <v>0</v>
      </c>
      <c r="AC90" s="149" t="n">
        <f aca="false">AC89+'Volumes por intervalo'!R89</f>
        <v>0</v>
      </c>
      <c r="AD90" s="149" t="n">
        <f aca="false">AD89+'Volumes por intervalo'!S89</f>
        <v>0</v>
      </c>
    </row>
    <row r="91" customFormat="false" ht="15" hidden="false" customHeight="false" outlineLevel="0" collapsed="false">
      <c r="A91" s="138" t="s">
        <v>1732</v>
      </c>
      <c r="B91" s="146" t="n">
        <v>89</v>
      </c>
      <c r="C91" s="144" t="n">
        <v>1780</v>
      </c>
      <c r="D91" s="138" t="s">
        <v>1565</v>
      </c>
      <c r="E91" s="138" t="s">
        <v>1566</v>
      </c>
      <c r="F91" s="147" t="n">
        <v>11</v>
      </c>
      <c r="G91" s="148" t="n">
        <v>0</v>
      </c>
      <c r="H91" s="148" t="n">
        <v>0</v>
      </c>
      <c r="I91" s="138" t="s">
        <v>1642</v>
      </c>
      <c r="J91" s="138"/>
      <c r="K91" s="146" t="n">
        <f aca="false">Parâmetros!$C$4*(F91+2*Parâmetros!$D$4+Parâmetros!$C$4*Parâmetros!$E$4)</f>
        <v>0.5525</v>
      </c>
      <c r="L91" s="146" t="n">
        <f aca="false">Parâmetros!$C$5*(F91+2*Parâmetros!$D$5+Parâmetros!$C$5*Parâmetros!$E$5)</f>
        <v>1.8176</v>
      </c>
      <c r="M91" s="146" t="n">
        <f aca="false">Parâmetros!$C$6*(F91+2*Parâmetros!$D$6+Parâmetros!$C$6*Parâmetros!$E$6)</f>
        <v>2.384</v>
      </c>
      <c r="N91" s="146" t="n">
        <f aca="false">Parâmetros!$C$7*(F91+2*Parâmetros!$D$7+Parâmetros!$C$7*Parâmetros!$E$7)</f>
        <v>3.786</v>
      </c>
      <c r="O91" s="146" t="n">
        <f aca="false">F91+2*Parâmetros!$D$8</f>
        <v>11.2</v>
      </c>
      <c r="P91" s="146" t="n">
        <f aca="false">F91+2*Parâmetros!$D$10</f>
        <v>12.92</v>
      </c>
      <c r="Q91" s="146" t="n">
        <f aca="false">G91+H91</f>
        <v>0</v>
      </c>
      <c r="S91" s="149" t="n">
        <f aca="false">S90+'Volumes por intervalo'!C90*(F90+F91)/2</f>
        <v>19618</v>
      </c>
      <c r="T91" s="149" t="n">
        <f aca="false">T90+'Volumes por intervalo'!H90</f>
        <v>985.349999999999</v>
      </c>
      <c r="U91" s="149" t="n">
        <f aca="false">U90+'Volumes por intervalo'!J90</f>
        <v>3241.408</v>
      </c>
      <c r="V91" s="149" t="n">
        <f aca="false">V90+'Volumes por intervalo'!K90</f>
        <v>4251.12</v>
      </c>
      <c r="W91" s="149" t="n">
        <f aca="false">W90+'Volumes por intervalo'!L90</f>
        <v>6750.48000000001</v>
      </c>
      <c r="X91" s="149" t="n">
        <f aca="false">X90+'Volumes por intervalo'!M90</f>
        <v>19974</v>
      </c>
      <c r="Y91" s="149" t="n">
        <f aca="false">Y90+'Volumes por intervalo'!N90</f>
        <v>19974</v>
      </c>
      <c r="Z91" s="149" t="n">
        <f aca="false">Z90+'Volumes por intervalo'!O90</f>
        <v>23035.6</v>
      </c>
      <c r="AA91" s="149" t="n">
        <f aca="false">AA90+'Volumes por intervalo'!P90</f>
        <v>0</v>
      </c>
      <c r="AB91" s="149" t="n">
        <f aca="false">AB90+'Volumes por intervalo'!Q90</f>
        <v>0</v>
      </c>
      <c r="AC91" s="149" t="n">
        <f aca="false">AC90+'Volumes por intervalo'!R90</f>
        <v>0</v>
      </c>
      <c r="AD91" s="149" t="n">
        <f aca="false">AD90+'Volumes por intervalo'!S90</f>
        <v>0</v>
      </c>
    </row>
    <row r="92" customFormat="false" ht="15" hidden="false" customHeight="false" outlineLevel="0" collapsed="false">
      <c r="A92" s="138" t="s">
        <v>1733</v>
      </c>
      <c r="B92" s="146" t="n">
        <v>90</v>
      </c>
      <c r="C92" s="144" t="n">
        <v>1800</v>
      </c>
      <c r="D92" s="138" t="s">
        <v>1565</v>
      </c>
      <c r="E92" s="138" t="s">
        <v>1566</v>
      </c>
      <c r="F92" s="147" t="n">
        <v>11</v>
      </c>
      <c r="G92" s="148" t="n">
        <v>0</v>
      </c>
      <c r="H92" s="148" t="n">
        <v>0</v>
      </c>
      <c r="I92" s="138" t="s">
        <v>1642</v>
      </c>
      <c r="J92" s="138"/>
      <c r="K92" s="146" t="n">
        <f aca="false">Parâmetros!$C$4*(F92+2*Parâmetros!$D$4+Parâmetros!$C$4*Parâmetros!$E$4)</f>
        <v>0.5525</v>
      </c>
      <c r="L92" s="146" t="n">
        <f aca="false">Parâmetros!$C$5*(F92+2*Parâmetros!$D$5+Parâmetros!$C$5*Parâmetros!$E$5)</f>
        <v>1.8176</v>
      </c>
      <c r="M92" s="146" t="n">
        <f aca="false">Parâmetros!$C$6*(F92+2*Parâmetros!$D$6+Parâmetros!$C$6*Parâmetros!$E$6)</f>
        <v>2.384</v>
      </c>
      <c r="N92" s="146" t="n">
        <f aca="false">Parâmetros!$C$7*(F92+2*Parâmetros!$D$7+Parâmetros!$C$7*Parâmetros!$E$7)</f>
        <v>3.786</v>
      </c>
      <c r="O92" s="146" t="n">
        <f aca="false">F92+2*Parâmetros!$D$8</f>
        <v>11.2</v>
      </c>
      <c r="P92" s="146" t="n">
        <f aca="false">F92+2*Parâmetros!$D$10</f>
        <v>12.92</v>
      </c>
      <c r="Q92" s="146" t="n">
        <f aca="false">G92+H92</f>
        <v>0</v>
      </c>
      <c r="S92" s="149" t="n">
        <f aca="false">S91+'Volumes por intervalo'!C91*(F91+F92)/2</f>
        <v>19838</v>
      </c>
      <c r="T92" s="149" t="n">
        <f aca="false">T91+'Volumes por intervalo'!H91</f>
        <v>996.399999999999</v>
      </c>
      <c r="U92" s="149" t="n">
        <f aca="false">U91+'Volumes por intervalo'!J91</f>
        <v>3277.76</v>
      </c>
      <c r="V92" s="149" t="n">
        <f aca="false">V91+'Volumes por intervalo'!K91</f>
        <v>4298.8</v>
      </c>
      <c r="W92" s="149" t="n">
        <f aca="false">W91+'Volumes por intervalo'!L91</f>
        <v>6826.20000000001</v>
      </c>
      <c r="X92" s="149" t="n">
        <f aca="false">X91+'Volumes por intervalo'!M91</f>
        <v>20198</v>
      </c>
      <c r="Y92" s="149" t="n">
        <f aca="false">Y91+'Volumes por intervalo'!N91</f>
        <v>20198</v>
      </c>
      <c r="Z92" s="149" t="n">
        <f aca="false">Z91+'Volumes por intervalo'!O91</f>
        <v>23294</v>
      </c>
      <c r="AA92" s="149" t="n">
        <f aca="false">AA91+'Volumes por intervalo'!P91</f>
        <v>0</v>
      </c>
      <c r="AB92" s="149" t="n">
        <f aca="false">AB91+'Volumes por intervalo'!Q91</f>
        <v>0</v>
      </c>
      <c r="AC92" s="149" t="n">
        <f aca="false">AC91+'Volumes por intervalo'!R91</f>
        <v>0</v>
      </c>
      <c r="AD92" s="149" t="n">
        <f aca="false">AD91+'Volumes por intervalo'!S91</f>
        <v>0</v>
      </c>
    </row>
    <row r="93" customFormat="false" ht="15" hidden="false" customHeight="false" outlineLevel="0" collapsed="false">
      <c r="A93" s="138" t="s">
        <v>1734</v>
      </c>
      <c r="B93" s="146" t="n">
        <v>91</v>
      </c>
      <c r="C93" s="144" t="n">
        <v>1820</v>
      </c>
      <c r="D93" s="138" t="s">
        <v>1565</v>
      </c>
      <c r="E93" s="138" t="s">
        <v>1566</v>
      </c>
      <c r="F93" s="147" t="n">
        <v>11</v>
      </c>
      <c r="G93" s="148" t="n">
        <v>0</v>
      </c>
      <c r="H93" s="148" t="n">
        <v>0</v>
      </c>
      <c r="I93" s="138" t="s">
        <v>1642</v>
      </c>
      <c r="J93" s="138"/>
      <c r="K93" s="146" t="n">
        <f aca="false">Parâmetros!$C$4*(F93+2*Parâmetros!$D$4+Parâmetros!$C$4*Parâmetros!$E$4)</f>
        <v>0.5525</v>
      </c>
      <c r="L93" s="146" t="n">
        <f aca="false">Parâmetros!$C$5*(F93+2*Parâmetros!$D$5+Parâmetros!$C$5*Parâmetros!$E$5)</f>
        <v>1.8176</v>
      </c>
      <c r="M93" s="146" t="n">
        <f aca="false">Parâmetros!$C$6*(F93+2*Parâmetros!$D$6+Parâmetros!$C$6*Parâmetros!$E$6)</f>
        <v>2.384</v>
      </c>
      <c r="N93" s="146" t="n">
        <f aca="false">Parâmetros!$C$7*(F93+2*Parâmetros!$D$7+Parâmetros!$C$7*Parâmetros!$E$7)</f>
        <v>3.786</v>
      </c>
      <c r="O93" s="146" t="n">
        <f aca="false">F93+2*Parâmetros!$D$8</f>
        <v>11.2</v>
      </c>
      <c r="P93" s="146" t="n">
        <f aca="false">F93+2*Parâmetros!$D$10</f>
        <v>12.92</v>
      </c>
      <c r="Q93" s="146" t="n">
        <f aca="false">G93+H93</f>
        <v>0</v>
      </c>
      <c r="S93" s="149" t="n">
        <f aca="false">S92+'Volumes por intervalo'!C92*(F92+F93)/2</f>
        <v>20058</v>
      </c>
      <c r="T93" s="149" t="n">
        <f aca="false">T92+'Volumes por intervalo'!H92</f>
        <v>1007.45</v>
      </c>
      <c r="U93" s="149" t="n">
        <f aca="false">U92+'Volumes por intervalo'!J92</f>
        <v>3314.112</v>
      </c>
      <c r="V93" s="149" t="n">
        <f aca="false">V92+'Volumes por intervalo'!K92</f>
        <v>4346.48</v>
      </c>
      <c r="W93" s="149" t="n">
        <f aca="false">W92+'Volumes por intervalo'!L92</f>
        <v>6901.92000000001</v>
      </c>
      <c r="X93" s="149" t="n">
        <f aca="false">X92+'Volumes por intervalo'!M92</f>
        <v>20422</v>
      </c>
      <c r="Y93" s="149" t="n">
        <f aca="false">Y92+'Volumes por intervalo'!N92</f>
        <v>20422</v>
      </c>
      <c r="Z93" s="149" t="n">
        <f aca="false">Z92+'Volumes por intervalo'!O92</f>
        <v>23552.4</v>
      </c>
      <c r="AA93" s="149" t="n">
        <f aca="false">AA92+'Volumes por intervalo'!P92</f>
        <v>0</v>
      </c>
      <c r="AB93" s="149" t="n">
        <f aca="false">AB92+'Volumes por intervalo'!Q92</f>
        <v>0</v>
      </c>
      <c r="AC93" s="149" t="n">
        <f aca="false">AC92+'Volumes por intervalo'!R92</f>
        <v>0</v>
      </c>
      <c r="AD93" s="149" t="n">
        <f aca="false">AD92+'Volumes por intervalo'!S92</f>
        <v>0</v>
      </c>
    </row>
    <row r="94" customFormat="false" ht="15" hidden="false" customHeight="false" outlineLevel="0" collapsed="false">
      <c r="A94" s="138" t="s">
        <v>1735</v>
      </c>
      <c r="B94" s="146" t="n">
        <v>92</v>
      </c>
      <c r="C94" s="144" t="n">
        <v>1840</v>
      </c>
      <c r="D94" s="138" t="s">
        <v>1565</v>
      </c>
      <c r="E94" s="138" t="s">
        <v>1566</v>
      </c>
      <c r="F94" s="147" t="n">
        <v>11</v>
      </c>
      <c r="G94" s="148" t="n">
        <v>0</v>
      </c>
      <c r="H94" s="148" t="n">
        <v>0</v>
      </c>
      <c r="I94" s="138" t="s">
        <v>1642</v>
      </c>
      <c r="J94" s="138"/>
      <c r="K94" s="146" t="n">
        <f aca="false">Parâmetros!$C$4*(F94+2*Parâmetros!$D$4+Parâmetros!$C$4*Parâmetros!$E$4)</f>
        <v>0.5525</v>
      </c>
      <c r="L94" s="146" t="n">
        <f aca="false">Parâmetros!$C$5*(F94+2*Parâmetros!$D$5+Parâmetros!$C$5*Parâmetros!$E$5)</f>
        <v>1.8176</v>
      </c>
      <c r="M94" s="146" t="n">
        <f aca="false">Parâmetros!$C$6*(F94+2*Parâmetros!$D$6+Parâmetros!$C$6*Parâmetros!$E$6)</f>
        <v>2.384</v>
      </c>
      <c r="N94" s="146" t="n">
        <f aca="false">Parâmetros!$C$7*(F94+2*Parâmetros!$D$7+Parâmetros!$C$7*Parâmetros!$E$7)</f>
        <v>3.786</v>
      </c>
      <c r="O94" s="146" t="n">
        <f aca="false">F94+2*Parâmetros!$D$8</f>
        <v>11.2</v>
      </c>
      <c r="P94" s="146" t="n">
        <f aca="false">F94+2*Parâmetros!$D$10</f>
        <v>12.92</v>
      </c>
      <c r="Q94" s="146" t="n">
        <f aca="false">G94+H94</f>
        <v>0</v>
      </c>
      <c r="S94" s="149" t="n">
        <f aca="false">S93+'Volumes por intervalo'!C93*(F93+F94)/2</f>
        <v>20278</v>
      </c>
      <c r="T94" s="149" t="n">
        <f aca="false">T93+'Volumes por intervalo'!H93</f>
        <v>1018.5</v>
      </c>
      <c r="U94" s="149" t="n">
        <f aca="false">U93+'Volumes por intervalo'!J93</f>
        <v>3350.464</v>
      </c>
      <c r="V94" s="149" t="n">
        <f aca="false">V93+'Volumes por intervalo'!K93</f>
        <v>4394.16</v>
      </c>
      <c r="W94" s="149" t="n">
        <f aca="false">W93+'Volumes por intervalo'!L93</f>
        <v>6977.64000000001</v>
      </c>
      <c r="X94" s="149" t="n">
        <f aca="false">X93+'Volumes por intervalo'!M93</f>
        <v>20646</v>
      </c>
      <c r="Y94" s="149" t="n">
        <f aca="false">Y93+'Volumes por intervalo'!N93</f>
        <v>20646</v>
      </c>
      <c r="Z94" s="149" t="n">
        <f aca="false">Z93+'Volumes por intervalo'!O93</f>
        <v>23810.8</v>
      </c>
      <c r="AA94" s="149" t="n">
        <f aca="false">AA93+'Volumes por intervalo'!P93</f>
        <v>0</v>
      </c>
      <c r="AB94" s="149" t="n">
        <f aca="false">AB93+'Volumes por intervalo'!Q93</f>
        <v>0</v>
      </c>
      <c r="AC94" s="149" t="n">
        <f aca="false">AC93+'Volumes por intervalo'!R93</f>
        <v>0</v>
      </c>
      <c r="AD94" s="149" t="n">
        <f aca="false">AD93+'Volumes por intervalo'!S93</f>
        <v>0</v>
      </c>
    </row>
    <row r="95" customFormat="false" ht="15" hidden="false" customHeight="false" outlineLevel="0" collapsed="false">
      <c r="A95" s="138" t="s">
        <v>1736</v>
      </c>
      <c r="B95" s="146" t="n">
        <v>93</v>
      </c>
      <c r="C95" s="144" t="n">
        <v>1860</v>
      </c>
      <c r="D95" s="138" t="s">
        <v>1565</v>
      </c>
      <c r="E95" s="138" t="s">
        <v>1566</v>
      </c>
      <c r="F95" s="147" t="n">
        <v>11</v>
      </c>
      <c r="G95" s="148" t="n">
        <v>0</v>
      </c>
      <c r="H95" s="148" t="n">
        <v>0</v>
      </c>
      <c r="I95" s="138" t="s">
        <v>1642</v>
      </c>
      <c r="J95" s="138"/>
      <c r="K95" s="146" t="n">
        <f aca="false">Parâmetros!$C$4*(F95+2*Parâmetros!$D$4+Parâmetros!$C$4*Parâmetros!$E$4)</f>
        <v>0.5525</v>
      </c>
      <c r="L95" s="146" t="n">
        <f aca="false">Parâmetros!$C$5*(F95+2*Parâmetros!$D$5+Parâmetros!$C$5*Parâmetros!$E$5)</f>
        <v>1.8176</v>
      </c>
      <c r="M95" s="146" t="n">
        <f aca="false">Parâmetros!$C$6*(F95+2*Parâmetros!$D$6+Parâmetros!$C$6*Parâmetros!$E$6)</f>
        <v>2.384</v>
      </c>
      <c r="N95" s="146" t="n">
        <f aca="false">Parâmetros!$C$7*(F95+2*Parâmetros!$D$7+Parâmetros!$C$7*Parâmetros!$E$7)</f>
        <v>3.786</v>
      </c>
      <c r="O95" s="146" t="n">
        <f aca="false">F95+2*Parâmetros!$D$8</f>
        <v>11.2</v>
      </c>
      <c r="P95" s="146" t="n">
        <f aca="false">F95+2*Parâmetros!$D$10</f>
        <v>12.92</v>
      </c>
      <c r="Q95" s="146" t="n">
        <f aca="false">G95+H95</f>
        <v>0</v>
      </c>
      <c r="S95" s="149" t="n">
        <f aca="false">S94+'Volumes por intervalo'!C94*(F94+F95)/2</f>
        <v>20498</v>
      </c>
      <c r="T95" s="149" t="n">
        <f aca="false">T94+'Volumes por intervalo'!H94</f>
        <v>1029.55</v>
      </c>
      <c r="U95" s="149" t="n">
        <f aca="false">U94+'Volumes por intervalo'!J94</f>
        <v>3386.816</v>
      </c>
      <c r="V95" s="149" t="n">
        <f aca="false">V94+'Volumes por intervalo'!K94</f>
        <v>4441.84</v>
      </c>
      <c r="W95" s="149" t="n">
        <f aca="false">W94+'Volumes por intervalo'!L94</f>
        <v>7053.36000000001</v>
      </c>
      <c r="X95" s="149" t="n">
        <f aca="false">X94+'Volumes por intervalo'!M94</f>
        <v>20870</v>
      </c>
      <c r="Y95" s="149" t="n">
        <f aca="false">Y94+'Volumes por intervalo'!N94</f>
        <v>20870</v>
      </c>
      <c r="Z95" s="149" t="n">
        <f aca="false">Z94+'Volumes por intervalo'!O94</f>
        <v>24069.2</v>
      </c>
      <c r="AA95" s="149" t="n">
        <f aca="false">AA94+'Volumes por intervalo'!P94</f>
        <v>0</v>
      </c>
      <c r="AB95" s="149" t="n">
        <f aca="false">AB94+'Volumes por intervalo'!Q94</f>
        <v>0</v>
      </c>
      <c r="AC95" s="149" t="n">
        <f aca="false">AC94+'Volumes por intervalo'!R94</f>
        <v>0</v>
      </c>
      <c r="AD95" s="149" t="n">
        <f aca="false">AD94+'Volumes por intervalo'!S94</f>
        <v>0</v>
      </c>
    </row>
    <row r="96" customFormat="false" ht="15" hidden="false" customHeight="false" outlineLevel="0" collapsed="false">
      <c r="A96" s="138" t="s">
        <v>1737</v>
      </c>
      <c r="B96" s="146" t="n">
        <v>94</v>
      </c>
      <c r="C96" s="144" t="n">
        <v>1880</v>
      </c>
      <c r="D96" s="138" t="s">
        <v>1565</v>
      </c>
      <c r="E96" s="138" t="s">
        <v>1566</v>
      </c>
      <c r="F96" s="147" t="n">
        <v>11</v>
      </c>
      <c r="G96" s="148" t="n">
        <v>0</v>
      </c>
      <c r="H96" s="148" t="n">
        <v>0</v>
      </c>
      <c r="I96" s="138" t="s">
        <v>1642</v>
      </c>
      <c r="J96" s="138"/>
      <c r="K96" s="146" t="n">
        <f aca="false">Parâmetros!$C$4*(F96+2*Parâmetros!$D$4+Parâmetros!$C$4*Parâmetros!$E$4)</f>
        <v>0.5525</v>
      </c>
      <c r="L96" s="146" t="n">
        <f aca="false">Parâmetros!$C$5*(F96+2*Parâmetros!$D$5+Parâmetros!$C$5*Parâmetros!$E$5)</f>
        <v>1.8176</v>
      </c>
      <c r="M96" s="146" t="n">
        <f aca="false">Parâmetros!$C$6*(F96+2*Parâmetros!$D$6+Parâmetros!$C$6*Parâmetros!$E$6)</f>
        <v>2.384</v>
      </c>
      <c r="N96" s="146" t="n">
        <f aca="false">Parâmetros!$C$7*(F96+2*Parâmetros!$D$7+Parâmetros!$C$7*Parâmetros!$E$7)</f>
        <v>3.786</v>
      </c>
      <c r="O96" s="146" t="n">
        <f aca="false">F96+2*Parâmetros!$D$8</f>
        <v>11.2</v>
      </c>
      <c r="P96" s="146" t="n">
        <f aca="false">F96+2*Parâmetros!$D$10</f>
        <v>12.92</v>
      </c>
      <c r="Q96" s="146" t="n">
        <f aca="false">G96+H96</f>
        <v>0</v>
      </c>
      <c r="S96" s="149" t="n">
        <f aca="false">S95+'Volumes por intervalo'!C95*(F95+F96)/2</f>
        <v>20718</v>
      </c>
      <c r="T96" s="149" t="n">
        <f aca="false">T95+'Volumes por intervalo'!H95</f>
        <v>1040.6</v>
      </c>
      <c r="U96" s="149" t="n">
        <f aca="false">U95+'Volumes por intervalo'!J95</f>
        <v>3423.168</v>
      </c>
      <c r="V96" s="149" t="n">
        <f aca="false">V95+'Volumes por intervalo'!K95</f>
        <v>4489.52</v>
      </c>
      <c r="W96" s="149" t="n">
        <f aca="false">W95+'Volumes por intervalo'!L95</f>
        <v>7129.08000000001</v>
      </c>
      <c r="X96" s="149" t="n">
        <f aca="false">X95+'Volumes por intervalo'!M95</f>
        <v>21094</v>
      </c>
      <c r="Y96" s="149" t="n">
        <f aca="false">Y95+'Volumes por intervalo'!N95</f>
        <v>21094</v>
      </c>
      <c r="Z96" s="149" t="n">
        <f aca="false">Z95+'Volumes por intervalo'!O95</f>
        <v>24327.6</v>
      </c>
      <c r="AA96" s="149" t="n">
        <f aca="false">AA95+'Volumes por intervalo'!P95</f>
        <v>0</v>
      </c>
      <c r="AB96" s="149" t="n">
        <f aca="false">AB95+'Volumes por intervalo'!Q95</f>
        <v>0</v>
      </c>
      <c r="AC96" s="149" t="n">
        <f aca="false">AC95+'Volumes por intervalo'!R95</f>
        <v>0</v>
      </c>
      <c r="AD96" s="149" t="n">
        <f aca="false">AD95+'Volumes por intervalo'!S95</f>
        <v>0</v>
      </c>
    </row>
    <row r="97" customFormat="false" ht="15" hidden="false" customHeight="false" outlineLevel="0" collapsed="false">
      <c r="A97" s="138" t="s">
        <v>1738</v>
      </c>
      <c r="B97" s="146" t="n">
        <v>95</v>
      </c>
      <c r="C97" s="144" t="n">
        <v>1900</v>
      </c>
      <c r="D97" s="138" t="s">
        <v>1565</v>
      </c>
      <c r="E97" s="138" t="s">
        <v>1566</v>
      </c>
      <c r="F97" s="147" t="n">
        <v>11</v>
      </c>
      <c r="G97" s="148" t="n">
        <v>0</v>
      </c>
      <c r="H97" s="148" t="n">
        <v>0</v>
      </c>
      <c r="I97" s="138" t="s">
        <v>1642</v>
      </c>
      <c r="J97" s="138" t="s">
        <v>1739</v>
      </c>
      <c r="K97" s="146" t="n">
        <f aca="false">Parâmetros!$C$4*(F97+2*Parâmetros!$D$4+Parâmetros!$C$4*Parâmetros!$E$4)</f>
        <v>0.5525</v>
      </c>
      <c r="L97" s="146" t="n">
        <f aca="false">Parâmetros!$C$5*(F97+2*Parâmetros!$D$5+Parâmetros!$C$5*Parâmetros!$E$5)</f>
        <v>1.8176</v>
      </c>
      <c r="M97" s="146" t="n">
        <f aca="false">Parâmetros!$C$6*(F97+2*Parâmetros!$D$6+Parâmetros!$C$6*Parâmetros!$E$6)</f>
        <v>2.384</v>
      </c>
      <c r="N97" s="146" t="n">
        <f aca="false">Parâmetros!$C$7*(F97+2*Parâmetros!$D$7+Parâmetros!$C$7*Parâmetros!$E$7)</f>
        <v>3.786</v>
      </c>
      <c r="O97" s="146" t="n">
        <f aca="false">F97+2*Parâmetros!$D$8</f>
        <v>11.2</v>
      </c>
      <c r="P97" s="146" t="n">
        <f aca="false">F97+2*Parâmetros!$D$10</f>
        <v>12.92</v>
      </c>
      <c r="Q97" s="146" t="n">
        <f aca="false">G97+H97</f>
        <v>0</v>
      </c>
      <c r="S97" s="149" t="n">
        <f aca="false">S96+'Volumes por intervalo'!C96*(F96+F97)/2</f>
        <v>20938</v>
      </c>
      <c r="T97" s="149" t="n">
        <f aca="false">T96+'Volumes por intervalo'!H96</f>
        <v>1051.65</v>
      </c>
      <c r="U97" s="149" t="n">
        <f aca="false">U96+'Volumes por intervalo'!J96</f>
        <v>3459.52</v>
      </c>
      <c r="V97" s="149" t="n">
        <f aca="false">V96+'Volumes por intervalo'!K96</f>
        <v>4537.2</v>
      </c>
      <c r="W97" s="149" t="n">
        <f aca="false">W96+'Volumes por intervalo'!L96</f>
        <v>7204.80000000001</v>
      </c>
      <c r="X97" s="149" t="n">
        <f aca="false">X96+'Volumes por intervalo'!M96</f>
        <v>21318</v>
      </c>
      <c r="Y97" s="149" t="n">
        <f aca="false">Y96+'Volumes por intervalo'!N96</f>
        <v>21318</v>
      </c>
      <c r="Z97" s="149" t="n">
        <f aca="false">Z96+'Volumes por intervalo'!O96</f>
        <v>24586</v>
      </c>
      <c r="AA97" s="149" t="n">
        <f aca="false">AA96+'Volumes por intervalo'!P96</f>
        <v>0</v>
      </c>
      <c r="AB97" s="149" t="n">
        <f aca="false">AB96+'Volumes por intervalo'!Q96</f>
        <v>0</v>
      </c>
      <c r="AC97" s="149" t="n">
        <f aca="false">AC96+'Volumes por intervalo'!R96</f>
        <v>0</v>
      </c>
      <c r="AD97" s="149" t="n">
        <f aca="false">AD96+'Volumes por intervalo'!S96</f>
        <v>0</v>
      </c>
    </row>
    <row r="98" customFormat="false" ht="15" hidden="false" customHeight="false" outlineLevel="0" collapsed="false">
      <c r="A98" s="138" t="s">
        <v>1740</v>
      </c>
      <c r="B98" s="146" t="n">
        <v>96</v>
      </c>
      <c r="C98" s="144" t="n">
        <v>1920</v>
      </c>
      <c r="D98" s="138" t="s">
        <v>1565</v>
      </c>
      <c r="E98" s="138" t="s">
        <v>1566</v>
      </c>
      <c r="F98" s="147" t="n">
        <v>11</v>
      </c>
      <c r="G98" s="148" t="n">
        <v>0</v>
      </c>
      <c r="H98" s="148" t="n">
        <v>0</v>
      </c>
      <c r="I98" s="138" t="s">
        <v>1642</v>
      </c>
      <c r="J98" s="138"/>
      <c r="K98" s="146" t="n">
        <f aca="false">Parâmetros!$C$4*(F98+2*Parâmetros!$D$4+Parâmetros!$C$4*Parâmetros!$E$4)</f>
        <v>0.5525</v>
      </c>
      <c r="L98" s="146" t="n">
        <f aca="false">Parâmetros!$C$5*(F98+2*Parâmetros!$D$5+Parâmetros!$C$5*Parâmetros!$E$5)</f>
        <v>1.8176</v>
      </c>
      <c r="M98" s="146" t="n">
        <f aca="false">Parâmetros!$C$6*(F98+2*Parâmetros!$D$6+Parâmetros!$C$6*Parâmetros!$E$6)</f>
        <v>2.384</v>
      </c>
      <c r="N98" s="146" t="n">
        <f aca="false">Parâmetros!$C$7*(F98+2*Parâmetros!$D$7+Parâmetros!$C$7*Parâmetros!$E$7)</f>
        <v>3.786</v>
      </c>
      <c r="O98" s="146" t="n">
        <f aca="false">F98+2*Parâmetros!$D$8</f>
        <v>11.2</v>
      </c>
      <c r="P98" s="146" t="n">
        <f aca="false">F98+2*Parâmetros!$D$10</f>
        <v>12.92</v>
      </c>
      <c r="Q98" s="146" t="n">
        <f aca="false">G98+H98</f>
        <v>0</v>
      </c>
      <c r="S98" s="149" t="n">
        <f aca="false">S97+'Volumes por intervalo'!C97*(F97+F98)/2</f>
        <v>21158</v>
      </c>
      <c r="T98" s="149" t="n">
        <f aca="false">T97+'Volumes por intervalo'!H97</f>
        <v>1062.7</v>
      </c>
      <c r="U98" s="149" t="n">
        <f aca="false">U97+'Volumes por intervalo'!J97</f>
        <v>3495.872</v>
      </c>
      <c r="V98" s="149" t="n">
        <f aca="false">V97+'Volumes por intervalo'!K97</f>
        <v>4584.88</v>
      </c>
      <c r="W98" s="149" t="n">
        <f aca="false">W97+'Volumes por intervalo'!L97</f>
        <v>7280.52000000001</v>
      </c>
      <c r="X98" s="149" t="n">
        <f aca="false">X97+'Volumes por intervalo'!M97</f>
        <v>21542</v>
      </c>
      <c r="Y98" s="149" t="n">
        <f aca="false">Y97+'Volumes por intervalo'!N97</f>
        <v>21542</v>
      </c>
      <c r="Z98" s="149" t="n">
        <f aca="false">Z97+'Volumes por intervalo'!O97</f>
        <v>24844.4</v>
      </c>
      <c r="AA98" s="149" t="n">
        <f aca="false">AA97+'Volumes por intervalo'!P97</f>
        <v>0</v>
      </c>
      <c r="AB98" s="149" t="n">
        <f aca="false">AB97+'Volumes por intervalo'!Q97</f>
        <v>0</v>
      </c>
      <c r="AC98" s="149" t="n">
        <f aca="false">AC97+'Volumes por intervalo'!R97</f>
        <v>0</v>
      </c>
      <c r="AD98" s="149" t="n">
        <f aca="false">AD97+'Volumes por intervalo'!S97</f>
        <v>0</v>
      </c>
    </row>
    <row r="99" customFormat="false" ht="15" hidden="false" customHeight="false" outlineLevel="0" collapsed="false">
      <c r="A99" s="138" t="s">
        <v>1741</v>
      </c>
      <c r="B99" s="146" t="n">
        <v>97</v>
      </c>
      <c r="C99" s="144" t="n">
        <v>1940</v>
      </c>
      <c r="D99" s="138" t="s">
        <v>1565</v>
      </c>
      <c r="E99" s="138" t="s">
        <v>1566</v>
      </c>
      <c r="F99" s="147" t="n">
        <v>11</v>
      </c>
      <c r="G99" s="148" t="n">
        <v>0</v>
      </c>
      <c r="H99" s="148" t="n">
        <v>0</v>
      </c>
      <c r="I99" s="138" t="s">
        <v>1642</v>
      </c>
      <c r="J99" s="138"/>
      <c r="K99" s="146" t="n">
        <f aca="false">Parâmetros!$C$4*(F99+2*Parâmetros!$D$4+Parâmetros!$C$4*Parâmetros!$E$4)</f>
        <v>0.5525</v>
      </c>
      <c r="L99" s="146" t="n">
        <f aca="false">Parâmetros!$C$5*(F99+2*Parâmetros!$D$5+Parâmetros!$C$5*Parâmetros!$E$5)</f>
        <v>1.8176</v>
      </c>
      <c r="M99" s="146" t="n">
        <f aca="false">Parâmetros!$C$6*(F99+2*Parâmetros!$D$6+Parâmetros!$C$6*Parâmetros!$E$6)</f>
        <v>2.384</v>
      </c>
      <c r="N99" s="146" t="n">
        <f aca="false">Parâmetros!$C$7*(F99+2*Parâmetros!$D$7+Parâmetros!$C$7*Parâmetros!$E$7)</f>
        <v>3.786</v>
      </c>
      <c r="O99" s="146" t="n">
        <f aca="false">F99+2*Parâmetros!$D$8</f>
        <v>11.2</v>
      </c>
      <c r="P99" s="146" t="n">
        <f aca="false">F99+2*Parâmetros!$D$10</f>
        <v>12.92</v>
      </c>
      <c r="Q99" s="146" t="n">
        <f aca="false">G99+H99</f>
        <v>0</v>
      </c>
      <c r="S99" s="149" t="n">
        <f aca="false">S98+'Volumes por intervalo'!C98*(F98+F99)/2</f>
        <v>21378</v>
      </c>
      <c r="T99" s="149" t="n">
        <f aca="false">T98+'Volumes por intervalo'!H98</f>
        <v>1073.75</v>
      </c>
      <c r="U99" s="149" t="n">
        <f aca="false">U98+'Volumes por intervalo'!J98</f>
        <v>3532.224</v>
      </c>
      <c r="V99" s="149" t="n">
        <f aca="false">V98+'Volumes por intervalo'!K98</f>
        <v>4632.56</v>
      </c>
      <c r="W99" s="149" t="n">
        <f aca="false">W98+'Volumes por intervalo'!L98</f>
        <v>7356.24000000001</v>
      </c>
      <c r="X99" s="149" t="n">
        <f aca="false">X98+'Volumes por intervalo'!M98</f>
        <v>21766</v>
      </c>
      <c r="Y99" s="149" t="n">
        <f aca="false">Y98+'Volumes por intervalo'!N98</f>
        <v>21766</v>
      </c>
      <c r="Z99" s="149" t="n">
        <f aca="false">Z98+'Volumes por intervalo'!O98</f>
        <v>25102.8</v>
      </c>
      <c r="AA99" s="149" t="n">
        <f aca="false">AA98+'Volumes por intervalo'!P98</f>
        <v>0</v>
      </c>
      <c r="AB99" s="149" t="n">
        <f aca="false">AB98+'Volumes por intervalo'!Q98</f>
        <v>0</v>
      </c>
      <c r="AC99" s="149" t="n">
        <f aca="false">AC98+'Volumes por intervalo'!R98</f>
        <v>0</v>
      </c>
      <c r="AD99" s="149" t="n">
        <f aca="false">AD98+'Volumes por intervalo'!S98</f>
        <v>0</v>
      </c>
    </row>
    <row r="100" customFormat="false" ht="15" hidden="false" customHeight="false" outlineLevel="0" collapsed="false">
      <c r="A100" s="138" t="s">
        <v>1742</v>
      </c>
      <c r="B100" s="146" t="n">
        <v>98</v>
      </c>
      <c r="C100" s="144" t="n">
        <v>1960</v>
      </c>
      <c r="D100" s="138" t="s">
        <v>1565</v>
      </c>
      <c r="E100" s="138" t="s">
        <v>1566</v>
      </c>
      <c r="F100" s="147" t="n">
        <v>11</v>
      </c>
      <c r="G100" s="148" t="n">
        <v>0</v>
      </c>
      <c r="H100" s="148" t="n">
        <v>0</v>
      </c>
      <c r="I100" s="138" t="s">
        <v>1642</v>
      </c>
      <c r="J100" s="138"/>
      <c r="K100" s="146" t="n">
        <f aca="false">Parâmetros!$C$4*(F100+2*Parâmetros!$D$4+Parâmetros!$C$4*Parâmetros!$E$4)</f>
        <v>0.5525</v>
      </c>
      <c r="L100" s="146" t="n">
        <f aca="false">Parâmetros!$C$5*(F100+2*Parâmetros!$D$5+Parâmetros!$C$5*Parâmetros!$E$5)</f>
        <v>1.8176</v>
      </c>
      <c r="M100" s="146" t="n">
        <f aca="false">Parâmetros!$C$6*(F100+2*Parâmetros!$D$6+Parâmetros!$C$6*Parâmetros!$E$6)</f>
        <v>2.384</v>
      </c>
      <c r="N100" s="146" t="n">
        <f aca="false">Parâmetros!$C$7*(F100+2*Parâmetros!$D$7+Parâmetros!$C$7*Parâmetros!$E$7)</f>
        <v>3.786</v>
      </c>
      <c r="O100" s="146" t="n">
        <f aca="false">F100+2*Parâmetros!$D$8</f>
        <v>11.2</v>
      </c>
      <c r="P100" s="146" t="n">
        <f aca="false">F100+2*Parâmetros!$D$10</f>
        <v>12.92</v>
      </c>
      <c r="Q100" s="146" t="n">
        <f aca="false">G100+H100</f>
        <v>0</v>
      </c>
      <c r="S100" s="149" t="n">
        <f aca="false">S99+'Volumes por intervalo'!C99*(F99+F100)/2</f>
        <v>21598</v>
      </c>
      <c r="T100" s="149" t="n">
        <f aca="false">T99+'Volumes por intervalo'!H99</f>
        <v>1084.8</v>
      </c>
      <c r="U100" s="149" t="n">
        <f aca="false">U99+'Volumes por intervalo'!J99</f>
        <v>3568.576</v>
      </c>
      <c r="V100" s="149" t="n">
        <f aca="false">V99+'Volumes por intervalo'!K99</f>
        <v>4680.24</v>
      </c>
      <c r="W100" s="149" t="n">
        <f aca="false">W99+'Volumes por intervalo'!L99</f>
        <v>7431.96000000001</v>
      </c>
      <c r="X100" s="149" t="n">
        <f aca="false">X99+'Volumes por intervalo'!M99</f>
        <v>21990</v>
      </c>
      <c r="Y100" s="149" t="n">
        <f aca="false">Y99+'Volumes por intervalo'!N99</f>
        <v>21990</v>
      </c>
      <c r="Z100" s="149" t="n">
        <f aca="false">Z99+'Volumes por intervalo'!O99</f>
        <v>25361.2</v>
      </c>
      <c r="AA100" s="149" t="n">
        <f aca="false">AA99+'Volumes por intervalo'!P99</f>
        <v>0</v>
      </c>
      <c r="AB100" s="149" t="n">
        <f aca="false">AB99+'Volumes por intervalo'!Q99</f>
        <v>0</v>
      </c>
      <c r="AC100" s="149" t="n">
        <f aca="false">AC99+'Volumes por intervalo'!R99</f>
        <v>0</v>
      </c>
      <c r="AD100" s="149" t="n">
        <f aca="false">AD99+'Volumes por intervalo'!S99</f>
        <v>0</v>
      </c>
    </row>
    <row r="101" customFormat="false" ht="15" hidden="false" customHeight="false" outlineLevel="0" collapsed="false">
      <c r="A101" s="138" t="s">
        <v>1743</v>
      </c>
      <c r="B101" s="146" t="n">
        <v>99</v>
      </c>
      <c r="C101" s="144" t="n">
        <v>1980</v>
      </c>
      <c r="D101" s="138" t="s">
        <v>1565</v>
      </c>
      <c r="E101" s="138" t="s">
        <v>1566</v>
      </c>
      <c r="F101" s="147" t="n">
        <v>11</v>
      </c>
      <c r="G101" s="148" t="n">
        <v>0</v>
      </c>
      <c r="H101" s="148" t="n">
        <v>0</v>
      </c>
      <c r="I101" s="138" t="s">
        <v>1642</v>
      </c>
      <c r="J101" s="138"/>
      <c r="K101" s="146" t="n">
        <f aca="false">Parâmetros!$C$4*(F101+2*Parâmetros!$D$4+Parâmetros!$C$4*Parâmetros!$E$4)</f>
        <v>0.5525</v>
      </c>
      <c r="L101" s="146" t="n">
        <f aca="false">Parâmetros!$C$5*(F101+2*Parâmetros!$D$5+Parâmetros!$C$5*Parâmetros!$E$5)</f>
        <v>1.8176</v>
      </c>
      <c r="M101" s="146" t="n">
        <f aca="false">Parâmetros!$C$6*(F101+2*Parâmetros!$D$6+Parâmetros!$C$6*Parâmetros!$E$6)</f>
        <v>2.384</v>
      </c>
      <c r="N101" s="146" t="n">
        <f aca="false">Parâmetros!$C$7*(F101+2*Parâmetros!$D$7+Parâmetros!$C$7*Parâmetros!$E$7)</f>
        <v>3.786</v>
      </c>
      <c r="O101" s="146" t="n">
        <f aca="false">F101+2*Parâmetros!$D$8</f>
        <v>11.2</v>
      </c>
      <c r="P101" s="146" t="n">
        <f aca="false">F101+2*Parâmetros!$D$10</f>
        <v>12.92</v>
      </c>
      <c r="Q101" s="146" t="n">
        <f aca="false">G101+H101</f>
        <v>0</v>
      </c>
      <c r="S101" s="149" t="n">
        <f aca="false">S100+'Volumes por intervalo'!C100*(F100+F101)/2</f>
        <v>21818</v>
      </c>
      <c r="T101" s="149" t="n">
        <f aca="false">T100+'Volumes por intervalo'!H100</f>
        <v>1095.85</v>
      </c>
      <c r="U101" s="149" t="n">
        <f aca="false">U100+'Volumes por intervalo'!J100</f>
        <v>3604.928</v>
      </c>
      <c r="V101" s="149" t="n">
        <f aca="false">V100+'Volumes por intervalo'!K100</f>
        <v>4727.92</v>
      </c>
      <c r="W101" s="149" t="n">
        <f aca="false">W100+'Volumes por intervalo'!L100</f>
        <v>7507.68000000001</v>
      </c>
      <c r="X101" s="149" t="n">
        <f aca="false">X100+'Volumes por intervalo'!M100</f>
        <v>22214</v>
      </c>
      <c r="Y101" s="149" t="n">
        <f aca="false">Y100+'Volumes por intervalo'!N100</f>
        <v>22214</v>
      </c>
      <c r="Z101" s="149" t="n">
        <f aca="false">Z100+'Volumes por intervalo'!O100</f>
        <v>25619.6</v>
      </c>
      <c r="AA101" s="149" t="n">
        <f aca="false">AA100+'Volumes por intervalo'!P100</f>
        <v>0</v>
      </c>
      <c r="AB101" s="149" t="n">
        <f aca="false">AB100+'Volumes por intervalo'!Q100</f>
        <v>0</v>
      </c>
      <c r="AC101" s="149" t="n">
        <f aca="false">AC100+'Volumes por intervalo'!R100</f>
        <v>0</v>
      </c>
      <c r="AD101" s="149" t="n">
        <f aca="false">AD100+'Volumes por intervalo'!S100</f>
        <v>0</v>
      </c>
    </row>
    <row r="102" customFormat="false" ht="15" hidden="false" customHeight="false" outlineLevel="0" collapsed="false">
      <c r="A102" s="138" t="s">
        <v>1744</v>
      </c>
      <c r="B102" s="146" t="n">
        <v>100</v>
      </c>
      <c r="C102" s="144" t="n">
        <v>2000</v>
      </c>
      <c r="D102" s="138" t="s">
        <v>1565</v>
      </c>
      <c r="E102" s="138" t="s">
        <v>1566</v>
      </c>
      <c r="F102" s="147" t="n">
        <v>11</v>
      </c>
      <c r="G102" s="148" t="n">
        <v>0</v>
      </c>
      <c r="H102" s="148" t="n">
        <v>0</v>
      </c>
      <c r="I102" s="138" t="s">
        <v>1642</v>
      </c>
      <c r="J102" s="138"/>
      <c r="K102" s="146" t="n">
        <f aca="false">Parâmetros!$C$4*(F102+2*Parâmetros!$D$4+Parâmetros!$C$4*Parâmetros!$E$4)</f>
        <v>0.5525</v>
      </c>
      <c r="L102" s="146" t="n">
        <f aca="false">Parâmetros!$C$5*(F102+2*Parâmetros!$D$5+Parâmetros!$C$5*Parâmetros!$E$5)</f>
        <v>1.8176</v>
      </c>
      <c r="M102" s="146" t="n">
        <f aca="false">Parâmetros!$C$6*(F102+2*Parâmetros!$D$6+Parâmetros!$C$6*Parâmetros!$E$6)</f>
        <v>2.384</v>
      </c>
      <c r="N102" s="146" t="n">
        <f aca="false">Parâmetros!$C$7*(F102+2*Parâmetros!$D$7+Parâmetros!$C$7*Parâmetros!$E$7)</f>
        <v>3.786</v>
      </c>
      <c r="O102" s="146" t="n">
        <f aca="false">F102+2*Parâmetros!$D$8</f>
        <v>11.2</v>
      </c>
      <c r="P102" s="146" t="n">
        <f aca="false">F102+2*Parâmetros!$D$10</f>
        <v>12.92</v>
      </c>
      <c r="Q102" s="146" t="n">
        <f aca="false">G102+H102</f>
        <v>0</v>
      </c>
      <c r="S102" s="149" t="n">
        <f aca="false">S101+'Volumes por intervalo'!C101*(F101+F102)/2</f>
        <v>22038</v>
      </c>
      <c r="T102" s="149" t="n">
        <f aca="false">T101+'Volumes por intervalo'!H101</f>
        <v>1106.9</v>
      </c>
      <c r="U102" s="149" t="n">
        <f aca="false">U101+'Volumes por intervalo'!J101</f>
        <v>3641.28</v>
      </c>
      <c r="V102" s="149" t="n">
        <f aca="false">V101+'Volumes por intervalo'!K101</f>
        <v>4775.6</v>
      </c>
      <c r="W102" s="149" t="n">
        <f aca="false">W101+'Volumes por intervalo'!L101</f>
        <v>7583.40000000001</v>
      </c>
      <c r="X102" s="149" t="n">
        <f aca="false">X101+'Volumes por intervalo'!M101</f>
        <v>22438</v>
      </c>
      <c r="Y102" s="149" t="n">
        <f aca="false">Y101+'Volumes por intervalo'!N101</f>
        <v>22438</v>
      </c>
      <c r="Z102" s="149" t="n">
        <f aca="false">Z101+'Volumes por intervalo'!O101</f>
        <v>25878</v>
      </c>
      <c r="AA102" s="149" t="n">
        <f aca="false">AA101+'Volumes por intervalo'!P101</f>
        <v>0</v>
      </c>
      <c r="AB102" s="149" t="n">
        <f aca="false">AB101+'Volumes por intervalo'!Q101</f>
        <v>0</v>
      </c>
      <c r="AC102" s="149" t="n">
        <f aca="false">AC101+'Volumes por intervalo'!R101</f>
        <v>0</v>
      </c>
      <c r="AD102" s="149" t="n">
        <f aca="false">AD101+'Volumes por intervalo'!S101</f>
        <v>0</v>
      </c>
    </row>
    <row r="103" customFormat="false" ht="15" hidden="false" customHeight="false" outlineLevel="0" collapsed="false">
      <c r="A103" s="138" t="s">
        <v>1745</v>
      </c>
      <c r="B103" s="146" t="n">
        <v>101</v>
      </c>
      <c r="C103" s="144" t="n">
        <v>2020</v>
      </c>
      <c r="D103" s="138" t="s">
        <v>1565</v>
      </c>
      <c r="E103" s="138" t="s">
        <v>1566</v>
      </c>
      <c r="F103" s="147" t="n">
        <v>11</v>
      </c>
      <c r="G103" s="148" t="n">
        <v>0</v>
      </c>
      <c r="H103" s="148" t="n">
        <v>0</v>
      </c>
      <c r="I103" s="138" t="s">
        <v>1642</v>
      </c>
      <c r="J103" s="138"/>
      <c r="K103" s="146" t="n">
        <f aca="false">Parâmetros!$C$4*(F103+2*Parâmetros!$D$4+Parâmetros!$C$4*Parâmetros!$E$4)</f>
        <v>0.5525</v>
      </c>
      <c r="L103" s="146" t="n">
        <f aca="false">Parâmetros!$C$5*(F103+2*Parâmetros!$D$5+Parâmetros!$C$5*Parâmetros!$E$5)</f>
        <v>1.8176</v>
      </c>
      <c r="M103" s="146" t="n">
        <f aca="false">Parâmetros!$C$6*(F103+2*Parâmetros!$D$6+Parâmetros!$C$6*Parâmetros!$E$6)</f>
        <v>2.384</v>
      </c>
      <c r="N103" s="146" t="n">
        <f aca="false">Parâmetros!$C$7*(F103+2*Parâmetros!$D$7+Parâmetros!$C$7*Parâmetros!$E$7)</f>
        <v>3.786</v>
      </c>
      <c r="O103" s="146" t="n">
        <f aca="false">F103+2*Parâmetros!$D$8</f>
        <v>11.2</v>
      </c>
      <c r="P103" s="146" t="n">
        <f aca="false">F103+2*Parâmetros!$D$10</f>
        <v>12.92</v>
      </c>
      <c r="Q103" s="146" t="n">
        <f aca="false">G103+H103</f>
        <v>0</v>
      </c>
      <c r="S103" s="149" t="n">
        <f aca="false">S102+'Volumes por intervalo'!C102*(F102+F103)/2</f>
        <v>22258</v>
      </c>
      <c r="T103" s="149" t="n">
        <f aca="false">T102+'Volumes por intervalo'!H102</f>
        <v>1117.95</v>
      </c>
      <c r="U103" s="149" t="n">
        <f aca="false">U102+'Volumes por intervalo'!J102</f>
        <v>3677.632</v>
      </c>
      <c r="V103" s="149" t="n">
        <f aca="false">V102+'Volumes por intervalo'!K102</f>
        <v>4823.28</v>
      </c>
      <c r="W103" s="149" t="n">
        <f aca="false">W102+'Volumes por intervalo'!L102</f>
        <v>7659.12000000001</v>
      </c>
      <c r="X103" s="149" t="n">
        <f aca="false">X102+'Volumes por intervalo'!M102</f>
        <v>22662</v>
      </c>
      <c r="Y103" s="149" t="n">
        <f aca="false">Y102+'Volumes por intervalo'!N102</f>
        <v>22662</v>
      </c>
      <c r="Z103" s="149" t="n">
        <f aca="false">Z102+'Volumes por intervalo'!O102</f>
        <v>26136.4</v>
      </c>
      <c r="AA103" s="149" t="n">
        <f aca="false">AA102+'Volumes por intervalo'!P102</f>
        <v>0</v>
      </c>
      <c r="AB103" s="149" t="n">
        <f aca="false">AB102+'Volumes por intervalo'!Q102</f>
        <v>0</v>
      </c>
      <c r="AC103" s="149" t="n">
        <f aca="false">AC102+'Volumes por intervalo'!R102</f>
        <v>0</v>
      </c>
      <c r="AD103" s="149" t="n">
        <f aca="false">AD102+'Volumes por intervalo'!S102</f>
        <v>0</v>
      </c>
    </row>
    <row r="104" customFormat="false" ht="15" hidden="false" customHeight="false" outlineLevel="0" collapsed="false">
      <c r="A104" s="138" t="s">
        <v>1746</v>
      </c>
      <c r="B104" s="146" t="n">
        <v>102</v>
      </c>
      <c r="C104" s="144" t="n">
        <v>2040</v>
      </c>
      <c r="D104" s="138" t="s">
        <v>1565</v>
      </c>
      <c r="E104" s="138" t="s">
        <v>1566</v>
      </c>
      <c r="F104" s="147" t="n">
        <v>11</v>
      </c>
      <c r="G104" s="148" t="n">
        <v>0</v>
      </c>
      <c r="H104" s="148" t="n">
        <v>0</v>
      </c>
      <c r="I104" s="138" t="s">
        <v>1642</v>
      </c>
      <c r="J104" s="138"/>
      <c r="K104" s="146" t="n">
        <f aca="false">Parâmetros!$C$4*(F104+2*Parâmetros!$D$4+Parâmetros!$C$4*Parâmetros!$E$4)</f>
        <v>0.5525</v>
      </c>
      <c r="L104" s="146" t="n">
        <f aca="false">Parâmetros!$C$5*(F104+2*Parâmetros!$D$5+Parâmetros!$C$5*Parâmetros!$E$5)</f>
        <v>1.8176</v>
      </c>
      <c r="M104" s="146" t="n">
        <f aca="false">Parâmetros!$C$6*(F104+2*Parâmetros!$D$6+Parâmetros!$C$6*Parâmetros!$E$6)</f>
        <v>2.384</v>
      </c>
      <c r="N104" s="146" t="n">
        <f aca="false">Parâmetros!$C$7*(F104+2*Parâmetros!$D$7+Parâmetros!$C$7*Parâmetros!$E$7)</f>
        <v>3.786</v>
      </c>
      <c r="O104" s="146" t="n">
        <f aca="false">F104+2*Parâmetros!$D$8</f>
        <v>11.2</v>
      </c>
      <c r="P104" s="146" t="n">
        <f aca="false">F104+2*Parâmetros!$D$10</f>
        <v>12.92</v>
      </c>
      <c r="Q104" s="146" t="n">
        <f aca="false">G104+H104</f>
        <v>0</v>
      </c>
      <c r="S104" s="149" t="n">
        <f aca="false">S103+'Volumes por intervalo'!C103*(F103+F104)/2</f>
        <v>22478</v>
      </c>
      <c r="T104" s="149" t="n">
        <f aca="false">T103+'Volumes por intervalo'!H103</f>
        <v>1129</v>
      </c>
      <c r="U104" s="149" t="n">
        <f aca="false">U103+'Volumes por intervalo'!J103</f>
        <v>3713.984</v>
      </c>
      <c r="V104" s="149" t="n">
        <f aca="false">V103+'Volumes por intervalo'!K103</f>
        <v>4870.96</v>
      </c>
      <c r="W104" s="149" t="n">
        <f aca="false">W103+'Volumes por intervalo'!L103</f>
        <v>7734.84000000001</v>
      </c>
      <c r="X104" s="149" t="n">
        <f aca="false">X103+'Volumes por intervalo'!M103</f>
        <v>22886</v>
      </c>
      <c r="Y104" s="149" t="n">
        <f aca="false">Y103+'Volumes por intervalo'!N103</f>
        <v>22886</v>
      </c>
      <c r="Z104" s="149" t="n">
        <f aca="false">Z103+'Volumes por intervalo'!O103</f>
        <v>26394.8</v>
      </c>
      <c r="AA104" s="149" t="n">
        <f aca="false">AA103+'Volumes por intervalo'!P103</f>
        <v>0</v>
      </c>
      <c r="AB104" s="149" t="n">
        <f aca="false">AB103+'Volumes por intervalo'!Q103</f>
        <v>0</v>
      </c>
      <c r="AC104" s="149" t="n">
        <f aca="false">AC103+'Volumes por intervalo'!R103</f>
        <v>0</v>
      </c>
      <c r="AD104" s="149" t="n">
        <f aca="false">AD103+'Volumes por intervalo'!S103</f>
        <v>0</v>
      </c>
    </row>
    <row r="105" customFormat="false" ht="15" hidden="false" customHeight="false" outlineLevel="0" collapsed="false">
      <c r="A105" s="138" t="s">
        <v>1747</v>
      </c>
      <c r="B105" s="146" t="n">
        <v>103</v>
      </c>
      <c r="C105" s="144" t="n">
        <v>2060</v>
      </c>
      <c r="D105" s="138" t="s">
        <v>1565</v>
      </c>
      <c r="E105" s="138" t="s">
        <v>1566</v>
      </c>
      <c r="F105" s="147" t="n">
        <v>11</v>
      </c>
      <c r="G105" s="148" t="n">
        <v>0</v>
      </c>
      <c r="H105" s="148" t="n">
        <v>0</v>
      </c>
      <c r="I105" s="138" t="s">
        <v>1642</v>
      </c>
      <c r="J105" s="138"/>
      <c r="K105" s="146" t="n">
        <f aca="false">Parâmetros!$C$4*(F105+2*Parâmetros!$D$4+Parâmetros!$C$4*Parâmetros!$E$4)</f>
        <v>0.5525</v>
      </c>
      <c r="L105" s="146" t="n">
        <f aca="false">Parâmetros!$C$5*(F105+2*Parâmetros!$D$5+Parâmetros!$C$5*Parâmetros!$E$5)</f>
        <v>1.8176</v>
      </c>
      <c r="M105" s="146" t="n">
        <f aca="false">Parâmetros!$C$6*(F105+2*Parâmetros!$D$6+Parâmetros!$C$6*Parâmetros!$E$6)</f>
        <v>2.384</v>
      </c>
      <c r="N105" s="146" t="n">
        <f aca="false">Parâmetros!$C$7*(F105+2*Parâmetros!$D$7+Parâmetros!$C$7*Parâmetros!$E$7)</f>
        <v>3.786</v>
      </c>
      <c r="O105" s="146" t="n">
        <f aca="false">F105+2*Parâmetros!$D$8</f>
        <v>11.2</v>
      </c>
      <c r="P105" s="146" t="n">
        <f aca="false">F105+2*Parâmetros!$D$10</f>
        <v>12.92</v>
      </c>
      <c r="Q105" s="146" t="n">
        <f aca="false">G105+H105</f>
        <v>0</v>
      </c>
      <c r="S105" s="149" t="n">
        <f aca="false">S104+'Volumes por intervalo'!C104*(F104+F105)/2</f>
        <v>22698</v>
      </c>
      <c r="T105" s="149" t="n">
        <f aca="false">T104+'Volumes por intervalo'!H104</f>
        <v>1140.05</v>
      </c>
      <c r="U105" s="149" t="n">
        <f aca="false">U104+'Volumes por intervalo'!J104</f>
        <v>3750.336</v>
      </c>
      <c r="V105" s="149" t="n">
        <f aca="false">V104+'Volumes por intervalo'!K104</f>
        <v>4918.64</v>
      </c>
      <c r="W105" s="149" t="n">
        <f aca="false">W104+'Volumes por intervalo'!L104</f>
        <v>7810.56000000001</v>
      </c>
      <c r="X105" s="149" t="n">
        <f aca="false">X104+'Volumes por intervalo'!M104</f>
        <v>23110</v>
      </c>
      <c r="Y105" s="149" t="n">
        <f aca="false">Y104+'Volumes por intervalo'!N104</f>
        <v>23110</v>
      </c>
      <c r="Z105" s="149" t="n">
        <f aca="false">Z104+'Volumes por intervalo'!O104</f>
        <v>26653.2</v>
      </c>
      <c r="AA105" s="149" t="n">
        <f aca="false">AA104+'Volumes por intervalo'!P104</f>
        <v>0</v>
      </c>
      <c r="AB105" s="149" t="n">
        <f aca="false">AB104+'Volumes por intervalo'!Q104</f>
        <v>0</v>
      </c>
      <c r="AC105" s="149" t="n">
        <f aca="false">AC104+'Volumes por intervalo'!R104</f>
        <v>0</v>
      </c>
      <c r="AD105" s="149" t="n">
        <f aca="false">AD104+'Volumes por intervalo'!S104</f>
        <v>0</v>
      </c>
    </row>
    <row r="106" customFormat="false" ht="15" hidden="false" customHeight="false" outlineLevel="0" collapsed="false">
      <c r="A106" s="138" t="s">
        <v>1748</v>
      </c>
      <c r="B106" s="146" t="n">
        <v>104</v>
      </c>
      <c r="C106" s="144" t="n">
        <v>2080</v>
      </c>
      <c r="D106" s="138" t="s">
        <v>1565</v>
      </c>
      <c r="E106" s="138" t="s">
        <v>1566</v>
      </c>
      <c r="F106" s="147" t="n">
        <v>11</v>
      </c>
      <c r="G106" s="148" t="n">
        <v>0</v>
      </c>
      <c r="H106" s="148" t="n">
        <v>0</v>
      </c>
      <c r="I106" s="138" t="s">
        <v>1642</v>
      </c>
      <c r="J106" s="138"/>
      <c r="K106" s="146" t="n">
        <f aca="false">Parâmetros!$C$4*(F106+2*Parâmetros!$D$4+Parâmetros!$C$4*Parâmetros!$E$4)</f>
        <v>0.5525</v>
      </c>
      <c r="L106" s="146" t="n">
        <f aca="false">Parâmetros!$C$5*(F106+2*Parâmetros!$D$5+Parâmetros!$C$5*Parâmetros!$E$5)</f>
        <v>1.8176</v>
      </c>
      <c r="M106" s="146" t="n">
        <f aca="false">Parâmetros!$C$6*(F106+2*Parâmetros!$D$6+Parâmetros!$C$6*Parâmetros!$E$6)</f>
        <v>2.384</v>
      </c>
      <c r="N106" s="146" t="n">
        <f aca="false">Parâmetros!$C$7*(F106+2*Parâmetros!$D$7+Parâmetros!$C$7*Parâmetros!$E$7)</f>
        <v>3.786</v>
      </c>
      <c r="O106" s="146" t="n">
        <f aca="false">F106+2*Parâmetros!$D$8</f>
        <v>11.2</v>
      </c>
      <c r="P106" s="146" t="n">
        <f aca="false">F106+2*Parâmetros!$D$10</f>
        <v>12.92</v>
      </c>
      <c r="Q106" s="146" t="n">
        <f aca="false">G106+H106</f>
        <v>0</v>
      </c>
      <c r="S106" s="149" t="n">
        <f aca="false">S105+'Volumes por intervalo'!C105*(F105+F106)/2</f>
        <v>22918</v>
      </c>
      <c r="T106" s="149" t="n">
        <f aca="false">T105+'Volumes por intervalo'!H105</f>
        <v>1151.1</v>
      </c>
      <c r="U106" s="149" t="n">
        <f aca="false">U105+'Volumes por intervalo'!J105</f>
        <v>3786.688</v>
      </c>
      <c r="V106" s="149" t="n">
        <f aca="false">V105+'Volumes por intervalo'!K105</f>
        <v>4966.32</v>
      </c>
      <c r="W106" s="149" t="n">
        <f aca="false">W105+'Volumes por intervalo'!L105</f>
        <v>7886.28000000001</v>
      </c>
      <c r="X106" s="149" t="n">
        <f aca="false">X105+'Volumes por intervalo'!M105</f>
        <v>23334</v>
      </c>
      <c r="Y106" s="149" t="n">
        <f aca="false">Y105+'Volumes por intervalo'!N105</f>
        <v>23334</v>
      </c>
      <c r="Z106" s="149" t="n">
        <f aca="false">Z105+'Volumes por intervalo'!O105</f>
        <v>26911.6</v>
      </c>
      <c r="AA106" s="149" t="n">
        <f aca="false">AA105+'Volumes por intervalo'!P105</f>
        <v>0</v>
      </c>
      <c r="AB106" s="149" t="n">
        <f aca="false">AB105+'Volumes por intervalo'!Q105</f>
        <v>0</v>
      </c>
      <c r="AC106" s="149" t="n">
        <f aca="false">AC105+'Volumes por intervalo'!R105</f>
        <v>0</v>
      </c>
      <c r="AD106" s="149" t="n">
        <f aca="false">AD105+'Volumes por intervalo'!S105</f>
        <v>0</v>
      </c>
    </row>
    <row r="107" customFormat="false" ht="15" hidden="false" customHeight="false" outlineLevel="0" collapsed="false">
      <c r="A107" s="138" t="s">
        <v>1749</v>
      </c>
      <c r="B107" s="146" t="n">
        <v>105</v>
      </c>
      <c r="C107" s="144" t="n">
        <v>2100</v>
      </c>
      <c r="D107" s="138" t="s">
        <v>1565</v>
      </c>
      <c r="E107" s="138" t="s">
        <v>1566</v>
      </c>
      <c r="F107" s="147" t="n">
        <v>11</v>
      </c>
      <c r="G107" s="148" t="n">
        <v>0</v>
      </c>
      <c r="H107" s="148" t="n">
        <v>0</v>
      </c>
      <c r="I107" s="138" t="s">
        <v>1642</v>
      </c>
      <c r="J107" s="138"/>
      <c r="K107" s="146" t="n">
        <f aca="false">Parâmetros!$C$4*(F107+2*Parâmetros!$D$4+Parâmetros!$C$4*Parâmetros!$E$4)</f>
        <v>0.5525</v>
      </c>
      <c r="L107" s="146" t="n">
        <f aca="false">Parâmetros!$C$5*(F107+2*Parâmetros!$D$5+Parâmetros!$C$5*Parâmetros!$E$5)</f>
        <v>1.8176</v>
      </c>
      <c r="M107" s="146" t="n">
        <f aca="false">Parâmetros!$C$6*(F107+2*Parâmetros!$D$6+Parâmetros!$C$6*Parâmetros!$E$6)</f>
        <v>2.384</v>
      </c>
      <c r="N107" s="146" t="n">
        <f aca="false">Parâmetros!$C$7*(F107+2*Parâmetros!$D$7+Parâmetros!$C$7*Parâmetros!$E$7)</f>
        <v>3.786</v>
      </c>
      <c r="O107" s="146" t="n">
        <f aca="false">F107+2*Parâmetros!$D$8</f>
        <v>11.2</v>
      </c>
      <c r="P107" s="146" t="n">
        <f aca="false">F107+2*Parâmetros!$D$10</f>
        <v>12.92</v>
      </c>
      <c r="Q107" s="146" t="n">
        <f aca="false">G107+H107</f>
        <v>0</v>
      </c>
      <c r="S107" s="149" t="n">
        <f aca="false">S106+'Volumes por intervalo'!C106*(F106+F107)/2</f>
        <v>23138</v>
      </c>
      <c r="T107" s="149" t="n">
        <f aca="false">T106+'Volumes por intervalo'!H106</f>
        <v>1162.15</v>
      </c>
      <c r="U107" s="149" t="n">
        <f aca="false">U106+'Volumes por intervalo'!J106</f>
        <v>3823.04</v>
      </c>
      <c r="V107" s="149" t="n">
        <f aca="false">V106+'Volumes por intervalo'!K106</f>
        <v>5014</v>
      </c>
      <c r="W107" s="149" t="n">
        <f aca="false">W106+'Volumes por intervalo'!L106</f>
        <v>7962.00000000001</v>
      </c>
      <c r="X107" s="149" t="n">
        <f aca="false">X106+'Volumes por intervalo'!M106</f>
        <v>23558</v>
      </c>
      <c r="Y107" s="149" t="n">
        <f aca="false">Y106+'Volumes por intervalo'!N106</f>
        <v>23558</v>
      </c>
      <c r="Z107" s="149" t="n">
        <f aca="false">Z106+'Volumes por intervalo'!O106</f>
        <v>27170</v>
      </c>
      <c r="AA107" s="149" t="n">
        <f aca="false">AA106+'Volumes por intervalo'!P106</f>
        <v>0</v>
      </c>
      <c r="AB107" s="149" t="n">
        <f aca="false">AB106+'Volumes por intervalo'!Q106</f>
        <v>0</v>
      </c>
      <c r="AC107" s="149" t="n">
        <f aca="false">AC106+'Volumes por intervalo'!R106</f>
        <v>0</v>
      </c>
      <c r="AD107" s="149" t="n">
        <f aca="false">AD106+'Volumes por intervalo'!S106</f>
        <v>0</v>
      </c>
    </row>
    <row r="108" customFormat="false" ht="15" hidden="false" customHeight="false" outlineLevel="0" collapsed="false">
      <c r="A108" s="138" t="s">
        <v>1750</v>
      </c>
      <c r="B108" s="146" t="n">
        <v>106</v>
      </c>
      <c r="C108" s="144" t="n">
        <v>2120</v>
      </c>
      <c r="D108" s="138" t="s">
        <v>1565</v>
      </c>
      <c r="E108" s="138" t="s">
        <v>1566</v>
      </c>
      <c r="F108" s="147" t="n">
        <v>11</v>
      </c>
      <c r="G108" s="148" t="n">
        <v>0</v>
      </c>
      <c r="H108" s="148" t="n">
        <v>0</v>
      </c>
      <c r="I108" s="138" t="s">
        <v>1642</v>
      </c>
      <c r="J108" s="138"/>
      <c r="K108" s="146" t="n">
        <f aca="false">Parâmetros!$C$4*(F108+2*Parâmetros!$D$4+Parâmetros!$C$4*Parâmetros!$E$4)</f>
        <v>0.5525</v>
      </c>
      <c r="L108" s="146" t="n">
        <f aca="false">Parâmetros!$C$5*(F108+2*Parâmetros!$D$5+Parâmetros!$C$5*Parâmetros!$E$5)</f>
        <v>1.8176</v>
      </c>
      <c r="M108" s="146" t="n">
        <f aca="false">Parâmetros!$C$6*(F108+2*Parâmetros!$D$6+Parâmetros!$C$6*Parâmetros!$E$6)</f>
        <v>2.384</v>
      </c>
      <c r="N108" s="146" t="n">
        <f aca="false">Parâmetros!$C$7*(F108+2*Parâmetros!$D$7+Parâmetros!$C$7*Parâmetros!$E$7)</f>
        <v>3.786</v>
      </c>
      <c r="O108" s="146" t="n">
        <f aca="false">F108+2*Parâmetros!$D$8</f>
        <v>11.2</v>
      </c>
      <c r="P108" s="146" t="n">
        <f aca="false">F108+2*Parâmetros!$D$10</f>
        <v>12.92</v>
      </c>
      <c r="Q108" s="146" t="n">
        <f aca="false">G108+H108</f>
        <v>0</v>
      </c>
      <c r="S108" s="149" t="n">
        <f aca="false">S107+'Volumes por intervalo'!C107*(F107+F108)/2</f>
        <v>23358</v>
      </c>
      <c r="T108" s="149" t="n">
        <f aca="false">T107+'Volumes por intervalo'!H107</f>
        <v>1173.2</v>
      </c>
      <c r="U108" s="149" t="n">
        <f aca="false">U107+'Volumes por intervalo'!J107</f>
        <v>3859.392</v>
      </c>
      <c r="V108" s="149" t="n">
        <f aca="false">V107+'Volumes por intervalo'!K107</f>
        <v>5061.68</v>
      </c>
      <c r="W108" s="149" t="n">
        <f aca="false">W107+'Volumes por intervalo'!L107</f>
        <v>8037.72000000001</v>
      </c>
      <c r="X108" s="149" t="n">
        <f aca="false">X107+'Volumes por intervalo'!M107</f>
        <v>23782</v>
      </c>
      <c r="Y108" s="149" t="n">
        <f aca="false">Y107+'Volumes por intervalo'!N107</f>
        <v>23782</v>
      </c>
      <c r="Z108" s="149" t="n">
        <f aca="false">Z107+'Volumes por intervalo'!O107</f>
        <v>27428.4</v>
      </c>
      <c r="AA108" s="149" t="n">
        <f aca="false">AA107+'Volumes por intervalo'!P107</f>
        <v>0</v>
      </c>
      <c r="AB108" s="149" t="n">
        <f aca="false">AB107+'Volumes por intervalo'!Q107</f>
        <v>0</v>
      </c>
      <c r="AC108" s="149" t="n">
        <f aca="false">AC107+'Volumes por intervalo'!R107</f>
        <v>0</v>
      </c>
      <c r="AD108" s="149" t="n">
        <f aca="false">AD107+'Volumes por intervalo'!S107</f>
        <v>0</v>
      </c>
    </row>
    <row r="109" customFormat="false" ht="15" hidden="false" customHeight="false" outlineLevel="0" collapsed="false">
      <c r="A109" s="138" t="s">
        <v>1751</v>
      </c>
      <c r="B109" s="146" t="n">
        <v>107</v>
      </c>
      <c r="C109" s="144" t="n">
        <v>2140</v>
      </c>
      <c r="D109" s="138" t="s">
        <v>1565</v>
      </c>
      <c r="E109" s="138" t="s">
        <v>1566</v>
      </c>
      <c r="F109" s="147" t="n">
        <v>11</v>
      </c>
      <c r="G109" s="148" t="n">
        <v>0</v>
      </c>
      <c r="H109" s="148" t="n">
        <v>0</v>
      </c>
      <c r="I109" s="138" t="s">
        <v>1642</v>
      </c>
      <c r="J109" s="138"/>
      <c r="K109" s="146" t="n">
        <f aca="false">Parâmetros!$C$4*(F109+2*Parâmetros!$D$4+Parâmetros!$C$4*Parâmetros!$E$4)</f>
        <v>0.5525</v>
      </c>
      <c r="L109" s="146" t="n">
        <f aca="false">Parâmetros!$C$5*(F109+2*Parâmetros!$D$5+Parâmetros!$C$5*Parâmetros!$E$5)</f>
        <v>1.8176</v>
      </c>
      <c r="M109" s="146" t="n">
        <f aca="false">Parâmetros!$C$6*(F109+2*Parâmetros!$D$6+Parâmetros!$C$6*Parâmetros!$E$6)</f>
        <v>2.384</v>
      </c>
      <c r="N109" s="146" t="n">
        <f aca="false">Parâmetros!$C$7*(F109+2*Parâmetros!$D$7+Parâmetros!$C$7*Parâmetros!$E$7)</f>
        <v>3.786</v>
      </c>
      <c r="O109" s="146" t="n">
        <f aca="false">F109+2*Parâmetros!$D$8</f>
        <v>11.2</v>
      </c>
      <c r="P109" s="146" t="n">
        <f aca="false">F109+2*Parâmetros!$D$10</f>
        <v>12.92</v>
      </c>
      <c r="Q109" s="146" t="n">
        <f aca="false">G109+H109</f>
        <v>0</v>
      </c>
      <c r="S109" s="149" t="n">
        <f aca="false">S108+'Volumes por intervalo'!C108*(F108+F109)/2</f>
        <v>23578</v>
      </c>
      <c r="T109" s="149" t="n">
        <f aca="false">T108+'Volumes por intervalo'!H108</f>
        <v>1184.25</v>
      </c>
      <c r="U109" s="149" t="n">
        <f aca="false">U108+'Volumes por intervalo'!J108</f>
        <v>3895.744</v>
      </c>
      <c r="V109" s="149" t="n">
        <f aca="false">V108+'Volumes por intervalo'!K108</f>
        <v>5109.36</v>
      </c>
      <c r="W109" s="149" t="n">
        <f aca="false">W108+'Volumes por intervalo'!L108</f>
        <v>8113.44000000001</v>
      </c>
      <c r="X109" s="149" t="n">
        <f aca="false">X108+'Volumes por intervalo'!M108</f>
        <v>24006</v>
      </c>
      <c r="Y109" s="149" t="n">
        <f aca="false">Y108+'Volumes por intervalo'!N108</f>
        <v>24006</v>
      </c>
      <c r="Z109" s="149" t="n">
        <f aca="false">Z108+'Volumes por intervalo'!O108</f>
        <v>27686.8</v>
      </c>
      <c r="AA109" s="149" t="n">
        <f aca="false">AA108+'Volumes por intervalo'!P108</f>
        <v>0</v>
      </c>
      <c r="AB109" s="149" t="n">
        <f aca="false">AB108+'Volumes por intervalo'!Q108</f>
        <v>0</v>
      </c>
      <c r="AC109" s="149" t="n">
        <f aca="false">AC108+'Volumes por intervalo'!R108</f>
        <v>0</v>
      </c>
      <c r="AD109" s="149" t="n">
        <f aca="false">AD108+'Volumes por intervalo'!S108</f>
        <v>0</v>
      </c>
    </row>
    <row r="110" customFormat="false" ht="15" hidden="false" customHeight="false" outlineLevel="0" collapsed="false">
      <c r="A110" s="138" t="s">
        <v>1752</v>
      </c>
      <c r="B110" s="146" t="n">
        <v>108</v>
      </c>
      <c r="C110" s="144" t="n">
        <v>2160</v>
      </c>
      <c r="D110" s="138" t="s">
        <v>1565</v>
      </c>
      <c r="E110" s="138" t="s">
        <v>1566</v>
      </c>
      <c r="F110" s="147" t="n">
        <v>11</v>
      </c>
      <c r="G110" s="148" t="n">
        <v>0</v>
      </c>
      <c r="H110" s="148" t="n">
        <v>0</v>
      </c>
      <c r="I110" s="138" t="s">
        <v>1642</v>
      </c>
      <c r="J110" s="138"/>
      <c r="K110" s="146" t="n">
        <f aca="false">Parâmetros!$C$4*(F110+2*Parâmetros!$D$4+Parâmetros!$C$4*Parâmetros!$E$4)</f>
        <v>0.5525</v>
      </c>
      <c r="L110" s="146" t="n">
        <f aca="false">Parâmetros!$C$5*(F110+2*Parâmetros!$D$5+Parâmetros!$C$5*Parâmetros!$E$5)</f>
        <v>1.8176</v>
      </c>
      <c r="M110" s="146" t="n">
        <f aca="false">Parâmetros!$C$6*(F110+2*Parâmetros!$D$6+Parâmetros!$C$6*Parâmetros!$E$6)</f>
        <v>2.384</v>
      </c>
      <c r="N110" s="146" t="n">
        <f aca="false">Parâmetros!$C$7*(F110+2*Parâmetros!$D$7+Parâmetros!$C$7*Parâmetros!$E$7)</f>
        <v>3.786</v>
      </c>
      <c r="O110" s="146" t="n">
        <f aca="false">F110+2*Parâmetros!$D$8</f>
        <v>11.2</v>
      </c>
      <c r="P110" s="146" t="n">
        <f aca="false">F110+2*Parâmetros!$D$10</f>
        <v>12.92</v>
      </c>
      <c r="Q110" s="146" t="n">
        <f aca="false">G110+H110</f>
        <v>0</v>
      </c>
      <c r="S110" s="149" t="n">
        <f aca="false">S109+'Volumes por intervalo'!C109*(F109+F110)/2</f>
        <v>23798</v>
      </c>
      <c r="T110" s="149" t="n">
        <f aca="false">T109+'Volumes por intervalo'!H109</f>
        <v>1195.3</v>
      </c>
      <c r="U110" s="149" t="n">
        <f aca="false">U109+'Volumes por intervalo'!J109</f>
        <v>3932.096</v>
      </c>
      <c r="V110" s="149" t="n">
        <f aca="false">V109+'Volumes por intervalo'!K109</f>
        <v>5157.04</v>
      </c>
      <c r="W110" s="149" t="n">
        <f aca="false">W109+'Volumes por intervalo'!L109</f>
        <v>8189.16000000001</v>
      </c>
      <c r="X110" s="149" t="n">
        <f aca="false">X109+'Volumes por intervalo'!M109</f>
        <v>24230</v>
      </c>
      <c r="Y110" s="149" t="n">
        <f aca="false">Y109+'Volumes por intervalo'!N109</f>
        <v>24230</v>
      </c>
      <c r="Z110" s="149" t="n">
        <f aca="false">Z109+'Volumes por intervalo'!O109</f>
        <v>27945.2</v>
      </c>
      <c r="AA110" s="149" t="n">
        <f aca="false">AA109+'Volumes por intervalo'!P109</f>
        <v>0</v>
      </c>
      <c r="AB110" s="149" t="n">
        <f aca="false">AB109+'Volumes por intervalo'!Q109</f>
        <v>0</v>
      </c>
      <c r="AC110" s="149" t="n">
        <f aca="false">AC109+'Volumes por intervalo'!R109</f>
        <v>0</v>
      </c>
      <c r="AD110" s="149" t="n">
        <f aca="false">AD109+'Volumes por intervalo'!S109</f>
        <v>0</v>
      </c>
    </row>
    <row r="111" customFormat="false" ht="15" hidden="false" customHeight="false" outlineLevel="0" collapsed="false">
      <c r="A111" s="138" t="s">
        <v>1753</v>
      </c>
      <c r="B111" s="146" t="n">
        <v>109</v>
      </c>
      <c r="C111" s="144" t="n">
        <v>2180</v>
      </c>
      <c r="D111" s="138" t="s">
        <v>1565</v>
      </c>
      <c r="E111" s="138" t="s">
        <v>1566</v>
      </c>
      <c r="F111" s="147" t="n">
        <v>11</v>
      </c>
      <c r="G111" s="148" t="n">
        <v>0</v>
      </c>
      <c r="H111" s="148" t="n">
        <v>0</v>
      </c>
      <c r="I111" s="138" t="s">
        <v>1642</v>
      </c>
      <c r="J111" s="138"/>
      <c r="K111" s="146" t="n">
        <f aca="false">Parâmetros!$C$4*(F111+2*Parâmetros!$D$4+Parâmetros!$C$4*Parâmetros!$E$4)</f>
        <v>0.5525</v>
      </c>
      <c r="L111" s="146" t="n">
        <f aca="false">Parâmetros!$C$5*(F111+2*Parâmetros!$D$5+Parâmetros!$C$5*Parâmetros!$E$5)</f>
        <v>1.8176</v>
      </c>
      <c r="M111" s="146" t="n">
        <f aca="false">Parâmetros!$C$6*(F111+2*Parâmetros!$D$6+Parâmetros!$C$6*Parâmetros!$E$6)</f>
        <v>2.384</v>
      </c>
      <c r="N111" s="146" t="n">
        <f aca="false">Parâmetros!$C$7*(F111+2*Parâmetros!$D$7+Parâmetros!$C$7*Parâmetros!$E$7)</f>
        <v>3.786</v>
      </c>
      <c r="O111" s="146" t="n">
        <f aca="false">F111+2*Parâmetros!$D$8</f>
        <v>11.2</v>
      </c>
      <c r="P111" s="146" t="n">
        <f aca="false">F111+2*Parâmetros!$D$10</f>
        <v>12.92</v>
      </c>
      <c r="Q111" s="146" t="n">
        <f aca="false">G111+H111</f>
        <v>0</v>
      </c>
      <c r="S111" s="149" t="n">
        <f aca="false">S110+'Volumes por intervalo'!C110*(F110+F111)/2</f>
        <v>24018</v>
      </c>
      <c r="T111" s="149" t="n">
        <f aca="false">T110+'Volumes por intervalo'!H110</f>
        <v>1206.35</v>
      </c>
      <c r="U111" s="149" t="n">
        <f aca="false">U110+'Volumes por intervalo'!J110</f>
        <v>3968.448</v>
      </c>
      <c r="V111" s="149" t="n">
        <f aca="false">V110+'Volumes por intervalo'!K110</f>
        <v>5204.72</v>
      </c>
      <c r="W111" s="149" t="n">
        <f aca="false">W110+'Volumes por intervalo'!L110</f>
        <v>8264.88000000001</v>
      </c>
      <c r="X111" s="149" t="n">
        <f aca="false">X110+'Volumes por intervalo'!M110</f>
        <v>24454</v>
      </c>
      <c r="Y111" s="149" t="n">
        <f aca="false">Y110+'Volumes por intervalo'!N110</f>
        <v>24454</v>
      </c>
      <c r="Z111" s="149" t="n">
        <f aca="false">Z110+'Volumes por intervalo'!O110</f>
        <v>28203.6000000001</v>
      </c>
      <c r="AA111" s="149" t="n">
        <f aca="false">AA110+'Volumes por intervalo'!P110</f>
        <v>0</v>
      </c>
      <c r="AB111" s="149" t="n">
        <f aca="false">AB110+'Volumes por intervalo'!Q110</f>
        <v>0</v>
      </c>
      <c r="AC111" s="149" t="n">
        <f aca="false">AC110+'Volumes por intervalo'!R110</f>
        <v>0</v>
      </c>
      <c r="AD111" s="149" t="n">
        <f aca="false">AD110+'Volumes por intervalo'!S110</f>
        <v>0</v>
      </c>
    </row>
    <row r="112" customFormat="false" ht="15" hidden="false" customHeight="false" outlineLevel="0" collapsed="false">
      <c r="A112" s="138" t="s">
        <v>1754</v>
      </c>
      <c r="B112" s="146" t="n">
        <v>110</v>
      </c>
      <c r="C112" s="144" t="n">
        <v>2200</v>
      </c>
      <c r="D112" s="138" t="s">
        <v>1565</v>
      </c>
      <c r="E112" s="138" t="s">
        <v>1566</v>
      </c>
      <c r="F112" s="147" t="n">
        <v>11</v>
      </c>
      <c r="G112" s="148" t="n">
        <v>0</v>
      </c>
      <c r="H112" s="148" t="n">
        <v>0</v>
      </c>
      <c r="I112" s="138" t="s">
        <v>1642</v>
      </c>
      <c r="J112" s="138"/>
      <c r="K112" s="146" t="n">
        <f aca="false">Parâmetros!$C$4*(F112+2*Parâmetros!$D$4+Parâmetros!$C$4*Parâmetros!$E$4)</f>
        <v>0.5525</v>
      </c>
      <c r="L112" s="146" t="n">
        <f aca="false">Parâmetros!$C$5*(F112+2*Parâmetros!$D$5+Parâmetros!$C$5*Parâmetros!$E$5)</f>
        <v>1.8176</v>
      </c>
      <c r="M112" s="146" t="n">
        <f aca="false">Parâmetros!$C$6*(F112+2*Parâmetros!$D$6+Parâmetros!$C$6*Parâmetros!$E$6)</f>
        <v>2.384</v>
      </c>
      <c r="N112" s="146" t="n">
        <f aca="false">Parâmetros!$C$7*(F112+2*Parâmetros!$D$7+Parâmetros!$C$7*Parâmetros!$E$7)</f>
        <v>3.786</v>
      </c>
      <c r="O112" s="146" t="n">
        <f aca="false">F112+2*Parâmetros!$D$8</f>
        <v>11.2</v>
      </c>
      <c r="P112" s="146" t="n">
        <f aca="false">F112+2*Parâmetros!$D$10</f>
        <v>12.92</v>
      </c>
      <c r="Q112" s="146" t="n">
        <f aca="false">G112+H112</f>
        <v>0</v>
      </c>
      <c r="S112" s="149" t="n">
        <f aca="false">S111+'Volumes por intervalo'!C111*(F111+F112)/2</f>
        <v>24238</v>
      </c>
      <c r="T112" s="149" t="n">
        <f aca="false">T111+'Volumes por intervalo'!H111</f>
        <v>1217.4</v>
      </c>
      <c r="U112" s="149" t="n">
        <f aca="false">U111+'Volumes por intervalo'!J111</f>
        <v>4004.79999999999</v>
      </c>
      <c r="V112" s="149" t="n">
        <f aca="false">V111+'Volumes por intervalo'!K111</f>
        <v>5252.4</v>
      </c>
      <c r="W112" s="149" t="n">
        <f aca="false">W111+'Volumes por intervalo'!L111</f>
        <v>8340.60000000001</v>
      </c>
      <c r="X112" s="149" t="n">
        <f aca="false">X111+'Volumes por intervalo'!M111</f>
        <v>24678</v>
      </c>
      <c r="Y112" s="149" t="n">
        <f aca="false">Y111+'Volumes por intervalo'!N111</f>
        <v>24678</v>
      </c>
      <c r="Z112" s="149" t="n">
        <f aca="false">Z111+'Volumes por intervalo'!O111</f>
        <v>28462.0000000001</v>
      </c>
      <c r="AA112" s="149" t="n">
        <f aca="false">AA111+'Volumes por intervalo'!P111</f>
        <v>0</v>
      </c>
      <c r="AB112" s="149" t="n">
        <f aca="false">AB111+'Volumes por intervalo'!Q111</f>
        <v>0</v>
      </c>
      <c r="AC112" s="149" t="n">
        <f aca="false">AC111+'Volumes por intervalo'!R111</f>
        <v>0</v>
      </c>
      <c r="AD112" s="149" t="n">
        <f aca="false">AD111+'Volumes por intervalo'!S111</f>
        <v>0</v>
      </c>
    </row>
    <row r="113" customFormat="false" ht="15" hidden="false" customHeight="false" outlineLevel="0" collapsed="false">
      <c r="A113" s="138" t="s">
        <v>1755</v>
      </c>
      <c r="B113" s="146" t="n">
        <v>111</v>
      </c>
      <c r="C113" s="144" t="n">
        <v>2220</v>
      </c>
      <c r="D113" s="138" t="s">
        <v>1565</v>
      </c>
      <c r="E113" s="138" t="s">
        <v>1566</v>
      </c>
      <c r="F113" s="147" t="n">
        <v>11</v>
      </c>
      <c r="G113" s="148" t="n">
        <v>0</v>
      </c>
      <c r="H113" s="148" t="n">
        <v>0</v>
      </c>
      <c r="I113" s="138" t="s">
        <v>1642</v>
      </c>
      <c r="J113" s="138"/>
      <c r="K113" s="146" t="n">
        <f aca="false">Parâmetros!$C$4*(F113+2*Parâmetros!$D$4+Parâmetros!$C$4*Parâmetros!$E$4)</f>
        <v>0.5525</v>
      </c>
      <c r="L113" s="146" t="n">
        <f aca="false">Parâmetros!$C$5*(F113+2*Parâmetros!$D$5+Parâmetros!$C$5*Parâmetros!$E$5)</f>
        <v>1.8176</v>
      </c>
      <c r="M113" s="146" t="n">
        <f aca="false">Parâmetros!$C$6*(F113+2*Parâmetros!$D$6+Parâmetros!$C$6*Parâmetros!$E$6)</f>
        <v>2.384</v>
      </c>
      <c r="N113" s="146" t="n">
        <f aca="false">Parâmetros!$C$7*(F113+2*Parâmetros!$D$7+Parâmetros!$C$7*Parâmetros!$E$7)</f>
        <v>3.786</v>
      </c>
      <c r="O113" s="146" t="n">
        <f aca="false">F113+2*Parâmetros!$D$8</f>
        <v>11.2</v>
      </c>
      <c r="P113" s="146" t="n">
        <f aca="false">F113+2*Parâmetros!$D$10</f>
        <v>12.92</v>
      </c>
      <c r="Q113" s="146" t="n">
        <f aca="false">G113+H113</f>
        <v>0</v>
      </c>
      <c r="S113" s="149" t="n">
        <f aca="false">S112+'Volumes por intervalo'!C112*(F112+F113)/2</f>
        <v>24458</v>
      </c>
      <c r="T113" s="149" t="n">
        <f aca="false">T112+'Volumes por intervalo'!H112</f>
        <v>1228.45</v>
      </c>
      <c r="U113" s="149" t="n">
        <f aca="false">U112+'Volumes por intervalo'!J112</f>
        <v>4041.15199999999</v>
      </c>
      <c r="V113" s="149" t="n">
        <f aca="false">V112+'Volumes por intervalo'!K112</f>
        <v>5300.08</v>
      </c>
      <c r="W113" s="149" t="n">
        <f aca="false">W112+'Volumes por intervalo'!L112</f>
        <v>8416.32000000001</v>
      </c>
      <c r="X113" s="149" t="n">
        <f aca="false">X112+'Volumes por intervalo'!M112</f>
        <v>24902</v>
      </c>
      <c r="Y113" s="149" t="n">
        <f aca="false">Y112+'Volumes por intervalo'!N112</f>
        <v>24902</v>
      </c>
      <c r="Z113" s="149" t="n">
        <f aca="false">Z112+'Volumes por intervalo'!O112</f>
        <v>28720.4000000001</v>
      </c>
      <c r="AA113" s="149" t="n">
        <f aca="false">AA112+'Volumes por intervalo'!P112</f>
        <v>0</v>
      </c>
      <c r="AB113" s="149" t="n">
        <f aca="false">AB112+'Volumes por intervalo'!Q112</f>
        <v>0</v>
      </c>
      <c r="AC113" s="149" t="n">
        <f aca="false">AC112+'Volumes por intervalo'!R112</f>
        <v>0</v>
      </c>
      <c r="AD113" s="149" t="n">
        <f aca="false">AD112+'Volumes por intervalo'!S112</f>
        <v>0</v>
      </c>
    </row>
    <row r="114" customFormat="false" ht="15" hidden="false" customHeight="false" outlineLevel="0" collapsed="false">
      <c r="A114" s="138" t="s">
        <v>1756</v>
      </c>
      <c r="B114" s="146" t="n">
        <v>112</v>
      </c>
      <c r="C114" s="144" t="n">
        <v>2240</v>
      </c>
      <c r="D114" s="138" t="s">
        <v>1565</v>
      </c>
      <c r="E114" s="138" t="s">
        <v>1566</v>
      </c>
      <c r="F114" s="147" t="n">
        <v>11</v>
      </c>
      <c r="G114" s="148" t="n">
        <v>0</v>
      </c>
      <c r="H114" s="148" t="n">
        <v>0</v>
      </c>
      <c r="I114" s="138" t="s">
        <v>1642</v>
      </c>
      <c r="J114" s="138"/>
      <c r="K114" s="146" t="n">
        <f aca="false">Parâmetros!$C$4*(F114+2*Parâmetros!$D$4+Parâmetros!$C$4*Parâmetros!$E$4)</f>
        <v>0.5525</v>
      </c>
      <c r="L114" s="146" t="n">
        <f aca="false">Parâmetros!$C$5*(F114+2*Parâmetros!$D$5+Parâmetros!$C$5*Parâmetros!$E$5)</f>
        <v>1.8176</v>
      </c>
      <c r="M114" s="146" t="n">
        <f aca="false">Parâmetros!$C$6*(F114+2*Parâmetros!$D$6+Parâmetros!$C$6*Parâmetros!$E$6)</f>
        <v>2.384</v>
      </c>
      <c r="N114" s="146" t="n">
        <f aca="false">Parâmetros!$C$7*(F114+2*Parâmetros!$D$7+Parâmetros!$C$7*Parâmetros!$E$7)</f>
        <v>3.786</v>
      </c>
      <c r="O114" s="146" t="n">
        <f aca="false">F114+2*Parâmetros!$D$8</f>
        <v>11.2</v>
      </c>
      <c r="P114" s="146" t="n">
        <f aca="false">F114+2*Parâmetros!$D$10</f>
        <v>12.92</v>
      </c>
      <c r="Q114" s="146" t="n">
        <f aca="false">G114+H114</f>
        <v>0</v>
      </c>
      <c r="S114" s="149" t="n">
        <f aca="false">S113+'Volumes por intervalo'!C113*(F113+F114)/2</f>
        <v>24678</v>
      </c>
      <c r="T114" s="149" t="n">
        <f aca="false">T113+'Volumes por intervalo'!H113</f>
        <v>1239.5</v>
      </c>
      <c r="U114" s="149" t="n">
        <f aca="false">U113+'Volumes por intervalo'!J113</f>
        <v>4077.50399999999</v>
      </c>
      <c r="V114" s="149" t="n">
        <f aca="false">V113+'Volumes por intervalo'!K113</f>
        <v>5347.76</v>
      </c>
      <c r="W114" s="149" t="n">
        <f aca="false">W113+'Volumes por intervalo'!L113</f>
        <v>8492.04000000001</v>
      </c>
      <c r="X114" s="149" t="n">
        <f aca="false">X113+'Volumes por intervalo'!M113</f>
        <v>25126</v>
      </c>
      <c r="Y114" s="149" t="n">
        <f aca="false">Y113+'Volumes por intervalo'!N113</f>
        <v>25126</v>
      </c>
      <c r="Z114" s="149" t="n">
        <f aca="false">Z113+'Volumes por intervalo'!O113</f>
        <v>28978.8000000001</v>
      </c>
      <c r="AA114" s="149" t="n">
        <f aca="false">AA113+'Volumes por intervalo'!P113</f>
        <v>0</v>
      </c>
      <c r="AB114" s="149" t="n">
        <f aca="false">AB113+'Volumes por intervalo'!Q113</f>
        <v>0</v>
      </c>
      <c r="AC114" s="149" t="n">
        <f aca="false">AC113+'Volumes por intervalo'!R113</f>
        <v>0</v>
      </c>
      <c r="AD114" s="149" t="n">
        <f aca="false">AD113+'Volumes por intervalo'!S113</f>
        <v>0</v>
      </c>
    </row>
    <row r="115" customFormat="false" ht="15" hidden="false" customHeight="false" outlineLevel="0" collapsed="false">
      <c r="A115" s="138" t="s">
        <v>1757</v>
      </c>
      <c r="B115" s="146" t="n">
        <v>113</v>
      </c>
      <c r="C115" s="144" t="n">
        <v>2260</v>
      </c>
      <c r="D115" s="138" t="s">
        <v>1565</v>
      </c>
      <c r="E115" s="138" t="s">
        <v>1566</v>
      </c>
      <c r="F115" s="147" t="n">
        <v>11</v>
      </c>
      <c r="G115" s="148" t="n">
        <v>0</v>
      </c>
      <c r="H115" s="148" t="n">
        <v>0</v>
      </c>
      <c r="I115" s="138" t="s">
        <v>1642</v>
      </c>
      <c r="J115" s="138"/>
      <c r="K115" s="146" t="n">
        <f aca="false">Parâmetros!$C$4*(F115+2*Parâmetros!$D$4+Parâmetros!$C$4*Parâmetros!$E$4)</f>
        <v>0.5525</v>
      </c>
      <c r="L115" s="146" t="n">
        <f aca="false">Parâmetros!$C$5*(F115+2*Parâmetros!$D$5+Parâmetros!$C$5*Parâmetros!$E$5)</f>
        <v>1.8176</v>
      </c>
      <c r="M115" s="146" t="n">
        <f aca="false">Parâmetros!$C$6*(F115+2*Parâmetros!$D$6+Parâmetros!$C$6*Parâmetros!$E$6)</f>
        <v>2.384</v>
      </c>
      <c r="N115" s="146" t="n">
        <f aca="false">Parâmetros!$C$7*(F115+2*Parâmetros!$D$7+Parâmetros!$C$7*Parâmetros!$E$7)</f>
        <v>3.786</v>
      </c>
      <c r="O115" s="146" t="n">
        <f aca="false">F115+2*Parâmetros!$D$8</f>
        <v>11.2</v>
      </c>
      <c r="P115" s="146" t="n">
        <f aca="false">F115+2*Parâmetros!$D$10</f>
        <v>12.92</v>
      </c>
      <c r="Q115" s="146" t="n">
        <f aca="false">G115+H115</f>
        <v>0</v>
      </c>
      <c r="S115" s="149" t="n">
        <f aca="false">S114+'Volumes por intervalo'!C114*(F114+F115)/2</f>
        <v>24898</v>
      </c>
      <c r="T115" s="149" t="n">
        <f aca="false">T114+'Volumes por intervalo'!H114</f>
        <v>1250.55</v>
      </c>
      <c r="U115" s="149" t="n">
        <f aca="false">U114+'Volumes por intervalo'!J114</f>
        <v>4113.85599999999</v>
      </c>
      <c r="V115" s="149" t="n">
        <f aca="false">V114+'Volumes por intervalo'!K114</f>
        <v>5395.44</v>
      </c>
      <c r="W115" s="149" t="n">
        <f aca="false">W114+'Volumes por intervalo'!L114</f>
        <v>8567.76000000001</v>
      </c>
      <c r="X115" s="149" t="n">
        <f aca="false">X114+'Volumes por intervalo'!M114</f>
        <v>25350</v>
      </c>
      <c r="Y115" s="149" t="n">
        <f aca="false">Y114+'Volumes por intervalo'!N114</f>
        <v>25350</v>
      </c>
      <c r="Z115" s="149" t="n">
        <f aca="false">Z114+'Volumes por intervalo'!O114</f>
        <v>29237.2000000001</v>
      </c>
      <c r="AA115" s="149" t="n">
        <f aca="false">AA114+'Volumes por intervalo'!P114</f>
        <v>0</v>
      </c>
      <c r="AB115" s="149" t="n">
        <f aca="false">AB114+'Volumes por intervalo'!Q114</f>
        <v>0</v>
      </c>
      <c r="AC115" s="149" t="n">
        <f aca="false">AC114+'Volumes por intervalo'!R114</f>
        <v>0</v>
      </c>
      <c r="AD115" s="149" t="n">
        <f aca="false">AD114+'Volumes por intervalo'!S114</f>
        <v>0</v>
      </c>
    </row>
    <row r="116" customFormat="false" ht="15" hidden="false" customHeight="false" outlineLevel="0" collapsed="false">
      <c r="A116" s="138" t="s">
        <v>1758</v>
      </c>
      <c r="B116" s="146" t="n">
        <v>114</v>
      </c>
      <c r="C116" s="144" t="n">
        <v>2280</v>
      </c>
      <c r="D116" s="138" t="s">
        <v>1565</v>
      </c>
      <c r="E116" s="138" t="s">
        <v>1566</v>
      </c>
      <c r="F116" s="147" t="n">
        <v>11</v>
      </c>
      <c r="G116" s="148" t="n">
        <v>0</v>
      </c>
      <c r="H116" s="148" t="n">
        <v>0</v>
      </c>
      <c r="I116" s="138" t="s">
        <v>1642</v>
      </c>
      <c r="J116" s="138"/>
      <c r="K116" s="146" t="n">
        <f aca="false">Parâmetros!$C$4*(F116+2*Parâmetros!$D$4+Parâmetros!$C$4*Parâmetros!$E$4)</f>
        <v>0.5525</v>
      </c>
      <c r="L116" s="146" t="n">
        <f aca="false">Parâmetros!$C$5*(F116+2*Parâmetros!$D$5+Parâmetros!$C$5*Parâmetros!$E$5)</f>
        <v>1.8176</v>
      </c>
      <c r="M116" s="146" t="n">
        <f aca="false">Parâmetros!$C$6*(F116+2*Parâmetros!$D$6+Parâmetros!$C$6*Parâmetros!$E$6)</f>
        <v>2.384</v>
      </c>
      <c r="N116" s="146" t="n">
        <f aca="false">Parâmetros!$C$7*(F116+2*Parâmetros!$D$7+Parâmetros!$C$7*Parâmetros!$E$7)</f>
        <v>3.786</v>
      </c>
      <c r="O116" s="146" t="n">
        <f aca="false">F116+2*Parâmetros!$D$8</f>
        <v>11.2</v>
      </c>
      <c r="P116" s="146" t="n">
        <f aca="false">F116+2*Parâmetros!$D$10</f>
        <v>12.92</v>
      </c>
      <c r="Q116" s="146" t="n">
        <f aca="false">G116+H116</f>
        <v>0</v>
      </c>
      <c r="S116" s="149" t="n">
        <f aca="false">S115+'Volumes por intervalo'!C115*(F115+F116)/2</f>
        <v>25118</v>
      </c>
      <c r="T116" s="149" t="n">
        <f aca="false">T115+'Volumes por intervalo'!H115</f>
        <v>1261.6</v>
      </c>
      <c r="U116" s="149" t="n">
        <f aca="false">U115+'Volumes por intervalo'!J115</f>
        <v>4150.20799999999</v>
      </c>
      <c r="V116" s="149" t="n">
        <f aca="false">V115+'Volumes por intervalo'!K115</f>
        <v>5443.12</v>
      </c>
      <c r="W116" s="149" t="n">
        <f aca="false">W115+'Volumes por intervalo'!L115</f>
        <v>8643.48000000001</v>
      </c>
      <c r="X116" s="149" t="n">
        <f aca="false">X115+'Volumes por intervalo'!M115</f>
        <v>25574</v>
      </c>
      <c r="Y116" s="149" t="n">
        <f aca="false">Y115+'Volumes por intervalo'!N115</f>
        <v>25574</v>
      </c>
      <c r="Z116" s="149" t="n">
        <f aca="false">Z115+'Volumes por intervalo'!O115</f>
        <v>29495.6000000001</v>
      </c>
      <c r="AA116" s="149" t="n">
        <f aca="false">AA115+'Volumes por intervalo'!P115</f>
        <v>0</v>
      </c>
      <c r="AB116" s="149" t="n">
        <f aca="false">AB115+'Volumes por intervalo'!Q115</f>
        <v>0</v>
      </c>
      <c r="AC116" s="149" t="n">
        <f aca="false">AC115+'Volumes por intervalo'!R115</f>
        <v>0</v>
      </c>
      <c r="AD116" s="149" t="n">
        <f aca="false">AD115+'Volumes por intervalo'!S115</f>
        <v>0</v>
      </c>
    </row>
    <row r="117" customFormat="false" ht="15" hidden="false" customHeight="false" outlineLevel="0" collapsed="false">
      <c r="A117" s="138" t="s">
        <v>1759</v>
      </c>
      <c r="B117" s="146" t="n">
        <v>115</v>
      </c>
      <c r="C117" s="144" t="n">
        <v>2300</v>
      </c>
      <c r="D117" s="138" t="s">
        <v>1565</v>
      </c>
      <c r="E117" s="138" t="s">
        <v>1566</v>
      </c>
      <c r="F117" s="147" t="n">
        <v>11</v>
      </c>
      <c r="G117" s="148" t="n">
        <v>0</v>
      </c>
      <c r="H117" s="148" t="n">
        <v>0</v>
      </c>
      <c r="I117" s="138" t="s">
        <v>1642</v>
      </c>
      <c r="J117" s="138"/>
      <c r="K117" s="146" t="n">
        <f aca="false">Parâmetros!$C$4*(F117+2*Parâmetros!$D$4+Parâmetros!$C$4*Parâmetros!$E$4)</f>
        <v>0.5525</v>
      </c>
      <c r="L117" s="146" t="n">
        <f aca="false">Parâmetros!$C$5*(F117+2*Parâmetros!$D$5+Parâmetros!$C$5*Parâmetros!$E$5)</f>
        <v>1.8176</v>
      </c>
      <c r="M117" s="146" t="n">
        <f aca="false">Parâmetros!$C$6*(F117+2*Parâmetros!$D$6+Parâmetros!$C$6*Parâmetros!$E$6)</f>
        <v>2.384</v>
      </c>
      <c r="N117" s="146" t="n">
        <f aca="false">Parâmetros!$C$7*(F117+2*Parâmetros!$D$7+Parâmetros!$C$7*Parâmetros!$E$7)</f>
        <v>3.786</v>
      </c>
      <c r="O117" s="146" t="n">
        <f aca="false">F117+2*Parâmetros!$D$8</f>
        <v>11.2</v>
      </c>
      <c r="P117" s="146" t="n">
        <f aca="false">F117+2*Parâmetros!$D$10</f>
        <v>12.92</v>
      </c>
      <c r="Q117" s="146" t="n">
        <f aca="false">G117+H117</f>
        <v>0</v>
      </c>
      <c r="S117" s="149" t="n">
        <f aca="false">S116+'Volumes por intervalo'!C116*(F116+F117)/2</f>
        <v>25338</v>
      </c>
      <c r="T117" s="149" t="n">
        <f aca="false">T116+'Volumes por intervalo'!H116</f>
        <v>1272.65</v>
      </c>
      <c r="U117" s="149" t="n">
        <f aca="false">U116+'Volumes por intervalo'!J116</f>
        <v>4186.55999999999</v>
      </c>
      <c r="V117" s="149" t="n">
        <f aca="false">V116+'Volumes por intervalo'!K116</f>
        <v>5490.8</v>
      </c>
      <c r="W117" s="149" t="n">
        <f aca="false">W116+'Volumes por intervalo'!L116</f>
        <v>8719.20000000001</v>
      </c>
      <c r="X117" s="149" t="n">
        <f aca="false">X116+'Volumes por intervalo'!M116</f>
        <v>25798</v>
      </c>
      <c r="Y117" s="149" t="n">
        <f aca="false">Y116+'Volumes por intervalo'!N116</f>
        <v>25798</v>
      </c>
      <c r="Z117" s="149" t="n">
        <f aca="false">Z116+'Volumes por intervalo'!O116</f>
        <v>29754.0000000001</v>
      </c>
      <c r="AA117" s="149" t="n">
        <f aca="false">AA116+'Volumes por intervalo'!P116</f>
        <v>0</v>
      </c>
      <c r="AB117" s="149" t="n">
        <f aca="false">AB116+'Volumes por intervalo'!Q116</f>
        <v>0</v>
      </c>
      <c r="AC117" s="149" t="n">
        <f aca="false">AC116+'Volumes por intervalo'!R116</f>
        <v>0</v>
      </c>
      <c r="AD117" s="149" t="n">
        <f aca="false">AD116+'Volumes por intervalo'!S116</f>
        <v>0</v>
      </c>
    </row>
    <row r="118" customFormat="false" ht="15" hidden="false" customHeight="false" outlineLevel="0" collapsed="false">
      <c r="A118" s="138" t="s">
        <v>1760</v>
      </c>
      <c r="B118" s="146" t="n">
        <v>116</v>
      </c>
      <c r="C118" s="144" t="n">
        <v>2320</v>
      </c>
      <c r="D118" s="138" t="s">
        <v>1565</v>
      </c>
      <c r="E118" s="138" t="s">
        <v>1566</v>
      </c>
      <c r="F118" s="147" t="n">
        <v>11</v>
      </c>
      <c r="G118" s="148" t="n">
        <v>0</v>
      </c>
      <c r="H118" s="148" t="n">
        <v>0</v>
      </c>
      <c r="I118" s="138" t="s">
        <v>1642</v>
      </c>
      <c r="J118" s="138"/>
      <c r="K118" s="146" t="n">
        <f aca="false">Parâmetros!$C$4*(F118+2*Parâmetros!$D$4+Parâmetros!$C$4*Parâmetros!$E$4)</f>
        <v>0.5525</v>
      </c>
      <c r="L118" s="146" t="n">
        <f aca="false">Parâmetros!$C$5*(F118+2*Parâmetros!$D$5+Parâmetros!$C$5*Parâmetros!$E$5)</f>
        <v>1.8176</v>
      </c>
      <c r="M118" s="146" t="n">
        <f aca="false">Parâmetros!$C$6*(F118+2*Parâmetros!$D$6+Parâmetros!$C$6*Parâmetros!$E$6)</f>
        <v>2.384</v>
      </c>
      <c r="N118" s="146" t="n">
        <f aca="false">Parâmetros!$C$7*(F118+2*Parâmetros!$D$7+Parâmetros!$C$7*Parâmetros!$E$7)</f>
        <v>3.786</v>
      </c>
      <c r="O118" s="146" t="n">
        <f aca="false">F118+2*Parâmetros!$D$8</f>
        <v>11.2</v>
      </c>
      <c r="P118" s="146" t="n">
        <f aca="false">F118+2*Parâmetros!$D$10</f>
        <v>12.92</v>
      </c>
      <c r="Q118" s="146" t="n">
        <f aca="false">G118+H118</f>
        <v>0</v>
      </c>
      <c r="S118" s="149" t="n">
        <f aca="false">S117+'Volumes por intervalo'!C117*(F117+F118)/2</f>
        <v>25558</v>
      </c>
      <c r="T118" s="149" t="n">
        <f aca="false">T117+'Volumes por intervalo'!H117</f>
        <v>1283.7</v>
      </c>
      <c r="U118" s="149" t="n">
        <f aca="false">U117+'Volumes por intervalo'!J117</f>
        <v>4222.91199999999</v>
      </c>
      <c r="V118" s="149" t="n">
        <f aca="false">V117+'Volumes por intervalo'!K117</f>
        <v>5538.48</v>
      </c>
      <c r="W118" s="149" t="n">
        <f aca="false">W117+'Volumes por intervalo'!L117</f>
        <v>8794.92000000001</v>
      </c>
      <c r="X118" s="149" t="n">
        <f aca="false">X117+'Volumes por intervalo'!M117</f>
        <v>26022</v>
      </c>
      <c r="Y118" s="149" t="n">
        <f aca="false">Y117+'Volumes por intervalo'!N117</f>
        <v>26022</v>
      </c>
      <c r="Z118" s="149" t="n">
        <f aca="false">Z117+'Volumes por intervalo'!O117</f>
        <v>30012.4000000001</v>
      </c>
      <c r="AA118" s="149" t="n">
        <f aca="false">AA117+'Volumes por intervalo'!P117</f>
        <v>0</v>
      </c>
      <c r="AB118" s="149" t="n">
        <f aca="false">AB117+'Volumes por intervalo'!Q117</f>
        <v>0</v>
      </c>
      <c r="AC118" s="149" t="n">
        <f aca="false">AC117+'Volumes por intervalo'!R117</f>
        <v>0</v>
      </c>
      <c r="AD118" s="149" t="n">
        <f aca="false">AD117+'Volumes por intervalo'!S117</f>
        <v>0</v>
      </c>
    </row>
    <row r="119" customFormat="false" ht="15" hidden="false" customHeight="false" outlineLevel="0" collapsed="false">
      <c r="A119" s="138" t="s">
        <v>1761</v>
      </c>
      <c r="B119" s="146" t="n">
        <v>117</v>
      </c>
      <c r="C119" s="144" t="n">
        <v>2340</v>
      </c>
      <c r="D119" s="138" t="s">
        <v>1565</v>
      </c>
      <c r="E119" s="138" t="s">
        <v>1566</v>
      </c>
      <c r="F119" s="147" t="n">
        <v>12.7</v>
      </c>
      <c r="G119" s="148" t="n">
        <v>0</v>
      </c>
      <c r="H119" s="148" t="n">
        <v>0</v>
      </c>
      <c r="I119" s="138" t="s">
        <v>1642</v>
      </c>
      <c r="J119" s="138"/>
      <c r="K119" s="146" t="n">
        <f aca="false">Parâmetros!$C$4*(F119+2*Parâmetros!$D$4+Parâmetros!$C$4*Parâmetros!$E$4)</f>
        <v>0.6375</v>
      </c>
      <c r="L119" s="146" t="n">
        <f aca="false">Parâmetros!$C$5*(F119+2*Parâmetros!$D$5+Parâmetros!$C$5*Parâmetros!$E$5)</f>
        <v>2.0896</v>
      </c>
      <c r="M119" s="146" t="n">
        <f aca="false">Parâmetros!$C$6*(F119+2*Parâmetros!$D$6+Parâmetros!$C$6*Parâmetros!$E$6)</f>
        <v>2.724</v>
      </c>
      <c r="N119" s="146" t="n">
        <f aca="false">Parâmetros!$C$7*(F119+2*Parâmetros!$D$7+Parâmetros!$C$7*Parâmetros!$E$7)</f>
        <v>4.296</v>
      </c>
      <c r="O119" s="146" t="n">
        <f aca="false">F119+2*Parâmetros!$D$8</f>
        <v>12.9</v>
      </c>
      <c r="P119" s="146" t="n">
        <f aca="false">F119+2*Parâmetros!$D$10</f>
        <v>14.62</v>
      </c>
      <c r="Q119" s="146" t="n">
        <f aca="false">G119+H119</f>
        <v>0</v>
      </c>
      <c r="S119" s="149" t="n">
        <f aca="false">S118+'Volumes por intervalo'!C118*(F118+F119)/2</f>
        <v>25795</v>
      </c>
      <c r="T119" s="149" t="n">
        <f aca="false">T118+'Volumes por intervalo'!H118</f>
        <v>1295.6</v>
      </c>
      <c r="U119" s="149" t="n">
        <f aca="false">U118+'Volumes por intervalo'!J118</f>
        <v>4261.98399999999</v>
      </c>
      <c r="V119" s="149" t="n">
        <f aca="false">V118+'Volumes por intervalo'!K118</f>
        <v>5589.56</v>
      </c>
      <c r="W119" s="149" t="n">
        <f aca="false">W118+'Volumes por intervalo'!L118</f>
        <v>8875.74000000001</v>
      </c>
      <c r="X119" s="149" t="n">
        <f aca="false">X118+'Volumes por intervalo'!M118</f>
        <v>26263</v>
      </c>
      <c r="Y119" s="149" t="n">
        <f aca="false">Y118+'Volumes por intervalo'!N118</f>
        <v>26263</v>
      </c>
      <c r="Z119" s="149" t="n">
        <f aca="false">Z118+'Volumes por intervalo'!O118</f>
        <v>30287.8000000001</v>
      </c>
      <c r="AA119" s="149" t="n">
        <f aca="false">AA118+'Volumes por intervalo'!P118</f>
        <v>0</v>
      </c>
      <c r="AB119" s="149" t="n">
        <f aca="false">AB118+'Volumes por intervalo'!Q118</f>
        <v>0</v>
      </c>
      <c r="AC119" s="149" t="n">
        <f aca="false">AC118+'Volumes por intervalo'!R118</f>
        <v>0</v>
      </c>
      <c r="AD119" s="149" t="n">
        <f aca="false">AD118+'Volumes por intervalo'!S118</f>
        <v>0</v>
      </c>
    </row>
    <row r="120" customFormat="false" ht="15" hidden="false" customHeight="false" outlineLevel="0" collapsed="false">
      <c r="A120" s="138" t="s">
        <v>1762</v>
      </c>
      <c r="B120" s="146" t="n">
        <v>118</v>
      </c>
      <c r="C120" s="144" t="n">
        <v>2360</v>
      </c>
      <c r="D120" s="138" t="s">
        <v>1565</v>
      </c>
      <c r="E120" s="138" t="s">
        <v>1566</v>
      </c>
      <c r="F120" s="147" t="n">
        <v>14.5</v>
      </c>
      <c r="G120" s="148" t="n">
        <v>0</v>
      </c>
      <c r="H120" s="148" t="n">
        <v>0</v>
      </c>
      <c r="I120" s="138" t="s">
        <v>1642</v>
      </c>
      <c r="J120" s="138"/>
      <c r="K120" s="146" t="n">
        <f aca="false">Parâmetros!$C$4*(F120+2*Parâmetros!$D$4+Parâmetros!$C$4*Parâmetros!$E$4)</f>
        <v>0.7275</v>
      </c>
      <c r="L120" s="146" t="n">
        <f aca="false">Parâmetros!$C$5*(F120+2*Parâmetros!$D$5+Parâmetros!$C$5*Parâmetros!$E$5)</f>
        <v>2.3776</v>
      </c>
      <c r="M120" s="146" t="n">
        <f aca="false">Parâmetros!$C$6*(F120+2*Parâmetros!$D$6+Parâmetros!$C$6*Parâmetros!$E$6)</f>
        <v>3.084</v>
      </c>
      <c r="N120" s="146" t="n">
        <f aca="false">Parâmetros!$C$7*(F120+2*Parâmetros!$D$7+Parâmetros!$C$7*Parâmetros!$E$7)</f>
        <v>4.836</v>
      </c>
      <c r="O120" s="146" t="n">
        <f aca="false">F120+2*Parâmetros!$D$8</f>
        <v>14.7</v>
      </c>
      <c r="P120" s="146" t="n">
        <f aca="false">F120+2*Parâmetros!$D$10</f>
        <v>16.42</v>
      </c>
      <c r="Q120" s="146" t="n">
        <f aca="false">G120+H120</f>
        <v>0</v>
      </c>
      <c r="S120" s="149" t="n">
        <f aca="false">S119+'Volumes por intervalo'!C119*(F119+F120)/2</f>
        <v>26067</v>
      </c>
      <c r="T120" s="149" t="n">
        <f aca="false">T119+'Volumes por intervalo'!H119</f>
        <v>1309.25</v>
      </c>
      <c r="U120" s="149" t="n">
        <f aca="false">U119+'Volumes por intervalo'!J119</f>
        <v>4306.65599999999</v>
      </c>
      <c r="V120" s="149" t="n">
        <f aca="false">V119+'Volumes por intervalo'!K119</f>
        <v>5647.64</v>
      </c>
      <c r="W120" s="149" t="n">
        <f aca="false">W119+'Volumes por intervalo'!L119</f>
        <v>8967.06000000001</v>
      </c>
      <c r="X120" s="149" t="n">
        <f aca="false">X119+'Volumes por intervalo'!M119</f>
        <v>26539</v>
      </c>
      <c r="Y120" s="149" t="n">
        <f aca="false">Y119+'Volumes por intervalo'!N119</f>
        <v>26539</v>
      </c>
      <c r="Z120" s="149" t="n">
        <f aca="false">Z119+'Volumes por intervalo'!O119</f>
        <v>30598.2000000001</v>
      </c>
      <c r="AA120" s="149" t="n">
        <f aca="false">AA119+'Volumes por intervalo'!P119</f>
        <v>0</v>
      </c>
      <c r="AB120" s="149" t="n">
        <f aca="false">AB119+'Volumes por intervalo'!Q119</f>
        <v>0</v>
      </c>
      <c r="AC120" s="149" t="n">
        <f aca="false">AC119+'Volumes por intervalo'!R119</f>
        <v>0</v>
      </c>
      <c r="AD120" s="149" t="n">
        <f aca="false">AD119+'Volumes por intervalo'!S119</f>
        <v>0</v>
      </c>
    </row>
    <row r="121" customFormat="false" ht="15" hidden="false" customHeight="false" outlineLevel="0" collapsed="false">
      <c r="A121" s="138" t="s">
        <v>1763</v>
      </c>
      <c r="B121" s="146" t="n">
        <v>119</v>
      </c>
      <c r="C121" s="144" t="n">
        <v>2380</v>
      </c>
      <c r="D121" s="138" t="s">
        <v>1565</v>
      </c>
      <c r="E121" s="138" t="s">
        <v>1566</v>
      </c>
      <c r="F121" s="147" t="n">
        <v>15.9</v>
      </c>
      <c r="G121" s="148" t="n">
        <v>0</v>
      </c>
      <c r="H121" s="148" t="n">
        <v>0</v>
      </c>
      <c r="I121" s="138" t="s">
        <v>1642</v>
      </c>
      <c r="J121" s="138" t="s">
        <v>1764</v>
      </c>
      <c r="K121" s="146" t="n">
        <f aca="false">Parâmetros!$C$4*(F121+2*Parâmetros!$D$4+Parâmetros!$C$4*Parâmetros!$E$4)</f>
        <v>0.7975</v>
      </c>
      <c r="L121" s="146" t="n">
        <f aca="false">Parâmetros!$C$5*(F121+2*Parâmetros!$D$5+Parâmetros!$C$5*Parâmetros!$E$5)</f>
        <v>2.6016</v>
      </c>
      <c r="M121" s="146" t="n">
        <f aca="false">Parâmetros!$C$6*(F121+2*Parâmetros!$D$6+Parâmetros!$C$6*Parâmetros!$E$6)</f>
        <v>3.364</v>
      </c>
      <c r="N121" s="146" t="n">
        <f aca="false">Parâmetros!$C$7*(F121+2*Parâmetros!$D$7+Parâmetros!$C$7*Parâmetros!$E$7)</f>
        <v>5.256</v>
      </c>
      <c r="O121" s="146" t="n">
        <f aca="false">F121+2*Parâmetros!$D$8</f>
        <v>16.1</v>
      </c>
      <c r="P121" s="146" t="n">
        <f aca="false">F121+2*Parâmetros!$D$10</f>
        <v>17.82</v>
      </c>
      <c r="Q121" s="146" t="n">
        <f aca="false">G121+H121</f>
        <v>0</v>
      </c>
      <c r="S121" s="149" t="n">
        <f aca="false">S120+'Volumes por intervalo'!C120*(F120+F121)/2</f>
        <v>26371</v>
      </c>
      <c r="T121" s="149" t="n">
        <f aca="false">T120+'Volumes por intervalo'!H120</f>
        <v>1324.5</v>
      </c>
      <c r="U121" s="149" t="n">
        <f aca="false">U120+'Volumes por intervalo'!J120</f>
        <v>4356.44799999999</v>
      </c>
      <c r="V121" s="149" t="n">
        <f aca="false">V120+'Volumes por intervalo'!K120</f>
        <v>5712.12</v>
      </c>
      <c r="W121" s="149" t="n">
        <f aca="false">W120+'Volumes por intervalo'!L120</f>
        <v>9067.98000000001</v>
      </c>
      <c r="X121" s="149" t="n">
        <f aca="false">X120+'Volumes por intervalo'!M120</f>
        <v>26847</v>
      </c>
      <c r="Y121" s="149" t="n">
        <f aca="false">Y120+'Volumes por intervalo'!N120</f>
        <v>26847</v>
      </c>
      <c r="Z121" s="149" t="n">
        <f aca="false">Z120+'Volumes por intervalo'!O120</f>
        <v>30940.6000000001</v>
      </c>
      <c r="AA121" s="149" t="n">
        <f aca="false">AA120+'Volumes por intervalo'!P120</f>
        <v>0</v>
      </c>
      <c r="AB121" s="149" t="n">
        <f aca="false">AB120+'Volumes por intervalo'!Q120</f>
        <v>0</v>
      </c>
      <c r="AC121" s="149" t="n">
        <f aca="false">AC120+'Volumes por intervalo'!R120</f>
        <v>0</v>
      </c>
      <c r="AD121" s="149" t="n">
        <f aca="false">AD120+'Volumes por intervalo'!S120</f>
        <v>0</v>
      </c>
    </row>
    <row r="122" customFormat="false" ht="15" hidden="false" customHeight="false" outlineLevel="0" collapsed="false">
      <c r="A122" s="138" t="s">
        <v>1765</v>
      </c>
      <c r="B122" s="146" t="n">
        <v>120</v>
      </c>
      <c r="C122" s="144" t="n">
        <v>2400</v>
      </c>
      <c r="D122" s="138" t="s">
        <v>1565</v>
      </c>
      <c r="E122" s="138" t="s">
        <v>1566</v>
      </c>
      <c r="F122" s="147" t="n">
        <v>15.2</v>
      </c>
      <c r="G122" s="148" t="n">
        <v>0</v>
      </c>
      <c r="H122" s="148" t="n">
        <v>0</v>
      </c>
      <c r="I122" s="138" t="s">
        <v>1642</v>
      </c>
      <c r="J122" s="138" t="s">
        <v>1766</v>
      </c>
      <c r="K122" s="146" t="n">
        <f aca="false">Parâmetros!$C$4*(F122+2*Parâmetros!$D$4+Parâmetros!$C$4*Parâmetros!$E$4)</f>
        <v>0.7625</v>
      </c>
      <c r="L122" s="146" t="n">
        <f aca="false">Parâmetros!$C$5*(F122+2*Parâmetros!$D$5+Parâmetros!$C$5*Parâmetros!$E$5)</f>
        <v>2.4896</v>
      </c>
      <c r="M122" s="146" t="n">
        <f aca="false">Parâmetros!$C$6*(F122+2*Parâmetros!$D$6+Parâmetros!$C$6*Parâmetros!$E$6)</f>
        <v>3.224</v>
      </c>
      <c r="N122" s="146" t="n">
        <f aca="false">Parâmetros!$C$7*(F122+2*Parâmetros!$D$7+Parâmetros!$C$7*Parâmetros!$E$7)</f>
        <v>5.046</v>
      </c>
      <c r="O122" s="146" t="n">
        <f aca="false">F122+2*Parâmetros!$D$8</f>
        <v>15.4</v>
      </c>
      <c r="P122" s="146" t="n">
        <f aca="false">F122+2*Parâmetros!$D$10</f>
        <v>17.12</v>
      </c>
      <c r="Q122" s="146" t="n">
        <f aca="false">G122+H122</f>
        <v>0</v>
      </c>
      <c r="S122" s="149" t="n">
        <f aca="false">S121+'Volumes por intervalo'!C121*(F121+F122)/2</f>
        <v>26682</v>
      </c>
      <c r="T122" s="149" t="n">
        <f aca="false">T121+'Volumes por intervalo'!H121</f>
        <v>1340.1</v>
      </c>
      <c r="U122" s="149" t="n">
        <f aca="false">U121+'Volumes por intervalo'!J121</f>
        <v>4407.35999999999</v>
      </c>
      <c r="V122" s="149" t="n">
        <f aca="false">V121+'Volumes por intervalo'!K121</f>
        <v>5778</v>
      </c>
      <c r="W122" s="149" t="n">
        <f aca="false">W121+'Volumes por intervalo'!L121</f>
        <v>9171.00000000001</v>
      </c>
      <c r="X122" s="149" t="n">
        <f aca="false">X121+'Volumes por intervalo'!M121</f>
        <v>27162</v>
      </c>
      <c r="Y122" s="149" t="n">
        <f aca="false">Y121+'Volumes por intervalo'!N121</f>
        <v>27162</v>
      </c>
      <c r="Z122" s="149" t="n">
        <f aca="false">Z121+'Volumes por intervalo'!O121</f>
        <v>31290.0000000001</v>
      </c>
      <c r="AA122" s="149" t="n">
        <f aca="false">AA121+'Volumes por intervalo'!P121</f>
        <v>0</v>
      </c>
      <c r="AB122" s="149" t="n">
        <f aca="false">AB121+'Volumes por intervalo'!Q121</f>
        <v>0</v>
      </c>
      <c r="AC122" s="149" t="n">
        <f aca="false">AC121+'Volumes por intervalo'!R121</f>
        <v>0</v>
      </c>
      <c r="AD122" s="149" t="n">
        <f aca="false">AD121+'Volumes por intervalo'!S121</f>
        <v>0</v>
      </c>
    </row>
    <row r="123" customFormat="false" ht="15" hidden="false" customHeight="false" outlineLevel="0" collapsed="false">
      <c r="A123" s="138" t="s">
        <v>1767</v>
      </c>
      <c r="B123" s="146" t="n">
        <v>121</v>
      </c>
      <c r="C123" s="144" t="n">
        <v>2420</v>
      </c>
      <c r="D123" s="138" t="s">
        <v>1565</v>
      </c>
      <c r="E123" s="138" t="s">
        <v>1566</v>
      </c>
      <c r="F123" s="147" t="n">
        <v>13.2</v>
      </c>
      <c r="G123" s="148" t="n">
        <v>0</v>
      </c>
      <c r="H123" s="148" t="n">
        <v>0</v>
      </c>
      <c r="I123" s="138" t="s">
        <v>1642</v>
      </c>
      <c r="J123" s="138" t="s">
        <v>1766</v>
      </c>
      <c r="K123" s="146" t="n">
        <f aca="false">Parâmetros!$C$4*(F123+2*Parâmetros!$D$4+Parâmetros!$C$4*Parâmetros!$E$4)</f>
        <v>0.6625</v>
      </c>
      <c r="L123" s="146" t="n">
        <f aca="false">Parâmetros!$C$5*(F123+2*Parâmetros!$D$5+Parâmetros!$C$5*Parâmetros!$E$5)</f>
        <v>2.1696</v>
      </c>
      <c r="M123" s="146" t="n">
        <f aca="false">Parâmetros!$C$6*(F123+2*Parâmetros!$D$6+Parâmetros!$C$6*Parâmetros!$E$6)</f>
        <v>2.824</v>
      </c>
      <c r="N123" s="146" t="n">
        <f aca="false">Parâmetros!$C$7*(F123+2*Parâmetros!$D$7+Parâmetros!$C$7*Parâmetros!$E$7)</f>
        <v>4.446</v>
      </c>
      <c r="O123" s="146" t="n">
        <f aca="false">F123+2*Parâmetros!$D$8</f>
        <v>13.4</v>
      </c>
      <c r="P123" s="146" t="n">
        <f aca="false">F123+2*Parâmetros!$D$10</f>
        <v>15.12</v>
      </c>
      <c r="Q123" s="146" t="n">
        <f aca="false">G123+H123</f>
        <v>0</v>
      </c>
      <c r="S123" s="149" t="n">
        <f aca="false">S122+'Volumes por intervalo'!C122*(F122+F123)/2</f>
        <v>26966</v>
      </c>
      <c r="T123" s="149" t="n">
        <f aca="false">T122+'Volumes por intervalo'!H122</f>
        <v>1354.35</v>
      </c>
      <c r="U123" s="149" t="n">
        <f aca="false">U122+'Volumes por intervalo'!J122</f>
        <v>4453.95199999999</v>
      </c>
      <c r="V123" s="149" t="n">
        <f aca="false">V122+'Volumes por intervalo'!K122</f>
        <v>5838.48</v>
      </c>
      <c r="W123" s="149" t="n">
        <f aca="false">W122+'Volumes por intervalo'!L122</f>
        <v>9265.92000000001</v>
      </c>
      <c r="X123" s="149" t="n">
        <f aca="false">X122+'Volumes por intervalo'!M122</f>
        <v>27450</v>
      </c>
      <c r="Y123" s="149" t="n">
        <f aca="false">Y122+'Volumes por intervalo'!N122</f>
        <v>27450</v>
      </c>
      <c r="Z123" s="149" t="n">
        <f aca="false">Z122+'Volumes por intervalo'!O122</f>
        <v>31612.4000000001</v>
      </c>
      <c r="AA123" s="149" t="n">
        <f aca="false">AA122+'Volumes por intervalo'!P122</f>
        <v>0</v>
      </c>
      <c r="AB123" s="149" t="n">
        <f aca="false">AB122+'Volumes por intervalo'!Q122</f>
        <v>0</v>
      </c>
      <c r="AC123" s="149" t="n">
        <f aca="false">AC122+'Volumes por intervalo'!R122</f>
        <v>0</v>
      </c>
      <c r="AD123" s="149" t="n">
        <f aca="false">AD122+'Volumes por intervalo'!S122</f>
        <v>0</v>
      </c>
    </row>
    <row r="124" customFormat="false" ht="15" hidden="false" customHeight="false" outlineLevel="0" collapsed="false">
      <c r="A124" s="138" t="s">
        <v>1768</v>
      </c>
      <c r="B124" s="146" t="n">
        <v>122</v>
      </c>
      <c r="C124" s="144" t="n">
        <v>2440</v>
      </c>
      <c r="D124" s="138" t="s">
        <v>1565</v>
      </c>
      <c r="E124" s="138" t="s">
        <v>1566</v>
      </c>
      <c r="F124" s="147" t="n">
        <v>11.7</v>
      </c>
      <c r="G124" s="148" t="n">
        <v>0</v>
      </c>
      <c r="H124" s="148" t="n">
        <v>0</v>
      </c>
      <c r="I124" s="138" t="s">
        <v>1642</v>
      </c>
      <c r="J124" s="138" t="s">
        <v>1769</v>
      </c>
      <c r="K124" s="146" t="n">
        <f aca="false">Parâmetros!$C$4*(F124+2*Parâmetros!$D$4+Parâmetros!$C$4*Parâmetros!$E$4)</f>
        <v>0.5875</v>
      </c>
      <c r="L124" s="146" t="n">
        <f aca="false">Parâmetros!$C$5*(F124+2*Parâmetros!$D$5+Parâmetros!$C$5*Parâmetros!$E$5)</f>
        <v>1.9296</v>
      </c>
      <c r="M124" s="146" t="n">
        <f aca="false">Parâmetros!$C$6*(F124+2*Parâmetros!$D$6+Parâmetros!$C$6*Parâmetros!$E$6)</f>
        <v>2.524</v>
      </c>
      <c r="N124" s="146" t="n">
        <f aca="false">Parâmetros!$C$7*(F124+2*Parâmetros!$D$7+Parâmetros!$C$7*Parâmetros!$E$7)</f>
        <v>3.996</v>
      </c>
      <c r="O124" s="146" t="n">
        <f aca="false">F124+2*Parâmetros!$D$8</f>
        <v>11.9</v>
      </c>
      <c r="P124" s="146" t="n">
        <f aca="false">F124+2*Parâmetros!$D$10</f>
        <v>13.62</v>
      </c>
      <c r="Q124" s="146" t="n">
        <f aca="false">G124+H124</f>
        <v>0</v>
      </c>
      <c r="S124" s="149" t="n">
        <f aca="false">S123+'Volumes por intervalo'!C123*(F123+F124)/2</f>
        <v>27215</v>
      </c>
      <c r="T124" s="149" t="n">
        <f aca="false">T123+'Volumes por intervalo'!H123</f>
        <v>1366.85</v>
      </c>
      <c r="U124" s="149" t="n">
        <f aca="false">U123+'Volumes por intervalo'!J123</f>
        <v>4494.94399999999</v>
      </c>
      <c r="V124" s="149" t="n">
        <f aca="false">V123+'Volumes por intervalo'!K123</f>
        <v>5891.96</v>
      </c>
      <c r="W124" s="149" t="n">
        <f aca="false">W123+'Volumes por intervalo'!L123</f>
        <v>9350.34000000001</v>
      </c>
      <c r="X124" s="149" t="n">
        <f aca="false">X123+'Volumes por intervalo'!M123</f>
        <v>27703</v>
      </c>
      <c r="Y124" s="149" t="n">
        <f aca="false">Y123+'Volumes por intervalo'!N123</f>
        <v>27703</v>
      </c>
      <c r="Z124" s="149" t="n">
        <f aca="false">Z123+'Volumes por intervalo'!O123</f>
        <v>31899.8000000001</v>
      </c>
      <c r="AA124" s="149" t="n">
        <f aca="false">AA123+'Volumes por intervalo'!P123</f>
        <v>0</v>
      </c>
      <c r="AB124" s="149" t="n">
        <f aca="false">AB123+'Volumes por intervalo'!Q123</f>
        <v>0</v>
      </c>
      <c r="AC124" s="149" t="n">
        <f aca="false">AC123+'Volumes por intervalo'!R123</f>
        <v>0</v>
      </c>
      <c r="AD124" s="149" t="n">
        <f aca="false">AD123+'Volumes por intervalo'!S123</f>
        <v>0</v>
      </c>
    </row>
    <row r="125" customFormat="false" ht="15" hidden="false" customHeight="false" outlineLevel="0" collapsed="false">
      <c r="A125" s="138" t="s">
        <v>1770</v>
      </c>
      <c r="B125" s="146" t="n">
        <v>123</v>
      </c>
      <c r="C125" s="144" t="n">
        <v>2460</v>
      </c>
      <c r="D125" s="138" t="s">
        <v>1565</v>
      </c>
      <c r="E125" s="138" t="s">
        <v>1566</v>
      </c>
      <c r="F125" s="147" t="n">
        <v>11</v>
      </c>
      <c r="G125" s="148" t="n">
        <v>0</v>
      </c>
      <c r="H125" s="148" t="n">
        <v>0</v>
      </c>
      <c r="I125" s="138" t="s">
        <v>1642</v>
      </c>
      <c r="J125" s="138" t="s">
        <v>1771</v>
      </c>
      <c r="K125" s="146" t="n">
        <f aca="false">Parâmetros!$C$4*(F125+2*Parâmetros!$D$4+Parâmetros!$C$4*Parâmetros!$E$4)</f>
        <v>0.5525</v>
      </c>
      <c r="L125" s="146" t="n">
        <f aca="false">Parâmetros!$C$5*(F125+2*Parâmetros!$D$5+Parâmetros!$C$5*Parâmetros!$E$5)</f>
        <v>1.8176</v>
      </c>
      <c r="M125" s="146" t="n">
        <f aca="false">Parâmetros!$C$6*(F125+2*Parâmetros!$D$6+Parâmetros!$C$6*Parâmetros!$E$6)</f>
        <v>2.384</v>
      </c>
      <c r="N125" s="146" t="n">
        <f aca="false">Parâmetros!$C$7*(F125+2*Parâmetros!$D$7+Parâmetros!$C$7*Parâmetros!$E$7)</f>
        <v>3.786</v>
      </c>
      <c r="O125" s="146" t="n">
        <f aca="false">F125+2*Parâmetros!$D$8</f>
        <v>11.2</v>
      </c>
      <c r="P125" s="146" t="n">
        <f aca="false">F125+2*Parâmetros!$D$10</f>
        <v>12.92</v>
      </c>
      <c r="Q125" s="146" t="n">
        <f aca="false">G125+H125</f>
        <v>0</v>
      </c>
      <c r="S125" s="149" t="n">
        <f aca="false">S124+'Volumes por intervalo'!C124*(F124+F125)/2</f>
        <v>27442</v>
      </c>
      <c r="T125" s="149" t="n">
        <f aca="false">T124+'Volumes por intervalo'!H124</f>
        <v>1378.25</v>
      </c>
      <c r="U125" s="149" t="n">
        <f aca="false">U124+'Volumes por intervalo'!J124</f>
        <v>4532.41599999999</v>
      </c>
      <c r="V125" s="149" t="n">
        <f aca="false">V124+'Volumes por intervalo'!K124</f>
        <v>5941.04</v>
      </c>
      <c r="W125" s="149" t="n">
        <f aca="false">W124+'Volumes por intervalo'!L124</f>
        <v>9428.16000000001</v>
      </c>
      <c r="X125" s="149" t="n">
        <f aca="false">X124+'Volumes por intervalo'!M124</f>
        <v>27934</v>
      </c>
      <c r="Y125" s="149" t="n">
        <f aca="false">Y124+'Volumes por intervalo'!N124</f>
        <v>27934</v>
      </c>
      <c r="Z125" s="149" t="n">
        <f aca="false">Z124+'Volumes por intervalo'!O124</f>
        <v>32165.2000000001</v>
      </c>
      <c r="AA125" s="149" t="n">
        <f aca="false">AA124+'Volumes por intervalo'!P124</f>
        <v>0</v>
      </c>
      <c r="AB125" s="149" t="n">
        <f aca="false">AB124+'Volumes por intervalo'!Q124</f>
        <v>0</v>
      </c>
      <c r="AC125" s="149" t="n">
        <f aca="false">AC124+'Volumes por intervalo'!R124</f>
        <v>0</v>
      </c>
      <c r="AD125" s="149" t="n">
        <f aca="false">AD124+'Volumes por intervalo'!S124</f>
        <v>0</v>
      </c>
    </row>
    <row r="126" customFormat="false" ht="15" hidden="false" customHeight="false" outlineLevel="0" collapsed="false">
      <c r="A126" s="138" t="s">
        <v>1772</v>
      </c>
      <c r="B126" s="146" t="n">
        <v>124</v>
      </c>
      <c r="C126" s="144" t="n">
        <v>2480</v>
      </c>
      <c r="D126" s="138" t="s">
        <v>1565</v>
      </c>
      <c r="E126" s="138" t="s">
        <v>1566</v>
      </c>
      <c r="F126" s="147" t="n">
        <v>11.6</v>
      </c>
      <c r="G126" s="148" t="n">
        <v>0</v>
      </c>
      <c r="H126" s="148" t="n">
        <v>0</v>
      </c>
      <c r="I126" s="138" t="s">
        <v>1642</v>
      </c>
      <c r="J126" s="138" t="s">
        <v>1773</v>
      </c>
      <c r="K126" s="146" t="n">
        <f aca="false">Parâmetros!$C$4*(F126+2*Parâmetros!$D$4+Parâmetros!$C$4*Parâmetros!$E$4)</f>
        <v>0.5825</v>
      </c>
      <c r="L126" s="146" t="n">
        <f aca="false">Parâmetros!$C$5*(F126+2*Parâmetros!$D$5+Parâmetros!$C$5*Parâmetros!$E$5)</f>
        <v>1.9136</v>
      </c>
      <c r="M126" s="146" t="n">
        <f aca="false">Parâmetros!$C$6*(F126+2*Parâmetros!$D$6+Parâmetros!$C$6*Parâmetros!$E$6)</f>
        <v>2.504</v>
      </c>
      <c r="N126" s="146" t="n">
        <f aca="false">Parâmetros!$C$7*(F126+2*Parâmetros!$D$7+Parâmetros!$C$7*Parâmetros!$E$7)</f>
        <v>3.966</v>
      </c>
      <c r="O126" s="146" t="n">
        <f aca="false">F126+2*Parâmetros!$D$8</f>
        <v>11.8</v>
      </c>
      <c r="P126" s="146" t="n">
        <f aca="false">F126+2*Parâmetros!$D$10</f>
        <v>13.52</v>
      </c>
      <c r="Q126" s="146" t="n">
        <f aca="false">G126+H126</f>
        <v>0</v>
      </c>
      <c r="S126" s="149" t="n">
        <f aca="false">S125+'Volumes por intervalo'!C125*(F125+F126)/2</f>
        <v>27668</v>
      </c>
      <c r="T126" s="149" t="n">
        <f aca="false">T125+'Volumes por intervalo'!H125</f>
        <v>1389.6</v>
      </c>
      <c r="U126" s="149" t="n">
        <f aca="false">U125+'Volumes por intervalo'!J125</f>
        <v>4569.72799999999</v>
      </c>
      <c r="V126" s="149" t="n">
        <f aca="false">V125+'Volumes por intervalo'!K125</f>
        <v>5989.92</v>
      </c>
      <c r="W126" s="149" t="n">
        <f aca="false">W125+'Volumes por intervalo'!L125</f>
        <v>9505.68000000001</v>
      </c>
      <c r="X126" s="149" t="n">
        <f aca="false">X125+'Volumes por intervalo'!M125</f>
        <v>28164</v>
      </c>
      <c r="Y126" s="149" t="n">
        <f aca="false">Y125+'Volumes por intervalo'!N125</f>
        <v>28164</v>
      </c>
      <c r="Z126" s="149" t="n">
        <f aca="false">Z125+'Volumes por intervalo'!O125</f>
        <v>32429.6000000001</v>
      </c>
      <c r="AA126" s="149" t="n">
        <f aca="false">AA125+'Volumes por intervalo'!P125</f>
        <v>0</v>
      </c>
      <c r="AB126" s="149" t="n">
        <f aca="false">AB125+'Volumes por intervalo'!Q125</f>
        <v>0</v>
      </c>
      <c r="AC126" s="149" t="n">
        <f aca="false">AC125+'Volumes por intervalo'!R125</f>
        <v>0</v>
      </c>
      <c r="AD126" s="149" t="n">
        <f aca="false">AD125+'Volumes por intervalo'!S125</f>
        <v>0</v>
      </c>
    </row>
    <row r="127" customFormat="false" ht="15" hidden="false" customHeight="false" outlineLevel="0" collapsed="false">
      <c r="A127" s="138" t="s">
        <v>1774</v>
      </c>
      <c r="B127" s="146" t="n">
        <v>125</v>
      </c>
      <c r="C127" s="144" t="n">
        <v>2500</v>
      </c>
      <c r="D127" s="138" t="s">
        <v>1565</v>
      </c>
      <c r="E127" s="138" t="s">
        <v>1566</v>
      </c>
      <c r="F127" s="147" t="n">
        <v>11</v>
      </c>
      <c r="G127" s="148" t="n">
        <v>0</v>
      </c>
      <c r="H127" s="148" t="n">
        <v>0</v>
      </c>
      <c r="I127" s="138" t="s">
        <v>1642</v>
      </c>
      <c r="J127" s="138"/>
      <c r="K127" s="146" t="n">
        <f aca="false">Parâmetros!$C$4*(F127+2*Parâmetros!$D$4+Parâmetros!$C$4*Parâmetros!$E$4)</f>
        <v>0.5525</v>
      </c>
      <c r="L127" s="146" t="n">
        <f aca="false">Parâmetros!$C$5*(F127+2*Parâmetros!$D$5+Parâmetros!$C$5*Parâmetros!$E$5)</f>
        <v>1.8176</v>
      </c>
      <c r="M127" s="146" t="n">
        <f aca="false">Parâmetros!$C$6*(F127+2*Parâmetros!$D$6+Parâmetros!$C$6*Parâmetros!$E$6)</f>
        <v>2.384</v>
      </c>
      <c r="N127" s="146" t="n">
        <f aca="false">Parâmetros!$C$7*(F127+2*Parâmetros!$D$7+Parâmetros!$C$7*Parâmetros!$E$7)</f>
        <v>3.786</v>
      </c>
      <c r="O127" s="146" t="n">
        <f aca="false">F127+2*Parâmetros!$D$8</f>
        <v>11.2</v>
      </c>
      <c r="P127" s="146" t="n">
        <f aca="false">F127+2*Parâmetros!$D$10</f>
        <v>12.92</v>
      </c>
      <c r="Q127" s="146" t="n">
        <f aca="false">G127+H127</f>
        <v>0</v>
      </c>
      <c r="S127" s="149" t="n">
        <f aca="false">S126+'Volumes por intervalo'!C126*(F126+F127)/2</f>
        <v>27894</v>
      </c>
      <c r="T127" s="149" t="n">
        <f aca="false">T126+'Volumes por intervalo'!H126</f>
        <v>1400.95</v>
      </c>
      <c r="U127" s="149" t="n">
        <f aca="false">U126+'Volumes por intervalo'!J126</f>
        <v>4607.03999999999</v>
      </c>
      <c r="V127" s="149" t="n">
        <f aca="false">V126+'Volumes por intervalo'!K126</f>
        <v>6038.8</v>
      </c>
      <c r="W127" s="149" t="n">
        <f aca="false">W126+'Volumes por intervalo'!L126</f>
        <v>9583.20000000001</v>
      </c>
      <c r="X127" s="149" t="n">
        <f aca="false">X126+'Volumes por intervalo'!M126</f>
        <v>28394</v>
      </c>
      <c r="Y127" s="149" t="n">
        <f aca="false">Y126+'Volumes por intervalo'!N126</f>
        <v>28394</v>
      </c>
      <c r="Z127" s="149" t="n">
        <f aca="false">Z126+'Volumes por intervalo'!O126</f>
        <v>32694.0000000001</v>
      </c>
      <c r="AA127" s="149" t="n">
        <f aca="false">AA126+'Volumes por intervalo'!P126</f>
        <v>0</v>
      </c>
      <c r="AB127" s="149" t="n">
        <f aca="false">AB126+'Volumes por intervalo'!Q126</f>
        <v>0</v>
      </c>
      <c r="AC127" s="149" t="n">
        <f aca="false">AC126+'Volumes por intervalo'!R126</f>
        <v>0</v>
      </c>
      <c r="AD127" s="149" t="n">
        <f aca="false">AD126+'Volumes por intervalo'!S126</f>
        <v>0</v>
      </c>
    </row>
    <row r="128" customFormat="false" ht="15" hidden="false" customHeight="false" outlineLevel="0" collapsed="false">
      <c r="A128" s="138" t="s">
        <v>1775</v>
      </c>
      <c r="B128" s="146" t="n">
        <v>126</v>
      </c>
      <c r="C128" s="144" t="n">
        <v>2520</v>
      </c>
      <c r="D128" s="138" t="s">
        <v>1565</v>
      </c>
      <c r="E128" s="138" t="s">
        <v>1566</v>
      </c>
      <c r="F128" s="147" t="n">
        <v>11</v>
      </c>
      <c r="G128" s="148" t="n">
        <v>0</v>
      </c>
      <c r="H128" s="148" t="n">
        <v>0</v>
      </c>
      <c r="I128" s="138" t="s">
        <v>1642</v>
      </c>
      <c r="J128" s="138"/>
      <c r="K128" s="146" t="n">
        <f aca="false">Parâmetros!$C$4*(F128+2*Parâmetros!$D$4+Parâmetros!$C$4*Parâmetros!$E$4)</f>
        <v>0.5525</v>
      </c>
      <c r="L128" s="146" t="n">
        <f aca="false">Parâmetros!$C$5*(F128+2*Parâmetros!$D$5+Parâmetros!$C$5*Parâmetros!$E$5)</f>
        <v>1.8176</v>
      </c>
      <c r="M128" s="146" t="n">
        <f aca="false">Parâmetros!$C$6*(F128+2*Parâmetros!$D$6+Parâmetros!$C$6*Parâmetros!$E$6)</f>
        <v>2.384</v>
      </c>
      <c r="N128" s="146" t="n">
        <f aca="false">Parâmetros!$C$7*(F128+2*Parâmetros!$D$7+Parâmetros!$C$7*Parâmetros!$E$7)</f>
        <v>3.786</v>
      </c>
      <c r="O128" s="146" t="n">
        <f aca="false">F128+2*Parâmetros!$D$8</f>
        <v>11.2</v>
      </c>
      <c r="P128" s="146" t="n">
        <f aca="false">F128+2*Parâmetros!$D$10</f>
        <v>12.92</v>
      </c>
      <c r="Q128" s="146" t="n">
        <f aca="false">G128+H128</f>
        <v>0</v>
      </c>
      <c r="S128" s="149" t="n">
        <f aca="false">S127+'Volumes por intervalo'!C127*(F127+F128)/2</f>
        <v>28114</v>
      </c>
      <c r="T128" s="149" t="n">
        <f aca="false">T127+'Volumes por intervalo'!H127</f>
        <v>1412</v>
      </c>
      <c r="U128" s="149" t="n">
        <f aca="false">U127+'Volumes por intervalo'!J127</f>
        <v>4643.39199999999</v>
      </c>
      <c r="V128" s="149" t="n">
        <f aca="false">V127+'Volumes por intervalo'!K127</f>
        <v>6086.48</v>
      </c>
      <c r="W128" s="149" t="n">
        <f aca="false">W127+'Volumes por intervalo'!L127</f>
        <v>9658.92000000001</v>
      </c>
      <c r="X128" s="149" t="n">
        <f aca="false">X127+'Volumes por intervalo'!M127</f>
        <v>28618</v>
      </c>
      <c r="Y128" s="149" t="n">
        <f aca="false">Y127+'Volumes por intervalo'!N127</f>
        <v>28618</v>
      </c>
      <c r="Z128" s="149" t="n">
        <f aca="false">Z127+'Volumes por intervalo'!O127</f>
        <v>32952.4000000001</v>
      </c>
      <c r="AA128" s="149" t="n">
        <f aca="false">AA127+'Volumes por intervalo'!P127</f>
        <v>0</v>
      </c>
      <c r="AB128" s="149" t="n">
        <f aca="false">AB127+'Volumes por intervalo'!Q127</f>
        <v>0</v>
      </c>
      <c r="AC128" s="149" t="n">
        <f aca="false">AC127+'Volumes por intervalo'!R127</f>
        <v>0</v>
      </c>
      <c r="AD128" s="149" t="n">
        <f aca="false">AD127+'Volumes por intervalo'!S127</f>
        <v>0</v>
      </c>
    </row>
    <row r="129" customFormat="false" ht="15" hidden="false" customHeight="false" outlineLevel="0" collapsed="false">
      <c r="A129" s="138" t="s">
        <v>1776</v>
      </c>
      <c r="B129" s="146" t="n">
        <v>127</v>
      </c>
      <c r="C129" s="144" t="n">
        <v>2540</v>
      </c>
      <c r="D129" s="138" t="s">
        <v>1565</v>
      </c>
      <c r="E129" s="138" t="s">
        <v>1566</v>
      </c>
      <c r="F129" s="147" t="n">
        <v>11</v>
      </c>
      <c r="G129" s="148" t="n">
        <v>0</v>
      </c>
      <c r="H129" s="148" t="n">
        <v>0</v>
      </c>
      <c r="I129" s="138" t="s">
        <v>1642</v>
      </c>
      <c r="J129" s="138"/>
      <c r="K129" s="146" t="n">
        <f aca="false">Parâmetros!$C$4*(F129+2*Parâmetros!$D$4+Parâmetros!$C$4*Parâmetros!$E$4)</f>
        <v>0.5525</v>
      </c>
      <c r="L129" s="146" t="n">
        <f aca="false">Parâmetros!$C$5*(F129+2*Parâmetros!$D$5+Parâmetros!$C$5*Parâmetros!$E$5)</f>
        <v>1.8176</v>
      </c>
      <c r="M129" s="146" t="n">
        <f aca="false">Parâmetros!$C$6*(F129+2*Parâmetros!$D$6+Parâmetros!$C$6*Parâmetros!$E$6)</f>
        <v>2.384</v>
      </c>
      <c r="N129" s="146" t="n">
        <f aca="false">Parâmetros!$C$7*(F129+2*Parâmetros!$D$7+Parâmetros!$C$7*Parâmetros!$E$7)</f>
        <v>3.786</v>
      </c>
      <c r="O129" s="146" t="n">
        <f aca="false">F129+2*Parâmetros!$D$8</f>
        <v>11.2</v>
      </c>
      <c r="P129" s="146" t="n">
        <f aca="false">F129+2*Parâmetros!$D$10</f>
        <v>12.92</v>
      </c>
      <c r="Q129" s="146" t="n">
        <f aca="false">G129+H129</f>
        <v>0</v>
      </c>
      <c r="S129" s="149" t="n">
        <f aca="false">S128+'Volumes por intervalo'!C128*(F128+F129)/2</f>
        <v>28334</v>
      </c>
      <c r="T129" s="149" t="n">
        <f aca="false">T128+'Volumes por intervalo'!H128</f>
        <v>1423.05</v>
      </c>
      <c r="U129" s="149" t="n">
        <f aca="false">U128+'Volumes por intervalo'!J128</f>
        <v>4679.74399999999</v>
      </c>
      <c r="V129" s="149" t="n">
        <f aca="false">V128+'Volumes por intervalo'!K128</f>
        <v>6134.16</v>
      </c>
      <c r="W129" s="149" t="n">
        <f aca="false">W128+'Volumes por intervalo'!L128</f>
        <v>9734.64000000001</v>
      </c>
      <c r="X129" s="149" t="n">
        <f aca="false">X128+'Volumes por intervalo'!M128</f>
        <v>28842</v>
      </c>
      <c r="Y129" s="149" t="n">
        <f aca="false">Y128+'Volumes por intervalo'!N128</f>
        <v>28842</v>
      </c>
      <c r="Z129" s="149" t="n">
        <f aca="false">Z128+'Volumes por intervalo'!O128</f>
        <v>33210.8000000001</v>
      </c>
      <c r="AA129" s="149" t="n">
        <f aca="false">AA128+'Volumes por intervalo'!P128</f>
        <v>0</v>
      </c>
      <c r="AB129" s="149" t="n">
        <f aca="false">AB128+'Volumes por intervalo'!Q128</f>
        <v>0</v>
      </c>
      <c r="AC129" s="149" t="n">
        <f aca="false">AC128+'Volumes por intervalo'!R128</f>
        <v>0</v>
      </c>
      <c r="AD129" s="149" t="n">
        <f aca="false">AD128+'Volumes por intervalo'!S128</f>
        <v>0</v>
      </c>
    </row>
    <row r="130" customFormat="false" ht="15" hidden="false" customHeight="false" outlineLevel="0" collapsed="false">
      <c r="A130" s="138" t="s">
        <v>1777</v>
      </c>
      <c r="B130" s="146" t="n">
        <v>128</v>
      </c>
      <c r="C130" s="144" t="n">
        <v>2560</v>
      </c>
      <c r="D130" s="138" t="s">
        <v>1565</v>
      </c>
      <c r="E130" s="138" t="s">
        <v>1566</v>
      </c>
      <c r="F130" s="147" t="n">
        <v>11</v>
      </c>
      <c r="G130" s="148" t="n">
        <v>0</v>
      </c>
      <c r="H130" s="148" t="n">
        <v>0</v>
      </c>
      <c r="I130" s="138" t="s">
        <v>1642</v>
      </c>
      <c r="J130" s="138"/>
      <c r="K130" s="146" t="n">
        <f aca="false">Parâmetros!$C$4*(F130+2*Parâmetros!$D$4+Parâmetros!$C$4*Parâmetros!$E$4)</f>
        <v>0.5525</v>
      </c>
      <c r="L130" s="146" t="n">
        <f aca="false">Parâmetros!$C$5*(F130+2*Parâmetros!$D$5+Parâmetros!$C$5*Parâmetros!$E$5)</f>
        <v>1.8176</v>
      </c>
      <c r="M130" s="146" t="n">
        <f aca="false">Parâmetros!$C$6*(F130+2*Parâmetros!$D$6+Parâmetros!$C$6*Parâmetros!$E$6)</f>
        <v>2.384</v>
      </c>
      <c r="N130" s="146" t="n">
        <f aca="false">Parâmetros!$C$7*(F130+2*Parâmetros!$D$7+Parâmetros!$C$7*Parâmetros!$E$7)</f>
        <v>3.786</v>
      </c>
      <c r="O130" s="146" t="n">
        <f aca="false">F130+2*Parâmetros!$D$8</f>
        <v>11.2</v>
      </c>
      <c r="P130" s="146" t="n">
        <f aca="false">F130+2*Parâmetros!$D$10</f>
        <v>12.92</v>
      </c>
      <c r="Q130" s="146" t="n">
        <f aca="false">G130+H130</f>
        <v>0</v>
      </c>
      <c r="S130" s="149" t="n">
        <f aca="false">S129+'Volumes por intervalo'!C129*(F129+F130)/2</f>
        <v>28554</v>
      </c>
      <c r="T130" s="149" t="n">
        <f aca="false">T129+'Volumes por intervalo'!H129</f>
        <v>1434.1</v>
      </c>
      <c r="U130" s="149" t="n">
        <f aca="false">U129+'Volumes por intervalo'!J129</f>
        <v>4716.09599999999</v>
      </c>
      <c r="V130" s="149" t="n">
        <f aca="false">V129+'Volumes por intervalo'!K129</f>
        <v>6181.84</v>
      </c>
      <c r="W130" s="149" t="n">
        <f aca="false">W129+'Volumes por intervalo'!L129</f>
        <v>9810.36</v>
      </c>
      <c r="X130" s="149" t="n">
        <f aca="false">X129+'Volumes por intervalo'!M129</f>
        <v>29066</v>
      </c>
      <c r="Y130" s="149" t="n">
        <f aca="false">Y129+'Volumes por intervalo'!N129</f>
        <v>29066</v>
      </c>
      <c r="Z130" s="149" t="n">
        <f aca="false">Z129+'Volumes por intervalo'!O129</f>
        <v>33469.2000000001</v>
      </c>
      <c r="AA130" s="149" t="n">
        <f aca="false">AA129+'Volumes por intervalo'!P129</f>
        <v>0</v>
      </c>
      <c r="AB130" s="149" t="n">
        <f aca="false">AB129+'Volumes por intervalo'!Q129</f>
        <v>0</v>
      </c>
      <c r="AC130" s="149" t="n">
        <f aca="false">AC129+'Volumes por intervalo'!R129</f>
        <v>0</v>
      </c>
      <c r="AD130" s="149" t="n">
        <f aca="false">AD129+'Volumes por intervalo'!S129</f>
        <v>0</v>
      </c>
    </row>
    <row r="131" customFormat="false" ht="15" hidden="false" customHeight="false" outlineLevel="0" collapsed="false">
      <c r="A131" s="138" t="s">
        <v>1778</v>
      </c>
      <c r="B131" s="146" t="n">
        <v>129</v>
      </c>
      <c r="C131" s="144" t="n">
        <v>2580</v>
      </c>
      <c r="D131" s="138" t="s">
        <v>1565</v>
      </c>
      <c r="E131" s="138" t="s">
        <v>1566</v>
      </c>
      <c r="F131" s="147" t="n">
        <v>11</v>
      </c>
      <c r="G131" s="148" t="n">
        <v>0</v>
      </c>
      <c r="H131" s="148" t="n">
        <v>0</v>
      </c>
      <c r="I131" s="138" t="s">
        <v>1642</v>
      </c>
      <c r="J131" s="138"/>
      <c r="K131" s="146" t="n">
        <f aca="false">Parâmetros!$C$4*(F131+2*Parâmetros!$D$4+Parâmetros!$C$4*Parâmetros!$E$4)</f>
        <v>0.5525</v>
      </c>
      <c r="L131" s="146" t="n">
        <f aca="false">Parâmetros!$C$5*(F131+2*Parâmetros!$D$5+Parâmetros!$C$5*Parâmetros!$E$5)</f>
        <v>1.8176</v>
      </c>
      <c r="M131" s="146" t="n">
        <f aca="false">Parâmetros!$C$6*(F131+2*Parâmetros!$D$6+Parâmetros!$C$6*Parâmetros!$E$6)</f>
        <v>2.384</v>
      </c>
      <c r="N131" s="146" t="n">
        <f aca="false">Parâmetros!$C$7*(F131+2*Parâmetros!$D$7+Parâmetros!$C$7*Parâmetros!$E$7)</f>
        <v>3.786</v>
      </c>
      <c r="O131" s="146" t="n">
        <f aca="false">F131+2*Parâmetros!$D$8</f>
        <v>11.2</v>
      </c>
      <c r="P131" s="146" t="n">
        <f aca="false">F131+2*Parâmetros!$D$10</f>
        <v>12.92</v>
      </c>
      <c r="Q131" s="146" t="n">
        <f aca="false">G131+H131</f>
        <v>0</v>
      </c>
      <c r="S131" s="149" t="n">
        <f aca="false">S130+'Volumes por intervalo'!C130*(F130+F131)/2</f>
        <v>28774</v>
      </c>
      <c r="T131" s="149" t="n">
        <f aca="false">T130+'Volumes por intervalo'!H130</f>
        <v>1445.15</v>
      </c>
      <c r="U131" s="149" t="n">
        <f aca="false">U130+'Volumes por intervalo'!J130</f>
        <v>4752.44799999999</v>
      </c>
      <c r="V131" s="149" t="n">
        <f aca="false">V130+'Volumes por intervalo'!K130</f>
        <v>6229.52</v>
      </c>
      <c r="W131" s="149" t="n">
        <f aca="false">W130+'Volumes por intervalo'!L130</f>
        <v>9886.08</v>
      </c>
      <c r="X131" s="149" t="n">
        <f aca="false">X130+'Volumes por intervalo'!M130</f>
        <v>29290</v>
      </c>
      <c r="Y131" s="149" t="n">
        <f aca="false">Y130+'Volumes por intervalo'!N130</f>
        <v>29290</v>
      </c>
      <c r="Z131" s="149" t="n">
        <f aca="false">Z130+'Volumes por intervalo'!O130</f>
        <v>33727.6000000001</v>
      </c>
      <c r="AA131" s="149" t="n">
        <f aca="false">AA130+'Volumes por intervalo'!P130</f>
        <v>0</v>
      </c>
      <c r="AB131" s="149" t="n">
        <f aca="false">AB130+'Volumes por intervalo'!Q130</f>
        <v>0</v>
      </c>
      <c r="AC131" s="149" t="n">
        <f aca="false">AC130+'Volumes por intervalo'!R130</f>
        <v>0</v>
      </c>
      <c r="AD131" s="149" t="n">
        <f aca="false">AD130+'Volumes por intervalo'!S130</f>
        <v>0</v>
      </c>
    </row>
    <row r="132" customFormat="false" ht="15" hidden="false" customHeight="false" outlineLevel="0" collapsed="false">
      <c r="A132" s="138" t="s">
        <v>1779</v>
      </c>
      <c r="B132" s="146" t="n">
        <v>130</v>
      </c>
      <c r="C132" s="144" t="n">
        <v>2600</v>
      </c>
      <c r="D132" s="138" t="s">
        <v>1565</v>
      </c>
      <c r="E132" s="138" t="s">
        <v>1566</v>
      </c>
      <c r="F132" s="147" t="n">
        <v>11</v>
      </c>
      <c r="G132" s="148" t="n">
        <v>0</v>
      </c>
      <c r="H132" s="148" t="n">
        <v>0</v>
      </c>
      <c r="I132" s="138" t="s">
        <v>1642</v>
      </c>
      <c r="J132" s="138"/>
      <c r="K132" s="146" t="n">
        <f aca="false">Parâmetros!$C$4*(F132+2*Parâmetros!$D$4+Parâmetros!$C$4*Parâmetros!$E$4)</f>
        <v>0.5525</v>
      </c>
      <c r="L132" s="146" t="n">
        <f aca="false">Parâmetros!$C$5*(F132+2*Parâmetros!$D$5+Parâmetros!$C$5*Parâmetros!$E$5)</f>
        <v>1.8176</v>
      </c>
      <c r="M132" s="146" t="n">
        <f aca="false">Parâmetros!$C$6*(F132+2*Parâmetros!$D$6+Parâmetros!$C$6*Parâmetros!$E$6)</f>
        <v>2.384</v>
      </c>
      <c r="N132" s="146" t="n">
        <f aca="false">Parâmetros!$C$7*(F132+2*Parâmetros!$D$7+Parâmetros!$C$7*Parâmetros!$E$7)</f>
        <v>3.786</v>
      </c>
      <c r="O132" s="146" t="n">
        <f aca="false">F132+2*Parâmetros!$D$8</f>
        <v>11.2</v>
      </c>
      <c r="P132" s="146" t="n">
        <f aca="false">F132+2*Parâmetros!$D$10</f>
        <v>12.92</v>
      </c>
      <c r="Q132" s="146" t="n">
        <f aca="false">G132+H132</f>
        <v>0</v>
      </c>
      <c r="S132" s="149" t="n">
        <f aca="false">S131+'Volumes por intervalo'!C131*(F131+F132)/2</f>
        <v>28994</v>
      </c>
      <c r="T132" s="149" t="n">
        <f aca="false">T131+'Volumes por intervalo'!H131</f>
        <v>1456.2</v>
      </c>
      <c r="U132" s="149" t="n">
        <f aca="false">U131+'Volumes por intervalo'!J131</f>
        <v>4788.79999999999</v>
      </c>
      <c r="V132" s="149" t="n">
        <f aca="false">V131+'Volumes por intervalo'!K131</f>
        <v>6277.2</v>
      </c>
      <c r="W132" s="149" t="n">
        <f aca="false">W131+'Volumes por intervalo'!L131</f>
        <v>9961.8</v>
      </c>
      <c r="X132" s="149" t="n">
        <f aca="false">X131+'Volumes por intervalo'!M131</f>
        <v>29514</v>
      </c>
      <c r="Y132" s="149" t="n">
        <f aca="false">Y131+'Volumes por intervalo'!N131</f>
        <v>29514</v>
      </c>
      <c r="Z132" s="149" t="n">
        <f aca="false">Z131+'Volumes por intervalo'!O131</f>
        <v>33986.0000000001</v>
      </c>
      <c r="AA132" s="149" t="n">
        <f aca="false">AA131+'Volumes por intervalo'!P131</f>
        <v>0</v>
      </c>
      <c r="AB132" s="149" t="n">
        <f aca="false">AB131+'Volumes por intervalo'!Q131</f>
        <v>0</v>
      </c>
      <c r="AC132" s="149" t="n">
        <f aca="false">AC131+'Volumes por intervalo'!R131</f>
        <v>0</v>
      </c>
      <c r="AD132" s="149" t="n">
        <f aca="false">AD131+'Volumes por intervalo'!S131</f>
        <v>0</v>
      </c>
    </row>
    <row r="133" customFormat="false" ht="15" hidden="false" customHeight="false" outlineLevel="0" collapsed="false">
      <c r="A133" s="138" t="s">
        <v>1780</v>
      </c>
      <c r="B133" s="146" t="n">
        <v>131</v>
      </c>
      <c r="C133" s="144" t="n">
        <v>2620</v>
      </c>
      <c r="D133" s="138" t="s">
        <v>1565</v>
      </c>
      <c r="E133" s="138" t="s">
        <v>1566</v>
      </c>
      <c r="F133" s="147" t="n">
        <v>11</v>
      </c>
      <c r="G133" s="148" t="n">
        <v>0</v>
      </c>
      <c r="H133" s="148" t="n">
        <v>0</v>
      </c>
      <c r="I133" s="138" t="s">
        <v>1642</v>
      </c>
      <c r="J133" s="138"/>
      <c r="K133" s="146" t="n">
        <f aca="false">Parâmetros!$C$4*(F133+2*Parâmetros!$D$4+Parâmetros!$C$4*Parâmetros!$E$4)</f>
        <v>0.5525</v>
      </c>
      <c r="L133" s="146" t="n">
        <f aca="false">Parâmetros!$C$5*(F133+2*Parâmetros!$D$5+Parâmetros!$C$5*Parâmetros!$E$5)</f>
        <v>1.8176</v>
      </c>
      <c r="M133" s="146" t="n">
        <f aca="false">Parâmetros!$C$6*(F133+2*Parâmetros!$D$6+Parâmetros!$C$6*Parâmetros!$E$6)</f>
        <v>2.384</v>
      </c>
      <c r="N133" s="146" t="n">
        <f aca="false">Parâmetros!$C$7*(F133+2*Parâmetros!$D$7+Parâmetros!$C$7*Parâmetros!$E$7)</f>
        <v>3.786</v>
      </c>
      <c r="O133" s="146" t="n">
        <f aca="false">F133+2*Parâmetros!$D$8</f>
        <v>11.2</v>
      </c>
      <c r="P133" s="146" t="n">
        <f aca="false">F133+2*Parâmetros!$D$10</f>
        <v>12.92</v>
      </c>
      <c r="Q133" s="146" t="n">
        <f aca="false">G133+H133</f>
        <v>0</v>
      </c>
      <c r="S133" s="149" t="n">
        <f aca="false">S132+'Volumes por intervalo'!C132*(F132+F133)/2</f>
        <v>29214</v>
      </c>
      <c r="T133" s="149" t="n">
        <f aca="false">T132+'Volumes por intervalo'!H132</f>
        <v>1467.25</v>
      </c>
      <c r="U133" s="149" t="n">
        <f aca="false">U132+'Volumes por intervalo'!J132</f>
        <v>4825.15199999999</v>
      </c>
      <c r="V133" s="149" t="n">
        <f aca="false">V132+'Volumes por intervalo'!K132</f>
        <v>6324.88</v>
      </c>
      <c r="W133" s="149" t="n">
        <f aca="false">W132+'Volumes por intervalo'!L132</f>
        <v>10037.52</v>
      </c>
      <c r="X133" s="149" t="n">
        <f aca="false">X132+'Volumes por intervalo'!M132</f>
        <v>29738</v>
      </c>
      <c r="Y133" s="149" t="n">
        <f aca="false">Y132+'Volumes por intervalo'!N132</f>
        <v>29738</v>
      </c>
      <c r="Z133" s="149" t="n">
        <f aca="false">Z132+'Volumes por intervalo'!O132</f>
        <v>34244.4000000001</v>
      </c>
      <c r="AA133" s="149" t="n">
        <f aca="false">AA132+'Volumes por intervalo'!P132</f>
        <v>0</v>
      </c>
      <c r="AB133" s="149" t="n">
        <f aca="false">AB132+'Volumes por intervalo'!Q132</f>
        <v>0</v>
      </c>
      <c r="AC133" s="149" t="n">
        <f aca="false">AC132+'Volumes por intervalo'!R132</f>
        <v>0</v>
      </c>
      <c r="AD133" s="149" t="n">
        <f aca="false">AD132+'Volumes por intervalo'!S132</f>
        <v>0</v>
      </c>
    </row>
    <row r="134" customFormat="false" ht="15" hidden="false" customHeight="false" outlineLevel="0" collapsed="false">
      <c r="A134" s="138" t="s">
        <v>1781</v>
      </c>
      <c r="B134" s="146" t="n">
        <v>132</v>
      </c>
      <c r="C134" s="144" t="n">
        <v>2640</v>
      </c>
      <c r="D134" s="138" t="s">
        <v>1565</v>
      </c>
      <c r="E134" s="138" t="s">
        <v>1566</v>
      </c>
      <c r="F134" s="147" t="n">
        <v>11</v>
      </c>
      <c r="G134" s="148" t="n">
        <v>0</v>
      </c>
      <c r="H134" s="148" t="n">
        <v>0</v>
      </c>
      <c r="I134" s="138" t="s">
        <v>1642</v>
      </c>
      <c r="J134" s="138"/>
      <c r="K134" s="146" t="n">
        <f aca="false">Parâmetros!$C$4*(F134+2*Parâmetros!$D$4+Parâmetros!$C$4*Parâmetros!$E$4)</f>
        <v>0.5525</v>
      </c>
      <c r="L134" s="146" t="n">
        <f aca="false">Parâmetros!$C$5*(F134+2*Parâmetros!$D$5+Parâmetros!$C$5*Parâmetros!$E$5)</f>
        <v>1.8176</v>
      </c>
      <c r="M134" s="146" t="n">
        <f aca="false">Parâmetros!$C$6*(F134+2*Parâmetros!$D$6+Parâmetros!$C$6*Parâmetros!$E$6)</f>
        <v>2.384</v>
      </c>
      <c r="N134" s="146" t="n">
        <f aca="false">Parâmetros!$C$7*(F134+2*Parâmetros!$D$7+Parâmetros!$C$7*Parâmetros!$E$7)</f>
        <v>3.786</v>
      </c>
      <c r="O134" s="146" t="n">
        <f aca="false">F134+2*Parâmetros!$D$8</f>
        <v>11.2</v>
      </c>
      <c r="P134" s="146" t="n">
        <f aca="false">F134+2*Parâmetros!$D$10</f>
        <v>12.92</v>
      </c>
      <c r="Q134" s="146" t="n">
        <f aca="false">G134+H134</f>
        <v>0</v>
      </c>
      <c r="S134" s="149" t="n">
        <f aca="false">S133+'Volumes por intervalo'!C133*(F133+F134)/2</f>
        <v>29434</v>
      </c>
      <c r="T134" s="149" t="n">
        <f aca="false">T133+'Volumes por intervalo'!H133</f>
        <v>1478.3</v>
      </c>
      <c r="U134" s="149" t="n">
        <f aca="false">U133+'Volumes por intervalo'!J133</f>
        <v>4861.50399999999</v>
      </c>
      <c r="V134" s="149" t="n">
        <f aca="false">V133+'Volumes por intervalo'!K133</f>
        <v>6372.56</v>
      </c>
      <c r="W134" s="149" t="n">
        <f aca="false">W133+'Volumes por intervalo'!L133</f>
        <v>10113.24</v>
      </c>
      <c r="X134" s="149" t="n">
        <f aca="false">X133+'Volumes por intervalo'!M133</f>
        <v>29962</v>
      </c>
      <c r="Y134" s="149" t="n">
        <f aca="false">Y133+'Volumes por intervalo'!N133</f>
        <v>29962</v>
      </c>
      <c r="Z134" s="149" t="n">
        <f aca="false">Z133+'Volumes por intervalo'!O133</f>
        <v>34502.8000000001</v>
      </c>
      <c r="AA134" s="149" t="n">
        <f aca="false">AA133+'Volumes por intervalo'!P133</f>
        <v>0</v>
      </c>
      <c r="AB134" s="149" t="n">
        <f aca="false">AB133+'Volumes por intervalo'!Q133</f>
        <v>0</v>
      </c>
      <c r="AC134" s="149" t="n">
        <f aca="false">AC133+'Volumes por intervalo'!R133</f>
        <v>0</v>
      </c>
      <c r="AD134" s="149" t="n">
        <f aca="false">AD133+'Volumes por intervalo'!S133</f>
        <v>0</v>
      </c>
    </row>
    <row r="135" customFormat="false" ht="15" hidden="false" customHeight="false" outlineLevel="0" collapsed="false">
      <c r="A135" s="138" t="s">
        <v>1782</v>
      </c>
      <c r="B135" s="146" t="n">
        <v>133</v>
      </c>
      <c r="C135" s="144" t="n">
        <v>2660</v>
      </c>
      <c r="D135" s="138" t="s">
        <v>1565</v>
      </c>
      <c r="E135" s="138" t="s">
        <v>1566</v>
      </c>
      <c r="F135" s="147" t="n">
        <v>11</v>
      </c>
      <c r="G135" s="148" t="n">
        <v>0</v>
      </c>
      <c r="H135" s="148" t="n">
        <v>0</v>
      </c>
      <c r="I135" s="138" t="s">
        <v>1642</v>
      </c>
      <c r="J135" s="138"/>
      <c r="K135" s="146" t="n">
        <f aca="false">Parâmetros!$C$4*(F135+2*Parâmetros!$D$4+Parâmetros!$C$4*Parâmetros!$E$4)</f>
        <v>0.5525</v>
      </c>
      <c r="L135" s="146" t="n">
        <f aca="false">Parâmetros!$C$5*(F135+2*Parâmetros!$D$5+Parâmetros!$C$5*Parâmetros!$E$5)</f>
        <v>1.8176</v>
      </c>
      <c r="M135" s="146" t="n">
        <f aca="false">Parâmetros!$C$6*(F135+2*Parâmetros!$D$6+Parâmetros!$C$6*Parâmetros!$E$6)</f>
        <v>2.384</v>
      </c>
      <c r="N135" s="146" t="n">
        <f aca="false">Parâmetros!$C$7*(F135+2*Parâmetros!$D$7+Parâmetros!$C$7*Parâmetros!$E$7)</f>
        <v>3.786</v>
      </c>
      <c r="O135" s="146" t="n">
        <f aca="false">F135+2*Parâmetros!$D$8</f>
        <v>11.2</v>
      </c>
      <c r="P135" s="146" t="n">
        <f aca="false">F135+2*Parâmetros!$D$10</f>
        <v>12.92</v>
      </c>
      <c r="Q135" s="146" t="n">
        <f aca="false">G135+H135</f>
        <v>0</v>
      </c>
      <c r="S135" s="149" t="n">
        <f aca="false">S134+'Volumes por intervalo'!C134*(F134+F135)/2</f>
        <v>29654</v>
      </c>
      <c r="T135" s="149" t="n">
        <f aca="false">T134+'Volumes por intervalo'!H134</f>
        <v>1489.35</v>
      </c>
      <c r="U135" s="149" t="n">
        <f aca="false">U134+'Volumes por intervalo'!J134</f>
        <v>4897.85599999999</v>
      </c>
      <c r="V135" s="149" t="n">
        <f aca="false">V134+'Volumes por intervalo'!K134</f>
        <v>6420.24</v>
      </c>
      <c r="W135" s="149" t="n">
        <f aca="false">W134+'Volumes por intervalo'!L134</f>
        <v>10188.96</v>
      </c>
      <c r="X135" s="149" t="n">
        <f aca="false">X134+'Volumes por intervalo'!M134</f>
        <v>30186</v>
      </c>
      <c r="Y135" s="149" t="n">
        <f aca="false">Y134+'Volumes por intervalo'!N134</f>
        <v>30186</v>
      </c>
      <c r="Z135" s="149" t="n">
        <f aca="false">Z134+'Volumes por intervalo'!O134</f>
        <v>34761.2000000001</v>
      </c>
      <c r="AA135" s="149" t="n">
        <f aca="false">AA134+'Volumes por intervalo'!P134</f>
        <v>0</v>
      </c>
      <c r="AB135" s="149" t="n">
        <f aca="false">AB134+'Volumes por intervalo'!Q134</f>
        <v>0</v>
      </c>
      <c r="AC135" s="149" t="n">
        <f aca="false">AC134+'Volumes por intervalo'!R134</f>
        <v>0</v>
      </c>
      <c r="AD135" s="149" t="n">
        <f aca="false">AD134+'Volumes por intervalo'!S134</f>
        <v>0</v>
      </c>
    </row>
    <row r="136" customFormat="false" ht="15" hidden="false" customHeight="false" outlineLevel="0" collapsed="false">
      <c r="A136" s="138" t="s">
        <v>1783</v>
      </c>
      <c r="B136" s="146" t="n">
        <v>134</v>
      </c>
      <c r="C136" s="144" t="n">
        <v>2680</v>
      </c>
      <c r="D136" s="138" t="s">
        <v>1565</v>
      </c>
      <c r="E136" s="138" t="s">
        <v>1566</v>
      </c>
      <c r="F136" s="147" t="n">
        <v>11</v>
      </c>
      <c r="G136" s="148" t="n">
        <v>0</v>
      </c>
      <c r="H136" s="148" t="n">
        <v>0</v>
      </c>
      <c r="I136" s="138" t="s">
        <v>1642</v>
      </c>
      <c r="J136" s="138"/>
      <c r="K136" s="146" t="n">
        <f aca="false">Parâmetros!$C$4*(F136+2*Parâmetros!$D$4+Parâmetros!$C$4*Parâmetros!$E$4)</f>
        <v>0.5525</v>
      </c>
      <c r="L136" s="146" t="n">
        <f aca="false">Parâmetros!$C$5*(F136+2*Parâmetros!$D$5+Parâmetros!$C$5*Parâmetros!$E$5)</f>
        <v>1.8176</v>
      </c>
      <c r="M136" s="146" t="n">
        <f aca="false">Parâmetros!$C$6*(F136+2*Parâmetros!$D$6+Parâmetros!$C$6*Parâmetros!$E$6)</f>
        <v>2.384</v>
      </c>
      <c r="N136" s="146" t="n">
        <f aca="false">Parâmetros!$C$7*(F136+2*Parâmetros!$D$7+Parâmetros!$C$7*Parâmetros!$E$7)</f>
        <v>3.786</v>
      </c>
      <c r="O136" s="146" t="n">
        <f aca="false">F136+2*Parâmetros!$D$8</f>
        <v>11.2</v>
      </c>
      <c r="P136" s="146" t="n">
        <f aca="false">F136+2*Parâmetros!$D$10</f>
        <v>12.92</v>
      </c>
      <c r="Q136" s="146" t="n">
        <f aca="false">G136+H136</f>
        <v>0</v>
      </c>
      <c r="S136" s="149" t="n">
        <f aca="false">S135+'Volumes por intervalo'!C135*(F135+F136)/2</f>
        <v>29874</v>
      </c>
      <c r="T136" s="149" t="n">
        <f aca="false">T135+'Volumes por intervalo'!H135</f>
        <v>1500.4</v>
      </c>
      <c r="U136" s="149" t="n">
        <f aca="false">U135+'Volumes por intervalo'!J135</f>
        <v>4934.20799999999</v>
      </c>
      <c r="V136" s="149" t="n">
        <f aca="false">V135+'Volumes por intervalo'!K135</f>
        <v>6467.92000000001</v>
      </c>
      <c r="W136" s="149" t="n">
        <f aca="false">W135+'Volumes por intervalo'!L135</f>
        <v>10264.68</v>
      </c>
      <c r="X136" s="149" t="n">
        <f aca="false">X135+'Volumes por intervalo'!M135</f>
        <v>30410</v>
      </c>
      <c r="Y136" s="149" t="n">
        <f aca="false">Y135+'Volumes por intervalo'!N135</f>
        <v>30410</v>
      </c>
      <c r="Z136" s="149" t="n">
        <f aca="false">Z135+'Volumes por intervalo'!O135</f>
        <v>35019.6000000001</v>
      </c>
      <c r="AA136" s="149" t="n">
        <f aca="false">AA135+'Volumes por intervalo'!P135</f>
        <v>0</v>
      </c>
      <c r="AB136" s="149" t="n">
        <f aca="false">AB135+'Volumes por intervalo'!Q135</f>
        <v>0</v>
      </c>
      <c r="AC136" s="149" t="n">
        <f aca="false">AC135+'Volumes por intervalo'!R135</f>
        <v>0</v>
      </c>
      <c r="AD136" s="149" t="n">
        <f aca="false">AD135+'Volumes por intervalo'!S135</f>
        <v>0</v>
      </c>
    </row>
    <row r="137" customFormat="false" ht="15" hidden="false" customHeight="false" outlineLevel="0" collapsed="false">
      <c r="A137" s="138" t="s">
        <v>1784</v>
      </c>
      <c r="B137" s="146" t="n">
        <v>135</v>
      </c>
      <c r="C137" s="144" t="n">
        <v>2700</v>
      </c>
      <c r="D137" s="138" t="s">
        <v>1565</v>
      </c>
      <c r="E137" s="138" t="s">
        <v>1566</v>
      </c>
      <c r="F137" s="147" t="n">
        <v>11</v>
      </c>
      <c r="G137" s="148" t="n">
        <v>0</v>
      </c>
      <c r="H137" s="148" t="n">
        <v>0</v>
      </c>
      <c r="I137" s="138" t="s">
        <v>1642</v>
      </c>
      <c r="J137" s="138"/>
      <c r="K137" s="146" t="n">
        <f aca="false">Parâmetros!$C$4*(F137+2*Parâmetros!$D$4+Parâmetros!$C$4*Parâmetros!$E$4)</f>
        <v>0.5525</v>
      </c>
      <c r="L137" s="146" t="n">
        <f aca="false">Parâmetros!$C$5*(F137+2*Parâmetros!$D$5+Parâmetros!$C$5*Parâmetros!$E$5)</f>
        <v>1.8176</v>
      </c>
      <c r="M137" s="146" t="n">
        <f aca="false">Parâmetros!$C$6*(F137+2*Parâmetros!$D$6+Parâmetros!$C$6*Parâmetros!$E$6)</f>
        <v>2.384</v>
      </c>
      <c r="N137" s="146" t="n">
        <f aca="false">Parâmetros!$C$7*(F137+2*Parâmetros!$D$7+Parâmetros!$C$7*Parâmetros!$E$7)</f>
        <v>3.786</v>
      </c>
      <c r="O137" s="146" t="n">
        <f aca="false">F137+2*Parâmetros!$D$8</f>
        <v>11.2</v>
      </c>
      <c r="P137" s="146" t="n">
        <f aca="false">F137+2*Parâmetros!$D$10</f>
        <v>12.92</v>
      </c>
      <c r="Q137" s="146" t="n">
        <f aca="false">G137+H137</f>
        <v>0</v>
      </c>
      <c r="S137" s="149" t="n">
        <f aca="false">S136+'Volumes por intervalo'!C136*(F136+F137)/2</f>
        <v>30094</v>
      </c>
      <c r="T137" s="149" t="n">
        <f aca="false">T136+'Volumes por intervalo'!H136</f>
        <v>1511.45</v>
      </c>
      <c r="U137" s="149" t="n">
        <f aca="false">U136+'Volumes por intervalo'!J136</f>
        <v>4970.55999999999</v>
      </c>
      <c r="V137" s="149" t="n">
        <f aca="false">V136+'Volumes por intervalo'!K136</f>
        <v>6515.60000000001</v>
      </c>
      <c r="W137" s="149" t="n">
        <f aca="false">W136+'Volumes por intervalo'!L136</f>
        <v>10340.4</v>
      </c>
      <c r="X137" s="149" t="n">
        <f aca="false">X136+'Volumes por intervalo'!M136</f>
        <v>30634</v>
      </c>
      <c r="Y137" s="149" t="n">
        <f aca="false">Y136+'Volumes por intervalo'!N136</f>
        <v>30634</v>
      </c>
      <c r="Z137" s="149" t="n">
        <f aca="false">Z136+'Volumes por intervalo'!O136</f>
        <v>35278.0000000001</v>
      </c>
      <c r="AA137" s="149" t="n">
        <f aca="false">AA136+'Volumes por intervalo'!P136</f>
        <v>0</v>
      </c>
      <c r="AB137" s="149" t="n">
        <f aca="false">AB136+'Volumes por intervalo'!Q136</f>
        <v>0</v>
      </c>
      <c r="AC137" s="149" t="n">
        <f aca="false">AC136+'Volumes por intervalo'!R136</f>
        <v>0</v>
      </c>
      <c r="AD137" s="149" t="n">
        <f aca="false">AD136+'Volumes por intervalo'!S136</f>
        <v>0</v>
      </c>
    </row>
    <row r="138" customFormat="false" ht="15" hidden="false" customHeight="false" outlineLevel="0" collapsed="false">
      <c r="A138" s="138" t="s">
        <v>1785</v>
      </c>
      <c r="B138" s="146" t="n">
        <v>136</v>
      </c>
      <c r="C138" s="144" t="n">
        <v>2720</v>
      </c>
      <c r="D138" s="138" t="s">
        <v>1565</v>
      </c>
      <c r="E138" s="138" t="s">
        <v>1566</v>
      </c>
      <c r="F138" s="147" t="n">
        <v>11</v>
      </c>
      <c r="G138" s="148" t="n">
        <v>0</v>
      </c>
      <c r="H138" s="148" t="n">
        <v>0</v>
      </c>
      <c r="I138" s="138" t="s">
        <v>1642</v>
      </c>
      <c r="J138" s="138"/>
      <c r="K138" s="146" t="n">
        <f aca="false">Parâmetros!$C$4*(F138+2*Parâmetros!$D$4+Parâmetros!$C$4*Parâmetros!$E$4)</f>
        <v>0.5525</v>
      </c>
      <c r="L138" s="146" t="n">
        <f aca="false">Parâmetros!$C$5*(F138+2*Parâmetros!$D$5+Parâmetros!$C$5*Parâmetros!$E$5)</f>
        <v>1.8176</v>
      </c>
      <c r="M138" s="146" t="n">
        <f aca="false">Parâmetros!$C$6*(F138+2*Parâmetros!$D$6+Parâmetros!$C$6*Parâmetros!$E$6)</f>
        <v>2.384</v>
      </c>
      <c r="N138" s="146" t="n">
        <f aca="false">Parâmetros!$C$7*(F138+2*Parâmetros!$D$7+Parâmetros!$C$7*Parâmetros!$E$7)</f>
        <v>3.786</v>
      </c>
      <c r="O138" s="146" t="n">
        <f aca="false">F138+2*Parâmetros!$D$8</f>
        <v>11.2</v>
      </c>
      <c r="P138" s="146" t="n">
        <f aca="false">F138+2*Parâmetros!$D$10</f>
        <v>12.92</v>
      </c>
      <c r="Q138" s="146" t="n">
        <f aca="false">G138+H138</f>
        <v>0</v>
      </c>
      <c r="S138" s="149" t="n">
        <f aca="false">S137+'Volumes por intervalo'!C137*(F137+F138)/2</f>
        <v>30314</v>
      </c>
      <c r="T138" s="149" t="n">
        <f aca="false">T137+'Volumes por intervalo'!H137</f>
        <v>1522.5</v>
      </c>
      <c r="U138" s="149" t="n">
        <f aca="false">U137+'Volumes por intervalo'!J137</f>
        <v>5006.91199999999</v>
      </c>
      <c r="V138" s="149" t="n">
        <f aca="false">V137+'Volumes por intervalo'!K137</f>
        <v>6563.28000000001</v>
      </c>
      <c r="W138" s="149" t="n">
        <f aca="false">W137+'Volumes por intervalo'!L137</f>
        <v>10416.12</v>
      </c>
      <c r="X138" s="149" t="n">
        <f aca="false">X137+'Volumes por intervalo'!M137</f>
        <v>30858</v>
      </c>
      <c r="Y138" s="149" t="n">
        <f aca="false">Y137+'Volumes por intervalo'!N137</f>
        <v>30858</v>
      </c>
      <c r="Z138" s="149" t="n">
        <f aca="false">Z137+'Volumes por intervalo'!O137</f>
        <v>35536.4000000001</v>
      </c>
      <c r="AA138" s="149" t="n">
        <f aca="false">AA137+'Volumes por intervalo'!P137</f>
        <v>0</v>
      </c>
      <c r="AB138" s="149" t="n">
        <f aca="false">AB137+'Volumes por intervalo'!Q137</f>
        <v>0</v>
      </c>
      <c r="AC138" s="149" t="n">
        <f aca="false">AC137+'Volumes por intervalo'!R137</f>
        <v>0</v>
      </c>
      <c r="AD138" s="149" t="n">
        <f aca="false">AD137+'Volumes por intervalo'!S137</f>
        <v>0</v>
      </c>
    </row>
    <row r="139" customFormat="false" ht="15" hidden="false" customHeight="false" outlineLevel="0" collapsed="false">
      <c r="A139" s="138" t="s">
        <v>1786</v>
      </c>
      <c r="B139" s="146" t="n">
        <v>137</v>
      </c>
      <c r="C139" s="144" t="n">
        <v>2740</v>
      </c>
      <c r="D139" s="138" t="s">
        <v>1565</v>
      </c>
      <c r="E139" s="138" t="s">
        <v>1566</v>
      </c>
      <c r="F139" s="147" t="n">
        <v>11</v>
      </c>
      <c r="G139" s="148" t="n">
        <v>0</v>
      </c>
      <c r="H139" s="148" t="n">
        <v>0</v>
      </c>
      <c r="I139" s="138" t="s">
        <v>1642</v>
      </c>
      <c r="J139" s="138"/>
      <c r="K139" s="146" t="n">
        <f aca="false">Parâmetros!$C$4*(F139+2*Parâmetros!$D$4+Parâmetros!$C$4*Parâmetros!$E$4)</f>
        <v>0.5525</v>
      </c>
      <c r="L139" s="146" t="n">
        <f aca="false">Parâmetros!$C$5*(F139+2*Parâmetros!$D$5+Parâmetros!$C$5*Parâmetros!$E$5)</f>
        <v>1.8176</v>
      </c>
      <c r="M139" s="146" t="n">
        <f aca="false">Parâmetros!$C$6*(F139+2*Parâmetros!$D$6+Parâmetros!$C$6*Parâmetros!$E$6)</f>
        <v>2.384</v>
      </c>
      <c r="N139" s="146" t="n">
        <f aca="false">Parâmetros!$C$7*(F139+2*Parâmetros!$D$7+Parâmetros!$C$7*Parâmetros!$E$7)</f>
        <v>3.786</v>
      </c>
      <c r="O139" s="146" t="n">
        <f aca="false">F139+2*Parâmetros!$D$8</f>
        <v>11.2</v>
      </c>
      <c r="P139" s="146" t="n">
        <f aca="false">F139+2*Parâmetros!$D$10</f>
        <v>12.92</v>
      </c>
      <c r="Q139" s="146" t="n">
        <f aca="false">G139+H139</f>
        <v>0</v>
      </c>
      <c r="S139" s="149" t="n">
        <f aca="false">S138+'Volumes por intervalo'!C138*(F138+F139)/2</f>
        <v>30534</v>
      </c>
      <c r="T139" s="149" t="n">
        <f aca="false">T138+'Volumes por intervalo'!H138</f>
        <v>1533.55</v>
      </c>
      <c r="U139" s="149" t="n">
        <f aca="false">U138+'Volumes por intervalo'!J138</f>
        <v>5043.26399999999</v>
      </c>
      <c r="V139" s="149" t="n">
        <f aca="false">V138+'Volumes por intervalo'!K138</f>
        <v>6610.96000000001</v>
      </c>
      <c r="W139" s="149" t="n">
        <f aca="false">W138+'Volumes por intervalo'!L138</f>
        <v>10491.84</v>
      </c>
      <c r="X139" s="149" t="n">
        <f aca="false">X138+'Volumes por intervalo'!M138</f>
        <v>31082</v>
      </c>
      <c r="Y139" s="149" t="n">
        <f aca="false">Y138+'Volumes por intervalo'!N138</f>
        <v>31082</v>
      </c>
      <c r="Z139" s="149" t="n">
        <f aca="false">Z138+'Volumes por intervalo'!O138</f>
        <v>35794.8000000001</v>
      </c>
      <c r="AA139" s="149" t="n">
        <f aca="false">AA138+'Volumes por intervalo'!P138</f>
        <v>0</v>
      </c>
      <c r="AB139" s="149" t="n">
        <f aca="false">AB138+'Volumes por intervalo'!Q138</f>
        <v>0</v>
      </c>
      <c r="AC139" s="149" t="n">
        <f aca="false">AC138+'Volumes por intervalo'!R138</f>
        <v>0</v>
      </c>
      <c r="AD139" s="149" t="n">
        <f aca="false">AD138+'Volumes por intervalo'!S138</f>
        <v>0</v>
      </c>
    </row>
    <row r="140" customFormat="false" ht="15" hidden="false" customHeight="false" outlineLevel="0" collapsed="false">
      <c r="A140" s="138" t="s">
        <v>1787</v>
      </c>
      <c r="B140" s="146" t="n">
        <v>138</v>
      </c>
      <c r="C140" s="144" t="n">
        <v>2760</v>
      </c>
      <c r="D140" s="138" t="s">
        <v>1565</v>
      </c>
      <c r="E140" s="138" t="s">
        <v>1566</v>
      </c>
      <c r="F140" s="147" t="n">
        <v>11</v>
      </c>
      <c r="G140" s="148" t="n">
        <v>0</v>
      </c>
      <c r="H140" s="148" t="n">
        <v>0</v>
      </c>
      <c r="I140" s="138" t="s">
        <v>1642</v>
      </c>
      <c r="J140" s="138"/>
      <c r="K140" s="146" t="n">
        <f aca="false">Parâmetros!$C$4*(F140+2*Parâmetros!$D$4+Parâmetros!$C$4*Parâmetros!$E$4)</f>
        <v>0.5525</v>
      </c>
      <c r="L140" s="146" t="n">
        <f aca="false">Parâmetros!$C$5*(F140+2*Parâmetros!$D$5+Parâmetros!$C$5*Parâmetros!$E$5)</f>
        <v>1.8176</v>
      </c>
      <c r="M140" s="146" t="n">
        <f aca="false">Parâmetros!$C$6*(F140+2*Parâmetros!$D$6+Parâmetros!$C$6*Parâmetros!$E$6)</f>
        <v>2.384</v>
      </c>
      <c r="N140" s="146" t="n">
        <f aca="false">Parâmetros!$C$7*(F140+2*Parâmetros!$D$7+Parâmetros!$C$7*Parâmetros!$E$7)</f>
        <v>3.786</v>
      </c>
      <c r="O140" s="146" t="n">
        <f aca="false">F140+2*Parâmetros!$D$8</f>
        <v>11.2</v>
      </c>
      <c r="P140" s="146" t="n">
        <f aca="false">F140+2*Parâmetros!$D$10</f>
        <v>12.92</v>
      </c>
      <c r="Q140" s="146" t="n">
        <f aca="false">G140+H140</f>
        <v>0</v>
      </c>
      <c r="S140" s="149" t="n">
        <f aca="false">S139+'Volumes por intervalo'!C139*(F139+F140)/2</f>
        <v>30754</v>
      </c>
      <c r="T140" s="149" t="n">
        <f aca="false">T139+'Volumes por intervalo'!H139</f>
        <v>1544.6</v>
      </c>
      <c r="U140" s="149" t="n">
        <f aca="false">U139+'Volumes por intervalo'!J139</f>
        <v>5079.61599999999</v>
      </c>
      <c r="V140" s="149" t="n">
        <f aca="false">V139+'Volumes por intervalo'!K139</f>
        <v>6658.64000000001</v>
      </c>
      <c r="W140" s="149" t="n">
        <f aca="false">W139+'Volumes por intervalo'!L139</f>
        <v>10567.56</v>
      </c>
      <c r="X140" s="149" t="n">
        <f aca="false">X139+'Volumes por intervalo'!M139</f>
        <v>31306</v>
      </c>
      <c r="Y140" s="149" t="n">
        <f aca="false">Y139+'Volumes por intervalo'!N139</f>
        <v>31306</v>
      </c>
      <c r="Z140" s="149" t="n">
        <f aca="false">Z139+'Volumes por intervalo'!O139</f>
        <v>36053.2000000001</v>
      </c>
      <c r="AA140" s="149" t="n">
        <f aca="false">AA139+'Volumes por intervalo'!P139</f>
        <v>0</v>
      </c>
      <c r="AB140" s="149" t="n">
        <f aca="false">AB139+'Volumes por intervalo'!Q139</f>
        <v>0</v>
      </c>
      <c r="AC140" s="149" t="n">
        <f aca="false">AC139+'Volumes por intervalo'!R139</f>
        <v>0</v>
      </c>
      <c r="AD140" s="149" t="n">
        <f aca="false">AD139+'Volumes por intervalo'!S139</f>
        <v>0</v>
      </c>
    </row>
    <row r="141" customFormat="false" ht="15" hidden="false" customHeight="false" outlineLevel="0" collapsed="false">
      <c r="A141" s="138" t="s">
        <v>1788</v>
      </c>
      <c r="B141" s="146" t="n">
        <v>139</v>
      </c>
      <c r="C141" s="144" t="n">
        <v>2780</v>
      </c>
      <c r="D141" s="138" t="s">
        <v>1565</v>
      </c>
      <c r="E141" s="138" t="s">
        <v>1566</v>
      </c>
      <c r="F141" s="147" t="n">
        <v>11</v>
      </c>
      <c r="G141" s="148" t="n">
        <v>0</v>
      </c>
      <c r="H141" s="148" t="n">
        <v>0</v>
      </c>
      <c r="I141" s="138" t="s">
        <v>1642</v>
      </c>
      <c r="J141" s="138"/>
      <c r="K141" s="146" t="n">
        <f aca="false">Parâmetros!$C$4*(F141+2*Parâmetros!$D$4+Parâmetros!$C$4*Parâmetros!$E$4)</f>
        <v>0.5525</v>
      </c>
      <c r="L141" s="146" t="n">
        <f aca="false">Parâmetros!$C$5*(F141+2*Parâmetros!$D$5+Parâmetros!$C$5*Parâmetros!$E$5)</f>
        <v>1.8176</v>
      </c>
      <c r="M141" s="146" t="n">
        <f aca="false">Parâmetros!$C$6*(F141+2*Parâmetros!$D$6+Parâmetros!$C$6*Parâmetros!$E$6)</f>
        <v>2.384</v>
      </c>
      <c r="N141" s="146" t="n">
        <f aca="false">Parâmetros!$C$7*(F141+2*Parâmetros!$D$7+Parâmetros!$C$7*Parâmetros!$E$7)</f>
        <v>3.786</v>
      </c>
      <c r="O141" s="146" t="n">
        <f aca="false">F141+2*Parâmetros!$D$8</f>
        <v>11.2</v>
      </c>
      <c r="P141" s="146" t="n">
        <f aca="false">F141+2*Parâmetros!$D$10</f>
        <v>12.92</v>
      </c>
      <c r="Q141" s="146" t="n">
        <f aca="false">G141+H141</f>
        <v>0</v>
      </c>
      <c r="S141" s="149" t="n">
        <f aca="false">S140+'Volumes por intervalo'!C140*(F140+F141)/2</f>
        <v>30974</v>
      </c>
      <c r="T141" s="149" t="n">
        <f aca="false">T140+'Volumes por intervalo'!H140</f>
        <v>1555.65</v>
      </c>
      <c r="U141" s="149" t="n">
        <f aca="false">U140+'Volumes por intervalo'!J140</f>
        <v>5115.96799999999</v>
      </c>
      <c r="V141" s="149" t="n">
        <f aca="false">V140+'Volumes por intervalo'!K140</f>
        <v>6706.32000000001</v>
      </c>
      <c r="W141" s="149" t="n">
        <f aca="false">W140+'Volumes por intervalo'!L140</f>
        <v>10643.28</v>
      </c>
      <c r="X141" s="149" t="n">
        <f aca="false">X140+'Volumes por intervalo'!M140</f>
        <v>31530</v>
      </c>
      <c r="Y141" s="149" t="n">
        <f aca="false">Y140+'Volumes por intervalo'!N140</f>
        <v>31530</v>
      </c>
      <c r="Z141" s="149" t="n">
        <f aca="false">Z140+'Volumes por intervalo'!O140</f>
        <v>36311.6000000001</v>
      </c>
      <c r="AA141" s="149" t="n">
        <f aca="false">AA140+'Volumes por intervalo'!P140</f>
        <v>0</v>
      </c>
      <c r="AB141" s="149" t="n">
        <f aca="false">AB140+'Volumes por intervalo'!Q140</f>
        <v>0</v>
      </c>
      <c r="AC141" s="149" t="n">
        <f aca="false">AC140+'Volumes por intervalo'!R140</f>
        <v>0</v>
      </c>
      <c r="AD141" s="149" t="n">
        <f aca="false">AD140+'Volumes por intervalo'!S140</f>
        <v>0</v>
      </c>
    </row>
    <row r="142" customFormat="false" ht="15" hidden="false" customHeight="false" outlineLevel="0" collapsed="false">
      <c r="A142" s="138" t="s">
        <v>1789</v>
      </c>
      <c r="B142" s="146" t="n">
        <v>140</v>
      </c>
      <c r="C142" s="144" t="n">
        <v>2800</v>
      </c>
      <c r="D142" s="138" t="s">
        <v>1565</v>
      </c>
      <c r="E142" s="138" t="s">
        <v>1566</v>
      </c>
      <c r="F142" s="147" t="n">
        <v>11</v>
      </c>
      <c r="G142" s="148" t="n">
        <v>0</v>
      </c>
      <c r="H142" s="148" t="n">
        <v>0</v>
      </c>
      <c r="I142" s="138" t="s">
        <v>1642</v>
      </c>
      <c r="J142" s="138"/>
      <c r="K142" s="146" t="n">
        <f aca="false">Parâmetros!$C$4*(F142+2*Parâmetros!$D$4+Parâmetros!$C$4*Parâmetros!$E$4)</f>
        <v>0.5525</v>
      </c>
      <c r="L142" s="146" t="n">
        <f aca="false">Parâmetros!$C$5*(F142+2*Parâmetros!$D$5+Parâmetros!$C$5*Parâmetros!$E$5)</f>
        <v>1.8176</v>
      </c>
      <c r="M142" s="146" t="n">
        <f aca="false">Parâmetros!$C$6*(F142+2*Parâmetros!$D$6+Parâmetros!$C$6*Parâmetros!$E$6)</f>
        <v>2.384</v>
      </c>
      <c r="N142" s="146" t="n">
        <f aca="false">Parâmetros!$C$7*(F142+2*Parâmetros!$D$7+Parâmetros!$C$7*Parâmetros!$E$7)</f>
        <v>3.786</v>
      </c>
      <c r="O142" s="146" t="n">
        <f aca="false">F142+2*Parâmetros!$D$8</f>
        <v>11.2</v>
      </c>
      <c r="P142" s="146" t="n">
        <f aca="false">F142+2*Parâmetros!$D$10</f>
        <v>12.92</v>
      </c>
      <c r="Q142" s="146" t="n">
        <f aca="false">G142+H142</f>
        <v>0</v>
      </c>
      <c r="S142" s="149" t="n">
        <f aca="false">S141+'Volumes por intervalo'!C141*(F141+F142)/2</f>
        <v>31194</v>
      </c>
      <c r="T142" s="149" t="n">
        <f aca="false">T141+'Volumes por intervalo'!H141</f>
        <v>1566.7</v>
      </c>
      <c r="U142" s="149" t="n">
        <f aca="false">U141+'Volumes por intervalo'!J141</f>
        <v>5152.31999999999</v>
      </c>
      <c r="V142" s="149" t="n">
        <f aca="false">V141+'Volumes por intervalo'!K141</f>
        <v>6754.00000000001</v>
      </c>
      <c r="W142" s="149" t="n">
        <f aca="false">W141+'Volumes por intervalo'!L141</f>
        <v>10719</v>
      </c>
      <c r="X142" s="149" t="n">
        <f aca="false">X141+'Volumes por intervalo'!M141</f>
        <v>31754</v>
      </c>
      <c r="Y142" s="149" t="n">
        <f aca="false">Y141+'Volumes por intervalo'!N141</f>
        <v>31754</v>
      </c>
      <c r="Z142" s="149" t="n">
        <f aca="false">Z141+'Volumes por intervalo'!O141</f>
        <v>36570.0000000001</v>
      </c>
      <c r="AA142" s="149" t="n">
        <f aca="false">AA141+'Volumes por intervalo'!P141</f>
        <v>0</v>
      </c>
      <c r="AB142" s="149" t="n">
        <f aca="false">AB141+'Volumes por intervalo'!Q141</f>
        <v>0</v>
      </c>
      <c r="AC142" s="149" t="n">
        <f aca="false">AC141+'Volumes por intervalo'!R141</f>
        <v>0</v>
      </c>
      <c r="AD142" s="149" t="n">
        <f aca="false">AD141+'Volumes por intervalo'!S141</f>
        <v>0</v>
      </c>
    </row>
    <row r="143" customFormat="false" ht="15" hidden="false" customHeight="false" outlineLevel="0" collapsed="false">
      <c r="A143" s="138" t="s">
        <v>1790</v>
      </c>
      <c r="B143" s="146" t="n">
        <v>141</v>
      </c>
      <c r="C143" s="144" t="n">
        <v>2820</v>
      </c>
      <c r="D143" s="138" t="s">
        <v>1565</v>
      </c>
      <c r="E143" s="138" t="s">
        <v>1566</v>
      </c>
      <c r="F143" s="147" t="n">
        <v>11</v>
      </c>
      <c r="G143" s="148" t="n">
        <v>0</v>
      </c>
      <c r="H143" s="148" t="n">
        <v>0</v>
      </c>
      <c r="I143" s="138" t="s">
        <v>1642</v>
      </c>
      <c r="J143" s="138"/>
      <c r="K143" s="146" t="n">
        <f aca="false">Parâmetros!$C$4*(F143+2*Parâmetros!$D$4+Parâmetros!$C$4*Parâmetros!$E$4)</f>
        <v>0.5525</v>
      </c>
      <c r="L143" s="146" t="n">
        <f aca="false">Parâmetros!$C$5*(F143+2*Parâmetros!$D$5+Parâmetros!$C$5*Parâmetros!$E$5)</f>
        <v>1.8176</v>
      </c>
      <c r="M143" s="146" t="n">
        <f aca="false">Parâmetros!$C$6*(F143+2*Parâmetros!$D$6+Parâmetros!$C$6*Parâmetros!$E$6)</f>
        <v>2.384</v>
      </c>
      <c r="N143" s="146" t="n">
        <f aca="false">Parâmetros!$C$7*(F143+2*Parâmetros!$D$7+Parâmetros!$C$7*Parâmetros!$E$7)</f>
        <v>3.786</v>
      </c>
      <c r="O143" s="146" t="n">
        <f aca="false">F143+2*Parâmetros!$D$8</f>
        <v>11.2</v>
      </c>
      <c r="P143" s="146" t="n">
        <f aca="false">F143+2*Parâmetros!$D$10</f>
        <v>12.92</v>
      </c>
      <c r="Q143" s="146" t="n">
        <f aca="false">G143+H143</f>
        <v>0</v>
      </c>
      <c r="S143" s="149" t="n">
        <f aca="false">S142+'Volumes por intervalo'!C142*(F142+F143)/2</f>
        <v>31414</v>
      </c>
      <c r="T143" s="149" t="n">
        <f aca="false">T142+'Volumes por intervalo'!H142</f>
        <v>1577.75</v>
      </c>
      <c r="U143" s="149" t="n">
        <f aca="false">U142+'Volumes por intervalo'!J142</f>
        <v>5188.67199999999</v>
      </c>
      <c r="V143" s="149" t="n">
        <f aca="false">V142+'Volumes por intervalo'!K142</f>
        <v>6801.68000000001</v>
      </c>
      <c r="W143" s="149" t="n">
        <f aca="false">W142+'Volumes por intervalo'!L142</f>
        <v>10794.72</v>
      </c>
      <c r="X143" s="149" t="n">
        <f aca="false">X142+'Volumes por intervalo'!M142</f>
        <v>31978</v>
      </c>
      <c r="Y143" s="149" t="n">
        <f aca="false">Y142+'Volumes por intervalo'!N142</f>
        <v>31978</v>
      </c>
      <c r="Z143" s="149" t="n">
        <f aca="false">Z142+'Volumes por intervalo'!O142</f>
        <v>36828.4000000001</v>
      </c>
      <c r="AA143" s="149" t="n">
        <f aca="false">AA142+'Volumes por intervalo'!P142</f>
        <v>0</v>
      </c>
      <c r="AB143" s="149" t="n">
        <f aca="false">AB142+'Volumes por intervalo'!Q142</f>
        <v>0</v>
      </c>
      <c r="AC143" s="149" t="n">
        <f aca="false">AC142+'Volumes por intervalo'!R142</f>
        <v>0</v>
      </c>
      <c r="AD143" s="149" t="n">
        <f aca="false">AD142+'Volumes por intervalo'!S142</f>
        <v>0</v>
      </c>
    </row>
    <row r="144" customFormat="false" ht="15" hidden="false" customHeight="false" outlineLevel="0" collapsed="false">
      <c r="A144" s="138" t="s">
        <v>1791</v>
      </c>
      <c r="B144" s="146" t="n">
        <v>142</v>
      </c>
      <c r="C144" s="144" t="n">
        <v>2840</v>
      </c>
      <c r="D144" s="138" t="s">
        <v>1565</v>
      </c>
      <c r="E144" s="138" t="s">
        <v>1566</v>
      </c>
      <c r="F144" s="147" t="n">
        <v>11</v>
      </c>
      <c r="G144" s="148" t="n">
        <v>0</v>
      </c>
      <c r="H144" s="148" t="n">
        <v>0</v>
      </c>
      <c r="I144" s="138" t="s">
        <v>1642</v>
      </c>
      <c r="J144" s="138"/>
      <c r="K144" s="146" t="n">
        <f aca="false">Parâmetros!$C$4*(F144+2*Parâmetros!$D$4+Parâmetros!$C$4*Parâmetros!$E$4)</f>
        <v>0.5525</v>
      </c>
      <c r="L144" s="146" t="n">
        <f aca="false">Parâmetros!$C$5*(F144+2*Parâmetros!$D$5+Parâmetros!$C$5*Parâmetros!$E$5)</f>
        <v>1.8176</v>
      </c>
      <c r="M144" s="146" t="n">
        <f aca="false">Parâmetros!$C$6*(F144+2*Parâmetros!$D$6+Parâmetros!$C$6*Parâmetros!$E$6)</f>
        <v>2.384</v>
      </c>
      <c r="N144" s="146" t="n">
        <f aca="false">Parâmetros!$C$7*(F144+2*Parâmetros!$D$7+Parâmetros!$C$7*Parâmetros!$E$7)</f>
        <v>3.786</v>
      </c>
      <c r="O144" s="146" t="n">
        <f aca="false">F144+2*Parâmetros!$D$8</f>
        <v>11.2</v>
      </c>
      <c r="P144" s="146" t="n">
        <f aca="false">F144+2*Parâmetros!$D$10</f>
        <v>12.92</v>
      </c>
      <c r="Q144" s="146" t="n">
        <f aca="false">G144+H144</f>
        <v>0</v>
      </c>
      <c r="S144" s="149" t="n">
        <f aca="false">S143+'Volumes por intervalo'!C143*(F143+F144)/2</f>
        <v>31634</v>
      </c>
      <c r="T144" s="149" t="n">
        <f aca="false">T143+'Volumes por intervalo'!H143</f>
        <v>1588.8</v>
      </c>
      <c r="U144" s="149" t="n">
        <f aca="false">U143+'Volumes por intervalo'!J143</f>
        <v>5225.02399999999</v>
      </c>
      <c r="V144" s="149" t="n">
        <f aca="false">V143+'Volumes por intervalo'!K143</f>
        <v>6849.36000000001</v>
      </c>
      <c r="W144" s="149" t="n">
        <f aca="false">W143+'Volumes por intervalo'!L143</f>
        <v>10870.44</v>
      </c>
      <c r="X144" s="149" t="n">
        <f aca="false">X143+'Volumes por intervalo'!M143</f>
        <v>32202</v>
      </c>
      <c r="Y144" s="149" t="n">
        <f aca="false">Y143+'Volumes por intervalo'!N143</f>
        <v>32202</v>
      </c>
      <c r="Z144" s="149" t="n">
        <f aca="false">Z143+'Volumes por intervalo'!O143</f>
        <v>37086.8000000001</v>
      </c>
      <c r="AA144" s="149" t="n">
        <f aca="false">AA143+'Volumes por intervalo'!P143</f>
        <v>0</v>
      </c>
      <c r="AB144" s="149" t="n">
        <f aca="false">AB143+'Volumes por intervalo'!Q143</f>
        <v>0</v>
      </c>
      <c r="AC144" s="149" t="n">
        <f aca="false">AC143+'Volumes por intervalo'!R143</f>
        <v>0</v>
      </c>
      <c r="AD144" s="149" t="n">
        <f aca="false">AD143+'Volumes por intervalo'!S143</f>
        <v>0</v>
      </c>
    </row>
    <row r="145" customFormat="false" ht="15" hidden="false" customHeight="false" outlineLevel="0" collapsed="false">
      <c r="A145" s="138" t="s">
        <v>1792</v>
      </c>
      <c r="B145" s="146" t="n">
        <v>143</v>
      </c>
      <c r="C145" s="144" t="n">
        <v>2860</v>
      </c>
      <c r="D145" s="138" t="s">
        <v>1565</v>
      </c>
      <c r="E145" s="138" t="s">
        <v>1566</v>
      </c>
      <c r="F145" s="147" t="n">
        <v>11</v>
      </c>
      <c r="G145" s="148" t="n">
        <v>0</v>
      </c>
      <c r="H145" s="148" t="n">
        <v>0</v>
      </c>
      <c r="I145" s="138" t="s">
        <v>1642</v>
      </c>
      <c r="J145" s="138"/>
      <c r="K145" s="146" t="n">
        <f aca="false">Parâmetros!$C$4*(F145+2*Parâmetros!$D$4+Parâmetros!$C$4*Parâmetros!$E$4)</f>
        <v>0.5525</v>
      </c>
      <c r="L145" s="146" t="n">
        <f aca="false">Parâmetros!$C$5*(F145+2*Parâmetros!$D$5+Parâmetros!$C$5*Parâmetros!$E$5)</f>
        <v>1.8176</v>
      </c>
      <c r="M145" s="146" t="n">
        <f aca="false">Parâmetros!$C$6*(F145+2*Parâmetros!$D$6+Parâmetros!$C$6*Parâmetros!$E$6)</f>
        <v>2.384</v>
      </c>
      <c r="N145" s="146" t="n">
        <f aca="false">Parâmetros!$C$7*(F145+2*Parâmetros!$D$7+Parâmetros!$C$7*Parâmetros!$E$7)</f>
        <v>3.786</v>
      </c>
      <c r="O145" s="146" t="n">
        <f aca="false">F145+2*Parâmetros!$D$8</f>
        <v>11.2</v>
      </c>
      <c r="P145" s="146" t="n">
        <f aca="false">F145+2*Parâmetros!$D$10</f>
        <v>12.92</v>
      </c>
      <c r="Q145" s="146" t="n">
        <f aca="false">G145+H145</f>
        <v>0</v>
      </c>
      <c r="S145" s="149" t="n">
        <f aca="false">S144+'Volumes por intervalo'!C144*(F144+F145)/2</f>
        <v>31854</v>
      </c>
      <c r="T145" s="149" t="n">
        <f aca="false">T144+'Volumes por intervalo'!H144</f>
        <v>1599.85</v>
      </c>
      <c r="U145" s="149" t="n">
        <f aca="false">U144+'Volumes por intervalo'!J144</f>
        <v>5261.37599999999</v>
      </c>
      <c r="V145" s="149" t="n">
        <f aca="false">V144+'Volumes por intervalo'!K144</f>
        <v>6897.04000000001</v>
      </c>
      <c r="W145" s="149" t="n">
        <f aca="false">W144+'Volumes por intervalo'!L144</f>
        <v>10946.16</v>
      </c>
      <c r="X145" s="149" t="n">
        <f aca="false">X144+'Volumes por intervalo'!M144</f>
        <v>32426</v>
      </c>
      <c r="Y145" s="149" t="n">
        <f aca="false">Y144+'Volumes por intervalo'!N144</f>
        <v>32426</v>
      </c>
      <c r="Z145" s="149" t="n">
        <f aca="false">Z144+'Volumes por intervalo'!O144</f>
        <v>37345.2000000001</v>
      </c>
      <c r="AA145" s="149" t="n">
        <f aca="false">AA144+'Volumes por intervalo'!P144</f>
        <v>0</v>
      </c>
      <c r="AB145" s="149" t="n">
        <f aca="false">AB144+'Volumes por intervalo'!Q144</f>
        <v>0</v>
      </c>
      <c r="AC145" s="149" t="n">
        <f aca="false">AC144+'Volumes por intervalo'!R144</f>
        <v>0</v>
      </c>
      <c r="AD145" s="149" t="n">
        <f aca="false">AD144+'Volumes por intervalo'!S144</f>
        <v>0</v>
      </c>
    </row>
    <row r="146" customFormat="false" ht="15" hidden="false" customHeight="false" outlineLevel="0" collapsed="false">
      <c r="A146" s="138" t="s">
        <v>1793</v>
      </c>
      <c r="B146" s="146" t="n">
        <v>144</v>
      </c>
      <c r="C146" s="144" t="n">
        <v>2880</v>
      </c>
      <c r="D146" s="138" t="s">
        <v>1565</v>
      </c>
      <c r="E146" s="138" t="s">
        <v>1566</v>
      </c>
      <c r="F146" s="147" t="n">
        <v>11</v>
      </c>
      <c r="G146" s="148" t="n">
        <v>0</v>
      </c>
      <c r="H146" s="148" t="n">
        <v>0</v>
      </c>
      <c r="I146" s="138" t="s">
        <v>1642</v>
      </c>
      <c r="J146" s="138"/>
      <c r="K146" s="146" t="n">
        <f aca="false">Parâmetros!$C$4*(F146+2*Parâmetros!$D$4+Parâmetros!$C$4*Parâmetros!$E$4)</f>
        <v>0.5525</v>
      </c>
      <c r="L146" s="146" t="n">
        <f aca="false">Parâmetros!$C$5*(F146+2*Parâmetros!$D$5+Parâmetros!$C$5*Parâmetros!$E$5)</f>
        <v>1.8176</v>
      </c>
      <c r="M146" s="146" t="n">
        <f aca="false">Parâmetros!$C$6*(F146+2*Parâmetros!$D$6+Parâmetros!$C$6*Parâmetros!$E$6)</f>
        <v>2.384</v>
      </c>
      <c r="N146" s="146" t="n">
        <f aca="false">Parâmetros!$C$7*(F146+2*Parâmetros!$D$7+Parâmetros!$C$7*Parâmetros!$E$7)</f>
        <v>3.786</v>
      </c>
      <c r="O146" s="146" t="n">
        <f aca="false">F146+2*Parâmetros!$D$8</f>
        <v>11.2</v>
      </c>
      <c r="P146" s="146" t="n">
        <f aca="false">F146+2*Parâmetros!$D$10</f>
        <v>12.92</v>
      </c>
      <c r="Q146" s="146" t="n">
        <f aca="false">G146+H146</f>
        <v>0</v>
      </c>
      <c r="S146" s="149" t="n">
        <f aca="false">S145+'Volumes por intervalo'!C145*(F145+F146)/2</f>
        <v>32074</v>
      </c>
      <c r="T146" s="149" t="n">
        <f aca="false">T145+'Volumes por intervalo'!H145</f>
        <v>1610.9</v>
      </c>
      <c r="U146" s="149" t="n">
        <f aca="false">U145+'Volumes por intervalo'!J145</f>
        <v>5297.72799999999</v>
      </c>
      <c r="V146" s="149" t="n">
        <f aca="false">V145+'Volumes por intervalo'!K145</f>
        <v>6944.72000000001</v>
      </c>
      <c r="W146" s="149" t="n">
        <f aca="false">W145+'Volumes por intervalo'!L145</f>
        <v>11021.88</v>
      </c>
      <c r="X146" s="149" t="n">
        <f aca="false">X145+'Volumes por intervalo'!M145</f>
        <v>32650</v>
      </c>
      <c r="Y146" s="149" t="n">
        <f aca="false">Y145+'Volumes por intervalo'!N145</f>
        <v>32650</v>
      </c>
      <c r="Z146" s="149" t="n">
        <f aca="false">Z145+'Volumes por intervalo'!O145</f>
        <v>37603.6000000001</v>
      </c>
      <c r="AA146" s="149" t="n">
        <f aca="false">AA145+'Volumes por intervalo'!P145</f>
        <v>0</v>
      </c>
      <c r="AB146" s="149" t="n">
        <f aca="false">AB145+'Volumes por intervalo'!Q145</f>
        <v>0</v>
      </c>
      <c r="AC146" s="149" t="n">
        <f aca="false">AC145+'Volumes por intervalo'!R145</f>
        <v>0</v>
      </c>
      <c r="AD146" s="149" t="n">
        <f aca="false">AD145+'Volumes por intervalo'!S145</f>
        <v>0</v>
      </c>
    </row>
    <row r="147" customFormat="false" ht="15" hidden="false" customHeight="false" outlineLevel="0" collapsed="false">
      <c r="A147" s="138" t="s">
        <v>1794</v>
      </c>
      <c r="B147" s="146" t="n">
        <v>145</v>
      </c>
      <c r="C147" s="144" t="n">
        <v>2900</v>
      </c>
      <c r="D147" s="138" t="s">
        <v>1565</v>
      </c>
      <c r="E147" s="138" t="s">
        <v>1566</v>
      </c>
      <c r="F147" s="147" t="n">
        <v>11</v>
      </c>
      <c r="G147" s="148" t="n">
        <v>0</v>
      </c>
      <c r="H147" s="148" t="n">
        <v>0</v>
      </c>
      <c r="I147" s="138" t="s">
        <v>1642</v>
      </c>
      <c r="J147" s="138"/>
      <c r="K147" s="146" t="n">
        <f aca="false">Parâmetros!$C$4*(F147+2*Parâmetros!$D$4+Parâmetros!$C$4*Parâmetros!$E$4)</f>
        <v>0.5525</v>
      </c>
      <c r="L147" s="146" t="n">
        <f aca="false">Parâmetros!$C$5*(F147+2*Parâmetros!$D$5+Parâmetros!$C$5*Parâmetros!$E$5)</f>
        <v>1.8176</v>
      </c>
      <c r="M147" s="146" t="n">
        <f aca="false">Parâmetros!$C$6*(F147+2*Parâmetros!$D$6+Parâmetros!$C$6*Parâmetros!$E$6)</f>
        <v>2.384</v>
      </c>
      <c r="N147" s="146" t="n">
        <f aca="false">Parâmetros!$C$7*(F147+2*Parâmetros!$D$7+Parâmetros!$C$7*Parâmetros!$E$7)</f>
        <v>3.786</v>
      </c>
      <c r="O147" s="146" t="n">
        <f aca="false">F147+2*Parâmetros!$D$8</f>
        <v>11.2</v>
      </c>
      <c r="P147" s="146" t="n">
        <f aca="false">F147+2*Parâmetros!$D$10</f>
        <v>12.92</v>
      </c>
      <c r="Q147" s="146" t="n">
        <f aca="false">G147+H147</f>
        <v>0</v>
      </c>
      <c r="S147" s="149" t="n">
        <f aca="false">S146+'Volumes por intervalo'!C146*(F146+F147)/2</f>
        <v>32294</v>
      </c>
      <c r="T147" s="149" t="n">
        <f aca="false">T146+'Volumes por intervalo'!H146</f>
        <v>1621.95</v>
      </c>
      <c r="U147" s="149" t="n">
        <f aca="false">U146+'Volumes por intervalo'!J146</f>
        <v>5334.07999999999</v>
      </c>
      <c r="V147" s="149" t="n">
        <f aca="false">V146+'Volumes por intervalo'!K146</f>
        <v>6992.40000000001</v>
      </c>
      <c r="W147" s="149" t="n">
        <f aca="false">W146+'Volumes por intervalo'!L146</f>
        <v>11097.6</v>
      </c>
      <c r="X147" s="149" t="n">
        <f aca="false">X146+'Volumes por intervalo'!M146</f>
        <v>32874</v>
      </c>
      <c r="Y147" s="149" t="n">
        <f aca="false">Y146+'Volumes por intervalo'!N146</f>
        <v>32874</v>
      </c>
      <c r="Z147" s="149" t="n">
        <f aca="false">Z146+'Volumes por intervalo'!O146</f>
        <v>37862.0000000001</v>
      </c>
      <c r="AA147" s="149" t="n">
        <f aca="false">AA146+'Volumes por intervalo'!P146</f>
        <v>0</v>
      </c>
      <c r="AB147" s="149" t="n">
        <f aca="false">AB146+'Volumes por intervalo'!Q146</f>
        <v>0</v>
      </c>
      <c r="AC147" s="149" t="n">
        <f aca="false">AC146+'Volumes por intervalo'!R146</f>
        <v>0</v>
      </c>
      <c r="AD147" s="149" t="n">
        <f aca="false">AD146+'Volumes por intervalo'!S146</f>
        <v>0</v>
      </c>
    </row>
    <row r="148" customFormat="false" ht="15" hidden="false" customHeight="false" outlineLevel="0" collapsed="false">
      <c r="A148" s="138" t="s">
        <v>1795</v>
      </c>
      <c r="B148" s="146" t="n">
        <v>146</v>
      </c>
      <c r="C148" s="144" t="n">
        <v>2920</v>
      </c>
      <c r="D148" s="138" t="s">
        <v>1565</v>
      </c>
      <c r="E148" s="138" t="s">
        <v>1566</v>
      </c>
      <c r="F148" s="147" t="n">
        <v>11</v>
      </c>
      <c r="G148" s="148" t="n">
        <v>0</v>
      </c>
      <c r="H148" s="148" t="n">
        <v>0</v>
      </c>
      <c r="I148" s="138" t="s">
        <v>1642</v>
      </c>
      <c r="J148" s="138"/>
      <c r="K148" s="146" t="n">
        <f aca="false">Parâmetros!$C$4*(F148+2*Parâmetros!$D$4+Parâmetros!$C$4*Parâmetros!$E$4)</f>
        <v>0.5525</v>
      </c>
      <c r="L148" s="146" t="n">
        <f aca="false">Parâmetros!$C$5*(F148+2*Parâmetros!$D$5+Parâmetros!$C$5*Parâmetros!$E$5)</f>
        <v>1.8176</v>
      </c>
      <c r="M148" s="146" t="n">
        <f aca="false">Parâmetros!$C$6*(F148+2*Parâmetros!$D$6+Parâmetros!$C$6*Parâmetros!$E$6)</f>
        <v>2.384</v>
      </c>
      <c r="N148" s="146" t="n">
        <f aca="false">Parâmetros!$C$7*(F148+2*Parâmetros!$D$7+Parâmetros!$C$7*Parâmetros!$E$7)</f>
        <v>3.786</v>
      </c>
      <c r="O148" s="146" t="n">
        <f aca="false">F148+2*Parâmetros!$D$8</f>
        <v>11.2</v>
      </c>
      <c r="P148" s="146" t="n">
        <f aca="false">F148+2*Parâmetros!$D$10</f>
        <v>12.92</v>
      </c>
      <c r="Q148" s="146" t="n">
        <f aca="false">G148+H148</f>
        <v>0</v>
      </c>
      <c r="S148" s="149" t="n">
        <f aca="false">S147+'Volumes por intervalo'!C147*(F147+F148)/2</f>
        <v>32514</v>
      </c>
      <c r="T148" s="149" t="n">
        <f aca="false">T147+'Volumes por intervalo'!H147</f>
        <v>1633</v>
      </c>
      <c r="U148" s="149" t="n">
        <f aca="false">U147+'Volumes por intervalo'!J147</f>
        <v>5370.43199999999</v>
      </c>
      <c r="V148" s="149" t="n">
        <f aca="false">V147+'Volumes por intervalo'!K147</f>
        <v>7040.08000000001</v>
      </c>
      <c r="W148" s="149" t="n">
        <f aca="false">W147+'Volumes por intervalo'!L147</f>
        <v>11173.32</v>
      </c>
      <c r="X148" s="149" t="n">
        <f aca="false">X147+'Volumes por intervalo'!M147</f>
        <v>33098</v>
      </c>
      <c r="Y148" s="149" t="n">
        <f aca="false">Y147+'Volumes por intervalo'!N147</f>
        <v>33098</v>
      </c>
      <c r="Z148" s="149" t="n">
        <f aca="false">Z147+'Volumes por intervalo'!O147</f>
        <v>38120.4000000001</v>
      </c>
      <c r="AA148" s="149" t="n">
        <f aca="false">AA147+'Volumes por intervalo'!P147</f>
        <v>0</v>
      </c>
      <c r="AB148" s="149" t="n">
        <f aca="false">AB147+'Volumes por intervalo'!Q147</f>
        <v>0</v>
      </c>
      <c r="AC148" s="149" t="n">
        <f aca="false">AC147+'Volumes por intervalo'!R147</f>
        <v>0</v>
      </c>
      <c r="AD148" s="149" t="n">
        <f aca="false">AD147+'Volumes por intervalo'!S147</f>
        <v>0</v>
      </c>
    </row>
    <row r="149" customFormat="false" ht="15" hidden="false" customHeight="false" outlineLevel="0" collapsed="false">
      <c r="A149" s="138" t="s">
        <v>1796</v>
      </c>
      <c r="B149" s="146" t="n">
        <v>147</v>
      </c>
      <c r="C149" s="144" t="n">
        <v>2940</v>
      </c>
      <c r="D149" s="138" t="s">
        <v>1565</v>
      </c>
      <c r="E149" s="138" t="s">
        <v>1566</v>
      </c>
      <c r="F149" s="147" t="n">
        <v>11</v>
      </c>
      <c r="G149" s="148" t="n">
        <v>0</v>
      </c>
      <c r="H149" s="148" t="n">
        <v>0</v>
      </c>
      <c r="I149" s="138" t="s">
        <v>1642</v>
      </c>
      <c r="J149" s="138"/>
      <c r="K149" s="146" t="n">
        <f aca="false">Parâmetros!$C$4*(F149+2*Parâmetros!$D$4+Parâmetros!$C$4*Parâmetros!$E$4)</f>
        <v>0.5525</v>
      </c>
      <c r="L149" s="146" t="n">
        <f aca="false">Parâmetros!$C$5*(F149+2*Parâmetros!$D$5+Parâmetros!$C$5*Parâmetros!$E$5)</f>
        <v>1.8176</v>
      </c>
      <c r="M149" s="146" t="n">
        <f aca="false">Parâmetros!$C$6*(F149+2*Parâmetros!$D$6+Parâmetros!$C$6*Parâmetros!$E$6)</f>
        <v>2.384</v>
      </c>
      <c r="N149" s="146" t="n">
        <f aca="false">Parâmetros!$C$7*(F149+2*Parâmetros!$D$7+Parâmetros!$C$7*Parâmetros!$E$7)</f>
        <v>3.786</v>
      </c>
      <c r="O149" s="146" t="n">
        <f aca="false">F149+2*Parâmetros!$D$8</f>
        <v>11.2</v>
      </c>
      <c r="P149" s="146" t="n">
        <f aca="false">F149+2*Parâmetros!$D$10</f>
        <v>12.92</v>
      </c>
      <c r="Q149" s="146" t="n">
        <f aca="false">G149+H149</f>
        <v>0</v>
      </c>
      <c r="S149" s="149" t="n">
        <f aca="false">S148+'Volumes por intervalo'!C148*(F148+F149)/2</f>
        <v>32734</v>
      </c>
      <c r="T149" s="149" t="n">
        <f aca="false">T148+'Volumes por intervalo'!H148</f>
        <v>1644.05</v>
      </c>
      <c r="U149" s="149" t="n">
        <f aca="false">U148+'Volumes por intervalo'!J148</f>
        <v>5406.78399999999</v>
      </c>
      <c r="V149" s="149" t="n">
        <f aca="false">V148+'Volumes por intervalo'!K148</f>
        <v>7087.76000000001</v>
      </c>
      <c r="W149" s="149" t="n">
        <f aca="false">W148+'Volumes por intervalo'!L148</f>
        <v>11249.04</v>
      </c>
      <c r="X149" s="149" t="n">
        <f aca="false">X148+'Volumes por intervalo'!M148</f>
        <v>33322</v>
      </c>
      <c r="Y149" s="149" t="n">
        <f aca="false">Y148+'Volumes por intervalo'!N148</f>
        <v>33322</v>
      </c>
      <c r="Z149" s="149" t="n">
        <f aca="false">Z148+'Volumes por intervalo'!O148</f>
        <v>38378.8000000001</v>
      </c>
      <c r="AA149" s="149" t="n">
        <f aca="false">AA148+'Volumes por intervalo'!P148</f>
        <v>0</v>
      </c>
      <c r="AB149" s="149" t="n">
        <f aca="false">AB148+'Volumes por intervalo'!Q148</f>
        <v>0</v>
      </c>
      <c r="AC149" s="149" t="n">
        <f aca="false">AC148+'Volumes por intervalo'!R148</f>
        <v>0</v>
      </c>
      <c r="AD149" s="149" t="n">
        <f aca="false">AD148+'Volumes por intervalo'!S148</f>
        <v>0</v>
      </c>
    </row>
    <row r="150" customFormat="false" ht="15" hidden="false" customHeight="false" outlineLevel="0" collapsed="false">
      <c r="A150" s="138" t="s">
        <v>1797</v>
      </c>
      <c r="B150" s="146" t="n">
        <v>148</v>
      </c>
      <c r="C150" s="144" t="n">
        <v>2960</v>
      </c>
      <c r="D150" s="138" t="s">
        <v>1565</v>
      </c>
      <c r="E150" s="138" t="s">
        <v>1566</v>
      </c>
      <c r="F150" s="147" t="n">
        <v>11</v>
      </c>
      <c r="G150" s="148" t="n">
        <v>0</v>
      </c>
      <c r="H150" s="148" t="n">
        <v>0</v>
      </c>
      <c r="I150" s="138" t="s">
        <v>1642</v>
      </c>
      <c r="J150" s="138"/>
      <c r="K150" s="146" t="n">
        <f aca="false">Parâmetros!$C$4*(F150+2*Parâmetros!$D$4+Parâmetros!$C$4*Parâmetros!$E$4)</f>
        <v>0.5525</v>
      </c>
      <c r="L150" s="146" t="n">
        <f aca="false">Parâmetros!$C$5*(F150+2*Parâmetros!$D$5+Parâmetros!$C$5*Parâmetros!$E$5)</f>
        <v>1.8176</v>
      </c>
      <c r="M150" s="146" t="n">
        <f aca="false">Parâmetros!$C$6*(F150+2*Parâmetros!$D$6+Parâmetros!$C$6*Parâmetros!$E$6)</f>
        <v>2.384</v>
      </c>
      <c r="N150" s="146" t="n">
        <f aca="false">Parâmetros!$C$7*(F150+2*Parâmetros!$D$7+Parâmetros!$C$7*Parâmetros!$E$7)</f>
        <v>3.786</v>
      </c>
      <c r="O150" s="146" t="n">
        <f aca="false">F150+2*Parâmetros!$D$8</f>
        <v>11.2</v>
      </c>
      <c r="P150" s="146" t="n">
        <f aca="false">F150+2*Parâmetros!$D$10</f>
        <v>12.92</v>
      </c>
      <c r="Q150" s="146" t="n">
        <f aca="false">G150+H150</f>
        <v>0</v>
      </c>
      <c r="S150" s="149" t="n">
        <f aca="false">S149+'Volumes por intervalo'!C149*(F149+F150)/2</f>
        <v>32954</v>
      </c>
      <c r="T150" s="149" t="n">
        <f aca="false">T149+'Volumes por intervalo'!H149</f>
        <v>1655.1</v>
      </c>
      <c r="U150" s="149" t="n">
        <f aca="false">U149+'Volumes por intervalo'!J149</f>
        <v>5443.13599999999</v>
      </c>
      <c r="V150" s="149" t="n">
        <f aca="false">V149+'Volumes por intervalo'!K149</f>
        <v>7135.44000000001</v>
      </c>
      <c r="W150" s="149" t="n">
        <f aca="false">W149+'Volumes por intervalo'!L149</f>
        <v>11324.76</v>
      </c>
      <c r="X150" s="149" t="n">
        <f aca="false">X149+'Volumes por intervalo'!M149</f>
        <v>33546</v>
      </c>
      <c r="Y150" s="149" t="n">
        <f aca="false">Y149+'Volumes por intervalo'!N149</f>
        <v>33546</v>
      </c>
      <c r="Z150" s="149" t="n">
        <f aca="false">Z149+'Volumes por intervalo'!O149</f>
        <v>38637.2000000001</v>
      </c>
      <c r="AA150" s="149" t="n">
        <f aca="false">AA149+'Volumes por intervalo'!P149</f>
        <v>0</v>
      </c>
      <c r="AB150" s="149" t="n">
        <f aca="false">AB149+'Volumes por intervalo'!Q149</f>
        <v>0</v>
      </c>
      <c r="AC150" s="149" t="n">
        <f aca="false">AC149+'Volumes por intervalo'!R149</f>
        <v>0</v>
      </c>
      <c r="AD150" s="149" t="n">
        <f aca="false">AD149+'Volumes por intervalo'!S149</f>
        <v>0</v>
      </c>
    </row>
    <row r="151" customFormat="false" ht="15" hidden="false" customHeight="false" outlineLevel="0" collapsed="false">
      <c r="A151" s="138" t="s">
        <v>1798</v>
      </c>
      <c r="B151" s="146" t="n">
        <v>149</v>
      </c>
      <c r="C151" s="144" t="n">
        <v>2980</v>
      </c>
      <c r="D151" s="138" t="s">
        <v>1565</v>
      </c>
      <c r="E151" s="138" t="s">
        <v>1566</v>
      </c>
      <c r="F151" s="147" t="n">
        <v>11</v>
      </c>
      <c r="G151" s="148" t="n">
        <v>0</v>
      </c>
      <c r="H151" s="148" t="n">
        <v>0</v>
      </c>
      <c r="I151" s="138" t="s">
        <v>1642</v>
      </c>
      <c r="J151" s="138"/>
      <c r="K151" s="146" t="n">
        <f aca="false">Parâmetros!$C$4*(F151+2*Parâmetros!$D$4+Parâmetros!$C$4*Parâmetros!$E$4)</f>
        <v>0.5525</v>
      </c>
      <c r="L151" s="146" t="n">
        <f aca="false">Parâmetros!$C$5*(F151+2*Parâmetros!$D$5+Parâmetros!$C$5*Parâmetros!$E$5)</f>
        <v>1.8176</v>
      </c>
      <c r="M151" s="146" t="n">
        <f aca="false">Parâmetros!$C$6*(F151+2*Parâmetros!$D$6+Parâmetros!$C$6*Parâmetros!$E$6)</f>
        <v>2.384</v>
      </c>
      <c r="N151" s="146" t="n">
        <f aca="false">Parâmetros!$C$7*(F151+2*Parâmetros!$D$7+Parâmetros!$C$7*Parâmetros!$E$7)</f>
        <v>3.786</v>
      </c>
      <c r="O151" s="146" t="n">
        <f aca="false">F151+2*Parâmetros!$D$8</f>
        <v>11.2</v>
      </c>
      <c r="P151" s="146" t="n">
        <f aca="false">F151+2*Parâmetros!$D$10</f>
        <v>12.92</v>
      </c>
      <c r="Q151" s="146" t="n">
        <f aca="false">G151+H151</f>
        <v>0</v>
      </c>
      <c r="S151" s="149" t="n">
        <f aca="false">S150+'Volumes por intervalo'!C150*(F150+F151)/2</f>
        <v>33174</v>
      </c>
      <c r="T151" s="149" t="n">
        <f aca="false">T150+'Volumes por intervalo'!H150</f>
        <v>1666.15</v>
      </c>
      <c r="U151" s="149" t="n">
        <f aca="false">U150+'Volumes por intervalo'!J150</f>
        <v>5479.48799999999</v>
      </c>
      <c r="V151" s="149" t="n">
        <f aca="false">V150+'Volumes por intervalo'!K150</f>
        <v>7183.12000000001</v>
      </c>
      <c r="W151" s="149" t="n">
        <f aca="false">W150+'Volumes por intervalo'!L150</f>
        <v>11400.48</v>
      </c>
      <c r="X151" s="149" t="n">
        <f aca="false">X150+'Volumes por intervalo'!M150</f>
        <v>33770</v>
      </c>
      <c r="Y151" s="149" t="n">
        <f aca="false">Y150+'Volumes por intervalo'!N150</f>
        <v>33770</v>
      </c>
      <c r="Z151" s="149" t="n">
        <f aca="false">Z150+'Volumes por intervalo'!O150</f>
        <v>38895.6000000001</v>
      </c>
      <c r="AA151" s="149" t="n">
        <f aca="false">AA150+'Volumes por intervalo'!P150</f>
        <v>0</v>
      </c>
      <c r="AB151" s="149" t="n">
        <f aca="false">AB150+'Volumes por intervalo'!Q150</f>
        <v>0</v>
      </c>
      <c r="AC151" s="149" t="n">
        <f aca="false">AC150+'Volumes por intervalo'!R150</f>
        <v>0</v>
      </c>
      <c r="AD151" s="149" t="n">
        <f aca="false">AD150+'Volumes por intervalo'!S150</f>
        <v>0</v>
      </c>
    </row>
    <row r="152" customFormat="false" ht="15" hidden="false" customHeight="false" outlineLevel="0" collapsed="false">
      <c r="A152" s="138" t="s">
        <v>1799</v>
      </c>
      <c r="B152" s="146" t="n">
        <v>150</v>
      </c>
      <c r="C152" s="144" t="n">
        <v>3000</v>
      </c>
      <c r="D152" s="138" t="s">
        <v>1565</v>
      </c>
      <c r="E152" s="138" t="s">
        <v>1566</v>
      </c>
      <c r="F152" s="147" t="n">
        <v>11</v>
      </c>
      <c r="G152" s="148" t="n">
        <v>0</v>
      </c>
      <c r="H152" s="148" t="n">
        <v>0</v>
      </c>
      <c r="I152" s="138" t="s">
        <v>1642</v>
      </c>
      <c r="J152" s="138"/>
      <c r="K152" s="146" t="n">
        <f aca="false">Parâmetros!$C$4*(F152+2*Parâmetros!$D$4+Parâmetros!$C$4*Parâmetros!$E$4)</f>
        <v>0.5525</v>
      </c>
      <c r="L152" s="146" t="n">
        <f aca="false">Parâmetros!$C$5*(F152+2*Parâmetros!$D$5+Parâmetros!$C$5*Parâmetros!$E$5)</f>
        <v>1.8176</v>
      </c>
      <c r="M152" s="146" t="n">
        <f aca="false">Parâmetros!$C$6*(F152+2*Parâmetros!$D$6+Parâmetros!$C$6*Parâmetros!$E$6)</f>
        <v>2.384</v>
      </c>
      <c r="N152" s="146" t="n">
        <f aca="false">Parâmetros!$C$7*(F152+2*Parâmetros!$D$7+Parâmetros!$C$7*Parâmetros!$E$7)</f>
        <v>3.786</v>
      </c>
      <c r="O152" s="146" t="n">
        <f aca="false">F152+2*Parâmetros!$D$8</f>
        <v>11.2</v>
      </c>
      <c r="P152" s="146" t="n">
        <f aca="false">F152+2*Parâmetros!$D$10</f>
        <v>12.92</v>
      </c>
      <c r="Q152" s="146" t="n">
        <f aca="false">G152+H152</f>
        <v>0</v>
      </c>
      <c r="S152" s="149" t="n">
        <f aca="false">S151+'Volumes por intervalo'!C151*(F151+F152)/2</f>
        <v>33394</v>
      </c>
      <c r="T152" s="149" t="n">
        <f aca="false">T151+'Volumes por intervalo'!H151</f>
        <v>1677.2</v>
      </c>
      <c r="U152" s="149" t="n">
        <f aca="false">U151+'Volumes por intervalo'!J151</f>
        <v>5515.83999999999</v>
      </c>
      <c r="V152" s="149" t="n">
        <f aca="false">V151+'Volumes por intervalo'!K151</f>
        <v>7230.80000000001</v>
      </c>
      <c r="W152" s="149" t="n">
        <f aca="false">W151+'Volumes por intervalo'!L151</f>
        <v>11476.2</v>
      </c>
      <c r="X152" s="149" t="n">
        <f aca="false">X151+'Volumes por intervalo'!M151</f>
        <v>33994</v>
      </c>
      <c r="Y152" s="149" t="n">
        <f aca="false">Y151+'Volumes por intervalo'!N151</f>
        <v>33994</v>
      </c>
      <c r="Z152" s="149" t="n">
        <f aca="false">Z151+'Volumes por intervalo'!O151</f>
        <v>39154.0000000001</v>
      </c>
      <c r="AA152" s="149" t="n">
        <f aca="false">AA151+'Volumes por intervalo'!P151</f>
        <v>0</v>
      </c>
      <c r="AB152" s="149" t="n">
        <f aca="false">AB151+'Volumes por intervalo'!Q151</f>
        <v>0</v>
      </c>
      <c r="AC152" s="149" t="n">
        <f aca="false">AC151+'Volumes por intervalo'!R151</f>
        <v>0</v>
      </c>
      <c r="AD152" s="149" t="n">
        <f aca="false">AD151+'Volumes por intervalo'!S151</f>
        <v>0</v>
      </c>
    </row>
    <row r="153" customFormat="false" ht="15" hidden="false" customHeight="false" outlineLevel="0" collapsed="false">
      <c r="A153" s="138" t="s">
        <v>1800</v>
      </c>
      <c r="B153" s="146" t="n">
        <v>151</v>
      </c>
      <c r="C153" s="144" t="n">
        <v>3020</v>
      </c>
      <c r="D153" s="138" t="s">
        <v>1565</v>
      </c>
      <c r="E153" s="138" t="s">
        <v>1566</v>
      </c>
      <c r="F153" s="147" t="n">
        <v>11</v>
      </c>
      <c r="G153" s="148" t="n">
        <v>0</v>
      </c>
      <c r="H153" s="148" t="n">
        <v>0</v>
      </c>
      <c r="I153" s="138" t="s">
        <v>1642</v>
      </c>
      <c r="J153" s="138"/>
      <c r="K153" s="146" t="n">
        <f aca="false">Parâmetros!$C$4*(F153+2*Parâmetros!$D$4+Parâmetros!$C$4*Parâmetros!$E$4)</f>
        <v>0.5525</v>
      </c>
      <c r="L153" s="146" t="n">
        <f aca="false">Parâmetros!$C$5*(F153+2*Parâmetros!$D$5+Parâmetros!$C$5*Parâmetros!$E$5)</f>
        <v>1.8176</v>
      </c>
      <c r="M153" s="146" t="n">
        <f aca="false">Parâmetros!$C$6*(F153+2*Parâmetros!$D$6+Parâmetros!$C$6*Parâmetros!$E$6)</f>
        <v>2.384</v>
      </c>
      <c r="N153" s="146" t="n">
        <f aca="false">Parâmetros!$C$7*(F153+2*Parâmetros!$D$7+Parâmetros!$C$7*Parâmetros!$E$7)</f>
        <v>3.786</v>
      </c>
      <c r="O153" s="146" t="n">
        <f aca="false">F153+2*Parâmetros!$D$8</f>
        <v>11.2</v>
      </c>
      <c r="P153" s="146" t="n">
        <f aca="false">F153+2*Parâmetros!$D$10</f>
        <v>12.92</v>
      </c>
      <c r="Q153" s="146" t="n">
        <f aca="false">G153+H153</f>
        <v>0</v>
      </c>
      <c r="S153" s="149" t="n">
        <f aca="false">S152+'Volumes por intervalo'!C152*(F152+F153)/2</f>
        <v>33614</v>
      </c>
      <c r="T153" s="149" t="n">
        <f aca="false">T152+'Volumes por intervalo'!H152</f>
        <v>1688.25</v>
      </c>
      <c r="U153" s="149" t="n">
        <f aca="false">U152+'Volumes por intervalo'!J152</f>
        <v>5552.19199999999</v>
      </c>
      <c r="V153" s="149" t="n">
        <f aca="false">V152+'Volumes por intervalo'!K152</f>
        <v>7278.48000000001</v>
      </c>
      <c r="W153" s="149" t="n">
        <f aca="false">W152+'Volumes por intervalo'!L152</f>
        <v>11551.92</v>
      </c>
      <c r="X153" s="149" t="n">
        <f aca="false">X152+'Volumes por intervalo'!M152</f>
        <v>34218</v>
      </c>
      <c r="Y153" s="149" t="n">
        <f aca="false">Y152+'Volumes por intervalo'!N152</f>
        <v>34218</v>
      </c>
      <c r="Z153" s="149" t="n">
        <f aca="false">Z152+'Volumes por intervalo'!O152</f>
        <v>39412.4000000001</v>
      </c>
      <c r="AA153" s="149" t="n">
        <f aca="false">AA152+'Volumes por intervalo'!P152</f>
        <v>0</v>
      </c>
      <c r="AB153" s="149" t="n">
        <f aca="false">AB152+'Volumes por intervalo'!Q152</f>
        <v>0</v>
      </c>
      <c r="AC153" s="149" t="n">
        <f aca="false">AC152+'Volumes por intervalo'!R152</f>
        <v>0</v>
      </c>
      <c r="AD153" s="149" t="n">
        <f aca="false">AD152+'Volumes por intervalo'!S152</f>
        <v>0</v>
      </c>
    </row>
    <row r="154" customFormat="false" ht="15" hidden="false" customHeight="false" outlineLevel="0" collapsed="false">
      <c r="A154" s="138" t="s">
        <v>1801</v>
      </c>
      <c r="B154" s="146" t="n">
        <v>152</v>
      </c>
      <c r="C154" s="144" t="n">
        <v>3040</v>
      </c>
      <c r="D154" s="138" t="s">
        <v>1565</v>
      </c>
      <c r="E154" s="138" t="s">
        <v>1566</v>
      </c>
      <c r="F154" s="147" t="n">
        <v>11</v>
      </c>
      <c r="G154" s="148" t="n">
        <v>0</v>
      </c>
      <c r="H154" s="148" t="n">
        <v>0</v>
      </c>
      <c r="I154" s="138" t="s">
        <v>1642</v>
      </c>
      <c r="J154" s="138"/>
      <c r="K154" s="146" t="n">
        <f aca="false">Parâmetros!$C$4*(F154+2*Parâmetros!$D$4+Parâmetros!$C$4*Parâmetros!$E$4)</f>
        <v>0.5525</v>
      </c>
      <c r="L154" s="146" t="n">
        <f aca="false">Parâmetros!$C$5*(F154+2*Parâmetros!$D$5+Parâmetros!$C$5*Parâmetros!$E$5)</f>
        <v>1.8176</v>
      </c>
      <c r="M154" s="146" t="n">
        <f aca="false">Parâmetros!$C$6*(F154+2*Parâmetros!$D$6+Parâmetros!$C$6*Parâmetros!$E$6)</f>
        <v>2.384</v>
      </c>
      <c r="N154" s="146" t="n">
        <f aca="false">Parâmetros!$C$7*(F154+2*Parâmetros!$D$7+Parâmetros!$C$7*Parâmetros!$E$7)</f>
        <v>3.786</v>
      </c>
      <c r="O154" s="146" t="n">
        <f aca="false">F154+2*Parâmetros!$D$8</f>
        <v>11.2</v>
      </c>
      <c r="P154" s="146" t="n">
        <f aca="false">F154+2*Parâmetros!$D$10</f>
        <v>12.92</v>
      </c>
      <c r="Q154" s="146" t="n">
        <f aca="false">G154+H154</f>
        <v>0</v>
      </c>
      <c r="S154" s="149" t="n">
        <f aca="false">S153+'Volumes por intervalo'!C153*(F153+F154)/2</f>
        <v>33834</v>
      </c>
      <c r="T154" s="149" t="n">
        <f aca="false">T153+'Volumes por intervalo'!H153</f>
        <v>1699.3</v>
      </c>
      <c r="U154" s="149" t="n">
        <f aca="false">U153+'Volumes por intervalo'!J153</f>
        <v>5588.54399999999</v>
      </c>
      <c r="V154" s="149" t="n">
        <f aca="false">V153+'Volumes por intervalo'!K153</f>
        <v>7326.16000000001</v>
      </c>
      <c r="W154" s="149" t="n">
        <f aca="false">W153+'Volumes por intervalo'!L153</f>
        <v>11627.64</v>
      </c>
      <c r="X154" s="149" t="n">
        <f aca="false">X153+'Volumes por intervalo'!M153</f>
        <v>34442</v>
      </c>
      <c r="Y154" s="149" t="n">
        <f aca="false">Y153+'Volumes por intervalo'!N153</f>
        <v>34442</v>
      </c>
      <c r="Z154" s="149" t="n">
        <f aca="false">Z153+'Volumes por intervalo'!O153</f>
        <v>39670.8000000001</v>
      </c>
      <c r="AA154" s="149" t="n">
        <f aca="false">AA153+'Volumes por intervalo'!P153</f>
        <v>0</v>
      </c>
      <c r="AB154" s="149" t="n">
        <f aca="false">AB153+'Volumes por intervalo'!Q153</f>
        <v>0</v>
      </c>
      <c r="AC154" s="149" t="n">
        <f aca="false">AC153+'Volumes por intervalo'!R153</f>
        <v>0</v>
      </c>
      <c r="AD154" s="149" t="n">
        <f aca="false">AD153+'Volumes por intervalo'!S153</f>
        <v>0</v>
      </c>
    </row>
    <row r="155" customFormat="false" ht="15" hidden="false" customHeight="false" outlineLevel="0" collapsed="false">
      <c r="A155" s="138" t="s">
        <v>1802</v>
      </c>
      <c r="B155" s="146" t="n">
        <v>153</v>
      </c>
      <c r="C155" s="144" t="n">
        <v>3060</v>
      </c>
      <c r="D155" s="138" t="s">
        <v>1565</v>
      </c>
      <c r="E155" s="138" t="s">
        <v>1566</v>
      </c>
      <c r="F155" s="147" t="n">
        <v>11</v>
      </c>
      <c r="G155" s="148" t="n">
        <v>0</v>
      </c>
      <c r="H155" s="148" t="n">
        <v>0</v>
      </c>
      <c r="I155" s="138" t="s">
        <v>1642</v>
      </c>
      <c r="J155" s="138"/>
      <c r="K155" s="146" t="n">
        <f aca="false">Parâmetros!$C$4*(F155+2*Parâmetros!$D$4+Parâmetros!$C$4*Parâmetros!$E$4)</f>
        <v>0.5525</v>
      </c>
      <c r="L155" s="146" t="n">
        <f aca="false">Parâmetros!$C$5*(F155+2*Parâmetros!$D$5+Parâmetros!$C$5*Parâmetros!$E$5)</f>
        <v>1.8176</v>
      </c>
      <c r="M155" s="146" t="n">
        <f aca="false">Parâmetros!$C$6*(F155+2*Parâmetros!$D$6+Parâmetros!$C$6*Parâmetros!$E$6)</f>
        <v>2.384</v>
      </c>
      <c r="N155" s="146" t="n">
        <f aca="false">Parâmetros!$C$7*(F155+2*Parâmetros!$D$7+Parâmetros!$C$7*Parâmetros!$E$7)</f>
        <v>3.786</v>
      </c>
      <c r="O155" s="146" t="n">
        <f aca="false">F155+2*Parâmetros!$D$8</f>
        <v>11.2</v>
      </c>
      <c r="P155" s="146" t="n">
        <f aca="false">F155+2*Parâmetros!$D$10</f>
        <v>12.92</v>
      </c>
      <c r="Q155" s="146" t="n">
        <f aca="false">G155+H155</f>
        <v>0</v>
      </c>
      <c r="S155" s="149" t="n">
        <f aca="false">S154+'Volumes por intervalo'!C154*(F154+F155)/2</f>
        <v>34054</v>
      </c>
      <c r="T155" s="149" t="n">
        <f aca="false">T154+'Volumes por intervalo'!H154</f>
        <v>1710.35</v>
      </c>
      <c r="U155" s="149" t="n">
        <f aca="false">U154+'Volumes por intervalo'!J154</f>
        <v>5624.89599999999</v>
      </c>
      <c r="V155" s="149" t="n">
        <f aca="false">V154+'Volumes por intervalo'!K154</f>
        <v>7373.84000000001</v>
      </c>
      <c r="W155" s="149" t="n">
        <f aca="false">W154+'Volumes por intervalo'!L154</f>
        <v>11703.36</v>
      </c>
      <c r="X155" s="149" t="n">
        <f aca="false">X154+'Volumes por intervalo'!M154</f>
        <v>34666</v>
      </c>
      <c r="Y155" s="149" t="n">
        <f aca="false">Y154+'Volumes por intervalo'!N154</f>
        <v>34666</v>
      </c>
      <c r="Z155" s="149" t="n">
        <f aca="false">Z154+'Volumes por intervalo'!O154</f>
        <v>39929.2000000001</v>
      </c>
      <c r="AA155" s="149" t="n">
        <f aca="false">AA154+'Volumes por intervalo'!P154</f>
        <v>0</v>
      </c>
      <c r="AB155" s="149" t="n">
        <f aca="false">AB154+'Volumes por intervalo'!Q154</f>
        <v>0</v>
      </c>
      <c r="AC155" s="149" t="n">
        <f aca="false">AC154+'Volumes por intervalo'!R154</f>
        <v>0</v>
      </c>
      <c r="AD155" s="149" t="n">
        <f aca="false">AD154+'Volumes por intervalo'!S154</f>
        <v>0</v>
      </c>
    </row>
    <row r="156" customFormat="false" ht="15" hidden="false" customHeight="false" outlineLevel="0" collapsed="false">
      <c r="A156" s="138" t="s">
        <v>1803</v>
      </c>
      <c r="B156" s="146" t="n">
        <v>154</v>
      </c>
      <c r="C156" s="144" t="n">
        <v>3080</v>
      </c>
      <c r="D156" s="138" t="s">
        <v>1565</v>
      </c>
      <c r="E156" s="138" t="s">
        <v>1566</v>
      </c>
      <c r="F156" s="147" t="n">
        <v>12.2</v>
      </c>
      <c r="G156" s="148" t="n">
        <v>0</v>
      </c>
      <c r="H156" s="148" t="n">
        <v>0</v>
      </c>
      <c r="I156" s="138" t="s">
        <v>1642</v>
      </c>
      <c r="J156" s="138"/>
      <c r="K156" s="146" t="n">
        <f aca="false">Parâmetros!$C$4*(F156+2*Parâmetros!$D$4+Parâmetros!$C$4*Parâmetros!$E$4)</f>
        <v>0.6125</v>
      </c>
      <c r="L156" s="146" t="n">
        <f aca="false">Parâmetros!$C$5*(F156+2*Parâmetros!$D$5+Parâmetros!$C$5*Parâmetros!$E$5)</f>
        <v>2.0096</v>
      </c>
      <c r="M156" s="146" t="n">
        <f aca="false">Parâmetros!$C$6*(F156+2*Parâmetros!$D$6+Parâmetros!$C$6*Parâmetros!$E$6)</f>
        <v>2.624</v>
      </c>
      <c r="N156" s="146" t="n">
        <f aca="false">Parâmetros!$C$7*(F156+2*Parâmetros!$D$7+Parâmetros!$C$7*Parâmetros!$E$7)</f>
        <v>4.146</v>
      </c>
      <c r="O156" s="146" t="n">
        <f aca="false">F156+2*Parâmetros!$D$8</f>
        <v>12.4</v>
      </c>
      <c r="P156" s="146" t="n">
        <f aca="false">F156+2*Parâmetros!$D$10</f>
        <v>14.12</v>
      </c>
      <c r="Q156" s="146" t="n">
        <f aca="false">G156+H156</f>
        <v>0</v>
      </c>
      <c r="S156" s="149" t="n">
        <f aca="false">S155+'Volumes por intervalo'!C155*(F155+F156)/2</f>
        <v>34286</v>
      </c>
      <c r="T156" s="149" t="n">
        <f aca="false">T155+'Volumes por intervalo'!H155</f>
        <v>1722</v>
      </c>
      <c r="U156" s="149" t="n">
        <f aca="false">U155+'Volumes por intervalo'!J155</f>
        <v>5663.16799999999</v>
      </c>
      <c r="V156" s="149" t="n">
        <f aca="false">V155+'Volumes por intervalo'!K155</f>
        <v>7423.92000000001</v>
      </c>
      <c r="W156" s="149" t="n">
        <f aca="false">W155+'Volumes por intervalo'!L155</f>
        <v>11782.68</v>
      </c>
      <c r="X156" s="149" t="n">
        <f aca="false">X155+'Volumes por intervalo'!M155</f>
        <v>34902</v>
      </c>
      <c r="Y156" s="149" t="n">
        <f aca="false">Y155+'Volumes por intervalo'!N155</f>
        <v>34902</v>
      </c>
      <c r="Z156" s="149" t="n">
        <f aca="false">Z155+'Volumes por intervalo'!O155</f>
        <v>40199.6000000001</v>
      </c>
      <c r="AA156" s="149" t="n">
        <f aca="false">AA155+'Volumes por intervalo'!P155</f>
        <v>0</v>
      </c>
      <c r="AB156" s="149" t="n">
        <f aca="false">AB155+'Volumes por intervalo'!Q155</f>
        <v>0</v>
      </c>
      <c r="AC156" s="149" t="n">
        <f aca="false">AC155+'Volumes por intervalo'!R155</f>
        <v>0</v>
      </c>
      <c r="AD156" s="149" t="n">
        <f aca="false">AD155+'Volumes por intervalo'!S155</f>
        <v>0</v>
      </c>
    </row>
    <row r="157" customFormat="false" ht="15" hidden="false" customHeight="false" outlineLevel="0" collapsed="false">
      <c r="A157" s="138" t="s">
        <v>1804</v>
      </c>
      <c r="B157" s="146" t="n">
        <v>155</v>
      </c>
      <c r="C157" s="144" t="n">
        <v>3100</v>
      </c>
      <c r="D157" s="138" t="s">
        <v>1565</v>
      </c>
      <c r="E157" s="138" t="s">
        <v>1566</v>
      </c>
      <c r="F157" s="147" t="n">
        <v>11</v>
      </c>
      <c r="G157" s="148" t="n">
        <v>0</v>
      </c>
      <c r="H157" s="148" t="n">
        <v>0</v>
      </c>
      <c r="I157" s="138" t="s">
        <v>1642</v>
      </c>
      <c r="J157" s="138" t="s">
        <v>1739</v>
      </c>
      <c r="K157" s="146" t="n">
        <f aca="false">Parâmetros!$C$4*(F157+2*Parâmetros!$D$4+Parâmetros!$C$4*Parâmetros!$E$4)</f>
        <v>0.5525</v>
      </c>
      <c r="L157" s="146" t="n">
        <f aca="false">Parâmetros!$C$5*(F157+2*Parâmetros!$D$5+Parâmetros!$C$5*Parâmetros!$E$5)</f>
        <v>1.8176</v>
      </c>
      <c r="M157" s="146" t="n">
        <f aca="false">Parâmetros!$C$6*(F157+2*Parâmetros!$D$6+Parâmetros!$C$6*Parâmetros!$E$6)</f>
        <v>2.384</v>
      </c>
      <c r="N157" s="146" t="n">
        <f aca="false">Parâmetros!$C$7*(F157+2*Parâmetros!$D$7+Parâmetros!$C$7*Parâmetros!$E$7)</f>
        <v>3.786</v>
      </c>
      <c r="O157" s="146" t="n">
        <f aca="false">F157+2*Parâmetros!$D$8</f>
        <v>11.2</v>
      </c>
      <c r="P157" s="146" t="n">
        <f aca="false">F157+2*Parâmetros!$D$10</f>
        <v>12.92</v>
      </c>
      <c r="Q157" s="146" t="n">
        <f aca="false">G157+H157</f>
        <v>0</v>
      </c>
      <c r="S157" s="149" t="n">
        <f aca="false">S156+'Volumes por intervalo'!C156*(F156+F157)/2</f>
        <v>34518</v>
      </c>
      <c r="T157" s="149" t="n">
        <f aca="false">T156+'Volumes por intervalo'!H156</f>
        <v>1733.65</v>
      </c>
      <c r="U157" s="149" t="n">
        <f aca="false">U156+'Volumes por intervalo'!J156</f>
        <v>5701.43999999999</v>
      </c>
      <c r="V157" s="149" t="n">
        <f aca="false">V156+'Volumes por intervalo'!K156</f>
        <v>7474.00000000001</v>
      </c>
      <c r="W157" s="149" t="n">
        <f aca="false">W156+'Volumes por intervalo'!L156</f>
        <v>11862</v>
      </c>
      <c r="X157" s="149" t="n">
        <f aca="false">X156+'Volumes por intervalo'!M156</f>
        <v>35138</v>
      </c>
      <c r="Y157" s="149" t="n">
        <f aca="false">Y156+'Volumes por intervalo'!N156</f>
        <v>35138</v>
      </c>
      <c r="Z157" s="149" t="n">
        <f aca="false">Z156+'Volumes por intervalo'!O156</f>
        <v>40470.0000000001</v>
      </c>
      <c r="AA157" s="149" t="n">
        <f aca="false">AA156+'Volumes por intervalo'!P156</f>
        <v>0</v>
      </c>
      <c r="AB157" s="149" t="n">
        <f aca="false">AB156+'Volumes por intervalo'!Q156</f>
        <v>0</v>
      </c>
      <c r="AC157" s="149" t="n">
        <f aca="false">AC156+'Volumes por intervalo'!R156</f>
        <v>0</v>
      </c>
      <c r="AD157" s="149" t="n">
        <f aca="false">AD156+'Volumes por intervalo'!S156</f>
        <v>0</v>
      </c>
    </row>
    <row r="158" customFormat="false" ht="15" hidden="false" customHeight="false" outlineLevel="0" collapsed="false">
      <c r="A158" s="138" t="s">
        <v>1805</v>
      </c>
      <c r="B158" s="146" t="n">
        <v>156</v>
      </c>
      <c r="C158" s="144" t="n">
        <v>3120</v>
      </c>
      <c r="D158" s="138" t="s">
        <v>1565</v>
      </c>
      <c r="E158" s="138" t="s">
        <v>1566</v>
      </c>
      <c r="F158" s="147" t="n">
        <v>11</v>
      </c>
      <c r="G158" s="148" t="n">
        <v>0</v>
      </c>
      <c r="H158" s="148" t="n">
        <v>0</v>
      </c>
      <c r="I158" s="138" t="s">
        <v>1642</v>
      </c>
      <c r="J158" s="138"/>
      <c r="K158" s="146" t="n">
        <f aca="false">Parâmetros!$C$4*(F158+2*Parâmetros!$D$4+Parâmetros!$C$4*Parâmetros!$E$4)</f>
        <v>0.5525</v>
      </c>
      <c r="L158" s="146" t="n">
        <f aca="false">Parâmetros!$C$5*(F158+2*Parâmetros!$D$5+Parâmetros!$C$5*Parâmetros!$E$5)</f>
        <v>1.8176</v>
      </c>
      <c r="M158" s="146" t="n">
        <f aca="false">Parâmetros!$C$6*(F158+2*Parâmetros!$D$6+Parâmetros!$C$6*Parâmetros!$E$6)</f>
        <v>2.384</v>
      </c>
      <c r="N158" s="146" t="n">
        <f aca="false">Parâmetros!$C$7*(F158+2*Parâmetros!$D$7+Parâmetros!$C$7*Parâmetros!$E$7)</f>
        <v>3.786</v>
      </c>
      <c r="O158" s="146" t="n">
        <f aca="false">F158+2*Parâmetros!$D$8</f>
        <v>11.2</v>
      </c>
      <c r="P158" s="146" t="n">
        <f aca="false">F158+2*Parâmetros!$D$10</f>
        <v>12.92</v>
      </c>
      <c r="Q158" s="146" t="n">
        <f aca="false">G158+H158</f>
        <v>0</v>
      </c>
      <c r="S158" s="149" t="n">
        <f aca="false">S157+'Volumes por intervalo'!C157*(F157+F158)/2</f>
        <v>34738</v>
      </c>
      <c r="T158" s="149" t="n">
        <f aca="false">T157+'Volumes por intervalo'!H157</f>
        <v>1744.7</v>
      </c>
      <c r="U158" s="149" t="n">
        <f aca="false">U157+'Volumes por intervalo'!J157</f>
        <v>5737.79199999999</v>
      </c>
      <c r="V158" s="149" t="n">
        <f aca="false">V157+'Volumes por intervalo'!K157</f>
        <v>7521.68000000001</v>
      </c>
      <c r="W158" s="149" t="n">
        <f aca="false">W157+'Volumes por intervalo'!L157</f>
        <v>11937.72</v>
      </c>
      <c r="X158" s="149" t="n">
        <f aca="false">X157+'Volumes por intervalo'!M157</f>
        <v>35362</v>
      </c>
      <c r="Y158" s="149" t="n">
        <f aca="false">Y157+'Volumes por intervalo'!N157</f>
        <v>35362</v>
      </c>
      <c r="Z158" s="149" t="n">
        <f aca="false">Z157+'Volumes por intervalo'!O157</f>
        <v>40728.4000000001</v>
      </c>
      <c r="AA158" s="149" t="n">
        <f aca="false">AA157+'Volumes por intervalo'!P157</f>
        <v>0</v>
      </c>
      <c r="AB158" s="149" t="n">
        <f aca="false">AB157+'Volumes por intervalo'!Q157</f>
        <v>0</v>
      </c>
      <c r="AC158" s="149" t="n">
        <f aca="false">AC157+'Volumes por intervalo'!R157</f>
        <v>0</v>
      </c>
      <c r="AD158" s="149" t="n">
        <f aca="false">AD157+'Volumes por intervalo'!S157</f>
        <v>0</v>
      </c>
    </row>
    <row r="159" customFormat="false" ht="15" hidden="false" customHeight="false" outlineLevel="0" collapsed="false">
      <c r="A159" s="138" t="s">
        <v>1806</v>
      </c>
      <c r="B159" s="146" t="n">
        <v>157</v>
      </c>
      <c r="C159" s="144" t="n">
        <v>3140</v>
      </c>
      <c r="D159" s="138" t="s">
        <v>1565</v>
      </c>
      <c r="E159" s="138" t="s">
        <v>1566</v>
      </c>
      <c r="F159" s="147" t="n">
        <v>11</v>
      </c>
      <c r="G159" s="148" t="n">
        <v>0</v>
      </c>
      <c r="H159" s="148" t="n">
        <v>0</v>
      </c>
      <c r="I159" s="138" t="s">
        <v>1642</v>
      </c>
      <c r="J159" s="138"/>
      <c r="K159" s="146" t="n">
        <f aca="false">Parâmetros!$C$4*(F159+2*Parâmetros!$D$4+Parâmetros!$C$4*Parâmetros!$E$4)</f>
        <v>0.5525</v>
      </c>
      <c r="L159" s="146" t="n">
        <f aca="false">Parâmetros!$C$5*(F159+2*Parâmetros!$D$5+Parâmetros!$C$5*Parâmetros!$E$5)</f>
        <v>1.8176</v>
      </c>
      <c r="M159" s="146" t="n">
        <f aca="false">Parâmetros!$C$6*(F159+2*Parâmetros!$D$6+Parâmetros!$C$6*Parâmetros!$E$6)</f>
        <v>2.384</v>
      </c>
      <c r="N159" s="146" t="n">
        <f aca="false">Parâmetros!$C$7*(F159+2*Parâmetros!$D$7+Parâmetros!$C$7*Parâmetros!$E$7)</f>
        <v>3.786</v>
      </c>
      <c r="O159" s="146" t="n">
        <f aca="false">F159+2*Parâmetros!$D$8</f>
        <v>11.2</v>
      </c>
      <c r="P159" s="146" t="n">
        <f aca="false">F159+2*Parâmetros!$D$10</f>
        <v>12.92</v>
      </c>
      <c r="Q159" s="146" t="n">
        <f aca="false">G159+H159</f>
        <v>0</v>
      </c>
      <c r="S159" s="149" t="n">
        <f aca="false">S158+'Volumes por intervalo'!C158*(F158+F159)/2</f>
        <v>34958</v>
      </c>
      <c r="T159" s="149" t="n">
        <f aca="false">T158+'Volumes por intervalo'!H158</f>
        <v>1755.75</v>
      </c>
      <c r="U159" s="149" t="n">
        <f aca="false">U158+'Volumes por intervalo'!J158</f>
        <v>5774.14399999999</v>
      </c>
      <c r="V159" s="149" t="n">
        <f aca="false">V158+'Volumes por intervalo'!K158</f>
        <v>7569.36000000001</v>
      </c>
      <c r="W159" s="149" t="n">
        <f aca="false">W158+'Volumes por intervalo'!L158</f>
        <v>12013.44</v>
      </c>
      <c r="X159" s="149" t="n">
        <f aca="false">X158+'Volumes por intervalo'!M158</f>
        <v>35586</v>
      </c>
      <c r="Y159" s="149" t="n">
        <f aca="false">Y158+'Volumes por intervalo'!N158</f>
        <v>35586</v>
      </c>
      <c r="Z159" s="149" t="n">
        <f aca="false">Z158+'Volumes por intervalo'!O158</f>
        <v>40986.8000000001</v>
      </c>
      <c r="AA159" s="149" t="n">
        <f aca="false">AA158+'Volumes por intervalo'!P158</f>
        <v>0</v>
      </c>
      <c r="AB159" s="149" t="n">
        <f aca="false">AB158+'Volumes por intervalo'!Q158</f>
        <v>0</v>
      </c>
      <c r="AC159" s="149" t="n">
        <f aca="false">AC158+'Volumes por intervalo'!R158</f>
        <v>0</v>
      </c>
      <c r="AD159" s="149" t="n">
        <f aca="false">AD158+'Volumes por intervalo'!S158</f>
        <v>0</v>
      </c>
    </row>
    <row r="160" customFormat="false" ht="15" hidden="false" customHeight="false" outlineLevel="0" collapsed="false">
      <c r="A160" s="138" t="s">
        <v>1807</v>
      </c>
      <c r="B160" s="146" t="n">
        <v>158</v>
      </c>
      <c r="C160" s="144" t="n">
        <v>3160</v>
      </c>
      <c r="D160" s="138" t="s">
        <v>1565</v>
      </c>
      <c r="E160" s="138" t="s">
        <v>1566</v>
      </c>
      <c r="F160" s="147" t="n">
        <v>11</v>
      </c>
      <c r="G160" s="148" t="n">
        <v>0</v>
      </c>
      <c r="H160" s="148" t="n">
        <v>0</v>
      </c>
      <c r="I160" s="138" t="s">
        <v>1642</v>
      </c>
      <c r="J160" s="138"/>
      <c r="K160" s="146" t="n">
        <f aca="false">Parâmetros!$C$4*(F160+2*Parâmetros!$D$4+Parâmetros!$C$4*Parâmetros!$E$4)</f>
        <v>0.5525</v>
      </c>
      <c r="L160" s="146" t="n">
        <f aca="false">Parâmetros!$C$5*(F160+2*Parâmetros!$D$5+Parâmetros!$C$5*Parâmetros!$E$5)</f>
        <v>1.8176</v>
      </c>
      <c r="M160" s="146" t="n">
        <f aca="false">Parâmetros!$C$6*(F160+2*Parâmetros!$D$6+Parâmetros!$C$6*Parâmetros!$E$6)</f>
        <v>2.384</v>
      </c>
      <c r="N160" s="146" t="n">
        <f aca="false">Parâmetros!$C$7*(F160+2*Parâmetros!$D$7+Parâmetros!$C$7*Parâmetros!$E$7)</f>
        <v>3.786</v>
      </c>
      <c r="O160" s="146" t="n">
        <f aca="false">F160+2*Parâmetros!$D$8</f>
        <v>11.2</v>
      </c>
      <c r="P160" s="146" t="n">
        <f aca="false">F160+2*Parâmetros!$D$10</f>
        <v>12.92</v>
      </c>
      <c r="Q160" s="146" t="n">
        <f aca="false">G160+H160</f>
        <v>0</v>
      </c>
      <c r="S160" s="149" t="n">
        <f aca="false">S159+'Volumes por intervalo'!C159*(F159+F160)/2</f>
        <v>35178</v>
      </c>
      <c r="T160" s="149" t="n">
        <f aca="false">T159+'Volumes por intervalo'!H159</f>
        <v>1766.8</v>
      </c>
      <c r="U160" s="149" t="n">
        <f aca="false">U159+'Volumes por intervalo'!J159</f>
        <v>5810.49599999999</v>
      </c>
      <c r="V160" s="149" t="n">
        <f aca="false">V159+'Volumes por intervalo'!K159</f>
        <v>7617.04000000001</v>
      </c>
      <c r="W160" s="149" t="n">
        <f aca="false">W159+'Volumes por intervalo'!L159</f>
        <v>12089.16</v>
      </c>
      <c r="X160" s="149" t="n">
        <f aca="false">X159+'Volumes por intervalo'!M159</f>
        <v>35810</v>
      </c>
      <c r="Y160" s="149" t="n">
        <f aca="false">Y159+'Volumes por intervalo'!N159</f>
        <v>35810</v>
      </c>
      <c r="Z160" s="149" t="n">
        <f aca="false">Z159+'Volumes por intervalo'!O159</f>
        <v>41245.2000000001</v>
      </c>
      <c r="AA160" s="149" t="n">
        <f aca="false">AA159+'Volumes por intervalo'!P159</f>
        <v>0</v>
      </c>
      <c r="AB160" s="149" t="n">
        <f aca="false">AB159+'Volumes por intervalo'!Q159</f>
        <v>0</v>
      </c>
      <c r="AC160" s="149" t="n">
        <f aca="false">AC159+'Volumes por intervalo'!R159</f>
        <v>0</v>
      </c>
      <c r="AD160" s="149" t="n">
        <f aca="false">AD159+'Volumes por intervalo'!S159</f>
        <v>0</v>
      </c>
    </row>
    <row r="161" customFormat="false" ht="15" hidden="false" customHeight="false" outlineLevel="0" collapsed="false">
      <c r="A161" s="138" t="s">
        <v>1808</v>
      </c>
      <c r="B161" s="146" t="n">
        <v>159</v>
      </c>
      <c r="C161" s="144" t="n">
        <v>3180</v>
      </c>
      <c r="D161" s="138" t="s">
        <v>1565</v>
      </c>
      <c r="E161" s="138" t="s">
        <v>1566</v>
      </c>
      <c r="F161" s="147" t="n">
        <v>11</v>
      </c>
      <c r="G161" s="148" t="n">
        <v>0</v>
      </c>
      <c r="H161" s="148" t="n">
        <v>0</v>
      </c>
      <c r="I161" s="138" t="s">
        <v>1642</v>
      </c>
      <c r="J161" s="138"/>
      <c r="K161" s="146" t="n">
        <f aca="false">Parâmetros!$C$4*(F161+2*Parâmetros!$D$4+Parâmetros!$C$4*Parâmetros!$E$4)</f>
        <v>0.5525</v>
      </c>
      <c r="L161" s="146" t="n">
        <f aca="false">Parâmetros!$C$5*(F161+2*Parâmetros!$D$5+Parâmetros!$C$5*Parâmetros!$E$5)</f>
        <v>1.8176</v>
      </c>
      <c r="M161" s="146" t="n">
        <f aca="false">Parâmetros!$C$6*(F161+2*Parâmetros!$D$6+Parâmetros!$C$6*Parâmetros!$E$6)</f>
        <v>2.384</v>
      </c>
      <c r="N161" s="146" t="n">
        <f aca="false">Parâmetros!$C$7*(F161+2*Parâmetros!$D$7+Parâmetros!$C$7*Parâmetros!$E$7)</f>
        <v>3.786</v>
      </c>
      <c r="O161" s="146" t="n">
        <f aca="false">F161+2*Parâmetros!$D$8</f>
        <v>11.2</v>
      </c>
      <c r="P161" s="146" t="n">
        <f aca="false">F161+2*Parâmetros!$D$10</f>
        <v>12.92</v>
      </c>
      <c r="Q161" s="146" t="n">
        <f aca="false">G161+H161</f>
        <v>0</v>
      </c>
      <c r="S161" s="149" t="n">
        <f aca="false">S160+'Volumes por intervalo'!C160*(F160+F161)/2</f>
        <v>35398</v>
      </c>
      <c r="T161" s="149" t="n">
        <f aca="false">T160+'Volumes por intervalo'!H160</f>
        <v>1777.85</v>
      </c>
      <c r="U161" s="149" t="n">
        <f aca="false">U160+'Volumes por intervalo'!J160</f>
        <v>5846.84799999999</v>
      </c>
      <c r="V161" s="149" t="n">
        <f aca="false">V160+'Volumes por intervalo'!K160</f>
        <v>7664.72000000001</v>
      </c>
      <c r="W161" s="149" t="n">
        <f aca="false">W160+'Volumes por intervalo'!L160</f>
        <v>12164.88</v>
      </c>
      <c r="X161" s="149" t="n">
        <f aca="false">X160+'Volumes por intervalo'!M160</f>
        <v>36034</v>
      </c>
      <c r="Y161" s="149" t="n">
        <f aca="false">Y160+'Volumes por intervalo'!N160</f>
        <v>36034</v>
      </c>
      <c r="Z161" s="149" t="n">
        <f aca="false">Z160+'Volumes por intervalo'!O160</f>
        <v>41503.6000000001</v>
      </c>
      <c r="AA161" s="149" t="n">
        <f aca="false">AA160+'Volumes por intervalo'!P160</f>
        <v>0</v>
      </c>
      <c r="AB161" s="149" t="n">
        <f aca="false">AB160+'Volumes por intervalo'!Q160</f>
        <v>0</v>
      </c>
      <c r="AC161" s="149" t="n">
        <f aca="false">AC160+'Volumes por intervalo'!R160</f>
        <v>0</v>
      </c>
      <c r="AD161" s="149" t="n">
        <f aca="false">AD160+'Volumes por intervalo'!S160</f>
        <v>0</v>
      </c>
    </row>
    <row r="162" customFormat="false" ht="15" hidden="false" customHeight="false" outlineLevel="0" collapsed="false">
      <c r="A162" s="138" t="s">
        <v>1809</v>
      </c>
      <c r="B162" s="146" t="n">
        <v>160</v>
      </c>
      <c r="C162" s="144" t="n">
        <v>3200</v>
      </c>
      <c r="D162" s="138" t="s">
        <v>1565</v>
      </c>
      <c r="E162" s="138" t="s">
        <v>1566</v>
      </c>
      <c r="F162" s="147" t="n">
        <v>11</v>
      </c>
      <c r="G162" s="148" t="n">
        <v>0</v>
      </c>
      <c r="H162" s="148" t="n">
        <v>0</v>
      </c>
      <c r="I162" s="138" t="s">
        <v>1642</v>
      </c>
      <c r="J162" s="138"/>
      <c r="K162" s="146" t="n">
        <f aca="false">Parâmetros!$C$4*(F162+2*Parâmetros!$D$4+Parâmetros!$C$4*Parâmetros!$E$4)</f>
        <v>0.5525</v>
      </c>
      <c r="L162" s="146" t="n">
        <f aca="false">Parâmetros!$C$5*(F162+2*Parâmetros!$D$5+Parâmetros!$C$5*Parâmetros!$E$5)</f>
        <v>1.8176</v>
      </c>
      <c r="M162" s="146" t="n">
        <f aca="false">Parâmetros!$C$6*(F162+2*Parâmetros!$D$6+Parâmetros!$C$6*Parâmetros!$E$6)</f>
        <v>2.384</v>
      </c>
      <c r="N162" s="146" t="n">
        <f aca="false">Parâmetros!$C$7*(F162+2*Parâmetros!$D$7+Parâmetros!$C$7*Parâmetros!$E$7)</f>
        <v>3.786</v>
      </c>
      <c r="O162" s="146" t="n">
        <f aca="false">F162+2*Parâmetros!$D$8</f>
        <v>11.2</v>
      </c>
      <c r="P162" s="146" t="n">
        <f aca="false">F162+2*Parâmetros!$D$10</f>
        <v>12.92</v>
      </c>
      <c r="Q162" s="146" t="n">
        <f aca="false">G162+H162</f>
        <v>0</v>
      </c>
      <c r="S162" s="149" t="n">
        <f aca="false">S161+'Volumes por intervalo'!C161*(F161+F162)/2</f>
        <v>35618</v>
      </c>
      <c r="T162" s="149" t="n">
        <f aca="false">T161+'Volumes por intervalo'!H161</f>
        <v>1788.9</v>
      </c>
      <c r="U162" s="149" t="n">
        <f aca="false">U161+'Volumes por intervalo'!J161</f>
        <v>5883.19999999999</v>
      </c>
      <c r="V162" s="149" t="n">
        <f aca="false">V161+'Volumes por intervalo'!K161</f>
        <v>7712.40000000001</v>
      </c>
      <c r="W162" s="149" t="n">
        <f aca="false">W161+'Volumes por intervalo'!L161</f>
        <v>12240.6</v>
      </c>
      <c r="X162" s="149" t="n">
        <f aca="false">X161+'Volumes por intervalo'!M161</f>
        <v>36258</v>
      </c>
      <c r="Y162" s="149" t="n">
        <f aca="false">Y161+'Volumes por intervalo'!N161</f>
        <v>36258</v>
      </c>
      <c r="Z162" s="149" t="n">
        <f aca="false">Z161+'Volumes por intervalo'!O161</f>
        <v>41762.0000000001</v>
      </c>
      <c r="AA162" s="149" t="n">
        <f aca="false">AA161+'Volumes por intervalo'!P161</f>
        <v>0</v>
      </c>
      <c r="AB162" s="149" t="n">
        <f aca="false">AB161+'Volumes por intervalo'!Q161</f>
        <v>0</v>
      </c>
      <c r="AC162" s="149" t="n">
        <f aca="false">AC161+'Volumes por intervalo'!R161</f>
        <v>0</v>
      </c>
      <c r="AD162" s="149" t="n">
        <f aca="false">AD161+'Volumes por intervalo'!S161</f>
        <v>0</v>
      </c>
    </row>
    <row r="163" customFormat="false" ht="15" hidden="false" customHeight="false" outlineLevel="0" collapsed="false">
      <c r="A163" s="138" t="s">
        <v>1810</v>
      </c>
      <c r="B163" s="146" t="n">
        <v>161</v>
      </c>
      <c r="C163" s="144" t="n">
        <v>3220</v>
      </c>
      <c r="D163" s="138" t="s">
        <v>1565</v>
      </c>
      <c r="E163" s="138" t="s">
        <v>1566</v>
      </c>
      <c r="F163" s="147" t="n">
        <v>11</v>
      </c>
      <c r="G163" s="148" t="n">
        <v>0</v>
      </c>
      <c r="H163" s="148" t="n">
        <v>0</v>
      </c>
      <c r="I163" s="138" t="s">
        <v>1642</v>
      </c>
      <c r="J163" s="138"/>
      <c r="K163" s="146" t="n">
        <f aca="false">Parâmetros!$C$4*(F163+2*Parâmetros!$D$4+Parâmetros!$C$4*Parâmetros!$E$4)</f>
        <v>0.5525</v>
      </c>
      <c r="L163" s="146" t="n">
        <f aca="false">Parâmetros!$C$5*(F163+2*Parâmetros!$D$5+Parâmetros!$C$5*Parâmetros!$E$5)</f>
        <v>1.8176</v>
      </c>
      <c r="M163" s="146" t="n">
        <f aca="false">Parâmetros!$C$6*(F163+2*Parâmetros!$D$6+Parâmetros!$C$6*Parâmetros!$E$6)</f>
        <v>2.384</v>
      </c>
      <c r="N163" s="146" t="n">
        <f aca="false">Parâmetros!$C$7*(F163+2*Parâmetros!$D$7+Parâmetros!$C$7*Parâmetros!$E$7)</f>
        <v>3.786</v>
      </c>
      <c r="O163" s="146" t="n">
        <f aca="false">F163+2*Parâmetros!$D$8</f>
        <v>11.2</v>
      </c>
      <c r="P163" s="146" t="n">
        <f aca="false">F163+2*Parâmetros!$D$10</f>
        <v>12.92</v>
      </c>
      <c r="Q163" s="146" t="n">
        <f aca="false">G163+H163</f>
        <v>0</v>
      </c>
      <c r="S163" s="149" t="n">
        <f aca="false">S162+'Volumes por intervalo'!C162*(F162+F163)/2</f>
        <v>35838</v>
      </c>
      <c r="T163" s="149" t="n">
        <f aca="false">T162+'Volumes por intervalo'!H162</f>
        <v>1799.95</v>
      </c>
      <c r="U163" s="149" t="n">
        <f aca="false">U162+'Volumes por intervalo'!J162</f>
        <v>5919.55199999999</v>
      </c>
      <c r="V163" s="149" t="n">
        <f aca="false">V162+'Volumes por intervalo'!K162</f>
        <v>7760.08000000001</v>
      </c>
      <c r="W163" s="149" t="n">
        <f aca="false">W162+'Volumes por intervalo'!L162</f>
        <v>12316.32</v>
      </c>
      <c r="X163" s="149" t="n">
        <f aca="false">X162+'Volumes por intervalo'!M162</f>
        <v>36482</v>
      </c>
      <c r="Y163" s="149" t="n">
        <f aca="false">Y162+'Volumes por intervalo'!N162</f>
        <v>36482</v>
      </c>
      <c r="Z163" s="149" t="n">
        <f aca="false">Z162+'Volumes por intervalo'!O162</f>
        <v>42020.4000000001</v>
      </c>
      <c r="AA163" s="149" t="n">
        <f aca="false">AA162+'Volumes por intervalo'!P162</f>
        <v>0</v>
      </c>
      <c r="AB163" s="149" t="n">
        <f aca="false">AB162+'Volumes por intervalo'!Q162</f>
        <v>0</v>
      </c>
      <c r="AC163" s="149" t="n">
        <f aca="false">AC162+'Volumes por intervalo'!R162</f>
        <v>0</v>
      </c>
      <c r="AD163" s="149" t="n">
        <f aca="false">AD162+'Volumes por intervalo'!S162</f>
        <v>0</v>
      </c>
    </row>
    <row r="164" customFormat="false" ht="15" hidden="false" customHeight="false" outlineLevel="0" collapsed="false">
      <c r="A164" s="138" t="s">
        <v>1811</v>
      </c>
      <c r="B164" s="146" t="n">
        <v>162</v>
      </c>
      <c r="C164" s="144" t="n">
        <v>3240</v>
      </c>
      <c r="D164" s="138" t="s">
        <v>1565</v>
      </c>
      <c r="E164" s="138" t="s">
        <v>1566</v>
      </c>
      <c r="F164" s="147" t="n">
        <v>11</v>
      </c>
      <c r="G164" s="148" t="n">
        <v>0</v>
      </c>
      <c r="H164" s="148" t="n">
        <v>0</v>
      </c>
      <c r="I164" s="138" t="s">
        <v>1642</v>
      </c>
      <c r="J164" s="138"/>
      <c r="K164" s="146" t="n">
        <f aca="false">Parâmetros!$C$4*(F164+2*Parâmetros!$D$4+Parâmetros!$C$4*Parâmetros!$E$4)</f>
        <v>0.5525</v>
      </c>
      <c r="L164" s="146" t="n">
        <f aca="false">Parâmetros!$C$5*(F164+2*Parâmetros!$D$5+Parâmetros!$C$5*Parâmetros!$E$5)</f>
        <v>1.8176</v>
      </c>
      <c r="M164" s="146" t="n">
        <f aca="false">Parâmetros!$C$6*(F164+2*Parâmetros!$D$6+Parâmetros!$C$6*Parâmetros!$E$6)</f>
        <v>2.384</v>
      </c>
      <c r="N164" s="146" t="n">
        <f aca="false">Parâmetros!$C$7*(F164+2*Parâmetros!$D$7+Parâmetros!$C$7*Parâmetros!$E$7)</f>
        <v>3.786</v>
      </c>
      <c r="O164" s="146" t="n">
        <f aca="false">F164+2*Parâmetros!$D$8</f>
        <v>11.2</v>
      </c>
      <c r="P164" s="146" t="n">
        <f aca="false">F164+2*Parâmetros!$D$10</f>
        <v>12.92</v>
      </c>
      <c r="Q164" s="146" t="n">
        <f aca="false">G164+H164</f>
        <v>0</v>
      </c>
      <c r="S164" s="149" t="n">
        <f aca="false">S163+'Volumes por intervalo'!C163*(F163+F164)/2</f>
        <v>36058</v>
      </c>
      <c r="T164" s="149" t="n">
        <f aca="false">T163+'Volumes por intervalo'!H163</f>
        <v>1811</v>
      </c>
      <c r="U164" s="149" t="n">
        <f aca="false">U163+'Volumes por intervalo'!J163</f>
        <v>5955.90399999999</v>
      </c>
      <c r="V164" s="149" t="n">
        <f aca="false">V163+'Volumes por intervalo'!K163</f>
        <v>7807.76000000001</v>
      </c>
      <c r="W164" s="149" t="n">
        <f aca="false">W163+'Volumes por intervalo'!L163</f>
        <v>12392.04</v>
      </c>
      <c r="X164" s="149" t="n">
        <f aca="false">X163+'Volumes por intervalo'!M163</f>
        <v>36706</v>
      </c>
      <c r="Y164" s="149" t="n">
        <f aca="false">Y163+'Volumes por intervalo'!N163</f>
        <v>36706</v>
      </c>
      <c r="Z164" s="149" t="n">
        <f aca="false">Z163+'Volumes por intervalo'!O163</f>
        <v>42278.8000000001</v>
      </c>
      <c r="AA164" s="149" t="n">
        <f aca="false">AA163+'Volumes por intervalo'!P163</f>
        <v>0</v>
      </c>
      <c r="AB164" s="149" t="n">
        <f aca="false">AB163+'Volumes por intervalo'!Q163</f>
        <v>0</v>
      </c>
      <c r="AC164" s="149" t="n">
        <f aca="false">AC163+'Volumes por intervalo'!R163</f>
        <v>0</v>
      </c>
      <c r="AD164" s="149" t="n">
        <f aca="false">AD163+'Volumes por intervalo'!S163</f>
        <v>0</v>
      </c>
    </row>
    <row r="165" customFormat="false" ht="15" hidden="false" customHeight="false" outlineLevel="0" collapsed="false">
      <c r="A165" s="138" t="s">
        <v>1812</v>
      </c>
      <c r="B165" s="146" t="n">
        <v>163</v>
      </c>
      <c r="C165" s="144" t="n">
        <v>3260</v>
      </c>
      <c r="D165" s="138" t="s">
        <v>1565</v>
      </c>
      <c r="E165" s="138" t="s">
        <v>1566</v>
      </c>
      <c r="F165" s="147" t="n">
        <v>11</v>
      </c>
      <c r="G165" s="148" t="n">
        <v>0</v>
      </c>
      <c r="H165" s="148" t="n">
        <v>0</v>
      </c>
      <c r="I165" s="138" t="s">
        <v>1642</v>
      </c>
      <c r="J165" s="138"/>
      <c r="K165" s="146" t="n">
        <f aca="false">Parâmetros!$C$4*(F165+2*Parâmetros!$D$4+Parâmetros!$C$4*Parâmetros!$E$4)</f>
        <v>0.5525</v>
      </c>
      <c r="L165" s="146" t="n">
        <f aca="false">Parâmetros!$C$5*(F165+2*Parâmetros!$D$5+Parâmetros!$C$5*Parâmetros!$E$5)</f>
        <v>1.8176</v>
      </c>
      <c r="M165" s="146" t="n">
        <f aca="false">Parâmetros!$C$6*(F165+2*Parâmetros!$D$6+Parâmetros!$C$6*Parâmetros!$E$6)</f>
        <v>2.384</v>
      </c>
      <c r="N165" s="146" t="n">
        <f aca="false">Parâmetros!$C$7*(F165+2*Parâmetros!$D$7+Parâmetros!$C$7*Parâmetros!$E$7)</f>
        <v>3.786</v>
      </c>
      <c r="O165" s="146" t="n">
        <f aca="false">F165+2*Parâmetros!$D$8</f>
        <v>11.2</v>
      </c>
      <c r="P165" s="146" t="n">
        <f aca="false">F165+2*Parâmetros!$D$10</f>
        <v>12.92</v>
      </c>
      <c r="Q165" s="146" t="n">
        <f aca="false">G165+H165</f>
        <v>0</v>
      </c>
      <c r="S165" s="149" t="n">
        <f aca="false">S164+'Volumes por intervalo'!C164*(F164+F165)/2</f>
        <v>36278</v>
      </c>
      <c r="T165" s="149" t="n">
        <f aca="false">T164+'Volumes por intervalo'!H164</f>
        <v>1822.05</v>
      </c>
      <c r="U165" s="149" t="n">
        <f aca="false">U164+'Volumes por intervalo'!J164</f>
        <v>5992.25599999999</v>
      </c>
      <c r="V165" s="149" t="n">
        <f aca="false">V164+'Volumes por intervalo'!K164</f>
        <v>7855.44000000001</v>
      </c>
      <c r="W165" s="149" t="n">
        <f aca="false">W164+'Volumes por intervalo'!L164</f>
        <v>12467.76</v>
      </c>
      <c r="X165" s="149" t="n">
        <f aca="false">X164+'Volumes por intervalo'!M164</f>
        <v>36930</v>
      </c>
      <c r="Y165" s="149" t="n">
        <f aca="false">Y164+'Volumes por intervalo'!N164</f>
        <v>36930</v>
      </c>
      <c r="Z165" s="149" t="n">
        <f aca="false">Z164+'Volumes por intervalo'!O164</f>
        <v>42537.2000000001</v>
      </c>
      <c r="AA165" s="149" t="n">
        <f aca="false">AA164+'Volumes por intervalo'!P164</f>
        <v>0</v>
      </c>
      <c r="AB165" s="149" t="n">
        <f aca="false">AB164+'Volumes por intervalo'!Q164</f>
        <v>0</v>
      </c>
      <c r="AC165" s="149" t="n">
        <f aca="false">AC164+'Volumes por intervalo'!R164</f>
        <v>0</v>
      </c>
      <c r="AD165" s="149" t="n">
        <f aca="false">AD164+'Volumes por intervalo'!S164</f>
        <v>0</v>
      </c>
    </row>
    <row r="166" customFormat="false" ht="15" hidden="false" customHeight="false" outlineLevel="0" collapsed="false">
      <c r="A166" s="138" t="s">
        <v>1813</v>
      </c>
      <c r="B166" s="146" t="n">
        <v>164</v>
      </c>
      <c r="C166" s="144" t="n">
        <v>3280</v>
      </c>
      <c r="D166" s="138" t="s">
        <v>1565</v>
      </c>
      <c r="E166" s="138" t="s">
        <v>1566</v>
      </c>
      <c r="F166" s="147" t="n">
        <v>11</v>
      </c>
      <c r="G166" s="148" t="n">
        <v>0</v>
      </c>
      <c r="H166" s="148" t="n">
        <v>0</v>
      </c>
      <c r="I166" s="138" t="s">
        <v>1642</v>
      </c>
      <c r="J166" s="138"/>
      <c r="K166" s="146" t="n">
        <f aca="false">Parâmetros!$C$4*(F166+2*Parâmetros!$D$4+Parâmetros!$C$4*Parâmetros!$E$4)</f>
        <v>0.5525</v>
      </c>
      <c r="L166" s="146" t="n">
        <f aca="false">Parâmetros!$C$5*(F166+2*Parâmetros!$D$5+Parâmetros!$C$5*Parâmetros!$E$5)</f>
        <v>1.8176</v>
      </c>
      <c r="M166" s="146" t="n">
        <f aca="false">Parâmetros!$C$6*(F166+2*Parâmetros!$D$6+Parâmetros!$C$6*Parâmetros!$E$6)</f>
        <v>2.384</v>
      </c>
      <c r="N166" s="146" t="n">
        <f aca="false">Parâmetros!$C$7*(F166+2*Parâmetros!$D$7+Parâmetros!$C$7*Parâmetros!$E$7)</f>
        <v>3.786</v>
      </c>
      <c r="O166" s="146" t="n">
        <f aca="false">F166+2*Parâmetros!$D$8</f>
        <v>11.2</v>
      </c>
      <c r="P166" s="146" t="n">
        <f aca="false">F166+2*Parâmetros!$D$10</f>
        <v>12.92</v>
      </c>
      <c r="Q166" s="146" t="n">
        <f aca="false">G166+H166</f>
        <v>0</v>
      </c>
      <c r="S166" s="149" t="n">
        <f aca="false">S165+'Volumes por intervalo'!C165*(F165+F166)/2</f>
        <v>36498</v>
      </c>
      <c r="T166" s="149" t="n">
        <f aca="false">T165+'Volumes por intervalo'!H165</f>
        <v>1833.1</v>
      </c>
      <c r="U166" s="149" t="n">
        <f aca="false">U165+'Volumes por intervalo'!J165</f>
        <v>6028.60799999999</v>
      </c>
      <c r="V166" s="149" t="n">
        <f aca="false">V165+'Volumes por intervalo'!K165</f>
        <v>7903.12000000001</v>
      </c>
      <c r="W166" s="149" t="n">
        <f aca="false">W165+'Volumes por intervalo'!L165</f>
        <v>12543.48</v>
      </c>
      <c r="X166" s="149" t="n">
        <f aca="false">X165+'Volumes por intervalo'!M165</f>
        <v>37154</v>
      </c>
      <c r="Y166" s="149" t="n">
        <f aca="false">Y165+'Volumes por intervalo'!N165</f>
        <v>37154</v>
      </c>
      <c r="Z166" s="149" t="n">
        <f aca="false">Z165+'Volumes por intervalo'!O165</f>
        <v>42795.6000000001</v>
      </c>
      <c r="AA166" s="149" t="n">
        <f aca="false">AA165+'Volumes por intervalo'!P165</f>
        <v>0</v>
      </c>
      <c r="AB166" s="149" t="n">
        <f aca="false">AB165+'Volumes por intervalo'!Q165</f>
        <v>0</v>
      </c>
      <c r="AC166" s="149" t="n">
        <f aca="false">AC165+'Volumes por intervalo'!R165</f>
        <v>0</v>
      </c>
      <c r="AD166" s="149" t="n">
        <f aca="false">AD165+'Volumes por intervalo'!S165</f>
        <v>0</v>
      </c>
    </row>
    <row r="167" customFormat="false" ht="15" hidden="false" customHeight="false" outlineLevel="0" collapsed="false">
      <c r="A167" s="138" t="s">
        <v>1814</v>
      </c>
      <c r="B167" s="146" t="n">
        <v>165</v>
      </c>
      <c r="C167" s="144" t="n">
        <v>3300</v>
      </c>
      <c r="D167" s="138" t="s">
        <v>1565</v>
      </c>
      <c r="E167" s="138" t="s">
        <v>1566</v>
      </c>
      <c r="F167" s="147" t="n">
        <v>11</v>
      </c>
      <c r="G167" s="148" t="n">
        <v>0</v>
      </c>
      <c r="H167" s="148" t="n">
        <v>0</v>
      </c>
      <c r="I167" s="138" t="s">
        <v>1642</v>
      </c>
      <c r="J167" s="138"/>
      <c r="K167" s="146" t="n">
        <f aca="false">Parâmetros!$C$4*(F167+2*Parâmetros!$D$4+Parâmetros!$C$4*Parâmetros!$E$4)</f>
        <v>0.5525</v>
      </c>
      <c r="L167" s="146" t="n">
        <f aca="false">Parâmetros!$C$5*(F167+2*Parâmetros!$D$5+Parâmetros!$C$5*Parâmetros!$E$5)</f>
        <v>1.8176</v>
      </c>
      <c r="M167" s="146" t="n">
        <f aca="false">Parâmetros!$C$6*(F167+2*Parâmetros!$D$6+Parâmetros!$C$6*Parâmetros!$E$6)</f>
        <v>2.384</v>
      </c>
      <c r="N167" s="146" t="n">
        <f aca="false">Parâmetros!$C$7*(F167+2*Parâmetros!$D$7+Parâmetros!$C$7*Parâmetros!$E$7)</f>
        <v>3.786</v>
      </c>
      <c r="O167" s="146" t="n">
        <f aca="false">F167+2*Parâmetros!$D$8</f>
        <v>11.2</v>
      </c>
      <c r="P167" s="146" t="n">
        <f aca="false">F167+2*Parâmetros!$D$10</f>
        <v>12.92</v>
      </c>
      <c r="Q167" s="146" t="n">
        <f aca="false">G167+H167</f>
        <v>0</v>
      </c>
      <c r="S167" s="149" t="n">
        <f aca="false">S166+'Volumes por intervalo'!C166*(F166+F167)/2</f>
        <v>36718</v>
      </c>
      <c r="T167" s="149" t="n">
        <f aca="false">T166+'Volumes por intervalo'!H166</f>
        <v>1844.15</v>
      </c>
      <c r="U167" s="149" t="n">
        <f aca="false">U166+'Volumes por intervalo'!J166</f>
        <v>6064.95999999999</v>
      </c>
      <c r="V167" s="149" t="n">
        <f aca="false">V166+'Volumes por intervalo'!K166</f>
        <v>7950.80000000001</v>
      </c>
      <c r="W167" s="149" t="n">
        <f aca="false">W166+'Volumes por intervalo'!L166</f>
        <v>12619.2</v>
      </c>
      <c r="X167" s="149" t="n">
        <f aca="false">X166+'Volumes por intervalo'!M166</f>
        <v>37378</v>
      </c>
      <c r="Y167" s="149" t="n">
        <f aca="false">Y166+'Volumes por intervalo'!N166</f>
        <v>37378</v>
      </c>
      <c r="Z167" s="149" t="n">
        <f aca="false">Z166+'Volumes por intervalo'!O166</f>
        <v>43054.0000000001</v>
      </c>
      <c r="AA167" s="149" t="n">
        <f aca="false">AA166+'Volumes por intervalo'!P166</f>
        <v>0</v>
      </c>
      <c r="AB167" s="149" t="n">
        <f aca="false">AB166+'Volumes por intervalo'!Q166</f>
        <v>0</v>
      </c>
      <c r="AC167" s="149" t="n">
        <f aca="false">AC166+'Volumes por intervalo'!R166</f>
        <v>0</v>
      </c>
      <c r="AD167" s="149" t="n">
        <f aca="false">AD166+'Volumes por intervalo'!S166</f>
        <v>0</v>
      </c>
    </row>
    <row r="168" customFormat="false" ht="15" hidden="false" customHeight="false" outlineLevel="0" collapsed="false">
      <c r="A168" s="138" t="s">
        <v>1815</v>
      </c>
      <c r="B168" s="146" t="n">
        <v>166</v>
      </c>
      <c r="C168" s="144" t="n">
        <v>3320</v>
      </c>
      <c r="D168" s="138" t="s">
        <v>1565</v>
      </c>
      <c r="E168" s="138" t="s">
        <v>1566</v>
      </c>
      <c r="F168" s="147" t="n">
        <v>11</v>
      </c>
      <c r="G168" s="148" t="n">
        <v>0</v>
      </c>
      <c r="H168" s="148" t="n">
        <v>0</v>
      </c>
      <c r="I168" s="138" t="s">
        <v>1642</v>
      </c>
      <c r="J168" s="138"/>
      <c r="K168" s="146" t="n">
        <f aca="false">Parâmetros!$C$4*(F168+2*Parâmetros!$D$4+Parâmetros!$C$4*Parâmetros!$E$4)</f>
        <v>0.5525</v>
      </c>
      <c r="L168" s="146" t="n">
        <f aca="false">Parâmetros!$C$5*(F168+2*Parâmetros!$D$5+Parâmetros!$C$5*Parâmetros!$E$5)</f>
        <v>1.8176</v>
      </c>
      <c r="M168" s="146" t="n">
        <f aca="false">Parâmetros!$C$6*(F168+2*Parâmetros!$D$6+Parâmetros!$C$6*Parâmetros!$E$6)</f>
        <v>2.384</v>
      </c>
      <c r="N168" s="146" t="n">
        <f aca="false">Parâmetros!$C$7*(F168+2*Parâmetros!$D$7+Parâmetros!$C$7*Parâmetros!$E$7)</f>
        <v>3.786</v>
      </c>
      <c r="O168" s="146" t="n">
        <f aca="false">F168+2*Parâmetros!$D$8</f>
        <v>11.2</v>
      </c>
      <c r="P168" s="146" t="n">
        <f aca="false">F168+2*Parâmetros!$D$10</f>
        <v>12.92</v>
      </c>
      <c r="Q168" s="146" t="n">
        <f aca="false">G168+H168</f>
        <v>0</v>
      </c>
      <c r="S168" s="149" t="n">
        <f aca="false">S167+'Volumes por intervalo'!C167*(F167+F168)/2</f>
        <v>36938</v>
      </c>
      <c r="T168" s="149" t="n">
        <f aca="false">T167+'Volumes por intervalo'!H167</f>
        <v>1855.2</v>
      </c>
      <c r="U168" s="149" t="n">
        <f aca="false">U167+'Volumes por intervalo'!J167</f>
        <v>6101.31199999999</v>
      </c>
      <c r="V168" s="149" t="n">
        <f aca="false">V167+'Volumes por intervalo'!K167</f>
        <v>7998.48000000001</v>
      </c>
      <c r="W168" s="149" t="n">
        <f aca="false">W167+'Volumes por intervalo'!L167</f>
        <v>12694.92</v>
      </c>
      <c r="X168" s="149" t="n">
        <f aca="false">X167+'Volumes por intervalo'!M167</f>
        <v>37602</v>
      </c>
      <c r="Y168" s="149" t="n">
        <f aca="false">Y167+'Volumes por intervalo'!N167</f>
        <v>37602</v>
      </c>
      <c r="Z168" s="149" t="n">
        <f aca="false">Z167+'Volumes por intervalo'!O167</f>
        <v>43312.4000000001</v>
      </c>
      <c r="AA168" s="149" t="n">
        <f aca="false">AA167+'Volumes por intervalo'!P167</f>
        <v>0</v>
      </c>
      <c r="AB168" s="149" t="n">
        <f aca="false">AB167+'Volumes por intervalo'!Q167</f>
        <v>0</v>
      </c>
      <c r="AC168" s="149" t="n">
        <f aca="false">AC167+'Volumes por intervalo'!R167</f>
        <v>0</v>
      </c>
      <c r="AD168" s="149" t="n">
        <f aca="false">AD167+'Volumes por intervalo'!S167</f>
        <v>0</v>
      </c>
    </row>
    <row r="169" customFormat="false" ht="15" hidden="false" customHeight="false" outlineLevel="0" collapsed="false">
      <c r="A169" s="138" t="s">
        <v>1816</v>
      </c>
      <c r="B169" s="146" t="n">
        <v>167</v>
      </c>
      <c r="C169" s="144" t="n">
        <v>3340</v>
      </c>
      <c r="D169" s="138" t="s">
        <v>1565</v>
      </c>
      <c r="E169" s="138" t="s">
        <v>1566</v>
      </c>
      <c r="F169" s="147" t="n">
        <v>11</v>
      </c>
      <c r="G169" s="148" t="n">
        <v>0</v>
      </c>
      <c r="H169" s="148" t="n">
        <v>0</v>
      </c>
      <c r="I169" s="138" t="s">
        <v>1642</v>
      </c>
      <c r="J169" s="138"/>
      <c r="K169" s="146" t="n">
        <f aca="false">Parâmetros!$C$4*(F169+2*Parâmetros!$D$4+Parâmetros!$C$4*Parâmetros!$E$4)</f>
        <v>0.5525</v>
      </c>
      <c r="L169" s="146" t="n">
        <f aca="false">Parâmetros!$C$5*(F169+2*Parâmetros!$D$5+Parâmetros!$C$5*Parâmetros!$E$5)</f>
        <v>1.8176</v>
      </c>
      <c r="M169" s="146" t="n">
        <f aca="false">Parâmetros!$C$6*(F169+2*Parâmetros!$D$6+Parâmetros!$C$6*Parâmetros!$E$6)</f>
        <v>2.384</v>
      </c>
      <c r="N169" s="146" t="n">
        <f aca="false">Parâmetros!$C$7*(F169+2*Parâmetros!$D$7+Parâmetros!$C$7*Parâmetros!$E$7)</f>
        <v>3.786</v>
      </c>
      <c r="O169" s="146" t="n">
        <f aca="false">F169+2*Parâmetros!$D$8</f>
        <v>11.2</v>
      </c>
      <c r="P169" s="146" t="n">
        <f aca="false">F169+2*Parâmetros!$D$10</f>
        <v>12.92</v>
      </c>
      <c r="Q169" s="146" t="n">
        <f aca="false">G169+H169</f>
        <v>0</v>
      </c>
      <c r="S169" s="149" t="n">
        <f aca="false">S168+'Volumes por intervalo'!C168*(F168+F169)/2</f>
        <v>37158</v>
      </c>
      <c r="T169" s="149" t="n">
        <f aca="false">T168+'Volumes por intervalo'!H168</f>
        <v>1866.25</v>
      </c>
      <c r="U169" s="149" t="n">
        <f aca="false">U168+'Volumes por intervalo'!J168</f>
        <v>6137.66399999999</v>
      </c>
      <c r="V169" s="149" t="n">
        <f aca="false">V168+'Volumes por intervalo'!K168</f>
        <v>8046.16000000001</v>
      </c>
      <c r="W169" s="149" t="n">
        <f aca="false">W168+'Volumes por intervalo'!L168</f>
        <v>12770.64</v>
      </c>
      <c r="X169" s="149" t="n">
        <f aca="false">X168+'Volumes por intervalo'!M168</f>
        <v>37826</v>
      </c>
      <c r="Y169" s="149" t="n">
        <f aca="false">Y168+'Volumes por intervalo'!N168</f>
        <v>37826</v>
      </c>
      <c r="Z169" s="149" t="n">
        <f aca="false">Z168+'Volumes por intervalo'!O168</f>
        <v>43570.8000000001</v>
      </c>
      <c r="AA169" s="149" t="n">
        <f aca="false">AA168+'Volumes por intervalo'!P168</f>
        <v>0</v>
      </c>
      <c r="AB169" s="149" t="n">
        <f aca="false">AB168+'Volumes por intervalo'!Q168</f>
        <v>0</v>
      </c>
      <c r="AC169" s="149" t="n">
        <f aca="false">AC168+'Volumes por intervalo'!R168</f>
        <v>0</v>
      </c>
      <c r="AD169" s="149" t="n">
        <f aca="false">AD168+'Volumes por intervalo'!S168</f>
        <v>0</v>
      </c>
    </row>
    <row r="170" customFormat="false" ht="15" hidden="false" customHeight="false" outlineLevel="0" collapsed="false">
      <c r="A170" s="138" t="s">
        <v>1817</v>
      </c>
      <c r="B170" s="146" t="n">
        <v>168</v>
      </c>
      <c r="C170" s="144" t="n">
        <v>3360</v>
      </c>
      <c r="D170" s="138" t="s">
        <v>1565</v>
      </c>
      <c r="E170" s="138" t="s">
        <v>1566</v>
      </c>
      <c r="F170" s="147" t="n">
        <v>12.1</v>
      </c>
      <c r="G170" s="148" t="n">
        <v>0</v>
      </c>
      <c r="H170" s="148" t="n">
        <v>0</v>
      </c>
      <c r="I170" s="138" t="s">
        <v>1642</v>
      </c>
      <c r="J170" s="138"/>
      <c r="K170" s="146" t="n">
        <f aca="false">Parâmetros!$C$4*(F170+2*Parâmetros!$D$4+Parâmetros!$C$4*Parâmetros!$E$4)</f>
        <v>0.6075</v>
      </c>
      <c r="L170" s="146" t="n">
        <f aca="false">Parâmetros!$C$5*(F170+2*Parâmetros!$D$5+Parâmetros!$C$5*Parâmetros!$E$5)</f>
        <v>1.9936</v>
      </c>
      <c r="M170" s="146" t="n">
        <f aca="false">Parâmetros!$C$6*(F170+2*Parâmetros!$D$6+Parâmetros!$C$6*Parâmetros!$E$6)</f>
        <v>2.604</v>
      </c>
      <c r="N170" s="146" t="n">
        <f aca="false">Parâmetros!$C$7*(F170+2*Parâmetros!$D$7+Parâmetros!$C$7*Parâmetros!$E$7)</f>
        <v>4.116</v>
      </c>
      <c r="O170" s="146" t="n">
        <f aca="false">F170+2*Parâmetros!$D$8</f>
        <v>12.3</v>
      </c>
      <c r="P170" s="146" t="n">
        <f aca="false">F170+2*Parâmetros!$D$10</f>
        <v>14.02</v>
      </c>
      <c r="Q170" s="146" t="n">
        <f aca="false">G170+H170</f>
        <v>0</v>
      </c>
      <c r="S170" s="149" t="n">
        <f aca="false">S169+'Volumes por intervalo'!C169*(F169+F170)/2</f>
        <v>37389</v>
      </c>
      <c r="T170" s="149" t="n">
        <f aca="false">T169+'Volumes por intervalo'!H169</f>
        <v>1877.85</v>
      </c>
      <c r="U170" s="149" t="n">
        <f aca="false">U169+'Volumes por intervalo'!J169</f>
        <v>6175.77599999999</v>
      </c>
      <c r="V170" s="149" t="n">
        <f aca="false">V169+'Volumes por intervalo'!K169</f>
        <v>8096.04000000001</v>
      </c>
      <c r="W170" s="149" t="n">
        <f aca="false">W169+'Volumes por intervalo'!L169</f>
        <v>12849.66</v>
      </c>
      <c r="X170" s="149" t="n">
        <f aca="false">X169+'Volumes por intervalo'!M169</f>
        <v>38061</v>
      </c>
      <c r="Y170" s="149" t="n">
        <f aca="false">Y169+'Volumes por intervalo'!N169</f>
        <v>38061</v>
      </c>
      <c r="Z170" s="149" t="n">
        <f aca="false">Z169+'Volumes por intervalo'!O169</f>
        <v>43840.2000000001</v>
      </c>
      <c r="AA170" s="149" t="n">
        <f aca="false">AA169+'Volumes por intervalo'!P169</f>
        <v>0</v>
      </c>
      <c r="AB170" s="149" t="n">
        <f aca="false">AB169+'Volumes por intervalo'!Q169</f>
        <v>0</v>
      </c>
      <c r="AC170" s="149" t="n">
        <f aca="false">AC169+'Volumes por intervalo'!R169</f>
        <v>0</v>
      </c>
      <c r="AD170" s="149" t="n">
        <f aca="false">AD169+'Volumes por intervalo'!S169</f>
        <v>0</v>
      </c>
    </row>
    <row r="171" customFormat="false" ht="15" hidden="false" customHeight="false" outlineLevel="0" collapsed="false">
      <c r="A171" s="138" t="s">
        <v>1818</v>
      </c>
      <c r="B171" s="146" t="n">
        <v>169</v>
      </c>
      <c r="C171" s="144" t="n">
        <v>3380</v>
      </c>
      <c r="D171" s="138" t="s">
        <v>1565</v>
      </c>
      <c r="E171" s="138" t="s">
        <v>1566</v>
      </c>
      <c r="F171" s="147" t="n">
        <v>13.2</v>
      </c>
      <c r="G171" s="148" t="n">
        <v>0</v>
      </c>
      <c r="H171" s="148" t="n">
        <v>0</v>
      </c>
      <c r="I171" s="138" t="s">
        <v>1642</v>
      </c>
      <c r="J171" s="138"/>
      <c r="K171" s="146" t="n">
        <f aca="false">Parâmetros!$C$4*(F171+2*Parâmetros!$D$4+Parâmetros!$C$4*Parâmetros!$E$4)</f>
        <v>0.6625</v>
      </c>
      <c r="L171" s="146" t="n">
        <f aca="false">Parâmetros!$C$5*(F171+2*Parâmetros!$D$5+Parâmetros!$C$5*Parâmetros!$E$5)</f>
        <v>2.1696</v>
      </c>
      <c r="M171" s="146" t="n">
        <f aca="false">Parâmetros!$C$6*(F171+2*Parâmetros!$D$6+Parâmetros!$C$6*Parâmetros!$E$6)</f>
        <v>2.824</v>
      </c>
      <c r="N171" s="146" t="n">
        <f aca="false">Parâmetros!$C$7*(F171+2*Parâmetros!$D$7+Parâmetros!$C$7*Parâmetros!$E$7)</f>
        <v>4.446</v>
      </c>
      <c r="O171" s="146" t="n">
        <f aca="false">F171+2*Parâmetros!$D$8</f>
        <v>13.4</v>
      </c>
      <c r="P171" s="146" t="n">
        <f aca="false">F171+2*Parâmetros!$D$10</f>
        <v>15.12</v>
      </c>
      <c r="Q171" s="146" t="n">
        <f aca="false">G171+H171</f>
        <v>0</v>
      </c>
      <c r="S171" s="149" t="n">
        <f aca="false">S170+'Volumes por intervalo'!C170*(F170+F171)/2</f>
        <v>37642</v>
      </c>
      <c r="T171" s="149" t="n">
        <f aca="false">T170+'Volumes por intervalo'!H170</f>
        <v>1890.55</v>
      </c>
      <c r="U171" s="149" t="n">
        <f aca="false">U170+'Volumes por intervalo'!J170</f>
        <v>6217.40799999999</v>
      </c>
      <c r="V171" s="149" t="n">
        <f aca="false">V170+'Volumes por intervalo'!K170</f>
        <v>8150.32000000001</v>
      </c>
      <c r="W171" s="149" t="n">
        <f aca="false">W170+'Volumes por intervalo'!L170</f>
        <v>12935.28</v>
      </c>
      <c r="X171" s="149" t="n">
        <f aca="false">X170+'Volumes por intervalo'!M170</f>
        <v>38318</v>
      </c>
      <c r="Y171" s="149" t="n">
        <f aca="false">Y170+'Volumes por intervalo'!N170</f>
        <v>38318</v>
      </c>
      <c r="Z171" s="149" t="n">
        <f aca="false">Z170+'Volumes por intervalo'!O170</f>
        <v>44131.6000000001</v>
      </c>
      <c r="AA171" s="149" t="n">
        <f aca="false">AA170+'Volumes por intervalo'!P170</f>
        <v>0</v>
      </c>
      <c r="AB171" s="149" t="n">
        <f aca="false">AB170+'Volumes por intervalo'!Q170</f>
        <v>0</v>
      </c>
      <c r="AC171" s="149" t="n">
        <f aca="false">AC170+'Volumes por intervalo'!R170</f>
        <v>0</v>
      </c>
      <c r="AD171" s="149" t="n">
        <f aca="false">AD170+'Volumes por intervalo'!S170</f>
        <v>0</v>
      </c>
    </row>
    <row r="172" customFormat="false" ht="15" hidden="false" customHeight="false" outlineLevel="0" collapsed="false">
      <c r="A172" s="138" t="s">
        <v>1819</v>
      </c>
      <c r="B172" s="146" t="n">
        <v>170</v>
      </c>
      <c r="C172" s="144" t="n">
        <v>3400</v>
      </c>
      <c r="D172" s="138" t="s">
        <v>1565</v>
      </c>
      <c r="E172" s="138" t="s">
        <v>1566</v>
      </c>
      <c r="F172" s="147" t="n">
        <v>14</v>
      </c>
      <c r="G172" s="148" t="n">
        <v>0</v>
      </c>
      <c r="H172" s="148" t="n">
        <v>0</v>
      </c>
      <c r="I172" s="138" t="s">
        <v>1642</v>
      </c>
      <c r="J172" s="138"/>
      <c r="K172" s="146" t="n">
        <f aca="false">Parâmetros!$C$4*(F172+2*Parâmetros!$D$4+Parâmetros!$C$4*Parâmetros!$E$4)</f>
        <v>0.7025</v>
      </c>
      <c r="L172" s="146" t="n">
        <f aca="false">Parâmetros!$C$5*(F172+2*Parâmetros!$D$5+Parâmetros!$C$5*Parâmetros!$E$5)</f>
        <v>2.2976</v>
      </c>
      <c r="M172" s="146" t="n">
        <f aca="false">Parâmetros!$C$6*(F172+2*Parâmetros!$D$6+Parâmetros!$C$6*Parâmetros!$E$6)</f>
        <v>2.984</v>
      </c>
      <c r="N172" s="146" t="n">
        <f aca="false">Parâmetros!$C$7*(F172+2*Parâmetros!$D$7+Parâmetros!$C$7*Parâmetros!$E$7)</f>
        <v>4.686</v>
      </c>
      <c r="O172" s="146" t="n">
        <f aca="false">F172+2*Parâmetros!$D$8</f>
        <v>14.2</v>
      </c>
      <c r="P172" s="146" t="n">
        <f aca="false">F172+2*Parâmetros!$D$10</f>
        <v>15.92</v>
      </c>
      <c r="Q172" s="146" t="n">
        <f aca="false">G172+H172</f>
        <v>0</v>
      </c>
      <c r="S172" s="149" t="n">
        <f aca="false">S171+'Volumes por intervalo'!C171*(F171+F172)/2</f>
        <v>37914</v>
      </c>
      <c r="T172" s="149" t="n">
        <f aca="false">T171+'Volumes por intervalo'!H171</f>
        <v>1904.2</v>
      </c>
      <c r="U172" s="149" t="n">
        <f aca="false">U171+'Volumes por intervalo'!J171</f>
        <v>6262.07999999999</v>
      </c>
      <c r="V172" s="149" t="n">
        <f aca="false">V171+'Volumes por intervalo'!K171</f>
        <v>8208.40000000001</v>
      </c>
      <c r="W172" s="149" t="n">
        <f aca="false">W171+'Volumes por intervalo'!L171</f>
        <v>13026.6</v>
      </c>
      <c r="X172" s="149" t="n">
        <f aca="false">X171+'Volumes por intervalo'!M171</f>
        <v>38594</v>
      </c>
      <c r="Y172" s="149" t="n">
        <f aca="false">Y171+'Volumes por intervalo'!N171</f>
        <v>38594</v>
      </c>
      <c r="Z172" s="149" t="n">
        <f aca="false">Z171+'Volumes por intervalo'!O171</f>
        <v>44442.0000000001</v>
      </c>
      <c r="AA172" s="149" t="n">
        <f aca="false">AA171+'Volumes por intervalo'!P171</f>
        <v>0</v>
      </c>
      <c r="AB172" s="149" t="n">
        <f aca="false">AB171+'Volumes por intervalo'!Q171</f>
        <v>0</v>
      </c>
      <c r="AC172" s="149" t="n">
        <f aca="false">AC171+'Volumes por intervalo'!R171</f>
        <v>0</v>
      </c>
      <c r="AD172" s="149" t="n">
        <f aca="false">AD171+'Volumes por intervalo'!S171</f>
        <v>0</v>
      </c>
    </row>
    <row r="173" customFormat="false" ht="15" hidden="false" customHeight="false" outlineLevel="0" collapsed="false">
      <c r="A173" s="138" t="s">
        <v>1820</v>
      </c>
      <c r="B173" s="146" t="n">
        <v>171</v>
      </c>
      <c r="C173" s="144" t="n">
        <v>3420</v>
      </c>
      <c r="D173" s="138" t="s">
        <v>1565</v>
      </c>
      <c r="E173" s="138" t="s">
        <v>1566</v>
      </c>
      <c r="F173" s="147" t="n">
        <v>13.7</v>
      </c>
      <c r="G173" s="148" t="n">
        <v>0</v>
      </c>
      <c r="H173" s="148" t="n">
        <v>0</v>
      </c>
      <c r="I173" s="138" t="s">
        <v>1642</v>
      </c>
      <c r="J173" s="138" t="s">
        <v>1773</v>
      </c>
      <c r="K173" s="146" t="n">
        <f aca="false">Parâmetros!$C$4*(F173+2*Parâmetros!$D$4+Parâmetros!$C$4*Parâmetros!$E$4)</f>
        <v>0.6875</v>
      </c>
      <c r="L173" s="146" t="n">
        <f aca="false">Parâmetros!$C$5*(F173+2*Parâmetros!$D$5+Parâmetros!$C$5*Parâmetros!$E$5)</f>
        <v>2.2496</v>
      </c>
      <c r="M173" s="146" t="n">
        <f aca="false">Parâmetros!$C$6*(F173+2*Parâmetros!$D$6+Parâmetros!$C$6*Parâmetros!$E$6)</f>
        <v>2.924</v>
      </c>
      <c r="N173" s="146" t="n">
        <f aca="false">Parâmetros!$C$7*(F173+2*Parâmetros!$D$7+Parâmetros!$C$7*Parâmetros!$E$7)</f>
        <v>4.596</v>
      </c>
      <c r="O173" s="146" t="n">
        <f aca="false">F173+2*Parâmetros!$D$8</f>
        <v>13.9</v>
      </c>
      <c r="P173" s="146" t="n">
        <f aca="false">F173+2*Parâmetros!$D$10</f>
        <v>15.62</v>
      </c>
      <c r="Q173" s="146" t="n">
        <f aca="false">G173+H173</f>
        <v>0</v>
      </c>
      <c r="S173" s="149" t="n">
        <f aca="false">S172+'Volumes por intervalo'!C172*(F172+F173)/2</f>
        <v>38191</v>
      </c>
      <c r="T173" s="149" t="n">
        <f aca="false">T172+'Volumes por intervalo'!H172</f>
        <v>1918.1</v>
      </c>
      <c r="U173" s="149" t="n">
        <f aca="false">U172+'Volumes por intervalo'!J172</f>
        <v>6307.55199999999</v>
      </c>
      <c r="V173" s="149" t="n">
        <f aca="false">V172+'Volumes por intervalo'!K172</f>
        <v>8267.48000000001</v>
      </c>
      <c r="W173" s="149" t="n">
        <f aca="false">W172+'Volumes por intervalo'!L172</f>
        <v>13119.42</v>
      </c>
      <c r="X173" s="149" t="n">
        <f aca="false">X172+'Volumes por intervalo'!M172</f>
        <v>38875</v>
      </c>
      <c r="Y173" s="149" t="n">
        <f aca="false">Y172+'Volumes por intervalo'!N172</f>
        <v>38875</v>
      </c>
      <c r="Z173" s="149" t="n">
        <f aca="false">Z172+'Volumes por intervalo'!O172</f>
        <v>44757.4000000001</v>
      </c>
      <c r="AA173" s="149" t="n">
        <f aca="false">AA172+'Volumes por intervalo'!P172</f>
        <v>0</v>
      </c>
      <c r="AB173" s="149" t="n">
        <f aca="false">AB172+'Volumes por intervalo'!Q172</f>
        <v>0</v>
      </c>
      <c r="AC173" s="149" t="n">
        <f aca="false">AC172+'Volumes por intervalo'!R172</f>
        <v>0</v>
      </c>
      <c r="AD173" s="149" t="n">
        <f aca="false">AD172+'Volumes por intervalo'!S172</f>
        <v>0</v>
      </c>
    </row>
    <row r="174" customFormat="false" ht="15" hidden="false" customHeight="false" outlineLevel="0" collapsed="false">
      <c r="A174" s="138" t="s">
        <v>1821</v>
      </c>
      <c r="B174" s="146" t="n">
        <v>172</v>
      </c>
      <c r="C174" s="144" t="n">
        <v>3440</v>
      </c>
      <c r="D174" s="138" t="s">
        <v>1565</v>
      </c>
      <c r="E174" s="138" t="s">
        <v>1566</v>
      </c>
      <c r="F174" s="147" t="n">
        <v>13.1</v>
      </c>
      <c r="G174" s="148" t="n">
        <v>0</v>
      </c>
      <c r="H174" s="148" t="n">
        <v>0</v>
      </c>
      <c r="I174" s="138" t="s">
        <v>1642</v>
      </c>
      <c r="J174" s="138" t="s">
        <v>1773</v>
      </c>
      <c r="K174" s="146" t="n">
        <f aca="false">Parâmetros!$C$4*(F174+2*Parâmetros!$D$4+Parâmetros!$C$4*Parâmetros!$E$4)</f>
        <v>0.6575</v>
      </c>
      <c r="L174" s="146" t="n">
        <f aca="false">Parâmetros!$C$5*(F174+2*Parâmetros!$D$5+Parâmetros!$C$5*Parâmetros!$E$5)</f>
        <v>2.1536</v>
      </c>
      <c r="M174" s="146" t="n">
        <f aca="false">Parâmetros!$C$6*(F174+2*Parâmetros!$D$6+Parâmetros!$C$6*Parâmetros!$E$6)</f>
        <v>2.804</v>
      </c>
      <c r="N174" s="146" t="n">
        <f aca="false">Parâmetros!$C$7*(F174+2*Parâmetros!$D$7+Parâmetros!$C$7*Parâmetros!$E$7)</f>
        <v>4.416</v>
      </c>
      <c r="O174" s="146" t="n">
        <f aca="false">F174+2*Parâmetros!$D$8</f>
        <v>13.3</v>
      </c>
      <c r="P174" s="146" t="n">
        <f aca="false">F174+2*Parâmetros!$D$10</f>
        <v>15.02</v>
      </c>
      <c r="Q174" s="146" t="n">
        <f aca="false">G174+H174</f>
        <v>0</v>
      </c>
      <c r="S174" s="149" t="n">
        <f aca="false">S173+'Volumes por intervalo'!C173*(F173+F174)/2</f>
        <v>38459</v>
      </c>
      <c r="T174" s="149" t="n">
        <f aca="false">T173+'Volumes por intervalo'!H173</f>
        <v>1931.55</v>
      </c>
      <c r="U174" s="149" t="n">
        <f aca="false">U173+'Volumes por intervalo'!J173</f>
        <v>6351.58399999999</v>
      </c>
      <c r="V174" s="149" t="n">
        <f aca="false">V173+'Volumes por intervalo'!K173</f>
        <v>8324.76000000002</v>
      </c>
      <c r="W174" s="149" t="n">
        <f aca="false">W173+'Volumes por intervalo'!L173</f>
        <v>13209.54</v>
      </c>
      <c r="X174" s="149" t="n">
        <f aca="false">X173+'Volumes por intervalo'!M173</f>
        <v>39147</v>
      </c>
      <c r="Y174" s="149" t="n">
        <f aca="false">Y173+'Volumes por intervalo'!N173</f>
        <v>39147</v>
      </c>
      <c r="Z174" s="149" t="n">
        <f aca="false">Z173+'Volumes por intervalo'!O173</f>
        <v>45063.8000000001</v>
      </c>
      <c r="AA174" s="149" t="n">
        <f aca="false">AA173+'Volumes por intervalo'!P173</f>
        <v>0</v>
      </c>
      <c r="AB174" s="149" t="n">
        <f aca="false">AB173+'Volumes por intervalo'!Q173</f>
        <v>0</v>
      </c>
      <c r="AC174" s="149" t="n">
        <f aca="false">AC173+'Volumes por intervalo'!R173</f>
        <v>0</v>
      </c>
      <c r="AD174" s="149" t="n">
        <f aca="false">AD173+'Volumes por intervalo'!S173</f>
        <v>0</v>
      </c>
    </row>
    <row r="175" customFormat="false" ht="15" hidden="false" customHeight="false" outlineLevel="0" collapsed="false">
      <c r="A175" s="138" t="s">
        <v>1822</v>
      </c>
      <c r="B175" s="146" t="n">
        <v>173</v>
      </c>
      <c r="C175" s="144" t="n">
        <v>3460</v>
      </c>
      <c r="D175" s="138" t="s">
        <v>1565</v>
      </c>
      <c r="E175" s="138" t="s">
        <v>1566</v>
      </c>
      <c r="F175" s="147" t="n">
        <v>13.6</v>
      </c>
      <c r="G175" s="148" t="n">
        <v>0</v>
      </c>
      <c r="H175" s="148" t="n">
        <v>0</v>
      </c>
      <c r="I175" s="138" t="s">
        <v>1642</v>
      </c>
      <c r="J175" s="138" t="s">
        <v>1773</v>
      </c>
      <c r="K175" s="146" t="n">
        <f aca="false">Parâmetros!$C$4*(F175+2*Parâmetros!$D$4+Parâmetros!$C$4*Parâmetros!$E$4)</f>
        <v>0.6825</v>
      </c>
      <c r="L175" s="146" t="n">
        <f aca="false">Parâmetros!$C$5*(F175+2*Parâmetros!$D$5+Parâmetros!$C$5*Parâmetros!$E$5)</f>
        <v>2.2336</v>
      </c>
      <c r="M175" s="146" t="n">
        <f aca="false">Parâmetros!$C$6*(F175+2*Parâmetros!$D$6+Parâmetros!$C$6*Parâmetros!$E$6)</f>
        <v>2.904</v>
      </c>
      <c r="N175" s="146" t="n">
        <f aca="false">Parâmetros!$C$7*(F175+2*Parâmetros!$D$7+Parâmetros!$C$7*Parâmetros!$E$7)</f>
        <v>4.566</v>
      </c>
      <c r="O175" s="146" t="n">
        <f aca="false">F175+2*Parâmetros!$D$8</f>
        <v>13.8</v>
      </c>
      <c r="P175" s="146" t="n">
        <f aca="false">F175+2*Parâmetros!$D$10</f>
        <v>15.52</v>
      </c>
      <c r="Q175" s="146" t="n">
        <f aca="false">G175+H175</f>
        <v>0</v>
      </c>
      <c r="S175" s="149" t="n">
        <f aca="false">S174+'Volumes por intervalo'!C174*(F174+F175)/2</f>
        <v>38726</v>
      </c>
      <c r="T175" s="149" t="n">
        <f aca="false">T174+'Volumes por intervalo'!H174</f>
        <v>1944.95</v>
      </c>
      <c r="U175" s="149" t="n">
        <f aca="false">U174+'Volumes por intervalo'!J174</f>
        <v>6395.45599999999</v>
      </c>
      <c r="V175" s="149" t="n">
        <f aca="false">V174+'Volumes por intervalo'!K174</f>
        <v>8381.84000000002</v>
      </c>
      <c r="W175" s="149" t="n">
        <f aca="false">W174+'Volumes por intervalo'!L174</f>
        <v>13299.36</v>
      </c>
      <c r="X175" s="149" t="n">
        <f aca="false">X174+'Volumes por intervalo'!M174</f>
        <v>39418</v>
      </c>
      <c r="Y175" s="149" t="n">
        <f aca="false">Y174+'Volumes por intervalo'!N174</f>
        <v>39418</v>
      </c>
      <c r="Z175" s="149" t="n">
        <f aca="false">Z174+'Volumes por intervalo'!O174</f>
        <v>45369.2000000001</v>
      </c>
      <c r="AA175" s="149" t="n">
        <f aca="false">AA174+'Volumes por intervalo'!P174</f>
        <v>0</v>
      </c>
      <c r="AB175" s="149" t="n">
        <f aca="false">AB174+'Volumes por intervalo'!Q174</f>
        <v>0</v>
      </c>
      <c r="AC175" s="149" t="n">
        <f aca="false">AC174+'Volumes por intervalo'!R174</f>
        <v>0</v>
      </c>
      <c r="AD175" s="149" t="n">
        <f aca="false">AD174+'Volumes por intervalo'!S174</f>
        <v>0</v>
      </c>
    </row>
    <row r="176" customFormat="false" ht="15" hidden="false" customHeight="false" outlineLevel="0" collapsed="false">
      <c r="A176" s="138" t="s">
        <v>1823</v>
      </c>
      <c r="B176" s="146" t="n">
        <v>174</v>
      </c>
      <c r="C176" s="144" t="n">
        <v>3480</v>
      </c>
      <c r="D176" s="138" t="s">
        <v>1565</v>
      </c>
      <c r="E176" s="138" t="s">
        <v>1566</v>
      </c>
      <c r="F176" s="147" t="n">
        <v>14</v>
      </c>
      <c r="G176" s="148" t="n">
        <v>0</v>
      </c>
      <c r="H176" s="148" t="n">
        <v>0</v>
      </c>
      <c r="I176" s="138" t="s">
        <v>1642</v>
      </c>
      <c r="J176" s="138" t="s">
        <v>1766</v>
      </c>
      <c r="K176" s="146" t="n">
        <f aca="false">Parâmetros!$C$4*(F176+2*Parâmetros!$D$4+Parâmetros!$C$4*Parâmetros!$E$4)</f>
        <v>0.7025</v>
      </c>
      <c r="L176" s="146" t="n">
        <f aca="false">Parâmetros!$C$5*(F176+2*Parâmetros!$D$5+Parâmetros!$C$5*Parâmetros!$E$5)</f>
        <v>2.2976</v>
      </c>
      <c r="M176" s="146" t="n">
        <f aca="false">Parâmetros!$C$6*(F176+2*Parâmetros!$D$6+Parâmetros!$C$6*Parâmetros!$E$6)</f>
        <v>2.984</v>
      </c>
      <c r="N176" s="146" t="n">
        <f aca="false">Parâmetros!$C$7*(F176+2*Parâmetros!$D$7+Parâmetros!$C$7*Parâmetros!$E$7)</f>
        <v>4.686</v>
      </c>
      <c r="O176" s="146" t="n">
        <f aca="false">F176+2*Parâmetros!$D$8</f>
        <v>14.2</v>
      </c>
      <c r="P176" s="146" t="n">
        <f aca="false">F176+2*Parâmetros!$D$10</f>
        <v>15.92</v>
      </c>
      <c r="Q176" s="146" t="n">
        <f aca="false">G176+H176</f>
        <v>0</v>
      </c>
      <c r="S176" s="149" t="n">
        <f aca="false">S175+'Volumes por intervalo'!C175*(F175+F176)/2</f>
        <v>39002</v>
      </c>
      <c r="T176" s="149" t="n">
        <f aca="false">T175+'Volumes por intervalo'!H175</f>
        <v>1958.8</v>
      </c>
      <c r="U176" s="149" t="n">
        <f aca="false">U175+'Volumes por intervalo'!J175</f>
        <v>6440.76799999999</v>
      </c>
      <c r="V176" s="149" t="n">
        <f aca="false">V175+'Volumes por intervalo'!K175</f>
        <v>8440.72000000001</v>
      </c>
      <c r="W176" s="149" t="n">
        <f aca="false">W175+'Volumes por intervalo'!L175</f>
        <v>13391.88</v>
      </c>
      <c r="X176" s="149" t="n">
        <f aca="false">X175+'Volumes por intervalo'!M175</f>
        <v>39698</v>
      </c>
      <c r="Y176" s="149" t="n">
        <f aca="false">Y175+'Volumes por intervalo'!N175</f>
        <v>39698</v>
      </c>
      <c r="Z176" s="149" t="n">
        <f aca="false">Z175+'Volumes por intervalo'!O175</f>
        <v>45683.6000000001</v>
      </c>
      <c r="AA176" s="149" t="n">
        <f aca="false">AA175+'Volumes por intervalo'!P175</f>
        <v>0</v>
      </c>
      <c r="AB176" s="149" t="n">
        <f aca="false">AB175+'Volumes por intervalo'!Q175</f>
        <v>0</v>
      </c>
      <c r="AC176" s="149" t="n">
        <f aca="false">AC175+'Volumes por intervalo'!R175</f>
        <v>0</v>
      </c>
      <c r="AD176" s="149" t="n">
        <f aca="false">AD175+'Volumes por intervalo'!S175</f>
        <v>0</v>
      </c>
    </row>
    <row r="177" customFormat="false" ht="15" hidden="false" customHeight="false" outlineLevel="0" collapsed="false">
      <c r="A177" s="138" t="s">
        <v>1824</v>
      </c>
      <c r="B177" s="146" t="n">
        <v>175</v>
      </c>
      <c r="C177" s="144" t="n">
        <v>3500</v>
      </c>
      <c r="D177" s="138" t="s">
        <v>1565</v>
      </c>
      <c r="E177" s="138" t="s">
        <v>1566</v>
      </c>
      <c r="F177" s="147" t="n">
        <v>12.8</v>
      </c>
      <c r="G177" s="148" t="n">
        <v>0</v>
      </c>
      <c r="H177" s="148" t="n">
        <v>0</v>
      </c>
      <c r="I177" s="138" t="s">
        <v>1642</v>
      </c>
      <c r="J177" s="138" t="s">
        <v>1766</v>
      </c>
      <c r="K177" s="146" t="n">
        <f aca="false">Parâmetros!$C$4*(F177+2*Parâmetros!$D$4+Parâmetros!$C$4*Parâmetros!$E$4)</f>
        <v>0.6425</v>
      </c>
      <c r="L177" s="146" t="n">
        <f aca="false">Parâmetros!$C$5*(F177+2*Parâmetros!$D$5+Parâmetros!$C$5*Parâmetros!$E$5)</f>
        <v>2.1056</v>
      </c>
      <c r="M177" s="146" t="n">
        <f aca="false">Parâmetros!$C$6*(F177+2*Parâmetros!$D$6+Parâmetros!$C$6*Parâmetros!$E$6)</f>
        <v>2.744</v>
      </c>
      <c r="N177" s="146" t="n">
        <f aca="false">Parâmetros!$C$7*(F177+2*Parâmetros!$D$7+Parâmetros!$C$7*Parâmetros!$E$7)</f>
        <v>4.326</v>
      </c>
      <c r="O177" s="146" t="n">
        <f aca="false">F177+2*Parâmetros!$D$8</f>
        <v>13</v>
      </c>
      <c r="P177" s="146" t="n">
        <f aca="false">F177+2*Parâmetros!$D$10</f>
        <v>14.72</v>
      </c>
      <c r="Q177" s="146" t="n">
        <f aca="false">G177+H177</f>
        <v>0</v>
      </c>
      <c r="S177" s="149" t="n">
        <f aca="false">S176+'Volumes por intervalo'!C176*(F176+F177)/2</f>
        <v>39270</v>
      </c>
      <c r="T177" s="149" t="n">
        <f aca="false">T176+'Volumes por intervalo'!H176</f>
        <v>1972.25</v>
      </c>
      <c r="U177" s="149" t="n">
        <f aca="false">U176+'Volumes por intervalo'!J176</f>
        <v>6484.79999999999</v>
      </c>
      <c r="V177" s="149" t="n">
        <f aca="false">V176+'Volumes por intervalo'!K176</f>
        <v>8498.00000000002</v>
      </c>
      <c r="W177" s="149" t="n">
        <f aca="false">W176+'Volumes por intervalo'!L176</f>
        <v>13482</v>
      </c>
      <c r="X177" s="149" t="n">
        <f aca="false">X176+'Volumes por intervalo'!M176</f>
        <v>39970</v>
      </c>
      <c r="Y177" s="149" t="n">
        <f aca="false">Y176+'Volumes por intervalo'!N176</f>
        <v>39970</v>
      </c>
      <c r="Z177" s="149" t="n">
        <f aca="false">Z176+'Volumes por intervalo'!O176</f>
        <v>45990.0000000001</v>
      </c>
      <c r="AA177" s="149" t="n">
        <f aca="false">AA176+'Volumes por intervalo'!P176</f>
        <v>0</v>
      </c>
      <c r="AB177" s="149" t="n">
        <f aca="false">AB176+'Volumes por intervalo'!Q176</f>
        <v>0</v>
      </c>
      <c r="AC177" s="149" t="n">
        <f aca="false">AC176+'Volumes por intervalo'!R176</f>
        <v>0</v>
      </c>
      <c r="AD177" s="149" t="n">
        <f aca="false">AD176+'Volumes por intervalo'!S176</f>
        <v>0</v>
      </c>
    </row>
    <row r="178" customFormat="false" ht="15" hidden="false" customHeight="false" outlineLevel="0" collapsed="false">
      <c r="A178" s="138" t="s">
        <v>1825</v>
      </c>
      <c r="B178" s="146" t="n">
        <v>176</v>
      </c>
      <c r="C178" s="144" t="n">
        <v>3520</v>
      </c>
      <c r="D178" s="138" t="s">
        <v>1565</v>
      </c>
      <c r="E178" s="138" t="s">
        <v>1566</v>
      </c>
      <c r="F178" s="147" t="n">
        <v>11.2</v>
      </c>
      <c r="G178" s="148" t="n">
        <v>0</v>
      </c>
      <c r="H178" s="148" t="n">
        <v>0</v>
      </c>
      <c r="I178" s="138" t="s">
        <v>1642</v>
      </c>
      <c r="J178" s="138" t="s">
        <v>1764</v>
      </c>
      <c r="K178" s="146" t="n">
        <f aca="false">Parâmetros!$C$4*(F178+2*Parâmetros!$D$4+Parâmetros!$C$4*Parâmetros!$E$4)</f>
        <v>0.5625</v>
      </c>
      <c r="L178" s="146" t="n">
        <f aca="false">Parâmetros!$C$5*(F178+2*Parâmetros!$D$5+Parâmetros!$C$5*Parâmetros!$E$5)</f>
        <v>1.8496</v>
      </c>
      <c r="M178" s="146" t="n">
        <f aca="false">Parâmetros!$C$6*(F178+2*Parâmetros!$D$6+Parâmetros!$C$6*Parâmetros!$E$6)</f>
        <v>2.424</v>
      </c>
      <c r="N178" s="146" t="n">
        <f aca="false">Parâmetros!$C$7*(F178+2*Parâmetros!$D$7+Parâmetros!$C$7*Parâmetros!$E$7)</f>
        <v>3.846</v>
      </c>
      <c r="O178" s="146" t="n">
        <f aca="false">F178+2*Parâmetros!$D$8</f>
        <v>11.4</v>
      </c>
      <c r="P178" s="146" t="n">
        <f aca="false">F178+2*Parâmetros!$D$10</f>
        <v>13.12</v>
      </c>
      <c r="Q178" s="146" t="n">
        <f aca="false">G178+H178</f>
        <v>0</v>
      </c>
      <c r="S178" s="149" t="n">
        <f aca="false">S177+'Volumes por intervalo'!C177*(F177+F178)/2</f>
        <v>39510</v>
      </c>
      <c r="T178" s="149" t="n">
        <f aca="false">T177+'Volumes por intervalo'!H177</f>
        <v>1984.3</v>
      </c>
      <c r="U178" s="149" t="n">
        <f aca="false">U177+'Volumes por intervalo'!J177</f>
        <v>6524.35199999999</v>
      </c>
      <c r="V178" s="149" t="n">
        <f aca="false">V177+'Volumes por intervalo'!K177</f>
        <v>8549.68000000002</v>
      </c>
      <c r="W178" s="149" t="n">
        <f aca="false">W177+'Volumes por intervalo'!L177</f>
        <v>13563.72</v>
      </c>
      <c r="X178" s="149" t="n">
        <f aca="false">X177+'Volumes por intervalo'!M177</f>
        <v>40214</v>
      </c>
      <c r="Y178" s="149" t="n">
        <f aca="false">Y177+'Volumes por intervalo'!N177</f>
        <v>40214</v>
      </c>
      <c r="Z178" s="149" t="n">
        <f aca="false">Z177+'Volumes por intervalo'!O177</f>
        <v>46268.4000000002</v>
      </c>
      <c r="AA178" s="149" t="n">
        <f aca="false">AA177+'Volumes por intervalo'!P177</f>
        <v>0</v>
      </c>
      <c r="AB178" s="149" t="n">
        <f aca="false">AB177+'Volumes por intervalo'!Q177</f>
        <v>0</v>
      </c>
      <c r="AC178" s="149" t="n">
        <f aca="false">AC177+'Volumes por intervalo'!R177</f>
        <v>0</v>
      </c>
      <c r="AD178" s="149" t="n">
        <f aca="false">AD177+'Volumes por intervalo'!S177</f>
        <v>0</v>
      </c>
    </row>
    <row r="179" customFormat="false" ht="15" hidden="false" customHeight="false" outlineLevel="0" collapsed="false">
      <c r="A179" s="138" t="s">
        <v>1826</v>
      </c>
      <c r="B179" s="146" t="n">
        <v>177</v>
      </c>
      <c r="C179" s="144" t="n">
        <v>3540</v>
      </c>
      <c r="D179" s="138" t="s">
        <v>1565</v>
      </c>
      <c r="E179" s="138" t="s">
        <v>1566</v>
      </c>
      <c r="F179" s="147" t="n">
        <v>11</v>
      </c>
      <c r="G179" s="148" t="n">
        <v>0</v>
      </c>
      <c r="H179" s="148" t="n">
        <v>0</v>
      </c>
      <c r="I179" s="138" t="s">
        <v>1642</v>
      </c>
      <c r="J179" s="138" t="s">
        <v>1764</v>
      </c>
      <c r="K179" s="146" t="n">
        <f aca="false">Parâmetros!$C$4*(F179+2*Parâmetros!$D$4+Parâmetros!$C$4*Parâmetros!$E$4)</f>
        <v>0.5525</v>
      </c>
      <c r="L179" s="146" t="n">
        <f aca="false">Parâmetros!$C$5*(F179+2*Parâmetros!$D$5+Parâmetros!$C$5*Parâmetros!$E$5)</f>
        <v>1.8176</v>
      </c>
      <c r="M179" s="146" t="n">
        <f aca="false">Parâmetros!$C$6*(F179+2*Parâmetros!$D$6+Parâmetros!$C$6*Parâmetros!$E$6)</f>
        <v>2.384</v>
      </c>
      <c r="N179" s="146" t="n">
        <f aca="false">Parâmetros!$C$7*(F179+2*Parâmetros!$D$7+Parâmetros!$C$7*Parâmetros!$E$7)</f>
        <v>3.786</v>
      </c>
      <c r="O179" s="146" t="n">
        <f aca="false">F179+2*Parâmetros!$D$8</f>
        <v>11.2</v>
      </c>
      <c r="P179" s="146" t="n">
        <f aca="false">F179+2*Parâmetros!$D$10</f>
        <v>12.92</v>
      </c>
      <c r="Q179" s="146" t="n">
        <f aca="false">G179+H179</f>
        <v>0</v>
      </c>
      <c r="S179" s="149" t="n">
        <f aca="false">S178+'Volumes por intervalo'!C178*(F178+F179)/2</f>
        <v>39732</v>
      </c>
      <c r="T179" s="149" t="n">
        <f aca="false">T178+'Volumes por intervalo'!H178</f>
        <v>1995.45</v>
      </c>
      <c r="U179" s="149" t="n">
        <f aca="false">U178+'Volumes por intervalo'!J178</f>
        <v>6561.02399999999</v>
      </c>
      <c r="V179" s="149" t="n">
        <f aca="false">V178+'Volumes por intervalo'!K178</f>
        <v>8597.76000000002</v>
      </c>
      <c r="W179" s="149" t="n">
        <f aca="false">W178+'Volumes por intervalo'!L178</f>
        <v>13640.04</v>
      </c>
      <c r="X179" s="149" t="n">
        <f aca="false">X178+'Volumes por intervalo'!M178</f>
        <v>40440</v>
      </c>
      <c r="Y179" s="149" t="n">
        <f aca="false">Y178+'Volumes por intervalo'!N178</f>
        <v>40440</v>
      </c>
      <c r="Z179" s="149" t="n">
        <f aca="false">Z178+'Volumes por intervalo'!O178</f>
        <v>46528.8000000002</v>
      </c>
      <c r="AA179" s="149" t="n">
        <f aca="false">AA178+'Volumes por intervalo'!P178</f>
        <v>0</v>
      </c>
      <c r="AB179" s="149" t="n">
        <f aca="false">AB178+'Volumes por intervalo'!Q178</f>
        <v>0</v>
      </c>
      <c r="AC179" s="149" t="n">
        <f aca="false">AC178+'Volumes por intervalo'!R178</f>
        <v>0</v>
      </c>
      <c r="AD179" s="149" t="n">
        <f aca="false">AD178+'Volumes por intervalo'!S178</f>
        <v>0</v>
      </c>
    </row>
    <row r="180" customFormat="false" ht="15" hidden="false" customHeight="false" outlineLevel="0" collapsed="false">
      <c r="A180" s="138" t="s">
        <v>1827</v>
      </c>
      <c r="B180" s="146" t="n">
        <v>178</v>
      </c>
      <c r="C180" s="144" t="n">
        <v>3560</v>
      </c>
      <c r="D180" s="138" t="s">
        <v>1565</v>
      </c>
      <c r="E180" s="138" t="s">
        <v>1566</v>
      </c>
      <c r="F180" s="147" t="n">
        <v>11</v>
      </c>
      <c r="G180" s="148" t="n">
        <v>0</v>
      </c>
      <c r="H180" s="148" t="n">
        <v>0</v>
      </c>
      <c r="I180" s="138" t="s">
        <v>1642</v>
      </c>
      <c r="J180" s="138" t="s">
        <v>1764</v>
      </c>
      <c r="K180" s="146" t="n">
        <f aca="false">Parâmetros!$C$4*(F180+2*Parâmetros!$D$4+Parâmetros!$C$4*Parâmetros!$E$4)</f>
        <v>0.5525</v>
      </c>
      <c r="L180" s="146" t="n">
        <f aca="false">Parâmetros!$C$5*(F180+2*Parâmetros!$D$5+Parâmetros!$C$5*Parâmetros!$E$5)</f>
        <v>1.8176</v>
      </c>
      <c r="M180" s="146" t="n">
        <f aca="false">Parâmetros!$C$6*(F180+2*Parâmetros!$D$6+Parâmetros!$C$6*Parâmetros!$E$6)</f>
        <v>2.384</v>
      </c>
      <c r="N180" s="146" t="n">
        <f aca="false">Parâmetros!$C$7*(F180+2*Parâmetros!$D$7+Parâmetros!$C$7*Parâmetros!$E$7)</f>
        <v>3.786</v>
      </c>
      <c r="O180" s="146" t="n">
        <f aca="false">F180+2*Parâmetros!$D$8</f>
        <v>11.2</v>
      </c>
      <c r="P180" s="146" t="n">
        <f aca="false">F180+2*Parâmetros!$D$10</f>
        <v>12.92</v>
      </c>
      <c r="Q180" s="146" t="n">
        <f aca="false">G180+H180</f>
        <v>0</v>
      </c>
      <c r="S180" s="149" t="n">
        <f aca="false">S179+'Volumes por intervalo'!C179*(F179+F180)/2</f>
        <v>39952</v>
      </c>
      <c r="T180" s="149" t="n">
        <f aca="false">T179+'Volumes por intervalo'!H179</f>
        <v>2006.5</v>
      </c>
      <c r="U180" s="149" t="n">
        <f aca="false">U179+'Volumes por intervalo'!J179</f>
        <v>6597.37599999999</v>
      </c>
      <c r="V180" s="149" t="n">
        <f aca="false">V179+'Volumes por intervalo'!K179</f>
        <v>8645.44000000002</v>
      </c>
      <c r="W180" s="149" t="n">
        <f aca="false">W179+'Volumes por intervalo'!L179</f>
        <v>13715.76</v>
      </c>
      <c r="X180" s="149" t="n">
        <f aca="false">X179+'Volumes por intervalo'!M179</f>
        <v>40664</v>
      </c>
      <c r="Y180" s="149" t="n">
        <f aca="false">Y179+'Volumes por intervalo'!N179</f>
        <v>40664</v>
      </c>
      <c r="Z180" s="149" t="n">
        <f aca="false">Z179+'Volumes por intervalo'!O179</f>
        <v>46787.2000000002</v>
      </c>
      <c r="AA180" s="149" t="n">
        <f aca="false">AA179+'Volumes por intervalo'!P179</f>
        <v>0</v>
      </c>
      <c r="AB180" s="149" t="n">
        <f aca="false">AB179+'Volumes por intervalo'!Q179</f>
        <v>0</v>
      </c>
      <c r="AC180" s="149" t="n">
        <f aca="false">AC179+'Volumes por intervalo'!R179</f>
        <v>0</v>
      </c>
      <c r="AD180" s="149" t="n">
        <f aca="false">AD179+'Volumes por intervalo'!S179</f>
        <v>0</v>
      </c>
    </row>
    <row r="181" customFormat="false" ht="15" hidden="false" customHeight="false" outlineLevel="0" collapsed="false">
      <c r="A181" s="138" t="s">
        <v>1828</v>
      </c>
      <c r="B181" s="146" t="n">
        <v>179</v>
      </c>
      <c r="C181" s="144" t="n">
        <v>3580</v>
      </c>
      <c r="D181" s="138" t="s">
        <v>1565</v>
      </c>
      <c r="E181" s="138" t="s">
        <v>1566</v>
      </c>
      <c r="F181" s="147" t="n">
        <v>11</v>
      </c>
      <c r="G181" s="148" t="n">
        <v>0</v>
      </c>
      <c r="H181" s="148" t="n">
        <v>0</v>
      </c>
      <c r="I181" s="138" t="s">
        <v>1642</v>
      </c>
      <c r="J181" s="138"/>
      <c r="K181" s="146" t="n">
        <f aca="false">Parâmetros!$C$4*(F181+2*Parâmetros!$D$4+Parâmetros!$C$4*Parâmetros!$E$4)</f>
        <v>0.5525</v>
      </c>
      <c r="L181" s="146" t="n">
        <f aca="false">Parâmetros!$C$5*(F181+2*Parâmetros!$D$5+Parâmetros!$C$5*Parâmetros!$E$5)</f>
        <v>1.8176</v>
      </c>
      <c r="M181" s="146" t="n">
        <f aca="false">Parâmetros!$C$6*(F181+2*Parâmetros!$D$6+Parâmetros!$C$6*Parâmetros!$E$6)</f>
        <v>2.384</v>
      </c>
      <c r="N181" s="146" t="n">
        <f aca="false">Parâmetros!$C$7*(F181+2*Parâmetros!$D$7+Parâmetros!$C$7*Parâmetros!$E$7)</f>
        <v>3.786</v>
      </c>
      <c r="O181" s="146" t="n">
        <f aca="false">F181+2*Parâmetros!$D$8</f>
        <v>11.2</v>
      </c>
      <c r="P181" s="146" t="n">
        <f aca="false">F181+2*Parâmetros!$D$10</f>
        <v>12.92</v>
      </c>
      <c r="Q181" s="146" t="n">
        <f aca="false">G181+H181</f>
        <v>0</v>
      </c>
      <c r="S181" s="149" t="n">
        <f aca="false">S180+'Volumes por intervalo'!C180*(F180+F181)/2</f>
        <v>40172</v>
      </c>
      <c r="T181" s="149" t="n">
        <f aca="false">T180+'Volumes por intervalo'!H180</f>
        <v>2017.55</v>
      </c>
      <c r="U181" s="149" t="n">
        <f aca="false">U180+'Volumes por intervalo'!J180</f>
        <v>6633.72799999999</v>
      </c>
      <c r="V181" s="149" t="n">
        <f aca="false">V180+'Volumes por intervalo'!K180</f>
        <v>8693.12000000002</v>
      </c>
      <c r="W181" s="149" t="n">
        <f aca="false">W180+'Volumes por intervalo'!L180</f>
        <v>13791.48</v>
      </c>
      <c r="X181" s="149" t="n">
        <f aca="false">X180+'Volumes por intervalo'!M180</f>
        <v>40888</v>
      </c>
      <c r="Y181" s="149" t="n">
        <f aca="false">Y180+'Volumes por intervalo'!N180</f>
        <v>40888</v>
      </c>
      <c r="Z181" s="149" t="n">
        <f aca="false">Z180+'Volumes por intervalo'!O180</f>
        <v>47045.6000000002</v>
      </c>
      <c r="AA181" s="149" t="n">
        <f aca="false">AA180+'Volumes por intervalo'!P180</f>
        <v>0</v>
      </c>
      <c r="AB181" s="149" t="n">
        <f aca="false">AB180+'Volumes por intervalo'!Q180</f>
        <v>0</v>
      </c>
      <c r="AC181" s="149" t="n">
        <f aca="false">AC180+'Volumes por intervalo'!R180</f>
        <v>0</v>
      </c>
      <c r="AD181" s="149" t="n">
        <f aca="false">AD180+'Volumes por intervalo'!S180</f>
        <v>0</v>
      </c>
    </row>
    <row r="182" customFormat="false" ht="15" hidden="false" customHeight="false" outlineLevel="0" collapsed="false">
      <c r="A182" s="138" t="s">
        <v>1829</v>
      </c>
      <c r="B182" s="146" t="n">
        <v>180</v>
      </c>
      <c r="C182" s="144" t="n">
        <v>3600</v>
      </c>
      <c r="D182" s="138" t="s">
        <v>1565</v>
      </c>
      <c r="E182" s="138" t="s">
        <v>1566</v>
      </c>
      <c r="F182" s="147" t="n">
        <v>11</v>
      </c>
      <c r="G182" s="148" t="n">
        <v>0</v>
      </c>
      <c r="H182" s="148" t="n">
        <v>0</v>
      </c>
      <c r="I182" s="138" t="s">
        <v>1642</v>
      </c>
      <c r="J182" s="138"/>
      <c r="K182" s="146" t="n">
        <f aca="false">Parâmetros!$C$4*(F182+2*Parâmetros!$D$4+Parâmetros!$C$4*Parâmetros!$E$4)</f>
        <v>0.5525</v>
      </c>
      <c r="L182" s="146" t="n">
        <f aca="false">Parâmetros!$C$5*(F182+2*Parâmetros!$D$5+Parâmetros!$C$5*Parâmetros!$E$5)</f>
        <v>1.8176</v>
      </c>
      <c r="M182" s="146" t="n">
        <f aca="false">Parâmetros!$C$6*(F182+2*Parâmetros!$D$6+Parâmetros!$C$6*Parâmetros!$E$6)</f>
        <v>2.384</v>
      </c>
      <c r="N182" s="146" t="n">
        <f aca="false">Parâmetros!$C$7*(F182+2*Parâmetros!$D$7+Parâmetros!$C$7*Parâmetros!$E$7)</f>
        <v>3.786</v>
      </c>
      <c r="O182" s="146" t="n">
        <f aca="false">F182+2*Parâmetros!$D$8</f>
        <v>11.2</v>
      </c>
      <c r="P182" s="146" t="n">
        <f aca="false">F182+2*Parâmetros!$D$10</f>
        <v>12.92</v>
      </c>
      <c r="Q182" s="146" t="n">
        <f aca="false">G182+H182</f>
        <v>0</v>
      </c>
      <c r="S182" s="149" t="n">
        <f aca="false">S181+'Volumes por intervalo'!C181*(F181+F182)/2</f>
        <v>40392</v>
      </c>
      <c r="T182" s="149" t="n">
        <f aca="false">T181+'Volumes por intervalo'!H181</f>
        <v>2028.6</v>
      </c>
      <c r="U182" s="149" t="n">
        <f aca="false">U181+'Volumes por intervalo'!J181</f>
        <v>6670.07999999999</v>
      </c>
      <c r="V182" s="149" t="n">
        <f aca="false">V181+'Volumes por intervalo'!K181</f>
        <v>8740.80000000002</v>
      </c>
      <c r="W182" s="149" t="n">
        <f aca="false">W181+'Volumes por intervalo'!L181</f>
        <v>13867.2</v>
      </c>
      <c r="X182" s="149" t="n">
        <f aca="false">X181+'Volumes por intervalo'!M181</f>
        <v>41112</v>
      </c>
      <c r="Y182" s="149" t="n">
        <f aca="false">Y181+'Volumes por intervalo'!N181</f>
        <v>41112</v>
      </c>
      <c r="Z182" s="149" t="n">
        <f aca="false">Z181+'Volumes por intervalo'!O181</f>
        <v>47304.0000000002</v>
      </c>
      <c r="AA182" s="149" t="n">
        <f aca="false">AA181+'Volumes por intervalo'!P181</f>
        <v>0</v>
      </c>
      <c r="AB182" s="149" t="n">
        <f aca="false">AB181+'Volumes por intervalo'!Q181</f>
        <v>0</v>
      </c>
      <c r="AC182" s="149" t="n">
        <f aca="false">AC181+'Volumes por intervalo'!R181</f>
        <v>0</v>
      </c>
      <c r="AD182" s="149" t="n">
        <f aca="false">AD181+'Volumes por intervalo'!S181</f>
        <v>0</v>
      </c>
    </row>
    <row r="183" customFormat="false" ht="15" hidden="false" customHeight="false" outlineLevel="0" collapsed="false">
      <c r="A183" s="138" t="s">
        <v>1830</v>
      </c>
      <c r="B183" s="146" t="n">
        <v>181</v>
      </c>
      <c r="C183" s="144" t="n">
        <v>3620</v>
      </c>
      <c r="D183" s="138" t="s">
        <v>1565</v>
      </c>
      <c r="E183" s="138" t="s">
        <v>1566</v>
      </c>
      <c r="F183" s="147" t="n">
        <v>11</v>
      </c>
      <c r="G183" s="148" t="n">
        <v>0</v>
      </c>
      <c r="H183" s="148" t="n">
        <v>0</v>
      </c>
      <c r="I183" s="138" t="s">
        <v>1642</v>
      </c>
      <c r="J183" s="138"/>
      <c r="K183" s="146" t="n">
        <f aca="false">Parâmetros!$C$4*(F183+2*Parâmetros!$D$4+Parâmetros!$C$4*Parâmetros!$E$4)</f>
        <v>0.5525</v>
      </c>
      <c r="L183" s="146" t="n">
        <f aca="false">Parâmetros!$C$5*(F183+2*Parâmetros!$D$5+Parâmetros!$C$5*Parâmetros!$E$5)</f>
        <v>1.8176</v>
      </c>
      <c r="M183" s="146" t="n">
        <f aca="false">Parâmetros!$C$6*(F183+2*Parâmetros!$D$6+Parâmetros!$C$6*Parâmetros!$E$6)</f>
        <v>2.384</v>
      </c>
      <c r="N183" s="146" t="n">
        <f aca="false">Parâmetros!$C$7*(F183+2*Parâmetros!$D$7+Parâmetros!$C$7*Parâmetros!$E$7)</f>
        <v>3.786</v>
      </c>
      <c r="O183" s="146" t="n">
        <f aca="false">F183+2*Parâmetros!$D$8</f>
        <v>11.2</v>
      </c>
      <c r="P183" s="146" t="n">
        <f aca="false">F183+2*Parâmetros!$D$10</f>
        <v>12.92</v>
      </c>
      <c r="Q183" s="146" t="n">
        <f aca="false">G183+H183</f>
        <v>0</v>
      </c>
      <c r="S183" s="149" t="n">
        <f aca="false">S182+'Volumes por intervalo'!C182*(F182+F183)/2</f>
        <v>40612</v>
      </c>
      <c r="T183" s="149" t="n">
        <f aca="false">T182+'Volumes por intervalo'!H182</f>
        <v>2039.65</v>
      </c>
      <c r="U183" s="149" t="n">
        <f aca="false">U182+'Volumes por intervalo'!J182</f>
        <v>6706.43199999999</v>
      </c>
      <c r="V183" s="149" t="n">
        <f aca="false">V182+'Volumes por intervalo'!K182</f>
        <v>8788.48000000002</v>
      </c>
      <c r="W183" s="149" t="n">
        <f aca="false">W182+'Volumes por intervalo'!L182</f>
        <v>13942.92</v>
      </c>
      <c r="X183" s="149" t="n">
        <f aca="false">X182+'Volumes por intervalo'!M182</f>
        <v>41336</v>
      </c>
      <c r="Y183" s="149" t="n">
        <f aca="false">Y182+'Volumes por intervalo'!N182</f>
        <v>41336</v>
      </c>
      <c r="Z183" s="149" t="n">
        <f aca="false">Z182+'Volumes por intervalo'!O182</f>
        <v>47562.4000000002</v>
      </c>
      <c r="AA183" s="149" t="n">
        <f aca="false">AA182+'Volumes por intervalo'!P182</f>
        <v>0</v>
      </c>
      <c r="AB183" s="149" t="n">
        <f aca="false">AB182+'Volumes por intervalo'!Q182</f>
        <v>0</v>
      </c>
      <c r="AC183" s="149" t="n">
        <f aca="false">AC182+'Volumes por intervalo'!R182</f>
        <v>0</v>
      </c>
      <c r="AD183" s="149" t="n">
        <f aca="false">AD182+'Volumes por intervalo'!S182</f>
        <v>0</v>
      </c>
    </row>
    <row r="184" customFormat="false" ht="15" hidden="false" customHeight="false" outlineLevel="0" collapsed="false">
      <c r="A184" s="138" t="s">
        <v>1831</v>
      </c>
      <c r="B184" s="146" t="n">
        <v>182</v>
      </c>
      <c r="C184" s="144" t="n">
        <v>3640</v>
      </c>
      <c r="D184" s="138" t="s">
        <v>1565</v>
      </c>
      <c r="E184" s="138" t="s">
        <v>1566</v>
      </c>
      <c r="F184" s="147" t="n">
        <v>11</v>
      </c>
      <c r="G184" s="148" t="n">
        <v>0</v>
      </c>
      <c r="H184" s="148" t="n">
        <v>0</v>
      </c>
      <c r="I184" s="138" t="s">
        <v>1642</v>
      </c>
      <c r="J184" s="138"/>
      <c r="K184" s="146" t="n">
        <f aca="false">Parâmetros!$C$4*(F184+2*Parâmetros!$D$4+Parâmetros!$C$4*Parâmetros!$E$4)</f>
        <v>0.5525</v>
      </c>
      <c r="L184" s="146" t="n">
        <f aca="false">Parâmetros!$C$5*(F184+2*Parâmetros!$D$5+Parâmetros!$C$5*Parâmetros!$E$5)</f>
        <v>1.8176</v>
      </c>
      <c r="M184" s="146" t="n">
        <f aca="false">Parâmetros!$C$6*(F184+2*Parâmetros!$D$6+Parâmetros!$C$6*Parâmetros!$E$6)</f>
        <v>2.384</v>
      </c>
      <c r="N184" s="146" t="n">
        <f aca="false">Parâmetros!$C$7*(F184+2*Parâmetros!$D$7+Parâmetros!$C$7*Parâmetros!$E$7)</f>
        <v>3.786</v>
      </c>
      <c r="O184" s="146" t="n">
        <f aca="false">F184+2*Parâmetros!$D$8</f>
        <v>11.2</v>
      </c>
      <c r="P184" s="146" t="n">
        <f aca="false">F184+2*Parâmetros!$D$10</f>
        <v>12.92</v>
      </c>
      <c r="Q184" s="146" t="n">
        <f aca="false">G184+H184</f>
        <v>0</v>
      </c>
      <c r="S184" s="149" t="n">
        <f aca="false">S183+'Volumes por intervalo'!C183*(F183+F184)/2</f>
        <v>40832</v>
      </c>
      <c r="T184" s="149" t="n">
        <f aca="false">T183+'Volumes por intervalo'!H183</f>
        <v>2050.7</v>
      </c>
      <c r="U184" s="149" t="n">
        <f aca="false">U183+'Volumes por intervalo'!J183</f>
        <v>6742.78399999999</v>
      </c>
      <c r="V184" s="149" t="n">
        <f aca="false">V183+'Volumes por intervalo'!K183</f>
        <v>8836.16000000002</v>
      </c>
      <c r="W184" s="149" t="n">
        <f aca="false">W183+'Volumes por intervalo'!L183</f>
        <v>14018.64</v>
      </c>
      <c r="X184" s="149" t="n">
        <f aca="false">X183+'Volumes por intervalo'!M183</f>
        <v>41560</v>
      </c>
      <c r="Y184" s="149" t="n">
        <f aca="false">Y183+'Volumes por intervalo'!N183</f>
        <v>41560</v>
      </c>
      <c r="Z184" s="149" t="n">
        <f aca="false">Z183+'Volumes por intervalo'!O183</f>
        <v>47820.8000000002</v>
      </c>
      <c r="AA184" s="149" t="n">
        <f aca="false">AA183+'Volumes por intervalo'!P183</f>
        <v>0</v>
      </c>
      <c r="AB184" s="149" t="n">
        <f aca="false">AB183+'Volumes por intervalo'!Q183</f>
        <v>0</v>
      </c>
      <c r="AC184" s="149" t="n">
        <f aca="false">AC183+'Volumes por intervalo'!R183</f>
        <v>0</v>
      </c>
      <c r="AD184" s="149" t="n">
        <f aca="false">AD183+'Volumes por intervalo'!S183</f>
        <v>0</v>
      </c>
    </row>
    <row r="185" customFormat="false" ht="15" hidden="false" customHeight="false" outlineLevel="0" collapsed="false">
      <c r="A185" s="138" t="s">
        <v>1832</v>
      </c>
      <c r="B185" s="146" t="n">
        <v>183</v>
      </c>
      <c r="C185" s="144" t="n">
        <v>3660</v>
      </c>
      <c r="D185" s="138" t="s">
        <v>1565</v>
      </c>
      <c r="E185" s="138" t="s">
        <v>1566</v>
      </c>
      <c r="F185" s="147" t="n">
        <v>11</v>
      </c>
      <c r="G185" s="148" t="n">
        <v>0</v>
      </c>
      <c r="H185" s="148" t="n">
        <v>0</v>
      </c>
      <c r="I185" s="138" t="s">
        <v>1642</v>
      </c>
      <c r="J185" s="138"/>
      <c r="K185" s="146" t="n">
        <f aca="false">Parâmetros!$C$4*(F185+2*Parâmetros!$D$4+Parâmetros!$C$4*Parâmetros!$E$4)</f>
        <v>0.5525</v>
      </c>
      <c r="L185" s="146" t="n">
        <f aca="false">Parâmetros!$C$5*(F185+2*Parâmetros!$D$5+Parâmetros!$C$5*Parâmetros!$E$5)</f>
        <v>1.8176</v>
      </c>
      <c r="M185" s="146" t="n">
        <f aca="false">Parâmetros!$C$6*(F185+2*Parâmetros!$D$6+Parâmetros!$C$6*Parâmetros!$E$6)</f>
        <v>2.384</v>
      </c>
      <c r="N185" s="146" t="n">
        <f aca="false">Parâmetros!$C$7*(F185+2*Parâmetros!$D$7+Parâmetros!$C$7*Parâmetros!$E$7)</f>
        <v>3.786</v>
      </c>
      <c r="O185" s="146" t="n">
        <f aca="false">F185+2*Parâmetros!$D$8</f>
        <v>11.2</v>
      </c>
      <c r="P185" s="146" t="n">
        <f aca="false">F185+2*Parâmetros!$D$10</f>
        <v>12.92</v>
      </c>
      <c r="Q185" s="146" t="n">
        <f aca="false">G185+H185</f>
        <v>0</v>
      </c>
      <c r="S185" s="149" t="n">
        <f aca="false">S184+'Volumes por intervalo'!C184*(F184+F185)/2</f>
        <v>41052</v>
      </c>
      <c r="T185" s="149" t="n">
        <f aca="false">T184+'Volumes por intervalo'!H184</f>
        <v>2061.75</v>
      </c>
      <c r="U185" s="149" t="n">
        <f aca="false">U184+'Volumes por intervalo'!J184</f>
        <v>6779.13599999999</v>
      </c>
      <c r="V185" s="149" t="n">
        <f aca="false">V184+'Volumes por intervalo'!K184</f>
        <v>8883.84000000002</v>
      </c>
      <c r="W185" s="149" t="n">
        <f aca="false">W184+'Volumes por intervalo'!L184</f>
        <v>14094.36</v>
      </c>
      <c r="X185" s="149" t="n">
        <f aca="false">X184+'Volumes por intervalo'!M184</f>
        <v>41784</v>
      </c>
      <c r="Y185" s="149" t="n">
        <f aca="false">Y184+'Volumes por intervalo'!N184</f>
        <v>41784</v>
      </c>
      <c r="Z185" s="149" t="n">
        <f aca="false">Z184+'Volumes por intervalo'!O184</f>
        <v>48079.2000000002</v>
      </c>
      <c r="AA185" s="149" t="n">
        <f aca="false">AA184+'Volumes por intervalo'!P184</f>
        <v>0</v>
      </c>
      <c r="AB185" s="149" t="n">
        <f aca="false">AB184+'Volumes por intervalo'!Q184</f>
        <v>0</v>
      </c>
      <c r="AC185" s="149" t="n">
        <f aca="false">AC184+'Volumes por intervalo'!R184</f>
        <v>0</v>
      </c>
      <c r="AD185" s="149" t="n">
        <f aca="false">AD184+'Volumes por intervalo'!S184</f>
        <v>0</v>
      </c>
    </row>
    <row r="186" customFormat="false" ht="15" hidden="false" customHeight="false" outlineLevel="0" collapsed="false">
      <c r="A186" s="138" t="s">
        <v>1833</v>
      </c>
      <c r="B186" s="146" t="n">
        <v>184</v>
      </c>
      <c r="C186" s="144" t="n">
        <v>3680</v>
      </c>
      <c r="D186" s="138" t="s">
        <v>1565</v>
      </c>
      <c r="E186" s="138" t="s">
        <v>1566</v>
      </c>
      <c r="F186" s="147" t="n">
        <v>11</v>
      </c>
      <c r="G186" s="148" t="n">
        <v>0</v>
      </c>
      <c r="H186" s="148" t="n">
        <v>0</v>
      </c>
      <c r="I186" s="138" t="s">
        <v>1642</v>
      </c>
      <c r="J186" s="138"/>
      <c r="K186" s="146" t="n">
        <f aca="false">Parâmetros!$C$4*(F186+2*Parâmetros!$D$4+Parâmetros!$C$4*Parâmetros!$E$4)</f>
        <v>0.5525</v>
      </c>
      <c r="L186" s="146" t="n">
        <f aca="false">Parâmetros!$C$5*(F186+2*Parâmetros!$D$5+Parâmetros!$C$5*Parâmetros!$E$5)</f>
        <v>1.8176</v>
      </c>
      <c r="M186" s="146" t="n">
        <f aca="false">Parâmetros!$C$6*(F186+2*Parâmetros!$D$6+Parâmetros!$C$6*Parâmetros!$E$6)</f>
        <v>2.384</v>
      </c>
      <c r="N186" s="146" t="n">
        <f aca="false">Parâmetros!$C$7*(F186+2*Parâmetros!$D$7+Parâmetros!$C$7*Parâmetros!$E$7)</f>
        <v>3.786</v>
      </c>
      <c r="O186" s="146" t="n">
        <f aca="false">F186+2*Parâmetros!$D$8</f>
        <v>11.2</v>
      </c>
      <c r="P186" s="146" t="n">
        <f aca="false">F186+2*Parâmetros!$D$10</f>
        <v>12.92</v>
      </c>
      <c r="Q186" s="146" t="n">
        <f aca="false">G186+H186</f>
        <v>0</v>
      </c>
      <c r="S186" s="149" t="n">
        <f aca="false">S185+'Volumes por intervalo'!C185*(F185+F186)/2</f>
        <v>41272</v>
      </c>
      <c r="T186" s="149" t="n">
        <f aca="false">T185+'Volumes por intervalo'!H185</f>
        <v>2072.8</v>
      </c>
      <c r="U186" s="149" t="n">
        <f aca="false">U185+'Volumes por intervalo'!J185</f>
        <v>6815.48799999999</v>
      </c>
      <c r="V186" s="149" t="n">
        <f aca="false">V185+'Volumes por intervalo'!K185</f>
        <v>8931.52000000002</v>
      </c>
      <c r="W186" s="149" t="n">
        <f aca="false">W185+'Volumes por intervalo'!L185</f>
        <v>14170.08</v>
      </c>
      <c r="X186" s="149" t="n">
        <f aca="false">X185+'Volumes por intervalo'!M185</f>
        <v>42008</v>
      </c>
      <c r="Y186" s="149" t="n">
        <f aca="false">Y185+'Volumes por intervalo'!N185</f>
        <v>42008</v>
      </c>
      <c r="Z186" s="149" t="n">
        <f aca="false">Z185+'Volumes por intervalo'!O185</f>
        <v>48337.6000000002</v>
      </c>
      <c r="AA186" s="149" t="n">
        <f aca="false">AA185+'Volumes por intervalo'!P185</f>
        <v>0</v>
      </c>
      <c r="AB186" s="149" t="n">
        <f aca="false">AB185+'Volumes por intervalo'!Q185</f>
        <v>0</v>
      </c>
      <c r="AC186" s="149" t="n">
        <f aca="false">AC185+'Volumes por intervalo'!R185</f>
        <v>0</v>
      </c>
      <c r="AD186" s="149" t="n">
        <f aca="false">AD185+'Volumes por intervalo'!S185</f>
        <v>0</v>
      </c>
    </row>
    <row r="187" customFormat="false" ht="15" hidden="false" customHeight="false" outlineLevel="0" collapsed="false">
      <c r="A187" s="138" t="s">
        <v>1834</v>
      </c>
      <c r="B187" s="146" t="n">
        <v>185</v>
      </c>
      <c r="C187" s="144" t="n">
        <v>3700</v>
      </c>
      <c r="D187" s="138" t="s">
        <v>1565</v>
      </c>
      <c r="E187" s="138" t="s">
        <v>1566</v>
      </c>
      <c r="F187" s="147" t="n">
        <v>11</v>
      </c>
      <c r="G187" s="148" t="n">
        <v>0</v>
      </c>
      <c r="H187" s="148" t="n">
        <v>0</v>
      </c>
      <c r="I187" s="138" t="s">
        <v>1642</v>
      </c>
      <c r="J187" s="138"/>
      <c r="K187" s="146" t="n">
        <f aca="false">Parâmetros!$C$4*(F187+2*Parâmetros!$D$4+Parâmetros!$C$4*Parâmetros!$E$4)</f>
        <v>0.5525</v>
      </c>
      <c r="L187" s="146" t="n">
        <f aca="false">Parâmetros!$C$5*(F187+2*Parâmetros!$D$5+Parâmetros!$C$5*Parâmetros!$E$5)</f>
        <v>1.8176</v>
      </c>
      <c r="M187" s="146" t="n">
        <f aca="false">Parâmetros!$C$6*(F187+2*Parâmetros!$D$6+Parâmetros!$C$6*Parâmetros!$E$6)</f>
        <v>2.384</v>
      </c>
      <c r="N187" s="146" t="n">
        <f aca="false">Parâmetros!$C$7*(F187+2*Parâmetros!$D$7+Parâmetros!$C$7*Parâmetros!$E$7)</f>
        <v>3.786</v>
      </c>
      <c r="O187" s="146" t="n">
        <f aca="false">F187+2*Parâmetros!$D$8</f>
        <v>11.2</v>
      </c>
      <c r="P187" s="146" t="n">
        <f aca="false">F187+2*Parâmetros!$D$10</f>
        <v>12.92</v>
      </c>
      <c r="Q187" s="146" t="n">
        <f aca="false">G187+H187</f>
        <v>0</v>
      </c>
      <c r="S187" s="149" t="n">
        <f aca="false">S186+'Volumes por intervalo'!C186*(F186+F187)/2</f>
        <v>41492</v>
      </c>
      <c r="T187" s="149" t="n">
        <f aca="false">T186+'Volumes por intervalo'!H186</f>
        <v>2083.85</v>
      </c>
      <c r="U187" s="149" t="n">
        <f aca="false">U186+'Volumes por intervalo'!J186</f>
        <v>6851.83999999999</v>
      </c>
      <c r="V187" s="149" t="n">
        <f aca="false">V186+'Volumes por intervalo'!K186</f>
        <v>8979.20000000002</v>
      </c>
      <c r="W187" s="149" t="n">
        <f aca="false">W186+'Volumes por intervalo'!L186</f>
        <v>14245.8</v>
      </c>
      <c r="X187" s="149" t="n">
        <f aca="false">X186+'Volumes por intervalo'!M186</f>
        <v>42232</v>
      </c>
      <c r="Y187" s="149" t="n">
        <f aca="false">Y186+'Volumes por intervalo'!N186</f>
        <v>42232</v>
      </c>
      <c r="Z187" s="149" t="n">
        <f aca="false">Z186+'Volumes por intervalo'!O186</f>
        <v>48596.0000000002</v>
      </c>
      <c r="AA187" s="149" t="n">
        <f aca="false">AA186+'Volumes por intervalo'!P186</f>
        <v>0</v>
      </c>
      <c r="AB187" s="149" t="n">
        <f aca="false">AB186+'Volumes por intervalo'!Q186</f>
        <v>0</v>
      </c>
      <c r="AC187" s="149" t="n">
        <f aca="false">AC186+'Volumes por intervalo'!R186</f>
        <v>0</v>
      </c>
      <c r="AD187" s="149" t="n">
        <f aca="false">AD186+'Volumes por intervalo'!S186</f>
        <v>0</v>
      </c>
    </row>
    <row r="188" customFormat="false" ht="15" hidden="false" customHeight="false" outlineLevel="0" collapsed="false">
      <c r="A188" s="138" t="s">
        <v>1835</v>
      </c>
      <c r="B188" s="146" t="n">
        <v>186</v>
      </c>
      <c r="C188" s="144" t="n">
        <v>3720</v>
      </c>
      <c r="D188" s="138" t="s">
        <v>1565</v>
      </c>
      <c r="E188" s="138" t="s">
        <v>1566</v>
      </c>
      <c r="F188" s="147" t="n">
        <v>11</v>
      </c>
      <c r="G188" s="148" t="n">
        <v>0</v>
      </c>
      <c r="H188" s="148" t="n">
        <v>0</v>
      </c>
      <c r="I188" s="138" t="s">
        <v>1642</v>
      </c>
      <c r="J188" s="138"/>
      <c r="K188" s="146" t="n">
        <f aca="false">Parâmetros!$C$4*(F188+2*Parâmetros!$D$4+Parâmetros!$C$4*Parâmetros!$E$4)</f>
        <v>0.5525</v>
      </c>
      <c r="L188" s="146" t="n">
        <f aca="false">Parâmetros!$C$5*(F188+2*Parâmetros!$D$5+Parâmetros!$C$5*Parâmetros!$E$5)</f>
        <v>1.8176</v>
      </c>
      <c r="M188" s="146" t="n">
        <f aca="false">Parâmetros!$C$6*(F188+2*Parâmetros!$D$6+Parâmetros!$C$6*Parâmetros!$E$6)</f>
        <v>2.384</v>
      </c>
      <c r="N188" s="146" t="n">
        <f aca="false">Parâmetros!$C$7*(F188+2*Parâmetros!$D$7+Parâmetros!$C$7*Parâmetros!$E$7)</f>
        <v>3.786</v>
      </c>
      <c r="O188" s="146" t="n">
        <f aca="false">F188+2*Parâmetros!$D$8</f>
        <v>11.2</v>
      </c>
      <c r="P188" s="146" t="n">
        <f aca="false">F188+2*Parâmetros!$D$10</f>
        <v>12.92</v>
      </c>
      <c r="Q188" s="146" t="n">
        <f aca="false">G188+H188</f>
        <v>0</v>
      </c>
      <c r="S188" s="149" t="n">
        <f aca="false">S187+'Volumes por intervalo'!C187*(F187+F188)/2</f>
        <v>41712</v>
      </c>
      <c r="T188" s="149" t="n">
        <f aca="false">T187+'Volumes por intervalo'!H187</f>
        <v>2094.9</v>
      </c>
      <c r="U188" s="149" t="n">
        <f aca="false">U187+'Volumes por intervalo'!J187</f>
        <v>6888.19199999999</v>
      </c>
      <c r="V188" s="149" t="n">
        <f aca="false">V187+'Volumes por intervalo'!K187</f>
        <v>9026.88000000002</v>
      </c>
      <c r="W188" s="149" t="n">
        <f aca="false">W187+'Volumes por intervalo'!L187</f>
        <v>14321.52</v>
      </c>
      <c r="X188" s="149" t="n">
        <f aca="false">X187+'Volumes por intervalo'!M187</f>
        <v>42456</v>
      </c>
      <c r="Y188" s="149" t="n">
        <f aca="false">Y187+'Volumes por intervalo'!N187</f>
        <v>42456</v>
      </c>
      <c r="Z188" s="149" t="n">
        <f aca="false">Z187+'Volumes por intervalo'!O187</f>
        <v>48854.4000000002</v>
      </c>
      <c r="AA188" s="149" t="n">
        <f aca="false">AA187+'Volumes por intervalo'!P187</f>
        <v>0</v>
      </c>
      <c r="AB188" s="149" t="n">
        <f aca="false">AB187+'Volumes por intervalo'!Q187</f>
        <v>0</v>
      </c>
      <c r="AC188" s="149" t="n">
        <f aca="false">AC187+'Volumes por intervalo'!R187</f>
        <v>0</v>
      </c>
      <c r="AD188" s="149" t="n">
        <f aca="false">AD187+'Volumes por intervalo'!S187</f>
        <v>0</v>
      </c>
    </row>
    <row r="189" customFormat="false" ht="15" hidden="false" customHeight="false" outlineLevel="0" collapsed="false">
      <c r="A189" s="138" t="s">
        <v>1836</v>
      </c>
      <c r="B189" s="146" t="n">
        <v>187</v>
      </c>
      <c r="C189" s="144" t="n">
        <v>3740</v>
      </c>
      <c r="D189" s="138" t="s">
        <v>1565</v>
      </c>
      <c r="E189" s="138" t="s">
        <v>1566</v>
      </c>
      <c r="F189" s="147" t="n">
        <v>11</v>
      </c>
      <c r="G189" s="148" t="n">
        <v>0</v>
      </c>
      <c r="H189" s="148" t="n">
        <v>0</v>
      </c>
      <c r="I189" s="138" t="s">
        <v>1642</v>
      </c>
      <c r="J189" s="138"/>
      <c r="K189" s="146" t="n">
        <f aca="false">Parâmetros!$C$4*(F189+2*Parâmetros!$D$4+Parâmetros!$C$4*Parâmetros!$E$4)</f>
        <v>0.5525</v>
      </c>
      <c r="L189" s="146" t="n">
        <f aca="false">Parâmetros!$C$5*(F189+2*Parâmetros!$D$5+Parâmetros!$C$5*Parâmetros!$E$5)</f>
        <v>1.8176</v>
      </c>
      <c r="M189" s="146" t="n">
        <f aca="false">Parâmetros!$C$6*(F189+2*Parâmetros!$D$6+Parâmetros!$C$6*Parâmetros!$E$6)</f>
        <v>2.384</v>
      </c>
      <c r="N189" s="146" t="n">
        <f aca="false">Parâmetros!$C$7*(F189+2*Parâmetros!$D$7+Parâmetros!$C$7*Parâmetros!$E$7)</f>
        <v>3.786</v>
      </c>
      <c r="O189" s="146" t="n">
        <f aca="false">F189+2*Parâmetros!$D$8</f>
        <v>11.2</v>
      </c>
      <c r="P189" s="146" t="n">
        <f aca="false">F189+2*Parâmetros!$D$10</f>
        <v>12.92</v>
      </c>
      <c r="Q189" s="146" t="n">
        <f aca="false">G189+H189</f>
        <v>0</v>
      </c>
      <c r="S189" s="149" t="n">
        <f aca="false">S188+'Volumes por intervalo'!C188*(F188+F189)/2</f>
        <v>41932</v>
      </c>
      <c r="T189" s="149" t="n">
        <f aca="false">T188+'Volumes por intervalo'!H188</f>
        <v>2105.95</v>
      </c>
      <c r="U189" s="149" t="n">
        <f aca="false">U188+'Volumes por intervalo'!J188</f>
        <v>6924.54399999999</v>
      </c>
      <c r="V189" s="149" t="n">
        <f aca="false">V188+'Volumes por intervalo'!K188</f>
        <v>9074.56000000002</v>
      </c>
      <c r="W189" s="149" t="n">
        <f aca="false">W188+'Volumes por intervalo'!L188</f>
        <v>14397.24</v>
      </c>
      <c r="X189" s="149" t="n">
        <f aca="false">X188+'Volumes por intervalo'!M188</f>
        <v>42680</v>
      </c>
      <c r="Y189" s="149" t="n">
        <f aca="false">Y188+'Volumes por intervalo'!N188</f>
        <v>42680</v>
      </c>
      <c r="Z189" s="149" t="n">
        <f aca="false">Z188+'Volumes por intervalo'!O188</f>
        <v>49112.8000000002</v>
      </c>
      <c r="AA189" s="149" t="n">
        <f aca="false">AA188+'Volumes por intervalo'!P188</f>
        <v>0</v>
      </c>
      <c r="AB189" s="149" t="n">
        <f aca="false">AB188+'Volumes por intervalo'!Q188</f>
        <v>0</v>
      </c>
      <c r="AC189" s="149" t="n">
        <f aca="false">AC188+'Volumes por intervalo'!R188</f>
        <v>0</v>
      </c>
      <c r="AD189" s="149" t="n">
        <f aca="false">AD188+'Volumes por intervalo'!S188</f>
        <v>0</v>
      </c>
    </row>
    <row r="190" customFormat="false" ht="15" hidden="false" customHeight="false" outlineLevel="0" collapsed="false">
      <c r="A190" s="138" t="s">
        <v>1837</v>
      </c>
      <c r="B190" s="146" t="n">
        <v>188</v>
      </c>
      <c r="C190" s="144" t="n">
        <v>3760</v>
      </c>
      <c r="D190" s="138" t="s">
        <v>1565</v>
      </c>
      <c r="E190" s="138" t="s">
        <v>1566</v>
      </c>
      <c r="F190" s="147" t="n">
        <v>11</v>
      </c>
      <c r="G190" s="148" t="n">
        <v>0</v>
      </c>
      <c r="H190" s="148" t="n">
        <v>0</v>
      </c>
      <c r="I190" s="138" t="s">
        <v>1642</v>
      </c>
      <c r="J190" s="138"/>
      <c r="K190" s="146" t="n">
        <f aca="false">Parâmetros!$C$4*(F190+2*Parâmetros!$D$4+Parâmetros!$C$4*Parâmetros!$E$4)</f>
        <v>0.5525</v>
      </c>
      <c r="L190" s="146" t="n">
        <f aca="false">Parâmetros!$C$5*(F190+2*Parâmetros!$D$5+Parâmetros!$C$5*Parâmetros!$E$5)</f>
        <v>1.8176</v>
      </c>
      <c r="M190" s="146" t="n">
        <f aca="false">Parâmetros!$C$6*(F190+2*Parâmetros!$D$6+Parâmetros!$C$6*Parâmetros!$E$6)</f>
        <v>2.384</v>
      </c>
      <c r="N190" s="146" t="n">
        <f aca="false">Parâmetros!$C$7*(F190+2*Parâmetros!$D$7+Parâmetros!$C$7*Parâmetros!$E$7)</f>
        <v>3.786</v>
      </c>
      <c r="O190" s="146" t="n">
        <f aca="false">F190+2*Parâmetros!$D$8</f>
        <v>11.2</v>
      </c>
      <c r="P190" s="146" t="n">
        <f aca="false">F190+2*Parâmetros!$D$10</f>
        <v>12.92</v>
      </c>
      <c r="Q190" s="146" t="n">
        <f aca="false">G190+H190</f>
        <v>0</v>
      </c>
      <c r="S190" s="149" t="n">
        <f aca="false">S189+'Volumes por intervalo'!C189*(F189+F190)/2</f>
        <v>42152</v>
      </c>
      <c r="T190" s="149" t="n">
        <f aca="false">T189+'Volumes por intervalo'!H189</f>
        <v>2117</v>
      </c>
      <c r="U190" s="149" t="n">
        <f aca="false">U189+'Volumes por intervalo'!J189</f>
        <v>6960.89599999999</v>
      </c>
      <c r="V190" s="149" t="n">
        <f aca="false">V189+'Volumes por intervalo'!K189</f>
        <v>9122.24000000002</v>
      </c>
      <c r="W190" s="149" t="n">
        <f aca="false">W189+'Volumes por intervalo'!L189</f>
        <v>14472.96</v>
      </c>
      <c r="X190" s="149" t="n">
        <f aca="false">X189+'Volumes por intervalo'!M189</f>
        <v>42904</v>
      </c>
      <c r="Y190" s="149" t="n">
        <f aca="false">Y189+'Volumes por intervalo'!N189</f>
        <v>42904</v>
      </c>
      <c r="Z190" s="149" t="n">
        <f aca="false">Z189+'Volumes por intervalo'!O189</f>
        <v>49371.2000000002</v>
      </c>
      <c r="AA190" s="149" t="n">
        <f aca="false">AA189+'Volumes por intervalo'!P189</f>
        <v>0</v>
      </c>
      <c r="AB190" s="149" t="n">
        <f aca="false">AB189+'Volumes por intervalo'!Q189</f>
        <v>0</v>
      </c>
      <c r="AC190" s="149" t="n">
        <f aca="false">AC189+'Volumes por intervalo'!R189</f>
        <v>0</v>
      </c>
      <c r="AD190" s="149" t="n">
        <f aca="false">AD189+'Volumes por intervalo'!S189</f>
        <v>0</v>
      </c>
    </row>
    <row r="191" customFormat="false" ht="15" hidden="false" customHeight="false" outlineLevel="0" collapsed="false">
      <c r="A191" s="138" t="s">
        <v>1838</v>
      </c>
      <c r="B191" s="146" t="n">
        <v>189</v>
      </c>
      <c r="C191" s="144" t="n">
        <v>3780</v>
      </c>
      <c r="D191" s="138" t="s">
        <v>1565</v>
      </c>
      <c r="E191" s="138" t="s">
        <v>1566</v>
      </c>
      <c r="F191" s="147" t="n">
        <v>11</v>
      </c>
      <c r="G191" s="148" t="n">
        <v>0</v>
      </c>
      <c r="H191" s="148" t="n">
        <v>0</v>
      </c>
      <c r="I191" s="138" t="s">
        <v>1642</v>
      </c>
      <c r="J191" s="138"/>
      <c r="K191" s="146" t="n">
        <f aca="false">Parâmetros!$C$4*(F191+2*Parâmetros!$D$4+Parâmetros!$C$4*Parâmetros!$E$4)</f>
        <v>0.5525</v>
      </c>
      <c r="L191" s="146" t="n">
        <f aca="false">Parâmetros!$C$5*(F191+2*Parâmetros!$D$5+Parâmetros!$C$5*Parâmetros!$E$5)</f>
        <v>1.8176</v>
      </c>
      <c r="M191" s="146" t="n">
        <f aca="false">Parâmetros!$C$6*(F191+2*Parâmetros!$D$6+Parâmetros!$C$6*Parâmetros!$E$6)</f>
        <v>2.384</v>
      </c>
      <c r="N191" s="146" t="n">
        <f aca="false">Parâmetros!$C$7*(F191+2*Parâmetros!$D$7+Parâmetros!$C$7*Parâmetros!$E$7)</f>
        <v>3.786</v>
      </c>
      <c r="O191" s="146" t="n">
        <f aca="false">F191+2*Parâmetros!$D$8</f>
        <v>11.2</v>
      </c>
      <c r="P191" s="146" t="n">
        <f aca="false">F191+2*Parâmetros!$D$10</f>
        <v>12.92</v>
      </c>
      <c r="Q191" s="146" t="n">
        <f aca="false">G191+H191</f>
        <v>0</v>
      </c>
      <c r="S191" s="149" t="n">
        <f aca="false">S190+'Volumes por intervalo'!C190*(F190+F191)/2</f>
        <v>42372</v>
      </c>
      <c r="T191" s="149" t="n">
        <f aca="false">T190+'Volumes por intervalo'!H190</f>
        <v>2128.05</v>
      </c>
      <c r="U191" s="149" t="n">
        <f aca="false">U190+'Volumes por intervalo'!J190</f>
        <v>6997.24799999999</v>
      </c>
      <c r="V191" s="149" t="n">
        <f aca="false">V190+'Volumes por intervalo'!K190</f>
        <v>9169.92000000002</v>
      </c>
      <c r="W191" s="149" t="n">
        <f aca="false">W190+'Volumes por intervalo'!L190</f>
        <v>14548.68</v>
      </c>
      <c r="X191" s="149" t="n">
        <f aca="false">X190+'Volumes por intervalo'!M190</f>
        <v>43128</v>
      </c>
      <c r="Y191" s="149" t="n">
        <f aca="false">Y190+'Volumes por intervalo'!N190</f>
        <v>43128</v>
      </c>
      <c r="Z191" s="149" t="n">
        <f aca="false">Z190+'Volumes por intervalo'!O190</f>
        <v>49629.6000000002</v>
      </c>
      <c r="AA191" s="149" t="n">
        <f aca="false">AA190+'Volumes por intervalo'!P190</f>
        <v>0</v>
      </c>
      <c r="AB191" s="149" t="n">
        <f aca="false">AB190+'Volumes por intervalo'!Q190</f>
        <v>0</v>
      </c>
      <c r="AC191" s="149" t="n">
        <f aca="false">AC190+'Volumes por intervalo'!R190</f>
        <v>0</v>
      </c>
      <c r="AD191" s="149" t="n">
        <f aca="false">AD190+'Volumes por intervalo'!S190</f>
        <v>0</v>
      </c>
    </row>
    <row r="192" customFormat="false" ht="15" hidden="false" customHeight="false" outlineLevel="0" collapsed="false">
      <c r="A192" s="138" t="s">
        <v>1839</v>
      </c>
      <c r="B192" s="146" t="n">
        <v>190</v>
      </c>
      <c r="C192" s="144" t="n">
        <v>3800</v>
      </c>
      <c r="D192" s="138" t="s">
        <v>1565</v>
      </c>
      <c r="E192" s="138" t="s">
        <v>1566</v>
      </c>
      <c r="F192" s="147" t="n">
        <v>11</v>
      </c>
      <c r="G192" s="148" t="n">
        <v>0</v>
      </c>
      <c r="H192" s="148" t="n">
        <v>0</v>
      </c>
      <c r="I192" s="138" t="s">
        <v>1642</v>
      </c>
      <c r="J192" s="138"/>
      <c r="K192" s="146" t="n">
        <f aca="false">Parâmetros!$C$4*(F192+2*Parâmetros!$D$4+Parâmetros!$C$4*Parâmetros!$E$4)</f>
        <v>0.5525</v>
      </c>
      <c r="L192" s="146" t="n">
        <f aca="false">Parâmetros!$C$5*(F192+2*Parâmetros!$D$5+Parâmetros!$C$5*Parâmetros!$E$5)</f>
        <v>1.8176</v>
      </c>
      <c r="M192" s="146" t="n">
        <f aca="false">Parâmetros!$C$6*(F192+2*Parâmetros!$D$6+Parâmetros!$C$6*Parâmetros!$E$6)</f>
        <v>2.384</v>
      </c>
      <c r="N192" s="146" t="n">
        <f aca="false">Parâmetros!$C$7*(F192+2*Parâmetros!$D$7+Parâmetros!$C$7*Parâmetros!$E$7)</f>
        <v>3.786</v>
      </c>
      <c r="O192" s="146" t="n">
        <f aca="false">F192+2*Parâmetros!$D$8</f>
        <v>11.2</v>
      </c>
      <c r="P192" s="146" t="n">
        <f aca="false">F192+2*Parâmetros!$D$10</f>
        <v>12.92</v>
      </c>
      <c r="Q192" s="146" t="n">
        <f aca="false">G192+H192</f>
        <v>0</v>
      </c>
      <c r="S192" s="149" t="n">
        <f aca="false">S191+'Volumes por intervalo'!C191*(F191+F192)/2</f>
        <v>42592</v>
      </c>
      <c r="T192" s="149" t="n">
        <f aca="false">T191+'Volumes por intervalo'!H191</f>
        <v>2139.1</v>
      </c>
      <c r="U192" s="149" t="n">
        <f aca="false">U191+'Volumes por intervalo'!J191</f>
        <v>7033.59999999999</v>
      </c>
      <c r="V192" s="149" t="n">
        <f aca="false">V191+'Volumes por intervalo'!K191</f>
        <v>9217.60000000002</v>
      </c>
      <c r="W192" s="149" t="n">
        <f aca="false">W191+'Volumes por intervalo'!L191</f>
        <v>14624.4</v>
      </c>
      <c r="X192" s="149" t="n">
        <f aca="false">X191+'Volumes por intervalo'!M191</f>
        <v>43352</v>
      </c>
      <c r="Y192" s="149" t="n">
        <f aca="false">Y191+'Volumes por intervalo'!N191</f>
        <v>43352</v>
      </c>
      <c r="Z192" s="149" t="n">
        <f aca="false">Z191+'Volumes por intervalo'!O191</f>
        <v>49888.0000000002</v>
      </c>
      <c r="AA192" s="149" t="n">
        <f aca="false">AA191+'Volumes por intervalo'!P191</f>
        <v>0</v>
      </c>
      <c r="AB192" s="149" t="n">
        <f aca="false">AB191+'Volumes por intervalo'!Q191</f>
        <v>0</v>
      </c>
      <c r="AC192" s="149" t="n">
        <f aca="false">AC191+'Volumes por intervalo'!R191</f>
        <v>0</v>
      </c>
      <c r="AD192" s="149" t="n">
        <f aca="false">AD191+'Volumes por intervalo'!S191</f>
        <v>0</v>
      </c>
    </row>
    <row r="193" customFormat="false" ht="15" hidden="false" customHeight="false" outlineLevel="0" collapsed="false">
      <c r="A193" s="138" t="s">
        <v>1840</v>
      </c>
      <c r="B193" s="146" t="n">
        <v>191</v>
      </c>
      <c r="C193" s="144" t="n">
        <v>3820</v>
      </c>
      <c r="D193" s="138" t="s">
        <v>1565</v>
      </c>
      <c r="E193" s="138" t="s">
        <v>1566</v>
      </c>
      <c r="F193" s="147" t="n">
        <v>11</v>
      </c>
      <c r="G193" s="148" t="n">
        <v>0</v>
      </c>
      <c r="H193" s="148" t="n">
        <v>0</v>
      </c>
      <c r="I193" s="138" t="s">
        <v>1642</v>
      </c>
      <c r="J193" s="138"/>
      <c r="K193" s="146" t="n">
        <f aca="false">Parâmetros!$C$4*(F193+2*Parâmetros!$D$4+Parâmetros!$C$4*Parâmetros!$E$4)</f>
        <v>0.5525</v>
      </c>
      <c r="L193" s="146" t="n">
        <f aca="false">Parâmetros!$C$5*(F193+2*Parâmetros!$D$5+Parâmetros!$C$5*Parâmetros!$E$5)</f>
        <v>1.8176</v>
      </c>
      <c r="M193" s="146" t="n">
        <f aca="false">Parâmetros!$C$6*(F193+2*Parâmetros!$D$6+Parâmetros!$C$6*Parâmetros!$E$6)</f>
        <v>2.384</v>
      </c>
      <c r="N193" s="146" t="n">
        <f aca="false">Parâmetros!$C$7*(F193+2*Parâmetros!$D$7+Parâmetros!$C$7*Parâmetros!$E$7)</f>
        <v>3.786</v>
      </c>
      <c r="O193" s="146" t="n">
        <f aca="false">F193+2*Parâmetros!$D$8</f>
        <v>11.2</v>
      </c>
      <c r="P193" s="146" t="n">
        <f aca="false">F193+2*Parâmetros!$D$10</f>
        <v>12.92</v>
      </c>
      <c r="Q193" s="146" t="n">
        <f aca="false">G193+H193</f>
        <v>0</v>
      </c>
      <c r="S193" s="149" t="n">
        <f aca="false">S192+'Volumes por intervalo'!C192*(F192+F193)/2</f>
        <v>42812</v>
      </c>
      <c r="T193" s="149" t="n">
        <f aca="false">T192+'Volumes por intervalo'!H192</f>
        <v>2150.15</v>
      </c>
      <c r="U193" s="149" t="n">
        <f aca="false">U192+'Volumes por intervalo'!J192</f>
        <v>7069.95199999999</v>
      </c>
      <c r="V193" s="149" t="n">
        <f aca="false">V192+'Volumes por intervalo'!K192</f>
        <v>9265.28000000002</v>
      </c>
      <c r="W193" s="149" t="n">
        <f aca="false">W192+'Volumes por intervalo'!L192</f>
        <v>14700.12</v>
      </c>
      <c r="X193" s="149" t="n">
        <f aca="false">X192+'Volumes por intervalo'!M192</f>
        <v>43576</v>
      </c>
      <c r="Y193" s="149" t="n">
        <f aca="false">Y192+'Volumes por intervalo'!N192</f>
        <v>43576</v>
      </c>
      <c r="Z193" s="149" t="n">
        <f aca="false">Z192+'Volumes por intervalo'!O192</f>
        <v>50146.4000000002</v>
      </c>
      <c r="AA193" s="149" t="n">
        <f aca="false">AA192+'Volumes por intervalo'!P192</f>
        <v>0</v>
      </c>
      <c r="AB193" s="149" t="n">
        <f aca="false">AB192+'Volumes por intervalo'!Q192</f>
        <v>0</v>
      </c>
      <c r="AC193" s="149" t="n">
        <f aca="false">AC192+'Volumes por intervalo'!R192</f>
        <v>0</v>
      </c>
      <c r="AD193" s="149" t="n">
        <f aca="false">AD192+'Volumes por intervalo'!S192</f>
        <v>0</v>
      </c>
    </row>
    <row r="194" customFormat="false" ht="15" hidden="false" customHeight="false" outlineLevel="0" collapsed="false">
      <c r="A194" s="138" t="s">
        <v>1841</v>
      </c>
      <c r="B194" s="146" t="n">
        <v>192</v>
      </c>
      <c r="C194" s="144" t="n">
        <v>3840</v>
      </c>
      <c r="D194" s="138" t="s">
        <v>1565</v>
      </c>
      <c r="E194" s="138" t="s">
        <v>1566</v>
      </c>
      <c r="F194" s="147" t="n">
        <v>11</v>
      </c>
      <c r="G194" s="148" t="n">
        <v>0</v>
      </c>
      <c r="H194" s="148" t="n">
        <v>0</v>
      </c>
      <c r="I194" s="138" t="s">
        <v>1642</v>
      </c>
      <c r="J194" s="138"/>
      <c r="K194" s="146" t="n">
        <f aca="false">Parâmetros!$C$4*(F194+2*Parâmetros!$D$4+Parâmetros!$C$4*Parâmetros!$E$4)</f>
        <v>0.5525</v>
      </c>
      <c r="L194" s="146" t="n">
        <f aca="false">Parâmetros!$C$5*(F194+2*Parâmetros!$D$5+Parâmetros!$C$5*Parâmetros!$E$5)</f>
        <v>1.8176</v>
      </c>
      <c r="M194" s="146" t="n">
        <f aca="false">Parâmetros!$C$6*(F194+2*Parâmetros!$D$6+Parâmetros!$C$6*Parâmetros!$E$6)</f>
        <v>2.384</v>
      </c>
      <c r="N194" s="146" t="n">
        <f aca="false">Parâmetros!$C$7*(F194+2*Parâmetros!$D$7+Parâmetros!$C$7*Parâmetros!$E$7)</f>
        <v>3.786</v>
      </c>
      <c r="O194" s="146" t="n">
        <f aca="false">F194+2*Parâmetros!$D$8</f>
        <v>11.2</v>
      </c>
      <c r="P194" s="146" t="n">
        <f aca="false">F194+2*Parâmetros!$D$10</f>
        <v>12.92</v>
      </c>
      <c r="Q194" s="146" t="n">
        <f aca="false">G194+H194</f>
        <v>0</v>
      </c>
      <c r="S194" s="149" t="n">
        <f aca="false">S193+'Volumes por intervalo'!C193*(F193+F194)/2</f>
        <v>43032</v>
      </c>
      <c r="T194" s="149" t="n">
        <f aca="false">T193+'Volumes por intervalo'!H193</f>
        <v>2161.2</v>
      </c>
      <c r="U194" s="149" t="n">
        <f aca="false">U193+'Volumes por intervalo'!J193</f>
        <v>7106.30399999999</v>
      </c>
      <c r="V194" s="149" t="n">
        <f aca="false">V193+'Volumes por intervalo'!K193</f>
        <v>9312.96000000002</v>
      </c>
      <c r="W194" s="149" t="n">
        <f aca="false">W193+'Volumes por intervalo'!L193</f>
        <v>14775.84</v>
      </c>
      <c r="X194" s="149" t="n">
        <f aca="false">X193+'Volumes por intervalo'!M193</f>
        <v>43800</v>
      </c>
      <c r="Y194" s="149" t="n">
        <f aca="false">Y193+'Volumes por intervalo'!N193</f>
        <v>43800</v>
      </c>
      <c r="Z194" s="149" t="n">
        <f aca="false">Z193+'Volumes por intervalo'!O193</f>
        <v>50404.8000000002</v>
      </c>
      <c r="AA194" s="149" t="n">
        <f aca="false">AA193+'Volumes por intervalo'!P193</f>
        <v>0</v>
      </c>
      <c r="AB194" s="149" t="n">
        <f aca="false">AB193+'Volumes por intervalo'!Q193</f>
        <v>0</v>
      </c>
      <c r="AC194" s="149" t="n">
        <f aca="false">AC193+'Volumes por intervalo'!R193</f>
        <v>0</v>
      </c>
      <c r="AD194" s="149" t="n">
        <f aca="false">AD193+'Volumes por intervalo'!S193</f>
        <v>0</v>
      </c>
    </row>
    <row r="195" customFormat="false" ht="15" hidden="false" customHeight="false" outlineLevel="0" collapsed="false">
      <c r="A195" s="138" t="s">
        <v>1842</v>
      </c>
      <c r="B195" s="146" t="n">
        <v>193</v>
      </c>
      <c r="C195" s="144" t="n">
        <v>3860</v>
      </c>
      <c r="D195" s="138" t="s">
        <v>1565</v>
      </c>
      <c r="E195" s="138" t="s">
        <v>1566</v>
      </c>
      <c r="F195" s="147" t="n">
        <v>11</v>
      </c>
      <c r="G195" s="148" t="n">
        <v>0</v>
      </c>
      <c r="H195" s="148" t="n">
        <v>0</v>
      </c>
      <c r="I195" s="138" t="s">
        <v>1642</v>
      </c>
      <c r="J195" s="138"/>
      <c r="K195" s="146" t="n">
        <f aca="false">Parâmetros!$C$4*(F195+2*Parâmetros!$D$4+Parâmetros!$C$4*Parâmetros!$E$4)</f>
        <v>0.5525</v>
      </c>
      <c r="L195" s="146" t="n">
        <f aca="false">Parâmetros!$C$5*(F195+2*Parâmetros!$D$5+Parâmetros!$C$5*Parâmetros!$E$5)</f>
        <v>1.8176</v>
      </c>
      <c r="M195" s="146" t="n">
        <f aca="false">Parâmetros!$C$6*(F195+2*Parâmetros!$D$6+Parâmetros!$C$6*Parâmetros!$E$6)</f>
        <v>2.384</v>
      </c>
      <c r="N195" s="146" t="n">
        <f aca="false">Parâmetros!$C$7*(F195+2*Parâmetros!$D$7+Parâmetros!$C$7*Parâmetros!$E$7)</f>
        <v>3.786</v>
      </c>
      <c r="O195" s="146" t="n">
        <f aca="false">F195+2*Parâmetros!$D$8</f>
        <v>11.2</v>
      </c>
      <c r="P195" s="146" t="n">
        <f aca="false">F195+2*Parâmetros!$D$10</f>
        <v>12.92</v>
      </c>
      <c r="Q195" s="146" t="n">
        <f aca="false">G195+H195</f>
        <v>0</v>
      </c>
      <c r="S195" s="149" t="n">
        <f aca="false">S194+'Volumes por intervalo'!C194*(F194+F195)/2</f>
        <v>43252</v>
      </c>
      <c r="T195" s="149" t="n">
        <f aca="false">T194+'Volumes por intervalo'!H194</f>
        <v>2172.25</v>
      </c>
      <c r="U195" s="149" t="n">
        <f aca="false">U194+'Volumes por intervalo'!J194</f>
        <v>7142.65599999998</v>
      </c>
      <c r="V195" s="149" t="n">
        <f aca="false">V194+'Volumes por intervalo'!K194</f>
        <v>9360.64000000002</v>
      </c>
      <c r="W195" s="149" t="n">
        <f aca="false">W194+'Volumes por intervalo'!L194</f>
        <v>14851.56</v>
      </c>
      <c r="X195" s="149" t="n">
        <f aca="false">X194+'Volumes por intervalo'!M194</f>
        <v>44024</v>
      </c>
      <c r="Y195" s="149" t="n">
        <f aca="false">Y194+'Volumes por intervalo'!N194</f>
        <v>44024</v>
      </c>
      <c r="Z195" s="149" t="n">
        <f aca="false">Z194+'Volumes por intervalo'!O194</f>
        <v>50663.2000000002</v>
      </c>
      <c r="AA195" s="149" t="n">
        <f aca="false">AA194+'Volumes por intervalo'!P194</f>
        <v>0</v>
      </c>
      <c r="AB195" s="149" t="n">
        <f aca="false">AB194+'Volumes por intervalo'!Q194</f>
        <v>0</v>
      </c>
      <c r="AC195" s="149" t="n">
        <f aca="false">AC194+'Volumes por intervalo'!R194</f>
        <v>0</v>
      </c>
      <c r="AD195" s="149" t="n">
        <f aca="false">AD194+'Volumes por intervalo'!S194</f>
        <v>0</v>
      </c>
    </row>
    <row r="196" customFormat="false" ht="15" hidden="false" customHeight="false" outlineLevel="0" collapsed="false">
      <c r="A196" s="138" t="s">
        <v>1843</v>
      </c>
      <c r="B196" s="146" t="n">
        <v>194</v>
      </c>
      <c r="C196" s="144" t="n">
        <v>3880</v>
      </c>
      <c r="D196" s="138" t="s">
        <v>1565</v>
      </c>
      <c r="E196" s="138" t="s">
        <v>1566</v>
      </c>
      <c r="F196" s="147" t="n">
        <v>11</v>
      </c>
      <c r="G196" s="148" t="n">
        <v>0</v>
      </c>
      <c r="H196" s="148" t="n">
        <v>0</v>
      </c>
      <c r="I196" s="138" t="s">
        <v>1642</v>
      </c>
      <c r="J196" s="138"/>
      <c r="K196" s="146" t="n">
        <f aca="false">Parâmetros!$C$4*(F196+2*Parâmetros!$D$4+Parâmetros!$C$4*Parâmetros!$E$4)</f>
        <v>0.5525</v>
      </c>
      <c r="L196" s="146" t="n">
        <f aca="false">Parâmetros!$C$5*(F196+2*Parâmetros!$D$5+Parâmetros!$C$5*Parâmetros!$E$5)</f>
        <v>1.8176</v>
      </c>
      <c r="M196" s="146" t="n">
        <f aca="false">Parâmetros!$C$6*(F196+2*Parâmetros!$D$6+Parâmetros!$C$6*Parâmetros!$E$6)</f>
        <v>2.384</v>
      </c>
      <c r="N196" s="146" t="n">
        <f aca="false">Parâmetros!$C$7*(F196+2*Parâmetros!$D$7+Parâmetros!$C$7*Parâmetros!$E$7)</f>
        <v>3.786</v>
      </c>
      <c r="O196" s="146" t="n">
        <f aca="false">F196+2*Parâmetros!$D$8</f>
        <v>11.2</v>
      </c>
      <c r="P196" s="146" t="n">
        <f aca="false">F196+2*Parâmetros!$D$10</f>
        <v>12.92</v>
      </c>
      <c r="Q196" s="146" t="n">
        <f aca="false">G196+H196</f>
        <v>0</v>
      </c>
      <c r="S196" s="149" t="n">
        <f aca="false">S195+'Volumes por intervalo'!C195*(F195+F196)/2</f>
        <v>43472</v>
      </c>
      <c r="T196" s="149" t="n">
        <f aca="false">T195+'Volumes por intervalo'!H195</f>
        <v>2183.3</v>
      </c>
      <c r="U196" s="149" t="n">
        <f aca="false">U195+'Volumes por intervalo'!J195</f>
        <v>7179.00799999998</v>
      </c>
      <c r="V196" s="149" t="n">
        <f aca="false">V195+'Volumes por intervalo'!K195</f>
        <v>9408.32000000002</v>
      </c>
      <c r="W196" s="149" t="n">
        <f aca="false">W195+'Volumes por intervalo'!L195</f>
        <v>14927.28</v>
      </c>
      <c r="X196" s="149" t="n">
        <f aca="false">X195+'Volumes por intervalo'!M195</f>
        <v>44248</v>
      </c>
      <c r="Y196" s="149" t="n">
        <f aca="false">Y195+'Volumes por intervalo'!N195</f>
        <v>44248</v>
      </c>
      <c r="Z196" s="149" t="n">
        <f aca="false">Z195+'Volumes por intervalo'!O195</f>
        <v>50921.6000000002</v>
      </c>
      <c r="AA196" s="149" t="n">
        <f aca="false">AA195+'Volumes por intervalo'!P195</f>
        <v>0</v>
      </c>
      <c r="AB196" s="149" t="n">
        <f aca="false">AB195+'Volumes por intervalo'!Q195</f>
        <v>0</v>
      </c>
      <c r="AC196" s="149" t="n">
        <f aca="false">AC195+'Volumes por intervalo'!R195</f>
        <v>0</v>
      </c>
      <c r="AD196" s="149" t="n">
        <f aca="false">AD195+'Volumes por intervalo'!S195</f>
        <v>0</v>
      </c>
    </row>
    <row r="197" customFormat="false" ht="15" hidden="false" customHeight="false" outlineLevel="0" collapsed="false">
      <c r="A197" s="138" t="s">
        <v>1844</v>
      </c>
      <c r="B197" s="146" t="n">
        <v>195</v>
      </c>
      <c r="C197" s="144" t="n">
        <v>3900</v>
      </c>
      <c r="D197" s="138" t="s">
        <v>1565</v>
      </c>
      <c r="E197" s="138" t="s">
        <v>1566</v>
      </c>
      <c r="F197" s="147" t="n">
        <v>11</v>
      </c>
      <c r="G197" s="148" t="n">
        <v>0</v>
      </c>
      <c r="H197" s="148" t="n">
        <v>0</v>
      </c>
      <c r="I197" s="138" t="s">
        <v>1642</v>
      </c>
      <c r="J197" s="138"/>
      <c r="K197" s="146" t="n">
        <f aca="false">Parâmetros!$C$4*(F197+2*Parâmetros!$D$4+Parâmetros!$C$4*Parâmetros!$E$4)</f>
        <v>0.5525</v>
      </c>
      <c r="L197" s="146" t="n">
        <f aca="false">Parâmetros!$C$5*(F197+2*Parâmetros!$D$5+Parâmetros!$C$5*Parâmetros!$E$5)</f>
        <v>1.8176</v>
      </c>
      <c r="M197" s="146" t="n">
        <f aca="false">Parâmetros!$C$6*(F197+2*Parâmetros!$D$6+Parâmetros!$C$6*Parâmetros!$E$6)</f>
        <v>2.384</v>
      </c>
      <c r="N197" s="146" t="n">
        <f aca="false">Parâmetros!$C$7*(F197+2*Parâmetros!$D$7+Parâmetros!$C$7*Parâmetros!$E$7)</f>
        <v>3.786</v>
      </c>
      <c r="O197" s="146" t="n">
        <f aca="false">F197+2*Parâmetros!$D$8</f>
        <v>11.2</v>
      </c>
      <c r="P197" s="146" t="n">
        <f aca="false">F197+2*Parâmetros!$D$10</f>
        <v>12.92</v>
      </c>
      <c r="Q197" s="146" t="n">
        <f aca="false">G197+H197</f>
        <v>0</v>
      </c>
      <c r="S197" s="149" t="n">
        <f aca="false">S196+'Volumes por intervalo'!C196*(F196+F197)/2</f>
        <v>43692</v>
      </c>
      <c r="T197" s="149" t="n">
        <f aca="false">T196+'Volumes por intervalo'!H196</f>
        <v>2194.35</v>
      </c>
      <c r="U197" s="149" t="n">
        <f aca="false">U196+'Volumes por intervalo'!J196</f>
        <v>7215.35999999998</v>
      </c>
      <c r="V197" s="149" t="n">
        <f aca="false">V196+'Volumes por intervalo'!K196</f>
        <v>9456.00000000002</v>
      </c>
      <c r="W197" s="149" t="n">
        <f aca="false">W196+'Volumes por intervalo'!L196</f>
        <v>15003</v>
      </c>
      <c r="X197" s="149" t="n">
        <f aca="false">X196+'Volumes por intervalo'!M196</f>
        <v>44472</v>
      </c>
      <c r="Y197" s="149" t="n">
        <f aca="false">Y196+'Volumes por intervalo'!N196</f>
        <v>44472</v>
      </c>
      <c r="Z197" s="149" t="n">
        <f aca="false">Z196+'Volumes por intervalo'!O196</f>
        <v>51180.0000000002</v>
      </c>
      <c r="AA197" s="149" t="n">
        <f aca="false">AA196+'Volumes por intervalo'!P196</f>
        <v>0</v>
      </c>
      <c r="AB197" s="149" t="n">
        <f aca="false">AB196+'Volumes por intervalo'!Q196</f>
        <v>0</v>
      </c>
      <c r="AC197" s="149" t="n">
        <f aca="false">AC196+'Volumes por intervalo'!R196</f>
        <v>0</v>
      </c>
      <c r="AD197" s="149" t="n">
        <f aca="false">AD196+'Volumes por intervalo'!S196</f>
        <v>0</v>
      </c>
    </row>
    <row r="198" customFormat="false" ht="15" hidden="false" customHeight="false" outlineLevel="0" collapsed="false">
      <c r="A198" s="138" t="s">
        <v>1845</v>
      </c>
      <c r="B198" s="146" t="n">
        <v>196</v>
      </c>
      <c r="C198" s="144" t="n">
        <v>3920</v>
      </c>
      <c r="D198" s="138" t="s">
        <v>1565</v>
      </c>
      <c r="E198" s="138" t="s">
        <v>1566</v>
      </c>
      <c r="F198" s="147" t="n">
        <v>11</v>
      </c>
      <c r="G198" s="148" t="n">
        <v>0</v>
      </c>
      <c r="H198" s="148" t="n">
        <v>0</v>
      </c>
      <c r="I198" s="138" t="s">
        <v>1642</v>
      </c>
      <c r="J198" s="138"/>
      <c r="K198" s="146" t="n">
        <f aca="false">Parâmetros!$C$4*(F198+2*Parâmetros!$D$4+Parâmetros!$C$4*Parâmetros!$E$4)</f>
        <v>0.5525</v>
      </c>
      <c r="L198" s="146" t="n">
        <f aca="false">Parâmetros!$C$5*(F198+2*Parâmetros!$D$5+Parâmetros!$C$5*Parâmetros!$E$5)</f>
        <v>1.8176</v>
      </c>
      <c r="M198" s="146" t="n">
        <f aca="false">Parâmetros!$C$6*(F198+2*Parâmetros!$D$6+Parâmetros!$C$6*Parâmetros!$E$6)</f>
        <v>2.384</v>
      </c>
      <c r="N198" s="146" t="n">
        <f aca="false">Parâmetros!$C$7*(F198+2*Parâmetros!$D$7+Parâmetros!$C$7*Parâmetros!$E$7)</f>
        <v>3.786</v>
      </c>
      <c r="O198" s="146" t="n">
        <f aca="false">F198+2*Parâmetros!$D$8</f>
        <v>11.2</v>
      </c>
      <c r="P198" s="146" t="n">
        <f aca="false">F198+2*Parâmetros!$D$10</f>
        <v>12.92</v>
      </c>
      <c r="Q198" s="146" t="n">
        <f aca="false">G198+H198</f>
        <v>0</v>
      </c>
      <c r="S198" s="149" t="n">
        <f aca="false">S197+'Volumes por intervalo'!C197*(F197+F198)/2</f>
        <v>43912</v>
      </c>
      <c r="T198" s="149" t="n">
        <f aca="false">T197+'Volumes por intervalo'!H197</f>
        <v>2205.4</v>
      </c>
      <c r="U198" s="149" t="n">
        <f aca="false">U197+'Volumes por intervalo'!J197</f>
        <v>7251.71199999998</v>
      </c>
      <c r="V198" s="149" t="n">
        <f aca="false">V197+'Volumes por intervalo'!K197</f>
        <v>9503.68000000002</v>
      </c>
      <c r="W198" s="149" t="n">
        <f aca="false">W197+'Volumes por intervalo'!L197</f>
        <v>15078.72</v>
      </c>
      <c r="X198" s="149" t="n">
        <f aca="false">X197+'Volumes por intervalo'!M197</f>
        <v>44696</v>
      </c>
      <c r="Y198" s="149" t="n">
        <f aca="false">Y197+'Volumes por intervalo'!N197</f>
        <v>44696</v>
      </c>
      <c r="Z198" s="149" t="n">
        <f aca="false">Z197+'Volumes por intervalo'!O197</f>
        <v>51438.4000000002</v>
      </c>
      <c r="AA198" s="149" t="n">
        <f aca="false">AA197+'Volumes por intervalo'!P197</f>
        <v>0</v>
      </c>
      <c r="AB198" s="149" t="n">
        <f aca="false">AB197+'Volumes por intervalo'!Q197</f>
        <v>0</v>
      </c>
      <c r="AC198" s="149" t="n">
        <f aca="false">AC197+'Volumes por intervalo'!R197</f>
        <v>0</v>
      </c>
      <c r="AD198" s="149" t="n">
        <f aca="false">AD197+'Volumes por intervalo'!S197</f>
        <v>0</v>
      </c>
    </row>
    <row r="199" customFormat="false" ht="15" hidden="false" customHeight="false" outlineLevel="0" collapsed="false">
      <c r="A199" s="138" t="s">
        <v>1846</v>
      </c>
      <c r="B199" s="146" t="n">
        <v>197</v>
      </c>
      <c r="C199" s="144" t="n">
        <v>3940</v>
      </c>
      <c r="D199" s="138" t="s">
        <v>1565</v>
      </c>
      <c r="E199" s="138" t="s">
        <v>1566</v>
      </c>
      <c r="F199" s="147" t="n">
        <v>11</v>
      </c>
      <c r="G199" s="148" t="n">
        <v>0</v>
      </c>
      <c r="H199" s="148" t="n">
        <v>0</v>
      </c>
      <c r="I199" s="138" t="s">
        <v>1642</v>
      </c>
      <c r="J199" s="138"/>
      <c r="K199" s="146" t="n">
        <f aca="false">Parâmetros!$C$4*(F199+2*Parâmetros!$D$4+Parâmetros!$C$4*Parâmetros!$E$4)</f>
        <v>0.5525</v>
      </c>
      <c r="L199" s="146" t="n">
        <f aca="false">Parâmetros!$C$5*(F199+2*Parâmetros!$D$5+Parâmetros!$C$5*Parâmetros!$E$5)</f>
        <v>1.8176</v>
      </c>
      <c r="M199" s="146" t="n">
        <f aca="false">Parâmetros!$C$6*(F199+2*Parâmetros!$D$6+Parâmetros!$C$6*Parâmetros!$E$6)</f>
        <v>2.384</v>
      </c>
      <c r="N199" s="146" t="n">
        <f aca="false">Parâmetros!$C$7*(F199+2*Parâmetros!$D$7+Parâmetros!$C$7*Parâmetros!$E$7)</f>
        <v>3.786</v>
      </c>
      <c r="O199" s="146" t="n">
        <f aca="false">F199+2*Parâmetros!$D$8</f>
        <v>11.2</v>
      </c>
      <c r="P199" s="146" t="n">
        <f aca="false">F199+2*Parâmetros!$D$10</f>
        <v>12.92</v>
      </c>
      <c r="Q199" s="146" t="n">
        <f aca="false">G199+H199</f>
        <v>0</v>
      </c>
      <c r="S199" s="149" t="n">
        <f aca="false">S198+'Volumes por intervalo'!C198*(F198+F199)/2</f>
        <v>44132</v>
      </c>
      <c r="T199" s="149" t="n">
        <f aca="false">T198+'Volumes por intervalo'!H198</f>
        <v>2216.45</v>
      </c>
      <c r="U199" s="149" t="n">
        <f aca="false">U198+'Volumes por intervalo'!J198</f>
        <v>7288.06399999998</v>
      </c>
      <c r="V199" s="149" t="n">
        <f aca="false">V198+'Volumes por intervalo'!K198</f>
        <v>9551.36000000002</v>
      </c>
      <c r="W199" s="149" t="n">
        <f aca="false">W198+'Volumes por intervalo'!L198</f>
        <v>15154.44</v>
      </c>
      <c r="X199" s="149" t="n">
        <f aca="false">X198+'Volumes por intervalo'!M198</f>
        <v>44920</v>
      </c>
      <c r="Y199" s="149" t="n">
        <f aca="false">Y198+'Volumes por intervalo'!N198</f>
        <v>44920</v>
      </c>
      <c r="Z199" s="149" t="n">
        <f aca="false">Z198+'Volumes por intervalo'!O198</f>
        <v>51696.8000000002</v>
      </c>
      <c r="AA199" s="149" t="n">
        <f aca="false">AA198+'Volumes por intervalo'!P198</f>
        <v>0</v>
      </c>
      <c r="AB199" s="149" t="n">
        <f aca="false">AB198+'Volumes por intervalo'!Q198</f>
        <v>0</v>
      </c>
      <c r="AC199" s="149" t="n">
        <f aca="false">AC198+'Volumes por intervalo'!R198</f>
        <v>0</v>
      </c>
      <c r="AD199" s="149" t="n">
        <f aca="false">AD198+'Volumes por intervalo'!S198</f>
        <v>0</v>
      </c>
    </row>
    <row r="200" customFormat="false" ht="15" hidden="false" customHeight="false" outlineLevel="0" collapsed="false">
      <c r="A200" s="138" t="s">
        <v>1847</v>
      </c>
      <c r="B200" s="146" t="n">
        <v>198</v>
      </c>
      <c r="C200" s="144" t="n">
        <v>3960</v>
      </c>
      <c r="D200" s="138" t="s">
        <v>1565</v>
      </c>
      <c r="E200" s="138" t="s">
        <v>1566</v>
      </c>
      <c r="F200" s="147" t="n">
        <v>11</v>
      </c>
      <c r="G200" s="148" t="n">
        <v>0</v>
      </c>
      <c r="H200" s="148" t="n">
        <v>0</v>
      </c>
      <c r="I200" s="138" t="s">
        <v>1642</v>
      </c>
      <c r="J200" s="138"/>
      <c r="K200" s="146" t="n">
        <f aca="false">Parâmetros!$C$4*(F200+2*Parâmetros!$D$4+Parâmetros!$C$4*Parâmetros!$E$4)</f>
        <v>0.5525</v>
      </c>
      <c r="L200" s="146" t="n">
        <f aca="false">Parâmetros!$C$5*(F200+2*Parâmetros!$D$5+Parâmetros!$C$5*Parâmetros!$E$5)</f>
        <v>1.8176</v>
      </c>
      <c r="M200" s="146" t="n">
        <f aca="false">Parâmetros!$C$6*(F200+2*Parâmetros!$D$6+Parâmetros!$C$6*Parâmetros!$E$6)</f>
        <v>2.384</v>
      </c>
      <c r="N200" s="146" t="n">
        <f aca="false">Parâmetros!$C$7*(F200+2*Parâmetros!$D$7+Parâmetros!$C$7*Parâmetros!$E$7)</f>
        <v>3.786</v>
      </c>
      <c r="O200" s="146" t="n">
        <f aca="false">F200+2*Parâmetros!$D$8</f>
        <v>11.2</v>
      </c>
      <c r="P200" s="146" t="n">
        <f aca="false">F200+2*Parâmetros!$D$10</f>
        <v>12.92</v>
      </c>
      <c r="Q200" s="146" t="n">
        <f aca="false">G200+H200</f>
        <v>0</v>
      </c>
      <c r="S200" s="149" t="n">
        <f aca="false">S199+'Volumes por intervalo'!C199*(F199+F200)/2</f>
        <v>44352</v>
      </c>
      <c r="T200" s="149" t="n">
        <f aca="false">T199+'Volumes por intervalo'!H199</f>
        <v>2227.5</v>
      </c>
      <c r="U200" s="149" t="n">
        <f aca="false">U199+'Volumes por intervalo'!J199</f>
        <v>7324.41599999998</v>
      </c>
      <c r="V200" s="149" t="n">
        <f aca="false">V199+'Volumes por intervalo'!K199</f>
        <v>9599.04000000002</v>
      </c>
      <c r="W200" s="149" t="n">
        <f aca="false">W199+'Volumes por intervalo'!L199</f>
        <v>15230.16</v>
      </c>
      <c r="X200" s="149" t="n">
        <f aca="false">X199+'Volumes por intervalo'!M199</f>
        <v>45144</v>
      </c>
      <c r="Y200" s="149" t="n">
        <f aca="false">Y199+'Volumes por intervalo'!N199</f>
        <v>45144</v>
      </c>
      <c r="Z200" s="149" t="n">
        <f aca="false">Z199+'Volumes por intervalo'!O199</f>
        <v>51955.2000000002</v>
      </c>
      <c r="AA200" s="149" t="n">
        <f aca="false">AA199+'Volumes por intervalo'!P199</f>
        <v>0</v>
      </c>
      <c r="AB200" s="149" t="n">
        <f aca="false">AB199+'Volumes por intervalo'!Q199</f>
        <v>0</v>
      </c>
      <c r="AC200" s="149" t="n">
        <f aca="false">AC199+'Volumes por intervalo'!R199</f>
        <v>0</v>
      </c>
      <c r="AD200" s="149" t="n">
        <f aca="false">AD199+'Volumes por intervalo'!S199</f>
        <v>0</v>
      </c>
    </row>
    <row r="201" customFormat="false" ht="15" hidden="false" customHeight="false" outlineLevel="0" collapsed="false">
      <c r="A201" s="138" t="s">
        <v>1848</v>
      </c>
      <c r="B201" s="146" t="n">
        <v>199</v>
      </c>
      <c r="C201" s="144" t="n">
        <v>3980</v>
      </c>
      <c r="D201" s="138" t="s">
        <v>1565</v>
      </c>
      <c r="E201" s="138" t="s">
        <v>1566</v>
      </c>
      <c r="F201" s="147" t="n">
        <v>11</v>
      </c>
      <c r="G201" s="148" t="n">
        <v>0</v>
      </c>
      <c r="H201" s="148" t="n">
        <v>0</v>
      </c>
      <c r="I201" s="138" t="s">
        <v>1642</v>
      </c>
      <c r="J201" s="138"/>
      <c r="K201" s="146" t="n">
        <f aca="false">Parâmetros!$C$4*(F201+2*Parâmetros!$D$4+Parâmetros!$C$4*Parâmetros!$E$4)</f>
        <v>0.5525</v>
      </c>
      <c r="L201" s="146" t="n">
        <f aca="false">Parâmetros!$C$5*(F201+2*Parâmetros!$D$5+Parâmetros!$C$5*Parâmetros!$E$5)</f>
        <v>1.8176</v>
      </c>
      <c r="M201" s="146" t="n">
        <f aca="false">Parâmetros!$C$6*(F201+2*Parâmetros!$D$6+Parâmetros!$C$6*Parâmetros!$E$6)</f>
        <v>2.384</v>
      </c>
      <c r="N201" s="146" t="n">
        <f aca="false">Parâmetros!$C$7*(F201+2*Parâmetros!$D$7+Parâmetros!$C$7*Parâmetros!$E$7)</f>
        <v>3.786</v>
      </c>
      <c r="O201" s="146" t="n">
        <f aca="false">F201+2*Parâmetros!$D$8</f>
        <v>11.2</v>
      </c>
      <c r="P201" s="146" t="n">
        <f aca="false">F201+2*Parâmetros!$D$10</f>
        <v>12.92</v>
      </c>
      <c r="Q201" s="146" t="n">
        <f aca="false">G201+H201</f>
        <v>0</v>
      </c>
      <c r="S201" s="149" t="n">
        <f aca="false">S200+'Volumes por intervalo'!C200*(F200+F201)/2</f>
        <v>44572</v>
      </c>
      <c r="T201" s="149" t="n">
        <f aca="false">T200+'Volumes por intervalo'!H200</f>
        <v>2238.55</v>
      </c>
      <c r="U201" s="149" t="n">
        <f aca="false">U200+'Volumes por intervalo'!J200</f>
        <v>7360.76799999998</v>
      </c>
      <c r="V201" s="149" t="n">
        <f aca="false">V200+'Volumes por intervalo'!K200</f>
        <v>9646.72000000002</v>
      </c>
      <c r="W201" s="149" t="n">
        <f aca="false">W200+'Volumes por intervalo'!L200</f>
        <v>15305.88</v>
      </c>
      <c r="X201" s="149" t="n">
        <f aca="false">X200+'Volumes por intervalo'!M200</f>
        <v>45368</v>
      </c>
      <c r="Y201" s="149" t="n">
        <f aca="false">Y200+'Volumes por intervalo'!N200</f>
        <v>45368</v>
      </c>
      <c r="Z201" s="149" t="n">
        <f aca="false">Z200+'Volumes por intervalo'!O200</f>
        <v>52213.6000000002</v>
      </c>
      <c r="AA201" s="149" t="n">
        <f aca="false">AA200+'Volumes por intervalo'!P200</f>
        <v>0</v>
      </c>
      <c r="AB201" s="149" t="n">
        <f aca="false">AB200+'Volumes por intervalo'!Q200</f>
        <v>0</v>
      </c>
      <c r="AC201" s="149" t="n">
        <f aca="false">AC200+'Volumes por intervalo'!R200</f>
        <v>0</v>
      </c>
      <c r="AD201" s="149" t="n">
        <f aca="false">AD200+'Volumes por intervalo'!S200</f>
        <v>0</v>
      </c>
    </row>
    <row r="202" customFormat="false" ht="15" hidden="false" customHeight="false" outlineLevel="0" collapsed="false">
      <c r="A202" s="138" t="s">
        <v>1849</v>
      </c>
      <c r="B202" s="146" t="n">
        <v>200</v>
      </c>
      <c r="C202" s="144" t="n">
        <v>4000</v>
      </c>
      <c r="D202" s="138" t="s">
        <v>1565</v>
      </c>
      <c r="E202" s="138" t="s">
        <v>1566</v>
      </c>
      <c r="F202" s="147" t="n">
        <v>11</v>
      </c>
      <c r="G202" s="148" t="n">
        <v>0</v>
      </c>
      <c r="H202" s="148" t="n">
        <v>0</v>
      </c>
      <c r="I202" s="138" t="s">
        <v>1642</v>
      </c>
      <c r="J202" s="138"/>
      <c r="K202" s="146" t="n">
        <f aca="false">Parâmetros!$C$4*(F202+2*Parâmetros!$D$4+Parâmetros!$C$4*Parâmetros!$E$4)</f>
        <v>0.5525</v>
      </c>
      <c r="L202" s="146" t="n">
        <f aca="false">Parâmetros!$C$5*(F202+2*Parâmetros!$D$5+Parâmetros!$C$5*Parâmetros!$E$5)</f>
        <v>1.8176</v>
      </c>
      <c r="M202" s="146" t="n">
        <f aca="false">Parâmetros!$C$6*(F202+2*Parâmetros!$D$6+Parâmetros!$C$6*Parâmetros!$E$6)</f>
        <v>2.384</v>
      </c>
      <c r="N202" s="146" t="n">
        <f aca="false">Parâmetros!$C$7*(F202+2*Parâmetros!$D$7+Parâmetros!$C$7*Parâmetros!$E$7)</f>
        <v>3.786</v>
      </c>
      <c r="O202" s="146" t="n">
        <f aca="false">F202+2*Parâmetros!$D$8</f>
        <v>11.2</v>
      </c>
      <c r="P202" s="146" t="n">
        <f aca="false">F202+2*Parâmetros!$D$10</f>
        <v>12.92</v>
      </c>
      <c r="Q202" s="146" t="n">
        <f aca="false">G202+H202</f>
        <v>0</v>
      </c>
      <c r="S202" s="149" t="n">
        <f aca="false">S201+'Volumes por intervalo'!C201*(F201+F202)/2</f>
        <v>44792</v>
      </c>
      <c r="T202" s="149" t="n">
        <f aca="false">T201+'Volumes por intervalo'!H201</f>
        <v>2249.6</v>
      </c>
      <c r="U202" s="149" t="n">
        <f aca="false">U201+'Volumes por intervalo'!J201</f>
        <v>7397.11999999998</v>
      </c>
      <c r="V202" s="149" t="n">
        <f aca="false">V201+'Volumes por intervalo'!K201</f>
        <v>9694.40000000002</v>
      </c>
      <c r="W202" s="149" t="n">
        <f aca="false">W201+'Volumes por intervalo'!L201</f>
        <v>15381.6</v>
      </c>
      <c r="X202" s="149" t="n">
        <f aca="false">X201+'Volumes por intervalo'!M201</f>
        <v>45592</v>
      </c>
      <c r="Y202" s="149" t="n">
        <f aca="false">Y201+'Volumes por intervalo'!N201</f>
        <v>45592</v>
      </c>
      <c r="Z202" s="149" t="n">
        <f aca="false">Z201+'Volumes por intervalo'!O201</f>
        <v>52472.0000000002</v>
      </c>
      <c r="AA202" s="149" t="n">
        <f aca="false">AA201+'Volumes por intervalo'!P201</f>
        <v>0</v>
      </c>
      <c r="AB202" s="149" t="n">
        <f aca="false">AB201+'Volumes por intervalo'!Q201</f>
        <v>0</v>
      </c>
      <c r="AC202" s="149" t="n">
        <f aca="false">AC201+'Volumes por intervalo'!R201</f>
        <v>0</v>
      </c>
      <c r="AD202" s="149" t="n">
        <f aca="false">AD201+'Volumes por intervalo'!S201</f>
        <v>0</v>
      </c>
    </row>
    <row r="203" customFormat="false" ht="15" hidden="false" customHeight="false" outlineLevel="0" collapsed="false">
      <c r="A203" s="138" t="s">
        <v>1850</v>
      </c>
      <c r="B203" s="146" t="n">
        <v>201</v>
      </c>
      <c r="C203" s="144" t="n">
        <v>4020</v>
      </c>
      <c r="D203" s="138" t="s">
        <v>1565</v>
      </c>
      <c r="E203" s="138" t="s">
        <v>1566</v>
      </c>
      <c r="F203" s="147" t="n">
        <v>11</v>
      </c>
      <c r="G203" s="148" t="n">
        <v>0</v>
      </c>
      <c r="H203" s="148" t="n">
        <v>0</v>
      </c>
      <c r="I203" s="138" t="s">
        <v>1642</v>
      </c>
      <c r="J203" s="138"/>
      <c r="K203" s="146" t="n">
        <f aca="false">Parâmetros!$C$4*(F203+2*Parâmetros!$D$4+Parâmetros!$C$4*Parâmetros!$E$4)</f>
        <v>0.5525</v>
      </c>
      <c r="L203" s="146" t="n">
        <f aca="false">Parâmetros!$C$5*(F203+2*Parâmetros!$D$5+Parâmetros!$C$5*Parâmetros!$E$5)</f>
        <v>1.8176</v>
      </c>
      <c r="M203" s="146" t="n">
        <f aca="false">Parâmetros!$C$6*(F203+2*Parâmetros!$D$6+Parâmetros!$C$6*Parâmetros!$E$6)</f>
        <v>2.384</v>
      </c>
      <c r="N203" s="146" t="n">
        <f aca="false">Parâmetros!$C$7*(F203+2*Parâmetros!$D$7+Parâmetros!$C$7*Parâmetros!$E$7)</f>
        <v>3.786</v>
      </c>
      <c r="O203" s="146" t="n">
        <f aca="false">F203+2*Parâmetros!$D$8</f>
        <v>11.2</v>
      </c>
      <c r="P203" s="146" t="n">
        <f aca="false">F203+2*Parâmetros!$D$10</f>
        <v>12.92</v>
      </c>
      <c r="Q203" s="146" t="n">
        <f aca="false">G203+H203</f>
        <v>0</v>
      </c>
      <c r="S203" s="149" t="n">
        <f aca="false">S202+'Volumes por intervalo'!C202*(F202+F203)/2</f>
        <v>45012</v>
      </c>
      <c r="T203" s="149" t="n">
        <f aca="false">T202+'Volumes por intervalo'!H202</f>
        <v>2260.65</v>
      </c>
      <c r="U203" s="149" t="n">
        <f aca="false">U202+'Volumes por intervalo'!J202</f>
        <v>7433.47199999998</v>
      </c>
      <c r="V203" s="149" t="n">
        <f aca="false">V202+'Volumes por intervalo'!K202</f>
        <v>9742.08000000002</v>
      </c>
      <c r="W203" s="149" t="n">
        <f aca="false">W202+'Volumes por intervalo'!L202</f>
        <v>15457.32</v>
      </c>
      <c r="X203" s="149" t="n">
        <f aca="false">X202+'Volumes por intervalo'!M202</f>
        <v>45816</v>
      </c>
      <c r="Y203" s="149" t="n">
        <f aca="false">Y202+'Volumes por intervalo'!N202</f>
        <v>45816</v>
      </c>
      <c r="Z203" s="149" t="n">
        <f aca="false">Z202+'Volumes por intervalo'!O202</f>
        <v>52730.4000000002</v>
      </c>
      <c r="AA203" s="149" t="n">
        <f aca="false">AA202+'Volumes por intervalo'!P202</f>
        <v>0</v>
      </c>
      <c r="AB203" s="149" t="n">
        <f aca="false">AB202+'Volumes por intervalo'!Q202</f>
        <v>0</v>
      </c>
      <c r="AC203" s="149" t="n">
        <f aca="false">AC202+'Volumes por intervalo'!R202</f>
        <v>0</v>
      </c>
      <c r="AD203" s="149" t="n">
        <f aca="false">AD202+'Volumes por intervalo'!S202</f>
        <v>0</v>
      </c>
    </row>
    <row r="204" customFormat="false" ht="15" hidden="false" customHeight="false" outlineLevel="0" collapsed="false">
      <c r="A204" s="138" t="s">
        <v>1851</v>
      </c>
      <c r="B204" s="146" t="n">
        <v>202</v>
      </c>
      <c r="C204" s="144" t="n">
        <v>4040</v>
      </c>
      <c r="D204" s="138" t="s">
        <v>1565</v>
      </c>
      <c r="E204" s="138" t="s">
        <v>1566</v>
      </c>
      <c r="F204" s="147" t="n">
        <v>11</v>
      </c>
      <c r="G204" s="148" t="n">
        <v>0</v>
      </c>
      <c r="H204" s="148" t="n">
        <v>0</v>
      </c>
      <c r="I204" s="138" t="s">
        <v>1642</v>
      </c>
      <c r="J204" s="138"/>
      <c r="K204" s="146" t="n">
        <f aca="false">Parâmetros!$C$4*(F204+2*Parâmetros!$D$4+Parâmetros!$C$4*Parâmetros!$E$4)</f>
        <v>0.5525</v>
      </c>
      <c r="L204" s="146" t="n">
        <f aca="false">Parâmetros!$C$5*(F204+2*Parâmetros!$D$5+Parâmetros!$C$5*Parâmetros!$E$5)</f>
        <v>1.8176</v>
      </c>
      <c r="M204" s="146" t="n">
        <f aca="false">Parâmetros!$C$6*(F204+2*Parâmetros!$D$6+Parâmetros!$C$6*Parâmetros!$E$6)</f>
        <v>2.384</v>
      </c>
      <c r="N204" s="146" t="n">
        <f aca="false">Parâmetros!$C$7*(F204+2*Parâmetros!$D$7+Parâmetros!$C$7*Parâmetros!$E$7)</f>
        <v>3.786</v>
      </c>
      <c r="O204" s="146" t="n">
        <f aca="false">F204+2*Parâmetros!$D$8</f>
        <v>11.2</v>
      </c>
      <c r="P204" s="146" t="n">
        <f aca="false">F204+2*Parâmetros!$D$10</f>
        <v>12.92</v>
      </c>
      <c r="Q204" s="146" t="n">
        <f aca="false">G204+H204</f>
        <v>0</v>
      </c>
      <c r="S204" s="149" t="n">
        <f aca="false">S203+'Volumes por intervalo'!C203*(F203+F204)/2</f>
        <v>45232</v>
      </c>
      <c r="T204" s="149" t="n">
        <f aca="false">T203+'Volumes por intervalo'!H203</f>
        <v>2271.7</v>
      </c>
      <c r="U204" s="149" t="n">
        <f aca="false">U203+'Volumes por intervalo'!J203</f>
        <v>7469.82399999998</v>
      </c>
      <c r="V204" s="149" t="n">
        <f aca="false">V203+'Volumes por intervalo'!K203</f>
        <v>9789.76000000002</v>
      </c>
      <c r="W204" s="149" t="n">
        <f aca="false">W203+'Volumes por intervalo'!L203</f>
        <v>15533.04</v>
      </c>
      <c r="X204" s="149" t="n">
        <f aca="false">X203+'Volumes por intervalo'!M203</f>
        <v>46040</v>
      </c>
      <c r="Y204" s="149" t="n">
        <f aca="false">Y203+'Volumes por intervalo'!N203</f>
        <v>46040</v>
      </c>
      <c r="Z204" s="149" t="n">
        <f aca="false">Z203+'Volumes por intervalo'!O203</f>
        <v>52988.8000000002</v>
      </c>
      <c r="AA204" s="149" t="n">
        <f aca="false">AA203+'Volumes por intervalo'!P203</f>
        <v>0</v>
      </c>
      <c r="AB204" s="149" t="n">
        <f aca="false">AB203+'Volumes por intervalo'!Q203</f>
        <v>0</v>
      </c>
      <c r="AC204" s="149" t="n">
        <f aca="false">AC203+'Volumes por intervalo'!R203</f>
        <v>0</v>
      </c>
      <c r="AD204" s="149" t="n">
        <f aca="false">AD203+'Volumes por intervalo'!S203</f>
        <v>0</v>
      </c>
    </row>
    <row r="205" customFormat="false" ht="15" hidden="false" customHeight="false" outlineLevel="0" collapsed="false">
      <c r="A205" s="138" t="s">
        <v>1852</v>
      </c>
      <c r="B205" s="146" t="n">
        <v>203</v>
      </c>
      <c r="C205" s="144" t="n">
        <v>4060</v>
      </c>
      <c r="D205" s="138" t="s">
        <v>1565</v>
      </c>
      <c r="E205" s="138" t="s">
        <v>1566</v>
      </c>
      <c r="F205" s="147" t="n">
        <v>11</v>
      </c>
      <c r="G205" s="148" t="n">
        <v>0</v>
      </c>
      <c r="H205" s="148" t="n">
        <v>0</v>
      </c>
      <c r="I205" s="138" t="s">
        <v>1642</v>
      </c>
      <c r="J205" s="138"/>
      <c r="K205" s="146" t="n">
        <f aca="false">Parâmetros!$C$4*(F205+2*Parâmetros!$D$4+Parâmetros!$C$4*Parâmetros!$E$4)</f>
        <v>0.5525</v>
      </c>
      <c r="L205" s="146" t="n">
        <f aca="false">Parâmetros!$C$5*(F205+2*Parâmetros!$D$5+Parâmetros!$C$5*Parâmetros!$E$5)</f>
        <v>1.8176</v>
      </c>
      <c r="M205" s="146" t="n">
        <f aca="false">Parâmetros!$C$6*(F205+2*Parâmetros!$D$6+Parâmetros!$C$6*Parâmetros!$E$6)</f>
        <v>2.384</v>
      </c>
      <c r="N205" s="146" t="n">
        <f aca="false">Parâmetros!$C$7*(F205+2*Parâmetros!$D$7+Parâmetros!$C$7*Parâmetros!$E$7)</f>
        <v>3.786</v>
      </c>
      <c r="O205" s="146" t="n">
        <f aca="false">F205+2*Parâmetros!$D$8</f>
        <v>11.2</v>
      </c>
      <c r="P205" s="146" t="n">
        <f aca="false">F205+2*Parâmetros!$D$10</f>
        <v>12.92</v>
      </c>
      <c r="Q205" s="146" t="n">
        <f aca="false">G205+H205</f>
        <v>0</v>
      </c>
      <c r="S205" s="149" t="n">
        <f aca="false">S204+'Volumes por intervalo'!C204*(F204+F205)/2</f>
        <v>45452</v>
      </c>
      <c r="T205" s="149" t="n">
        <f aca="false">T204+'Volumes por intervalo'!H204</f>
        <v>2282.75</v>
      </c>
      <c r="U205" s="149" t="n">
        <f aca="false">U204+'Volumes por intervalo'!J204</f>
        <v>7506.17599999998</v>
      </c>
      <c r="V205" s="149" t="n">
        <f aca="false">V204+'Volumes por intervalo'!K204</f>
        <v>9837.44000000002</v>
      </c>
      <c r="W205" s="149" t="n">
        <f aca="false">W204+'Volumes por intervalo'!L204</f>
        <v>15608.76</v>
      </c>
      <c r="X205" s="149" t="n">
        <f aca="false">X204+'Volumes por intervalo'!M204</f>
        <v>46264</v>
      </c>
      <c r="Y205" s="149" t="n">
        <f aca="false">Y204+'Volumes por intervalo'!N204</f>
        <v>46264</v>
      </c>
      <c r="Z205" s="149" t="n">
        <f aca="false">Z204+'Volumes por intervalo'!O204</f>
        <v>53247.2000000002</v>
      </c>
      <c r="AA205" s="149" t="n">
        <f aca="false">AA204+'Volumes por intervalo'!P204</f>
        <v>0</v>
      </c>
      <c r="AB205" s="149" t="n">
        <f aca="false">AB204+'Volumes por intervalo'!Q204</f>
        <v>0</v>
      </c>
      <c r="AC205" s="149" t="n">
        <f aca="false">AC204+'Volumes por intervalo'!R204</f>
        <v>0</v>
      </c>
      <c r="AD205" s="149" t="n">
        <f aca="false">AD204+'Volumes por intervalo'!S204</f>
        <v>0</v>
      </c>
    </row>
    <row r="206" customFormat="false" ht="15" hidden="false" customHeight="false" outlineLevel="0" collapsed="false">
      <c r="A206" s="138" t="s">
        <v>1853</v>
      </c>
      <c r="B206" s="146" t="n">
        <v>204</v>
      </c>
      <c r="C206" s="144" t="n">
        <v>4080</v>
      </c>
      <c r="D206" s="138" t="s">
        <v>1565</v>
      </c>
      <c r="E206" s="138" t="s">
        <v>1566</v>
      </c>
      <c r="F206" s="147" t="n">
        <v>11</v>
      </c>
      <c r="G206" s="148" t="n">
        <v>0</v>
      </c>
      <c r="H206" s="148" t="n">
        <v>0</v>
      </c>
      <c r="I206" s="138" t="s">
        <v>1642</v>
      </c>
      <c r="J206" s="138"/>
      <c r="K206" s="146" t="n">
        <f aca="false">Parâmetros!$C$4*(F206+2*Parâmetros!$D$4+Parâmetros!$C$4*Parâmetros!$E$4)</f>
        <v>0.5525</v>
      </c>
      <c r="L206" s="146" t="n">
        <f aca="false">Parâmetros!$C$5*(F206+2*Parâmetros!$D$5+Parâmetros!$C$5*Parâmetros!$E$5)</f>
        <v>1.8176</v>
      </c>
      <c r="M206" s="146" t="n">
        <f aca="false">Parâmetros!$C$6*(F206+2*Parâmetros!$D$6+Parâmetros!$C$6*Parâmetros!$E$6)</f>
        <v>2.384</v>
      </c>
      <c r="N206" s="146" t="n">
        <f aca="false">Parâmetros!$C$7*(F206+2*Parâmetros!$D$7+Parâmetros!$C$7*Parâmetros!$E$7)</f>
        <v>3.786</v>
      </c>
      <c r="O206" s="146" t="n">
        <f aca="false">F206+2*Parâmetros!$D$8</f>
        <v>11.2</v>
      </c>
      <c r="P206" s="146" t="n">
        <f aca="false">F206+2*Parâmetros!$D$10</f>
        <v>12.92</v>
      </c>
      <c r="Q206" s="146" t="n">
        <f aca="false">G206+H206</f>
        <v>0</v>
      </c>
      <c r="S206" s="149" t="n">
        <f aca="false">S205+'Volumes por intervalo'!C205*(F205+F206)/2</f>
        <v>45672</v>
      </c>
      <c r="T206" s="149" t="n">
        <f aca="false">T205+'Volumes por intervalo'!H205</f>
        <v>2293.8</v>
      </c>
      <c r="U206" s="149" t="n">
        <f aca="false">U205+'Volumes por intervalo'!J205</f>
        <v>7542.52799999998</v>
      </c>
      <c r="V206" s="149" t="n">
        <f aca="false">V205+'Volumes por intervalo'!K205</f>
        <v>9885.12000000002</v>
      </c>
      <c r="W206" s="149" t="n">
        <f aca="false">W205+'Volumes por intervalo'!L205</f>
        <v>15684.48</v>
      </c>
      <c r="X206" s="149" t="n">
        <f aca="false">X205+'Volumes por intervalo'!M205</f>
        <v>46488</v>
      </c>
      <c r="Y206" s="149" t="n">
        <f aca="false">Y205+'Volumes por intervalo'!N205</f>
        <v>46488</v>
      </c>
      <c r="Z206" s="149" t="n">
        <f aca="false">Z205+'Volumes por intervalo'!O205</f>
        <v>53505.6000000002</v>
      </c>
      <c r="AA206" s="149" t="n">
        <f aca="false">AA205+'Volumes por intervalo'!P205</f>
        <v>0</v>
      </c>
      <c r="AB206" s="149" t="n">
        <f aca="false">AB205+'Volumes por intervalo'!Q205</f>
        <v>0</v>
      </c>
      <c r="AC206" s="149" t="n">
        <f aca="false">AC205+'Volumes por intervalo'!R205</f>
        <v>0</v>
      </c>
      <c r="AD206" s="149" t="n">
        <f aca="false">AD205+'Volumes por intervalo'!S205</f>
        <v>0</v>
      </c>
    </row>
    <row r="207" customFormat="false" ht="15" hidden="false" customHeight="false" outlineLevel="0" collapsed="false">
      <c r="A207" s="138" t="s">
        <v>1854</v>
      </c>
      <c r="B207" s="146" t="n">
        <v>205</v>
      </c>
      <c r="C207" s="144" t="n">
        <v>4100</v>
      </c>
      <c r="D207" s="138" t="s">
        <v>1565</v>
      </c>
      <c r="E207" s="138" t="s">
        <v>1566</v>
      </c>
      <c r="F207" s="147" t="n">
        <v>11</v>
      </c>
      <c r="G207" s="148" t="n">
        <v>0</v>
      </c>
      <c r="H207" s="148" t="n">
        <v>0</v>
      </c>
      <c r="I207" s="138" t="s">
        <v>1642</v>
      </c>
      <c r="J207" s="138"/>
      <c r="K207" s="146" t="n">
        <f aca="false">Parâmetros!$C$4*(F207+2*Parâmetros!$D$4+Parâmetros!$C$4*Parâmetros!$E$4)</f>
        <v>0.5525</v>
      </c>
      <c r="L207" s="146" t="n">
        <f aca="false">Parâmetros!$C$5*(F207+2*Parâmetros!$D$5+Parâmetros!$C$5*Parâmetros!$E$5)</f>
        <v>1.8176</v>
      </c>
      <c r="M207" s="146" t="n">
        <f aca="false">Parâmetros!$C$6*(F207+2*Parâmetros!$D$6+Parâmetros!$C$6*Parâmetros!$E$6)</f>
        <v>2.384</v>
      </c>
      <c r="N207" s="146" t="n">
        <f aca="false">Parâmetros!$C$7*(F207+2*Parâmetros!$D$7+Parâmetros!$C$7*Parâmetros!$E$7)</f>
        <v>3.786</v>
      </c>
      <c r="O207" s="146" t="n">
        <f aca="false">F207+2*Parâmetros!$D$8</f>
        <v>11.2</v>
      </c>
      <c r="P207" s="146" t="n">
        <f aca="false">F207+2*Parâmetros!$D$10</f>
        <v>12.92</v>
      </c>
      <c r="Q207" s="146" t="n">
        <f aca="false">G207+H207</f>
        <v>0</v>
      </c>
      <c r="S207" s="149" t="n">
        <f aca="false">S206+'Volumes por intervalo'!C206*(F206+F207)/2</f>
        <v>45892</v>
      </c>
      <c r="T207" s="149" t="n">
        <f aca="false">T206+'Volumes por intervalo'!H206</f>
        <v>2304.85</v>
      </c>
      <c r="U207" s="149" t="n">
        <f aca="false">U206+'Volumes por intervalo'!J206</f>
        <v>7578.87999999998</v>
      </c>
      <c r="V207" s="149" t="n">
        <f aca="false">V206+'Volumes por intervalo'!K206</f>
        <v>9932.80000000002</v>
      </c>
      <c r="W207" s="149" t="n">
        <f aca="false">W206+'Volumes por intervalo'!L206</f>
        <v>15760.2</v>
      </c>
      <c r="X207" s="149" t="n">
        <f aca="false">X206+'Volumes por intervalo'!M206</f>
        <v>46712</v>
      </c>
      <c r="Y207" s="149" t="n">
        <f aca="false">Y206+'Volumes por intervalo'!N206</f>
        <v>46712</v>
      </c>
      <c r="Z207" s="149" t="n">
        <f aca="false">Z206+'Volumes por intervalo'!O206</f>
        <v>53764.0000000002</v>
      </c>
      <c r="AA207" s="149" t="n">
        <f aca="false">AA206+'Volumes por intervalo'!P206</f>
        <v>0</v>
      </c>
      <c r="AB207" s="149" t="n">
        <f aca="false">AB206+'Volumes por intervalo'!Q206</f>
        <v>0</v>
      </c>
      <c r="AC207" s="149" t="n">
        <f aca="false">AC206+'Volumes por intervalo'!R206</f>
        <v>0</v>
      </c>
      <c r="AD207" s="149" t="n">
        <f aca="false">AD206+'Volumes por intervalo'!S206</f>
        <v>0</v>
      </c>
    </row>
    <row r="208" customFormat="false" ht="15" hidden="false" customHeight="false" outlineLevel="0" collapsed="false">
      <c r="A208" s="138" t="s">
        <v>1855</v>
      </c>
      <c r="B208" s="146" t="n">
        <v>206</v>
      </c>
      <c r="C208" s="144" t="n">
        <v>4120</v>
      </c>
      <c r="D208" s="138" t="s">
        <v>1565</v>
      </c>
      <c r="E208" s="138" t="s">
        <v>1566</v>
      </c>
      <c r="F208" s="147" t="n">
        <v>11</v>
      </c>
      <c r="G208" s="148" t="n">
        <v>0</v>
      </c>
      <c r="H208" s="148" t="n">
        <v>0</v>
      </c>
      <c r="I208" s="138" t="s">
        <v>1856</v>
      </c>
      <c r="J208" s="138" t="s">
        <v>1857</v>
      </c>
      <c r="K208" s="146" t="n">
        <f aca="false">Parâmetros!$C$4*(F208+2*Parâmetros!$D$4+Parâmetros!$C$4*Parâmetros!$E$4)</f>
        <v>0.5525</v>
      </c>
      <c r="L208" s="146" t="n">
        <f aca="false">Parâmetros!$C$5*(F208+2*Parâmetros!$D$5+Parâmetros!$C$5*Parâmetros!$E$5)</f>
        <v>1.8176</v>
      </c>
      <c r="M208" s="146" t="n">
        <f aca="false">Parâmetros!$C$6*(F208+2*Parâmetros!$D$6+Parâmetros!$C$6*Parâmetros!$E$6)</f>
        <v>2.384</v>
      </c>
      <c r="N208" s="146" t="n">
        <f aca="false">Parâmetros!$C$7*(F208+2*Parâmetros!$D$7+Parâmetros!$C$7*Parâmetros!$E$7)</f>
        <v>3.786</v>
      </c>
      <c r="O208" s="146" t="n">
        <f aca="false">F208+2*Parâmetros!$D$8</f>
        <v>11.2</v>
      </c>
      <c r="P208" s="146" t="n">
        <f aca="false">F208+2*Parâmetros!$D$10</f>
        <v>12.92</v>
      </c>
      <c r="Q208" s="146" t="n">
        <f aca="false">G208+H208</f>
        <v>0</v>
      </c>
      <c r="S208" s="149" t="n">
        <f aca="false">S207+'Volumes por intervalo'!C207*(F207+F208)/2</f>
        <v>46112</v>
      </c>
      <c r="T208" s="149" t="n">
        <f aca="false">T207+'Volumes por intervalo'!H207</f>
        <v>2315.9</v>
      </c>
      <c r="U208" s="149" t="n">
        <f aca="false">U207+'Volumes por intervalo'!J207</f>
        <v>7615.23199999998</v>
      </c>
      <c r="V208" s="149" t="n">
        <f aca="false">V207+'Volumes por intervalo'!K207</f>
        <v>9980.48000000002</v>
      </c>
      <c r="W208" s="149" t="n">
        <f aca="false">W207+'Volumes por intervalo'!L207</f>
        <v>15835.92</v>
      </c>
      <c r="X208" s="149" t="n">
        <f aca="false">X207+'Volumes por intervalo'!M207</f>
        <v>46936</v>
      </c>
      <c r="Y208" s="149" t="n">
        <f aca="false">Y207+'Volumes por intervalo'!N207</f>
        <v>46936</v>
      </c>
      <c r="Z208" s="149" t="n">
        <f aca="false">Z207+'Volumes por intervalo'!O207</f>
        <v>54022.4000000002</v>
      </c>
      <c r="AA208" s="149" t="n">
        <f aca="false">AA207+'Volumes por intervalo'!P207</f>
        <v>0</v>
      </c>
      <c r="AB208" s="149" t="n">
        <f aca="false">AB207+'Volumes por intervalo'!Q207</f>
        <v>0</v>
      </c>
      <c r="AC208" s="149" t="n">
        <f aca="false">AC207+'Volumes por intervalo'!R207</f>
        <v>0</v>
      </c>
      <c r="AD208" s="149" t="n">
        <f aca="false">AD207+'Volumes por intervalo'!S207</f>
        <v>0</v>
      </c>
    </row>
    <row r="209" customFormat="false" ht="15" hidden="false" customHeight="false" outlineLevel="0" collapsed="false">
      <c r="A209" s="138" t="s">
        <v>1858</v>
      </c>
      <c r="B209" s="146" t="n">
        <v>207</v>
      </c>
      <c r="C209" s="144" t="n">
        <v>4140</v>
      </c>
      <c r="D209" s="138" t="s">
        <v>1565</v>
      </c>
      <c r="E209" s="138" t="s">
        <v>1566</v>
      </c>
      <c r="F209" s="147" t="n">
        <v>11</v>
      </c>
      <c r="G209" s="148" t="n">
        <v>0</v>
      </c>
      <c r="H209" s="148" t="n">
        <v>0</v>
      </c>
      <c r="I209" s="138" t="s">
        <v>1642</v>
      </c>
      <c r="J209" s="138" t="s">
        <v>1859</v>
      </c>
      <c r="K209" s="146" t="n">
        <f aca="false">Parâmetros!$C$4*(F209+2*Parâmetros!$D$4+Parâmetros!$C$4*Parâmetros!$E$4)</f>
        <v>0.5525</v>
      </c>
      <c r="L209" s="146" t="n">
        <f aca="false">Parâmetros!$C$5*(F209+2*Parâmetros!$D$5+Parâmetros!$C$5*Parâmetros!$E$5)</f>
        <v>1.8176</v>
      </c>
      <c r="M209" s="146" t="n">
        <f aca="false">Parâmetros!$C$6*(F209+2*Parâmetros!$D$6+Parâmetros!$C$6*Parâmetros!$E$6)</f>
        <v>2.384</v>
      </c>
      <c r="N209" s="146" t="n">
        <f aca="false">Parâmetros!$C$7*(F209+2*Parâmetros!$D$7+Parâmetros!$C$7*Parâmetros!$E$7)</f>
        <v>3.786</v>
      </c>
      <c r="O209" s="146" t="n">
        <f aca="false">F209+2*Parâmetros!$D$8</f>
        <v>11.2</v>
      </c>
      <c r="P209" s="146" t="n">
        <f aca="false">F209+2*Parâmetros!$D$10</f>
        <v>12.92</v>
      </c>
      <c r="Q209" s="146" t="n">
        <f aca="false">G209+H209</f>
        <v>0</v>
      </c>
      <c r="S209" s="149" t="n">
        <f aca="false">S208+'Volumes por intervalo'!C208*(F208+F209)/2</f>
        <v>46332</v>
      </c>
      <c r="T209" s="149" t="n">
        <f aca="false">T208+'Volumes por intervalo'!H208</f>
        <v>2326.95</v>
      </c>
      <c r="U209" s="149" t="n">
        <f aca="false">U208+'Volumes por intervalo'!J208</f>
        <v>7651.58399999998</v>
      </c>
      <c r="V209" s="149" t="n">
        <f aca="false">V208+'Volumes por intervalo'!K208</f>
        <v>10028.16</v>
      </c>
      <c r="W209" s="149" t="n">
        <f aca="false">W208+'Volumes por intervalo'!L208</f>
        <v>15911.64</v>
      </c>
      <c r="X209" s="149" t="n">
        <f aca="false">X208+'Volumes por intervalo'!M208</f>
        <v>47160</v>
      </c>
      <c r="Y209" s="149" t="n">
        <f aca="false">Y208+'Volumes por intervalo'!N208</f>
        <v>47160</v>
      </c>
      <c r="Z209" s="149" t="n">
        <f aca="false">Z208+'Volumes por intervalo'!O208</f>
        <v>54280.8000000002</v>
      </c>
      <c r="AA209" s="149" t="n">
        <f aca="false">AA208+'Volumes por intervalo'!P208</f>
        <v>0</v>
      </c>
      <c r="AB209" s="149" t="n">
        <f aca="false">AB208+'Volumes por intervalo'!Q208</f>
        <v>0</v>
      </c>
      <c r="AC209" s="149" t="n">
        <f aca="false">AC208+'Volumes por intervalo'!R208</f>
        <v>0</v>
      </c>
      <c r="AD209" s="149" t="n">
        <f aca="false">AD208+'Volumes por intervalo'!S208</f>
        <v>0</v>
      </c>
    </row>
    <row r="210" customFormat="false" ht="15" hidden="false" customHeight="false" outlineLevel="0" collapsed="false">
      <c r="A210" s="138" t="s">
        <v>1860</v>
      </c>
      <c r="B210" s="146" t="n">
        <v>208</v>
      </c>
      <c r="C210" s="144" t="n">
        <v>4160</v>
      </c>
      <c r="D210" s="138" t="s">
        <v>1565</v>
      </c>
      <c r="E210" s="138" t="s">
        <v>1566</v>
      </c>
      <c r="F210" s="147" t="n">
        <v>11</v>
      </c>
      <c r="G210" s="148" t="n">
        <v>0</v>
      </c>
      <c r="H210" s="148" t="n">
        <v>0</v>
      </c>
      <c r="I210" s="138" t="s">
        <v>1642</v>
      </c>
      <c r="J210" s="138"/>
      <c r="K210" s="146" t="n">
        <f aca="false">Parâmetros!$C$4*(F210+2*Parâmetros!$D$4+Parâmetros!$C$4*Parâmetros!$E$4)</f>
        <v>0.5525</v>
      </c>
      <c r="L210" s="146" t="n">
        <f aca="false">Parâmetros!$C$5*(F210+2*Parâmetros!$D$5+Parâmetros!$C$5*Parâmetros!$E$5)</f>
        <v>1.8176</v>
      </c>
      <c r="M210" s="146" t="n">
        <f aca="false">Parâmetros!$C$6*(F210+2*Parâmetros!$D$6+Parâmetros!$C$6*Parâmetros!$E$6)</f>
        <v>2.384</v>
      </c>
      <c r="N210" s="146" t="n">
        <f aca="false">Parâmetros!$C$7*(F210+2*Parâmetros!$D$7+Parâmetros!$C$7*Parâmetros!$E$7)</f>
        <v>3.786</v>
      </c>
      <c r="O210" s="146" t="n">
        <f aca="false">F210+2*Parâmetros!$D$8</f>
        <v>11.2</v>
      </c>
      <c r="P210" s="146" t="n">
        <f aca="false">F210+2*Parâmetros!$D$10</f>
        <v>12.92</v>
      </c>
      <c r="Q210" s="146" t="n">
        <f aca="false">G210+H210</f>
        <v>0</v>
      </c>
      <c r="S210" s="149" t="n">
        <f aca="false">S209+'Volumes por intervalo'!C209*(F209+F210)/2</f>
        <v>46552</v>
      </c>
      <c r="T210" s="149" t="n">
        <f aca="false">T209+'Volumes por intervalo'!H209</f>
        <v>2338</v>
      </c>
      <c r="U210" s="149" t="n">
        <f aca="false">U209+'Volumes por intervalo'!J209</f>
        <v>7687.93599999998</v>
      </c>
      <c r="V210" s="149" t="n">
        <f aca="false">V209+'Volumes por intervalo'!K209</f>
        <v>10075.84</v>
      </c>
      <c r="W210" s="149" t="n">
        <f aca="false">W209+'Volumes por intervalo'!L209</f>
        <v>15987.36</v>
      </c>
      <c r="X210" s="149" t="n">
        <f aca="false">X209+'Volumes por intervalo'!M209</f>
        <v>47384</v>
      </c>
      <c r="Y210" s="149" t="n">
        <f aca="false">Y209+'Volumes por intervalo'!N209</f>
        <v>47384</v>
      </c>
      <c r="Z210" s="149" t="n">
        <f aca="false">Z209+'Volumes por intervalo'!O209</f>
        <v>54539.2000000002</v>
      </c>
      <c r="AA210" s="149" t="n">
        <f aca="false">AA209+'Volumes por intervalo'!P209</f>
        <v>0</v>
      </c>
      <c r="AB210" s="149" t="n">
        <f aca="false">AB209+'Volumes por intervalo'!Q209</f>
        <v>0</v>
      </c>
      <c r="AC210" s="149" t="n">
        <f aca="false">AC209+'Volumes por intervalo'!R209</f>
        <v>0</v>
      </c>
      <c r="AD210" s="149" t="n">
        <f aca="false">AD209+'Volumes por intervalo'!S209</f>
        <v>0</v>
      </c>
    </row>
    <row r="211" customFormat="false" ht="15" hidden="false" customHeight="false" outlineLevel="0" collapsed="false">
      <c r="A211" s="138" t="s">
        <v>1861</v>
      </c>
      <c r="B211" s="146" t="n">
        <v>209</v>
      </c>
      <c r="C211" s="144" t="n">
        <v>4180</v>
      </c>
      <c r="D211" s="138" t="s">
        <v>1565</v>
      </c>
      <c r="E211" s="138" t="s">
        <v>1566</v>
      </c>
      <c r="F211" s="147" t="n">
        <v>12.3</v>
      </c>
      <c r="G211" s="148" t="n">
        <v>0</v>
      </c>
      <c r="H211" s="148" t="n">
        <v>0</v>
      </c>
      <c r="I211" s="138" t="s">
        <v>1642</v>
      </c>
      <c r="J211" s="138"/>
      <c r="K211" s="146" t="n">
        <f aca="false">Parâmetros!$C$4*(F211+2*Parâmetros!$D$4+Parâmetros!$C$4*Parâmetros!$E$4)</f>
        <v>0.6175</v>
      </c>
      <c r="L211" s="146" t="n">
        <f aca="false">Parâmetros!$C$5*(F211+2*Parâmetros!$D$5+Parâmetros!$C$5*Parâmetros!$E$5)</f>
        <v>2.0256</v>
      </c>
      <c r="M211" s="146" t="n">
        <f aca="false">Parâmetros!$C$6*(F211+2*Parâmetros!$D$6+Parâmetros!$C$6*Parâmetros!$E$6)</f>
        <v>2.644</v>
      </c>
      <c r="N211" s="146" t="n">
        <f aca="false">Parâmetros!$C$7*(F211+2*Parâmetros!$D$7+Parâmetros!$C$7*Parâmetros!$E$7)</f>
        <v>4.176</v>
      </c>
      <c r="O211" s="146" t="n">
        <f aca="false">F211+2*Parâmetros!$D$8</f>
        <v>12.5</v>
      </c>
      <c r="P211" s="146" t="n">
        <f aca="false">F211+2*Parâmetros!$D$10</f>
        <v>14.22</v>
      </c>
      <c r="Q211" s="146" t="n">
        <f aca="false">G211+H211</f>
        <v>0</v>
      </c>
      <c r="S211" s="149" t="n">
        <f aca="false">S210+'Volumes por intervalo'!C210*(F210+F211)/2</f>
        <v>46785</v>
      </c>
      <c r="T211" s="149" t="n">
        <f aca="false">T210+'Volumes por intervalo'!H210</f>
        <v>2349.7</v>
      </c>
      <c r="U211" s="149" t="n">
        <f aca="false">U210+'Volumes por intervalo'!J210</f>
        <v>7726.36799999998</v>
      </c>
      <c r="V211" s="149" t="n">
        <f aca="false">V210+'Volumes por intervalo'!K210</f>
        <v>10126.12</v>
      </c>
      <c r="W211" s="149" t="n">
        <f aca="false">W210+'Volumes por intervalo'!L210</f>
        <v>16066.98</v>
      </c>
      <c r="X211" s="149" t="n">
        <f aca="false">X210+'Volumes por intervalo'!M210</f>
        <v>47621</v>
      </c>
      <c r="Y211" s="149" t="n">
        <f aca="false">Y210+'Volumes por intervalo'!N210</f>
        <v>47621</v>
      </c>
      <c r="Z211" s="149" t="n">
        <f aca="false">Z210+'Volumes por intervalo'!O210</f>
        <v>54810.6000000002</v>
      </c>
      <c r="AA211" s="149" t="n">
        <f aca="false">AA210+'Volumes por intervalo'!P210</f>
        <v>0</v>
      </c>
      <c r="AB211" s="149" t="n">
        <f aca="false">AB210+'Volumes por intervalo'!Q210</f>
        <v>0</v>
      </c>
      <c r="AC211" s="149" t="n">
        <f aca="false">AC210+'Volumes por intervalo'!R210</f>
        <v>0</v>
      </c>
      <c r="AD211" s="149" t="n">
        <f aca="false">AD210+'Volumes por intervalo'!S210</f>
        <v>0</v>
      </c>
    </row>
    <row r="212" customFormat="false" ht="15" hidden="false" customHeight="false" outlineLevel="0" collapsed="false">
      <c r="A212" s="138" t="s">
        <v>1862</v>
      </c>
      <c r="B212" s="146" t="n">
        <v>210</v>
      </c>
      <c r="C212" s="144" t="n">
        <v>4200</v>
      </c>
      <c r="D212" s="138" t="s">
        <v>1565</v>
      </c>
      <c r="E212" s="138" t="s">
        <v>1566</v>
      </c>
      <c r="F212" s="147" t="n">
        <v>15</v>
      </c>
      <c r="G212" s="148" t="n">
        <v>0</v>
      </c>
      <c r="H212" s="148" t="n">
        <v>0</v>
      </c>
      <c r="I212" s="138" t="s">
        <v>1642</v>
      </c>
      <c r="J212" s="138"/>
      <c r="K212" s="146" t="n">
        <f aca="false">Parâmetros!$C$4*(F212+2*Parâmetros!$D$4+Parâmetros!$C$4*Parâmetros!$E$4)</f>
        <v>0.7525</v>
      </c>
      <c r="L212" s="146" t="n">
        <f aca="false">Parâmetros!$C$5*(F212+2*Parâmetros!$D$5+Parâmetros!$C$5*Parâmetros!$E$5)</f>
        <v>2.4576</v>
      </c>
      <c r="M212" s="146" t="n">
        <f aca="false">Parâmetros!$C$6*(F212+2*Parâmetros!$D$6+Parâmetros!$C$6*Parâmetros!$E$6)</f>
        <v>3.184</v>
      </c>
      <c r="N212" s="146" t="n">
        <f aca="false">Parâmetros!$C$7*(F212+2*Parâmetros!$D$7+Parâmetros!$C$7*Parâmetros!$E$7)</f>
        <v>4.986</v>
      </c>
      <c r="O212" s="146" t="n">
        <f aca="false">F212+2*Parâmetros!$D$8</f>
        <v>15.2</v>
      </c>
      <c r="P212" s="146" t="n">
        <f aca="false">F212+2*Parâmetros!$D$10</f>
        <v>16.92</v>
      </c>
      <c r="Q212" s="146" t="n">
        <f aca="false">G212+H212</f>
        <v>0</v>
      </c>
      <c r="S212" s="149" t="n">
        <f aca="false">S211+'Volumes por intervalo'!C211*(F211+F212)/2</f>
        <v>47058</v>
      </c>
      <c r="T212" s="149" t="n">
        <f aca="false">T211+'Volumes por intervalo'!H211</f>
        <v>2363.4</v>
      </c>
      <c r="U212" s="149" t="n">
        <f aca="false">U211+'Volumes por intervalo'!J211</f>
        <v>7771.19999999998</v>
      </c>
      <c r="V212" s="149" t="n">
        <f aca="false">V211+'Volumes por intervalo'!K211</f>
        <v>10184.4</v>
      </c>
      <c r="W212" s="149" t="n">
        <f aca="false">W211+'Volumes por intervalo'!L211</f>
        <v>16158.6</v>
      </c>
      <c r="X212" s="149" t="n">
        <f aca="false">X211+'Volumes por intervalo'!M211</f>
        <v>47898</v>
      </c>
      <c r="Y212" s="149" t="n">
        <f aca="false">Y211+'Volumes por intervalo'!N211</f>
        <v>47898</v>
      </c>
      <c r="Z212" s="149" t="n">
        <f aca="false">Z211+'Volumes por intervalo'!O211</f>
        <v>55122.0000000002</v>
      </c>
      <c r="AA212" s="149" t="n">
        <f aca="false">AA211+'Volumes por intervalo'!P211</f>
        <v>0</v>
      </c>
      <c r="AB212" s="149" t="n">
        <f aca="false">AB211+'Volumes por intervalo'!Q211</f>
        <v>0</v>
      </c>
      <c r="AC212" s="149" t="n">
        <f aca="false">AC211+'Volumes por intervalo'!R211</f>
        <v>0</v>
      </c>
      <c r="AD212" s="149" t="n">
        <f aca="false">AD211+'Volumes por intervalo'!S211</f>
        <v>0</v>
      </c>
    </row>
    <row r="213" customFormat="false" ht="15" hidden="false" customHeight="false" outlineLevel="0" collapsed="false">
      <c r="A213" s="138" t="s">
        <v>1863</v>
      </c>
      <c r="B213" s="146" t="n">
        <v>211</v>
      </c>
      <c r="C213" s="144" t="n">
        <v>4220</v>
      </c>
      <c r="D213" s="138" t="s">
        <v>1565</v>
      </c>
      <c r="E213" s="138" t="s">
        <v>1566</v>
      </c>
      <c r="F213" s="147" t="n">
        <v>16.7</v>
      </c>
      <c r="G213" s="148" t="n">
        <v>0</v>
      </c>
      <c r="H213" s="148" t="n">
        <v>0</v>
      </c>
      <c r="I213" s="138" t="s">
        <v>1642</v>
      </c>
      <c r="J213" s="138" t="s">
        <v>1764</v>
      </c>
      <c r="K213" s="146" t="n">
        <f aca="false">Parâmetros!$C$4*(F213+2*Parâmetros!$D$4+Parâmetros!$C$4*Parâmetros!$E$4)</f>
        <v>0.8375</v>
      </c>
      <c r="L213" s="146" t="n">
        <f aca="false">Parâmetros!$C$5*(F213+2*Parâmetros!$D$5+Parâmetros!$C$5*Parâmetros!$E$5)</f>
        <v>2.7296</v>
      </c>
      <c r="M213" s="146" t="n">
        <f aca="false">Parâmetros!$C$6*(F213+2*Parâmetros!$D$6+Parâmetros!$C$6*Parâmetros!$E$6)</f>
        <v>3.524</v>
      </c>
      <c r="N213" s="146" t="n">
        <f aca="false">Parâmetros!$C$7*(F213+2*Parâmetros!$D$7+Parâmetros!$C$7*Parâmetros!$E$7)</f>
        <v>5.496</v>
      </c>
      <c r="O213" s="146" t="n">
        <f aca="false">F213+2*Parâmetros!$D$8</f>
        <v>16.9</v>
      </c>
      <c r="P213" s="146" t="n">
        <f aca="false">F213+2*Parâmetros!$D$10</f>
        <v>18.62</v>
      </c>
      <c r="Q213" s="146" t="n">
        <f aca="false">G213+H213</f>
        <v>0</v>
      </c>
      <c r="S213" s="149" t="n">
        <f aca="false">S212+'Volumes por intervalo'!C212*(F212+F213)/2</f>
        <v>47375</v>
      </c>
      <c r="T213" s="149" t="n">
        <f aca="false">T212+'Volumes por intervalo'!H212</f>
        <v>2379.3</v>
      </c>
      <c r="U213" s="149" t="n">
        <f aca="false">U212+'Volumes por intervalo'!J212</f>
        <v>7823.07199999998</v>
      </c>
      <c r="V213" s="149" t="n">
        <f aca="false">V212+'Volumes por intervalo'!K212</f>
        <v>10251.48</v>
      </c>
      <c r="W213" s="149" t="n">
        <f aca="false">W212+'Volumes por intervalo'!L212</f>
        <v>16263.42</v>
      </c>
      <c r="X213" s="149" t="n">
        <f aca="false">X212+'Volumes por intervalo'!M212</f>
        <v>48219</v>
      </c>
      <c r="Y213" s="149" t="n">
        <f aca="false">Y212+'Volumes por intervalo'!N212</f>
        <v>48219</v>
      </c>
      <c r="Z213" s="149" t="n">
        <f aca="false">Z212+'Volumes por intervalo'!O212</f>
        <v>55477.4000000002</v>
      </c>
      <c r="AA213" s="149" t="n">
        <f aca="false">AA212+'Volumes por intervalo'!P212</f>
        <v>0</v>
      </c>
      <c r="AB213" s="149" t="n">
        <f aca="false">AB212+'Volumes por intervalo'!Q212</f>
        <v>0</v>
      </c>
      <c r="AC213" s="149" t="n">
        <f aca="false">AC212+'Volumes por intervalo'!R212</f>
        <v>0</v>
      </c>
      <c r="AD213" s="149" t="n">
        <f aca="false">AD212+'Volumes por intervalo'!S212</f>
        <v>0</v>
      </c>
    </row>
    <row r="214" customFormat="false" ht="15" hidden="false" customHeight="false" outlineLevel="0" collapsed="false">
      <c r="A214" s="138" t="s">
        <v>1864</v>
      </c>
      <c r="B214" s="146" t="n">
        <v>212</v>
      </c>
      <c r="C214" s="144" t="n">
        <v>4240</v>
      </c>
      <c r="D214" s="138" t="s">
        <v>1565</v>
      </c>
      <c r="E214" s="138" t="s">
        <v>1566</v>
      </c>
      <c r="F214" s="147" t="n">
        <v>15.5</v>
      </c>
      <c r="G214" s="148" t="n">
        <v>0</v>
      </c>
      <c r="H214" s="148" t="n">
        <v>0</v>
      </c>
      <c r="I214" s="138" t="s">
        <v>1642</v>
      </c>
      <c r="J214" s="138" t="s">
        <v>1766</v>
      </c>
      <c r="K214" s="146" t="n">
        <f aca="false">Parâmetros!$C$4*(F214+2*Parâmetros!$D$4+Parâmetros!$C$4*Parâmetros!$E$4)</f>
        <v>0.7775</v>
      </c>
      <c r="L214" s="146" t="n">
        <f aca="false">Parâmetros!$C$5*(F214+2*Parâmetros!$D$5+Parâmetros!$C$5*Parâmetros!$E$5)</f>
        <v>2.5376</v>
      </c>
      <c r="M214" s="146" t="n">
        <f aca="false">Parâmetros!$C$6*(F214+2*Parâmetros!$D$6+Parâmetros!$C$6*Parâmetros!$E$6)</f>
        <v>3.284</v>
      </c>
      <c r="N214" s="146" t="n">
        <f aca="false">Parâmetros!$C$7*(F214+2*Parâmetros!$D$7+Parâmetros!$C$7*Parâmetros!$E$7)</f>
        <v>5.136</v>
      </c>
      <c r="O214" s="146" t="n">
        <f aca="false">F214+2*Parâmetros!$D$8</f>
        <v>15.7</v>
      </c>
      <c r="P214" s="146" t="n">
        <f aca="false">F214+2*Parâmetros!$D$10</f>
        <v>17.42</v>
      </c>
      <c r="Q214" s="146" t="n">
        <f aca="false">G214+H214</f>
        <v>0</v>
      </c>
      <c r="S214" s="149" t="n">
        <f aca="false">S213+'Volumes por intervalo'!C213*(F213+F214)/2</f>
        <v>47697</v>
      </c>
      <c r="T214" s="149" t="n">
        <f aca="false">T213+'Volumes por intervalo'!H213</f>
        <v>2395.45</v>
      </c>
      <c r="U214" s="149" t="n">
        <f aca="false">U213+'Volumes por intervalo'!J213</f>
        <v>7875.74399999998</v>
      </c>
      <c r="V214" s="149" t="n">
        <f aca="false">V213+'Volumes por intervalo'!K213</f>
        <v>10319.56</v>
      </c>
      <c r="W214" s="149" t="n">
        <f aca="false">W213+'Volumes por intervalo'!L213</f>
        <v>16369.74</v>
      </c>
      <c r="X214" s="149" t="n">
        <f aca="false">X213+'Volumes por intervalo'!M213</f>
        <v>48545</v>
      </c>
      <c r="Y214" s="149" t="n">
        <f aca="false">Y213+'Volumes por intervalo'!N213</f>
        <v>48545</v>
      </c>
      <c r="Z214" s="149" t="n">
        <f aca="false">Z213+'Volumes por intervalo'!O213</f>
        <v>55837.8000000002</v>
      </c>
      <c r="AA214" s="149" t="n">
        <f aca="false">AA213+'Volumes por intervalo'!P213</f>
        <v>0</v>
      </c>
      <c r="AB214" s="149" t="n">
        <f aca="false">AB213+'Volumes por intervalo'!Q213</f>
        <v>0</v>
      </c>
      <c r="AC214" s="149" t="n">
        <f aca="false">AC213+'Volumes por intervalo'!R213</f>
        <v>0</v>
      </c>
      <c r="AD214" s="149" t="n">
        <f aca="false">AD213+'Volumes por intervalo'!S213</f>
        <v>0</v>
      </c>
    </row>
    <row r="215" customFormat="false" ht="15" hidden="false" customHeight="false" outlineLevel="0" collapsed="false">
      <c r="A215" s="138" t="s">
        <v>1865</v>
      </c>
      <c r="B215" s="146" t="n">
        <v>213</v>
      </c>
      <c r="C215" s="144" t="n">
        <v>4260</v>
      </c>
      <c r="D215" s="138" t="s">
        <v>1565</v>
      </c>
      <c r="E215" s="138" t="s">
        <v>1566</v>
      </c>
      <c r="F215" s="147" t="n">
        <v>12.7</v>
      </c>
      <c r="G215" s="148" t="n">
        <v>0</v>
      </c>
      <c r="H215" s="148" t="n">
        <v>0</v>
      </c>
      <c r="I215" s="138" t="s">
        <v>1642</v>
      </c>
      <c r="J215" s="138" t="s">
        <v>1766</v>
      </c>
      <c r="K215" s="146" t="n">
        <f aca="false">Parâmetros!$C$4*(F215+2*Parâmetros!$D$4+Parâmetros!$C$4*Parâmetros!$E$4)</f>
        <v>0.6375</v>
      </c>
      <c r="L215" s="146" t="n">
        <f aca="false">Parâmetros!$C$5*(F215+2*Parâmetros!$D$5+Parâmetros!$C$5*Parâmetros!$E$5)</f>
        <v>2.0896</v>
      </c>
      <c r="M215" s="146" t="n">
        <f aca="false">Parâmetros!$C$6*(F215+2*Parâmetros!$D$6+Parâmetros!$C$6*Parâmetros!$E$6)</f>
        <v>2.724</v>
      </c>
      <c r="N215" s="146" t="n">
        <f aca="false">Parâmetros!$C$7*(F215+2*Parâmetros!$D$7+Parâmetros!$C$7*Parâmetros!$E$7)</f>
        <v>4.296</v>
      </c>
      <c r="O215" s="146" t="n">
        <f aca="false">F215+2*Parâmetros!$D$8</f>
        <v>12.9</v>
      </c>
      <c r="P215" s="146" t="n">
        <f aca="false">F215+2*Parâmetros!$D$10</f>
        <v>14.62</v>
      </c>
      <c r="Q215" s="146" t="n">
        <f aca="false">G215+H215</f>
        <v>0</v>
      </c>
      <c r="S215" s="149" t="n">
        <f aca="false">S214+'Volumes por intervalo'!C214*(F214+F215)/2</f>
        <v>47979</v>
      </c>
      <c r="T215" s="149" t="n">
        <f aca="false">T214+'Volumes por intervalo'!H214</f>
        <v>2409.6</v>
      </c>
      <c r="U215" s="149" t="n">
        <f aca="false">U214+'Volumes por intervalo'!J214</f>
        <v>7922.01599999998</v>
      </c>
      <c r="V215" s="149" t="n">
        <f aca="false">V214+'Volumes por intervalo'!K214</f>
        <v>10379.64</v>
      </c>
      <c r="W215" s="149" t="n">
        <f aca="false">W214+'Volumes por intervalo'!L214</f>
        <v>16464.06</v>
      </c>
      <c r="X215" s="149" t="n">
        <f aca="false">X214+'Volumes por intervalo'!M214</f>
        <v>48831</v>
      </c>
      <c r="Y215" s="149" t="n">
        <f aca="false">Y214+'Volumes por intervalo'!N214</f>
        <v>48831</v>
      </c>
      <c r="Z215" s="149" t="n">
        <f aca="false">Z214+'Volumes por intervalo'!O214</f>
        <v>56158.2000000002</v>
      </c>
      <c r="AA215" s="149" t="n">
        <f aca="false">AA214+'Volumes por intervalo'!P214</f>
        <v>0</v>
      </c>
      <c r="AB215" s="149" t="n">
        <f aca="false">AB214+'Volumes por intervalo'!Q214</f>
        <v>0</v>
      </c>
      <c r="AC215" s="149" t="n">
        <f aca="false">AC214+'Volumes por intervalo'!R214</f>
        <v>0</v>
      </c>
      <c r="AD215" s="149" t="n">
        <f aca="false">AD214+'Volumes por intervalo'!S214</f>
        <v>0</v>
      </c>
    </row>
    <row r="216" customFormat="false" ht="15" hidden="false" customHeight="false" outlineLevel="0" collapsed="false">
      <c r="A216" s="138" t="s">
        <v>1866</v>
      </c>
      <c r="B216" s="146" t="n">
        <v>214</v>
      </c>
      <c r="C216" s="144" t="n">
        <v>4280</v>
      </c>
      <c r="D216" s="138" t="s">
        <v>1565</v>
      </c>
      <c r="E216" s="138" t="s">
        <v>1566</v>
      </c>
      <c r="F216" s="147" t="n">
        <v>11.1</v>
      </c>
      <c r="G216" s="148" t="n">
        <v>0</v>
      </c>
      <c r="H216" s="148" t="n">
        <v>0</v>
      </c>
      <c r="I216" s="138" t="s">
        <v>1642</v>
      </c>
      <c r="J216" s="138" t="s">
        <v>1766</v>
      </c>
      <c r="K216" s="146" t="n">
        <f aca="false">Parâmetros!$C$4*(F216+2*Parâmetros!$D$4+Parâmetros!$C$4*Parâmetros!$E$4)</f>
        <v>0.5575</v>
      </c>
      <c r="L216" s="146" t="n">
        <f aca="false">Parâmetros!$C$5*(F216+2*Parâmetros!$D$5+Parâmetros!$C$5*Parâmetros!$E$5)</f>
        <v>1.8336</v>
      </c>
      <c r="M216" s="146" t="n">
        <f aca="false">Parâmetros!$C$6*(F216+2*Parâmetros!$D$6+Parâmetros!$C$6*Parâmetros!$E$6)</f>
        <v>2.404</v>
      </c>
      <c r="N216" s="146" t="n">
        <f aca="false">Parâmetros!$C$7*(F216+2*Parâmetros!$D$7+Parâmetros!$C$7*Parâmetros!$E$7)</f>
        <v>3.816</v>
      </c>
      <c r="O216" s="146" t="n">
        <f aca="false">F216+2*Parâmetros!$D$8</f>
        <v>11.3</v>
      </c>
      <c r="P216" s="146" t="n">
        <f aca="false">F216+2*Parâmetros!$D$10</f>
        <v>13.02</v>
      </c>
      <c r="Q216" s="146" t="n">
        <f aca="false">G216+H216</f>
        <v>0</v>
      </c>
      <c r="S216" s="149" t="n">
        <f aca="false">S215+'Volumes por intervalo'!C215*(F215+F216)/2</f>
        <v>48217</v>
      </c>
      <c r="T216" s="149" t="n">
        <f aca="false">T215+'Volumes por intervalo'!H215</f>
        <v>2421.55</v>
      </c>
      <c r="U216" s="149" t="n">
        <f aca="false">U215+'Volumes por intervalo'!J215</f>
        <v>7961.24799999998</v>
      </c>
      <c r="V216" s="149" t="n">
        <f aca="false">V215+'Volumes por intervalo'!K215</f>
        <v>10430.92</v>
      </c>
      <c r="W216" s="149" t="n">
        <f aca="false">W215+'Volumes por intervalo'!L215</f>
        <v>16545.18</v>
      </c>
      <c r="X216" s="149" t="n">
        <f aca="false">X215+'Volumes por intervalo'!M215</f>
        <v>49073</v>
      </c>
      <c r="Y216" s="149" t="n">
        <f aca="false">Y215+'Volumes por intervalo'!N215</f>
        <v>49073</v>
      </c>
      <c r="Z216" s="149" t="n">
        <f aca="false">Z215+'Volumes por intervalo'!O215</f>
        <v>56434.6000000002</v>
      </c>
      <c r="AA216" s="149" t="n">
        <f aca="false">AA215+'Volumes por intervalo'!P215</f>
        <v>0</v>
      </c>
      <c r="AB216" s="149" t="n">
        <f aca="false">AB215+'Volumes por intervalo'!Q215</f>
        <v>0</v>
      </c>
      <c r="AC216" s="149" t="n">
        <f aca="false">AC215+'Volumes por intervalo'!R215</f>
        <v>0</v>
      </c>
      <c r="AD216" s="149" t="n">
        <f aca="false">AD215+'Volumes por intervalo'!S215</f>
        <v>0</v>
      </c>
    </row>
    <row r="217" customFormat="false" ht="15" hidden="false" customHeight="false" outlineLevel="0" collapsed="false">
      <c r="A217" s="138" t="s">
        <v>1867</v>
      </c>
      <c r="B217" s="146" t="n">
        <v>215</v>
      </c>
      <c r="C217" s="144" t="n">
        <v>4300</v>
      </c>
      <c r="D217" s="138" t="s">
        <v>1565</v>
      </c>
      <c r="E217" s="138" t="s">
        <v>1566</v>
      </c>
      <c r="F217" s="147" t="n">
        <v>11</v>
      </c>
      <c r="G217" s="148" t="n">
        <v>0</v>
      </c>
      <c r="H217" s="148" t="n">
        <v>0</v>
      </c>
      <c r="I217" s="138" t="s">
        <v>1642</v>
      </c>
      <c r="J217" s="138" t="s">
        <v>1766</v>
      </c>
      <c r="K217" s="146" t="n">
        <f aca="false">Parâmetros!$C$4*(F217+2*Parâmetros!$D$4+Parâmetros!$C$4*Parâmetros!$E$4)</f>
        <v>0.5525</v>
      </c>
      <c r="L217" s="146" t="n">
        <f aca="false">Parâmetros!$C$5*(F217+2*Parâmetros!$D$5+Parâmetros!$C$5*Parâmetros!$E$5)</f>
        <v>1.8176</v>
      </c>
      <c r="M217" s="146" t="n">
        <f aca="false">Parâmetros!$C$6*(F217+2*Parâmetros!$D$6+Parâmetros!$C$6*Parâmetros!$E$6)</f>
        <v>2.384</v>
      </c>
      <c r="N217" s="146" t="n">
        <f aca="false">Parâmetros!$C$7*(F217+2*Parâmetros!$D$7+Parâmetros!$C$7*Parâmetros!$E$7)</f>
        <v>3.786</v>
      </c>
      <c r="O217" s="146" t="n">
        <f aca="false">F217+2*Parâmetros!$D$8</f>
        <v>11.2</v>
      </c>
      <c r="P217" s="146" t="n">
        <f aca="false">F217+2*Parâmetros!$D$10</f>
        <v>12.92</v>
      </c>
      <c r="Q217" s="146" t="n">
        <f aca="false">G217+H217</f>
        <v>0</v>
      </c>
      <c r="S217" s="149" t="n">
        <f aca="false">S216+'Volumes por intervalo'!C216*(F216+F217)/2</f>
        <v>48438</v>
      </c>
      <c r="T217" s="149" t="n">
        <f aca="false">T216+'Volumes por intervalo'!H216</f>
        <v>2432.65</v>
      </c>
      <c r="U217" s="149" t="n">
        <f aca="false">U216+'Volumes por intervalo'!J216</f>
        <v>7997.75999999998</v>
      </c>
      <c r="V217" s="149" t="n">
        <f aca="false">V216+'Volumes por intervalo'!K216</f>
        <v>10478.8</v>
      </c>
      <c r="W217" s="149" t="n">
        <f aca="false">W216+'Volumes por intervalo'!L216</f>
        <v>16621.2</v>
      </c>
      <c r="X217" s="149" t="n">
        <f aca="false">X216+'Volumes por intervalo'!M216</f>
        <v>49298</v>
      </c>
      <c r="Y217" s="149" t="n">
        <f aca="false">Y216+'Volumes por intervalo'!N216</f>
        <v>49298</v>
      </c>
      <c r="Z217" s="149" t="n">
        <f aca="false">Z216+'Volumes por intervalo'!O216</f>
        <v>56694.0000000002</v>
      </c>
      <c r="AA217" s="149" t="n">
        <f aca="false">AA216+'Volumes por intervalo'!P216</f>
        <v>0</v>
      </c>
      <c r="AB217" s="149" t="n">
        <f aca="false">AB216+'Volumes por intervalo'!Q216</f>
        <v>0</v>
      </c>
      <c r="AC217" s="149" t="n">
        <f aca="false">AC216+'Volumes por intervalo'!R216</f>
        <v>0</v>
      </c>
      <c r="AD217" s="149" t="n">
        <f aca="false">AD216+'Volumes por intervalo'!S216</f>
        <v>0</v>
      </c>
    </row>
    <row r="218" customFormat="false" ht="15" hidden="false" customHeight="false" outlineLevel="0" collapsed="false">
      <c r="A218" s="138" t="s">
        <v>1868</v>
      </c>
      <c r="B218" s="146" t="n">
        <v>216</v>
      </c>
      <c r="C218" s="144" t="n">
        <v>4320</v>
      </c>
      <c r="D218" s="138" t="s">
        <v>1565</v>
      </c>
      <c r="E218" s="138" t="s">
        <v>1566</v>
      </c>
      <c r="F218" s="147" t="n">
        <v>11</v>
      </c>
      <c r="G218" s="148" t="n">
        <v>0</v>
      </c>
      <c r="H218" s="148" t="n">
        <v>0</v>
      </c>
      <c r="I218" s="138" t="s">
        <v>1642</v>
      </c>
      <c r="J218" s="138" t="s">
        <v>1773</v>
      </c>
      <c r="K218" s="146" t="n">
        <f aca="false">Parâmetros!$C$4*(F218+2*Parâmetros!$D$4+Parâmetros!$C$4*Parâmetros!$E$4)</f>
        <v>0.5525</v>
      </c>
      <c r="L218" s="146" t="n">
        <f aca="false">Parâmetros!$C$5*(F218+2*Parâmetros!$D$5+Parâmetros!$C$5*Parâmetros!$E$5)</f>
        <v>1.8176</v>
      </c>
      <c r="M218" s="146" t="n">
        <f aca="false">Parâmetros!$C$6*(F218+2*Parâmetros!$D$6+Parâmetros!$C$6*Parâmetros!$E$6)</f>
        <v>2.384</v>
      </c>
      <c r="N218" s="146" t="n">
        <f aca="false">Parâmetros!$C$7*(F218+2*Parâmetros!$D$7+Parâmetros!$C$7*Parâmetros!$E$7)</f>
        <v>3.786</v>
      </c>
      <c r="O218" s="146" t="n">
        <f aca="false">F218+2*Parâmetros!$D$8</f>
        <v>11.2</v>
      </c>
      <c r="P218" s="146" t="n">
        <f aca="false">F218+2*Parâmetros!$D$10</f>
        <v>12.92</v>
      </c>
      <c r="Q218" s="146" t="n">
        <f aca="false">G218+H218</f>
        <v>0</v>
      </c>
      <c r="S218" s="149" t="n">
        <f aca="false">S217+'Volumes por intervalo'!C217*(F217+F218)/2</f>
        <v>48658</v>
      </c>
      <c r="T218" s="149" t="n">
        <f aca="false">T217+'Volumes por intervalo'!H217</f>
        <v>2443.7</v>
      </c>
      <c r="U218" s="149" t="n">
        <f aca="false">U217+'Volumes por intervalo'!J217</f>
        <v>8034.11199999998</v>
      </c>
      <c r="V218" s="149" t="n">
        <f aca="false">V217+'Volumes por intervalo'!K217</f>
        <v>10526.48</v>
      </c>
      <c r="W218" s="149" t="n">
        <f aca="false">W217+'Volumes por intervalo'!L217</f>
        <v>16696.92</v>
      </c>
      <c r="X218" s="149" t="n">
        <f aca="false">X217+'Volumes por intervalo'!M217</f>
        <v>49522</v>
      </c>
      <c r="Y218" s="149" t="n">
        <f aca="false">Y217+'Volumes por intervalo'!N217</f>
        <v>49522</v>
      </c>
      <c r="Z218" s="149" t="n">
        <f aca="false">Z217+'Volumes por intervalo'!O217</f>
        <v>56952.4000000002</v>
      </c>
      <c r="AA218" s="149" t="n">
        <f aca="false">AA217+'Volumes por intervalo'!P217</f>
        <v>0</v>
      </c>
      <c r="AB218" s="149" t="n">
        <f aca="false">AB217+'Volumes por intervalo'!Q217</f>
        <v>0</v>
      </c>
      <c r="AC218" s="149" t="n">
        <f aca="false">AC217+'Volumes por intervalo'!R217</f>
        <v>0</v>
      </c>
      <c r="AD218" s="149" t="n">
        <f aca="false">AD217+'Volumes por intervalo'!S217</f>
        <v>0</v>
      </c>
    </row>
    <row r="219" customFormat="false" ht="15" hidden="false" customHeight="false" outlineLevel="0" collapsed="false">
      <c r="A219" s="138" t="s">
        <v>1869</v>
      </c>
      <c r="B219" s="146" t="n">
        <v>217</v>
      </c>
      <c r="C219" s="144" t="n">
        <v>4340</v>
      </c>
      <c r="D219" s="138" t="s">
        <v>1565</v>
      </c>
      <c r="E219" s="138" t="s">
        <v>1566</v>
      </c>
      <c r="F219" s="147" t="n">
        <v>11</v>
      </c>
      <c r="G219" s="148" t="n">
        <v>0</v>
      </c>
      <c r="H219" s="148" t="n">
        <v>0</v>
      </c>
      <c r="I219" s="138" t="s">
        <v>1642</v>
      </c>
      <c r="J219" s="138"/>
      <c r="K219" s="146" t="n">
        <f aca="false">Parâmetros!$C$4*(F219+2*Parâmetros!$D$4+Parâmetros!$C$4*Parâmetros!$E$4)</f>
        <v>0.5525</v>
      </c>
      <c r="L219" s="146" t="n">
        <f aca="false">Parâmetros!$C$5*(F219+2*Parâmetros!$D$5+Parâmetros!$C$5*Parâmetros!$E$5)</f>
        <v>1.8176</v>
      </c>
      <c r="M219" s="146" t="n">
        <f aca="false">Parâmetros!$C$6*(F219+2*Parâmetros!$D$6+Parâmetros!$C$6*Parâmetros!$E$6)</f>
        <v>2.384</v>
      </c>
      <c r="N219" s="146" t="n">
        <f aca="false">Parâmetros!$C$7*(F219+2*Parâmetros!$D$7+Parâmetros!$C$7*Parâmetros!$E$7)</f>
        <v>3.786</v>
      </c>
      <c r="O219" s="146" t="n">
        <f aca="false">F219+2*Parâmetros!$D$8</f>
        <v>11.2</v>
      </c>
      <c r="P219" s="146" t="n">
        <f aca="false">F219+2*Parâmetros!$D$10</f>
        <v>12.92</v>
      </c>
      <c r="Q219" s="146" t="n">
        <f aca="false">G219+H219</f>
        <v>0</v>
      </c>
      <c r="S219" s="149" t="n">
        <f aca="false">S218+'Volumes por intervalo'!C218*(F218+F219)/2</f>
        <v>48878</v>
      </c>
      <c r="T219" s="149" t="n">
        <f aca="false">T218+'Volumes por intervalo'!H218</f>
        <v>2454.75</v>
      </c>
      <c r="U219" s="149" t="n">
        <f aca="false">U218+'Volumes por intervalo'!J218</f>
        <v>8070.46399999998</v>
      </c>
      <c r="V219" s="149" t="n">
        <f aca="false">V218+'Volumes por intervalo'!K218</f>
        <v>10574.16</v>
      </c>
      <c r="W219" s="149" t="n">
        <f aca="false">W218+'Volumes por intervalo'!L218</f>
        <v>16772.64</v>
      </c>
      <c r="X219" s="149" t="n">
        <f aca="false">X218+'Volumes por intervalo'!M218</f>
        <v>49746</v>
      </c>
      <c r="Y219" s="149" t="n">
        <f aca="false">Y218+'Volumes por intervalo'!N218</f>
        <v>49746</v>
      </c>
      <c r="Z219" s="149" t="n">
        <f aca="false">Z218+'Volumes por intervalo'!O218</f>
        <v>57210.8000000002</v>
      </c>
      <c r="AA219" s="149" t="n">
        <f aca="false">AA218+'Volumes por intervalo'!P218</f>
        <v>0</v>
      </c>
      <c r="AB219" s="149" t="n">
        <f aca="false">AB218+'Volumes por intervalo'!Q218</f>
        <v>0</v>
      </c>
      <c r="AC219" s="149" t="n">
        <f aca="false">AC218+'Volumes por intervalo'!R218</f>
        <v>0</v>
      </c>
      <c r="AD219" s="149" t="n">
        <f aca="false">AD218+'Volumes por intervalo'!S218</f>
        <v>0</v>
      </c>
    </row>
    <row r="220" customFormat="false" ht="15" hidden="false" customHeight="false" outlineLevel="0" collapsed="false">
      <c r="A220" s="138" t="s">
        <v>1870</v>
      </c>
      <c r="B220" s="146" t="n">
        <v>218</v>
      </c>
      <c r="C220" s="144" t="n">
        <v>4360</v>
      </c>
      <c r="D220" s="138" t="s">
        <v>1565</v>
      </c>
      <c r="E220" s="138" t="s">
        <v>1566</v>
      </c>
      <c r="F220" s="147" t="n">
        <v>11</v>
      </c>
      <c r="G220" s="148" t="n">
        <v>0</v>
      </c>
      <c r="H220" s="148" t="n">
        <v>0</v>
      </c>
      <c r="I220" s="138" t="s">
        <v>1642</v>
      </c>
      <c r="J220" s="138"/>
      <c r="K220" s="146" t="n">
        <f aca="false">Parâmetros!$C$4*(F220+2*Parâmetros!$D$4+Parâmetros!$C$4*Parâmetros!$E$4)</f>
        <v>0.5525</v>
      </c>
      <c r="L220" s="146" t="n">
        <f aca="false">Parâmetros!$C$5*(F220+2*Parâmetros!$D$5+Parâmetros!$C$5*Parâmetros!$E$5)</f>
        <v>1.8176</v>
      </c>
      <c r="M220" s="146" t="n">
        <f aca="false">Parâmetros!$C$6*(F220+2*Parâmetros!$D$6+Parâmetros!$C$6*Parâmetros!$E$6)</f>
        <v>2.384</v>
      </c>
      <c r="N220" s="146" t="n">
        <f aca="false">Parâmetros!$C$7*(F220+2*Parâmetros!$D$7+Parâmetros!$C$7*Parâmetros!$E$7)</f>
        <v>3.786</v>
      </c>
      <c r="O220" s="146" t="n">
        <f aca="false">F220+2*Parâmetros!$D$8</f>
        <v>11.2</v>
      </c>
      <c r="P220" s="146" t="n">
        <f aca="false">F220+2*Parâmetros!$D$10</f>
        <v>12.92</v>
      </c>
      <c r="Q220" s="146" t="n">
        <f aca="false">G220+H220</f>
        <v>0</v>
      </c>
      <c r="S220" s="149" t="n">
        <f aca="false">S219+'Volumes por intervalo'!C219*(F219+F220)/2</f>
        <v>49098</v>
      </c>
      <c r="T220" s="149" t="n">
        <f aca="false">T219+'Volumes por intervalo'!H219</f>
        <v>2465.8</v>
      </c>
      <c r="U220" s="149" t="n">
        <f aca="false">U219+'Volumes por intervalo'!J219</f>
        <v>8106.81599999998</v>
      </c>
      <c r="V220" s="149" t="n">
        <f aca="false">V219+'Volumes por intervalo'!K219</f>
        <v>10621.84</v>
      </c>
      <c r="W220" s="149" t="n">
        <f aca="false">W219+'Volumes por intervalo'!L219</f>
        <v>16848.36</v>
      </c>
      <c r="X220" s="149" t="n">
        <f aca="false">X219+'Volumes por intervalo'!M219</f>
        <v>49970</v>
      </c>
      <c r="Y220" s="149" t="n">
        <f aca="false">Y219+'Volumes por intervalo'!N219</f>
        <v>49970</v>
      </c>
      <c r="Z220" s="149" t="n">
        <f aca="false">Z219+'Volumes por intervalo'!O219</f>
        <v>57469.2000000002</v>
      </c>
      <c r="AA220" s="149" t="n">
        <f aca="false">AA219+'Volumes por intervalo'!P219</f>
        <v>0</v>
      </c>
      <c r="AB220" s="149" t="n">
        <f aca="false">AB219+'Volumes por intervalo'!Q219</f>
        <v>0</v>
      </c>
      <c r="AC220" s="149" t="n">
        <f aca="false">AC219+'Volumes por intervalo'!R219</f>
        <v>0</v>
      </c>
      <c r="AD220" s="149" t="n">
        <f aca="false">AD219+'Volumes por intervalo'!S219</f>
        <v>0</v>
      </c>
    </row>
    <row r="221" customFormat="false" ht="15" hidden="false" customHeight="false" outlineLevel="0" collapsed="false">
      <c r="A221" s="138" t="s">
        <v>1871</v>
      </c>
      <c r="B221" s="146" t="n">
        <v>219</v>
      </c>
      <c r="C221" s="144" t="n">
        <v>4380</v>
      </c>
      <c r="D221" s="138" t="s">
        <v>1565</v>
      </c>
      <c r="E221" s="138" t="s">
        <v>1566</v>
      </c>
      <c r="F221" s="147" t="n">
        <v>11</v>
      </c>
      <c r="G221" s="148" t="n">
        <v>0</v>
      </c>
      <c r="H221" s="148" t="n">
        <v>0</v>
      </c>
      <c r="I221" s="138" t="s">
        <v>1642</v>
      </c>
      <c r="J221" s="138"/>
      <c r="K221" s="146" t="n">
        <f aca="false">Parâmetros!$C$4*(F221+2*Parâmetros!$D$4+Parâmetros!$C$4*Parâmetros!$E$4)</f>
        <v>0.5525</v>
      </c>
      <c r="L221" s="146" t="n">
        <f aca="false">Parâmetros!$C$5*(F221+2*Parâmetros!$D$5+Parâmetros!$C$5*Parâmetros!$E$5)</f>
        <v>1.8176</v>
      </c>
      <c r="M221" s="146" t="n">
        <f aca="false">Parâmetros!$C$6*(F221+2*Parâmetros!$D$6+Parâmetros!$C$6*Parâmetros!$E$6)</f>
        <v>2.384</v>
      </c>
      <c r="N221" s="146" t="n">
        <f aca="false">Parâmetros!$C$7*(F221+2*Parâmetros!$D$7+Parâmetros!$C$7*Parâmetros!$E$7)</f>
        <v>3.786</v>
      </c>
      <c r="O221" s="146" t="n">
        <f aca="false">F221+2*Parâmetros!$D$8</f>
        <v>11.2</v>
      </c>
      <c r="P221" s="146" t="n">
        <f aca="false">F221+2*Parâmetros!$D$10</f>
        <v>12.92</v>
      </c>
      <c r="Q221" s="146" t="n">
        <f aca="false">G221+H221</f>
        <v>0</v>
      </c>
      <c r="S221" s="149" t="n">
        <f aca="false">S220+'Volumes por intervalo'!C220*(F220+F221)/2</f>
        <v>49318</v>
      </c>
      <c r="T221" s="149" t="n">
        <f aca="false">T220+'Volumes por intervalo'!H220</f>
        <v>2476.85</v>
      </c>
      <c r="U221" s="149" t="n">
        <f aca="false">U220+'Volumes por intervalo'!J220</f>
        <v>8143.16799999998</v>
      </c>
      <c r="V221" s="149" t="n">
        <f aca="false">V220+'Volumes por intervalo'!K220</f>
        <v>10669.52</v>
      </c>
      <c r="W221" s="149" t="n">
        <f aca="false">W220+'Volumes por intervalo'!L220</f>
        <v>16924.08</v>
      </c>
      <c r="X221" s="149" t="n">
        <f aca="false">X220+'Volumes por intervalo'!M220</f>
        <v>50194</v>
      </c>
      <c r="Y221" s="149" t="n">
        <f aca="false">Y220+'Volumes por intervalo'!N220</f>
        <v>50194</v>
      </c>
      <c r="Z221" s="149" t="n">
        <f aca="false">Z220+'Volumes por intervalo'!O220</f>
        <v>57727.6000000002</v>
      </c>
      <c r="AA221" s="149" t="n">
        <f aca="false">AA220+'Volumes por intervalo'!P220</f>
        <v>0</v>
      </c>
      <c r="AB221" s="149" t="n">
        <f aca="false">AB220+'Volumes por intervalo'!Q220</f>
        <v>0</v>
      </c>
      <c r="AC221" s="149" t="n">
        <f aca="false">AC220+'Volumes por intervalo'!R220</f>
        <v>0</v>
      </c>
      <c r="AD221" s="149" t="n">
        <f aca="false">AD220+'Volumes por intervalo'!S220</f>
        <v>0</v>
      </c>
    </row>
    <row r="222" customFormat="false" ht="15" hidden="false" customHeight="false" outlineLevel="0" collapsed="false">
      <c r="A222" s="138" t="s">
        <v>1872</v>
      </c>
      <c r="B222" s="146" t="n">
        <v>220</v>
      </c>
      <c r="C222" s="144" t="n">
        <v>4400</v>
      </c>
      <c r="D222" s="138" t="s">
        <v>1565</v>
      </c>
      <c r="E222" s="138" t="s">
        <v>1566</v>
      </c>
      <c r="F222" s="147" t="n">
        <v>11</v>
      </c>
      <c r="G222" s="148" t="n">
        <v>0</v>
      </c>
      <c r="H222" s="148" t="n">
        <v>0</v>
      </c>
      <c r="I222" s="138" t="s">
        <v>1642</v>
      </c>
      <c r="J222" s="138"/>
      <c r="K222" s="146" t="n">
        <f aca="false">Parâmetros!$C$4*(F222+2*Parâmetros!$D$4+Parâmetros!$C$4*Parâmetros!$E$4)</f>
        <v>0.5525</v>
      </c>
      <c r="L222" s="146" t="n">
        <f aca="false">Parâmetros!$C$5*(F222+2*Parâmetros!$D$5+Parâmetros!$C$5*Parâmetros!$E$5)</f>
        <v>1.8176</v>
      </c>
      <c r="M222" s="146" t="n">
        <f aca="false">Parâmetros!$C$6*(F222+2*Parâmetros!$D$6+Parâmetros!$C$6*Parâmetros!$E$6)</f>
        <v>2.384</v>
      </c>
      <c r="N222" s="146" t="n">
        <f aca="false">Parâmetros!$C$7*(F222+2*Parâmetros!$D$7+Parâmetros!$C$7*Parâmetros!$E$7)</f>
        <v>3.786</v>
      </c>
      <c r="O222" s="146" t="n">
        <f aca="false">F222+2*Parâmetros!$D$8</f>
        <v>11.2</v>
      </c>
      <c r="P222" s="146" t="n">
        <f aca="false">F222+2*Parâmetros!$D$10</f>
        <v>12.92</v>
      </c>
      <c r="Q222" s="146" t="n">
        <f aca="false">G222+H222</f>
        <v>0</v>
      </c>
      <c r="S222" s="149" t="n">
        <f aca="false">S221+'Volumes por intervalo'!C221*(F221+F222)/2</f>
        <v>49538</v>
      </c>
      <c r="T222" s="149" t="n">
        <f aca="false">T221+'Volumes por intervalo'!H221</f>
        <v>2487.9</v>
      </c>
      <c r="U222" s="149" t="n">
        <f aca="false">U221+'Volumes por intervalo'!J221</f>
        <v>8179.51999999998</v>
      </c>
      <c r="V222" s="149" t="n">
        <f aca="false">V221+'Volumes por intervalo'!K221</f>
        <v>10717.2</v>
      </c>
      <c r="W222" s="149" t="n">
        <f aca="false">W221+'Volumes por intervalo'!L221</f>
        <v>16999.8</v>
      </c>
      <c r="X222" s="149" t="n">
        <f aca="false">X221+'Volumes por intervalo'!M221</f>
        <v>50418</v>
      </c>
      <c r="Y222" s="149" t="n">
        <f aca="false">Y221+'Volumes por intervalo'!N221</f>
        <v>50418</v>
      </c>
      <c r="Z222" s="149" t="n">
        <f aca="false">Z221+'Volumes por intervalo'!O221</f>
        <v>57986.0000000002</v>
      </c>
      <c r="AA222" s="149" t="n">
        <f aca="false">AA221+'Volumes por intervalo'!P221</f>
        <v>0</v>
      </c>
      <c r="AB222" s="149" t="n">
        <f aca="false">AB221+'Volumes por intervalo'!Q221</f>
        <v>0</v>
      </c>
      <c r="AC222" s="149" t="n">
        <f aca="false">AC221+'Volumes por intervalo'!R221</f>
        <v>0</v>
      </c>
      <c r="AD222" s="149" t="n">
        <f aca="false">AD221+'Volumes por intervalo'!S221</f>
        <v>0</v>
      </c>
    </row>
    <row r="223" customFormat="false" ht="15" hidden="false" customHeight="false" outlineLevel="0" collapsed="false">
      <c r="A223" s="138" t="s">
        <v>1873</v>
      </c>
      <c r="B223" s="146" t="n">
        <v>221</v>
      </c>
      <c r="C223" s="144" t="n">
        <v>4420</v>
      </c>
      <c r="D223" s="138" t="s">
        <v>1565</v>
      </c>
      <c r="E223" s="138" t="s">
        <v>1566</v>
      </c>
      <c r="F223" s="147" t="n">
        <v>11</v>
      </c>
      <c r="G223" s="148" t="n">
        <v>0</v>
      </c>
      <c r="H223" s="148" t="n">
        <v>0</v>
      </c>
      <c r="I223" s="138" t="s">
        <v>1642</v>
      </c>
      <c r="J223" s="138"/>
      <c r="K223" s="146" t="n">
        <f aca="false">Parâmetros!$C$4*(F223+2*Parâmetros!$D$4+Parâmetros!$C$4*Parâmetros!$E$4)</f>
        <v>0.5525</v>
      </c>
      <c r="L223" s="146" t="n">
        <f aca="false">Parâmetros!$C$5*(F223+2*Parâmetros!$D$5+Parâmetros!$C$5*Parâmetros!$E$5)</f>
        <v>1.8176</v>
      </c>
      <c r="M223" s="146" t="n">
        <f aca="false">Parâmetros!$C$6*(F223+2*Parâmetros!$D$6+Parâmetros!$C$6*Parâmetros!$E$6)</f>
        <v>2.384</v>
      </c>
      <c r="N223" s="146" t="n">
        <f aca="false">Parâmetros!$C$7*(F223+2*Parâmetros!$D$7+Parâmetros!$C$7*Parâmetros!$E$7)</f>
        <v>3.786</v>
      </c>
      <c r="O223" s="146" t="n">
        <f aca="false">F223+2*Parâmetros!$D$8</f>
        <v>11.2</v>
      </c>
      <c r="P223" s="146" t="n">
        <f aca="false">F223+2*Parâmetros!$D$10</f>
        <v>12.92</v>
      </c>
      <c r="Q223" s="146" t="n">
        <f aca="false">G223+H223</f>
        <v>0</v>
      </c>
      <c r="S223" s="149" t="n">
        <f aca="false">S222+'Volumes por intervalo'!C222*(F222+F223)/2</f>
        <v>49758</v>
      </c>
      <c r="T223" s="149" t="n">
        <f aca="false">T222+'Volumes por intervalo'!H222</f>
        <v>2498.95</v>
      </c>
      <c r="U223" s="149" t="n">
        <f aca="false">U222+'Volumes por intervalo'!J222</f>
        <v>8215.87199999998</v>
      </c>
      <c r="V223" s="149" t="n">
        <f aca="false">V222+'Volumes por intervalo'!K222</f>
        <v>10764.88</v>
      </c>
      <c r="W223" s="149" t="n">
        <f aca="false">W222+'Volumes por intervalo'!L222</f>
        <v>17075.52</v>
      </c>
      <c r="X223" s="149" t="n">
        <f aca="false">X222+'Volumes por intervalo'!M222</f>
        <v>50642</v>
      </c>
      <c r="Y223" s="149" t="n">
        <f aca="false">Y222+'Volumes por intervalo'!N222</f>
        <v>50642</v>
      </c>
      <c r="Z223" s="149" t="n">
        <f aca="false">Z222+'Volumes por intervalo'!O222</f>
        <v>58244.4000000002</v>
      </c>
      <c r="AA223" s="149" t="n">
        <f aca="false">AA222+'Volumes por intervalo'!P222</f>
        <v>0</v>
      </c>
      <c r="AB223" s="149" t="n">
        <f aca="false">AB222+'Volumes por intervalo'!Q222</f>
        <v>0</v>
      </c>
      <c r="AC223" s="149" t="n">
        <f aca="false">AC222+'Volumes por intervalo'!R222</f>
        <v>0</v>
      </c>
      <c r="AD223" s="149" t="n">
        <f aca="false">AD222+'Volumes por intervalo'!S222</f>
        <v>0</v>
      </c>
    </row>
    <row r="224" customFormat="false" ht="15" hidden="false" customHeight="false" outlineLevel="0" collapsed="false">
      <c r="A224" s="138" t="s">
        <v>1874</v>
      </c>
      <c r="B224" s="146" t="n">
        <v>222</v>
      </c>
      <c r="C224" s="144" t="n">
        <v>4440</v>
      </c>
      <c r="D224" s="138" t="s">
        <v>1565</v>
      </c>
      <c r="E224" s="138" t="s">
        <v>1566</v>
      </c>
      <c r="F224" s="147" t="n">
        <v>11</v>
      </c>
      <c r="G224" s="148" t="n">
        <v>0</v>
      </c>
      <c r="H224" s="148" t="n">
        <v>0</v>
      </c>
      <c r="I224" s="138" t="s">
        <v>1642</v>
      </c>
      <c r="J224" s="138"/>
      <c r="K224" s="146" t="n">
        <f aca="false">Parâmetros!$C$4*(F224+2*Parâmetros!$D$4+Parâmetros!$C$4*Parâmetros!$E$4)</f>
        <v>0.5525</v>
      </c>
      <c r="L224" s="146" t="n">
        <f aca="false">Parâmetros!$C$5*(F224+2*Parâmetros!$D$5+Parâmetros!$C$5*Parâmetros!$E$5)</f>
        <v>1.8176</v>
      </c>
      <c r="M224" s="146" t="n">
        <f aca="false">Parâmetros!$C$6*(F224+2*Parâmetros!$D$6+Parâmetros!$C$6*Parâmetros!$E$6)</f>
        <v>2.384</v>
      </c>
      <c r="N224" s="146" t="n">
        <f aca="false">Parâmetros!$C$7*(F224+2*Parâmetros!$D$7+Parâmetros!$C$7*Parâmetros!$E$7)</f>
        <v>3.786</v>
      </c>
      <c r="O224" s="146" t="n">
        <f aca="false">F224+2*Parâmetros!$D$8</f>
        <v>11.2</v>
      </c>
      <c r="P224" s="146" t="n">
        <f aca="false">F224+2*Parâmetros!$D$10</f>
        <v>12.92</v>
      </c>
      <c r="Q224" s="146" t="n">
        <f aca="false">G224+H224</f>
        <v>0</v>
      </c>
      <c r="S224" s="149" t="n">
        <f aca="false">S223+'Volumes por intervalo'!C223*(F223+F224)/2</f>
        <v>49978</v>
      </c>
      <c r="T224" s="149" t="n">
        <f aca="false">T223+'Volumes por intervalo'!H223</f>
        <v>2510</v>
      </c>
      <c r="U224" s="149" t="n">
        <f aca="false">U223+'Volumes por intervalo'!J223</f>
        <v>8252.22399999998</v>
      </c>
      <c r="V224" s="149" t="n">
        <f aca="false">V223+'Volumes por intervalo'!K223</f>
        <v>10812.56</v>
      </c>
      <c r="W224" s="149" t="n">
        <f aca="false">W223+'Volumes por intervalo'!L223</f>
        <v>17151.24</v>
      </c>
      <c r="X224" s="149" t="n">
        <f aca="false">X223+'Volumes por intervalo'!M223</f>
        <v>50866</v>
      </c>
      <c r="Y224" s="149" t="n">
        <f aca="false">Y223+'Volumes por intervalo'!N223</f>
        <v>50866</v>
      </c>
      <c r="Z224" s="149" t="n">
        <f aca="false">Z223+'Volumes por intervalo'!O223</f>
        <v>58502.8000000002</v>
      </c>
      <c r="AA224" s="149" t="n">
        <f aca="false">AA223+'Volumes por intervalo'!P223</f>
        <v>0</v>
      </c>
      <c r="AB224" s="149" t="n">
        <f aca="false">AB223+'Volumes por intervalo'!Q223</f>
        <v>0</v>
      </c>
      <c r="AC224" s="149" t="n">
        <f aca="false">AC223+'Volumes por intervalo'!R223</f>
        <v>0</v>
      </c>
      <c r="AD224" s="149" t="n">
        <f aca="false">AD223+'Volumes por intervalo'!S223</f>
        <v>0</v>
      </c>
    </row>
    <row r="225" customFormat="false" ht="15" hidden="false" customHeight="false" outlineLevel="0" collapsed="false">
      <c r="A225" s="138" t="s">
        <v>1875</v>
      </c>
      <c r="B225" s="146" t="n">
        <v>223</v>
      </c>
      <c r="C225" s="144" t="n">
        <v>4460</v>
      </c>
      <c r="D225" s="138" t="s">
        <v>1565</v>
      </c>
      <c r="E225" s="138" t="s">
        <v>1566</v>
      </c>
      <c r="F225" s="147" t="n">
        <v>11</v>
      </c>
      <c r="G225" s="148" t="n">
        <v>0</v>
      </c>
      <c r="H225" s="148" t="n">
        <v>0</v>
      </c>
      <c r="I225" s="138" t="s">
        <v>1642</v>
      </c>
      <c r="J225" s="138"/>
      <c r="K225" s="146" t="n">
        <f aca="false">Parâmetros!$C$4*(F225+2*Parâmetros!$D$4+Parâmetros!$C$4*Parâmetros!$E$4)</f>
        <v>0.5525</v>
      </c>
      <c r="L225" s="146" t="n">
        <f aca="false">Parâmetros!$C$5*(F225+2*Parâmetros!$D$5+Parâmetros!$C$5*Parâmetros!$E$5)</f>
        <v>1.8176</v>
      </c>
      <c r="M225" s="146" t="n">
        <f aca="false">Parâmetros!$C$6*(F225+2*Parâmetros!$D$6+Parâmetros!$C$6*Parâmetros!$E$6)</f>
        <v>2.384</v>
      </c>
      <c r="N225" s="146" t="n">
        <f aca="false">Parâmetros!$C$7*(F225+2*Parâmetros!$D$7+Parâmetros!$C$7*Parâmetros!$E$7)</f>
        <v>3.786</v>
      </c>
      <c r="O225" s="146" t="n">
        <f aca="false">F225+2*Parâmetros!$D$8</f>
        <v>11.2</v>
      </c>
      <c r="P225" s="146" t="n">
        <f aca="false">F225+2*Parâmetros!$D$10</f>
        <v>12.92</v>
      </c>
      <c r="Q225" s="146" t="n">
        <f aca="false">G225+H225</f>
        <v>0</v>
      </c>
      <c r="S225" s="149" t="n">
        <f aca="false">S224+'Volumes por intervalo'!C224*(F224+F225)/2</f>
        <v>50198</v>
      </c>
      <c r="T225" s="149" t="n">
        <f aca="false">T224+'Volumes por intervalo'!H224</f>
        <v>2521.05</v>
      </c>
      <c r="U225" s="149" t="n">
        <f aca="false">U224+'Volumes por intervalo'!J224</f>
        <v>8288.57599999998</v>
      </c>
      <c r="V225" s="149" t="n">
        <f aca="false">V224+'Volumes por intervalo'!K224</f>
        <v>10860.24</v>
      </c>
      <c r="W225" s="149" t="n">
        <f aca="false">W224+'Volumes por intervalo'!L224</f>
        <v>17226.96</v>
      </c>
      <c r="X225" s="149" t="n">
        <f aca="false">X224+'Volumes por intervalo'!M224</f>
        <v>51090</v>
      </c>
      <c r="Y225" s="149" t="n">
        <f aca="false">Y224+'Volumes por intervalo'!N224</f>
        <v>51090</v>
      </c>
      <c r="Z225" s="149" t="n">
        <f aca="false">Z224+'Volumes por intervalo'!O224</f>
        <v>58761.2000000002</v>
      </c>
      <c r="AA225" s="149" t="n">
        <f aca="false">AA224+'Volumes por intervalo'!P224</f>
        <v>0</v>
      </c>
      <c r="AB225" s="149" t="n">
        <f aca="false">AB224+'Volumes por intervalo'!Q224</f>
        <v>0</v>
      </c>
      <c r="AC225" s="149" t="n">
        <f aca="false">AC224+'Volumes por intervalo'!R224</f>
        <v>0</v>
      </c>
      <c r="AD225" s="149" t="n">
        <f aca="false">AD224+'Volumes por intervalo'!S224</f>
        <v>0</v>
      </c>
    </row>
    <row r="226" customFormat="false" ht="15" hidden="false" customHeight="false" outlineLevel="0" collapsed="false">
      <c r="A226" s="138" t="s">
        <v>1876</v>
      </c>
      <c r="B226" s="146" t="n">
        <v>224</v>
      </c>
      <c r="C226" s="144" t="n">
        <v>4480</v>
      </c>
      <c r="D226" s="138" t="s">
        <v>1565</v>
      </c>
      <c r="E226" s="138" t="s">
        <v>1566</v>
      </c>
      <c r="F226" s="147" t="n">
        <v>11</v>
      </c>
      <c r="G226" s="148" t="n">
        <v>0</v>
      </c>
      <c r="H226" s="148" t="n">
        <v>0</v>
      </c>
      <c r="I226" s="138" t="s">
        <v>1642</v>
      </c>
      <c r="J226" s="138"/>
      <c r="K226" s="146" t="n">
        <f aca="false">Parâmetros!$C$4*(F226+2*Parâmetros!$D$4+Parâmetros!$C$4*Parâmetros!$E$4)</f>
        <v>0.5525</v>
      </c>
      <c r="L226" s="146" t="n">
        <f aca="false">Parâmetros!$C$5*(F226+2*Parâmetros!$D$5+Parâmetros!$C$5*Parâmetros!$E$5)</f>
        <v>1.8176</v>
      </c>
      <c r="M226" s="146" t="n">
        <f aca="false">Parâmetros!$C$6*(F226+2*Parâmetros!$D$6+Parâmetros!$C$6*Parâmetros!$E$6)</f>
        <v>2.384</v>
      </c>
      <c r="N226" s="146" t="n">
        <f aca="false">Parâmetros!$C$7*(F226+2*Parâmetros!$D$7+Parâmetros!$C$7*Parâmetros!$E$7)</f>
        <v>3.786</v>
      </c>
      <c r="O226" s="146" t="n">
        <f aca="false">F226+2*Parâmetros!$D$8</f>
        <v>11.2</v>
      </c>
      <c r="P226" s="146" t="n">
        <f aca="false">F226+2*Parâmetros!$D$10</f>
        <v>12.92</v>
      </c>
      <c r="Q226" s="146" t="n">
        <f aca="false">G226+H226</f>
        <v>0</v>
      </c>
      <c r="S226" s="149" t="n">
        <f aca="false">S225+'Volumes por intervalo'!C225*(F225+F226)/2</f>
        <v>50418</v>
      </c>
      <c r="T226" s="149" t="n">
        <f aca="false">T225+'Volumes por intervalo'!H225</f>
        <v>2532.1</v>
      </c>
      <c r="U226" s="149" t="n">
        <f aca="false">U225+'Volumes por intervalo'!J225</f>
        <v>8324.92799999998</v>
      </c>
      <c r="V226" s="149" t="n">
        <f aca="false">V225+'Volumes por intervalo'!K225</f>
        <v>10907.92</v>
      </c>
      <c r="W226" s="149" t="n">
        <f aca="false">W225+'Volumes por intervalo'!L225</f>
        <v>17302.68</v>
      </c>
      <c r="X226" s="149" t="n">
        <f aca="false">X225+'Volumes por intervalo'!M225</f>
        <v>51314</v>
      </c>
      <c r="Y226" s="149" t="n">
        <f aca="false">Y225+'Volumes por intervalo'!N225</f>
        <v>51314</v>
      </c>
      <c r="Z226" s="149" t="n">
        <f aca="false">Z225+'Volumes por intervalo'!O225</f>
        <v>59019.6000000002</v>
      </c>
      <c r="AA226" s="149" t="n">
        <f aca="false">AA225+'Volumes por intervalo'!P225</f>
        <v>0</v>
      </c>
      <c r="AB226" s="149" t="n">
        <f aca="false">AB225+'Volumes por intervalo'!Q225</f>
        <v>0</v>
      </c>
      <c r="AC226" s="149" t="n">
        <f aca="false">AC225+'Volumes por intervalo'!R225</f>
        <v>0</v>
      </c>
      <c r="AD226" s="149" t="n">
        <f aca="false">AD225+'Volumes por intervalo'!S225</f>
        <v>0</v>
      </c>
    </row>
    <row r="227" customFormat="false" ht="15" hidden="false" customHeight="false" outlineLevel="0" collapsed="false">
      <c r="A227" s="138" t="s">
        <v>1877</v>
      </c>
      <c r="B227" s="146" t="n">
        <v>225</v>
      </c>
      <c r="C227" s="144" t="n">
        <v>4500</v>
      </c>
      <c r="D227" s="138" t="s">
        <v>1565</v>
      </c>
      <c r="E227" s="138" t="s">
        <v>1566</v>
      </c>
      <c r="F227" s="147" t="n">
        <v>11</v>
      </c>
      <c r="G227" s="148" t="n">
        <v>0</v>
      </c>
      <c r="H227" s="148" t="n">
        <v>0</v>
      </c>
      <c r="I227" s="138" t="s">
        <v>1642</v>
      </c>
      <c r="J227" s="138"/>
      <c r="K227" s="146" t="n">
        <f aca="false">Parâmetros!$C$4*(F227+2*Parâmetros!$D$4+Parâmetros!$C$4*Parâmetros!$E$4)</f>
        <v>0.5525</v>
      </c>
      <c r="L227" s="146" t="n">
        <f aca="false">Parâmetros!$C$5*(F227+2*Parâmetros!$D$5+Parâmetros!$C$5*Parâmetros!$E$5)</f>
        <v>1.8176</v>
      </c>
      <c r="M227" s="146" t="n">
        <f aca="false">Parâmetros!$C$6*(F227+2*Parâmetros!$D$6+Parâmetros!$C$6*Parâmetros!$E$6)</f>
        <v>2.384</v>
      </c>
      <c r="N227" s="146" t="n">
        <f aca="false">Parâmetros!$C$7*(F227+2*Parâmetros!$D$7+Parâmetros!$C$7*Parâmetros!$E$7)</f>
        <v>3.786</v>
      </c>
      <c r="O227" s="146" t="n">
        <f aca="false">F227+2*Parâmetros!$D$8</f>
        <v>11.2</v>
      </c>
      <c r="P227" s="146" t="n">
        <f aca="false">F227+2*Parâmetros!$D$10</f>
        <v>12.92</v>
      </c>
      <c r="Q227" s="146" t="n">
        <f aca="false">G227+H227</f>
        <v>0</v>
      </c>
      <c r="S227" s="149" t="n">
        <f aca="false">S226+'Volumes por intervalo'!C226*(F226+F227)/2</f>
        <v>50638</v>
      </c>
      <c r="T227" s="149" t="n">
        <f aca="false">T226+'Volumes por intervalo'!H226</f>
        <v>2543.15</v>
      </c>
      <c r="U227" s="149" t="n">
        <f aca="false">U226+'Volumes por intervalo'!J226</f>
        <v>8361.27999999998</v>
      </c>
      <c r="V227" s="149" t="n">
        <f aca="false">V226+'Volumes por intervalo'!K226</f>
        <v>10955.6</v>
      </c>
      <c r="W227" s="149" t="n">
        <f aca="false">W226+'Volumes por intervalo'!L226</f>
        <v>17378.4</v>
      </c>
      <c r="X227" s="149" t="n">
        <f aca="false">X226+'Volumes por intervalo'!M226</f>
        <v>51538</v>
      </c>
      <c r="Y227" s="149" t="n">
        <f aca="false">Y226+'Volumes por intervalo'!N226</f>
        <v>51538</v>
      </c>
      <c r="Z227" s="149" t="n">
        <f aca="false">Z226+'Volumes por intervalo'!O226</f>
        <v>59278.0000000002</v>
      </c>
      <c r="AA227" s="149" t="n">
        <f aca="false">AA226+'Volumes por intervalo'!P226</f>
        <v>0</v>
      </c>
      <c r="AB227" s="149" t="n">
        <f aca="false">AB226+'Volumes por intervalo'!Q226</f>
        <v>0</v>
      </c>
      <c r="AC227" s="149" t="n">
        <f aca="false">AC226+'Volumes por intervalo'!R226</f>
        <v>0</v>
      </c>
      <c r="AD227" s="149" t="n">
        <f aca="false">AD226+'Volumes por intervalo'!S226</f>
        <v>0</v>
      </c>
    </row>
    <row r="228" customFormat="false" ht="15" hidden="false" customHeight="false" outlineLevel="0" collapsed="false">
      <c r="A228" s="138" t="s">
        <v>1878</v>
      </c>
      <c r="B228" s="146" t="n">
        <v>226</v>
      </c>
      <c r="C228" s="144" t="n">
        <v>4520</v>
      </c>
      <c r="D228" s="138" t="s">
        <v>1565</v>
      </c>
      <c r="E228" s="138" t="s">
        <v>1566</v>
      </c>
      <c r="F228" s="147" t="n">
        <v>11</v>
      </c>
      <c r="G228" s="148" t="n">
        <v>0</v>
      </c>
      <c r="H228" s="148" t="n">
        <v>0</v>
      </c>
      <c r="I228" s="138" t="s">
        <v>1642</v>
      </c>
      <c r="J228" s="138"/>
      <c r="K228" s="146" t="n">
        <f aca="false">Parâmetros!$C$4*(F228+2*Parâmetros!$D$4+Parâmetros!$C$4*Parâmetros!$E$4)</f>
        <v>0.5525</v>
      </c>
      <c r="L228" s="146" t="n">
        <f aca="false">Parâmetros!$C$5*(F228+2*Parâmetros!$D$5+Parâmetros!$C$5*Parâmetros!$E$5)</f>
        <v>1.8176</v>
      </c>
      <c r="M228" s="146" t="n">
        <f aca="false">Parâmetros!$C$6*(F228+2*Parâmetros!$D$6+Parâmetros!$C$6*Parâmetros!$E$6)</f>
        <v>2.384</v>
      </c>
      <c r="N228" s="146" t="n">
        <f aca="false">Parâmetros!$C$7*(F228+2*Parâmetros!$D$7+Parâmetros!$C$7*Parâmetros!$E$7)</f>
        <v>3.786</v>
      </c>
      <c r="O228" s="146" t="n">
        <f aca="false">F228+2*Parâmetros!$D$8</f>
        <v>11.2</v>
      </c>
      <c r="P228" s="146" t="n">
        <f aca="false">F228+2*Parâmetros!$D$10</f>
        <v>12.92</v>
      </c>
      <c r="Q228" s="146" t="n">
        <f aca="false">G228+H228</f>
        <v>0</v>
      </c>
      <c r="S228" s="149" t="n">
        <f aca="false">S227+'Volumes por intervalo'!C227*(F227+F228)/2</f>
        <v>50858</v>
      </c>
      <c r="T228" s="149" t="n">
        <f aca="false">T227+'Volumes por intervalo'!H227</f>
        <v>2554.2</v>
      </c>
      <c r="U228" s="149" t="n">
        <f aca="false">U227+'Volumes por intervalo'!J227</f>
        <v>8397.63199999999</v>
      </c>
      <c r="V228" s="149" t="n">
        <f aca="false">V227+'Volumes por intervalo'!K227</f>
        <v>11003.28</v>
      </c>
      <c r="W228" s="149" t="n">
        <f aca="false">W227+'Volumes por intervalo'!L227</f>
        <v>17454.12</v>
      </c>
      <c r="X228" s="149" t="n">
        <f aca="false">X227+'Volumes por intervalo'!M227</f>
        <v>51762</v>
      </c>
      <c r="Y228" s="149" t="n">
        <f aca="false">Y227+'Volumes por intervalo'!N227</f>
        <v>51762</v>
      </c>
      <c r="Z228" s="149" t="n">
        <f aca="false">Z227+'Volumes por intervalo'!O227</f>
        <v>59536.4000000002</v>
      </c>
      <c r="AA228" s="149" t="n">
        <f aca="false">AA227+'Volumes por intervalo'!P227</f>
        <v>0</v>
      </c>
      <c r="AB228" s="149" t="n">
        <f aca="false">AB227+'Volumes por intervalo'!Q227</f>
        <v>0</v>
      </c>
      <c r="AC228" s="149" t="n">
        <f aca="false">AC227+'Volumes por intervalo'!R227</f>
        <v>0</v>
      </c>
      <c r="AD228" s="149" t="n">
        <f aca="false">AD227+'Volumes por intervalo'!S227</f>
        <v>0</v>
      </c>
    </row>
    <row r="229" customFormat="false" ht="15" hidden="false" customHeight="false" outlineLevel="0" collapsed="false">
      <c r="A229" s="138" t="s">
        <v>1879</v>
      </c>
      <c r="B229" s="146" t="n">
        <v>227</v>
      </c>
      <c r="C229" s="144" t="n">
        <v>4540</v>
      </c>
      <c r="D229" s="138" t="s">
        <v>1565</v>
      </c>
      <c r="E229" s="138" t="s">
        <v>1566</v>
      </c>
      <c r="F229" s="147" t="n">
        <v>11</v>
      </c>
      <c r="G229" s="148" t="n">
        <v>0</v>
      </c>
      <c r="H229" s="148" t="n">
        <v>0</v>
      </c>
      <c r="I229" s="138" t="s">
        <v>1642</v>
      </c>
      <c r="J229" s="138"/>
      <c r="K229" s="146" t="n">
        <f aca="false">Parâmetros!$C$4*(F229+2*Parâmetros!$D$4+Parâmetros!$C$4*Parâmetros!$E$4)</f>
        <v>0.5525</v>
      </c>
      <c r="L229" s="146" t="n">
        <f aca="false">Parâmetros!$C$5*(F229+2*Parâmetros!$D$5+Parâmetros!$C$5*Parâmetros!$E$5)</f>
        <v>1.8176</v>
      </c>
      <c r="M229" s="146" t="n">
        <f aca="false">Parâmetros!$C$6*(F229+2*Parâmetros!$D$6+Parâmetros!$C$6*Parâmetros!$E$6)</f>
        <v>2.384</v>
      </c>
      <c r="N229" s="146" t="n">
        <f aca="false">Parâmetros!$C$7*(F229+2*Parâmetros!$D$7+Parâmetros!$C$7*Parâmetros!$E$7)</f>
        <v>3.786</v>
      </c>
      <c r="O229" s="146" t="n">
        <f aca="false">F229+2*Parâmetros!$D$8</f>
        <v>11.2</v>
      </c>
      <c r="P229" s="146" t="n">
        <f aca="false">F229+2*Parâmetros!$D$10</f>
        <v>12.92</v>
      </c>
      <c r="Q229" s="146" t="n">
        <f aca="false">G229+H229</f>
        <v>0</v>
      </c>
      <c r="S229" s="149" t="n">
        <f aca="false">S228+'Volumes por intervalo'!C228*(F228+F229)/2</f>
        <v>51078</v>
      </c>
      <c r="T229" s="149" t="n">
        <f aca="false">T228+'Volumes por intervalo'!H228</f>
        <v>2565.25</v>
      </c>
      <c r="U229" s="149" t="n">
        <f aca="false">U228+'Volumes por intervalo'!J228</f>
        <v>8433.98399999999</v>
      </c>
      <c r="V229" s="149" t="n">
        <f aca="false">V228+'Volumes por intervalo'!K228</f>
        <v>11050.96</v>
      </c>
      <c r="W229" s="149" t="n">
        <f aca="false">W228+'Volumes por intervalo'!L228</f>
        <v>17529.84</v>
      </c>
      <c r="X229" s="149" t="n">
        <f aca="false">X228+'Volumes por intervalo'!M228</f>
        <v>51986</v>
      </c>
      <c r="Y229" s="149" t="n">
        <f aca="false">Y228+'Volumes por intervalo'!N228</f>
        <v>51986</v>
      </c>
      <c r="Z229" s="149" t="n">
        <f aca="false">Z228+'Volumes por intervalo'!O228</f>
        <v>59794.8000000002</v>
      </c>
      <c r="AA229" s="149" t="n">
        <f aca="false">AA228+'Volumes por intervalo'!P228</f>
        <v>0</v>
      </c>
      <c r="AB229" s="149" t="n">
        <f aca="false">AB228+'Volumes por intervalo'!Q228</f>
        <v>0</v>
      </c>
      <c r="AC229" s="149" t="n">
        <f aca="false">AC228+'Volumes por intervalo'!R228</f>
        <v>0</v>
      </c>
      <c r="AD229" s="149" t="n">
        <f aca="false">AD228+'Volumes por intervalo'!S228</f>
        <v>0</v>
      </c>
    </row>
    <row r="230" customFormat="false" ht="15" hidden="false" customHeight="false" outlineLevel="0" collapsed="false">
      <c r="A230" s="138" t="s">
        <v>1880</v>
      </c>
      <c r="B230" s="146" t="n">
        <v>228</v>
      </c>
      <c r="C230" s="144" t="n">
        <v>4560</v>
      </c>
      <c r="D230" s="138" t="s">
        <v>1565</v>
      </c>
      <c r="E230" s="138" t="s">
        <v>1566</v>
      </c>
      <c r="F230" s="147" t="n">
        <v>11</v>
      </c>
      <c r="G230" s="148" t="n">
        <v>0</v>
      </c>
      <c r="H230" s="148" t="n">
        <v>0</v>
      </c>
      <c r="I230" s="138" t="s">
        <v>1642</v>
      </c>
      <c r="J230" s="138"/>
      <c r="K230" s="146" t="n">
        <f aca="false">Parâmetros!$C$4*(F230+2*Parâmetros!$D$4+Parâmetros!$C$4*Parâmetros!$E$4)</f>
        <v>0.5525</v>
      </c>
      <c r="L230" s="146" t="n">
        <f aca="false">Parâmetros!$C$5*(F230+2*Parâmetros!$D$5+Parâmetros!$C$5*Parâmetros!$E$5)</f>
        <v>1.8176</v>
      </c>
      <c r="M230" s="146" t="n">
        <f aca="false">Parâmetros!$C$6*(F230+2*Parâmetros!$D$6+Parâmetros!$C$6*Parâmetros!$E$6)</f>
        <v>2.384</v>
      </c>
      <c r="N230" s="146" t="n">
        <f aca="false">Parâmetros!$C$7*(F230+2*Parâmetros!$D$7+Parâmetros!$C$7*Parâmetros!$E$7)</f>
        <v>3.786</v>
      </c>
      <c r="O230" s="146" t="n">
        <f aca="false">F230+2*Parâmetros!$D$8</f>
        <v>11.2</v>
      </c>
      <c r="P230" s="146" t="n">
        <f aca="false">F230+2*Parâmetros!$D$10</f>
        <v>12.92</v>
      </c>
      <c r="Q230" s="146" t="n">
        <f aca="false">G230+H230</f>
        <v>0</v>
      </c>
      <c r="S230" s="149" t="n">
        <f aca="false">S229+'Volumes por intervalo'!C229*(F229+F230)/2</f>
        <v>51298</v>
      </c>
      <c r="T230" s="149" t="n">
        <f aca="false">T229+'Volumes por intervalo'!H229</f>
        <v>2576.3</v>
      </c>
      <c r="U230" s="149" t="n">
        <f aca="false">U229+'Volumes por intervalo'!J229</f>
        <v>8470.33599999999</v>
      </c>
      <c r="V230" s="149" t="n">
        <f aca="false">V229+'Volumes por intervalo'!K229</f>
        <v>11098.64</v>
      </c>
      <c r="W230" s="149" t="n">
        <f aca="false">W229+'Volumes por intervalo'!L229</f>
        <v>17605.56</v>
      </c>
      <c r="X230" s="149" t="n">
        <f aca="false">X229+'Volumes por intervalo'!M229</f>
        <v>52210</v>
      </c>
      <c r="Y230" s="149" t="n">
        <f aca="false">Y229+'Volumes por intervalo'!N229</f>
        <v>52210</v>
      </c>
      <c r="Z230" s="149" t="n">
        <f aca="false">Z229+'Volumes por intervalo'!O229</f>
        <v>60053.2000000002</v>
      </c>
      <c r="AA230" s="149" t="n">
        <f aca="false">AA229+'Volumes por intervalo'!P229</f>
        <v>0</v>
      </c>
      <c r="AB230" s="149" t="n">
        <f aca="false">AB229+'Volumes por intervalo'!Q229</f>
        <v>0</v>
      </c>
      <c r="AC230" s="149" t="n">
        <f aca="false">AC229+'Volumes por intervalo'!R229</f>
        <v>0</v>
      </c>
      <c r="AD230" s="149" t="n">
        <f aca="false">AD229+'Volumes por intervalo'!S229</f>
        <v>0</v>
      </c>
    </row>
    <row r="231" customFormat="false" ht="15" hidden="false" customHeight="false" outlineLevel="0" collapsed="false">
      <c r="A231" s="138" t="s">
        <v>1881</v>
      </c>
      <c r="B231" s="146" t="n">
        <v>229</v>
      </c>
      <c r="C231" s="144" t="n">
        <v>4580</v>
      </c>
      <c r="D231" s="138" t="s">
        <v>1565</v>
      </c>
      <c r="E231" s="138" t="s">
        <v>1566</v>
      </c>
      <c r="F231" s="147" t="n">
        <v>11</v>
      </c>
      <c r="G231" s="148" t="n">
        <v>0</v>
      </c>
      <c r="H231" s="148" t="n">
        <v>0</v>
      </c>
      <c r="I231" s="138" t="s">
        <v>1642</v>
      </c>
      <c r="J231" s="138"/>
      <c r="K231" s="146" t="n">
        <f aca="false">Parâmetros!$C$4*(F231+2*Parâmetros!$D$4+Parâmetros!$C$4*Parâmetros!$E$4)</f>
        <v>0.5525</v>
      </c>
      <c r="L231" s="146" t="n">
        <f aca="false">Parâmetros!$C$5*(F231+2*Parâmetros!$D$5+Parâmetros!$C$5*Parâmetros!$E$5)</f>
        <v>1.8176</v>
      </c>
      <c r="M231" s="146" t="n">
        <f aca="false">Parâmetros!$C$6*(F231+2*Parâmetros!$D$6+Parâmetros!$C$6*Parâmetros!$E$6)</f>
        <v>2.384</v>
      </c>
      <c r="N231" s="146" t="n">
        <f aca="false">Parâmetros!$C$7*(F231+2*Parâmetros!$D$7+Parâmetros!$C$7*Parâmetros!$E$7)</f>
        <v>3.786</v>
      </c>
      <c r="O231" s="146" t="n">
        <f aca="false">F231+2*Parâmetros!$D$8</f>
        <v>11.2</v>
      </c>
      <c r="P231" s="146" t="n">
        <f aca="false">F231+2*Parâmetros!$D$10</f>
        <v>12.92</v>
      </c>
      <c r="Q231" s="146" t="n">
        <f aca="false">G231+H231</f>
        <v>0</v>
      </c>
      <c r="S231" s="149" t="n">
        <f aca="false">S230+'Volumes por intervalo'!C230*(F230+F231)/2</f>
        <v>51518</v>
      </c>
      <c r="T231" s="149" t="n">
        <f aca="false">T230+'Volumes por intervalo'!H230</f>
        <v>2587.35</v>
      </c>
      <c r="U231" s="149" t="n">
        <f aca="false">U230+'Volumes por intervalo'!J230</f>
        <v>8506.68799999999</v>
      </c>
      <c r="V231" s="149" t="n">
        <f aca="false">V230+'Volumes por intervalo'!K230</f>
        <v>11146.32</v>
      </c>
      <c r="W231" s="149" t="n">
        <f aca="false">W230+'Volumes por intervalo'!L230</f>
        <v>17681.28</v>
      </c>
      <c r="X231" s="149" t="n">
        <f aca="false">X230+'Volumes por intervalo'!M230</f>
        <v>52434</v>
      </c>
      <c r="Y231" s="149" t="n">
        <f aca="false">Y230+'Volumes por intervalo'!N230</f>
        <v>52434</v>
      </c>
      <c r="Z231" s="149" t="n">
        <f aca="false">Z230+'Volumes por intervalo'!O230</f>
        <v>60311.6000000002</v>
      </c>
      <c r="AA231" s="149" t="n">
        <f aca="false">AA230+'Volumes por intervalo'!P230</f>
        <v>0</v>
      </c>
      <c r="AB231" s="149" t="n">
        <f aca="false">AB230+'Volumes por intervalo'!Q230</f>
        <v>0</v>
      </c>
      <c r="AC231" s="149" t="n">
        <f aca="false">AC230+'Volumes por intervalo'!R230</f>
        <v>0</v>
      </c>
      <c r="AD231" s="149" t="n">
        <f aca="false">AD230+'Volumes por intervalo'!S230</f>
        <v>0</v>
      </c>
    </row>
    <row r="232" customFormat="false" ht="15" hidden="false" customHeight="false" outlineLevel="0" collapsed="false">
      <c r="A232" s="138" t="s">
        <v>1882</v>
      </c>
      <c r="B232" s="146" t="n">
        <v>230</v>
      </c>
      <c r="C232" s="144" t="n">
        <v>4600</v>
      </c>
      <c r="D232" s="138" t="s">
        <v>1565</v>
      </c>
      <c r="E232" s="138" t="s">
        <v>1566</v>
      </c>
      <c r="F232" s="147" t="n">
        <v>11</v>
      </c>
      <c r="G232" s="148" t="n">
        <v>0</v>
      </c>
      <c r="H232" s="148" t="n">
        <v>0</v>
      </c>
      <c r="I232" s="138" t="s">
        <v>1642</v>
      </c>
      <c r="J232" s="138"/>
      <c r="K232" s="146" t="n">
        <f aca="false">Parâmetros!$C$4*(F232+2*Parâmetros!$D$4+Parâmetros!$C$4*Parâmetros!$E$4)</f>
        <v>0.5525</v>
      </c>
      <c r="L232" s="146" t="n">
        <f aca="false">Parâmetros!$C$5*(F232+2*Parâmetros!$D$5+Parâmetros!$C$5*Parâmetros!$E$5)</f>
        <v>1.8176</v>
      </c>
      <c r="M232" s="146" t="n">
        <f aca="false">Parâmetros!$C$6*(F232+2*Parâmetros!$D$6+Parâmetros!$C$6*Parâmetros!$E$6)</f>
        <v>2.384</v>
      </c>
      <c r="N232" s="146" t="n">
        <f aca="false">Parâmetros!$C$7*(F232+2*Parâmetros!$D$7+Parâmetros!$C$7*Parâmetros!$E$7)</f>
        <v>3.786</v>
      </c>
      <c r="O232" s="146" t="n">
        <f aca="false">F232+2*Parâmetros!$D$8</f>
        <v>11.2</v>
      </c>
      <c r="P232" s="146" t="n">
        <f aca="false">F232+2*Parâmetros!$D$10</f>
        <v>12.92</v>
      </c>
      <c r="Q232" s="146" t="n">
        <f aca="false">G232+H232</f>
        <v>0</v>
      </c>
      <c r="S232" s="149" t="n">
        <f aca="false">S231+'Volumes por intervalo'!C231*(F231+F232)/2</f>
        <v>51738</v>
      </c>
      <c r="T232" s="149" t="n">
        <f aca="false">T231+'Volumes por intervalo'!H231</f>
        <v>2598.4</v>
      </c>
      <c r="U232" s="149" t="n">
        <f aca="false">U231+'Volumes por intervalo'!J231</f>
        <v>8543.03999999999</v>
      </c>
      <c r="V232" s="149" t="n">
        <f aca="false">V231+'Volumes por intervalo'!K231</f>
        <v>11194</v>
      </c>
      <c r="W232" s="149" t="n">
        <f aca="false">W231+'Volumes por intervalo'!L231</f>
        <v>17757</v>
      </c>
      <c r="X232" s="149" t="n">
        <f aca="false">X231+'Volumes por intervalo'!M231</f>
        <v>52658</v>
      </c>
      <c r="Y232" s="149" t="n">
        <f aca="false">Y231+'Volumes por intervalo'!N231</f>
        <v>52658</v>
      </c>
      <c r="Z232" s="149" t="n">
        <f aca="false">Z231+'Volumes por intervalo'!O231</f>
        <v>60570.0000000002</v>
      </c>
      <c r="AA232" s="149" t="n">
        <f aca="false">AA231+'Volumes por intervalo'!P231</f>
        <v>0</v>
      </c>
      <c r="AB232" s="149" t="n">
        <f aca="false">AB231+'Volumes por intervalo'!Q231</f>
        <v>0</v>
      </c>
      <c r="AC232" s="149" t="n">
        <f aca="false">AC231+'Volumes por intervalo'!R231</f>
        <v>0</v>
      </c>
      <c r="AD232" s="149" t="n">
        <f aca="false">AD231+'Volumes por intervalo'!S231</f>
        <v>0</v>
      </c>
    </row>
    <row r="233" customFormat="false" ht="15" hidden="false" customHeight="false" outlineLevel="0" collapsed="false">
      <c r="A233" s="138" t="s">
        <v>1883</v>
      </c>
      <c r="B233" s="146" t="n">
        <v>231</v>
      </c>
      <c r="C233" s="144" t="n">
        <v>4620</v>
      </c>
      <c r="D233" s="138" t="s">
        <v>1565</v>
      </c>
      <c r="E233" s="138" t="s">
        <v>1566</v>
      </c>
      <c r="F233" s="147" t="n">
        <v>11</v>
      </c>
      <c r="G233" s="148" t="n">
        <v>0</v>
      </c>
      <c r="H233" s="148" t="n">
        <v>0</v>
      </c>
      <c r="I233" s="138" t="s">
        <v>1642</v>
      </c>
      <c r="J233" s="138"/>
      <c r="K233" s="146" t="n">
        <f aca="false">Parâmetros!$C$4*(F233+2*Parâmetros!$D$4+Parâmetros!$C$4*Parâmetros!$E$4)</f>
        <v>0.5525</v>
      </c>
      <c r="L233" s="146" t="n">
        <f aca="false">Parâmetros!$C$5*(F233+2*Parâmetros!$D$5+Parâmetros!$C$5*Parâmetros!$E$5)</f>
        <v>1.8176</v>
      </c>
      <c r="M233" s="146" t="n">
        <f aca="false">Parâmetros!$C$6*(F233+2*Parâmetros!$D$6+Parâmetros!$C$6*Parâmetros!$E$6)</f>
        <v>2.384</v>
      </c>
      <c r="N233" s="146" t="n">
        <f aca="false">Parâmetros!$C$7*(F233+2*Parâmetros!$D$7+Parâmetros!$C$7*Parâmetros!$E$7)</f>
        <v>3.786</v>
      </c>
      <c r="O233" s="146" t="n">
        <f aca="false">F233+2*Parâmetros!$D$8</f>
        <v>11.2</v>
      </c>
      <c r="P233" s="146" t="n">
        <f aca="false">F233+2*Parâmetros!$D$10</f>
        <v>12.92</v>
      </c>
      <c r="Q233" s="146" t="n">
        <f aca="false">G233+H233</f>
        <v>0</v>
      </c>
      <c r="S233" s="149" t="n">
        <f aca="false">S232+'Volumes por intervalo'!C232*(F232+F233)/2</f>
        <v>51958</v>
      </c>
      <c r="T233" s="149" t="n">
        <f aca="false">T232+'Volumes por intervalo'!H232</f>
        <v>2609.45</v>
      </c>
      <c r="U233" s="149" t="n">
        <f aca="false">U232+'Volumes por intervalo'!J232</f>
        <v>8579.39199999999</v>
      </c>
      <c r="V233" s="149" t="n">
        <f aca="false">V232+'Volumes por intervalo'!K232</f>
        <v>11241.68</v>
      </c>
      <c r="W233" s="149" t="n">
        <f aca="false">W232+'Volumes por intervalo'!L232</f>
        <v>17832.72</v>
      </c>
      <c r="X233" s="149" t="n">
        <f aca="false">X232+'Volumes por intervalo'!M232</f>
        <v>52882</v>
      </c>
      <c r="Y233" s="149" t="n">
        <f aca="false">Y232+'Volumes por intervalo'!N232</f>
        <v>52882</v>
      </c>
      <c r="Z233" s="149" t="n">
        <f aca="false">Z232+'Volumes por intervalo'!O232</f>
        <v>60828.4000000002</v>
      </c>
      <c r="AA233" s="149" t="n">
        <f aca="false">AA232+'Volumes por intervalo'!P232</f>
        <v>0</v>
      </c>
      <c r="AB233" s="149" t="n">
        <f aca="false">AB232+'Volumes por intervalo'!Q232</f>
        <v>0</v>
      </c>
      <c r="AC233" s="149" t="n">
        <f aca="false">AC232+'Volumes por intervalo'!R232</f>
        <v>0</v>
      </c>
      <c r="AD233" s="149" t="n">
        <f aca="false">AD232+'Volumes por intervalo'!S232</f>
        <v>0</v>
      </c>
    </row>
    <row r="234" customFormat="false" ht="15" hidden="false" customHeight="false" outlineLevel="0" collapsed="false">
      <c r="A234" s="138" t="s">
        <v>1884</v>
      </c>
      <c r="B234" s="146" t="n">
        <v>232</v>
      </c>
      <c r="C234" s="144" t="n">
        <v>4640</v>
      </c>
      <c r="D234" s="138" t="s">
        <v>1565</v>
      </c>
      <c r="E234" s="138" t="s">
        <v>1566</v>
      </c>
      <c r="F234" s="147" t="n">
        <v>11</v>
      </c>
      <c r="G234" s="148" t="n">
        <v>0</v>
      </c>
      <c r="H234" s="148" t="n">
        <v>0</v>
      </c>
      <c r="I234" s="138" t="s">
        <v>1642</v>
      </c>
      <c r="J234" s="138"/>
      <c r="K234" s="146" t="n">
        <f aca="false">Parâmetros!$C$4*(F234+2*Parâmetros!$D$4+Parâmetros!$C$4*Parâmetros!$E$4)</f>
        <v>0.5525</v>
      </c>
      <c r="L234" s="146" t="n">
        <f aca="false">Parâmetros!$C$5*(F234+2*Parâmetros!$D$5+Parâmetros!$C$5*Parâmetros!$E$5)</f>
        <v>1.8176</v>
      </c>
      <c r="M234" s="146" t="n">
        <f aca="false">Parâmetros!$C$6*(F234+2*Parâmetros!$D$6+Parâmetros!$C$6*Parâmetros!$E$6)</f>
        <v>2.384</v>
      </c>
      <c r="N234" s="146" t="n">
        <f aca="false">Parâmetros!$C$7*(F234+2*Parâmetros!$D$7+Parâmetros!$C$7*Parâmetros!$E$7)</f>
        <v>3.786</v>
      </c>
      <c r="O234" s="146" t="n">
        <f aca="false">F234+2*Parâmetros!$D$8</f>
        <v>11.2</v>
      </c>
      <c r="P234" s="146" t="n">
        <f aca="false">F234+2*Parâmetros!$D$10</f>
        <v>12.92</v>
      </c>
      <c r="Q234" s="146" t="n">
        <f aca="false">G234+H234</f>
        <v>0</v>
      </c>
      <c r="S234" s="149" t="n">
        <f aca="false">S233+'Volumes por intervalo'!C233*(F233+F234)/2</f>
        <v>52178</v>
      </c>
      <c r="T234" s="149" t="n">
        <f aca="false">T233+'Volumes por intervalo'!H233</f>
        <v>2620.5</v>
      </c>
      <c r="U234" s="149" t="n">
        <f aca="false">U233+'Volumes por intervalo'!J233</f>
        <v>8615.74399999999</v>
      </c>
      <c r="V234" s="149" t="n">
        <f aca="false">V233+'Volumes por intervalo'!K233</f>
        <v>11289.36</v>
      </c>
      <c r="W234" s="149" t="n">
        <f aca="false">W233+'Volumes por intervalo'!L233</f>
        <v>17908.44</v>
      </c>
      <c r="X234" s="149" t="n">
        <f aca="false">X233+'Volumes por intervalo'!M233</f>
        <v>53106</v>
      </c>
      <c r="Y234" s="149" t="n">
        <f aca="false">Y233+'Volumes por intervalo'!N233</f>
        <v>53106</v>
      </c>
      <c r="Z234" s="149" t="n">
        <f aca="false">Z233+'Volumes por intervalo'!O233</f>
        <v>61086.8000000002</v>
      </c>
      <c r="AA234" s="149" t="n">
        <f aca="false">AA233+'Volumes por intervalo'!P233</f>
        <v>0</v>
      </c>
      <c r="AB234" s="149" t="n">
        <f aca="false">AB233+'Volumes por intervalo'!Q233</f>
        <v>0</v>
      </c>
      <c r="AC234" s="149" t="n">
        <f aca="false">AC233+'Volumes por intervalo'!R233</f>
        <v>0</v>
      </c>
      <c r="AD234" s="149" t="n">
        <f aca="false">AD233+'Volumes por intervalo'!S233</f>
        <v>0</v>
      </c>
    </row>
    <row r="235" customFormat="false" ht="15" hidden="false" customHeight="false" outlineLevel="0" collapsed="false">
      <c r="A235" s="138" t="s">
        <v>1885</v>
      </c>
      <c r="B235" s="146" t="n">
        <v>233</v>
      </c>
      <c r="C235" s="144" t="n">
        <v>4660</v>
      </c>
      <c r="D235" s="138" t="s">
        <v>1565</v>
      </c>
      <c r="E235" s="138" t="s">
        <v>1566</v>
      </c>
      <c r="F235" s="147" t="n">
        <v>11</v>
      </c>
      <c r="G235" s="148" t="n">
        <v>0</v>
      </c>
      <c r="H235" s="148" t="n">
        <v>0</v>
      </c>
      <c r="I235" s="138" t="s">
        <v>1642</v>
      </c>
      <c r="J235" s="138"/>
      <c r="K235" s="146" t="n">
        <f aca="false">Parâmetros!$C$4*(F235+2*Parâmetros!$D$4+Parâmetros!$C$4*Parâmetros!$E$4)</f>
        <v>0.5525</v>
      </c>
      <c r="L235" s="146" t="n">
        <f aca="false">Parâmetros!$C$5*(F235+2*Parâmetros!$D$5+Parâmetros!$C$5*Parâmetros!$E$5)</f>
        <v>1.8176</v>
      </c>
      <c r="M235" s="146" t="n">
        <f aca="false">Parâmetros!$C$6*(F235+2*Parâmetros!$D$6+Parâmetros!$C$6*Parâmetros!$E$6)</f>
        <v>2.384</v>
      </c>
      <c r="N235" s="146" t="n">
        <f aca="false">Parâmetros!$C$7*(F235+2*Parâmetros!$D$7+Parâmetros!$C$7*Parâmetros!$E$7)</f>
        <v>3.786</v>
      </c>
      <c r="O235" s="146" t="n">
        <f aca="false">F235+2*Parâmetros!$D$8</f>
        <v>11.2</v>
      </c>
      <c r="P235" s="146" t="n">
        <f aca="false">F235+2*Parâmetros!$D$10</f>
        <v>12.92</v>
      </c>
      <c r="Q235" s="146" t="n">
        <f aca="false">G235+H235</f>
        <v>0</v>
      </c>
      <c r="S235" s="149" t="n">
        <f aca="false">S234+'Volumes por intervalo'!C234*(F234+F235)/2</f>
        <v>52398</v>
      </c>
      <c r="T235" s="149" t="n">
        <f aca="false">T234+'Volumes por intervalo'!H234</f>
        <v>2631.55</v>
      </c>
      <c r="U235" s="149" t="n">
        <f aca="false">U234+'Volumes por intervalo'!J234</f>
        <v>8652.09599999999</v>
      </c>
      <c r="V235" s="149" t="n">
        <f aca="false">V234+'Volumes por intervalo'!K234</f>
        <v>11337.04</v>
      </c>
      <c r="W235" s="149" t="n">
        <f aca="false">W234+'Volumes por intervalo'!L234</f>
        <v>17984.16</v>
      </c>
      <c r="X235" s="149" t="n">
        <f aca="false">X234+'Volumes por intervalo'!M234</f>
        <v>53330</v>
      </c>
      <c r="Y235" s="149" t="n">
        <f aca="false">Y234+'Volumes por intervalo'!N234</f>
        <v>53330</v>
      </c>
      <c r="Z235" s="149" t="n">
        <f aca="false">Z234+'Volumes por intervalo'!O234</f>
        <v>61345.2000000002</v>
      </c>
      <c r="AA235" s="149" t="n">
        <f aca="false">AA234+'Volumes por intervalo'!P234</f>
        <v>0</v>
      </c>
      <c r="AB235" s="149" t="n">
        <f aca="false">AB234+'Volumes por intervalo'!Q234</f>
        <v>0</v>
      </c>
      <c r="AC235" s="149" t="n">
        <f aca="false">AC234+'Volumes por intervalo'!R234</f>
        <v>0</v>
      </c>
      <c r="AD235" s="149" t="n">
        <f aca="false">AD234+'Volumes por intervalo'!S234</f>
        <v>0</v>
      </c>
    </row>
    <row r="236" customFormat="false" ht="15" hidden="false" customHeight="false" outlineLevel="0" collapsed="false">
      <c r="A236" s="138" t="s">
        <v>1886</v>
      </c>
      <c r="B236" s="146" t="n">
        <v>234</v>
      </c>
      <c r="C236" s="144" t="n">
        <v>4680</v>
      </c>
      <c r="D236" s="138" t="s">
        <v>1565</v>
      </c>
      <c r="E236" s="138" t="s">
        <v>1566</v>
      </c>
      <c r="F236" s="147" t="n">
        <v>11</v>
      </c>
      <c r="G236" s="148" t="n">
        <v>0</v>
      </c>
      <c r="H236" s="148" t="n">
        <v>0</v>
      </c>
      <c r="I236" s="138" t="s">
        <v>1642</v>
      </c>
      <c r="J236" s="138"/>
      <c r="K236" s="146" t="n">
        <f aca="false">Parâmetros!$C$4*(F236+2*Parâmetros!$D$4+Parâmetros!$C$4*Parâmetros!$E$4)</f>
        <v>0.5525</v>
      </c>
      <c r="L236" s="146" t="n">
        <f aca="false">Parâmetros!$C$5*(F236+2*Parâmetros!$D$5+Parâmetros!$C$5*Parâmetros!$E$5)</f>
        <v>1.8176</v>
      </c>
      <c r="M236" s="146" t="n">
        <f aca="false">Parâmetros!$C$6*(F236+2*Parâmetros!$D$6+Parâmetros!$C$6*Parâmetros!$E$6)</f>
        <v>2.384</v>
      </c>
      <c r="N236" s="146" t="n">
        <f aca="false">Parâmetros!$C$7*(F236+2*Parâmetros!$D$7+Parâmetros!$C$7*Parâmetros!$E$7)</f>
        <v>3.786</v>
      </c>
      <c r="O236" s="146" t="n">
        <f aca="false">F236+2*Parâmetros!$D$8</f>
        <v>11.2</v>
      </c>
      <c r="P236" s="146" t="n">
        <f aca="false">F236+2*Parâmetros!$D$10</f>
        <v>12.92</v>
      </c>
      <c r="Q236" s="146" t="n">
        <f aca="false">G236+H236</f>
        <v>0</v>
      </c>
      <c r="S236" s="149" t="n">
        <f aca="false">S235+'Volumes por intervalo'!C235*(F235+F236)/2</f>
        <v>52618</v>
      </c>
      <c r="T236" s="149" t="n">
        <f aca="false">T235+'Volumes por intervalo'!H235</f>
        <v>2642.6</v>
      </c>
      <c r="U236" s="149" t="n">
        <f aca="false">U235+'Volumes por intervalo'!J235</f>
        <v>8688.44799999999</v>
      </c>
      <c r="V236" s="149" t="n">
        <f aca="false">V235+'Volumes por intervalo'!K235</f>
        <v>11384.72</v>
      </c>
      <c r="W236" s="149" t="n">
        <f aca="false">W235+'Volumes por intervalo'!L235</f>
        <v>18059.88</v>
      </c>
      <c r="X236" s="149" t="n">
        <f aca="false">X235+'Volumes por intervalo'!M235</f>
        <v>53554</v>
      </c>
      <c r="Y236" s="149" t="n">
        <f aca="false">Y235+'Volumes por intervalo'!N235</f>
        <v>53554</v>
      </c>
      <c r="Z236" s="149" t="n">
        <f aca="false">Z235+'Volumes por intervalo'!O235</f>
        <v>61603.6000000002</v>
      </c>
      <c r="AA236" s="149" t="n">
        <f aca="false">AA235+'Volumes por intervalo'!P235</f>
        <v>0</v>
      </c>
      <c r="AB236" s="149" t="n">
        <f aca="false">AB235+'Volumes por intervalo'!Q235</f>
        <v>0</v>
      </c>
      <c r="AC236" s="149" t="n">
        <f aca="false">AC235+'Volumes por intervalo'!R235</f>
        <v>0</v>
      </c>
      <c r="AD236" s="149" t="n">
        <f aca="false">AD235+'Volumes por intervalo'!S235</f>
        <v>0</v>
      </c>
    </row>
    <row r="237" customFormat="false" ht="15" hidden="false" customHeight="false" outlineLevel="0" collapsed="false">
      <c r="A237" s="138" t="s">
        <v>1887</v>
      </c>
      <c r="B237" s="146" t="n">
        <v>235</v>
      </c>
      <c r="C237" s="144" t="n">
        <v>4700</v>
      </c>
      <c r="D237" s="138" t="s">
        <v>1565</v>
      </c>
      <c r="E237" s="138" t="s">
        <v>1566</v>
      </c>
      <c r="F237" s="147" t="n">
        <v>11</v>
      </c>
      <c r="G237" s="148" t="n">
        <v>0</v>
      </c>
      <c r="H237" s="148" t="n">
        <v>0</v>
      </c>
      <c r="I237" s="138" t="s">
        <v>1642</v>
      </c>
      <c r="J237" s="138" t="s">
        <v>1888</v>
      </c>
      <c r="K237" s="146" t="n">
        <f aca="false">Parâmetros!$C$4*(F237+2*Parâmetros!$D$4+Parâmetros!$C$4*Parâmetros!$E$4)</f>
        <v>0.5525</v>
      </c>
      <c r="L237" s="146" t="n">
        <f aca="false">Parâmetros!$C$5*(F237+2*Parâmetros!$D$5+Parâmetros!$C$5*Parâmetros!$E$5)</f>
        <v>1.8176</v>
      </c>
      <c r="M237" s="146" t="n">
        <f aca="false">Parâmetros!$C$6*(F237+2*Parâmetros!$D$6+Parâmetros!$C$6*Parâmetros!$E$6)</f>
        <v>2.384</v>
      </c>
      <c r="N237" s="146" t="n">
        <f aca="false">Parâmetros!$C$7*(F237+2*Parâmetros!$D$7+Parâmetros!$C$7*Parâmetros!$E$7)</f>
        <v>3.786</v>
      </c>
      <c r="O237" s="146" t="n">
        <f aca="false">F237+2*Parâmetros!$D$8</f>
        <v>11.2</v>
      </c>
      <c r="P237" s="146" t="n">
        <f aca="false">F237+2*Parâmetros!$D$10</f>
        <v>12.92</v>
      </c>
      <c r="Q237" s="146" t="n">
        <f aca="false">G237+H237</f>
        <v>0</v>
      </c>
      <c r="S237" s="149" t="n">
        <f aca="false">S236+'Volumes por intervalo'!C236*(F236+F237)/2</f>
        <v>52838</v>
      </c>
      <c r="T237" s="149" t="n">
        <f aca="false">T236+'Volumes por intervalo'!H236</f>
        <v>2653.65</v>
      </c>
      <c r="U237" s="149" t="n">
        <f aca="false">U236+'Volumes por intervalo'!J236</f>
        <v>8724.79999999999</v>
      </c>
      <c r="V237" s="149" t="n">
        <f aca="false">V236+'Volumes por intervalo'!K236</f>
        <v>11432.4</v>
      </c>
      <c r="W237" s="149" t="n">
        <f aca="false">W236+'Volumes por intervalo'!L236</f>
        <v>18135.6</v>
      </c>
      <c r="X237" s="149" t="n">
        <f aca="false">X236+'Volumes por intervalo'!M236</f>
        <v>53778</v>
      </c>
      <c r="Y237" s="149" t="n">
        <f aca="false">Y236+'Volumes por intervalo'!N236</f>
        <v>53778</v>
      </c>
      <c r="Z237" s="149" t="n">
        <f aca="false">Z236+'Volumes por intervalo'!O236</f>
        <v>61862.0000000002</v>
      </c>
      <c r="AA237" s="149" t="n">
        <f aca="false">AA236+'Volumes por intervalo'!P236</f>
        <v>0</v>
      </c>
      <c r="AB237" s="149" t="n">
        <f aca="false">AB236+'Volumes por intervalo'!Q236</f>
        <v>0</v>
      </c>
      <c r="AC237" s="149" t="n">
        <f aca="false">AC236+'Volumes por intervalo'!R236</f>
        <v>0</v>
      </c>
      <c r="AD237" s="149" t="n">
        <f aca="false">AD236+'Volumes por intervalo'!S236</f>
        <v>0</v>
      </c>
    </row>
    <row r="238" customFormat="false" ht="15" hidden="false" customHeight="false" outlineLevel="0" collapsed="false">
      <c r="A238" s="138" t="s">
        <v>1889</v>
      </c>
      <c r="B238" s="146" t="n">
        <v>236</v>
      </c>
      <c r="C238" s="144" t="n">
        <v>4720</v>
      </c>
      <c r="D238" s="138" t="s">
        <v>1565</v>
      </c>
      <c r="E238" s="138" t="s">
        <v>1566</v>
      </c>
      <c r="F238" s="147" t="n">
        <v>11</v>
      </c>
      <c r="G238" s="148" t="n">
        <v>0</v>
      </c>
      <c r="H238" s="148" t="n">
        <v>0</v>
      </c>
      <c r="I238" s="138" t="s">
        <v>1642</v>
      </c>
      <c r="J238" s="138"/>
      <c r="K238" s="146" t="n">
        <f aca="false">Parâmetros!$C$4*(F238+2*Parâmetros!$D$4+Parâmetros!$C$4*Parâmetros!$E$4)</f>
        <v>0.5525</v>
      </c>
      <c r="L238" s="146" t="n">
        <f aca="false">Parâmetros!$C$5*(F238+2*Parâmetros!$D$5+Parâmetros!$C$5*Parâmetros!$E$5)</f>
        <v>1.8176</v>
      </c>
      <c r="M238" s="146" t="n">
        <f aca="false">Parâmetros!$C$6*(F238+2*Parâmetros!$D$6+Parâmetros!$C$6*Parâmetros!$E$6)</f>
        <v>2.384</v>
      </c>
      <c r="N238" s="146" t="n">
        <f aca="false">Parâmetros!$C$7*(F238+2*Parâmetros!$D$7+Parâmetros!$C$7*Parâmetros!$E$7)</f>
        <v>3.786</v>
      </c>
      <c r="O238" s="146" t="n">
        <f aca="false">F238+2*Parâmetros!$D$8</f>
        <v>11.2</v>
      </c>
      <c r="P238" s="146" t="n">
        <f aca="false">F238+2*Parâmetros!$D$10</f>
        <v>12.92</v>
      </c>
      <c r="Q238" s="146" t="n">
        <f aca="false">G238+H238</f>
        <v>0</v>
      </c>
      <c r="S238" s="149" t="n">
        <f aca="false">S237+'Volumes por intervalo'!C237*(F237+F238)/2</f>
        <v>53058</v>
      </c>
      <c r="T238" s="149" t="n">
        <f aca="false">T237+'Volumes por intervalo'!H237</f>
        <v>2664.7</v>
      </c>
      <c r="U238" s="149" t="n">
        <f aca="false">U237+'Volumes por intervalo'!J237</f>
        <v>8761.15199999999</v>
      </c>
      <c r="V238" s="149" t="n">
        <f aca="false">V237+'Volumes por intervalo'!K237</f>
        <v>11480.08</v>
      </c>
      <c r="W238" s="149" t="n">
        <f aca="false">W237+'Volumes por intervalo'!L237</f>
        <v>18211.32</v>
      </c>
      <c r="X238" s="149" t="n">
        <f aca="false">X237+'Volumes por intervalo'!M237</f>
        <v>54002</v>
      </c>
      <c r="Y238" s="149" t="n">
        <f aca="false">Y237+'Volumes por intervalo'!N237</f>
        <v>54002</v>
      </c>
      <c r="Z238" s="149" t="n">
        <f aca="false">Z237+'Volumes por intervalo'!O237</f>
        <v>62120.4000000002</v>
      </c>
      <c r="AA238" s="149" t="n">
        <f aca="false">AA237+'Volumes por intervalo'!P237</f>
        <v>0</v>
      </c>
      <c r="AB238" s="149" t="n">
        <f aca="false">AB237+'Volumes por intervalo'!Q237</f>
        <v>0</v>
      </c>
      <c r="AC238" s="149" t="n">
        <f aca="false">AC237+'Volumes por intervalo'!R237</f>
        <v>0</v>
      </c>
      <c r="AD238" s="149" t="n">
        <f aca="false">AD237+'Volumes por intervalo'!S237</f>
        <v>0</v>
      </c>
    </row>
    <row r="239" customFormat="false" ht="15" hidden="false" customHeight="false" outlineLevel="0" collapsed="false">
      <c r="A239" s="138" t="s">
        <v>1890</v>
      </c>
      <c r="B239" s="146" t="n">
        <v>237</v>
      </c>
      <c r="C239" s="144" t="n">
        <v>4740</v>
      </c>
      <c r="D239" s="138" t="s">
        <v>1565</v>
      </c>
      <c r="E239" s="138" t="s">
        <v>1566</v>
      </c>
      <c r="F239" s="147" t="n">
        <v>11</v>
      </c>
      <c r="G239" s="148" t="n">
        <v>0</v>
      </c>
      <c r="H239" s="148" t="n">
        <v>0</v>
      </c>
      <c r="I239" s="138" t="s">
        <v>1642</v>
      </c>
      <c r="J239" s="138"/>
      <c r="K239" s="146" t="n">
        <f aca="false">Parâmetros!$C$4*(F239+2*Parâmetros!$D$4+Parâmetros!$C$4*Parâmetros!$E$4)</f>
        <v>0.5525</v>
      </c>
      <c r="L239" s="146" t="n">
        <f aca="false">Parâmetros!$C$5*(F239+2*Parâmetros!$D$5+Parâmetros!$C$5*Parâmetros!$E$5)</f>
        <v>1.8176</v>
      </c>
      <c r="M239" s="146" t="n">
        <f aca="false">Parâmetros!$C$6*(F239+2*Parâmetros!$D$6+Parâmetros!$C$6*Parâmetros!$E$6)</f>
        <v>2.384</v>
      </c>
      <c r="N239" s="146" t="n">
        <f aca="false">Parâmetros!$C$7*(F239+2*Parâmetros!$D$7+Parâmetros!$C$7*Parâmetros!$E$7)</f>
        <v>3.786</v>
      </c>
      <c r="O239" s="146" t="n">
        <f aca="false">F239+2*Parâmetros!$D$8</f>
        <v>11.2</v>
      </c>
      <c r="P239" s="146" t="n">
        <f aca="false">F239+2*Parâmetros!$D$10</f>
        <v>12.92</v>
      </c>
      <c r="Q239" s="146" t="n">
        <f aca="false">G239+H239</f>
        <v>0</v>
      </c>
      <c r="S239" s="149" t="n">
        <f aca="false">S238+'Volumes por intervalo'!C238*(F238+F239)/2</f>
        <v>53278</v>
      </c>
      <c r="T239" s="149" t="n">
        <f aca="false">T238+'Volumes por intervalo'!H238</f>
        <v>2675.75</v>
      </c>
      <c r="U239" s="149" t="n">
        <f aca="false">U238+'Volumes por intervalo'!J238</f>
        <v>8797.50399999999</v>
      </c>
      <c r="V239" s="149" t="n">
        <f aca="false">V238+'Volumes por intervalo'!K238</f>
        <v>11527.76</v>
      </c>
      <c r="W239" s="149" t="n">
        <f aca="false">W238+'Volumes por intervalo'!L238</f>
        <v>18287.04</v>
      </c>
      <c r="X239" s="149" t="n">
        <f aca="false">X238+'Volumes por intervalo'!M238</f>
        <v>54226</v>
      </c>
      <c r="Y239" s="149" t="n">
        <f aca="false">Y238+'Volumes por intervalo'!N238</f>
        <v>54226</v>
      </c>
      <c r="Z239" s="149" t="n">
        <f aca="false">Z238+'Volumes por intervalo'!O238</f>
        <v>62378.8000000002</v>
      </c>
      <c r="AA239" s="149" t="n">
        <f aca="false">AA238+'Volumes por intervalo'!P238</f>
        <v>0</v>
      </c>
      <c r="AB239" s="149" t="n">
        <f aca="false">AB238+'Volumes por intervalo'!Q238</f>
        <v>0</v>
      </c>
      <c r="AC239" s="149" t="n">
        <f aca="false">AC238+'Volumes por intervalo'!R238</f>
        <v>0</v>
      </c>
      <c r="AD239" s="149" t="n">
        <f aca="false">AD238+'Volumes por intervalo'!S238</f>
        <v>0</v>
      </c>
    </row>
    <row r="240" customFormat="false" ht="15" hidden="false" customHeight="false" outlineLevel="0" collapsed="false">
      <c r="A240" s="138" t="s">
        <v>1891</v>
      </c>
      <c r="B240" s="146" t="n">
        <v>238</v>
      </c>
      <c r="C240" s="144" t="n">
        <v>4760</v>
      </c>
      <c r="D240" s="138" t="s">
        <v>1565</v>
      </c>
      <c r="E240" s="138" t="s">
        <v>1566</v>
      </c>
      <c r="F240" s="147" t="n">
        <v>11</v>
      </c>
      <c r="G240" s="148" t="n">
        <v>0</v>
      </c>
      <c r="H240" s="148" t="n">
        <v>0</v>
      </c>
      <c r="I240" s="138" t="s">
        <v>1642</v>
      </c>
      <c r="J240" s="138"/>
      <c r="K240" s="146" t="n">
        <f aca="false">Parâmetros!$C$4*(F240+2*Parâmetros!$D$4+Parâmetros!$C$4*Parâmetros!$E$4)</f>
        <v>0.5525</v>
      </c>
      <c r="L240" s="146" t="n">
        <f aca="false">Parâmetros!$C$5*(F240+2*Parâmetros!$D$5+Parâmetros!$C$5*Parâmetros!$E$5)</f>
        <v>1.8176</v>
      </c>
      <c r="M240" s="146" t="n">
        <f aca="false">Parâmetros!$C$6*(F240+2*Parâmetros!$D$6+Parâmetros!$C$6*Parâmetros!$E$6)</f>
        <v>2.384</v>
      </c>
      <c r="N240" s="146" t="n">
        <f aca="false">Parâmetros!$C$7*(F240+2*Parâmetros!$D$7+Parâmetros!$C$7*Parâmetros!$E$7)</f>
        <v>3.786</v>
      </c>
      <c r="O240" s="146" t="n">
        <f aca="false">F240+2*Parâmetros!$D$8</f>
        <v>11.2</v>
      </c>
      <c r="P240" s="146" t="n">
        <f aca="false">F240+2*Parâmetros!$D$10</f>
        <v>12.92</v>
      </c>
      <c r="Q240" s="146" t="n">
        <f aca="false">G240+H240</f>
        <v>0</v>
      </c>
      <c r="S240" s="149" t="n">
        <f aca="false">S239+'Volumes por intervalo'!C239*(F239+F240)/2</f>
        <v>53498</v>
      </c>
      <c r="T240" s="149" t="n">
        <f aca="false">T239+'Volumes por intervalo'!H239</f>
        <v>2686.8</v>
      </c>
      <c r="U240" s="149" t="n">
        <f aca="false">U239+'Volumes por intervalo'!J239</f>
        <v>8833.85599999999</v>
      </c>
      <c r="V240" s="149" t="n">
        <f aca="false">V239+'Volumes por intervalo'!K239</f>
        <v>11575.44</v>
      </c>
      <c r="W240" s="149" t="n">
        <f aca="false">W239+'Volumes por intervalo'!L239</f>
        <v>18362.76</v>
      </c>
      <c r="X240" s="149" t="n">
        <f aca="false">X239+'Volumes por intervalo'!M239</f>
        <v>54450</v>
      </c>
      <c r="Y240" s="149" t="n">
        <f aca="false">Y239+'Volumes por intervalo'!N239</f>
        <v>54450</v>
      </c>
      <c r="Z240" s="149" t="n">
        <f aca="false">Z239+'Volumes por intervalo'!O239</f>
        <v>62637.2000000002</v>
      </c>
      <c r="AA240" s="149" t="n">
        <f aca="false">AA239+'Volumes por intervalo'!P239</f>
        <v>0</v>
      </c>
      <c r="AB240" s="149" t="n">
        <f aca="false">AB239+'Volumes por intervalo'!Q239</f>
        <v>0</v>
      </c>
      <c r="AC240" s="149" t="n">
        <f aca="false">AC239+'Volumes por intervalo'!R239</f>
        <v>0</v>
      </c>
      <c r="AD240" s="149" t="n">
        <f aca="false">AD239+'Volumes por intervalo'!S239</f>
        <v>0</v>
      </c>
    </row>
    <row r="241" customFormat="false" ht="15" hidden="false" customHeight="false" outlineLevel="0" collapsed="false">
      <c r="A241" s="138" t="s">
        <v>1892</v>
      </c>
      <c r="B241" s="146" t="n">
        <v>239</v>
      </c>
      <c r="C241" s="144" t="n">
        <v>4780</v>
      </c>
      <c r="D241" s="138" t="s">
        <v>1565</v>
      </c>
      <c r="E241" s="138" t="s">
        <v>1566</v>
      </c>
      <c r="F241" s="147" t="n">
        <v>11</v>
      </c>
      <c r="G241" s="148" t="n">
        <v>0</v>
      </c>
      <c r="H241" s="148" t="n">
        <v>0</v>
      </c>
      <c r="I241" s="138" t="s">
        <v>1642</v>
      </c>
      <c r="J241" s="138"/>
      <c r="K241" s="146" t="n">
        <f aca="false">Parâmetros!$C$4*(F241+2*Parâmetros!$D$4+Parâmetros!$C$4*Parâmetros!$E$4)</f>
        <v>0.5525</v>
      </c>
      <c r="L241" s="146" t="n">
        <f aca="false">Parâmetros!$C$5*(F241+2*Parâmetros!$D$5+Parâmetros!$C$5*Parâmetros!$E$5)</f>
        <v>1.8176</v>
      </c>
      <c r="M241" s="146" t="n">
        <f aca="false">Parâmetros!$C$6*(F241+2*Parâmetros!$D$6+Parâmetros!$C$6*Parâmetros!$E$6)</f>
        <v>2.384</v>
      </c>
      <c r="N241" s="146" t="n">
        <f aca="false">Parâmetros!$C$7*(F241+2*Parâmetros!$D$7+Parâmetros!$C$7*Parâmetros!$E$7)</f>
        <v>3.786</v>
      </c>
      <c r="O241" s="146" t="n">
        <f aca="false">F241+2*Parâmetros!$D$8</f>
        <v>11.2</v>
      </c>
      <c r="P241" s="146" t="n">
        <f aca="false">F241+2*Parâmetros!$D$10</f>
        <v>12.92</v>
      </c>
      <c r="Q241" s="146" t="n">
        <f aca="false">G241+H241</f>
        <v>0</v>
      </c>
      <c r="S241" s="149" t="n">
        <f aca="false">S240+'Volumes por intervalo'!C240*(F240+F241)/2</f>
        <v>53718</v>
      </c>
      <c r="T241" s="149" t="n">
        <f aca="false">T240+'Volumes por intervalo'!H240</f>
        <v>2697.85</v>
      </c>
      <c r="U241" s="149" t="n">
        <f aca="false">U240+'Volumes por intervalo'!J240</f>
        <v>8870.208</v>
      </c>
      <c r="V241" s="149" t="n">
        <f aca="false">V240+'Volumes por intervalo'!K240</f>
        <v>11623.12</v>
      </c>
      <c r="W241" s="149" t="n">
        <f aca="false">W240+'Volumes por intervalo'!L240</f>
        <v>18438.48</v>
      </c>
      <c r="X241" s="149" t="n">
        <f aca="false">X240+'Volumes por intervalo'!M240</f>
        <v>54674</v>
      </c>
      <c r="Y241" s="149" t="n">
        <f aca="false">Y240+'Volumes por intervalo'!N240</f>
        <v>54674</v>
      </c>
      <c r="Z241" s="149" t="n">
        <f aca="false">Z240+'Volumes por intervalo'!O240</f>
        <v>62895.6000000002</v>
      </c>
      <c r="AA241" s="149" t="n">
        <f aca="false">AA240+'Volumes por intervalo'!P240</f>
        <v>0</v>
      </c>
      <c r="AB241" s="149" t="n">
        <f aca="false">AB240+'Volumes por intervalo'!Q240</f>
        <v>0</v>
      </c>
      <c r="AC241" s="149" t="n">
        <f aca="false">AC240+'Volumes por intervalo'!R240</f>
        <v>0</v>
      </c>
      <c r="AD241" s="149" t="n">
        <f aca="false">AD240+'Volumes por intervalo'!S240</f>
        <v>0</v>
      </c>
    </row>
    <row r="242" customFormat="false" ht="15" hidden="false" customHeight="false" outlineLevel="0" collapsed="false">
      <c r="A242" s="138" t="s">
        <v>1893</v>
      </c>
      <c r="B242" s="146" t="n">
        <v>240</v>
      </c>
      <c r="C242" s="144" t="n">
        <v>4800</v>
      </c>
      <c r="D242" s="138" t="s">
        <v>1565</v>
      </c>
      <c r="E242" s="138" t="s">
        <v>1566</v>
      </c>
      <c r="F242" s="147" t="n">
        <v>11</v>
      </c>
      <c r="G242" s="148" t="n">
        <v>0</v>
      </c>
      <c r="H242" s="148" t="n">
        <v>0</v>
      </c>
      <c r="I242" s="138" t="s">
        <v>1642</v>
      </c>
      <c r="J242" s="138"/>
      <c r="K242" s="146" t="n">
        <f aca="false">Parâmetros!$C$4*(F242+2*Parâmetros!$D$4+Parâmetros!$C$4*Parâmetros!$E$4)</f>
        <v>0.5525</v>
      </c>
      <c r="L242" s="146" t="n">
        <f aca="false">Parâmetros!$C$5*(F242+2*Parâmetros!$D$5+Parâmetros!$C$5*Parâmetros!$E$5)</f>
        <v>1.8176</v>
      </c>
      <c r="M242" s="146" t="n">
        <f aca="false">Parâmetros!$C$6*(F242+2*Parâmetros!$D$6+Parâmetros!$C$6*Parâmetros!$E$6)</f>
        <v>2.384</v>
      </c>
      <c r="N242" s="146" t="n">
        <f aca="false">Parâmetros!$C$7*(F242+2*Parâmetros!$D$7+Parâmetros!$C$7*Parâmetros!$E$7)</f>
        <v>3.786</v>
      </c>
      <c r="O242" s="146" t="n">
        <f aca="false">F242+2*Parâmetros!$D$8</f>
        <v>11.2</v>
      </c>
      <c r="P242" s="146" t="n">
        <f aca="false">F242+2*Parâmetros!$D$10</f>
        <v>12.92</v>
      </c>
      <c r="Q242" s="146" t="n">
        <f aca="false">G242+H242</f>
        <v>0</v>
      </c>
      <c r="S242" s="149" t="n">
        <f aca="false">S241+'Volumes por intervalo'!C241*(F241+F242)/2</f>
        <v>53938</v>
      </c>
      <c r="T242" s="149" t="n">
        <f aca="false">T241+'Volumes por intervalo'!H241</f>
        <v>2708.9</v>
      </c>
      <c r="U242" s="149" t="n">
        <f aca="false">U241+'Volumes por intervalo'!J241</f>
        <v>8906.56</v>
      </c>
      <c r="V242" s="149" t="n">
        <f aca="false">V241+'Volumes por intervalo'!K241</f>
        <v>11670.8</v>
      </c>
      <c r="W242" s="149" t="n">
        <f aca="false">W241+'Volumes por intervalo'!L241</f>
        <v>18514.2</v>
      </c>
      <c r="X242" s="149" t="n">
        <f aca="false">X241+'Volumes por intervalo'!M241</f>
        <v>54898</v>
      </c>
      <c r="Y242" s="149" t="n">
        <f aca="false">Y241+'Volumes por intervalo'!N241</f>
        <v>54898</v>
      </c>
      <c r="Z242" s="149" t="n">
        <f aca="false">Z241+'Volumes por intervalo'!O241</f>
        <v>63154.0000000002</v>
      </c>
      <c r="AA242" s="149" t="n">
        <f aca="false">AA241+'Volumes por intervalo'!P241</f>
        <v>0</v>
      </c>
      <c r="AB242" s="149" t="n">
        <f aca="false">AB241+'Volumes por intervalo'!Q241</f>
        <v>0</v>
      </c>
      <c r="AC242" s="149" t="n">
        <f aca="false">AC241+'Volumes por intervalo'!R241</f>
        <v>0</v>
      </c>
      <c r="AD242" s="149" t="n">
        <f aca="false">AD241+'Volumes por intervalo'!S241</f>
        <v>0</v>
      </c>
    </row>
    <row r="243" customFormat="false" ht="15" hidden="false" customHeight="false" outlineLevel="0" collapsed="false">
      <c r="A243" s="138" t="s">
        <v>1894</v>
      </c>
      <c r="B243" s="146" t="n">
        <v>241</v>
      </c>
      <c r="C243" s="144" t="n">
        <v>4820</v>
      </c>
      <c r="D243" s="138" t="s">
        <v>1565</v>
      </c>
      <c r="E243" s="138" t="s">
        <v>1566</v>
      </c>
      <c r="F243" s="147" t="n">
        <v>11</v>
      </c>
      <c r="G243" s="148" t="n">
        <v>0</v>
      </c>
      <c r="H243" s="148" t="n">
        <v>0</v>
      </c>
      <c r="I243" s="138" t="s">
        <v>1642</v>
      </c>
      <c r="J243" s="138"/>
      <c r="K243" s="146" t="n">
        <f aca="false">Parâmetros!$C$4*(F243+2*Parâmetros!$D$4+Parâmetros!$C$4*Parâmetros!$E$4)</f>
        <v>0.5525</v>
      </c>
      <c r="L243" s="146" t="n">
        <f aca="false">Parâmetros!$C$5*(F243+2*Parâmetros!$D$5+Parâmetros!$C$5*Parâmetros!$E$5)</f>
        <v>1.8176</v>
      </c>
      <c r="M243" s="146" t="n">
        <f aca="false">Parâmetros!$C$6*(F243+2*Parâmetros!$D$6+Parâmetros!$C$6*Parâmetros!$E$6)</f>
        <v>2.384</v>
      </c>
      <c r="N243" s="146" t="n">
        <f aca="false">Parâmetros!$C$7*(F243+2*Parâmetros!$D$7+Parâmetros!$C$7*Parâmetros!$E$7)</f>
        <v>3.786</v>
      </c>
      <c r="O243" s="146" t="n">
        <f aca="false">F243+2*Parâmetros!$D$8</f>
        <v>11.2</v>
      </c>
      <c r="P243" s="146" t="n">
        <f aca="false">F243+2*Parâmetros!$D$10</f>
        <v>12.92</v>
      </c>
      <c r="Q243" s="146" t="n">
        <f aca="false">G243+H243</f>
        <v>0</v>
      </c>
      <c r="S243" s="149" t="n">
        <f aca="false">S242+'Volumes por intervalo'!C242*(F242+F243)/2</f>
        <v>54158</v>
      </c>
      <c r="T243" s="149" t="n">
        <f aca="false">T242+'Volumes por intervalo'!H242</f>
        <v>2719.95000000001</v>
      </c>
      <c r="U243" s="149" t="n">
        <f aca="false">U242+'Volumes por intervalo'!J242</f>
        <v>8942.912</v>
      </c>
      <c r="V243" s="149" t="n">
        <f aca="false">V242+'Volumes por intervalo'!K242</f>
        <v>11718.48</v>
      </c>
      <c r="W243" s="149" t="n">
        <f aca="false">W242+'Volumes por intervalo'!L242</f>
        <v>18589.92</v>
      </c>
      <c r="X243" s="149" t="n">
        <f aca="false">X242+'Volumes por intervalo'!M242</f>
        <v>55122</v>
      </c>
      <c r="Y243" s="149" t="n">
        <f aca="false">Y242+'Volumes por intervalo'!N242</f>
        <v>55122</v>
      </c>
      <c r="Z243" s="149" t="n">
        <f aca="false">Z242+'Volumes por intervalo'!O242</f>
        <v>63412.4000000002</v>
      </c>
      <c r="AA243" s="149" t="n">
        <f aca="false">AA242+'Volumes por intervalo'!P242</f>
        <v>0</v>
      </c>
      <c r="AB243" s="149" t="n">
        <f aca="false">AB242+'Volumes por intervalo'!Q242</f>
        <v>0</v>
      </c>
      <c r="AC243" s="149" t="n">
        <f aca="false">AC242+'Volumes por intervalo'!R242</f>
        <v>0</v>
      </c>
      <c r="AD243" s="149" t="n">
        <f aca="false">AD242+'Volumes por intervalo'!S242</f>
        <v>0</v>
      </c>
    </row>
    <row r="244" customFormat="false" ht="15" hidden="false" customHeight="false" outlineLevel="0" collapsed="false">
      <c r="A244" s="138" t="s">
        <v>1895</v>
      </c>
      <c r="B244" s="146" t="n">
        <v>242</v>
      </c>
      <c r="C244" s="144" t="n">
        <v>4840</v>
      </c>
      <c r="D244" s="138" t="s">
        <v>1565</v>
      </c>
      <c r="E244" s="138" t="s">
        <v>1566</v>
      </c>
      <c r="F244" s="147" t="n">
        <v>11</v>
      </c>
      <c r="G244" s="148" t="n">
        <v>0</v>
      </c>
      <c r="H244" s="148" t="n">
        <v>0</v>
      </c>
      <c r="I244" s="138" t="s">
        <v>1642</v>
      </c>
      <c r="J244" s="138"/>
      <c r="K244" s="146" t="n">
        <f aca="false">Parâmetros!$C$4*(F244+2*Parâmetros!$D$4+Parâmetros!$C$4*Parâmetros!$E$4)</f>
        <v>0.5525</v>
      </c>
      <c r="L244" s="146" t="n">
        <f aca="false">Parâmetros!$C$5*(F244+2*Parâmetros!$D$5+Parâmetros!$C$5*Parâmetros!$E$5)</f>
        <v>1.8176</v>
      </c>
      <c r="M244" s="146" t="n">
        <f aca="false">Parâmetros!$C$6*(F244+2*Parâmetros!$D$6+Parâmetros!$C$6*Parâmetros!$E$6)</f>
        <v>2.384</v>
      </c>
      <c r="N244" s="146" t="n">
        <f aca="false">Parâmetros!$C$7*(F244+2*Parâmetros!$D$7+Parâmetros!$C$7*Parâmetros!$E$7)</f>
        <v>3.786</v>
      </c>
      <c r="O244" s="146" t="n">
        <f aca="false">F244+2*Parâmetros!$D$8</f>
        <v>11.2</v>
      </c>
      <c r="P244" s="146" t="n">
        <f aca="false">F244+2*Parâmetros!$D$10</f>
        <v>12.92</v>
      </c>
      <c r="Q244" s="146" t="n">
        <f aca="false">G244+H244</f>
        <v>0</v>
      </c>
      <c r="S244" s="149" t="n">
        <f aca="false">S243+'Volumes por intervalo'!C243*(F243+F244)/2</f>
        <v>54378</v>
      </c>
      <c r="T244" s="149" t="n">
        <f aca="false">T243+'Volumes por intervalo'!H243</f>
        <v>2731.00000000001</v>
      </c>
      <c r="U244" s="149" t="n">
        <f aca="false">U243+'Volumes por intervalo'!J243</f>
        <v>8979.264</v>
      </c>
      <c r="V244" s="149" t="n">
        <f aca="false">V243+'Volumes por intervalo'!K243</f>
        <v>11766.16</v>
      </c>
      <c r="W244" s="149" t="n">
        <f aca="false">W243+'Volumes por intervalo'!L243</f>
        <v>18665.64</v>
      </c>
      <c r="X244" s="149" t="n">
        <f aca="false">X243+'Volumes por intervalo'!M243</f>
        <v>55346</v>
      </c>
      <c r="Y244" s="149" t="n">
        <f aca="false">Y243+'Volumes por intervalo'!N243</f>
        <v>55346</v>
      </c>
      <c r="Z244" s="149" t="n">
        <f aca="false">Z243+'Volumes por intervalo'!O243</f>
        <v>63670.8000000002</v>
      </c>
      <c r="AA244" s="149" t="n">
        <f aca="false">AA243+'Volumes por intervalo'!P243</f>
        <v>0</v>
      </c>
      <c r="AB244" s="149" t="n">
        <f aca="false">AB243+'Volumes por intervalo'!Q243</f>
        <v>0</v>
      </c>
      <c r="AC244" s="149" t="n">
        <f aca="false">AC243+'Volumes por intervalo'!R243</f>
        <v>0</v>
      </c>
      <c r="AD244" s="149" t="n">
        <f aca="false">AD243+'Volumes por intervalo'!S243</f>
        <v>0</v>
      </c>
    </row>
    <row r="245" customFormat="false" ht="15" hidden="false" customHeight="false" outlineLevel="0" collapsed="false">
      <c r="A245" s="138" t="s">
        <v>1896</v>
      </c>
      <c r="B245" s="146" t="n">
        <v>243</v>
      </c>
      <c r="C245" s="144" t="n">
        <v>4860</v>
      </c>
      <c r="D245" s="138" t="s">
        <v>1565</v>
      </c>
      <c r="E245" s="138" t="s">
        <v>1566</v>
      </c>
      <c r="F245" s="147" t="n">
        <v>11</v>
      </c>
      <c r="G245" s="148" t="n">
        <v>0</v>
      </c>
      <c r="H245" s="148" t="n">
        <v>0</v>
      </c>
      <c r="I245" s="138" t="s">
        <v>1642</v>
      </c>
      <c r="J245" s="138"/>
      <c r="K245" s="146" t="n">
        <f aca="false">Parâmetros!$C$4*(F245+2*Parâmetros!$D$4+Parâmetros!$C$4*Parâmetros!$E$4)</f>
        <v>0.5525</v>
      </c>
      <c r="L245" s="146" t="n">
        <f aca="false">Parâmetros!$C$5*(F245+2*Parâmetros!$D$5+Parâmetros!$C$5*Parâmetros!$E$5)</f>
        <v>1.8176</v>
      </c>
      <c r="M245" s="146" t="n">
        <f aca="false">Parâmetros!$C$6*(F245+2*Parâmetros!$D$6+Parâmetros!$C$6*Parâmetros!$E$6)</f>
        <v>2.384</v>
      </c>
      <c r="N245" s="146" t="n">
        <f aca="false">Parâmetros!$C$7*(F245+2*Parâmetros!$D$7+Parâmetros!$C$7*Parâmetros!$E$7)</f>
        <v>3.786</v>
      </c>
      <c r="O245" s="146" t="n">
        <f aca="false">F245+2*Parâmetros!$D$8</f>
        <v>11.2</v>
      </c>
      <c r="P245" s="146" t="n">
        <f aca="false">F245+2*Parâmetros!$D$10</f>
        <v>12.92</v>
      </c>
      <c r="Q245" s="146" t="n">
        <f aca="false">G245+H245</f>
        <v>0</v>
      </c>
      <c r="S245" s="149" t="n">
        <f aca="false">S244+'Volumes por intervalo'!C244*(F244+F245)/2</f>
        <v>54598</v>
      </c>
      <c r="T245" s="149" t="n">
        <f aca="false">T244+'Volumes por intervalo'!H244</f>
        <v>2742.05000000001</v>
      </c>
      <c r="U245" s="149" t="n">
        <f aca="false">U244+'Volumes por intervalo'!J244</f>
        <v>9015.616</v>
      </c>
      <c r="V245" s="149" t="n">
        <f aca="false">V244+'Volumes por intervalo'!K244</f>
        <v>11813.84</v>
      </c>
      <c r="W245" s="149" t="n">
        <f aca="false">W244+'Volumes por intervalo'!L244</f>
        <v>18741.36</v>
      </c>
      <c r="X245" s="149" t="n">
        <f aca="false">X244+'Volumes por intervalo'!M244</f>
        <v>55570</v>
      </c>
      <c r="Y245" s="149" t="n">
        <f aca="false">Y244+'Volumes por intervalo'!N244</f>
        <v>55570</v>
      </c>
      <c r="Z245" s="149" t="n">
        <f aca="false">Z244+'Volumes por intervalo'!O244</f>
        <v>63929.2000000002</v>
      </c>
      <c r="AA245" s="149" t="n">
        <f aca="false">AA244+'Volumes por intervalo'!P244</f>
        <v>0</v>
      </c>
      <c r="AB245" s="149" t="n">
        <f aca="false">AB244+'Volumes por intervalo'!Q244</f>
        <v>0</v>
      </c>
      <c r="AC245" s="149" t="n">
        <f aca="false">AC244+'Volumes por intervalo'!R244</f>
        <v>0</v>
      </c>
      <c r="AD245" s="149" t="n">
        <f aca="false">AD244+'Volumes por intervalo'!S244</f>
        <v>0</v>
      </c>
    </row>
    <row r="246" customFormat="false" ht="15" hidden="false" customHeight="false" outlineLevel="0" collapsed="false">
      <c r="A246" s="138" t="s">
        <v>1897</v>
      </c>
      <c r="B246" s="146" t="n">
        <v>244</v>
      </c>
      <c r="C246" s="144" t="n">
        <v>4880</v>
      </c>
      <c r="D246" s="138" t="s">
        <v>1565</v>
      </c>
      <c r="E246" s="138" t="s">
        <v>1566</v>
      </c>
      <c r="F246" s="147" t="n">
        <v>11</v>
      </c>
      <c r="G246" s="148" t="n">
        <v>0</v>
      </c>
      <c r="H246" s="148" t="n">
        <v>0</v>
      </c>
      <c r="I246" s="138" t="s">
        <v>1642</v>
      </c>
      <c r="J246" s="138"/>
      <c r="K246" s="146" t="n">
        <f aca="false">Parâmetros!$C$4*(F246+2*Parâmetros!$D$4+Parâmetros!$C$4*Parâmetros!$E$4)</f>
        <v>0.5525</v>
      </c>
      <c r="L246" s="146" t="n">
        <f aca="false">Parâmetros!$C$5*(F246+2*Parâmetros!$D$5+Parâmetros!$C$5*Parâmetros!$E$5)</f>
        <v>1.8176</v>
      </c>
      <c r="M246" s="146" t="n">
        <f aca="false">Parâmetros!$C$6*(F246+2*Parâmetros!$D$6+Parâmetros!$C$6*Parâmetros!$E$6)</f>
        <v>2.384</v>
      </c>
      <c r="N246" s="146" t="n">
        <f aca="false">Parâmetros!$C$7*(F246+2*Parâmetros!$D$7+Parâmetros!$C$7*Parâmetros!$E$7)</f>
        <v>3.786</v>
      </c>
      <c r="O246" s="146" t="n">
        <f aca="false">F246+2*Parâmetros!$D$8</f>
        <v>11.2</v>
      </c>
      <c r="P246" s="146" t="n">
        <f aca="false">F246+2*Parâmetros!$D$10</f>
        <v>12.92</v>
      </c>
      <c r="Q246" s="146" t="n">
        <f aca="false">G246+H246</f>
        <v>0</v>
      </c>
      <c r="S246" s="149" t="n">
        <f aca="false">S245+'Volumes por intervalo'!C245*(F245+F246)/2</f>
        <v>54818</v>
      </c>
      <c r="T246" s="149" t="n">
        <f aca="false">T245+'Volumes por intervalo'!H245</f>
        <v>2753.10000000001</v>
      </c>
      <c r="U246" s="149" t="n">
        <f aca="false">U245+'Volumes por intervalo'!J245</f>
        <v>9051.968</v>
      </c>
      <c r="V246" s="149" t="n">
        <f aca="false">V245+'Volumes por intervalo'!K245</f>
        <v>11861.52</v>
      </c>
      <c r="W246" s="149" t="n">
        <f aca="false">W245+'Volumes por intervalo'!L245</f>
        <v>18817.08</v>
      </c>
      <c r="X246" s="149" t="n">
        <f aca="false">X245+'Volumes por intervalo'!M245</f>
        <v>55794</v>
      </c>
      <c r="Y246" s="149" t="n">
        <f aca="false">Y245+'Volumes por intervalo'!N245</f>
        <v>55794</v>
      </c>
      <c r="Z246" s="149" t="n">
        <f aca="false">Z245+'Volumes por intervalo'!O245</f>
        <v>64187.6000000002</v>
      </c>
      <c r="AA246" s="149" t="n">
        <f aca="false">AA245+'Volumes por intervalo'!P245</f>
        <v>0</v>
      </c>
      <c r="AB246" s="149" t="n">
        <f aca="false">AB245+'Volumes por intervalo'!Q245</f>
        <v>0</v>
      </c>
      <c r="AC246" s="149" t="n">
        <f aca="false">AC245+'Volumes por intervalo'!R245</f>
        <v>0</v>
      </c>
      <c r="AD246" s="149" t="n">
        <f aca="false">AD245+'Volumes por intervalo'!S245</f>
        <v>0</v>
      </c>
    </row>
    <row r="247" customFormat="false" ht="15" hidden="false" customHeight="false" outlineLevel="0" collapsed="false">
      <c r="A247" s="138" t="s">
        <v>1898</v>
      </c>
      <c r="B247" s="146" t="n">
        <v>245</v>
      </c>
      <c r="C247" s="144" t="n">
        <v>4900</v>
      </c>
      <c r="D247" s="138" t="s">
        <v>1565</v>
      </c>
      <c r="E247" s="138" t="s">
        <v>1566</v>
      </c>
      <c r="F247" s="147" t="n">
        <v>11</v>
      </c>
      <c r="G247" s="148" t="n">
        <v>0</v>
      </c>
      <c r="H247" s="148" t="n">
        <v>0</v>
      </c>
      <c r="I247" s="138" t="s">
        <v>1642</v>
      </c>
      <c r="J247" s="138"/>
      <c r="K247" s="146" t="n">
        <f aca="false">Parâmetros!$C$4*(F247+2*Parâmetros!$D$4+Parâmetros!$C$4*Parâmetros!$E$4)</f>
        <v>0.5525</v>
      </c>
      <c r="L247" s="146" t="n">
        <f aca="false">Parâmetros!$C$5*(F247+2*Parâmetros!$D$5+Parâmetros!$C$5*Parâmetros!$E$5)</f>
        <v>1.8176</v>
      </c>
      <c r="M247" s="146" t="n">
        <f aca="false">Parâmetros!$C$6*(F247+2*Parâmetros!$D$6+Parâmetros!$C$6*Parâmetros!$E$6)</f>
        <v>2.384</v>
      </c>
      <c r="N247" s="146" t="n">
        <f aca="false">Parâmetros!$C$7*(F247+2*Parâmetros!$D$7+Parâmetros!$C$7*Parâmetros!$E$7)</f>
        <v>3.786</v>
      </c>
      <c r="O247" s="146" t="n">
        <f aca="false">F247+2*Parâmetros!$D$8</f>
        <v>11.2</v>
      </c>
      <c r="P247" s="146" t="n">
        <f aca="false">F247+2*Parâmetros!$D$10</f>
        <v>12.92</v>
      </c>
      <c r="Q247" s="146" t="n">
        <f aca="false">G247+H247</f>
        <v>0</v>
      </c>
      <c r="S247" s="149" t="n">
        <f aca="false">S246+'Volumes por intervalo'!C246*(F246+F247)/2</f>
        <v>55038</v>
      </c>
      <c r="T247" s="149" t="n">
        <f aca="false">T246+'Volumes por intervalo'!H246</f>
        <v>2764.15000000001</v>
      </c>
      <c r="U247" s="149" t="n">
        <f aca="false">U246+'Volumes por intervalo'!J246</f>
        <v>9088.32</v>
      </c>
      <c r="V247" s="149" t="n">
        <f aca="false">V246+'Volumes por intervalo'!K246</f>
        <v>11909.2</v>
      </c>
      <c r="W247" s="149" t="n">
        <f aca="false">W246+'Volumes por intervalo'!L246</f>
        <v>18892.8</v>
      </c>
      <c r="X247" s="149" t="n">
        <f aca="false">X246+'Volumes por intervalo'!M246</f>
        <v>56018</v>
      </c>
      <c r="Y247" s="149" t="n">
        <f aca="false">Y246+'Volumes por intervalo'!N246</f>
        <v>56018</v>
      </c>
      <c r="Z247" s="149" t="n">
        <f aca="false">Z246+'Volumes por intervalo'!O246</f>
        <v>64446.0000000003</v>
      </c>
      <c r="AA247" s="149" t="n">
        <f aca="false">AA246+'Volumes por intervalo'!P246</f>
        <v>0</v>
      </c>
      <c r="AB247" s="149" t="n">
        <f aca="false">AB246+'Volumes por intervalo'!Q246</f>
        <v>0</v>
      </c>
      <c r="AC247" s="149" t="n">
        <f aca="false">AC246+'Volumes por intervalo'!R246</f>
        <v>0</v>
      </c>
      <c r="AD247" s="149" t="n">
        <f aca="false">AD246+'Volumes por intervalo'!S246</f>
        <v>0</v>
      </c>
    </row>
    <row r="248" customFormat="false" ht="15" hidden="false" customHeight="false" outlineLevel="0" collapsed="false">
      <c r="A248" s="138" t="s">
        <v>1899</v>
      </c>
      <c r="B248" s="146" t="n">
        <v>246</v>
      </c>
      <c r="C248" s="144" t="n">
        <v>4920</v>
      </c>
      <c r="D248" s="138" t="s">
        <v>1565</v>
      </c>
      <c r="E248" s="138" t="s">
        <v>1566</v>
      </c>
      <c r="F248" s="147" t="n">
        <v>11</v>
      </c>
      <c r="G248" s="148" t="n">
        <v>0</v>
      </c>
      <c r="H248" s="148" t="n">
        <v>0</v>
      </c>
      <c r="I248" s="138" t="s">
        <v>1642</v>
      </c>
      <c r="J248" s="138"/>
      <c r="K248" s="146" t="n">
        <f aca="false">Parâmetros!$C$4*(F248+2*Parâmetros!$D$4+Parâmetros!$C$4*Parâmetros!$E$4)</f>
        <v>0.5525</v>
      </c>
      <c r="L248" s="146" t="n">
        <f aca="false">Parâmetros!$C$5*(F248+2*Parâmetros!$D$5+Parâmetros!$C$5*Parâmetros!$E$5)</f>
        <v>1.8176</v>
      </c>
      <c r="M248" s="146" t="n">
        <f aca="false">Parâmetros!$C$6*(F248+2*Parâmetros!$D$6+Parâmetros!$C$6*Parâmetros!$E$6)</f>
        <v>2.384</v>
      </c>
      <c r="N248" s="146" t="n">
        <f aca="false">Parâmetros!$C$7*(F248+2*Parâmetros!$D$7+Parâmetros!$C$7*Parâmetros!$E$7)</f>
        <v>3.786</v>
      </c>
      <c r="O248" s="146" t="n">
        <f aca="false">F248+2*Parâmetros!$D$8</f>
        <v>11.2</v>
      </c>
      <c r="P248" s="146" t="n">
        <f aca="false">F248+2*Parâmetros!$D$10</f>
        <v>12.92</v>
      </c>
      <c r="Q248" s="146" t="n">
        <f aca="false">G248+H248</f>
        <v>0</v>
      </c>
      <c r="S248" s="149" t="n">
        <f aca="false">S247+'Volumes por intervalo'!C247*(F247+F248)/2</f>
        <v>55258</v>
      </c>
      <c r="T248" s="149" t="n">
        <f aca="false">T247+'Volumes por intervalo'!H247</f>
        <v>2775.20000000001</v>
      </c>
      <c r="U248" s="149" t="n">
        <f aca="false">U247+'Volumes por intervalo'!J247</f>
        <v>9124.672</v>
      </c>
      <c r="V248" s="149" t="n">
        <f aca="false">V247+'Volumes por intervalo'!K247</f>
        <v>11956.88</v>
      </c>
      <c r="W248" s="149" t="n">
        <f aca="false">W247+'Volumes por intervalo'!L247</f>
        <v>18968.52</v>
      </c>
      <c r="X248" s="149" t="n">
        <f aca="false">X247+'Volumes por intervalo'!M247</f>
        <v>56242</v>
      </c>
      <c r="Y248" s="149" t="n">
        <f aca="false">Y247+'Volumes por intervalo'!N247</f>
        <v>56242</v>
      </c>
      <c r="Z248" s="149" t="n">
        <f aca="false">Z247+'Volumes por intervalo'!O247</f>
        <v>64704.4000000003</v>
      </c>
      <c r="AA248" s="149" t="n">
        <f aca="false">AA247+'Volumes por intervalo'!P247</f>
        <v>0</v>
      </c>
      <c r="AB248" s="149" t="n">
        <f aca="false">AB247+'Volumes por intervalo'!Q247</f>
        <v>0</v>
      </c>
      <c r="AC248" s="149" t="n">
        <f aca="false">AC247+'Volumes por intervalo'!R247</f>
        <v>0</v>
      </c>
      <c r="AD248" s="149" t="n">
        <f aca="false">AD247+'Volumes por intervalo'!S247</f>
        <v>0</v>
      </c>
    </row>
    <row r="249" customFormat="false" ht="15" hidden="false" customHeight="false" outlineLevel="0" collapsed="false">
      <c r="A249" s="138" t="s">
        <v>1900</v>
      </c>
      <c r="B249" s="146" t="n">
        <v>247</v>
      </c>
      <c r="C249" s="144" t="n">
        <v>4940</v>
      </c>
      <c r="D249" s="138" t="s">
        <v>1565</v>
      </c>
      <c r="E249" s="138" t="s">
        <v>1566</v>
      </c>
      <c r="F249" s="147" t="n">
        <v>11</v>
      </c>
      <c r="G249" s="148" t="n">
        <v>0</v>
      </c>
      <c r="H249" s="148" t="n">
        <v>0</v>
      </c>
      <c r="I249" s="138" t="s">
        <v>1642</v>
      </c>
      <c r="J249" s="138"/>
      <c r="K249" s="146" t="n">
        <f aca="false">Parâmetros!$C$4*(F249+2*Parâmetros!$D$4+Parâmetros!$C$4*Parâmetros!$E$4)</f>
        <v>0.5525</v>
      </c>
      <c r="L249" s="146" t="n">
        <f aca="false">Parâmetros!$C$5*(F249+2*Parâmetros!$D$5+Parâmetros!$C$5*Parâmetros!$E$5)</f>
        <v>1.8176</v>
      </c>
      <c r="M249" s="146" t="n">
        <f aca="false">Parâmetros!$C$6*(F249+2*Parâmetros!$D$6+Parâmetros!$C$6*Parâmetros!$E$6)</f>
        <v>2.384</v>
      </c>
      <c r="N249" s="146" t="n">
        <f aca="false">Parâmetros!$C$7*(F249+2*Parâmetros!$D$7+Parâmetros!$C$7*Parâmetros!$E$7)</f>
        <v>3.786</v>
      </c>
      <c r="O249" s="146" t="n">
        <f aca="false">F249+2*Parâmetros!$D$8</f>
        <v>11.2</v>
      </c>
      <c r="P249" s="146" t="n">
        <f aca="false">F249+2*Parâmetros!$D$10</f>
        <v>12.92</v>
      </c>
      <c r="Q249" s="146" t="n">
        <f aca="false">G249+H249</f>
        <v>0</v>
      </c>
      <c r="S249" s="149" t="n">
        <f aca="false">S248+'Volumes por intervalo'!C248*(F248+F249)/2</f>
        <v>55478</v>
      </c>
      <c r="T249" s="149" t="n">
        <f aca="false">T248+'Volumes por intervalo'!H248</f>
        <v>2786.25000000001</v>
      </c>
      <c r="U249" s="149" t="n">
        <f aca="false">U248+'Volumes por intervalo'!J248</f>
        <v>9161.024</v>
      </c>
      <c r="V249" s="149" t="n">
        <f aca="false">V248+'Volumes por intervalo'!K248</f>
        <v>12004.56</v>
      </c>
      <c r="W249" s="149" t="n">
        <f aca="false">W248+'Volumes por intervalo'!L248</f>
        <v>19044.24</v>
      </c>
      <c r="X249" s="149" t="n">
        <f aca="false">X248+'Volumes por intervalo'!M248</f>
        <v>56466</v>
      </c>
      <c r="Y249" s="149" t="n">
        <f aca="false">Y248+'Volumes por intervalo'!N248</f>
        <v>56466</v>
      </c>
      <c r="Z249" s="149" t="n">
        <f aca="false">Z248+'Volumes por intervalo'!O248</f>
        <v>64962.8000000003</v>
      </c>
      <c r="AA249" s="149" t="n">
        <f aca="false">AA248+'Volumes por intervalo'!P248</f>
        <v>0</v>
      </c>
      <c r="AB249" s="149" t="n">
        <f aca="false">AB248+'Volumes por intervalo'!Q248</f>
        <v>0</v>
      </c>
      <c r="AC249" s="149" t="n">
        <f aca="false">AC248+'Volumes por intervalo'!R248</f>
        <v>0</v>
      </c>
      <c r="AD249" s="149" t="n">
        <f aca="false">AD248+'Volumes por intervalo'!S248</f>
        <v>0</v>
      </c>
    </row>
    <row r="250" customFormat="false" ht="15" hidden="false" customHeight="false" outlineLevel="0" collapsed="false">
      <c r="A250" s="138" t="s">
        <v>1901</v>
      </c>
      <c r="B250" s="146" t="n">
        <v>248</v>
      </c>
      <c r="C250" s="144" t="n">
        <v>4960</v>
      </c>
      <c r="D250" s="138" t="s">
        <v>1565</v>
      </c>
      <c r="E250" s="138" t="s">
        <v>1566</v>
      </c>
      <c r="F250" s="147" t="n">
        <v>11</v>
      </c>
      <c r="G250" s="148" t="n">
        <v>0</v>
      </c>
      <c r="H250" s="148" t="n">
        <v>0</v>
      </c>
      <c r="I250" s="138" t="s">
        <v>1642</v>
      </c>
      <c r="J250" s="138"/>
      <c r="K250" s="146" t="n">
        <f aca="false">Parâmetros!$C$4*(F250+2*Parâmetros!$D$4+Parâmetros!$C$4*Parâmetros!$E$4)</f>
        <v>0.5525</v>
      </c>
      <c r="L250" s="146" t="n">
        <f aca="false">Parâmetros!$C$5*(F250+2*Parâmetros!$D$5+Parâmetros!$C$5*Parâmetros!$E$5)</f>
        <v>1.8176</v>
      </c>
      <c r="M250" s="146" t="n">
        <f aca="false">Parâmetros!$C$6*(F250+2*Parâmetros!$D$6+Parâmetros!$C$6*Parâmetros!$E$6)</f>
        <v>2.384</v>
      </c>
      <c r="N250" s="146" t="n">
        <f aca="false">Parâmetros!$C$7*(F250+2*Parâmetros!$D$7+Parâmetros!$C$7*Parâmetros!$E$7)</f>
        <v>3.786</v>
      </c>
      <c r="O250" s="146" t="n">
        <f aca="false">F250+2*Parâmetros!$D$8</f>
        <v>11.2</v>
      </c>
      <c r="P250" s="146" t="n">
        <f aca="false">F250+2*Parâmetros!$D$10</f>
        <v>12.92</v>
      </c>
      <c r="Q250" s="146" t="n">
        <f aca="false">G250+H250</f>
        <v>0</v>
      </c>
      <c r="S250" s="149" t="n">
        <f aca="false">S249+'Volumes por intervalo'!C249*(F249+F250)/2</f>
        <v>55698</v>
      </c>
      <c r="T250" s="149" t="n">
        <f aca="false">T249+'Volumes por intervalo'!H249</f>
        <v>2797.30000000001</v>
      </c>
      <c r="U250" s="149" t="n">
        <f aca="false">U249+'Volumes por intervalo'!J249</f>
        <v>9197.376</v>
      </c>
      <c r="V250" s="149" t="n">
        <f aca="false">V249+'Volumes por intervalo'!K249</f>
        <v>12052.24</v>
      </c>
      <c r="W250" s="149" t="n">
        <f aca="false">W249+'Volumes por intervalo'!L249</f>
        <v>19119.96</v>
      </c>
      <c r="X250" s="149" t="n">
        <f aca="false">X249+'Volumes por intervalo'!M249</f>
        <v>56690</v>
      </c>
      <c r="Y250" s="149" t="n">
        <f aca="false">Y249+'Volumes por intervalo'!N249</f>
        <v>56690</v>
      </c>
      <c r="Z250" s="149" t="n">
        <f aca="false">Z249+'Volumes por intervalo'!O249</f>
        <v>65221.2000000003</v>
      </c>
      <c r="AA250" s="149" t="n">
        <f aca="false">AA249+'Volumes por intervalo'!P249</f>
        <v>0</v>
      </c>
      <c r="AB250" s="149" t="n">
        <f aca="false">AB249+'Volumes por intervalo'!Q249</f>
        <v>0</v>
      </c>
      <c r="AC250" s="149" t="n">
        <f aca="false">AC249+'Volumes por intervalo'!R249</f>
        <v>0</v>
      </c>
      <c r="AD250" s="149" t="n">
        <f aca="false">AD249+'Volumes por intervalo'!S249</f>
        <v>0</v>
      </c>
    </row>
    <row r="251" customFormat="false" ht="15" hidden="false" customHeight="false" outlineLevel="0" collapsed="false">
      <c r="A251" s="138" t="s">
        <v>1902</v>
      </c>
      <c r="B251" s="146" t="n">
        <v>249</v>
      </c>
      <c r="C251" s="144" t="n">
        <v>4980</v>
      </c>
      <c r="D251" s="138" t="s">
        <v>1565</v>
      </c>
      <c r="E251" s="138" t="s">
        <v>1566</v>
      </c>
      <c r="F251" s="147" t="n">
        <v>11</v>
      </c>
      <c r="G251" s="148" t="n">
        <v>0</v>
      </c>
      <c r="H251" s="148" t="n">
        <v>0</v>
      </c>
      <c r="I251" s="138" t="s">
        <v>1642</v>
      </c>
      <c r="J251" s="138"/>
      <c r="K251" s="146" t="n">
        <f aca="false">Parâmetros!$C$4*(F251+2*Parâmetros!$D$4+Parâmetros!$C$4*Parâmetros!$E$4)</f>
        <v>0.5525</v>
      </c>
      <c r="L251" s="146" t="n">
        <f aca="false">Parâmetros!$C$5*(F251+2*Parâmetros!$D$5+Parâmetros!$C$5*Parâmetros!$E$5)</f>
        <v>1.8176</v>
      </c>
      <c r="M251" s="146" t="n">
        <f aca="false">Parâmetros!$C$6*(F251+2*Parâmetros!$D$6+Parâmetros!$C$6*Parâmetros!$E$6)</f>
        <v>2.384</v>
      </c>
      <c r="N251" s="146" t="n">
        <f aca="false">Parâmetros!$C$7*(F251+2*Parâmetros!$D$7+Parâmetros!$C$7*Parâmetros!$E$7)</f>
        <v>3.786</v>
      </c>
      <c r="O251" s="146" t="n">
        <f aca="false">F251+2*Parâmetros!$D$8</f>
        <v>11.2</v>
      </c>
      <c r="P251" s="146" t="n">
        <f aca="false">F251+2*Parâmetros!$D$10</f>
        <v>12.92</v>
      </c>
      <c r="Q251" s="146" t="n">
        <f aca="false">G251+H251</f>
        <v>0</v>
      </c>
      <c r="S251" s="149" t="n">
        <f aca="false">S250+'Volumes por intervalo'!C250*(F250+F251)/2</f>
        <v>55918</v>
      </c>
      <c r="T251" s="149" t="n">
        <f aca="false">T250+'Volumes por intervalo'!H250</f>
        <v>2808.35000000001</v>
      </c>
      <c r="U251" s="149" t="n">
        <f aca="false">U250+'Volumes por intervalo'!J250</f>
        <v>9233.728</v>
      </c>
      <c r="V251" s="149" t="n">
        <f aca="false">V250+'Volumes por intervalo'!K250</f>
        <v>12099.92</v>
      </c>
      <c r="W251" s="149" t="n">
        <f aca="false">W250+'Volumes por intervalo'!L250</f>
        <v>19195.68</v>
      </c>
      <c r="X251" s="149" t="n">
        <f aca="false">X250+'Volumes por intervalo'!M250</f>
        <v>56914</v>
      </c>
      <c r="Y251" s="149" t="n">
        <f aca="false">Y250+'Volumes por intervalo'!N250</f>
        <v>56914</v>
      </c>
      <c r="Z251" s="149" t="n">
        <f aca="false">Z250+'Volumes por intervalo'!O250</f>
        <v>65479.6000000003</v>
      </c>
      <c r="AA251" s="149" t="n">
        <f aca="false">AA250+'Volumes por intervalo'!P250</f>
        <v>0</v>
      </c>
      <c r="AB251" s="149" t="n">
        <f aca="false">AB250+'Volumes por intervalo'!Q250</f>
        <v>0</v>
      </c>
      <c r="AC251" s="149" t="n">
        <f aca="false">AC250+'Volumes por intervalo'!R250</f>
        <v>0</v>
      </c>
      <c r="AD251" s="149" t="n">
        <f aca="false">AD250+'Volumes por intervalo'!S250</f>
        <v>0</v>
      </c>
    </row>
    <row r="252" customFormat="false" ht="15" hidden="false" customHeight="false" outlineLevel="0" collapsed="false">
      <c r="A252" s="138" t="s">
        <v>1903</v>
      </c>
      <c r="B252" s="146" t="n">
        <v>250</v>
      </c>
      <c r="C252" s="144" t="n">
        <v>5000</v>
      </c>
      <c r="D252" s="138" t="s">
        <v>1565</v>
      </c>
      <c r="E252" s="138" t="s">
        <v>1566</v>
      </c>
      <c r="F252" s="147" t="n">
        <v>11</v>
      </c>
      <c r="G252" s="148" t="n">
        <v>0</v>
      </c>
      <c r="H252" s="148" t="n">
        <v>0</v>
      </c>
      <c r="I252" s="138" t="s">
        <v>1642</v>
      </c>
      <c r="J252" s="138"/>
      <c r="K252" s="146" t="n">
        <f aca="false">Parâmetros!$C$4*(F252+2*Parâmetros!$D$4+Parâmetros!$C$4*Parâmetros!$E$4)</f>
        <v>0.5525</v>
      </c>
      <c r="L252" s="146" t="n">
        <f aca="false">Parâmetros!$C$5*(F252+2*Parâmetros!$D$5+Parâmetros!$C$5*Parâmetros!$E$5)</f>
        <v>1.8176</v>
      </c>
      <c r="M252" s="146" t="n">
        <f aca="false">Parâmetros!$C$6*(F252+2*Parâmetros!$D$6+Parâmetros!$C$6*Parâmetros!$E$6)</f>
        <v>2.384</v>
      </c>
      <c r="N252" s="146" t="n">
        <f aca="false">Parâmetros!$C$7*(F252+2*Parâmetros!$D$7+Parâmetros!$C$7*Parâmetros!$E$7)</f>
        <v>3.786</v>
      </c>
      <c r="O252" s="146" t="n">
        <f aca="false">F252+2*Parâmetros!$D$8</f>
        <v>11.2</v>
      </c>
      <c r="P252" s="146" t="n">
        <f aca="false">F252+2*Parâmetros!$D$10</f>
        <v>12.92</v>
      </c>
      <c r="Q252" s="146" t="n">
        <f aca="false">G252+H252</f>
        <v>0</v>
      </c>
      <c r="S252" s="149" t="n">
        <f aca="false">S251+'Volumes por intervalo'!C251*(F251+F252)/2</f>
        <v>56138</v>
      </c>
      <c r="T252" s="149" t="n">
        <f aca="false">T251+'Volumes por intervalo'!H251</f>
        <v>2819.40000000001</v>
      </c>
      <c r="U252" s="149" t="n">
        <f aca="false">U251+'Volumes por intervalo'!J251</f>
        <v>9270.08</v>
      </c>
      <c r="V252" s="149" t="n">
        <f aca="false">V251+'Volumes por intervalo'!K251</f>
        <v>12147.6</v>
      </c>
      <c r="W252" s="149" t="n">
        <f aca="false">W251+'Volumes por intervalo'!L251</f>
        <v>19271.4</v>
      </c>
      <c r="X252" s="149" t="n">
        <f aca="false">X251+'Volumes por intervalo'!M251</f>
        <v>57138</v>
      </c>
      <c r="Y252" s="149" t="n">
        <f aca="false">Y251+'Volumes por intervalo'!N251</f>
        <v>57138</v>
      </c>
      <c r="Z252" s="149" t="n">
        <f aca="false">Z251+'Volumes por intervalo'!O251</f>
        <v>65738.0000000003</v>
      </c>
      <c r="AA252" s="149" t="n">
        <f aca="false">AA251+'Volumes por intervalo'!P251</f>
        <v>0</v>
      </c>
      <c r="AB252" s="149" t="n">
        <f aca="false">AB251+'Volumes por intervalo'!Q251</f>
        <v>0</v>
      </c>
      <c r="AC252" s="149" t="n">
        <f aca="false">AC251+'Volumes por intervalo'!R251</f>
        <v>0</v>
      </c>
      <c r="AD252" s="149" t="n">
        <f aca="false">AD251+'Volumes por intervalo'!S251</f>
        <v>0</v>
      </c>
    </row>
    <row r="253" customFormat="false" ht="15" hidden="false" customHeight="false" outlineLevel="0" collapsed="false">
      <c r="A253" s="138" t="s">
        <v>1904</v>
      </c>
      <c r="B253" s="146" t="n">
        <v>251</v>
      </c>
      <c r="C253" s="144" t="n">
        <v>5020</v>
      </c>
      <c r="D253" s="138" t="s">
        <v>1565</v>
      </c>
      <c r="E253" s="138" t="s">
        <v>1566</v>
      </c>
      <c r="F253" s="147" t="n">
        <v>12</v>
      </c>
      <c r="G253" s="148" t="n">
        <v>0</v>
      </c>
      <c r="H253" s="148" t="n">
        <v>0</v>
      </c>
      <c r="I253" s="138" t="s">
        <v>1642</v>
      </c>
      <c r="J253" s="138"/>
      <c r="K253" s="146" t="n">
        <f aca="false">Parâmetros!$C$4*(F253+2*Parâmetros!$D$4+Parâmetros!$C$4*Parâmetros!$E$4)</f>
        <v>0.6025</v>
      </c>
      <c r="L253" s="146" t="n">
        <f aca="false">Parâmetros!$C$5*(F253+2*Parâmetros!$D$5+Parâmetros!$C$5*Parâmetros!$E$5)</f>
        <v>1.9776</v>
      </c>
      <c r="M253" s="146" t="n">
        <f aca="false">Parâmetros!$C$6*(F253+2*Parâmetros!$D$6+Parâmetros!$C$6*Parâmetros!$E$6)</f>
        <v>2.584</v>
      </c>
      <c r="N253" s="146" t="n">
        <f aca="false">Parâmetros!$C$7*(F253+2*Parâmetros!$D$7+Parâmetros!$C$7*Parâmetros!$E$7)</f>
        <v>4.086</v>
      </c>
      <c r="O253" s="146" t="n">
        <f aca="false">F253+2*Parâmetros!$D$8</f>
        <v>12.2</v>
      </c>
      <c r="P253" s="146" t="n">
        <f aca="false">F253+2*Parâmetros!$D$10</f>
        <v>13.92</v>
      </c>
      <c r="Q253" s="146" t="n">
        <f aca="false">G253+H253</f>
        <v>0</v>
      </c>
      <c r="S253" s="149" t="n">
        <f aca="false">S252+'Volumes por intervalo'!C252*(F252+F253)/2</f>
        <v>56368</v>
      </c>
      <c r="T253" s="149" t="n">
        <f aca="false">T252+'Volumes por intervalo'!H252</f>
        <v>2830.95000000001</v>
      </c>
      <c r="U253" s="149" t="n">
        <f aca="false">U252+'Volumes por intervalo'!J252</f>
        <v>9308.032</v>
      </c>
      <c r="V253" s="149" t="n">
        <f aca="false">V252+'Volumes por intervalo'!K252</f>
        <v>12197.28</v>
      </c>
      <c r="W253" s="149" t="n">
        <f aca="false">W252+'Volumes por intervalo'!L252</f>
        <v>19350.12</v>
      </c>
      <c r="X253" s="149" t="n">
        <f aca="false">X252+'Volumes por intervalo'!M252</f>
        <v>57372</v>
      </c>
      <c r="Y253" s="149" t="n">
        <f aca="false">Y252+'Volumes por intervalo'!N252</f>
        <v>57372</v>
      </c>
      <c r="Z253" s="149" t="n">
        <f aca="false">Z252+'Volumes por intervalo'!O252</f>
        <v>66006.4000000002</v>
      </c>
      <c r="AA253" s="149" t="n">
        <f aca="false">AA252+'Volumes por intervalo'!P252</f>
        <v>0</v>
      </c>
      <c r="AB253" s="149" t="n">
        <f aca="false">AB252+'Volumes por intervalo'!Q252</f>
        <v>0</v>
      </c>
      <c r="AC253" s="149" t="n">
        <f aca="false">AC252+'Volumes por intervalo'!R252</f>
        <v>0</v>
      </c>
      <c r="AD253" s="149" t="n">
        <f aca="false">AD252+'Volumes por intervalo'!S252</f>
        <v>0</v>
      </c>
    </row>
    <row r="254" customFormat="false" ht="15" hidden="false" customHeight="false" outlineLevel="0" collapsed="false">
      <c r="A254" s="138" t="s">
        <v>1905</v>
      </c>
      <c r="B254" s="146" t="n">
        <v>252</v>
      </c>
      <c r="C254" s="144" t="n">
        <v>5040</v>
      </c>
      <c r="D254" s="138" t="s">
        <v>1565</v>
      </c>
      <c r="E254" s="138" t="s">
        <v>1566</v>
      </c>
      <c r="F254" s="147" t="n">
        <v>13.6</v>
      </c>
      <c r="G254" s="148" t="n">
        <v>0</v>
      </c>
      <c r="H254" s="148" t="n">
        <v>0</v>
      </c>
      <c r="I254" s="138" t="s">
        <v>1642</v>
      </c>
      <c r="J254" s="138"/>
      <c r="K254" s="146" t="n">
        <f aca="false">Parâmetros!$C$4*(F254+2*Parâmetros!$D$4+Parâmetros!$C$4*Parâmetros!$E$4)</f>
        <v>0.6825</v>
      </c>
      <c r="L254" s="146" t="n">
        <f aca="false">Parâmetros!$C$5*(F254+2*Parâmetros!$D$5+Parâmetros!$C$5*Parâmetros!$E$5)</f>
        <v>2.2336</v>
      </c>
      <c r="M254" s="146" t="n">
        <f aca="false">Parâmetros!$C$6*(F254+2*Parâmetros!$D$6+Parâmetros!$C$6*Parâmetros!$E$6)</f>
        <v>2.904</v>
      </c>
      <c r="N254" s="146" t="n">
        <f aca="false">Parâmetros!$C$7*(F254+2*Parâmetros!$D$7+Parâmetros!$C$7*Parâmetros!$E$7)</f>
        <v>4.566</v>
      </c>
      <c r="O254" s="146" t="n">
        <f aca="false">F254+2*Parâmetros!$D$8</f>
        <v>13.8</v>
      </c>
      <c r="P254" s="146" t="n">
        <f aca="false">F254+2*Parâmetros!$D$10</f>
        <v>15.52</v>
      </c>
      <c r="Q254" s="146" t="n">
        <f aca="false">G254+H254</f>
        <v>0</v>
      </c>
      <c r="S254" s="149" t="n">
        <f aca="false">S253+'Volumes por intervalo'!C253*(F253+F254)/2</f>
        <v>56624</v>
      </c>
      <c r="T254" s="149" t="n">
        <f aca="false">T253+'Volumes por intervalo'!H253</f>
        <v>2843.80000000001</v>
      </c>
      <c r="U254" s="149" t="n">
        <f aca="false">U253+'Volumes por intervalo'!J253</f>
        <v>9350.144</v>
      </c>
      <c r="V254" s="149" t="n">
        <f aca="false">V253+'Volumes por intervalo'!K253</f>
        <v>12252.16</v>
      </c>
      <c r="W254" s="149" t="n">
        <f aca="false">W253+'Volumes por intervalo'!L253</f>
        <v>19436.64</v>
      </c>
      <c r="X254" s="149" t="n">
        <f aca="false">X253+'Volumes por intervalo'!M253</f>
        <v>57632</v>
      </c>
      <c r="Y254" s="149" t="n">
        <f aca="false">Y253+'Volumes por intervalo'!N253</f>
        <v>57632</v>
      </c>
      <c r="Z254" s="149" t="n">
        <f aca="false">Z253+'Volumes por intervalo'!O253</f>
        <v>66300.8000000002</v>
      </c>
      <c r="AA254" s="149" t="n">
        <f aca="false">AA253+'Volumes por intervalo'!P253</f>
        <v>0</v>
      </c>
      <c r="AB254" s="149" t="n">
        <f aca="false">AB253+'Volumes por intervalo'!Q253</f>
        <v>0</v>
      </c>
      <c r="AC254" s="149" t="n">
        <f aca="false">AC253+'Volumes por intervalo'!R253</f>
        <v>0</v>
      </c>
      <c r="AD254" s="149" t="n">
        <f aca="false">AD253+'Volumes por intervalo'!S253</f>
        <v>0</v>
      </c>
    </row>
    <row r="255" customFormat="false" ht="15" hidden="false" customHeight="false" outlineLevel="0" collapsed="false">
      <c r="A255" s="138" t="s">
        <v>1906</v>
      </c>
      <c r="B255" s="146" t="n">
        <v>253</v>
      </c>
      <c r="C255" s="144" t="n">
        <v>5060</v>
      </c>
      <c r="D255" s="138" t="s">
        <v>1565</v>
      </c>
      <c r="E255" s="138" t="s">
        <v>1566</v>
      </c>
      <c r="F255" s="147" t="n">
        <v>14</v>
      </c>
      <c r="G255" s="148" t="n">
        <v>0</v>
      </c>
      <c r="H255" s="148" t="n">
        <v>0</v>
      </c>
      <c r="I255" s="138" t="s">
        <v>1642</v>
      </c>
      <c r="J255" s="138" t="s">
        <v>1764</v>
      </c>
      <c r="K255" s="146" t="n">
        <f aca="false">Parâmetros!$C$4*(F255+2*Parâmetros!$D$4+Parâmetros!$C$4*Parâmetros!$E$4)</f>
        <v>0.7025</v>
      </c>
      <c r="L255" s="146" t="n">
        <f aca="false">Parâmetros!$C$5*(F255+2*Parâmetros!$D$5+Parâmetros!$C$5*Parâmetros!$E$5)</f>
        <v>2.2976</v>
      </c>
      <c r="M255" s="146" t="n">
        <f aca="false">Parâmetros!$C$6*(F255+2*Parâmetros!$D$6+Parâmetros!$C$6*Parâmetros!$E$6)</f>
        <v>2.984</v>
      </c>
      <c r="N255" s="146" t="n">
        <f aca="false">Parâmetros!$C$7*(F255+2*Parâmetros!$D$7+Parâmetros!$C$7*Parâmetros!$E$7)</f>
        <v>4.686</v>
      </c>
      <c r="O255" s="146" t="n">
        <f aca="false">F255+2*Parâmetros!$D$8</f>
        <v>14.2</v>
      </c>
      <c r="P255" s="146" t="n">
        <f aca="false">F255+2*Parâmetros!$D$10</f>
        <v>15.92</v>
      </c>
      <c r="Q255" s="146" t="n">
        <f aca="false">G255+H255</f>
        <v>0</v>
      </c>
      <c r="S255" s="149" t="n">
        <f aca="false">S254+'Volumes por intervalo'!C254*(F254+F255)/2</f>
        <v>56900</v>
      </c>
      <c r="T255" s="149" t="n">
        <f aca="false">T254+'Volumes por intervalo'!H254</f>
        <v>2857.65000000001</v>
      </c>
      <c r="U255" s="149" t="n">
        <f aca="false">U254+'Volumes por intervalo'!J254</f>
        <v>9395.456</v>
      </c>
      <c r="V255" s="149" t="n">
        <f aca="false">V254+'Volumes por intervalo'!K254</f>
        <v>12311.04</v>
      </c>
      <c r="W255" s="149" t="n">
        <f aca="false">W254+'Volumes por intervalo'!L254</f>
        <v>19529.16</v>
      </c>
      <c r="X255" s="149" t="n">
        <f aca="false">X254+'Volumes por intervalo'!M254</f>
        <v>57912</v>
      </c>
      <c r="Y255" s="149" t="n">
        <f aca="false">Y254+'Volumes por intervalo'!N254</f>
        <v>57912</v>
      </c>
      <c r="Z255" s="149" t="n">
        <f aca="false">Z254+'Volumes por intervalo'!O254</f>
        <v>66615.2000000002</v>
      </c>
      <c r="AA255" s="149" t="n">
        <f aca="false">AA254+'Volumes por intervalo'!P254</f>
        <v>0</v>
      </c>
      <c r="AB255" s="149" t="n">
        <f aca="false">AB254+'Volumes por intervalo'!Q254</f>
        <v>0</v>
      </c>
      <c r="AC255" s="149" t="n">
        <f aca="false">AC254+'Volumes por intervalo'!R254</f>
        <v>0</v>
      </c>
      <c r="AD255" s="149" t="n">
        <f aca="false">AD254+'Volumes por intervalo'!S254</f>
        <v>0</v>
      </c>
    </row>
    <row r="256" customFormat="false" ht="15" hidden="false" customHeight="false" outlineLevel="0" collapsed="false">
      <c r="A256" s="138" t="s">
        <v>1907</v>
      </c>
      <c r="B256" s="146" t="n">
        <v>254</v>
      </c>
      <c r="C256" s="144" t="n">
        <v>5080</v>
      </c>
      <c r="D256" s="138" t="s">
        <v>1565</v>
      </c>
      <c r="E256" s="138" t="s">
        <v>1566</v>
      </c>
      <c r="F256" s="147" t="n">
        <v>14.1</v>
      </c>
      <c r="G256" s="148" t="n">
        <v>0</v>
      </c>
      <c r="H256" s="148" t="n">
        <v>0</v>
      </c>
      <c r="I256" s="138" t="s">
        <v>1642</v>
      </c>
      <c r="J256" s="138" t="s">
        <v>1764</v>
      </c>
      <c r="K256" s="146" t="n">
        <f aca="false">Parâmetros!$C$4*(F256+2*Parâmetros!$D$4+Parâmetros!$C$4*Parâmetros!$E$4)</f>
        <v>0.7075</v>
      </c>
      <c r="L256" s="146" t="n">
        <f aca="false">Parâmetros!$C$5*(F256+2*Parâmetros!$D$5+Parâmetros!$C$5*Parâmetros!$E$5)</f>
        <v>2.3136</v>
      </c>
      <c r="M256" s="146" t="n">
        <f aca="false">Parâmetros!$C$6*(F256+2*Parâmetros!$D$6+Parâmetros!$C$6*Parâmetros!$E$6)</f>
        <v>3.004</v>
      </c>
      <c r="N256" s="146" t="n">
        <f aca="false">Parâmetros!$C$7*(F256+2*Parâmetros!$D$7+Parâmetros!$C$7*Parâmetros!$E$7)</f>
        <v>4.716</v>
      </c>
      <c r="O256" s="146" t="n">
        <f aca="false">F256+2*Parâmetros!$D$8</f>
        <v>14.3</v>
      </c>
      <c r="P256" s="146" t="n">
        <f aca="false">F256+2*Parâmetros!$D$10</f>
        <v>16.02</v>
      </c>
      <c r="Q256" s="146" t="n">
        <f aca="false">G256+H256</f>
        <v>0</v>
      </c>
      <c r="S256" s="149" t="n">
        <f aca="false">S255+'Volumes por intervalo'!C255*(F255+F256)/2</f>
        <v>57181</v>
      </c>
      <c r="T256" s="149" t="n">
        <f aca="false">T255+'Volumes por intervalo'!H255</f>
        <v>2871.75000000001</v>
      </c>
      <c r="U256" s="149" t="n">
        <f aca="false">U255+'Volumes por intervalo'!J255</f>
        <v>9441.568</v>
      </c>
      <c r="V256" s="149" t="n">
        <f aca="false">V255+'Volumes por intervalo'!K255</f>
        <v>12370.92</v>
      </c>
      <c r="W256" s="149" t="n">
        <f aca="false">W255+'Volumes por intervalo'!L255</f>
        <v>19623.18</v>
      </c>
      <c r="X256" s="149" t="n">
        <f aca="false">X255+'Volumes por intervalo'!M255</f>
        <v>58197</v>
      </c>
      <c r="Y256" s="149" t="n">
        <f aca="false">Y255+'Volumes por intervalo'!N255</f>
        <v>58197</v>
      </c>
      <c r="Z256" s="149" t="n">
        <f aca="false">Z255+'Volumes por intervalo'!O255</f>
        <v>66934.6000000002</v>
      </c>
      <c r="AA256" s="149" t="n">
        <f aca="false">AA255+'Volumes por intervalo'!P255</f>
        <v>0</v>
      </c>
      <c r="AB256" s="149" t="n">
        <f aca="false">AB255+'Volumes por intervalo'!Q255</f>
        <v>0</v>
      </c>
      <c r="AC256" s="149" t="n">
        <f aca="false">AC255+'Volumes por intervalo'!R255</f>
        <v>0</v>
      </c>
      <c r="AD256" s="149" t="n">
        <f aca="false">AD255+'Volumes por intervalo'!S255</f>
        <v>0</v>
      </c>
    </row>
    <row r="257" customFormat="false" ht="15" hidden="false" customHeight="false" outlineLevel="0" collapsed="false">
      <c r="A257" s="138" t="s">
        <v>1908</v>
      </c>
      <c r="B257" s="146" t="n">
        <v>255</v>
      </c>
      <c r="C257" s="144" t="n">
        <v>5100</v>
      </c>
      <c r="D257" s="138" t="s">
        <v>1565</v>
      </c>
      <c r="E257" s="138" t="s">
        <v>1566</v>
      </c>
      <c r="F257" s="147" t="n">
        <v>14.1</v>
      </c>
      <c r="G257" s="148" t="n">
        <v>0</v>
      </c>
      <c r="H257" s="148" t="n">
        <v>0</v>
      </c>
      <c r="I257" s="138" t="s">
        <v>1642</v>
      </c>
      <c r="J257" s="138" t="s">
        <v>1764</v>
      </c>
      <c r="K257" s="146" t="n">
        <f aca="false">Parâmetros!$C$4*(F257+2*Parâmetros!$D$4+Parâmetros!$C$4*Parâmetros!$E$4)</f>
        <v>0.7075</v>
      </c>
      <c r="L257" s="146" t="n">
        <f aca="false">Parâmetros!$C$5*(F257+2*Parâmetros!$D$5+Parâmetros!$C$5*Parâmetros!$E$5)</f>
        <v>2.3136</v>
      </c>
      <c r="M257" s="146" t="n">
        <f aca="false">Parâmetros!$C$6*(F257+2*Parâmetros!$D$6+Parâmetros!$C$6*Parâmetros!$E$6)</f>
        <v>3.004</v>
      </c>
      <c r="N257" s="146" t="n">
        <f aca="false">Parâmetros!$C$7*(F257+2*Parâmetros!$D$7+Parâmetros!$C$7*Parâmetros!$E$7)</f>
        <v>4.716</v>
      </c>
      <c r="O257" s="146" t="n">
        <f aca="false">F257+2*Parâmetros!$D$8</f>
        <v>14.3</v>
      </c>
      <c r="P257" s="146" t="n">
        <f aca="false">F257+2*Parâmetros!$D$10</f>
        <v>16.02</v>
      </c>
      <c r="Q257" s="146" t="n">
        <f aca="false">G257+H257</f>
        <v>0</v>
      </c>
      <c r="S257" s="149" t="n">
        <f aca="false">S256+'Volumes por intervalo'!C256*(F256+F257)/2</f>
        <v>57463</v>
      </c>
      <c r="T257" s="149" t="n">
        <f aca="false">T256+'Volumes por intervalo'!H256</f>
        <v>2885.90000000001</v>
      </c>
      <c r="U257" s="149" t="n">
        <f aca="false">U256+'Volumes por intervalo'!J256</f>
        <v>9487.84</v>
      </c>
      <c r="V257" s="149" t="n">
        <f aca="false">V256+'Volumes por intervalo'!K256</f>
        <v>12431</v>
      </c>
      <c r="W257" s="149" t="n">
        <f aca="false">W256+'Volumes por intervalo'!L256</f>
        <v>19717.5</v>
      </c>
      <c r="X257" s="149" t="n">
        <f aca="false">X256+'Volumes por intervalo'!M256</f>
        <v>58483</v>
      </c>
      <c r="Y257" s="149" t="n">
        <f aca="false">Y256+'Volumes por intervalo'!N256</f>
        <v>58483</v>
      </c>
      <c r="Z257" s="149" t="n">
        <f aca="false">Z256+'Volumes por intervalo'!O256</f>
        <v>67255.0000000002</v>
      </c>
      <c r="AA257" s="149" t="n">
        <f aca="false">AA256+'Volumes por intervalo'!P256</f>
        <v>0</v>
      </c>
      <c r="AB257" s="149" t="n">
        <f aca="false">AB256+'Volumes por intervalo'!Q256</f>
        <v>0</v>
      </c>
      <c r="AC257" s="149" t="n">
        <f aca="false">AC256+'Volumes por intervalo'!R256</f>
        <v>0</v>
      </c>
      <c r="AD257" s="149" t="n">
        <f aca="false">AD256+'Volumes por intervalo'!S256</f>
        <v>0</v>
      </c>
    </row>
    <row r="258" customFormat="false" ht="15" hidden="false" customHeight="false" outlineLevel="0" collapsed="false">
      <c r="A258" s="138" t="s">
        <v>1909</v>
      </c>
      <c r="B258" s="146" t="n">
        <v>256</v>
      </c>
      <c r="C258" s="144" t="n">
        <v>5120</v>
      </c>
      <c r="D258" s="138" t="s">
        <v>1565</v>
      </c>
      <c r="E258" s="138" t="s">
        <v>1566</v>
      </c>
      <c r="F258" s="147" t="n">
        <v>14</v>
      </c>
      <c r="G258" s="148" t="n">
        <v>0</v>
      </c>
      <c r="H258" s="148" t="n">
        <v>0</v>
      </c>
      <c r="I258" s="138" t="s">
        <v>1642</v>
      </c>
      <c r="J258" s="138" t="s">
        <v>1766</v>
      </c>
      <c r="K258" s="146" t="n">
        <f aca="false">Parâmetros!$C$4*(F258+2*Parâmetros!$D$4+Parâmetros!$C$4*Parâmetros!$E$4)</f>
        <v>0.7025</v>
      </c>
      <c r="L258" s="146" t="n">
        <f aca="false">Parâmetros!$C$5*(F258+2*Parâmetros!$D$5+Parâmetros!$C$5*Parâmetros!$E$5)</f>
        <v>2.2976</v>
      </c>
      <c r="M258" s="146" t="n">
        <f aca="false">Parâmetros!$C$6*(F258+2*Parâmetros!$D$6+Parâmetros!$C$6*Parâmetros!$E$6)</f>
        <v>2.984</v>
      </c>
      <c r="N258" s="146" t="n">
        <f aca="false">Parâmetros!$C$7*(F258+2*Parâmetros!$D$7+Parâmetros!$C$7*Parâmetros!$E$7)</f>
        <v>4.686</v>
      </c>
      <c r="O258" s="146" t="n">
        <f aca="false">F258+2*Parâmetros!$D$8</f>
        <v>14.2</v>
      </c>
      <c r="P258" s="146" t="n">
        <f aca="false">F258+2*Parâmetros!$D$10</f>
        <v>15.92</v>
      </c>
      <c r="Q258" s="146" t="n">
        <f aca="false">G258+H258</f>
        <v>0</v>
      </c>
      <c r="S258" s="149" t="n">
        <f aca="false">S257+'Volumes por intervalo'!C257*(F257+F258)/2</f>
        <v>57744</v>
      </c>
      <c r="T258" s="149" t="n">
        <f aca="false">T257+'Volumes por intervalo'!H257</f>
        <v>2900.00000000001</v>
      </c>
      <c r="U258" s="149" t="n">
        <f aca="false">U257+'Volumes por intervalo'!J257</f>
        <v>9533.952</v>
      </c>
      <c r="V258" s="149" t="n">
        <f aca="false">V257+'Volumes por intervalo'!K257</f>
        <v>12490.88</v>
      </c>
      <c r="W258" s="149" t="n">
        <f aca="false">W257+'Volumes por intervalo'!L257</f>
        <v>19811.52</v>
      </c>
      <c r="X258" s="149" t="n">
        <f aca="false">X257+'Volumes por intervalo'!M257</f>
        <v>58768</v>
      </c>
      <c r="Y258" s="149" t="n">
        <f aca="false">Y257+'Volumes por intervalo'!N257</f>
        <v>58768</v>
      </c>
      <c r="Z258" s="149" t="n">
        <f aca="false">Z257+'Volumes por intervalo'!O257</f>
        <v>67574.4000000002</v>
      </c>
      <c r="AA258" s="149" t="n">
        <f aca="false">AA257+'Volumes por intervalo'!P257</f>
        <v>0</v>
      </c>
      <c r="AB258" s="149" t="n">
        <f aca="false">AB257+'Volumes por intervalo'!Q257</f>
        <v>0</v>
      </c>
      <c r="AC258" s="149" t="n">
        <f aca="false">AC257+'Volumes por intervalo'!R257</f>
        <v>0</v>
      </c>
      <c r="AD258" s="149" t="n">
        <f aca="false">AD257+'Volumes por intervalo'!S257</f>
        <v>0</v>
      </c>
    </row>
    <row r="259" customFormat="false" ht="15" hidden="false" customHeight="false" outlineLevel="0" collapsed="false">
      <c r="A259" s="138" t="s">
        <v>1910</v>
      </c>
      <c r="B259" s="146" t="n">
        <v>257</v>
      </c>
      <c r="C259" s="144" t="n">
        <v>5140</v>
      </c>
      <c r="D259" s="138" t="s">
        <v>1565</v>
      </c>
      <c r="E259" s="138" t="s">
        <v>1566</v>
      </c>
      <c r="F259" s="147" t="n">
        <v>12.4</v>
      </c>
      <c r="G259" s="148" t="n">
        <v>0</v>
      </c>
      <c r="H259" s="148" t="n">
        <v>0</v>
      </c>
      <c r="I259" s="138" t="s">
        <v>1642</v>
      </c>
      <c r="J259" s="138" t="s">
        <v>1766</v>
      </c>
      <c r="K259" s="146" t="n">
        <f aca="false">Parâmetros!$C$4*(F259+2*Parâmetros!$D$4+Parâmetros!$C$4*Parâmetros!$E$4)</f>
        <v>0.6225</v>
      </c>
      <c r="L259" s="146" t="n">
        <f aca="false">Parâmetros!$C$5*(F259+2*Parâmetros!$D$5+Parâmetros!$C$5*Parâmetros!$E$5)</f>
        <v>2.0416</v>
      </c>
      <c r="M259" s="146" t="n">
        <f aca="false">Parâmetros!$C$6*(F259+2*Parâmetros!$D$6+Parâmetros!$C$6*Parâmetros!$E$6)</f>
        <v>2.664</v>
      </c>
      <c r="N259" s="146" t="n">
        <f aca="false">Parâmetros!$C$7*(F259+2*Parâmetros!$D$7+Parâmetros!$C$7*Parâmetros!$E$7)</f>
        <v>4.206</v>
      </c>
      <c r="O259" s="146" t="n">
        <f aca="false">F259+2*Parâmetros!$D$8</f>
        <v>12.6</v>
      </c>
      <c r="P259" s="146" t="n">
        <f aca="false">F259+2*Parâmetros!$D$10</f>
        <v>14.32</v>
      </c>
      <c r="Q259" s="146" t="n">
        <f aca="false">G259+H259</f>
        <v>0</v>
      </c>
      <c r="S259" s="149" t="n">
        <f aca="false">S258+'Volumes por intervalo'!C258*(F258+F259)/2</f>
        <v>58008</v>
      </c>
      <c r="T259" s="149" t="n">
        <f aca="false">T258+'Volumes por intervalo'!H258</f>
        <v>2913.25000000001</v>
      </c>
      <c r="U259" s="149" t="n">
        <f aca="false">U258+'Volumes por intervalo'!J258</f>
        <v>9577.344</v>
      </c>
      <c r="V259" s="149" t="n">
        <f aca="false">V258+'Volumes por intervalo'!K258</f>
        <v>12547.36</v>
      </c>
      <c r="W259" s="149" t="n">
        <f aca="false">W258+'Volumes por intervalo'!L258</f>
        <v>19900.44</v>
      </c>
      <c r="X259" s="149" t="n">
        <f aca="false">X258+'Volumes por intervalo'!M258</f>
        <v>59036</v>
      </c>
      <c r="Y259" s="149" t="n">
        <f aca="false">Y258+'Volumes por intervalo'!N258</f>
        <v>59036</v>
      </c>
      <c r="Z259" s="149" t="n">
        <f aca="false">Z258+'Volumes por intervalo'!O258</f>
        <v>67876.8000000002</v>
      </c>
      <c r="AA259" s="149" t="n">
        <f aca="false">AA258+'Volumes por intervalo'!P258</f>
        <v>0</v>
      </c>
      <c r="AB259" s="149" t="n">
        <f aca="false">AB258+'Volumes por intervalo'!Q258</f>
        <v>0</v>
      </c>
      <c r="AC259" s="149" t="n">
        <f aca="false">AC258+'Volumes por intervalo'!R258</f>
        <v>0</v>
      </c>
      <c r="AD259" s="149" t="n">
        <f aca="false">AD258+'Volumes por intervalo'!S258</f>
        <v>0</v>
      </c>
    </row>
    <row r="260" customFormat="false" ht="15" hidden="false" customHeight="false" outlineLevel="0" collapsed="false">
      <c r="A260" s="138" t="s">
        <v>1911</v>
      </c>
      <c r="B260" s="146" t="n">
        <v>258</v>
      </c>
      <c r="C260" s="144" t="n">
        <v>5160</v>
      </c>
      <c r="D260" s="138" t="s">
        <v>1565</v>
      </c>
      <c r="E260" s="138" t="s">
        <v>1566</v>
      </c>
      <c r="F260" s="147" t="n">
        <v>10.9</v>
      </c>
      <c r="G260" s="148" t="n">
        <v>0</v>
      </c>
      <c r="H260" s="148" t="n">
        <v>0</v>
      </c>
      <c r="I260" s="138" t="s">
        <v>1642</v>
      </c>
      <c r="J260" s="138" t="s">
        <v>1773</v>
      </c>
      <c r="K260" s="146" t="n">
        <f aca="false">Parâmetros!$C$4*(F260+2*Parâmetros!$D$4+Parâmetros!$C$4*Parâmetros!$E$4)</f>
        <v>0.5475</v>
      </c>
      <c r="L260" s="146" t="n">
        <f aca="false">Parâmetros!$C$5*(F260+2*Parâmetros!$D$5+Parâmetros!$C$5*Parâmetros!$E$5)</f>
        <v>1.8016</v>
      </c>
      <c r="M260" s="146" t="n">
        <f aca="false">Parâmetros!$C$6*(F260+2*Parâmetros!$D$6+Parâmetros!$C$6*Parâmetros!$E$6)</f>
        <v>2.364</v>
      </c>
      <c r="N260" s="146" t="n">
        <f aca="false">Parâmetros!$C$7*(F260+2*Parâmetros!$D$7+Parâmetros!$C$7*Parâmetros!$E$7)</f>
        <v>3.756</v>
      </c>
      <c r="O260" s="146" t="n">
        <f aca="false">F260+2*Parâmetros!$D$8</f>
        <v>11.1</v>
      </c>
      <c r="P260" s="146" t="n">
        <f aca="false">F260+2*Parâmetros!$D$10</f>
        <v>12.82</v>
      </c>
      <c r="Q260" s="146" t="n">
        <f aca="false">G260+H260</f>
        <v>0</v>
      </c>
      <c r="S260" s="149" t="n">
        <f aca="false">S259+'Volumes por intervalo'!C259*(F259+F260)/2</f>
        <v>58241</v>
      </c>
      <c r="T260" s="149" t="n">
        <f aca="false">T259+'Volumes por intervalo'!H259</f>
        <v>2924.95000000001</v>
      </c>
      <c r="U260" s="149" t="n">
        <f aca="false">U259+'Volumes por intervalo'!J259</f>
        <v>9615.776</v>
      </c>
      <c r="V260" s="149" t="n">
        <f aca="false">V259+'Volumes por intervalo'!K259</f>
        <v>12597.64</v>
      </c>
      <c r="W260" s="149" t="n">
        <f aca="false">W259+'Volumes por intervalo'!L259</f>
        <v>19980.06</v>
      </c>
      <c r="X260" s="149" t="n">
        <f aca="false">X259+'Volumes por intervalo'!M259</f>
        <v>59273</v>
      </c>
      <c r="Y260" s="149" t="n">
        <f aca="false">Y259+'Volumes por intervalo'!N259</f>
        <v>59273</v>
      </c>
      <c r="Z260" s="149" t="n">
        <f aca="false">Z259+'Volumes por intervalo'!O259</f>
        <v>68148.2000000002</v>
      </c>
      <c r="AA260" s="149" t="n">
        <f aca="false">AA259+'Volumes por intervalo'!P259</f>
        <v>0</v>
      </c>
      <c r="AB260" s="149" t="n">
        <f aca="false">AB259+'Volumes por intervalo'!Q259</f>
        <v>0</v>
      </c>
      <c r="AC260" s="149" t="n">
        <f aca="false">AC259+'Volumes por intervalo'!R259</f>
        <v>0</v>
      </c>
      <c r="AD260" s="149" t="n">
        <f aca="false">AD259+'Volumes por intervalo'!S259</f>
        <v>0</v>
      </c>
    </row>
    <row r="261" customFormat="false" ht="15" hidden="false" customHeight="false" outlineLevel="0" collapsed="false">
      <c r="A261" s="138" t="s">
        <v>1912</v>
      </c>
      <c r="B261" s="146" t="n">
        <v>259</v>
      </c>
      <c r="C261" s="144" t="n">
        <v>5180</v>
      </c>
      <c r="D261" s="138" t="s">
        <v>1565</v>
      </c>
      <c r="E261" s="138" t="s">
        <v>1566</v>
      </c>
      <c r="F261" s="147" t="n">
        <v>11</v>
      </c>
      <c r="G261" s="148" t="n">
        <v>0</v>
      </c>
      <c r="H261" s="148" t="n">
        <v>0</v>
      </c>
      <c r="I261" s="138" t="s">
        <v>1642</v>
      </c>
      <c r="J261" s="138" t="s">
        <v>1913</v>
      </c>
      <c r="K261" s="146" t="n">
        <f aca="false">Parâmetros!$C$4*(F261+2*Parâmetros!$D$4+Parâmetros!$C$4*Parâmetros!$E$4)</f>
        <v>0.5525</v>
      </c>
      <c r="L261" s="146" t="n">
        <f aca="false">Parâmetros!$C$5*(F261+2*Parâmetros!$D$5+Parâmetros!$C$5*Parâmetros!$E$5)</f>
        <v>1.8176</v>
      </c>
      <c r="M261" s="146" t="n">
        <f aca="false">Parâmetros!$C$6*(F261+2*Parâmetros!$D$6+Parâmetros!$C$6*Parâmetros!$E$6)</f>
        <v>2.384</v>
      </c>
      <c r="N261" s="146" t="n">
        <f aca="false">Parâmetros!$C$7*(F261+2*Parâmetros!$D$7+Parâmetros!$C$7*Parâmetros!$E$7)</f>
        <v>3.786</v>
      </c>
      <c r="O261" s="146" t="n">
        <f aca="false">F261+2*Parâmetros!$D$8</f>
        <v>11.2</v>
      </c>
      <c r="P261" s="146" t="n">
        <f aca="false">F261+2*Parâmetros!$D$10</f>
        <v>12.92</v>
      </c>
      <c r="Q261" s="146" t="n">
        <f aca="false">G261+H261</f>
        <v>0</v>
      </c>
      <c r="S261" s="149" t="n">
        <f aca="false">S260+'Volumes por intervalo'!C260*(F260+F261)/2</f>
        <v>58460</v>
      </c>
      <c r="T261" s="149" t="n">
        <f aca="false">T260+'Volumes por intervalo'!H260</f>
        <v>2935.95000000001</v>
      </c>
      <c r="U261" s="149" t="n">
        <f aca="false">U260+'Volumes por intervalo'!J260</f>
        <v>9651.968</v>
      </c>
      <c r="V261" s="149" t="n">
        <f aca="false">V260+'Volumes por intervalo'!K260</f>
        <v>12645.12</v>
      </c>
      <c r="W261" s="149" t="n">
        <f aca="false">W260+'Volumes por intervalo'!L260</f>
        <v>20055.48</v>
      </c>
      <c r="X261" s="149" t="n">
        <f aca="false">X260+'Volumes por intervalo'!M260</f>
        <v>59496</v>
      </c>
      <c r="Y261" s="149" t="n">
        <f aca="false">Y260+'Volumes por intervalo'!N260</f>
        <v>59496</v>
      </c>
      <c r="Z261" s="149" t="n">
        <f aca="false">Z260+'Volumes por intervalo'!O260</f>
        <v>68405.6000000002</v>
      </c>
      <c r="AA261" s="149" t="n">
        <f aca="false">AA260+'Volumes por intervalo'!P260</f>
        <v>0</v>
      </c>
      <c r="AB261" s="149" t="n">
        <f aca="false">AB260+'Volumes por intervalo'!Q260</f>
        <v>0</v>
      </c>
      <c r="AC261" s="149" t="n">
        <f aca="false">AC260+'Volumes por intervalo'!R260</f>
        <v>0</v>
      </c>
      <c r="AD261" s="149" t="n">
        <f aca="false">AD260+'Volumes por intervalo'!S260</f>
        <v>0</v>
      </c>
    </row>
    <row r="262" customFormat="false" ht="15" hidden="false" customHeight="false" outlineLevel="0" collapsed="false">
      <c r="A262" s="138" t="s">
        <v>1914</v>
      </c>
      <c r="B262" s="146" t="n">
        <v>260</v>
      </c>
      <c r="C262" s="144" t="n">
        <v>5200</v>
      </c>
      <c r="D262" s="138" t="s">
        <v>1565</v>
      </c>
      <c r="E262" s="138" t="s">
        <v>1566</v>
      </c>
      <c r="F262" s="147" t="n">
        <v>11</v>
      </c>
      <c r="G262" s="148" t="n">
        <v>0</v>
      </c>
      <c r="H262" s="148" t="n">
        <v>0</v>
      </c>
      <c r="I262" s="138" t="s">
        <v>1642</v>
      </c>
      <c r="J262" s="138" t="s">
        <v>1915</v>
      </c>
      <c r="K262" s="146" t="n">
        <f aca="false">Parâmetros!$C$4*(F262+2*Parâmetros!$D$4+Parâmetros!$C$4*Parâmetros!$E$4)</f>
        <v>0.5525</v>
      </c>
      <c r="L262" s="146" t="n">
        <f aca="false">Parâmetros!$C$5*(F262+2*Parâmetros!$D$5+Parâmetros!$C$5*Parâmetros!$E$5)</f>
        <v>1.8176</v>
      </c>
      <c r="M262" s="146" t="n">
        <f aca="false">Parâmetros!$C$6*(F262+2*Parâmetros!$D$6+Parâmetros!$C$6*Parâmetros!$E$6)</f>
        <v>2.384</v>
      </c>
      <c r="N262" s="146" t="n">
        <f aca="false">Parâmetros!$C$7*(F262+2*Parâmetros!$D$7+Parâmetros!$C$7*Parâmetros!$E$7)</f>
        <v>3.786</v>
      </c>
      <c r="O262" s="146" t="n">
        <f aca="false">F262+2*Parâmetros!$D$8</f>
        <v>11.2</v>
      </c>
      <c r="P262" s="146" t="n">
        <f aca="false">F262+2*Parâmetros!$D$10</f>
        <v>12.92</v>
      </c>
      <c r="Q262" s="146" t="n">
        <f aca="false">G262+H262</f>
        <v>0</v>
      </c>
      <c r="S262" s="149" t="n">
        <f aca="false">S261+'Volumes por intervalo'!C261*(F261+F262)/2</f>
        <v>58680</v>
      </c>
      <c r="T262" s="149" t="n">
        <f aca="false">T261+'Volumes por intervalo'!H261</f>
        <v>2947.00000000001</v>
      </c>
      <c r="U262" s="149" t="n">
        <f aca="false">U261+'Volumes por intervalo'!J261</f>
        <v>9688.32</v>
      </c>
      <c r="V262" s="149" t="n">
        <f aca="false">V261+'Volumes por intervalo'!K261</f>
        <v>12692.8</v>
      </c>
      <c r="W262" s="149" t="n">
        <f aca="false">W261+'Volumes por intervalo'!L261</f>
        <v>20131.2</v>
      </c>
      <c r="X262" s="149" t="n">
        <f aca="false">X261+'Volumes por intervalo'!M261</f>
        <v>59720</v>
      </c>
      <c r="Y262" s="149" t="n">
        <f aca="false">Y261+'Volumes por intervalo'!N261</f>
        <v>59720</v>
      </c>
      <c r="Z262" s="149" t="n">
        <f aca="false">Z261+'Volumes por intervalo'!O261</f>
        <v>68664.0000000002</v>
      </c>
      <c r="AA262" s="149" t="n">
        <f aca="false">AA261+'Volumes por intervalo'!P261</f>
        <v>0</v>
      </c>
      <c r="AB262" s="149" t="n">
        <f aca="false">AB261+'Volumes por intervalo'!Q261</f>
        <v>0</v>
      </c>
      <c r="AC262" s="149" t="n">
        <f aca="false">AC261+'Volumes por intervalo'!R261</f>
        <v>0</v>
      </c>
      <c r="AD262" s="149" t="n">
        <f aca="false">AD261+'Volumes por intervalo'!S261</f>
        <v>0</v>
      </c>
    </row>
    <row r="263" customFormat="false" ht="15" hidden="false" customHeight="false" outlineLevel="0" collapsed="false">
      <c r="A263" s="138" t="s">
        <v>1916</v>
      </c>
      <c r="B263" s="146" t="n">
        <v>261</v>
      </c>
      <c r="C263" s="144" t="n">
        <v>5220</v>
      </c>
      <c r="D263" s="138" t="s">
        <v>1565</v>
      </c>
      <c r="E263" s="138" t="s">
        <v>1566</v>
      </c>
      <c r="F263" s="147" t="n">
        <v>11</v>
      </c>
      <c r="G263" s="148" t="n">
        <v>0</v>
      </c>
      <c r="H263" s="148" t="n">
        <v>0</v>
      </c>
      <c r="I263" s="138" t="s">
        <v>1642</v>
      </c>
      <c r="J263" s="138"/>
      <c r="K263" s="146" t="n">
        <f aca="false">Parâmetros!$C$4*(F263+2*Parâmetros!$D$4+Parâmetros!$C$4*Parâmetros!$E$4)</f>
        <v>0.5525</v>
      </c>
      <c r="L263" s="146" t="n">
        <f aca="false">Parâmetros!$C$5*(F263+2*Parâmetros!$D$5+Parâmetros!$C$5*Parâmetros!$E$5)</f>
        <v>1.8176</v>
      </c>
      <c r="M263" s="146" t="n">
        <f aca="false">Parâmetros!$C$6*(F263+2*Parâmetros!$D$6+Parâmetros!$C$6*Parâmetros!$E$6)</f>
        <v>2.384</v>
      </c>
      <c r="N263" s="146" t="n">
        <f aca="false">Parâmetros!$C$7*(F263+2*Parâmetros!$D$7+Parâmetros!$C$7*Parâmetros!$E$7)</f>
        <v>3.786</v>
      </c>
      <c r="O263" s="146" t="n">
        <f aca="false">F263+2*Parâmetros!$D$8</f>
        <v>11.2</v>
      </c>
      <c r="P263" s="146" t="n">
        <f aca="false">F263+2*Parâmetros!$D$10</f>
        <v>12.92</v>
      </c>
      <c r="Q263" s="146" t="n">
        <f aca="false">G263+H263</f>
        <v>0</v>
      </c>
      <c r="S263" s="149" t="n">
        <f aca="false">S262+'Volumes por intervalo'!C262*(F262+F263)/2</f>
        <v>58900</v>
      </c>
      <c r="T263" s="149" t="n">
        <f aca="false">T262+'Volumes por intervalo'!H262</f>
        <v>2958.05000000001</v>
      </c>
      <c r="U263" s="149" t="n">
        <f aca="false">U262+'Volumes por intervalo'!J262</f>
        <v>9724.672</v>
      </c>
      <c r="V263" s="149" t="n">
        <f aca="false">V262+'Volumes por intervalo'!K262</f>
        <v>12740.48</v>
      </c>
      <c r="W263" s="149" t="n">
        <f aca="false">W262+'Volumes por intervalo'!L262</f>
        <v>20206.92</v>
      </c>
      <c r="X263" s="149" t="n">
        <f aca="false">X262+'Volumes por intervalo'!M262</f>
        <v>59944</v>
      </c>
      <c r="Y263" s="149" t="n">
        <f aca="false">Y262+'Volumes por intervalo'!N262</f>
        <v>59944</v>
      </c>
      <c r="Z263" s="149" t="n">
        <f aca="false">Z262+'Volumes por intervalo'!O262</f>
        <v>68922.4000000002</v>
      </c>
      <c r="AA263" s="149" t="n">
        <f aca="false">AA262+'Volumes por intervalo'!P262</f>
        <v>0</v>
      </c>
      <c r="AB263" s="149" t="n">
        <f aca="false">AB262+'Volumes por intervalo'!Q262</f>
        <v>0</v>
      </c>
      <c r="AC263" s="149" t="n">
        <f aca="false">AC262+'Volumes por intervalo'!R262</f>
        <v>0</v>
      </c>
      <c r="AD263" s="149" t="n">
        <f aca="false">AD262+'Volumes por intervalo'!S262</f>
        <v>0</v>
      </c>
    </row>
    <row r="264" customFormat="false" ht="15" hidden="false" customHeight="false" outlineLevel="0" collapsed="false">
      <c r="A264" s="138" t="s">
        <v>1917</v>
      </c>
      <c r="B264" s="146" t="n">
        <v>262</v>
      </c>
      <c r="C264" s="144" t="n">
        <v>5240</v>
      </c>
      <c r="D264" s="138" t="s">
        <v>1565</v>
      </c>
      <c r="E264" s="138" t="s">
        <v>1566</v>
      </c>
      <c r="F264" s="147" t="n">
        <v>11</v>
      </c>
      <c r="G264" s="148" t="n">
        <v>0</v>
      </c>
      <c r="H264" s="148" t="n">
        <v>0</v>
      </c>
      <c r="I264" s="138" t="s">
        <v>1642</v>
      </c>
      <c r="J264" s="138"/>
      <c r="K264" s="146" t="n">
        <f aca="false">Parâmetros!$C$4*(F264+2*Parâmetros!$D$4+Parâmetros!$C$4*Parâmetros!$E$4)</f>
        <v>0.5525</v>
      </c>
      <c r="L264" s="146" t="n">
        <f aca="false">Parâmetros!$C$5*(F264+2*Parâmetros!$D$5+Parâmetros!$C$5*Parâmetros!$E$5)</f>
        <v>1.8176</v>
      </c>
      <c r="M264" s="146" t="n">
        <f aca="false">Parâmetros!$C$6*(F264+2*Parâmetros!$D$6+Parâmetros!$C$6*Parâmetros!$E$6)</f>
        <v>2.384</v>
      </c>
      <c r="N264" s="146" t="n">
        <f aca="false">Parâmetros!$C$7*(F264+2*Parâmetros!$D$7+Parâmetros!$C$7*Parâmetros!$E$7)</f>
        <v>3.786</v>
      </c>
      <c r="O264" s="146" t="n">
        <f aca="false">F264+2*Parâmetros!$D$8</f>
        <v>11.2</v>
      </c>
      <c r="P264" s="146" t="n">
        <f aca="false">F264+2*Parâmetros!$D$10</f>
        <v>12.92</v>
      </c>
      <c r="Q264" s="146" t="n">
        <f aca="false">G264+H264</f>
        <v>0</v>
      </c>
      <c r="S264" s="149" t="n">
        <f aca="false">S263+'Volumes por intervalo'!C263*(F263+F264)/2</f>
        <v>59120</v>
      </c>
      <c r="T264" s="149" t="n">
        <f aca="false">T263+'Volumes por intervalo'!H263</f>
        <v>2969.10000000001</v>
      </c>
      <c r="U264" s="149" t="n">
        <f aca="false">U263+'Volumes por intervalo'!J263</f>
        <v>9761.024</v>
      </c>
      <c r="V264" s="149" t="n">
        <f aca="false">V263+'Volumes por intervalo'!K263</f>
        <v>12788.16</v>
      </c>
      <c r="W264" s="149" t="n">
        <f aca="false">W263+'Volumes por intervalo'!L263</f>
        <v>20282.64</v>
      </c>
      <c r="X264" s="149" t="n">
        <f aca="false">X263+'Volumes por intervalo'!M263</f>
        <v>60168</v>
      </c>
      <c r="Y264" s="149" t="n">
        <f aca="false">Y263+'Volumes por intervalo'!N263</f>
        <v>60168</v>
      </c>
      <c r="Z264" s="149" t="n">
        <f aca="false">Z263+'Volumes por intervalo'!O263</f>
        <v>69180.8000000002</v>
      </c>
      <c r="AA264" s="149" t="n">
        <f aca="false">AA263+'Volumes por intervalo'!P263</f>
        <v>0</v>
      </c>
      <c r="AB264" s="149" t="n">
        <f aca="false">AB263+'Volumes por intervalo'!Q263</f>
        <v>0</v>
      </c>
      <c r="AC264" s="149" t="n">
        <f aca="false">AC263+'Volumes por intervalo'!R263</f>
        <v>0</v>
      </c>
      <c r="AD264" s="149" t="n">
        <f aca="false">AD263+'Volumes por intervalo'!S263</f>
        <v>0</v>
      </c>
    </row>
    <row r="265" customFormat="false" ht="15" hidden="false" customHeight="false" outlineLevel="0" collapsed="false">
      <c r="A265" s="138" t="s">
        <v>1918</v>
      </c>
      <c r="B265" s="146" t="n">
        <v>263</v>
      </c>
      <c r="C265" s="144" t="n">
        <v>5260</v>
      </c>
      <c r="D265" s="138" t="s">
        <v>1565</v>
      </c>
      <c r="E265" s="138" t="s">
        <v>1566</v>
      </c>
      <c r="F265" s="147" t="n">
        <v>11</v>
      </c>
      <c r="G265" s="148" t="n">
        <v>0</v>
      </c>
      <c r="H265" s="148" t="n">
        <v>0</v>
      </c>
      <c r="I265" s="138" t="s">
        <v>1642</v>
      </c>
      <c r="J265" s="138"/>
      <c r="K265" s="146" t="n">
        <f aca="false">Parâmetros!$C$4*(F265+2*Parâmetros!$D$4+Parâmetros!$C$4*Parâmetros!$E$4)</f>
        <v>0.5525</v>
      </c>
      <c r="L265" s="146" t="n">
        <f aca="false">Parâmetros!$C$5*(F265+2*Parâmetros!$D$5+Parâmetros!$C$5*Parâmetros!$E$5)</f>
        <v>1.8176</v>
      </c>
      <c r="M265" s="146" t="n">
        <f aca="false">Parâmetros!$C$6*(F265+2*Parâmetros!$D$6+Parâmetros!$C$6*Parâmetros!$E$6)</f>
        <v>2.384</v>
      </c>
      <c r="N265" s="146" t="n">
        <f aca="false">Parâmetros!$C$7*(F265+2*Parâmetros!$D$7+Parâmetros!$C$7*Parâmetros!$E$7)</f>
        <v>3.786</v>
      </c>
      <c r="O265" s="146" t="n">
        <f aca="false">F265+2*Parâmetros!$D$8</f>
        <v>11.2</v>
      </c>
      <c r="P265" s="146" t="n">
        <f aca="false">F265+2*Parâmetros!$D$10</f>
        <v>12.92</v>
      </c>
      <c r="Q265" s="146" t="n">
        <f aca="false">G265+H265</f>
        <v>0</v>
      </c>
      <c r="S265" s="149" t="n">
        <f aca="false">S264+'Volumes por intervalo'!C264*(F264+F265)/2</f>
        <v>59340</v>
      </c>
      <c r="T265" s="149" t="n">
        <f aca="false">T264+'Volumes por intervalo'!H264</f>
        <v>2980.15000000001</v>
      </c>
      <c r="U265" s="149" t="n">
        <f aca="false">U264+'Volumes por intervalo'!J264</f>
        <v>9797.376</v>
      </c>
      <c r="V265" s="149" t="n">
        <f aca="false">V264+'Volumes por intervalo'!K264</f>
        <v>12835.84</v>
      </c>
      <c r="W265" s="149" t="n">
        <f aca="false">W264+'Volumes por intervalo'!L264</f>
        <v>20358.36</v>
      </c>
      <c r="X265" s="149" t="n">
        <f aca="false">X264+'Volumes por intervalo'!M264</f>
        <v>60392</v>
      </c>
      <c r="Y265" s="149" t="n">
        <f aca="false">Y264+'Volumes por intervalo'!N264</f>
        <v>60392</v>
      </c>
      <c r="Z265" s="149" t="n">
        <f aca="false">Z264+'Volumes por intervalo'!O264</f>
        <v>69439.2000000002</v>
      </c>
      <c r="AA265" s="149" t="n">
        <f aca="false">AA264+'Volumes por intervalo'!P264</f>
        <v>0</v>
      </c>
      <c r="AB265" s="149" t="n">
        <f aca="false">AB264+'Volumes por intervalo'!Q264</f>
        <v>0</v>
      </c>
      <c r="AC265" s="149" t="n">
        <f aca="false">AC264+'Volumes por intervalo'!R264</f>
        <v>0</v>
      </c>
      <c r="AD265" s="149" t="n">
        <f aca="false">AD264+'Volumes por intervalo'!S264</f>
        <v>0</v>
      </c>
    </row>
    <row r="266" customFormat="false" ht="15" hidden="false" customHeight="false" outlineLevel="0" collapsed="false">
      <c r="A266" s="138" t="s">
        <v>1919</v>
      </c>
      <c r="B266" s="146" t="n">
        <v>264</v>
      </c>
      <c r="C266" s="144" t="n">
        <v>5280</v>
      </c>
      <c r="D266" s="138" t="s">
        <v>1565</v>
      </c>
      <c r="E266" s="138" t="s">
        <v>1566</v>
      </c>
      <c r="F266" s="147" t="n">
        <v>11</v>
      </c>
      <c r="G266" s="148" t="n">
        <v>0</v>
      </c>
      <c r="H266" s="148" t="n">
        <v>0</v>
      </c>
      <c r="I266" s="138" t="s">
        <v>1642</v>
      </c>
      <c r="J266" s="138"/>
      <c r="K266" s="146" t="n">
        <f aca="false">Parâmetros!$C$4*(F266+2*Parâmetros!$D$4+Parâmetros!$C$4*Parâmetros!$E$4)</f>
        <v>0.5525</v>
      </c>
      <c r="L266" s="146" t="n">
        <f aca="false">Parâmetros!$C$5*(F266+2*Parâmetros!$D$5+Parâmetros!$C$5*Parâmetros!$E$5)</f>
        <v>1.8176</v>
      </c>
      <c r="M266" s="146" t="n">
        <f aca="false">Parâmetros!$C$6*(F266+2*Parâmetros!$D$6+Parâmetros!$C$6*Parâmetros!$E$6)</f>
        <v>2.384</v>
      </c>
      <c r="N266" s="146" t="n">
        <f aca="false">Parâmetros!$C$7*(F266+2*Parâmetros!$D$7+Parâmetros!$C$7*Parâmetros!$E$7)</f>
        <v>3.786</v>
      </c>
      <c r="O266" s="146" t="n">
        <f aca="false">F266+2*Parâmetros!$D$8</f>
        <v>11.2</v>
      </c>
      <c r="P266" s="146" t="n">
        <f aca="false">F266+2*Parâmetros!$D$10</f>
        <v>12.92</v>
      </c>
      <c r="Q266" s="146" t="n">
        <f aca="false">G266+H266</f>
        <v>0</v>
      </c>
      <c r="S266" s="149" t="n">
        <f aca="false">S265+'Volumes por intervalo'!C265*(F265+F266)/2</f>
        <v>59560</v>
      </c>
      <c r="T266" s="149" t="n">
        <f aca="false">T265+'Volumes por intervalo'!H265</f>
        <v>2991.20000000001</v>
      </c>
      <c r="U266" s="149" t="n">
        <f aca="false">U265+'Volumes por intervalo'!J265</f>
        <v>9833.72800000001</v>
      </c>
      <c r="V266" s="149" t="n">
        <f aca="false">V265+'Volumes por intervalo'!K265</f>
        <v>12883.52</v>
      </c>
      <c r="W266" s="149" t="n">
        <f aca="false">W265+'Volumes por intervalo'!L265</f>
        <v>20434.08</v>
      </c>
      <c r="X266" s="149" t="n">
        <f aca="false">X265+'Volumes por intervalo'!M265</f>
        <v>60616</v>
      </c>
      <c r="Y266" s="149" t="n">
        <f aca="false">Y265+'Volumes por intervalo'!N265</f>
        <v>60616</v>
      </c>
      <c r="Z266" s="149" t="n">
        <f aca="false">Z265+'Volumes por intervalo'!O265</f>
        <v>69697.6000000002</v>
      </c>
      <c r="AA266" s="149" t="n">
        <f aca="false">AA265+'Volumes por intervalo'!P265</f>
        <v>0</v>
      </c>
      <c r="AB266" s="149" t="n">
        <f aca="false">AB265+'Volumes por intervalo'!Q265</f>
        <v>0</v>
      </c>
      <c r="AC266" s="149" t="n">
        <f aca="false">AC265+'Volumes por intervalo'!R265</f>
        <v>0</v>
      </c>
      <c r="AD266" s="149" t="n">
        <f aca="false">AD265+'Volumes por intervalo'!S265</f>
        <v>0</v>
      </c>
    </row>
    <row r="267" customFormat="false" ht="15" hidden="false" customHeight="false" outlineLevel="0" collapsed="false">
      <c r="A267" s="138" t="s">
        <v>1920</v>
      </c>
      <c r="B267" s="146" t="n">
        <v>265</v>
      </c>
      <c r="C267" s="144" t="n">
        <v>5300</v>
      </c>
      <c r="D267" s="138" t="s">
        <v>1565</v>
      </c>
      <c r="E267" s="138" t="s">
        <v>1566</v>
      </c>
      <c r="F267" s="147" t="n">
        <v>11</v>
      </c>
      <c r="G267" s="148" t="n">
        <v>0</v>
      </c>
      <c r="H267" s="148" t="n">
        <v>0</v>
      </c>
      <c r="I267" s="138" t="s">
        <v>1642</v>
      </c>
      <c r="J267" s="138"/>
      <c r="K267" s="146" t="n">
        <f aca="false">Parâmetros!$C$4*(F267+2*Parâmetros!$D$4+Parâmetros!$C$4*Parâmetros!$E$4)</f>
        <v>0.5525</v>
      </c>
      <c r="L267" s="146" t="n">
        <f aca="false">Parâmetros!$C$5*(F267+2*Parâmetros!$D$5+Parâmetros!$C$5*Parâmetros!$E$5)</f>
        <v>1.8176</v>
      </c>
      <c r="M267" s="146" t="n">
        <f aca="false">Parâmetros!$C$6*(F267+2*Parâmetros!$D$6+Parâmetros!$C$6*Parâmetros!$E$6)</f>
        <v>2.384</v>
      </c>
      <c r="N267" s="146" t="n">
        <f aca="false">Parâmetros!$C$7*(F267+2*Parâmetros!$D$7+Parâmetros!$C$7*Parâmetros!$E$7)</f>
        <v>3.786</v>
      </c>
      <c r="O267" s="146" t="n">
        <f aca="false">F267+2*Parâmetros!$D$8</f>
        <v>11.2</v>
      </c>
      <c r="P267" s="146" t="n">
        <f aca="false">F267+2*Parâmetros!$D$10</f>
        <v>12.92</v>
      </c>
      <c r="Q267" s="146" t="n">
        <f aca="false">G267+H267</f>
        <v>0</v>
      </c>
      <c r="S267" s="149" t="n">
        <f aca="false">S266+'Volumes por intervalo'!C266*(F266+F267)/2</f>
        <v>59780</v>
      </c>
      <c r="T267" s="149" t="n">
        <f aca="false">T266+'Volumes por intervalo'!H266</f>
        <v>3002.25000000001</v>
      </c>
      <c r="U267" s="149" t="n">
        <f aca="false">U266+'Volumes por intervalo'!J266</f>
        <v>9870.08000000001</v>
      </c>
      <c r="V267" s="149" t="n">
        <f aca="false">V266+'Volumes por intervalo'!K266</f>
        <v>12931.2</v>
      </c>
      <c r="W267" s="149" t="n">
        <f aca="false">W266+'Volumes por intervalo'!L266</f>
        <v>20509.8</v>
      </c>
      <c r="X267" s="149" t="n">
        <f aca="false">X266+'Volumes por intervalo'!M266</f>
        <v>60840</v>
      </c>
      <c r="Y267" s="149" t="n">
        <f aca="false">Y266+'Volumes por intervalo'!N266</f>
        <v>60840</v>
      </c>
      <c r="Z267" s="149" t="n">
        <f aca="false">Z266+'Volumes por intervalo'!O266</f>
        <v>69956.0000000002</v>
      </c>
      <c r="AA267" s="149" t="n">
        <f aca="false">AA266+'Volumes por intervalo'!P266</f>
        <v>0</v>
      </c>
      <c r="AB267" s="149" t="n">
        <f aca="false">AB266+'Volumes por intervalo'!Q266</f>
        <v>0</v>
      </c>
      <c r="AC267" s="149" t="n">
        <f aca="false">AC266+'Volumes por intervalo'!R266</f>
        <v>0</v>
      </c>
      <c r="AD267" s="149" t="n">
        <f aca="false">AD266+'Volumes por intervalo'!S266</f>
        <v>0</v>
      </c>
    </row>
    <row r="268" customFormat="false" ht="15" hidden="false" customHeight="false" outlineLevel="0" collapsed="false">
      <c r="A268" s="138" t="s">
        <v>1921</v>
      </c>
      <c r="B268" s="146" t="n">
        <v>266</v>
      </c>
      <c r="C268" s="144" t="n">
        <v>5320</v>
      </c>
      <c r="D268" s="138" t="s">
        <v>1565</v>
      </c>
      <c r="E268" s="138" t="s">
        <v>1566</v>
      </c>
      <c r="F268" s="147" t="n">
        <v>11</v>
      </c>
      <c r="G268" s="148" t="n">
        <v>0</v>
      </c>
      <c r="H268" s="148" t="n">
        <v>0</v>
      </c>
      <c r="I268" s="138" t="s">
        <v>1642</v>
      </c>
      <c r="J268" s="138"/>
      <c r="K268" s="146" t="n">
        <f aca="false">Parâmetros!$C$4*(F268+2*Parâmetros!$D$4+Parâmetros!$C$4*Parâmetros!$E$4)</f>
        <v>0.5525</v>
      </c>
      <c r="L268" s="146" t="n">
        <f aca="false">Parâmetros!$C$5*(F268+2*Parâmetros!$D$5+Parâmetros!$C$5*Parâmetros!$E$5)</f>
        <v>1.8176</v>
      </c>
      <c r="M268" s="146" t="n">
        <f aca="false">Parâmetros!$C$6*(F268+2*Parâmetros!$D$6+Parâmetros!$C$6*Parâmetros!$E$6)</f>
        <v>2.384</v>
      </c>
      <c r="N268" s="146" t="n">
        <f aca="false">Parâmetros!$C$7*(F268+2*Parâmetros!$D$7+Parâmetros!$C$7*Parâmetros!$E$7)</f>
        <v>3.786</v>
      </c>
      <c r="O268" s="146" t="n">
        <f aca="false">F268+2*Parâmetros!$D$8</f>
        <v>11.2</v>
      </c>
      <c r="P268" s="146" t="n">
        <f aca="false">F268+2*Parâmetros!$D$10</f>
        <v>12.92</v>
      </c>
      <c r="Q268" s="146" t="n">
        <f aca="false">G268+H268</f>
        <v>0</v>
      </c>
      <c r="S268" s="149" t="n">
        <f aca="false">S267+'Volumes por intervalo'!C267*(F267+F268)/2</f>
        <v>60000</v>
      </c>
      <c r="T268" s="149" t="n">
        <f aca="false">T267+'Volumes por intervalo'!H267</f>
        <v>3013.30000000001</v>
      </c>
      <c r="U268" s="149" t="n">
        <f aca="false">U267+'Volumes por intervalo'!J267</f>
        <v>9906.43200000001</v>
      </c>
      <c r="V268" s="149" t="n">
        <f aca="false">V267+'Volumes por intervalo'!K267</f>
        <v>12978.88</v>
      </c>
      <c r="W268" s="149" t="n">
        <f aca="false">W267+'Volumes por intervalo'!L267</f>
        <v>20585.52</v>
      </c>
      <c r="X268" s="149" t="n">
        <f aca="false">X267+'Volumes por intervalo'!M267</f>
        <v>61064</v>
      </c>
      <c r="Y268" s="149" t="n">
        <f aca="false">Y267+'Volumes por intervalo'!N267</f>
        <v>61064</v>
      </c>
      <c r="Z268" s="149" t="n">
        <f aca="false">Z267+'Volumes por intervalo'!O267</f>
        <v>70214.4000000002</v>
      </c>
      <c r="AA268" s="149" t="n">
        <f aca="false">AA267+'Volumes por intervalo'!P267</f>
        <v>0</v>
      </c>
      <c r="AB268" s="149" t="n">
        <f aca="false">AB267+'Volumes por intervalo'!Q267</f>
        <v>0</v>
      </c>
      <c r="AC268" s="149" t="n">
        <f aca="false">AC267+'Volumes por intervalo'!R267</f>
        <v>0</v>
      </c>
      <c r="AD268" s="149" t="n">
        <f aca="false">AD267+'Volumes por intervalo'!S267</f>
        <v>0</v>
      </c>
    </row>
    <row r="269" customFormat="false" ht="15" hidden="false" customHeight="false" outlineLevel="0" collapsed="false">
      <c r="A269" s="138" t="s">
        <v>1922</v>
      </c>
      <c r="B269" s="146" t="n">
        <v>267</v>
      </c>
      <c r="C269" s="144" t="n">
        <v>5340</v>
      </c>
      <c r="D269" s="138" t="s">
        <v>1565</v>
      </c>
      <c r="E269" s="138" t="s">
        <v>1566</v>
      </c>
      <c r="F269" s="147" t="n">
        <v>11</v>
      </c>
      <c r="G269" s="148" t="n">
        <v>0</v>
      </c>
      <c r="H269" s="148" t="n">
        <v>0</v>
      </c>
      <c r="I269" s="138" t="s">
        <v>1642</v>
      </c>
      <c r="J269" s="138"/>
      <c r="K269" s="146" t="n">
        <f aca="false">Parâmetros!$C$4*(F269+2*Parâmetros!$D$4+Parâmetros!$C$4*Parâmetros!$E$4)</f>
        <v>0.5525</v>
      </c>
      <c r="L269" s="146" t="n">
        <f aca="false">Parâmetros!$C$5*(F269+2*Parâmetros!$D$5+Parâmetros!$C$5*Parâmetros!$E$5)</f>
        <v>1.8176</v>
      </c>
      <c r="M269" s="146" t="n">
        <f aca="false">Parâmetros!$C$6*(F269+2*Parâmetros!$D$6+Parâmetros!$C$6*Parâmetros!$E$6)</f>
        <v>2.384</v>
      </c>
      <c r="N269" s="146" t="n">
        <f aca="false">Parâmetros!$C$7*(F269+2*Parâmetros!$D$7+Parâmetros!$C$7*Parâmetros!$E$7)</f>
        <v>3.786</v>
      </c>
      <c r="O269" s="146" t="n">
        <f aca="false">F269+2*Parâmetros!$D$8</f>
        <v>11.2</v>
      </c>
      <c r="P269" s="146" t="n">
        <f aca="false">F269+2*Parâmetros!$D$10</f>
        <v>12.92</v>
      </c>
      <c r="Q269" s="146" t="n">
        <f aca="false">G269+H269</f>
        <v>0</v>
      </c>
      <c r="S269" s="149" t="n">
        <f aca="false">S268+'Volumes por intervalo'!C268*(F268+F269)/2</f>
        <v>60220</v>
      </c>
      <c r="T269" s="149" t="n">
        <f aca="false">T268+'Volumes por intervalo'!H268</f>
        <v>3024.35000000001</v>
      </c>
      <c r="U269" s="149" t="n">
        <f aca="false">U268+'Volumes por intervalo'!J268</f>
        <v>9942.78400000001</v>
      </c>
      <c r="V269" s="149" t="n">
        <f aca="false">V268+'Volumes por intervalo'!K268</f>
        <v>13026.56</v>
      </c>
      <c r="W269" s="149" t="n">
        <f aca="false">W268+'Volumes por intervalo'!L268</f>
        <v>20661.24</v>
      </c>
      <c r="X269" s="149" t="n">
        <f aca="false">X268+'Volumes por intervalo'!M268</f>
        <v>61288</v>
      </c>
      <c r="Y269" s="149" t="n">
        <f aca="false">Y268+'Volumes por intervalo'!N268</f>
        <v>61288</v>
      </c>
      <c r="Z269" s="149" t="n">
        <f aca="false">Z268+'Volumes por intervalo'!O268</f>
        <v>70472.8000000002</v>
      </c>
      <c r="AA269" s="149" t="n">
        <f aca="false">AA268+'Volumes por intervalo'!P268</f>
        <v>0</v>
      </c>
      <c r="AB269" s="149" t="n">
        <f aca="false">AB268+'Volumes por intervalo'!Q268</f>
        <v>0</v>
      </c>
      <c r="AC269" s="149" t="n">
        <f aca="false">AC268+'Volumes por intervalo'!R268</f>
        <v>0</v>
      </c>
      <c r="AD269" s="149" t="n">
        <f aca="false">AD268+'Volumes por intervalo'!S268</f>
        <v>0</v>
      </c>
    </row>
    <row r="270" customFormat="false" ht="15" hidden="false" customHeight="false" outlineLevel="0" collapsed="false">
      <c r="A270" s="138" t="s">
        <v>1923</v>
      </c>
      <c r="B270" s="146" t="n">
        <v>268</v>
      </c>
      <c r="C270" s="144" t="n">
        <v>5360</v>
      </c>
      <c r="D270" s="138" t="s">
        <v>1565</v>
      </c>
      <c r="E270" s="138" t="s">
        <v>1566</v>
      </c>
      <c r="F270" s="147" t="n">
        <v>11</v>
      </c>
      <c r="G270" s="148" t="n">
        <v>0</v>
      </c>
      <c r="H270" s="148" t="n">
        <v>0</v>
      </c>
      <c r="I270" s="138" t="s">
        <v>1642</v>
      </c>
      <c r="J270" s="138"/>
      <c r="K270" s="146" t="n">
        <f aca="false">Parâmetros!$C$4*(F270+2*Parâmetros!$D$4+Parâmetros!$C$4*Parâmetros!$E$4)</f>
        <v>0.5525</v>
      </c>
      <c r="L270" s="146" t="n">
        <f aca="false">Parâmetros!$C$5*(F270+2*Parâmetros!$D$5+Parâmetros!$C$5*Parâmetros!$E$5)</f>
        <v>1.8176</v>
      </c>
      <c r="M270" s="146" t="n">
        <f aca="false">Parâmetros!$C$6*(F270+2*Parâmetros!$D$6+Parâmetros!$C$6*Parâmetros!$E$6)</f>
        <v>2.384</v>
      </c>
      <c r="N270" s="146" t="n">
        <f aca="false">Parâmetros!$C$7*(F270+2*Parâmetros!$D$7+Parâmetros!$C$7*Parâmetros!$E$7)</f>
        <v>3.786</v>
      </c>
      <c r="O270" s="146" t="n">
        <f aca="false">F270+2*Parâmetros!$D$8</f>
        <v>11.2</v>
      </c>
      <c r="P270" s="146" t="n">
        <f aca="false">F270+2*Parâmetros!$D$10</f>
        <v>12.92</v>
      </c>
      <c r="Q270" s="146" t="n">
        <f aca="false">G270+H270</f>
        <v>0</v>
      </c>
      <c r="S270" s="149" t="n">
        <f aca="false">S269+'Volumes por intervalo'!C269*(F269+F270)/2</f>
        <v>60440</v>
      </c>
      <c r="T270" s="149" t="n">
        <f aca="false">T269+'Volumes por intervalo'!H269</f>
        <v>3035.40000000001</v>
      </c>
      <c r="U270" s="149" t="n">
        <f aca="false">U269+'Volumes por intervalo'!J269</f>
        <v>9979.13600000001</v>
      </c>
      <c r="V270" s="149" t="n">
        <f aca="false">V269+'Volumes por intervalo'!K269</f>
        <v>13074.24</v>
      </c>
      <c r="W270" s="149" t="n">
        <f aca="false">W269+'Volumes por intervalo'!L269</f>
        <v>20736.96</v>
      </c>
      <c r="X270" s="149" t="n">
        <f aca="false">X269+'Volumes por intervalo'!M269</f>
        <v>61512</v>
      </c>
      <c r="Y270" s="149" t="n">
        <f aca="false">Y269+'Volumes por intervalo'!N269</f>
        <v>61512</v>
      </c>
      <c r="Z270" s="149" t="n">
        <f aca="false">Z269+'Volumes por intervalo'!O269</f>
        <v>70731.2000000001</v>
      </c>
      <c r="AA270" s="149" t="n">
        <f aca="false">AA269+'Volumes por intervalo'!P269</f>
        <v>0</v>
      </c>
      <c r="AB270" s="149" t="n">
        <f aca="false">AB269+'Volumes por intervalo'!Q269</f>
        <v>0</v>
      </c>
      <c r="AC270" s="149" t="n">
        <f aca="false">AC269+'Volumes por intervalo'!R269</f>
        <v>0</v>
      </c>
      <c r="AD270" s="149" t="n">
        <f aca="false">AD269+'Volumes por intervalo'!S269</f>
        <v>0</v>
      </c>
    </row>
    <row r="271" customFormat="false" ht="15" hidden="false" customHeight="false" outlineLevel="0" collapsed="false">
      <c r="A271" s="138" t="s">
        <v>1924</v>
      </c>
      <c r="B271" s="146" t="n">
        <v>269</v>
      </c>
      <c r="C271" s="144" t="n">
        <v>5380</v>
      </c>
      <c r="D271" s="138" t="s">
        <v>1565</v>
      </c>
      <c r="E271" s="138" t="s">
        <v>1566</v>
      </c>
      <c r="F271" s="147" t="n">
        <v>11</v>
      </c>
      <c r="G271" s="148" t="n">
        <v>0</v>
      </c>
      <c r="H271" s="148" t="n">
        <v>0</v>
      </c>
      <c r="I271" s="138" t="s">
        <v>1642</v>
      </c>
      <c r="J271" s="138"/>
      <c r="K271" s="146" t="n">
        <f aca="false">Parâmetros!$C$4*(F271+2*Parâmetros!$D$4+Parâmetros!$C$4*Parâmetros!$E$4)</f>
        <v>0.5525</v>
      </c>
      <c r="L271" s="146" t="n">
        <f aca="false">Parâmetros!$C$5*(F271+2*Parâmetros!$D$5+Parâmetros!$C$5*Parâmetros!$E$5)</f>
        <v>1.8176</v>
      </c>
      <c r="M271" s="146" t="n">
        <f aca="false">Parâmetros!$C$6*(F271+2*Parâmetros!$D$6+Parâmetros!$C$6*Parâmetros!$E$6)</f>
        <v>2.384</v>
      </c>
      <c r="N271" s="146" t="n">
        <f aca="false">Parâmetros!$C$7*(F271+2*Parâmetros!$D$7+Parâmetros!$C$7*Parâmetros!$E$7)</f>
        <v>3.786</v>
      </c>
      <c r="O271" s="146" t="n">
        <f aca="false">F271+2*Parâmetros!$D$8</f>
        <v>11.2</v>
      </c>
      <c r="P271" s="146" t="n">
        <f aca="false">F271+2*Parâmetros!$D$10</f>
        <v>12.92</v>
      </c>
      <c r="Q271" s="146" t="n">
        <f aca="false">G271+H271</f>
        <v>0</v>
      </c>
      <c r="S271" s="149" t="n">
        <f aca="false">S270+'Volumes por intervalo'!C270*(F270+F271)/2</f>
        <v>60660</v>
      </c>
      <c r="T271" s="149" t="n">
        <f aca="false">T270+'Volumes por intervalo'!H270</f>
        <v>3046.45000000001</v>
      </c>
      <c r="U271" s="149" t="n">
        <f aca="false">U270+'Volumes por intervalo'!J270</f>
        <v>10015.488</v>
      </c>
      <c r="V271" s="149" t="n">
        <f aca="false">V270+'Volumes por intervalo'!K270</f>
        <v>13121.92</v>
      </c>
      <c r="W271" s="149" t="n">
        <f aca="false">W270+'Volumes por intervalo'!L270</f>
        <v>20812.68</v>
      </c>
      <c r="X271" s="149" t="n">
        <f aca="false">X270+'Volumes por intervalo'!M270</f>
        <v>61736</v>
      </c>
      <c r="Y271" s="149" t="n">
        <f aca="false">Y270+'Volumes por intervalo'!N270</f>
        <v>61736</v>
      </c>
      <c r="Z271" s="149" t="n">
        <f aca="false">Z270+'Volumes por intervalo'!O270</f>
        <v>70989.6000000001</v>
      </c>
      <c r="AA271" s="149" t="n">
        <f aca="false">AA270+'Volumes por intervalo'!P270</f>
        <v>0</v>
      </c>
      <c r="AB271" s="149" t="n">
        <f aca="false">AB270+'Volumes por intervalo'!Q270</f>
        <v>0</v>
      </c>
      <c r="AC271" s="149" t="n">
        <f aca="false">AC270+'Volumes por intervalo'!R270</f>
        <v>0</v>
      </c>
      <c r="AD271" s="149" t="n">
        <f aca="false">AD270+'Volumes por intervalo'!S270</f>
        <v>0</v>
      </c>
    </row>
    <row r="272" customFormat="false" ht="15" hidden="false" customHeight="false" outlineLevel="0" collapsed="false">
      <c r="A272" s="138" t="s">
        <v>1925</v>
      </c>
      <c r="B272" s="146" t="n">
        <v>270</v>
      </c>
      <c r="C272" s="144" t="n">
        <v>5400</v>
      </c>
      <c r="D272" s="138" t="s">
        <v>1565</v>
      </c>
      <c r="E272" s="138" t="s">
        <v>1566</v>
      </c>
      <c r="F272" s="147" t="n">
        <v>11</v>
      </c>
      <c r="G272" s="148" t="n">
        <v>0</v>
      </c>
      <c r="H272" s="148" t="n">
        <v>0</v>
      </c>
      <c r="I272" s="138" t="s">
        <v>1642</v>
      </c>
      <c r="J272" s="138"/>
      <c r="K272" s="146" t="n">
        <f aca="false">Parâmetros!$C$4*(F272+2*Parâmetros!$D$4+Parâmetros!$C$4*Parâmetros!$E$4)</f>
        <v>0.5525</v>
      </c>
      <c r="L272" s="146" t="n">
        <f aca="false">Parâmetros!$C$5*(F272+2*Parâmetros!$D$5+Parâmetros!$C$5*Parâmetros!$E$5)</f>
        <v>1.8176</v>
      </c>
      <c r="M272" s="146" t="n">
        <f aca="false">Parâmetros!$C$6*(F272+2*Parâmetros!$D$6+Parâmetros!$C$6*Parâmetros!$E$6)</f>
        <v>2.384</v>
      </c>
      <c r="N272" s="146" t="n">
        <f aca="false">Parâmetros!$C$7*(F272+2*Parâmetros!$D$7+Parâmetros!$C$7*Parâmetros!$E$7)</f>
        <v>3.786</v>
      </c>
      <c r="O272" s="146" t="n">
        <f aca="false">F272+2*Parâmetros!$D$8</f>
        <v>11.2</v>
      </c>
      <c r="P272" s="146" t="n">
        <f aca="false">F272+2*Parâmetros!$D$10</f>
        <v>12.92</v>
      </c>
      <c r="Q272" s="146" t="n">
        <f aca="false">G272+H272</f>
        <v>0</v>
      </c>
      <c r="S272" s="149" t="n">
        <f aca="false">S271+'Volumes por intervalo'!C271*(F271+F272)/2</f>
        <v>60880</v>
      </c>
      <c r="T272" s="149" t="n">
        <f aca="false">T271+'Volumes por intervalo'!H271</f>
        <v>3057.50000000001</v>
      </c>
      <c r="U272" s="149" t="n">
        <f aca="false">U271+'Volumes por intervalo'!J271</f>
        <v>10051.84</v>
      </c>
      <c r="V272" s="149" t="n">
        <f aca="false">V271+'Volumes por intervalo'!K271</f>
        <v>13169.6</v>
      </c>
      <c r="W272" s="149" t="n">
        <f aca="false">W271+'Volumes por intervalo'!L271</f>
        <v>20888.4</v>
      </c>
      <c r="X272" s="149" t="n">
        <f aca="false">X271+'Volumes por intervalo'!M271</f>
        <v>61960</v>
      </c>
      <c r="Y272" s="149" t="n">
        <f aca="false">Y271+'Volumes por intervalo'!N271</f>
        <v>61960</v>
      </c>
      <c r="Z272" s="149" t="n">
        <f aca="false">Z271+'Volumes por intervalo'!O271</f>
        <v>71248.0000000001</v>
      </c>
      <c r="AA272" s="149" t="n">
        <f aca="false">AA271+'Volumes por intervalo'!P271</f>
        <v>0</v>
      </c>
      <c r="AB272" s="149" t="n">
        <f aca="false">AB271+'Volumes por intervalo'!Q271</f>
        <v>0</v>
      </c>
      <c r="AC272" s="149" t="n">
        <f aca="false">AC271+'Volumes por intervalo'!R271</f>
        <v>0</v>
      </c>
      <c r="AD272" s="149" t="n">
        <f aca="false">AD271+'Volumes por intervalo'!S271</f>
        <v>0</v>
      </c>
    </row>
    <row r="273" customFormat="false" ht="15" hidden="false" customHeight="false" outlineLevel="0" collapsed="false">
      <c r="A273" s="138" t="s">
        <v>1926</v>
      </c>
      <c r="B273" s="146" t="n">
        <v>271</v>
      </c>
      <c r="C273" s="144" t="n">
        <v>5420</v>
      </c>
      <c r="D273" s="138" t="s">
        <v>1565</v>
      </c>
      <c r="E273" s="138" t="s">
        <v>1566</v>
      </c>
      <c r="F273" s="147" t="n">
        <v>11</v>
      </c>
      <c r="G273" s="148" t="n">
        <v>0</v>
      </c>
      <c r="H273" s="148" t="n">
        <v>0</v>
      </c>
      <c r="I273" s="138" t="s">
        <v>1642</v>
      </c>
      <c r="J273" s="138"/>
      <c r="K273" s="146" t="n">
        <f aca="false">Parâmetros!$C$4*(F273+2*Parâmetros!$D$4+Parâmetros!$C$4*Parâmetros!$E$4)</f>
        <v>0.5525</v>
      </c>
      <c r="L273" s="146" t="n">
        <f aca="false">Parâmetros!$C$5*(F273+2*Parâmetros!$D$5+Parâmetros!$C$5*Parâmetros!$E$5)</f>
        <v>1.8176</v>
      </c>
      <c r="M273" s="146" t="n">
        <f aca="false">Parâmetros!$C$6*(F273+2*Parâmetros!$D$6+Parâmetros!$C$6*Parâmetros!$E$6)</f>
        <v>2.384</v>
      </c>
      <c r="N273" s="146" t="n">
        <f aca="false">Parâmetros!$C$7*(F273+2*Parâmetros!$D$7+Parâmetros!$C$7*Parâmetros!$E$7)</f>
        <v>3.786</v>
      </c>
      <c r="O273" s="146" t="n">
        <f aca="false">F273+2*Parâmetros!$D$8</f>
        <v>11.2</v>
      </c>
      <c r="P273" s="146" t="n">
        <f aca="false">F273+2*Parâmetros!$D$10</f>
        <v>12.92</v>
      </c>
      <c r="Q273" s="146" t="n">
        <f aca="false">G273+H273</f>
        <v>0</v>
      </c>
      <c r="S273" s="149" t="n">
        <f aca="false">S272+'Volumes por intervalo'!C272*(F272+F273)/2</f>
        <v>61100</v>
      </c>
      <c r="T273" s="149" t="n">
        <f aca="false">T272+'Volumes por intervalo'!H272</f>
        <v>3068.55000000001</v>
      </c>
      <c r="U273" s="149" t="n">
        <f aca="false">U272+'Volumes por intervalo'!J272</f>
        <v>10088.192</v>
      </c>
      <c r="V273" s="149" t="n">
        <f aca="false">V272+'Volumes por intervalo'!K272</f>
        <v>13217.28</v>
      </c>
      <c r="W273" s="149" t="n">
        <f aca="false">W272+'Volumes por intervalo'!L272</f>
        <v>20964.12</v>
      </c>
      <c r="X273" s="149" t="n">
        <f aca="false">X272+'Volumes por intervalo'!M272</f>
        <v>62184</v>
      </c>
      <c r="Y273" s="149" t="n">
        <f aca="false">Y272+'Volumes por intervalo'!N272</f>
        <v>62184</v>
      </c>
      <c r="Z273" s="149" t="n">
        <f aca="false">Z272+'Volumes por intervalo'!O272</f>
        <v>71506.4000000001</v>
      </c>
      <c r="AA273" s="149" t="n">
        <f aca="false">AA272+'Volumes por intervalo'!P272</f>
        <v>0</v>
      </c>
      <c r="AB273" s="149" t="n">
        <f aca="false">AB272+'Volumes por intervalo'!Q272</f>
        <v>0</v>
      </c>
      <c r="AC273" s="149" t="n">
        <f aca="false">AC272+'Volumes por intervalo'!R272</f>
        <v>0</v>
      </c>
      <c r="AD273" s="149" t="n">
        <f aca="false">AD272+'Volumes por intervalo'!S272</f>
        <v>0</v>
      </c>
    </row>
    <row r="274" customFormat="false" ht="15" hidden="false" customHeight="false" outlineLevel="0" collapsed="false">
      <c r="A274" s="138" t="s">
        <v>1927</v>
      </c>
      <c r="B274" s="146" t="n">
        <v>272</v>
      </c>
      <c r="C274" s="144" t="n">
        <v>5440</v>
      </c>
      <c r="D274" s="138" t="s">
        <v>1565</v>
      </c>
      <c r="E274" s="138" t="s">
        <v>1566</v>
      </c>
      <c r="F274" s="147" t="n">
        <v>11</v>
      </c>
      <c r="G274" s="148" t="n">
        <v>0</v>
      </c>
      <c r="H274" s="148" t="n">
        <v>0</v>
      </c>
      <c r="I274" s="138" t="s">
        <v>1642</v>
      </c>
      <c r="J274" s="138"/>
      <c r="K274" s="146" t="n">
        <f aca="false">Parâmetros!$C$4*(F274+2*Parâmetros!$D$4+Parâmetros!$C$4*Parâmetros!$E$4)</f>
        <v>0.5525</v>
      </c>
      <c r="L274" s="146" t="n">
        <f aca="false">Parâmetros!$C$5*(F274+2*Parâmetros!$D$5+Parâmetros!$C$5*Parâmetros!$E$5)</f>
        <v>1.8176</v>
      </c>
      <c r="M274" s="146" t="n">
        <f aca="false">Parâmetros!$C$6*(F274+2*Parâmetros!$D$6+Parâmetros!$C$6*Parâmetros!$E$6)</f>
        <v>2.384</v>
      </c>
      <c r="N274" s="146" t="n">
        <f aca="false">Parâmetros!$C$7*(F274+2*Parâmetros!$D$7+Parâmetros!$C$7*Parâmetros!$E$7)</f>
        <v>3.786</v>
      </c>
      <c r="O274" s="146" t="n">
        <f aca="false">F274+2*Parâmetros!$D$8</f>
        <v>11.2</v>
      </c>
      <c r="P274" s="146" t="n">
        <f aca="false">F274+2*Parâmetros!$D$10</f>
        <v>12.92</v>
      </c>
      <c r="Q274" s="146" t="n">
        <f aca="false">G274+H274</f>
        <v>0</v>
      </c>
      <c r="S274" s="149" t="n">
        <f aca="false">S273+'Volumes por intervalo'!C273*(F273+F274)/2</f>
        <v>61320</v>
      </c>
      <c r="T274" s="149" t="n">
        <f aca="false">T273+'Volumes por intervalo'!H273</f>
        <v>3079.60000000001</v>
      </c>
      <c r="U274" s="149" t="n">
        <f aca="false">U273+'Volumes por intervalo'!J273</f>
        <v>10124.544</v>
      </c>
      <c r="V274" s="149" t="n">
        <f aca="false">V273+'Volumes por intervalo'!K273</f>
        <v>13264.96</v>
      </c>
      <c r="W274" s="149" t="n">
        <f aca="false">W273+'Volumes por intervalo'!L273</f>
        <v>21039.84</v>
      </c>
      <c r="X274" s="149" t="n">
        <f aca="false">X273+'Volumes por intervalo'!M273</f>
        <v>62408</v>
      </c>
      <c r="Y274" s="149" t="n">
        <f aca="false">Y273+'Volumes por intervalo'!N273</f>
        <v>62408</v>
      </c>
      <c r="Z274" s="149" t="n">
        <f aca="false">Z273+'Volumes por intervalo'!O273</f>
        <v>71764.8000000001</v>
      </c>
      <c r="AA274" s="149" t="n">
        <f aca="false">AA273+'Volumes por intervalo'!P273</f>
        <v>0</v>
      </c>
      <c r="AB274" s="149" t="n">
        <f aca="false">AB273+'Volumes por intervalo'!Q273</f>
        <v>0</v>
      </c>
      <c r="AC274" s="149" t="n">
        <f aca="false">AC273+'Volumes por intervalo'!R273</f>
        <v>0</v>
      </c>
      <c r="AD274" s="149" t="n">
        <f aca="false">AD273+'Volumes por intervalo'!S273</f>
        <v>0</v>
      </c>
    </row>
    <row r="275" customFormat="false" ht="15" hidden="false" customHeight="false" outlineLevel="0" collapsed="false">
      <c r="A275" s="138" t="s">
        <v>1928</v>
      </c>
      <c r="B275" s="146" t="n">
        <v>273</v>
      </c>
      <c r="C275" s="144" t="n">
        <v>5460</v>
      </c>
      <c r="D275" s="138" t="s">
        <v>1565</v>
      </c>
      <c r="E275" s="138" t="s">
        <v>1566</v>
      </c>
      <c r="F275" s="147" t="n">
        <v>11</v>
      </c>
      <c r="G275" s="148" t="n">
        <v>0</v>
      </c>
      <c r="H275" s="148" t="n">
        <v>0</v>
      </c>
      <c r="I275" s="138" t="s">
        <v>1642</v>
      </c>
      <c r="J275" s="138"/>
      <c r="K275" s="146" t="n">
        <f aca="false">Parâmetros!$C$4*(F275+2*Parâmetros!$D$4+Parâmetros!$C$4*Parâmetros!$E$4)</f>
        <v>0.5525</v>
      </c>
      <c r="L275" s="146" t="n">
        <f aca="false">Parâmetros!$C$5*(F275+2*Parâmetros!$D$5+Parâmetros!$C$5*Parâmetros!$E$5)</f>
        <v>1.8176</v>
      </c>
      <c r="M275" s="146" t="n">
        <f aca="false">Parâmetros!$C$6*(F275+2*Parâmetros!$D$6+Parâmetros!$C$6*Parâmetros!$E$6)</f>
        <v>2.384</v>
      </c>
      <c r="N275" s="146" t="n">
        <f aca="false">Parâmetros!$C$7*(F275+2*Parâmetros!$D$7+Parâmetros!$C$7*Parâmetros!$E$7)</f>
        <v>3.786</v>
      </c>
      <c r="O275" s="146" t="n">
        <f aca="false">F275+2*Parâmetros!$D$8</f>
        <v>11.2</v>
      </c>
      <c r="P275" s="146" t="n">
        <f aca="false">F275+2*Parâmetros!$D$10</f>
        <v>12.92</v>
      </c>
      <c r="Q275" s="146" t="n">
        <f aca="false">G275+H275</f>
        <v>0</v>
      </c>
      <c r="S275" s="149" t="n">
        <f aca="false">S274+'Volumes por intervalo'!C274*(F274+F275)/2</f>
        <v>61540</v>
      </c>
      <c r="T275" s="149" t="n">
        <f aca="false">T274+'Volumes por intervalo'!H274</f>
        <v>3090.65000000001</v>
      </c>
      <c r="U275" s="149" t="n">
        <f aca="false">U274+'Volumes por intervalo'!J274</f>
        <v>10160.896</v>
      </c>
      <c r="V275" s="149" t="n">
        <f aca="false">V274+'Volumes por intervalo'!K274</f>
        <v>13312.64</v>
      </c>
      <c r="W275" s="149" t="n">
        <f aca="false">W274+'Volumes por intervalo'!L274</f>
        <v>21115.56</v>
      </c>
      <c r="X275" s="149" t="n">
        <f aca="false">X274+'Volumes por intervalo'!M274</f>
        <v>62632</v>
      </c>
      <c r="Y275" s="149" t="n">
        <f aca="false">Y274+'Volumes por intervalo'!N274</f>
        <v>62632</v>
      </c>
      <c r="Z275" s="149" t="n">
        <f aca="false">Z274+'Volumes por intervalo'!O274</f>
        <v>72023.2000000001</v>
      </c>
      <c r="AA275" s="149" t="n">
        <f aca="false">AA274+'Volumes por intervalo'!P274</f>
        <v>0</v>
      </c>
      <c r="AB275" s="149" t="n">
        <f aca="false">AB274+'Volumes por intervalo'!Q274</f>
        <v>0</v>
      </c>
      <c r="AC275" s="149" t="n">
        <f aca="false">AC274+'Volumes por intervalo'!R274</f>
        <v>0</v>
      </c>
      <c r="AD275" s="149" t="n">
        <f aca="false">AD274+'Volumes por intervalo'!S274</f>
        <v>0</v>
      </c>
    </row>
    <row r="276" customFormat="false" ht="15" hidden="false" customHeight="false" outlineLevel="0" collapsed="false">
      <c r="A276" s="138" t="s">
        <v>1929</v>
      </c>
      <c r="B276" s="146" t="n">
        <v>274</v>
      </c>
      <c r="C276" s="144" t="n">
        <v>5480</v>
      </c>
      <c r="D276" s="138" t="s">
        <v>1565</v>
      </c>
      <c r="E276" s="138" t="s">
        <v>1566</v>
      </c>
      <c r="F276" s="147" t="n">
        <v>11</v>
      </c>
      <c r="G276" s="148" t="n">
        <v>0</v>
      </c>
      <c r="H276" s="148" t="n">
        <v>0</v>
      </c>
      <c r="I276" s="138" t="s">
        <v>1642</v>
      </c>
      <c r="J276" s="138"/>
      <c r="K276" s="146" t="n">
        <f aca="false">Parâmetros!$C$4*(F276+2*Parâmetros!$D$4+Parâmetros!$C$4*Parâmetros!$E$4)</f>
        <v>0.5525</v>
      </c>
      <c r="L276" s="146" t="n">
        <f aca="false">Parâmetros!$C$5*(F276+2*Parâmetros!$D$5+Parâmetros!$C$5*Parâmetros!$E$5)</f>
        <v>1.8176</v>
      </c>
      <c r="M276" s="146" t="n">
        <f aca="false">Parâmetros!$C$6*(F276+2*Parâmetros!$D$6+Parâmetros!$C$6*Parâmetros!$E$6)</f>
        <v>2.384</v>
      </c>
      <c r="N276" s="146" t="n">
        <f aca="false">Parâmetros!$C$7*(F276+2*Parâmetros!$D$7+Parâmetros!$C$7*Parâmetros!$E$7)</f>
        <v>3.786</v>
      </c>
      <c r="O276" s="146" t="n">
        <f aca="false">F276+2*Parâmetros!$D$8</f>
        <v>11.2</v>
      </c>
      <c r="P276" s="146" t="n">
        <f aca="false">F276+2*Parâmetros!$D$10</f>
        <v>12.92</v>
      </c>
      <c r="Q276" s="146" t="n">
        <f aca="false">G276+H276</f>
        <v>0</v>
      </c>
      <c r="S276" s="149" t="n">
        <f aca="false">S275+'Volumes por intervalo'!C275*(F275+F276)/2</f>
        <v>61760</v>
      </c>
      <c r="T276" s="149" t="n">
        <f aca="false">T275+'Volumes por intervalo'!H275</f>
        <v>3101.70000000001</v>
      </c>
      <c r="U276" s="149" t="n">
        <f aca="false">U275+'Volumes por intervalo'!J275</f>
        <v>10197.248</v>
      </c>
      <c r="V276" s="149" t="n">
        <f aca="false">V275+'Volumes por intervalo'!K275</f>
        <v>13360.32</v>
      </c>
      <c r="W276" s="149" t="n">
        <f aca="false">W275+'Volumes por intervalo'!L275</f>
        <v>21191.28</v>
      </c>
      <c r="X276" s="149" t="n">
        <f aca="false">X275+'Volumes por intervalo'!M275</f>
        <v>62856</v>
      </c>
      <c r="Y276" s="149" t="n">
        <f aca="false">Y275+'Volumes por intervalo'!N275</f>
        <v>62856</v>
      </c>
      <c r="Z276" s="149" t="n">
        <f aca="false">Z275+'Volumes por intervalo'!O275</f>
        <v>72281.6000000001</v>
      </c>
      <c r="AA276" s="149" t="n">
        <f aca="false">AA275+'Volumes por intervalo'!P275</f>
        <v>0</v>
      </c>
      <c r="AB276" s="149" t="n">
        <f aca="false">AB275+'Volumes por intervalo'!Q275</f>
        <v>0</v>
      </c>
      <c r="AC276" s="149" t="n">
        <f aca="false">AC275+'Volumes por intervalo'!R275</f>
        <v>0</v>
      </c>
      <c r="AD276" s="149" t="n">
        <f aca="false">AD275+'Volumes por intervalo'!S275</f>
        <v>0</v>
      </c>
    </row>
    <row r="277" customFormat="false" ht="15" hidden="false" customHeight="false" outlineLevel="0" collapsed="false">
      <c r="A277" s="138" t="s">
        <v>1930</v>
      </c>
      <c r="B277" s="146" t="n">
        <v>275</v>
      </c>
      <c r="C277" s="144" t="n">
        <v>5500</v>
      </c>
      <c r="D277" s="138" t="s">
        <v>1565</v>
      </c>
      <c r="E277" s="138" t="s">
        <v>1566</v>
      </c>
      <c r="F277" s="147" t="n">
        <v>11</v>
      </c>
      <c r="G277" s="148" t="n">
        <v>0</v>
      </c>
      <c r="H277" s="148" t="n">
        <v>0</v>
      </c>
      <c r="I277" s="138" t="s">
        <v>1642</v>
      </c>
      <c r="J277" s="138"/>
      <c r="K277" s="146" t="n">
        <f aca="false">Parâmetros!$C$4*(F277+2*Parâmetros!$D$4+Parâmetros!$C$4*Parâmetros!$E$4)</f>
        <v>0.5525</v>
      </c>
      <c r="L277" s="146" t="n">
        <f aca="false">Parâmetros!$C$5*(F277+2*Parâmetros!$D$5+Parâmetros!$C$5*Parâmetros!$E$5)</f>
        <v>1.8176</v>
      </c>
      <c r="M277" s="146" t="n">
        <f aca="false">Parâmetros!$C$6*(F277+2*Parâmetros!$D$6+Parâmetros!$C$6*Parâmetros!$E$6)</f>
        <v>2.384</v>
      </c>
      <c r="N277" s="146" t="n">
        <f aca="false">Parâmetros!$C$7*(F277+2*Parâmetros!$D$7+Parâmetros!$C$7*Parâmetros!$E$7)</f>
        <v>3.786</v>
      </c>
      <c r="O277" s="146" t="n">
        <f aca="false">F277+2*Parâmetros!$D$8</f>
        <v>11.2</v>
      </c>
      <c r="P277" s="146" t="n">
        <f aca="false">F277+2*Parâmetros!$D$10</f>
        <v>12.92</v>
      </c>
      <c r="Q277" s="146" t="n">
        <f aca="false">G277+H277</f>
        <v>0</v>
      </c>
      <c r="S277" s="149" t="n">
        <f aca="false">S276+'Volumes por intervalo'!C276*(F276+F277)/2</f>
        <v>61980</v>
      </c>
      <c r="T277" s="149" t="n">
        <f aca="false">T276+'Volumes por intervalo'!H276</f>
        <v>3112.75000000001</v>
      </c>
      <c r="U277" s="149" t="n">
        <f aca="false">U276+'Volumes por intervalo'!J276</f>
        <v>10233.6</v>
      </c>
      <c r="V277" s="149" t="n">
        <f aca="false">V276+'Volumes por intervalo'!K276</f>
        <v>13408</v>
      </c>
      <c r="W277" s="149" t="n">
        <f aca="false">W276+'Volumes por intervalo'!L276</f>
        <v>21267</v>
      </c>
      <c r="X277" s="149" t="n">
        <f aca="false">X276+'Volumes por intervalo'!M276</f>
        <v>63080</v>
      </c>
      <c r="Y277" s="149" t="n">
        <f aca="false">Y276+'Volumes por intervalo'!N276</f>
        <v>63080</v>
      </c>
      <c r="Z277" s="149" t="n">
        <f aca="false">Z276+'Volumes por intervalo'!O276</f>
        <v>72540.0000000001</v>
      </c>
      <c r="AA277" s="149" t="n">
        <f aca="false">AA276+'Volumes por intervalo'!P276</f>
        <v>0</v>
      </c>
      <c r="AB277" s="149" t="n">
        <f aca="false">AB276+'Volumes por intervalo'!Q276</f>
        <v>0</v>
      </c>
      <c r="AC277" s="149" t="n">
        <f aca="false">AC276+'Volumes por intervalo'!R276</f>
        <v>0</v>
      </c>
      <c r="AD277" s="149" t="n">
        <f aca="false">AD276+'Volumes por intervalo'!S276</f>
        <v>0</v>
      </c>
    </row>
    <row r="278" customFormat="false" ht="15" hidden="false" customHeight="false" outlineLevel="0" collapsed="false">
      <c r="A278" s="138" t="s">
        <v>1931</v>
      </c>
      <c r="B278" s="146" t="n">
        <v>276</v>
      </c>
      <c r="C278" s="144" t="n">
        <v>5520</v>
      </c>
      <c r="D278" s="138" t="s">
        <v>1565</v>
      </c>
      <c r="E278" s="138" t="s">
        <v>1566</v>
      </c>
      <c r="F278" s="147" t="n">
        <v>11</v>
      </c>
      <c r="G278" s="148" t="n">
        <v>0</v>
      </c>
      <c r="H278" s="148" t="n">
        <v>0</v>
      </c>
      <c r="I278" s="138" t="s">
        <v>1642</v>
      </c>
      <c r="J278" s="138"/>
      <c r="K278" s="146" t="n">
        <f aca="false">Parâmetros!$C$4*(F278+2*Parâmetros!$D$4+Parâmetros!$C$4*Parâmetros!$E$4)</f>
        <v>0.5525</v>
      </c>
      <c r="L278" s="146" t="n">
        <f aca="false">Parâmetros!$C$5*(F278+2*Parâmetros!$D$5+Parâmetros!$C$5*Parâmetros!$E$5)</f>
        <v>1.8176</v>
      </c>
      <c r="M278" s="146" t="n">
        <f aca="false">Parâmetros!$C$6*(F278+2*Parâmetros!$D$6+Parâmetros!$C$6*Parâmetros!$E$6)</f>
        <v>2.384</v>
      </c>
      <c r="N278" s="146" t="n">
        <f aca="false">Parâmetros!$C$7*(F278+2*Parâmetros!$D$7+Parâmetros!$C$7*Parâmetros!$E$7)</f>
        <v>3.786</v>
      </c>
      <c r="O278" s="146" t="n">
        <f aca="false">F278+2*Parâmetros!$D$8</f>
        <v>11.2</v>
      </c>
      <c r="P278" s="146" t="n">
        <f aca="false">F278+2*Parâmetros!$D$10</f>
        <v>12.92</v>
      </c>
      <c r="Q278" s="146" t="n">
        <f aca="false">G278+H278</f>
        <v>0</v>
      </c>
      <c r="S278" s="149" t="n">
        <f aca="false">S277+'Volumes por intervalo'!C277*(F277+F278)/2</f>
        <v>62200</v>
      </c>
      <c r="T278" s="149" t="n">
        <f aca="false">T277+'Volumes por intervalo'!H277</f>
        <v>3123.80000000001</v>
      </c>
      <c r="U278" s="149" t="n">
        <f aca="false">U277+'Volumes por intervalo'!J277</f>
        <v>10269.952</v>
      </c>
      <c r="V278" s="149" t="n">
        <f aca="false">V277+'Volumes por intervalo'!K277</f>
        <v>13455.68</v>
      </c>
      <c r="W278" s="149" t="n">
        <f aca="false">W277+'Volumes por intervalo'!L277</f>
        <v>21342.72</v>
      </c>
      <c r="X278" s="149" t="n">
        <f aca="false">X277+'Volumes por intervalo'!M277</f>
        <v>63304</v>
      </c>
      <c r="Y278" s="149" t="n">
        <f aca="false">Y277+'Volumes por intervalo'!N277</f>
        <v>63304</v>
      </c>
      <c r="Z278" s="149" t="n">
        <f aca="false">Z277+'Volumes por intervalo'!O277</f>
        <v>72798.4000000001</v>
      </c>
      <c r="AA278" s="149" t="n">
        <f aca="false">AA277+'Volumes por intervalo'!P277</f>
        <v>0</v>
      </c>
      <c r="AB278" s="149" t="n">
        <f aca="false">AB277+'Volumes por intervalo'!Q277</f>
        <v>0</v>
      </c>
      <c r="AC278" s="149" t="n">
        <f aca="false">AC277+'Volumes por intervalo'!R277</f>
        <v>0</v>
      </c>
      <c r="AD278" s="149" t="n">
        <f aca="false">AD277+'Volumes por intervalo'!S277</f>
        <v>0</v>
      </c>
    </row>
    <row r="279" customFormat="false" ht="15" hidden="false" customHeight="false" outlineLevel="0" collapsed="false">
      <c r="A279" s="138" t="s">
        <v>1932</v>
      </c>
      <c r="B279" s="146" t="n">
        <v>277</v>
      </c>
      <c r="C279" s="144" t="n">
        <v>5540</v>
      </c>
      <c r="D279" s="138" t="s">
        <v>1565</v>
      </c>
      <c r="E279" s="138" t="s">
        <v>1566</v>
      </c>
      <c r="F279" s="147" t="n">
        <v>11</v>
      </c>
      <c r="G279" s="148" t="n">
        <v>0</v>
      </c>
      <c r="H279" s="148" t="n">
        <v>0</v>
      </c>
      <c r="I279" s="138" t="s">
        <v>1642</v>
      </c>
      <c r="J279" s="138"/>
      <c r="K279" s="146" t="n">
        <f aca="false">Parâmetros!$C$4*(F279+2*Parâmetros!$D$4+Parâmetros!$C$4*Parâmetros!$E$4)</f>
        <v>0.5525</v>
      </c>
      <c r="L279" s="146" t="n">
        <f aca="false">Parâmetros!$C$5*(F279+2*Parâmetros!$D$5+Parâmetros!$C$5*Parâmetros!$E$5)</f>
        <v>1.8176</v>
      </c>
      <c r="M279" s="146" t="n">
        <f aca="false">Parâmetros!$C$6*(F279+2*Parâmetros!$D$6+Parâmetros!$C$6*Parâmetros!$E$6)</f>
        <v>2.384</v>
      </c>
      <c r="N279" s="146" t="n">
        <f aca="false">Parâmetros!$C$7*(F279+2*Parâmetros!$D$7+Parâmetros!$C$7*Parâmetros!$E$7)</f>
        <v>3.786</v>
      </c>
      <c r="O279" s="146" t="n">
        <f aca="false">F279+2*Parâmetros!$D$8</f>
        <v>11.2</v>
      </c>
      <c r="P279" s="146" t="n">
        <f aca="false">F279+2*Parâmetros!$D$10</f>
        <v>12.92</v>
      </c>
      <c r="Q279" s="146" t="n">
        <f aca="false">G279+H279</f>
        <v>0</v>
      </c>
      <c r="S279" s="149" t="n">
        <f aca="false">S278+'Volumes por intervalo'!C278*(F278+F279)/2</f>
        <v>62420</v>
      </c>
      <c r="T279" s="149" t="n">
        <f aca="false">T278+'Volumes por intervalo'!H278</f>
        <v>3134.85000000001</v>
      </c>
      <c r="U279" s="149" t="n">
        <f aca="false">U278+'Volumes por intervalo'!J278</f>
        <v>10306.304</v>
      </c>
      <c r="V279" s="149" t="n">
        <f aca="false">V278+'Volumes por intervalo'!K278</f>
        <v>13503.36</v>
      </c>
      <c r="W279" s="149" t="n">
        <f aca="false">W278+'Volumes por intervalo'!L278</f>
        <v>21418.44</v>
      </c>
      <c r="X279" s="149" t="n">
        <f aca="false">X278+'Volumes por intervalo'!M278</f>
        <v>63528</v>
      </c>
      <c r="Y279" s="149" t="n">
        <f aca="false">Y278+'Volumes por intervalo'!N278</f>
        <v>63528</v>
      </c>
      <c r="Z279" s="149" t="n">
        <f aca="false">Z278+'Volumes por intervalo'!O278</f>
        <v>73056.8000000001</v>
      </c>
      <c r="AA279" s="149" t="n">
        <f aca="false">AA278+'Volumes por intervalo'!P278</f>
        <v>0</v>
      </c>
      <c r="AB279" s="149" t="n">
        <f aca="false">AB278+'Volumes por intervalo'!Q278</f>
        <v>0</v>
      </c>
      <c r="AC279" s="149" t="n">
        <f aca="false">AC278+'Volumes por intervalo'!R278</f>
        <v>0</v>
      </c>
      <c r="AD279" s="149" t="n">
        <f aca="false">AD278+'Volumes por intervalo'!S278</f>
        <v>0</v>
      </c>
    </row>
    <row r="280" customFormat="false" ht="15" hidden="false" customHeight="false" outlineLevel="0" collapsed="false">
      <c r="A280" s="138" t="s">
        <v>1933</v>
      </c>
      <c r="B280" s="146" t="n">
        <v>278</v>
      </c>
      <c r="C280" s="144" t="n">
        <v>5560</v>
      </c>
      <c r="D280" s="138" t="s">
        <v>1565</v>
      </c>
      <c r="E280" s="138" t="s">
        <v>1566</v>
      </c>
      <c r="F280" s="147" t="n">
        <v>11</v>
      </c>
      <c r="G280" s="148" t="n">
        <v>0</v>
      </c>
      <c r="H280" s="148" t="n">
        <v>0</v>
      </c>
      <c r="I280" s="138" t="s">
        <v>1642</v>
      </c>
      <c r="J280" s="138"/>
      <c r="K280" s="146" t="n">
        <f aca="false">Parâmetros!$C$4*(F280+2*Parâmetros!$D$4+Parâmetros!$C$4*Parâmetros!$E$4)</f>
        <v>0.5525</v>
      </c>
      <c r="L280" s="146" t="n">
        <f aca="false">Parâmetros!$C$5*(F280+2*Parâmetros!$D$5+Parâmetros!$C$5*Parâmetros!$E$5)</f>
        <v>1.8176</v>
      </c>
      <c r="M280" s="146" t="n">
        <f aca="false">Parâmetros!$C$6*(F280+2*Parâmetros!$D$6+Parâmetros!$C$6*Parâmetros!$E$6)</f>
        <v>2.384</v>
      </c>
      <c r="N280" s="146" t="n">
        <f aca="false">Parâmetros!$C$7*(F280+2*Parâmetros!$D$7+Parâmetros!$C$7*Parâmetros!$E$7)</f>
        <v>3.786</v>
      </c>
      <c r="O280" s="146" t="n">
        <f aca="false">F280+2*Parâmetros!$D$8</f>
        <v>11.2</v>
      </c>
      <c r="P280" s="146" t="n">
        <f aca="false">F280+2*Parâmetros!$D$10</f>
        <v>12.92</v>
      </c>
      <c r="Q280" s="146" t="n">
        <f aca="false">G280+H280</f>
        <v>0</v>
      </c>
      <c r="S280" s="149" t="n">
        <f aca="false">S279+'Volumes por intervalo'!C279*(F279+F280)/2</f>
        <v>62640</v>
      </c>
      <c r="T280" s="149" t="n">
        <f aca="false">T279+'Volumes por intervalo'!H279</f>
        <v>3145.90000000001</v>
      </c>
      <c r="U280" s="149" t="n">
        <f aca="false">U279+'Volumes por intervalo'!J279</f>
        <v>10342.656</v>
      </c>
      <c r="V280" s="149" t="n">
        <f aca="false">V279+'Volumes por intervalo'!K279</f>
        <v>13551.04</v>
      </c>
      <c r="W280" s="149" t="n">
        <f aca="false">W279+'Volumes por intervalo'!L279</f>
        <v>21494.16</v>
      </c>
      <c r="X280" s="149" t="n">
        <f aca="false">X279+'Volumes por intervalo'!M279</f>
        <v>63752</v>
      </c>
      <c r="Y280" s="149" t="n">
        <f aca="false">Y279+'Volumes por intervalo'!N279</f>
        <v>63752</v>
      </c>
      <c r="Z280" s="149" t="n">
        <f aca="false">Z279+'Volumes por intervalo'!O279</f>
        <v>73315.2000000001</v>
      </c>
      <c r="AA280" s="149" t="n">
        <f aca="false">AA279+'Volumes por intervalo'!P279</f>
        <v>0</v>
      </c>
      <c r="AB280" s="149" t="n">
        <f aca="false">AB279+'Volumes por intervalo'!Q279</f>
        <v>0</v>
      </c>
      <c r="AC280" s="149" t="n">
        <f aca="false">AC279+'Volumes por intervalo'!R279</f>
        <v>0</v>
      </c>
      <c r="AD280" s="149" t="n">
        <f aca="false">AD279+'Volumes por intervalo'!S279</f>
        <v>0</v>
      </c>
    </row>
    <row r="281" customFormat="false" ht="15" hidden="false" customHeight="false" outlineLevel="0" collapsed="false">
      <c r="A281" s="138" t="s">
        <v>1934</v>
      </c>
      <c r="B281" s="146" t="n">
        <v>279</v>
      </c>
      <c r="C281" s="144" t="n">
        <v>5580</v>
      </c>
      <c r="D281" s="138" t="s">
        <v>1565</v>
      </c>
      <c r="E281" s="138" t="s">
        <v>1566</v>
      </c>
      <c r="F281" s="147" t="n">
        <v>11</v>
      </c>
      <c r="G281" s="148" t="n">
        <v>0</v>
      </c>
      <c r="H281" s="148" t="n">
        <v>0</v>
      </c>
      <c r="I281" s="138" t="s">
        <v>1642</v>
      </c>
      <c r="J281" s="138"/>
      <c r="K281" s="146" t="n">
        <f aca="false">Parâmetros!$C$4*(F281+2*Parâmetros!$D$4+Parâmetros!$C$4*Parâmetros!$E$4)</f>
        <v>0.5525</v>
      </c>
      <c r="L281" s="146" t="n">
        <f aca="false">Parâmetros!$C$5*(F281+2*Parâmetros!$D$5+Parâmetros!$C$5*Parâmetros!$E$5)</f>
        <v>1.8176</v>
      </c>
      <c r="M281" s="146" t="n">
        <f aca="false">Parâmetros!$C$6*(F281+2*Parâmetros!$D$6+Parâmetros!$C$6*Parâmetros!$E$6)</f>
        <v>2.384</v>
      </c>
      <c r="N281" s="146" t="n">
        <f aca="false">Parâmetros!$C$7*(F281+2*Parâmetros!$D$7+Parâmetros!$C$7*Parâmetros!$E$7)</f>
        <v>3.786</v>
      </c>
      <c r="O281" s="146" t="n">
        <f aca="false">F281+2*Parâmetros!$D$8</f>
        <v>11.2</v>
      </c>
      <c r="P281" s="146" t="n">
        <f aca="false">F281+2*Parâmetros!$D$10</f>
        <v>12.92</v>
      </c>
      <c r="Q281" s="146" t="n">
        <f aca="false">G281+H281</f>
        <v>0</v>
      </c>
      <c r="S281" s="149" t="n">
        <f aca="false">S280+'Volumes por intervalo'!C280*(F280+F281)/2</f>
        <v>62860</v>
      </c>
      <c r="T281" s="149" t="n">
        <f aca="false">T280+'Volumes por intervalo'!H280</f>
        <v>3156.95000000001</v>
      </c>
      <c r="U281" s="149" t="n">
        <f aca="false">U280+'Volumes por intervalo'!J280</f>
        <v>10379.008</v>
      </c>
      <c r="V281" s="149" t="n">
        <f aca="false">V280+'Volumes por intervalo'!K280</f>
        <v>13598.72</v>
      </c>
      <c r="W281" s="149" t="n">
        <f aca="false">W280+'Volumes por intervalo'!L280</f>
        <v>21569.88</v>
      </c>
      <c r="X281" s="149" t="n">
        <f aca="false">X280+'Volumes por intervalo'!M280</f>
        <v>63976</v>
      </c>
      <c r="Y281" s="149" t="n">
        <f aca="false">Y280+'Volumes por intervalo'!N280</f>
        <v>63976</v>
      </c>
      <c r="Z281" s="149" t="n">
        <f aca="false">Z280+'Volumes por intervalo'!O280</f>
        <v>73573.6000000001</v>
      </c>
      <c r="AA281" s="149" t="n">
        <f aca="false">AA280+'Volumes por intervalo'!P280</f>
        <v>0</v>
      </c>
      <c r="AB281" s="149" t="n">
        <f aca="false">AB280+'Volumes por intervalo'!Q280</f>
        <v>0</v>
      </c>
      <c r="AC281" s="149" t="n">
        <f aca="false">AC280+'Volumes por intervalo'!R280</f>
        <v>0</v>
      </c>
      <c r="AD281" s="149" t="n">
        <f aca="false">AD280+'Volumes por intervalo'!S280</f>
        <v>0</v>
      </c>
    </row>
    <row r="282" customFormat="false" ht="15" hidden="false" customHeight="false" outlineLevel="0" collapsed="false">
      <c r="A282" s="138" t="s">
        <v>1935</v>
      </c>
      <c r="B282" s="146" t="n">
        <v>280</v>
      </c>
      <c r="C282" s="144" t="n">
        <v>5600</v>
      </c>
      <c r="D282" s="138" t="s">
        <v>1565</v>
      </c>
      <c r="E282" s="138" t="s">
        <v>1566</v>
      </c>
      <c r="F282" s="147" t="n">
        <v>11</v>
      </c>
      <c r="G282" s="148" t="n">
        <v>0</v>
      </c>
      <c r="H282" s="148" t="n">
        <v>0</v>
      </c>
      <c r="I282" s="138" t="s">
        <v>1642</v>
      </c>
      <c r="J282" s="138"/>
      <c r="K282" s="146" t="n">
        <f aca="false">Parâmetros!$C$4*(F282+2*Parâmetros!$D$4+Parâmetros!$C$4*Parâmetros!$E$4)</f>
        <v>0.5525</v>
      </c>
      <c r="L282" s="146" t="n">
        <f aca="false">Parâmetros!$C$5*(F282+2*Parâmetros!$D$5+Parâmetros!$C$5*Parâmetros!$E$5)</f>
        <v>1.8176</v>
      </c>
      <c r="M282" s="146" t="n">
        <f aca="false">Parâmetros!$C$6*(F282+2*Parâmetros!$D$6+Parâmetros!$C$6*Parâmetros!$E$6)</f>
        <v>2.384</v>
      </c>
      <c r="N282" s="146" t="n">
        <f aca="false">Parâmetros!$C$7*(F282+2*Parâmetros!$D$7+Parâmetros!$C$7*Parâmetros!$E$7)</f>
        <v>3.786</v>
      </c>
      <c r="O282" s="146" t="n">
        <f aca="false">F282+2*Parâmetros!$D$8</f>
        <v>11.2</v>
      </c>
      <c r="P282" s="146" t="n">
        <f aca="false">F282+2*Parâmetros!$D$10</f>
        <v>12.92</v>
      </c>
      <c r="Q282" s="146" t="n">
        <f aca="false">G282+H282</f>
        <v>0</v>
      </c>
      <c r="S282" s="149" t="n">
        <f aca="false">S281+'Volumes por intervalo'!C281*(F281+F282)/2</f>
        <v>63080</v>
      </c>
      <c r="T282" s="149" t="n">
        <f aca="false">T281+'Volumes por intervalo'!H281</f>
        <v>3168.00000000001</v>
      </c>
      <c r="U282" s="149" t="n">
        <f aca="false">U281+'Volumes por intervalo'!J281</f>
        <v>10415.36</v>
      </c>
      <c r="V282" s="149" t="n">
        <f aca="false">V281+'Volumes por intervalo'!K281</f>
        <v>13646.4</v>
      </c>
      <c r="W282" s="149" t="n">
        <f aca="false">W281+'Volumes por intervalo'!L281</f>
        <v>21645.6</v>
      </c>
      <c r="X282" s="149" t="n">
        <f aca="false">X281+'Volumes por intervalo'!M281</f>
        <v>64200</v>
      </c>
      <c r="Y282" s="149" t="n">
        <f aca="false">Y281+'Volumes por intervalo'!N281</f>
        <v>64200</v>
      </c>
      <c r="Z282" s="149" t="n">
        <f aca="false">Z281+'Volumes por intervalo'!O281</f>
        <v>73832.0000000001</v>
      </c>
      <c r="AA282" s="149" t="n">
        <f aca="false">AA281+'Volumes por intervalo'!P281</f>
        <v>0</v>
      </c>
      <c r="AB282" s="149" t="n">
        <f aca="false">AB281+'Volumes por intervalo'!Q281</f>
        <v>0</v>
      </c>
      <c r="AC282" s="149" t="n">
        <f aca="false">AC281+'Volumes por intervalo'!R281</f>
        <v>0</v>
      </c>
      <c r="AD282" s="149" t="n">
        <f aca="false">AD281+'Volumes por intervalo'!S281</f>
        <v>0</v>
      </c>
    </row>
    <row r="283" customFormat="false" ht="15" hidden="false" customHeight="false" outlineLevel="0" collapsed="false">
      <c r="A283" s="138" t="s">
        <v>1936</v>
      </c>
      <c r="B283" s="146" t="n">
        <v>281</v>
      </c>
      <c r="C283" s="144" t="n">
        <v>5620</v>
      </c>
      <c r="D283" s="138" t="s">
        <v>1565</v>
      </c>
      <c r="E283" s="138" t="s">
        <v>1566</v>
      </c>
      <c r="F283" s="147" t="n">
        <v>11</v>
      </c>
      <c r="G283" s="148" t="n">
        <v>0</v>
      </c>
      <c r="H283" s="148" t="n">
        <v>0</v>
      </c>
      <c r="I283" s="138" t="s">
        <v>1642</v>
      </c>
      <c r="J283" s="138"/>
      <c r="K283" s="146" t="n">
        <f aca="false">Parâmetros!$C$4*(F283+2*Parâmetros!$D$4+Parâmetros!$C$4*Parâmetros!$E$4)</f>
        <v>0.5525</v>
      </c>
      <c r="L283" s="146" t="n">
        <f aca="false">Parâmetros!$C$5*(F283+2*Parâmetros!$D$5+Parâmetros!$C$5*Parâmetros!$E$5)</f>
        <v>1.8176</v>
      </c>
      <c r="M283" s="146" t="n">
        <f aca="false">Parâmetros!$C$6*(F283+2*Parâmetros!$D$6+Parâmetros!$C$6*Parâmetros!$E$6)</f>
        <v>2.384</v>
      </c>
      <c r="N283" s="146" t="n">
        <f aca="false">Parâmetros!$C$7*(F283+2*Parâmetros!$D$7+Parâmetros!$C$7*Parâmetros!$E$7)</f>
        <v>3.786</v>
      </c>
      <c r="O283" s="146" t="n">
        <f aca="false">F283+2*Parâmetros!$D$8</f>
        <v>11.2</v>
      </c>
      <c r="P283" s="146" t="n">
        <f aca="false">F283+2*Parâmetros!$D$10</f>
        <v>12.92</v>
      </c>
      <c r="Q283" s="146" t="n">
        <f aca="false">G283+H283</f>
        <v>0</v>
      </c>
      <c r="S283" s="149" t="n">
        <f aca="false">S282+'Volumes por intervalo'!C282*(F282+F283)/2</f>
        <v>63300</v>
      </c>
      <c r="T283" s="149" t="n">
        <f aca="false">T282+'Volumes por intervalo'!H282</f>
        <v>3179.05000000001</v>
      </c>
      <c r="U283" s="149" t="n">
        <f aca="false">U282+'Volumes por intervalo'!J282</f>
        <v>10451.712</v>
      </c>
      <c r="V283" s="149" t="n">
        <f aca="false">V282+'Volumes por intervalo'!K282</f>
        <v>13694.08</v>
      </c>
      <c r="W283" s="149" t="n">
        <f aca="false">W282+'Volumes por intervalo'!L282</f>
        <v>21721.32</v>
      </c>
      <c r="X283" s="149" t="n">
        <f aca="false">X282+'Volumes por intervalo'!M282</f>
        <v>64424</v>
      </c>
      <c r="Y283" s="149" t="n">
        <f aca="false">Y282+'Volumes por intervalo'!N282</f>
        <v>64424</v>
      </c>
      <c r="Z283" s="149" t="n">
        <f aca="false">Z282+'Volumes por intervalo'!O282</f>
        <v>74090.4000000001</v>
      </c>
      <c r="AA283" s="149" t="n">
        <f aca="false">AA282+'Volumes por intervalo'!P282</f>
        <v>0</v>
      </c>
      <c r="AB283" s="149" t="n">
        <f aca="false">AB282+'Volumes por intervalo'!Q282</f>
        <v>0</v>
      </c>
      <c r="AC283" s="149" t="n">
        <f aca="false">AC282+'Volumes por intervalo'!R282</f>
        <v>0</v>
      </c>
      <c r="AD283" s="149" t="n">
        <f aca="false">AD282+'Volumes por intervalo'!S282</f>
        <v>0</v>
      </c>
    </row>
    <row r="284" customFormat="false" ht="15" hidden="false" customHeight="false" outlineLevel="0" collapsed="false">
      <c r="A284" s="138" t="s">
        <v>1937</v>
      </c>
      <c r="B284" s="146" t="n">
        <v>282</v>
      </c>
      <c r="C284" s="144" t="n">
        <v>5640</v>
      </c>
      <c r="D284" s="138" t="s">
        <v>1565</v>
      </c>
      <c r="E284" s="138" t="s">
        <v>1566</v>
      </c>
      <c r="F284" s="147" t="n">
        <v>11</v>
      </c>
      <c r="G284" s="148" t="n">
        <v>0</v>
      </c>
      <c r="H284" s="148" t="n">
        <v>0</v>
      </c>
      <c r="I284" s="138" t="s">
        <v>1642</v>
      </c>
      <c r="J284" s="138"/>
      <c r="K284" s="146" t="n">
        <f aca="false">Parâmetros!$C$4*(F284+2*Parâmetros!$D$4+Parâmetros!$C$4*Parâmetros!$E$4)</f>
        <v>0.5525</v>
      </c>
      <c r="L284" s="146" t="n">
        <f aca="false">Parâmetros!$C$5*(F284+2*Parâmetros!$D$5+Parâmetros!$C$5*Parâmetros!$E$5)</f>
        <v>1.8176</v>
      </c>
      <c r="M284" s="146" t="n">
        <f aca="false">Parâmetros!$C$6*(F284+2*Parâmetros!$D$6+Parâmetros!$C$6*Parâmetros!$E$6)</f>
        <v>2.384</v>
      </c>
      <c r="N284" s="146" t="n">
        <f aca="false">Parâmetros!$C$7*(F284+2*Parâmetros!$D$7+Parâmetros!$C$7*Parâmetros!$E$7)</f>
        <v>3.786</v>
      </c>
      <c r="O284" s="146" t="n">
        <f aca="false">F284+2*Parâmetros!$D$8</f>
        <v>11.2</v>
      </c>
      <c r="P284" s="146" t="n">
        <f aca="false">F284+2*Parâmetros!$D$10</f>
        <v>12.92</v>
      </c>
      <c r="Q284" s="146" t="n">
        <f aca="false">G284+H284</f>
        <v>0</v>
      </c>
      <c r="S284" s="149" t="n">
        <f aca="false">S283+'Volumes por intervalo'!C283*(F283+F284)/2</f>
        <v>63520</v>
      </c>
      <c r="T284" s="149" t="n">
        <f aca="false">T283+'Volumes por intervalo'!H283</f>
        <v>3190.10000000001</v>
      </c>
      <c r="U284" s="149" t="n">
        <f aca="false">U283+'Volumes por intervalo'!J283</f>
        <v>10488.064</v>
      </c>
      <c r="V284" s="149" t="n">
        <f aca="false">V283+'Volumes por intervalo'!K283</f>
        <v>13741.76</v>
      </c>
      <c r="W284" s="149" t="n">
        <f aca="false">W283+'Volumes por intervalo'!L283</f>
        <v>21797.04</v>
      </c>
      <c r="X284" s="149" t="n">
        <f aca="false">X283+'Volumes por intervalo'!M283</f>
        <v>64648</v>
      </c>
      <c r="Y284" s="149" t="n">
        <f aca="false">Y283+'Volumes por intervalo'!N283</f>
        <v>64648</v>
      </c>
      <c r="Z284" s="149" t="n">
        <f aca="false">Z283+'Volumes por intervalo'!O283</f>
        <v>74348.8000000001</v>
      </c>
      <c r="AA284" s="149" t="n">
        <f aca="false">AA283+'Volumes por intervalo'!P283</f>
        <v>0</v>
      </c>
      <c r="AB284" s="149" t="n">
        <f aca="false">AB283+'Volumes por intervalo'!Q283</f>
        <v>0</v>
      </c>
      <c r="AC284" s="149" t="n">
        <f aca="false">AC283+'Volumes por intervalo'!R283</f>
        <v>0</v>
      </c>
      <c r="AD284" s="149" t="n">
        <f aca="false">AD283+'Volumes por intervalo'!S283</f>
        <v>0</v>
      </c>
    </row>
    <row r="285" customFormat="false" ht="15" hidden="false" customHeight="false" outlineLevel="0" collapsed="false">
      <c r="A285" s="138" t="s">
        <v>1938</v>
      </c>
      <c r="B285" s="146" t="n">
        <v>283</v>
      </c>
      <c r="C285" s="144" t="n">
        <v>5660</v>
      </c>
      <c r="D285" s="138" t="s">
        <v>1565</v>
      </c>
      <c r="E285" s="138" t="s">
        <v>1566</v>
      </c>
      <c r="F285" s="147" t="n">
        <v>11</v>
      </c>
      <c r="G285" s="148" t="n">
        <v>0</v>
      </c>
      <c r="H285" s="148" t="n">
        <v>0</v>
      </c>
      <c r="I285" s="138" t="s">
        <v>1642</v>
      </c>
      <c r="J285" s="138"/>
      <c r="K285" s="146" t="n">
        <f aca="false">Parâmetros!$C$4*(F285+2*Parâmetros!$D$4+Parâmetros!$C$4*Parâmetros!$E$4)</f>
        <v>0.5525</v>
      </c>
      <c r="L285" s="146" t="n">
        <f aca="false">Parâmetros!$C$5*(F285+2*Parâmetros!$D$5+Parâmetros!$C$5*Parâmetros!$E$5)</f>
        <v>1.8176</v>
      </c>
      <c r="M285" s="146" t="n">
        <f aca="false">Parâmetros!$C$6*(F285+2*Parâmetros!$D$6+Parâmetros!$C$6*Parâmetros!$E$6)</f>
        <v>2.384</v>
      </c>
      <c r="N285" s="146" t="n">
        <f aca="false">Parâmetros!$C$7*(F285+2*Parâmetros!$D$7+Parâmetros!$C$7*Parâmetros!$E$7)</f>
        <v>3.786</v>
      </c>
      <c r="O285" s="146" t="n">
        <f aca="false">F285+2*Parâmetros!$D$8</f>
        <v>11.2</v>
      </c>
      <c r="P285" s="146" t="n">
        <f aca="false">F285+2*Parâmetros!$D$10</f>
        <v>12.92</v>
      </c>
      <c r="Q285" s="146" t="n">
        <f aca="false">G285+H285</f>
        <v>0</v>
      </c>
      <c r="S285" s="149" t="n">
        <f aca="false">S284+'Volumes por intervalo'!C284*(F284+F285)/2</f>
        <v>63740</v>
      </c>
      <c r="T285" s="149" t="n">
        <f aca="false">T284+'Volumes por intervalo'!H284</f>
        <v>3201.15000000001</v>
      </c>
      <c r="U285" s="149" t="n">
        <f aca="false">U284+'Volumes por intervalo'!J284</f>
        <v>10524.416</v>
      </c>
      <c r="V285" s="149" t="n">
        <f aca="false">V284+'Volumes por intervalo'!K284</f>
        <v>13789.44</v>
      </c>
      <c r="W285" s="149" t="n">
        <f aca="false">W284+'Volumes por intervalo'!L284</f>
        <v>21872.76</v>
      </c>
      <c r="X285" s="149" t="n">
        <f aca="false">X284+'Volumes por intervalo'!M284</f>
        <v>64872</v>
      </c>
      <c r="Y285" s="149" t="n">
        <f aca="false">Y284+'Volumes por intervalo'!N284</f>
        <v>64872</v>
      </c>
      <c r="Z285" s="149" t="n">
        <f aca="false">Z284+'Volumes por intervalo'!O284</f>
        <v>74607.2000000001</v>
      </c>
      <c r="AA285" s="149" t="n">
        <f aca="false">AA284+'Volumes por intervalo'!P284</f>
        <v>0</v>
      </c>
      <c r="AB285" s="149" t="n">
        <f aca="false">AB284+'Volumes por intervalo'!Q284</f>
        <v>0</v>
      </c>
      <c r="AC285" s="149" t="n">
        <f aca="false">AC284+'Volumes por intervalo'!R284</f>
        <v>0</v>
      </c>
      <c r="AD285" s="149" t="n">
        <f aca="false">AD284+'Volumes por intervalo'!S284</f>
        <v>0</v>
      </c>
    </row>
    <row r="286" customFormat="false" ht="15" hidden="false" customHeight="false" outlineLevel="0" collapsed="false">
      <c r="A286" s="138" t="s">
        <v>1939</v>
      </c>
      <c r="B286" s="146" t="n">
        <v>284</v>
      </c>
      <c r="C286" s="144" t="n">
        <v>5680</v>
      </c>
      <c r="D286" s="138" t="s">
        <v>1565</v>
      </c>
      <c r="E286" s="138" t="s">
        <v>1566</v>
      </c>
      <c r="F286" s="147" t="n">
        <v>11</v>
      </c>
      <c r="G286" s="148" t="n">
        <v>0</v>
      </c>
      <c r="H286" s="148" t="n">
        <v>0</v>
      </c>
      <c r="I286" s="138" t="s">
        <v>1642</v>
      </c>
      <c r="J286" s="138"/>
      <c r="K286" s="146" t="n">
        <f aca="false">Parâmetros!$C$4*(F286+2*Parâmetros!$D$4+Parâmetros!$C$4*Parâmetros!$E$4)</f>
        <v>0.5525</v>
      </c>
      <c r="L286" s="146" t="n">
        <f aca="false">Parâmetros!$C$5*(F286+2*Parâmetros!$D$5+Parâmetros!$C$5*Parâmetros!$E$5)</f>
        <v>1.8176</v>
      </c>
      <c r="M286" s="146" t="n">
        <f aca="false">Parâmetros!$C$6*(F286+2*Parâmetros!$D$6+Parâmetros!$C$6*Parâmetros!$E$6)</f>
        <v>2.384</v>
      </c>
      <c r="N286" s="146" t="n">
        <f aca="false">Parâmetros!$C$7*(F286+2*Parâmetros!$D$7+Parâmetros!$C$7*Parâmetros!$E$7)</f>
        <v>3.786</v>
      </c>
      <c r="O286" s="146" t="n">
        <f aca="false">F286+2*Parâmetros!$D$8</f>
        <v>11.2</v>
      </c>
      <c r="P286" s="146" t="n">
        <f aca="false">F286+2*Parâmetros!$D$10</f>
        <v>12.92</v>
      </c>
      <c r="Q286" s="146" t="n">
        <f aca="false">G286+H286</f>
        <v>0</v>
      </c>
      <c r="S286" s="149" t="n">
        <f aca="false">S285+'Volumes por intervalo'!C285*(F285+F286)/2</f>
        <v>63960</v>
      </c>
      <c r="T286" s="149" t="n">
        <f aca="false">T285+'Volumes por intervalo'!H285</f>
        <v>3212.20000000001</v>
      </c>
      <c r="U286" s="149" t="n">
        <f aca="false">U285+'Volumes por intervalo'!J285</f>
        <v>10560.768</v>
      </c>
      <c r="V286" s="149" t="n">
        <f aca="false">V285+'Volumes por intervalo'!K285</f>
        <v>13837.12</v>
      </c>
      <c r="W286" s="149" t="n">
        <f aca="false">W285+'Volumes por intervalo'!L285</f>
        <v>21948.48</v>
      </c>
      <c r="X286" s="149" t="n">
        <f aca="false">X285+'Volumes por intervalo'!M285</f>
        <v>65096</v>
      </c>
      <c r="Y286" s="149" t="n">
        <f aca="false">Y285+'Volumes por intervalo'!N285</f>
        <v>65096</v>
      </c>
      <c r="Z286" s="149" t="n">
        <f aca="false">Z285+'Volumes por intervalo'!O285</f>
        <v>74865.6000000001</v>
      </c>
      <c r="AA286" s="149" t="n">
        <f aca="false">AA285+'Volumes por intervalo'!P285</f>
        <v>0</v>
      </c>
      <c r="AB286" s="149" t="n">
        <f aca="false">AB285+'Volumes por intervalo'!Q285</f>
        <v>0</v>
      </c>
      <c r="AC286" s="149" t="n">
        <f aca="false">AC285+'Volumes por intervalo'!R285</f>
        <v>0</v>
      </c>
      <c r="AD286" s="149" t="n">
        <f aca="false">AD285+'Volumes por intervalo'!S285</f>
        <v>0</v>
      </c>
    </row>
    <row r="287" customFormat="false" ht="15" hidden="false" customHeight="false" outlineLevel="0" collapsed="false">
      <c r="A287" s="138" t="s">
        <v>1940</v>
      </c>
      <c r="B287" s="146" t="n">
        <v>285</v>
      </c>
      <c r="C287" s="144" t="n">
        <v>5700</v>
      </c>
      <c r="D287" s="138" t="s">
        <v>1565</v>
      </c>
      <c r="E287" s="138" t="s">
        <v>1566</v>
      </c>
      <c r="F287" s="147" t="n">
        <v>11</v>
      </c>
      <c r="G287" s="148" t="n">
        <v>0</v>
      </c>
      <c r="H287" s="148" t="n">
        <v>0</v>
      </c>
      <c r="I287" s="138" t="s">
        <v>1642</v>
      </c>
      <c r="J287" s="138"/>
      <c r="K287" s="146" t="n">
        <f aca="false">Parâmetros!$C$4*(F287+2*Parâmetros!$D$4+Parâmetros!$C$4*Parâmetros!$E$4)</f>
        <v>0.5525</v>
      </c>
      <c r="L287" s="146" t="n">
        <f aca="false">Parâmetros!$C$5*(F287+2*Parâmetros!$D$5+Parâmetros!$C$5*Parâmetros!$E$5)</f>
        <v>1.8176</v>
      </c>
      <c r="M287" s="146" t="n">
        <f aca="false">Parâmetros!$C$6*(F287+2*Parâmetros!$D$6+Parâmetros!$C$6*Parâmetros!$E$6)</f>
        <v>2.384</v>
      </c>
      <c r="N287" s="146" t="n">
        <f aca="false">Parâmetros!$C$7*(F287+2*Parâmetros!$D$7+Parâmetros!$C$7*Parâmetros!$E$7)</f>
        <v>3.786</v>
      </c>
      <c r="O287" s="146" t="n">
        <f aca="false">F287+2*Parâmetros!$D$8</f>
        <v>11.2</v>
      </c>
      <c r="P287" s="146" t="n">
        <f aca="false">F287+2*Parâmetros!$D$10</f>
        <v>12.92</v>
      </c>
      <c r="Q287" s="146" t="n">
        <f aca="false">G287+H287</f>
        <v>0</v>
      </c>
      <c r="S287" s="149" t="n">
        <f aca="false">S286+'Volumes por intervalo'!C286*(F286+F287)/2</f>
        <v>64180</v>
      </c>
      <c r="T287" s="149" t="n">
        <f aca="false">T286+'Volumes por intervalo'!H286</f>
        <v>3223.25000000001</v>
      </c>
      <c r="U287" s="149" t="n">
        <f aca="false">U286+'Volumes por intervalo'!J286</f>
        <v>10597.12</v>
      </c>
      <c r="V287" s="149" t="n">
        <f aca="false">V286+'Volumes por intervalo'!K286</f>
        <v>13884.8</v>
      </c>
      <c r="W287" s="149" t="n">
        <f aca="false">W286+'Volumes por intervalo'!L286</f>
        <v>22024.2</v>
      </c>
      <c r="X287" s="149" t="n">
        <f aca="false">X286+'Volumes por intervalo'!M286</f>
        <v>65320</v>
      </c>
      <c r="Y287" s="149" t="n">
        <f aca="false">Y286+'Volumes por intervalo'!N286</f>
        <v>65320</v>
      </c>
      <c r="Z287" s="149" t="n">
        <f aca="false">Z286+'Volumes por intervalo'!O286</f>
        <v>75124</v>
      </c>
      <c r="AA287" s="149" t="n">
        <f aca="false">AA286+'Volumes por intervalo'!P286</f>
        <v>0</v>
      </c>
      <c r="AB287" s="149" t="n">
        <f aca="false">AB286+'Volumes por intervalo'!Q286</f>
        <v>0</v>
      </c>
      <c r="AC287" s="149" t="n">
        <f aca="false">AC286+'Volumes por intervalo'!R286</f>
        <v>0</v>
      </c>
      <c r="AD287" s="149" t="n">
        <f aca="false">AD286+'Volumes por intervalo'!S286</f>
        <v>0</v>
      </c>
    </row>
    <row r="288" customFormat="false" ht="15" hidden="false" customHeight="false" outlineLevel="0" collapsed="false">
      <c r="A288" s="138" t="s">
        <v>1941</v>
      </c>
      <c r="B288" s="146" t="n">
        <v>286</v>
      </c>
      <c r="C288" s="144" t="n">
        <v>5720</v>
      </c>
      <c r="D288" s="138" t="s">
        <v>1565</v>
      </c>
      <c r="E288" s="138" t="s">
        <v>1566</v>
      </c>
      <c r="F288" s="147" t="n">
        <v>11</v>
      </c>
      <c r="G288" s="148" t="n">
        <v>0</v>
      </c>
      <c r="H288" s="148" t="n">
        <v>0</v>
      </c>
      <c r="I288" s="138" t="s">
        <v>1642</v>
      </c>
      <c r="J288" s="138"/>
      <c r="K288" s="146" t="n">
        <f aca="false">Parâmetros!$C$4*(F288+2*Parâmetros!$D$4+Parâmetros!$C$4*Parâmetros!$E$4)</f>
        <v>0.5525</v>
      </c>
      <c r="L288" s="146" t="n">
        <f aca="false">Parâmetros!$C$5*(F288+2*Parâmetros!$D$5+Parâmetros!$C$5*Parâmetros!$E$5)</f>
        <v>1.8176</v>
      </c>
      <c r="M288" s="146" t="n">
        <f aca="false">Parâmetros!$C$6*(F288+2*Parâmetros!$D$6+Parâmetros!$C$6*Parâmetros!$E$6)</f>
        <v>2.384</v>
      </c>
      <c r="N288" s="146" t="n">
        <f aca="false">Parâmetros!$C$7*(F288+2*Parâmetros!$D$7+Parâmetros!$C$7*Parâmetros!$E$7)</f>
        <v>3.786</v>
      </c>
      <c r="O288" s="146" t="n">
        <f aca="false">F288+2*Parâmetros!$D$8</f>
        <v>11.2</v>
      </c>
      <c r="P288" s="146" t="n">
        <f aca="false">F288+2*Parâmetros!$D$10</f>
        <v>12.92</v>
      </c>
      <c r="Q288" s="146" t="n">
        <f aca="false">G288+H288</f>
        <v>0</v>
      </c>
      <c r="S288" s="149" t="n">
        <f aca="false">S287+'Volumes por intervalo'!C287*(F287+F288)/2</f>
        <v>64400</v>
      </c>
      <c r="T288" s="149" t="n">
        <f aca="false">T287+'Volumes por intervalo'!H287</f>
        <v>3234.30000000001</v>
      </c>
      <c r="U288" s="149" t="n">
        <f aca="false">U287+'Volumes por intervalo'!J287</f>
        <v>10633.472</v>
      </c>
      <c r="V288" s="149" t="n">
        <f aca="false">V287+'Volumes por intervalo'!K287</f>
        <v>13932.48</v>
      </c>
      <c r="W288" s="149" t="n">
        <f aca="false">W287+'Volumes por intervalo'!L287</f>
        <v>22099.92</v>
      </c>
      <c r="X288" s="149" t="n">
        <f aca="false">X287+'Volumes por intervalo'!M287</f>
        <v>65544</v>
      </c>
      <c r="Y288" s="149" t="n">
        <f aca="false">Y287+'Volumes por intervalo'!N287</f>
        <v>65544</v>
      </c>
      <c r="Z288" s="149" t="n">
        <f aca="false">Z287+'Volumes por intervalo'!O287</f>
        <v>75382.4</v>
      </c>
      <c r="AA288" s="149" t="n">
        <f aca="false">AA287+'Volumes por intervalo'!P287</f>
        <v>0</v>
      </c>
      <c r="AB288" s="149" t="n">
        <f aca="false">AB287+'Volumes por intervalo'!Q287</f>
        <v>0</v>
      </c>
      <c r="AC288" s="149" t="n">
        <f aca="false">AC287+'Volumes por intervalo'!R287</f>
        <v>0</v>
      </c>
      <c r="AD288" s="149" t="n">
        <f aca="false">AD287+'Volumes por intervalo'!S287</f>
        <v>0</v>
      </c>
    </row>
    <row r="289" customFormat="false" ht="15" hidden="false" customHeight="false" outlineLevel="0" collapsed="false">
      <c r="A289" s="138" t="s">
        <v>1942</v>
      </c>
      <c r="B289" s="146" t="n">
        <v>287</v>
      </c>
      <c r="C289" s="144" t="n">
        <v>5740</v>
      </c>
      <c r="D289" s="138" t="s">
        <v>1565</v>
      </c>
      <c r="E289" s="138" t="s">
        <v>1566</v>
      </c>
      <c r="F289" s="147" t="n">
        <v>11</v>
      </c>
      <c r="G289" s="148" t="n">
        <v>0</v>
      </c>
      <c r="H289" s="148" t="n">
        <v>0</v>
      </c>
      <c r="I289" s="138" t="s">
        <v>1642</v>
      </c>
      <c r="J289" s="138"/>
      <c r="K289" s="146" t="n">
        <f aca="false">Parâmetros!$C$4*(F289+2*Parâmetros!$D$4+Parâmetros!$C$4*Parâmetros!$E$4)</f>
        <v>0.5525</v>
      </c>
      <c r="L289" s="146" t="n">
        <f aca="false">Parâmetros!$C$5*(F289+2*Parâmetros!$D$5+Parâmetros!$C$5*Parâmetros!$E$5)</f>
        <v>1.8176</v>
      </c>
      <c r="M289" s="146" t="n">
        <f aca="false">Parâmetros!$C$6*(F289+2*Parâmetros!$D$6+Parâmetros!$C$6*Parâmetros!$E$6)</f>
        <v>2.384</v>
      </c>
      <c r="N289" s="146" t="n">
        <f aca="false">Parâmetros!$C$7*(F289+2*Parâmetros!$D$7+Parâmetros!$C$7*Parâmetros!$E$7)</f>
        <v>3.786</v>
      </c>
      <c r="O289" s="146" t="n">
        <f aca="false">F289+2*Parâmetros!$D$8</f>
        <v>11.2</v>
      </c>
      <c r="P289" s="146" t="n">
        <f aca="false">F289+2*Parâmetros!$D$10</f>
        <v>12.92</v>
      </c>
      <c r="Q289" s="146" t="n">
        <f aca="false">G289+H289</f>
        <v>0</v>
      </c>
      <c r="S289" s="149" t="n">
        <f aca="false">S288+'Volumes por intervalo'!C288*(F288+F289)/2</f>
        <v>64620</v>
      </c>
      <c r="T289" s="149" t="n">
        <f aca="false">T288+'Volumes por intervalo'!H288</f>
        <v>3245.35000000001</v>
      </c>
      <c r="U289" s="149" t="n">
        <f aca="false">U288+'Volumes por intervalo'!J288</f>
        <v>10669.824</v>
      </c>
      <c r="V289" s="149" t="n">
        <f aca="false">V288+'Volumes por intervalo'!K288</f>
        <v>13980.16</v>
      </c>
      <c r="W289" s="149" t="n">
        <f aca="false">W288+'Volumes por intervalo'!L288</f>
        <v>22175.64</v>
      </c>
      <c r="X289" s="149" t="n">
        <f aca="false">X288+'Volumes por intervalo'!M288</f>
        <v>65768</v>
      </c>
      <c r="Y289" s="149" t="n">
        <f aca="false">Y288+'Volumes por intervalo'!N288</f>
        <v>65768</v>
      </c>
      <c r="Z289" s="149" t="n">
        <f aca="false">Z288+'Volumes por intervalo'!O288</f>
        <v>75640.8</v>
      </c>
      <c r="AA289" s="149" t="n">
        <f aca="false">AA288+'Volumes por intervalo'!P288</f>
        <v>0</v>
      </c>
      <c r="AB289" s="149" t="n">
        <f aca="false">AB288+'Volumes por intervalo'!Q288</f>
        <v>0</v>
      </c>
      <c r="AC289" s="149" t="n">
        <f aca="false">AC288+'Volumes por intervalo'!R288</f>
        <v>0</v>
      </c>
      <c r="AD289" s="149" t="n">
        <f aca="false">AD288+'Volumes por intervalo'!S288</f>
        <v>0</v>
      </c>
    </row>
    <row r="290" customFormat="false" ht="15" hidden="false" customHeight="false" outlineLevel="0" collapsed="false">
      <c r="A290" s="138" t="s">
        <v>1943</v>
      </c>
      <c r="B290" s="146" t="n">
        <v>288</v>
      </c>
      <c r="C290" s="144" t="n">
        <v>5760</v>
      </c>
      <c r="D290" s="138" t="s">
        <v>1565</v>
      </c>
      <c r="E290" s="138" t="s">
        <v>1566</v>
      </c>
      <c r="F290" s="147" t="n">
        <v>11</v>
      </c>
      <c r="G290" s="148" t="n">
        <v>0</v>
      </c>
      <c r="H290" s="148" t="n">
        <v>0</v>
      </c>
      <c r="I290" s="138" t="s">
        <v>1642</v>
      </c>
      <c r="J290" s="138"/>
      <c r="K290" s="146" t="n">
        <f aca="false">Parâmetros!$C$4*(F290+2*Parâmetros!$D$4+Parâmetros!$C$4*Parâmetros!$E$4)</f>
        <v>0.5525</v>
      </c>
      <c r="L290" s="146" t="n">
        <f aca="false">Parâmetros!$C$5*(F290+2*Parâmetros!$D$5+Parâmetros!$C$5*Parâmetros!$E$5)</f>
        <v>1.8176</v>
      </c>
      <c r="M290" s="146" t="n">
        <f aca="false">Parâmetros!$C$6*(F290+2*Parâmetros!$D$6+Parâmetros!$C$6*Parâmetros!$E$6)</f>
        <v>2.384</v>
      </c>
      <c r="N290" s="146" t="n">
        <f aca="false">Parâmetros!$C$7*(F290+2*Parâmetros!$D$7+Parâmetros!$C$7*Parâmetros!$E$7)</f>
        <v>3.786</v>
      </c>
      <c r="O290" s="146" t="n">
        <f aca="false">F290+2*Parâmetros!$D$8</f>
        <v>11.2</v>
      </c>
      <c r="P290" s="146" t="n">
        <f aca="false">F290+2*Parâmetros!$D$10</f>
        <v>12.92</v>
      </c>
      <c r="Q290" s="146" t="n">
        <f aca="false">G290+H290</f>
        <v>0</v>
      </c>
      <c r="S290" s="149" t="n">
        <f aca="false">S289+'Volumes por intervalo'!C289*(F289+F290)/2</f>
        <v>64840</v>
      </c>
      <c r="T290" s="149" t="n">
        <f aca="false">T289+'Volumes por intervalo'!H289</f>
        <v>3256.40000000001</v>
      </c>
      <c r="U290" s="149" t="n">
        <f aca="false">U289+'Volumes por intervalo'!J289</f>
        <v>10706.176</v>
      </c>
      <c r="V290" s="149" t="n">
        <f aca="false">V289+'Volumes por intervalo'!K289</f>
        <v>14027.84</v>
      </c>
      <c r="W290" s="149" t="n">
        <f aca="false">W289+'Volumes por intervalo'!L289</f>
        <v>22251.36</v>
      </c>
      <c r="X290" s="149" t="n">
        <f aca="false">X289+'Volumes por intervalo'!M289</f>
        <v>65992</v>
      </c>
      <c r="Y290" s="149" t="n">
        <f aca="false">Y289+'Volumes por intervalo'!N289</f>
        <v>65992</v>
      </c>
      <c r="Z290" s="149" t="n">
        <f aca="false">Z289+'Volumes por intervalo'!O289</f>
        <v>75899.2</v>
      </c>
      <c r="AA290" s="149" t="n">
        <f aca="false">AA289+'Volumes por intervalo'!P289</f>
        <v>0</v>
      </c>
      <c r="AB290" s="149" t="n">
        <f aca="false">AB289+'Volumes por intervalo'!Q289</f>
        <v>0</v>
      </c>
      <c r="AC290" s="149" t="n">
        <f aca="false">AC289+'Volumes por intervalo'!R289</f>
        <v>0</v>
      </c>
      <c r="AD290" s="149" t="n">
        <f aca="false">AD289+'Volumes por intervalo'!S289</f>
        <v>0</v>
      </c>
    </row>
    <row r="291" customFormat="false" ht="15" hidden="false" customHeight="false" outlineLevel="0" collapsed="false">
      <c r="A291" s="138" t="s">
        <v>1944</v>
      </c>
      <c r="B291" s="146" t="n">
        <v>289</v>
      </c>
      <c r="C291" s="144" t="n">
        <v>5780</v>
      </c>
      <c r="D291" s="138" t="s">
        <v>1565</v>
      </c>
      <c r="E291" s="138" t="s">
        <v>1566</v>
      </c>
      <c r="F291" s="147" t="n">
        <v>11</v>
      </c>
      <c r="G291" s="148" t="n">
        <v>0</v>
      </c>
      <c r="H291" s="148" t="n">
        <v>0</v>
      </c>
      <c r="I291" s="138" t="s">
        <v>1642</v>
      </c>
      <c r="J291" s="138"/>
      <c r="K291" s="146" t="n">
        <f aca="false">Parâmetros!$C$4*(F291+2*Parâmetros!$D$4+Parâmetros!$C$4*Parâmetros!$E$4)</f>
        <v>0.5525</v>
      </c>
      <c r="L291" s="146" t="n">
        <f aca="false">Parâmetros!$C$5*(F291+2*Parâmetros!$D$5+Parâmetros!$C$5*Parâmetros!$E$5)</f>
        <v>1.8176</v>
      </c>
      <c r="M291" s="146" t="n">
        <f aca="false">Parâmetros!$C$6*(F291+2*Parâmetros!$D$6+Parâmetros!$C$6*Parâmetros!$E$6)</f>
        <v>2.384</v>
      </c>
      <c r="N291" s="146" t="n">
        <f aca="false">Parâmetros!$C$7*(F291+2*Parâmetros!$D$7+Parâmetros!$C$7*Parâmetros!$E$7)</f>
        <v>3.786</v>
      </c>
      <c r="O291" s="146" t="n">
        <f aca="false">F291+2*Parâmetros!$D$8</f>
        <v>11.2</v>
      </c>
      <c r="P291" s="146" t="n">
        <f aca="false">F291+2*Parâmetros!$D$10</f>
        <v>12.92</v>
      </c>
      <c r="Q291" s="146" t="n">
        <f aca="false">G291+H291</f>
        <v>0</v>
      </c>
      <c r="S291" s="149" t="n">
        <f aca="false">S290+'Volumes por intervalo'!C290*(F290+F291)/2</f>
        <v>65060</v>
      </c>
      <c r="T291" s="149" t="n">
        <f aca="false">T290+'Volumes por intervalo'!H290</f>
        <v>3267.45000000001</v>
      </c>
      <c r="U291" s="149" t="n">
        <f aca="false">U290+'Volumes por intervalo'!J290</f>
        <v>10742.528</v>
      </c>
      <c r="V291" s="149" t="n">
        <f aca="false">V290+'Volumes por intervalo'!K290</f>
        <v>14075.52</v>
      </c>
      <c r="W291" s="149" t="n">
        <f aca="false">W290+'Volumes por intervalo'!L290</f>
        <v>22327.08</v>
      </c>
      <c r="X291" s="149" t="n">
        <f aca="false">X290+'Volumes por intervalo'!M290</f>
        <v>66216</v>
      </c>
      <c r="Y291" s="149" t="n">
        <f aca="false">Y290+'Volumes por intervalo'!N290</f>
        <v>66216</v>
      </c>
      <c r="Z291" s="149" t="n">
        <f aca="false">Z290+'Volumes por intervalo'!O290</f>
        <v>76157.6</v>
      </c>
      <c r="AA291" s="149" t="n">
        <f aca="false">AA290+'Volumes por intervalo'!P290</f>
        <v>0</v>
      </c>
      <c r="AB291" s="149" t="n">
        <f aca="false">AB290+'Volumes por intervalo'!Q290</f>
        <v>0</v>
      </c>
      <c r="AC291" s="149" t="n">
        <f aca="false">AC290+'Volumes por intervalo'!R290</f>
        <v>0</v>
      </c>
      <c r="AD291" s="149" t="n">
        <f aca="false">AD290+'Volumes por intervalo'!S290</f>
        <v>0</v>
      </c>
    </row>
    <row r="292" customFormat="false" ht="15" hidden="false" customHeight="false" outlineLevel="0" collapsed="false">
      <c r="A292" s="138" t="s">
        <v>1945</v>
      </c>
      <c r="B292" s="146" t="n">
        <v>290</v>
      </c>
      <c r="C292" s="144" t="n">
        <v>5800</v>
      </c>
      <c r="D292" s="138" t="s">
        <v>1565</v>
      </c>
      <c r="E292" s="138" t="s">
        <v>1566</v>
      </c>
      <c r="F292" s="147" t="n">
        <v>11</v>
      </c>
      <c r="G292" s="148" t="n">
        <v>0</v>
      </c>
      <c r="H292" s="148" t="n">
        <v>0</v>
      </c>
      <c r="I292" s="138" t="s">
        <v>1642</v>
      </c>
      <c r="J292" s="138"/>
      <c r="K292" s="146" t="n">
        <f aca="false">Parâmetros!$C$4*(F292+2*Parâmetros!$D$4+Parâmetros!$C$4*Parâmetros!$E$4)</f>
        <v>0.5525</v>
      </c>
      <c r="L292" s="146" t="n">
        <f aca="false">Parâmetros!$C$5*(F292+2*Parâmetros!$D$5+Parâmetros!$C$5*Parâmetros!$E$5)</f>
        <v>1.8176</v>
      </c>
      <c r="M292" s="146" t="n">
        <f aca="false">Parâmetros!$C$6*(F292+2*Parâmetros!$D$6+Parâmetros!$C$6*Parâmetros!$E$6)</f>
        <v>2.384</v>
      </c>
      <c r="N292" s="146" t="n">
        <f aca="false">Parâmetros!$C$7*(F292+2*Parâmetros!$D$7+Parâmetros!$C$7*Parâmetros!$E$7)</f>
        <v>3.786</v>
      </c>
      <c r="O292" s="146" t="n">
        <f aca="false">F292+2*Parâmetros!$D$8</f>
        <v>11.2</v>
      </c>
      <c r="P292" s="146" t="n">
        <f aca="false">F292+2*Parâmetros!$D$10</f>
        <v>12.92</v>
      </c>
      <c r="Q292" s="146" t="n">
        <f aca="false">G292+H292</f>
        <v>0</v>
      </c>
      <c r="S292" s="149" t="n">
        <f aca="false">S291+'Volumes por intervalo'!C291*(F291+F292)/2</f>
        <v>65280</v>
      </c>
      <c r="T292" s="149" t="n">
        <f aca="false">T291+'Volumes por intervalo'!H291</f>
        <v>3278.50000000001</v>
      </c>
      <c r="U292" s="149" t="n">
        <f aca="false">U291+'Volumes por intervalo'!J291</f>
        <v>10778.88</v>
      </c>
      <c r="V292" s="149" t="n">
        <f aca="false">V291+'Volumes por intervalo'!K291</f>
        <v>14123.2</v>
      </c>
      <c r="W292" s="149" t="n">
        <f aca="false">W291+'Volumes por intervalo'!L291</f>
        <v>22402.8</v>
      </c>
      <c r="X292" s="149" t="n">
        <f aca="false">X291+'Volumes por intervalo'!M291</f>
        <v>66440</v>
      </c>
      <c r="Y292" s="149" t="n">
        <f aca="false">Y291+'Volumes por intervalo'!N291</f>
        <v>66440</v>
      </c>
      <c r="Z292" s="149" t="n">
        <f aca="false">Z291+'Volumes por intervalo'!O291</f>
        <v>76416</v>
      </c>
      <c r="AA292" s="149" t="n">
        <f aca="false">AA291+'Volumes por intervalo'!P291</f>
        <v>0</v>
      </c>
      <c r="AB292" s="149" t="n">
        <f aca="false">AB291+'Volumes por intervalo'!Q291</f>
        <v>0</v>
      </c>
      <c r="AC292" s="149" t="n">
        <f aca="false">AC291+'Volumes por intervalo'!R291</f>
        <v>0</v>
      </c>
      <c r="AD292" s="149" t="n">
        <f aca="false">AD291+'Volumes por intervalo'!S291</f>
        <v>0</v>
      </c>
    </row>
    <row r="293" customFormat="false" ht="15" hidden="false" customHeight="false" outlineLevel="0" collapsed="false">
      <c r="A293" s="138" t="s">
        <v>1946</v>
      </c>
      <c r="B293" s="146" t="n">
        <v>291</v>
      </c>
      <c r="C293" s="144" t="n">
        <v>5820</v>
      </c>
      <c r="D293" s="138" t="s">
        <v>1565</v>
      </c>
      <c r="E293" s="138" t="s">
        <v>1566</v>
      </c>
      <c r="F293" s="147" t="n">
        <v>11</v>
      </c>
      <c r="G293" s="148" t="n">
        <v>0</v>
      </c>
      <c r="H293" s="148" t="n">
        <v>0</v>
      </c>
      <c r="I293" s="138" t="s">
        <v>1642</v>
      </c>
      <c r="J293" s="138"/>
      <c r="K293" s="146" t="n">
        <f aca="false">Parâmetros!$C$4*(F293+2*Parâmetros!$D$4+Parâmetros!$C$4*Parâmetros!$E$4)</f>
        <v>0.5525</v>
      </c>
      <c r="L293" s="146" t="n">
        <f aca="false">Parâmetros!$C$5*(F293+2*Parâmetros!$D$5+Parâmetros!$C$5*Parâmetros!$E$5)</f>
        <v>1.8176</v>
      </c>
      <c r="M293" s="146" t="n">
        <f aca="false">Parâmetros!$C$6*(F293+2*Parâmetros!$D$6+Parâmetros!$C$6*Parâmetros!$E$6)</f>
        <v>2.384</v>
      </c>
      <c r="N293" s="146" t="n">
        <f aca="false">Parâmetros!$C$7*(F293+2*Parâmetros!$D$7+Parâmetros!$C$7*Parâmetros!$E$7)</f>
        <v>3.786</v>
      </c>
      <c r="O293" s="146" t="n">
        <f aca="false">F293+2*Parâmetros!$D$8</f>
        <v>11.2</v>
      </c>
      <c r="P293" s="146" t="n">
        <f aca="false">F293+2*Parâmetros!$D$10</f>
        <v>12.92</v>
      </c>
      <c r="Q293" s="146" t="n">
        <f aca="false">G293+H293</f>
        <v>0</v>
      </c>
      <c r="S293" s="149" t="n">
        <f aca="false">S292+'Volumes por intervalo'!C292*(F292+F293)/2</f>
        <v>65500</v>
      </c>
      <c r="T293" s="149" t="n">
        <f aca="false">T292+'Volumes por intervalo'!H292</f>
        <v>3289.55000000001</v>
      </c>
      <c r="U293" s="149" t="n">
        <f aca="false">U292+'Volumes por intervalo'!J292</f>
        <v>10815.232</v>
      </c>
      <c r="V293" s="149" t="n">
        <f aca="false">V292+'Volumes por intervalo'!K292</f>
        <v>14170.88</v>
      </c>
      <c r="W293" s="149" t="n">
        <f aca="false">W292+'Volumes por intervalo'!L292</f>
        <v>22478.52</v>
      </c>
      <c r="X293" s="149" t="n">
        <f aca="false">X292+'Volumes por intervalo'!M292</f>
        <v>66664</v>
      </c>
      <c r="Y293" s="149" t="n">
        <f aca="false">Y292+'Volumes por intervalo'!N292</f>
        <v>66664</v>
      </c>
      <c r="Z293" s="149" t="n">
        <f aca="false">Z292+'Volumes por intervalo'!O292</f>
        <v>76674.4</v>
      </c>
      <c r="AA293" s="149" t="n">
        <f aca="false">AA292+'Volumes por intervalo'!P292</f>
        <v>0</v>
      </c>
      <c r="AB293" s="149" t="n">
        <f aca="false">AB292+'Volumes por intervalo'!Q292</f>
        <v>0</v>
      </c>
      <c r="AC293" s="149" t="n">
        <f aca="false">AC292+'Volumes por intervalo'!R292</f>
        <v>0</v>
      </c>
      <c r="AD293" s="149" t="n">
        <f aca="false">AD292+'Volumes por intervalo'!S292</f>
        <v>0</v>
      </c>
    </row>
    <row r="294" customFormat="false" ht="15" hidden="false" customHeight="false" outlineLevel="0" collapsed="false">
      <c r="A294" s="138" t="s">
        <v>1947</v>
      </c>
      <c r="B294" s="146" t="n">
        <v>292</v>
      </c>
      <c r="C294" s="144" t="n">
        <v>5840</v>
      </c>
      <c r="D294" s="138" t="s">
        <v>1565</v>
      </c>
      <c r="E294" s="138" t="s">
        <v>1566</v>
      </c>
      <c r="F294" s="147" t="n">
        <v>11</v>
      </c>
      <c r="G294" s="148" t="n">
        <v>0</v>
      </c>
      <c r="H294" s="148" t="n">
        <v>0</v>
      </c>
      <c r="I294" s="138" t="s">
        <v>1642</v>
      </c>
      <c r="J294" s="138"/>
      <c r="K294" s="146" t="n">
        <f aca="false">Parâmetros!$C$4*(F294+2*Parâmetros!$D$4+Parâmetros!$C$4*Parâmetros!$E$4)</f>
        <v>0.5525</v>
      </c>
      <c r="L294" s="146" t="n">
        <f aca="false">Parâmetros!$C$5*(F294+2*Parâmetros!$D$5+Parâmetros!$C$5*Parâmetros!$E$5)</f>
        <v>1.8176</v>
      </c>
      <c r="M294" s="146" t="n">
        <f aca="false">Parâmetros!$C$6*(F294+2*Parâmetros!$D$6+Parâmetros!$C$6*Parâmetros!$E$6)</f>
        <v>2.384</v>
      </c>
      <c r="N294" s="146" t="n">
        <f aca="false">Parâmetros!$C$7*(F294+2*Parâmetros!$D$7+Parâmetros!$C$7*Parâmetros!$E$7)</f>
        <v>3.786</v>
      </c>
      <c r="O294" s="146" t="n">
        <f aca="false">F294+2*Parâmetros!$D$8</f>
        <v>11.2</v>
      </c>
      <c r="P294" s="146" t="n">
        <f aca="false">F294+2*Parâmetros!$D$10</f>
        <v>12.92</v>
      </c>
      <c r="Q294" s="146" t="n">
        <f aca="false">G294+H294</f>
        <v>0</v>
      </c>
      <c r="S294" s="149" t="n">
        <f aca="false">S293+'Volumes por intervalo'!C293*(F293+F294)/2</f>
        <v>65720</v>
      </c>
      <c r="T294" s="149" t="n">
        <f aca="false">T293+'Volumes por intervalo'!H293</f>
        <v>3300.60000000001</v>
      </c>
      <c r="U294" s="149" t="n">
        <f aca="false">U293+'Volumes por intervalo'!J293</f>
        <v>10851.584</v>
      </c>
      <c r="V294" s="149" t="n">
        <f aca="false">V293+'Volumes por intervalo'!K293</f>
        <v>14218.56</v>
      </c>
      <c r="W294" s="149" t="n">
        <f aca="false">W293+'Volumes por intervalo'!L293</f>
        <v>22554.24</v>
      </c>
      <c r="X294" s="149" t="n">
        <f aca="false">X293+'Volumes por intervalo'!M293</f>
        <v>66888</v>
      </c>
      <c r="Y294" s="149" t="n">
        <f aca="false">Y293+'Volumes por intervalo'!N293</f>
        <v>66888</v>
      </c>
      <c r="Z294" s="149" t="n">
        <f aca="false">Z293+'Volumes por intervalo'!O293</f>
        <v>76932.8</v>
      </c>
      <c r="AA294" s="149" t="n">
        <f aca="false">AA293+'Volumes por intervalo'!P293</f>
        <v>0</v>
      </c>
      <c r="AB294" s="149" t="n">
        <f aca="false">AB293+'Volumes por intervalo'!Q293</f>
        <v>0</v>
      </c>
      <c r="AC294" s="149" t="n">
        <f aca="false">AC293+'Volumes por intervalo'!R293</f>
        <v>0</v>
      </c>
      <c r="AD294" s="149" t="n">
        <f aca="false">AD293+'Volumes por intervalo'!S293</f>
        <v>0</v>
      </c>
    </row>
    <row r="295" customFormat="false" ht="15" hidden="false" customHeight="false" outlineLevel="0" collapsed="false">
      <c r="A295" s="138" t="s">
        <v>1948</v>
      </c>
      <c r="B295" s="146" t="n">
        <v>293</v>
      </c>
      <c r="C295" s="144" t="n">
        <v>5860</v>
      </c>
      <c r="D295" s="138" t="s">
        <v>1565</v>
      </c>
      <c r="E295" s="138" t="s">
        <v>1566</v>
      </c>
      <c r="F295" s="147" t="n">
        <v>11</v>
      </c>
      <c r="G295" s="148" t="n">
        <v>0</v>
      </c>
      <c r="H295" s="148" t="n">
        <v>0</v>
      </c>
      <c r="I295" s="138" t="s">
        <v>1642</v>
      </c>
      <c r="J295" s="138"/>
      <c r="K295" s="146" t="n">
        <f aca="false">Parâmetros!$C$4*(F295+2*Parâmetros!$D$4+Parâmetros!$C$4*Parâmetros!$E$4)</f>
        <v>0.5525</v>
      </c>
      <c r="L295" s="146" t="n">
        <f aca="false">Parâmetros!$C$5*(F295+2*Parâmetros!$D$5+Parâmetros!$C$5*Parâmetros!$E$5)</f>
        <v>1.8176</v>
      </c>
      <c r="M295" s="146" t="n">
        <f aca="false">Parâmetros!$C$6*(F295+2*Parâmetros!$D$6+Parâmetros!$C$6*Parâmetros!$E$6)</f>
        <v>2.384</v>
      </c>
      <c r="N295" s="146" t="n">
        <f aca="false">Parâmetros!$C$7*(F295+2*Parâmetros!$D$7+Parâmetros!$C$7*Parâmetros!$E$7)</f>
        <v>3.786</v>
      </c>
      <c r="O295" s="146" t="n">
        <f aca="false">F295+2*Parâmetros!$D$8</f>
        <v>11.2</v>
      </c>
      <c r="P295" s="146" t="n">
        <f aca="false">F295+2*Parâmetros!$D$10</f>
        <v>12.92</v>
      </c>
      <c r="Q295" s="146" t="n">
        <f aca="false">G295+H295</f>
        <v>0</v>
      </c>
      <c r="S295" s="149" t="n">
        <f aca="false">S294+'Volumes por intervalo'!C294*(F294+F295)/2</f>
        <v>65940</v>
      </c>
      <c r="T295" s="149" t="n">
        <f aca="false">T294+'Volumes por intervalo'!H294</f>
        <v>3311.65000000001</v>
      </c>
      <c r="U295" s="149" t="n">
        <f aca="false">U294+'Volumes por intervalo'!J294</f>
        <v>10887.936</v>
      </c>
      <c r="V295" s="149" t="n">
        <f aca="false">V294+'Volumes por intervalo'!K294</f>
        <v>14266.24</v>
      </c>
      <c r="W295" s="149" t="n">
        <f aca="false">W294+'Volumes por intervalo'!L294</f>
        <v>22629.96</v>
      </c>
      <c r="X295" s="149" t="n">
        <f aca="false">X294+'Volumes por intervalo'!M294</f>
        <v>67112</v>
      </c>
      <c r="Y295" s="149" t="n">
        <f aca="false">Y294+'Volumes por intervalo'!N294</f>
        <v>67112</v>
      </c>
      <c r="Z295" s="149" t="n">
        <f aca="false">Z294+'Volumes por intervalo'!O294</f>
        <v>77191.2</v>
      </c>
      <c r="AA295" s="149" t="n">
        <f aca="false">AA294+'Volumes por intervalo'!P294</f>
        <v>0</v>
      </c>
      <c r="AB295" s="149" t="n">
        <f aca="false">AB294+'Volumes por intervalo'!Q294</f>
        <v>0</v>
      </c>
      <c r="AC295" s="149" t="n">
        <f aca="false">AC294+'Volumes por intervalo'!R294</f>
        <v>0</v>
      </c>
      <c r="AD295" s="149" t="n">
        <f aca="false">AD294+'Volumes por intervalo'!S294</f>
        <v>0</v>
      </c>
    </row>
    <row r="296" customFormat="false" ht="15" hidden="false" customHeight="false" outlineLevel="0" collapsed="false">
      <c r="A296" s="138" t="s">
        <v>1949</v>
      </c>
      <c r="B296" s="146" t="n">
        <v>294</v>
      </c>
      <c r="C296" s="144" t="n">
        <v>5880</v>
      </c>
      <c r="D296" s="138" t="s">
        <v>1565</v>
      </c>
      <c r="E296" s="138" t="s">
        <v>1566</v>
      </c>
      <c r="F296" s="147" t="n">
        <v>11</v>
      </c>
      <c r="G296" s="148" t="n">
        <v>0</v>
      </c>
      <c r="H296" s="148" t="n">
        <v>0</v>
      </c>
      <c r="I296" s="138" t="s">
        <v>1642</v>
      </c>
      <c r="J296" s="138"/>
      <c r="K296" s="146" t="n">
        <f aca="false">Parâmetros!$C$4*(F296+2*Parâmetros!$D$4+Parâmetros!$C$4*Parâmetros!$E$4)</f>
        <v>0.5525</v>
      </c>
      <c r="L296" s="146" t="n">
        <f aca="false">Parâmetros!$C$5*(F296+2*Parâmetros!$D$5+Parâmetros!$C$5*Parâmetros!$E$5)</f>
        <v>1.8176</v>
      </c>
      <c r="M296" s="146" t="n">
        <f aca="false">Parâmetros!$C$6*(F296+2*Parâmetros!$D$6+Parâmetros!$C$6*Parâmetros!$E$6)</f>
        <v>2.384</v>
      </c>
      <c r="N296" s="146" t="n">
        <f aca="false">Parâmetros!$C$7*(F296+2*Parâmetros!$D$7+Parâmetros!$C$7*Parâmetros!$E$7)</f>
        <v>3.786</v>
      </c>
      <c r="O296" s="146" t="n">
        <f aca="false">F296+2*Parâmetros!$D$8</f>
        <v>11.2</v>
      </c>
      <c r="P296" s="146" t="n">
        <f aca="false">F296+2*Parâmetros!$D$10</f>
        <v>12.92</v>
      </c>
      <c r="Q296" s="146" t="n">
        <f aca="false">G296+H296</f>
        <v>0</v>
      </c>
      <c r="S296" s="149" t="n">
        <f aca="false">S295+'Volumes por intervalo'!C295*(F295+F296)/2</f>
        <v>66160</v>
      </c>
      <c r="T296" s="149" t="n">
        <f aca="false">T295+'Volumes por intervalo'!H295</f>
        <v>3322.70000000001</v>
      </c>
      <c r="U296" s="149" t="n">
        <f aca="false">U295+'Volumes por intervalo'!J295</f>
        <v>10924.288</v>
      </c>
      <c r="V296" s="149" t="n">
        <f aca="false">V295+'Volumes por intervalo'!K295</f>
        <v>14313.92</v>
      </c>
      <c r="W296" s="149" t="n">
        <f aca="false">W295+'Volumes por intervalo'!L295</f>
        <v>22705.68</v>
      </c>
      <c r="X296" s="149" t="n">
        <f aca="false">X295+'Volumes por intervalo'!M295</f>
        <v>67336</v>
      </c>
      <c r="Y296" s="149" t="n">
        <f aca="false">Y295+'Volumes por intervalo'!N295</f>
        <v>67336</v>
      </c>
      <c r="Z296" s="149" t="n">
        <f aca="false">Z295+'Volumes por intervalo'!O295</f>
        <v>77449.6</v>
      </c>
      <c r="AA296" s="149" t="n">
        <f aca="false">AA295+'Volumes por intervalo'!P295</f>
        <v>0</v>
      </c>
      <c r="AB296" s="149" t="n">
        <f aca="false">AB295+'Volumes por intervalo'!Q295</f>
        <v>0</v>
      </c>
      <c r="AC296" s="149" t="n">
        <f aca="false">AC295+'Volumes por intervalo'!R295</f>
        <v>0</v>
      </c>
      <c r="AD296" s="149" t="n">
        <f aca="false">AD295+'Volumes por intervalo'!S295</f>
        <v>0</v>
      </c>
    </row>
    <row r="297" customFormat="false" ht="15" hidden="false" customHeight="false" outlineLevel="0" collapsed="false">
      <c r="A297" s="138" t="s">
        <v>1950</v>
      </c>
      <c r="B297" s="146" t="n">
        <v>295</v>
      </c>
      <c r="C297" s="144" t="n">
        <v>5900</v>
      </c>
      <c r="D297" s="138" t="s">
        <v>1565</v>
      </c>
      <c r="E297" s="138" t="s">
        <v>1566</v>
      </c>
      <c r="F297" s="147" t="n">
        <v>11</v>
      </c>
      <c r="G297" s="148" t="n">
        <v>0</v>
      </c>
      <c r="H297" s="148" t="n">
        <v>0</v>
      </c>
      <c r="I297" s="138" t="s">
        <v>1642</v>
      </c>
      <c r="J297" s="138"/>
      <c r="K297" s="146" t="n">
        <f aca="false">Parâmetros!$C$4*(F297+2*Parâmetros!$D$4+Parâmetros!$C$4*Parâmetros!$E$4)</f>
        <v>0.5525</v>
      </c>
      <c r="L297" s="146" t="n">
        <f aca="false">Parâmetros!$C$5*(F297+2*Parâmetros!$D$5+Parâmetros!$C$5*Parâmetros!$E$5)</f>
        <v>1.8176</v>
      </c>
      <c r="M297" s="146" t="n">
        <f aca="false">Parâmetros!$C$6*(F297+2*Parâmetros!$D$6+Parâmetros!$C$6*Parâmetros!$E$6)</f>
        <v>2.384</v>
      </c>
      <c r="N297" s="146" t="n">
        <f aca="false">Parâmetros!$C$7*(F297+2*Parâmetros!$D$7+Parâmetros!$C$7*Parâmetros!$E$7)</f>
        <v>3.786</v>
      </c>
      <c r="O297" s="146" t="n">
        <f aca="false">F297+2*Parâmetros!$D$8</f>
        <v>11.2</v>
      </c>
      <c r="P297" s="146" t="n">
        <f aca="false">F297+2*Parâmetros!$D$10</f>
        <v>12.92</v>
      </c>
      <c r="Q297" s="146" t="n">
        <f aca="false">G297+H297</f>
        <v>0</v>
      </c>
      <c r="S297" s="149" t="n">
        <f aca="false">S296+'Volumes por intervalo'!C296*(F296+F297)/2</f>
        <v>66380</v>
      </c>
      <c r="T297" s="149" t="n">
        <f aca="false">T296+'Volumes por intervalo'!H296</f>
        <v>3333.75000000001</v>
      </c>
      <c r="U297" s="149" t="n">
        <f aca="false">U296+'Volumes por intervalo'!J296</f>
        <v>10960.64</v>
      </c>
      <c r="V297" s="149" t="n">
        <f aca="false">V296+'Volumes por intervalo'!K296</f>
        <v>14361.6</v>
      </c>
      <c r="W297" s="149" t="n">
        <f aca="false">W296+'Volumes por intervalo'!L296</f>
        <v>22781.4</v>
      </c>
      <c r="X297" s="149" t="n">
        <f aca="false">X296+'Volumes por intervalo'!M296</f>
        <v>67560</v>
      </c>
      <c r="Y297" s="149" t="n">
        <f aca="false">Y296+'Volumes por intervalo'!N296</f>
        <v>67560</v>
      </c>
      <c r="Z297" s="149" t="n">
        <f aca="false">Z296+'Volumes por intervalo'!O296</f>
        <v>77708</v>
      </c>
      <c r="AA297" s="149" t="n">
        <f aca="false">AA296+'Volumes por intervalo'!P296</f>
        <v>0</v>
      </c>
      <c r="AB297" s="149" t="n">
        <f aca="false">AB296+'Volumes por intervalo'!Q296</f>
        <v>0</v>
      </c>
      <c r="AC297" s="149" t="n">
        <f aca="false">AC296+'Volumes por intervalo'!R296</f>
        <v>0</v>
      </c>
      <c r="AD297" s="149" t="n">
        <f aca="false">AD296+'Volumes por intervalo'!S296</f>
        <v>0</v>
      </c>
    </row>
    <row r="298" customFormat="false" ht="15" hidden="false" customHeight="false" outlineLevel="0" collapsed="false">
      <c r="A298" s="138" t="s">
        <v>1951</v>
      </c>
      <c r="B298" s="146" t="n">
        <v>296</v>
      </c>
      <c r="C298" s="144" t="n">
        <v>5920</v>
      </c>
      <c r="D298" s="138" t="s">
        <v>1565</v>
      </c>
      <c r="E298" s="138" t="s">
        <v>1566</v>
      </c>
      <c r="F298" s="147" t="n">
        <v>11</v>
      </c>
      <c r="G298" s="148" t="n">
        <v>0</v>
      </c>
      <c r="H298" s="148" t="n">
        <v>0</v>
      </c>
      <c r="I298" s="138" t="s">
        <v>1642</v>
      </c>
      <c r="J298" s="138"/>
      <c r="K298" s="146" t="n">
        <f aca="false">Parâmetros!$C$4*(F298+2*Parâmetros!$D$4+Parâmetros!$C$4*Parâmetros!$E$4)</f>
        <v>0.5525</v>
      </c>
      <c r="L298" s="146" t="n">
        <f aca="false">Parâmetros!$C$5*(F298+2*Parâmetros!$D$5+Parâmetros!$C$5*Parâmetros!$E$5)</f>
        <v>1.8176</v>
      </c>
      <c r="M298" s="146" t="n">
        <f aca="false">Parâmetros!$C$6*(F298+2*Parâmetros!$D$6+Parâmetros!$C$6*Parâmetros!$E$6)</f>
        <v>2.384</v>
      </c>
      <c r="N298" s="146" t="n">
        <f aca="false">Parâmetros!$C$7*(F298+2*Parâmetros!$D$7+Parâmetros!$C$7*Parâmetros!$E$7)</f>
        <v>3.786</v>
      </c>
      <c r="O298" s="146" t="n">
        <f aca="false">F298+2*Parâmetros!$D$8</f>
        <v>11.2</v>
      </c>
      <c r="P298" s="146" t="n">
        <f aca="false">F298+2*Parâmetros!$D$10</f>
        <v>12.92</v>
      </c>
      <c r="Q298" s="146" t="n">
        <f aca="false">G298+H298</f>
        <v>0</v>
      </c>
      <c r="S298" s="149" t="n">
        <f aca="false">S297+'Volumes por intervalo'!C297*(F297+F298)/2</f>
        <v>66600</v>
      </c>
      <c r="T298" s="149" t="n">
        <f aca="false">T297+'Volumes por intervalo'!H297</f>
        <v>3344.80000000001</v>
      </c>
      <c r="U298" s="149" t="n">
        <f aca="false">U297+'Volumes por intervalo'!J297</f>
        <v>10996.992</v>
      </c>
      <c r="V298" s="149" t="n">
        <f aca="false">V297+'Volumes por intervalo'!K297</f>
        <v>14409.28</v>
      </c>
      <c r="W298" s="149" t="n">
        <f aca="false">W297+'Volumes por intervalo'!L297</f>
        <v>22857.12</v>
      </c>
      <c r="X298" s="149" t="n">
        <f aca="false">X297+'Volumes por intervalo'!M297</f>
        <v>67784</v>
      </c>
      <c r="Y298" s="149" t="n">
        <f aca="false">Y297+'Volumes por intervalo'!N297</f>
        <v>67784</v>
      </c>
      <c r="Z298" s="149" t="n">
        <f aca="false">Z297+'Volumes por intervalo'!O297</f>
        <v>77966.4</v>
      </c>
      <c r="AA298" s="149" t="n">
        <f aca="false">AA297+'Volumes por intervalo'!P297</f>
        <v>0</v>
      </c>
      <c r="AB298" s="149" t="n">
        <f aca="false">AB297+'Volumes por intervalo'!Q297</f>
        <v>0</v>
      </c>
      <c r="AC298" s="149" t="n">
        <f aca="false">AC297+'Volumes por intervalo'!R297</f>
        <v>0</v>
      </c>
      <c r="AD298" s="149" t="n">
        <f aca="false">AD297+'Volumes por intervalo'!S297</f>
        <v>0</v>
      </c>
    </row>
    <row r="299" customFormat="false" ht="15" hidden="false" customHeight="false" outlineLevel="0" collapsed="false">
      <c r="A299" s="138" t="s">
        <v>1952</v>
      </c>
      <c r="B299" s="146" t="n">
        <v>297</v>
      </c>
      <c r="C299" s="144" t="n">
        <v>5940</v>
      </c>
      <c r="D299" s="138" t="s">
        <v>1565</v>
      </c>
      <c r="E299" s="138" t="s">
        <v>1566</v>
      </c>
      <c r="F299" s="147" t="n">
        <v>11</v>
      </c>
      <c r="G299" s="148" t="n">
        <v>0</v>
      </c>
      <c r="H299" s="148" t="n">
        <v>0</v>
      </c>
      <c r="I299" s="138" t="s">
        <v>1642</v>
      </c>
      <c r="J299" s="138"/>
      <c r="K299" s="146" t="n">
        <f aca="false">Parâmetros!$C$4*(F299+2*Parâmetros!$D$4+Parâmetros!$C$4*Parâmetros!$E$4)</f>
        <v>0.5525</v>
      </c>
      <c r="L299" s="146" t="n">
        <f aca="false">Parâmetros!$C$5*(F299+2*Parâmetros!$D$5+Parâmetros!$C$5*Parâmetros!$E$5)</f>
        <v>1.8176</v>
      </c>
      <c r="M299" s="146" t="n">
        <f aca="false">Parâmetros!$C$6*(F299+2*Parâmetros!$D$6+Parâmetros!$C$6*Parâmetros!$E$6)</f>
        <v>2.384</v>
      </c>
      <c r="N299" s="146" t="n">
        <f aca="false">Parâmetros!$C$7*(F299+2*Parâmetros!$D$7+Parâmetros!$C$7*Parâmetros!$E$7)</f>
        <v>3.786</v>
      </c>
      <c r="O299" s="146" t="n">
        <f aca="false">F299+2*Parâmetros!$D$8</f>
        <v>11.2</v>
      </c>
      <c r="P299" s="146" t="n">
        <f aca="false">F299+2*Parâmetros!$D$10</f>
        <v>12.92</v>
      </c>
      <c r="Q299" s="146" t="n">
        <f aca="false">G299+H299</f>
        <v>0</v>
      </c>
      <c r="S299" s="149" t="n">
        <f aca="false">S298+'Volumes por intervalo'!C298*(F298+F299)/2</f>
        <v>66820</v>
      </c>
      <c r="T299" s="149" t="n">
        <f aca="false">T298+'Volumes por intervalo'!H298</f>
        <v>3355.85000000001</v>
      </c>
      <c r="U299" s="149" t="n">
        <f aca="false">U298+'Volumes por intervalo'!J298</f>
        <v>11033.344</v>
      </c>
      <c r="V299" s="149" t="n">
        <f aca="false">V298+'Volumes por intervalo'!K298</f>
        <v>14456.96</v>
      </c>
      <c r="W299" s="149" t="n">
        <f aca="false">W298+'Volumes por intervalo'!L298</f>
        <v>22932.84</v>
      </c>
      <c r="X299" s="149" t="n">
        <f aca="false">X298+'Volumes por intervalo'!M298</f>
        <v>68008</v>
      </c>
      <c r="Y299" s="149" t="n">
        <f aca="false">Y298+'Volumes por intervalo'!N298</f>
        <v>68008</v>
      </c>
      <c r="Z299" s="149" t="n">
        <f aca="false">Z298+'Volumes por intervalo'!O298</f>
        <v>78224.8</v>
      </c>
      <c r="AA299" s="149" t="n">
        <f aca="false">AA298+'Volumes por intervalo'!P298</f>
        <v>0</v>
      </c>
      <c r="AB299" s="149" t="n">
        <f aca="false">AB298+'Volumes por intervalo'!Q298</f>
        <v>0</v>
      </c>
      <c r="AC299" s="149" t="n">
        <f aca="false">AC298+'Volumes por intervalo'!R298</f>
        <v>0</v>
      </c>
      <c r="AD299" s="149" t="n">
        <f aca="false">AD298+'Volumes por intervalo'!S298</f>
        <v>0</v>
      </c>
    </row>
    <row r="300" customFormat="false" ht="15" hidden="false" customHeight="false" outlineLevel="0" collapsed="false">
      <c r="A300" s="138" t="s">
        <v>1953</v>
      </c>
      <c r="B300" s="146" t="n">
        <v>298</v>
      </c>
      <c r="C300" s="144" t="n">
        <v>5960</v>
      </c>
      <c r="D300" s="138" t="s">
        <v>1565</v>
      </c>
      <c r="E300" s="138" t="s">
        <v>1566</v>
      </c>
      <c r="F300" s="147" t="n">
        <v>11</v>
      </c>
      <c r="G300" s="148" t="n">
        <v>0</v>
      </c>
      <c r="H300" s="148" t="n">
        <v>0</v>
      </c>
      <c r="I300" s="138" t="s">
        <v>1642</v>
      </c>
      <c r="J300" s="138"/>
      <c r="K300" s="146" t="n">
        <f aca="false">Parâmetros!$C$4*(F300+2*Parâmetros!$D$4+Parâmetros!$C$4*Parâmetros!$E$4)</f>
        <v>0.5525</v>
      </c>
      <c r="L300" s="146" t="n">
        <f aca="false">Parâmetros!$C$5*(F300+2*Parâmetros!$D$5+Parâmetros!$C$5*Parâmetros!$E$5)</f>
        <v>1.8176</v>
      </c>
      <c r="M300" s="146" t="n">
        <f aca="false">Parâmetros!$C$6*(F300+2*Parâmetros!$D$6+Parâmetros!$C$6*Parâmetros!$E$6)</f>
        <v>2.384</v>
      </c>
      <c r="N300" s="146" t="n">
        <f aca="false">Parâmetros!$C$7*(F300+2*Parâmetros!$D$7+Parâmetros!$C$7*Parâmetros!$E$7)</f>
        <v>3.786</v>
      </c>
      <c r="O300" s="146" t="n">
        <f aca="false">F300+2*Parâmetros!$D$8</f>
        <v>11.2</v>
      </c>
      <c r="P300" s="146" t="n">
        <f aca="false">F300+2*Parâmetros!$D$10</f>
        <v>12.92</v>
      </c>
      <c r="Q300" s="146" t="n">
        <f aca="false">G300+H300</f>
        <v>0</v>
      </c>
      <c r="S300" s="149" t="n">
        <f aca="false">S299+'Volumes por intervalo'!C299*(F299+F300)/2</f>
        <v>67040</v>
      </c>
      <c r="T300" s="149" t="n">
        <f aca="false">T299+'Volumes por intervalo'!H299</f>
        <v>3366.90000000001</v>
      </c>
      <c r="U300" s="149" t="n">
        <f aca="false">U299+'Volumes por intervalo'!J299</f>
        <v>11069.696</v>
      </c>
      <c r="V300" s="149" t="n">
        <f aca="false">V299+'Volumes por intervalo'!K299</f>
        <v>14504.64</v>
      </c>
      <c r="W300" s="149" t="n">
        <f aca="false">W299+'Volumes por intervalo'!L299</f>
        <v>23008.56</v>
      </c>
      <c r="X300" s="149" t="n">
        <f aca="false">X299+'Volumes por intervalo'!M299</f>
        <v>68232</v>
      </c>
      <c r="Y300" s="149" t="n">
        <f aca="false">Y299+'Volumes por intervalo'!N299</f>
        <v>68232</v>
      </c>
      <c r="Z300" s="149" t="n">
        <f aca="false">Z299+'Volumes por intervalo'!O299</f>
        <v>78483.2</v>
      </c>
      <c r="AA300" s="149" t="n">
        <f aca="false">AA299+'Volumes por intervalo'!P299</f>
        <v>0</v>
      </c>
      <c r="AB300" s="149" t="n">
        <f aca="false">AB299+'Volumes por intervalo'!Q299</f>
        <v>0</v>
      </c>
      <c r="AC300" s="149" t="n">
        <f aca="false">AC299+'Volumes por intervalo'!R299</f>
        <v>0</v>
      </c>
      <c r="AD300" s="149" t="n">
        <f aca="false">AD299+'Volumes por intervalo'!S299</f>
        <v>0</v>
      </c>
    </row>
    <row r="301" customFormat="false" ht="15" hidden="false" customHeight="false" outlineLevel="0" collapsed="false">
      <c r="A301" s="138" t="s">
        <v>1954</v>
      </c>
      <c r="B301" s="146" t="n">
        <v>299</v>
      </c>
      <c r="C301" s="144" t="n">
        <v>5980</v>
      </c>
      <c r="D301" s="138" t="s">
        <v>1565</v>
      </c>
      <c r="E301" s="138" t="s">
        <v>1566</v>
      </c>
      <c r="F301" s="147" t="n">
        <v>11</v>
      </c>
      <c r="G301" s="148" t="n">
        <v>0</v>
      </c>
      <c r="H301" s="148" t="n">
        <v>0</v>
      </c>
      <c r="I301" s="138" t="s">
        <v>1642</v>
      </c>
      <c r="J301" s="138"/>
      <c r="K301" s="146" t="n">
        <f aca="false">Parâmetros!$C$4*(F301+2*Parâmetros!$D$4+Parâmetros!$C$4*Parâmetros!$E$4)</f>
        <v>0.5525</v>
      </c>
      <c r="L301" s="146" t="n">
        <f aca="false">Parâmetros!$C$5*(F301+2*Parâmetros!$D$5+Parâmetros!$C$5*Parâmetros!$E$5)</f>
        <v>1.8176</v>
      </c>
      <c r="M301" s="146" t="n">
        <f aca="false">Parâmetros!$C$6*(F301+2*Parâmetros!$D$6+Parâmetros!$C$6*Parâmetros!$E$6)</f>
        <v>2.384</v>
      </c>
      <c r="N301" s="146" t="n">
        <f aca="false">Parâmetros!$C$7*(F301+2*Parâmetros!$D$7+Parâmetros!$C$7*Parâmetros!$E$7)</f>
        <v>3.786</v>
      </c>
      <c r="O301" s="146" t="n">
        <f aca="false">F301+2*Parâmetros!$D$8</f>
        <v>11.2</v>
      </c>
      <c r="P301" s="146" t="n">
        <f aca="false">F301+2*Parâmetros!$D$10</f>
        <v>12.92</v>
      </c>
      <c r="Q301" s="146" t="n">
        <f aca="false">G301+H301</f>
        <v>0</v>
      </c>
      <c r="S301" s="149" t="n">
        <f aca="false">S300+'Volumes por intervalo'!C300*(F300+F301)/2</f>
        <v>67260</v>
      </c>
      <c r="T301" s="149" t="n">
        <f aca="false">T300+'Volumes por intervalo'!H300</f>
        <v>3377.95000000001</v>
      </c>
      <c r="U301" s="149" t="n">
        <f aca="false">U300+'Volumes por intervalo'!J300</f>
        <v>11106.048</v>
      </c>
      <c r="V301" s="149" t="n">
        <f aca="false">V300+'Volumes por intervalo'!K300</f>
        <v>14552.32</v>
      </c>
      <c r="W301" s="149" t="n">
        <f aca="false">W300+'Volumes por intervalo'!L300</f>
        <v>23084.28</v>
      </c>
      <c r="X301" s="149" t="n">
        <f aca="false">X300+'Volumes por intervalo'!M300</f>
        <v>68456</v>
      </c>
      <c r="Y301" s="149" t="n">
        <f aca="false">Y300+'Volumes por intervalo'!N300</f>
        <v>68456</v>
      </c>
      <c r="Z301" s="149" t="n">
        <f aca="false">Z300+'Volumes por intervalo'!O300</f>
        <v>78741.6</v>
      </c>
      <c r="AA301" s="149" t="n">
        <f aca="false">AA300+'Volumes por intervalo'!P300</f>
        <v>0</v>
      </c>
      <c r="AB301" s="149" t="n">
        <f aca="false">AB300+'Volumes por intervalo'!Q300</f>
        <v>0</v>
      </c>
      <c r="AC301" s="149" t="n">
        <f aca="false">AC300+'Volumes por intervalo'!R300</f>
        <v>0</v>
      </c>
      <c r="AD301" s="149" t="n">
        <f aca="false">AD300+'Volumes por intervalo'!S300</f>
        <v>0</v>
      </c>
    </row>
    <row r="302" customFormat="false" ht="15" hidden="false" customHeight="false" outlineLevel="0" collapsed="false">
      <c r="A302" s="138" t="s">
        <v>1955</v>
      </c>
      <c r="B302" s="146" t="n">
        <v>300</v>
      </c>
      <c r="C302" s="144" t="n">
        <v>6000</v>
      </c>
      <c r="D302" s="138" t="s">
        <v>1565</v>
      </c>
      <c r="E302" s="138" t="s">
        <v>1566</v>
      </c>
      <c r="F302" s="147" t="n">
        <v>11</v>
      </c>
      <c r="G302" s="148" t="n">
        <v>0</v>
      </c>
      <c r="H302" s="148" t="n">
        <v>0</v>
      </c>
      <c r="I302" s="138" t="s">
        <v>1642</v>
      </c>
      <c r="J302" s="138"/>
      <c r="K302" s="146" t="n">
        <f aca="false">Parâmetros!$C$4*(F302+2*Parâmetros!$D$4+Parâmetros!$C$4*Parâmetros!$E$4)</f>
        <v>0.5525</v>
      </c>
      <c r="L302" s="146" t="n">
        <f aca="false">Parâmetros!$C$5*(F302+2*Parâmetros!$D$5+Parâmetros!$C$5*Parâmetros!$E$5)</f>
        <v>1.8176</v>
      </c>
      <c r="M302" s="146" t="n">
        <f aca="false">Parâmetros!$C$6*(F302+2*Parâmetros!$D$6+Parâmetros!$C$6*Parâmetros!$E$6)</f>
        <v>2.384</v>
      </c>
      <c r="N302" s="146" t="n">
        <f aca="false">Parâmetros!$C$7*(F302+2*Parâmetros!$D$7+Parâmetros!$C$7*Parâmetros!$E$7)</f>
        <v>3.786</v>
      </c>
      <c r="O302" s="146" t="n">
        <f aca="false">F302+2*Parâmetros!$D$8</f>
        <v>11.2</v>
      </c>
      <c r="P302" s="146" t="n">
        <f aca="false">F302+2*Parâmetros!$D$10</f>
        <v>12.92</v>
      </c>
      <c r="Q302" s="146" t="n">
        <f aca="false">G302+H302</f>
        <v>0</v>
      </c>
      <c r="S302" s="149" t="n">
        <f aca="false">S301+'Volumes por intervalo'!C301*(F301+F302)/2</f>
        <v>67480</v>
      </c>
      <c r="T302" s="149" t="n">
        <f aca="false">T301+'Volumes por intervalo'!H301</f>
        <v>3389.00000000001</v>
      </c>
      <c r="U302" s="149" t="n">
        <f aca="false">U301+'Volumes por intervalo'!J301</f>
        <v>11142.4</v>
      </c>
      <c r="V302" s="149" t="n">
        <f aca="false">V301+'Volumes por intervalo'!K301</f>
        <v>14600</v>
      </c>
      <c r="W302" s="149" t="n">
        <f aca="false">W301+'Volumes por intervalo'!L301</f>
        <v>23160</v>
      </c>
      <c r="X302" s="149" t="n">
        <f aca="false">X301+'Volumes por intervalo'!M301</f>
        <v>68680</v>
      </c>
      <c r="Y302" s="149" t="n">
        <f aca="false">Y301+'Volumes por intervalo'!N301</f>
        <v>68680</v>
      </c>
      <c r="Z302" s="149" t="n">
        <f aca="false">Z301+'Volumes por intervalo'!O301</f>
        <v>79000</v>
      </c>
      <c r="AA302" s="149" t="n">
        <f aca="false">AA301+'Volumes por intervalo'!P301</f>
        <v>0</v>
      </c>
      <c r="AB302" s="149" t="n">
        <f aca="false">AB301+'Volumes por intervalo'!Q301</f>
        <v>0</v>
      </c>
      <c r="AC302" s="149" t="n">
        <f aca="false">AC301+'Volumes por intervalo'!R301</f>
        <v>0</v>
      </c>
      <c r="AD302" s="149" t="n">
        <f aca="false">AD301+'Volumes por intervalo'!S301</f>
        <v>0</v>
      </c>
    </row>
    <row r="303" customFormat="false" ht="15" hidden="false" customHeight="false" outlineLevel="0" collapsed="false">
      <c r="A303" s="138" t="s">
        <v>1956</v>
      </c>
      <c r="B303" s="146" t="n">
        <v>301</v>
      </c>
      <c r="C303" s="144" t="n">
        <v>6020</v>
      </c>
      <c r="D303" s="138" t="s">
        <v>1565</v>
      </c>
      <c r="E303" s="138" t="s">
        <v>1566</v>
      </c>
      <c r="F303" s="147" t="n">
        <v>11</v>
      </c>
      <c r="G303" s="148" t="n">
        <v>0</v>
      </c>
      <c r="H303" s="148" t="n">
        <v>0</v>
      </c>
      <c r="I303" s="138" t="s">
        <v>1642</v>
      </c>
      <c r="J303" s="138"/>
      <c r="K303" s="146" t="n">
        <f aca="false">Parâmetros!$C$4*(F303+2*Parâmetros!$D$4+Parâmetros!$C$4*Parâmetros!$E$4)</f>
        <v>0.5525</v>
      </c>
      <c r="L303" s="146" t="n">
        <f aca="false">Parâmetros!$C$5*(F303+2*Parâmetros!$D$5+Parâmetros!$C$5*Parâmetros!$E$5)</f>
        <v>1.8176</v>
      </c>
      <c r="M303" s="146" t="n">
        <f aca="false">Parâmetros!$C$6*(F303+2*Parâmetros!$D$6+Parâmetros!$C$6*Parâmetros!$E$6)</f>
        <v>2.384</v>
      </c>
      <c r="N303" s="146" t="n">
        <f aca="false">Parâmetros!$C$7*(F303+2*Parâmetros!$D$7+Parâmetros!$C$7*Parâmetros!$E$7)</f>
        <v>3.786</v>
      </c>
      <c r="O303" s="146" t="n">
        <f aca="false">F303+2*Parâmetros!$D$8</f>
        <v>11.2</v>
      </c>
      <c r="P303" s="146" t="n">
        <f aca="false">F303+2*Parâmetros!$D$10</f>
        <v>12.92</v>
      </c>
      <c r="Q303" s="146" t="n">
        <f aca="false">G303+H303</f>
        <v>0</v>
      </c>
      <c r="S303" s="149" t="n">
        <f aca="false">S302+'Volumes por intervalo'!C302*(F302+F303)/2</f>
        <v>67700</v>
      </c>
      <c r="T303" s="149" t="n">
        <f aca="false">T302+'Volumes por intervalo'!H302</f>
        <v>3400.05000000001</v>
      </c>
      <c r="U303" s="149" t="n">
        <f aca="false">U302+'Volumes por intervalo'!J302</f>
        <v>11178.752</v>
      </c>
      <c r="V303" s="149" t="n">
        <f aca="false">V302+'Volumes por intervalo'!K302</f>
        <v>14647.68</v>
      </c>
      <c r="W303" s="149" t="n">
        <f aca="false">W302+'Volumes por intervalo'!L302</f>
        <v>23235.7200000001</v>
      </c>
      <c r="X303" s="149" t="n">
        <f aca="false">X302+'Volumes por intervalo'!M302</f>
        <v>68904</v>
      </c>
      <c r="Y303" s="149" t="n">
        <f aca="false">Y302+'Volumes por intervalo'!N302</f>
        <v>68904</v>
      </c>
      <c r="Z303" s="149" t="n">
        <f aca="false">Z302+'Volumes por intervalo'!O302</f>
        <v>79258.4</v>
      </c>
      <c r="AA303" s="149" t="n">
        <f aca="false">AA302+'Volumes por intervalo'!P302</f>
        <v>0</v>
      </c>
      <c r="AB303" s="149" t="n">
        <f aca="false">AB302+'Volumes por intervalo'!Q302</f>
        <v>0</v>
      </c>
      <c r="AC303" s="149" t="n">
        <f aca="false">AC302+'Volumes por intervalo'!R302</f>
        <v>0</v>
      </c>
      <c r="AD303" s="149" t="n">
        <f aca="false">AD302+'Volumes por intervalo'!S302</f>
        <v>0</v>
      </c>
    </row>
    <row r="304" customFormat="false" ht="15" hidden="false" customHeight="false" outlineLevel="0" collapsed="false">
      <c r="A304" s="138" t="s">
        <v>1957</v>
      </c>
      <c r="B304" s="146" t="n">
        <v>302</v>
      </c>
      <c r="C304" s="144" t="n">
        <v>6040</v>
      </c>
      <c r="D304" s="138" t="s">
        <v>1565</v>
      </c>
      <c r="E304" s="138" t="s">
        <v>1566</v>
      </c>
      <c r="F304" s="147" t="n">
        <v>11</v>
      </c>
      <c r="G304" s="148" t="n">
        <v>0</v>
      </c>
      <c r="H304" s="148" t="n">
        <v>0</v>
      </c>
      <c r="I304" s="138" t="s">
        <v>1642</v>
      </c>
      <c r="J304" s="138"/>
      <c r="K304" s="146" t="n">
        <f aca="false">Parâmetros!$C$4*(F304+2*Parâmetros!$D$4+Parâmetros!$C$4*Parâmetros!$E$4)</f>
        <v>0.5525</v>
      </c>
      <c r="L304" s="146" t="n">
        <f aca="false">Parâmetros!$C$5*(F304+2*Parâmetros!$D$5+Parâmetros!$C$5*Parâmetros!$E$5)</f>
        <v>1.8176</v>
      </c>
      <c r="M304" s="146" t="n">
        <f aca="false">Parâmetros!$C$6*(F304+2*Parâmetros!$D$6+Parâmetros!$C$6*Parâmetros!$E$6)</f>
        <v>2.384</v>
      </c>
      <c r="N304" s="146" t="n">
        <f aca="false">Parâmetros!$C$7*(F304+2*Parâmetros!$D$7+Parâmetros!$C$7*Parâmetros!$E$7)</f>
        <v>3.786</v>
      </c>
      <c r="O304" s="146" t="n">
        <f aca="false">F304+2*Parâmetros!$D$8</f>
        <v>11.2</v>
      </c>
      <c r="P304" s="146" t="n">
        <f aca="false">F304+2*Parâmetros!$D$10</f>
        <v>12.92</v>
      </c>
      <c r="Q304" s="146" t="n">
        <f aca="false">G304+H304</f>
        <v>0</v>
      </c>
      <c r="S304" s="149" t="n">
        <f aca="false">S303+'Volumes por intervalo'!C303*(F303+F304)/2</f>
        <v>67920</v>
      </c>
      <c r="T304" s="149" t="n">
        <f aca="false">T303+'Volumes por intervalo'!H303</f>
        <v>3411.10000000001</v>
      </c>
      <c r="U304" s="149" t="n">
        <f aca="false">U303+'Volumes por intervalo'!J303</f>
        <v>11215.104</v>
      </c>
      <c r="V304" s="149" t="n">
        <f aca="false">V303+'Volumes por intervalo'!K303</f>
        <v>14695.36</v>
      </c>
      <c r="W304" s="149" t="n">
        <f aca="false">W303+'Volumes por intervalo'!L303</f>
        <v>23311.4400000001</v>
      </c>
      <c r="X304" s="149" t="n">
        <f aca="false">X303+'Volumes por intervalo'!M303</f>
        <v>69128</v>
      </c>
      <c r="Y304" s="149" t="n">
        <f aca="false">Y303+'Volumes por intervalo'!N303</f>
        <v>69128</v>
      </c>
      <c r="Z304" s="149" t="n">
        <f aca="false">Z303+'Volumes por intervalo'!O303</f>
        <v>79516.7999999999</v>
      </c>
      <c r="AA304" s="149" t="n">
        <f aca="false">AA303+'Volumes por intervalo'!P303</f>
        <v>0</v>
      </c>
      <c r="AB304" s="149" t="n">
        <f aca="false">AB303+'Volumes por intervalo'!Q303</f>
        <v>0</v>
      </c>
      <c r="AC304" s="149" t="n">
        <f aca="false">AC303+'Volumes por intervalo'!R303</f>
        <v>0</v>
      </c>
      <c r="AD304" s="149" t="n">
        <f aca="false">AD303+'Volumes por intervalo'!S303</f>
        <v>0</v>
      </c>
    </row>
    <row r="305" customFormat="false" ht="15" hidden="false" customHeight="false" outlineLevel="0" collapsed="false">
      <c r="A305" s="138" t="s">
        <v>1958</v>
      </c>
      <c r="B305" s="146" t="n">
        <v>303</v>
      </c>
      <c r="C305" s="144" t="n">
        <v>6060</v>
      </c>
      <c r="D305" s="138" t="s">
        <v>1565</v>
      </c>
      <c r="E305" s="138" t="s">
        <v>1566</v>
      </c>
      <c r="F305" s="147" t="n">
        <v>11</v>
      </c>
      <c r="G305" s="148" t="n">
        <v>0</v>
      </c>
      <c r="H305" s="148" t="n">
        <v>0</v>
      </c>
      <c r="I305" s="138" t="s">
        <v>1642</v>
      </c>
      <c r="J305" s="138"/>
      <c r="K305" s="146" t="n">
        <f aca="false">Parâmetros!$C$4*(F305+2*Parâmetros!$D$4+Parâmetros!$C$4*Parâmetros!$E$4)</f>
        <v>0.5525</v>
      </c>
      <c r="L305" s="146" t="n">
        <f aca="false">Parâmetros!$C$5*(F305+2*Parâmetros!$D$5+Parâmetros!$C$5*Parâmetros!$E$5)</f>
        <v>1.8176</v>
      </c>
      <c r="M305" s="146" t="n">
        <f aca="false">Parâmetros!$C$6*(F305+2*Parâmetros!$D$6+Parâmetros!$C$6*Parâmetros!$E$6)</f>
        <v>2.384</v>
      </c>
      <c r="N305" s="146" t="n">
        <f aca="false">Parâmetros!$C$7*(F305+2*Parâmetros!$D$7+Parâmetros!$C$7*Parâmetros!$E$7)</f>
        <v>3.786</v>
      </c>
      <c r="O305" s="146" t="n">
        <f aca="false">F305+2*Parâmetros!$D$8</f>
        <v>11.2</v>
      </c>
      <c r="P305" s="146" t="n">
        <f aca="false">F305+2*Parâmetros!$D$10</f>
        <v>12.92</v>
      </c>
      <c r="Q305" s="146" t="n">
        <f aca="false">G305+H305</f>
        <v>0</v>
      </c>
      <c r="S305" s="149" t="n">
        <f aca="false">S304+'Volumes por intervalo'!C304*(F304+F305)/2</f>
        <v>68140</v>
      </c>
      <c r="T305" s="149" t="n">
        <f aca="false">T304+'Volumes por intervalo'!H304</f>
        <v>3422.15000000001</v>
      </c>
      <c r="U305" s="149" t="n">
        <f aca="false">U304+'Volumes por intervalo'!J304</f>
        <v>11251.456</v>
      </c>
      <c r="V305" s="149" t="n">
        <f aca="false">V304+'Volumes por intervalo'!K304</f>
        <v>14743.04</v>
      </c>
      <c r="W305" s="149" t="n">
        <f aca="false">W304+'Volumes por intervalo'!L304</f>
        <v>23387.1600000001</v>
      </c>
      <c r="X305" s="149" t="n">
        <f aca="false">X304+'Volumes por intervalo'!M304</f>
        <v>69352</v>
      </c>
      <c r="Y305" s="149" t="n">
        <f aca="false">Y304+'Volumes por intervalo'!N304</f>
        <v>69352</v>
      </c>
      <c r="Z305" s="149" t="n">
        <f aca="false">Z304+'Volumes por intervalo'!O304</f>
        <v>79775.1999999999</v>
      </c>
      <c r="AA305" s="149" t="n">
        <f aca="false">AA304+'Volumes por intervalo'!P304</f>
        <v>0</v>
      </c>
      <c r="AB305" s="149" t="n">
        <f aca="false">AB304+'Volumes por intervalo'!Q304</f>
        <v>0</v>
      </c>
      <c r="AC305" s="149" t="n">
        <f aca="false">AC304+'Volumes por intervalo'!R304</f>
        <v>0</v>
      </c>
      <c r="AD305" s="149" t="n">
        <f aca="false">AD304+'Volumes por intervalo'!S304</f>
        <v>0</v>
      </c>
    </row>
    <row r="306" customFormat="false" ht="15" hidden="false" customHeight="false" outlineLevel="0" collapsed="false">
      <c r="A306" s="138" t="s">
        <v>1959</v>
      </c>
      <c r="B306" s="146" t="n">
        <v>304</v>
      </c>
      <c r="C306" s="144" t="n">
        <v>6080</v>
      </c>
      <c r="D306" s="138" t="s">
        <v>1565</v>
      </c>
      <c r="E306" s="138" t="s">
        <v>1566</v>
      </c>
      <c r="F306" s="147" t="n">
        <v>11</v>
      </c>
      <c r="G306" s="148" t="n">
        <v>0</v>
      </c>
      <c r="H306" s="148" t="n">
        <v>0</v>
      </c>
      <c r="I306" s="138" t="s">
        <v>1642</v>
      </c>
      <c r="J306" s="138"/>
      <c r="K306" s="146" t="n">
        <f aca="false">Parâmetros!$C$4*(F306+2*Parâmetros!$D$4+Parâmetros!$C$4*Parâmetros!$E$4)</f>
        <v>0.5525</v>
      </c>
      <c r="L306" s="146" t="n">
        <f aca="false">Parâmetros!$C$5*(F306+2*Parâmetros!$D$5+Parâmetros!$C$5*Parâmetros!$E$5)</f>
        <v>1.8176</v>
      </c>
      <c r="M306" s="146" t="n">
        <f aca="false">Parâmetros!$C$6*(F306+2*Parâmetros!$D$6+Parâmetros!$C$6*Parâmetros!$E$6)</f>
        <v>2.384</v>
      </c>
      <c r="N306" s="146" t="n">
        <f aca="false">Parâmetros!$C$7*(F306+2*Parâmetros!$D$7+Parâmetros!$C$7*Parâmetros!$E$7)</f>
        <v>3.786</v>
      </c>
      <c r="O306" s="146" t="n">
        <f aca="false">F306+2*Parâmetros!$D$8</f>
        <v>11.2</v>
      </c>
      <c r="P306" s="146" t="n">
        <f aca="false">F306+2*Parâmetros!$D$10</f>
        <v>12.92</v>
      </c>
      <c r="Q306" s="146" t="n">
        <f aca="false">G306+H306</f>
        <v>0</v>
      </c>
      <c r="S306" s="149" t="n">
        <f aca="false">S305+'Volumes por intervalo'!C305*(F305+F306)/2</f>
        <v>68360</v>
      </c>
      <c r="T306" s="149" t="n">
        <f aca="false">T305+'Volumes por intervalo'!H305</f>
        <v>3433.20000000001</v>
      </c>
      <c r="U306" s="149" t="n">
        <f aca="false">U305+'Volumes por intervalo'!J305</f>
        <v>11287.808</v>
      </c>
      <c r="V306" s="149" t="n">
        <f aca="false">V305+'Volumes por intervalo'!K305</f>
        <v>14790.72</v>
      </c>
      <c r="W306" s="149" t="n">
        <f aca="false">W305+'Volumes por intervalo'!L305</f>
        <v>23462.8800000001</v>
      </c>
      <c r="X306" s="149" t="n">
        <f aca="false">X305+'Volumes por intervalo'!M305</f>
        <v>69576</v>
      </c>
      <c r="Y306" s="149" t="n">
        <f aca="false">Y305+'Volumes por intervalo'!N305</f>
        <v>69576</v>
      </c>
      <c r="Z306" s="149" t="n">
        <f aca="false">Z305+'Volumes por intervalo'!O305</f>
        <v>80033.5999999999</v>
      </c>
      <c r="AA306" s="149" t="n">
        <f aca="false">AA305+'Volumes por intervalo'!P305</f>
        <v>0</v>
      </c>
      <c r="AB306" s="149" t="n">
        <f aca="false">AB305+'Volumes por intervalo'!Q305</f>
        <v>0</v>
      </c>
      <c r="AC306" s="149" t="n">
        <f aca="false">AC305+'Volumes por intervalo'!R305</f>
        <v>0</v>
      </c>
      <c r="AD306" s="149" t="n">
        <f aca="false">AD305+'Volumes por intervalo'!S305</f>
        <v>0</v>
      </c>
    </row>
    <row r="307" customFormat="false" ht="15" hidden="false" customHeight="false" outlineLevel="0" collapsed="false">
      <c r="A307" s="138" t="s">
        <v>1960</v>
      </c>
      <c r="B307" s="146" t="n">
        <v>305</v>
      </c>
      <c r="C307" s="144" t="n">
        <v>6100</v>
      </c>
      <c r="D307" s="138" t="s">
        <v>1565</v>
      </c>
      <c r="E307" s="138" t="s">
        <v>1566</v>
      </c>
      <c r="F307" s="147" t="n">
        <v>11</v>
      </c>
      <c r="G307" s="148" t="n">
        <v>0</v>
      </c>
      <c r="H307" s="148" t="n">
        <v>0</v>
      </c>
      <c r="I307" s="138" t="s">
        <v>1642</v>
      </c>
      <c r="J307" s="138"/>
      <c r="K307" s="146" t="n">
        <f aca="false">Parâmetros!$C$4*(F307+2*Parâmetros!$D$4+Parâmetros!$C$4*Parâmetros!$E$4)</f>
        <v>0.5525</v>
      </c>
      <c r="L307" s="146" t="n">
        <f aca="false">Parâmetros!$C$5*(F307+2*Parâmetros!$D$5+Parâmetros!$C$5*Parâmetros!$E$5)</f>
        <v>1.8176</v>
      </c>
      <c r="M307" s="146" t="n">
        <f aca="false">Parâmetros!$C$6*(F307+2*Parâmetros!$D$6+Parâmetros!$C$6*Parâmetros!$E$6)</f>
        <v>2.384</v>
      </c>
      <c r="N307" s="146" t="n">
        <f aca="false">Parâmetros!$C$7*(F307+2*Parâmetros!$D$7+Parâmetros!$C$7*Parâmetros!$E$7)</f>
        <v>3.786</v>
      </c>
      <c r="O307" s="146" t="n">
        <f aca="false">F307+2*Parâmetros!$D$8</f>
        <v>11.2</v>
      </c>
      <c r="P307" s="146" t="n">
        <f aca="false">F307+2*Parâmetros!$D$10</f>
        <v>12.92</v>
      </c>
      <c r="Q307" s="146" t="n">
        <f aca="false">G307+H307</f>
        <v>0</v>
      </c>
      <c r="S307" s="149" t="n">
        <f aca="false">S306+'Volumes por intervalo'!C306*(F306+F307)/2</f>
        <v>68580</v>
      </c>
      <c r="T307" s="149" t="n">
        <f aca="false">T306+'Volumes por intervalo'!H306</f>
        <v>3444.25000000001</v>
      </c>
      <c r="U307" s="149" t="n">
        <f aca="false">U306+'Volumes por intervalo'!J306</f>
        <v>11324.16</v>
      </c>
      <c r="V307" s="149" t="n">
        <f aca="false">V306+'Volumes por intervalo'!K306</f>
        <v>14838.4</v>
      </c>
      <c r="W307" s="149" t="n">
        <f aca="false">W306+'Volumes por intervalo'!L306</f>
        <v>23538.6000000001</v>
      </c>
      <c r="X307" s="149" t="n">
        <f aca="false">X306+'Volumes por intervalo'!M306</f>
        <v>69800</v>
      </c>
      <c r="Y307" s="149" t="n">
        <f aca="false">Y306+'Volumes por intervalo'!N306</f>
        <v>69800</v>
      </c>
      <c r="Z307" s="149" t="n">
        <f aca="false">Z306+'Volumes por intervalo'!O306</f>
        <v>80291.9999999999</v>
      </c>
      <c r="AA307" s="149" t="n">
        <f aca="false">AA306+'Volumes por intervalo'!P306</f>
        <v>0</v>
      </c>
      <c r="AB307" s="149" t="n">
        <f aca="false">AB306+'Volumes por intervalo'!Q306</f>
        <v>0</v>
      </c>
      <c r="AC307" s="149" t="n">
        <f aca="false">AC306+'Volumes por intervalo'!R306</f>
        <v>0</v>
      </c>
      <c r="AD307" s="149" t="n">
        <f aca="false">AD306+'Volumes por intervalo'!S306</f>
        <v>0</v>
      </c>
    </row>
    <row r="308" customFormat="false" ht="15" hidden="false" customHeight="false" outlineLevel="0" collapsed="false">
      <c r="A308" s="138" t="s">
        <v>1961</v>
      </c>
      <c r="B308" s="146" t="n">
        <v>306</v>
      </c>
      <c r="C308" s="144" t="n">
        <v>6120</v>
      </c>
      <c r="D308" s="138" t="s">
        <v>1565</v>
      </c>
      <c r="E308" s="138" t="s">
        <v>1566</v>
      </c>
      <c r="F308" s="147" t="n">
        <v>11</v>
      </c>
      <c r="G308" s="148" t="n">
        <v>0</v>
      </c>
      <c r="H308" s="148" t="n">
        <v>0</v>
      </c>
      <c r="I308" s="138" t="s">
        <v>1642</v>
      </c>
      <c r="J308" s="138"/>
      <c r="K308" s="146" t="n">
        <f aca="false">Parâmetros!$C$4*(F308+2*Parâmetros!$D$4+Parâmetros!$C$4*Parâmetros!$E$4)</f>
        <v>0.5525</v>
      </c>
      <c r="L308" s="146" t="n">
        <f aca="false">Parâmetros!$C$5*(F308+2*Parâmetros!$D$5+Parâmetros!$C$5*Parâmetros!$E$5)</f>
        <v>1.8176</v>
      </c>
      <c r="M308" s="146" t="n">
        <f aca="false">Parâmetros!$C$6*(F308+2*Parâmetros!$D$6+Parâmetros!$C$6*Parâmetros!$E$6)</f>
        <v>2.384</v>
      </c>
      <c r="N308" s="146" t="n">
        <f aca="false">Parâmetros!$C$7*(F308+2*Parâmetros!$D$7+Parâmetros!$C$7*Parâmetros!$E$7)</f>
        <v>3.786</v>
      </c>
      <c r="O308" s="146" t="n">
        <f aca="false">F308+2*Parâmetros!$D$8</f>
        <v>11.2</v>
      </c>
      <c r="P308" s="146" t="n">
        <f aca="false">F308+2*Parâmetros!$D$10</f>
        <v>12.92</v>
      </c>
      <c r="Q308" s="146" t="n">
        <f aca="false">G308+H308</f>
        <v>0</v>
      </c>
      <c r="S308" s="149" t="n">
        <f aca="false">S307+'Volumes por intervalo'!C307*(F307+F308)/2</f>
        <v>68800</v>
      </c>
      <c r="T308" s="149" t="n">
        <f aca="false">T307+'Volumes por intervalo'!H307</f>
        <v>3455.30000000001</v>
      </c>
      <c r="U308" s="149" t="n">
        <f aca="false">U307+'Volumes por intervalo'!J307</f>
        <v>11360.512</v>
      </c>
      <c r="V308" s="149" t="n">
        <f aca="false">V307+'Volumes por intervalo'!K307</f>
        <v>14886.08</v>
      </c>
      <c r="W308" s="149" t="n">
        <f aca="false">W307+'Volumes por intervalo'!L307</f>
        <v>23614.3200000001</v>
      </c>
      <c r="X308" s="149" t="n">
        <f aca="false">X307+'Volumes por intervalo'!M307</f>
        <v>70024</v>
      </c>
      <c r="Y308" s="149" t="n">
        <f aca="false">Y307+'Volumes por intervalo'!N307</f>
        <v>70024</v>
      </c>
      <c r="Z308" s="149" t="n">
        <f aca="false">Z307+'Volumes por intervalo'!O307</f>
        <v>80550.3999999999</v>
      </c>
      <c r="AA308" s="149" t="n">
        <f aca="false">AA307+'Volumes por intervalo'!P307</f>
        <v>0</v>
      </c>
      <c r="AB308" s="149" t="n">
        <f aca="false">AB307+'Volumes por intervalo'!Q307</f>
        <v>0</v>
      </c>
      <c r="AC308" s="149" t="n">
        <f aca="false">AC307+'Volumes por intervalo'!R307</f>
        <v>0</v>
      </c>
      <c r="AD308" s="149" t="n">
        <f aca="false">AD307+'Volumes por intervalo'!S307</f>
        <v>0</v>
      </c>
    </row>
    <row r="309" customFormat="false" ht="15" hidden="false" customHeight="false" outlineLevel="0" collapsed="false">
      <c r="A309" s="138" t="s">
        <v>1962</v>
      </c>
      <c r="B309" s="146" t="n">
        <v>307</v>
      </c>
      <c r="C309" s="144" t="n">
        <v>6140</v>
      </c>
      <c r="D309" s="138" t="s">
        <v>1565</v>
      </c>
      <c r="E309" s="138" t="s">
        <v>1566</v>
      </c>
      <c r="F309" s="147" t="n">
        <v>11</v>
      </c>
      <c r="G309" s="148" t="n">
        <v>0</v>
      </c>
      <c r="H309" s="148" t="n">
        <v>0</v>
      </c>
      <c r="I309" s="138" t="s">
        <v>1642</v>
      </c>
      <c r="J309" s="138"/>
      <c r="K309" s="146" t="n">
        <f aca="false">Parâmetros!$C$4*(F309+2*Parâmetros!$D$4+Parâmetros!$C$4*Parâmetros!$E$4)</f>
        <v>0.5525</v>
      </c>
      <c r="L309" s="146" t="n">
        <f aca="false">Parâmetros!$C$5*(F309+2*Parâmetros!$D$5+Parâmetros!$C$5*Parâmetros!$E$5)</f>
        <v>1.8176</v>
      </c>
      <c r="M309" s="146" t="n">
        <f aca="false">Parâmetros!$C$6*(F309+2*Parâmetros!$D$6+Parâmetros!$C$6*Parâmetros!$E$6)</f>
        <v>2.384</v>
      </c>
      <c r="N309" s="146" t="n">
        <f aca="false">Parâmetros!$C$7*(F309+2*Parâmetros!$D$7+Parâmetros!$C$7*Parâmetros!$E$7)</f>
        <v>3.786</v>
      </c>
      <c r="O309" s="146" t="n">
        <f aca="false">F309+2*Parâmetros!$D$8</f>
        <v>11.2</v>
      </c>
      <c r="P309" s="146" t="n">
        <f aca="false">F309+2*Parâmetros!$D$10</f>
        <v>12.92</v>
      </c>
      <c r="Q309" s="146" t="n">
        <f aca="false">G309+H309</f>
        <v>0</v>
      </c>
      <c r="S309" s="149" t="n">
        <f aca="false">S308+'Volumes por intervalo'!C308*(F308+F309)/2</f>
        <v>69020</v>
      </c>
      <c r="T309" s="149" t="n">
        <f aca="false">T308+'Volumes por intervalo'!H308</f>
        <v>3466.35000000002</v>
      </c>
      <c r="U309" s="149" t="n">
        <f aca="false">U308+'Volumes por intervalo'!J308</f>
        <v>11396.864</v>
      </c>
      <c r="V309" s="149" t="n">
        <f aca="false">V308+'Volumes por intervalo'!K308</f>
        <v>14933.76</v>
      </c>
      <c r="W309" s="149" t="n">
        <f aca="false">W308+'Volumes por intervalo'!L308</f>
        <v>23690.0400000001</v>
      </c>
      <c r="X309" s="149" t="n">
        <f aca="false">X308+'Volumes por intervalo'!M308</f>
        <v>70248</v>
      </c>
      <c r="Y309" s="149" t="n">
        <f aca="false">Y308+'Volumes por intervalo'!N308</f>
        <v>70248</v>
      </c>
      <c r="Z309" s="149" t="n">
        <f aca="false">Z308+'Volumes por intervalo'!O308</f>
        <v>80808.7999999999</v>
      </c>
      <c r="AA309" s="149" t="n">
        <f aca="false">AA308+'Volumes por intervalo'!P308</f>
        <v>0</v>
      </c>
      <c r="AB309" s="149" t="n">
        <f aca="false">AB308+'Volumes por intervalo'!Q308</f>
        <v>0</v>
      </c>
      <c r="AC309" s="149" t="n">
        <f aca="false">AC308+'Volumes por intervalo'!R308</f>
        <v>0</v>
      </c>
      <c r="AD309" s="149" t="n">
        <f aca="false">AD308+'Volumes por intervalo'!S308</f>
        <v>0</v>
      </c>
    </row>
    <row r="310" customFormat="false" ht="15" hidden="false" customHeight="false" outlineLevel="0" collapsed="false">
      <c r="A310" s="138" t="s">
        <v>1963</v>
      </c>
      <c r="B310" s="146" t="n">
        <v>308</v>
      </c>
      <c r="C310" s="144" t="n">
        <v>6160</v>
      </c>
      <c r="D310" s="138" t="s">
        <v>1565</v>
      </c>
      <c r="E310" s="138" t="s">
        <v>1566</v>
      </c>
      <c r="F310" s="147" t="n">
        <v>11</v>
      </c>
      <c r="G310" s="148" t="n">
        <v>0</v>
      </c>
      <c r="H310" s="148" t="n">
        <v>0</v>
      </c>
      <c r="I310" s="138" t="s">
        <v>1642</v>
      </c>
      <c r="J310" s="138"/>
      <c r="K310" s="146" t="n">
        <f aca="false">Parâmetros!$C$4*(F310+2*Parâmetros!$D$4+Parâmetros!$C$4*Parâmetros!$E$4)</f>
        <v>0.5525</v>
      </c>
      <c r="L310" s="146" t="n">
        <f aca="false">Parâmetros!$C$5*(F310+2*Parâmetros!$D$5+Parâmetros!$C$5*Parâmetros!$E$5)</f>
        <v>1.8176</v>
      </c>
      <c r="M310" s="146" t="n">
        <f aca="false">Parâmetros!$C$6*(F310+2*Parâmetros!$D$6+Parâmetros!$C$6*Parâmetros!$E$6)</f>
        <v>2.384</v>
      </c>
      <c r="N310" s="146" t="n">
        <f aca="false">Parâmetros!$C$7*(F310+2*Parâmetros!$D$7+Parâmetros!$C$7*Parâmetros!$E$7)</f>
        <v>3.786</v>
      </c>
      <c r="O310" s="146" t="n">
        <f aca="false">F310+2*Parâmetros!$D$8</f>
        <v>11.2</v>
      </c>
      <c r="P310" s="146" t="n">
        <f aca="false">F310+2*Parâmetros!$D$10</f>
        <v>12.92</v>
      </c>
      <c r="Q310" s="146" t="n">
        <f aca="false">G310+H310</f>
        <v>0</v>
      </c>
      <c r="S310" s="149" t="n">
        <f aca="false">S309+'Volumes por intervalo'!C309*(F309+F310)/2</f>
        <v>69240</v>
      </c>
      <c r="T310" s="149" t="n">
        <f aca="false">T309+'Volumes por intervalo'!H309</f>
        <v>3477.40000000002</v>
      </c>
      <c r="U310" s="149" t="n">
        <f aca="false">U309+'Volumes por intervalo'!J309</f>
        <v>11433.216</v>
      </c>
      <c r="V310" s="149" t="n">
        <f aca="false">V309+'Volumes por intervalo'!K309</f>
        <v>14981.44</v>
      </c>
      <c r="W310" s="149" t="n">
        <f aca="false">W309+'Volumes por intervalo'!L309</f>
        <v>23765.7600000001</v>
      </c>
      <c r="X310" s="149" t="n">
        <f aca="false">X309+'Volumes por intervalo'!M309</f>
        <v>70472</v>
      </c>
      <c r="Y310" s="149" t="n">
        <f aca="false">Y309+'Volumes por intervalo'!N309</f>
        <v>70472</v>
      </c>
      <c r="Z310" s="149" t="n">
        <f aca="false">Z309+'Volumes por intervalo'!O309</f>
        <v>81067.1999999999</v>
      </c>
      <c r="AA310" s="149" t="n">
        <f aca="false">AA309+'Volumes por intervalo'!P309</f>
        <v>0</v>
      </c>
      <c r="AB310" s="149" t="n">
        <f aca="false">AB309+'Volumes por intervalo'!Q309</f>
        <v>0</v>
      </c>
      <c r="AC310" s="149" t="n">
        <f aca="false">AC309+'Volumes por intervalo'!R309</f>
        <v>0</v>
      </c>
      <c r="AD310" s="149" t="n">
        <f aca="false">AD309+'Volumes por intervalo'!S309</f>
        <v>0</v>
      </c>
    </row>
    <row r="311" customFormat="false" ht="15" hidden="false" customHeight="false" outlineLevel="0" collapsed="false">
      <c r="A311" s="138" t="s">
        <v>1964</v>
      </c>
      <c r="B311" s="146" t="n">
        <v>309</v>
      </c>
      <c r="C311" s="144" t="n">
        <v>6180</v>
      </c>
      <c r="D311" s="138" t="s">
        <v>1565</v>
      </c>
      <c r="E311" s="138" t="s">
        <v>1566</v>
      </c>
      <c r="F311" s="147" t="n">
        <v>11</v>
      </c>
      <c r="G311" s="148" t="n">
        <v>0</v>
      </c>
      <c r="H311" s="148" t="n">
        <v>0</v>
      </c>
      <c r="I311" s="138" t="s">
        <v>1642</v>
      </c>
      <c r="J311" s="138"/>
      <c r="K311" s="146" t="n">
        <f aca="false">Parâmetros!$C$4*(F311+2*Parâmetros!$D$4+Parâmetros!$C$4*Parâmetros!$E$4)</f>
        <v>0.5525</v>
      </c>
      <c r="L311" s="146" t="n">
        <f aca="false">Parâmetros!$C$5*(F311+2*Parâmetros!$D$5+Parâmetros!$C$5*Parâmetros!$E$5)</f>
        <v>1.8176</v>
      </c>
      <c r="M311" s="146" t="n">
        <f aca="false">Parâmetros!$C$6*(F311+2*Parâmetros!$D$6+Parâmetros!$C$6*Parâmetros!$E$6)</f>
        <v>2.384</v>
      </c>
      <c r="N311" s="146" t="n">
        <f aca="false">Parâmetros!$C$7*(F311+2*Parâmetros!$D$7+Parâmetros!$C$7*Parâmetros!$E$7)</f>
        <v>3.786</v>
      </c>
      <c r="O311" s="146" t="n">
        <f aca="false">F311+2*Parâmetros!$D$8</f>
        <v>11.2</v>
      </c>
      <c r="P311" s="146" t="n">
        <f aca="false">F311+2*Parâmetros!$D$10</f>
        <v>12.92</v>
      </c>
      <c r="Q311" s="146" t="n">
        <f aca="false">G311+H311</f>
        <v>0</v>
      </c>
      <c r="S311" s="149" t="n">
        <f aca="false">S310+'Volumes por intervalo'!C310*(F310+F311)/2</f>
        <v>69460</v>
      </c>
      <c r="T311" s="149" t="n">
        <f aca="false">T310+'Volumes por intervalo'!H310</f>
        <v>3488.45000000002</v>
      </c>
      <c r="U311" s="149" t="n">
        <f aca="false">U310+'Volumes por intervalo'!J310</f>
        <v>11469.568</v>
      </c>
      <c r="V311" s="149" t="n">
        <f aca="false">V310+'Volumes por intervalo'!K310</f>
        <v>15029.12</v>
      </c>
      <c r="W311" s="149" t="n">
        <f aca="false">W310+'Volumes por intervalo'!L310</f>
        <v>23841.4800000001</v>
      </c>
      <c r="X311" s="149" t="n">
        <f aca="false">X310+'Volumes por intervalo'!M310</f>
        <v>70696</v>
      </c>
      <c r="Y311" s="149" t="n">
        <f aca="false">Y310+'Volumes por intervalo'!N310</f>
        <v>70696</v>
      </c>
      <c r="Z311" s="149" t="n">
        <f aca="false">Z310+'Volumes por intervalo'!O310</f>
        <v>81325.5999999999</v>
      </c>
      <c r="AA311" s="149" t="n">
        <f aca="false">AA310+'Volumes por intervalo'!P310</f>
        <v>0</v>
      </c>
      <c r="AB311" s="149" t="n">
        <f aca="false">AB310+'Volumes por intervalo'!Q310</f>
        <v>0</v>
      </c>
      <c r="AC311" s="149" t="n">
        <f aca="false">AC310+'Volumes por intervalo'!R310</f>
        <v>0</v>
      </c>
      <c r="AD311" s="149" t="n">
        <f aca="false">AD310+'Volumes por intervalo'!S310</f>
        <v>0</v>
      </c>
    </row>
    <row r="312" customFormat="false" ht="15" hidden="false" customHeight="false" outlineLevel="0" collapsed="false">
      <c r="A312" s="138" t="s">
        <v>1965</v>
      </c>
      <c r="B312" s="146" t="n">
        <v>310</v>
      </c>
      <c r="C312" s="144" t="n">
        <v>6200</v>
      </c>
      <c r="D312" s="138" t="s">
        <v>1565</v>
      </c>
      <c r="E312" s="138" t="s">
        <v>1566</v>
      </c>
      <c r="F312" s="147" t="n">
        <v>11</v>
      </c>
      <c r="G312" s="148" t="n">
        <v>0</v>
      </c>
      <c r="H312" s="148" t="n">
        <v>0</v>
      </c>
      <c r="I312" s="138" t="s">
        <v>1642</v>
      </c>
      <c r="J312" s="138"/>
      <c r="K312" s="146" t="n">
        <f aca="false">Parâmetros!$C$4*(F312+2*Parâmetros!$D$4+Parâmetros!$C$4*Parâmetros!$E$4)</f>
        <v>0.5525</v>
      </c>
      <c r="L312" s="146" t="n">
        <f aca="false">Parâmetros!$C$5*(F312+2*Parâmetros!$D$5+Parâmetros!$C$5*Parâmetros!$E$5)</f>
        <v>1.8176</v>
      </c>
      <c r="M312" s="146" t="n">
        <f aca="false">Parâmetros!$C$6*(F312+2*Parâmetros!$D$6+Parâmetros!$C$6*Parâmetros!$E$6)</f>
        <v>2.384</v>
      </c>
      <c r="N312" s="146" t="n">
        <f aca="false">Parâmetros!$C$7*(F312+2*Parâmetros!$D$7+Parâmetros!$C$7*Parâmetros!$E$7)</f>
        <v>3.786</v>
      </c>
      <c r="O312" s="146" t="n">
        <f aca="false">F312+2*Parâmetros!$D$8</f>
        <v>11.2</v>
      </c>
      <c r="P312" s="146" t="n">
        <f aca="false">F312+2*Parâmetros!$D$10</f>
        <v>12.92</v>
      </c>
      <c r="Q312" s="146" t="n">
        <f aca="false">G312+H312</f>
        <v>0</v>
      </c>
      <c r="S312" s="149" t="n">
        <f aca="false">S311+'Volumes por intervalo'!C311*(F311+F312)/2</f>
        <v>69680</v>
      </c>
      <c r="T312" s="149" t="n">
        <f aca="false">T311+'Volumes por intervalo'!H311</f>
        <v>3499.50000000002</v>
      </c>
      <c r="U312" s="149" t="n">
        <f aca="false">U311+'Volumes por intervalo'!J311</f>
        <v>11505.92</v>
      </c>
      <c r="V312" s="149" t="n">
        <f aca="false">V311+'Volumes por intervalo'!K311</f>
        <v>15076.8</v>
      </c>
      <c r="W312" s="149" t="n">
        <f aca="false">W311+'Volumes por intervalo'!L311</f>
        <v>23917.2000000001</v>
      </c>
      <c r="X312" s="149" t="n">
        <f aca="false">X311+'Volumes por intervalo'!M311</f>
        <v>70920</v>
      </c>
      <c r="Y312" s="149" t="n">
        <f aca="false">Y311+'Volumes por intervalo'!N311</f>
        <v>70920</v>
      </c>
      <c r="Z312" s="149" t="n">
        <f aca="false">Z311+'Volumes por intervalo'!O311</f>
        <v>81583.9999999999</v>
      </c>
      <c r="AA312" s="149" t="n">
        <f aca="false">AA311+'Volumes por intervalo'!P311</f>
        <v>0</v>
      </c>
      <c r="AB312" s="149" t="n">
        <f aca="false">AB311+'Volumes por intervalo'!Q311</f>
        <v>0</v>
      </c>
      <c r="AC312" s="149" t="n">
        <f aca="false">AC311+'Volumes por intervalo'!R311</f>
        <v>0</v>
      </c>
      <c r="AD312" s="149" t="n">
        <f aca="false">AD311+'Volumes por intervalo'!S311</f>
        <v>0</v>
      </c>
    </row>
    <row r="313" customFormat="false" ht="15" hidden="false" customHeight="false" outlineLevel="0" collapsed="false">
      <c r="A313" s="138" t="s">
        <v>1966</v>
      </c>
      <c r="B313" s="146" t="n">
        <v>311</v>
      </c>
      <c r="C313" s="144" t="n">
        <v>6220</v>
      </c>
      <c r="D313" s="138" t="s">
        <v>1565</v>
      </c>
      <c r="E313" s="138" t="s">
        <v>1566</v>
      </c>
      <c r="F313" s="147" t="n">
        <v>11.1</v>
      </c>
      <c r="G313" s="148" t="n">
        <v>0</v>
      </c>
      <c r="H313" s="148" t="n">
        <v>0</v>
      </c>
      <c r="I313" s="138" t="s">
        <v>1642</v>
      </c>
      <c r="J313" s="138"/>
      <c r="K313" s="146" t="n">
        <f aca="false">Parâmetros!$C$4*(F313+2*Parâmetros!$D$4+Parâmetros!$C$4*Parâmetros!$E$4)</f>
        <v>0.5575</v>
      </c>
      <c r="L313" s="146" t="n">
        <f aca="false">Parâmetros!$C$5*(F313+2*Parâmetros!$D$5+Parâmetros!$C$5*Parâmetros!$E$5)</f>
        <v>1.8336</v>
      </c>
      <c r="M313" s="146" t="n">
        <f aca="false">Parâmetros!$C$6*(F313+2*Parâmetros!$D$6+Parâmetros!$C$6*Parâmetros!$E$6)</f>
        <v>2.404</v>
      </c>
      <c r="N313" s="146" t="n">
        <f aca="false">Parâmetros!$C$7*(F313+2*Parâmetros!$D$7+Parâmetros!$C$7*Parâmetros!$E$7)</f>
        <v>3.816</v>
      </c>
      <c r="O313" s="146" t="n">
        <f aca="false">F313+2*Parâmetros!$D$8</f>
        <v>11.3</v>
      </c>
      <c r="P313" s="146" t="n">
        <f aca="false">F313+2*Parâmetros!$D$10</f>
        <v>13.02</v>
      </c>
      <c r="Q313" s="146" t="n">
        <f aca="false">G313+H313</f>
        <v>0</v>
      </c>
      <c r="S313" s="149" t="n">
        <f aca="false">S312+'Volumes por intervalo'!C312*(F312+F313)/2</f>
        <v>69901</v>
      </c>
      <c r="T313" s="149" t="n">
        <f aca="false">T312+'Volumes por intervalo'!H312</f>
        <v>3510.60000000002</v>
      </c>
      <c r="U313" s="149" t="n">
        <f aca="false">U312+'Volumes por intervalo'!J312</f>
        <v>11542.432</v>
      </c>
      <c r="V313" s="149" t="n">
        <f aca="false">V312+'Volumes por intervalo'!K312</f>
        <v>15124.68</v>
      </c>
      <c r="W313" s="149" t="n">
        <f aca="false">W312+'Volumes por intervalo'!L312</f>
        <v>23993.2200000001</v>
      </c>
      <c r="X313" s="149" t="n">
        <f aca="false">X312+'Volumes por intervalo'!M312</f>
        <v>71145</v>
      </c>
      <c r="Y313" s="149" t="n">
        <f aca="false">Y312+'Volumes por intervalo'!N312</f>
        <v>71145</v>
      </c>
      <c r="Z313" s="149" t="n">
        <f aca="false">Z312+'Volumes por intervalo'!O312</f>
        <v>81843.3999999999</v>
      </c>
      <c r="AA313" s="149" t="n">
        <f aca="false">AA312+'Volumes por intervalo'!P312</f>
        <v>0</v>
      </c>
      <c r="AB313" s="149" t="n">
        <f aca="false">AB312+'Volumes por intervalo'!Q312</f>
        <v>0</v>
      </c>
      <c r="AC313" s="149" t="n">
        <f aca="false">AC312+'Volumes por intervalo'!R312</f>
        <v>0</v>
      </c>
      <c r="AD313" s="149" t="n">
        <f aca="false">AD312+'Volumes por intervalo'!S312</f>
        <v>0</v>
      </c>
    </row>
    <row r="314" customFormat="false" ht="15" hidden="false" customHeight="false" outlineLevel="0" collapsed="false">
      <c r="A314" s="138" t="s">
        <v>1967</v>
      </c>
      <c r="B314" s="146" t="n">
        <v>312</v>
      </c>
      <c r="C314" s="144" t="n">
        <v>6240</v>
      </c>
      <c r="D314" s="138" t="s">
        <v>1565</v>
      </c>
      <c r="E314" s="138" t="s">
        <v>1566</v>
      </c>
      <c r="F314" s="147" t="n">
        <v>11.1</v>
      </c>
      <c r="G314" s="148" t="n">
        <v>0</v>
      </c>
      <c r="H314" s="148" t="n">
        <v>0</v>
      </c>
      <c r="I314" s="138" t="s">
        <v>1856</v>
      </c>
      <c r="J314" s="138" t="s">
        <v>1968</v>
      </c>
      <c r="K314" s="146" t="n">
        <f aca="false">Parâmetros!$C$4*(F314+2*Parâmetros!$D$4+Parâmetros!$C$4*Parâmetros!$E$4)</f>
        <v>0.5575</v>
      </c>
      <c r="L314" s="146" t="n">
        <f aca="false">Parâmetros!$C$5*(F314+2*Parâmetros!$D$5+Parâmetros!$C$5*Parâmetros!$E$5)</f>
        <v>1.8336</v>
      </c>
      <c r="M314" s="146" t="n">
        <f aca="false">Parâmetros!$C$6*(F314+2*Parâmetros!$D$6+Parâmetros!$C$6*Parâmetros!$E$6)</f>
        <v>2.404</v>
      </c>
      <c r="N314" s="146" t="n">
        <f aca="false">Parâmetros!$C$7*(F314+2*Parâmetros!$D$7+Parâmetros!$C$7*Parâmetros!$E$7)</f>
        <v>3.816</v>
      </c>
      <c r="O314" s="146" t="n">
        <f aca="false">F314+2*Parâmetros!$D$8</f>
        <v>11.3</v>
      </c>
      <c r="P314" s="146" t="n">
        <f aca="false">F314+2*Parâmetros!$D$10</f>
        <v>13.02</v>
      </c>
      <c r="Q314" s="146" t="n">
        <f aca="false">G314+H314</f>
        <v>0</v>
      </c>
      <c r="S314" s="149" t="n">
        <f aca="false">S313+'Volumes por intervalo'!C313*(F313+F314)/2</f>
        <v>70123</v>
      </c>
      <c r="T314" s="149" t="n">
        <f aca="false">T313+'Volumes por intervalo'!H313</f>
        <v>3521.75000000002</v>
      </c>
      <c r="U314" s="149" t="n">
        <f aca="false">U313+'Volumes por intervalo'!J313</f>
        <v>11579.104</v>
      </c>
      <c r="V314" s="149" t="n">
        <f aca="false">V313+'Volumes por intervalo'!K313</f>
        <v>15172.76</v>
      </c>
      <c r="W314" s="149" t="n">
        <f aca="false">W313+'Volumes por intervalo'!L313</f>
        <v>24069.5400000001</v>
      </c>
      <c r="X314" s="149" t="n">
        <f aca="false">X313+'Volumes por intervalo'!M313</f>
        <v>71371</v>
      </c>
      <c r="Y314" s="149" t="n">
        <f aca="false">Y313+'Volumes por intervalo'!N313</f>
        <v>71371</v>
      </c>
      <c r="Z314" s="149" t="n">
        <f aca="false">Z313+'Volumes por intervalo'!O313</f>
        <v>82103.7999999999</v>
      </c>
      <c r="AA314" s="149" t="n">
        <f aca="false">AA313+'Volumes por intervalo'!P313</f>
        <v>0</v>
      </c>
      <c r="AB314" s="149" t="n">
        <f aca="false">AB313+'Volumes por intervalo'!Q313</f>
        <v>0</v>
      </c>
      <c r="AC314" s="149" t="n">
        <f aca="false">AC313+'Volumes por intervalo'!R313</f>
        <v>0</v>
      </c>
      <c r="AD314" s="149" t="n">
        <f aca="false">AD313+'Volumes por intervalo'!S313</f>
        <v>0</v>
      </c>
    </row>
    <row r="315" customFormat="false" ht="15" hidden="false" customHeight="false" outlineLevel="0" collapsed="false">
      <c r="A315" s="138" t="s">
        <v>1969</v>
      </c>
      <c r="B315" s="146" t="n">
        <v>313</v>
      </c>
      <c r="C315" s="144" t="n">
        <v>6260</v>
      </c>
      <c r="D315" s="138" t="s">
        <v>1565</v>
      </c>
      <c r="E315" s="138" t="s">
        <v>1566</v>
      </c>
      <c r="F315" s="147" t="n">
        <v>11.1</v>
      </c>
      <c r="G315" s="148" t="n">
        <v>0</v>
      </c>
      <c r="H315" s="148" t="n">
        <v>0</v>
      </c>
      <c r="I315" s="138" t="s">
        <v>1642</v>
      </c>
      <c r="J315" s="138"/>
      <c r="K315" s="146" t="n">
        <f aca="false">Parâmetros!$C$4*(F315+2*Parâmetros!$D$4+Parâmetros!$C$4*Parâmetros!$E$4)</f>
        <v>0.5575</v>
      </c>
      <c r="L315" s="146" t="n">
        <f aca="false">Parâmetros!$C$5*(F315+2*Parâmetros!$D$5+Parâmetros!$C$5*Parâmetros!$E$5)</f>
        <v>1.8336</v>
      </c>
      <c r="M315" s="146" t="n">
        <f aca="false">Parâmetros!$C$6*(F315+2*Parâmetros!$D$6+Parâmetros!$C$6*Parâmetros!$E$6)</f>
        <v>2.404</v>
      </c>
      <c r="N315" s="146" t="n">
        <f aca="false">Parâmetros!$C$7*(F315+2*Parâmetros!$D$7+Parâmetros!$C$7*Parâmetros!$E$7)</f>
        <v>3.816</v>
      </c>
      <c r="O315" s="146" t="n">
        <f aca="false">F315+2*Parâmetros!$D$8</f>
        <v>11.3</v>
      </c>
      <c r="P315" s="146" t="n">
        <f aca="false">F315+2*Parâmetros!$D$10</f>
        <v>13.02</v>
      </c>
      <c r="Q315" s="146" t="n">
        <f aca="false">G315+H315</f>
        <v>0</v>
      </c>
      <c r="S315" s="149" t="n">
        <f aca="false">S314+'Volumes por intervalo'!C314*(F314+F315)/2</f>
        <v>70345</v>
      </c>
      <c r="T315" s="149" t="n">
        <f aca="false">T314+'Volumes por intervalo'!H314</f>
        <v>3532.90000000002</v>
      </c>
      <c r="U315" s="149" t="n">
        <f aca="false">U314+'Volumes por intervalo'!J314</f>
        <v>11615.776</v>
      </c>
      <c r="V315" s="149" t="n">
        <f aca="false">V314+'Volumes por intervalo'!K314</f>
        <v>15220.84</v>
      </c>
      <c r="W315" s="149" t="n">
        <f aca="false">W314+'Volumes por intervalo'!L314</f>
        <v>24145.8600000001</v>
      </c>
      <c r="X315" s="149" t="n">
        <f aca="false">X314+'Volumes por intervalo'!M314</f>
        <v>71597</v>
      </c>
      <c r="Y315" s="149" t="n">
        <f aca="false">Y314+'Volumes por intervalo'!N314</f>
        <v>71597</v>
      </c>
      <c r="Z315" s="149" t="n">
        <f aca="false">Z314+'Volumes por intervalo'!O314</f>
        <v>82364.1999999999</v>
      </c>
      <c r="AA315" s="149" t="n">
        <f aca="false">AA314+'Volumes por intervalo'!P314</f>
        <v>0</v>
      </c>
      <c r="AB315" s="149" t="n">
        <f aca="false">AB314+'Volumes por intervalo'!Q314</f>
        <v>0</v>
      </c>
      <c r="AC315" s="149" t="n">
        <f aca="false">AC314+'Volumes por intervalo'!R314</f>
        <v>0</v>
      </c>
      <c r="AD315" s="149" t="n">
        <f aca="false">AD314+'Volumes por intervalo'!S314</f>
        <v>0</v>
      </c>
    </row>
    <row r="316" customFormat="false" ht="15" hidden="false" customHeight="false" outlineLevel="0" collapsed="false">
      <c r="A316" s="138" t="s">
        <v>1970</v>
      </c>
      <c r="B316" s="146" t="n">
        <v>314</v>
      </c>
      <c r="C316" s="144" t="n">
        <v>6280</v>
      </c>
      <c r="D316" s="138" t="s">
        <v>1565</v>
      </c>
      <c r="E316" s="138" t="s">
        <v>1566</v>
      </c>
      <c r="F316" s="147" t="n">
        <v>11</v>
      </c>
      <c r="G316" s="148" t="n">
        <v>0</v>
      </c>
      <c r="H316" s="148" t="n">
        <v>0</v>
      </c>
      <c r="I316" s="138" t="s">
        <v>1642</v>
      </c>
      <c r="J316" s="138"/>
      <c r="K316" s="146" t="n">
        <f aca="false">Parâmetros!$C$4*(F316+2*Parâmetros!$D$4+Parâmetros!$C$4*Parâmetros!$E$4)</f>
        <v>0.5525</v>
      </c>
      <c r="L316" s="146" t="n">
        <f aca="false">Parâmetros!$C$5*(F316+2*Parâmetros!$D$5+Parâmetros!$C$5*Parâmetros!$E$5)</f>
        <v>1.8176</v>
      </c>
      <c r="M316" s="146" t="n">
        <f aca="false">Parâmetros!$C$6*(F316+2*Parâmetros!$D$6+Parâmetros!$C$6*Parâmetros!$E$6)</f>
        <v>2.384</v>
      </c>
      <c r="N316" s="146" t="n">
        <f aca="false">Parâmetros!$C$7*(F316+2*Parâmetros!$D$7+Parâmetros!$C$7*Parâmetros!$E$7)</f>
        <v>3.786</v>
      </c>
      <c r="O316" s="146" t="n">
        <f aca="false">F316+2*Parâmetros!$D$8</f>
        <v>11.2</v>
      </c>
      <c r="P316" s="146" t="n">
        <f aca="false">F316+2*Parâmetros!$D$10</f>
        <v>12.92</v>
      </c>
      <c r="Q316" s="146" t="n">
        <f aca="false">G316+H316</f>
        <v>0</v>
      </c>
      <c r="S316" s="149" t="n">
        <f aca="false">S315+'Volumes por intervalo'!C315*(F315+F316)/2</f>
        <v>70566</v>
      </c>
      <c r="T316" s="149" t="n">
        <f aca="false">T315+'Volumes por intervalo'!H315</f>
        <v>3544.00000000002</v>
      </c>
      <c r="U316" s="149" t="n">
        <f aca="false">U315+'Volumes por intervalo'!J315</f>
        <v>11652.288</v>
      </c>
      <c r="V316" s="149" t="n">
        <f aca="false">V315+'Volumes por intervalo'!K315</f>
        <v>15268.72</v>
      </c>
      <c r="W316" s="149" t="n">
        <f aca="false">W315+'Volumes por intervalo'!L315</f>
        <v>24221.8800000001</v>
      </c>
      <c r="X316" s="149" t="n">
        <f aca="false">X315+'Volumes por intervalo'!M315</f>
        <v>71822</v>
      </c>
      <c r="Y316" s="149" t="n">
        <f aca="false">Y315+'Volumes por intervalo'!N315</f>
        <v>71822</v>
      </c>
      <c r="Z316" s="149" t="n">
        <f aca="false">Z315+'Volumes por intervalo'!O315</f>
        <v>82623.5999999999</v>
      </c>
      <c r="AA316" s="149" t="n">
        <f aca="false">AA315+'Volumes por intervalo'!P315</f>
        <v>0</v>
      </c>
      <c r="AB316" s="149" t="n">
        <f aca="false">AB315+'Volumes por intervalo'!Q315</f>
        <v>0</v>
      </c>
      <c r="AC316" s="149" t="n">
        <f aca="false">AC315+'Volumes por intervalo'!R315</f>
        <v>0</v>
      </c>
      <c r="AD316" s="149" t="n">
        <f aca="false">AD315+'Volumes por intervalo'!S315</f>
        <v>0</v>
      </c>
    </row>
    <row r="317" customFormat="false" ht="15" hidden="false" customHeight="false" outlineLevel="0" collapsed="false">
      <c r="A317" s="138" t="s">
        <v>1971</v>
      </c>
      <c r="B317" s="146" t="n">
        <v>315</v>
      </c>
      <c r="C317" s="144" t="n">
        <v>6300</v>
      </c>
      <c r="D317" s="138" t="s">
        <v>1565</v>
      </c>
      <c r="E317" s="138" t="s">
        <v>1566</v>
      </c>
      <c r="F317" s="147" t="n">
        <v>14.7</v>
      </c>
      <c r="G317" s="148" t="n">
        <v>0</v>
      </c>
      <c r="H317" s="148" t="n">
        <v>0</v>
      </c>
      <c r="I317" s="138" t="s">
        <v>1642</v>
      </c>
      <c r="J317" s="138"/>
      <c r="K317" s="146" t="n">
        <f aca="false">Parâmetros!$C$4*(F317+2*Parâmetros!$D$4+Parâmetros!$C$4*Parâmetros!$E$4)</f>
        <v>0.7375</v>
      </c>
      <c r="L317" s="146" t="n">
        <f aca="false">Parâmetros!$C$5*(F317+2*Parâmetros!$D$5+Parâmetros!$C$5*Parâmetros!$E$5)</f>
        <v>2.4096</v>
      </c>
      <c r="M317" s="146" t="n">
        <f aca="false">Parâmetros!$C$6*(F317+2*Parâmetros!$D$6+Parâmetros!$C$6*Parâmetros!$E$6)</f>
        <v>3.124</v>
      </c>
      <c r="N317" s="146" t="n">
        <f aca="false">Parâmetros!$C$7*(F317+2*Parâmetros!$D$7+Parâmetros!$C$7*Parâmetros!$E$7)</f>
        <v>4.896</v>
      </c>
      <c r="O317" s="146" t="n">
        <f aca="false">F317+2*Parâmetros!$D$8</f>
        <v>14.9</v>
      </c>
      <c r="P317" s="146" t="n">
        <f aca="false">F317+2*Parâmetros!$D$10</f>
        <v>16.62</v>
      </c>
      <c r="Q317" s="146" t="n">
        <f aca="false">G317+H317</f>
        <v>0</v>
      </c>
      <c r="S317" s="149" t="n">
        <f aca="false">S316+'Volumes por intervalo'!C316*(F316+F317)/2</f>
        <v>70823</v>
      </c>
      <c r="T317" s="149" t="n">
        <f aca="false">T316+'Volumes por intervalo'!H316</f>
        <v>3556.90000000002</v>
      </c>
      <c r="U317" s="149" t="n">
        <f aca="false">U316+'Volumes por intervalo'!J316</f>
        <v>11694.56</v>
      </c>
      <c r="V317" s="149" t="n">
        <f aca="false">V316+'Volumes por intervalo'!K316</f>
        <v>15323.8</v>
      </c>
      <c r="W317" s="149" t="n">
        <f aca="false">W316+'Volumes por intervalo'!L316</f>
        <v>24308.7000000001</v>
      </c>
      <c r="X317" s="149" t="n">
        <f aca="false">X316+'Volumes por intervalo'!M316</f>
        <v>72083</v>
      </c>
      <c r="Y317" s="149" t="n">
        <f aca="false">Y316+'Volumes por intervalo'!N316</f>
        <v>72083</v>
      </c>
      <c r="Z317" s="149" t="n">
        <f aca="false">Z316+'Volumes por intervalo'!O316</f>
        <v>82918.9999999999</v>
      </c>
      <c r="AA317" s="149" t="n">
        <f aca="false">AA316+'Volumes por intervalo'!P316</f>
        <v>0</v>
      </c>
      <c r="AB317" s="149" t="n">
        <f aca="false">AB316+'Volumes por intervalo'!Q316</f>
        <v>0</v>
      </c>
      <c r="AC317" s="149" t="n">
        <f aca="false">AC316+'Volumes por intervalo'!R316</f>
        <v>0</v>
      </c>
      <c r="AD317" s="149" t="n">
        <f aca="false">AD316+'Volumes por intervalo'!S316</f>
        <v>0</v>
      </c>
    </row>
    <row r="318" customFormat="false" ht="15" hidden="false" customHeight="false" outlineLevel="0" collapsed="false">
      <c r="A318" s="138" t="s">
        <v>1972</v>
      </c>
      <c r="B318" s="146" t="n">
        <v>316</v>
      </c>
      <c r="C318" s="144" t="n">
        <v>6320</v>
      </c>
      <c r="D318" s="138" t="s">
        <v>1565</v>
      </c>
      <c r="E318" s="138" t="s">
        <v>1566</v>
      </c>
      <c r="F318" s="147" t="n">
        <v>13.2</v>
      </c>
      <c r="G318" s="148" t="n">
        <v>0</v>
      </c>
      <c r="H318" s="148" t="n">
        <v>0</v>
      </c>
      <c r="I318" s="138" t="s">
        <v>1642</v>
      </c>
      <c r="J318" s="138"/>
      <c r="K318" s="146" t="n">
        <f aca="false">Parâmetros!$C$4*(F318+2*Parâmetros!$D$4+Parâmetros!$C$4*Parâmetros!$E$4)</f>
        <v>0.6625</v>
      </c>
      <c r="L318" s="146" t="n">
        <f aca="false">Parâmetros!$C$5*(F318+2*Parâmetros!$D$5+Parâmetros!$C$5*Parâmetros!$E$5)</f>
        <v>2.1696</v>
      </c>
      <c r="M318" s="146" t="n">
        <f aca="false">Parâmetros!$C$6*(F318+2*Parâmetros!$D$6+Parâmetros!$C$6*Parâmetros!$E$6)</f>
        <v>2.824</v>
      </c>
      <c r="N318" s="146" t="n">
        <f aca="false">Parâmetros!$C$7*(F318+2*Parâmetros!$D$7+Parâmetros!$C$7*Parâmetros!$E$7)</f>
        <v>4.446</v>
      </c>
      <c r="O318" s="146" t="n">
        <f aca="false">F318+2*Parâmetros!$D$8</f>
        <v>13.4</v>
      </c>
      <c r="P318" s="146" t="n">
        <f aca="false">F318+2*Parâmetros!$D$10</f>
        <v>15.12</v>
      </c>
      <c r="Q318" s="146" t="n">
        <f aca="false">G318+H318</f>
        <v>0</v>
      </c>
      <c r="S318" s="149" t="n">
        <f aca="false">S317+'Volumes por intervalo'!C317*(F317+F318)/2</f>
        <v>71102</v>
      </c>
      <c r="T318" s="149" t="n">
        <f aca="false">T317+'Volumes por intervalo'!H317</f>
        <v>3570.90000000002</v>
      </c>
      <c r="U318" s="149" t="n">
        <f aca="false">U317+'Volumes por intervalo'!J317</f>
        <v>11740.352</v>
      </c>
      <c r="V318" s="149" t="n">
        <f aca="false">V317+'Volumes por intervalo'!K317</f>
        <v>15383.28</v>
      </c>
      <c r="W318" s="149" t="n">
        <f aca="false">W317+'Volumes por intervalo'!L317</f>
        <v>24402.1200000001</v>
      </c>
      <c r="X318" s="149" t="n">
        <f aca="false">X317+'Volumes por intervalo'!M317</f>
        <v>72366</v>
      </c>
      <c r="Y318" s="149" t="n">
        <f aca="false">Y317+'Volumes por intervalo'!N317</f>
        <v>72366</v>
      </c>
      <c r="Z318" s="149" t="n">
        <f aca="false">Z317+'Volumes por intervalo'!O317</f>
        <v>83236.3999999999</v>
      </c>
      <c r="AA318" s="149" t="n">
        <f aca="false">AA317+'Volumes por intervalo'!P317</f>
        <v>0</v>
      </c>
      <c r="AB318" s="149" t="n">
        <f aca="false">AB317+'Volumes por intervalo'!Q317</f>
        <v>0</v>
      </c>
      <c r="AC318" s="149" t="n">
        <f aca="false">AC317+'Volumes por intervalo'!R317</f>
        <v>0</v>
      </c>
      <c r="AD318" s="149" t="n">
        <f aca="false">AD317+'Volumes por intervalo'!S317</f>
        <v>0</v>
      </c>
    </row>
    <row r="319" customFormat="false" ht="15" hidden="false" customHeight="false" outlineLevel="0" collapsed="false">
      <c r="A319" s="138" t="s">
        <v>1973</v>
      </c>
      <c r="B319" s="146" t="n">
        <v>317</v>
      </c>
      <c r="C319" s="144" t="n">
        <v>6340</v>
      </c>
      <c r="D319" s="138" t="s">
        <v>1565</v>
      </c>
      <c r="E319" s="138" t="s">
        <v>1566</v>
      </c>
      <c r="F319" s="147" t="n">
        <v>12.3</v>
      </c>
      <c r="G319" s="148" t="n">
        <v>0</v>
      </c>
      <c r="H319" s="148" t="n">
        <v>0</v>
      </c>
      <c r="I319" s="138" t="s">
        <v>1856</v>
      </c>
      <c r="J319" s="138" t="s">
        <v>1974</v>
      </c>
      <c r="K319" s="146" t="n">
        <f aca="false">Parâmetros!$C$4*(F319+2*Parâmetros!$D$4+Parâmetros!$C$4*Parâmetros!$E$4)</f>
        <v>0.6175</v>
      </c>
      <c r="L319" s="146" t="n">
        <f aca="false">Parâmetros!$C$5*(F319+2*Parâmetros!$D$5+Parâmetros!$C$5*Parâmetros!$E$5)</f>
        <v>2.0256</v>
      </c>
      <c r="M319" s="146" t="n">
        <f aca="false">Parâmetros!$C$6*(F319+2*Parâmetros!$D$6+Parâmetros!$C$6*Parâmetros!$E$6)</f>
        <v>2.644</v>
      </c>
      <c r="N319" s="146" t="n">
        <f aca="false">Parâmetros!$C$7*(F319+2*Parâmetros!$D$7+Parâmetros!$C$7*Parâmetros!$E$7)</f>
        <v>4.176</v>
      </c>
      <c r="O319" s="146" t="n">
        <f aca="false">F319+2*Parâmetros!$D$8</f>
        <v>12.5</v>
      </c>
      <c r="P319" s="146" t="n">
        <f aca="false">F319+2*Parâmetros!$D$10</f>
        <v>14.22</v>
      </c>
      <c r="Q319" s="146" t="n">
        <f aca="false">G319+H319</f>
        <v>0</v>
      </c>
      <c r="S319" s="149" t="n">
        <f aca="false">S318+'Volumes por intervalo'!C318*(F318+F319)/2</f>
        <v>71357</v>
      </c>
      <c r="T319" s="149" t="n">
        <f aca="false">T318+'Volumes por intervalo'!H318</f>
        <v>3583.70000000002</v>
      </c>
      <c r="U319" s="149" t="n">
        <f aca="false">U318+'Volumes por intervalo'!J318</f>
        <v>11782.304</v>
      </c>
      <c r="V319" s="149" t="n">
        <f aca="false">V318+'Volumes por intervalo'!K318</f>
        <v>15437.96</v>
      </c>
      <c r="W319" s="149" t="n">
        <f aca="false">W318+'Volumes por intervalo'!L318</f>
        <v>24488.3400000001</v>
      </c>
      <c r="X319" s="149" t="n">
        <f aca="false">X318+'Volumes por intervalo'!M318</f>
        <v>72625</v>
      </c>
      <c r="Y319" s="149" t="n">
        <f aca="false">Y318+'Volumes por intervalo'!N318</f>
        <v>72625</v>
      </c>
      <c r="Z319" s="149" t="n">
        <f aca="false">Z318+'Volumes por intervalo'!O318</f>
        <v>83529.7999999999</v>
      </c>
      <c r="AA319" s="149" t="n">
        <f aca="false">AA318+'Volumes por intervalo'!P318</f>
        <v>0</v>
      </c>
      <c r="AB319" s="149" t="n">
        <f aca="false">AB318+'Volumes por intervalo'!Q318</f>
        <v>0</v>
      </c>
      <c r="AC319" s="149" t="n">
        <f aca="false">AC318+'Volumes por intervalo'!R318</f>
        <v>0</v>
      </c>
      <c r="AD319" s="149" t="n">
        <f aca="false">AD318+'Volumes por intervalo'!S318</f>
        <v>0</v>
      </c>
    </row>
    <row r="320" customFormat="false" ht="15" hidden="false" customHeight="false" outlineLevel="0" collapsed="false">
      <c r="A320" s="138" t="s">
        <v>1975</v>
      </c>
      <c r="B320" s="146" t="n">
        <v>318</v>
      </c>
      <c r="C320" s="144" t="n">
        <v>6360</v>
      </c>
      <c r="D320" s="138" t="s">
        <v>1565</v>
      </c>
      <c r="E320" s="138" t="s">
        <v>1566</v>
      </c>
      <c r="F320" s="147" t="n">
        <v>11.4</v>
      </c>
      <c r="G320" s="148" t="n">
        <v>0</v>
      </c>
      <c r="H320" s="148" t="n">
        <v>0</v>
      </c>
      <c r="I320" s="138" t="s">
        <v>1642</v>
      </c>
      <c r="J320" s="138"/>
      <c r="K320" s="146" t="n">
        <f aca="false">Parâmetros!$C$4*(F320+2*Parâmetros!$D$4+Parâmetros!$C$4*Parâmetros!$E$4)</f>
        <v>0.5725</v>
      </c>
      <c r="L320" s="146" t="n">
        <f aca="false">Parâmetros!$C$5*(F320+2*Parâmetros!$D$5+Parâmetros!$C$5*Parâmetros!$E$5)</f>
        <v>1.8816</v>
      </c>
      <c r="M320" s="146" t="n">
        <f aca="false">Parâmetros!$C$6*(F320+2*Parâmetros!$D$6+Parâmetros!$C$6*Parâmetros!$E$6)</f>
        <v>2.464</v>
      </c>
      <c r="N320" s="146" t="n">
        <f aca="false">Parâmetros!$C$7*(F320+2*Parâmetros!$D$7+Parâmetros!$C$7*Parâmetros!$E$7)</f>
        <v>3.906</v>
      </c>
      <c r="O320" s="146" t="n">
        <f aca="false">F320+2*Parâmetros!$D$8</f>
        <v>11.6</v>
      </c>
      <c r="P320" s="146" t="n">
        <f aca="false">F320+2*Parâmetros!$D$10</f>
        <v>13.32</v>
      </c>
      <c r="Q320" s="146" t="n">
        <f aca="false">G320+H320</f>
        <v>0</v>
      </c>
      <c r="S320" s="149" t="n">
        <f aca="false">S319+'Volumes por intervalo'!C319*(F319+F320)/2</f>
        <v>71594</v>
      </c>
      <c r="T320" s="149" t="n">
        <f aca="false">T319+'Volumes por intervalo'!H319</f>
        <v>3595.60000000002</v>
      </c>
      <c r="U320" s="149" t="n">
        <f aca="false">U319+'Volumes por intervalo'!J319</f>
        <v>11821.376</v>
      </c>
      <c r="V320" s="149" t="n">
        <f aca="false">V319+'Volumes por intervalo'!K319</f>
        <v>15489.04</v>
      </c>
      <c r="W320" s="149" t="n">
        <f aca="false">W319+'Volumes por intervalo'!L319</f>
        <v>24569.1600000001</v>
      </c>
      <c r="X320" s="149" t="n">
        <f aca="false">X319+'Volumes por intervalo'!M319</f>
        <v>72866</v>
      </c>
      <c r="Y320" s="149" t="n">
        <f aca="false">Y319+'Volumes por intervalo'!N319</f>
        <v>72866</v>
      </c>
      <c r="Z320" s="149" t="n">
        <f aca="false">Z319+'Volumes por intervalo'!O319</f>
        <v>83805.1999999999</v>
      </c>
      <c r="AA320" s="149" t="n">
        <f aca="false">AA319+'Volumes por intervalo'!P319</f>
        <v>0</v>
      </c>
      <c r="AB320" s="149" t="n">
        <f aca="false">AB319+'Volumes por intervalo'!Q319</f>
        <v>0</v>
      </c>
      <c r="AC320" s="149" t="n">
        <f aca="false">AC319+'Volumes por intervalo'!R319</f>
        <v>0</v>
      </c>
      <c r="AD320" s="149" t="n">
        <f aca="false">AD319+'Volumes por intervalo'!S319</f>
        <v>0</v>
      </c>
    </row>
    <row r="321" customFormat="false" ht="15" hidden="false" customHeight="false" outlineLevel="0" collapsed="false">
      <c r="A321" s="138" t="s">
        <v>1569</v>
      </c>
      <c r="B321" s="146" t="n">
        <v>319</v>
      </c>
      <c r="C321" s="144" t="n">
        <v>6380</v>
      </c>
      <c r="D321" s="138" t="s">
        <v>1570</v>
      </c>
      <c r="E321" s="138" t="s">
        <v>1571</v>
      </c>
      <c r="F321" s="147" t="n">
        <v>12.5</v>
      </c>
      <c r="G321" s="148" t="n">
        <v>0</v>
      </c>
      <c r="H321" s="148" t="n">
        <v>0</v>
      </c>
      <c r="I321" s="138" t="s">
        <v>1642</v>
      </c>
      <c r="J321" s="138"/>
      <c r="K321" s="146" t="n">
        <f aca="false">Parâmetros!$C$4*(F321+2*Parâmetros!$D$4+Parâmetros!$C$4*Parâmetros!$E$4)</f>
        <v>0.6275</v>
      </c>
      <c r="L321" s="146" t="n">
        <f aca="false">Parâmetros!$C$5*(F321+2*Parâmetros!$D$5+Parâmetros!$C$5*Parâmetros!$E$5)</f>
        <v>2.0576</v>
      </c>
      <c r="M321" s="146" t="n">
        <f aca="false">Parâmetros!$C$6*(F321+2*Parâmetros!$D$6+Parâmetros!$C$6*Parâmetros!$E$6)</f>
        <v>2.684</v>
      </c>
      <c r="N321" s="146" t="n">
        <f aca="false">Parâmetros!$C$7*(F321+2*Parâmetros!$D$7+Parâmetros!$C$7*Parâmetros!$E$7)</f>
        <v>4.236</v>
      </c>
      <c r="O321" s="146" t="n">
        <f aca="false">F321+2*Parâmetros!$D$8</f>
        <v>12.7</v>
      </c>
      <c r="P321" s="146" t="n">
        <f aca="false">F321+2*Parâmetros!$D$10</f>
        <v>14.42</v>
      </c>
      <c r="Q321" s="146" t="n">
        <f aca="false">G321+H321</f>
        <v>0</v>
      </c>
      <c r="S321" s="149" t="n">
        <f aca="false">S320+'Volumes por intervalo'!C320*(F320+F321)/2</f>
        <v>71833</v>
      </c>
      <c r="T321" s="149" t="n">
        <f aca="false">T320+'Volumes por intervalo'!H320</f>
        <v>3607.60000000002</v>
      </c>
      <c r="U321" s="149" t="n">
        <f aca="false">U320+'Volumes por intervalo'!J320</f>
        <v>11860.768</v>
      </c>
      <c r="V321" s="149" t="n">
        <f aca="false">V320+'Volumes por intervalo'!K320</f>
        <v>15540.52</v>
      </c>
      <c r="W321" s="149" t="n">
        <f aca="false">W320+'Volumes por intervalo'!L320</f>
        <v>24650.5800000001</v>
      </c>
      <c r="X321" s="149" t="n">
        <f aca="false">X320+'Volumes por intervalo'!M320</f>
        <v>73109</v>
      </c>
      <c r="Y321" s="149" t="n">
        <f aca="false">Y320+'Volumes por intervalo'!N320</f>
        <v>73109</v>
      </c>
      <c r="Z321" s="149" t="n">
        <f aca="false">Z320+'Volumes por intervalo'!O320</f>
        <v>84082.5999999999</v>
      </c>
      <c r="AA321" s="149" t="n">
        <f aca="false">AA320+'Volumes por intervalo'!P320</f>
        <v>0</v>
      </c>
      <c r="AB321" s="149" t="n">
        <f aca="false">AB320+'Volumes por intervalo'!Q320</f>
        <v>0</v>
      </c>
      <c r="AC321" s="149" t="n">
        <f aca="false">AC320+'Volumes por intervalo'!R320</f>
        <v>0</v>
      </c>
      <c r="AD321" s="149" t="n">
        <f aca="false">AD320+'Volumes por intervalo'!S320</f>
        <v>0</v>
      </c>
    </row>
    <row r="322" customFormat="false" ht="15" hidden="false" customHeight="false" outlineLevel="0" collapsed="false">
      <c r="A322" s="138" t="s">
        <v>1976</v>
      </c>
      <c r="B322" s="146" t="n">
        <v>320</v>
      </c>
      <c r="C322" s="144" t="n">
        <v>6400</v>
      </c>
      <c r="D322" s="138" t="s">
        <v>1570</v>
      </c>
      <c r="E322" s="138" t="s">
        <v>1571</v>
      </c>
      <c r="F322" s="147" t="n">
        <v>14.4</v>
      </c>
      <c r="G322" s="148" t="n">
        <v>0</v>
      </c>
      <c r="H322" s="148" t="n">
        <v>0</v>
      </c>
      <c r="I322" s="138" t="s">
        <v>1642</v>
      </c>
      <c r="J322" s="138"/>
      <c r="K322" s="146" t="n">
        <f aca="false">Parâmetros!$C$4*(F322+2*Parâmetros!$D$4+Parâmetros!$C$4*Parâmetros!$E$4)</f>
        <v>0.7225</v>
      </c>
      <c r="L322" s="146" t="n">
        <f aca="false">Parâmetros!$C$5*(F322+2*Parâmetros!$D$5+Parâmetros!$C$5*Parâmetros!$E$5)</f>
        <v>2.3616</v>
      </c>
      <c r="M322" s="146" t="n">
        <f aca="false">Parâmetros!$C$6*(F322+2*Parâmetros!$D$6+Parâmetros!$C$6*Parâmetros!$E$6)</f>
        <v>3.064</v>
      </c>
      <c r="N322" s="146" t="n">
        <f aca="false">Parâmetros!$C$7*(F322+2*Parâmetros!$D$7+Parâmetros!$C$7*Parâmetros!$E$7)</f>
        <v>4.806</v>
      </c>
      <c r="O322" s="146" t="n">
        <f aca="false">F322+2*Parâmetros!$D$8</f>
        <v>14.6</v>
      </c>
      <c r="P322" s="146" t="n">
        <f aca="false">F322+2*Parâmetros!$D$10</f>
        <v>16.32</v>
      </c>
      <c r="Q322" s="146" t="n">
        <f aca="false">G322+H322</f>
        <v>0</v>
      </c>
      <c r="S322" s="149" t="n">
        <f aca="false">S321+'Volumes por intervalo'!C321*(F321+F322)/2</f>
        <v>72102</v>
      </c>
      <c r="T322" s="149" t="n">
        <f aca="false">T321+'Volumes por intervalo'!H321</f>
        <v>3621.10000000002</v>
      </c>
      <c r="U322" s="149" t="n">
        <f aca="false">U321+'Volumes por intervalo'!J321</f>
        <v>11904.96</v>
      </c>
      <c r="V322" s="149" t="n">
        <f aca="false">V321+'Volumes por intervalo'!K321</f>
        <v>15598</v>
      </c>
      <c r="W322" s="149" t="n">
        <f aca="false">W321+'Volumes por intervalo'!L321</f>
        <v>24741.0000000001</v>
      </c>
      <c r="X322" s="149" t="n">
        <f aca="false">X321+'Volumes por intervalo'!M321</f>
        <v>73382</v>
      </c>
      <c r="Y322" s="149" t="n">
        <f aca="false">Y321+'Volumes por intervalo'!N321</f>
        <v>73382</v>
      </c>
      <c r="Z322" s="149" t="n">
        <f aca="false">Z321+'Volumes por intervalo'!O321</f>
        <v>84389.9999999998</v>
      </c>
      <c r="AA322" s="149" t="n">
        <f aca="false">AA321+'Volumes por intervalo'!P321</f>
        <v>0</v>
      </c>
      <c r="AB322" s="149" t="n">
        <f aca="false">AB321+'Volumes por intervalo'!Q321</f>
        <v>0</v>
      </c>
      <c r="AC322" s="149" t="n">
        <f aca="false">AC321+'Volumes por intervalo'!R321</f>
        <v>0</v>
      </c>
      <c r="AD322" s="149" t="n">
        <f aca="false">AD321+'Volumes por intervalo'!S321</f>
        <v>0</v>
      </c>
    </row>
    <row r="323" customFormat="false" ht="15" hidden="false" customHeight="false" outlineLevel="0" collapsed="false">
      <c r="A323" s="138" t="s">
        <v>1977</v>
      </c>
      <c r="B323" s="146" t="n">
        <v>321</v>
      </c>
      <c r="C323" s="144" t="n">
        <v>6420</v>
      </c>
      <c r="D323" s="138" t="s">
        <v>1570</v>
      </c>
      <c r="E323" s="138" t="s">
        <v>1571</v>
      </c>
      <c r="F323" s="147" t="n">
        <v>16.7</v>
      </c>
      <c r="G323" s="148" t="n">
        <v>0</v>
      </c>
      <c r="H323" s="148" t="n">
        <v>0</v>
      </c>
      <c r="I323" s="138" t="s">
        <v>1642</v>
      </c>
      <c r="J323" s="138"/>
      <c r="K323" s="146" t="n">
        <f aca="false">Parâmetros!$C$4*(F323+2*Parâmetros!$D$4+Parâmetros!$C$4*Parâmetros!$E$4)</f>
        <v>0.8375</v>
      </c>
      <c r="L323" s="146" t="n">
        <f aca="false">Parâmetros!$C$5*(F323+2*Parâmetros!$D$5+Parâmetros!$C$5*Parâmetros!$E$5)</f>
        <v>2.7296</v>
      </c>
      <c r="M323" s="146" t="n">
        <f aca="false">Parâmetros!$C$6*(F323+2*Parâmetros!$D$6+Parâmetros!$C$6*Parâmetros!$E$6)</f>
        <v>3.524</v>
      </c>
      <c r="N323" s="146" t="n">
        <f aca="false">Parâmetros!$C$7*(F323+2*Parâmetros!$D$7+Parâmetros!$C$7*Parâmetros!$E$7)</f>
        <v>5.496</v>
      </c>
      <c r="O323" s="146" t="n">
        <f aca="false">F323+2*Parâmetros!$D$8</f>
        <v>16.9</v>
      </c>
      <c r="P323" s="146" t="n">
        <f aca="false">F323+2*Parâmetros!$D$10</f>
        <v>18.62</v>
      </c>
      <c r="Q323" s="146" t="n">
        <f aca="false">G323+H323</f>
        <v>0</v>
      </c>
      <c r="S323" s="149" t="n">
        <f aca="false">S322+'Volumes por intervalo'!C322*(F322+F323)/2</f>
        <v>72413</v>
      </c>
      <c r="T323" s="149" t="n">
        <f aca="false">T322+'Volumes por intervalo'!H322</f>
        <v>3636.70000000002</v>
      </c>
      <c r="U323" s="149" t="n">
        <f aca="false">U322+'Volumes por intervalo'!J322</f>
        <v>11955.872</v>
      </c>
      <c r="V323" s="149" t="n">
        <f aca="false">V322+'Volumes por intervalo'!K322</f>
        <v>15663.88</v>
      </c>
      <c r="W323" s="149" t="n">
        <f aca="false">W322+'Volumes por intervalo'!L322</f>
        <v>24844.0200000001</v>
      </c>
      <c r="X323" s="149" t="n">
        <f aca="false">X322+'Volumes por intervalo'!M322</f>
        <v>73697</v>
      </c>
      <c r="Y323" s="149" t="n">
        <f aca="false">Y322+'Volumes por intervalo'!N322</f>
        <v>73697</v>
      </c>
      <c r="Z323" s="149" t="n">
        <f aca="false">Z322+'Volumes por intervalo'!O322</f>
        <v>84739.3999999998</v>
      </c>
      <c r="AA323" s="149" t="n">
        <f aca="false">AA322+'Volumes por intervalo'!P322</f>
        <v>0</v>
      </c>
      <c r="AB323" s="149" t="n">
        <f aca="false">AB322+'Volumes por intervalo'!Q322</f>
        <v>0</v>
      </c>
      <c r="AC323" s="149" t="n">
        <f aca="false">AC322+'Volumes por intervalo'!R322</f>
        <v>0</v>
      </c>
      <c r="AD323" s="149" t="n">
        <f aca="false">AD322+'Volumes por intervalo'!S322</f>
        <v>0</v>
      </c>
    </row>
    <row r="324" customFormat="false" ht="15" hidden="false" customHeight="false" outlineLevel="0" collapsed="false">
      <c r="A324" s="138" t="s">
        <v>1978</v>
      </c>
      <c r="B324" s="146" t="n">
        <v>322</v>
      </c>
      <c r="C324" s="144" t="n">
        <v>6440</v>
      </c>
      <c r="D324" s="138" t="s">
        <v>1570</v>
      </c>
      <c r="E324" s="138" t="s">
        <v>1571</v>
      </c>
      <c r="F324" s="147" t="n">
        <v>18.3</v>
      </c>
      <c r="G324" s="148" t="n">
        <v>0</v>
      </c>
      <c r="H324" s="148" t="n">
        <v>0</v>
      </c>
      <c r="I324" s="138" t="s">
        <v>1642</v>
      </c>
      <c r="J324" s="138"/>
      <c r="K324" s="146" t="n">
        <f aca="false">Parâmetros!$C$4*(F324+2*Parâmetros!$D$4+Parâmetros!$C$4*Parâmetros!$E$4)</f>
        <v>0.9175</v>
      </c>
      <c r="L324" s="146" t="n">
        <f aca="false">Parâmetros!$C$5*(F324+2*Parâmetros!$D$5+Parâmetros!$C$5*Parâmetros!$E$5)</f>
        <v>2.9856</v>
      </c>
      <c r="M324" s="146" t="n">
        <f aca="false">Parâmetros!$C$6*(F324+2*Parâmetros!$D$6+Parâmetros!$C$6*Parâmetros!$E$6)</f>
        <v>3.844</v>
      </c>
      <c r="N324" s="146" t="n">
        <f aca="false">Parâmetros!$C$7*(F324+2*Parâmetros!$D$7+Parâmetros!$C$7*Parâmetros!$E$7)</f>
        <v>5.976</v>
      </c>
      <c r="O324" s="146" t="n">
        <f aca="false">F324+2*Parâmetros!$D$8</f>
        <v>18.5</v>
      </c>
      <c r="P324" s="146" t="n">
        <f aca="false">F324+2*Parâmetros!$D$10</f>
        <v>20.22</v>
      </c>
      <c r="Q324" s="146" t="n">
        <f aca="false">G324+H324</f>
        <v>0</v>
      </c>
      <c r="S324" s="149" t="n">
        <f aca="false">S323+'Volumes por intervalo'!C323*(F323+F324)/2</f>
        <v>72763</v>
      </c>
      <c r="T324" s="149" t="n">
        <f aca="false">T323+'Volumes por intervalo'!H323</f>
        <v>3654.25000000002</v>
      </c>
      <c r="U324" s="149" t="n">
        <f aca="false">U323+'Volumes por intervalo'!J323</f>
        <v>12013.024</v>
      </c>
      <c r="V324" s="149" t="n">
        <f aca="false">V323+'Volumes por intervalo'!K323</f>
        <v>15737.56</v>
      </c>
      <c r="W324" s="149" t="n">
        <f aca="false">W323+'Volumes por intervalo'!L323</f>
        <v>24958.7400000001</v>
      </c>
      <c r="X324" s="149" t="n">
        <f aca="false">X323+'Volumes por intervalo'!M323</f>
        <v>74051</v>
      </c>
      <c r="Y324" s="149" t="n">
        <f aca="false">Y323+'Volumes por intervalo'!N323</f>
        <v>74051</v>
      </c>
      <c r="Z324" s="149" t="n">
        <f aca="false">Z323+'Volumes por intervalo'!O323</f>
        <v>85127.7999999998</v>
      </c>
      <c r="AA324" s="149" t="n">
        <f aca="false">AA323+'Volumes por intervalo'!P323</f>
        <v>0</v>
      </c>
      <c r="AB324" s="149" t="n">
        <f aca="false">AB323+'Volumes por intervalo'!Q323</f>
        <v>0</v>
      </c>
      <c r="AC324" s="149" t="n">
        <f aca="false">AC323+'Volumes por intervalo'!R323</f>
        <v>0</v>
      </c>
      <c r="AD324" s="149" t="n">
        <f aca="false">AD323+'Volumes por intervalo'!S323</f>
        <v>0</v>
      </c>
    </row>
    <row r="325" customFormat="false" ht="15" hidden="false" customHeight="false" outlineLevel="0" collapsed="false">
      <c r="A325" s="138" t="s">
        <v>1979</v>
      </c>
      <c r="B325" s="146" t="n">
        <v>323</v>
      </c>
      <c r="C325" s="144" t="n">
        <v>6460</v>
      </c>
      <c r="D325" s="138" t="s">
        <v>1570</v>
      </c>
      <c r="E325" s="138" t="s">
        <v>1571</v>
      </c>
      <c r="F325" s="147" t="n">
        <v>18.4</v>
      </c>
      <c r="G325" s="148" t="n">
        <v>0</v>
      </c>
      <c r="H325" s="148" t="n">
        <v>0</v>
      </c>
      <c r="I325" s="138" t="s">
        <v>1642</v>
      </c>
      <c r="J325" s="138"/>
      <c r="K325" s="146" t="n">
        <f aca="false">Parâmetros!$C$4*(F325+2*Parâmetros!$D$4+Parâmetros!$C$4*Parâmetros!$E$4)</f>
        <v>0.9225</v>
      </c>
      <c r="L325" s="146" t="n">
        <f aca="false">Parâmetros!$C$5*(F325+2*Parâmetros!$D$5+Parâmetros!$C$5*Parâmetros!$E$5)</f>
        <v>3.0016</v>
      </c>
      <c r="M325" s="146" t="n">
        <f aca="false">Parâmetros!$C$6*(F325+2*Parâmetros!$D$6+Parâmetros!$C$6*Parâmetros!$E$6)</f>
        <v>3.864</v>
      </c>
      <c r="N325" s="146" t="n">
        <f aca="false">Parâmetros!$C$7*(F325+2*Parâmetros!$D$7+Parâmetros!$C$7*Parâmetros!$E$7)</f>
        <v>6.006</v>
      </c>
      <c r="O325" s="146" t="n">
        <f aca="false">F325+2*Parâmetros!$D$8</f>
        <v>18.6</v>
      </c>
      <c r="P325" s="146" t="n">
        <f aca="false">F325+2*Parâmetros!$D$10</f>
        <v>20.32</v>
      </c>
      <c r="Q325" s="146" t="n">
        <f aca="false">G325+H325</f>
        <v>0</v>
      </c>
      <c r="S325" s="149" t="n">
        <f aca="false">S324+'Volumes por intervalo'!C324*(F324+F325)/2</f>
        <v>73130</v>
      </c>
      <c r="T325" s="149" t="n">
        <f aca="false">T324+'Volumes por intervalo'!H324</f>
        <v>3672.65000000002</v>
      </c>
      <c r="U325" s="149" t="n">
        <f aca="false">U324+'Volumes por intervalo'!J324</f>
        <v>12072.896</v>
      </c>
      <c r="V325" s="149" t="n">
        <f aca="false">V324+'Volumes por intervalo'!K324</f>
        <v>15814.64</v>
      </c>
      <c r="W325" s="149" t="n">
        <f aca="false">W324+'Volumes por intervalo'!L324</f>
        <v>25078.5600000001</v>
      </c>
      <c r="X325" s="149" t="n">
        <f aca="false">X324+'Volumes por intervalo'!M324</f>
        <v>74422</v>
      </c>
      <c r="Y325" s="149" t="n">
        <f aca="false">Y324+'Volumes por intervalo'!N324</f>
        <v>74422</v>
      </c>
      <c r="Z325" s="149" t="n">
        <f aca="false">Z324+'Volumes por intervalo'!O324</f>
        <v>85533.1999999998</v>
      </c>
      <c r="AA325" s="149" t="n">
        <f aca="false">AA324+'Volumes por intervalo'!P324</f>
        <v>0</v>
      </c>
      <c r="AB325" s="149" t="n">
        <f aca="false">AB324+'Volumes por intervalo'!Q324</f>
        <v>0</v>
      </c>
      <c r="AC325" s="149" t="n">
        <f aca="false">AC324+'Volumes por intervalo'!R324</f>
        <v>0</v>
      </c>
      <c r="AD325" s="149" t="n">
        <f aca="false">AD324+'Volumes por intervalo'!S324</f>
        <v>0</v>
      </c>
    </row>
    <row r="326" customFormat="false" ht="15" hidden="false" customHeight="false" outlineLevel="0" collapsed="false">
      <c r="A326" s="138" t="s">
        <v>1980</v>
      </c>
      <c r="B326" s="146" t="n">
        <v>324</v>
      </c>
      <c r="C326" s="144" t="n">
        <v>6480</v>
      </c>
      <c r="D326" s="138" t="s">
        <v>1570</v>
      </c>
      <c r="E326" s="138" t="s">
        <v>1571</v>
      </c>
      <c r="F326" s="147" t="n">
        <v>18.4</v>
      </c>
      <c r="G326" s="148" t="n">
        <v>0</v>
      </c>
      <c r="H326" s="148" t="n">
        <v>0</v>
      </c>
      <c r="I326" s="138" t="s">
        <v>1642</v>
      </c>
      <c r="J326" s="138"/>
      <c r="K326" s="146" t="n">
        <f aca="false">Parâmetros!$C$4*(F326+2*Parâmetros!$D$4+Parâmetros!$C$4*Parâmetros!$E$4)</f>
        <v>0.9225</v>
      </c>
      <c r="L326" s="146" t="n">
        <f aca="false">Parâmetros!$C$5*(F326+2*Parâmetros!$D$5+Parâmetros!$C$5*Parâmetros!$E$5)</f>
        <v>3.0016</v>
      </c>
      <c r="M326" s="146" t="n">
        <f aca="false">Parâmetros!$C$6*(F326+2*Parâmetros!$D$6+Parâmetros!$C$6*Parâmetros!$E$6)</f>
        <v>3.864</v>
      </c>
      <c r="N326" s="146" t="n">
        <f aca="false">Parâmetros!$C$7*(F326+2*Parâmetros!$D$7+Parâmetros!$C$7*Parâmetros!$E$7)</f>
        <v>6.006</v>
      </c>
      <c r="O326" s="146" t="n">
        <f aca="false">F326+2*Parâmetros!$D$8</f>
        <v>18.6</v>
      </c>
      <c r="P326" s="146" t="n">
        <f aca="false">F326+2*Parâmetros!$D$10</f>
        <v>20.32</v>
      </c>
      <c r="Q326" s="146" t="n">
        <f aca="false">G326+H326</f>
        <v>0</v>
      </c>
      <c r="S326" s="149" t="n">
        <f aca="false">S325+'Volumes por intervalo'!C325*(F325+F326)/2</f>
        <v>73498</v>
      </c>
      <c r="T326" s="149" t="n">
        <f aca="false">T325+'Volumes por intervalo'!H325</f>
        <v>3691.10000000002</v>
      </c>
      <c r="U326" s="149" t="n">
        <f aca="false">U325+'Volumes por intervalo'!J325</f>
        <v>12132.928</v>
      </c>
      <c r="V326" s="149" t="n">
        <f aca="false">V325+'Volumes por intervalo'!K325</f>
        <v>15891.92</v>
      </c>
      <c r="W326" s="149" t="n">
        <f aca="false">W325+'Volumes por intervalo'!L325</f>
        <v>25198.6800000001</v>
      </c>
      <c r="X326" s="149" t="n">
        <f aca="false">X325+'Volumes por intervalo'!M325</f>
        <v>74794</v>
      </c>
      <c r="Y326" s="149" t="n">
        <f aca="false">Y325+'Volumes por intervalo'!N325</f>
        <v>74794</v>
      </c>
      <c r="Z326" s="149" t="n">
        <f aca="false">Z325+'Volumes por intervalo'!O325</f>
        <v>85939.5999999998</v>
      </c>
      <c r="AA326" s="149" t="n">
        <f aca="false">AA325+'Volumes por intervalo'!P325</f>
        <v>0</v>
      </c>
      <c r="AB326" s="149" t="n">
        <f aca="false">AB325+'Volumes por intervalo'!Q325</f>
        <v>0</v>
      </c>
      <c r="AC326" s="149" t="n">
        <f aca="false">AC325+'Volumes por intervalo'!R325</f>
        <v>0</v>
      </c>
      <c r="AD326" s="149" t="n">
        <f aca="false">AD325+'Volumes por intervalo'!S325</f>
        <v>0</v>
      </c>
    </row>
    <row r="327" customFormat="false" ht="15" hidden="false" customHeight="false" outlineLevel="0" collapsed="false">
      <c r="A327" s="138" t="s">
        <v>1981</v>
      </c>
      <c r="B327" s="146" t="n">
        <v>325</v>
      </c>
      <c r="C327" s="144" t="n">
        <v>6500</v>
      </c>
      <c r="D327" s="138" t="s">
        <v>1570</v>
      </c>
      <c r="E327" s="138" t="s">
        <v>1571</v>
      </c>
      <c r="F327" s="147" t="n">
        <v>18.4</v>
      </c>
      <c r="G327" s="148" t="n">
        <v>0</v>
      </c>
      <c r="H327" s="148" t="n">
        <v>0</v>
      </c>
      <c r="I327" s="138" t="s">
        <v>1982</v>
      </c>
      <c r="J327" s="138" t="s">
        <v>1983</v>
      </c>
      <c r="K327" s="146" t="n">
        <f aca="false">Parâmetros!$C$4*(F327+2*Parâmetros!$D$4+Parâmetros!$C$4*Parâmetros!$E$4)</f>
        <v>0.9225</v>
      </c>
      <c r="L327" s="146" t="n">
        <f aca="false">Parâmetros!$C$5*(F327+2*Parâmetros!$D$5+Parâmetros!$C$5*Parâmetros!$E$5)</f>
        <v>3.0016</v>
      </c>
      <c r="M327" s="146" t="n">
        <f aca="false">Parâmetros!$C$6*(F327+2*Parâmetros!$D$6+Parâmetros!$C$6*Parâmetros!$E$6)</f>
        <v>3.864</v>
      </c>
      <c r="N327" s="146" t="n">
        <f aca="false">Parâmetros!$C$7*(F327+2*Parâmetros!$D$7+Parâmetros!$C$7*Parâmetros!$E$7)</f>
        <v>6.006</v>
      </c>
      <c r="O327" s="146" t="n">
        <f aca="false">F327+2*Parâmetros!$D$8</f>
        <v>18.6</v>
      </c>
      <c r="P327" s="146" t="n">
        <f aca="false">F327+2*Parâmetros!$D$10</f>
        <v>20.32</v>
      </c>
      <c r="Q327" s="146" t="n">
        <f aca="false">G327+H327</f>
        <v>0</v>
      </c>
      <c r="S327" s="149" t="n">
        <f aca="false">S326+'Volumes por intervalo'!C326*(F326+F327)/2</f>
        <v>73866</v>
      </c>
      <c r="T327" s="149" t="n">
        <f aca="false">T326+'Volumes por intervalo'!H326</f>
        <v>3709.55000000002</v>
      </c>
      <c r="U327" s="149" t="n">
        <f aca="false">U326+'Volumes por intervalo'!J326</f>
        <v>12192.96</v>
      </c>
      <c r="V327" s="149" t="n">
        <f aca="false">V326+'Volumes por intervalo'!K326</f>
        <v>15969.2</v>
      </c>
      <c r="W327" s="149" t="n">
        <f aca="false">W326+'Volumes por intervalo'!L326</f>
        <v>25318.8000000001</v>
      </c>
      <c r="X327" s="149" t="n">
        <f aca="false">X326+'Volumes por intervalo'!M326</f>
        <v>75166</v>
      </c>
      <c r="Y327" s="149" t="n">
        <f aca="false">Y326+'Volumes por intervalo'!N326</f>
        <v>75166</v>
      </c>
      <c r="Z327" s="149" t="n">
        <f aca="false">Z326+'Volumes por intervalo'!O326</f>
        <v>86345.9999999998</v>
      </c>
      <c r="AA327" s="149" t="n">
        <f aca="false">AA326+'Volumes por intervalo'!P326</f>
        <v>0</v>
      </c>
      <c r="AB327" s="149" t="n">
        <f aca="false">AB326+'Volumes por intervalo'!Q326</f>
        <v>0</v>
      </c>
      <c r="AC327" s="149" t="n">
        <f aca="false">AC326+'Volumes por intervalo'!R326</f>
        <v>0</v>
      </c>
      <c r="AD327" s="149" t="n">
        <f aca="false">AD326+'Volumes por intervalo'!S326</f>
        <v>0</v>
      </c>
    </row>
    <row r="328" customFormat="false" ht="15" hidden="false" customHeight="false" outlineLevel="0" collapsed="false">
      <c r="A328" s="138" t="s">
        <v>1984</v>
      </c>
      <c r="B328" s="146" t="n">
        <v>326</v>
      </c>
      <c r="C328" s="144" t="n">
        <v>6520</v>
      </c>
      <c r="D328" s="138" t="s">
        <v>1570</v>
      </c>
      <c r="E328" s="138" t="s">
        <v>1571</v>
      </c>
      <c r="F328" s="147" t="n">
        <v>18.4</v>
      </c>
      <c r="G328" s="148" t="n">
        <v>0</v>
      </c>
      <c r="H328" s="148" t="n">
        <v>0</v>
      </c>
      <c r="I328" s="138" t="s">
        <v>1982</v>
      </c>
      <c r="J328" s="138" t="s">
        <v>1985</v>
      </c>
      <c r="K328" s="146" t="n">
        <f aca="false">Parâmetros!$C$4*(F328+2*Parâmetros!$D$4+Parâmetros!$C$4*Parâmetros!$E$4)</f>
        <v>0.9225</v>
      </c>
      <c r="L328" s="146" t="n">
        <f aca="false">Parâmetros!$C$5*(F328+2*Parâmetros!$D$5+Parâmetros!$C$5*Parâmetros!$E$5)</f>
        <v>3.0016</v>
      </c>
      <c r="M328" s="146" t="n">
        <f aca="false">Parâmetros!$C$6*(F328+2*Parâmetros!$D$6+Parâmetros!$C$6*Parâmetros!$E$6)</f>
        <v>3.864</v>
      </c>
      <c r="N328" s="146" t="n">
        <f aca="false">Parâmetros!$C$7*(F328+2*Parâmetros!$D$7+Parâmetros!$C$7*Parâmetros!$E$7)</f>
        <v>6.006</v>
      </c>
      <c r="O328" s="146" t="n">
        <f aca="false">F328+2*Parâmetros!$D$8</f>
        <v>18.6</v>
      </c>
      <c r="P328" s="146" t="n">
        <f aca="false">F328+2*Parâmetros!$D$10</f>
        <v>20.32</v>
      </c>
      <c r="Q328" s="146" t="n">
        <f aca="false">G328+H328</f>
        <v>0</v>
      </c>
      <c r="S328" s="149" t="n">
        <f aca="false">S327+'Volumes por intervalo'!C327*(F327+F328)/2</f>
        <v>74234</v>
      </c>
      <c r="T328" s="149" t="n">
        <f aca="false">T327+'Volumes por intervalo'!H327</f>
        <v>3728.00000000002</v>
      </c>
      <c r="U328" s="149" t="n">
        <f aca="false">U327+'Volumes por intervalo'!J327</f>
        <v>12252.992</v>
      </c>
      <c r="V328" s="149" t="n">
        <f aca="false">V327+'Volumes por intervalo'!K327</f>
        <v>16046.48</v>
      </c>
      <c r="W328" s="149" t="n">
        <f aca="false">W327+'Volumes por intervalo'!L327</f>
        <v>25438.9200000001</v>
      </c>
      <c r="X328" s="149" t="n">
        <f aca="false">X327+'Volumes por intervalo'!M327</f>
        <v>75538</v>
      </c>
      <c r="Y328" s="149" t="n">
        <f aca="false">Y327+'Volumes por intervalo'!N327</f>
        <v>75538</v>
      </c>
      <c r="Z328" s="149" t="n">
        <f aca="false">Z327+'Volumes por intervalo'!O327</f>
        <v>86752.3999999998</v>
      </c>
      <c r="AA328" s="149" t="n">
        <f aca="false">AA327+'Volumes por intervalo'!P327</f>
        <v>0</v>
      </c>
      <c r="AB328" s="149" t="n">
        <f aca="false">AB327+'Volumes por intervalo'!Q327</f>
        <v>0</v>
      </c>
      <c r="AC328" s="149" t="n">
        <f aca="false">AC327+'Volumes por intervalo'!R327</f>
        <v>0</v>
      </c>
      <c r="AD328" s="149" t="n">
        <f aca="false">AD327+'Volumes por intervalo'!S327</f>
        <v>0</v>
      </c>
    </row>
    <row r="329" customFormat="false" ht="15" hidden="false" customHeight="false" outlineLevel="0" collapsed="false">
      <c r="A329" s="138" t="s">
        <v>1986</v>
      </c>
      <c r="B329" s="146" t="n">
        <v>327</v>
      </c>
      <c r="C329" s="144" t="n">
        <v>6540</v>
      </c>
      <c r="D329" s="138" t="s">
        <v>1570</v>
      </c>
      <c r="E329" s="138" t="s">
        <v>1571</v>
      </c>
      <c r="F329" s="147" t="n">
        <v>18.4</v>
      </c>
      <c r="G329" s="148" t="n">
        <v>0</v>
      </c>
      <c r="H329" s="148" t="n">
        <v>0</v>
      </c>
      <c r="I329" s="138" t="s">
        <v>1982</v>
      </c>
      <c r="J329" s="138" t="s">
        <v>1987</v>
      </c>
      <c r="K329" s="146" t="n">
        <f aca="false">Parâmetros!$C$4*(F329+2*Parâmetros!$D$4+Parâmetros!$C$4*Parâmetros!$E$4)</f>
        <v>0.9225</v>
      </c>
      <c r="L329" s="146" t="n">
        <f aca="false">Parâmetros!$C$5*(F329+2*Parâmetros!$D$5+Parâmetros!$C$5*Parâmetros!$E$5)</f>
        <v>3.0016</v>
      </c>
      <c r="M329" s="146" t="n">
        <f aca="false">Parâmetros!$C$6*(F329+2*Parâmetros!$D$6+Parâmetros!$C$6*Parâmetros!$E$6)</f>
        <v>3.864</v>
      </c>
      <c r="N329" s="146" t="n">
        <f aca="false">Parâmetros!$C$7*(F329+2*Parâmetros!$D$7+Parâmetros!$C$7*Parâmetros!$E$7)</f>
        <v>6.006</v>
      </c>
      <c r="O329" s="146" t="n">
        <f aca="false">F329+2*Parâmetros!$D$8</f>
        <v>18.6</v>
      </c>
      <c r="P329" s="146" t="n">
        <f aca="false">F329+2*Parâmetros!$D$10</f>
        <v>20.32</v>
      </c>
      <c r="Q329" s="146" t="n">
        <f aca="false">G329+H329</f>
        <v>0</v>
      </c>
      <c r="S329" s="149" t="n">
        <f aca="false">S328+'Volumes por intervalo'!C328*(F328+F329)/2</f>
        <v>74602</v>
      </c>
      <c r="T329" s="149" t="n">
        <f aca="false">T328+'Volumes por intervalo'!H328</f>
        <v>3746.45000000002</v>
      </c>
      <c r="U329" s="149" t="n">
        <f aca="false">U328+'Volumes por intervalo'!J328</f>
        <v>12313.024</v>
      </c>
      <c r="V329" s="149" t="n">
        <f aca="false">V328+'Volumes por intervalo'!K328</f>
        <v>16123.76</v>
      </c>
      <c r="W329" s="149" t="n">
        <f aca="false">W328+'Volumes por intervalo'!L328</f>
        <v>25559.0400000001</v>
      </c>
      <c r="X329" s="149" t="n">
        <f aca="false">X328+'Volumes por intervalo'!M328</f>
        <v>75910</v>
      </c>
      <c r="Y329" s="149" t="n">
        <f aca="false">Y328+'Volumes por intervalo'!N328</f>
        <v>75910</v>
      </c>
      <c r="Z329" s="149" t="n">
        <f aca="false">Z328+'Volumes por intervalo'!O328</f>
        <v>87158.7999999998</v>
      </c>
      <c r="AA329" s="149" t="n">
        <f aca="false">AA328+'Volumes por intervalo'!P328</f>
        <v>0</v>
      </c>
      <c r="AB329" s="149" t="n">
        <f aca="false">AB328+'Volumes por intervalo'!Q328</f>
        <v>0</v>
      </c>
      <c r="AC329" s="149" t="n">
        <f aca="false">AC328+'Volumes por intervalo'!R328</f>
        <v>0</v>
      </c>
      <c r="AD329" s="149" t="n">
        <f aca="false">AD328+'Volumes por intervalo'!S328</f>
        <v>0</v>
      </c>
    </row>
    <row r="330" customFormat="false" ht="15" hidden="false" customHeight="false" outlineLevel="0" collapsed="false">
      <c r="A330" s="138" t="s">
        <v>1988</v>
      </c>
      <c r="B330" s="146" t="n">
        <v>328</v>
      </c>
      <c r="C330" s="144" t="n">
        <v>6560</v>
      </c>
      <c r="D330" s="138" t="s">
        <v>1570</v>
      </c>
      <c r="E330" s="138" t="s">
        <v>1571</v>
      </c>
      <c r="F330" s="147" t="n">
        <v>18.4</v>
      </c>
      <c r="G330" s="148" t="n">
        <v>0</v>
      </c>
      <c r="H330" s="148" t="n">
        <v>0</v>
      </c>
      <c r="I330" s="138" t="s">
        <v>1642</v>
      </c>
      <c r="J330" s="138"/>
      <c r="K330" s="146" t="n">
        <f aca="false">Parâmetros!$C$4*(F330+2*Parâmetros!$D$4+Parâmetros!$C$4*Parâmetros!$E$4)</f>
        <v>0.9225</v>
      </c>
      <c r="L330" s="146" t="n">
        <f aca="false">Parâmetros!$C$5*(F330+2*Parâmetros!$D$5+Parâmetros!$C$5*Parâmetros!$E$5)</f>
        <v>3.0016</v>
      </c>
      <c r="M330" s="146" t="n">
        <f aca="false">Parâmetros!$C$6*(F330+2*Parâmetros!$D$6+Parâmetros!$C$6*Parâmetros!$E$6)</f>
        <v>3.864</v>
      </c>
      <c r="N330" s="146" t="n">
        <f aca="false">Parâmetros!$C$7*(F330+2*Parâmetros!$D$7+Parâmetros!$C$7*Parâmetros!$E$7)</f>
        <v>6.006</v>
      </c>
      <c r="O330" s="146" t="n">
        <f aca="false">F330+2*Parâmetros!$D$8</f>
        <v>18.6</v>
      </c>
      <c r="P330" s="146" t="n">
        <f aca="false">F330+2*Parâmetros!$D$10</f>
        <v>20.32</v>
      </c>
      <c r="Q330" s="146" t="n">
        <f aca="false">G330+H330</f>
        <v>0</v>
      </c>
      <c r="S330" s="149" t="n">
        <f aca="false">S329+'Volumes por intervalo'!C329*(F329+F330)/2</f>
        <v>74970</v>
      </c>
      <c r="T330" s="149" t="n">
        <f aca="false">T329+'Volumes por intervalo'!H329</f>
        <v>3764.90000000002</v>
      </c>
      <c r="U330" s="149" t="n">
        <f aca="false">U329+'Volumes por intervalo'!J329</f>
        <v>12373.056</v>
      </c>
      <c r="V330" s="149" t="n">
        <f aca="false">V329+'Volumes por intervalo'!K329</f>
        <v>16201.04</v>
      </c>
      <c r="W330" s="149" t="n">
        <f aca="false">W329+'Volumes por intervalo'!L329</f>
        <v>25679.1600000001</v>
      </c>
      <c r="X330" s="149" t="n">
        <f aca="false">X329+'Volumes por intervalo'!M329</f>
        <v>76282</v>
      </c>
      <c r="Y330" s="149" t="n">
        <f aca="false">Y329+'Volumes por intervalo'!N329</f>
        <v>76282</v>
      </c>
      <c r="Z330" s="149" t="n">
        <f aca="false">Z329+'Volumes por intervalo'!O329</f>
        <v>87565.1999999998</v>
      </c>
      <c r="AA330" s="149" t="n">
        <f aca="false">AA329+'Volumes por intervalo'!P329</f>
        <v>0</v>
      </c>
      <c r="AB330" s="149" t="n">
        <f aca="false">AB329+'Volumes por intervalo'!Q329</f>
        <v>0</v>
      </c>
      <c r="AC330" s="149" t="n">
        <f aca="false">AC329+'Volumes por intervalo'!R329</f>
        <v>0</v>
      </c>
      <c r="AD330" s="149" t="n">
        <f aca="false">AD329+'Volumes por intervalo'!S329</f>
        <v>0</v>
      </c>
    </row>
    <row r="331" customFormat="false" ht="15" hidden="false" customHeight="false" outlineLevel="0" collapsed="false">
      <c r="A331" s="138" t="s">
        <v>1989</v>
      </c>
      <c r="B331" s="146" t="n">
        <v>329</v>
      </c>
      <c r="C331" s="144" t="n">
        <v>6580</v>
      </c>
      <c r="D331" s="138" t="s">
        <v>1570</v>
      </c>
      <c r="E331" s="138" t="s">
        <v>1571</v>
      </c>
      <c r="F331" s="147" t="n">
        <v>18.4</v>
      </c>
      <c r="G331" s="148" t="n">
        <v>0</v>
      </c>
      <c r="H331" s="148" t="n">
        <v>0</v>
      </c>
      <c r="I331" s="138" t="s">
        <v>1642</v>
      </c>
      <c r="J331" s="138"/>
      <c r="K331" s="146" t="n">
        <f aca="false">Parâmetros!$C$4*(F331+2*Parâmetros!$D$4+Parâmetros!$C$4*Parâmetros!$E$4)</f>
        <v>0.9225</v>
      </c>
      <c r="L331" s="146" t="n">
        <f aca="false">Parâmetros!$C$5*(F331+2*Parâmetros!$D$5+Parâmetros!$C$5*Parâmetros!$E$5)</f>
        <v>3.0016</v>
      </c>
      <c r="M331" s="146" t="n">
        <f aca="false">Parâmetros!$C$6*(F331+2*Parâmetros!$D$6+Parâmetros!$C$6*Parâmetros!$E$6)</f>
        <v>3.864</v>
      </c>
      <c r="N331" s="146" t="n">
        <f aca="false">Parâmetros!$C$7*(F331+2*Parâmetros!$D$7+Parâmetros!$C$7*Parâmetros!$E$7)</f>
        <v>6.006</v>
      </c>
      <c r="O331" s="146" t="n">
        <f aca="false">F331+2*Parâmetros!$D$8</f>
        <v>18.6</v>
      </c>
      <c r="P331" s="146" t="n">
        <f aca="false">F331+2*Parâmetros!$D$10</f>
        <v>20.32</v>
      </c>
      <c r="Q331" s="146" t="n">
        <f aca="false">G331+H331</f>
        <v>0</v>
      </c>
      <c r="S331" s="149" t="n">
        <f aca="false">S330+'Volumes por intervalo'!C330*(F330+F331)/2</f>
        <v>75338</v>
      </c>
      <c r="T331" s="149" t="n">
        <f aca="false">T330+'Volumes por intervalo'!H330</f>
        <v>3783.35000000002</v>
      </c>
      <c r="U331" s="149" t="n">
        <f aca="false">U330+'Volumes por intervalo'!J330</f>
        <v>12433.088</v>
      </c>
      <c r="V331" s="149" t="n">
        <f aca="false">V330+'Volumes por intervalo'!K330</f>
        <v>16278.32</v>
      </c>
      <c r="W331" s="149" t="n">
        <f aca="false">W330+'Volumes por intervalo'!L330</f>
        <v>25799.2800000001</v>
      </c>
      <c r="X331" s="149" t="n">
        <f aca="false">X330+'Volumes por intervalo'!M330</f>
        <v>76654</v>
      </c>
      <c r="Y331" s="149" t="n">
        <f aca="false">Y330+'Volumes por intervalo'!N330</f>
        <v>76654</v>
      </c>
      <c r="Z331" s="149" t="n">
        <f aca="false">Z330+'Volumes por intervalo'!O330</f>
        <v>87971.5999999998</v>
      </c>
      <c r="AA331" s="149" t="n">
        <f aca="false">AA330+'Volumes por intervalo'!P330</f>
        <v>0</v>
      </c>
      <c r="AB331" s="149" t="n">
        <f aca="false">AB330+'Volumes por intervalo'!Q330</f>
        <v>0</v>
      </c>
      <c r="AC331" s="149" t="n">
        <f aca="false">AC330+'Volumes por intervalo'!R330</f>
        <v>0</v>
      </c>
      <c r="AD331" s="149" t="n">
        <f aca="false">AD330+'Volumes por intervalo'!S330</f>
        <v>0</v>
      </c>
    </row>
    <row r="332" customFormat="false" ht="15" hidden="false" customHeight="false" outlineLevel="0" collapsed="false">
      <c r="A332" s="138" t="s">
        <v>1990</v>
      </c>
      <c r="B332" s="146" t="n">
        <v>330</v>
      </c>
      <c r="C332" s="144" t="n">
        <v>6600</v>
      </c>
      <c r="D332" s="138" t="s">
        <v>1570</v>
      </c>
      <c r="E332" s="138" t="s">
        <v>1571</v>
      </c>
      <c r="F332" s="147" t="n">
        <v>18.4</v>
      </c>
      <c r="G332" s="148" t="n">
        <v>0</v>
      </c>
      <c r="H332" s="148" t="n">
        <v>0</v>
      </c>
      <c r="I332" s="138" t="s">
        <v>1642</v>
      </c>
      <c r="J332" s="138"/>
      <c r="K332" s="146" t="n">
        <f aca="false">Parâmetros!$C$4*(F332+2*Parâmetros!$D$4+Parâmetros!$C$4*Parâmetros!$E$4)</f>
        <v>0.9225</v>
      </c>
      <c r="L332" s="146" t="n">
        <f aca="false">Parâmetros!$C$5*(F332+2*Parâmetros!$D$5+Parâmetros!$C$5*Parâmetros!$E$5)</f>
        <v>3.0016</v>
      </c>
      <c r="M332" s="146" t="n">
        <f aca="false">Parâmetros!$C$6*(F332+2*Parâmetros!$D$6+Parâmetros!$C$6*Parâmetros!$E$6)</f>
        <v>3.864</v>
      </c>
      <c r="N332" s="146" t="n">
        <f aca="false">Parâmetros!$C$7*(F332+2*Parâmetros!$D$7+Parâmetros!$C$7*Parâmetros!$E$7)</f>
        <v>6.006</v>
      </c>
      <c r="O332" s="146" t="n">
        <f aca="false">F332+2*Parâmetros!$D$8</f>
        <v>18.6</v>
      </c>
      <c r="P332" s="146" t="n">
        <f aca="false">F332+2*Parâmetros!$D$10</f>
        <v>20.32</v>
      </c>
      <c r="Q332" s="146" t="n">
        <f aca="false">G332+H332</f>
        <v>0</v>
      </c>
      <c r="S332" s="149" t="n">
        <f aca="false">S331+'Volumes por intervalo'!C331*(F331+F332)/2</f>
        <v>75706</v>
      </c>
      <c r="T332" s="149" t="n">
        <f aca="false">T331+'Volumes por intervalo'!H331</f>
        <v>3801.80000000001</v>
      </c>
      <c r="U332" s="149" t="n">
        <f aca="false">U331+'Volumes por intervalo'!J331</f>
        <v>12493.12</v>
      </c>
      <c r="V332" s="149" t="n">
        <f aca="false">V331+'Volumes por intervalo'!K331</f>
        <v>16355.6</v>
      </c>
      <c r="W332" s="149" t="n">
        <f aca="false">W331+'Volumes por intervalo'!L331</f>
        <v>25919.4000000001</v>
      </c>
      <c r="X332" s="149" t="n">
        <f aca="false">X331+'Volumes por intervalo'!M331</f>
        <v>77026</v>
      </c>
      <c r="Y332" s="149" t="n">
        <f aca="false">Y331+'Volumes por intervalo'!N331</f>
        <v>77026</v>
      </c>
      <c r="Z332" s="149" t="n">
        <f aca="false">Z331+'Volumes por intervalo'!O331</f>
        <v>88377.9999999998</v>
      </c>
      <c r="AA332" s="149" t="n">
        <f aca="false">AA331+'Volumes por intervalo'!P331</f>
        <v>0</v>
      </c>
      <c r="AB332" s="149" t="n">
        <f aca="false">AB331+'Volumes por intervalo'!Q331</f>
        <v>0</v>
      </c>
      <c r="AC332" s="149" t="n">
        <f aca="false">AC331+'Volumes por intervalo'!R331</f>
        <v>0</v>
      </c>
      <c r="AD332" s="149" t="n">
        <f aca="false">AD331+'Volumes por intervalo'!S331</f>
        <v>0</v>
      </c>
    </row>
    <row r="333" customFormat="false" ht="15" hidden="false" customHeight="false" outlineLevel="0" collapsed="false">
      <c r="A333" s="138" t="s">
        <v>1991</v>
      </c>
      <c r="B333" s="146" t="n">
        <v>331</v>
      </c>
      <c r="C333" s="144" t="n">
        <v>6620</v>
      </c>
      <c r="D333" s="138" t="s">
        <v>1570</v>
      </c>
      <c r="E333" s="138" t="s">
        <v>1571</v>
      </c>
      <c r="F333" s="147" t="n">
        <v>18.2</v>
      </c>
      <c r="G333" s="148" t="n">
        <v>0</v>
      </c>
      <c r="H333" s="148" t="n">
        <v>0</v>
      </c>
      <c r="I333" s="138" t="s">
        <v>1642</v>
      </c>
      <c r="J333" s="138"/>
      <c r="K333" s="146" t="n">
        <f aca="false">Parâmetros!$C$4*(F333+2*Parâmetros!$D$4+Parâmetros!$C$4*Parâmetros!$E$4)</f>
        <v>0.9125</v>
      </c>
      <c r="L333" s="146" t="n">
        <f aca="false">Parâmetros!$C$5*(F333+2*Parâmetros!$D$5+Parâmetros!$C$5*Parâmetros!$E$5)</f>
        <v>2.9696</v>
      </c>
      <c r="M333" s="146" t="n">
        <f aca="false">Parâmetros!$C$6*(F333+2*Parâmetros!$D$6+Parâmetros!$C$6*Parâmetros!$E$6)</f>
        <v>3.824</v>
      </c>
      <c r="N333" s="146" t="n">
        <f aca="false">Parâmetros!$C$7*(F333+2*Parâmetros!$D$7+Parâmetros!$C$7*Parâmetros!$E$7)</f>
        <v>5.946</v>
      </c>
      <c r="O333" s="146" t="n">
        <f aca="false">F333+2*Parâmetros!$D$8</f>
        <v>18.4</v>
      </c>
      <c r="P333" s="146" t="n">
        <f aca="false">F333+2*Parâmetros!$D$10</f>
        <v>20.12</v>
      </c>
      <c r="Q333" s="146" t="n">
        <f aca="false">G333+H333</f>
        <v>0</v>
      </c>
      <c r="S333" s="149" t="n">
        <f aca="false">S332+'Volumes por intervalo'!C332*(F332+F333)/2</f>
        <v>76072</v>
      </c>
      <c r="T333" s="149" t="n">
        <f aca="false">T332+'Volumes por intervalo'!H332</f>
        <v>3820.15000000001</v>
      </c>
      <c r="U333" s="149" t="n">
        <f aca="false">U332+'Volumes por intervalo'!J332</f>
        <v>12552.832</v>
      </c>
      <c r="V333" s="149" t="n">
        <f aca="false">V332+'Volumes por intervalo'!K332</f>
        <v>16432.48</v>
      </c>
      <c r="W333" s="149" t="n">
        <f aca="false">W332+'Volumes por intervalo'!L332</f>
        <v>26038.9200000001</v>
      </c>
      <c r="X333" s="149" t="n">
        <f aca="false">X332+'Volumes por intervalo'!M332</f>
        <v>77396</v>
      </c>
      <c r="Y333" s="149" t="n">
        <f aca="false">Y332+'Volumes por intervalo'!N332</f>
        <v>77396</v>
      </c>
      <c r="Z333" s="149" t="n">
        <f aca="false">Z332+'Volumes por intervalo'!O332</f>
        <v>88782.3999999998</v>
      </c>
      <c r="AA333" s="149" t="n">
        <f aca="false">AA332+'Volumes por intervalo'!P332</f>
        <v>0</v>
      </c>
      <c r="AB333" s="149" t="n">
        <f aca="false">AB332+'Volumes por intervalo'!Q332</f>
        <v>0</v>
      </c>
      <c r="AC333" s="149" t="n">
        <f aca="false">AC332+'Volumes por intervalo'!R332</f>
        <v>0</v>
      </c>
      <c r="AD333" s="149" t="n">
        <f aca="false">AD332+'Volumes por intervalo'!S332</f>
        <v>0</v>
      </c>
    </row>
    <row r="334" customFormat="false" ht="15" hidden="false" customHeight="false" outlineLevel="0" collapsed="false">
      <c r="A334" s="138" t="s">
        <v>1573</v>
      </c>
      <c r="B334" s="146" t="n">
        <v>332</v>
      </c>
      <c r="C334" s="144" t="n">
        <v>6640</v>
      </c>
      <c r="D334" s="138" t="s">
        <v>1570</v>
      </c>
      <c r="E334" s="138" t="s">
        <v>1571</v>
      </c>
      <c r="F334" s="147" t="n">
        <v>16.6</v>
      </c>
      <c r="G334" s="148" t="n">
        <v>0</v>
      </c>
      <c r="H334" s="148" t="n">
        <v>0</v>
      </c>
      <c r="I334" s="138" t="s">
        <v>1642</v>
      </c>
      <c r="J334" s="138"/>
      <c r="K334" s="146" t="n">
        <f aca="false">Parâmetros!$C$4*(F334+2*Parâmetros!$D$4+Parâmetros!$C$4*Parâmetros!$E$4)</f>
        <v>0.8325</v>
      </c>
      <c r="L334" s="146" t="n">
        <f aca="false">Parâmetros!$C$5*(F334+2*Parâmetros!$D$5+Parâmetros!$C$5*Parâmetros!$E$5)</f>
        <v>2.7136</v>
      </c>
      <c r="M334" s="146" t="n">
        <f aca="false">Parâmetros!$C$6*(F334+2*Parâmetros!$D$6+Parâmetros!$C$6*Parâmetros!$E$6)</f>
        <v>3.504</v>
      </c>
      <c r="N334" s="146" t="n">
        <f aca="false">Parâmetros!$C$7*(F334+2*Parâmetros!$D$7+Parâmetros!$C$7*Parâmetros!$E$7)</f>
        <v>5.466</v>
      </c>
      <c r="O334" s="146" t="n">
        <f aca="false">F334+2*Parâmetros!$D$8</f>
        <v>16.8</v>
      </c>
      <c r="P334" s="146" t="n">
        <f aca="false">F334+2*Parâmetros!$D$10</f>
        <v>18.52</v>
      </c>
      <c r="Q334" s="146" t="n">
        <f aca="false">G334+H334</f>
        <v>0</v>
      </c>
      <c r="S334" s="149" t="n">
        <f aca="false">S333+'Volumes por intervalo'!C333*(F333+F334)/2</f>
        <v>76420</v>
      </c>
      <c r="T334" s="149" t="n">
        <f aca="false">T333+'Volumes por intervalo'!H333</f>
        <v>3837.60000000001</v>
      </c>
      <c r="U334" s="149" t="n">
        <f aca="false">U333+'Volumes por intervalo'!J333</f>
        <v>12609.664</v>
      </c>
      <c r="V334" s="149" t="n">
        <f aca="false">V333+'Volumes por intervalo'!K333</f>
        <v>16505.76</v>
      </c>
      <c r="W334" s="149" t="n">
        <f aca="false">W333+'Volumes por intervalo'!L333</f>
        <v>26153.04</v>
      </c>
      <c r="X334" s="149" t="n">
        <f aca="false">X333+'Volumes por intervalo'!M333</f>
        <v>77748</v>
      </c>
      <c r="Y334" s="149" t="n">
        <f aca="false">Y333+'Volumes por intervalo'!N333</f>
        <v>77748</v>
      </c>
      <c r="Z334" s="149" t="n">
        <f aca="false">Z333+'Volumes por intervalo'!O333</f>
        <v>89168.7999999998</v>
      </c>
      <c r="AA334" s="149" t="n">
        <f aca="false">AA333+'Volumes por intervalo'!P333</f>
        <v>0</v>
      </c>
      <c r="AB334" s="149" t="n">
        <f aca="false">AB333+'Volumes por intervalo'!Q333</f>
        <v>0</v>
      </c>
      <c r="AC334" s="149" t="n">
        <f aca="false">AC333+'Volumes por intervalo'!R333</f>
        <v>0</v>
      </c>
      <c r="AD334" s="149" t="n">
        <f aca="false">AD333+'Volumes por intervalo'!S333</f>
        <v>0</v>
      </c>
    </row>
    <row r="335" customFormat="false" ht="15" hidden="false" customHeight="false" outlineLevel="0" collapsed="false">
      <c r="A335" s="138" t="s">
        <v>1992</v>
      </c>
      <c r="B335" s="146" t="n">
        <v>333</v>
      </c>
      <c r="C335" s="144" t="n">
        <v>6660</v>
      </c>
      <c r="D335" s="138" t="s">
        <v>1574</v>
      </c>
      <c r="E335" s="138" t="s">
        <v>1566</v>
      </c>
      <c r="F335" s="147" t="n">
        <v>13.5</v>
      </c>
      <c r="G335" s="148" t="n">
        <v>0</v>
      </c>
      <c r="H335" s="148" t="n">
        <v>0</v>
      </c>
      <c r="I335" s="138" t="s">
        <v>1642</v>
      </c>
      <c r="J335" s="138"/>
      <c r="K335" s="146" t="n">
        <f aca="false">Parâmetros!$C$4*(F335+2*Parâmetros!$D$4+Parâmetros!$C$4*Parâmetros!$E$4)</f>
        <v>0.6775</v>
      </c>
      <c r="L335" s="146" t="n">
        <f aca="false">Parâmetros!$C$5*(F335+2*Parâmetros!$D$5+Parâmetros!$C$5*Parâmetros!$E$5)</f>
        <v>2.2176</v>
      </c>
      <c r="M335" s="146" t="n">
        <f aca="false">Parâmetros!$C$6*(F335+2*Parâmetros!$D$6+Parâmetros!$C$6*Parâmetros!$E$6)</f>
        <v>2.884</v>
      </c>
      <c r="N335" s="146" t="n">
        <f aca="false">Parâmetros!$C$7*(F335+2*Parâmetros!$D$7+Parâmetros!$C$7*Parâmetros!$E$7)</f>
        <v>4.536</v>
      </c>
      <c r="O335" s="146" t="n">
        <f aca="false">F335+2*Parâmetros!$D$8</f>
        <v>13.7</v>
      </c>
      <c r="P335" s="146" t="n">
        <f aca="false">F335+2*Parâmetros!$D$10</f>
        <v>15.42</v>
      </c>
      <c r="Q335" s="146" t="n">
        <f aca="false">G335+H335</f>
        <v>0</v>
      </c>
      <c r="S335" s="149" t="n">
        <f aca="false">S334+'Volumes por intervalo'!C334*(F334+F335)/2</f>
        <v>76721</v>
      </c>
      <c r="T335" s="149" t="n">
        <f aca="false">T334+'Volumes por intervalo'!H334</f>
        <v>3852.70000000001</v>
      </c>
      <c r="U335" s="149" t="n">
        <f aca="false">U334+'Volumes por intervalo'!J334</f>
        <v>12658.976</v>
      </c>
      <c r="V335" s="149" t="n">
        <f aca="false">V334+'Volumes por intervalo'!K334</f>
        <v>16569.64</v>
      </c>
      <c r="W335" s="149" t="n">
        <f aca="false">W334+'Volumes por intervalo'!L334</f>
        <v>26253.0600000001</v>
      </c>
      <c r="X335" s="149" t="n">
        <f aca="false">X334+'Volumes por intervalo'!M334</f>
        <v>78053</v>
      </c>
      <c r="Y335" s="149" t="n">
        <f aca="false">Y334+'Volumes por intervalo'!N334</f>
        <v>78053</v>
      </c>
      <c r="Z335" s="149" t="n">
        <f aca="false">Z334+'Volumes por intervalo'!O334</f>
        <v>89508.1999999998</v>
      </c>
      <c r="AA335" s="149" t="n">
        <f aca="false">AA334+'Volumes por intervalo'!P334</f>
        <v>0</v>
      </c>
      <c r="AB335" s="149" t="n">
        <f aca="false">AB334+'Volumes por intervalo'!Q334</f>
        <v>0</v>
      </c>
      <c r="AC335" s="149" t="n">
        <f aca="false">AC334+'Volumes por intervalo'!R334</f>
        <v>0</v>
      </c>
      <c r="AD335" s="149" t="n">
        <f aca="false">AD334+'Volumes por intervalo'!S334</f>
        <v>0</v>
      </c>
    </row>
    <row r="336" customFormat="false" ht="15" hidden="false" customHeight="false" outlineLevel="0" collapsed="false">
      <c r="A336" s="138" t="s">
        <v>1993</v>
      </c>
      <c r="B336" s="146" t="n">
        <v>334</v>
      </c>
      <c r="C336" s="144" t="n">
        <v>6680</v>
      </c>
      <c r="D336" s="138" t="s">
        <v>1574</v>
      </c>
      <c r="E336" s="138" t="s">
        <v>1566</v>
      </c>
      <c r="F336" s="147" t="n">
        <v>12.3</v>
      </c>
      <c r="G336" s="148" t="n">
        <v>0</v>
      </c>
      <c r="H336" s="148" t="n">
        <v>0</v>
      </c>
      <c r="I336" s="138" t="s">
        <v>1856</v>
      </c>
      <c r="J336" s="138" t="s">
        <v>1994</v>
      </c>
      <c r="K336" s="146" t="n">
        <f aca="false">Parâmetros!$C$4*(F336+2*Parâmetros!$D$4+Parâmetros!$C$4*Parâmetros!$E$4)</f>
        <v>0.6175</v>
      </c>
      <c r="L336" s="146" t="n">
        <f aca="false">Parâmetros!$C$5*(F336+2*Parâmetros!$D$5+Parâmetros!$C$5*Parâmetros!$E$5)</f>
        <v>2.0256</v>
      </c>
      <c r="M336" s="146" t="n">
        <f aca="false">Parâmetros!$C$6*(F336+2*Parâmetros!$D$6+Parâmetros!$C$6*Parâmetros!$E$6)</f>
        <v>2.644</v>
      </c>
      <c r="N336" s="146" t="n">
        <f aca="false">Parâmetros!$C$7*(F336+2*Parâmetros!$D$7+Parâmetros!$C$7*Parâmetros!$E$7)</f>
        <v>4.176</v>
      </c>
      <c r="O336" s="146" t="n">
        <f aca="false">F336+2*Parâmetros!$D$8</f>
        <v>12.5</v>
      </c>
      <c r="P336" s="146" t="n">
        <f aca="false">F336+2*Parâmetros!$D$10</f>
        <v>14.22</v>
      </c>
      <c r="Q336" s="146" t="n">
        <f aca="false">G336+H336</f>
        <v>0</v>
      </c>
      <c r="S336" s="149" t="n">
        <f aca="false">S335+'Volumes por intervalo'!C335*(F335+F336)/2</f>
        <v>76979</v>
      </c>
      <c r="T336" s="149" t="n">
        <f aca="false">T335+'Volumes por intervalo'!H335</f>
        <v>3865.65000000001</v>
      </c>
      <c r="U336" s="149" t="n">
        <f aca="false">U335+'Volumes por intervalo'!J335</f>
        <v>12701.408</v>
      </c>
      <c r="V336" s="149" t="n">
        <f aca="false">V335+'Volumes por intervalo'!K335</f>
        <v>16624.92</v>
      </c>
      <c r="W336" s="149" t="n">
        <f aca="false">W335+'Volumes por intervalo'!L335</f>
        <v>26340.18</v>
      </c>
      <c r="X336" s="149" t="n">
        <f aca="false">X335+'Volumes por intervalo'!M335</f>
        <v>78315</v>
      </c>
      <c r="Y336" s="149" t="n">
        <f aca="false">Y335+'Volumes por intervalo'!N335</f>
        <v>78315</v>
      </c>
      <c r="Z336" s="149" t="n">
        <f aca="false">Z335+'Volumes por intervalo'!O335</f>
        <v>89804.5999999998</v>
      </c>
      <c r="AA336" s="149" t="n">
        <f aca="false">AA335+'Volumes por intervalo'!P335</f>
        <v>0</v>
      </c>
      <c r="AB336" s="149" t="n">
        <f aca="false">AB335+'Volumes por intervalo'!Q335</f>
        <v>0</v>
      </c>
      <c r="AC336" s="149" t="n">
        <f aca="false">AC335+'Volumes por intervalo'!R335</f>
        <v>0</v>
      </c>
      <c r="AD336" s="149" t="n">
        <f aca="false">AD335+'Volumes por intervalo'!S335</f>
        <v>0</v>
      </c>
    </row>
    <row r="337" customFormat="false" ht="15" hidden="false" customHeight="false" outlineLevel="0" collapsed="false">
      <c r="A337" s="138" t="s">
        <v>1995</v>
      </c>
      <c r="B337" s="146" t="n">
        <v>335</v>
      </c>
      <c r="C337" s="144" t="n">
        <v>6700</v>
      </c>
      <c r="D337" s="138" t="s">
        <v>1574</v>
      </c>
      <c r="E337" s="138" t="s">
        <v>1566</v>
      </c>
      <c r="F337" s="147" t="n">
        <v>11.1</v>
      </c>
      <c r="G337" s="148" t="n">
        <v>0</v>
      </c>
      <c r="H337" s="148" t="n">
        <v>0</v>
      </c>
      <c r="I337" s="138" t="s">
        <v>1642</v>
      </c>
      <c r="J337" s="138"/>
      <c r="K337" s="146" t="n">
        <f aca="false">Parâmetros!$C$4*(F337+2*Parâmetros!$D$4+Parâmetros!$C$4*Parâmetros!$E$4)</f>
        <v>0.5575</v>
      </c>
      <c r="L337" s="146" t="n">
        <f aca="false">Parâmetros!$C$5*(F337+2*Parâmetros!$D$5+Parâmetros!$C$5*Parâmetros!$E$5)</f>
        <v>1.8336</v>
      </c>
      <c r="M337" s="146" t="n">
        <f aca="false">Parâmetros!$C$6*(F337+2*Parâmetros!$D$6+Parâmetros!$C$6*Parâmetros!$E$6)</f>
        <v>2.404</v>
      </c>
      <c r="N337" s="146" t="n">
        <f aca="false">Parâmetros!$C$7*(F337+2*Parâmetros!$D$7+Parâmetros!$C$7*Parâmetros!$E$7)</f>
        <v>3.816</v>
      </c>
      <c r="O337" s="146" t="n">
        <f aca="false">F337+2*Parâmetros!$D$8</f>
        <v>11.3</v>
      </c>
      <c r="P337" s="146" t="n">
        <f aca="false">F337+2*Parâmetros!$D$10</f>
        <v>13.02</v>
      </c>
      <c r="Q337" s="146" t="n">
        <f aca="false">G337+H337</f>
        <v>0</v>
      </c>
      <c r="S337" s="149" t="n">
        <f aca="false">S336+'Volumes por intervalo'!C336*(F336+F337)/2</f>
        <v>77213</v>
      </c>
      <c r="T337" s="149" t="n">
        <f aca="false">T336+'Volumes por intervalo'!H336</f>
        <v>3877.40000000001</v>
      </c>
      <c r="U337" s="149" t="n">
        <f aca="false">U336+'Volumes por intervalo'!J336</f>
        <v>12740</v>
      </c>
      <c r="V337" s="149" t="n">
        <f aca="false">V336+'Volumes por intervalo'!K336</f>
        <v>16675.4</v>
      </c>
      <c r="W337" s="149" t="n">
        <f aca="false">W336+'Volumes por intervalo'!L336</f>
        <v>26420.1</v>
      </c>
      <c r="X337" s="149" t="n">
        <f aca="false">X336+'Volumes por intervalo'!M336</f>
        <v>78553</v>
      </c>
      <c r="Y337" s="149" t="n">
        <f aca="false">Y336+'Volumes por intervalo'!N336</f>
        <v>78553</v>
      </c>
      <c r="Z337" s="149" t="n">
        <f aca="false">Z336+'Volumes por intervalo'!O336</f>
        <v>90076.9999999998</v>
      </c>
      <c r="AA337" s="149" t="n">
        <f aca="false">AA336+'Volumes por intervalo'!P336</f>
        <v>0</v>
      </c>
      <c r="AB337" s="149" t="n">
        <f aca="false">AB336+'Volumes por intervalo'!Q336</f>
        <v>0</v>
      </c>
      <c r="AC337" s="149" t="n">
        <f aca="false">AC336+'Volumes por intervalo'!R336</f>
        <v>0</v>
      </c>
      <c r="AD337" s="149" t="n">
        <f aca="false">AD336+'Volumes por intervalo'!S336</f>
        <v>0</v>
      </c>
    </row>
    <row r="338" customFormat="false" ht="15" hidden="false" customHeight="false" outlineLevel="0" collapsed="false">
      <c r="A338" s="138" t="s">
        <v>1996</v>
      </c>
      <c r="B338" s="146" t="n">
        <v>336</v>
      </c>
      <c r="C338" s="144" t="n">
        <v>6720</v>
      </c>
      <c r="D338" s="138" t="s">
        <v>1574</v>
      </c>
      <c r="E338" s="138" t="s">
        <v>1566</v>
      </c>
      <c r="F338" s="147" t="n">
        <v>11</v>
      </c>
      <c r="G338" s="148" t="n">
        <v>0</v>
      </c>
      <c r="H338" s="148" t="n">
        <v>0</v>
      </c>
      <c r="I338" s="138" t="s">
        <v>1642</v>
      </c>
      <c r="J338" s="138"/>
      <c r="K338" s="146" t="n">
        <f aca="false">Parâmetros!$C$4*(F338+2*Parâmetros!$D$4+Parâmetros!$C$4*Parâmetros!$E$4)</f>
        <v>0.5525</v>
      </c>
      <c r="L338" s="146" t="n">
        <f aca="false">Parâmetros!$C$5*(F338+2*Parâmetros!$D$5+Parâmetros!$C$5*Parâmetros!$E$5)</f>
        <v>1.8176</v>
      </c>
      <c r="M338" s="146" t="n">
        <f aca="false">Parâmetros!$C$6*(F338+2*Parâmetros!$D$6+Parâmetros!$C$6*Parâmetros!$E$6)</f>
        <v>2.384</v>
      </c>
      <c r="N338" s="146" t="n">
        <f aca="false">Parâmetros!$C$7*(F338+2*Parâmetros!$D$7+Parâmetros!$C$7*Parâmetros!$E$7)</f>
        <v>3.786</v>
      </c>
      <c r="O338" s="146" t="n">
        <f aca="false">F338+2*Parâmetros!$D$8</f>
        <v>11.2</v>
      </c>
      <c r="P338" s="146" t="n">
        <f aca="false">F338+2*Parâmetros!$D$10</f>
        <v>12.92</v>
      </c>
      <c r="Q338" s="146" t="n">
        <f aca="false">G338+H338</f>
        <v>0</v>
      </c>
      <c r="S338" s="149" t="n">
        <f aca="false">S337+'Volumes por intervalo'!C337*(F337+F338)/2</f>
        <v>77434</v>
      </c>
      <c r="T338" s="149" t="n">
        <f aca="false">T337+'Volumes por intervalo'!H337</f>
        <v>3888.50000000001</v>
      </c>
      <c r="U338" s="149" t="n">
        <f aca="false">U337+'Volumes por intervalo'!J337</f>
        <v>12776.512</v>
      </c>
      <c r="V338" s="149" t="n">
        <f aca="false">V337+'Volumes por intervalo'!K337</f>
        <v>16723.28</v>
      </c>
      <c r="W338" s="149" t="n">
        <f aca="false">W337+'Volumes por intervalo'!L337</f>
        <v>26496.12</v>
      </c>
      <c r="X338" s="149" t="n">
        <f aca="false">X337+'Volumes por intervalo'!M337</f>
        <v>78778</v>
      </c>
      <c r="Y338" s="149" t="n">
        <f aca="false">Y337+'Volumes por intervalo'!N337</f>
        <v>78778</v>
      </c>
      <c r="Z338" s="149" t="n">
        <f aca="false">Z337+'Volumes por intervalo'!O337</f>
        <v>90336.3999999998</v>
      </c>
      <c r="AA338" s="149" t="n">
        <f aca="false">AA337+'Volumes por intervalo'!P337</f>
        <v>0</v>
      </c>
      <c r="AB338" s="149" t="n">
        <f aca="false">AB337+'Volumes por intervalo'!Q337</f>
        <v>0</v>
      </c>
      <c r="AC338" s="149" t="n">
        <f aca="false">AC337+'Volumes por intervalo'!R337</f>
        <v>0</v>
      </c>
      <c r="AD338" s="149" t="n">
        <f aca="false">AD337+'Volumes por intervalo'!S337</f>
        <v>0</v>
      </c>
    </row>
    <row r="339" customFormat="false" ht="15" hidden="false" customHeight="false" outlineLevel="0" collapsed="false">
      <c r="A339" s="138" t="s">
        <v>1997</v>
      </c>
      <c r="B339" s="146" t="n">
        <v>337</v>
      </c>
      <c r="C339" s="144" t="n">
        <v>6740</v>
      </c>
      <c r="D339" s="138" t="s">
        <v>1574</v>
      </c>
      <c r="E339" s="138" t="s">
        <v>1566</v>
      </c>
      <c r="F339" s="147" t="n">
        <v>11</v>
      </c>
      <c r="G339" s="148" t="n">
        <v>0</v>
      </c>
      <c r="H339" s="148" t="n">
        <v>0</v>
      </c>
      <c r="I339" s="138" t="s">
        <v>1642</v>
      </c>
      <c r="J339" s="138"/>
      <c r="K339" s="146" t="n">
        <f aca="false">Parâmetros!$C$4*(F339+2*Parâmetros!$D$4+Parâmetros!$C$4*Parâmetros!$E$4)</f>
        <v>0.5525</v>
      </c>
      <c r="L339" s="146" t="n">
        <f aca="false">Parâmetros!$C$5*(F339+2*Parâmetros!$D$5+Parâmetros!$C$5*Parâmetros!$E$5)</f>
        <v>1.8176</v>
      </c>
      <c r="M339" s="146" t="n">
        <f aca="false">Parâmetros!$C$6*(F339+2*Parâmetros!$D$6+Parâmetros!$C$6*Parâmetros!$E$6)</f>
        <v>2.384</v>
      </c>
      <c r="N339" s="146" t="n">
        <f aca="false">Parâmetros!$C$7*(F339+2*Parâmetros!$D$7+Parâmetros!$C$7*Parâmetros!$E$7)</f>
        <v>3.786</v>
      </c>
      <c r="O339" s="146" t="n">
        <f aca="false">F339+2*Parâmetros!$D$8</f>
        <v>11.2</v>
      </c>
      <c r="P339" s="146" t="n">
        <f aca="false">F339+2*Parâmetros!$D$10</f>
        <v>12.92</v>
      </c>
      <c r="Q339" s="146" t="n">
        <f aca="false">G339+H339</f>
        <v>0</v>
      </c>
      <c r="S339" s="149" t="n">
        <f aca="false">S338+'Volumes por intervalo'!C338*(F338+F339)/2</f>
        <v>77654</v>
      </c>
      <c r="T339" s="149" t="n">
        <f aca="false">T338+'Volumes por intervalo'!H338</f>
        <v>3899.55000000001</v>
      </c>
      <c r="U339" s="149" t="n">
        <f aca="false">U338+'Volumes por intervalo'!J338</f>
        <v>12812.864</v>
      </c>
      <c r="V339" s="149" t="n">
        <f aca="false">V338+'Volumes por intervalo'!K338</f>
        <v>16770.96</v>
      </c>
      <c r="W339" s="149" t="n">
        <f aca="false">W338+'Volumes por intervalo'!L338</f>
        <v>26571.84</v>
      </c>
      <c r="X339" s="149" t="n">
        <f aca="false">X338+'Volumes por intervalo'!M338</f>
        <v>79002</v>
      </c>
      <c r="Y339" s="149" t="n">
        <f aca="false">Y338+'Volumes por intervalo'!N338</f>
        <v>79002</v>
      </c>
      <c r="Z339" s="149" t="n">
        <f aca="false">Z338+'Volumes por intervalo'!O338</f>
        <v>90594.7999999997</v>
      </c>
      <c r="AA339" s="149" t="n">
        <f aca="false">AA338+'Volumes por intervalo'!P338</f>
        <v>0</v>
      </c>
      <c r="AB339" s="149" t="n">
        <f aca="false">AB338+'Volumes por intervalo'!Q338</f>
        <v>0</v>
      </c>
      <c r="AC339" s="149" t="n">
        <f aca="false">AC338+'Volumes por intervalo'!R338</f>
        <v>0</v>
      </c>
      <c r="AD339" s="149" t="n">
        <f aca="false">AD338+'Volumes por intervalo'!S338</f>
        <v>0</v>
      </c>
    </row>
    <row r="340" customFormat="false" ht="15" hidden="false" customHeight="false" outlineLevel="0" collapsed="false">
      <c r="A340" s="138" t="s">
        <v>1998</v>
      </c>
      <c r="B340" s="146" t="n">
        <v>338</v>
      </c>
      <c r="C340" s="144" t="n">
        <v>6760</v>
      </c>
      <c r="D340" s="138" t="s">
        <v>1574</v>
      </c>
      <c r="E340" s="138" t="s">
        <v>1566</v>
      </c>
      <c r="F340" s="147" t="n">
        <v>11</v>
      </c>
      <c r="G340" s="148" t="n">
        <v>0</v>
      </c>
      <c r="H340" s="148" t="n">
        <v>0</v>
      </c>
      <c r="I340" s="138" t="s">
        <v>1642</v>
      </c>
      <c r="J340" s="138"/>
      <c r="K340" s="146" t="n">
        <f aca="false">Parâmetros!$C$4*(F340+2*Parâmetros!$D$4+Parâmetros!$C$4*Parâmetros!$E$4)</f>
        <v>0.5525</v>
      </c>
      <c r="L340" s="146" t="n">
        <f aca="false">Parâmetros!$C$5*(F340+2*Parâmetros!$D$5+Parâmetros!$C$5*Parâmetros!$E$5)</f>
        <v>1.8176</v>
      </c>
      <c r="M340" s="146" t="n">
        <f aca="false">Parâmetros!$C$6*(F340+2*Parâmetros!$D$6+Parâmetros!$C$6*Parâmetros!$E$6)</f>
        <v>2.384</v>
      </c>
      <c r="N340" s="146" t="n">
        <f aca="false">Parâmetros!$C$7*(F340+2*Parâmetros!$D$7+Parâmetros!$C$7*Parâmetros!$E$7)</f>
        <v>3.786</v>
      </c>
      <c r="O340" s="146" t="n">
        <f aca="false">F340+2*Parâmetros!$D$8</f>
        <v>11.2</v>
      </c>
      <c r="P340" s="146" t="n">
        <f aca="false">F340+2*Parâmetros!$D$10</f>
        <v>12.92</v>
      </c>
      <c r="Q340" s="146" t="n">
        <f aca="false">G340+H340</f>
        <v>0</v>
      </c>
      <c r="S340" s="149" t="n">
        <f aca="false">S339+'Volumes por intervalo'!C339*(F339+F340)/2</f>
        <v>77874</v>
      </c>
      <c r="T340" s="149" t="n">
        <f aca="false">T339+'Volumes por intervalo'!H339</f>
        <v>3910.60000000001</v>
      </c>
      <c r="U340" s="149" t="n">
        <f aca="false">U339+'Volumes por intervalo'!J339</f>
        <v>12849.216</v>
      </c>
      <c r="V340" s="149" t="n">
        <f aca="false">V339+'Volumes por intervalo'!K339</f>
        <v>16818.64</v>
      </c>
      <c r="W340" s="149" t="n">
        <f aca="false">W339+'Volumes por intervalo'!L339</f>
        <v>26647.5600000001</v>
      </c>
      <c r="X340" s="149" t="n">
        <f aca="false">X339+'Volumes por intervalo'!M339</f>
        <v>79226</v>
      </c>
      <c r="Y340" s="149" t="n">
        <f aca="false">Y339+'Volumes por intervalo'!N339</f>
        <v>79226</v>
      </c>
      <c r="Z340" s="149" t="n">
        <f aca="false">Z339+'Volumes por intervalo'!O339</f>
        <v>90853.1999999997</v>
      </c>
      <c r="AA340" s="149" t="n">
        <f aca="false">AA339+'Volumes por intervalo'!P339</f>
        <v>0</v>
      </c>
      <c r="AB340" s="149" t="n">
        <f aca="false">AB339+'Volumes por intervalo'!Q339</f>
        <v>0</v>
      </c>
      <c r="AC340" s="149" t="n">
        <f aca="false">AC339+'Volumes por intervalo'!R339</f>
        <v>0</v>
      </c>
      <c r="AD340" s="149" t="n">
        <f aca="false">AD339+'Volumes por intervalo'!S339</f>
        <v>0</v>
      </c>
    </row>
    <row r="341" customFormat="false" ht="15" hidden="false" customHeight="false" outlineLevel="0" collapsed="false">
      <c r="A341" s="138" t="s">
        <v>1999</v>
      </c>
      <c r="B341" s="146" t="n">
        <v>339</v>
      </c>
      <c r="C341" s="144" t="n">
        <v>6780</v>
      </c>
      <c r="D341" s="138" t="s">
        <v>1574</v>
      </c>
      <c r="E341" s="138" t="s">
        <v>1566</v>
      </c>
      <c r="F341" s="147" t="n">
        <v>11</v>
      </c>
      <c r="G341" s="148" t="n">
        <v>0</v>
      </c>
      <c r="H341" s="148" t="n">
        <v>0</v>
      </c>
      <c r="I341" s="138" t="s">
        <v>1642</v>
      </c>
      <c r="J341" s="138"/>
      <c r="K341" s="146" t="n">
        <f aca="false">Parâmetros!$C$4*(F341+2*Parâmetros!$D$4+Parâmetros!$C$4*Parâmetros!$E$4)</f>
        <v>0.5525</v>
      </c>
      <c r="L341" s="146" t="n">
        <f aca="false">Parâmetros!$C$5*(F341+2*Parâmetros!$D$5+Parâmetros!$C$5*Parâmetros!$E$5)</f>
        <v>1.8176</v>
      </c>
      <c r="M341" s="146" t="n">
        <f aca="false">Parâmetros!$C$6*(F341+2*Parâmetros!$D$6+Parâmetros!$C$6*Parâmetros!$E$6)</f>
        <v>2.384</v>
      </c>
      <c r="N341" s="146" t="n">
        <f aca="false">Parâmetros!$C$7*(F341+2*Parâmetros!$D$7+Parâmetros!$C$7*Parâmetros!$E$7)</f>
        <v>3.786</v>
      </c>
      <c r="O341" s="146" t="n">
        <f aca="false">F341+2*Parâmetros!$D$8</f>
        <v>11.2</v>
      </c>
      <c r="P341" s="146" t="n">
        <f aca="false">F341+2*Parâmetros!$D$10</f>
        <v>12.92</v>
      </c>
      <c r="Q341" s="146" t="n">
        <f aca="false">G341+H341</f>
        <v>0</v>
      </c>
      <c r="S341" s="149" t="n">
        <f aca="false">S340+'Volumes por intervalo'!C340*(F340+F341)/2</f>
        <v>78094</v>
      </c>
      <c r="T341" s="149" t="n">
        <f aca="false">T340+'Volumes por intervalo'!H340</f>
        <v>3921.65000000001</v>
      </c>
      <c r="U341" s="149" t="n">
        <f aca="false">U340+'Volumes por intervalo'!J340</f>
        <v>12885.568</v>
      </c>
      <c r="V341" s="149" t="n">
        <f aca="false">V340+'Volumes por intervalo'!K340</f>
        <v>16866.32</v>
      </c>
      <c r="W341" s="149" t="n">
        <f aca="false">W340+'Volumes por intervalo'!L340</f>
        <v>26723.2800000001</v>
      </c>
      <c r="X341" s="149" t="n">
        <f aca="false">X340+'Volumes por intervalo'!M340</f>
        <v>79450</v>
      </c>
      <c r="Y341" s="149" t="n">
        <f aca="false">Y340+'Volumes por intervalo'!N340</f>
        <v>79450</v>
      </c>
      <c r="Z341" s="149" t="n">
        <f aca="false">Z340+'Volumes por intervalo'!O340</f>
        <v>91111.5999999997</v>
      </c>
      <c r="AA341" s="149" t="n">
        <f aca="false">AA340+'Volumes por intervalo'!P340</f>
        <v>0</v>
      </c>
      <c r="AB341" s="149" t="n">
        <f aca="false">AB340+'Volumes por intervalo'!Q340</f>
        <v>0</v>
      </c>
      <c r="AC341" s="149" t="n">
        <f aca="false">AC340+'Volumes por intervalo'!R340</f>
        <v>0</v>
      </c>
      <c r="AD341" s="149" t="n">
        <f aca="false">AD340+'Volumes por intervalo'!S340</f>
        <v>0</v>
      </c>
    </row>
    <row r="342" customFormat="false" ht="15" hidden="false" customHeight="false" outlineLevel="0" collapsed="false">
      <c r="A342" s="138" t="s">
        <v>2000</v>
      </c>
      <c r="B342" s="146" t="n">
        <v>340</v>
      </c>
      <c r="C342" s="144" t="n">
        <v>6800</v>
      </c>
      <c r="D342" s="138" t="s">
        <v>1574</v>
      </c>
      <c r="E342" s="138" t="s">
        <v>1566</v>
      </c>
      <c r="F342" s="147" t="n">
        <v>12.6</v>
      </c>
      <c r="G342" s="148" t="n">
        <v>0</v>
      </c>
      <c r="H342" s="148" t="n">
        <v>0</v>
      </c>
      <c r="I342" s="138" t="s">
        <v>1642</v>
      </c>
      <c r="J342" s="138"/>
      <c r="K342" s="146" t="n">
        <f aca="false">Parâmetros!$C$4*(F342+2*Parâmetros!$D$4+Parâmetros!$C$4*Parâmetros!$E$4)</f>
        <v>0.6325</v>
      </c>
      <c r="L342" s="146" t="n">
        <f aca="false">Parâmetros!$C$5*(F342+2*Parâmetros!$D$5+Parâmetros!$C$5*Parâmetros!$E$5)</f>
        <v>2.0736</v>
      </c>
      <c r="M342" s="146" t="n">
        <f aca="false">Parâmetros!$C$6*(F342+2*Parâmetros!$D$6+Parâmetros!$C$6*Parâmetros!$E$6)</f>
        <v>2.704</v>
      </c>
      <c r="N342" s="146" t="n">
        <f aca="false">Parâmetros!$C$7*(F342+2*Parâmetros!$D$7+Parâmetros!$C$7*Parâmetros!$E$7)</f>
        <v>4.266</v>
      </c>
      <c r="O342" s="146" t="n">
        <f aca="false">F342+2*Parâmetros!$D$8</f>
        <v>12.8</v>
      </c>
      <c r="P342" s="146" t="n">
        <f aca="false">F342+2*Parâmetros!$D$10</f>
        <v>14.52</v>
      </c>
      <c r="Q342" s="146" t="n">
        <f aca="false">G342+H342</f>
        <v>0</v>
      </c>
      <c r="S342" s="149" t="n">
        <f aca="false">S341+'Volumes por intervalo'!C341*(F341+F342)/2</f>
        <v>78330</v>
      </c>
      <c r="T342" s="149" t="n">
        <f aca="false">T341+'Volumes por intervalo'!H341</f>
        <v>3933.50000000001</v>
      </c>
      <c r="U342" s="149" t="n">
        <f aca="false">U341+'Volumes por intervalo'!J341</f>
        <v>12924.48</v>
      </c>
      <c r="V342" s="149" t="n">
        <f aca="false">V341+'Volumes por intervalo'!K341</f>
        <v>16917.2</v>
      </c>
      <c r="W342" s="149" t="n">
        <f aca="false">W341+'Volumes por intervalo'!L341</f>
        <v>26803.8000000001</v>
      </c>
      <c r="X342" s="149" t="n">
        <f aca="false">X341+'Volumes por intervalo'!M341</f>
        <v>79690</v>
      </c>
      <c r="Y342" s="149" t="n">
        <f aca="false">Y341+'Volumes por intervalo'!N341</f>
        <v>79690</v>
      </c>
      <c r="Z342" s="149" t="n">
        <f aca="false">Z341+'Volumes por intervalo'!O341</f>
        <v>91385.9999999997</v>
      </c>
      <c r="AA342" s="149" t="n">
        <f aca="false">AA341+'Volumes por intervalo'!P341</f>
        <v>0</v>
      </c>
      <c r="AB342" s="149" t="n">
        <f aca="false">AB341+'Volumes por intervalo'!Q341</f>
        <v>0</v>
      </c>
      <c r="AC342" s="149" t="n">
        <f aca="false">AC341+'Volumes por intervalo'!R341</f>
        <v>0</v>
      </c>
      <c r="AD342" s="149" t="n">
        <f aca="false">AD341+'Volumes por intervalo'!S341</f>
        <v>0</v>
      </c>
    </row>
    <row r="343" customFormat="false" ht="15" hidden="false" customHeight="false" outlineLevel="0" collapsed="false">
      <c r="A343" s="138" t="s">
        <v>2001</v>
      </c>
      <c r="B343" s="146" t="n">
        <v>341</v>
      </c>
      <c r="C343" s="144" t="n">
        <v>6820</v>
      </c>
      <c r="D343" s="138" t="s">
        <v>1574</v>
      </c>
      <c r="E343" s="138" t="s">
        <v>1566</v>
      </c>
      <c r="F343" s="147" t="n">
        <v>11</v>
      </c>
      <c r="G343" s="148" t="n">
        <v>0</v>
      </c>
      <c r="H343" s="148" t="n">
        <v>0</v>
      </c>
      <c r="I343" s="138" t="s">
        <v>1642</v>
      </c>
      <c r="J343" s="138"/>
      <c r="K343" s="146" t="n">
        <f aca="false">Parâmetros!$C$4*(F343+2*Parâmetros!$D$4+Parâmetros!$C$4*Parâmetros!$E$4)</f>
        <v>0.5525</v>
      </c>
      <c r="L343" s="146" t="n">
        <f aca="false">Parâmetros!$C$5*(F343+2*Parâmetros!$D$5+Parâmetros!$C$5*Parâmetros!$E$5)</f>
        <v>1.8176</v>
      </c>
      <c r="M343" s="146" t="n">
        <f aca="false">Parâmetros!$C$6*(F343+2*Parâmetros!$D$6+Parâmetros!$C$6*Parâmetros!$E$6)</f>
        <v>2.384</v>
      </c>
      <c r="N343" s="146" t="n">
        <f aca="false">Parâmetros!$C$7*(F343+2*Parâmetros!$D$7+Parâmetros!$C$7*Parâmetros!$E$7)</f>
        <v>3.786</v>
      </c>
      <c r="O343" s="146" t="n">
        <f aca="false">F343+2*Parâmetros!$D$8</f>
        <v>11.2</v>
      </c>
      <c r="P343" s="146" t="n">
        <f aca="false">F343+2*Parâmetros!$D$10</f>
        <v>12.92</v>
      </c>
      <c r="Q343" s="146" t="n">
        <f aca="false">G343+H343</f>
        <v>0</v>
      </c>
      <c r="S343" s="149" t="n">
        <f aca="false">S342+'Volumes por intervalo'!C342*(F342+F343)/2</f>
        <v>78566</v>
      </c>
      <c r="T343" s="149" t="n">
        <f aca="false">T342+'Volumes por intervalo'!H342</f>
        <v>3945.35000000001</v>
      </c>
      <c r="U343" s="149" t="n">
        <f aca="false">U342+'Volumes por intervalo'!J342</f>
        <v>12963.392</v>
      </c>
      <c r="V343" s="149" t="n">
        <f aca="false">V342+'Volumes por intervalo'!K342</f>
        <v>16968.0800000001</v>
      </c>
      <c r="W343" s="149" t="n">
        <f aca="false">W342+'Volumes por intervalo'!L342</f>
        <v>26884.3200000001</v>
      </c>
      <c r="X343" s="149" t="n">
        <f aca="false">X342+'Volumes por intervalo'!M342</f>
        <v>79930</v>
      </c>
      <c r="Y343" s="149" t="n">
        <f aca="false">Y342+'Volumes por intervalo'!N342</f>
        <v>79930</v>
      </c>
      <c r="Z343" s="149" t="n">
        <f aca="false">Z342+'Volumes por intervalo'!O342</f>
        <v>91660.3999999997</v>
      </c>
      <c r="AA343" s="149" t="n">
        <f aca="false">AA342+'Volumes por intervalo'!P342</f>
        <v>0</v>
      </c>
      <c r="AB343" s="149" t="n">
        <f aca="false">AB342+'Volumes por intervalo'!Q342</f>
        <v>0</v>
      </c>
      <c r="AC343" s="149" t="n">
        <f aca="false">AC342+'Volumes por intervalo'!R342</f>
        <v>0</v>
      </c>
      <c r="AD343" s="149" t="n">
        <f aca="false">AD342+'Volumes por intervalo'!S342</f>
        <v>0</v>
      </c>
    </row>
    <row r="344" customFormat="false" ht="15" hidden="false" customHeight="false" outlineLevel="0" collapsed="false">
      <c r="A344" s="138" t="s">
        <v>2002</v>
      </c>
      <c r="B344" s="146" t="n">
        <v>342</v>
      </c>
      <c r="C344" s="144" t="n">
        <v>6840</v>
      </c>
      <c r="D344" s="138" t="s">
        <v>1574</v>
      </c>
      <c r="E344" s="138" t="s">
        <v>1566</v>
      </c>
      <c r="F344" s="147" t="n">
        <v>11</v>
      </c>
      <c r="G344" s="148" t="n">
        <v>0</v>
      </c>
      <c r="H344" s="148" t="n">
        <v>0</v>
      </c>
      <c r="I344" s="138" t="s">
        <v>1642</v>
      </c>
      <c r="J344" s="138"/>
      <c r="K344" s="146" t="n">
        <f aca="false">Parâmetros!$C$4*(F344+2*Parâmetros!$D$4+Parâmetros!$C$4*Parâmetros!$E$4)</f>
        <v>0.5525</v>
      </c>
      <c r="L344" s="146" t="n">
        <f aca="false">Parâmetros!$C$5*(F344+2*Parâmetros!$D$5+Parâmetros!$C$5*Parâmetros!$E$5)</f>
        <v>1.8176</v>
      </c>
      <c r="M344" s="146" t="n">
        <f aca="false">Parâmetros!$C$6*(F344+2*Parâmetros!$D$6+Parâmetros!$C$6*Parâmetros!$E$6)</f>
        <v>2.384</v>
      </c>
      <c r="N344" s="146" t="n">
        <f aca="false">Parâmetros!$C$7*(F344+2*Parâmetros!$D$7+Parâmetros!$C$7*Parâmetros!$E$7)</f>
        <v>3.786</v>
      </c>
      <c r="O344" s="146" t="n">
        <f aca="false">F344+2*Parâmetros!$D$8</f>
        <v>11.2</v>
      </c>
      <c r="P344" s="146" t="n">
        <f aca="false">F344+2*Parâmetros!$D$10</f>
        <v>12.92</v>
      </c>
      <c r="Q344" s="146" t="n">
        <f aca="false">G344+H344</f>
        <v>0</v>
      </c>
      <c r="S344" s="149" t="n">
        <f aca="false">S343+'Volumes por intervalo'!C343*(F343+F344)/2</f>
        <v>78786</v>
      </c>
      <c r="T344" s="149" t="n">
        <f aca="false">T343+'Volumes por intervalo'!H343</f>
        <v>3956.40000000001</v>
      </c>
      <c r="U344" s="149" t="n">
        <f aca="false">U343+'Volumes por intervalo'!J343</f>
        <v>12999.744</v>
      </c>
      <c r="V344" s="149" t="n">
        <f aca="false">V343+'Volumes por intervalo'!K343</f>
        <v>17015.7600000001</v>
      </c>
      <c r="W344" s="149" t="n">
        <f aca="false">W343+'Volumes por intervalo'!L343</f>
        <v>26960.0400000001</v>
      </c>
      <c r="X344" s="149" t="n">
        <f aca="false">X343+'Volumes por intervalo'!M343</f>
        <v>80154</v>
      </c>
      <c r="Y344" s="149" t="n">
        <f aca="false">Y343+'Volumes por intervalo'!N343</f>
        <v>80154</v>
      </c>
      <c r="Z344" s="149" t="n">
        <f aca="false">Z343+'Volumes por intervalo'!O343</f>
        <v>91918.7999999997</v>
      </c>
      <c r="AA344" s="149" t="n">
        <f aca="false">AA343+'Volumes por intervalo'!P343</f>
        <v>0</v>
      </c>
      <c r="AB344" s="149" t="n">
        <f aca="false">AB343+'Volumes por intervalo'!Q343</f>
        <v>0</v>
      </c>
      <c r="AC344" s="149" t="n">
        <f aca="false">AC343+'Volumes por intervalo'!R343</f>
        <v>0</v>
      </c>
      <c r="AD344" s="149" t="n">
        <f aca="false">AD343+'Volumes por intervalo'!S343</f>
        <v>0</v>
      </c>
    </row>
    <row r="345" customFormat="false" ht="15" hidden="false" customHeight="false" outlineLevel="0" collapsed="false">
      <c r="A345" s="138" t="s">
        <v>2003</v>
      </c>
      <c r="B345" s="146" t="n">
        <v>343</v>
      </c>
      <c r="C345" s="144" t="n">
        <v>6860</v>
      </c>
      <c r="D345" s="138" t="s">
        <v>1574</v>
      </c>
      <c r="E345" s="138" t="s">
        <v>1566</v>
      </c>
      <c r="F345" s="147" t="n">
        <v>11</v>
      </c>
      <c r="G345" s="148" t="n">
        <v>0</v>
      </c>
      <c r="H345" s="148" t="n">
        <v>0</v>
      </c>
      <c r="I345" s="138" t="s">
        <v>1642</v>
      </c>
      <c r="J345" s="138"/>
      <c r="K345" s="146" t="n">
        <f aca="false">Parâmetros!$C$4*(F345+2*Parâmetros!$D$4+Parâmetros!$C$4*Parâmetros!$E$4)</f>
        <v>0.5525</v>
      </c>
      <c r="L345" s="146" t="n">
        <f aca="false">Parâmetros!$C$5*(F345+2*Parâmetros!$D$5+Parâmetros!$C$5*Parâmetros!$E$5)</f>
        <v>1.8176</v>
      </c>
      <c r="M345" s="146" t="n">
        <f aca="false">Parâmetros!$C$6*(F345+2*Parâmetros!$D$6+Parâmetros!$C$6*Parâmetros!$E$6)</f>
        <v>2.384</v>
      </c>
      <c r="N345" s="146" t="n">
        <f aca="false">Parâmetros!$C$7*(F345+2*Parâmetros!$D$7+Parâmetros!$C$7*Parâmetros!$E$7)</f>
        <v>3.786</v>
      </c>
      <c r="O345" s="146" t="n">
        <f aca="false">F345+2*Parâmetros!$D$8</f>
        <v>11.2</v>
      </c>
      <c r="P345" s="146" t="n">
        <f aca="false">F345+2*Parâmetros!$D$10</f>
        <v>12.92</v>
      </c>
      <c r="Q345" s="146" t="n">
        <f aca="false">G345+H345</f>
        <v>0</v>
      </c>
      <c r="S345" s="149" t="n">
        <f aca="false">S344+'Volumes por intervalo'!C344*(F344+F345)/2</f>
        <v>79006</v>
      </c>
      <c r="T345" s="149" t="n">
        <f aca="false">T344+'Volumes por intervalo'!H344</f>
        <v>3967.45000000002</v>
      </c>
      <c r="U345" s="149" t="n">
        <f aca="false">U344+'Volumes por intervalo'!J344</f>
        <v>13036.096</v>
      </c>
      <c r="V345" s="149" t="n">
        <f aca="false">V344+'Volumes por intervalo'!K344</f>
        <v>17063.4400000001</v>
      </c>
      <c r="W345" s="149" t="n">
        <f aca="false">W344+'Volumes por intervalo'!L344</f>
        <v>27035.7600000001</v>
      </c>
      <c r="X345" s="149" t="n">
        <f aca="false">X344+'Volumes por intervalo'!M344</f>
        <v>80378</v>
      </c>
      <c r="Y345" s="149" t="n">
        <f aca="false">Y344+'Volumes por intervalo'!N344</f>
        <v>80378</v>
      </c>
      <c r="Z345" s="149" t="n">
        <f aca="false">Z344+'Volumes por intervalo'!O344</f>
        <v>92177.1999999997</v>
      </c>
      <c r="AA345" s="149" t="n">
        <f aca="false">AA344+'Volumes por intervalo'!P344</f>
        <v>0</v>
      </c>
      <c r="AB345" s="149" t="n">
        <f aca="false">AB344+'Volumes por intervalo'!Q344</f>
        <v>0</v>
      </c>
      <c r="AC345" s="149" t="n">
        <f aca="false">AC344+'Volumes por intervalo'!R344</f>
        <v>0</v>
      </c>
      <c r="AD345" s="149" t="n">
        <f aca="false">AD344+'Volumes por intervalo'!S344</f>
        <v>0</v>
      </c>
    </row>
    <row r="346" customFormat="false" ht="15" hidden="false" customHeight="false" outlineLevel="0" collapsed="false">
      <c r="A346" s="138" t="s">
        <v>2004</v>
      </c>
      <c r="B346" s="146" t="n">
        <v>344</v>
      </c>
      <c r="C346" s="144" t="n">
        <v>6880</v>
      </c>
      <c r="D346" s="138" t="s">
        <v>1574</v>
      </c>
      <c r="E346" s="138" t="s">
        <v>1566</v>
      </c>
      <c r="F346" s="147" t="n">
        <v>11</v>
      </c>
      <c r="G346" s="148" t="n">
        <v>0</v>
      </c>
      <c r="H346" s="148" t="n">
        <v>0</v>
      </c>
      <c r="I346" s="138" t="s">
        <v>1642</v>
      </c>
      <c r="J346" s="138"/>
      <c r="K346" s="146" t="n">
        <f aca="false">Parâmetros!$C$4*(F346+2*Parâmetros!$D$4+Parâmetros!$C$4*Parâmetros!$E$4)</f>
        <v>0.5525</v>
      </c>
      <c r="L346" s="146" t="n">
        <f aca="false">Parâmetros!$C$5*(F346+2*Parâmetros!$D$5+Parâmetros!$C$5*Parâmetros!$E$5)</f>
        <v>1.8176</v>
      </c>
      <c r="M346" s="146" t="n">
        <f aca="false">Parâmetros!$C$6*(F346+2*Parâmetros!$D$6+Parâmetros!$C$6*Parâmetros!$E$6)</f>
        <v>2.384</v>
      </c>
      <c r="N346" s="146" t="n">
        <f aca="false">Parâmetros!$C$7*(F346+2*Parâmetros!$D$7+Parâmetros!$C$7*Parâmetros!$E$7)</f>
        <v>3.786</v>
      </c>
      <c r="O346" s="146" t="n">
        <f aca="false">F346+2*Parâmetros!$D$8</f>
        <v>11.2</v>
      </c>
      <c r="P346" s="146" t="n">
        <f aca="false">F346+2*Parâmetros!$D$10</f>
        <v>12.92</v>
      </c>
      <c r="Q346" s="146" t="n">
        <f aca="false">G346+H346</f>
        <v>0</v>
      </c>
      <c r="S346" s="149" t="n">
        <f aca="false">S345+'Volumes por intervalo'!C345*(F345+F346)/2</f>
        <v>79226</v>
      </c>
      <c r="T346" s="149" t="n">
        <f aca="false">T345+'Volumes por intervalo'!H345</f>
        <v>3978.50000000002</v>
      </c>
      <c r="U346" s="149" t="n">
        <f aca="false">U345+'Volumes por intervalo'!J345</f>
        <v>13072.448</v>
      </c>
      <c r="V346" s="149" t="n">
        <f aca="false">V345+'Volumes por intervalo'!K345</f>
        <v>17111.1200000001</v>
      </c>
      <c r="W346" s="149" t="n">
        <f aca="false">W345+'Volumes por intervalo'!L345</f>
        <v>27111.4800000001</v>
      </c>
      <c r="X346" s="149" t="n">
        <f aca="false">X345+'Volumes por intervalo'!M345</f>
        <v>80602</v>
      </c>
      <c r="Y346" s="149" t="n">
        <f aca="false">Y345+'Volumes por intervalo'!N345</f>
        <v>80602</v>
      </c>
      <c r="Z346" s="149" t="n">
        <f aca="false">Z345+'Volumes por intervalo'!O345</f>
        <v>92435.5999999997</v>
      </c>
      <c r="AA346" s="149" t="n">
        <f aca="false">AA345+'Volumes por intervalo'!P345</f>
        <v>0</v>
      </c>
      <c r="AB346" s="149" t="n">
        <f aca="false">AB345+'Volumes por intervalo'!Q345</f>
        <v>0</v>
      </c>
      <c r="AC346" s="149" t="n">
        <f aca="false">AC345+'Volumes por intervalo'!R345</f>
        <v>0</v>
      </c>
      <c r="AD346" s="149" t="n">
        <f aca="false">AD345+'Volumes por intervalo'!S345</f>
        <v>0</v>
      </c>
    </row>
    <row r="347" customFormat="false" ht="15" hidden="false" customHeight="false" outlineLevel="0" collapsed="false">
      <c r="A347" s="138" t="s">
        <v>2005</v>
      </c>
      <c r="B347" s="146" t="n">
        <v>345</v>
      </c>
      <c r="C347" s="144" t="n">
        <v>6900</v>
      </c>
      <c r="D347" s="138" t="s">
        <v>1574</v>
      </c>
      <c r="E347" s="138" t="s">
        <v>1566</v>
      </c>
      <c r="F347" s="147" t="n">
        <v>11</v>
      </c>
      <c r="G347" s="148" t="n">
        <v>0</v>
      </c>
      <c r="H347" s="148" t="n">
        <v>0</v>
      </c>
      <c r="I347" s="138" t="s">
        <v>1642</v>
      </c>
      <c r="J347" s="138"/>
      <c r="K347" s="146" t="n">
        <f aca="false">Parâmetros!$C$4*(F347+2*Parâmetros!$D$4+Parâmetros!$C$4*Parâmetros!$E$4)</f>
        <v>0.5525</v>
      </c>
      <c r="L347" s="146" t="n">
        <f aca="false">Parâmetros!$C$5*(F347+2*Parâmetros!$D$5+Parâmetros!$C$5*Parâmetros!$E$5)</f>
        <v>1.8176</v>
      </c>
      <c r="M347" s="146" t="n">
        <f aca="false">Parâmetros!$C$6*(F347+2*Parâmetros!$D$6+Parâmetros!$C$6*Parâmetros!$E$6)</f>
        <v>2.384</v>
      </c>
      <c r="N347" s="146" t="n">
        <f aca="false">Parâmetros!$C$7*(F347+2*Parâmetros!$D$7+Parâmetros!$C$7*Parâmetros!$E$7)</f>
        <v>3.786</v>
      </c>
      <c r="O347" s="146" t="n">
        <f aca="false">F347+2*Parâmetros!$D$8</f>
        <v>11.2</v>
      </c>
      <c r="P347" s="146" t="n">
        <f aca="false">F347+2*Parâmetros!$D$10</f>
        <v>12.92</v>
      </c>
      <c r="Q347" s="146" t="n">
        <f aca="false">G347+H347</f>
        <v>0</v>
      </c>
      <c r="S347" s="149" t="n">
        <f aca="false">S346+'Volumes por intervalo'!C346*(F346+F347)/2</f>
        <v>79446</v>
      </c>
      <c r="T347" s="149" t="n">
        <f aca="false">T346+'Volumes por intervalo'!H346</f>
        <v>3989.55000000002</v>
      </c>
      <c r="U347" s="149" t="n">
        <f aca="false">U346+'Volumes por intervalo'!J346</f>
        <v>13108.8</v>
      </c>
      <c r="V347" s="149" t="n">
        <f aca="false">V346+'Volumes por intervalo'!K346</f>
        <v>17158.8000000001</v>
      </c>
      <c r="W347" s="149" t="n">
        <f aca="false">W346+'Volumes por intervalo'!L346</f>
        <v>27187.2000000001</v>
      </c>
      <c r="X347" s="149" t="n">
        <f aca="false">X346+'Volumes por intervalo'!M346</f>
        <v>80826</v>
      </c>
      <c r="Y347" s="149" t="n">
        <f aca="false">Y346+'Volumes por intervalo'!N346</f>
        <v>80826</v>
      </c>
      <c r="Z347" s="149" t="n">
        <f aca="false">Z346+'Volumes por intervalo'!O346</f>
        <v>92693.9999999997</v>
      </c>
      <c r="AA347" s="149" t="n">
        <f aca="false">AA346+'Volumes por intervalo'!P346</f>
        <v>0</v>
      </c>
      <c r="AB347" s="149" t="n">
        <f aca="false">AB346+'Volumes por intervalo'!Q346</f>
        <v>0</v>
      </c>
      <c r="AC347" s="149" t="n">
        <f aca="false">AC346+'Volumes por intervalo'!R346</f>
        <v>0</v>
      </c>
      <c r="AD347" s="149" t="n">
        <f aca="false">AD346+'Volumes por intervalo'!S346</f>
        <v>0</v>
      </c>
    </row>
    <row r="348" customFormat="false" ht="15" hidden="false" customHeight="false" outlineLevel="0" collapsed="false">
      <c r="A348" s="138" t="s">
        <v>2006</v>
      </c>
      <c r="B348" s="146" t="n">
        <v>346</v>
      </c>
      <c r="C348" s="144" t="n">
        <v>6920</v>
      </c>
      <c r="D348" s="138" t="s">
        <v>1574</v>
      </c>
      <c r="E348" s="138" t="s">
        <v>1566</v>
      </c>
      <c r="F348" s="147" t="n">
        <v>11</v>
      </c>
      <c r="G348" s="148" t="n">
        <v>0</v>
      </c>
      <c r="H348" s="148" t="n">
        <v>0</v>
      </c>
      <c r="I348" s="138" t="s">
        <v>1642</v>
      </c>
      <c r="J348" s="138"/>
      <c r="K348" s="146" t="n">
        <f aca="false">Parâmetros!$C$4*(F348+2*Parâmetros!$D$4+Parâmetros!$C$4*Parâmetros!$E$4)</f>
        <v>0.5525</v>
      </c>
      <c r="L348" s="146" t="n">
        <f aca="false">Parâmetros!$C$5*(F348+2*Parâmetros!$D$5+Parâmetros!$C$5*Parâmetros!$E$5)</f>
        <v>1.8176</v>
      </c>
      <c r="M348" s="146" t="n">
        <f aca="false">Parâmetros!$C$6*(F348+2*Parâmetros!$D$6+Parâmetros!$C$6*Parâmetros!$E$6)</f>
        <v>2.384</v>
      </c>
      <c r="N348" s="146" t="n">
        <f aca="false">Parâmetros!$C$7*(F348+2*Parâmetros!$D$7+Parâmetros!$C$7*Parâmetros!$E$7)</f>
        <v>3.786</v>
      </c>
      <c r="O348" s="146" t="n">
        <f aca="false">F348+2*Parâmetros!$D$8</f>
        <v>11.2</v>
      </c>
      <c r="P348" s="146" t="n">
        <f aca="false">F348+2*Parâmetros!$D$10</f>
        <v>12.92</v>
      </c>
      <c r="Q348" s="146" t="n">
        <f aca="false">G348+H348</f>
        <v>0</v>
      </c>
      <c r="S348" s="149" t="n">
        <f aca="false">S347+'Volumes por intervalo'!C347*(F347+F348)/2</f>
        <v>79666</v>
      </c>
      <c r="T348" s="149" t="n">
        <f aca="false">T347+'Volumes por intervalo'!H347</f>
        <v>4000.60000000002</v>
      </c>
      <c r="U348" s="149" t="n">
        <f aca="false">U347+'Volumes por intervalo'!J347</f>
        <v>13145.152</v>
      </c>
      <c r="V348" s="149" t="n">
        <f aca="false">V347+'Volumes por intervalo'!K347</f>
        <v>17206.4800000001</v>
      </c>
      <c r="W348" s="149" t="n">
        <f aca="false">W347+'Volumes por intervalo'!L347</f>
        <v>27262.9200000001</v>
      </c>
      <c r="X348" s="149" t="n">
        <f aca="false">X347+'Volumes por intervalo'!M347</f>
        <v>81050</v>
      </c>
      <c r="Y348" s="149" t="n">
        <f aca="false">Y347+'Volumes por intervalo'!N347</f>
        <v>81050</v>
      </c>
      <c r="Z348" s="149" t="n">
        <f aca="false">Z347+'Volumes por intervalo'!O347</f>
        <v>92952.3999999997</v>
      </c>
      <c r="AA348" s="149" t="n">
        <f aca="false">AA347+'Volumes por intervalo'!P347</f>
        <v>0</v>
      </c>
      <c r="AB348" s="149" t="n">
        <f aca="false">AB347+'Volumes por intervalo'!Q347</f>
        <v>0</v>
      </c>
      <c r="AC348" s="149" t="n">
        <f aca="false">AC347+'Volumes por intervalo'!R347</f>
        <v>0</v>
      </c>
      <c r="AD348" s="149" t="n">
        <f aca="false">AD347+'Volumes por intervalo'!S347</f>
        <v>0</v>
      </c>
    </row>
    <row r="349" customFormat="false" ht="15" hidden="false" customHeight="false" outlineLevel="0" collapsed="false">
      <c r="A349" s="138" t="s">
        <v>2007</v>
      </c>
      <c r="B349" s="146" t="n">
        <v>347</v>
      </c>
      <c r="C349" s="144" t="n">
        <v>6940</v>
      </c>
      <c r="D349" s="138" t="s">
        <v>1574</v>
      </c>
      <c r="E349" s="138" t="s">
        <v>1566</v>
      </c>
      <c r="F349" s="147" t="n">
        <v>11</v>
      </c>
      <c r="G349" s="148" t="n">
        <v>0</v>
      </c>
      <c r="H349" s="148" t="n">
        <v>0</v>
      </c>
      <c r="I349" s="138" t="s">
        <v>1642</v>
      </c>
      <c r="J349" s="138"/>
      <c r="K349" s="146" t="n">
        <f aca="false">Parâmetros!$C$4*(F349+2*Parâmetros!$D$4+Parâmetros!$C$4*Parâmetros!$E$4)</f>
        <v>0.5525</v>
      </c>
      <c r="L349" s="146" t="n">
        <f aca="false">Parâmetros!$C$5*(F349+2*Parâmetros!$D$5+Parâmetros!$C$5*Parâmetros!$E$5)</f>
        <v>1.8176</v>
      </c>
      <c r="M349" s="146" t="n">
        <f aca="false">Parâmetros!$C$6*(F349+2*Parâmetros!$D$6+Parâmetros!$C$6*Parâmetros!$E$6)</f>
        <v>2.384</v>
      </c>
      <c r="N349" s="146" t="n">
        <f aca="false">Parâmetros!$C$7*(F349+2*Parâmetros!$D$7+Parâmetros!$C$7*Parâmetros!$E$7)</f>
        <v>3.786</v>
      </c>
      <c r="O349" s="146" t="n">
        <f aca="false">F349+2*Parâmetros!$D$8</f>
        <v>11.2</v>
      </c>
      <c r="P349" s="146" t="n">
        <f aca="false">F349+2*Parâmetros!$D$10</f>
        <v>12.92</v>
      </c>
      <c r="Q349" s="146" t="n">
        <f aca="false">G349+H349</f>
        <v>0</v>
      </c>
      <c r="S349" s="149" t="n">
        <f aca="false">S348+'Volumes por intervalo'!C348*(F348+F349)/2</f>
        <v>79886</v>
      </c>
      <c r="T349" s="149" t="n">
        <f aca="false">T348+'Volumes por intervalo'!H348</f>
        <v>4011.65000000002</v>
      </c>
      <c r="U349" s="149" t="n">
        <f aca="false">U348+'Volumes por intervalo'!J348</f>
        <v>13181.504</v>
      </c>
      <c r="V349" s="149" t="n">
        <f aca="false">V348+'Volumes por intervalo'!K348</f>
        <v>17254.1600000001</v>
      </c>
      <c r="W349" s="149" t="n">
        <f aca="false">W348+'Volumes por intervalo'!L348</f>
        <v>27338.6400000001</v>
      </c>
      <c r="X349" s="149" t="n">
        <f aca="false">X348+'Volumes por intervalo'!M348</f>
        <v>81274</v>
      </c>
      <c r="Y349" s="149" t="n">
        <f aca="false">Y348+'Volumes por intervalo'!N348</f>
        <v>81274</v>
      </c>
      <c r="Z349" s="149" t="n">
        <f aca="false">Z348+'Volumes por intervalo'!O348</f>
        <v>93210.7999999997</v>
      </c>
      <c r="AA349" s="149" t="n">
        <f aca="false">AA348+'Volumes por intervalo'!P348</f>
        <v>0</v>
      </c>
      <c r="AB349" s="149" t="n">
        <f aca="false">AB348+'Volumes por intervalo'!Q348</f>
        <v>0</v>
      </c>
      <c r="AC349" s="149" t="n">
        <f aca="false">AC348+'Volumes por intervalo'!R348</f>
        <v>0</v>
      </c>
      <c r="AD349" s="149" t="n">
        <f aca="false">AD348+'Volumes por intervalo'!S348</f>
        <v>0</v>
      </c>
    </row>
    <row r="350" customFormat="false" ht="15" hidden="false" customHeight="false" outlineLevel="0" collapsed="false">
      <c r="A350" s="138" t="s">
        <v>2008</v>
      </c>
      <c r="B350" s="146" t="n">
        <v>348</v>
      </c>
      <c r="C350" s="144" t="n">
        <v>6960</v>
      </c>
      <c r="D350" s="138" t="s">
        <v>1574</v>
      </c>
      <c r="E350" s="138" t="s">
        <v>1566</v>
      </c>
      <c r="F350" s="147" t="n">
        <v>11</v>
      </c>
      <c r="G350" s="148" t="n">
        <v>0</v>
      </c>
      <c r="H350" s="148" t="n">
        <v>0</v>
      </c>
      <c r="I350" s="138" t="s">
        <v>1642</v>
      </c>
      <c r="J350" s="138"/>
      <c r="K350" s="146" t="n">
        <f aca="false">Parâmetros!$C$4*(F350+2*Parâmetros!$D$4+Parâmetros!$C$4*Parâmetros!$E$4)</f>
        <v>0.5525</v>
      </c>
      <c r="L350" s="146" t="n">
        <f aca="false">Parâmetros!$C$5*(F350+2*Parâmetros!$D$5+Parâmetros!$C$5*Parâmetros!$E$5)</f>
        <v>1.8176</v>
      </c>
      <c r="M350" s="146" t="n">
        <f aca="false">Parâmetros!$C$6*(F350+2*Parâmetros!$D$6+Parâmetros!$C$6*Parâmetros!$E$6)</f>
        <v>2.384</v>
      </c>
      <c r="N350" s="146" t="n">
        <f aca="false">Parâmetros!$C$7*(F350+2*Parâmetros!$D$7+Parâmetros!$C$7*Parâmetros!$E$7)</f>
        <v>3.786</v>
      </c>
      <c r="O350" s="146" t="n">
        <f aca="false">F350+2*Parâmetros!$D$8</f>
        <v>11.2</v>
      </c>
      <c r="P350" s="146" t="n">
        <f aca="false">F350+2*Parâmetros!$D$10</f>
        <v>12.92</v>
      </c>
      <c r="Q350" s="146" t="n">
        <f aca="false">G350+H350</f>
        <v>0</v>
      </c>
      <c r="S350" s="149" t="n">
        <f aca="false">S349+'Volumes por intervalo'!C349*(F349+F350)/2</f>
        <v>80106</v>
      </c>
      <c r="T350" s="149" t="n">
        <f aca="false">T349+'Volumes por intervalo'!H349</f>
        <v>4022.70000000002</v>
      </c>
      <c r="U350" s="149" t="n">
        <f aca="false">U349+'Volumes por intervalo'!J349</f>
        <v>13217.856</v>
      </c>
      <c r="V350" s="149" t="n">
        <f aca="false">V349+'Volumes por intervalo'!K349</f>
        <v>17301.8400000001</v>
      </c>
      <c r="W350" s="149" t="n">
        <f aca="false">W349+'Volumes por intervalo'!L349</f>
        <v>27414.3600000001</v>
      </c>
      <c r="X350" s="149" t="n">
        <f aca="false">X349+'Volumes por intervalo'!M349</f>
        <v>81498</v>
      </c>
      <c r="Y350" s="149" t="n">
        <f aca="false">Y349+'Volumes por intervalo'!N349</f>
        <v>81498</v>
      </c>
      <c r="Z350" s="149" t="n">
        <f aca="false">Z349+'Volumes por intervalo'!O349</f>
        <v>93469.1999999997</v>
      </c>
      <c r="AA350" s="149" t="n">
        <f aca="false">AA349+'Volumes por intervalo'!P349</f>
        <v>0</v>
      </c>
      <c r="AB350" s="149" t="n">
        <f aca="false">AB349+'Volumes por intervalo'!Q349</f>
        <v>0</v>
      </c>
      <c r="AC350" s="149" t="n">
        <f aca="false">AC349+'Volumes por intervalo'!R349</f>
        <v>0</v>
      </c>
      <c r="AD350" s="149" t="n">
        <f aca="false">AD349+'Volumes por intervalo'!S349</f>
        <v>0</v>
      </c>
    </row>
    <row r="351" customFormat="false" ht="15" hidden="false" customHeight="false" outlineLevel="0" collapsed="false">
      <c r="A351" s="138" t="s">
        <v>2009</v>
      </c>
      <c r="B351" s="146" t="n">
        <v>349</v>
      </c>
      <c r="C351" s="144" t="n">
        <v>6980</v>
      </c>
      <c r="D351" s="138" t="s">
        <v>1574</v>
      </c>
      <c r="E351" s="138" t="s">
        <v>1566</v>
      </c>
      <c r="F351" s="147" t="n">
        <v>15.4</v>
      </c>
      <c r="G351" s="148" t="n">
        <v>0</v>
      </c>
      <c r="H351" s="148" t="n">
        <v>0</v>
      </c>
      <c r="I351" s="138" t="s">
        <v>1642</v>
      </c>
      <c r="J351" s="138"/>
      <c r="K351" s="146" t="n">
        <f aca="false">Parâmetros!$C$4*(F351+2*Parâmetros!$D$4+Parâmetros!$C$4*Parâmetros!$E$4)</f>
        <v>0.7725</v>
      </c>
      <c r="L351" s="146" t="n">
        <f aca="false">Parâmetros!$C$5*(F351+2*Parâmetros!$D$5+Parâmetros!$C$5*Parâmetros!$E$5)</f>
        <v>2.5216</v>
      </c>
      <c r="M351" s="146" t="n">
        <f aca="false">Parâmetros!$C$6*(F351+2*Parâmetros!$D$6+Parâmetros!$C$6*Parâmetros!$E$6)</f>
        <v>3.264</v>
      </c>
      <c r="N351" s="146" t="n">
        <f aca="false">Parâmetros!$C$7*(F351+2*Parâmetros!$D$7+Parâmetros!$C$7*Parâmetros!$E$7)</f>
        <v>5.106</v>
      </c>
      <c r="O351" s="146" t="n">
        <f aca="false">F351+2*Parâmetros!$D$8</f>
        <v>15.6</v>
      </c>
      <c r="P351" s="146" t="n">
        <f aca="false">F351+2*Parâmetros!$D$10</f>
        <v>17.32</v>
      </c>
      <c r="Q351" s="146" t="n">
        <f aca="false">G351+H351</f>
        <v>0</v>
      </c>
      <c r="S351" s="149" t="n">
        <f aca="false">S350+'Volumes por intervalo'!C350*(F350+F351)/2</f>
        <v>80370</v>
      </c>
      <c r="T351" s="149" t="n">
        <f aca="false">T350+'Volumes por intervalo'!H350</f>
        <v>4035.95000000002</v>
      </c>
      <c r="U351" s="149" t="n">
        <f aca="false">U350+'Volumes por intervalo'!J350</f>
        <v>13261.248</v>
      </c>
      <c r="V351" s="149" t="n">
        <f aca="false">V350+'Volumes por intervalo'!K350</f>
        <v>17358.3200000001</v>
      </c>
      <c r="W351" s="149" t="n">
        <f aca="false">W350+'Volumes por intervalo'!L350</f>
        <v>27503.2800000001</v>
      </c>
      <c r="X351" s="149" t="n">
        <f aca="false">X350+'Volumes por intervalo'!M350</f>
        <v>81766</v>
      </c>
      <c r="Y351" s="149" t="n">
        <f aca="false">Y350+'Volumes por intervalo'!N350</f>
        <v>81766</v>
      </c>
      <c r="Z351" s="149" t="n">
        <f aca="false">Z350+'Volumes por intervalo'!O350</f>
        <v>93771.5999999997</v>
      </c>
      <c r="AA351" s="149" t="n">
        <f aca="false">AA350+'Volumes por intervalo'!P350</f>
        <v>0</v>
      </c>
      <c r="AB351" s="149" t="n">
        <f aca="false">AB350+'Volumes por intervalo'!Q350</f>
        <v>0</v>
      </c>
      <c r="AC351" s="149" t="n">
        <f aca="false">AC350+'Volumes por intervalo'!R350</f>
        <v>0</v>
      </c>
      <c r="AD351" s="149" t="n">
        <f aca="false">AD350+'Volumes por intervalo'!S350</f>
        <v>0</v>
      </c>
    </row>
    <row r="352" customFormat="false" ht="15" hidden="false" customHeight="false" outlineLevel="0" collapsed="false">
      <c r="A352" s="138" t="s">
        <v>2010</v>
      </c>
      <c r="B352" s="146" t="n">
        <v>350</v>
      </c>
      <c r="C352" s="144" t="n">
        <v>7000</v>
      </c>
      <c r="D352" s="138" t="s">
        <v>1574</v>
      </c>
      <c r="E352" s="138" t="s">
        <v>1566</v>
      </c>
      <c r="F352" s="147" t="n">
        <v>13.4</v>
      </c>
      <c r="G352" s="148" t="n">
        <v>0</v>
      </c>
      <c r="H352" s="148" t="n">
        <v>0</v>
      </c>
      <c r="I352" s="138" t="s">
        <v>1642</v>
      </c>
      <c r="J352" s="138"/>
      <c r="K352" s="146" t="n">
        <f aca="false">Parâmetros!$C$4*(F352+2*Parâmetros!$D$4+Parâmetros!$C$4*Parâmetros!$E$4)</f>
        <v>0.6725</v>
      </c>
      <c r="L352" s="146" t="n">
        <f aca="false">Parâmetros!$C$5*(F352+2*Parâmetros!$D$5+Parâmetros!$C$5*Parâmetros!$E$5)</f>
        <v>2.2016</v>
      </c>
      <c r="M352" s="146" t="n">
        <f aca="false">Parâmetros!$C$6*(F352+2*Parâmetros!$D$6+Parâmetros!$C$6*Parâmetros!$E$6)</f>
        <v>2.864</v>
      </c>
      <c r="N352" s="146" t="n">
        <f aca="false">Parâmetros!$C$7*(F352+2*Parâmetros!$D$7+Parâmetros!$C$7*Parâmetros!$E$7)</f>
        <v>4.506</v>
      </c>
      <c r="O352" s="146" t="n">
        <f aca="false">F352+2*Parâmetros!$D$8</f>
        <v>13.6</v>
      </c>
      <c r="P352" s="146" t="n">
        <f aca="false">F352+2*Parâmetros!$D$10</f>
        <v>15.32</v>
      </c>
      <c r="Q352" s="146" t="n">
        <f aca="false">G352+H352</f>
        <v>0</v>
      </c>
      <c r="S352" s="149" t="n">
        <f aca="false">S351+'Volumes por intervalo'!C351*(F351+F352)/2</f>
        <v>80658</v>
      </c>
      <c r="T352" s="149" t="n">
        <f aca="false">T351+'Volumes por intervalo'!H351</f>
        <v>4050.40000000002</v>
      </c>
      <c r="U352" s="149" t="n">
        <f aca="false">U351+'Volumes por intervalo'!J351</f>
        <v>13308.48</v>
      </c>
      <c r="V352" s="149" t="n">
        <f aca="false">V351+'Volumes por intervalo'!K351</f>
        <v>17419.6000000001</v>
      </c>
      <c r="W352" s="149" t="n">
        <f aca="false">W351+'Volumes por intervalo'!L351</f>
        <v>27599.4000000001</v>
      </c>
      <c r="X352" s="149" t="n">
        <f aca="false">X351+'Volumes por intervalo'!M351</f>
        <v>82058</v>
      </c>
      <c r="Y352" s="149" t="n">
        <f aca="false">Y351+'Volumes por intervalo'!N351</f>
        <v>82058</v>
      </c>
      <c r="Z352" s="149" t="n">
        <f aca="false">Z351+'Volumes por intervalo'!O351</f>
        <v>94097.9999999997</v>
      </c>
      <c r="AA352" s="149" t="n">
        <f aca="false">AA351+'Volumes por intervalo'!P351</f>
        <v>0</v>
      </c>
      <c r="AB352" s="149" t="n">
        <f aca="false">AB351+'Volumes por intervalo'!Q351</f>
        <v>0</v>
      </c>
      <c r="AC352" s="149" t="n">
        <f aca="false">AC351+'Volumes por intervalo'!R351</f>
        <v>0</v>
      </c>
      <c r="AD352" s="149" t="n">
        <f aca="false">AD351+'Volumes por intervalo'!S351</f>
        <v>0</v>
      </c>
    </row>
    <row r="353" customFormat="false" ht="15" hidden="false" customHeight="false" outlineLevel="0" collapsed="false">
      <c r="A353" s="138" t="s">
        <v>2011</v>
      </c>
      <c r="B353" s="146" t="n">
        <v>351</v>
      </c>
      <c r="C353" s="144" t="n">
        <v>7020</v>
      </c>
      <c r="D353" s="138" t="s">
        <v>1574</v>
      </c>
      <c r="E353" s="138" t="s">
        <v>1566</v>
      </c>
      <c r="F353" s="147" t="n">
        <v>11</v>
      </c>
      <c r="G353" s="148" t="n">
        <v>0</v>
      </c>
      <c r="H353" s="148" t="n">
        <v>0</v>
      </c>
      <c r="I353" s="138" t="s">
        <v>1642</v>
      </c>
      <c r="J353" s="138"/>
      <c r="K353" s="146" t="n">
        <f aca="false">Parâmetros!$C$4*(F353+2*Parâmetros!$D$4+Parâmetros!$C$4*Parâmetros!$E$4)</f>
        <v>0.5525</v>
      </c>
      <c r="L353" s="146" t="n">
        <f aca="false">Parâmetros!$C$5*(F353+2*Parâmetros!$D$5+Parâmetros!$C$5*Parâmetros!$E$5)</f>
        <v>1.8176</v>
      </c>
      <c r="M353" s="146" t="n">
        <f aca="false">Parâmetros!$C$6*(F353+2*Parâmetros!$D$6+Parâmetros!$C$6*Parâmetros!$E$6)</f>
        <v>2.384</v>
      </c>
      <c r="N353" s="146" t="n">
        <f aca="false">Parâmetros!$C$7*(F353+2*Parâmetros!$D$7+Parâmetros!$C$7*Parâmetros!$E$7)</f>
        <v>3.786</v>
      </c>
      <c r="O353" s="146" t="n">
        <f aca="false">F353+2*Parâmetros!$D$8</f>
        <v>11.2</v>
      </c>
      <c r="P353" s="146" t="n">
        <f aca="false">F353+2*Parâmetros!$D$10</f>
        <v>12.92</v>
      </c>
      <c r="Q353" s="146" t="n">
        <f aca="false">G353+H353</f>
        <v>0</v>
      </c>
      <c r="S353" s="149" t="n">
        <f aca="false">S352+'Volumes por intervalo'!C352*(F352+F353)/2</f>
        <v>80902</v>
      </c>
      <c r="T353" s="149" t="n">
        <f aca="false">T352+'Volumes por intervalo'!H352</f>
        <v>4062.65000000002</v>
      </c>
      <c r="U353" s="149" t="n">
        <f aca="false">U352+'Volumes por intervalo'!J352</f>
        <v>13348.672</v>
      </c>
      <c r="V353" s="149" t="n">
        <f aca="false">V352+'Volumes por intervalo'!K352</f>
        <v>17472.0800000001</v>
      </c>
      <c r="W353" s="149" t="n">
        <f aca="false">W352+'Volumes por intervalo'!L352</f>
        <v>27682.3200000001</v>
      </c>
      <c r="X353" s="149" t="n">
        <f aca="false">X352+'Volumes por intervalo'!M352</f>
        <v>82306</v>
      </c>
      <c r="Y353" s="149" t="n">
        <f aca="false">Y352+'Volumes por intervalo'!N352</f>
        <v>82306</v>
      </c>
      <c r="Z353" s="149" t="n">
        <f aca="false">Z352+'Volumes por intervalo'!O352</f>
        <v>94380.3999999997</v>
      </c>
      <c r="AA353" s="149" t="n">
        <f aca="false">AA352+'Volumes por intervalo'!P352</f>
        <v>0</v>
      </c>
      <c r="AB353" s="149" t="n">
        <f aca="false">AB352+'Volumes por intervalo'!Q352</f>
        <v>0</v>
      </c>
      <c r="AC353" s="149" t="n">
        <f aca="false">AC352+'Volumes por intervalo'!R352</f>
        <v>0</v>
      </c>
      <c r="AD353" s="149" t="n">
        <f aca="false">AD352+'Volumes por intervalo'!S352</f>
        <v>0</v>
      </c>
    </row>
    <row r="354" customFormat="false" ht="15" hidden="false" customHeight="false" outlineLevel="0" collapsed="false">
      <c r="A354" s="138" t="s">
        <v>2012</v>
      </c>
      <c r="B354" s="146" t="n">
        <v>352</v>
      </c>
      <c r="C354" s="144" t="n">
        <v>7040</v>
      </c>
      <c r="D354" s="138" t="s">
        <v>1574</v>
      </c>
      <c r="E354" s="138" t="s">
        <v>1566</v>
      </c>
      <c r="F354" s="147" t="n">
        <v>11</v>
      </c>
      <c r="G354" s="148" t="n">
        <v>0</v>
      </c>
      <c r="H354" s="148" t="n">
        <v>0</v>
      </c>
      <c r="I354" s="138" t="s">
        <v>1642</v>
      </c>
      <c r="J354" s="138"/>
      <c r="K354" s="146" t="n">
        <f aca="false">Parâmetros!$C$4*(F354+2*Parâmetros!$D$4+Parâmetros!$C$4*Parâmetros!$E$4)</f>
        <v>0.5525</v>
      </c>
      <c r="L354" s="146" t="n">
        <f aca="false">Parâmetros!$C$5*(F354+2*Parâmetros!$D$5+Parâmetros!$C$5*Parâmetros!$E$5)</f>
        <v>1.8176</v>
      </c>
      <c r="M354" s="146" t="n">
        <f aca="false">Parâmetros!$C$6*(F354+2*Parâmetros!$D$6+Parâmetros!$C$6*Parâmetros!$E$6)</f>
        <v>2.384</v>
      </c>
      <c r="N354" s="146" t="n">
        <f aca="false">Parâmetros!$C$7*(F354+2*Parâmetros!$D$7+Parâmetros!$C$7*Parâmetros!$E$7)</f>
        <v>3.786</v>
      </c>
      <c r="O354" s="146" t="n">
        <f aca="false">F354+2*Parâmetros!$D$8</f>
        <v>11.2</v>
      </c>
      <c r="P354" s="146" t="n">
        <f aca="false">F354+2*Parâmetros!$D$10</f>
        <v>12.92</v>
      </c>
      <c r="Q354" s="146" t="n">
        <f aca="false">G354+H354</f>
        <v>0</v>
      </c>
      <c r="S354" s="149" t="n">
        <f aca="false">S353+'Volumes por intervalo'!C353*(F353+F354)/2</f>
        <v>81122</v>
      </c>
      <c r="T354" s="149" t="n">
        <f aca="false">T353+'Volumes por intervalo'!H353</f>
        <v>4073.70000000002</v>
      </c>
      <c r="U354" s="149" t="n">
        <f aca="false">U353+'Volumes por intervalo'!J353</f>
        <v>13385.024</v>
      </c>
      <c r="V354" s="149" t="n">
        <f aca="false">V353+'Volumes por intervalo'!K353</f>
        <v>17519.7600000001</v>
      </c>
      <c r="W354" s="149" t="n">
        <f aca="false">W353+'Volumes por intervalo'!L353</f>
        <v>27758.0400000001</v>
      </c>
      <c r="X354" s="149" t="n">
        <f aca="false">X353+'Volumes por intervalo'!M353</f>
        <v>82530</v>
      </c>
      <c r="Y354" s="149" t="n">
        <f aca="false">Y353+'Volumes por intervalo'!N353</f>
        <v>82530</v>
      </c>
      <c r="Z354" s="149" t="n">
        <f aca="false">Z353+'Volumes por intervalo'!O353</f>
        <v>94638.7999999997</v>
      </c>
      <c r="AA354" s="149" t="n">
        <f aca="false">AA353+'Volumes por intervalo'!P353</f>
        <v>0</v>
      </c>
      <c r="AB354" s="149" t="n">
        <f aca="false">AB353+'Volumes por intervalo'!Q353</f>
        <v>0</v>
      </c>
      <c r="AC354" s="149" t="n">
        <f aca="false">AC353+'Volumes por intervalo'!R353</f>
        <v>0</v>
      </c>
      <c r="AD354" s="149" t="n">
        <f aca="false">AD353+'Volumes por intervalo'!S353</f>
        <v>0</v>
      </c>
    </row>
    <row r="355" customFormat="false" ht="15" hidden="false" customHeight="false" outlineLevel="0" collapsed="false">
      <c r="A355" s="138" t="s">
        <v>2013</v>
      </c>
      <c r="B355" s="146" t="n">
        <v>353</v>
      </c>
      <c r="C355" s="144" t="n">
        <v>7060</v>
      </c>
      <c r="D355" s="138" t="s">
        <v>1574</v>
      </c>
      <c r="E355" s="138" t="s">
        <v>1566</v>
      </c>
      <c r="F355" s="147" t="n">
        <v>11</v>
      </c>
      <c r="G355" s="148" t="n">
        <v>0</v>
      </c>
      <c r="H355" s="148" t="n">
        <v>0</v>
      </c>
      <c r="I355" s="138" t="s">
        <v>1642</v>
      </c>
      <c r="J355" s="138"/>
      <c r="K355" s="146" t="n">
        <f aca="false">Parâmetros!$C$4*(F355+2*Parâmetros!$D$4+Parâmetros!$C$4*Parâmetros!$E$4)</f>
        <v>0.5525</v>
      </c>
      <c r="L355" s="146" t="n">
        <f aca="false">Parâmetros!$C$5*(F355+2*Parâmetros!$D$5+Parâmetros!$C$5*Parâmetros!$E$5)</f>
        <v>1.8176</v>
      </c>
      <c r="M355" s="146" t="n">
        <f aca="false">Parâmetros!$C$6*(F355+2*Parâmetros!$D$6+Parâmetros!$C$6*Parâmetros!$E$6)</f>
        <v>2.384</v>
      </c>
      <c r="N355" s="146" t="n">
        <f aca="false">Parâmetros!$C$7*(F355+2*Parâmetros!$D$7+Parâmetros!$C$7*Parâmetros!$E$7)</f>
        <v>3.786</v>
      </c>
      <c r="O355" s="146" t="n">
        <f aca="false">F355+2*Parâmetros!$D$8</f>
        <v>11.2</v>
      </c>
      <c r="P355" s="146" t="n">
        <f aca="false">F355+2*Parâmetros!$D$10</f>
        <v>12.92</v>
      </c>
      <c r="Q355" s="146" t="n">
        <f aca="false">G355+H355</f>
        <v>0</v>
      </c>
      <c r="S355" s="149" t="n">
        <f aca="false">S354+'Volumes por intervalo'!C354*(F354+F355)/2</f>
        <v>81342</v>
      </c>
      <c r="T355" s="149" t="n">
        <f aca="false">T354+'Volumes por intervalo'!H354</f>
        <v>4084.75000000002</v>
      </c>
      <c r="U355" s="149" t="n">
        <f aca="false">U354+'Volumes por intervalo'!J354</f>
        <v>13421.376</v>
      </c>
      <c r="V355" s="149" t="n">
        <f aca="false">V354+'Volumes por intervalo'!K354</f>
        <v>17567.4400000001</v>
      </c>
      <c r="W355" s="149" t="n">
        <f aca="false">W354+'Volumes por intervalo'!L354</f>
        <v>27833.7600000001</v>
      </c>
      <c r="X355" s="149" t="n">
        <f aca="false">X354+'Volumes por intervalo'!M354</f>
        <v>82754</v>
      </c>
      <c r="Y355" s="149" t="n">
        <f aca="false">Y354+'Volumes por intervalo'!N354</f>
        <v>82754</v>
      </c>
      <c r="Z355" s="149" t="n">
        <f aca="false">Z354+'Volumes por intervalo'!O354</f>
        <v>94897.1999999997</v>
      </c>
      <c r="AA355" s="149" t="n">
        <f aca="false">AA354+'Volumes por intervalo'!P354</f>
        <v>0</v>
      </c>
      <c r="AB355" s="149" t="n">
        <f aca="false">AB354+'Volumes por intervalo'!Q354</f>
        <v>0</v>
      </c>
      <c r="AC355" s="149" t="n">
        <f aca="false">AC354+'Volumes por intervalo'!R354</f>
        <v>0</v>
      </c>
      <c r="AD355" s="149" t="n">
        <f aca="false">AD354+'Volumes por intervalo'!S354</f>
        <v>0</v>
      </c>
    </row>
    <row r="356" customFormat="false" ht="15" hidden="false" customHeight="false" outlineLevel="0" collapsed="false">
      <c r="A356" s="138" t="s">
        <v>2014</v>
      </c>
      <c r="B356" s="146" t="n">
        <v>354</v>
      </c>
      <c r="C356" s="144" t="n">
        <v>7080</v>
      </c>
      <c r="D356" s="138" t="s">
        <v>1574</v>
      </c>
      <c r="E356" s="138" t="s">
        <v>1566</v>
      </c>
      <c r="F356" s="147" t="n">
        <v>11</v>
      </c>
      <c r="G356" s="148" t="n">
        <v>0</v>
      </c>
      <c r="H356" s="148" t="n">
        <v>0</v>
      </c>
      <c r="I356" s="138" t="s">
        <v>1642</v>
      </c>
      <c r="J356" s="138"/>
      <c r="K356" s="146" t="n">
        <f aca="false">Parâmetros!$C$4*(F356+2*Parâmetros!$D$4+Parâmetros!$C$4*Parâmetros!$E$4)</f>
        <v>0.5525</v>
      </c>
      <c r="L356" s="146" t="n">
        <f aca="false">Parâmetros!$C$5*(F356+2*Parâmetros!$D$5+Parâmetros!$C$5*Parâmetros!$E$5)</f>
        <v>1.8176</v>
      </c>
      <c r="M356" s="146" t="n">
        <f aca="false">Parâmetros!$C$6*(F356+2*Parâmetros!$D$6+Parâmetros!$C$6*Parâmetros!$E$6)</f>
        <v>2.384</v>
      </c>
      <c r="N356" s="146" t="n">
        <f aca="false">Parâmetros!$C$7*(F356+2*Parâmetros!$D$7+Parâmetros!$C$7*Parâmetros!$E$7)</f>
        <v>3.786</v>
      </c>
      <c r="O356" s="146" t="n">
        <f aca="false">F356+2*Parâmetros!$D$8</f>
        <v>11.2</v>
      </c>
      <c r="P356" s="146" t="n">
        <f aca="false">F356+2*Parâmetros!$D$10</f>
        <v>12.92</v>
      </c>
      <c r="Q356" s="146" t="n">
        <f aca="false">G356+H356</f>
        <v>0</v>
      </c>
      <c r="S356" s="149" t="n">
        <f aca="false">S355+'Volumes por intervalo'!C355*(F355+F356)/2</f>
        <v>81562</v>
      </c>
      <c r="T356" s="149" t="n">
        <f aca="false">T355+'Volumes por intervalo'!H355</f>
        <v>4095.80000000002</v>
      </c>
      <c r="U356" s="149" t="n">
        <f aca="false">U355+'Volumes por intervalo'!J355</f>
        <v>13457.728</v>
      </c>
      <c r="V356" s="149" t="n">
        <f aca="false">V355+'Volumes por intervalo'!K355</f>
        <v>17615.1200000001</v>
      </c>
      <c r="W356" s="149" t="n">
        <f aca="false">W355+'Volumes por intervalo'!L355</f>
        <v>27909.4800000001</v>
      </c>
      <c r="X356" s="149" t="n">
        <f aca="false">X355+'Volumes por intervalo'!M355</f>
        <v>82978</v>
      </c>
      <c r="Y356" s="149" t="n">
        <f aca="false">Y355+'Volumes por intervalo'!N355</f>
        <v>82978</v>
      </c>
      <c r="Z356" s="149" t="n">
        <f aca="false">Z355+'Volumes por intervalo'!O355</f>
        <v>95155.5999999996</v>
      </c>
      <c r="AA356" s="149" t="n">
        <f aca="false">AA355+'Volumes por intervalo'!P355</f>
        <v>0</v>
      </c>
      <c r="AB356" s="149" t="n">
        <f aca="false">AB355+'Volumes por intervalo'!Q355</f>
        <v>0</v>
      </c>
      <c r="AC356" s="149" t="n">
        <f aca="false">AC355+'Volumes por intervalo'!R355</f>
        <v>0</v>
      </c>
      <c r="AD356" s="149" t="n">
        <f aca="false">AD355+'Volumes por intervalo'!S355</f>
        <v>0</v>
      </c>
    </row>
    <row r="357" customFormat="false" ht="15" hidden="false" customHeight="false" outlineLevel="0" collapsed="false">
      <c r="A357" s="138" t="s">
        <v>2015</v>
      </c>
      <c r="B357" s="146" t="n">
        <v>355</v>
      </c>
      <c r="C357" s="144" t="n">
        <v>7100</v>
      </c>
      <c r="D357" s="138" t="s">
        <v>1574</v>
      </c>
      <c r="E357" s="138" t="s">
        <v>1566</v>
      </c>
      <c r="F357" s="147" t="n">
        <v>11</v>
      </c>
      <c r="G357" s="148" t="n">
        <v>0</v>
      </c>
      <c r="H357" s="148" t="n">
        <v>0</v>
      </c>
      <c r="I357" s="138" t="s">
        <v>1642</v>
      </c>
      <c r="J357" s="138"/>
      <c r="K357" s="146" t="n">
        <f aca="false">Parâmetros!$C$4*(F357+2*Parâmetros!$D$4+Parâmetros!$C$4*Parâmetros!$E$4)</f>
        <v>0.5525</v>
      </c>
      <c r="L357" s="146" t="n">
        <f aca="false">Parâmetros!$C$5*(F357+2*Parâmetros!$D$5+Parâmetros!$C$5*Parâmetros!$E$5)</f>
        <v>1.8176</v>
      </c>
      <c r="M357" s="146" t="n">
        <f aca="false">Parâmetros!$C$6*(F357+2*Parâmetros!$D$6+Parâmetros!$C$6*Parâmetros!$E$6)</f>
        <v>2.384</v>
      </c>
      <c r="N357" s="146" t="n">
        <f aca="false">Parâmetros!$C$7*(F357+2*Parâmetros!$D$7+Parâmetros!$C$7*Parâmetros!$E$7)</f>
        <v>3.786</v>
      </c>
      <c r="O357" s="146" t="n">
        <f aca="false">F357+2*Parâmetros!$D$8</f>
        <v>11.2</v>
      </c>
      <c r="P357" s="146" t="n">
        <f aca="false">F357+2*Parâmetros!$D$10</f>
        <v>12.92</v>
      </c>
      <c r="Q357" s="146" t="n">
        <f aca="false">G357+H357</f>
        <v>0</v>
      </c>
      <c r="S357" s="149" t="n">
        <f aca="false">S356+'Volumes por intervalo'!C356*(F356+F357)/2</f>
        <v>81782</v>
      </c>
      <c r="T357" s="149" t="n">
        <f aca="false">T356+'Volumes por intervalo'!H356</f>
        <v>4106.85000000002</v>
      </c>
      <c r="U357" s="149" t="n">
        <f aca="false">U356+'Volumes por intervalo'!J356</f>
        <v>13494.08</v>
      </c>
      <c r="V357" s="149" t="n">
        <f aca="false">V356+'Volumes por intervalo'!K356</f>
        <v>17662.8000000001</v>
      </c>
      <c r="W357" s="149" t="n">
        <f aca="false">W356+'Volumes por intervalo'!L356</f>
        <v>27985.2000000001</v>
      </c>
      <c r="X357" s="149" t="n">
        <f aca="false">X356+'Volumes por intervalo'!M356</f>
        <v>83202</v>
      </c>
      <c r="Y357" s="149" t="n">
        <f aca="false">Y356+'Volumes por intervalo'!N356</f>
        <v>83202</v>
      </c>
      <c r="Z357" s="149" t="n">
        <f aca="false">Z356+'Volumes por intervalo'!O356</f>
        <v>95413.9999999996</v>
      </c>
      <c r="AA357" s="149" t="n">
        <f aca="false">AA356+'Volumes por intervalo'!P356</f>
        <v>0</v>
      </c>
      <c r="AB357" s="149" t="n">
        <f aca="false">AB356+'Volumes por intervalo'!Q356</f>
        <v>0</v>
      </c>
      <c r="AC357" s="149" t="n">
        <f aca="false">AC356+'Volumes por intervalo'!R356</f>
        <v>0</v>
      </c>
      <c r="AD357" s="149" t="n">
        <f aca="false">AD356+'Volumes por intervalo'!S356</f>
        <v>0</v>
      </c>
    </row>
    <row r="358" customFormat="false" ht="15" hidden="false" customHeight="false" outlineLevel="0" collapsed="false">
      <c r="A358" s="138" t="s">
        <v>2016</v>
      </c>
      <c r="B358" s="146" t="n">
        <v>356</v>
      </c>
      <c r="C358" s="144" t="n">
        <v>7120</v>
      </c>
      <c r="D358" s="138" t="s">
        <v>1574</v>
      </c>
      <c r="E358" s="138" t="s">
        <v>1566</v>
      </c>
      <c r="F358" s="147" t="n">
        <v>11</v>
      </c>
      <c r="G358" s="148" t="n">
        <v>0</v>
      </c>
      <c r="H358" s="148" t="n">
        <v>0</v>
      </c>
      <c r="I358" s="138" t="s">
        <v>1642</v>
      </c>
      <c r="J358" s="138"/>
      <c r="K358" s="146" t="n">
        <f aca="false">Parâmetros!$C$4*(F358+2*Parâmetros!$D$4+Parâmetros!$C$4*Parâmetros!$E$4)</f>
        <v>0.5525</v>
      </c>
      <c r="L358" s="146" t="n">
        <f aca="false">Parâmetros!$C$5*(F358+2*Parâmetros!$D$5+Parâmetros!$C$5*Parâmetros!$E$5)</f>
        <v>1.8176</v>
      </c>
      <c r="M358" s="146" t="n">
        <f aca="false">Parâmetros!$C$6*(F358+2*Parâmetros!$D$6+Parâmetros!$C$6*Parâmetros!$E$6)</f>
        <v>2.384</v>
      </c>
      <c r="N358" s="146" t="n">
        <f aca="false">Parâmetros!$C$7*(F358+2*Parâmetros!$D$7+Parâmetros!$C$7*Parâmetros!$E$7)</f>
        <v>3.786</v>
      </c>
      <c r="O358" s="146" t="n">
        <f aca="false">F358+2*Parâmetros!$D$8</f>
        <v>11.2</v>
      </c>
      <c r="P358" s="146" t="n">
        <f aca="false">F358+2*Parâmetros!$D$10</f>
        <v>12.92</v>
      </c>
      <c r="Q358" s="146" t="n">
        <f aca="false">G358+H358</f>
        <v>0</v>
      </c>
      <c r="S358" s="149" t="n">
        <f aca="false">S357+'Volumes por intervalo'!C357*(F357+F358)/2</f>
        <v>82002</v>
      </c>
      <c r="T358" s="149" t="n">
        <f aca="false">T357+'Volumes por intervalo'!H357</f>
        <v>4117.90000000002</v>
      </c>
      <c r="U358" s="149" t="n">
        <f aca="false">U357+'Volumes por intervalo'!J357</f>
        <v>13530.432</v>
      </c>
      <c r="V358" s="149" t="n">
        <f aca="false">V357+'Volumes por intervalo'!K357</f>
        <v>17710.4800000001</v>
      </c>
      <c r="W358" s="149" t="n">
        <f aca="false">W357+'Volumes por intervalo'!L357</f>
        <v>28060.9200000001</v>
      </c>
      <c r="X358" s="149" t="n">
        <f aca="false">X357+'Volumes por intervalo'!M357</f>
        <v>83426</v>
      </c>
      <c r="Y358" s="149" t="n">
        <f aca="false">Y357+'Volumes por intervalo'!N357</f>
        <v>83426</v>
      </c>
      <c r="Z358" s="149" t="n">
        <f aca="false">Z357+'Volumes por intervalo'!O357</f>
        <v>95672.3999999996</v>
      </c>
      <c r="AA358" s="149" t="n">
        <f aca="false">AA357+'Volumes por intervalo'!P357</f>
        <v>0</v>
      </c>
      <c r="AB358" s="149" t="n">
        <f aca="false">AB357+'Volumes por intervalo'!Q357</f>
        <v>0</v>
      </c>
      <c r="AC358" s="149" t="n">
        <f aca="false">AC357+'Volumes por intervalo'!R357</f>
        <v>0</v>
      </c>
      <c r="AD358" s="149" t="n">
        <f aca="false">AD357+'Volumes por intervalo'!S357</f>
        <v>0</v>
      </c>
    </row>
    <row r="359" customFormat="false" ht="15" hidden="false" customHeight="false" outlineLevel="0" collapsed="false">
      <c r="A359" s="138" t="s">
        <v>2017</v>
      </c>
      <c r="B359" s="146" t="n">
        <v>357</v>
      </c>
      <c r="C359" s="144" t="n">
        <v>7140</v>
      </c>
      <c r="D359" s="138" t="s">
        <v>1574</v>
      </c>
      <c r="E359" s="138" t="s">
        <v>1566</v>
      </c>
      <c r="F359" s="147" t="n">
        <v>11</v>
      </c>
      <c r="G359" s="148" t="n">
        <v>0</v>
      </c>
      <c r="H359" s="148" t="n">
        <v>0</v>
      </c>
      <c r="I359" s="138" t="s">
        <v>1642</v>
      </c>
      <c r="J359" s="138"/>
      <c r="K359" s="146" t="n">
        <f aca="false">Parâmetros!$C$4*(F359+2*Parâmetros!$D$4+Parâmetros!$C$4*Parâmetros!$E$4)</f>
        <v>0.5525</v>
      </c>
      <c r="L359" s="146" t="n">
        <f aca="false">Parâmetros!$C$5*(F359+2*Parâmetros!$D$5+Parâmetros!$C$5*Parâmetros!$E$5)</f>
        <v>1.8176</v>
      </c>
      <c r="M359" s="146" t="n">
        <f aca="false">Parâmetros!$C$6*(F359+2*Parâmetros!$D$6+Parâmetros!$C$6*Parâmetros!$E$6)</f>
        <v>2.384</v>
      </c>
      <c r="N359" s="146" t="n">
        <f aca="false">Parâmetros!$C$7*(F359+2*Parâmetros!$D$7+Parâmetros!$C$7*Parâmetros!$E$7)</f>
        <v>3.786</v>
      </c>
      <c r="O359" s="146" t="n">
        <f aca="false">F359+2*Parâmetros!$D$8</f>
        <v>11.2</v>
      </c>
      <c r="P359" s="146" t="n">
        <f aca="false">F359+2*Parâmetros!$D$10</f>
        <v>12.92</v>
      </c>
      <c r="Q359" s="146" t="n">
        <f aca="false">G359+H359</f>
        <v>0</v>
      </c>
      <c r="S359" s="149" t="n">
        <f aca="false">S358+'Volumes por intervalo'!C358*(F358+F359)/2</f>
        <v>82222</v>
      </c>
      <c r="T359" s="149" t="n">
        <f aca="false">T358+'Volumes por intervalo'!H358</f>
        <v>4128.95000000002</v>
      </c>
      <c r="U359" s="149" t="n">
        <f aca="false">U358+'Volumes por intervalo'!J358</f>
        <v>13566.784</v>
      </c>
      <c r="V359" s="149" t="n">
        <f aca="false">V358+'Volumes por intervalo'!K358</f>
        <v>17758.1600000001</v>
      </c>
      <c r="W359" s="149" t="n">
        <f aca="false">W358+'Volumes por intervalo'!L358</f>
        <v>28136.6400000001</v>
      </c>
      <c r="X359" s="149" t="n">
        <f aca="false">X358+'Volumes por intervalo'!M358</f>
        <v>83650</v>
      </c>
      <c r="Y359" s="149" t="n">
        <f aca="false">Y358+'Volumes por intervalo'!N358</f>
        <v>83650</v>
      </c>
      <c r="Z359" s="149" t="n">
        <f aca="false">Z358+'Volumes por intervalo'!O358</f>
        <v>95930.7999999996</v>
      </c>
      <c r="AA359" s="149" t="n">
        <f aca="false">AA358+'Volumes por intervalo'!P358</f>
        <v>0</v>
      </c>
      <c r="AB359" s="149" t="n">
        <f aca="false">AB358+'Volumes por intervalo'!Q358</f>
        <v>0</v>
      </c>
      <c r="AC359" s="149" t="n">
        <f aca="false">AC358+'Volumes por intervalo'!R358</f>
        <v>0</v>
      </c>
      <c r="AD359" s="149" t="n">
        <f aca="false">AD358+'Volumes por intervalo'!S358</f>
        <v>0</v>
      </c>
    </row>
    <row r="360" customFormat="false" ht="15" hidden="false" customHeight="false" outlineLevel="0" collapsed="false">
      <c r="A360" s="138" t="s">
        <v>2018</v>
      </c>
      <c r="B360" s="146" t="n">
        <v>358</v>
      </c>
      <c r="C360" s="144" t="n">
        <v>7160</v>
      </c>
      <c r="D360" s="138" t="s">
        <v>1574</v>
      </c>
      <c r="E360" s="138" t="s">
        <v>1566</v>
      </c>
      <c r="F360" s="147" t="n">
        <v>11</v>
      </c>
      <c r="G360" s="148" t="n">
        <v>0</v>
      </c>
      <c r="H360" s="148" t="n">
        <v>0</v>
      </c>
      <c r="I360" s="138" t="s">
        <v>1642</v>
      </c>
      <c r="J360" s="138"/>
      <c r="K360" s="146" t="n">
        <f aca="false">Parâmetros!$C$4*(F360+2*Parâmetros!$D$4+Parâmetros!$C$4*Parâmetros!$E$4)</f>
        <v>0.5525</v>
      </c>
      <c r="L360" s="146" t="n">
        <f aca="false">Parâmetros!$C$5*(F360+2*Parâmetros!$D$5+Parâmetros!$C$5*Parâmetros!$E$5)</f>
        <v>1.8176</v>
      </c>
      <c r="M360" s="146" t="n">
        <f aca="false">Parâmetros!$C$6*(F360+2*Parâmetros!$D$6+Parâmetros!$C$6*Parâmetros!$E$6)</f>
        <v>2.384</v>
      </c>
      <c r="N360" s="146" t="n">
        <f aca="false">Parâmetros!$C$7*(F360+2*Parâmetros!$D$7+Parâmetros!$C$7*Parâmetros!$E$7)</f>
        <v>3.786</v>
      </c>
      <c r="O360" s="146" t="n">
        <f aca="false">F360+2*Parâmetros!$D$8</f>
        <v>11.2</v>
      </c>
      <c r="P360" s="146" t="n">
        <f aca="false">F360+2*Parâmetros!$D$10</f>
        <v>12.92</v>
      </c>
      <c r="Q360" s="146" t="n">
        <f aca="false">G360+H360</f>
        <v>0</v>
      </c>
      <c r="S360" s="149" t="n">
        <f aca="false">S359+'Volumes por intervalo'!C359*(F359+F360)/2</f>
        <v>82442</v>
      </c>
      <c r="T360" s="149" t="n">
        <f aca="false">T359+'Volumes por intervalo'!H359</f>
        <v>4140.00000000002</v>
      </c>
      <c r="U360" s="149" t="n">
        <f aca="false">U359+'Volumes por intervalo'!J359</f>
        <v>13603.1360000001</v>
      </c>
      <c r="V360" s="149" t="n">
        <f aca="false">V359+'Volumes por intervalo'!K359</f>
        <v>17805.8400000001</v>
      </c>
      <c r="W360" s="149" t="n">
        <f aca="false">W359+'Volumes por intervalo'!L359</f>
        <v>28212.3600000001</v>
      </c>
      <c r="X360" s="149" t="n">
        <f aca="false">X359+'Volumes por intervalo'!M359</f>
        <v>83874</v>
      </c>
      <c r="Y360" s="149" t="n">
        <f aca="false">Y359+'Volumes por intervalo'!N359</f>
        <v>83874</v>
      </c>
      <c r="Z360" s="149" t="n">
        <f aca="false">Z359+'Volumes por intervalo'!O359</f>
        <v>96189.1999999996</v>
      </c>
      <c r="AA360" s="149" t="n">
        <f aca="false">AA359+'Volumes por intervalo'!P359</f>
        <v>0</v>
      </c>
      <c r="AB360" s="149" t="n">
        <f aca="false">AB359+'Volumes por intervalo'!Q359</f>
        <v>0</v>
      </c>
      <c r="AC360" s="149" t="n">
        <f aca="false">AC359+'Volumes por intervalo'!R359</f>
        <v>0</v>
      </c>
      <c r="AD360" s="149" t="n">
        <f aca="false">AD359+'Volumes por intervalo'!S359</f>
        <v>0</v>
      </c>
    </row>
    <row r="361" customFormat="false" ht="15" hidden="false" customHeight="false" outlineLevel="0" collapsed="false">
      <c r="A361" s="138" t="s">
        <v>2019</v>
      </c>
      <c r="B361" s="146" t="n">
        <v>359</v>
      </c>
      <c r="C361" s="144" t="n">
        <v>7180</v>
      </c>
      <c r="D361" s="138" t="s">
        <v>1574</v>
      </c>
      <c r="E361" s="138" t="s">
        <v>1566</v>
      </c>
      <c r="F361" s="147" t="n">
        <v>11</v>
      </c>
      <c r="G361" s="148" t="n">
        <v>0</v>
      </c>
      <c r="H361" s="148" t="n">
        <v>0</v>
      </c>
      <c r="I361" s="138" t="s">
        <v>1642</v>
      </c>
      <c r="J361" s="138" t="s">
        <v>2020</v>
      </c>
      <c r="K361" s="146" t="n">
        <f aca="false">Parâmetros!$C$4*(F361+2*Parâmetros!$D$4+Parâmetros!$C$4*Parâmetros!$E$4)</f>
        <v>0.5525</v>
      </c>
      <c r="L361" s="146" t="n">
        <f aca="false">Parâmetros!$C$5*(F361+2*Parâmetros!$D$5+Parâmetros!$C$5*Parâmetros!$E$5)</f>
        <v>1.8176</v>
      </c>
      <c r="M361" s="146" t="n">
        <f aca="false">Parâmetros!$C$6*(F361+2*Parâmetros!$D$6+Parâmetros!$C$6*Parâmetros!$E$6)</f>
        <v>2.384</v>
      </c>
      <c r="N361" s="146" t="n">
        <f aca="false">Parâmetros!$C$7*(F361+2*Parâmetros!$D$7+Parâmetros!$C$7*Parâmetros!$E$7)</f>
        <v>3.786</v>
      </c>
      <c r="O361" s="146" t="n">
        <f aca="false">F361+2*Parâmetros!$D$8</f>
        <v>11.2</v>
      </c>
      <c r="P361" s="146" t="n">
        <f aca="false">F361+2*Parâmetros!$D$10</f>
        <v>12.92</v>
      </c>
      <c r="Q361" s="146" t="n">
        <f aca="false">G361+H361</f>
        <v>0</v>
      </c>
      <c r="S361" s="149" t="n">
        <f aca="false">S360+'Volumes por intervalo'!C360*(F360+F361)/2</f>
        <v>82662</v>
      </c>
      <c r="T361" s="149" t="n">
        <f aca="false">T360+'Volumes por intervalo'!H360</f>
        <v>4151.05000000002</v>
      </c>
      <c r="U361" s="149" t="n">
        <f aca="false">U360+'Volumes por intervalo'!J360</f>
        <v>13639.4880000001</v>
      </c>
      <c r="V361" s="149" t="n">
        <f aca="false">V360+'Volumes por intervalo'!K360</f>
        <v>17853.5200000001</v>
      </c>
      <c r="W361" s="149" t="n">
        <f aca="false">W360+'Volumes por intervalo'!L360</f>
        <v>28288.0800000001</v>
      </c>
      <c r="X361" s="149" t="n">
        <f aca="false">X360+'Volumes por intervalo'!M360</f>
        <v>84098</v>
      </c>
      <c r="Y361" s="149" t="n">
        <f aca="false">Y360+'Volumes por intervalo'!N360</f>
        <v>84098</v>
      </c>
      <c r="Z361" s="149" t="n">
        <f aca="false">Z360+'Volumes por intervalo'!O360</f>
        <v>96447.5999999996</v>
      </c>
      <c r="AA361" s="149" t="n">
        <f aca="false">AA360+'Volumes por intervalo'!P360</f>
        <v>0</v>
      </c>
      <c r="AB361" s="149" t="n">
        <f aca="false">AB360+'Volumes por intervalo'!Q360</f>
        <v>0</v>
      </c>
      <c r="AC361" s="149" t="n">
        <f aca="false">AC360+'Volumes por intervalo'!R360</f>
        <v>0</v>
      </c>
      <c r="AD361" s="149" t="n">
        <f aca="false">AD360+'Volumes por intervalo'!S360</f>
        <v>0</v>
      </c>
    </row>
    <row r="362" customFormat="false" ht="15" hidden="false" customHeight="false" outlineLevel="0" collapsed="false">
      <c r="A362" s="138" t="s">
        <v>2021</v>
      </c>
      <c r="B362" s="146" t="n">
        <v>360</v>
      </c>
      <c r="C362" s="144" t="n">
        <v>7200</v>
      </c>
      <c r="D362" s="138" t="s">
        <v>1574</v>
      </c>
      <c r="E362" s="138" t="s">
        <v>1566</v>
      </c>
      <c r="F362" s="147" t="n">
        <v>11.1</v>
      </c>
      <c r="G362" s="148" t="n">
        <v>0</v>
      </c>
      <c r="H362" s="148" t="n">
        <v>0</v>
      </c>
      <c r="I362" s="138" t="s">
        <v>1642</v>
      </c>
      <c r="J362" s="138"/>
      <c r="K362" s="146" t="n">
        <f aca="false">Parâmetros!$C$4*(F362+2*Parâmetros!$D$4+Parâmetros!$C$4*Parâmetros!$E$4)</f>
        <v>0.5575</v>
      </c>
      <c r="L362" s="146" t="n">
        <f aca="false">Parâmetros!$C$5*(F362+2*Parâmetros!$D$5+Parâmetros!$C$5*Parâmetros!$E$5)</f>
        <v>1.8336</v>
      </c>
      <c r="M362" s="146" t="n">
        <f aca="false">Parâmetros!$C$6*(F362+2*Parâmetros!$D$6+Parâmetros!$C$6*Parâmetros!$E$6)</f>
        <v>2.404</v>
      </c>
      <c r="N362" s="146" t="n">
        <f aca="false">Parâmetros!$C$7*(F362+2*Parâmetros!$D$7+Parâmetros!$C$7*Parâmetros!$E$7)</f>
        <v>3.816</v>
      </c>
      <c r="O362" s="146" t="n">
        <f aca="false">F362+2*Parâmetros!$D$8</f>
        <v>11.3</v>
      </c>
      <c r="P362" s="146" t="n">
        <f aca="false">F362+2*Parâmetros!$D$10</f>
        <v>13.02</v>
      </c>
      <c r="Q362" s="146" t="n">
        <f aca="false">G362+H362</f>
        <v>0</v>
      </c>
      <c r="S362" s="149" t="n">
        <f aca="false">S361+'Volumes por intervalo'!C361*(F361+F362)/2</f>
        <v>82883</v>
      </c>
      <c r="T362" s="149" t="n">
        <f aca="false">T361+'Volumes por intervalo'!H361</f>
        <v>4162.15000000002</v>
      </c>
      <c r="U362" s="149" t="n">
        <f aca="false">U361+'Volumes por intervalo'!J361</f>
        <v>13676.0000000001</v>
      </c>
      <c r="V362" s="149" t="n">
        <f aca="false">V361+'Volumes por intervalo'!K361</f>
        <v>17901.4000000001</v>
      </c>
      <c r="W362" s="149" t="n">
        <f aca="false">W361+'Volumes por intervalo'!L361</f>
        <v>28364.1000000001</v>
      </c>
      <c r="X362" s="149" t="n">
        <f aca="false">X361+'Volumes por intervalo'!M361</f>
        <v>84323</v>
      </c>
      <c r="Y362" s="149" t="n">
        <f aca="false">Y361+'Volumes por intervalo'!N361</f>
        <v>84323</v>
      </c>
      <c r="Z362" s="149" t="n">
        <f aca="false">Z361+'Volumes por intervalo'!O361</f>
        <v>96706.9999999996</v>
      </c>
      <c r="AA362" s="149" t="n">
        <f aca="false">AA361+'Volumes por intervalo'!P361</f>
        <v>0</v>
      </c>
      <c r="AB362" s="149" t="n">
        <f aca="false">AB361+'Volumes por intervalo'!Q361</f>
        <v>0</v>
      </c>
      <c r="AC362" s="149" t="n">
        <f aca="false">AC361+'Volumes por intervalo'!R361</f>
        <v>0</v>
      </c>
      <c r="AD362" s="149" t="n">
        <f aca="false">AD361+'Volumes por intervalo'!S361</f>
        <v>0</v>
      </c>
    </row>
    <row r="363" customFormat="false" ht="15" hidden="false" customHeight="false" outlineLevel="0" collapsed="false">
      <c r="A363" s="138" t="s">
        <v>2022</v>
      </c>
      <c r="B363" s="146" t="n">
        <v>361</v>
      </c>
      <c r="C363" s="144" t="n">
        <v>7220</v>
      </c>
      <c r="D363" s="138" t="s">
        <v>1574</v>
      </c>
      <c r="E363" s="138" t="s">
        <v>1566</v>
      </c>
      <c r="F363" s="147" t="n">
        <v>12.9</v>
      </c>
      <c r="G363" s="148" t="n">
        <v>0</v>
      </c>
      <c r="H363" s="148" t="n">
        <v>0</v>
      </c>
      <c r="I363" s="138" t="s">
        <v>1642</v>
      </c>
      <c r="J363" s="138"/>
      <c r="K363" s="146" t="n">
        <f aca="false">Parâmetros!$C$4*(F363+2*Parâmetros!$D$4+Parâmetros!$C$4*Parâmetros!$E$4)</f>
        <v>0.6475</v>
      </c>
      <c r="L363" s="146" t="n">
        <f aca="false">Parâmetros!$C$5*(F363+2*Parâmetros!$D$5+Parâmetros!$C$5*Parâmetros!$E$5)</f>
        <v>2.1216</v>
      </c>
      <c r="M363" s="146" t="n">
        <f aca="false">Parâmetros!$C$6*(F363+2*Parâmetros!$D$6+Parâmetros!$C$6*Parâmetros!$E$6)</f>
        <v>2.764</v>
      </c>
      <c r="N363" s="146" t="n">
        <f aca="false">Parâmetros!$C$7*(F363+2*Parâmetros!$D$7+Parâmetros!$C$7*Parâmetros!$E$7)</f>
        <v>4.356</v>
      </c>
      <c r="O363" s="146" t="n">
        <f aca="false">F363+2*Parâmetros!$D$8</f>
        <v>13.1</v>
      </c>
      <c r="P363" s="146" t="n">
        <f aca="false">F363+2*Parâmetros!$D$10</f>
        <v>14.82</v>
      </c>
      <c r="Q363" s="146" t="n">
        <f aca="false">G363+H363</f>
        <v>0</v>
      </c>
      <c r="S363" s="149" t="n">
        <f aca="false">S362+'Volumes por intervalo'!C362*(F362+F363)/2</f>
        <v>83123</v>
      </c>
      <c r="T363" s="149" t="n">
        <f aca="false">T362+'Volumes por intervalo'!H362</f>
        <v>4174.20000000002</v>
      </c>
      <c r="U363" s="149" t="n">
        <f aca="false">U362+'Volumes por intervalo'!J362</f>
        <v>13715.5520000001</v>
      </c>
      <c r="V363" s="149" t="n">
        <f aca="false">V362+'Volumes por intervalo'!K362</f>
        <v>17953.0800000001</v>
      </c>
      <c r="W363" s="149" t="n">
        <f aca="false">W362+'Volumes por intervalo'!L362</f>
        <v>28445.8200000001</v>
      </c>
      <c r="X363" s="149" t="n">
        <f aca="false">X362+'Volumes por intervalo'!M362</f>
        <v>84567</v>
      </c>
      <c r="Y363" s="149" t="n">
        <f aca="false">Y362+'Volumes por intervalo'!N362</f>
        <v>84567</v>
      </c>
      <c r="Z363" s="149" t="n">
        <f aca="false">Z362+'Volumes por intervalo'!O362</f>
        <v>96985.3999999996</v>
      </c>
      <c r="AA363" s="149" t="n">
        <f aca="false">AA362+'Volumes por intervalo'!P362</f>
        <v>0</v>
      </c>
      <c r="AB363" s="149" t="n">
        <f aca="false">AB362+'Volumes por intervalo'!Q362</f>
        <v>0</v>
      </c>
      <c r="AC363" s="149" t="n">
        <f aca="false">AC362+'Volumes por intervalo'!R362</f>
        <v>0</v>
      </c>
      <c r="AD363" s="149" t="n">
        <f aca="false">AD362+'Volumes por intervalo'!S362</f>
        <v>0</v>
      </c>
    </row>
    <row r="364" customFormat="false" ht="15" hidden="false" customHeight="false" outlineLevel="0" collapsed="false">
      <c r="A364" s="138" t="s">
        <v>2023</v>
      </c>
      <c r="B364" s="146" t="n">
        <v>362</v>
      </c>
      <c r="C364" s="144" t="n">
        <v>7240</v>
      </c>
      <c r="D364" s="138" t="s">
        <v>1574</v>
      </c>
      <c r="E364" s="138" t="s">
        <v>1566</v>
      </c>
      <c r="F364" s="147" t="n">
        <v>16.1</v>
      </c>
      <c r="G364" s="148" t="n">
        <v>0</v>
      </c>
      <c r="H364" s="148" t="n">
        <v>0</v>
      </c>
      <c r="I364" s="138" t="s">
        <v>1642</v>
      </c>
      <c r="J364" s="138"/>
      <c r="K364" s="146" t="n">
        <f aca="false">Parâmetros!$C$4*(F364+2*Parâmetros!$D$4+Parâmetros!$C$4*Parâmetros!$E$4)</f>
        <v>0.8075</v>
      </c>
      <c r="L364" s="146" t="n">
        <f aca="false">Parâmetros!$C$5*(F364+2*Parâmetros!$D$5+Parâmetros!$C$5*Parâmetros!$E$5)</f>
        <v>2.6336</v>
      </c>
      <c r="M364" s="146" t="n">
        <f aca="false">Parâmetros!$C$6*(F364+2*Parâmetros!$D$6+Parâmetros!$C$6*Parâmetros!$E$6)</f>
        <v>3.404</v>
      </c>
      <c r="N364" s="146" t="n">
        <f aca="false">Parâmetros!$C$7*(F364+2*Parâmetros!$D$7+Parâmetros!$C$7*Parâmetros!$E$7)</f>
        <v>5.316</v>
      </c>
      <c r="O364" s="146" t="n">
        <f aca="false">F364+2*Parâmetros!$D$8</f>
        <v>16.3</v>
      </c>
      <c r="P364" s="146" t="n">
        <f aca="false">F364+2*Parâmetros!$D$10</f>
        <v>18.02</v>
      </c>
      <c r="Q364" s="146" t="n">
        <f aca="false">G364+H364</f>
        <v>0</v>
      </c>
      <c r="S364" s="149" t="n">
        <f aca="false">S363+'Volumes por intervalo'!C363*(F363+F364)/2</f>
        <v>83413</v>
      </c>
      <c r="T364" s="149" t="n">
        <f aca="false">T363+'Volumes por intervalo'!H363</f>
        <v>4188.75000000002</v>
      </c>
      <c r="U364" s="149" t="n">
        <f aca="false">U363+'Volumes por intervalo'!J363</f>
        <v>13763.1040000001</v>
      </c>
      <c r="V364" s="149" t="n">
        <f aca="false">V363+'Volumes por intervalo'!K363</f>
        <v>18014.7600000001</v>
      </c>
      <c r="W364" s="149" t="n">
        <f aca="false">W363+'Volumes por intervalo'!L363</f>
        <v>28542.5400000001</v>
      </c>
      <c r="X364" s="149" t="n">
        <f aca="false">X363+'Volumes por intervalo'!M363</f>
        <v>84861</v>
      </c>
      <c r="Y364" s="149" t="n">
        <f aca="false">Y363+'Volumes por intervalo'!N363</f>
        <v>84861</v>
      </c>
      <c r="Z364" s="149" t="n">
        <f aca="false">Z363+'Volumes por intervalo'!O363</f>
        <v>97313.7999999996</v>
      </c>
      <c r="AA364" s="149" t="n">
        <f aca="false">AA363+'Volumes por intervalo'!P363</f>
        <v>0</v>
      </c>
      <c r="AB364" s="149" t="n">
        <f aca="false">AB363+'Volumes por intervalo'!Q363</f>
        <v>0</v>
      </c>
      <c r="AC364" s="149" t="n">
        <f aca="false">AC363+'Volumes por intervalo'!R363</f>
        <v>0</v>
      </c>
      <c r="AD364" s="149" t="n">
        <f aca="false">AD363+'Volumes por intervalo'!S363</f>
        <v>0</v>
      </c>
    </row>
    <row r="365" customFormat="false" ht="15" hidden="false" customHeight="false" outlineLevel="0" collapsed="false">
      <c r="A365" s="138" t="s">
        <v>2024</v>
      </c>
      <c r="B365" s="146" t="n">
        <v>363</v>
      </c>
      <c r="C365" s="144" t="n">
        <v>7260</v>
      </c>
      <c r="D365" s="138" t="s">
        <v>1574</v>
      </c>
      <c r="E365" s="138" t="s">
        <v>1566</v>
      </c>
      <c r="F365" s="147" t="n">
        <v>17</v>
      </c>
      <c r="G365" s="148" t="n">
        <v>0</v>
      </c>
      <c r="H365" s="148" t="n">
        <v>0</v>
      </c>
      <c r="I365" s="138" t="s">
        <v>1642</v>
      </c>
      <c r="J365" s="138" t="s">
        <v>1766</v>
      </c>
      <c r="K365" s="146" t="n">
        <f aca="false">Parâmetros!$C$4*(F365+2*Parâmetros!$D$4+Parâmetros!$C$4*Parâmetros!$E$4)</f>
        <v>0.8525</v>
      </c>
      <c r="L365" s="146" t="n">
        <f aca="false">Parâmetros!$C$5*(F365+2*Parâmetros!$D$5+Parâmetros!$C$5*Parâmetros!$E$5)</f>
        <v>2.7776</v>
      </c>
      <c r="M365" s="146" t="n">
        <f aca="false">Parâmetros!$C$6*(F365+2*Parâmetros!$D$6+Parâmetros!$C$6*Parâmetros!$E$6)</f>
        <v>3.584</v>
      </c>
      <c r="N365" s="146" t="n">
        <f aca="false">Parâmetros!$C$7*(F365+2*Parâmetros!$D$7+Parâmetros!$C$7*Parâmetros!$E$7)</f>
        <v>5.586</v>
      </c>
      <c r="O365" s="146" t="n">
        <f aca="false">F365+2*Parâmetros!$D$8</f>
        <v>17.2</v>
      </c>
      <c r="P365" s="146" t="n">
        <f aca="false">F365+2*Parâmetros!$D$10</f>
        <v>18.92</v>
      </c>
      <c r="Q365" s="146" t="n">
        <f aca="false">G365+H365</f>
        <v>0</v>
      </c>
      <c r="S365" s="149" t="n">
        <f aca="false">S364+'Volumes por intervalo'!C364*(F364+F365)/2</f>
        <v>83744</v>
      </c>
      <c r="T365" s="149" t="n">
        <f aca="false">T364+'Volumes por intervalo'!H364</f>
        <v>4205.35000000002</v>
      </c>
      <c r="U365" s="149" t="n">
        <f aca="false">U364+'Volumes por intervalo'!J364</f>
        <v>13817.2160000001</v>
      </c>
      <c r="V365" s="149" t="n">
        <f aca="false">V364+'Volumes por intervalo'!K364</f>
        <v>18084.6400000001</v>
      </c>
      <c r="W365" s="149" t="n">
        <f aca="false">W364+'Volumes por intervalo'!L364</f>
        <v>28651.5600000001</v>
      </c>
      <c r="X365" s="149" t="n">
        <f aca="false">X364+'Volumes por intervalo'!M364</f>
        <v>85196</v>
      </c>
      <c r="Y365" s="149" t="n">
        <f aca="false">Y364+'Volumes por intervalo'!N364</f>
        <v>85196</v>
      </c>
      <c r="Z365" s="149" t="n">
        <f aca="false">Z364+'Volumes por intervalo'!O364</f>
        <v>97683.1999999996</v>
      </c>
      <c r="AA365" s="149" t="n">
        <f aca="false">AA364+'Volumes por intervalo'!P364</f>
        <v>0</v>
      </c>
      <c r="AB365" s="149" t="n">
        <f aca="false">AB364+'Volumes por intervalo'!Q364</f>
        <v>0</v>
      </c>
      <c r="AC365" s="149" t="n">
        <f aca="false">AC364+'Volumes por intervalo'!R364</f>
        <v>0</v>
      </c>
      <c r="AD365" s="149" t="n">
        <f aca="false">AD364+'Volumes por intervalo'!S364</f>
        <v>0</v>
      </c>
    </row>
    <row r="366" customFormat="false" ht="15" hidden="false" customHeight="false" outlineLevel="0" collapsed="false">
      <c r="A366" s="138" t="s">
        <v>2025</v>
      </c>
      <c r="B366" s="146" t="n">
        <v>364</v>
      </c>
      <c r="C366" s="144" t="n">
        <v>7280</v>
      </c>
      <c r="D366" s="138" t="s">
        <v>1574</v>
      </c>
      <c r="E366" s="138" t="s">
        <v>1566</v>
      </c>
      <c r="F366" s="147" t="n">
        <v>14.7</v>
      </c>
      <c r="G366" s="148" t="n">
        <v>0</v>
      </c>
      <c r="H366" s="148" t="n">
        <v>0</v>
      </c>
      <c r="I366" s="138" t="s">
        <v>1642</v>
      </c>
      <c r="J366" s="138" t="s">
        <v>1766</v>
      </c>
      <c r="K366" s="146" t="n">
        <f aca="false">Parâmetros!$C$4*(F366+2*Parâmetros!$D$4+Parâmetros!$C$4*Parâmetros!$E$4)</f>
        <v>0.7375</v>
      </c>
      <c r="L366" s="146" t="n">
        <f aca="false">Parâmetros!$C$5*(F366+2*Parâmetros!$D$5+Parâmetros!$C$5*Parâmetros!$E$5)</f>
        <v>2.4096</v>
      </c>
      <c r="M366" s="146" t="n">
        <f aca="false">Parâmetros!$C$6*(F366+2*Parâmetros!$D$6+Parâmetros!$C$6*Parâmetros!$E$6)</f>
        <v>3.124</v>
      </c>
      <c r="N366" s="146" t="n">
        <f aca="false">Parâmetros!$C$7*(F366+2*Parâmetros!$D$7+Parâmetros!$C$7*Parâmetros!$E$7)</f>
        <v>4.896</v>
      </c>
      <c r="O366" s="146" t="n">
        <f aca="false">F366+2*Parâmetros!$D$8</f>
        <v>14.9</v>
      </c>
      <c r="P366" s="146" t="n">
        <f aca="false">F366+2*Parâmetros!$D$10</f>
        <v>16.62</v>
      </c>
      <c r="Q366" s="146" t="n">
        <f aca="false">G366+H366</f>
        <v>0</v>
      </c>
      <c r="S366" s="149" t="n">
        <f aca="false">S365+'Volumes por intervalo'!C365*(F365+F366)/2</f>
        <v>84061</v>
      </c>
      <c r="T366" s="149" t="n">
        <f aca="false">T365+'Volumes por intervalo'!H365</f>
        <v>4221.25000000002</v>
      </c>
      <c r="U366" s="149" t="n">
        <f aca="false">U365+'Volumes por intervalo'!J365</f>
        <v>13869.088</v>
      </c>
      <c r="V366" s="149" t="n">
        <f aca="false">V365+'Volumes por intervalo'!K365</f>
        <v>18151.7200000001</v>
      </c>
      <c r="W366" s="149" t="n">
        <f aca="false">W365+'Volumes por intervalo'!L365</f>
        <v>28756.3800000001</v>
      </c>
      <c r="X366" s="149" t="n">
        <f aca="false">X365+'Volumes por intervalo'!M365</f>
        <v>85517</v>
      </c>
      <c r="Y366" s="149" t="n">
        <f aca="false">Y365+'Volumes por intervalo'!N365</f>
        <v>85517</v>
      </c>
      <c r="Z366" s="149" t="n">
        <f aca="false">Z365+'Volumes por intervalo'!O365</f>
        <v>98038.5999999996</v>
      </c>
      <c r="AA366" s="149" t="n">
        <f aca="false">AA365+'Volumes por intervalo'!P365</f>
        <v>0</v>
      </c>
      <c r="AB366" s="149" t="n">
        <f aca="false">AB365+'Volumes por intervalo'!Q365</f>
        <v>0</v>
      </c>
      <c r="AC366" s="149" t="n">
        <f aca="false">AC365+'Volumes por intervalo'!R365</f>
        <v>0</v>
      </c>
      <c r="AD366" s="149" t="n">
        <f aca="false">AD365+'Volumes por intervalo'!S365</f>
        <v>0</v>
      </c>
    </row>
    <row r="367" customFormat="false" ht="15" hidden="false" customHeight="false" outlineLevel="0" collapsed="false">
      <c r="A367" s="138" t="s">
        <v>2026</v>
      </c>
      <c r="B367" s="146" t="n">
        <v>365</v>
      </c>
      <c r="C367" s="144" t="n">
        <v>7300</v>
      </c>
      <c r="D367" s="138" t="s">
        <v>1574</v>
      </c>
      <c r="E367" s="138" t="s">
        <v>1566</v>
      </c>
      <c r="F367" s="147" t="n">
        <v>11.5</v>
      </c>
      <c r="G367" s="148" t="n">
        <v>0</v>
      </c>
      <c r="H367" s="148" t="n">
        <v>0</v>
      </c>
      <c r="I367" s="138" t="s">
        <v>1642</v>
      </c>
      <c r="J367" s="138" t="s">
        <v>1766</v>
      </c>
      <c r="K367" s="146" t="n">
        <f aca="false">Parâmetros!$C$4*(F367+2*Parâmetros!$D$4+Parâmetros!$C$4*Parâmetros!$E$4)</f>
        <v>0.5775</v>
      </c>
      <c r="L367" s="146" t="n">
        <f aca="false">Parâmetros!$C$5*(F367+2*Parâmetros!$D$5+Parâmetros!$C$5*Parâmetros!$E$5)</f>
        <v>1.8976</v>
      </c>
      <c r="M367" s="146" t="n">
        <f aca="false">Parâmetros!$C$6*(F367+2*Parâmetros!$D$6+Parâmetros!$C$6*Parâmetros!$E$6)</f>
        <v>2.484</v>
      </c>
      <c r="N367" s="146" t="n">
        <f aca="false">Parâmetros!$C$7*(F367+2*Parâmetros!$D$7+Parâmetros!$C$7*Parâmetros!$E$7)</f>
        <v>3.936</v>
      </c>
      <c r="O367" s="146" t="n">
        <f aca="false">F367+2*Parâmetros!$D$8</f>
        <v>11.7</v>
      </c>
      <c r="P367" s="146" t="n">
        <f aca="false">F367+2*Parâmetros!$D$10</f>
        <v>13.42</v>
      </c>
      <c r="Q367" s="146" t="n">
        <f aca="false">G367+H367</f>
        <v>0</v>
      </c>
      <c r="S367" s="149" t="n">
        <f aca="false">S366+'Volumes por intervalo'!C366*(F366+F367)/2</f>
        <v>84323</v>
      </c>
      <c r="T367" s="149" t="n">
        <f aca="false">T366+'Volumes por intervalo'!H366</f>
        <v>4234.40000000002</v>
      </c>
      <c r="U367" s="149" t="n">
        <f aca="false">U366+'Volumes por intervalo'!J366</f>
        <v>13912.16</v>
      </c>
      <c r="V367" s="149" t="n">
        <f aca="false">V366+'Volumes por intervalo'!K366</f>
        <v>18207.8000000001</v>
      </c>
      <c r="W367" s="149" t="n">
        <f aca="false">W366+'Volumes por intervalo'!L366</f>
        <v>28844.7000000001</v>
      </c>
      <c r="X367" s="149" t="n">
        <f aca="false">X366+'Volumes por intervalo'!M366</f>
        <v>85783</v>
      </c>
      <c r="Y367" s="149" t="n">
        <f aca="false">Y366+'Volumes por intervalo'!N366</f>
        <v>85783</v>
      </c>
      <c r="Z367" s="149" t="n">
        <f aca="false">Z366+'Volumes por intervalo'!O366</f>
        <v>98338.9999999996</v>
      </c>
      <c r="AA367" s="149" t="n">
        <f aca="false">AA366+'Volumes por intervalo'!P366</f>
        <v>0</v>
      </c>
      <c r="AB367" s="149" t="n">
        <f aca="false">AB366+'Volumes por intervalo'!Q366</f>
        <v>0</v>
      </c>
      <c r="AC367" s="149" t="n">
        <f aca="false">AC366+'Volumes por intervalo'!R366</f>
        <v>0</v>
      </c>
      <c r="AD367" s="149" t="n">
        <f aca="false">AD366+'Volumes por intervalo'!S366</f>
        <v>0</v>
      </c>
    </row>
    <row r="368" customFormat="false" ht="15" hidden="false" customHeight="false" outlineLevel="0" collapsed="false">
      <c r="A368" s="138" t="s">
        <v>2027</v>
      </c>
      <c r="B368" s="146" t="n">
        <v>366</v>
      </c>
      <c r="C368" s="144" t="n">
        <v>7320</v>
      </c>
      <c r="D368" s="138" t="s">
        <v>1574</v>
      </c>
      <c r="E368" s="138" t="s">
        <v>1566</v>
      </c>
      <c r="F368" s="147" t="n">
        <v>11</v>
      </c>
      <c r="G368" s="148" t="n">
        <v>0</v>
      </c>
      <c r="H368" s="148" t="n">
        <v>0</v>
      </c>
      <c r="I368" s="138" t="s">
        <v>1642</v>
      </c>
      <c r="J368" s="138" t="s">
        <v>1766</v>
      </c>
      <c r="K368" s="146" t="n">
        <f aca="false">Parâmetros!$C$4*(F368+2*Parâmetros!$D$4+Parâmetros!$C$4*Parâmetros!$E$4)</f>
        <v>0.5525</v>
      </c>
      <c r="L368" s="146" t="n">
        <f aca="false">Parâmetros!$C$5*(F368+2*Parâmetros!$D$5+Parâmetros!$C$5*Parâmetros!$E$5)</f>
        <v>1.8176</v>
      </c>
      <c r="M368" s="146" t="n">
        <f aca="false">Parâmetros!$C$6*(F368+2*Parâmetros!$D$6+Parâmetros!$C$6*Parâmetros!$E$6)</f>
        <v>2.384</v>
      </c>
      <c r="N368" s="146" t="n">
        <f aca="false">Parâmetros!$C$7*(F368+2*Parâmetros!$D$7+Parâmetros!$C$7*Parâmetros!$E$7)</f>
        <v>3.786</v>
      </c>
      <c r="O368" s="146" t="n">
        <f aca="false">F368+2*Parâmetros!$D$8</f>
        <v>11.2</v>
      </c>
      <c r="P368" s="146" t="n">
        <f aca="false">F368+2*Parâmetros!$D$10</f>
        <v>12.92</v>
      </c>
      <c r="Q368" s="146" t="n">
        <f aca="false">G368+H368</f>
        <v>0</v>
      </c>
      <c r="S368" s="149" t="n">
        <f aca="false">S367+'Volumes por intervalo'!C367*(F367+F368)/2</f>
        <v>84548</v>
      </c>
      <c r="T368" s="149" t="n">
        <f aca="false">T367+'Volumes por intervalo'!H367</f>
        <v>4245.70000000002</v>
      </c>
      <c r="U368" s="149" t="n">
        <f aca="false">U367+'Volumes por intervalo'!J367</f>
        <v>13949.312</v>
      </c>
      <c r="V368" s="149" t="n">
        <f aca="false">V367+'Volumes por intervalo'!K367</f>
        <v>18256.4800000001</v>
      </c>
      <c r="W368" s="149" t="n">
        <f aca="false">W367+'Volumes por intervalo'!L367</f>
        <v>28921.9200000001</v>
      </c>
      <c r="X368" s="149" t="n">
        <f aca="false">X367+'Volumes por intervalo'!M367</f>
        <v>86012</v>
      </c>
      <c r="Y368" s="149" t="n">
        <f aca="false">Y367+'Volumes por intervalo'!N367</f>
        <v>86012</v>
      </c>
      <c r="Z368" s="149" t="n">
        <f aca="false">Z367+'Volumes por intervalo'!O367</f>
        <v>98602.3999999996</v>
      </c>
      <c r="AA368" s="149" t="n">
        <f aca="false">AA367+'Volumes por intervalo'!P367</f>
        <v>0</v>
      </c>
      <c r="AB368" s="149" t="n">
        <f aca="false">AB367+'Volumes por intervalo'!Q367</f>
        <v>0</v>
      </c>
      <c r="AC368" s="149" t="n">
        <f aca="false">AC367+'Volumes por intervalo'!R367</f>
        <v>0</v>
      </c>
      <c r="AD368" s="149" t="n">
        <f aca="false">AD367+'Volumes por intervalo'!S367</f>
        <v>0</v>
      </c>
    </row>
    <row r="369" customFormat="false" ht="15" hidden="false" customHeight="false" outlineLevel="0" collapsed="false">
      <c r="A369" s="138" t="s">
        <v>2028</v>
      </c>
      <c r="B369" s="146" t="n">
        <v>367</v>
      </c>
      <c r="C369" s="144" t="n">
        <v>7340</v>
      </c>
      <c r="D369" s="138" t="s">
        <v>1574</v>
      </c>
      <c r="E369" s="138" t="s">
        <v>1566</v>
      </c>
      <c r="F369" s="147" t="n">
        <v>11</v>
      </c>
      <c r="G369" s="148" t="n">
        <v>0</v>
      </c>
      <c r="H369" s="148" t="n">
        <v>0</v>
      </c>
      <c r="I369" s="138" t="s">
        <v>1642</v>
      </c>
      <c r="J369" s="138" t="s">
        <v>1766</v>
      </c>
      <c r="K369" s="146" t="n">
        <f aca="false">Parâmetros!$C$4*(F369+2*Parâmetros!$D$4+Parâmetros!$C$4*Parâmetros!$E$4)</f>
        <v>0.5525</v>
      </c>
      <c r="L369" s="146" t="n">
        <f aca="false">Parâmetros!$C$5*(F369+2*Parâmetros!$D$5+Parâmetros!$C$5*Parâmetros!$E$5)</f>
        <v>1.8176</v>
      </c>
      <c r="M369" s="146" t="n">
        <f aca="false">Parâmetros!$C$6*(F369+2*Parâmetros!$D$6+Parâmetros!$C$6*Parâmetros!$E$6)</f>
        <v>2.384</v>
      </c>
      <c r="N369" s="146" t="n">
        <f aca="false">Parâmetros!$C$7*(F369+2*Parâmetros!$D$7+Parâmetros!$C$7*Parâmetros!$E$7)</f>
        <v>3.786</v>
      </c>
      <c r="O369" s="146" t="n">
        <f aca="false">F369+2*Parâmetros!$D$8</f>
        <v>11.2</v>
      </c>
      <c r="P369" s="146" t="n">
        <f aca="false">F369+2*Parâmetros!$D$10</f>
        <v>12.92</v>
      </c>
      <c r="Q369" s="146" t="n">
        <f aca="false">G369+H369</f>
        <v>0</v>
      </c>
      <c r="S369" s="149" t="n">
        <f aca="false">S368+'Volumes por intervalo'!C368*(F368+F369)/2</f>
        <v>84768</v>
      </c>
      <c r="T369" s="149" t="n">
        <f aca="false">T368+'Volumes por intervalo'!H368</f>
        <v>4256.75000000002</v>
      </c>
      <c r="U369" s="149" t="n">
        <f aca="false">U368+'Volumes por intervalo'!J368</f>
        <v>13985.6640000001</v>
      </c>
      <c r="V369" s="149" t="n">
        <f aca="false">V368+'Volumes por intervalo'!K368</f>
        <v>18304.1600000001</v>
      </c>
      <c r="W369" s="149" t="n">
        <f aca="false">W368+'Volumes por intervalo'!L368</f>
        <v>28997.6400000001</v>
      </c>
      <c r="X369" s="149" t="n">
        <f aca="false">X368+'Volumes por intervalo'!M368</f>
        <v>86236</v>
      </c>
      <c r="Y369" s="149" t="n">
        <f aca="false">Y368+'Volumes por intervalo'!N368</f>
        <v>86236</v>
      </c>
      <c r="Z369" s="149" t="n">
        <f aca="false">Z368+'Volumes por intervalo'!O368</f>
        <v>98860.7999999996</v>
      </c>
      <c r="AA369" s="149" t="n">
        <f aca="false">AA368+'Volumes por intervalo'!P368</f>
        <v>0</v>
      </c>
      <c r="AB369" s="149" t="n">
        <f aca="false">AB368+'Volumes por intervalo'!Q368</f>
        <v>0</v>
      </c>
      <c r="AC369" s="149" t="n">
        <f aca="false">AC368+'Volumes por intervalo'!R368</f>
        <v>0</v>
      </c>
      <c r="AD369" s="149" t="n">
        <f aca="false">AD368+'Volumes por intervalo'!S368</f>
        <v>0</v>
      </c>
    </row>
    <row r="370" customFormat="false" ht="15" hidden="false" customHeight="false" outlineLevel="0" collapsed="false">
      <c r="A370" s="138" t="s">
        <v>2029</v>
      </c>
      <c r="B370" s="146" t="n">
        <v>368</v>
      </c>
      <c r="C370" s="144" t="n">
        <v>7360</v>
      </c>
      <c r="D370" s="138" t="s">
        <v>1574</v>
      </c>
      <c r="E370" s="138" t="s">
        <v>1566</v>
      </c>
      <c r="F370" s="147" t="n">
        <v>11</v>
      </c>
      <c r="G370" s="148" t="n">
        <v>0</v>
      </c>
      <c r="H370" s="148" t="n">
        <v>0</v>
      </c>
      <c r="I370" s="138" t="s">
        <v>1642</v>
      </c>
      <c r="J370" s="138"/>
      <c r="K370" s="146" t="n">
        <f aca="false">Parâmetros!$C$4*(F370+2*Parâmetros!$D$4+Parâmetros!$C$4*Parâmetros!$E$4)</f>
        <v>0.5525</v>
      </c>
      <c r="L370" s="146" t="n">
        <f aca="false">Parâmetros!$C$5*(F370+2*Parâmetros!$D$5+Parâmetros!$C$5*Parâmetros!$E$5)</f>
        <v>1.8176</v>
      </c>
      <c r="M370" s="146" t="n">
        <f aca="false">Parâmetros!$C$6*(F370+2*Parâmetros!$D$6+Parâmetros!$C$6*Parâmetros!$E$6)</f>
        <v>2.384</v>
      </c>
      <c r="N370" s="146" t="n">
        <f aca="false">Parâmetros!$C$7*(F370+2*Parâmetros!$D$7+Parâmetros!$C$7*Parâmetros!$E$7)</f>
        <v>3.786</v>
      </c>
      <c r="O370" s="146" t="n">
        <f aca="false">F370+2*Parâmetros!$D$8</f>
        <v>11.2</v>
      </c>
      <c r="P370" s="146" t="n">
        <f aca="false">F370+2*Parâmetros!$D$10</f>
        <v>12.92</v>
      </c>
      <c r="Q370" s="146" t="n">
        <f aca="false">G370+H370</f>
        <v>0</v>
      </c>
      <c r="S370" s="149" t="n">
        <f aca="false">S369+'Volumes por intervalo'!C369*(F369+F370)/2</f>
        <v>84988</v>
      </c>
      <c r="T370" s="149" t="n">
        <f aca="false">T369+'Volumes por intervalo'!H369</f>
        <v>4267.80000000002</v>
      </c>
      <c r="U370" s="149" t="n">
        <f aca="false">U369+'Volumes por intervalo'!J369</f>
        <v>14022.0160000001</v>
      </c>
      <c r="V370" s="149" t="n">
        <f aca="false">V369+'Volumes por intervalo'!K369</f>
        <v>18351.8400000001</v>
      </c>
      <c r="W370" s="149" t="n">
        <f aca="false">W369+'Volumes por intervalo'!L369</f>
        <v>29073.3600000001</v>
      </c>
      <c r="X370" s="149" t="n">
        <f aca="false">X369+'Volumes por intervalo'!M369</f>
        <v>86460</v>
      </c>
      <c r="Y370" s="149" t="n">
        <f aca="false">Y369+'Volumes por intervalo'!N369</f>
        <v>86460</v>
      </c>
      <c r="Z370" s="149" t="n">
        <f aca="false">Z369+'Volumes por intervalo'!O369</f>
        <v>99119.1999999996</v>
      </c>
      <c r="AA370" s="149" t="n">
        <f aca="false">AA369+'Volumes por intervalo'!P369</f>
        <v>0</v>
      </c>
      <c r="AB370" s="149" t="n">
        <f aca="false">AB369+'Volumes por intervalo'!Q369</f>
        <v>0</v>
      </c>
      <c r="AC370" s="149" t="n">
        <f aca="false">AC369+'Volumes por intervalo'!R369</f>
        <v>0</v>
      </c>
      <c r="AD370" s="149" t="n">
        <f aca="false">AD369+'Volumes por intervalo'!S369</f>
        <v>0</v>
      </c>
    </row>
    <row r="371" customFormat="false" ht="15" hidden="false" customHeight="false" outlineLevel="0" collapsed="false">
      <c r="A371" s="138" t="s">
        <v>2030</v>
      </c>
      <c r="B371" s="146" t="n">
        <v>369</v>
      </c>
      <c r="C371" s="144" t="n">
        <v>7380</v>
      </c>
      <c r="D371" s="138" t="s">
        <v>1574</v>
      </c>
      <c r="E371" s="138" t="s">
        <v>1566</v>
      </c>
      <c r="F371" s="147" t="n">
        <v>11</v>
      </c>
      <c r="G371" s="148" t="n">
        <v>0</v>
      </c>
      <c r="H371" s="148" t="n">
        <v>0</v>
      </c>
      <c r="I371" s="138" t="s">
        <v>1642</v>
      </c>
      <c r="J371" s="138"/>
      <c r="K371" s="146" t="n">
        <f aca="false">Parâmetros!$C$4*(F371+2*Parâmetros!$D$4+Parâmetros!$C$4*Parâmetros!$E$4)</f>
        <v>0.5525</v>
      </c>
      <c r="L371" s="146" t="n">
        <f aca="false">Parâmetros!$C$5*(F371+2*Parâmetros!$D$5+Parâmetros!$C$5*Parâmetros!$E$5)</f>
        <v>1.8176</v>
      </c>
      <c r="M371" s="146" t="n">
        <f aca="false">Parâmetros!$C$6*(F371+2*Parâmetros!$D$6+Parâmetros!$C$6*Parâmetros!$E$6)</f>
        <v>2.384</v>
      </c>
      <c r="N371" s="146" t="n">
        <f aca="false">Parâmetros!$C$7*(F371+2*Parâmetros!$D$7+Parâmetros!$C$7*Parâmetros!$E$7)</f>
        <v>3.786</v>
      </c>
      <c r="O371" s="146" t="n">
        <f aca="false">F371+2*Parâmetros!$D$8</f>
        <v>11.2</v>
      </c>
      <c r="P371" s="146" t="n">
        <f aca="false">F371+2*Parâmetros!$D$10</f>
        <v>12.92</v>
      </c>
      <c r="Q371" s="146" t="n">
        <f aca="false">G371+H371</f>
        <v>0</v>
      </c>
      <c r="S371" s="149" t="n">
        <f aca="false">S370+'Volumes por intervalo'!C370*(F370+F371)/2</f>
        <v>85208</v>
      </c>
      <c r="T371" s="149" t="n">
        <f aca="false">T370+'Volumes por intervalo'!H370</f>
        <v>4278.85000000002</v>
      </c>
      <c r="U371" s="149" t="n">
        <f aca="false">U370+'Volumes por intervalo'!J370</f>
        <v>14058.3680000001</v>
      </c>
      <c r="V371" s="149" t="n">
        <f aca="false">V370+'Volumes por intervalo'!K370</f>
        <v>18399.5200000001</v>
      </c>
      <c r="W371" s="149" t="n">
        <f aca="false">W370+'Volumes por intervalo'!L370</f>
        <v>29149.0800000001</v>
      </c>
      <c r="X371" s="149" t="n">
        <f aca="false">X370+'Volumes por intervalo'!M370</f>
        <v>86684</v>
      </c>
      <c r="Y371" s="149" t="n">
        <f aca="false">Y370+'Volumes por intervalo'!N370</f>
        <v>86684</v>
      </c>
      <c r="Z371" s="149" t="n">
        <f aca="false">Z370+'Volumes por intervalo'!O370</f>
        <v>99377.5999999996</v>
      </c>
      <c r="AA371" s="149" t="n">
        <f aca="false">AA370+'Volumes por intervalo'!P370</f>
        <v>0</v>
      </c>
      <c r="AB371" s="149" t="n">
        <f aca="false">AB370+'Volumes por intervalo'!Q370</f>
        <v>0</v>
      </c>
      <c r="AC371" s="149" t="n">
        <f aca="false">AC370+'Volumes por intervalo'!R370</f>
        <v>0</v>
      </c>
      <c r="AD371" s="149" t="n">
        <f aca="false">AD370+'Volumes por intervalo'!S370</f>
        <v>0</v>
      </c>
    </row>
    <row r="372" customFormat="false" ht="15" hidden="false" customHeight="false" outlineLevel="0" collapsed="false">
      <c r="A372" s="138" t="s">
        <v>2031</v>
      </c>
      <c r="B372" s="146" t="n">
        <v>370</v>
      </c>
      <c r="C372" s="144" t="n">
        <v>7400</v>
      </c>
      <c r="D372" s="138" t="s">
        <v>1574</v>
      </c>
      <c r="E372" s="138" t="s">
        <v>1566</v>
      </c>
      <c r="F372" s="147" t="n">
        <v>11</v>
      </c>
      <c r="G372" s="148" t="n">
        <v>0</v>
      </c>
      <c r="H372" s="148" t="n">
        <v>0</v>
      </c>
      <c r="I372" s="138" t="s">
        <v>1642</v>
      </c>
      <c r="J372" s="138"/>
      <c r="K372" s="146" t="n">
        <f aca="false">Parâmetros!$C$4*(F372+2*Parâmetros!$D$4+Parâmetros!$C$4*Parâmetros!$E$4)</f>
        <v>0.5525</v>
      </c>
      <c r="L372" s="146" t="n">
        <f aca="false">Parâmetros!$C$5*(F372+2*Parâmetros!$D$5+Parâmetros!$C$5*Parâmetros!$E$5)</f>
        <v>1.8176</v>
      </c>
      <c r="M372" s="146" t="n">
        <f aca="false">Parâmetros!$C$6*(F372+2*Parâmetros!$D$6+Parâmetros!$C$6*Parâmetros!$E$6)</f>
        <v>2.384</v>
      </c>
      <c r="N372" s="146" t="n">
        <f aca="false">Parâmetros!$C$7*(F372+2*Parâmetros!$D$7+Parâmetros!$C$7*Parâmetros!$E$7)</f>
        <v>3.786</v>
      </c>
      <c r="O372" s="146" t="n">
        <f aca="false">F372+2*Parâmetros!$D$8</f>
        <v>11.2</v>
      </c>
      <c r="P372" s="146" t="n">
        <f aca="false">F372+2*Parâmetros!$D$10</f>
        <v>12.92</v>
      </c>
      <c r="Q372" s="146" t="n">
        <f aca="false">G372+H372</f>
        <v>0</v>
      </c>
      <c r="S372" s="149" t="n">
        <f aca="false">S371+'Volumes por intervalo'!C371*(F371+F372)/2</f>
        <v>85428</v>
      </c>
      <c r="T372" s="149" t="n">
        <f aca="false">T371+'Volumes por intervalo'!H371</f>
        <v>4289.90000000002</v>
      </c>
      <c r="U372" s="149" t="n">
        <f aca="false">U371+'Volumes por intervalo'!J371</f>
        <v>14094.7200000001</v>
      </c>
      <c r="V372" s="149" t="n">
        <f aca="false">V371+'Volumes por intervalo'!K371</f>
        <v>18447.2000000001</v>
      </c>
      <c r="W372" s="149" t="n">
        <f aca="false">W371+'Volumes por intervalo'!L371</f>
        <v>29224.8000000001</v>
      </c>
      <c r="X372" s="149" t="n">
        <f aca="false">X371+'Volumes por intervalo'!M371</f>
        <v>86908</v>
      </c>
      <c r="Y372" s="149" t="n">
        <f aca="false">Y371+'Volumes por intervalo'!N371</f>
        <v>86908</v>
      </c>
      <c r="Z372" s="149" t="n">
        <f aca="false">Z371+'Volumes por intervalo'!O371</f>
        <v>99635.9999999996</v>
      </c>
      <c r="AA372" s="149" t="n">
        <f aca="false">AA371+'Volumes por intervalo'!P371</f>
        <v>0</v>
      </c>
      <c r="AB372" s="149" t="n">
        <f aca="false">AB371+'Volumes por intervalo'!Q371</f>
        <v>0</v>
      </c>
      <c r="AC372" s="149" t="n">
        <f aca="false">AC371+'Volumes por intervalo'!R371</f>
        <v>0</v>
      </c>
      <c r="AD372" s="149" t="n">
        <f aca="false">AD371+'Volumes por intervalo'!S371</f>
        <v>0</v>
      </c>
    </row>
    <row r="373" customFormat="false" ht="15" hidden="false" customHeight="false" outlineLevel="0" collapsed="false">
      <c r="A373" s="138" t="s">
        <v>2032</v>
      </c>
      <c r="B373" s="146" t="n">
        <v>371</v>
      </c>
      <c r="C373" s="144" t="n">
        <v>7420</v>
      </c>
      <c r="D373" s="138" t="s">
        <v>1574</v>
      </c>
      <c r="E373" s="138" t="s">
        <v>1566</v>
      </c>
      <c r="F373" s="147" t="n">
        <v>11</v>
      </c>
      <c r="G373" s="148" t="n">
        <v>0</v>
      </c>
      <c r="H373" s="148" t="n">
        <v>0</v>
      </c>
      <c r="I373" s="138" t="s">
        <v>1642</v>
      </c>
      <c r="J373" s="138"/>
      <c r="K373" s="146" t="n">
        <f aca="false">Parâmetros!$C$4*(F373+2*Parâmetros!$D$4+Parâmetros!$C$4*Parâmetros!$E$4)</f>
        <v>0.5525</v>
      </c>
      <c r="L373" s="146" t="n">
        <f aca="false">Parâmetros!$C$5*(F373+2*Parâmetros!$D$5+Parâmetros!$C$5*Parâmetros!$E$5)</f>
        <v>1.8176</v>
      </c>
      <c r="M373" s="146" t="n">
        <f aca="false">Parâmetros!$C$6*(F373+2*Parâmetros!$D$6+Parâmetros!$C$6*Parâmetros!$E$6)</f>
        <v>2.384</v>
      </c>
      <c r="N373" s="146" t="n">
        <f aca="false">Parâmetros!$C$7*(F373+2*Parâmetros!$D$7+Parâmetros!$C$7*Parâmetros!$E$7)</f>
        <v>3.786</v>
      </c>
      <c r="O373" s="146" t="n">
        <f aca="false">F373+2*Parâmetros!$D$8</f>
        <v>11.2</v>
      </c>
      <c r="P373" s="146" t="n">
        <f aca="false">F373+2*Parâmetros!$D$10</f>
        <v>12.92</v>
      </c>
      <c r="Q373" s="146" t="n">
        <f aca="false">G373+H373</f>
        <v>0</v>
      </c>
      <c r="S373" s="149" t="n">
        <f aca="false">S372+'Volumes por intervalo'!C372*(F372+F373)/2</f>
        <v>85648</v>
      </c>
      <c r="T373" s="149" t="n">
        <f aca="false">T372+'Volumes por intervalo'!H372</f>
        <v>4300.95000000002</v>
      </c>
      <c r="U373" s="149" t="n">
        <f aca="false">U372+'Volumes por intervalo'!J372</f>
        <v>14131.0720000001</v>
      </c>
      <c r="V373" s="149" t="n">
        <f aca="false">V372+'Volumes por intervalo'!K372</f>
        <v>18494.8800000001</v>
      </c>
      <c r="W373" s="149" t="n">
        <f aca="false">W372+'Volumes por intervalo'!L372</f>
        <v>29300.5200000001</v>
      </c>
      <c r="X373" s="149" t="n">
        <f aca="false">X372+'Volumes por intervalo'!M372</f>
        <v>87132</v>
      </c>
      <c r="Y373" s="149" t="n">
        <f aca="false">Y372+'Volumes por intervalo'!N372</f>
        <v>87132</v>
      </c>
      <c r="Z373" s="149" t="n">
        <f aca="false">Z372+'Volumes por intervalo'!O372</f>
        <v>99894.3999999995</v>
      </c>
      <c r="AA373" s="149" t="n">
        <f aca="false">AA372+'Volumes por intervalo'!P372</f>
        <v>0</v>
      </c>
      <c r="AB373" s="149" t="n">
        <f aca="false">AB372+'Volumes por intervalo'!Q372</f>
        <v>0</v>
      </c>
      <c r="AC373" s="149" t="n">
        <f aca="false">AC372+'Volumes por intervalo'!R372</f>
        <v>0</v>
      </c>
      <c r="AD373" s="149" t="n">
        <f aca="false">AD372+'Volumes por intervalo'!S372</f>
        <v>0</v>
      </c>
    </row>
    <row r="374" customFormat="false" ht="15" hidden="false" customHeight="false" outlineLevel="0" collapsed="false">
      <c r="A374" s="138" t="s">
        <v>2033</v>
      </c>
      <c r="B374" s="146" t="n">
        <v>372</v>
      </c>
      <c r="C374" s="144" t="n">
        <v>7440</v>
      </c>
      <c r="D374" s="138" t="s">
        <v>1574</v>
      </c>
      <c r="E374" s="138" t="s">
        <v>1566</v>
      </c>
      <c r="F374" s="147" t="n">
        <v>11</v>
      </c>
      <c r="G374" s="148" t="n">
        <v>0</v>
      </c>
      <c r="H374" s="148" t="n">
        <v>0</v>
      </c>
      <c r="I374" s="138" t="s">
        <v>1642</v>
      </c>
      <c r="J374" s="138"/>
      <c r="K374" s="146" t="n">
        <f aca="false">Parâmetros!$C$4*(F374+2*Parâmetros!$D$4+Parâmetros!$C$4*Parâmetros!$E$4)</f>
        <v>0.5525</v>
      </c>
      <c r="L374" s="146" t="n">
        <f aca="false">Parâmetros!$C$5*(F374+2*Parâmetros!$D$5+Parâmetros!$C$5*Parâmetros!$E$5)</f>
        <v>1.8176</v>
      </c>
      <c r="M374" s="146" t="n">
        <f aca="false">Parâmetros!$C$6*(F374+2*Parâmetros!$D$6+Parâmetros!$C$6*Parâmetros!$E$6)</f>
        <v>2.384</v>
      </c>
      <c r="N374" s="146" t="n">
        <f aca="false">Parâmetros!$C$7*(F374+2*Parâmetros!$D$7+Parâmetros!$C$7*Parâmetros!$E$7)</f>
        <v>3.786</v>
      </c>
      <c r="O374" s="146" t="n">
        <f aca="false">F374+2*Parâmetros!$D$8</f>
        <v>11.2</v>
      </c>
      <c r="P374" s="146" t="n">
        <f aca="false">F374+2*Parâmetros!$D$10</f>
        <v>12.92</v>
      </c>
      <c r="Q374" s="146" t="n">
        <f aca="false">G374+H374</f>
        <v>0</v>
      </c>
      <c r="S374" s="149" t="n">
        <f aca="false">S373+'Volumes por intervalo'!C373*(F373+F374)/2</f>
        <v>85868</v>
      </c>
      <c r="T374" s="149" t="n">
        <f aca="false">T373+'Volumes por intervalo'!H373</f>
        <v>4312.00000000002</v>
      </c>
      <c r="U374" s="149" t="n">
        <f aca="false">U373+'Volumes por intervalo'!J373</f>
        <v>14167.4240000001</v>
      </c>
      <c r="V374" s="149" t="n">
        <f aca="false">V373+'Volumes por intervalo'!K373</f>
        <v>18542.5600000001</v>
      </c>
      <c r="W374" s="149" t="n">
        <f aca="false">W373+'Volumes por intervalo'!L373</f>
        <v>29376.2400000001</v>
      </c>
      <c r="X374" s="149" t="n">
        <f aca="false">X373+'Volumes por intervalo'!M373</f>
        <v>87356</v>
      </c>
      <c r="Y374" s="149" t="n">
        <f aca="false">Y373+'Volumes por intervalo'!N373</f>
        <v>87356</v>
      </c>
      <c r="Z374" s="149" t="n">
        <f aca="false">Z373+'Volumes por intervalo'!O373</f>
        <v>100152.8</v>
      </c>
      <c r="AA374" s="149" t="n">
        <f aca="false">AA373+'Volumes por intervalo'!P373</f>
        <v>0</v>
      </c>
      <c r="AB374" s="149" t="n">
        <f aca="false">AB373+'Volumes por intervalo'!Q373</f>
        <v>0</v>
      </c>
      <c r="AC374" s="149" t="n">
        <f aca="false">AC373+'Volumes por intervalo'!R373</f>
        <v>0</v>
      </c>
      <c r="AD374" s="149" t="n">
        <f aca="false">AD373+'Volumes por intervalo'!S373</f>
        <v>0</v>
      </c>
    </row>
    <row r="375" customFormat="false" ht="15" hidden="false" customHeight="false" outlineLevel="0" collapsed="false">
      <c r="A375" s="138" t="s">
        <v>2034</v>
      </c>
      <c r="B375" s="146" t="n">
        <v>373</v>
      </c>
      <c r="C375" s="144" t="n">
        <v>7460</v>
      </c>
      <c r="D375" s="138" t="s">
        <v>1574</v>
      </c>
      <c r="E375" s="138" t="s">
        <v>1566</v>
      </c>
      <c r="F375" s="147" t="n">
        <v>11</v>
      </c>
      <c r="G375" s="148" t="n">
        <v>0</v>
      </c>
      <c r="H375" s="148" t="n">
        <v>0</v>
      </c>
      <c r="I375" s="138" t="s">
        <v>1642</v>
      </c>
      <c r="J375" s="138"/>
      <c r="K375" s="146" t="n">
        <f aca="false">Parâmetros!$C$4*(F375+2*Parâmetros!$D$4+Parâmetros!$C$4*Parâmetros!$E$4)</f>
        <v>0.5525</v>
      </c>
      <c r="L375" s="146" t="n">
        <f aca="false">Parâmetros!$C$5*(F375+2*Parâmetros!$D$5+Parâmetros!$C$5*Parâmetros!$E$5)</f>
        <v>1.8176</v>
      </c>
      <c r="M375" s="146" t="n">
        <f aca="false">Parâmetros!$C$6*(F375+2*Parâmetros!$D$6+Parâmetros!$C$6*Parâmetros!$E$6)</f>
        <v>2.384</v>
      </c>
      <c r="N375" s="146" t="n">
        <f aca="false">Parâmetros!$C$7*(F375+2*Parâmetros!$D$7+Parâmetros!$C$7*Parâmetros!$E$7)</f>
        <v>3.786</v>
      </c>
      <c r="O375" s="146" t="n">
        <f aca="false">F375+2*Parâmetros!$D$8</f>
        <v>11.2</v>
      </c>
      <c r="P375" s="146" t="n">
        <f aca="false">F375+2*Parâmetros!$D$10</f>
        <v>12.92</v>
      </c>
      <c r="Q375" s="146" t="n">
        <f aca="false">G375+H375</f>
        <v>0</v>
      </c>
      <c r="S375" s="149" t="n">
        <f aca="false">S374+'Volumes por intervalo'!C374*(F374+F375)/2</f>
        <v>86088</v>
      </c>
      <c r="T375" s="149" t="n">
        <f aca="false">T374+'Volumes por intervalo'!H374</f>
        <v>4323.05000000002</v>
      </c>
      <c r="U375" s="149" t="n">
        <f aca="false">U374+'Volumes por intervalo'!J374</f>
        <v>14203.7760000001</v>
      </c>
      <c r="V375" s="149" t="n">
        <f aca="false">V374+'Volumes por intervalo'!K374</f>
        <v>18590.2400000001</v>
      </c>
      <c r="W375" s="149" t="n">
        <f aca="false">W374+'Volumes por intervalo'!L374</f>
        <v>29451.9600000001</v>
      </c>
      <c r="X375" s="149" t="n">
        <f aca="false">X374+'Volumes por intervalo'!M374</f>
        <v>87580</v>
      </c>
      <c r="Y375" s="149" t="n">
        <f aca="false">Y374+'Volumes por intervalo'!N374</f>
        <v>87580</v>
      </c>
      <c r="Z375" s="149" t="n">
        <f aca="false">Z374+'Volumes por intervalo'!O374</f>
        <v>100411.2</v>
      </c>
      <c r="AA375" s="149" t="n">
        <f aca="false">AA374+'Volumes por intervalo'!P374</f>
        <v>0</v>
      </c>
      <c r="AB375" s="149" t="n">
        <f aca="false">AB374+'Volumes por intervalo'!Q374</f>
        <v>0</v>
      </c>
      <c r="AC375" s="149" t="n">
        <f aca="false">AC374+'Volumes por intervalo'!R374</f>
        <v>0</v>
      </c>
      <c r="AD375" s="149" t="n">
        <f aca="false">AD374+'Volumes por intervalo'!S374</f>
        <v>0</v>
      </c>
    </row>
    <row r="376" customFormat="false" ht="15" hidden="false" customHeight="false" outlineLevel="0" collapsed="false">
      <c r="A376" s="138" t="s">
        <v>2035</v>
      </c>
      <c r="B376" s="146" t="n">
        <v>374</v>
      </c>
      <c r="C376" s="144" t="n">
        <v>7480</v>
      </c>
      <c r="D376" s="138" t="s">
        <v>1574</v>
      </c>
      <c r="E376" s="138" t="s">
        <v>1566</v>
      </c>
      <c r="F376" s="147" t="n">
        <v>11</v>
      </c>
      <c r="G376" s="148" t="n">
        <v>0</v>
      </c>
      <c r="H376" s="148" t="n">
        <v>0</v>
      </c>
      <c r="I376" s="138" t="s">
        <v>1642</v>
      </c>
      <c r="J376" s="138"/>
      <c r="K376" s="146" t="n">
        <f aca="false">Parâmetros!$C$4*(F376+2*Parâmetros!$D$4+Parâmetros!$C$4*Parâmetros!$E$4)</f>
        <v>0.5525</v>
      </c>
      <c r="L376" s="146" t="n">
        <f aca="false">Parâmetros!$C$5*(F376+2*Parâmetros!$D$5+Parâmetros!$C$5*Parâmetros!$E$5)</f>
        <v>1.8176</v>
      </c>
      <c r="M376" s="146" t="n">
        <f aca="false">Parâmetros!$C$6*(F376+2*Parâmetros!$D$6+Parâmetros!$C$6*Parâmetros!$E$6)</f>
        <v>2.384</v>
      </c>
      <c r="N376" s="146" t="n">
        <f aca="false">Parâmetros!$C$7*(F376+2*Parâmetros!$D$7+Parâmetros!$C$7*Parâmetros!$E$7)</f>
        <v>3.786</v>
      </c>
      <c r="O376" s="146" t="n">
        <f aca="false">F376+2*Parâmetros!$D$8</f>
        <v>11.2</v>
      </c>
      <c r="P376" s="146" t="n">
        <f aca="false">F376+2*Parâmetros!$D$10</f>
        <v>12.92</v>
      </c>
      <c r="Q376" s="146" t="n">
        <f aca="false">G376+H376</f>
        <v>0</v>
      </c>
      <c r="S376" s="149" t="n">
        <f aca="false">S375+'Volumes por intervalo'!C375*(F375+F376)/2</f>
        <v>86308</v>
      </c>
      <c r="T376" s="149" t="n">
        <f aca="false">T375+'Volumes por intervalo'!H375</f>
        <v>4334.10000000002</v>
      </c>
      <c r="U376" s="149" t="n">
        <f aca="false">U375+'Volumes por intervalo'!J375</f>
        <v>14240.1280000001</v>
      </c>
      <c r="V376" s="149" t="n">
        <f aca="false">V375+'Volumes por intervalo'!K375</f>
        <v>18637.9200000001</v>
      </c>
      <c r="W376" s="149" t="n">
        <f aca="false">W375+'Volumes por intervalo'!L375</f>
        <v>29527.6800000001</v>
      </c>
      <c r="X376" s="149" t="n">
        <f aca="false">X375+'Volumes por intervalo'!M375</f>
        <v>87804</v>
      </c>
      <c r="Y376" s="149" t="n">
        <f aca="false">Y375+'Volumes por intervalo'!N375</f>
        <v>87804</v>
      </c>
      <c r="Z376" s="149" t="n">
        <f aca="false">Z375+'Volumes por intervalo'!O375</f>
        <v>100669.6</v>
      </c>
      <c r="AA376" s="149" t="n">
        <f aca="false">AA375+'Volumes por intervalo'!P375</f>
        <v>0</v>
      </c>
      <c r="AB376" s="149" t="n">
        <f aca="false">AB375+'Volumes por intervalo'!Q375</f>
        <v>0</v>
      </c>
      <c r="AC376" s="149" t="n">
        <f aca="false">AC375+'Volumes por intervalo'!R375</f>
        <v>0</v>
      </c>
      <c r="AD376" s="149" t="n">
        <f aca="false">AD375+'Volumes por intervalo'!S375</f>
        <v>0</v>
      </c>
    </row>
    <row r="377" customFormat="false" ht="15" hidden="false" customHeight="false" outlineLevel="0" collapsed="false">
      <c r="A377" s="138" t="s">
        <v>2036</v>
      </c>
      <c r="B377" s="146" t="n">
        <v>375</v>
      </c>
      <c r="C377" s="144" t="n">
        <v>7500</v>
      </c>
      <c r="D377" s="138" t="s">
        <v>1574</v>
      </c>
      <c r="E377" s="138" t="s">
        <v>1566</v>
      </c>
      <c r="F377" s="147" t="n">
        <v>11</v>
      </c>
      <c r="G377" s="148" t="n">
        <v>0</v>
      </c>
      <c r="H377" s="148" t="n">
        <v>0</v>
      </c>
      <c r="I377" s="138" t="s">
        <v>1642</v>
      </c>
      <c r="J377" s="138"/>
      <c r="K377" s="146" t="n">
        <f aca="false">Parâmetros!$C$4*(F377+2*Parâmetros!$D$4+Parâmetros!$C$4*Parâmetros!$E$4)</f>
        <v>0.5525</v>
      </c>
      <c r="L377" s="146" t="n">
        <f aca="false">Parâmetros!$C$5*(F377+2*Parâmetros!$D$5+Parâmetros!$C$5*Parâmetros!$E$5)</f>
        <v>1.8176</v>
      </c>
      <c r="M377" s="146" t="n">
        <f aca="false">Parâmetros!$C$6*(F377+2*Parâmetros!$D$6+Parâmetros!$C$6*Parâmetros!$E$6)</f>
        <v>2.384</v>
      </c>
      <c r="N377" s="146" t="n">
        <f aca="false">Parâmetros!$C$7*(F377+2*Parâmetros!$D$7+Parâmetros!$C$7*Parâmetros!$E$7)</f>
        <v>3.786</v>
      </c>
      <c r="O377" s="146" t="n">
        <f aca="false">F377+2*Parâmetros!$D$8</f>
        <v>11.2</v>
      </c>
      <c r="P377" s="146" t="n">
        <f aca="false">F377+2*Parâmetros!$D$10</f>
        <v>12.92</v>
      </c>
      <c r="Q377" s="146" t="n">
        <f aca="false">G377+H377</f>
        <v>0</v>
      </c>
      <c r="S377" s="149" t="n">
        <f aca="false">S376+'Volumes por intervalo'!C376*(F376+F377)/2</f>
        <v>86528</v>
      </c>
      <c r="T377" s="149" t="n">
        <f aca="false">T376+'Volumes por intervalo'!H376</f>
        <v>4345.15000000002</v>
      </c>
      <c r="U377" s="149" t="n">
        <f aca="false">U376+'Volumes por intervalo'!J376</f>
        <v>14276.4800000001</v>
      </c>
      <c r="V377" s="149" t="n">
        <f aca="false">V376+'Volumes por intervalo'!K376</f>
        <v>18685.6000000001</v>
      </c>
      <c r="W377" s="149" t="n">
        <f aca="false">W376+'Volumes por intervalo'!L376</f>
        <v>29603.4000000001</v>
      </c>
      <c r="X377" s="149" t="n">
        <f aca="false">X376+'Volumes por intervalo'!M376</f>
        <v>88028</v>
      </c>
      <c r="Y377" s="149" t="n">
        <f aca="false">Y376+'Volumes por intervalo'!N376</f>
        <v>88028</v>
      </c>
      <c r="Z377" s="149" t="n">
        <f aca="false">Z376+'Volumes por intervalo'!O376</f>
        <v>100928</v>
      </c>
      <c r="AA377" s="149" t="n">
        <f aca="false">AA376+'Volumes por intervalo'!P376</f>
        <v>0</v>
      </c>
      <c r="AB377" s="149" t="n">
        <f aca="false">AB376+'Volumes por intervalo'!Q376</f>
        <v>0</v>
      </c>
      <c r="AC377" s="149" t="n">
        <f aca="false">AC376+'Volumes por intervalo'!R376</f>
        <v>0</v>
      </c>
      <c r="AD377" s="149" t="n">
        <f aca="false">AD376+'Volumes por intervalo'!S376</f>
        <v>0</v>
      </c>
    </row>
    <row r="378" customFormat="false" ht="15" hidden="false" customHeight="false" outlineLevel="0" collapsed="false">
      <c r="A378" s="138" t="s">
        <v>2037</v>
      </c>
      <c r="B378" s="146" t="n">
        <v>376</v>
      </c>
      <c r="C378" s="144" t="n">
        <v>7520</v>
      </c>
      <c r="D378" s="138" t="s">
        <v>1574</v>
      </c>
      <c r="E378" s="138" t="s">
        <v>1566</v>
      </c>
      <c r="F378" s="147" t="n">
        <v>11</v>
      </c>
      <c r="G378" s="148" t="n">
        <v>0</v>
      </c>
      <c r="H378" s="148" t="n">
        <v>0</v>
      </c>
      <c r="I378" s="138" t="s">
        <v>1642</v>
      </c>
      <c r="J378" s="138"/>
      <c r="K378" s="146" t="n">
        <f aca="false">Parâmetros!$C$4*(F378+2*Parâmetros!$D$4+Parâmetros!$C$4*Parâmetros!$E$4)</f>
        <v>0.5525</v>
      </c>
      <c r="L378" s="146" t="n">
        <f aca="false">Parâmetros!$C$5*(F378+2*Parâmetros!$D$5+Parâmetros!$C$5*Parâmetros!$E$5)</f>
        <v>1.8176</v>
      </c>
      <c r="M378" s="146" t="n">
        <f aca="false">Parâmetros!$C$6*(F378+2*Parâmetros!$D$6+Parâmetros!$C$6*Parâmetros!$E$6)</f>
        <v>2.384</v>
      </c>
      <c r="N378" s="146" t="n">
        <f aca="false">Parâmetros!$C$7*(F378+2*Parâmetros!$D$7+Parâmetros!$C$7*Parâmetros!$E$7)</f>
        <v>3.786</v>
      </c>
      <c r="O378" s="146" t="n">
        <f aca="false">F378+2*Parâmetros!$D$8</f>
        <v>11.2</v>
      </c>
      <c r="P378" s="146" t="n">
        <f aca="false">F378+2*Parâmetros!$D$10</f>
        <v>12.92</v>
      </c>
      <c r="Q378" s="146" t="n">
        <f aca="false">G378+H378</f>
        <v>0</v>
      </c>
      <c r="S378" s="149" t="n">
        <f aca="false">S377+'Volumes por intervalo'!C377*(F377+F378)/2</f>
        <v>86748</v>
      </c>
      <c r="T378" s="149" t="n">
        <f aca="false">T377+'Volumes por intervalo'!H377</f>
        <v>4356.20000000002</v>
      </c>
      <c r="U378" s="149" t="n">
        <f aca="false">U377+'Volumes por intervalo'!J377</f>
        <v>14312.8320000001</v>
      </c>
      <c r="V378" s="149" t="n">
        <f aca="false">V377+'Volumes por intervalo'!K377</f>
        <v>18733.2800000001</v>
      </c>
      <c r="W378" s="149" t="n">
        <f aca="false">W377+'Volumes por intervalo'!L377</f>
        <v>29679.1200000001</v>
      </c>
      <c r="X378" s="149" t="n">
        <f aca="false">X377+'Volumes por intervalo'!M377</f>
        <v>88252</v>
      </c>
      <c r="Y378" s="149" t="n">
        <f aca="false">Y377+'Volumes por intervalo'!N377</f>
        <v>88252</v>
      </c>
      <c r="Z378" s="149" t="n">
        <f aca="false">Z377+'Volumes por intervalo'!O377</f>
        <v>101186.4</v>
      </c>
      <c r="AA378" s="149" t="n">
        <f aca="false">AA377+'Volumes por intervalo'!P377</f>
        <v>0</v>
      </c>
      <c r="AB378" s="149" t="n">
        <f aca="false">AB377+'Volumes por intervalo'!Q377</f>
        <v>0</v>
      </c>
      <c r="AC378" s="149" t="n">
        <f aca="false">AC377+'Volumes por intervalo'!R377</f>
        <v>0</v>
      </c>
      <c r="AD378" s="149" t="n">
        <f aca="false">AD377+'Volumes por intervalo'!S377</f>
        <v>0</v>
      </c>
    </row>
    <row r="379" customFormat="false" ht="15" hidden="false" customHeight="false" outlineLevel="0" collapsed="false">
      <c r="A379" s="138" t="s">
        <v>2038</v>
      </c>
      <c r="B379" s="146" t="n">
        <v>377</v>
      </c>
      <c r="C379" s="144" t="n">
        <v>7540</v>
      </c>
      <c r="D379" s="138" t="s">
        <v>1574</v>
      </c>
      <c r="E379" s="138" t="s">
        <v>1566</v>
      </c>
      <c r="F379" s="147" t="n">
        <v>11</v>
      </c>
      <c r="G379" s="148" t="n">
        <v>0</v>
      </c>
      <c r="H379" s="148" t="n">
        <v>0</v>
      </c>
      <c r="I379" s="138" t="s">
        <v>1642</v>
      </c>
      <c r="J379" s="138"/>
      <c r="K379" s="146" t="n">
        <f aca="false">Parâmetros!$C$4*(F379+2*Parâmetros!$D$4+Parâmetros!$C$4*Parâmetros!$E$4)</f>
        <v>0.5525</v>
      </c>
      <c r="L379" s="146" t="n">
        <f aca="false">Parâmetros!$C$5*(F379+2*Parâmetros!$D$5+Parâmetros!$C$5*Parâmetros!$E$5)</f>
        <v>1.8176</v>
      </c>
      <c r="M379" s="146" t="n">
        <f aca="false">Parâmetros!$C$6*(F379+2*Parâmetros!$D$6+Parâmetros!$C$6*Parâmetros!$E$6)</f>
        <v>2.384</v>
      </c>
      <c r="N379" s="146" t="n">
        <f aca="false">Parâmetros!$C$7*(F379+2*Parâmetros!$D$7+Parâmetros!$C$7*Parâmetros!$E$7)</f>
        <v>3.786</v>
      </c>
      <c r="O379" s="146" t="n">
        <f aca="false">F379+2*Parâmetros!$D$8</f>
        <v>11.2</v>
      </c>
      <c r="P379" s="146" t="n">
        <f aca="false">F379+2*Parâmetros!$D$10</f>
        <v>12.92</v>
      </c>
      <c r="Q379" s="146" t="n">
        <f aca="false">G379+H379</f>
        <v>0</v>
      </c>
      <c r="S379" s="149" t="n">
        <f aca="false">S378+'Volumes por intervalo'!C378*(F378+F379)/2</f>
        <v>86968</v>
      </c>
      <c r="T379" s="149" t="n">
        <f aca="false">T378+'Volumes por intervalo'!H378</f>
        <v>4367.25000000002</v>
      </c>
      <c r="U379" s="149" t="n">
        <f aca="false">U378+'Volumes por intervalo'!J378</f>
        <v>14349.1840000001</v>
      </c>
      <c r="V379" s="149" t="n">
        <f aca="false">V378+'Volumes por intervalo'!K378</f>
        <v>18780.9600000001</v>
      </c>
      <c r="W379" s="149" t="n">
        <f aca="false">W378+'Volumes por intervalo'!L378</f>
        <v>29754.8400000001</v>
      </c>
      <c r="X379" s="149" t="n">
        <f aca="false">X378+'Volumes por intervalo'!M378</f>
        <v>88476</v>
      </c>
      <c r="Y379" s="149" t="n">
        <f aca="false">Y378+'Volumes por intervalo'!N378</f>
        <v>88476</v>
      </c>
      <c r="Z379" s="149" t="n">
        <f aca="false">Z378+'Volumes por intervalo'!O378</f>
        <v>101444.8</v>
      </c>
      <c r="AA379" s="149" t="n">
        <f aca="false">AA378+'Volumes por intervalo'!P378</f>
        <v>0</v>
      </c>
      <c r="AB379" s="149" t="n">
        <f aca="false">AB378+'Volumes por intervalo'!Q378</f>
        <v>0</v>
      </c>
      <c r="AC379" s="149" t="n">
        <f aca="false">AC378+'Volumes por intervalo'!R378</f>
        <v>0</v>
      </c>
      <c r="AD379" s="149" t="n">
        <f aca="false">AD378+'Volumes por intervalo'!S378</f>
        <v>0</v>
      </c>
    </row>
    <row r="380" customFormat="false" ht="15" hidden="false" customHeight="false" outlineLevel="0" collapsed="false">
      <c r="A380" s="138" t="s">
        <v>2039</v>
      </c>
      <c r="B380" s="146" t="n">
        <v>378</v>
      </c>
      <c r="C380" s="144" t="n">
        <v>7560</v>
      </c>
      <c r="D380" s="138" t="s">
        <v>1574</v>
      </c>
      <c r="E380" s="138" t="s">
        <v>1566</v>
      </c>
      <c r="F380" s="147" t="n">
        <v>11</v>
      </c>
      <c r="G380" s="148" t="n">
        <v>0</v>
      </c>
      <c r="H380" s="148" t="n">
        <v>0</v>
      </c>
      <c r="I380" s="138" t="s">
        <v>1642</v>
      </c>
      <c r="J380" s="138"/>
      <c r="K380" s="146" t="n">
        <f aca="false">Parâmetros!$C$4*(F380+2*Parâmetros!$D$4+Parâmetros!$C$4*Parâmetros!$E$4)</f>
        <v>0.5525</v>
      </c>
      <c r="L380" s="146" t="n">
        <f aca="false">Parâmetros!$C$5*(F380+2*Parâmetros!$D$5+Parâmetros!$C$5*Parâmetros!$E$5)</f>
        <v>1.8176</v>
      </c>
      <c r="M380" s="146" t="n">
        <f aca="false">Parâmetros!$C$6*(F380+2*Parâmetros!$D$6+Parâmetros!$C$6*Parâmetros!$E$6)</f>
        <v>2.384</v>
      </c>
      <c r="N380" s="146" t="n">
        <f aca="false">Parâmetros!$C$7*(F380+2*Parâmetros!$D$7+Parâmetros!$C$7*Parâmetros!$E$7)</f>
        <v>3.786</v>
      </c>
      <c r="O380" s="146" t="n">
        <f aca="false">F380+2*Parâmetros!$D$8</f>
        <v>11.2</v>
      </c>
      <c r="P380" s="146" t="n">
        <f aca="false">F380+2*Parâmetros!$D$10</f>
        <v>12.92</v>
      </c>
      <c r="Q380" s="146" t="n">
        <f aca="false">G380+H380</f>
        <v>0</v>
      </c>
      <c r="S380" s="149" t="n">
        <f aca="false">S379+'Volumes por intervalo'!C379*(F379+F380)/2</f>
        <v>87188</v>
      </c>
      <c r="T380" s="149" t="n">
        <f aca="false">T379+'Volumes por intervalo'!H379</f>
        <v>4378.30000000002</v>
      </c>
      <c r="U380" s="149" t="n">
        <f aca="false">U379+'Volumes por intervalo'!J379</f>
        <v>14385.5360000001</v>
      </c>
      <c r="V380" s="149" t="n">
        <f aca="false">V379+'Volumes por intervalo'!K379</f>
        <v>18828.6400000001</v>
      </c>
      <c r="W380" s="149" t="n">
        <f aca="false">W379+'Volumes por intervalo'!L379</f>
        <v>29830.5600000001</v>
      </c>
      <c r="X380" s="149" t="n">
        <f aca="false">X379+'Volumes por intervalo'!M379</f>
        <v>88700</v>
      </c>
      <c r="Y380" s="149" t="n">
        <f aca="false">Y379+'Volumes por intervalo'!N379</f>
        <v>88700</v>
      </c>
      <c r="Z380" s="149" t="n">
        <f aca="false">Z379+'Volumes por intervalo'!O379</f>
        <v>101703.2</v>
      </c>
      <c r="AA380" s="149" t="n">
        <f aca="false">AA379+'Volumes por intervalo'!P379</f>
        <v>0</v>
      </c>
      <c r="AB380" s="149" t="n">
        <f aca="false">AB379+'Volumes por intervalo'!Q379</f>
        <v>0</v>
      </c>
      <c r="AC380" s="149" t="n">
        <f aca="false">AC379+'Volumes por intervalo'!R379</f>
        <v>0</v>
      </c>
      <c r="AD380" s="149" t="n">
        <f aca="false">AD379+'Volumes por intervalo'!S379</f>
        <v>0</v>
      </c>
    </row>
    <row r="381" customFormat="false" ht="15" hidden="false" customHeight="false" outlineLevel="0" collapsed="false">
      <c r="A381" s="138" t="s">
        <v>2040</v>
      </c>
      <c r="B381" s="146" t="n">
        <v>379</v>
      </c>
      <c r="C381" s="144" t="n">
        <v>7580</v>
      </c>
      <c r="D381" s="138" t="s">
        <v>1574</v>
      </c>
      <c r="E381" s="138" t="s">
        <v>1566</v>
      </c>
      <c r="F381" s="147" t="n">
        <v>11</v>
      </c>
      <c r="G381" s="148" t="n">
        <v>0</v>
      </c>
      <c r="H381" s="148" t="n">
        <v>0</v>
      </c>
      <c r="I381" s="138" t="s">
        <v>1642</v>
      </c>
      <c r="J381" s="138"/>
      <c r="K381" s="146" t="n">
        <f aca="false">Parâmetros!$C$4*(F381+2*Parâmetros!$D$4+Parâmetros!$C$4*Parâmetros!$E$4)</f>
        <v>0.5525</v>
      </c>
      <c r="L381" s="146" t="n">
        <f aca="false">Parâmetros!$C$5*(F381+2*Parâmetros!$D$5+Parâmetros!$C$5*Parâmetros!$E$5)</f>
        <v>1.8176</v>
      </c>
      <c r="M381" s="146" t="n">
        <f aca="false">Parâmetros!$C$6*(F381+2*Parâmetros!$D$6+Parâmetros!$C$6*Parâmetros!$E$6)</f>
        <v>2.384</v>
      </c>
      <c r="N381" s="146" t="n">
        <f aca="false">Parâmetros!$C$7*(F381+2*Parâmetros!$D$7+Parâmetros!$C$7*Parâmetros!$E$7)</f>
        <v>3.786</v>
      </c>
      <c r="O381" s="146" t="n">
        <f aca="false">F381+2*Parâmetros!$D$8</f>
        <v>11.2</v>
      </c>
      <c r="P381" s="146" t="n">
        <f aca="false">F381+2*Parâmetros!$D$10</f>
        <v>12.92</v>
      </c>
      <c r="Q381" s="146" t="n">
        <f aca="false">G381+H381</f>
        <v>0</v>
      </c>
      <c r="S381" s="149" t="n">
        <f aca="false">S380+'Volumes por intervalo'!C380*(F380+F381)/2</f>
        <v>87408</v>
      </c>
      <c r="T381" s="149" t="n">
        <f aca="false">T380+'Volumes por intervalo'!H380</f>
        <v>4389.35000000002</v>
      </c>
      <c r="U381" s="149" t="n">
        <f aca="false">U380+'Volumes por intervalo'!J380</f>
        <v>14421.8880000001</v>
      </c>
      <c r="V381" s="149" t="n">
        <f aca="false">V380+'Volumes por intervalo'!K380</f>
        <v>18876.3200000001</v>
      </c>
      <c r="W381" s="149" t="n">
        <f aca="false">W380+'Volumes por intervalo'!L380</f>
        <v>29906.2800000001</v>
      </c>
      <c r="X381" s="149" t="n">
        <f aca="false">X380+'Volumes por intervalo'!M380</f>
        <v>88924</v>
      </c>
      <c r="Y381" s="149" t="n">
        <f aca="false">Y380+'Volumes por intervalo'!N380</f>
        <v>88924</v>
      </c>
      <c r="Z381" s="149" t="n">
        <f aca="false">Z380+'Volumes por intervalo'!O380</f>
        <v>101961.6</v>
      </c>
      <c r="AA381" s="149" t="n">
        <f aca="false">AA380+'Volumes por intervalo'!P380</f>
        <v>0</v>
      </c>
      <c r="AB381" s="149" t="n">
        <f aca="false">AB380+'Volumes por intervalo'!Q380</f>
        <v>0</v>
      </c>
      <c r="AC381" s="149" t="n">
        <f aca="false">AC380+'Volumes por intervalo'!R380</f>
        <v>0</v>
      </c>
      <c r="AD381" s="149" t="n">
        <f aca="false">AD380+'Volumes por intervalo'!S380</f>
        <v>0</v>
      </c>
    </row>
    <row r="382" customFormat="false" ht="15" hidden="false" customHeight="false" outlineLevel="0" collapsed="false">
      <c r="A382" s="138" t="s">
        <v>2041</v>
      </c>
      <c r="B382" s="146" t="n">
        <v>380</v>
      </c>
      <c r="C382" s="144" t="n">
        <v>7600</v>
      </c>
      <c r="D382" s="138" t="s">
        <v>1574</v>
      </c>
      <c r="E382" s="138" t="s">
        <v>1566</v>
      </c>
      <c r="F382" s="147" t="n">
        <v>11</v>
      </c>
      <c r="G382" s="148" t="n">
        <v>0</v>
      </c>
      <c r="H382" s="148" t="n">
        <v>0</v>
      </c>
      <c r="I382" s="138" t="s">
        <v>1642</v>
      </c>
      <c r="J382" s="138"/>
      <c r="K382" s="146" t="n">
        <f aca="false">Parâmetros!$C$4*(F382+2*Parâmetros!$D$4+Parâmetros!$C$4*Parâmetros!$E$4)</f>
        <v>0.5525</v>
      </c>
      <c r="L382" s="146" t="n">
        <f aca="false">Parâmetros!$C$5*(F382+2*Parâmetros!$D$5+Parâmetros!$C$5*Parâmetros!$E$5)</f>
        <v>1.8176</v>
      </c>
      <c r="M382" s="146" t="n">
        <f aca="false">Parâmetros!$C$6*(F382+2*Parâmetros!$D$6+Parâmetros!$C$6*Parâmetros!$E$6)</f>
        <v>2.384</v>
      </c>
      <c r="N382" s="146" t="n">
        <f aca="false">Parâmetros!$C$7*(F382+2*Parâmetros!$D$7+Parâmetros!$C$7*Parâmetros!$E$7)</f>
        <v>3.786</v>
      </c>
      <c r="O382" s="146" t="n">
        <f aca="false">F382+2*Parâmetros!$D$8</f>
        <v>11.2</v>
      </c>
      <c r="P382" s="146" t="n">
        <f aca="false">F382+2*Parâmetros!$D$10</f>
        <v>12.92</v>
      </c>
      <c r="Q382" s="146" t="n">
        <f aca="false">G382+H382</f>
        <v>0</v>
      </c>
      <c r="S382" s="149" t="n">
        <f aca="false">S381+'Volumes por intervalo'!C381*(F381+F382)/2</f>
        <v>87628</v>
      </c>
      <c r="T382" s="149" t="n">
        <f aca="false">T381+'Volumes por intervalo'!H381</f>
        <v>4400.40000000002</v>
      </c>
      <c r="U382" s="149" t="n">
        <f aca="false">U381+'Volumes por intervalo'!J381</f>
        <v>14458.2400000001</v>
      </c>
      <c r="V382" s="149" t="n">
        <f aca="false">V381+'Volumes por intervalo'!K381</f>
        <v>18924.0000000001</v>
      </c>
      <c r="W382" s="149" t="n">
        <f aca="false">W381+'Volumes por intervalo'!L381</f>
        <v>29982.0000000001</v>
      </c>
      <c r="X382" s="149" t="n">
        <f aca="false">X381+'Volumes por intervalo'!M381</f>
        <v>89148</v>
      </c>
      <c r="Y382" s="149" t="n">
        <f aca="false">Y381+'Volumes por intervalo'!N381</f>
        <v>89148</v>
      </c>
      <c r="Z382" s="149" t="n">
        <f aca="false">Z381+'Volumes por intervalo'!O381</f>
        <v>102219.999999999</v>
      </c>
      <c r="AA382" s="149" t="n">
        <f aca="false">AA381+'Volumes por intervalo'!P381</f>
        <v>0</v>
      </c>
      <c r="AB382" s="149" t="n">
        <f aca="false">AB381+'Volumes por intervalo'!Q381</f>
        <v>0</v>
      </c>
      <c r="AC382" s="149" t="n">
        <f aca="false">AC381+'Volumes por intervalo'!R381</f>
        <v>0</v>
      </c>
      <c r="AD382" s="149" t="n">
        <f aca="false">AD381+'Volumes por intervalo'!S381</f>
        <v>0</v>
      </c>
    </row>
    <row r="383" customFormat="false" ht="15" hidden="false" customHeight="false" outlineLevel="0" collapsed="false">
      <c r="A383" s="138" t="s">
        <v>2042</v>
      </c>
      <c r="B383" s="146" t="n">
        <v>381</v>
      </c>
      <c r="C383" s="144" t="n">
        <v>7620</v>
      </c>
      <c r="D383" s="138" t="s">
        <v>1574</v>
      </c>
      <c r="E383" s="138" t="s">
        <v>1566</v>
      </c>
      <c r="F383" s="147" t="n">
        <v>11</v>
      </c>
      <c r="G383" s="148" t="n">
        <v>0</v>
      </c>
      <c r="H383" s="148" t="n">
        <v>0</v>
      </c>
      <c r="I383" s="138" t="s">
        <v>1642</v>
      </c>
      <c r="J383" s="138"/>
      <c r="K383" s="146" t="n">
        <f aca="false">Parâmetros!$C$4*(F383+2*Parâmetros!$D$4+Parâmetros!$C$4*Parâmetros!$E$4)</f>
        <v>0.5525</v>
      </c>
      <c r="L383" s="146" t="n">
        <f aca="false">Parâmetros!$C$5*(F383+2*Parâmetros!$D$5+Parâmetros!$C$5*Parâmetros!$E$5)</f>
        <v>1.8176</v>
      </c>
      <c r="M383" s="146" t="n">
        <f aca="false">Parâmetros!$C$6*(F383+2*Parâmetros!$D$6+Parâmetros!$C$6*Parâmetros!$E$6)</f>
        <v>2.384</v>
      </c>
      <c r="N383" s="146" t="n">
        <f aca="false">Parâmetros!$C$7*(F383+2*Parâmetros!$D$7+Parâmetros!$C$7*Parâmetros!$E$7)</f>
        <v>3.786</v>
      </c>
      <c r="O383" s="146" t="n">
        <f aca="false">F383+2*Parâmetros!$D$8</f>
        <v>11.2</v>
      </c>
      <c r="P383" s="146" t="n">
        <f aca="false">F383+2*Parâmetros!$D$10</f>
        <v>12.92</v>
      </c>
      <c r="Q383" s="146" t="n">
        <f aca="false">G383+H383</f>
        <v>0</v>
      </c>
      <c r="S383" s="149" t="n">
        <f aca="false">S382+'Volumes por intervalo'!C382*(F382+F383)/2</f>
        <v>87848</v>
      </c>
      <c r="T383" s="149" t="n">
        <f aca="false">T382+'Volumes por intervalo'!H382</f>
        <v>4411.45000000002</v>
      </c>
      <c r="U383" s="149" t="n">
        <f aca="false">U382+'Volumes por intervalo'!J382</f>
        <v>14494.5920000001</v>
      </c>
      <c r="V383" s="149" t="n">
        <f aca="false">V382+'Volumes por intervalo'!K382</f>
        <v>18971.6800000001</v>
      </c>
      <c r="W383" s="149" t="n">
        <f aca="false">W382+'Volumes por intervalo'!L382</f>
        <v>30057.7200000001</v>
      </c>
      <c r="X383" s="149" t="n">
        <f aca="false">X382+'Volumes por intervalo'!M382</f>
        <v>89372</v>
      </c>
      <c r="Y383" s="149" t="n">
        <f aca="false">Y382+'Volumes por intervalo'!N382</f>
        <v>89372</v>
      </c>
      <c r="Z383" s="149" t="n">
        <f aca="false">Z382+'Volumes por intervalo'!O382</f>
        <v>102478.399999999</v>
      </c>
      <c r="AA383" s="149" t="n">
        <f aca="false">AA382+'Volumes por intervalo'!P382</f>
        <v>0</v>
      </c>
      <c r="AB383" s="149" t="n">
        <f aca="false">AB382+'Volumes por intervalo'!Q382</f>
        <v>0</v>
      </c>
      <c r="AC383" s="149" t="n">
        <f aca="false">AC382+'Volumes por intervalo'!R382</f>
        <v>0</v>
      </c>
      <c r="AD383" s="149" t="n">
        <f aca="false">AD382+'Volumes por intervalo'!S382</f>
        <v>0</v>
      </c>
    </row>
    <row r="384" customFormat="false" ht="15" hidden="false" customHeight="false" outlineLevel="0" collapsed="false">
      <c r="A384" s="138" t="s">
        <v>2043</v>
      </c>
      <c r="B384" s="146" t="n">
        <v>382</v>
      </c>
      <c r="C384" s="144" t="n">
        <v>7640</v>
      </c>
      <c r="D384" s="138" t="s">
        <v>1574</v>
      </c>
      <c r="E384" s="138" t="s">
        <v>1566</v>
      </c>
      <c r="F384" s="147" t="n">
        <v>11</v>
      </c>
      <c r="G384" s="148" t="n">
        <v>0</v>
      </c>
      <c r="H384" s="148" t="n">
        <v>0</v>
      </c>
      <c r="I384" s="138" t="s">
        <v>1642</v>
      </c>
      <c r="J384" s="138"/>
      <c r="K384" s="146" t="n">
        <f aca="false">Parâmetros!$C$4*(F384+2*Parâmetros!$D$4+Parâmetros!$C$4*Parâmetros!$E$4)</f>
        <v>0.5525</v>
      </c>
      <c r="L384" s="146" t="n">
        <f aca="false">Parâmetros!$C$5*(F384+2*Parâmetros!$D$5+Parâmetros!$C$5*Parâmetros!$E$5)</f>
        <v>1.8176</v>
      </c>
      <c r="M384" s="146" t="n">
        <f aca="false">Parâmetros!$C$6*(F384+2*Parâmetros!$D$6+Parâmetros!$C$6*Parâmetros!$E$6)</f>
        <v>2.384</v>
      </c>
      <c r="N384" s="146" t="n">
        <f aca="false">Parâmetros!$C$7*(F384+2*Parâmetros!$D$7+Parâmetros!$C$7*Parâmetros!$E$7)</f>
        <v>3.786</v>
      </c>
      <c r="O384" s="146" t="n">
        <f aca="false">F384+2*Parâmetros!$D$8</f>
        <v>11.2</v>
      </c>
      <c r="P384" s="146" t="n">
        <f aca="false">F384+2*Parâmetros!$D$10</f>
        <v>12.92</v>
      </c>
      <c r="Q384" s="146" t="n">
        <f aca="false">G384+H384</f>
        <v>0</v>
      </c>
      <c r="S384" s="149" t="n">
        <f aca="false">S383+'Volumes por intervalo'!C383*(F383+F384)/2</f>
        <v>88068</v>
      </c>
      <c r="T384" s="149" t="n">
        <f aca="false">T383+'Volumes por intervalo'!H383</f>
        <v>4422.50000000002</v>
      </c>
      <c r="U384" s="149" t="n">
        <f aca="false">U383+'Volumes por intervalo'!J383</f>
        <v>14530.9440000001</v>
      </c>
      <c r="V384" s="149" t="n">
        <f aca="false">V383+'Volumes por intervalo'!K383</f>
        <v>19019.3600000001</v>
      </c>
      <c r="W384" s="149" t="n">
        <f aca="false">W383+'Volumes por intervalo'!L383</f>
        <v>30133.4400000001</v>
      </c>
      <c r="X384" s="149" t="n">
        <f aca="false">X383+'Volumes por intervalo'!M383</f>
        <v>89596</v>
      </c>
      <c r="Y384" s="149" t="n">
        <f aca="false">Y383+'Volumes por intervalo'!N383</f>
        <v>89596</v>
      </c>
      <c r="Z384" s="149" t="n">
        <f aca="false">Z383+'Volumes por intervalo'!O383</f>
        <v>102736.799999999</v>
      </c>
      <c r="AA384" s="149" t="n">
        <f aca="false">AA383+'Volumes por intervalo'!P383</f>
        <v>0</v>
      </c>
      <c r="AB384" s="149" t="n">
        <f aca="false">AB383+'Volumes por intervalo'!Q383</f>
        <v>0</v>
      </c>
      <c r="AC384" s="149" t="n">
        <f aca="false">AC383+'Volumes por intervalo'!R383</f>
        <v>0</v>
      </c>
      <c r="AD384" s="149" t="n">
        <f aca="false">AD383+'Volumes por intervalo'!S383</f>
        <v>0</v>
      </c>
    </row>
    <row r="385" customFormat="false" ht="15" hidden="false" customHeight="false" outlineLevel="0" collapsed="false">
      <c r="A385" s="138" t="s">
        <v>2044</v>
      </c>
      <c r="B385" s="146" t="n">
        <v>383</v>
      </c>
      <c r="C385" s="144" t="n">
        <v>7660</v>
      </c>
      <c r="D385" s="138" t="s">
        <v>1574</v>
      </c>
      <c r="E385" s="138" t="s">
        <v>1566</v>
      </c>
      <c r="F385" s="147" t="n">
        <v>11</v>
      </c>
      <c r="G385" s="148" t="n">
        <v>0</v>
      </c>
      <c r="H385" s="148" t="n">
        <v>0</v>
      </c>
      <c r="I385" s="138" t="s">
        <v>1642</v>
      </c>
      <c r="J385" s="138"/>
      <c r="K385" s="146" t="n">
        <f aca="false">Parâmetros!$C$4*(F385+2*Parâmetros!$D$4+Parâmetros!$C$4*Parâmetros!$E$4)</f>
        <v>0.5525</v>
      </c>
      <c r="L385" s="146" t="n">
        <f aca="false">Parâmetros!$C$5*(F385+2*Parâmetros!$D$5+Parâmetros!$C$5*Parâmetros!$E$5)</f>
        <v>1.8176</v>
      </c>
      <c r="M385" s="146" t="n">
        <f aca="false">Parâmetros!$C$6*(F385+2*Parâmetros!$D$6+Parâmetros!$C$6*Parâmetros!$E$6)</f>
        <v>2.384</v>
      </c>
      <c r="N385" s="146" t="n">
        <f aca="false">Parâmetros!$C$7*(F385+2*Parâmetros!$D$7+Parâmetros!$C$7*Parâmetros!$E$7)</f>
        <v>3.786</v>
      </c>
      <c r="O385" s="146" t="n">
        <f aca="false">F385+2*Parâmetros!$D$8</f>
        <v>11.2</v>
      </c>
      <c r="P385" s="146" t="n">
        <f aca="false">F385+2*Parâmetros!$D$10</f>
        <v>12.92</v>
      </c>
      <c r="Q385" s="146" t="n">
        <f aca="false">G385+H385</f>
        <v>0</v>
      </c>
      <c r="S385" s="149" t="n">
        <f aca="false">S384+'Volumes por intervalo'!C384*(F384+F385)/2</f>
        <v>88288</v>
      </c>
      <c r="T385" s="149" t="n">
        <f aca="false">T384+'Volumes por intervalo'!H384</f>
        <v>4433.55000000002</v>
      </c>
      <c r="U385" s="149" t="n">
        <f aca="false">U384+'Volumes por intervalo'!J384</f>
        <v>14567.2960000001</v>
      </c>
      <c r="V385" s="149" t="n">
        <f aca="false">V384+'Volumes por intervalo'!K384</f>
        <v>19067.0400000001</v>
      </c>
      <c r="W385" s="149" t="n">
        <f aca="false">W384+'Volumes por intervalo'!L384</f>
        <v>30209.1600000001</v>
      </c>
      <c r="X385" s="149" t="n">
        <f aca="false">X384+'Volumes por intervalo'!M384</f>
        <v>89820</v>
      </c>
      <c r="Y385" s="149" t="n">
        <f aca="false">Y384+'Volumes por intervalo'!N384</f>
        <v>89820</v>
      </c>
      <c r="Z385" s="149" t="n">
        <f aca="false">Z384+'Volumes por intervalo'!O384</f>
        <v>102995.199999999</v>
      </c>
      <c r="AA385" s="149" t="n">
        <f aca="false">AA384+'Volumes por intervalo'!P384</f>
        <v>0</v>
      </c>
      <c r="AB385" s="149" t="n">
        <f aca="false">AB384+'Volumes por intervalo'!Q384</f>
        <v>0</v>
      </c>
      <c r="AC385" s="149" t="n">
        <f aca="false">AC384+'Volumes por intervalo'!R384</f>
        <v>0</v>
      </c>
      <c r="AD385" s="149" t="n">
        <f aca="false">AD384+'Volumes por intervalo'!S384</f>
        <v>0</v>
      </c>
    </row>
    <row r="386" customFormat="false" ht="15" hidden="false" customHeight="false" outlineLevel="0" collapsed="false">
      <c r="A386" s="138" t="s">
        <v>2045</v>
      </c>
      <c r="B386" s="146" t="n">
        <v>384</v>
      </c>
      <c r="C386" s="144" t="n">
        <v>7680</v>
      </c>
      <c r="D386" s="138" t="s">
        <v>1574</v>
      </c>
      <c r="E386" s="138" t="s">
        <v>1566</v>
      </c>
      <c r="F386" s="147" t="n">
        <v>11</v>
      </c>
      <c r="G386" s="148" t="n">
        <v>0</v>
      </c>
      <c r="H386" s="148" t="n">
        <v>0</v>
      </c>
      <c r="I386" s="138" t="s">
        <v>1642</v>
      </c>
      <c r="J386" s="138"/>
      <c r="K386" s="146" t="n">
        <f aca="false">Parâmetros!$C$4*(F386+2*Parâmetros!$D$4+Parâmetros!$C$4*Parâmetros!$E$4)</f>
        <v>0.5525</v>
      </c>
      <c r="L386" s="146" t="n">
        <f aca="false">Parâmetros!$C$5*(F386+2*Parâmetros!$D$5+Parâmetros!$C$5*Parâmetros!$E$5)</f>
        <v>1.8176</v>
      </c>
      <c r="M386" s="146" t="n">
        <f aca="false">Parâmetros!$C$6*(F386+2*Parâmetros!$D$6+Parâmetros!$C$6*Parâmetros!$E$6)</f>
        <v>2.384</v>
      </c>
      <c r="N386" s="146" t="n">
        <f aca="false">Parâmetros!$C$7*(F386+2*Parâmetros!$D$7+Parâmetros!$C$7*Parâmetros!$E$7)</f>
        <v>3.786</v>
      </c>
      <c r="O386" s="146" t="n">
        <f aca="false">F386+2*Parâmetros!$D$8</f>
        <v>11.2</v>
      </c>
      <c r="P386" s="146" t="n">
        <f aca="false">F386+2*Parâmetros!$D$10</f>
        <v>12.92</v>
      </c>
      <c r="Q386" s="146" t="n">
        <f aca="false">G386+H386</f>
        <v>0</v>
      </c>
      <c r="S386" s="149" t="n">
        <f aca="false">S385+'Volumes por intervalo'!C385*(F385+F386)/2</f>
        <v>88508</v>
      </c>
      <c r="T386" s="149" t="n">
        <f aca="false">T385+'Volumes por intervalo'!H385</f>
        <v>4444.60000000002</v>
      </c>
      <c r="U386" s="149" t="n">
        <f aca="false">U385+'Volumes por intervalo'!J385</f>
        <v>14603.6480000001</v>
      </c>
      <c r="V386" s="149" t="n">
        <f aca="false">V385+'Volumes por intervalo'!K385</f>
        <v>19114.7200000001</v>
      </c>
      <c r="W386" s="149" t="n">
        <f aca="false">W385+'Volumes por intervalo'!L385</f>
        <v>30284.8800000001</v>
      </c>
      <c r="X386" s="149" t="n">
        <f aca="false">X385+'Volumes por intervalo'!M385</f>
        <v>90044</v>
      </c>
      <c r="Y386" s="149" t="n">
        <f aca="false">Y385+'Volumes por intervalo'!N385</f>
        <v>90044</v>
      </c>
      <c r="Z386" s="149" t="n">
        <f aca="false">Z385+'Volumes por intervalo'!O385</f>
        <v>103253.599999999</v>
      </c>
      <c r="AA386" s="149" t="n">
        <f aca="false">AA385+'Volumes por intervalo'!P385</f>
        <v>0</v>
      </c>
      <c r="AB386" s="149" t="n">
        <f aca="false">AB385+'Volumes por intervalo'!Q385</f>
        <v>0</v>
      </c>
      <c r="AC386" s="149" t="n">
        <f aca="false">AC385+'Volumes por intervalo'!R385</f>
        <v>0</v>
      </c>
      <c r="AD386" s="149" t="n">
        <f aca="false">AD385+'Volumes por intervalo'!S385</f>
        <v>0</v>
      </c>
    </row>
    <row r="387" customFormat="false" ht="15" hidden="false" customHeight="false" outlineLevel="0" collapsed="false">
      <c r="A387" s="138" t="s">
        <v>2046</v>
      </c>
      <c r="B387" s="146" t="n">
        <v>385</v>
      </c>
      <c r="C387" s="144" t="n">
        <v>7700</v>
      </c>
      <c r="D387" s="138" t="s">
        <v>1574</v>
      </c>
      <c r="E387" s="138" t="s">
        <v>1566</v>
      </c>
      <c r="F387" s="147" t="n">
        <v>11</v>
      </c>
      <c r="G387" s="148" t="n">
        <v>0</v>
      </c>
      <c r="H387" s="148" t="n">
        <v>0</v>
      </c>
      <c r="I387" s="138" t="s">
        <v>1642</v>
      </c>
      <c r="J387" s="138"/>
      <c r="K387" s="146" t="n">
        <f aca="false">Parâmetros!$C$4*(F387+2*Parâmetros!$D$4+Parâmetros!$C$4*Parâmetros!$E$4)</f>
        <v>0.5525</v>
      </c>
      <c r="L387" s="146" t="n">
        <f aca="false">Parâmetros!$C$5*(F387+2*Parâmetros!$D$5+Parâmetros!$C$5*Parâmetros!$E$5)</f>
        <v>1.8176</v>
      </c>
      <c r="M387" s="146" t="n">
        <f aca="false">Parâmetros!$C$6*(F387+2*Parâmetros!$D$6+Parâmetros!$C$6*Parâmetros!$E$6)</f>
        <v>2.384</v>
      </c>
      <c r="N387" s="146" t="n">
        <f aca="false">Parâmetros!$C$7*(F387+2*Parâmetros!$D$7+Parâmetros!$C$7*Parâmetros!$E$7)</f>
        <v>3.786</v>
      </c>
      <c r="O387" s="146" t="n">
        <f aca="false">F387+2*Parâmetros!$D$8</f>
        <v>11.2</v>
      </c>
      <c r="P387" s="146" t="n">
        <f aca="false">F387+2*Parâmetros!$D$10</f>
        <v>12.92</v>
      </c>
      <c r="Q387" s="146" t="n">
        <f aca="false">G387+H387</f>
        <v>0</v>
      </c>
      <c r="S387" s="149" t="n">
        <f aca="false">S386+'Volumes por intervalo'!C386*(F386+F387)/2</f>
        <v>88728</v>
      </c>
      <c r="T387" s="149" t="n">
        <f aca="false">T386+'Volumes por intervalo'!H386</f>
        <v>4455.65000000002</v>
      </c>
      <c r="U387" s="149" t="n">
        <f aca="false">U386+'Volumes por intervalo'!J386</f>
        <v>14640.0000000001</v>
      </c>
      <c r="V387" s="149" t="n">
        <f aca="false">V386+'Volumes por intervalo'!K386</f>
        <v>19162.4000000001</v>
      </c>
      <c r="W387" s="149" t="n">
        <f aca="false">W386+'Volumes por intervalo'!L386</f>
        <v>30360.6000000001</v>
      </c>
      <c r="X387" s="149" t="n">
        <f aca="false">X386+'Volumes por intervalo'!M386</f>
        <v>90268</v>
      </c>
      <c r="Y387" s="149" t="n">
        <f aca="false">Y386+'Volumes por intervalo'!N386</f>
        <v>90268</v>
      </c>
      <c r="Z387" s="149" t="n">
        <f aca="false">Z386+'Volumes por intervalo'!O386</f>
        <v>103511.999999999</v>
      </c>
      <c r="AA387" s="149" t="n">
        <f aca="false">AA386+'Volumes por intervalo'!P386</f>
        <v>0</v>
      </c>
      <c r="AB387" s="149" t="n">
        <f aca="false">AB386+'Volumes por intervalo'!Q386</f>
        <v>0</v>
      </c>
      <c r="AC387" s="149" t="n">
        <f aca="false">AC386+'Volumes por intervalo'!R386</f>
        <v>0</v>
      </c>
      <c r="AD387" s="149" t="n">
        <f aca="false">AD386+'Volumes por intervalo'!S386</f>
        <v>0</v>
      </c>
    </row>
    <row r="388" customFormat="false" ht="15" hidden="false" customHeight="false" outlineLevel="0" collapsed="false">
      <c r="A388" s="138" t="s">
        <v>2047</v>
      </c>
      <c r="B388" s="146" t="n">
        <v>386</v>
      </c>
      <c r="C388" s="144" t="n">
        <v>7720</v>
      </c>
      <c r="D388" s="138" t="s">
        <v>1574</v>
      </c>
      <c r="E388" s="138" t="s">
        <v>1566</v>
      </c>
      <c r="F388" s="147" t="n">
        <v>11</v>
      </c>
      <c r="G388" s="148" t="n">
        <v>0</v>
      </c>
      <c r="H388" s="148" t="n">
        <v>0</v>
      </c>
      <c r="I388" s="138" t="s">
        <v>1642</v>
      </c>
      <c r="J388" s="138"/>
      <c r="K388" s="146" t="n">
        <f aca="false">Parâmetros!$C$4*(F388+2*Parâmetros!$D$4+Parâmetros!$C$4*Parâmetros!$E$4)</f>
        <v>0.5525</v>
      </c>
      <c r="L388" s="146" t="n">
        <f aca="false">Parâmetros!$C$5*(F388+2*Parâmetros!$D$5+Parâmetros!$C$5*Parâmetros!$E$5)</f>
        <v>1.8176</v>
      </c>
      <c r="M388" s="146" t="n">
        <f aca="false">Parâmetros!$C$6*(F388+2*Parâmetros!$D$6+Parâmetros!$C$6*Parâmetros!$E$6)</f>
        <v>2.384</v>
      </c>
      <c r="N388" s="146" t="n">
        <f aca="false">Parâmetros!$C$7*(F388+2*Parâmetros!$D$7+Parâmetros!$C$7*Parâmetros!$E$7)</f>
        <v>3.786</v>
      </c>
      <c r="O388" s="146" t="n">
        <f aca="false">F388+2*Parâmetros!$D$8</f>
        <v>11.2</v>
      </c>
      <c r="P388" s="146" t="n">
        <f aca="false">F388+2*Parâmetros!$D$10</f>
        <v>12.92</v>
      </c>
      <c r="Q388" s="146" t="n">
        <f aca="false">G388+H388</f>
        <v>0</v>
      </c>
      <c r="S388" s="149" t="n">
        <f aca="false">S387+'Volumes por intervalo'!C387*(F387+F388)/2</f>
        <v>88948</v>
      </c>
      <c r="T388" s="149" t="n">
        <f aca="false">T387+'Volumes por intervalo'!H387</f>
        <v>4466.70000000002</v>
      </c>
      <c r="U388" s="149" t="n">
        <f aca="false">U387+'Volumes por intervalo'!J387</f>
        <v>14676.3520000001</v>
      </c>
      <c r="V388" s="149" t="n">
        <f aca="false">V387+'Volumes por intervalo'!K387</f>
        <v>19210.0800000001</v>
      </c>
      <c r="W388" s="149" t="n">
        <f aca="false">W387+'Volumes por intervalo'!L387</f>
        <v>30436.3200000001</v>
      </c>
      <c r="X388" s="149" t="n">
        <f aca="false">X387+'Volumes por intervalo'!M387</f>
        <v>90492</v>
      </c>
      <c r="Y388" s="149" t="n">
        <f aca="false">Y387+'Volumes por intervalo'!N387</f>
        <v>90492</v>
      </c>
      <c r="Z388" s="149" t="n">
        <f aca="false">Z387+'Volumes por intervalo'!O387</f>
        <v>103770.399999999</v>
      </c>
      <c r="AA388" s="149" t="n">
        <f aca="false">AA387+'Volumes por intervalo'!P387</f>
        <v>0</v>
      </c>
      <c r="AB388" s="149" t="n">
        <f aca="false">AB387+'Volumes por intervalo'!Q387</f>
        <v>0</v>
      </c>
      <c r="AC388" s="149" t="n">
        <f aca="false">AC387+'Volumes por intervalo'!R387</f>
        <v>0</v>
      </c>
      <c r="AD388" s="149" t="n">
        <f aca="false">AD387+'Volumes por intervalo'!S387</f>
        <v>0</v>
      </c>
    </row>
    <row r="389" customFormat="false" ht="15" hidden="false" customHeight="false" outlineLevel="0" collapsed="false">
      <c r="A389" s="138" t="s">
        <v>2048</v>
      </c>
      <c r="B389" s="146" t="n">
        <v>387</v>
      </c>
      <c r="C389" s="144" t="n">
        <v>7740</v>
      </c>
      <c r="D389" s="138" t="s">
        <v>1574</v>
      </c>
      <c r="E389" s="138" t="s">
        <v>1566</v>
      </c>
      <c r="F389" s="147" t="n">
        <v>11</v>
      </c>
      <c r="G389" s="148" t="n">
        <v>0</v>
      </c>
      <c r="H389" s="148" t="n">
        <v>0</v>
      </c>
      <c r="I389" s="138" t="s">
        <v>1642</v>
      </c>
      <c r="J389" s="138"/>
      <c r="K389" s="146" t="n">
        <f aca="false">Parâmetros!$C$4*(F389+2*Parâmetros!$D$4+Parâmetros!$C$4*Parâmetros!$E$4)</f>
        <v>0.5525</v>
      </c>
      <c r="L389" s="146" t="n">
        <f aca="false">Parâmetros!$C$5*(F389+2*Parâmetros!$D$5+Parâmetros!$C$5*Parâmetros!$E$5)</f>
        <v>1.8176</v>
      </c>
      <c r="M389" s="146" t="n">
        <f aca="false">Parâmetros!$C$6*(F389+2*Parâmetros!$D$6+Parâmetros!$C$6*Parâmetros!$E$6)</f>
        <v>2.384</v>
      </c>
      <c r="N389" s="146" t="n">
        <f aca="false">Parâmetros!$C$7*(F389+2*Parâmetros!$D$7+Parâmetros!$C$7*Parâmetros!$E$7)</f>
        <v>3.786</v>
      </c>
      <c r="O389" s="146" t="n">
        <f aca="false">F389+2*Parâmetros!$D$8</f>
        <v>11.2</v>
      </c>
      <c r="P389" s="146" t="n">
        <f aca="false">F389+2*Parâmetros!$D$10</f>
        <v>12.92</v>
      </c>
      <c r="Q389" s="146" t="n">
        <f aca="false">G389+H389</f>
        <v>0</v>
      </c>
      <c r="S389" s="149" t="n">
        <f aca="false">S388+'Volumes por intervalo'!C388*(F388+F389)/2</f>
        <v>89168</v>
      </c>
      <c r="T389" s="149" t="n">
        <f aca="false">T388+'Volumes por intervalo'!H388</f>
        <v>4477.75000000002</v>
      </c>
      <c r="U389" s="149" t="n">
        <f aca="false">U388+'Volumes por intervalo'!J388</f>
        <v>14712.7040000001</v>
      </c>
      <c r="V389" s="149" t="n">
        <f aca="false">V388+'Volumes por intervalo'!K388</f>
        <v>19257.7600000001</v>
      </c>
      <c r="W389" s="149" t="n">
        <f aca="false">W388+'Volumes por intervalo'!L388</f>
        <v>30512.0400000001</v>
      </c>
      <c r="X389" s="149" t="n">
        <f aca="false">X388+'Volumes por intervalo'!M388</f>
        <v>90716</v>
      </c>
      <c r="Y389" s="149" t="n">
        <f aca="false">Y388+'Volumes por intervalo'!N388</f>
        <v>90716</v>
      </c>
      <c r="Z389" s="149" t="n">
        <f aca="false">Z388+'Volumes por intervalo'!O388</f>
        <v>104028.799999999</v>
      </c>
      <c r="AA389" s="149" t="n">
        <f aca="false">AA388+'Volumes por intervalo'!P388</f>
        <v>0</v>
      </c>
      <c r="AB389" s="149" t="n">
        <f aca="false">AB388+'Volumes por intervalo'!Q388</f>
        <v>0</v>
      </c>
      <c r="AC389" s="149" t="n">
        <f aca="false">AC388+'Volumes por intervalo'!R388</f>
        <v>0</v>
      </c>
      <c r="AD389" s="149" t="n">
        <f aca="false">AD388+'Volumes por intervalo'!S388</f>
        <v>0</v>
      </c>
    </row>
    <row r="390" customFormat="false" ht="15" hidden="false" customHeight="false" outlineLevel="0" collapsed="false">
      <c r="A390" s="138" t="s">
        <v>2049</v>
      </c>
      <c r="B390" s="146" t="n">
        <v>388</v>
      </c>
      <c r="C390" s="144" t="n">
        <v>7760</v>
      </c>
      <c r="D390" s="138" t="s">
        <v>1574</v>
      </c>
      <c r="E390" s="138" t="s">
        <v>1566</v>
      </c>
      <c r="F390" s="147" t="n">
        <v>11</v>
      </c>
      <c r="G390" s="148" t="n">
        <v>0</v>
      </c>
      <c r="H390" s="148" t="n">
        <v>0</v>
      </c>
      <c r="I390" s="138" t="s">
        <v>1642</v>
      </c>
      <c r="J390" s="138"/>
      <c r="K390" s="146" t="n">
        <f aca="false">Parâmetros!$C$4*(F390+2*Parâmetros!$D$4+Parâmetros!$C$4*Parâmetros!$E$4)</f>
        <v>0.5525</v>
      </c>
      <c r="L390" s="146" t="n">
        <f aca="false">Parâmetros!$C$5*(F390+2*Parâmetros!$D$5+Parâmetros!$C$5*Parâmetros!$E$5)</f>
        <v>1.8176</v>
      </c>
      <c r="M390" s="146" t="n">
        <f aca="false">Parâmetros!$C$6*(F390+2*Parâmetros!$D$6+Parâmetros!$C$6*Parâmetros!$E$6)</f>
        <v>2.384</v>
      </c>
      <c r="N390" s="146" t="n">
        <f aca="false">Parâmetros!$C$7*(F390+2*Parâmetros!$D$7+Parâmetros!$C$7*Parâmetros!$E$7)</f>
        <v>3.786</v>
      </c>
      <c r="O390" s="146" t="n">
        <f aca="false">F390+2*Parâmetros!$D$8</f>
        <v>11.2</v>
      </c>
      <c r="P390" s="146" t="n">
        <f aca="false">F390+2*Parâmetros!$D$10</f>
        <v>12.92</v>
      </c>
      <c r="Q390" s="146" t="n">
        <f aca="false">G390+H390</f>
        <v>0</v>
      </c>
      <c r="S390" s="149" t="n">
        <f aca="false">S389+'Volumes por intervalo'!C389*(F389+F390)/2</f>
        <v>89388</v>
      </c>
      <c r="T390" s="149" t="n">
        <f aca="false">T389+'Volumes por intervalo'!H389</f>
        <v>4488.80000000002</v>
      </c>
      <c r="U390" s="149" t="n">
        <f aca="false">U389+'Volumes por intervalo'!J389</f>
        <v>14749.0560000001</v>
      </c>
      <c r="V390" s="149" t="n">
        <f aca="false">V389+'Volumes por intervalo'!K389</f>
        <v>19305.4400000001</v>
      </c>
      <c r="W390" s="149" t="n">
        <f aca="false">W389+'Volumes por intervalo'!L389</f>
        <v>30587.7600000001</v>
      </c>
      <c r="X390" s="149" t="n">
        <f aca="false">X389+'Volumes por intervalo'!M389</f>
        <v>90940</v>
      </c>
      <c r="Y390" s="149" t="n">
        <f aca="false">Y389+'Volumes por intervalo'!N389</f>
        <v>90940</v>
      </c>
      <c r="Z390" s="149" t="n">
        <f aca="false">Z389+'Volumes por intervalo'!O389</f>
        <v>104287.199999999</v>
      </c>
      <c r="AA390" s="149" t="n">
        <f aca="false">AA389+'Volumes por intervalo'!P389</f>
        <v>0</v>
      </c>
      <c r="AB390" s="149" t="n">
        <f aca="false">AB389+'Volumes por intervalo'!Q389</f>
        <v>0</v>
      </c>
      <c r="AC390" s="149" t="n">
        <f aca="false">AC389+'Volumes por intervalo'!R389</f>
        <v>0</v>
      </c>
      <c r="AD390" s="149" t="n">
        <f aca="false">AD389+'Volumes por intervalo'!S389</f>
        <v>0</v>
      </c>
    </row>
    <row r="391" customFormat="false" ht="15" hidden="false" customHeight="false" outlineLevel="0" collapsed="false">
      <c r="A391" s="138" t="s">
        <v>2050</v>
      </c>
      <c r="B391" s="146" t="n">
        <v>389</v>
      </c>
      <c r="C391" s="144" t="n">
        <v>7780</v>
      </c>
      <c r="D391" s="138" t="s">
        <v>1574</v>
      </c>
      <c r="E391" s="138" t="s">
        <v>1566</v>
      </c>
      <c r="F391" s="147" t="n">
        <v>11</v>
      </c>
      <c r="G391" s="148" t="n">
        <v>0</v>
      </c>
      <c r="H391" s="148" t="n">
        <v>0</v>
      </c>
      <c r="I391" s="138" t="s">
        <v>1642</v>
      </c>
      <c r="J391" s="138"/>
      <c r="K391" s="146" t="n">
        <f aca="false">Parâmetros!$C$4*(F391+2*Parâmetros!$D$4+Parâmetros!$C$4*Parâmetros!$E$4)</f>
        <v>0.5525</v>
      </c>
      <c r="L391" s="146" t="n">
        <f aca="false">Parâmetros!$C$5*(F391+2*Parâmetros!$D$5+Parâmetros!$C$5*Parâmetros!$E$5)</f>
        <v>1.8176</v>
      </c>
      <c r="M391" s="146" t="n">
        <f aca="false">Parâmetros!$C$6*(F391+2*Parâmetros!$D$6+Parâmetros!$C$6*Parâmetros!$E$6)</f>
        <v>2.384</v>
      </c>
      <c r="N391" s="146" t="n">
        <f aca="false">Parâmetros!$C$7*(F391+2*Parâmetros!$D$7+Parâmetros!$C$7*Parâmetros!$E$7)</f>
        <v>3.786</v>
      </c>
      <c r="O391" s="146" t="n">
        <f aca="false">F391+2*Parâmetros!$D$8</f>
        <v>11.2</v>
      </c>
      <c r="P391" s="146" t="n">
        <f aca="false">F391+2*Parâmetros!$D$10</f>
        <v>12.92</v>
      </c>
      <c r="Q391" s="146" t="n">
        <f aca="false">G391+H391</f>
        <v>0</v>
      </c>
      <c r="S391" s="149" t="n">
        <f aca="false">S390+'Volumes por intervalo'!C390*(F390+F391)/2</f>
        <v>89608</v>
      </c>
      <c r="T391" s="149" t="n">
        <f aca="false">T390+'Volumes por intervalo'!H390</f>
        <v>4499.85000000002</v>
      </c>
      <c r="U391" s="149" t="n">
        <f aca="false">U390+'Volumes por intervalo'!J390</f>
        <v>14785.4080000001</v>
      </c>
      <c r="V391" s="149" t="n">
        <f aca="false">V390+'Volumes por intervalo'!K390</f>
        <v>19353.1200000001</v>
      </c>
      <c r="W391" s="149" t="n">
        <f aca="false">W390+'Volumes por intervalo'!L390</f>
        <v>30663.4800000001</v>
      </c>
      <c r="X391" s="149" t="n">
        <f aca="false">X390+'Volumes por intervalo'!M390</f>
        <v>91164</v>
      </c>
      <c r="Y391" s="149" t="n">
        <f aca="false">Y390+'Volumes por intervalo'!N390</f>
        <v>91164</v>
      </c>
      <c r="Z391" s="149" t="n">
        <f aca="false">Z390+'Volumes por intervalo'!O390</f>
        <v>104545.599999999</v>
      </c>
      <c r="AA391" s="149" t="n">
        <f aca="false">AA390+'Volumes por intervalo'!P390</f>
        <v>0</v>
      </c>
      <c r="AB391" s="149" t="n">
        <f aca="false">AB390+'Volumes por intervalo'!Q390</f>
        <v>0</v>
      </c>
      <c r="AC391" s="149" t="n">
        <f aca="false">AC390+'Volumes por intervalo'!R390</f>
        <v>0</v>
      </c>
      <c r="AD391" s="149" t="n">
        <f aca="false">AD390+'Volumes por intervalo'!S390</f>
        <v>0</v>
      </c>
    </row>
    <row r="392" customFormat="false" ht="15" hidden="false" customHeight="false" outlineLevel="0" collapsed="false">
      <c r="A392" s="138" t="s">
        <v>2051</v>
      </c>
      <c r="B392" s="146" t="n">
        <v>390</v>
      </c>
      <c r="C392" s="144" t="n">
        <v>7800</v>
      </c>
      <c r="D392" s="138" t="s">
        <v>1574</v>
      </c>
      <c r="E392" s="138" t="s">
        <v>1566</v>
      </c>
      <c r="F392" s="147" t="n">
        <v>11</v>
      </c>
      <c r="G392" s="148" t="n">
        <v>0</v>
      </c>
      <c r="H392" s="148" t="n">
        <v>0</v>
      </c>
      <c r="I392" s="138" t="s">
        <v>1642</v>
      </c>
      <c r="J392" s="138"/>
      <c r="K392" s="146" t="n">
        <f aca="false">Parâmetros!$C$4*(F392+2*Parâmetros!$D$4+Parâmetros!$C$4*Parâmetros!$E$4)</f>
        <v>0.5525</v>
      </c>
      <c r="L392" s="146" t="n">
        <f aca="false">Parâmetros!$C$5*(F392+2*Parâmetros!$D$5+Parâmetros!$C$5*Parâmetros!$E$5)</f>
        <v>1.8176</v>
      </c>
      <c r="M392" s="146" t="n">
        <f aca="false">Parâmetros!$C$6*(F392+2*Parâmetros!$D$6+Parâmetros!$C$6*Parâmetros!$E$6)</f>
        <v>2.384</v>
      </c>
      <c r="N392" s="146" t="n">
        <f aca="false">Parâmetros!$C$7*(F392+2*Parâmetros!$D$7+Parâmetros!$C$7*Parâmetros!$E$7)</f>
        <v>3.786</v>
      </c>
      <c r="O392" s="146" t="n">
        <f aca="false">F392+2*Parâmetros!$D$8</f>
        <v>11.2</v>
      </c>
      <c r="P392" s="146" t="n">
        <f aca="false">F392+2*Parâmetros!$D$10</f>
        <v>12.92</v>
      </c>
      <c r="Q392" s="146" t="n">
        <f aca="false">G392+H392</f>
        <v>0</v>
      </c>
      <c r="S392" s="149" t="n">
        <f aca="false">S391+'Volumes por intervalo'!C391*(F391+F392)/2</f>
        <v>89828</v>
      </c>
      <c r="T392" s="149" t="n">
        <f aca="false">T391+'Volumes por intervalo'!H391</f>
        <v>4510.90000000002</v>
      </c>
      <c r="U392" s="149" t="n">
        <f aca="false">U391+'Volumes por intervalo'!J391</f>
        <v>14821.7600000001</v>
      </c>
      <c r="V392" s="149" t="n">
        <f aca="false">V391+'Volumes por intervalo'!K391</f>
        <v>19400.8000000001</v>
      </c>
      <c r="W392" s="149" t="n">
        <f aca="false">W391+'Volumes por intervalo'!L391</f>
        <v>30739.2000000001</v>
      </c>
      <c r="X392" s="149" t="n">
        <f aca="false">X391+'Volumes por intervalo'!M391</f>
        <v>91388</v>
      </c>
      <c r="Y392" s="149" t="n">
        <f aca="false">Y391+'Volumes por intervalo'!N391</f>
        <v>91388</v>
      </c>
      <c r="Z392" s="149" t="n">
        <f aca="false">Z391+'Volumes por intervalo'!O391</f>
        <v>104803.999999999</v>
      </c>
      <c r="AA392" s="149" t="n">
        <f aca="false">AA391+'Volumes por intervalo'!P391</f>
        <v>0</v>
      </c>
      <c r="AB392" s="149" t="n">
        <f aca="false">AB391+'Volumes por intervalo'!Q391</f>
        <v>0</v>
      </c>
      <c r="AC392" s="149" t="n">
        <f aca="false">AC391+'Volumes por intervalo'!R391</f>
        <v>0</v>
      </c>
      <c r="AD392" s="149" t="n">
        <f aca="false">AD391+'Volumes por intervalo'!S391</f>
        <v>0</v>
      </c>
    </row>
    <row r="393" customFormat="false" ht="15" hidden="false" customHeight="false" outlineLevel="0" collapsed="false">
      <c r="A393" s="138" t="s">
        <v>2052</v>
      </c>
      <c r="B393" s="146" t="n">
        <v>391</v>
      </c>
      <c r="C393" s="144" t="n">
        <v>7820</v>
      </c>
      <c r="D393" s="138" t="s">
        <v>1574</v>
      </c>
      <c r="E393" s="138" t="s">
        <v>1566</v>
      </c>
      <c r="F393" s="147" t="n">
        <v>10.9</v>
      </c>
      <c r="G393" s="148" t="n">
        <v>0</v>
      </c>
      <c r="H393" s="148" t="n">
        <v>0</v>
      </c>
      <c r="I393" s="138" t="s">
        <v>1642</v>
      </c>
      <c r="J393" s="138"/>
      <c r="K393" s="146" t="n">
        <f aca="false">Parâmetros!$C$4*(F393+2*Parâmetros!$D$4+Parâmetros!$C$4*Parâmetros!$E$4)</f>
        <v>0.5475</v>
      </c>
      <c r="L393" s="146" t="n">
        <f aca="false">Parâmetros!$C$5*(F393+2*Parâmetros!$D$5+Parâmetros!$C$5*Parâmetros!$E$5)</f>
        <v>1.8016</v>
      </c>
      <c r="M393" s="146" t="n">
        <f aca="false">Parâmetros!$C$6*(F393+2*Parâmetros!$D$6+Parâmetros!$C$6*Parâmetros!$E$6)</f>
        <v>2.364</v>
      </c>
      <c r="N393" s="146" t="n">
        <f aca="false">Parâmetros!$C$7*(F393+2*Parâmetros!$D$7+Parâmetros!$C$7*Parâmetros!$E$7)</f>
        <v>3.756</v>
      </c>
      <c r="O393" s="146" t="n">
        <f aca="false">F393+2*Parâmetros!$D$8</f>
        <v>11.1</v>
      </c>
      <c r="P393" s="146" t="n">
        <f aca="false">F393+2*Parâmetros!$D$10</f>
        <v>12.82</v>
      </c>
      <c r="Q393" s="146" t="n">
        <f aca="false">G393+H393</f>
        <v>0</v>
      </c>
      <c r="S393" s="149" t="n">
        <f aca="false">S392+'Volumes por intervalo'!C392*(F392+F393)/2</f>
        <v>90047</v>
      </c>
      <c r="T393" s="149" t="n">
        <f aca="false">T392+'Volumes por intervalo'!H392</f>
        <v>4521.90000000002</v>
      </c>
      <c r="U393" s="149" t="n">
        <f aca="false">U392+'Volumes por intervalo'!J392</f>
        <v>14857.9520000001</v>
      </c>
      <c r="V393" s="149" t="n">
        <f aca="false">V392+'Volumes por intervalo'!K392</f>
        <v>19448.2800000001</v>
      </c>
      <c r="W393" s="149" t="n">
        <f aca="false">W392+'Volumes por intervalo'!L392</f>
        <v>30814.6200000001</v>
      </c>
      <c r="X393" s="149" t="n">
        <f aca="false">X392+'Volumes por intervalo'!M392</f>
        <v>91611</v>
      </c>
      <c r="Y393" s="149" t="n">
        <f aca="false">Y392+'Volumes por intervalo'!N392</f>
        <v>91611</v>
      </c>
      <c r="Z393" s="149" t="n">
        <f aca="false">Z392+'Volumes por intervalo'!O392</f>
        <v>105061.399999999</v>
      </c>
      <c r="AA393" s="149" t="n">
        <f aca="false">AA392+'Volumes por intervalo'!P392</f>
        <v>0</v>
      </c>
      <c r="AB393" s="149" t="n">
        <f aca="false">AB392+'Volumes por intervalo'!Q392</f>
        <v>0</v>
      </c>
      <c r="AC393" s="149" t="n">
        <f aca="false">AC392+'Volumes por intervalo'!R392</f>
        <v>0</v>
      </c>
      <c r="AD393" s="149" t="n">
        <f aca="false">AD392+'Volumes por intervalo'!S392</f>
        <v>0</v>
      </c>
    </row>
    <row r="394" customFormat="false" ht="15" hidden="false" customHeight="false" outlineLevel="0" collapsed="false">
      <c r="A394" s="138" t="s">
        <v>2053</v>
      </c>
      <c r="B394" s="146" t="n">
        <v>392</v>
      </c>
      <c r="C394" s="144" t="n">
        <v>7840</v>
      </c>
      <c r="D394" s="138" t="s">
        <v>1574</v>
      </c>
      <c r="E394" s="138" t="s">
        <v>1566</v>
      </c>
      <c r="F394" s="147" t="n">
        <v>11.4</v>
      </c>
      <c r="G394" s="148" t="n">
        <v>0</v>
      </c>
      <c r="H394" s="148" t="n">
        <v>0</v>
      </c>
      <c r="I394" s="138" t="s">
        <v>1642</v>
      </c>
      <c r="J394" s="138"/>
      <c r="K394" s="146" t="n">
        <f aca="false">Parâmetros!$C$4*(F394+2*Parâmetros!$D$4+Parâmetros!$C$4*Parâmetros!$E$4)</f>
        <v>0.5725</v>
      </c>
      <c r="L394" s="146" t="n">
        <f aca="false">Parâmetros!$C$5*(F394+2*Parâmetros!$D$5+Parâmetros!$C$5*Parâmetros!$E$5)</f>
        <v>1.8816</v>
      </c>
      <c r="M394" s="146" t="n">
        <f aca="false">Parâmetros!$C$6*(F394+2*Parâmetros!$D$6+Parâmetros!$C$6*Parâmetros!$E$6)</f>
        <v>2.464</v>
      </c>
      <c r="N394" s="146" t="n">
        <f aca="false">Parâmetros!$C$7*(F394+2*Parâmetros!$D$7+Parâmetros!$C$7*Parâmetros!$E$7)</f>
        <v>3.906</v>
      </c>
      <c r="O394" s="146" t="n">
        <f aca="false">F394+2*Parâmetros!$D$8</f>
        <v>11.6</v>
      </c>
      <c r="P394" s="146" t="n">
        <f aca="false">F394+2*Parâmetros!$D$10</f>
        <v>13.32</v>
      </c>
      <c r="Q394" s="146" t="n">
        <f aca="false">G394+H394</f>
        <v>0</v>
      </c>
      <c r="S394" s="149" t="n">
        <f aca="false">S393+'Volumes por intervalo'!C393*(F393+F394)/2</f>
        <v>90270</v>
      </c>
      <c r="T394" s="149" t="n">
        <f aca="false">T393+'Volumes por intervalo'!H393</f>
        <v>4533.10000000002</v>
      </c>
      <c r="U394" s="149" t="n">
        <f aca="false">U393+'Volumes por intervalo'!J393</f>
        <v>14894.7840000001</v>
      </c>
      <c r="V394" s="149" t="n">
        <f aca="false">V393+'Volumes por intervalo'!K393</f>
        <v>19496.5600000001</v>
      </c>
      <c r="W394" s="149" t="n">
        <f aca="false">W393+'Volumes por intervalo'!L393</f>
        <v>30891.2400000001</v>
      </c>
      <c r="X394" s="149" t="n">
        <f aca="false">X393+'Volumes por intervalo'!M393</f>
        <v>91838</v>
      </c>
      <c r="Y394" s="149" t="n">
        <f aca="false">Y393+'Volumes por intervalo'!N393</f>
        <v>91838</v>
      </c>
      <c r="Z394" s="149" t="n">
        <f aca="false">Z393+'Volumes por intervalo'!O393</f>
        <v>105322.799999999</v>
      </c>
      <c r="AA394" s="149" t="n">
        <f aca="false">AA393+'Volumes por intervalo'!P393</f>
        <v>0</v>
      </c>
      <c r="AB394" s="149" t="n">
        <f aca="false">AB393+'Volumes por intervalo'!Q393</f>
        <v>0</v>
      </c>
      <c r="AC394" s="149" t="n">
        <f aca="false">AC393+'Volumes por intervalo'!R393</f>
        <v>0</v>
      </c>
      <c r="AD394" s="149" t="n">
        <f aca="false">AD393+'Volumes por intervalo'!S393</f>
        <v>0</v>
      </c>
    </row>
    <row r="395" customFormat="false" ht="15" hidden="false" customHeight="false" outlineLevel="0" collapsed="false">
      <c r="A395" s="138" t="s">
        <v>1575</v>
      </c>
      <c r="B395" s="146" t="n">
        <v>392.5</v>
      </c>
      <c r="C395" s="144" t="n">
        <v>7850</v>
      </c>
      <c r="D395" s="138" t="s">
        <v>1574</v>
      </c>
      <c r="E395" s="138" t="s">
        <v>1566</v>
      </c>
      <c r="F395" s="147" t="n">
        <v>12</v>
      </c>
      <c r="G395" s="148" t="n">
        <v>0</v>
      </c>
      <c r="H395" s="148" t="n">
        <v>0</v>
      </c>
      <c r="I395" s="138" t="s">
        <v>1856</v>
      </c>
      <c r="J395" s="138" t="s">
        <v>2054</v>
      </c>
      <c r="K395" s="146" t="n">
        <f aca="false">Parâmetros!$C$4*(F395+2*Parâmetros!$D$4+Parâmetros!$C$4*Parâmetros!$E$4)</f>
        <v>0.6025</v>
      </c>
      <c r="L395" s="146" t="n">
        <f aca="false">Parâmetros!$C$5*(F395+2*Parâmetros!$D$5+Parâmetros!$C$5*Parâmetros!$E$5)</f>
        <v>1.9776</v>
      </c>
      <c r="M395" s="146" t="n">
        <f aca="false">Parâmetros!$C$6*(F395+2*Parâmetros!$D$6+Parâmetros!$C$6*Parâmetros!$E$6)</f>
        <v>2.584</v>
      </c>
      <c r="N395" s="146" t="n">
        <f aca="false">Parâmetros!$C$7*(F395+2*Parâmetros!$D$7+Parâmetros!$C$7*Parâmetros!$E$7)</f>
        <v>4.086</v>
      </c>
      <c r="O395" s="146" t="n">
        <f aca="false">F395+2*Parâmetros!$D$8</f>
        <v>12.2</v>
      </c>
      <c r="P395" s="146" t="n">
        <f aca="false">F395+2*Parâmetros!$D$10</f>
        <v>13.92</v>
      </c>
      <c r="Q395" s="146" t="n">
        <f aca="false">G395+H395</f>
        <v>0</v>
      </c>
      <c r="S395" s="149" t="n">
        <f aca="false">S394+'Volumes por intervalo'!C394*(F394+F395)/2</f>
        <v>90387</v>
      </c>
      <c r="T395" s="149" t="n">
        <f aca="false">T394+'Volumes por intervalo'!H394</f>
        <v>4538.97500000002</v>
      </c>
      <c r="U395" s="149" t="n">
        <f aca="false">U394+'Volumes por intervalo'!J394</f>
        <v>14914.0800000001</v>
      </c>
      <c r="V395" s="149" t="n">
        <f aca="false">V394+'Volumes por intervalo'!K394</f>
        <v>19521.8000000001</v>
      </c>
      <c r="W395" s="149" t="n">
        <f aca="false">W394+'Volumes por intervalo'!L394</f>
        <v>30931.2000000001</v>
      </c>
      <c r="X395" s="149" t="n">
        <f aca="false">X394+'Volumes por intervalo'!M394</f>
        <v>91957</v>
      </c>
      <c r="Y395" s="149" t="n">
        <f aca="false">Y394+'Volumes por intervalo'!N394</f>
        <v>91957</v>
      </c>
      <c r="Z395" s="149" t="n">
        <f aca="false">Z394+'Volumes por intervalo'!O394</f>
        <v>105458.999999999</v>
      </c>
      <c r="AA395" s="149" t="n">
        <f aca="false">AA394+'Volumes por intervalo'!P394</f>
        <v>0</v>
      </c>
      <c r="AB395" s="149" t="n">
        <f aca="false">AB394+'Volumes por intervalo'!Q394</f>
        <v>0</v>
      </c>
      <c r="AC395" s="149" t="n">
        <f aca="false">AC394+'Volumes por intervalo'!R394</f>
        <v>0</v>
      </c>
      <c r="AD395" s="149" t="n">
        <f aca="false">AD394+'Volumes por intervalo'!S394</f>
        <v>0</v>
      </c>
    </row>
    <row r="396" customFormat="false" ht="15" hidden="false" customHeight="false" outlineLevel="0" collapsed="false">
      <c r="A396" s="138" t="s">
        <v>2055</v>
      </c>
      <c r="B396" s="146" t="n">
        <v>393</v>
      </c>
      <c r="C396" s="144" t="n">
        <v>7860</v>
      </c>
      <c r="D396" s="138" t="s">
        <v>1576</v>
      </c>
      <c r="E396" s="138" t="s">
        <v>1577</v>
      </c>
      <c r="F396" s="147" t="n">
        <v>12.7</v>
      </c>
      <c r="G396" s="148" t="n">
        <v>0</v>
      </c>
      <c r="H396" s="148" t="n">
        <v>0</v>
      </c>
      <c r="I396" s="138" t="s">
        <v>1642</v>
      </c>
      <c r="J396" s="138"/>
      <c r="K396" s="146" t="n">
        <f aca="false">Parâmetros!$C$4*(F396+2*Parâmetros!$D$4+Parâmetros!$C$4*Parâmetros!$E$4)</f>
        <v>0.6375</v>
      </c>
      <c r="L396" s="146" t="n">
        <f aca="false">Parâmetros!$C$5*(F396+2*Parâmetros!$D$5+Parâmetros!$C$5*Parâmetros!$E$5)</f>
        <v>2.0896</v>
      </c>
      <c r="M396" s="146" t="n">
        <f aca="false">Parâmetros!$C$6*(F396+2*Parâmetros!$D$6+Parâmetros!$C$6*Parâmetros!$E$6)</f>
        <v>2.724</v>
      </c>
      <c r="N396" s="146" t="n">
        <f aca="false">Parâmetros!$C$7*(F396+2*Parâmetros!$D$7+Parâmetros!$C$7*Parâmetros!$E$7)</f>
        <v>4.296</v>
      </c>
      <c r="O396" s="146" t="n">
        <f aca="false">F396+2*Parâmetros!$D$8</f>
        <v>12.9</v>
      </c>
      <c r="P396" s="146" t="n">
        <f aca="false">F396+2*Parâmetros!$D$10</f>
        <v>14.62</v>
      </c>
      <c r="Q396" s="146" t="n">
        <f aca="false">G396+H396</f>
        <v>0</v>
      </c>
      <c r="S396" s="149" t="n">
        <f aca="false">S395+'Volumes por intervalo'!C395*(F395+F396)/2</f>
        <v>90510.5</v>
      </c>
      <c r="T396" s="149" t="n">
        <f aca="false">T395+'Volumes por intervalo'!H395</f>
        <v>4545.17500000002</v>
      </c>
      <c r="U396" s="149" t="n">
        <f aca="false">U395+'Volumes por intervalo'!J395</f>
        <v>14934.4160000001</v>
      </c>
      <c r="V396" s="149" t="n">
        <f aca="false">V395+'Volumes por intervalo'!K395</f>
        <v>19548.3400000001</v>
      </c>
      <c r="W396" s="149" t="n">
        <f aca="false">W395+'Volumes por intervalo'!L395</f>
        <v>30973.1100000001</v>
      </c>
      <c r="X396" s="149" t="n">
        <f aca="false">X395+'Volumes por intervalo'!M395</f>
        <v>92082.5</v>
      </c>
      <c r="Y396" s="149" t="n">
        <f aca="false">Y395+'Volumes por intervalo'!N395</f>
        <v>92082.5</v>
      </c>
      <c r="Z396" s="149" t="n">
        <f aca="false">Z395+'Volumes por intervalo'!O395</f>
        <v>105601.699999999</v>
      </c>
      <c r="AA396" s="149" t="n">
        <f aca="false">AA395+'Volumes por intervalo'!P395</f>
        <v>0</v>
      </c>
      <c r="AB396" s="149" t="n">
        <f aca="false">AB395+'Volumes por intervalo'!Q395</f>
        <v>0</v>
      </c>
      <c r="AC396" s="149" t="n">
        <f aca="false">AC395+'Volumes por intervalo'!R395</f>
        <v>0</v>
      </c>
      <c r="AD396" s="149" t="n">
        <f aca="false">AD395+'Volumes por intervalo'!S395</f>
        <v>0</v>
      </c>
    </row>
    <row r="397" customFormat="false" ht="15" hidden="false" customHeight="false" outlineLevel="0" collapsed="false">
      <c r="A397" s="138" t="s">
        <v>2056</v>
      </c>
      <c r="B397" s="146" t="n">
        <v>394</v>
      </c>
      <c r="C397" s="144" t="n">
        <v>7880</v>
      </c>
      <c r="D397" s="138" t="s">
        <v>1576</v>
      </c>
      <c r="E397" s="138" t="s">
        <v>1577</v>
      </c>
      <c r="F397" s="147" t="n">
        <v>13.5</v>
      </c>
      <c r="G397" s="148" t="n">
        <v>0</v>
      </c>
      <c r="H397" s="148" t="n">
        <v>0</v>
      </c>
      <c r="I397" s="138" t="s">
        <v>1642</v>
      </c>
      <c r="J397" s="138"/>
      <c r="K397" s="146" t="n">
        <f aca="false">Parâmetros!$C$4*(F397+2*Parâmetros!$D$4+Parâmetros!$C$4*Parâmetros!$E$4)</f>
        <v>0.6775</v>
      </c>
      <c r="L397" s="146" t="n">
        <f aca="false">Parâmetros!$C$5*(F397+2*Parâmetros!$D$5+Parâmetros!$C$5*Parâmetros!$E$5)</f>
        <v>2.2176</v>
      </c>
      <c r="M397" s="146" t="n">
        <f aca="false">Parâmetros!$C$6*(F397+2*Parâmetros!$D$6+Parâmetros!$C$6*Parâmetros!$E$6)</f>
        <v>2.884</v>
      </c>
      <c r="N397" s="146" t="n">
        <f aca="false">Parâmetros!$C$7*(F397+2*Parâmetros!$D$7+Parâmetros!$C$7*Parâmetros!$E$7)</f>
        <v>4.536</v>
      </c>
      <c r="O397" s="146" t="n">
        <f aca="false">F397+2*Parâmetros!$D$8</f>
        <v>13.7</v>
      </c>
      <c r="P397" s="146" t="n">
        <f aca="false">F397+2*Parâmetros!$D$10</f>
        <v>15.42</v>
      </c>
      <c r="Q397" s="146" t="n">
        <f aca="false">G397+H397</f>
        <v>0</v>
      </c>
      <c r="S397" s="149" t="n">
        <f aca="false">S396+'Volumes por intervalo'!C396*(F396+F397)/2</f>
        <v>90772.5</v>
      </c>
      <c r="T397" s="149" t="n">
        <f aca="false">T396+'Volumes por intervalo'!H396</f>
        <v>4558.32500000002</v>
      </c>
      <c r="U397" s="149" t="n">
        <f aca="false">U396+'Volumes por intervalo'!J396</f>
        <v>14977.4880000001</v>
      </c>
      <c r="V397" s="149" t="n">
        <f aca="false">V396+'Volumes por intervalo'!K396</f>
        <v>19604.4200000001</v>
      </c>
      <c r="W397" s="149" t="n">
        <f aca="false">W396+'Volumes por intervalo'!L396</f>
        <v>31061.4300000001</v>
      </c>
      <c r="X397" s="149" t="n">
        <f aca="false">X396+'Volumes por intervalo'!M396</f>
        <v>92348.5</v>
      </c>
      <c r="Y397" s="149" t="n">
        <f aca="false">Y396+'Volumes por intervalo'!N396</f>
        <v>92348.5</v>
      </c>
      <c r="Z397" s="149" t="n">
        <f aca="false">Z396+'Volumes por intervalo'!O396</f>
        <v>105902.099999999</v>
      </c>
      <c r="AA397" s="149" t="n">
        <f aca="false">AA396+'Volumes por intervalo'!P396</f>
        <v>0</v>
      </c>
      <c r="AB397" s="149" t="n">
        <f aca="false">AB396+'Volumes por intervalo'!Q396</f>
        <v>0</v>
      </c>
      <c r="AC397" s="149" t="n">
        <f aca="false">AC396+'Volumes por intervalo'!R396</f>
        <v>0</v>
      </c>
      <c r="AD397" s="149" t="n">
        <f aca="false">AD396+'Volumes por intervalo'!S396</f>
        <v>0</v>
      </c>
    </row>
    <row r="398" customFormat="false" ht="15" hidden="false" customHeight="false" outlineLevel="0" collapsed="false">
      <c r="A398" s="138" t="s">
        <v>2057</v>
      </c>
      <c r="B398" s="146" t="n">
        <v>395</v>
      </c>
      <c r="C398" s="144" t="n">
        <v>7900</v>
      </c>
      <c r="D398" s="138" t="s">
        <v>1576</v>
      </c>
      <c r="E398" s="138" t="s">
        <v>1577</v>
      </c>
      <c r="F398" s="147" t="n">
        <v>13.5</v>
      </c>
      <c r="G398" s="148" t="n">
        <v>0</v>
      </c>
      <c r="H398" s="148" t="n">
        <v>0</v>
      </c>
      <c r="I398" s="138" t="s">
        <v>1642</v>
      </c>
      <c r="J398" s="138"/>
      <c r="K398" s="146" t="n">
        <f aca="false">Parâmetros!$C$4*(F398+2*Parâmetros!$D$4+Parâmetros!$C$4*Parâmetros!$E$4)</f>
        <v>0.6775</v>
      </c>
      <c r="L398" s="146" t="n">
        <f aca="false">Parâmetros!$C$5*(F398+2*Parâmetros!$D$5+Parâmetros!$C$5*Parâmetros!$E$5)</f>
        <v>2.2176</v>
      </c>
      <c r="M398" s="146" t="n">
        <f aca="false">Parâmetros!$C$6*(F398+2*Parâmetros!$D$6+Parâmetros!$C$6*Parâmetros!$E$6)</f>
        <v>2.884</v>
      </c>
      <c r="N398" s="146" t="n">
        <f aca="false">Parâmetros!$C$7*(F398+2*Parâmetros!$D$7+Parâmetros!$C$7*Parâmetros!$E$7)</f>
        <v>4.536</v>
      </c>
      <c r="O398" s="146" t="n">
        <f aca="false">F398+2*Parâmetros!$D$8</f>
        <v>13.7</v>
      </c>
      <c r="P398" s="146" t="n">
        <f aca="false">F398+2*Parâmetros!$D$10</f>
        <v>15.42</v>
      </c>
      <c r="Q398" s="146" t="n">
        <f aca="false">G398+H398</f>
        <v>0</v>
      </c>
      <c r="S398" s="149" t="n">
        <f aca="false">S397+'Volumes por intervalo'!C397*(F397+F398)/2</f>
        <v>91042.5</v>
      </c>
      <c r="T398" s="149" t="n">
        <f aca="false">T397+'Volumes por intervalo'!H397</f>
        <v>4571.87500000002</v>
      </c>
      <c r="U398" s="149" t="n">
        <f aca="false">U397+'Volumes por intervalo'!J397</f>
        <v>15021.8400000001</v>
      </c>
      <c r="V398" s="149" t="n">
        <f aca="false">V397+'Volumes por intervalo'!K397</f>
        <v>19662.1000000001</v>
      </c>
      <c r="W398" s="149" t="n">
        <f aca="false">W397+'Volumes por intervalo'!L397</f>
        <v>31152.1500000001</v>
      </c>
      <c r="X398" s="149" t="n">
        <f aca="false">X397+'Volumes por intervalo'!M397</f>
        <v>92622.5</v>
      </c>
      <c r="Y398" s="149" t="n">
        <f aca="false">Y397+'Volumes por intervalo'!N397</f>
        <v>92622.5</v>
      </c>
      <c r="Z398" s="149" t="n">
        <f aca="false">Z397+'Volumes por intervalo'!O397</f>
        <v>106210.499999999</v>
      </c>
      <c r="AA398" s="149" t="n">
        <f aca="false">AA397+'Volumes por intervalo'!P397</f>
        <v>0</v>
      </c>
      <c r="AB398" s="149" t="n">
        <f aca="false">AB397+'Volumes por intervalo'!Q397</f>
        <v>0</v>
      </c>
      <c r="AC398" s="149" t="n">
        <f aca="false">AC397+'Volumes por intervalo'!R397</f>
        <v>0</v>
      </c>
      <c r="AD398" s="149" t="n">
        <f aca="false">AD397+'Volumes por intervalo'!S397</f>
        <v>0</v>
      </c>
    </row>
    <row r="399" customFormat="false" ht="15" hidden="false" customHeight="false" outlineLevel="0" collapsed="false">
      <c r="A399" s="138" t="s">
        <v>2058</v>
      </c>
      <c r="B399" s="146" t="n">
        <v>396</v>
      </c>
      <c r="C399" s="144" t="n">
        <v>7920</v>
      </c>
      <c r="D399" s="138" t="s">
        <v>1576</v>
      </c>
      <c r="E399" s="138" t="s">
        <v>1577</v>
      </c>
      <c r="F399" s="147" t="n">
        <v>13.5</v>
      </c>
      <c r="G399" s="148" t="n">
        <v>0</v>
      </c>
      <c r="H399" s="148" t="n">
        <v>0</v>
      </c>
      <c r="I399" s="138" t="s">
        <v>1642</v>
      </c>
      <c r="J399" s="138"/>
      <c r="K399" s="146" t="n">
        <f aca="false">Parâmetros!$C$4*(F399+2*Parâmetros!$D$4+Parâmetros!$C$4*Parâmetros!$E$4)</f>
        <v>0.6775</v>
      </c>
      <c r="L399" s="146" t="n">
        <f aca="false">Parâmetros!$C$5*(F399+2*Parâmetros!$D$5+Parâmetros!$C$5*Parâmetros!$E$5)</f>
        <v>2.2176</v>
      </c>
      <c r="M399" s="146" t="n">
        <f aca="false">Parâmetros!$C$6*(F399+2*Parâmetros!$D$6+Parâmetros!$C$6*Parâmetros!$E$6)</f>
        <v>2.884</v>
      </c>
      <c r="N399" s="146" t="n">
        <f aca="false">Parâmetros!$C$7*(F399+2*Parâmetros!$D$7+Parâmetros!$C$7*Parâmetros!$E$7)</f>
        <v>4.536</v>
      </c>
      <c r="O399" s="146" t="n">
        <f aca="false">F399+2*Parâmetros!$D$8</f>
        <v>13.7</v>
      </c>
      <c r="P399" s="146" t="n">
        <f aca="false">F399+2*Parâmetros!$D$10</f>
        <v>15.42</v>
      </c>
      <c r="Q399" s="146" t="n">
        <f aca="false">G399+H399</f>
        <v>0</v>
      </c>
      <c r="S399" s="149" t="n">
        <f aca="false">S398+'Volumes por intervalo'!C398*(F398+F399)/2</f>
        <v>91312.5</v>
      </c>
      <c r="T399" s="149" t="n">
        <f aca="false">T398+'Volumes por intervalo'!H398</f>
        <v>4585.42500000002</v>
      </c>
      <c r="U399" s="149" t="n">
        <f aca="false">U398+'Volumes por intervalo'!J398</f>
        <v>15066.1920000001</v>
      </c>
      <c r="V399" s="149" t="n">
        <f aca="false">V398+'Volumes por intervalo'!K398</f>
        <v>19719.7800000001</v>
      </c>
      <c r="W399" s="149" t="n">
        <f aca="false">W398+'Volumes por intervalo'!L398</f>
        <v>31242.8700000001</v>
      </c>
      <c r="X399" s="149" t="n">
        <f aca="false">X398+'Volumes por intervalo'!M398</f>
        <v>92896.5</v>
      </c>
      <c r="Y399" s="149" t="n">
        <f aca="false">Y398+'Volumes por intervalo'!N398</f>
        <v>92896.5</v>
      </c>
      <c r="Z399" s="149" t="n">
        <f aca="false">Z398+'Volumes por intervalo'!O398</f>
        <v>106518.899999999</v>
      </c>
      <c r="AA399" s="149" t="n">
        <f aca="false">AA398+'Volumes por intervalo'!P398</f>
        <v>0</v>
      </c>
      <c r="AB399" s="149" t="n">
        <f aca="false">AB398+'Volumes por intervalo'!Q398</f>
        <v>0</v>
      </c>
      <c r="AC399" s="149" t="n">
        <f aca="false">AC398+'Volumes por intervalo'!R398</f>
        <v>0</v>
      </c>
      <c r="AD399" s="149" t="n">
        <f aca="false">AD398+'Volumes por intervalo'!S398</f>
        <v>0</v>
      </c>
    </row>
    <row r="400" customFormat="false" ht="15" hidden="false" customHeight="false" outlineLevel="0" collapsed="false">
      <c r="A400" s="138" t="s">
        <v>2059</v>
      </c>
      <c r="B400" s="146" t="n">
        <v>397</v>
      </c>
      <c r="C400" s="144" t="n">
        <v>7940</v>
      </c>
      <c r="D400" s="138" t="s">
        <v>1576</v>
      </c>
      <c r="E400" s="138" t="s">
        <v>1577</v>
      </c>
      <c r="F400" s="147" t="n">
        <v>14</v>
      </c>
      <c r="G400" s="148" t="n">
        <v>0</v>
      </c>
      <c r="H400" s="148" t="n">
        <v>0</v>
      </c>
      <c r="I400" s="138" t="s">
        <v>1642</v>
      </c>
      <c r="J400" s="138" t="s">
        <v>2060</v>
      </c>
      <c r="K400" s="146" t="n">
        <f aca="false">Parâmetros!$C$4*(F400+2*Parâmetros!$D$4+Parâmetros!$C$4*Parâmetros!$E$4)</f>
        <v>0.7025</v>
      </c>
      <c r="L400" s="146" t="n">
        <f aca="false">Parâmetros!$C$5*(F400+2*Parâmetros!$D$5+Parâmetros!$C$5*Parâmetros!$E$5)</f>
        <v>2.2976</v>
      </c>
      <c r="M400" s="146" t="n">
        <f aca="false">Parâmetros!$C$6*(F400+2*Parâmetros!$D$6+Parâmetros!$C$6*Parâmetros!$E$6)</f>
        <v>2.984</v>
      </c>
      <c r="N400" s="146" t="n">
        <f aca="false">Parâmetros!$C$7*(F400+2*Parâmetros!$D$7+Parâmetros!$C$7*Parâmetros!$E$7)</f>
        <v>4.686</v>
      </c>
      <c r="O400" s="146" t="n">
        <f aca="false">F400+2*Parâmetros!$D$8</f>
        <v>14.2</v>
      </c>
      <c r="P400" s="146" t="n">
        <f aca="false">F400+2*Parâmetros!$D$10</f>
        <v>15.92</v>
      </c>
      <c r="Q400" s="146" t="n">
        <f aca="false">G400+H400</f>
        <v>0</v>
      </c>
      <c r="S400" s="149" t="n">
        <f aca="false">S399+'Volumes por intervalo'!C399*(F399+F400)/2</f>
        <v>91587.5</v>
      </c>
      <c r="T400" s="149" t="n">
        <f aca="false">T399+'Volumes por intervalo'!H399</f>
        <v>4599.22500000002</v>
      </c>
      <c r="U400" s="149" t="n">
        <f aca="false">U399+'Volumes por intervalo'!J399</f>
        <v>15111.3440000001</v>
      </c>
      <c r="V400" s="149" t="n">
        <f aca="false">V399+'Volumes por intervalo'!K399</f>
        <v>19778.4600000001</v>
      </c>
      <c r="W400" s="149" t="n">
        <f aca="false">W399+'Volumes por intervalo'!L399</f>
        <v>31335.0900000001</v>
      </c>
      <c r="X400" s="149" t="n">
        <f aca="false">X399+'Volumes por intervalo'!M399</f>
        <v>93175.5</v>
      </c>
      <c r="Y400" s="149" t="n">
        <f aca="false">Y399+'Volumes por intervalo'!N399</f>
        <v>93175.5</v>
      </c>
      <c r="Z400" s="149" t="n">
        <f aca="false">Z399+'Volumes por intervalo'!O399</f>
        <v>106832.299999999</v>
      </c>
      <c r="AA400" s="149" t="n">
        <f aca="false">AA399+'Volumes por intervalo'!P399</f>
        <v>0</v>
      </c>
      <c r="AB400" s="149" t="n">
        <f aca="false">AB399+'Volumes por intervalo'!Q399</f>
        <v>0</v>
      </c>
      <c r="AC400" s="149" t="n">
        <f aca="false">AC399+'Volumes por intervalo'!R399</f>
        <v>0</v>
      </c>
      <c r="AD400" s="149" t="n">
        <f aca="false">AD399+'Volumes por intervalo'!S399</f>
        <v>0</v>
      </c>
    </row>
    <row r="401" customFormat="false" ht="15" hidden="false" customHeight="false" outlineLevel="0" collapsed="false">
      <c r="A401" s="138" t="s">
        <v>2061</v>
      </c>
      <c r="B401" s="146" t="n">
        <v>398</v>
      </c>
      <c r="C401" s="144" t="n">
        <v>7960</v>
      </c>
      <c r="D401" s="138" t="s">
        <v>1576</v>
      </c>
      <c r="E401" s="138" t="s">
        <v>1577</v>
      </c>
      <c r="F401" s="147" t="n">
        <v>13.8</v>
      </c>
      <c r="G401" s="148" t="n">
        <v>0</v>
      </c>
      <c r="H401" s="148" t="n">
        <v>0</v>
      </c>
      <c r="I401" s="138" t="s">
        <v>1856</v>
      </c>
      <c r="J401" s="138" t="s">
        <v>2062</v>
      </c>
      <c r="K401" s="146" t="n">
        <f aca="false">Parâmetros!$C$4*(F401+2*Parâmetros!$D$4+Parâmetros!$C$4*Parâmetros!$E$4)</f>
        <v>0.6925</v>
      </c>
      <c r="L401" s="146" t="n">
        <f aca="false">Parâmetros!$C$5*(F401+2*Parâmetros!$D$5+Parâmetros!$C$5*Parâmetros!$E$5)</f>
        <v>2.2656</v>
      </c>
      <c r="M401" s="146" t="n">
        <f aca="false">Parâmetros!$C$6*(F401+2*Parâmetros!$D$6+Parâmetros!$C$6*Parâmetros!$E$6)</f>
        <v>2.944</v>
      </c>
      <c r="N401" s="146" t="n">
        <f aca="false">Parâmetros!$C$7*(F401+2*Parâmetros!$D$7+Parâmetros!$C$7*Parâmetros!$E$7)</f>
        <v>4.626</v>
      </c>
      <c r="O401" s="146" t="n">
        <f aca="false">F401+2*Parâmetros!$D$8</f>
        <v>14</v>
      </c>
      <c r="P401" s="146" t="n">
        <f aca="false">F401+2*Parâmetros!$D$10</f>
        <v>15.72</v>
      </c>
      <c r="Q401" s="146" t="n">
        <f aca="false">G401+H401</f>
        <v>0</v>
      </c>
      <c r="S401" s="149" t="n">
        <f aca="false">S400+'Volumes por intervalo'!C400*(F400+F401)/2</f>
        <v>91865.5</v>
      </c>
      <c r="T401" s="149" t="n">
        <f aca="false">T400+'Volumes por intervalo'!H400</f>
        <v>4613.17500000002</v>
      </c>
      <c r="U401" s="149" t="n">
        <f aca="false">U400+'Volumes por intervalo'!J400</f>
        <v>15156.9760000001</v>
      </c>
      <c r="V401" s="149" t="n">
        <f aca="false">V400+'Volumes por intervalo'!K400</f>
        <v>19837.7400000001</v>
      </c>
      <c r="W401" s="149" t="n">
        <f aca="false">W400+'Volumes por intervalo'!L400</f>
        <v>31428.2100000001</v>
      </c>
      <c r="X401" s="149" t="n">
        <f aca="false">X400+'Volumes por intervalo'!M400</f>
        <v>93457.5</v>
      </c>
      <c r="Y401" s="149" t="n">
        <f aca="false">Y400+'Volumes por intervalo'!N400</f>
        <v>93457.5</v>
      </c>
      <c r="Z401" s="149" t="n">
        <f aca="false">Z400+'Volumes por intervalo'!O400</f>
        <v>107148.699999999</v>
      </c>
      <c r="AA401" s="149" t="n">
        <f aca="false">AA400+'Volumes por intervalo'!P400</f>
        <v>0</v>
      </c>
      <c r="AB401" s="149" t="n">
        <f aca="false">AB400+'Volumes por intervalo'!Q400</f>
        <v>0</v>
      </c>
      <c r="AC401" s="149" t="n">
        <f aca="false">AC400+'Volumes por intervalo'!R400</f>
        <v>0</v>
      </c>
      <c r="AD401" s="149" t="n">
        <f aca="false">AD400+'Volumes por intervalo'!S400</f>
        <v>0</v>
      </c>
    </row>
    <row r="402" customFormat="false" ht="15" hidden="false" customHeight="false" outlineLevel="0" collapsed="false">
      <c r="A402" s="138" t="s">
        <v>2063</v>
      </c>
      <c r="B402" s="146" t="n">
        <v>399</v>
      </c>
      <c r="C402" s="144" t="n">
        <v>7980</v>
      </c>
      <c r="D402" s="138" t="s">
        <v>1576</v>
      </c>
      <c r="E402" s="138" t="s">
        <v>1577</v>
      </c>
      <c r="F402" s="147" t="n">
        <v>13.5</v>
      </c>
      <c r="G402" s="148" t="n">
        <v>0</v>
      </c>
      <c r="H402" s="148" t="n">
        <v>0</v>
      </c>
      <c r="I402" s="138" t="s">
        <v>1642</v>
      </c>
      <c r="J402" s="138"/>
      <c r="K402" s="146" t="n">
        <f aca="false">Parâmetros!$C$4*(F402+2*Parâmetros!$D$4+Parâmetros!$C$4*Parâmetros!$E$4)</f>
        <v>0.6775</v>
      </c>
      <c r="L402" s="146" t="n">
        <f aca="false">Parâmetros!$C$5*(F402+2*Parâmetros!$D$5+Parâmetros!$C$5*Parâmetros!$E$5)</f>
        <v>2.2176</v>
      </c>
      <c r="M402" s="146" t="n">
        <f aca="false">Parâmetros!$C$6*(F402+2*Parâmetros!$D$6+Parâmetros!$C$6*Parâmetros!$E$6)</f>
        <v>2.884</v>
      </c>
      <c r="N402" s="146" t="n">
        <f aca="false">Parâmetros!$C$7*(F402+2*Parâmetros!$D$7+Parâmetros!$C$7*Parâmetros!$E$7)</f>
        <v>4.536</v>
      </c>
      <c r="O402" s="146" t="n">
        <f aca="false">F402+2*Parâmetros!$D$8</f>
        <v>13.7</v>
      </c>
      <c r="P402" s="146" t="n">
        <f aca="false">F402+2*Parâmetros!$D$10</f>
        <v>15.42</v>
      </c>
      <c r="Q402" s="146" t="n">
        <f aca="false">G402+H402</f>
        <v>0</v>
      </c>
      <c r="S402" s="149" t="n">
        <f aca="false">S401+'Volumes por intervalo'!C401*(F401+F402)/2</f>
        <v>92138.5</v>
      </c>
      <c r="T402" s="149" t="n">
        <f aca="false">T401+'Volumes por intervalo'!H401</f>
        <v>4626.87500000002</v>
      </c>
      <c r="U402" s="149" t="n">
        <f aca="false">U401+'Volumes por intervalo'!J401</f>
        <v>15201.8080000001</v>
      </c>
      <c r="V402" s="149" t="n">
        <f aca="false">V401+'Volumes por intervalo'!K401</f>
        <v>19896.0200000001</v>
      </c>
      <c r="W402" s="149" t="n">
        <f aca="false">W401+'Volumes por intervalo'!L401</f>
        <v>31519.8300000001</v>
      </c>
      <c r="X402" s="149" t="n">
        <f aca="false">X401+'Volumes por intervalo'!M401</f>
        <v>93734.5</v>
      </c>
      <c r="Y402" s="149" t="n">
        <f aca="false">Y401+'Volumes por intervalo'!N401</f>
        <v>93734.5</v>
      </c>
      <c r="Z402" s="149" t="n">
        <f aca="false">Z401+'Volumes por intervalo'!O401</f>
        <v>107460.099999999</v>
      </c>
      <c r="AA402" s="149" t="n">
        <f aca="false">AA401+'Volumes por intervalo'!P401</f>
        <v>0</v>
      </c>
      <c r="AB402" s="149" t="n">
        <f aca="false">AB401+'Volumes por intervalo'!Q401</f>
        <v>0</v>
      </c>
      <c r="AC402" s="149" t="n">
        <f aca="false">AC401+'Volumes por intervalo'!R401</f>
        <v>0</v>
      </c>
      <c r="AD402" s="149" t="n">
        <f aca="false">AD401+'Volumes por intervalo'!S401</f>
        <v>0</v>
      </c>
    </row>
    <row r="403" customFormat="false" ht="15" hidden="false" customHeight="false" outlineLevel="0" collapsed="false">
      <c r="A403" s="138" t="s">
        <v>2064</v>
      </c>
      <c r="B403" s="146" t="n">
        <v>400</v>
      </c>
      <c r="C403" s="144" t="n">
        <v>8000</v>
      </c>
      <c r="D403" s="138" t="s">
        <v>1576</v>
      </c>
      <c r="E403" s="138" t="s">
        <v>1577</v>
      </c>
      <c r="F403" s="147" t="n">
        <v>12.8</v>
      </c>
      <c r="G403" s="148" t="n">
        <v>0</v>
      </c>
      <c r="H403" s="148" t="n">
        <v>0</v>
      </c>
      <c r="I403" s="138" t="s">
        <v>1642</v>
      </c>
      <c r="J403" s="138"/>
      <c r="K403" s="146" t="n">
        <f aca="false">Parâmetros!$C$4*(F403+2*Parâmetros!$D$4+Parâmetros!$C$4*Parâmetros!$E$4)</f>
        <v>0.6425</v>
      </c>
      <c r="L403" s="146" t="n">
        <f aca="false">Parâmetros!$C$5*(F403+2*Parâmetros!$D$5+Parâmetros!$C$5*Parâmetros!$E$5)</f>
        <v>2.1056</v>
      </c>
      <c r="M403" s="146" t="n">
        <f aca="false">Parâmetros!$C$6*(F403+2*Parâmetros!$D$6+Parâmetros!$C$6*Parâmetros!$E$6)</f>
        <v>2.744</v>
      </c>
      <c r="N403" s="146" t="n">
        <f aca="false">Parâmetros!$C$7*(F403+2*Parâmetros!$D$7+Parâmetros!$C$7*Parâmetros!$E$7)</f>
        <v>4.326</v>
      </c>
      <c r="O403" s="146" t="n">
        <f aca="false">F403+2*Parâmetros!$D$8</f>
        <v>13</v>
      </c>
      <c r="P403" s="146" t="n">
        <f aca="false">F403+2*Parâmetros!$D$10</f>
        <v>14.72</v>
      </c>
      <c r="Q403" s="146" t="n">
        <f aca="false">G403+H403</f>
        <v>0</v>
      </c>
      <c r="S403" s="149" t="n">
        <f aca="false">S402+'Volumes por intervalo'!C402*(F402+F403)/2</f>
        <v>92401.5</v>
      </c>
      <c r="T403" s="149" t="n">
        <f aca="false">T402+'Volumes por intervalo'!H402</f>
        <v>4640.07500000002</v>
      </c>
      <c r="U403" s="149" t="n">
        <f aca="false">U402+'Volumes por intervalo'!J402</f>
        <v>15245.0400000001</v>
      </c>
      <c r="V403" s="149" t="n">
        <f aca="false">V402+'Volumes por intervalo'!K402</f>
        <v>19952.3000000001</v>
      </c>
      <c r="W403" s="149" t="n">
        <f aca="false">W402+'Volumes por intervalo'!L402</f>
        <v>31608.4500000001</v>
      </c>
      <c r="X403" s="149" t="n">
        <f aca="false">X402+'Volumes por intervalo'!M402</f>
        <v>94001.5</v>
      </c>
      <c r="Y403" s="149" t="n">
        <f aca="false">Y402+'Volumes por intervalo'!N402</f>
        <v>94001.5</v>
      </c>
      <c r="Z403" s="149" t="n">
        <f aca="false">Z402+'Volumes por intervalo'!O402</f>
        <v>107761.499999999</v>
      </c>
      <c r="AA403" s="149" t="n">
        <f aca="false">AA402+'Volumes por intervalo'!P402</f>
        <v>0</v>
      </c>
      <c r="AB403" s="149" t="n">
        <f aca="false">AB402+'Volumes por intervalo'!Q402</f>
        <v>0</v>
      </c>
      <c r="AC403" s="149" t="n">
        <f aca="false">AC402+'Volumes por intervalo'!R402</f>
        <v>0</v>
      </c>
      <c r="AD403" s="149" t="n">
        <f aca="false">AD402+'Volumes por intervalo'!S402</f>
        <v>0</v>
      </c>
    </row>
    <row r="404" customFormat="false" ht="15" hidden="false" customHeight="false" outlineLevel="0" collapsed="false">
      <c r="A404" s="138" t="s">
        <v>2065</v>
      </c>
      <c r="B404" s="146" t="n">
        <v>401</v>
      </c>
      <c r="C404" s="144" t="n">
        <v>8020</v>
      </c>
      <c r="D404" s="138" t="s">
        <v>1576</v>
      </c>
      <c r="E404" s="138" t="s">
        <v>1577</v>
      </c>
      <c r="F404" s="147" t="n">
        <v>11.5</v>
      </c>
      <c r="G404" s="148" t="n">
        <v>0</v>
      </c>
      <c r="H404" s="148" t="n">
        <v>0</v>
      </c>
      <c r="I404" s="138" t="s">
        <v>1642</v>
      </c>
      <c r="J404" s="138"/>
      <c r="K404" s="146" t="n">
        <f aca="false">Parâmetros!$C$4*(F404+2*Parâmetros!$D$4+Parâmetros!$C$4*Parâmetros!$E$4)</f>
        <v>0.5775</v>
      </c>
      <c r="L404" s="146" t="n">
        <f aca="false">Parâmetros!$C$5*(F404+2*Parâmetros!$D$5+Parâmetros!$C$5*Parâmetros!$E$5)</f>
        <v>1.8976</v>
      </c>
      <c r="M404" s="146" t="n">
        <f aca="false">Parâmetros!$C$6*(F404+2*Parâmetros!$D$6+Parâmetros!$C$6*Parâmetros!$E$6)</f>
        <v>2.484</v>
      </c>
      <c r="N404" s="146" t="n">
        <f aca="false">Parâmetros!$C$7*(F404+2*Parâmetros!$D$7+Parâmetros!$C$7*Parâmetros!$E$7)</f>
        <v>3.936</v>
      </c>
      <c r="O404" s="146" t="n">
        <f aca="false">F404+2*Parâmetros!$D$8</f>
        <v>11.7</v>
      </c>
      <c r="P404" s="146" t="n">
        <f aca="false">F404+2*Parâmetros!$D$10</f>
        <v>13.42</v>
      </c>
      <c r="Q404" s="146" t="n">
        <f aca="false">G404+H404</f>
        <v>0</v>
      </c>
      <c r="S404" s="149" t="n">
        <f aca="false">S403+'Volumes por intervalo'!C403*(F403+F404)/2</f>
        <v>92644.5</v>
      </c>
      <c r="T404" s="149" t="n">
        <f aca="false">T403+'Volumes por intervalo'!H403</f>
        <v>4652.27500000002</v>
      </c>
      <c r="U404" s="149" t="n">
        <f aca="false">U403+'Volumes por intervalo'!J403</f>
        <v>15285.0720000001</v>
      </c>
      <c r="V404" s="149" t="n">
        <f aca="false">V403+'Volumes por intervalo'!K403</f>
        <v>20004.5800000001</v>
      </c>
      <c r="W404" s="149" t="n">
        <f aca="false">W403+'Volumes por intervalo'!L403</f>
        <v>31691.0700000001</v>
      </c>
      <c r="X404" s="149" t="n">
        <f aca="false">X403+'Volumes por intervalo'!M403</f>
        <v>94248.5</v>
      </c>
      <c r="Y404" s="149" t="n">
        <f aca="false">Y403+'Volumes por intervalo'!N403</f>
        <v>94248.5</v>
      </c>
      <c r="Z404" s="149" t="n">
        <f aca="false">Z403+'Volumes por intervalo'!O403</f>
        <v>108042.899999999</v>
      </c>
      <c r="AA404" s="149" t="n">
        <f aca="false">AA403+'Volumes por intervalo'!P403</f>
        <v>0</v>
      </c>
      <c r="AB404" s="149" t="n">
        <f aca="false">AB403+'Volumes por intervalo'!Q403</f>
        <v>0</v>
      </c>
      <c r="AC404" s="149" t="n">
        <f aca="false">AC403+'Volumes por intervalo'!R403</f>
        <v>0</v>
      </c>
      <c r="AD404" s="149" t="n">
        <f aca="false">AD403+'Volumes por intervalo'!S403</f>
        <v>0</v>
      </c>
    </row>
    <row r="405" customFormat="false" ht="15" hidden="false" customHeight="false" outlineLevel="0" collapsed="false">
      <c r="A405" s="138" t="s">
        <v>1579</v>
      </c>
      <c r="B405" s="146" t="n">
        <v>402</v>
      </c>
      <c r="C405" s="144" t="n">
        <v>8040</v>
      </c>
      <c r="D405" s="138" t="s">
        <v>1576</v>
      </c>
      <c r="E405" s="138" t="s">
        <v>1577</v>
      </c>
      <c r="F405" s="147" t="n">
        <v>11</v>
      </c>
      <c r="G405" s="148" t="n">
        <v>0</v>
      </c>
      <c r="H405" s="148" t="n">
        <v>0</v>
      </c>
      <c r="I405" s="138" t="s">
        <v>1642</v>
      </c>
      <c r="J405" s="138"/>
      <c r="K405" s="146" t="n">
        <f aca="false">Parâmetros!$C$4*(F405+2*Parâmetros!$D$4+Parâmetros!$C$4*Parâmetros!$E$4)</f>
        <v>0.5525</v>
      </c>
      <c r="L405" s="146" t="n">
        <f aca="false">Parâmetros!$C$5*(F405+2*Parâmetros!$D$5+Parâmetros!$C$5*Parâmetros!$E$5)</f>
        <v>1.8176</v>
      </c>
      <c r="M405" s="146" t="n">
        <f aca="false">Parâmetros!$C$6*(F405+2*Parâmetros!$D$6+Parâmetros!$C$6*Parâmetros!$E$6)</f>
        <v>2.384</v>
      </c>
      <c r="N405" s="146" t="n">
        <f aca="false">Parâmetros!$C$7*(F405+2*Parâmetros!$D$7+Parâmetros!$C$7*Parâmetros!$E$7)</f>
        <v>3.786</v>
      </c>
      <c r="O405" s="146" t="n">
        <f aca="false">F405+2*Parâmetros!$D$8</f>
        <v>11.2</v>
      </c>
      <c r="P405" s="146" t="n">
        <f aca="false">F405+2*Parâmetros!$D$10</f>
        <v>12.92</v>
      </c>
      <c r="Q405" s="146" t="n">
        <f aca="false">G405+H405</f>
        <v>0</v>
      </c>
      <c r="S405" s="149" t="n">
        <f aca="false">S404+'Volumes por intervalo'!C404*(F404+F405)/2</f>
        <v>92869.5</v>
      </c>
      <c r="T405" s="149" t="n">
        <f aca="false">T404+'Volumes por intervalo'!H404</f>
        <v>4663.57500000002</v>
      </c>
      <c r="U405" s="149" t="n">
        <f aca="false">U404+'Volumes por intervalo'!J404</f>
        <v>15322.2240000001</v>
      </c>
      <c r="V405" s="149" t="n">
        <f aca="false">V404+'Volumes por intervalo'!K404</f>
        <v>20053.2600000001</v>
      </c>
      <c r="W405" s="149" t="n">
        <f aca="false">W404+'Volumes por intervalo'!L404</f>
        <v>31768.2900000001</v>
      </c>
      <c r="X405" s="149" t="n">
        <f aca="false">X404+'Volumes por intervalo'!M404</f>
        <v>94477.5</v>
      </c>
      <c r="Y405" s="149" t="n">
        <f aca="false">Y404+'Volumes por intervalo'!N404</f>
        <v>94477.5</v>
      </c>
      <c r="Z405" s="149" t="n">
        <f aca="false">Z404+'Volumes por intervalo'!O404</f>
        <v>108306.299999999</v>
      </c>
      <c r="AA405" s="149" t="n">
        <f aca="false">AA404+'Volumes por intervalo'!P404</f>
        <v>0</v>
      </c>
      <c r="AB405" s="149" t="n">
        <f aca="false">AB404+'Volumes por intervalo'!Q404</f>
        <v>0</v>
      </c>
      <c r="AC405" s="149" t="n">
        <f aca="false">AC404+'Volumes por intervalo'!R404</f>
        <v>0</v>
      </c>
      <c r="AD405" s="149" t="n">
        <f aca="false">AD404+'Volumes por intervalo'!S404</f>
        <v>0</v>
      </c>
    </row>
    <row r="406" customFormat="false" ht="15" hidden="false" customHeight="false" outlineLevel="0" collapsed="false">
      <c r="A406" s="138" t="s">
        <v>2066</v>
      </c>
      <c r="B406" s="146" t="n">
        <v>403</v>
      </c>
      <c r="C406" s="144" t="n">
        <v>8060</v>
      </c>
      <c r="D406" s="138" t="s">
        <v>1580</v>
      </c>
      <c r="E406" s="138" t="s">
        <v>1566</v>
      </c>
      <c r="F406" s="147" t="n">
        <v>11</v>
      </c>
      <c r="G406" s="148" t="n">
        <v>0</v>
      </c>
      <c r="H406" s="148" t="n">
        <v>0</v>
      </c>
      <c r="I406" s="138" t="s">
        <v>1642</v>
      </c>
      <c r="J406" s="138"/>
      <c r="K406" s="146" t="n">
        <f aca="false">Parâmetros!$C$4*(F406+2*Parâmetros!$D$4+Parâmetros!$C$4*Parâmetros!$E$4)</f>
        <v>0.5525</v>
      </c>
      <c r="L406" s="146" t="n">
        <f aca="false">Parâmetros!$C$5*(F406+2*Parâmetros!$D$5+Parâmetros!$C$5*Parâmetros!$E$5)</f>
        <v>1.8176</v>
      </c>
      <c r="M406" s="146" t="n">
        <f aca="false">Parâmetros!$C$6*(F406+2*Parâmetros!$D$6+Parâmetros!$C$6*Parâmetros!$E$6)</f>
        <v>2.384</v>
      </c>
      <c r="N406" s="146" t="n">
        <f aca="false">Parâmetros!$C$7*(F406+2*Parâmetros!$D$7+Parâmetros!$C$7*Parâmetros!$E$7)</f>
        <v>3.786</v>
      </c>
      <c r="O406" s="146" t="n">
        <f aca="false">F406+2*Parâmetros!$D$8</f>
        <v>11.2</v>
      </c>
      <c r="P406" s="146" t="n">
        <f aca="false">F406+2*Parâmetros!$D$10</f>
        <v>12.92</v>
      </c>
      <c r="Q406" s="146" t="n">
        <f aca="false">G406+H406</f>
        <v>0</v>
      </c>
      <c r="S406" s="149" t="n">
        <f aca="false">S405+'Volumes por intervalo'!C405*(F405+F406)/2</f>
        <v>93089.5</v>
      </c>
      <c r="T406" s="149" t="n">
        <f aca="false">T405+'Volumes por intervalo'!H405</f>
        <v>4674.62500000002</v>
      </c>
      <c r="U406" s="149" t="n">
        <f aca="false">U405+'Volumes por intervalo'!J405</f>
        <v>15358.5760000001</v>
      </c>
      <c r="V406" s="149" t="n">
        <f aca="false">V405+'Volumes por intervalo'!K405</f>
        <v>20100.9400000001</v>
      </c>
      <c r="W406" s="149" t="n">
        <f aca="false">W405+'Volumes por intervalo'!L405</f>
        <v>31844.0100000001</v>
      </c>
      <c r="X406" s="149" t="n">
        <f aca="false">X405+'Volumes por intervalo'!M405</f>
        <v>94701.5</v>
      </c>
      <c r="Y406" s="149" t="n">
        <f aca="false">Y405+'Volumes por intervalo'!N405</f>
        <v>94701.5</v>
      </c>
      <c r="Z406" s="149" t="n">
        <f aca="false">Z405+'Volumes por intervalo'!O405</f>
        <v>108564.699999999</v>
      </c>
      <c r="AA406" s="149" t="n">
        <f aca="false">AA405+'Volumes por intervalo'!P405</f>
        <v>0</v>
      </c>
      <c r="AB406" s="149" t="n">
        <f aca="false">AB405+'Volumes por intervalo'!Q405</f>
        <v>0</v>
      </c>
      <c r="AC406" s="149" t="n">
        <f aca="false">AC405+'Volumes por intervalo'!R405</f>
        <v>0</v>
      </c>
      <c r="AD406" s="149" t="n">
        <f aca="false">AD405+'Volumes por intervalo'!S405</f>
        <v>0</v>
      </c>
    </row>
    <row r="407" customFormat="false" ht="15" hidden="false" customHeight="false" outlineLevel="0" collapsed="false">
      <c r="A407" s="138" t="s">
        <v>2067</v>
      </c>
      <c r="B407" s="146" t="n">
        <v>404</v>
      </c>
      <c r="C407" s="144" t="n">
        <v>8080</v>
      </c>
      <c r="D407" s="138" t="s">
        <v>1580</v>
      </c>
      <c r="E407" s="138" t="s">
        <v>1566</v>
      </c>
      <c r="F407" s="147" t="n">
        <v>11</v>
      </c>
      <c r="G407" s="148" t="n">
        <v>0</v>
      </c>
      <c r="H407" s="148" t="n">
        <v>0</v>
      </c>
      <c r="I407" s="138" t="s">
        <v>1642</v>
      </c>
      <c r="J407" s="138"/>
      <c r="K407" s="146" t="n">
        <f aca="false">Parâmetros!$C$4*(F407+2*Parâmetros!$D$4+Parâmetros!$C$4*Parâmetros!$E$4)</f>
        <v>0.5525</v>
      </c>
      <c r="L407" s="146" t="n">
        <f aca="false">Parâmetros!$C$5*(F407+2*Parâmetros!$D$5+Parâmetros!$C$5*Parâmetros!$E$5)</f>
        <v>1.8176</v>
      </c>
      <c r="M407" s="146" t="n">
        <f aca="false">Parâmetros!$C$6*(F407+2*Parâmetros!$D$6+Parâmetros!$C$6*Parâmetros!$E$6)</f>
        <v>2.384</v>
      </c>
      <c r="N407" s="146" t="n">
        <f aca="false">Parâmetros!$C$7*(F407+2*Parâmetros!$D$7+Parâmetros!$C$7*Parâmetros!$E$7)</f>
        <v>3.786</v>
      </c>
      <c r="O407" s="146" t="n">
        <f aca="false">F407+2*Parâmetros!$D$8</f>
        <v>11.2</v>
      </c>
      <c r="P407" s="146" t="n">
        <f aca="false">F407+2*Parâmetros!$D$10</f>
        <v>12.92</v>
      </c>
      <c r="Q407" s="146" t="n">
        <f aca="false">G407+H407</f>
        <v>0</v>
      </c>
      <c r="S407" s="149" t="n">
        <f aca="false">S406+'Volumes por intervalo'!C406*(F406+F407)/2</f>
        <v>93309.5</v>
      </c>
      <c r="T407" s="149" t="n">
        <f aca="false">T406+'Volumes por intervalo'!H406</f>
        <v>4685.67500000002</v>
      </c>
      <c r="U407" s="149" t="n">
        <f aca="false">U406+'Volumes por intervalo'!J406</f>
        <v>15394.9280000001</v>
      </c>
      <c r="V407" s="149" t="n">
        <f aca="false">V406+'Volumes por intervalo'!K406</f>
        <v>20148.6200000001</v>
      </c>
      <c r="W407" s="149" t="n">
        <f aca="false">W406+'Volumes por intervalo'!L406</f>
        <v>31919.7300000001</v>
      </c>
      <c r="X407" s="149" t="n">
        <f aca="false">X406+'Volumes por intervalo'!M406</f>
        <v>94925.5</v>
      </c>
      <c r="Y407" s="149" t="n">
        <f aca="false">Y406+'Volumes por intervalo'!N406</f>
        <v>94925.5</v>
      </c>
      <c r="Z407" s="149" t="n">
        <f aca="false">Z406+'Volumes por intervalo'!O406</f>
        <v>108823.099999999</v>
      </c>
      <c r="AA407" s="149" t="n">
        <f aca="false">AA406+'Volumes por intervalo'!P406</f>
        <v>0</v>
      </c>
      <c r="AB407" s="149" t="n">
        <f aca="false">AB406+'Volumes por intervalo'!Q406</f>
        <v>0</v>
      </c>
      <c r="AC407" s="149" t="n">
        <f aca="false">AC406+'Volumes por intervalo'!R406</f>
        <v>0</v>
      </c>
      <c r="AD407" s="149" t="n">
        <f aca="false">AD406+'Volumes por intervalo'!S406</f>
        <v>0</v>
      </c>
    </row>
    <row r="408" customFormat="false" ht="15" hidden="false" customHeight="false" outlineLevel="0" collapsed="false">
      <c r="A408" s="138" t="s">
        <v>2068</v>
      </c>
      <c r="B408" s="146" t="n">
        <v>405</v>
      </c>
      <c r="C408" s="144" t="n">
        <v>8100</v>
      </c>
      <c r="D408" s="138" t="s">
        <v>1580</v>
      </c>
      <c r="E408" s="138" t="s">
        <v>1566</v>
      </c>
      <c r="F408" s="147" t="n">
        <v>11</v>
      </c>
      <c r="G408" s="148" t="n">
        <v>0</v>
      </c>
      <c r="H408" s="148" t="n">
        <v>0</v>
      </c>
      <c r="I408" s="138" t="s">
        <v>1642</v>
      </c>
      <c r="J408" s="138"/>
      <c r="K408" s="146" t="n">
        <f aca="false">Parâmetros!$C$4*(F408+2*Parâmetros!$D$4+Parâmetros!$C$4*Parâmetros!$E$4)</f>
        <v>0.5525</v>
      </c>
      <c r="L408" s="146" t="n">
        <f aca="false">Parâmetros!$C$5*(F408+2*Parâmetros!$D$5+Parâmetros!$C$5*Parâmetros!$E$5)</f>
        <v>1.8176</v>
      </c>
      <c r="M408" s="146" t="n">
        <f aca="false">Parâmetros!$C$6*(F408+2*Parâmetros!$D$6+Parâmetros!$C$6*Parâmetros!$E$6)</f>
        <v>2.384</v>
      </c>
      <c r="N408" s="146" t="n">
        <f aca="false">Parâmetros!$C$7*(F408+2*Parâmetros!$D$7+Parâmetros!$C$7*Parâmetros!$E$7)</f>
        <v>3.786</v>
      </c>
      <c r="O408" s="146" t="n">
        <f aca="false">F408+2*Parâmetros!$D$8</f>
        <v>11.2</v>
      </c>
      <c r="P408" s="146" t="n">
        <f aca="false">F408+2*Parâmetros!$D$10</f>
        <v>12.92</v>
      </c>
      <c r="Q408" s="146" t="n">
        <f aca="false">G408+H408</f>
        <v>0</v>
      </c>
      <c r="S408" s="149" t="n">
        <f aca="false">S407+'Volumes por intervalo'!C407*(F407+F408)/2</f>
        <v>93529.5</v>
      </c>
      <c r="T408" s="149" t="n">
        <f aca="false">T407+'Volumes por intervalo'!H407</f>
        <v>4696.72500000002</v>
      </c>
      <c r="U408" s="149" t="n">
        <f aca="false">U407+'Volumes por intervalo'!J407</f>
        <v>15431.2800000001</v>
      </c>
      <c r="V408" s="149" t="n">
        <f aca="false">V407+'Volumes por intervalo'!K407</f>
        <v>20196.3000000001</v>
      </c>
      <c r="W408" s="149" t="n">
        <f aca="false">W407+'Volumes por intervalo'!L407</f>
        <v>31995.4500000001</v>
      </c>
      <c r="X408" s="149" t="n">
        <f aca="false">X407+'Volumes por intervalo'!M407</f>
        <v>95149.5</v>
      </c>
      <c r="Y408" s="149" t="n">
        <f aca="false">Y407+'Volumes por intervalo'!N407</f>
        <v>95149.5</v>
      </c>
      <c r="Z408" s="149" t="n">
        <f aca="false">Z407+'Volumes por intervalo'!O407</f>
        <v>109081.499999999</v>
      </c>
      <c r="AA408" s="149" t="n">
        <f aca="false">AA407+'Volumes por intervalo'!P407</f>
        <v>0</v>
      </c>
      <c r="AB408" s="149" t="n">
        <f aca="false">AB407+'Volumes por intervalo'!Q407</f>
        <v>0</v>
      </c>
      <c r="AC408" s="149" t="n">
        <f aca="false">AC407+'Volumes por intervalo'!R407</f>
        <v>0</v>
      </c>
      <c r="AD408" s="149" t="n">
        <f aca="false">AD407+'Volumes por intervalo'!S407</f>
        <v>0</v>
      </c>
    </row>
    <row r="409" customFormat="false" ht="15" hidden="false" customHeight="false" outlineLevel="0" collapsed="false">
      <c r="A409" s="138" t="s">
        <v>2069</v>
      </c>
      <c r="B409" s="146" t="n">
        <v>406</v>
      </c>
      <c r="C409" s="144" t="n">
        <v>8120</v>
      </c>
      <c r="D409" s="138" t="s">
        <v>1580</v>
      </c>
      <c r="E409" s="138" t="s">
        <v>1566</v>
      </c>
      <c r="F409" s="147" t="n">
        <v>11</v>
      </c>
      <c r="G409" s="148" t="n">
        <v>0</v>
      </c>
      <c r="H409" s="148" t="n">
        <v>0</v>
      </c>
      <c r="I409" s="138" t="s">
        <v>1642</v>
      </c>
      <c r="J409" s="138"/>
      <c r="K409" s="146" t="n">
        <f aca="false">Parâmetros!$C$4*(F409+2*Parâmetros!$D$4+Parâmetros!$C$4*Parâmetros!$E$4)</f>
        <v>0.5525</v>
      </c>
      <c r="L409" s="146" t="n">
        <f aca="false">Parâmetros!$C$5*(F409+2*Parâmetros!$D$5+Parâmetros!$C$5*Parâmetros!$E$5)</f>
        <v>1.8176</v>
      </c>
      <c r="M409" s="146" t="n">
        <f aca="false">Parâmetros!$C$6*(F409+2*Parâmetros!$D$6+Parâmetros!$C$6*Parâmetros!$E$6)</f>
        <v>2.384</v>
      </c>
      <c r="N409" s="146" t="n">
        <f aca="false">Parâmetros!$C$7*(F409+2*Parâmetros!$D$7+Parâmetros!$C$7*Parâmetros!$E$7)</f>
        <v>3.786</v>
      </c>
      <c r="O409" s="146" t="n">
        <f aca="false">F409+2*Parâmetros!$D$8</f>
        <v>11.2</v>
      </c>
      <c r="P409" s="146" t="n">
        <f aca="false">F409+2*Parâmetros!$D$10</f>
        <v>12.92</v>
      </c>
      <c r="Q409" s="146" t="n">
        <f aca="false">G409+H409</f>
        <v>0</v>
      </c>
      <c r="S409" s="149" t="n">
        <f aca="false">S408+'Volumes por intervalo'!C408*(F408+F409)/2</f>
        <v>93749.5</v>
      </c>
      <c r="T409" s="149" t="n">
        <f aca="false">T408+'Volumes por intervalo'!H408</f>
        <v>4707.77500000002</v>
      </c>
      <c r="U409" s="149" t="n">
        <f aca="false">U408+'Volumes por intervalo'!J408</f>
        <v>15467.6320000001</v>
      </c>
      <c r="V409" s="149" t="n">
        <f aca="false">V408+'Volumes por intervalo'!K408</f>
        <v>20243.9800000001</v>
      </c>
      <c r="W409" s="149" t="n">
        <f aca="false">W408+'Volumes por intervalo'!L408</f>
        <v>32071.1700000001</v>
      </c>
      <c r="X409" s="149" t="n">
        <f aca="false">X408+'Volumes por intervalo'!M408</f>
        <v>95373.5</v>
      </c>
      <c r="Y409" s="149" t="n">
        <f aca="false">Y408+'Volumes por intervalo'!N408</f>
        <v>95373.5</v>
      </c>
      <c r="Z409" s="149" t="n">
        <f aca="false">Z408+'Volumes por intervalo'!O408</f>
        <v>109339.899999999</v>
      </c>
      <c r="AA409" s="149" t="n">
        <f aca="false">AA408+'Volumes por intervalo'!P408</f>
        <v>0</v>
      </c>
      <c r="AB409" s="149" t="n">
        <f aca="false">AB408+'Volumes por intervalo'!Q408</f>
        <v>0</v>
      </c>
      <c r="AC409" s="149" t="n">
        <f aca="false">AC408+'Volumes por intervalo'!R408</f>
        <v>0</v>
      </c>
      <c r="AD409" s="149" t="n">
        <f aca="false">AD408+'Volumes por intervalo'!S408</f>
        <v>0</v>
      </c>
    </row>
    <row r="410" customFormat="false" ht="15" hidden="false" customHeight="false" outlineLevel="0" collapsed="false">
      <c r="A410" s="138" t="s">
        <v>2070</v>
      </c>
      <c r="B410" s="146" t="n">
        <v>407</v>
      </c>
      <c r="C410" s="144" t="n">
        <v>8140</v>
      </c>
      <c r="D410" s="138" t="s">
        <v>1580</v>
      </c>
      <c r="E410" s="138" t="s">
        <v>1566</v>
      </c>
      <c r="F410" s="147" t="n">
        <v>11</v>
      </c>
      <c r="G410" s="148" t="n">
        <v>0</v>
      </c>
      <c r="H410" s="148" t="n">
        <v>0</v>
      </c>
      <c r="I410" s="138" t="s">
        <v>1642</v>
      </c>
      <c r="J410" s="138"/>
      <c r="K410" s="146" t="n">
        <f aca="false">Parâmetros!$C$4*(F410+2*Parâmetros!$D$4+Parâmetros!$C$4*Parâmetros!$E$4)</f>
        <v>0.5525</v>
      </c>
      <c r="L410" s="146" t="n">
        <f aca="false">Parâmetros!$C$5*(F410+2*Parâmetros!$D$5+Parâmetros!$C$5*Parâmetros!$E$5)</f>
        <v>1.8176</v>
      </c>
      <c r="M410" s="146" t="n">
        <f aca="false">Parâmetros!$C$6*(F410+2*Parâmetros!$D$6+Parâmetros!$C$6*Parâmetros!$E$6)</f>
        <v>2.384</v>
      </c>
      <c r="N410" s="146" t="n">
        <f aca="false">Parâmetros!$C$7*(F410+2*Parâmetros!$D$7+Parâmetros!$C$7*Parâmetros!$E$7)</f>
        <v>3.786</v>
      </c>
      <c r="O410" s="146" t="n">
        <f aca="false">F410+2*Parâmetros!$D$8</f>
        <v>11.2</v>
      </c>
      <c r="P410" s="146" t="n">
        <f aca="false">F410+2*Parâmetros!$D$10</f>
        <v>12.92</v>
      </c>
      <c r="Q410" s="146" t="n">
        <f aca="false">G410+H410</f>
        <v>0</v>
      </c>
      <c r="S410" s="149" t="n">
        <f aca="false">S409+'Volumes por intervalo'!C409*(F409+F410)/2</f>
        <v>93969.5</v>
      </c>
      <c r="T410" s="149" t="n">
        <f aca="false">T409+'Volumes por intervalo'!H409</f>
        <v>4718.82500000002</v>
      </c>
      <c r="U410" s="149" t="n">
        <f aca="false">U409+'Volumes por intervalo'!J409</f>
        <v>15503.9840000001</v>
      </c>
      <c r="V410" s="149" t="n">
        <f aca="false">V409+'Volumes por intervalo'!K409</f>
        <v>20291.6600000001</v>
      </c>
      <c r="W410" s="149" t="n">
        <f aca="false">W409+'Volumes por intervalo'!L409</f>
        <v>32146.8900000001</v>
      </c>
      <c r="X410" s="149" t="n">
        <f aca="false">X409+'Volumes por intervalo'!M409</f>
        <v>95597.5</v>
      </c>
      <c r="Y410" s="149" t="n">
        <f aca="false">Y409+'Volumes por intervalo'!N409</f>
        <v>95597.5</v>
      </c>
      <c r="Z410" s="149" t="n">
        <f aca="false">Z409+'Volumes por intervalo'!O409</f>
        <v>109598.299999999</v>
      </c>
      <c r="AA410" s="149" t="n">
        <f aca="false">AA409+'Volumes por intervalo'!P409</f>
        <v>0</v>
      </c>
      <c r="AB410" s="149" t="n">
        <f aca="false">AB409+'Volumes por intervalo'!Q409</f>
        <v>0</v>
      </c>
      <c r="AC410" s="149" t="n">
        <f aca="false">AC409+'Volumes por intervalo'!R409</f>
        <v>0</v>
      </c>
      <c r="AD410" s="149" t="n">
        <f aca="false">AD409+'Volumes por intervalo'!S409</f>
        <v>0</v>
      </c>
    </row>
    <row r="411" customFormat="false" ht="15" hidden="false" customHeight="false" outlineLevel="0" collapsed="false">
      <c r="A411" s="138" t="s">
        <v>2071</v>
      </c>
      <c r="B411" s="146" t="n">
        <v>408</v>
      </c>
      <c r="C411" s="144" t="n">
        <v>8160</v>
      </c>
      <c r="D411" s="138" t="s">
        <v>1580</v>
      </c>
      <c r="E411" s="138" t="s">
        <v>1566</v>
      </c>
      <c r="F411" s="147" t="n">
        <v>11</v>
      </c>
      <c r="G411" s="148" t="n">
        <v>0</v>
      </c>
      <c r="H411" s="148" t="n">
        <v>0</v>
      </c>
      <c r="I411" s="138" t="s">
        <v>1642</v>
      </c>
      <c r="J411" s="138"/>
      <c r="K411" s="146" t="n">
        <f aca="false">Parâmetros!$C$4*(F411+2*Parâmetros!$D$4+Parâmetros!$C$4*Parâmetros!$E$4)</f>
        <v>0.5525</v>
      </c>
      <c r="L411" s="146" t="n">
        <f aca="false">Parâmetros!$C$5*(F411+2*Parâmetros!$D$5+Parâmetros!$C$5*Parâmetros!$E$5)</f>
        <v>1.8176</v>
      </c>
      <c r="M411" s="146" t="n">
        <f aca="false">Parâmetros!$C$6*(F411+2*Parâmetros!$D$6+Parâmetros!$C$6*Parâmetros!$E$6)</f>
        <v>2.384</v>
      </c>
      <c r="N411" s="146" t="n">
        <f aca="false">Parâmetros!$C$7*(F411+2*Parâmetros!$D$7+Parâmetros!$C$7*Parâmetros!$E$7)</f>
        <v>3.786</v>
      </c>
      <c r="O411" s="146" t="n">
        <f aca="false">F411+2*Parâmetros!$D$8</f>
        <v>11.2</v>
      </c>
      <c r="P411" s="146" t="n">
        <f aca="false">F411+2*Parâmetros!$D$10</f>
        <v>12.92</v>
      </c>
      <c r="Q411" s="146" t="n">
        <f aca="false">G411+H411</f>
        <v>0</v>
      </c>
      <c r="S411" s="149" t="n">
        <f aca="false">S410+'Volumes por intervalo'!C410*(F410+F411)/2</f>
        <v>94189.5</v>
      </c>
      <c r="T411" s="149" t="n">
        <f aca="false">T410+'Volumes por intervalo'!H410</f>
        <v>4729.87500000002</v>
      </c>
      <c r="U411" s="149" t="n">
        <f aca="false">U410+'Volumes por intervalo'!J410</f>
        <v>15540.3360000001</v>
      </c>
      <c r="V411" s="149" t="n">
        <f aca="false">V410+'Volumes por intervalo'!K410</f>
        <v>20339.3400000001</v>
      </c>
      <c r="W411" s="149" t="n">
        <f aca="false">W410+'Volumes por intervalo'!L410</f>
        <v>32222.6100000001</v>
      </c>
      <c r="X411" s="149" t="n">
        <f aca="false">X410+'Volumes por intervalo'!M410</f>
        <v>95821.5</v>
      </c>
      <c r="Y411" s="149" t="n">
        <f aca="false">Y410+'Volumes por intervalo'!N410</f>
        <v>95821.5</v>
      </c>
      <c r="Z411" s="149" t="n">
        <f aca="false">Z410+'Volumes por intervalo'!O410</f>
        <v>109856.699999999</v>
      </c>
      <c r="AA411" s="149" t="n">
        <f aca="false">AA410+'Volumes por intervalo'!P410</f>
        <v>0</v>
      </c>
      <c r="AB411" s="149" t="n">
        <f aca="false">AB410+'Volumes por intervalo'!Q410</f>
        <v>0</v>
      </c>
      <c r="AC411" s="149" t="n">
        <f aca="false">AC410+'Volumes por intervalo'!R410</f>
        <v>0</v>
      </c>
      <c r="AD411" s="149" t="n">
        <f aca="false">AD410+'Volumes por intervalo'!S410</f>
        <v>0</v>
      </c>
    </row>
    <row r="412" customFormat="false" ht="15" hidden="false" customHeight="false" outlineLevel="0" collapsed="false">
      <c r="A412" s="138" t="s">
        <v>2072</v>
      </c>
      <c r="B412" s="146" t="n">
        <v>409</v>
      </c>
      <c r="C412" s="144" t="n">
        <v>8180</v>
      </c>
      <c r="D412" s="138" t="s">
        <v>1580</v>
      </c>
      <c r="E412" s="138" t="s">
        <v>1566</v>
      </c>
      <c r="F412" s="147" t="n">
        <v>11</v>
      </c>
      <c r="G412" s="148" t="n">
        <v>0</v>
      </c>
      <c r="H412" s="148" t="n">
        <v>0</v>
      </c>
      <c r="I412" s="138" t="s">
        <v>1642</v>
      </c>
      <c r="J412" s="138"/>
      <c r="K412" s="146" t="n">
        <f aca="false">Parâmetros!$C$4*(F412+2*Parâmetros!$D$4+Parâmetros!$C$4*Parâmetros!$E$4)</f>
        <v>0.5525</v>
      </c>
      <c r="L412" s="146" t="n">
        <f aca="false">Parâmetros!$C$5*(F412+2*Parâmetros!$D$5+Parâmetros!$C$5*Parâmetros!$E$5)</f>
        <v>1.8176</v>
      </c>
      <c r="M412" s="146" t="n">
        <f aca="false">Parâmetros!$C$6*(F412+2*Parâmetros!$D$6+Parâmetros!$C$6*Parâmetros!$E$6)</f>
        <v>2.384</v>
      </c>
      <c r="N412" s="146" t="n">
        <f aca="false">Parâmetros!$C$7*(F412+2*Parâmetros!$D$7+Parâmetros!$C$7*Parâmetros!$E$7)</f>
        <v>3.786</v>
      </c>
      <c r="O412" s="146" t="n">
        <f aca="false">F412+2*Parâmetros!$D$8</f>
        <v>11.2</v>
      </c>
      <c r="P412" s="146" t="n">
        <f aca="false">F412+2*Parâmetros!$D$10</f>
        <v>12.92</v>
      </c>
      <c r="Q412" s="146" t="n">
        <f aca="false">G412+H412</f>
        <v>0</v>
      </c>
      <c r="S412" s="149" t="n">
        <f aca="false">S411+'Volumes por intervalo'!C411*(F411+F412)/2</f>
        <v>94409.5</v>
      </c>
      <c r="T412" s="149" t="n">
        <f aca="false">T411+'Volumes por intervalo'!H411</f>
        <v>4740.92500000002</v>
      </c>
      <c r="U412" s="149" t="n">
        <f aca="false">U411+'Volumes por intervalo'!J411</f>
        <v>15576.6880000001</v>
      </c>
      <c r="V412" s="149" t="n">
        <f aca="false">V411+'Volumes por intervalo'!K411</f>
        <v>20387.0200000001</v>
      </c>
      <c r="W412" s="149" t="n">
        <f aca="false">W411+'Volumes por intervalo'!L411</f>
        <v>32298.3300000001</v>
      </c>
      <c r="X412" s="149" t="n">
        <f aca="false">X411+'Volumes por intervalo'!M411</f>
        <v>96045.5</v>
      </c>
      <c r="Y412" s="149" t="n">
        <f aca="false">Y411+'Volumes por intervalo'!N411</f>
        <v>96045.5</v>
      </c>
      <c r="Z412" s="149" t="n">
        <f aca="false">Z411+'Volumes por intervalo'!O411</f>
        <v>110115.099999999</v>
      </c>
      <c r="AA412" s="149" t="n">
        <f aca="false">AA411+'Volumes por intervalo'!P411</f>
        <v>0</v>
      </c>
      <c r="AB412" s="149" t="n">
        <f aca="false">AB411+'Volumes por intervalo'!Q411</f>
        <v>0</v>
      </c>
      <c r="AC412" s="149" t="n">
        <f aca="false">AC411+'Volumes por intervalo'!R411</f>
        <v>0</v>
      </c>
      <c r="AD412" s="149" t="n">
        <f aca="false">AD411+'Volumes por intervalo'!S411</f>
        <v>0</v>
      </c>
    </row>
    <row r="413" customFormat="false" ht="15" hidden="false" customHeight="false" outlineLevel="0" collapsed="false">
      <c r="A413" s="138" t="s">
        <v>2073</v>
      </c>
      <c r="B413" s="146" t="n">
        <v>410</v>
      </c>
      <c r="C413" s="144" t="n">
        <v>8200</v>
      </c>
      <c r="D413" s="138" t="s">
        <v>1580</v>
      </c>
      <c r="E413" s="138" t="s">
        <v>1566</v>
      </c>
      <c r="F413" s="147" t="n">
        <v>11</v>
      </c>
      <c r="G413" s="148" t="n">
        <v>0</v>
      </c>
      <c r="H413" s="148" t="n">
        <v>0</v>
      </c>
      <c r="I413" s="138" t="s">
        <v>1642</v>
      </c>
      <c r="J413" s="138"/>
      <c r="K413" s="146" t="n">
        <f aca="false">Parâmetros!$C$4*(F413+2*Parâmetros!$D$4+Parâmetros!$C$4*Parâmetros!$E$4)</f>
        <v>0.5525</v>
      </c>
      <c r="L413" s="146" t="n">
        <f aca="false">Parâmetros!$C$5*(F413+2*Parâmetros!$D$5+Parâmetros!$C$5*Parâmetros!$E$5)</f>
        <v>1.8176</v>
      </c>
      <c r="M413" s="146" t="n">
        <f aca="false">Parâmetros!$C$6*(F413+2*Parâmetros!$D$6+Parâmetros!$C$6*Parâmetros!$E$6)</f>
        <v>2.384</v>
      </c>
      <c r="N413" s="146" t="n">
        <f aca="false">Parâmetros!$C$7*(F413+2*Parâmetros!$D$7+Parâmetros!$C$7*Parâmetros!$E$7)</f>
        <v>3.786</v>
      </c>
      <c r="O413" s="146" t="n">
        <f aca="false">F413+2*Parâmetros!$D$8</f>
        <v>11.2</v>
      </c>
      <c r="P413" s="146" t="n">
        <f aca="false">F413+2*Parâmetros!$D$10</f>
        <v>12.92</v>
      </c>
      <c r="Q413" s="146" t="n">
        <f aca="false">G413+H413</f>
        <v>0</v>
      </c>
      <c r="S413" s="149" t="n">
        <f aca="false">S412+'Volumes por intervalo'!C412*(F412+F413)/2</f>
        <v>94629.5</v>
      </c>
      <c r="T413" s="149" t="n">
        <f aca="false">T412+'Volumes por intervalo'!H412</f>
        <v>4751.97500000002</v>
      </c>
      <c r="U413" s="149" t="n">
        <f aca="false">U412+'Volumes por intervalo'!J412</f>
        <v>15613.0400000001</v>
      </c>
      <c r="V413" s="149" t="n">
        <f aca="false">V412+'Volumes por intervalo'!K412</f>
        <v>20434.7000000001</v>
      </c>
      <c r="W413" s="149" t="n">
        <f aca="false">W412+'Volumes por intervalo'!L412</f>
        <v>32374.0500000001</v>
      </c>
      <c r="X413" s="149" t="n">
        <f aca="false">X412+'Volumes por intervalo'!M412</f>
        <v>96269.5</v>
      </c>
      <c r="Y413" s="149" t="n">
        <f aca="false">Y412+'Volumes por intervalo'!N412</f>
        <v>96269.5</v>
      </c>
      <c r="Z413" s="149" t="n">
        <f aca="false">Z412+'Volumes por intervalo'!O412</f>
        <v>110373.499999999</v>
      </c>
      <c r="AA413" s="149" t="n">
        <f aca="false">AA412+'Volumes por intervalo'!P412</f>
        <v>0</v>
      </c>
      <c r="AB413" s="149" t="n">
        <f aca="false">AB412+'Volumes por intervalo'!Q412</f>
        <v>0</v>
      </c>
      <c r="AC413" s="149" t="n">
        <f aca="false">AC412+'Volumes por intervalo'!R412</f>
        <v>0</v>
      </c>
      <c r="AD413" s="149" t="n">
        <f aca="false">AD412+'Volumes por intervalo'!S412</f>
        <v>0</v>
      </c>
    </row>
    <row r="414" customFormat="false" ht="15" hidden="false" customHeight="false" outlineLevel="0" collapsed="false">
      <c r="A414" s="138" t="s">
        <v>2074</v>
      </c>
      <c r="B414" s="146" t="n">
        <v>411</v>
      </c>
      <c r="C414" s="144" t="n">
        <v>8220</v>
      </c>
      <c r="D414" s="138" t="s">
        <v>1580</v>
      </c>
      <c r="E414" s="138" t="s">
        <v>1566</v>
      </c>
      <c r="F414" s="147" t="n">
        <v>13</v>
      </c>
      <c r="G414" s="148" t="n">
        <v>0</v>
      </c>
      <c r="H414" s="148" t="n">
        <v>0</v>
      </c>
      <c r="I414" s="138" t="s">
        <v>1642</v>
      </c>
      <c r="J414" s="138"/>
      <c r="K414" s="146" t="n">
        <f aca="false">Parâmetros!$C$4*(F414+2*Parâmetros!$D$4+Parâmetros!$C$4*Parâmetros!$E$4)</f>
        <v>0.6525</v>
      </c>
      <c r="L414" s="146" t="n">
        <f aca="false">Parâmetros!$C$5*(F414+2*Parâmetros!$D$5+Parâmetros!$C$5*Parâmetros!$E$5)</f>
        <v>2.1376</v>
      </c>
      <c r="M414" s="146" t="n">
        <f aca="false">Parâmetros!$C$6*(F414+2*Parâmetros!$D$6+Parâmetros!$C$6*Parâmetros!$E$6)</f>
        <v>2.784</v>
      </c>
      <c r="N414" s="146" t="n">
        <f aca="false">Parâmetros!$C$7*(F414+2*Parâmetros!$D$7+Parâmetros!$C$7*Parâmetros!$E$7)</f>
        <v>4.386</v>
      </c>
      <c r="O414" s="146" t="n">
        <f aca="false">F414+2*Parâmetros!$D$8</f>
        <v>13.2</v>
      </c>
      <c r="P414" s="146" t="n">
        <f aca="false">F414+2*Parâmetros!$D$10</f>
        <v>14.92</v>
      </c>
      <c r="Q414" s="146" t="n">
        <f aca="false">G414+H414</f>
        <v>0</v>
      </c>
      <c r="S414" s="149" t="n">
        <f aca="false">S413+'Volumes por intervalo'!C413*(F413+F414)/2</f>
        <v>94869.5</v>
      </c>
      <c r="T414" s="149" t="n">
        <f aca="false">T413+'Volumes por intervalo'!H413</f>
        <v>4764.02500000002</v>
      </c>
      <c r="U414" s="149" t="n">
        <f aca="false">U413+'Volumes por intervalo'!J413</f>
        <v>15652.5920000001</v>
      </c>
      <c r="V414" s="149" t="n">
        <f aca="false">V413+'Volumes por intervalo'!K413</f>
        <v>20486.3800000001</v>
      </c>
      <c r="W414" s="149" t="n">
        <f aca="false">W413+'Volumes por intervalo'!L413</f>
        <v>32455.7700000001</v>
      </c>
      <c r="X414" s="149" t="n">
        <f aca="false">X413+'Volumes por intervalo'!M413</f>
        <v>96513.5</v>
      </c>
      <c r="Y414" s="149" t="n">
        <f aca="false">Y413+'Volumes por intervalo'!N413</f>
        <v>96513.5</v>
      </c>
      <c r="Z414" s="149" t="n">
        <f aca="false">Z413+'Volumes por intervalo'!O413</f>
        <v>110651.899999999</v>
      </c>
      <c r="AA414" s="149" t="n">
        <f aca="false">AA413+'Volumes por intervalo'!P413</f>
        <v>0</v>
      </c>
      <c r="AB414" s="149" t="n">
        <f aca="false">AB413+'Volumes por intervalo'!Q413</f>
        <v>0</v>
      </c>
      <c r="AC414" s="149" t="n">
        <f aca="false">AC413+'Volumes por intervalo'!R413</f>
        <v>0</v>
      </c>
      <c r="AD414" s="149" t="n">
        <f aca="false">AD413+'Volumes por intervalo'!S413</f>
        <v>0</v>
      </c>
    </row>
    <row r="415" customFormat="false" ht="15" hidden="false" customHeight="false" outlineLevel="0" collapsed="false">
      <c r="A415" s="138" t="s">
        <v>2075</v>
      </c>
      <c r="B415" s="146" t="n">
        <v>412</v>
      </c>
      <c r="C415" s="144" t="n">
        <v>8240</v>
      </c>
      <c r="D415" s="138" t="s">
        <v>1580</v>
      </c>
      <c r="E415" s="138" t="s">
        <v>1566</v>
      </c>
      <c r="F415" s="147" t="n">
        <v>11</v>
      </c>
      <c r="G415" s="148" t="n">
        <v>0</v>
      </c>
      <c r="H415" s="148" t="n">
        <v>0</v>
      </c>
      <c r="I415" s="138" t="s">
        <v>1642</v>
      </c>
      <c r="J415" s="138"/>
      <c r="K415" s="146" t="n">
        <f aca="false">Parâmetros!$C$4*(F415+2*Parâmetros!$D$4+Parâmetros!$C$4*Parâmetros!$E$4)</f>
        <v>0.5525</v>
      </c>
      <c r="L415" s="146" t="n">
        <f aca="false">Parâmetros!$C$5*(F415+2*Parâmetros!$D$5+Parâmetros!$C$5*Parâmetros!$E$5)</f>
        <v>1.8176</v>
      </c>
      <c r="M415" s="146" t="n">
        <f aca="false">Parâmetros!$C$6*(F415+2*Parâmetros!$D$6+Parâmetros!$C$6*Parâmetros!$E$6)</f>
        <v>2.384</v>
      </c>
      <c r="N415" s="146" t="n">
        <f aca="false">Parâmetros!$C$7*(F415+2*Parâmetros!$D$7+Parâmetros!$C$7*Parâmetros!$E$7)</f>
        <v>3.786</v>
      </c>
      <c r="O415" s="146" t="n">
        <f aca="false">F415+2*Parâmetros!$D$8</f>
        <v>11.2</v>
      </c>
      <c r="P415" s="146" t="n">
        <f aca="false">F415+2*Parâmetros!$D$10</f>
        <v>12.92</v>
      </c>
      <c r="Q415" s="146" t="n">
        <f aca="false">G415+H415</f>
        <v>0</v>
      </c>
      <c r="S415" s="149" t="n">
        <f aca="false">S414+'Volumes por intervalo'!C414*(F414+F415)/2</f>
        <v>95109.5</v>
      </c>
      <c r="T415" s="149" t="n">
        <f aca="false">T414+'Volumes por intervalo'!H414</f>
        <v>4776.07500000002</v>
      </c>
      <c r="U415" s="149" t="n">
        <f aca="false">U414+'Volumes por intervalo'!J414</f>
        <v>15692.1440000001</v>
      </c>
      <c r="V415" s="149" t="n">
        <f aca="false">V414+'Volumes por intervalo'!K414</f>
        <v>20538.0600000001</v>
      </c>
      <c r="W415" s="149" t="n">
        <f aca="false">W414+'Volumes por intervalo'!L414</f>
        <v>32537.4900000001</v>
      </c>
      <c r="X415" s="149" t="n">
        <f aca="false">X414+'Volumes por intervalo'!M414</f>
        <v>96757.5</v>
      </c>
      <c r="Y415" s="149" t="n">
        <f aca="false">Y414+'Volumes por intervalo'!N414</f>
        <v>96757.5</v>
      </c>
      <c r="Z415" s="149" t="n">
        <f aca="false">Z414+'Volumes por intervalo'!O414</f>
        <v>110930.299999999</v>
      </c>
      <c r="AA415" s="149" t="n">
        <f aca="false">AA414+'Volumes por intervalo'!P414</f>
        <v>0</v>
      </c>
      <c r="AB415" s="149" t="n">
        <f aca="false">AB414+'Volumes por intervalo'!Q414</f>
        <v>0</v>
      </c>
      <c r="AC415" s="149" t="n">
        <f aca="false">AC414+'Volumes por intervalo'!R414</f>
        <v>0</v>
      </c>
      <c r="AD415" s="149" t="n">
        <f aca="false">AD414+'Volumes por intervalo'!S414</f>
        <v>0</v>
      </c>
    </row>
    <row r="416" customFormat="false" ht="15" hidden="false" customHeight="false" outlineLevel="0" collapsed="false">
      <c r="A416" s="138" t="s">
        <v>2076</v>
      </c>
      <c r="B416" s="146" t="n">
        <v>413</v>
      </c>
      <c r="C416" s="144" t="n">
        <v>8260</v>
      </c>
      <c r="D416" s="138" t="s">
        <v>1580</v>
      </c>
      <c r="E416" s="138" t="s">
        <v>1566</v>
      </c>
      <c r="F416" s="147" t="n">
        <v>11.6</v>
      </c>
      <c r="G416" s="148" t="n">
        <v>0</v>
      </c>
      <c r="H416" s="148" t="n">
        <v>0</v>
      </c>
      <c r="I416" s="138" t="s">
        <v>1642</v>
      </c>
      <c r="J416" s="138"/>
      <c r="K416" s="146" t="n">
        <f aca="false">Parâmetros!$C$4*(F416+2*Parâmetros!$D$4+Parâmetros!$C$4*Parâmetros!$E$4)</f>
        <v>0.5825</v>
      </c>
      <c r="L416" s="146" t="n">
        <f aca="false">Parâmetros!$C$5*(F416+2*Parâmetros!$D$5+Parâmetros!$C$5*Parâmetros!$E$5)</f>
        <v>1.9136</v>
      </c>
      <c r="M416" s="146" t="n">
        <f aca="false">Parâmetros!$C$6*(F416+2*Parâmetros!$D$6+Parâmetros!$C$6*Parâmetros!$E$6)</f>
        <v>2.504</v>
      </c>
      <c r="N416" s="146" t="n">
        <f aca="false">Parâmetros!$C$7*(F416+2*Parâmetros!$D$7+Parâmetros!$C$7*Parâmetros!$E$7)</f>
        <v>3.966</v>
      </c>
      <c r="O416" s="146" t="n">
        <f aca="false">F416+2*Parâmetros!$D$8</f>
        <v>11.8</v>
      </c>
      <c r="P416" s="146" t="n">
        <f aca="false">F416+2*Parâmetros!$D$10</f>
        <v>13.52</v>
      </c>
      <c r="Q416" s="146" t="n">
        <f aca="false">G416+H416</f>
        <v>0</v>
      </c>
      <c r="S416" s="149" t="n">
        <f aca="false">S415+'Volumes por intervalo'!C415*(F415+F416)/2</f>
        <v>95335.5</v>
      </c>
      <c r="T416" s="149" t="n">
        <f aca="false">T415+'Volumes por intervalo'!H415</f>
        <v>4787.42500000002</v>
      </c>
      <c r="U416" s="149" t="n">
        <f aca="false">U415+'Volumes por intervalo'!J415</f>
        <v>15729.4560000001</v>
      </c>
      <c r="V416" s="149" t="n">
        <f aca="false">V415+'Volumes por intervalo'!K415</f>
        <v>20586.9400000001</v>
      </c>
      <c r="W416" s="149" t="n">
        <f aca="false">W415+'Volumes por intervalo'!L415</f>
        <v>32615.0100000001</v>
      </c>
      <c r="X416" s="149" t="n">
        <f aca="false">X415+'Volumes por intervalo'!M415</f>
        <v>96987.5</v>
      </c>
      <c r="Y416" s="149" t="n">
        <f aca="false">Y415+'Volumes por intervalo'!N415</f>
        <v>96987.5</v>
      </c>
      <c r="Z416" s="149" t="n">
        <f aca="false">Z415+'Volumes por intervalo'!O415</f>
        <v>111194.699999999</v>
      </c>
      <c r="AA416" s="149" t="n">
        <f aca="false">AA415+'Volumes por intervalo'!P415</f>
        <v>0</v>
      </c>
      <c r="AB416" s="149" t="n">
        <f aca="false">AB415+'Volumes por intervalo'!Q415</f>
        <v>0</v>
      </c>
      <c r="AC416" s="149" t="n">
        <f aca="false">AC415+'Volumes por intervalo'!R415</f>
        <v>0</v>
      </c>
      <c r="AD416" s="149" t="n">
        <f aca="false">AD415+'Volumes por intervalo'!S415</f>
        <v>0</v>
      </c>
    </row>
    <row r="417" customFormat="false" ht="15" hidden="false" customHeight="false" outlineLevel="0" collapsed="false">
      <c r="A417" s="138" t="s">
        <v>2077</v>
      </c>
      <c r="B417" s="146" t="n">
        <v>414</v>
      </c>
      <c r="C417" s="144" t="n">
        <v>8280</v>
      </c>
      <c r="D417" s="138" t="s">
        <v>1580</v>
      </c>
      <c r="E417" s="138" t="s">
        <v>1566</v>
      </c>
      <c r="F417" s="147" t="n">
        <v>11.3</v>
      </c>
      <c r="G417" s="148" t="n">
        <v>0</v>
      </c>
      <c r="H417" s="148" t="n">
        <v>0</v>
      </c>
      <c r="I417" s="138" t="s">
        <v>1642</v>
      </c>
      <c r="J417" s="138"/>
      <c r="K417" s="146" t="n">
        <f aca="false">Parâmetros!$C$4*(F417+2*Parâmetros!$D$4+Parâmetros!$C$4*Parâmetros!$E$4)</f>
        <v>0.5675</v>
      </c>
      <c r="L417" s="146" t="n">
        <f aca="false">Parâmetros!$C$5*(F417+2*Parâmetros!$D$5+Parâmetros!$C$5*Parâmetros!$E$5)</f>
        <v>1.8656</v>
      </c>
      <c r="M417" s="146" t="n">
        <f aca="false">Parâmetros!$C$6*(F417+2*Parâmetros!$D$6+Parâmetros!$C$6*Parâmetros!$E$6)</f>
        <v>2.444</v>
      </c>
      <c r="N417" s="146" t="n">
        <f aca="false">Parâmetros!$C$7*(F417+2*Parâmetros!$D$7+Parâmetros!$C$7*Parâmetros!$E$7)</f>
        <v>3.876</v>
      </c>
      <c r="O417" s="146" t="n">
        <f aca="false">F417+2*Parâmetros!$D$8</f>
        <v>11.5</v>
      </c>
      <c r="P417" s="146" t="n">
        <f aca="false">F417+2*Parâmetros!$D$10</f>
        <v>13.22</v>
      </c>
      <c r="Q417" s="146" t="n">
        <f aca="false">G417+H417</f>
        <v>0</v>
      </c>
      <c r="S417" s="149" t="n">
        <f aca="false">S416+'Volumes por intervalo'!C416*(F416+F417)/2</f>
        <v>95564.5</v>
      </c>
      <c r="T417" s="149" t="n">
        <f aca="false">T416+'Volumes por intervalo'!H416</f>
        <v>4798.92500000002</v>
      </c>
      <c r="U417" s="149" t="n">
        <f aca="false">U416+'Volumes por intervalo'!J416</f>
        <v>15767.2480000001</v>
      </c>
      <c r="V417" s="149" t="n">
        <f aca="false">V416+'Volumes por intervalo'!K416</f>
        <v>20636.4200000001</v>
      </c>
      <c r="W417" s="149" t="n">
        <f aca="false">W416+'Volumes por intervalo'!L416</f>
        <v>32693.4300000001</v>
      </c>
      <c r="X417" s="149" t="n">
        <f aca="false">X416+'Volumes por intervalo'!M416</f>
        <v>97220.5</v>
      </c>
      <c r="Y417" s="149" t="n">
        <f aca="false">Y416+'Volumes por intervalo'!N416</f>
        <v>97220.5</v>
      </c>
      <c r="Z417" s="149" t="n">
        <f aca="false">Z416+'Volumes por intervalo'!O416</f>
        <v>111462.099999999</v>
      </c>
      <c r="AA417" s="149" t="n">
        <f aca="false">AA416+'Volumes por intervalo'!P416</f>
        <v>0</v>
      </c>
      <c r="AB417" s="149" t="n">
        <f aca="false">AB416+'Volumes por intervalo'!Q416</f>
        <v>0</v>
      </c>
      <c r="AC417" s="149" t="n">
        <f aca="false">AC416+'Volumes por intervalo'!R416</f>
        <v>0</v>
      </c>
      <c r="AD417" s="149" t="n">
        <f aca="false">AD416+'Volumes por intervalo'!S416</f>
        <v>0</v>
      </c>
    </row>
    <row r="418" customFormat="false" ht="15" hidden="false" customHeight="false" outlineLevel="0" collapsed="false">
      <c r="A418" s="138" t="s">
        <v>2078</v>
      </c>
      <c r="B418" s="146" t="n">
        <v>415</v>
      </c>
      <c r="C418" s="144" t="n">
        <v>8300</v>
      </c>
      <c r="D418" s="138" t="s">
        <v>1580</v>
      </c>
      <c r="E418" s="138" t="s">
        <v>1566</v>
      </c>
      <c r="F418" s="147" t="n">
        <v>11</v>
      </c>
      <c r="G418" s="148" t="n">
        <v>0</v>
      </c>
      <c r="H418" s="148" t="n">
        <v>0</v>
      </c>
      <c r="I418" s="138" t="s">
        <v>1642</v>
      </c>
      <c r="J418" s="138"/>
      <c r="K418" s="146" t="n">
        <f aca="false">Parâmetros!$C$4*(F418+2*Parâmetros!$D$4+Parâmetros!$C$4*Parâmetros!$E$4)</f>
        <v>0.5525</v>
      </c>
      <c r="L418" s="146" t="n">
        <f aca="false">Parâmetros!$C$5*(F418+2*Parâmetros!$D$5+Parâmetros!$C$5*Parâmetros!$E$5)</f>
        <v>1.8176</v>
      </c>
      <c r="M418" s="146" t="n">
        <f aca="false">Parâmetros!$C$6*(F418+2*Parâmetros!$D$6+Parâmetros!$C$6*Parâmetros!$E$6)</f>
        <v>2.384</v>
      </c>
      <c r="N418" s="146" t="n">
        <f aca="false">Parâmetros!$C$7*(F418+2*Parâmetros!$D$7+Parâmetros!$C$7*Parâmetros!$E$7)</f>
        <v>3.786</v>
      </c>
      <c r="O418" s="146" t="n">
        <f aca="false">F418+2*Parâmetros!$D$8</f>
        <v>11.2</v>
      </c>
      <c r="P418" s="146" t="n">
        <f aca="false">F418+2*Parâmetros!$D$10</f>
        <v>12.92</v>
      </c>
      <c r="Q418" s="146" t="n">
        <f aca="false">G418+H418</f>
        <v>0</v>
      </c>
      <c r="S418" s="149" t="n">
        <f aca="false">S417+'Volumes por intervalo'!C417*(F417+F418)/2</f>
        <v>95787.5</v>
      </c>
      <c r="T418" s="149" t="n">
        <f aca="false">T417+'Volumes por intervalo'!H417</f>
        <v>4810.12500000002</v>
      </c>
      <c r="U418" s="149" t="n">
        <f aca="false">U417+'Volumes por intervalo'!J417</f>
        <v>15804.0800000001</v>
      </c>
      <c r="V418" s="149" t="n">
        <f aca="false">V417+'Volumes por intervalo'!K417</f>
        <v>20684.7000000001</v>
      </c>
      <c r="W418" s="149" t="n">
        <f aca="false">W417+'Volumes por intervalo'!L417</f>
        <v>32770.0500000001</v>
      </c>
      <c r="X418" s="149" t="n">
        <f aca="false">X417+'Volumes por intervalo'!M417</f>
        <v>97447.5</v>
      </c>
      <c r="Y418" s="149" t="n">
        <f aca="false">Y417+'Volumes por intervalo'!N417</f>
        <v>97447.5</v>
      </c>
      <c r="Z418" s="149" t="n">
        <f aca="false">Z417+'Volumes por intervalo'!O417</f>
        <v>111723.499999999</v>
      </c>
      <c r="AA418" s="149" t="n">
        <f aca="false">AA417+'Volumes por intervalo'!P417</f>
        <v>0</v>
      </c>
      <c r="AB418" s="149" t="n">
        <f aca="false">AB417+'Volumes por intervalo'!Q417</f>
        <v>0</v>
      </c>
      <c r="AC418" s="149" t="n">
        <f aca="false">AC417+'Volumes por intervalo'!R417</f>
        <v>0</v>
      </c>
      <c r="AD418" s="149" t="n">
        <f aca="false">AD417+'Volumes por intervalo'!S417</f>
        <v>0</v>
      </c>
    </row>
    <row r="419" customFormat="false" ht="15" hidden="false" customHeight="false" outlineLevel="0" collapsed="false">
      <c r="A419" s="138" t="s">
        <v>2079</v>
      </c>
      <c r="B419" s="146" t="n">
        <v>416</v>
      </c>
      <c r="C419" s="144" t="n">
        <v>8320</v>
      </c>
      <c r="D419" s="138" t="s">
        <v>1580</v>
      </c>
      <c r="E419" s="138" t="s">
        <v>1566</v>
      </c>
      <c r="F419" s="147" t="n">
        <v>11.5</v>
      </c>
      <c r="G419" s="148" t="n">
        <v>0</v>
      </c>
      <c r="H419" s="148" t="n">
        <v>0</v>
      </c>
      <c r="I419" s="138" t="s">
        <v>1642</v>
      </c>
      <c r="J419" s="138"/>
      <c r="K419" s="146" t="n">
        <f aca="false">Parâmetros!$C$4*(F419+2*Parâmetros!$D$4+Parâmetros!$C$4*Parâmetros!$E$4)</f>
        <v>0.5775</v>
      </c>
      <c r="L419" s="146" t="n">
        <f aca="false">Parâmetros!$C$5*(F419+2*Parâmetros!$D$5+Parâmetros!$C$5*Parâmetros!$E$5)</f>
        <v>1.8976</v>
      </c>
      <c r="M419" s="146" t="n">
        <f aca="false">Parâmetros!$C$6*(F419+2*Parâmetros!$D$6+Parâmetros!$C$6*Parâmetros!$E$6)</f>
        <v>2.484</v>
      </c>
      <c r="N419" s="146" t="n">
        <f aca="false">Parâmetros!$C$7*(F419+2*Parâmetros!$D$7+Parâmetros!$C$7*Parâmetros!$E$7)</f>
        <v>3.936</v>
      </c>
      <c r="O419" s="146" t="n">
        <f aca="false">F419+2*Parâmetros!$D$8</f>
        <v>11.7</v>
      </c>
      <c r="P419" s="146" t="n">
        <f aca="false">F419+2*Parâmetros!$D$10</f>
        <v>13.42</v>
      </c>
      <c r="Q419" s="146" t="n">
        <f aca="false">G419+H419</f>
        <v>0</v>
      </c>
      <c r="S419" s="149" t="n">
        <f aca="false">S418+'Volumes por intervalo'!C418*(F418+F419)/2</f>
        <v>96012.5</v>
      </c>
      <c r="T419" s="149" t="n">
        <f aca="false">T418+'Volumes por intervalo'!H418</f>
        <v>4821.42500000002</v>
      </c>
      <c r="U419" s="149" t="n">
        <f aca="false">U418+'Volumes por intervalo'!J418</f>
        <v>15841.2320000001</v>
      </c>
      <c r="V419" s="149" t="n">
        <f aca="false">V418+'Volumes por intervalo'!K418</f>
        <v>20733.3800000001</v>
      </c>
      <c r="W419" s="149" t="n">
        <f aca="false">W418+'Volumes por intervalo'!L418</f>
        <v>32847.2700000001</v>
      </c>
      <c r="X419" s="149" t="n">
        <f aca="false">X418+'Volumes por intervalo'!M418</f>
        <v>97676.5</v>
      </c>
      <c r="Y419" s="149" t="n">
        <f aca="false">Y418+'Volumes por intervalo'!N418</f>
        <v>97676.5</v>
      </c>
      <c r="Z419" s="149" t="n">
        <f aca="false">Z418+'Volumes por intervalo'!O418</f>
        <v>111986.899999999</v>
      </c>
      <c r="AA419" s="149" t="n">
        <f aca="false">AA418+'Volumes por intervalo'!P418</f>
        <v>0</v>
      </c>
      <c r="AB419" s="149" t="n">
        <f aca="false">AB418+'Volumes por intervalo'!Q418</f>
        <v>0</v>
      </c>
      <c r="AC419" s="149" t="n">
        <f aca="false">AC418+'Volumes por intervalo'!R418</f>
        <v>0</v>
      </c>
      <c r="AD419" s="149" t="n">
        <f aca="false">AD418+'Volumes por intervalo'!S418</f>
        <v>0</v>
      </c>
    </row>
    <row r="420" customFormat="false" ht="15" hidden="false" customHeight="false" outlineLevel="0" collapsed="false">
      <c r="A420" s="138" t="s">
        <v>2080</v>
      </c>
      <c r="B420" s="146" t="n">
        <v>417</v>
      </c>
      <c r="C420" s="144" t="n">
        <v>8340</v>
      </c>
      <c r="D420" s="138" t="s">
        <v>1580</v>
      </c>
      <c r="E420" s="138" t="s">
        <v>1566</v>
      </c>
      <c r="F420" s="147" t="n">
        <v>13.1</v>
      </c>
      <c r="G420" s="148" t="n">
        <v>0</v>
      </c>
      <c r="H420" s="148" t="n">
        <v>0</v>
      </c>
      <c r="I420" s="138" t="s">
        <v>1642</v>
      </c>
      <c r="J420" s="138"/>
      <c r="K420" s="146" t="n">
        <f aca="false">Parâmetros!$C$4*(F420+2*Parâmetros!$D$4+Parâmetros!$C$4*Parâmetros!$E$4)</f>
        <v>0.6575</v>
      </c>
      <c r="L420" s="146" t="n">
        <f aca="false">Parâmetros!$C$5*(F420+2*Parâmetros!$D$5+Parâmetros!$C$5*Parâmetros!$E$5)</f>
        <v>2.1536</v>
      </c>
      <c r="M420" s="146" t="n">
        <f aca="false">Parâmetros!$C$6*(F420+2*Parâmetros!$D$6+Parâmetros!$C$6*Parâmetros!$E$6)</f>
        <v>2.804</v>
      </c>
      <c r="N420" s="146" t="n">
        <f aca="false">Parâmetros!$C$7*(F420+2*Parâmetros!$D$7+Parâmetros!$C$7*Parâmetros!$E$7)</f>
        <v>4.416</v>
      </c>
      <c r="O420" s="146" t="n">
        <f aca="false">F420+2*Parâmetros!$D$8</f>
        <v>13.3</v>
      </c>
      <c r="P420" s="146" t="n">
        <f aca="false">F420+2*Parâmetros!$D$10</f>
        <v>15.02</v>
      </c>
      <c r="Q420" s="146" t="n">
        <f aca="false">G420+H420</f>
        <v>0</v>
      </c>
      <c r="S420" s="149" t="n">
        <f aca="false">S419+'Volumes por intervalo'!C419*(F419+F420)/2</f>
        <v>96258.5</v>
      </c>
      <c r="T420" s="149" t="n">
        <f aca="false">T419+'Volumes por intervalo'!H419</f>
        <v>4833.77500000002</v>
      </c>
      <c r="U420" s="149" t="n">
        <f aca="false">U419+'Volumes por intervalo'!J419</f>
        <v>15881.7440000001</v>
      </c>
      <c r="V420" s="149" t="n">
        <f aca="false">V419+'Volumes por intervalo'!K419</f>
        <v>20786.2600000001</v>
      </c>
      <c r="W420" s="149" t="n">
        <f aca="false">W419+'Volumes por intervalo'!L419</f>
        <v>32930.7900000001</v>
      </c>
      <c r="X420" s="149" t="n">
        <f aca="false">X419+'Volumes por intervalo'!M419</f>
        <v>97926.5</v>
      </c>
      <c r="Y420" s="149" t="n">
        <f aca="false">Y419+'Volumes por intervalo'!N419</f>
        <v>97926.5</v>
      </c>
      <c r="Z420" s="149" t="n">
        <f aca="false">Z419+'Volumes por intervalo'!O419</f>
        <v>112271.299999999</v>
      </c>
      <c r="AA420" s="149" t="n">
        <f aca="false">AA419+'Volumes por intervalo'!P419</f>
        <v>0</v>
      </c>
      <c r="AB420" s="149" t="n">
        <f aca="false">AB419+'Volumes por intervalo'!Q419</f>
        <v>0</v>
      </c>
      <c r="AC420" s="149" t="n">
        <f aca="false">AC419+'Volumes por intervalo'!R419</f>
        <v>0</v>
      </c>
      <c r="AD420" s="149" t="n">
        <f aca="false">AD419+'Volumes por intervalo'!S419</f>
        <v>0</v>
      </c>
    </row>
    <row r="421" customFormat="false" ht="15" hidden="false" customHeight="false" outlineLevel="0" collapsed="false">
      <c r="A421" s="138" t="s">
        <v>2081</v>
      </c>
      <c r="B421" s="146" t="n">
        <v>418</v>
      </c>
      <c r="C421" s="144" t="n">
        <v>8360</v>
      </c>
      <c r="D421" s="138" t="s">
        <v>1580</v>
      </c>
      <c r="E421" s="138" t="s">
        <v>1566</v>
      </c>
      <c r="F421" s="147" t="n">
        <v>14</v>
      </c>
      <c r="G421" s="148" t="n">
        <v>0</v>
      </c>
      <c r="H421" s="148" t="n">
        <v>0</v>
      </c>
      <c r="I421" s="138" t="s">
        <v>1642</v>
      </c>
      <c r="J421" s="138" t="s">
        <v>1773</v>
      </c>
      <c r="K421" s="146" t="n">
        <f aca="false">Parâmetros!$C$4*(F421+2*Parâmetros!$D$4+Parâmetros!$C$4*Parâmetros!$E$4)</f>
        <v>0.7025</v>
      </c>
      <c r="L421" s="146" t="n">
        <f aca="false">Parâmetros!$C$5*(F421+2*Parâmetros!$D$5+Parâmetros!$C$5*Parâmetros!$E$5)</f>
        <v>2.2976</v>
      </c>
      <c r="M421" s="146" t="n">
        <f aca="false">Parâmetros!$C$6*(F421+2*Parâmetros!$D$6+Parâmetros!$C$6*Parâmetros!$E$6)</f>
        <v>2.984</v>
      </c>
      <c r="N421" s="146" t="n">
        <f aca="false">Parâmetros!$C$7*(F421+2*Parâmetros!$D$7+Parâmetros!$C$7*Parâmetros!$E$7)</f>
        <v>4.686</v>
      </c>
      <c r="O421" s="146" t="n">
        <f aca="false">F421+2*Parâmetros!$D$8</f>
        <v>14.2</v>
      </c>
      <c r="P421" s="146" t="n">
        <f aca="false">F421+2*Parâmetros!$D$10</f>
        <v>15.92</v>
      </c>
      <c r="Q421" s="146" t="n">
        <f aca="false">G421+H421</f>
        <v>0</v>
      </c>
      <c r="S421" s="149" t="n">
        <f aca="false">S420+'Volumes por intervalo'!C420*(F420+F421)/2</f>
        <v>96529.5</v>
      </c>
      <c r="T421" s="149" t="n">
        <f aca="false">T420+'Volumes por intervalo'!H420</f>
        <v>4847.37500000002</v>
      </c>
      <c r="U421" s="149" t="n">
        <f aca="false">U420+'Volumes por intervalo'!J420</f>
        <v>15926.2560000001</v>
      </c>
      <c r="V421" s="149" t="n">
        <f aca="false">V420+'Volumes por intervalo'!K420</f>
        <v>20844.1400000001</v>
      </c>
      <c r="W421" s="149" t="n">
        <f aca="false">W420+'Volumes por intervalo'!L420</f>
        <v>33021.8100000001</v>
      </c>
      <c r="X421" s="149" t="n">
        <f aca="false">X420+'Volumes por intervalo'!M420</f>
        <v>98201.5</v>
      </c>
      <c r="Y421" s="149" t="n">
        <f aca="false">Y420+'Volumes por intervalo'!N420</f>
        <v>98201.5</v>
      </c>
      <c r="Z421" s="149" t="n">
        <f aca="false">Z420+'Volumes por intervalo'!O420</f>
        <v>112580.699999999</v>
      </c>
      <c r="AA421" s="149" t="n">
        <f aca="false">AA420+'Volumes por intervalo'!P420</f>
        <v>0</v>
      </c>
      <c r="AB421" s="149" t="n">
        <f aca="false">AB420+'Volumes por intervalo'!Q420</f>
        <v>0</v>
      </c>
      <c r="AC421" s="149" t="n">
        <f aca="false">AC420+'Volumes por intervalo'!R420</f>
        <v>0</v>
      </c>
      <c r="AD421" s="149" t="n">
        <f aca="false">AD420+'Volumes por intervalo'!S420</f>
        <v>0</v>
      </c>
    </row>
    <row r="422" customFormat="false" ht="15" hidden="false" customHeight="false" outlineLevel="0" collapsed="false">
      <c r="A422" s="138" t="s">
        <v>2082</v>
      </c>
      <c r="B422" s="146" t="n">
        <v>419</v>
      </c>
      <c r="C422" s="144" t="n">
        <v>8380</v>
      </c>
      <c r="D422" s="138" t="s">
        <v>1580</v>
      </c>
      <c r="E422" s="138" t="s">
        <v>1566</v>
      </c>
      <c r="F422" s="147" t="n">
        <v>13.2</v>
      </c>
      <c r="G422" s="148" t="n">
        <v>0</v>
      </c>
      <c r="H422" s="148" t="n">
        <v>0</v>
      </c>
      <c r="I422" s="138" t="s">
        <v>1856</v>
      </c>
      <c r="J422" s="138" t="s">
        <v>2083</v>
      </c>
      <c r="K422" s="146" t="n">
        <f aca="false">Parâmetros!$C$4*(F422+2*Parâmetros!$D$4+Parâmetros!$C$4*Parâmetros!$E$4)</f>
        <v>0.6625</v>
      </c>
      <c r="L422" s="146" t="n">
        <f aca="false">Parâmetros!$C$5*(F422+2*Parâmetros!$D$5+Parâmetros!$C$5*Parâmetros!$E$5)</f>
        <v>2.1696</v>
      </c>
      <c r="M422" s="146" t="n">
        <f aca="false">Parâmetros!$C$6*(F422+2*Parâmetros!$D$6+Parâmetros!$C$6*Parâmetros!$E$6)</f>
        <v>2.824</v>
      </c>
      <c r="N422" s="146" t="n">
        <f aca="false">Parâmetros!$C$7*(F422+2*Parâmetros!$D$7+Parâmetros!$C$7*Parâmetros!$E$7)</f>
        <v>4.446</v>
      </c>
      <c r="O422" s="146" t="n">
        <f aca="false">F422+2*Parâmetros!$D$8</f>
        <v>13.4</v>
      </c>
      <c r="P422" s="146" t="n">
        <f aca="false">F422+2*Parâmetros!$D$10</f>
        <v>15.12</v>
      </c>
      <c r="Q422" s="146" t="n">
        <f aca="false">G422+H422</f>
        <v>0</v>
      </c>
      <c r="S422" s="149" t="n">
        <f aca="false">S421+'Volumes por intervalo'!C421*(F421+F422)/2</f>
        <v>96801.5</v>
      </c>
      <c r="T422" s="149" t="n">
        <f aca="false">T421+'Volumes por intervalo'!H421</f>
        <v>4861.02500000002</v>
      </c>
      <c r="U422" s="149" t="n">
        <f aca="false">U421+'Volumes por intervalo'!J421</f>
        <v>15970.9280000001</v>
      </c>
      <c r="V422" s="149" t="n">
        <f aca="false">V421+'Volumes por intervalo'!K421</f>
        <v>20902.2200000001</v>
      </c>
      <c r="W422" s="149" t="n">
        <f aca="false">W421+'Volumes por intervalo'!L421</f>
        <v>33113.1300000001</v>
      </c>
      <c r="X422" s="149" t="n">
        <f aca="false">X421+'Volumes por intervalo'!M421</f>
        <v>98477.5</v>
      </c>
      <c r="Y422" s="149" t="n">
        <f aca="false">Y421+'Volumes por intervalo'!N421</f>
        <v>98477.5</v>
      </c>
      <c r="Z422" s="149" t="n">
        <f aca="false">Z421+'Volumes por intervalo'!O421</f>
        <v>112891.099999999</v>
      </c>
      <c r="AA422" s="149" t="n">
        <f aca="false">AA421+'Volumes por intervalo'!P421</f>
        <v>0</v>
      </c>
      <c r="AB422" s="149" t="n">
        <f aca="false">AB421+'Volumes por intervalo'!Q421</f>
        <v>0</v>
      </c>
      <c r="AC422" s="149" t="n">
        <f aca="false">AC421+'Volumes por intervalo'!R421</f>
        <v>0</v>
      </c>
      <c r="AD422" s="149" t="n">
        <f aca="false">AD421+'Volumes por intervalo'!S421</f>
        <v>0</v>
      </c>
    </row>
    <row r="423" customFormat="false" ht="15" hidden="false" customHeight="false" outlineLevel="0" collapsed="false">
      <c r="A423" s="138" t="s">
        <v>2084</v>
      </c>
      <c r="B423" s="146" t="n">
        <v>420</v>
      </c>
      <c r="C423" s="144" t="n">
        <v>8400</v>
      </c>
      <c r="D423" s="138" t="s">
        <v>1580</v>
      </c>
      <c r="E423" s="138" t="s">
        <v>1566</v>
      </c>
      <c r="F423" s="147" t="n">
        <v>12.4</v>
      </c>
      <c r="G423" s="148" t="n">
        <v>0</v>
      </c>
      <c r="H423" s="148" t="n">
        <v>0</v>
      </c>
      <c r="I423" s="138" t="s">
        <v>1642</v>
      </c>
      <c r="J423" s="138" t="s">
        <v>1773</v>
      </c>
      <c r="K423" s="146" t="n">
        <f aca="false">Parâmetros!$C$4*(F423+2*Parâmetros!$D$4+Parâmetros!$C$4*Parâmetros!$E$4)</f>
        <v>0.6225</v>
      </c>
      <c r="L423" s="146" t="n">
        <f aca="false">Parâmetros!$C$5*(F423+2*Parâmetros!$D$5+Parâmetros!$C$5*Parâmetros!$E$5)</f>
        <v>2.0416</v>
      </c>
      <c r="M423" s="146" t="n">
        <f aca="false">Parâmetros!$C$6*(F423+2*Parâmetros!$D$6+Parâmetros!$C$6*Parâmetros!$E$6)</f>
        <v>2.664</v>
      </c>
      <c r="N423" s="146" t="n">
        <f aca="false">Parâmetros!$C$7*(F423+2*Parâmetros!$D$7+Parâmetros!$C$7*Parâmetros!$E$7)</f>
        <v>4.206</v>
      </c>
      <c r="O423" s="146" t="n">
        <f aca="false">F423+2*Parâmetros!$D$8</f>
        <v>12.6</v>
      </c>
      <c r="P423" s="146" t="n">
        <f aca="false">F423+2*Parâmetros!$D$10</f>
        <v>14.32</v>
      </c>
      <c r="Q423" s="146" t="n">
        <f aca="false">G423+H423</f>
        <v>0</v>
      </c>
      <c r="S423" s="149" t="n">
        <f aca="false">S422+'Volumes por intervalo'!C422*(F422+F423)/2</f>
        <v>97057.5</v>
      </c>
      <c r="T423" s="149" t="n">
        <f aca="false">T422+'Volumes por intervalo'!H422</f>
        <v>4873.87500000002</v>
      </c>
      <c r="U423" s="149" t="n">
        <f aca="false">U422+'Volumes por intervalo'!J422</f>
        <v>16013.0400000001</v>
      </c>
      <c r="V423" s="149" t="n">
        <f aca="false">V422+'Volumes por intervalo'!K422</f>
        <v>20957.1000000001</v>
      </c>
      <c r="W423" s="149" t="n">
        <f aca="false">W422+'Volumes por intervalo'!L422</f>
        <v>33199.6500000001</v>
      </c>
      <c r="X423" s="149" t="n">
        <f aca="false">X422+'Volumes por intervalo'!M422</f>
        <v>98737.5</v>
      </c>
      <c r="Y423" s="149" t="n">
        <f aca="false">Y422+'Volumes por intervalo'!N422</f>
        <v>98737.5</v>
      </c>
      <c r="Z423" s="149" t="n">
        <f aca="false">Z422+'Volumes por intervalo'!O422</f>
        <v>113185.499999999</v>
      </c>
      <c r="AA423" s="149" t="n">
        <f aca="false">AA422+'Volumes por intervalo'!P422</f>
        <v>0</v>
      </c>
      <c r="AB423" s="149" t="n">
        <f aca="false">AB422+'Volumes por intervalo'!Q422</f>
        <v>0</v>
      </c>
      <c r="AC423" s="149" t="n">
        <f aca="false">AC422+'Volumes por intervalo'!R422</f>
        <v>0</v>
      </c>
      <c r="AD423" s="149" t="n">
        <f aca="false">AD422+'Volumes por intervalo'!S422</f>
        <v>0</v>
      </c>
    </row>
    <row r="424" customFormat="false" ht="15" hidden="false" customHeight="false" outlineLevel="0" collapsed="false">
      <c r="A424" s="138" t="s">
        <v>2085</v>
      </c>
      <c r="B424" s="146" t="n">
        <v>421</v>
      </c>
      <c r="C424" s="144" t="n">
        <v>8420</v>
      </c>
      <c r="D424" s="138" t="s">
        <v>1580</v>
      </c>
      <c r="E424" s="138" t="s">
        <v>1566</v>
      </c>
      <c r="F424" s="147" t="n">
        <v>11</v>
      </c>
      <c r="G424" s="148" t="n">
        <v>0</v>
      </c>
      <c r="H424" s="148" t="n">
        <v>0</v>
      </c>
      <c r="I424" s="138" t="s">
        <v>1642</v>
      </c>
      <c r="J424" s="138" t="s">
        <v>1773</v>
      </c>
      <c r="K424" s="146" t="n">
        <f aca="false">Parâmetros!$C$4*(F424+2*Parâmetros!$D$4+Parâmetros!$C$4*Parâmetros!$E$4)</f>
        <v>0.5525</v>
      </c>
      <c r="L424" s="146" t="n">
        <f aca="false">Parâmetros!$C$5*(F424+2*Parâmetros!$D$5+Parâmetros!$C$5*Parâmetros!$E$5)</f>
        <v>1.8176</v>
      </c>
      <c r="M424" s="146" t="n">
        <f aca="false">Parâmetros!$C$6*(F424+2*Parâmetros!$D$6+Parâmetros!$C$6*Parâmetros!$E$6)</f>
        <v>2.384</v>
      </c>
      <c r="N424" s="146" t="n">
        <f aca="false">Parâmetros!$C$7*(F424+2*Parâmetros!$D$7+Parâmetros!$C$7*Parâmetros!$E$7)</f>
        <v>3.786</v>
      </c>
      <c r="O424" s="146" t="n">
        <f aca="false">F424+2*Parâmetros!$D$8</f>
        <v>11.2</v>
      </c>
      <c r="P424" s="146" t="n">
        <f aca="false">F424+2*Parâmetros!$D$10</f>
        <v>12.92</v>
      </c>
      <c r="Q424" s="146" t="n">
        <f aca="false">G424+H424</f>
        <v>0</v>
      </c>
      <c r="S424" s="149" t="n">
        <f aca="false">S423+'Volumes por intervalo'!C423*(F423+F424)/2</f>
        <v>97291.5</v>
      </c>
      <c r="T424" s="149" t="n">
        <f aca="false">T423+'Volumes por intervalo'!H423</f>
        <v>4885.62500000002</v>
      </c>
      <c r="U424" s="149" t="n">
        <f aca="false">U423+'Volumes por intervalo'!J423</f>
        <v>16051.6320000001</v>
      </c>
      <c r="V424" s="149" t="n">
        <f aca="false">V423+'Volumes por intervalo'!K423</f>
        <v>21007.5800000001</v>
      </c>
      <c r="W424" s="149" t="n">
        <f aca="false">W423+'Volumes por intervalo'!L423</f>
        <v>33279.5700000001</v>
      </c>
      <c r="X424" s="149" t="n">
        <f aca="false">X423+'Volumes por intervalo'!M423</f>
        <v>98975.5</v>
      </c>
      <c r="Y424" s="149" t="n">
        <f aca="false">Y423+'Volumes por intervalo'!N423</f>
        <v>98975.5</v>
      </c>
      <c r="Z424" s="149" t="n">
        <f aca="false">Z423+'Volumes por intervalo'!O423</f>
        <v>113457.899999999</v>
      </c>
      <c r="AA424" s="149" t="n">
        <f aca="false">AA423+'Volumes por intervalo'!P423</f>
        <v>0</v>
      </c>
      <c r="AB424" s="149" t="n">
        <f aca="false">AB423+'Volumes por intervalo'!Q423</f>
        <v>0</v>
      </c>
      <c r="AC424" s="149" t="n">
        <f aca="false">AC423+'Volumes por intervalo'!R423</f>
        <v>0</v>
      </c>
      <c r="AD424" s="149" t="n">
        <f aca="false">AD423+'Volumes por intervalo'!S423</f>
        <v>0</v>
      </c>
    </row>
    <row r="425" customFormat="false" ht="15" hidden="false" customHeight="false" outlineLevel="0" collapsed="false">
      <c r="A425" s="138" t="s">
        <v>2086</v>
      </c>
      <c r="B425" s="146" t="n">
        <v>422</v>
      </c>
      <c r="C425" s="144" t="n">
        <v>8440</v>
      </c>
      <c r="D425" s="138" t="s">
        <v>1580</v>
      </c>
      <c r="E425" s="138" t="s">
        <v>1566</v>
      </c>
      <c r="F425" s="147" t="n">
        <v>11</v>
      </c>
      <c r="G425" s="148" t="n">
        <v>0</v>
      </c>
      <c r="H425" s="148" t="n">
        <v>0</v>
      </c>
      <c r="I425" s="138" t="s">
        <v>1642</v>
      </c>
      <c r="J425" s="138" t="s">
        <v>1773</v>
      </c>
      <c r="K425" s="146" t="n">
        <f aca="false">Parâmetros!$C$4*(F425+2*Parâmetros!$D$4+Parâmetros!$C$4*Parâmetros!$E$4)</f>
        <v>0.5525</v>
      </c>
      <c r="L425" s="146" t="n">
        <f aca="false">Parâmetros!$C$5*(F425+2*Parâmetros!$D$5+Parâmetros!$C$5*Parâmetros!$E$5)</f>
        <v>1.8176</v>
      </c>
      <c r="M425" s="146" t="n">
        <f aca="false">Parâmetros!$C$6*(F425+2*Parâmetros!$D$6+Parâmetros!$C$6*Parâmetros!$E$6)</f>
        <v>2.384</v>
      </c>
      <c r="N425" s="146" t="n">
        <f aca="false">Parâmetros!$C$7*(F425+2*Parâmetros!$D$7+Parâmetros!$C$7*Parâmetros!$E$7)</f>
        <v>3.786</v>
      </c>
      <c r="O425" s="146" t="n">
        <f aca="false">F425+2*Parâmetros!$D$8</f>
        <v>11.2</v>
      </c>
      <c r="P425" s="146" t="n">
        <f aca="false">F425+2*Parâmetros!$D$10</f>
        <v>12.92</v>
      </c>
      <c r="Q425" s="146" t="n">
        <f aca="false">G425+H425</f>
        <v>0</v>
      </c>
      <c r="S425" s="149" t="n">
        <f aca="false">S424+'Volumes por intervalo'!C424*(F424+F425)/2</f>
        <v>97511.5</v>
      </c>
      <c r="T425" s="149" t="n">
        <f aca="false">T424+'Volumes por intervalo'!H424</f>
        <v>4896.67500000002</v>
      </c>
      <c r="U425" s="149" t="n">
        <f aca="false">U424+'Volumes por intervalo'!J424</f>
        <v>16087.9840000001</v>
      </c>
      <c r="V425" s="149" t="n">
        <f aca="false">V424+'Volumes por intervalo'!K424</f>
        <v>21055.2600000001</v>
      </c>
      <c r="W425" s="149" t="n">
        <f aca="false">W424+'Volumes por intervalo'!L424</f>
        <v>33355.2900000001</v>
      </c>
      <c r="X425" s="149" t="n">
        <f aca="false">X424+'Volumes por intervalo'!M424</f>
        <v>99199.5</v>
      </c>
      <c r="Y425" s="149" t="n">
        <f aca="false">Y424+'Volumes por intervalo'!N424</f>
        <v>99199.5</v>
      </c>
      <c r="Z425" s="149" t="n">
        <f aca="false">Z424+'Volumes por intervalo'!O424</f>
        <v>113716.299999999</v>
      </c>
      <c r="AA425" s="149" t="n">
        <f aca="false">AA424+'Volumes por intervalo'!P424</f>
        <v>0</v>
      </c>
      <c r="AB425" s="149" t="n">
        <f aca="false">AB424+'Volumes por intervalo'!Q424</f>
        <v>0</v>
      </c>
      <c r="AC425" s="149" t="n">
        <f aca="false">AC424+'Volumes por intervalo'!R424</f>
        <v>0</v>
      </c>
      <c r="AD425" s="149" t="n">
        <f aca="false">AD424+'Volumes por intervalo'!S424</f>
        <v>0</v>
      </c>
    </row>
    <row r="426" customFormat="false" ht="15" hidden="false" customHeight="false" outlineLevel="0" collapsed="false">
      <c r="A426" s="138" t="s">
        <v>2087</v>
      </c>
      <c r="B426" s="146" t="n">
        <v>423</v>
      </c>
      <c r="C426" s="144" t="n">
        <v>8460</v>
      </c>
      <c r="D426" s="138" t="s">
        <v>1580</v>
      </c>
      <c r="E426" s="138" t="s">
        <v>1566</v>
      </c>
      <c r="F426" s="147" t="n">
        <v>11</v>
      </c>
      <c r="G426" s="148" t="n">
        <v>0</v>
      </c>
      <c r="H426" s="148" t="n">
        <v>0</v>
      </c>
      <c r="I426" s="138" t="s">
        <v>1642</v>
      </c>
      <c r="J426" s="138"/>
      <c r="K426" s="146" t="n">
        <f aca="false">Parâmetros!$C$4*(F426+2*Parâmetros!$D$4+Parâmetros!$C$4*Parâmetros!$E$4)</f>
        <v>0.5525</v>
      </c>
      <c r="L426" s="146" t="n">
        <f aca="false">Parâmetros!$C$5*(F426+2*Parâmetros!$D$5+Parâmetros!$C$5*Parâmetros!$E$5)</f>
        <v>1.8176</v>
      </c>
      <c r="M426" s="146" t="n">
        <f aca="false">Parâmetros!$C$6*(F426+2*Parâmetros!$D$6+Parâmetros!$C$6*Parâmetros!$E$6)</f>
        <v>2.384</v>
      </c>
      <c r="N426" s="146" t="n">
        <f aca="false">Parâmetros!$C$7*(F426+2*Parâmetros!$D$7+Parâmetros!$C$7*Parâmetros!$E$7)</f>
        <v>3.786</v>
      </c>
      <c r="O426" s="146" t="n">
        <f aca="false">F426+2*Parâmetros!$D$8</f>
        <v>11.2</v>
      </c>
      <c r="P426" s="146" t="n">
        <f aca="false">F426+2*Parâmetros!$D$10</f>
        <v>12.92</v>
      </c>
      <c r="Q426" s="146" t="n">
        <f aca="false">G426+H426</f>
        <v>0</v>
      </c>
      <c r="S426" s="149" t="n">
        <f aca="false">S425+'Volumes por intervalo'!C425*(F425+F426)/2</f>
        <v>97731.5</v>
      </c>
      <c r="T426" s="149" t="n">
        <f aca="false">T425+'Volumes por intervalo'!H425</f>
        <v>4907.72500000002</v>
      </c>
      <c r="U426" s="149" t="n">
        <f aca="false">U425+'Volumes por intervalo'!J425</f>
        <v>16124.3360000001</v>
      </c>
      <c r="V426" s="149" t="n">
        <f aca="false">V425+'Volumes por intervalo'!K425</f>
        <v>21102.9400000001</v>
      </c>
      <c r="W426" s="149" t="n">
        <f aca="false">W425+'Volumes por intervalo'!L425</f>
        <v>33431.0100000001</v>
      </c>
      <c r="X426" s="149" t="n">
        <f aca="false">X425+'Volumes por intervalo'!M425</f>
        <v>99423.5</v>
      </c>
      <c r="Y426" s="149" t="n">
        <f aca="false">Y425+'Volumes por intervalo'!N425</f>
        <v>99423.5</v>
      </c>
      <c r="Z426" s="149" t="n">
        <f aca="false">Z425+'Volumes por intervalo'!O425</f>
        <v>113974.699999999</v>
      </c>
      <c r="AA426" s="149" t="n">
        <f aca="false">AA425+'Volumes por intervalo'!P425</f>
        <v>0</v>
      </c>
      <c r="AB426" s="149" t="n">
        <f aca="false">AB425+'Volumes por intervalo'!Q425</f>
        <v>0</v>
      </c>
      <c r="AC426" s="149" t="n">
        <f aca="false">AC425+'Volumes por intervalo'!R425</f>
        <v>0</v>
      </c>
      <c r="AD426" s="149" t="n">
        <f aca="false">AD425+'Volumes por intervalo'!S425</f>
        <v>0</v>
      </c>
    </row>
    <row r="427" customFormat="false" ht="15" hidden="false" customHeight="false" outlineLevel="0" collapsed="false">
      <c r="A427" s="138" t="s">
        <v>2088</v>
      </c>
      <c r="B427" s="146" t="n">
        <v>424</v>
      </c>
      <c r="C427" s="144" t="n">
        <v>8480</v>
      </c>
      <c r="D427" s="138" t="s">
        <v>1580</v>
      </c>
      <c r="E427" s="138" t="s">
        <v>1566</v>
      </c>
      <c r="F427" s="147" t="n">
        <v>11.9</v>
      </c>
      <c r="G427" s="148" t="n">
        <v>0</v>
      </c>
      <c r="H427" s="148" t="n">
        <v>0</v>
      </c>
      <c r="I427" s="138" t="s">
        <v>1642</v>
      </c>
      <c r="J427" s="138"/>
      <c r="K427" s="146" t="n">
        <f aca="false">Parâmetros!$C$4*(F427+2*Parâmetros!$D$4+Parâmetros!$C$4*Parâmetros!$E$4)</f>
        <v>0.5975</v>
      </c>
      <c r="L427" s="146" t="n">
        <f aca="false">Parâmetros!$C$5*(F427+2*Parâmetros!$D$5+Parâmetros!$C$5*Parâmetros!$E$5)</f>
        <v>1.9616</v>
      </c>
      <c r="M427" s="146" t="n">
        <f aca="false">Parâmetros!$C$6*(F427+2*Parâmetros!$D$6+Parâmetros!$C$6*Parâmetros!$E$6)</f>
        <v>2.564</v>
      </c>
      <c r="N427" s="146" t="n">
        <f aca="false">Parâmetros!$C$7*(F427+2*Parâmetros!$D$7+Parâmetros!$C$7*Parâmetros!$E$7)</f>
        <v>4.056</v>
      </c>
      <c r="O427" s="146" t="n">
        <f aca="false">F427+2*Parâmetros!$D$8</f>
        <v>12.1</v>
      </c>
      <c r="P427" s="146" t="n">
        <f aca="false">F427+2*Parâmetros!$D$10</f>
        <v>13.82</v>
      </c>
      <c r="Q427" s="146" t="n">
        <f aca="false">G427+H427</f>
        <v>0</v>
      </c>
      <c r="S427" s="149" t="n">
        <f aca="false">S426+'Volumes por intervalo'!C426*(F426+F427)/2</f>
        <v>97960.5</v>
      </c>
      <c r="T427" s="149" t="n">
        <f aca="false">T426+'Volumes por intervalo'!H426</f>
        <v>4919.22500000002</v>
      </c>
      <c r="U427" s="149" t="n">
        <f aca="false">U426+'Volumes por intervalo'!J426</f>
        <v>16162.1280000001</v>
      </c>
      <c r="V427" s="149" t="n">
        <f aca="false">V426+'Volumes por intervalo'!K426</f>
        <v>21152.4200000001</v>
      </c>
      <c r="W427" s="149" t="n">
        <f aca="false">W426+'Volumes por intervalo'!L426</f>
        <v>33509.4300000001</v>
      </c>
      <c r="X427" s="149" t="n">
        <f aca="false">X426+'Volumes por intervalo'!M426</f>
        <v>99656.5</v>
      </c>
      <c r="Y427" s="149" t="n">
        <f aca="false">Y426+'Volumes por intervalo'!N426</f>
        <v>99656.5</v>
      </c>
      <c r="Z427" s="149" t="n">
        <f aca="false">Z426+'Volumes por intervalo'!O426</f>
        <v>114242.099999999</v>
      </c>
      <c r="AA427" s="149" t="n">
        <f aca="false">AA426+'Volumes por intervalo'!P426</f>
        <v>0</v>
      </c>
      <c r="AB427" s="149" t="n">
        <f aca="false">AB426+'Volumes por intervalo'!Q426</f>
        <v>0</v>
      </c>
      <c r="AC427" s="149" t="n">
        <f aca="false">AC426+'Volumes por intervalo'!R426</f>
        <v>0</v>
      </c>
      <c r="AD427" s="149" t="n">
        <f aca="false">AD426+'Volumes por intervalo'!S426</f>
        <v>0</v>
      </c>
    </row>
    <row r="428" customFormat="false" ht="15" hidden="false" customHeight="false" outlineLevel="0" collapsed="false">
      <c r="A428" s="138" t="s">
        <v>2089</v>
      </c>
      <c r="B428" s="146" t="n">
        <v>425</v>
      </c>
      <c r="C428" s="144" t="n">
        <v>8500</v>
      </c>
      <c r="D428" s="138" t="s">
        <v>1580</v>
      </c>
      <c r="E428" s="138" t="s">
        <v>1566</v>
      </c>
      <c r="F428" s="147" t="n">
        <v>14</v>
      </c>
      <c r="G428" s="148" t="n">
        <v>0</v>
      </c>
      <c r="H428" s="148" t="n">
        <v>0</v>
      </c>
      <c r="I428" s="138" t="s">
        <v>1642</v>
      </c>
      <c r="J428" s="138"/>
      <c r="K428" s="146" t="n">
        <f aca="false">Parâmetros!$C$4*(F428+2*Parâmetros!$D$4+Parâmetros!$C$4*Parâmetros!$E$4)</f>
        <v>0.7025</v>
      </c>
      <c r="L428" s="146" t="n">
        <f aca="false">Parâmetros!$C$5*(F428+2*Parâmetros!$D$5+Parâmetros!$C$5*Parâmetros!$E$5)</f>
        <v>2.2976</v>
      </c>
      <c r="M428" s="146" t="n">
        <f aca="false">Parâmetros!$C$6*(F428+2*Parâmetros!$D$6+Parâmetros!$C$6*Parâmetros!$E$6)</f>
        <v>2.984</v>
      </c>
      <c r="N428" s="146" t="n">
        <f aca="false">Parâmetros!$C$7*(F428+2*Parâmetros!$D$7+Parâmetros!$C$7*Parâmetros!$E$7)</f>
        <v>4.686</v>
      </c>
      <c r="O428" s="146" t="n">
        <f aca="false">F428+2*Parâmetros!$D$8</f>
        <v>14.2</v>
      </c>
      <c r="P428" s="146" t="n">
        <f aca="false">F428+2*Parâmetros!$D$10</f>
        <v>15.92</v>
      </c>
      <c r="Q428" s="146" t="n">
        <f aca="false">G428+H428</f>
        <v>0</v>
      </c>
      <c r="S428" s="149" t="n">
        <f aca="false">S427+'Volumes por intervalo'!C427*(F427+F428)/2</f>
        <v>98219.5</v>
      </c>
      <c r="T428" s="149" t="n">
        <f aca="false">T427+'Volumes por intervalo'!H427</f>
        <v>4932.22500000002</v>
      </c>
      <c r="U428" s="149" t="n">
        <f aca="false">U427+'Volumes por intervalo'!J427</f>
        <v>16204.7200000001</v>
      </c>
      <c r="V428" s="149" t="n">
        <f aca="false">V427+'Volumes por intervalo'!K427</f>
        <v>21207.9000000001</v>
      </c>
      <c r="W428" s="149" t="n">
        <f aca="false">W427+'Volumes por intervalo'!L427</f>
        <v>33596.8500000001</v>
      </c>
      <c r="X428" s="149" t="n">
        <f aca="false">X427+'Volumes por intervalo'!M427</f>
        <v>99919.5</v>
      </c>
      <c r="Y428" s="149" t="n">
        <f aca="false">Y427+'Volumes por intervalo'!N427</f>
        <v>99919.5</v>
      </c>
      <c r="Z428" s="149" t="n">
        <f aca="false">Z427+'Volumes por intervalo'!O427</f>
        <v>114539.499999999</v>
      </c>
      <c r="AA428" s="149" t="n">
        <f aca="false">AA427+'Volumes por intervalo'!P427</f>
        <v>0</v>
      </c>
      <c r="AB428" s="149" t="n">
        <f aca="false">AB427+'Volumes por intervalo'!Q427</f>
        <v>0</v>
      </c>
      <c r="AC428" s="149" t="n">
        <f aca="false">AC427+'Volumes por intervalo'!R427</f>
        <v>0</v>
      </c>
      <c r="AD428" s="149" t="n">
        <f aca="false">AD427+'Volumes por intervalo'!S427</f>
        <v>0</v>
      </c>
    </row>
    <row r="429" customFormat="false" ht="15" hidden="false" customHeight="false" outlineLevel="0" collapsed="false">
      <c r="A429" s="138" t="s">
        <v>2090</v>
      </c>
      <c r="B429" s="146" t="n">
        <v>426</v>
      </c>
      <c r="C429" s="144" t="n">
        <v>8520</v>
      </c>
      <c r="D429" s="138" t="s">
        <v>1580</v>
      </c>
      <c r="E429" s="138" t="s">
        <v>1566</v>
      </c>
      <c r="F429" s="147" t="n">
        <v>14</v>
      </c>
      <c r="G429" s="148" t="n">
        <v>0</v>
      </c>
      <c r="H429" s="148" t="n">
        <v>0</v>
      </c>
      <c r="I429" s="138" t="s">
        <v>1642</v>
      </c>
      <c r="J429" s="138" t="s">
        <v>1764</v>
      </c>
      <c r="K429" s="146" t="n">
        <f aca="false">Parâmetros!$C$4*(F429+2*Parâmetros!$D$4+Parâmetros!$C$4*Parâmetros!$E$4)</f>
        <v>0.7025</v>
      </c>
      <c r="L429" s="146" t="n">
        <f aca="false">Parâmetros!$C$5*(F429+2*Parâmetros!$D$5+Parâmetros!$C$5*Parâmetros!$E$5)</f>
        <v>2.2976</v>
      </c>
      <c r="M429" s="146" t="n">
        <f aca="false">Parâmetros!$C$6*(F429+2*Parâmetros!$D$6+Parâmetros!$C$6*Parâmetros!$E$6)</f>
        <v>2.984</v>
      </c>
      <c r="N429" s="146" t="n">
        <f aca="false">Parâmetros!$C$7*(F429+2*Parâmetros!$D$7+Parâmetros!$C$7*Parâmetros!$E$7)</f>
        <v>4.686</v>
      </c>
      <c r="O429" s="146" t="n">
        <f aca="false">F429+2*Parâmetros!$D$8</f>
        <v>14.2</v>
      </c>
      <c r="P429" s="146" t="n">
        <f aca="false">F429+2*Parâmetros!$D$10</f>
        <v>15.92</v>
      </c>
      <c r="Q429" s="146" t="n">
        <f aca="false">G429+H429</f>
        <v>0</v>
      </c>
      <c r="S429" s="149" t="n">
        <f aca="false">S428+'Volumes por intervalo'!C428*(F428+F429)/2</f>
        <v>98499.5</v>
      </c>
      <c r="T429" s="149" t="n">
        <f aca="false">T428+'Volumes por intervalo'!H428</f>
        <v>4946.27500000002</v>
      </c>
      <c r="U429" s="149" t="n">
        <f aca="false">U428+'Volumes por intervalo'!J428</f>
        <v>16250.6720000001</v>
      </c>
      <c r="V429" s="149" t="n">
        <f aca="false">V428+'Volumes por intervalo'!K428</f>
        <v>21267.5800000001</v>
      </c>
      <c r="W429" s="149" t="n">
        <f aca="false">W428+'Volumes por intervalo'!L428</f>
        <v>33690.5700000001</v>
      </c>
      <c r="X429" s="149" t="n">
        <f aca="false">X428+'Volumes por intervalo'!M428</f>
        <v>100203.5</v>
      </c>
      <c r="Y429" s="149" t="n">
        <f aca="false">Y428+'Volumes por intervalo'!N428</f>
        <v>100203.5</v>
      </c>
      <c r="Z429" s="149" t="n">
        <f aca="false">Z428+'Volumes por intervalo'!O428</f>
        <v>114857.899999999</v>
      </c>
      <c r="AA429" s="149" t="n">
        <f aca="false">AA428+'Volumes por intervalo'!P428</f>
        <v>0</v>
      </c>
      <c r="AB429" s="149" t="n">
        <f aca="false">AB428+'Volumes por intervalo'!Q428</f>
        <v>0</v>
      </c>
      <c r="AC429" s="149" t="n">
        <f aca="false">AC428+'Volumes por intervalo'!R428</f>
        <v>0</v>
      </c>
      <c r="AD429" s="149" t="n">
        <f aca="false">AD428+'Volumes por intervalo'!S428</f>
        <v>0</v>
      </c>
    </row>
    <row r="430" customFormat="false" ht="15" hidden="false" customHeight="false" outlineLevel="0" collapsed="false">
      <c r="A430" s="138" t="s">
        <v>2091</v>
      </c>
      <c r="B430" s="146" t="n">
        <v>427</v>
      </c>
      <c r="C430" s="144" t="n">
        <v>8540</v>
      </c>
      <c r="D430" s="138" t="s">
        <v>1580</v>
      </c>
      <c r="E430" s="138" t="s">
        <v>1566</v>
      </c>
      <c r="F430" s="147" t="n">
        <v>12.4</v>
      </c>
      <c r="G430" s="148" t="n">
        <v>0</v>
      </c>
      <c r="H430" s="148" t="n">
        <v>0</v>
      </c>
      <c r="I430" s="138" t="s">
        <v>1642</v>
      </c>
      <c r="J430" s="138" t="s">
        <v>1764</v>
      </c>
      <c r="K430" s="146" t="n">
        <f aca="false">Parâmetros!$C$4*(F430+2*Parâmetros!$D$4+Parâmetros!$C$4*Parâmetros!$E$4)</f>
        <v>0.6225</v>
      </c>
      <c r="L430" s="146" t="n">
        <f aca="false">Parâmetros!$C$5*(F430+2*Parâmetros!$D$5+Parâmetros!$C$5*Parâmetros!$E$5)</f>
        <v>2.0416</v>
      </c>
      <c r="M430" s="146" t="n">
        <f aca="false">Parâmetros!$C$6*(F430+2*Parâmetros!$D$6+Parâmetros!$C$6*Parâmetros!$E$6)</f>
        <v>2.664</v>
      </c>
      <c r="N430" s="146" t="n">
        <f aca="false">Parâmetros!$C$7*(F430+2*Parâmetros!$D$7+Parâmetros!$C$7*Parâmetros!$E$7)</f>
        <v>4.206</v>
      </c>
      <c r="O430" s="146" t="n">
        <f aca="false">F430+2*Parâmetros!$D$8</f>
        <v>12.6</v>
      </c>
      <c r="P430" s="146" t="n">
        <f aca="false">F430+2*Parâmetros!$D$10</f>
        <v>14.32</v>
      </c>
      <c r="Q430" s="146" t="n">
        <f aca="false">G430+H430</f>
        <v>0</v>
      </c>
      <c r="S430" s="149" t="n">
        <f aca="false">S429+'Volumes por intervalo'!C429*(F429+F430)/2</f>
        <v>98763.5</v>
      </c>
      <c r="T430" s="149" t="n">
        <f aca="false">T429+'Volumes por intervalo'!H429</f>
        <v>4959.52500000002</v>
      </c>
      <c r="U430" s="149" t="n">
        <f aca="false">U429+'Volumes por intervalo'!J429</f>
        <v>16294.0640000001</v>
      </c>
      <c r="V430" s="149" t="n">
        <f aca="false">V429+'Volumes por intervalo'!K429</f>
        <v>21324.0600000001</v>
      </c>
      <c r="W430" s="149" t="n">
        <f aca="false">W429+'Volumes por intervalo'!L429</f>
        <v>33779.4900000001</v>
      </c>
      <c r="X430" s="149" t="n">
        <f aca="false">X429+'Volumes por intervalo'!M429</f>
        <v>100471.5</v>
      </c>
      <c r="Y430" s="149" t="n">
        <f aca="false">Y429+'Volumes por intervalo'!N429</f>
        <v>100471.5</v>
      </c>
      <c r="Z430" s="149" t="n">
        <f aca="false">Z429+'Volumes por intervalo'!O429</f>
        <v>115160.299999999</v>
      </c>
      <c r="AA430" s="149" t="n">
        <f aca="false">AA429+'Volumes por intervalo'!P429</f>
        <v>0</v>
      </c>
      <c r="AB430" s="149" t="n">
        <f aca="false">AB429+'Volumes por intervalo'!Q429</f>
        <v>0</v>
      </c>
      <c r="AC430" s="149" t="n">
        <f aca="false">AC429+'Volumes por intervalo'!R429</f>
        <v>0</v>
      </c>
      <c r="AD430" s="149" t="n">
        <f aca="false">AD429+'Volumes por intervalo'!S429</f>
        <v>0</v>
      </c>
    </row>
    <row r="431" customFormat="false" ht="15" hidden="false" customHeight="false" outlineLevel="0" collapsed="false">
      <c r="A431" s="138" t="s">
        <v>2092</v>
      </c>
      <c r="B431" s="146" t="n">
        <v>428</v>
      </c>
      <c r="C431" s="144" t="n">
        <v>8560</v>
      </c>
      <c r="D431" s="138" t="s">
        <v>1580</v>
      </c>
      <c r="E431" s="138" t="s">
        <v>1566</v>
      </c>
      <c r="F431" s="147" t="n">
        <v>11</v>
      </c>
      <c r="G431" s="148" t="n">
        <v>0</v>
      </c>
      <c r="H431" s="148" t="n">
        <v>0</v>
      </c>
      <c r="I431" s="138" t="s">
        <v>1642</v>
      </c>
      <c r="J431" s="138" t="s">
        <v>1764</v>
      </c>
      <c r="K431" s="146" t="n">
        <f aca="false">Parâmetros!$C$4*(F431+2*Parâmetros!$D$4+Parâmetros!$C$4*Parâmetros!$E$4)</f>
        <v>0.5525</v>
      </c>
      <c r="L431" s="146" t="n">
        <f aca="false">Parâmetros!$C$5*(F431+2*Parâmetros!$D$5+Parâmetros!$C$5*Parâmetros!$E$5)</f>
        <v>1.8176</v>
      </c>
      <c r="M431" s="146" t="n">
        <f aca="false">Parâmetros!$C$6*(F431+2*Parâmetros!$D$6+Parâmetros!$C$6*Parâmetros!$E$6)</f>
        <v>2.384</v>
      </c>
      <c r="N431" s="146" t="n">
        <f aca="false">Parâmetros!$C$7*(F431+2*Parâmetros!$D$7+Parâmetros!$C$7*Parâmetros!$E$7)</f>
        <v>3.786</v>
      </c>
      <c r="O431" s="146" t="n">
        <f aca="false">F431+2*Parâmetros!$D$8</f>
        <v>11.2</v>
      </c>
      <c r="P431" s="146" t="n">
        <f aca="false">F431+2*Parâmetros!$D$10</f>
        <v>12.92</v>
      </c>
      <c r="Q431" s="146" t="n">
        <f aca="false">G431+H431</f>
        <v>0</v>
      </c>
      <c r="S431" s="149" t="n">
        <f aca="false">S430+'Volumes por intervalo'!C430*(F430+F431)/2</f>
        <v>98997.5</v>
      </c>
      <c r="T431" s="149" t="n">
        <f aca="false">T430+'Volumes por intervalo'!H430</f>
        <v>4971.27500000002</v>
      </c>
      <c r="U431" s="149" t="n">
        <f aca="false">U430+'Volumes por intervalo'!J430</f>
        <v>16332.6560000001</v>
      </c>
      <c r="V431" s="149" t="n">
        <f aca="false">V430+'Volumes por intervalo'!K430</f>
        <v>21374.5400000001</v>
      </c>
      <c r="W431" s="149" t="n">
        <f aca="false">W430+'Volumes por intervalo'!L430</f>
        <v>33859.4100000001</v>
      </c>
      <c r="X431" s="149" t="n">
        <f aca="false">X430+'Volumes por intervalo'!M430</f>
        <v>100709.5</v>
      </c>
      <c r="Y431" s="149" t="n">
        <f aca="false">Y430+'Volumes por intervalo'!N430</f>
        <v>100709.5</v>
      </c>
      <c r="Z431" s="149" t="n">
        <f aca="false">Z430+'Volumes por intervalo'!O430</f>
        <v>115432.699999999</v>
      </c>
      <c r="AA431" s="149" t="n">
        <f aca="false">AA430+'Volumes por intervalo'!P430</f>
        <v>0</v>
      </c>
      <c r="AB431" s="149" t="n">
        <f aca="false">AB430+'Volumes por intervalo'!Q430</f>
        <v>0</v>
      </c>
      <c r="AC431" s="149" t="n">
        <f aca="false">AC430+'Volumes por intervalo'!R430</f>
        <v>0</v>
      </c>
      <c r="AD431" s="149" t="n">
        <f aca="false">AD430+'Volumes por intervalo'!S430</f>
        <v>0</v>
      </c>
    </row>
    <row r="432" customFormat="false" ht="15" hidden="false" customHeight="false" outlineLevel="0" collapsed="false">
      <c r="A432" s="138" t="s">
        <v>2093</v>
      </c>
      <c r="B432" s="146" t="n">
        <v>429</v>
      </c>
      <c r="C432" s="144" t="n">
        <v>8580</v>
      </c>
      <c r="D432" s="138" t="s">
        <v>1580</v>
      </c>
      <c r="E432" s="138" t="s">
        <v>1566</v>
      </c>
      <c r="F432" s="147" t="n">
        <v>11</v>
      </c>
      <c r="G432" s="148" t="n">
        <v>0</v>
      </c>
      <c r="H432" s="148" t="n">
        <v>0</v>
      </c>
      <c r="I432" s="138" t="s">
        <v>1642</v>
      </c>
      <c r="J432" s="138" t="s">
        <v>1764</v>
      </c>
      <c r="K432" s="146" t="n">
        <f aca="false">Parâmetros!$C$4*(F432+2*Parâmetros!$D$4+Parâmetros!$C$4*Parâmetros!$E$4)</f>
        <v>0.5525</v>
      </c>
      <c r="L432" s="146" t="n">
        <f aca="false">Parâmetros!$C$5*(F432+2*Parâmetros!$D$5+Parâmetros!$C$5*Parâmetros!$E$5)</f>
        <v>1.8176</v>
      </c>
      <c r="M432" s="146" t="n">
        <f aca="false">Parâmetros!$C$6*(F432+2*Parâmetros!$D$6+Parâmetros!$C$6*Parâmetros!$E$6)</f>
        <v>2.384</v>
      </c>
      <c r="N432" s="146" t="n">
        <f aca="false">Parâmetros!$C$7*(F432+2*Parâmetros!$D$7+Parâmetros!$C$7*Parâmetros!$E$7)</f>
        <v>3.786</v>
      </c>
      <c r="O432" s="146" t="n">
        <f aca="false">F432+2*Parâmetros!$D$8</f>
        <v>11.2</v>
      </c>
      <c r="P432" s="146" t="n">
        <f aca="false">F432+2*Parâmetros!$D$10</f>
        <v>12.92</v>
      </c>
      <c r="Q432" s="146" t="n">
        <f aca="false">G432+H432</f>
        <v>0</v>
      </c>
      <c r="S432" s="149" t="n">
        <f aca="false">S431+'Volumes por intervalo'!C431*(F431+F432)/2</f>
        <v>99217.5</v>
      </c>
      <c r="T432" s="149" t="n">
        <f aca="false">T431+'Volumes por intervalo'!H431</f>
        <v>4982.32500000002</v>
      </c>
      <c r="U432" s="149" t="n">
        <f aca="false">U431+'Volumes por intervalo'!J431</f>
        <v>16369.0080000001</v>
      </c>
      <c r="V432" s="149" t="n">
        <f aca="false">V431+'Volumes por intervalo'!K431</f>
        <v>21422.2200000001</v>
      </c>
      <c r="W432" s="149" t="n">
        <f aca="false">W431+'Volumes por intervalo'!L431</f>
        <v>33935.1300000001</v>
      </c>
      <c r="X432" s="149" t="n">
        <f aca="false">X431+'Volumes por intervalo'!M431</f>
        <v>100933.5</v>
      </c>
      <c r="Y432" s="149" t="n">
        <f aca="false">Y431+'Volumes por intervalo'!N431</f>
        <v>100933.5</v>
      </c>
      <c r="Z432" s="149" t="n">
        <f aca="false">Z431+'Volumes por intervalo'!O431</f>
        <v>115691.099999999</v>
      </c>
      <c r="AA432" s="149" t="n">
        <f aca="false">AA431+'Volumes por intervalo'!P431</f>
        <v>0</v>
      </c>
      <c r="AB432" s="149" t="n">
        <f aca="false">AB431+'Volumes por intervalo'!Q431</f>
        <v>0</v>
      </c>
      <c r="AC432" s="149" t="n">
        <f aca="false">AC431+'Volumes por intervalo'!R431</f>
        <v>0</v>
      </c>
      <c r="AD432" s="149" t="n">
        <f aca="false">AD431+'Volumes por intervalo'!S431</f>
        <v>0</v>
      </c>
    </row>
    <row r="433" customFormat="false" ht="15" hidden="false" customHeight="false" outlineLevel="0" collapsed="false">
      <c r="A433" s="138" t="s">
        <v>2094</v>
      </c>
      <c r="B433" s="146" t="n">
        <v>430</v>
      </c>
      <c r="C433" s="144" t="n">
        <v>8600</v>
      </c>
      <c r="D433" s="138" t="s">
        <v>1580</v>
      </c>
      <c r="E433" s="138" t="s">
        <v>1566</v>
      </c>
      <c r="F433" s="147" t="n">
        <v>11</v>
      </c>
      <c r="G433" s="148" t="n">
        <v>0</v>
      </c>
      <c r="H433" s="148" t="n">
        <v>0</v>
      </c>
      <c r="I433" s="138" t="s">
        <v>1642</v>
      </c>
      <c r="J433" s="138" t="s">
        <v>1764</v>
      </c>
      <c r="K433" s="146" t="n">
        <f aca="false">Parâmetros!$C$4*(F433+2*Parâmetros!$D$4+Parâmetros!$C$4*Parâmetros!$E$4)</f>
        <v>0.5525</v>
      </c>
      <c r="L433" s="146" t="n">
        <f aca="false">Parâmetros!$C$5*(F433+2*Parâmetros!$D$5+Parâmetros!$C$5*Parâmetros!$E$5)</f>
        <v>1.8176</v>
      </c>
      <c r="M433" s="146" t="n">
        <f aca="false">Parâmetros!$C$6*(F433+2*Parâmetros!$D$6+Parâmetros!$C$6*Parâmetros!$E$6)</f>
        <v>2.384</v>
      </c>
      <c r="N433" s="146" t="n">
        <f aca="false">Parâmetros!$C$7*(F433+2*Parâmetros!$D$7+Parâmetros!$C$7*Parâmetros!$E$7)</f>
        <v>3.786</v>
      </c>
      <c r="O433" s="146" t="n">
        <f aca="false">F433+2*Parâmetros!$D$8</f>
        <v>11.2</v>
      </c>
      <c r="P433" s="146" t="n">
        <f aca="false">F433+2*Parâmetros!$D$10</f>
        <v>12.92</v>
      </c>
      <c r="Q433" s="146" t="n">
        <f aca="false">G433+H433</f>
        <v>0</v>
      </c>
      <c r="S433" s="149" t="n">
        <f aca="false">S432+'Volumes por intervalo'!C432*(F432+F433)/2</f>
        <v>99437.5</v>
      </c>
      <c r="T433" s="149" t="n">
        <f aca="false">T432+'Volumes por intervalo'!H432</f>
        <v>4993.37500000003</v>
      </c>
      <c r="U433" s="149" t="n">
        <f aca="false">U432+'Volumes por intervalo'!J432</f>
        <v>16405.3600000001</v>
      </c>
      <c r="V433" s="149" t="n">
        <f aca="false">V432+'Volumes por intervalo'!K432</f>
        <v>21469.9000000001</v>
      </c>
      <c r="W433" s="149" t="n">
        <f aca="false">W432+'Volumes por intervalo'!L432</f>
        <v>34010.8500000001</v>
      </c>
      <c r="X433" s="149" t="n">
        <f aca="false">X432+'Volumes por intervalo'!M432</f>
        <v>101157.5</v>
      </c>
      <c r="Y433" s="149" t="n">
        <f aca="false">Y432+'Volumes por intervalo'!N432</f>
        <v>101157.5</v>
      </c>
      <c r="Z433" s="149" t="n">
        <f aca="false">Z432+'Volumes por intervalo'!O432</f>
        <v>115949.499999999</v>
      </c>
      <c r="AA433" s="149" t="n">
        <f aca="false">AA432+'Volumes por intervalo'!P432</f>
        <v>0</v>
      </c>
      <c r="AB433" s="149" t="n">
        <f aca="false">AB432+'Volumes por intervalo'!Q432</f>
        <v>0</v>
      </c>
      <c r="AC433" s="149" t="n">
        <f aca="false">AC432+'Volumes por intervalo'!R432</f>
        <v>0</v>
      </c>
      <c r="AD433" s="149" t="n">
        <f aca="false">AD432+'Volumes por intervalo'!S432</f>
        <v>0</v>
      </c>
    </row>
    <row r="434" customFormat="false" ht="15" hidden="false" customHeight="false" outlineLevel="0" collapsed="false">
      <c r="A434" s="138" t="s">
        <v>2095</v>
      </c>
      <c r="B434" s="146" t="n">
        <v>431</v>
      </c>
      <c r="C434" s="144" t="n">
        <v>8620</v>
      </c>
      <c r="D434" s="138" t="s">
        <v>1580</v>
      </c>
      <c r="E434" s="138" t="s">
        <v>1566</v>
      </c>
      <c r="F434" s="147" t="n">
        <v>11</v>
      </c>
      <c r="G434" s="148" t="n">
        <v>0</v>
      </c>
      <c r="H434" s="148" t="n">
        <v>0</v>
      </c>
      <c r="I434" s="138" t="s">
        <v>1642</v>
      </c>
      <c r="J434" s="138"/>
      <c r="K434" s="146" t="n">
        <f aca="false">Parâmetros!$C$4*(F434+2*Parâmetros!$D$4+Parâmetros!$C$4*Parâmetros!$E$4)</f>
        <v>0.5525</v>
      </c>
      <c r="L434" s="146" t="n">
        <f aca="false">Parâmetros!$C$5*(F434+2*Parâmetros!$D$5+Parâmetros!$C$5*Parâmetros!$E$5)</f>
        <v>1.8176</v>
      </c>
      <c r="M434" s="146" t="n">
        <f aca="false">Parâmetros!$C$6*(F434+2*Parâmetros!$D$6+Parâmetros!$C$6*Parâmetros!$E$6)</f>
        <v>2.384</v>
      </c>
      <c r="N434" s="146" t="n">
        <f aca="false">Parâmetros!$C$7*(F434+2*Parâmetros!$D$7+Parâmetros!$C$7*Parâmetros!$E$7)</f>
        <v>3.786</v>
      </c>
      <c r="O434" s="146" t="n">
        <f aca="false">F434+2*Parâmetros!$D$8</f>
        <v>11.2</v>
      </c>
      <c r="P434" s="146" t="n">
        <f aca="false">F434+2*Parâmetros!$D$10</f>
        <v>12.92</v>
      </c>
      <c r="Q434" s="146" t="n">
        <f aca="false">G434+H434</f>
        <v>0</v>
      </c>
      <c r="S434" s="149" t="n">
        <f aca="false">S433+'Volumes por intervalo'!C433*(F433+F434)/2</f>
        <v>99657.5</v>
      </c>
      <c r="T434" s="149" t="n">
        <f aca="false">T433+'Volumes por intervalo'!H433</f>
        <v>5004.42500000003</v>
      </c>
      <c r="U434" s="149" t="n">
        <f aca="false">U433+'Volumes por intervalo'!J433</f>
        <v>16441.7120000001</v>
      </c>
      <c r="V434" s="149" t="n">
        <f aca="false">V433+'Volumes por intervalo'!K433</f>
        <v>21517.5800000001</v>
      </c>
      <c r="W434" s="149" t="n">
        <f aca="false">W433+'Volumes por intervalo'!L433</f>
        <v>34086.5700000001</v>
      </c>
      <c r="X434" s="149" t="n">
        <f aca="false">X433+'Volumes por intervalo'!M433</f>
        <v>101381.5</v>
      </c>
      <c r="Y434" s="149" t="n">
        <f aca="false">Y433+'Volumes por intervalo'!N433</f>
        <v>101381.5</v>
      </c>
      <c r="Z434" s="149" t="n">
        <f aca="false">Z433+'Volumes por intervalo'!O433</f>
        <v>116207.899999999</v>
      </c>
      <c r="AA434" s="149" t="n">
        <f aca="false">AA433+'Volumes por intervalo'!P433</f>
        <v>0</v>
      </c>
      <c r="AB434" s="149" t="n">
        <f aca="false">AB433+'Volumes por intervalo'!Q433</f>
        <v>0</v>
      </c>
      <c r="AC434" s="149" t="n">
        <f aca="false">AC433+'Volumes por intervalo'!R433</f>
        <v>0</v>
      </c>
      <c r="AD434" s="149" t="n">
        <f aca="false">AD433+'Volumes por intervalo'!S433</f>
        <v>0</v>
      </c>
    </row>
    <row r="435" customFormat="false" ht="15" hidden="false" customHeight="false" outlineLevel="0" collapsed="false">
      <c r="A435" s="138" t="s">
        <v>2096</v>
      </c>
      <c r="B435" s="146" t="n">
        <v>432</v>
      </c>
      <c r="C435" s="144" t="n">
        <v>8640</v>
      </c>
      <c r="D435" s="138" t="s">
        <v>1580</v>
      </c>
      <c r="E435" s="138" t="s">
        <v>1566</v>
      </c>
      <c r="F435" s="147" t="n">
        <v>11</v>
      </c>
      <c r="G435" s="148" t="n">
        <v>0</v>
      </c>
      <c r="H435" s="148" t="n">
        <v>0</v>
      </c>
      <c r="I435" s="138" t="s">
        <v>1642</v>
      </c>
      <c r="J435" s="138"/>
      <c r="K435" s="146" t="n">
        <f aca="false">Parâmetros!$C$4*(F435+2*Parâmetros!$D$4+Parâmetros!$C$4*Parâmetros!$E$4)</f>
        <v>0.5525</v>
      </c>
      <c r="L435" s="146" t="n">
        <f aca="false">Parâmetros!$C$5*(F435+2*Parâmetros!$D$5+Parâmetros!$C$5*Parâmetros!$E$5)</f>
        <v>1.8176</v>
      </c>
      <c r="M435" s="146" t="n">
        <f aca="false">Parâmetros!$C$6*(F435+2*Parâmetros!$D$6+Parâmetros!$C$6*Parâmetros!$E$6)</f>
        <v>2.384</v>
      </c>
      <c r="N435" s="146" t="n">
        <f aca="false">Parâmetros!$C$7*(F435+2*Parâmetros!$D$7+Parâmetros!$C$7*Parâmetros!$E$7)</f>
        <v>3.786</v>
      </c>
      <c r="O435" s="146" t="n">
        <f aca="false">F435+2*Parâmetros!$D$8</f>
        <v>11.2</v>
      </c>
      <c r="P435" s="146" t="n">
        <f aca="false">F435+2*Parâmetros!$D$10</f>
        <v>12.92</v>
      </c>
      <c r="Q435" s="146" t="n">
        <f aca="false">G435+H435</f>
        <v>0</v>
      </c>
      <c r="S435" s="149" t="n">
        <f aca="false">S434+'Volumes por intervalo'!C434*(F434+F435)/2</f>
        <v>99877.5</v>
      </c>
      <c r="T435" s="149" t="n">
        <f aca="false">T434+'Volumes por intervalo'!H434</f>
        <v>5015.47500000003</v>
      </c>
      <c r="U435" s="149" t="n">
        <f aca="false">U434+'Volumes por intervalo'!J434</f>
        <v>16478.0640000001</v>
      </c>
      <c r="V435" s="149" t="n">
        <f aca="false">V434+'Volumes por intervalo'!K434</f>
        <v>21565.2600000001</v>
      </c>
      <c r="W435" s="149" t="n">
        <f aca="false">W434+'Volumes por intervalo'!L434</f>
        <v>34162.2900000001</v>
      </c>
      <c r="X435" s="149" t="n">
        <f aca="false">X434+'Volumes por intervalo'!M434</f>
        <v>101605.5</v>
      </c>
      <c r="Y435" s="149" t="n">
        <f aca="false">Y434+'Volumes por intervalo'!N434</f>
        <v>101605.5</v>
      </c>
      <c r="Z435" s="149" t="n">
        <f aca="false">Z434+'Volumes por intervalo'!O434</f>
        <v>116466.299999999</v>
      </c>
      <c r="AA435" s="149" t="n">
        <f aca="false">AA434+'Volumes por intervalo'!P434</f>
        <v>0</v>
      </c>
      <c r="AB435" s="149" t="n">
        <f aca="false">AB434+'Volumes por intervalo'!Q434</f>
        <v>0</v>
      </c>
      <c r="AC435" s="149" t="n">
        <f aca="false">AC434+'Volumes por intervalo'!R434</f>
        <v>0</v>
      </c>
      <c r="AD435" s="149" t="n">
        <f aca="false">AD434+'Volumes por intervalo'!S434</f>
        <v>0</v>
      </c>
    </row>
    <row r="436" customFormat="false" ht="15" hidden="false" customHeight="false" outlineLevel="0" collapsed="false">
      <c r="A436" s="138" t="s">
        <v>2097</v>
      </c>
      <c r="B436" s="146" t="n">
        <v>433</v>
      </c>
      <c r="C436" s="144" t="n">
        <v>8660</v>
      </c>
      <c r="D436" s="138" t="s">
        <v>1580</v>
      </c>
      <c r="E436" s="138" t="s">
        <v>1566</v>
      </c>
      <c r="F436" s="147" t="n">
        <v>11</v>
      </c>
      <c r="G436" s="148" t="n">
        <v>0</v>
      </c>
      <c r="H436" s="148" t="n">
        <v>0</v>
      </c>
      <c r="I436" s="138" t="s">
        <v>1642</v>
      </c>
      <c r="J436" s="138"/>
      <c r="K436" s="146" t="n">
        <f aca="false">Parâmetros!$C$4*(F436+2*Parâmetros!$D$4+Parâmetros!$C$4*Parâmetros!$E$4)</f>
        <v>0.5525</v>
      </c>
      <c r="L436" s="146" t="n">
        <f aca="false">Parâmetros!$C$5*(F436+2*Parâmetros!$D$5+Parâmetros!$C$5*Parâmetros!$E$5)</f>
        <v>1.8176</v>
      </c>
      <c r="M436" s="146" t="n">
        <f aca="false">Parâmetros!$C$6*(F436+2*Parâmetros!$D$6+Parâmetros!$C$6*Parâmetros!$E$6)</f>
        <v>2.384</v>
      </c>
      <c r="N436" s="146" t="n">
        <f aca="false">Parâmetros!$C$7*(F436+2*Parâmetros!$D$7+Parâmetros!$C$7*Parâmetros!$E$7)</f>
        <v>3.786</v>
      </c>
      <c r="O436" s="146" t="n">
        <f aca="false">F436+2*Parâmetros!$D$8</f>
        <v>11.2</v>
      </c>
      <c r="P436" s="146" t="n">
        <f aca="false">F436+2*Parâmetros!$D$10</f>
        <v>12.92</v>
      </c>
      <c r="Q436" s="146" t="n">
        <f aca="false">G436+H436</f>
        <v>0</v>
      </c>
      <c r="S436" s="149" t="n">
        <f aca="false">S435+'Volumes por intervalo'!C435*(F435+F436)/2</f>
        <v>100097.5</v>
      </c>
      <c r="T436" s="149" t="n">
        <f aca="false">T435+'Volumes por intervalo'!H435</f>
        <v>5026.52500000003</v>
      </c>
      <c r="U436" s="149" t="n">
        <f aca="false">U435+'Volumes por intervalo'!J435</f>
        <v>16514.4160000001</v>
      </c>
      <c r="V436" s="149" t="n">
        <f aca="false">V435+'Volumes por intervalo'!K435</f>
        <v>21612.9400000001</v>
      </c>
      <c r="W436" s="149" t="n">
        <f aca="false">W435+'Volumes por intervalo'!L435</f>
        <v>34238.0100000001</v>
      </c>
      <c r="X436" s="149" t="n">
        <f aca="false">X435+'Volumes por intervalo'!M435</f>
        <v>101829.5</v>
      </c>
      <c r="Y436" s="149" t="n">
        <f aca="false">Y435+'Volumes por intervalo'!N435</f>
        <v>101829.5</v>
      </c>
      <c r="Z436" s="149" t="n">
        <f aca="false">Z435+'Volumes por intervalo'!O435</f>
        <v>116724.699999999</v>
      </c>
      <c r="AA436" s="149" t="n">
        <f aca="false">AA435+'Volumes por intervalo'!P435</f>
        <v>0</v>
      </c>
      <c r="AB436" s="149" t="n">
        <f aca="false">AB435+'Volumes por intervalo'!Q435</f>
        <v>0</v>
      </c>
      <c r="AC436" s="149" t="n">
        <f aca="false">AC435+'Volumes por intervalo'!R435</f>
        <v>0</v>
      </c>
      <c r="AD436" s="149" t="n">
        <f aca="false">AD435+'Volumes por intervalo'!S435</f>
        <v>0</v>
      </c>
    </row>
    <row r="437" customFormat="false" ht="15" hidden="false" customHeight="false" outlineLevel="0" collapsed="false">
      <c r="A437" s="138" t="s">
        <v>2098</v>
      </c>
      <c r="B437" s="146" t="n">
        <v>434</v>
      </c>
      <c r="C437" s="144" t="n">
        <v>8680</v>
      </c>
      <c r="D437" s="138" t="s">
        <v>1580</v>
      </c>
      <c r="E437" s="138" t="s">
        <v>1566</v>
      </c>
      <c r="F437" s="147" t="n">
        <v>11</v>
      </c>
      <c r="G437" s="148" t="n">
        <v>0</v>
      </c>
      <c r="H437" s="148" t="n">
        <v>0</v>
      </c>
      <c r="I437" s="138" t="s">
        <v>1642</v>
      </c>
      <c r="J437" s="138"/>
      <c r="K437" s="146" t="n">
        <f aca="false">Parâmetros!$C$4*(F437+2*Parâmetros!$D$4+Parâmetros!$C$4*Parâmetros!$E$4)</f>
        <v>0.5525</v>
      </c>
      <c r="L437" s="146" t="n">
        <f aca="false">Parâmetros!$C$5*(F437+2*Parâmetros!$D$5+Parâmetros!$C$5*Parâmetros!$E$5)</f>
        <v>1.8176</v>
      </c>
      <c r="M437" s="146" t="n">
        <f aca="false">Parâmetros!$C$6*(F437+2*Parâmetros!$D$6+Parâmetros!$C$6*Parâmetros!$E$6)</f>
        <v>2.384</v>
      </c>
      <c r="N437" s="146" t="n">
        <f aca="false">Parâmetros!$C$7*(F437+2*Parâmetros!$D$7+Parâmetros!$C$7*Parâmetros!$E$7)</f>
        <v>3.786</v>
      </c>
      <c r="O437" s="146" t="n">
        <f aca="false">F437+2*Parâmetros!$D$8</f>
        <v>11.2</v>
      </c>
      <c r="P437" s="146" t="n">
        <f aca="false">F437+2*Parâmetros!$D$10</f>
        <v>12.92</v>
      </c>
      <c r="Q437" s="146" t="n">
        <f aca="false">G437+H437</f>
        <v>0</v>
      </c>
      <c r="S437" s="149" t="n">
        <f aca="false">S436+'Volumes por intervalo'!C436*(F436+F437)/2</f>
        <v>100317.5</v>
      </c>
      <c r="T437" s="149" t="n">
        <f aca="false">T436+'Volumes por intervalo'!H436</f>
        <v>5037.57500000003</v>
      </c>
      <c r="U437" s="149" t="n">
        <f aca="false">U436+'Volumes por intervalo'!J436</f>
        <v>16550.7680000001</v>
      </c>
      <c r="V437" s="149" t="n">
        <f aca="false">V436+'Volumes por intervalo'!K436</f>
        <v>21660.6200000001</v>
      </c>
      <c r="W437" s="149" t="n">
        <f aca="false">W436+'Volumes por intervalo'!L436</f>
        <v>34313.7300000001</v>
      </c>
      <c r="X437" s="149" t="n">
        <f aca="false">X436+'Volumes por intervalo'!M436</f>
        <v>102053.5</v>
      </c>
      <c r="Y437" s="149" t="n">
        <f aca="false">Y436+'Volumes por intervalo'!N436</f>
        <v>102053.5</v>
      </c>
      <c r="Z437" s="149" t="n">
        <f aca="false">Z436+'Volumes por intervalo'!O436</f>
        <v>116983.099999999</v>
      </c>
      <c r="AA437" s="149" t="n">
        <f aca="false">AA436+'Volumes por intervalo'!P436</f>
        <v>0</v>
      </c>
      <c r="AB437" s="149" t="n">
        <f aca="false">AB436+'Volumes por intervalo'!Q436</f>
        <v>0</v>
      </c>
      <c r="AC437" s="149" t="n">
        <f aca="false">AC436+'Volumes por intervalo'!R436</f>
        <v>0</v>
      </c>
      <c r="AD437" s="149" t="n">
        <f aca="false">AD436+'Volumes por intervalo'!S436</f>
        <v>0</v>
      </c>
    </row>
    <row r="438" customFormat="false" ht="15" hidden="false" customHeight="false" outlineLevel="0" collapsed="false">
      <c r="A438" s="138" t="s">
        <v>2099</v>
      </c>
      <c r="B438" s="146" t="n">
        <v>435</v>
      </c>
      <c r="C438" s="144" t="n">
        <v>8700</v>
      </c>
      <c r="D438" s="138" t="s">
        <v>1580</v>
      </c>
      <c r="E438" s="138" t="s">
        <v>1566</v>
      </c>
      <c r="F438" s="147" t="n">
        <v>11</v>
      </c>
      <c r="G438" s="148" t="n">
        <v>0</v>
      </c>
      <c r="H438" s="148" t="n">
        <v>0</v>
      </c>
      <c r="I438" s="138" t="s">
        <v>1642</v>
      </c>
      <c r="J438" s="138"/>
      <c r="K438" s="146" t="n">
        <f aca="false">Parâmetros!$C$4*(F438+2*Parâmetros!$D$4+Parâmetros!$C$4*Parâmetros!$E$4)</f>
        <v>0.5525</v>
      </c>
      <c r="L438" s="146" t="n">
        <f aca="false">Parâmetros!$C$5*(F438+2*Parâmetros!$D$5+Parâmetros!$C$5*Parâmetros!$E$5)</f>
        <v>1.8176</v>
      </c>
      <c r="M438" s="146" t="n">
        <f aca="false">Parâmetros!$C$6*(F438+2*Parâmetros!$D$6+Parâmetros!$C$6*Parâmetros!$E$6)</f>
        <v>2.384</v>
      </c>
      <c r="N438" s="146" t="n">
        <f aca="false">Parâmetros!$C$7*(F438+2*Parâmetros!$D$7+Parâmetros!$C$7*Parâmetros!$E$7)</f>
        <v>3.786</v>
      </c>
      <c r="O438" s="146" t="n">
        <f aca="false">F438+2*Parâmetros!$D$8</f>
        <v>11.2</v>
      </c>
      <c r="P438" s="146" t="n">
        <f aca="false">F438+2*Parâmetros!$D$10</f>
        <v>12.92</v>
      </c>
      <c r="Q438" s="146" t="n">
        <f aca="false">G438+H438</f>
        <v>0</v>
      </c>
      <c r="S438" s="149" t="n">
        <f aca="false">S437+'Volumes por intervalo'!C437*(F437+F438)/2</f>
        <v>100537.5</v>
      </c>
      <c r="T438" s="149" t="n">
        <f aca="false">T437+'Volumes por intervalo'!H437</f>
        <v>5048.62500000003</v>
      </c>
      <c r="U438" s="149" t="n">
        <f aca="false">U437+'Volumes por intervalo'!J437</f>
        <v>16587.1200000001</v>
      </c>
      <c r="V438" s="149" t="n">
        <f aca="false">V437+'Volumes por intervalo'!K437</f>
        <v>21708.3000000001</v>
      </c>
      <c r="W438" s="149" t="n">
        <f aca="false">W437+'Volumes por intervalo'!L437</f>
        <v>34389.4500000001</v>
      </c>
      <c r="X438" s="149" t="n">
        <f aca="false">X437+'Volumes por intervalo'!M437</f>
        <v>102277.5</v>
      </c>
      <c r="Y438" s="149" t="n">
        <f aca="false">Y437+'Volumes por intervalo'!N437</f>
        <v>102277.5</v>
      </c>
      <c r="Z438" s="149" t="n">
        <f aca="false">Z437+'Volumes por intervalo'!O437</f>
        <v>117241.499999999</v>
      </c>
      <c r="AA438" s="149" t="n">
        <f aca="false">AA437+'Volumes por intervalo'!P437</f>
        <v>0</v>
      </c>
      <c r="AB438" s="149" t="n">
        <f aca="false">AB437+'Volumes por intervalo'!Q437</f>
        <v>0</v>
      </c>
      <c r="AC438" s="149" t="n">
        <f aca="false">AC437+'Volumes por intervalo'!R437</f>
        <v>0</v>
      </c>
      <c r="AD438" s="149" t="n">
        <f aca="false">AD437+'Volumes por intervalo'!S437</f>
        <v>0</v>
      </c>
    </row>
    <row r="439" customFormat="false" ht="15" hidden="false" customHeight="false" outlineLevel="0" collapsed="false">
      <c r="A439" s="138" t="s">
        <v>2100</v>
      </c>
      <c r="B439" s="146" t="n">
        <v>436</v>
      </c>
      <c r="C439" s="144" t="n">
        <v>8720</v>
      </c>
      <c r="D439" s="138" t="s">
        <v>1580</v>
      </c>
      <c r="E439" s="138" t="s">
        <v>1566</v>
      </c>
      <c r="F439" s="147" t="n">
        <v>11</v>
      </c>
      <c r="G439" s="148" t="n">
        <v>0</v>
      </c>
      <c r="H439" s="148" t="n">
        <v>0</v>
      </c>
      <c r="I439" s="138" t="s">
        <v>1642</v>
      </c>
      <c r="J439" s="138"/>
      <c r="K439" s="146" t="n">
        <f aca="false">Parâmetros!$C$4*(F439+2*Parâmetros!$D$4+Parâmetros!$C$4*Parâmetros!$E$4)</f>
        <v>0.5525</v>
      </c>
      <c r="L439" s="146" t="n">
        <f aca="false">Parâmetros!$C$5*(F439+2*Parâmetros!$D$5+Parâmetros!$C$5*Parâmetros!$E$5)</f>
        <v>1.8176</v>
      </c>
      <c r="M439" s="146" t="n">
        <f aca="false">Parâmetros!$C$6*(F439+2*Parâmetros!$D$6+Parâmetros!$C$6*Parâmetros!$E$6)</f>
        <v>2.384</v>
      </c>
      <c r="N439" s="146" t="n">
        <f aca="false">Parâmetros!$C$7*(F439+2*Parâmetros!$D$7+Parâmetros!$C$7*Parâmetros!$E$7)</f>
        <v>3.786</v>
      </c>
      <c r="O439" s="146" t="n">
        <f aca="false">F439+2*Parâmetros!$D$8</f>
        <v>11.2</v>
      </c>
      <c r="P439" s="146" t="n">
        <f aca="false">F439+2*Parâmetros!$D$10</f>
        <v>12.92</v>
      </c>
      <c r="Q439" s="146" t="n">
        <f aca="false">G439+H439</f>
        <v>0</v>
      </c>
      <c r="S439" s="149" t="n">
        <f aca="false">S438+'Volumes por intervalo'!C438*(F438+F439)/2</f>
        <v>100757.5</v>
      </c>
      <c r="T439" s="149" t="n">
        <f aca="false">T438+'Volumes por intervalo'!H438</f>
        <v>5059.67500000003</v>
      </c>
      <c r="U439" s="149" t="n">
        <f aca="false">U438+'Volumes por intervalo'!J438</f>
        <v>16623.4720000001</v>
      </c>
      <c r="V439" s="149" t="n">
        <f aca="false">V438+'Volumes por intervalo'!K438</f>
        <v>21755.9800000001</v>
      </c>
      <c r="W439" s="149" t="n">
        <f aca="false">W438+'Volumes por intervalo'!L438</f>
        <v>34465.1700000001</v>
      </c>
      <c r="X439" s="149" t="n">
        <f aca="false">X438+'Volumes por intervalo'!M438</f>
        <v>102501.5</v>
      </c>
      <c r="Y439" s="149" t="n">
        <f aca="false">Y438+'Volumes por intervalo'!N438</f>
        <v>102501.5</v>
      </c>
      <c r="Z439" s="149" t="n">
        <f aca="false">Z438+'Volumes por intervalo'!O438</f>
        <v>117499.899999999</v>
      </c>
      <c r="AA439" s="149" t="n">
        <f aca="false">AA438+'Volumes por intervalo'!P438</f>
        <v>0</v>
      </c>
      <c r="AB439" s="149" t="n">
        <f aca="false">AB438+'Volumes por intervalo'!Q438</f>
        <v>0</v>
      </c>
      <c r="AC439" s="149" t="n">
        <f aca="false">AC438+'Volumes por intervalo'!R438</f>
        <v>0</v>
      </c>
      <c r="AD439" s="149" t="n">
        <f aca="false">AD438+'Volumes por intervalo'!S438</f>
        <v>0</v>
      </c>
    </row>
    <row r="440" customFormat="false" ht="15" hidden="false" customHeight="false" outlineLevel="0" collapsed="false">
      <c r="A440" s="138" t="s">
        <v>2101</v>
      </c>
      <c r="B440" s="146" t="n">
        <v>437</v>
      </c>
      <c r="C440" s="144" t="n">
        <v>8740</v>
      </c>
      <c r="D440" s="138" t="s">
        <v>1580</v>
      </c>
      <c r="E440" s="138" t="s">
        <v>1566</v>
      </c>
      <c r="F440" s="147" t="n">
        <v>11</v>
      </c>
      <c r="G440" s="148" t="n">
        <v>0</v>
      </c>
      <c r="H440" s="148" t="n">
        <v>0</v>
      </c>
      <c r="I440" s="138" t="s">
        <v>1642</v>
      </c>
      <c r="J440" s="138"/>
      <c r="K440" s="146" t="n">
        <f aca="false">Parâmetros!$C$4*(F440+2*Parâmetros!$D$4+Parâmetros!$C$4*Parâmetros!$E$4)</f>
        <v>0.5525</v>
      </c>
      <c r="L440" s="146" t="n">
        <f aca="false">Parâmetros!$C$5*(F440+2*Parâmetros!$D$5+Parâmetros!$C$5*Parâmetros!$E$5)</f>
        <v>1.8176</v>
      </c>
      <c r="M440" s="146" t="n">
        <f aca="false">Parâmetros!$C$6*(F440+2*Parâmetros!$D$6+Parâmetros!$C$6*Parâmetros!$E$6)</f>
        <v>2.384</v>
      </c>
      <c r="N440" s="146" t="n">
        <f aca="false">Parâmetros!$C$7*(F440+2*Parâmetros!$D$7+Parâmetros!$C$7*Parâmetros!$E$7)</f>
        <v>3.786</v>
      </c>
      <c r="O440" s="146" t="n">
        <f aca="false">F440+2*Parâmetros!$D$8</f>
        <v>11.2</v>
      </c>
      <c r="P440" s="146" t="n">
        <f aca="false">F440+2*Parâmetros!$D$10</f>
        <v>12.92</v>
      </c>
      <c r="Q440" s="146" t="n">
        <f aca="false">G440+H440</f>
        <v>0</v>
      </c>
      <c r="S440" s="149" t="n">
        <f aca="false">S439+'Volumes por intervalo'!C439*(F439+F440)/2</f>
        <v>100977.5</v>
      </c>
      <c r="T440" s="149" t="n">
        <f aca="false">T439+'Volumes por intervalo'!H439</f>
        <v>5070.72500000003</v>
      </c>
      <c r="U440" s="149" t="n">
        <f aca="false">U439+'Volumes por intervalo'!J439</f>
        <v>16659.8240000001</v>
      </c>
      <c r="V440" s="149" t="n">
        <f aca="false">V439+'Volumes por intervalo'!K439</f>
        <v>21803.6600000001</v>
      </c>
      <c r="W440" s="149" t="n">
        <f aca="false">W439+'Volumes por intervalo'!L439</f>
        <v>34540.8900000001</v>
      </c>
      <c r="X440" s="149" t="n">
        <f aca="false">X439+'Volumes por intervalo'!M439</f>
        <v>102725.5</v>
      </c>
      <c r="Y440" s="149" t="n">
        <f aca="false">Y439+'Volumes por intervalo'!N439</f>
        <v>102725.5</v>
      </c>
      <c r="Z440" s="149" t="n">
        <f aca="false">Z439+'Volumes por intervalo'!O439</f>
        <v>117758.299999999</v>
      </c>
      <c r="AA440" s="149" t="n">
        <f aca="false">AA439+'Volumes por intervalo'!P439</f>
        <v>0</v>
      </c>
      <c r="AB440" s="149" t="n">
        <f aca="false">AB439+'Volumes por intervalo'!Q439</f>
        <v>0</v>
      </c>
      <c r="AC440" s="149" t="n">
        <f aca="false">AC439+'Volumes por intervalo'!R439</f>
        <v>0</v>
      </c>
      <c r="AD440" s="149" t="n">
        <f aca="false">AD439+'Volumes por intervalo'!S439</f>
        <v>0</v>
      </c>
    </row>
    <row r="441" customFormat="false" ht="15" hidden="false" customHeight="false" outlineLevel="0" collapsed="false">
      <c r="A441" s="138" t="s">
        <v>2102</v>
      </c>
      <c r="B441" s="146" t="n">
        <v>438</v>
      </c>
      <c r="C441" s="144" t="n">
        <v>8760</v>
      </c>
      <c r="D441" s="138" t="s">
        <v>1580</v>
      </c>
      <c r="E441" s="138" t="s">
        <v>1566</v>
      </c>
      <c r="F441" s="147" t="n">
        <v>11</v>
      </c>
      <c r="G441" s="148" t="n">
        <v>0</v>
      </c>
      <c r="H441" s="148" t="n">
        <v>0</v>
      </c>
      <c r="I441" s="138" t="s">
        <v>1642</v>
      </c>
      <c r="J441" s="138"/>
      <c r="K441" s="146" t="n">
        <f aca="false">Parâmetros!$C$4*(F441+2*Parâmetros!$D$4+Parâmetros!$C$4*Parâmetros!$E$4)</f>
        <v>0.5525</v>
      </c>
      <c r="L441" s="146" t="n">
        <f aca="false">Parâmetros!$C$5*(F441+2*Parâmetros!$D$5+Parâmetros!$C$5*Parâmetros!$E$5)</f>
        <v>1.8176</v>
      </c>
      <c r="M441" s="146" t="n">
        <f aca="false">Parâmetros!$C$6*(F441+2*Parâmetros!$D$6+Parâmetros!$C$6*Parâmetros!$E$6)</f>
        <v>2.384</v>
      </c>
      <c r="N441" s="146" t="n">
        <f aca="false">Parâmetros!$C$7*(F441+2*Parâmetros!$D$7+Parâmetros!$C$7*Parâmetros!$E$7)</f>
        <v>3.786</v>
      </c>
      <c r="O441" s="146" t="n">
        <f aca="false">F441+2*Parâmetros!$D$8</f>
        <v>11.2</v>
      </c>
      <c r="P441" s="146" t="n">
        <f aca="false">F441+2*Parâmetros!$D$10</f>
        <v>12.92</v>
      </c>
      <c r="Q441" s="146" t="n">
        <f aca="false">G441+H441</f>
        <v>0</v>
      </c>
      <c r="S441" s="149" t="n">
        <f aca="false">S440+'Volumes por intervalo'!C440*(F440+F441)/2</f>
        <v>101197.5</v>
      </c>
      <c r="T441" s="149" t="n">
        <f aca="false">T440+'Volumes por intervalo'!H440</f>
        <v>5081.77500000003</v>
      </c>
      <c r="U441" s="149" t="n">
        <f aca="false">U440+'Volumes por intervalo'!J440</f>
        <v>16696.1760000001</v>
      </c>
      <c r="V441" s="149" t="n">
        <f aca="false">V440+'Volumes por intervalo'!K440</f>
        <v>21851.3400000001</v>
      </c>
      <c r="W441" s="149" t="n">
        <f aca="false">W440+'Volumes por intervalo'!L440</f>
        <v>34616.6100000001</v>
      </c>
      <c r="X441" s="149" t="n">
        <f aca="false">X440+'Volumes por intervalo'!M440</f>
        <v>102949.5</v>
      </c>
      <c r="Y441" s="149" t="n">
        <f aca="false">Y440+'Volumes por intervalo'!N440</f>
        <v>102949.5</v>
      </c>
      <c r="Z441" s="149" t="n">
        <f aca="false">Z440+'Volumes por intervalo'!O440</f>
        <v>118016.699999999</v>
      </c>
      <c r="AA441" s="149" t="n">
        <f aca="false">AA440+'Volumes por intervalo'!P440</f>
        <v>0</v>
      </c>
      <c r="AB441" s="149" t="n">
        <f aca="false">AB440+'Volumes por intervalo'!Q440</f>
        <v>0</v>
      </c>
      <c r="AC441" s="149" t="n">
        <f aca="false">AC440+'Volumes por intervalo'!R440</f>
        <v>0</v>
      </c>
      <c r="AD441" s="149" t="n">
        <f aca="false">AD440+'Volumes por intervalo'!S440</f>
        <v>0</v>
      </c>
    </row>
    <row r="442" customFormat="false" ht="15" hidden="false" customHeight="false" outlineLevel="0" collapsed="false">
      <c r="A442" s="138" t="s">
        <v>2103</v>
      </c>
      <c r="B442" s="146" t="n">
        <v>439</v>
      </c>
      <c r="C442" s="144" t="n">
        <v>8780</v>
      </c>
      <c r="D442" s="138" t="s">
        <v>1580</v>
      </c>
      <c r="E442" s="138" t="s">
        <v>1566</v>
      </c>
      <c r="F442" s="147" t="n">
        <v>11</v>
      </c>
      <c r="G442" s="148" t="n">
        <v>0</v>
      </c>
      <c r="H442" s="148" t="n">
        <v>0</v>
      </c>
      <c r="I442" s="138" t="s">
        <v>1642</v>
      </c>
      <c r="J442" s="138"/>
      <c r="K442" s="146" t="n">
        <f aca="false">Parâmetros!$C$4*(F442+2*Parâmetros!$D$4+Parâmetros!$C$4*Parâmetros!$E$4)</f>
        <v>0.5525</v>
      </c>
      <c r="L442" s="146" t="n">
        <f aca="false">Parâmetros!$C$5*(F442+2*Parâmetros!$D$5+Parâmetros!$C$5*Parâmetros!$E$5)</f>
        <v>1.8176</v>
      </c>
      <c r="M442" s="146" t="n">
        <f aca="false">Parâmetros!$C$6*(F442+2*Parâmetros!$D$6+Parâmetros!$C$6*Parâmetros!$E$6)</f>
        <v>2.384</v>
      </c>
      <c r="N442" s="146" t="n">
        <f aca="false">Parâmetros!$C$7*(F442+2*Parâmetros!$D$7+Parâmetros!$C$7*Parâmetros!$E$7)</f>
        <v>3.786</v>
      </c>
      <c r="O442" s="146" t="n">
        <f aca="false">F442+2*Parâmetros!$D$8</f>
        <v>11.2</v>
      </c>
      <c r="P442" s="146" t="n">
        <f aca="false">F442+2*Parâmetros!$D$10</f>
        <v>12.92</v>
      </c>
      <c r="Q442" s="146" t="n">
        <f aca="false">G442+H442</f>
        <v>0</v>
      </c>
      <c r="S442" s="149" t="n">
        <f aca="false">S441+'Volumes por intervalo'!C441*(F441+F442)/2</f>
        <v>101417.5</v>
      </c>
      <c r="T442" s="149" t="n">
        <f aca="false">T441+'Volumes por intervalo'!H441</f>
        <v>5092.82500000003</v>
      </c>
      <c r="U442" s="149" t="n">
        <f aca="false">U441+'Volumes por intervalo'!J441</f>
        <v>16732.5280000001</v>
      </c>
      <c r="V442" s="149" t="n">
        <f aca="false">V441+'Volumes por intervalo'!K441</f>
        <v>21899.0200000001</v>
      </c>
      <c r="W442" s="149" t="n">
        <f aca="false">W441+'Volumes por intervalo'!L441</f>
        <v>34692.3300000001</v>
      </c>
      <c r="X442" s="149" t="n">
        <f aca="false">X441+'Volumes por intervalo'!M441</f>
        <v>103173.5</v>
      </c>
      <c r="Y442" s="149" t="n">
        <f aca="false">Y441+'Volumes por intervalo'!N441</f>
        <v>103173.5</v>
      </c>
      <c r="Z442" s="149" t="n">
        <f aca="false">Z441+'Volumes por intervalo'!O441</f>
        <v>118275.099999999</v>
      </c>
      <c r="AA442" s="149" t="n">
        <f aca="false">AA441+'Volumes por intervalo'!P441</f>
        <v>0</v>
      </c>
      <c r="AB442" s="149" t="n">
        <f aca="false">AB441+'Volumes por intervalo'!Q441</f>
        <v>0</v>
      </c>
      <c r="AC442" s="149" t="n">
        <f aca="false">AC441+'Volumes por intervalo'!R441</f>
        <v>0</v>
      </c>
      <c r="AD442" s="149" t="n">
        <f aca="false">AD441+'Volumes por intervalo'!S441</f>
        <v>0</v>
      </c>
    </row>
    <row r="443" customFormat="false" ht="15" hidden="false" customHeight="false" outlineLevel="0" collapsed="false">
      <c r="A443" s="138" t="s">
        <v>2104</v>
      </c>
      <c r="B443" s="146" t="n">
        <v>440</v>
      </c>
      <c r="C443" s="144" t="n">
        <v>8800</v>
      </c>
      <c r="D443" s="138" t="s">
        <v>1580</v>
      </c>
      <c r="E443" s="138" t="s">
        <v>1566</v>
      </c>
      <c r="F443" s="147" t="n">
        <v>11</v>
      </c>
      <c r="G443" s="148" t="n">
        <v>0</v>
      </c>
      <c r="H443" s="148" t="n">
        <v>0</v>
      </c>
      <c r="I443" s="138" t="s">
        <v>1642</v>
      </c>
      <c r="J443" s="138"/>
      <c r="K443" s="146" t="n">
        <f aca="false">Parâmetros!$C$4*(F443+2*Parâmetros!$D$4+Parâmetros!$C$4*Parâmetros!$E$4)</f>
        <v>0.5525</v>
      </c>
      <c r="L443" s="146" t="n">
        <f aca="false">Parâmetros!$C$5*(F443+2*Parâmetros!$D$5+Parâmetros!$C$5*Parâmetros!$E$5)</f>
        <v>1.8176</v>
      </c>
      <c r="M443" s="146" t="n">
        <f aca="false">Parâmetros!$C$6*(F443+2*Parâmetros!$D$6+Parâmetros!$C$6*Parâmetros!$E$6)</f>
        <v>2.384</v>
      </c>
      <c r="N443" s="146" t="n">
        <f aca="false">Parâmetros!$C$7*(F443+2*Parâmetros!$D$7+Parâmetros!$C$7*Parâmetros!$E$7)</f>
        <v>3.786</v>
      </c>
      <c r="O443" s="146" t="n">
        <f aca="false">F443+2*Parâmetros!$D$8</f>
        <v>11.2</v>
      </c>
      <c r="P443" s="146" t="n">
        <f aca="false">F443+2*Parâmetros!$D$10</f>
        <v>12.92</v>
      </c>
      <c r="Q443" s="146" t="n">
        <f aca="false">G443+H443</f>
        <v>0</v>
      </c>
      <c r="S443" s="149" t="n">
        <f aca="false">S442+'Volumes por intervalo'!C442*(F442+F443)/2</f>
        <v>101637.5</v>
      </c>
      <c r="T443" s="149" t="n">
        <f aca="false">T442+'Volumes por intervalo'!H442</f>
        <v>5103.87500000003</v>
      </c>
      <c r="U443" s="149" t="n">
        <f aca="false">U442+'Volumes por intervalo'!J442</f>
        <v>16768.8800000001</v>
      </c>
      <c r="V443" s="149" t="n">
        <f aca="false">V442+'Volumes por intervalo'!K442</f>
        <v>21946.7000000001</v>
      </c>
      <c r="W443" s="149" t="n">
        <f aca="false">W442+'Volumes por intervalo'!L442</f>
        <v>34768.0500000001</v>
      </c>
      <c r="X443" s="149" t="n">
        <f aca="false">X442+'Volumes por intervalo'!M442</f>
        <v>103397.5</v>
      </c>
      <c r="Y443" s="149" t="n">
        <f aca="false">Y442+'Volumes por intervalo'!N442</f>
        <v>103397.5</v>
      </c>
      <c r="Z443" s="149" t="n">
        <f aca="false">Z442+'Volumes por intervalo'!O442</f>
        <v>118533.499999999</v>
      </c>
      <c r="AA443" s="149" t="n">
        <f aca="false">AA442+'Volumes por intervalo'!P442</f>
        <v>0</v>
      </c>
      <c r="AB443" s="149" t="n">
        <f aca="false">AB442+'Volumes por intervalo'!Q442</f>
        <v>0</v>
      </c>
      <c r="AC443" s="149" t="n">
        <f aca="false">AC442+'Volumes por intervalo'!R442</f>
        <v>0</v>
      </c>
      <c r="AD443" s="149" t="n">
        <f aca="false">AD442+'Volumes por intervalo'!S442</f>
        <v>0</v>
      </c>
    </row>
    <row r="444" customFormat="false" ht="15" hidden="false" customHeight="false" outlineLevel="0" collapsed="false">
      <c r="A444" s="138" t="s">
        <v>2105</v>
      </c>
      <c r="B444" s="146" t="n">
        <v>441</v>
      </c>
      <c r="C444" s="144" t="n">
        <v>8820</v>
      </c>
      <c r="D444" s="138" t="s">
        <v>1580</v>
      </c>
      <c r="E444" s="138" t="s">
        <v>1566</v>
      </c>
      <c r="F444" s="147" t="n">
        <v>11</v>
      </c>
      <c r="G444" s="148" t="n">
        <v>0</v>
      </c>
      <c r="H444" s="148" t="n">
        <v>0</v>
      </c>
      <c r="I444" s="138" t="s">
        <v>1642</v>
      </c>
      <c r="J444" s="138"/>
      <c r="K444" s="146" t="n">
        <f aca="false">Parâmetros!$C$4*(F444+2*Parâmetros!$D$4+Parâmetros!$C$4*Parâmetros!$E$4)</f>
        <v>0.5525</v>
      </c>
      <c r="L444" s="146" t="n">
        <f aca="false">Parâmetros!$C$5*(F444+2*Parâmetros!$D$5+Parâmetros!$C$5*Parâmetros!$E$5)</f>
        <v>1.8176</v>
      </c>
      <c r="M444" s="146" t="n">
        <f aca="false">Parâmetros!$C$6*(F444+2*Parâmetros!$D$6+Parâmetros!$C$6*Parâmetros!$E$6)</f>
        <v>2.384</v>
      </c>
      <c r="N444" s="146" t="n">
        <f aca="false">Parâmetros!$C$7*(F444+2*Parâmetros!$D$7+Parâmetros!$C$7*Parâmetros!$E$7)</f>
        <v>3.786</v>
      </c>
      <c r="O444" s="146" t="n">
        <f aca="false">F444+2*Parâmetros!$D$8</f>
        <v>11.2</v>
      </c>
      <c r="P444" s="146" t="n">
        <f aca="false">F444+2*Parâmetros!$D$10</f>
        <v>12.92</v>
      </c>
      <c r="Q444" s="146" t="n">
        <f aca="false">G444+H444</f>
        <v>0</v>
      </c>
      <c r="S444" s="149" t="n">
        <f aca="false">S443+'Volumes por intervalo'!C443*(F443+F444)/2</f>
        <v>101857.5</v>
      </c>
      <c r="T444" s="149" t="n">
        <f aca="false">T443+'Volumes por intervalo'!H443</f>
        <v>5114.92500000003</v>
      </c>
      <c r="U444" s="149" t="n">
        <f aca="false">U443+'Volumes por intervalo'!J443</f>
        <v>16805.2320000001</v>
      </c>
      <c r="V444" s="149" t="n">
        <f aca="false">V443+'Volumes por intervalo'!K443</f>
        <v>21994.3800000001</v>
      </c>
      <c r="W444" s="149" t="n">
        <f aca="false">W443+'Volumes por intervalo'!L443</f>
        <v>34843.7700000001</v>
      </c>
      <c r="X444" s="149" t="n">
        <f aca="false">X443+'Volumes por intervalo'!M443</f>
        <v>103621.5</v>
      </c>
      <c r="Y444" s="149" t="n">
        <f aca="false">Y443+'Volumes por intervalo'!N443</f>
        <v>103621.5</v>
      </c>
      <c r="Z444" s="149" t="n">
        <f aca="false">Z443+'Volumes por intervalo'!O443</f>
        <v>118791.899999999</v>
      </c>
      <c r="AA444" s="149" t="n">
        <f aca="false">AA443+'Volumes por intervalo'!P443</f>
        <v>0</v>
      </c>
      <c r="AB444" s="149" t="n">
        <f aca="false">AB443+'Volumes por intervalo'!Q443</f>
        <v>0</v>
      </c>
      <c r="AC444" s="149" t="n">
        <f aca="false">AC443+'Volumes por intervalo'!R443</f>
        <v>0</v>
      </c>
      <c r="AD444" s="149" t="n">
        <f aca="false">AD443+'Volumes por intervalo'!S443</f>
        <v>0</v>
      </c>
    </row>
    <row r="445" customFormat="false" ht="15" hidden="false" customHeight="false" outlineLevel="0" collapsed="false">
      <c r="A445" s="138" t="s">
        <v>2106</v>
      </c>
      <c r="B445" s="146" t="n">
        <v>442</v>
      </c>
      <c r="C445" s="144" t="n">
        <v>8840</v>
      </c>
      <c r="D445" s="138" t="s">
        <v>1580</v>
      </c>
      <c r="E445" s="138" t="s">
        <v>1566</v>
      </c>
      <c r="F445" s="147" t="n">
        <v>11</v>
      </c>
      <c r="G445" s="148" t="n">
        <v>0</v>
      </c>
      <c r="H445" s="148" t="n">
        <v>0</v>
      </c>
      <c r="I445" s="138" t="s">
        <v>1642</v>
      </c>
      <c r="J445" s="138"/>
      <c r="K445" s="146" t="n">
        <f aca="false">Parâmetros!$C$4*(F445+2*Parâmetros!$D$4+Parâmetros!$C$4*Parâmetros!$E$4)</f>
        <v>0.5525</v>
      </c>
      <c r="L445" s="146" t="n">
        <f aca="false">Parâmetros!$C$5*(F445+2*Parâmetros!$D$5+Parâmetros!$C$5*Parâmetros!$E$5)</f>
        <v>1.8176</v>
      </c>
      <c r="M445" s="146" t="n">
        <f aca="false">Parâmetros!$C$6*(F445+2*Parâmetros!$D$6+Parâmetros!$C$6*Parâmetros!$E$6)</f>
        <v>2.384</v>
      </c>
      <c r="N445" s="146" t="n">
        <f aca="false">Parâmetros!$C$7*(F445+2*Parâmetros!$D$7+Parâmetros!$C$7*Parâmetros!$E$7)</f>
        <v>3.786</v>
      </c>
      <c r="O445" s="146" t="n">
        <f aca="false">F445+2*Parâmetros!$D$8</f>
        <v>11.2</v>
      </c>
      <c r="P445" s="146" t="n">
        <f aca="false">F445+2*Parâmetros!$D$10</f>
        <v>12.92</v>
      </c>
      <c r="Q445" s="146" t="n">
        <f aca="false">G445+H445</f>
        <v>0</v>
      </c>
      <c r="S445" s="149" t="n">
        <f aca="false">S444+'Volumes por intervalo'!C444*(F444+F445)/2</f>
        <v>102077.5</v>
      </c>
      <c r="T445" s="149" t="n">
        <f aca="false">T444+'Volumes por intervalo'!H444</f>
        <v>5125.97500000003</v>
      </c>
      <c r="U445" s="149" t="n">
        <f aca="false">U444+'Volumes por intervalo'!J444</f>
        <v>16841.5840000001</v>
      </c>
      <c r="V445" s="149" t="n">
        <f aca="false">V444+'Volumes por intervalo'!K444</f>
        <v>22042.0600000001</v>
      </c>
      <c r="W445" s="149" t="n">
        <f aca="false">W444+'Volumes por intervalo'!L444</f>
        <v>34919.4900000001</v>
      </c>
      <c r="X445" s="149" t="n">
        <f aca="false">X444+'Volumes por intervalo'!M444</f>
        <v>103845.5</v>
      </c>
      <c r="Y445" s="149" t="n">
        <f aca="false">Y444+'Volumes por intervalo'!N444</f>
        <v>103845.5</v>
      </c>
      <c r="Z445" s="149" t="n">
        <f aca="false">Z444+'Volumes por intervalo'!O444</f>
        <v>119050.299999999</v>
      </c>
      <c r="AA445" s="149" t="n">
        <f aca="false">AA444+'Volumes por intervalo'!P444</f>
        <v>0</v>
      </c>
      <c r="AB445" s="149" t="n">
        <f aca="false">AB444+'Volumes por intervalo'!Q444</f>
        <v>0</v>
      </c>
      <c r="AC445" s="149" t="n">
        <f aca="false">AC444+'Volumes por intervalo'!R444</f>
        <v>0</v>
      </c>
      <c r="AD445" s="149" t="n">
        <f aca="false">AD444+'Volumes por intervalo'!S444</f>
        <v>0</v>
      </c>
    </row>
    <row r="446" customFormat="false" ht="15" hidden="false" customHeight="false" outlineLevel="0" collapsed="false">
      <c r="A446" s="138" t="s">
        <v>2107</v>
      </c>
      <c r="B446" s="146" t="n">
        <v>443</v>
      </c>
      <c r="C446" s="144" t="n">
        <v>8860</v>
      </c>
      <c r="D446" s="138" t="s">
        <v>1580</v>
      </c>
      <c r="E446" s="138" t="s">
        <v>1566</v>
      </c>
      <c r="F446" s="147" t="n">
        <v>11</v>
      </c>
      <c r="G446" s="148" t="n">
        <v>0</v>
      </c>
      <c r="H446" s="148" t="n">
        <v>0</v>
      </c>
      <c r="I446" s="138" t="s">
        <v>1642</v>
      </c>
      <c r="J446" s="138"/>
      <c r="K446" s="146" t="n">
        <f aca="false">Parâmetros!$C$4*(F446+2*Parâmetros!$D$4+Parâmetros!$C$4*Parâmetros!$E$4)</f>
        <v>0.5525</v>
      </c>
      <c r="L446" s="146" t="n">
        <f aca="false">Parâmetros!$C$5*(F446+2*Parâmetros!$D$5+Parâmetros!$C$5*Parâmetros!$E$5)</f>
        <v>1.8176</v>
      </c>
      <c r="M446" s="146" t="n">
        <f aca="false">Parâmetros!$C$6*(F446+2*Parâmetros!$D$6+Parâmetros!$C$6*Parâmetros!$E$6)</f>
        <v>2.384</v>
      </c>
      <c r="N446" s="146" t="n">
        <f aca="false">Parâmetros!$C$7*(F446+2*Parâmetros!$D$7+Parâmetros!$C$7*Parâmetros!$E$7)</f>
        <v>3.786</v>
      </c>
      <c r="O446" s="146" t="n">
        <f aca="false">F446+2*Parâmetros!$D$8</f>
        <v>11.2</v>
      </c>
      <c r="P446" s="146" t="n">
        <f aca="false">F446+2*Parâmetros!$D$10</f>
        <v>12.92</v>
      </c>
      <c r="Q446" s="146" t="n">
        <f aca="false">G446+H446</f>
        <v>0</v>
      </c>
      <c r="S446" s="149" t="n">
        <f aca="false">S445+'Volumes por intervalo'!C445*(F445+F446)/2</f>
        <v>102297.5</v>
      </c>
      <c r="T446" s="149" t="n">
        <f aca="false">T445+'Volumes por intervalo'!H445</f>
        <v>5137.02500000003</v>
      </c>
      <c r="U446" s="149" t="n">
        <f aca="false">U445+'Volumes por intervalo'!J445</f>
        <v>16877.9360000001</v>
      </c>
      <c r="V446" s="149" t="n">
        <f aca="false">V445+'Volumes por intervalo'!K445</f>
        <v>22089.7400000001</v>
      </c>
      <c r="W446" s="149" t="n">
        <f aca="false">W445+'Volumes por intervalo'!L445</f>
        <v>34995.2100000001</v>
      </c>
      <c r="X446" s="149" t="n">
        <f aca="false">X445+'Volumes por intervalo'!M445</f>
        <v>104069.5</v>
      </c>
      <c r="Y446" s="149" t="n">
        <f aca="false">Y445+'Volumes por intervalo'!N445</f>
        <v>104069.5</v>
      </c>
      <c r="Z446" s="149" t="n">
        <f aca="false">Z445+'Volumes por intervalo'!O445</f>
        <v>119308.699999999</v>
      </c>
      <c r="AA446" s="149" t="n">
        <f aca="false">AA445+'Volumes por intervalo'!P445</f>
        <v>0</v>
      </c>
      <c r="AB446" s="149" t="n">
        <f aca="false">AB445+'Volumes por intervalo'!Q445</f>
        <v>0</v>
      </c>
      <c r="AC446" s="149" t="n">
        <f aca="false">AC445+'Volumes por intervalo'!R445</f>
        <v>0</v>
      </c>
      <c r="AD446" s="149" t="n">
        <f aca="false">AD445+'Volumes por intervalo'!S445</f>
        <v>0</v>
      </c>
    </row>
    <row r="447" customFormat="false" ht="15" hidden="false" customHeight="false" outlineLevel="0" collapsed="false">
      <c r="A447" s="138" t="s">
        <v>2108</v>
      </c>
      <c r="B447" s="146" t="n">
        <v>444</v>
      </c>
      <c r="C447" s="144" t="n">
        <v>8880</v>
      </c>
      <c r="D447" s="138" t="s">
        <v>1580</v>
      </c>
      <c r="E447" s="138" t="s">
        <v>1566</v>
      </c>
      <c r="F447" s="147" t="n">
        <v>11</v>
      </c>
      <c r="G447" s="148" t="n">
        <v>0</v>
      </c>
      <c r="H447" s="148" t="n">
        <v>0</v>
      </c>
      <c r="I447" s="138" t="s">
        <v>1642</v>
      </c>
      <c r="J447" s="138"/>
      <c r="K447" s="146" t="n">
        <f aca="false">Parâmetros!$C$4*(F447+2*Parâmetros!$D$4+Parâmetros!$C$4*Parâmetros!$E$4)</f>
        <v>0.5525</v>
      </c>
      <c r="L447" s="146" t="n">
        <f aca="false">Parâmetros!$C$5*(F447+2*Parâmetros!$D$5+Parâmetros!$C$5*Parâmetros!$E$5)</f>
        <v>1.8176</v>
      </c>
      <c r="M447" s="146" t="n">
        <f aca="false">Parâmetros!$C$6*(F447+2*Parâmetros!$D$6+Parâmetros!$C$6*Parâmetros!$E$6)</f>
        <v>2.384</v>
      </c>
      <c r="N447" s="146" t="n">
        <f aca="false">Parâmetros!$C$7*(F447+2*Parâmetros!$D$7+Parâmetros!$C$7*Parâmetros!$E$7)</f>
        <v>3.786</v>
      </c>
      <c r="O447" s="146" t="n">
        <f aca="false">F447+2*Parâmetros!$D$8</f>
        <v>11.2</v>
      </c>
      <c r="P447" s="146" t="n">
        <f aca="false">F447+2*Parâmetros!$D$10</f>
        <v>12.92</v>
      </c>
      <c r="Q447" s="146" t="n">
        <f aca="false">G447+H447</f>
        <v>0</v>
      </c>
      <c r="S447" s="149" t="n">
        <f aca="false">S446+'Volumes por intervalo'!C446*(F446+F447)/2</f>
        <v>102517.5</v>
      </c>
      <c r="T447" s="149" t="n">
        <f aca="false">T446+'Volumes por intervalo'!H446</f>
        <v>5148.07500000003</v>
      </c>
      <c r="U447" s="149" t="n">
        <f aca="false">U446+'Volumes por intervalo'!J446</f>
        <v>16914.2880000001</v>
      </c>
      <c r="V447" s="149" t="n">
        <f aca="false">V446+'Volumes por intervalo'!K446</f>
        <v>22137.4200000001</v>
      </c>
      <c r="W447" s="149" t="n">
        <f aca="false">W446+'Volumes por intervalo'!L446</f>
        <v>35070.9300000001</v>
      </c>
      <c r="X447" s="149" t="n">
        <f aca="false">X446+'Volumes por intervalo'!M446</f>
        <v>104293.5</v>
      </c>
      <c r="Y447" s="149" t="n">
        <f aca="false">Y446+'Volumes por intervalo'!N446</f>
        <v>104293.5</v>
      </c>
      <c r="Z447" s="149" t="n">
        <f aca="false">Z446+'Volumes por intervalo'!O446</f>
        <v>119567.099999999</v>
      </c>
      <c r="AA447" s="149" t="n">
        <f aca="false">AA446+'Volumes por intervalo'!P446</f>
        <v>0</v>
      </c>
      <c r="AB447" s="149" t="n">
        <f aca="false">AB446+'Volumes por intervalo'!Q446</f>
        <v>0</v>
      </c>
      <c r="AC447" s="149" t="n">
        <f aca="false">AC446+'Volumes por intervalo'!R446</f>
        <v>0</v>
      </c>
      <c r="AD447" s="149" t="n">
        <f aca="false">AD446+'Volumes por intervalo'!S446</f>
        <v>0</v>
      </c>
    </row>
    <row r="448" customFormat="false" ht="15" hidden="false" customHeight="false" outlineLevel="0" collapsed="false">
      <c r="A448" s="138" t="s">
        <v>2109</v>
      </c>
      <c r="B448" s="146" t="n">
        <v>445</v>
      </c>
      <c r="C448" s="144" t="n">
        <v>8900</v>
      </c>
      <c r="D448" s="138" t="s">
        <v>1580</v>
      </c>
      <c r="E448" s="138" t="s">
        <v>1566</v>
      </c>
      <c r="F448" s="147" t="n">
        <v>11.1</v>
      </c>
      <c r="G448" s="148" t="n">
        <v>0</v>
      </c>
      <c r="H448" s="148" t="n">
        <v>0</v>
      </c>
      <c r="I448" s="138" t="s">
        <v>1642</v>
      </c>
      <c r="J448" s="138"/>
      <c r="K448" s="146" t="n">
        <f aca="false">Parâmetros!$C$4*(F448+2*Parâmetros!$D$4+Parâmetros!$C$4*Parâmetros!$E$4)</f>
        <v>0.5575</v>
      </c>
      <c r="L448" s="146" t="n">
        <f aca="false">Parâmetros!$C$5*(F448+2*Parâmetros!$D$5+Parâmetros!$C$5*Parâmetros!$E$5)</f>
        <v>1.8336</v>
      </c>
      <c r="M448" s="146" t="n">
        <f aca="false">Parâmetros!$C$6*(F448+2*Parâmetros!$D$6+Parâmetros!$C$6*Parâmetros!$E$6)</f>
        <v>2.404</v>
      </c>
      <c r="N448" s="146" t="n">
        <f aca="false">Parâmetros!$C$7*(F448+2*Parâmetros!$D$7+Parâmetros!$C$7*Parâmetros!$E$7)</f>
        <v>3.816</v>
      </c>
      <c r="O448" s="146" t="n">
        <f aca="false">F448+2*Parâmetros!$D$8</f>
        <v>11.3</v>
      </c>
      <c r="P448" s="146" t="n">
        <f aca="false">F448+2*Parâmetros!$D$10</f>
        <v>13.02</v>
      </c>
      <c r="Q448" s="146" t="n">
        <f aca="false">G448+H448</f>
        <v>0</v>
      </c>
      <c r="S448" s="149" t="n">
        <f aca="false">S447+'Volumes por intervalo'!C447*(F447+F448)/2</f>
        <v>102738.5</v>
      </c>
      <c r="T448" s="149" t="n">
        <f aca="false">T447+'Volumes por intervalo'!H447</f>
        <v>5159.17500000003</v>
      </c>
      <c r="U448" s="149" t="n">
        <f aca="false">U447+'Volumes por intervalo'!J447</f>
        <v>16950.8000000001</v>
      </c>
      <c r="V448" s="149" t="n">
        <f aca="false">V447+'Volumes por intervalo'!K447</f>
        <v>22185.3000000001</v>
      </c>
      <c r="W448" s="149" t="n">
        <f aca="false">W447+'Volumes por intervalo'!L447</f>
        <v>35146.9500000001</v>
      </c>
      <c r="X448" s="149" t="n">
        <f aca="false">X447+'Volumes por intervalo'!M447</f>
        <v>104518.5</v>
      </c>
      <c r="Y448" s="149" t="n">
        <f aca="false">Y447+'Volumes por intervalo'!N447</f>
        <v>104518.5</v>
      </c>
      <c r="Z448" s="149" t="n">
        <f aca="false">Z447+'Volumes por intervalo'!O447</f>
        <v>119826.499999999</v>
      </c>
      <c r="AA448" s="149" t="n">
        <f aca="false">AA447+'Volumes por intervalo'!P447</f>
        <v>0</v>
      </c>
      <c r="AB448" s="149" t="n">
        <f aca="false">AB447+'Volumes por intervalo'!Q447</f>
        <v>0</v>
      </c>
      <c r="AC448" s="149" t="n">
        <f aca="false">AC447+'Volumes por intervalo'!R447</f>
        <v>0</v>
      </c>
      <c r="AD448" s="149" t="n">
        <f aca="false">AD447+'Volumes por intervalo'!S447</f>
        <v>0</v>
      </c>
    </row>
    <row r="449" customFormat="false" ht="15" hidden="false" customHeight="false" outlineLevel="0" collapsed="false">
      <c r="A449" s="138" t="s">
        <v>2110</v>
      </c>
      <c r="B449" s="146" t="n">
        <v>446</v>
      </c>
      <c r="C449" s="144" t="n">
        <v>8920</v>
      </c>
      <c r="D449" s="138" t="s">
        <v>1580</v>
      </c>
      <c r="E449" s="138" t="s">
        <v>1566</v>
      </c>
      <c r="F449" s="147" t="n">
        <v>11.3</v>
      </c>
      <c r="G449" s="148" t="n">
        <v>0</v>
      </c>
      <c r="H449" s="148" t="n">
        <v>0</v>
      </c>
      <c r="I449" s="138" t="s">
        <v>1642</v>
      </c>
      <c r="J449" s="138"/>
      <c r="K449" s="146" t="n">
        <f aca="false">Parâmetros!$C$4*(F449+2*Parâmetros!$D$4+Parâmetros!$C$4*Parâmetros!$E$4)</f>
        <v>0.5675</v>
      </c>
      <c r="L449" s="146" t="n">
        <f aca="false">Parâmetros!$C$5*(F449+2*Parâmetros!$D$5+Parâmetros!$C$5*Parâmetros!$E$5)</f>
        <v>1.8656</v>
      </c>
      <c r="M449" s="146" t="n">
        <f aca="false">Parâmetros!$C$6*(F449+2*Parâmetros!$D$6+Parâmetros!$C$6*Parâmetros!$E$6)</f>
        <v>2.444</v>
      </c>
      <c r="N449" s="146" t="n">
        <f aca="false">Parâmetros!$C$7*(F449+2*Parâmetros!$D$7+Parâmetros!$C$7*Parâmetros!$E$7)</f>
        <v>3.876</v>
      </c>
      <c r="O449" s="146" t="n">
        <f aca="false">F449+2*Parâmetros!$D$8</f>
        <v>11.5</v>
      </c>
      <c r="P449" s="146" t="n">
        <f aca="false">F449+2*Parâmetros!$D$10</f>
        <v>13.22</v>
      </c>
      <c r="Q449" s="146" t="n">
        <f aca="false">G449+H449</f>
        <v>0</v>
      </c>
      <c r="S449" s="149" t="n">
        <f aca="false">S448+'Volumes por intervalo'!C448*(F448+F449)/2</f>
        <v>102962.5</v>
      </c>
      <c r="T449" s="149" t="n">
        <f aca="false">T448+'Volumes por intervalo'!H448</f>
        <v>5170.42500000003</v>
      </c>
      <c r="U449" s="149" t="n">
        <f aca="false">U448+'Volumes por intervalo'!J448</f>
        <v>16987.7920000001</v>
      </c>
      <c r="V449" s="149" t="n">
        <f aca="false">V448+'Volumes por intervalo'!K448</f>
        <v>22233.7800000001</v>
      </c>
      <c r="W449" s="149" t="n">
        <f aca="false">W448+'Volumes por intervalo'!L448</f>
        <v>35223.8700000001</v>
      </c>
      <c r="X449" s="149" t="n">
        <f aca="false">X448+'Volumes por intervalo'!M448</f>
        <v>104746.5</v>
      </c>
      <c r="Y449" s="149" t="n">
        <f aca="false">Y448+'Volumes por intervalo'!N448</f>
        <v>104746.5</v>
      </c>
      <c r="Z449" s="149" t="n">
        <f aca="false">Z448+'Volumes por intervalo'!O448</f>
        <v>120088.899999999</v>
      </c>
      <c r="AA449" s="149" t="n">
        <f aca="false">AA448+'Volumes por intervalo'!P448</f>
        <v>0</v>
      </c>
      <c r="AB449" s="149" t="n">
        <f aca="false">AB448+'Volumes por intervalo'!Q448</f>
        <v>0</v>
      </c>
      <c r="AC449" s="149" t="n">
        <f aca="false">AC448+'Volumes por intervalo'!R448</f>
        <v>0</v>
      </c>
      <c r="AD449" s="149" t="n">
        <f aca="false">AD448+'Volumes por intervalo'!S448</f>
        <v>0</v>
      </c>
    </row>
    <row r="450" customFormat="false" ht="15" hidden="false" customHeight="false" outlineLevel="0" collapsed="false">
      <c r="A450" s="138" t="s">
        <v>2111</v>
      </c>
      <c r="B450" s="146" t="n">
        <v>447</v>
      </c>
      <c r="C450" s="144" t="n">
        <v>8940</v>
      </c>
      <c r="D450" s="138" t="s">
        <v>1580</v>
      </c>
      <c r="E450" s="138" t="s">
        <v>1566</v>
      </c>
      <c r="F450" s="147" t="n">
        <v>11.5</v>
      </c>
      <c r="G450" s="148" t="n">
        <v>0</v>
      </c>
      <c r="H450" s="148" t="n">
        <v>0</v>
      </c>
      <c r="I450" s="138" t="s">
        <v>1642</v>
      </c>
      <c r="J450" s="138"/>
      <c r="K450" s="146" t="n">
        <f aca="false">Parâmetros!$C$4*(F450+2*Parâmetros!$D$4+Parâmetros!$C$4*Parâmetros!$E$4)</f>
        <v>0.5775</v>
      </c>
      <c r="L450" s="146" t="n">
        <f aca="false">Parâmetros!$C$5*(F450+2*Parâmetros!$D$5+Parâmetros!$C$5*Parâmetros!$E$5)</f>
        <v>1.8976</v>
      </c>
      <c r="M450" s="146" t="n">
        <f aca="false">Parâmetros!$C$6*(F450+2*Parâmetros!$D$6+Parâmetros!$C$6*Parâmetros!$E$6)</f>
        <v>2.484</v>
      </c>
      <c r="N450" s="146" t="n">
        <f aca="false">Parâmetros!$C$7*(F450+2*Parâmetros!$D$7+Parâmetros!$C$7*Parâmetros!$E$7)</f>
        <v>3.936</v>
      </c>
      <c r="O450" s="146" t="n">
        <f aca="false">F450+2*Parâmetros!$D$8</f>
        <v>11.7</v>
      </c>
      <c r="P450" s="146" t="n">
        <f aca="false">F450+2*Parâmetros!$D$10</f>
        <v>13.42</v>
      </c>
      <c r="Q450" s="146" t="n">
        <f aca="false">G450+H450</f>
        <v>0</v>
      </c>
      <c r="S450" s="149" t="n">
        <f aca="false">S449+'Volumes por intervalo'!C449*(F449+F450)/2</f>
        <v>103190.5</v>
      </c>
      <c r="T450" s="149" t="n">
        <f aca="false">T449+'Volumes por intervalo'!H449</f>
        <v>5181.87500000003</v>
      </c>
      <c r="U450" s="149" t="n">
        <f aca="false">U449+'Volumes por intervalo'!J449</f>
        <v>17025.4240000001</v>
      </c>
      <c r="V450" s="149" t="n">
        <f aca="false">V449+'Volumes por intervalo'!K449</f>
        <v>22283.0600000001</v>
      </c>
      <c r="W450" s="149" t="n">
        <f aca="false">W449+'Volumes por intervalo'!L449</f>
        <v>35301.9900000001</v>
      </c>
      <c r="X450" s="149" t="n">
        <f aca="false">X449+'Volumes por intervalo'!M449</f>
        <v>104978.5</v>
      </c>
      <c r="Y450" s="149" t="n">
        <f aca="false">Y449+'Volumes por intervalo'!N449</f>
        <v>104978.5</v>
      </c>
      <c r="Z450" s="149" t="n">
        <f aca="false">Z449+'Volumes por intervalo'!O449</f>
        <v>120355.299999999</v>
      </c>
      <c r="AA450" s="149" t="n">
        <f aca="false">AA449+'Volumes por intervalo'!P449</f>
        <v>0</v>
      </c>
      <c r="AB450" s="149" t="n">
        <f aca="false">AB449+'Volumes por intervalo'!Q449</f>
        <v>0</v>
      </c>
      <c r="AC450" s="149" t="n">
        <f aca="false">AC449+'Volumes por intervalo'!R449</f>
        <v>0</v>
      </c>
      <c r="AD450" s="149" t="n">
        <f aca="false">AD449+'Volumes por intervalo'!S449</f>
        <v>0</v>
      </c>
    </row>
    <row r="451" customFormat="false" ht="15" hidden="false" customHeight="false" outlineLevel="0" collapsed="false">
      <c r="A451" s="138" t="s">
        <v>2112</v>
      </c>
      <c r="B451" s="146" t="n">
        <v>448</v>
      </c>
      <c r="C451" s="144" t="n">
        <v>8960</v>
      </c>
      <c r="D451" s="138" t="s">
        <v>1580</v>
      </c>
      <c r="E451" s="138" t="s">
        <v>1566</v>
      </c>
      <c r="F451" s="147" t="n">
        <v>11.6</v>
      </c>
      <c r="G451" s="148" t="n">
        <v>0</v>
      </c>
      <c r="H451" s="148" t="n">
        <v>0</v>
      </c>
      <c r="I451" s="138" t="s">
        <v>1642</v>
      </c>
      <c r="J451" s="138"/>
      <c r="K451" s="146" t="n">
        <f aca="false">Parâmetros!$C$4*(F451+2*Parâmetros!$D$4+Parâmetros!$C$4*Parâmetros!$E$4)</f>
        <v>0.5825</v>
      </c>
      <c r="L451" s="146" t="n">
        <f aca="false">Parâmetros!$C$5*(F451+2*Parâmetros!$D$5+Parâmetros!$C$5*Parâmetros!$E$5)</f>
        <v>1.9136</v>
      </c>
      <c r="M451" s="146" t="n">
        <f aca="false">Parâmetros!$C$6*(F451+2*Parâmetros!$D$6+Parâmetros!$C$6*Parâmetros!$E$6)</f>
        <v>2.504</v>
      </c>
      <c r="N451" s="146" t="n">
        <f aca="false">Parâmetros!$C$7*(F451+2*Parâmetros!$D$7+Parâmetros!$C$7*Parâmetros!$E$7)</f>
        <v>3.966</v>
      </c>
      <c r="O451" s="146" t="n">
        <f aca="false">F451+2*Parâmetros!$D$8</f>
        <v>11.8</v>
      </c>
      <c r="P451" s="146" t="n">
        <f aca="false">F451+2*Parâmetros!$D$10</f>
        <v>13.52</v>
      </c>
      <c r="Q451" s="146" t="n">
        <f aca="false">G451+H451</f>
        <v>0</v>
      </c>
      <c r="S451" s="149" t="n">
        <f aca="false">S450+'Volumes por intervalo'!C450*(F450+F451)/2</f>
        <v>103421.5</v>
      </c>
      <c r="T451" s="149" t="n">
        <f aca="false">T450+'Volumes por intervalo'!H450</f>
        <v>5193.47500000003</v>
      </c>
      <c r="U451" s="149" t="n">
        <f aca="false">U450+'Volumes por intervalo'!J450</f>
        <v>17063.5360000001</v>
      </c>
      <c r="V451" s="149" t="n">
        <f aca="false">V450+'Volumes por intervalo'!K450</f>
        <v>22332.9400000001</v>
      </c>
      <c r="W451" s="149" t="n">
        <f aca="false">W450+'Volumes por intervalo'!L450</f>
        <v>35381.0100000001</v>
      </c>
      <c r="X451" s="149" t="n">
        <f aca="false">X450+'Volumes por intervalo'!M450</f>
        <v>105213.5</v>
      </c>
      <c r="Y451" s="149" t="n">
        <f aca="false">Y450+'Volumes por intervalo'!N450</f>
        <v>105213.5</v>
      </c>
      <c r="Z451" s="149" t="n">
        <f aca="false">Z450+'Volumes por intervalo'!O450</f>
        <v>120624.699999999</v>
      </c>
      <c r="AA451" s="149" t="n">
        <f aca="false">AA450+'Volumes por intervalo'!P450</f>
        <v>0</v>
      </c>
      <c r="AB451" s="149" t="n">
        <f aca="false">AB450+'Volumes por intervalo'!Q450</f>
        <v>0</v>
      </c>
      <c r="AC451" s="149" t="n">
        <f aca="false">AC450+'Volumes por intervalo'!R450</f>
        <v>0</v>
      </c>
      <c r="AD451" s="149" t="n">
        <f aca="false">AD450+'Volumes por intervalo'!S450</f>
        <v>0</v>
      </c>
    </row>
    <row r="452" customFormat="false" ht="15" hidden="false" customHeight="false" outlineLevel="0" collapsed="false">
      <c r="A452" s="138" t="s">
        <v>2113</v>
      </c>
      <c r="B452" s="146" t="n">
        <v>449</v>
      </c>
      <c r="C452" s="144" t="n">
        <v>8980</v>
      </c>
      <c r="D452" s="138" t="s">
        <v>1580</v>
      </c>
      <c r="E452" s="138" t="s">
        <v>1566</v>
      </c>
      <c r="F452" s="147" t="n">
        <v>11.6</v>
      </c>
      <c r="G452" s="148" t="n">
        <v>0</v>
      </c>
      <c r="H452" s="148" t="n">
        <v>0</v>
      </c>
      <c r="I452" s="138" t="s">
        <v>1642</v>
      </c>
      <c r="J452" s="138"/>
      <c r="K452" s="146" t="n">
        <f aca="false">Parâmetros!$C$4*(F452+2*Parâmetros!$D$4+Parâmetros!$C$4*Parâmetros!$E$4)</f>
        <v>0.5825</v>
      </c>
      <c r="L452" s="146" t="n">
        <f aca="false">Parâmetros!$C$5*(F452+2*Parâmetros!$D$5+Parâmetros!$C$5*Parâmetros!$E$5)</f>
        <v>1.9136</v>
      </c>
      <c r="M452" s="146" t="n">
        <f aca="false">Parâmetros!$C$6*(F452+2*Parâmetros!$D$6+Parâmetros!$C$6*Parâmetros!$E$6)</f>
        <v>2.504</v>
      </c>
      <c r="N452" s="146" t="n">
        <f aca="false">Parâmetros!$C$7*(F452+2*Parâmetros!$D$7+Parâmetros!$C$7*Parâmetros!$E$7)</f>
        <v>3.966</v>
      </c>
      <c r="O452" s="146" t="n">
        <f aca="false">F452+2*Parâmetros!$D$8</f>
        <v>11.8</v>
      </c>
      <c r="P452" s="146" t="n">
        <f aca="false">F452+2*Parâmetros!$D$10</f>
        <v>13.52</v>
      </c>
      <c r="Q452" s="146" t="n">
        <f aca="false">G452+H452</f>
        <v>0</v>
      </c>
      <c r="S452" s="149" t="n">
        <f aca="false">S451+'Volumes por intervalo'!C451*(F451+F452)/2</f>
        <v>103653.5</v>
      </c>
      <c r="T452" s="149" t="n">
        <f aca="false">T451+'Volumes por intervalo'!H451</f>
        <v>5205.12500000003</v>
      </c>
      <c r="U452" s="149" t="n">
        <f aca="false">U451+'Volumes por intervalo'!J451</f>
        <v>17101.8080000001</v>
      </c>
      <c r="V452" s="149" t="n">
        <f aca="false">V451+'Volumes por intervalo'!K451</f>
        <v>22383.0200000001</v>
      </c>
      <c r="W452" s="149" t="n">
        <f aca="false">W451+'Volumes por intervalo'!L451</f>
        <v>35460.3300000001</v>
      </c>
      <c r="X452" s="149" t="n">
        <f aca="false">X451+'Volumes por intervalo'!M451</f>
        <v>105449.5</v>
      </c>
      <c r="Y452" s="149" t="n">
        <f aca="false">Y451+'Volumes por intervalo'!N451</f>
        <v>105449.5</v>
      </c>
      <c r="Z452" s="149" t="n">
        <f aca="false">Z451+'Volumes por intervalo'!O451</f>
        <v>120895.099999999</v>
      </c>
      <c r="AA452" s="149" t="n">
        <f aca="false">AA451+'Volumes por intervalo'!P451</f>
        <v>0</v>
      </c>
      <c r="AB452" s="149" t="n">
        <f aca="false">AB451+'Volumes por intervalo'!Q451</f>
        <v>0</v>
      </c>
      <c r="AC452" s="149" t="n">
        <f aca="false">AC451+'Volumes por intervalo'!R451</f>
        <v>0</v>
      </c>
      <c r="AD452" s="149" t="n">
        <f aca="false">AD451+'Volumes por intervalo'!S451</f>
        <v>0</v>
      </c>
    </row>
    <row r="453" customFormat="false" ht="15" hidden="false" customHeight="false" outlineLevel="0" collapsed="false">
      <c r="A453" s="138" t="s">
        <v>2114</v>
      </c>
      <c r="B453" s="146" t="n">
        <v>450</v>
      </c>
      <c r="C453" s="144" t="n">
        <v>9000</v>
      </c>
      <c r="D453" s="138" t="s">
        <v>1580</v>
      </c>
      <c r="E453" s="138" t="s">
        <v>1566</v>
      </c>
      <c r="F453" s="147" t="n">
        <v>11.6</v>
      </c>
      <c r="G453" s="148" t="n">
        <v>0</v>
      </c>
      <c r="H453" s="148" t="n">
        <v>0</v>
      </c>
      <c r="I453" s="138" t="s">
        <v>1642</v>
      </c>
      <c r="J453" s="138"/>
      <c r="K453" s="146" t="n">
        <f aca="false">Parâmetros!$C$4*(F453+2*Parâmetros!$D$4+Parâmetros!$C$4*Parâmetros!$E$4)</f>
        <v>0.5825</v>
      </c>
      <c r="L453" s="146" t="n">
        <f aca="false">Parâmetros!$C$5*(F453+2*Parâmetros!$D$5+Parâmetros!$C$5*Parâmetros!$E$5)</f>
        <v>1.9136</v>
      </c>
      <c r="M453" s="146" t="n">
        <f aca="false">Parâmetros!$C$6*(F453+2*Parâmetros!$D$6+Parâmetros!$C$6*Parâmetros!$E$6)</f>
        <v>2.504</v>
      </c>
      <c r="N453" s="146" t="n">
        <f aca="false">Parâmetros!$C$7*(F453+2*Parâmetros!$D$7+Parâmetros!$C$7*Parâmetros!$E$7)</f>
        <v>3.966</v>
      </c>
      <c r="O453" s="146" t="n">
        <f aca="false">F453+2*Parâmetros!$D$8</f>
        <v>11.8</v>
      </c>
      <c r="P453" s="146" t="n">
        <f aca="false">F453+2*Parâmetros!$D$10</f>
        <v>13.52</v>
      </c>
      <c r="Q453" s="146" t="n">
        <f aca="false">G453+H453</f>
        <v>0</v>
      </c>
      <c r="S453" s="149" t="n">
        <f aca="false">S452+'Volumes por intervalo'!C452*(F452+F453)/2</f>
        <v>103885.5</v>
      </c>
      <c r="T453" s="149" t="n">
        <f aca="false">T452+'Volumes por intervalo'!H452</f>
        <v>5216.77500000003</v>
      </c>
      <c r="U453" s="149" t="n">
        <f aca="false">U452+'Volumes por intervalo'!J452</f>
        <v>17140.0800000001</v>
      </c>
      <c r="V453" s="149" t="n">
        <f aca="false">V452+'Volumes por intervalo'!K452</f>
        <v>22433.1000000001</v>
      </c>
      <c r="W453" s="149" t="n">
        <f aca="false">W452+'Volumes por intervalo'!L452</f>
        <v>35539.6500000001</v>
      </c>
      <c r="X453" s="149" t="n">
        <f aca="false">X452+'Volumes por intervalo'!M452</f>
        <v>105685.5</v>
      </c>
      <c r="Y453" s="149" t="n">
        <f aca="false">Y452+'Volumes por intervalo'!N452</f>
        <v>105685.5</v>
      </c>
      <c r="Z453" s="149" t="n">
        <f aca="false">Z452+'Volumes por intervalo'!O452</f>
        <v>121165.499999999</v>
      </c>
      <c r="AA453" s="149" t="n">
        <f aca="false">AA452+'Volumes por intervalo'!P452</f>
        <v>0</v>
      </c>
      <c r="AB453" s="149" t="n">
        <f aca="false">AB452+'Volumes por intervalo'!Q452</f>
        <v>0</v>
      </c>
      <c r="AC453" s="149" t="n">
        <f aca="false">AC452+'Volumes por intervalo'!R452</f>
        <v>0</v>
      </c>
      <c r="AD453" s="149" t="n">
        <f aca="false">AD452+'Volumes por intervalo'!S452</f>
        <v>0</v>
      </c>
    </row>
    <row r="454" customFormat="false" ht="15" hidden="false" customHeight="false" outlineLevel="0" collapsed="false">
      <c r="A454" s="138" t="s">
        <v>2115</v>
      </c>
      <c r="B454" s="146" t="n">
        <v>451</v>
      </c>
      <c r="C454" s="144" t="n">
        <v>9020</v>
      </c>
      <c r="D454" s="138" t="s">
        <v>1580</v>
      </c>
      <c r="E454" s="138" t="s">
        <v>1566</v>
      </c>
      <c r="F454" s="147" t="n">
        <v>11.6</v>
      </c>
      <c r="G454" s="148" t="n">
        <v>0</v>
      </c>
      <c r="H454" s="148" t="n">
        <v>0</v>
      </c>
      <c r="I454" s="138" t="s">
        <v>1642</v>
      </c>
      <c r="J454" s="138"/>
      <c r="K454" s="146" t="n">
        <f aca="false">Parâmetros!$C$4*(F454+2*Parâmetros!$D$4+Parâmetros!$C$4*Parâmetros!$E$4)</f>
        <v>0.5825</v>
      </c>
      <c r="L454" s="146" t="n">
        <f aca="false">Parâmetros!$C$5*(F454+2*Parâmetros!$D$5+Parâmetros!$C$5*Parâmetros!$E$5)</f>
        <v>1.9136</v>
      </c>
      <c r="M454" s="146" t="n">
        <f aca="false">Parâmetros!$C$6*(F454+2*Parâmetros!$D$6+Parâmetros!$C$6*Parâmetros!$E$6)</f>
        <v>2.504</v>
      </c>
      <c r="N454" s="146" t="n">
        <f aca="false">Parâmetros!$C$7*(F454+2*Parâmetros!$D$7+Parâmetros!$C$7*Parâmetros!$E$7)</f>
        <v>3.966</v>
      </c>
      <c r="O454" s="146" t="n">
        <f aca="false">F454+2*Parâmetros!$D$8</f>
        <v>11.8</v>
      </c>
      <c r="P454" s="146" t="n">
        <f aca="false">F454+2*Parâmetros!$D$10</f>
        <v>13.52</v>
      </c>
      <c r="Q454" s="146" t="n">
        <f aca="false">G454+H454</f>
        <v>0</v>
      </c>
      <c r="S454" s="149" t="n">
        <f aca="false">S453+'Volumes por intervalo'!C453*(F453+F454)/2</f>
        <v>104117.5</v>
      </c>
      <c r="T454" s="149" t="n">
        <f aca="false">T453+'Volumes por intervalo'!H453</f>
        <v>5228.42500000003</v>
      </c>
      <c r="U454" s="149" t="n">
        <f aca="false">U453+'Volumes por intervalo'!J453</f>
        <v>17178.3520000001</v>
      </c>
      <c r="V454" s="149" t="n">
        <f aca="false">V453+'Volumes por intervalo'!K453</f>
        <v>22483.1800000001</v>
      </c>
      <c r="W454" s="149" t="n">
        <f aca="false">W453+'Volumes por intervalo'!L453</f>
        <v>35618.9700000001</v>
      </c>
      <c r="X454" s="149" t="n">
        <f aca="false">X453+'Volumes por intervalo'!M453</f>
        <v>105921.5</v>
      </c>
      <c r="Y454" s="149" t="n">
        <f aca="false">Y453+'Volumes por intervalo'!N453</f>
        <v>105921.5</v>
      </c>
      <c r="Z454" s="149" t="n">
        <f aca="false">Z453+'Volumes por intervalo'!O453</f>
        <v>121435.899999999</v>
      </c>
      <c r="AA454" s="149" t="n">
        <f aca="false">AA453+'Volumes por intervalo'!P453</f>
        <v>0</v>
      </c>
      <c r="AB454" s="149" t="n">
        <f aca="false">AB453+'Volumes por intervalo'!Q453</f>
        <v>0</v>
      </c>
      <c r="AC454" s="149" t="n">
        <f aca="false">AC453+'Volumes por intervalo'!R453</f>
        <v>0</v>
      </c>
      <c r="AD454" s="149" t="n">
        <f aca="false">AD453+'Volumes por intervalo'!S453</f>
        <v>0</v>
      </c>
    </row>
    <row r="455" customFormat="false" ht="15" hidden="false" customHeight="false" outlineLevel="0" collapsed="false">
      <c r="A455" s="138" t="s">
        <v>2116</v>
      </c>
      <c r="B455" s="146" t="n">
        <v>452</v>
      </c>
      <c r="C455" s="144" t="n">
        <v>9040</v>
      </c>
      <c r="D455" s="138" t="s">
        <v>1580</v>
      </c>
      <c r="E455" s="138" t="s">
        <v>1566</v>
      </c>
      <c r="F455" s="147" t="n">
        <v>11.6</v>
      </c>
      <c r="G455" s="148" t="n">
        <v>0</v>
      </c>
      <c r="H455" s="148" t="n">
        <v>0</v>
      </c>
      <c r="I455" s="138" t="s">
        <v>1642</v>
      </c>
      <c r="J455" s="138"/>
      <c r="K455" s="146" t="n">
        <f aca="false">Parâmetros!$C$4*(F455+2*Parâmetros!$D$4+Parâmetros!$C$4*Parâmetros!$E$4)</f>
        <v>0.5825</v>
      </c>
      <c r="L455" s="146" t="n">
        <f aca="false">Parâmetros!$C$5*(F455+2*Parâmetros!$D$5+Parâmetros!$C$5*Parâmetros!$E$5)</f>
        <v>1.9136</v>
      </c>
      <c r="M455" s="146" t="n">
        <f aca="false">Parâmetros!$C$6*(F455+2*Parâmetros!$D$6+Parâmetros!$C$6*Parâmetros!$E$6)</f>
        <v>2.504</v>
      </c>
      <c r="N455" s="146" t="n">
        <f aca="false">Parâmetros!$C$7*(F455+2*Parâmetros!$D$7+Parâmetros!$C$7*Parâmetros!$E$7)</f>
        <v>3.966</v>
      </c>
      <c r="O455" s="146" t="n">
        <f aca="false">F455+2*Parâmetros!$D$8</f>
        <v>11.8</v>
      </c>
      <c r="P455" s="146" t="n">
        <f aca="false">F455+2*Parâmetros!$D$10</f>
        <v>13.52</v>
      </c>
      <c r="Q455" s="146" t="n">
        <f aca="false">G455+H455</f>
        <v>0</v>
      </c>
      <c r="S455" s="149" t="n">
        <f aca="false">S454+'Volumes por intervalo'!C454*(F454+F455)/2</f>
        <v>104349.5</v>
      </c>
      <c r="T455" s="149" t="n">
        <f aca="false">T454+'Volumes por intervalo'!H454</f>
        <v>5240.07500000003</v>
      </c>
      <c r="U455" s="149" t="n">
        <f aca="false">U454+'Volumes por intervalo'!J454</f>
        <v>17216.6240000001</v>
      </c>
      <c r="V455" s="149" t="n">
        <f aca="false">V454+'Volumes por intervalo'!K454</f>
        <v>22533.2600000001</v>
      </c>
      <c r="W455" s="149" t="n">
        <f aca="false">W454+'Volumes por intervalo'!L454</f>
        <v>35698.2900000001</v>
      </c>
      <c r="X455" s="149" t="n">
        <f aca="false">X454+'Volumes por intervalo'!M454</f>
        <v>106157.5</v>
      </c>
      <c r="Y455" s="149" t="n">
        <f aca="false">Y454+'Volumes por intervalo'!N454</f>
        <v>106157.5</v>
      </c>
      <c r="Z455" s="149" t="n">
        <f aca="false">Z454+'Volumes por intervalo'!O454</f>
        <v>121706.299999999</v>
      </c>
      <c r="AA455" s="149" t="n">
        <f aca="false">AA454+'Volumes por intervalo'!P454</f>
        <v>0</v>
      </c>
      <c r="AB455" s="149" t="n">
        <f aca="false">AB454+'Volumes por intervalo'!Q454</f>
        <v>0</v>
      </c>
      <c r="AC455" s="149" t="n">
        <f aca="false">AC454+'Volumes por intervalo'!R454</f>
        <v>0</v>
      </c>
      <c r="AD455" s="149" t="n">
        <f aca="false">AD454+'Volumes por intervalo'!S454</f>
        <v>0</v>
      </c>
    </row>
    <row r="456" customFormat="false" ht="15" hidden="false" customHeight="false" outlineLevel="0" collapsed="false">
      <c r="A456" s="138" t="s">
        <v>2117</v>
      </c>
      <c r="B456" s="146" t="n">
        <v>453</v>
      </c>
      <c r="C456" s="144" t="n">
        <v>9060</v>
      </c>
      <c r="D456" s="138" t="s">
        <v>1580</v>
      </c>
      <c r="E456" s="138" t="s">
        <v>1566</v>
      </c>
      <c r="F456" s="147" t="n">
        <v>11.6</v>
      </c>
      <c r="G456" s="148" t="n">
        <v>0</v>
      </c>
      <c r="H456" s="148" t="n">
        <v>0</v>
      </c>
      <c r="I456" s="138" t="s">
        <v>1642</v>
      </c>
      <c r="J456" s="138"/>
      <c r="K456" s="146" t="n">
        <f aca="false">Parâmetros!$C$4*(F456+2*Parâmetros!$D$4+Parâmetros!$C$4*Parâmetros!$E$4)</f>
        <v>0.5825</v>
      </c>
      <c r="L456" s="146" t="n">
        <f aca="false">Parâmetros!$C$5*(F456+2*Parâmetros!$D$5+Parâmetros!$C$5*Parâmetros!$E$5)</f>
        <v>1.9136</v>
      </c>
      <c r="M456" s="146" t="n">
        <f aca="false">Parâmetros!$C$6*(F456+2*Parâmetros!$D$6+Parâmetros!$C$6*Parâmetros!$E$6)</f>
        <v>2.504</v>
      </c>
      <c r="N456" s="146" t="n">
        <f aca="false">Parâmetros!$C$7*(F456+2*Parâmetros!$D$7+Parâmetros!$C$7*Parâmetros!$E$7)</f>
        <v>3.966</v>
      </c>
      <c r="O456" s="146" t="n">
        <f aca="false">F456+2*Parâmetros!$D$8</f>
        <v>11.8</v>
      </c>
      <c r="P456" s="146" t="n">
        <f aca="false">F456+2*Parâmetros!$D$10</f>
        <v>13.52</v>
      </c>
      <c r="Q456" s="146" t="n">
        <f aca="false">G456+H456</f>
        <v>0</v>
      </c>
      <c r="S456" s="149" t="n">
        <f aca="false">S455+'Volumes por intervalo'!C455*(F455+F456)/2</f>
        <v>104581.5</v>
      </c>
      <c r="T456" s="149" t="n">
        <f aca="false">T455+'Volumes por intervalo'!H455</f>
        <v>5251.72500000003</v>
      </c>
      <c r="U456" s="149" t="n">
        <f aca="false">U455+'Volumes por intervalo'!J455</f>
        <v>17254.8960000001</v>
      </c>
      <c r="V456" s="149" t="n">
        <f aca="false">V455+'Volumes por intervalo'!K455</f>
        <v>22583.3400000001</v>
      </c>
      <c r="W456" s="149" t="n">
        <f aca="false">W455+'Volumes por intervalo'!L455</f>
        <v>35777.6100000001</v>
      </c>
      <c r="X456" s="149" t="n">
        <f aca="false">X455+'Volumes por intervalo'!M455</f>
        <v>106393.5</v>
      </c>
      <c r="Y456" s="149" t="n">
        <f aca="false">Y455+'Volumes por intervalo'!N455</f>
        <v>106393.5</v>
      </c>
      <c r="Z456" s="149" t="n">
        <f aca="false">Z455+'Volumes por intervalo'!O455</f>
        <v>121976.699999999</v>
      </c>
      <c r="AA456" s="149" t="n">
        <f aca="false">AA455+'Volumes por intervalo'!P455</f>
        <v>0</v>
      </c>
      <c r="AB456" s="149" t="n">
        <f aca="false">AB455+'Volumes por intervalo'!Q455</f>
        <v>0</v>
      </c>
      <c r="AC456" s="149" t="n">
        <f aca="false">AC455+'Volumes por intervalo'!R455</f>
        <v>0</v>
      </c>
      <c r="AD456" s="149" t="n">
        <f aca="false">AD455+'Volumes por intervalo'!S455</f>
        <v>0</v>
      </c>
    </row>
    <row r="457" customFormat="false" ht="15" hidden="false" customHeight="false" outlineLevel="0" collapsed="false">
      <c r="A457" s="138" t="s">
        <v>2118</v>
      </c>
      <c r="B457" s="146" t="n">
        <v>454</v>
      </c>
      <c r="C457" s="144" t="n">
        <v>9080</v>
      </c>
      <c r="D457" s="138" t="s">
        <v>1580</v>
      </c>
      <c r="E457" s="138" t="s">
        <v>1566</v>
      </c>
      <c r="F457" s="147" t="n">
        <v>11.6</v>
      </c>
      <c r="G457" s="148" t="n">
        <v>0</v>
      </c>
      <c r="H457" s="148" t="n">
        <v>0</v>
      </c>
      <c r="I457" s="138" t="s">
        <v>1642</v>
      </c>
      <c r="J457" s="138"/>
      <c r="K457" s="146" t="n">
        <f aca="false">Parâmetros!$C$4*(F457+2*Parâmetros!$D$4+Parâmetros!$C$4*Parâmetros!$E$4)</f>
        <v>0.5825</v>
      </c>
      <c r="L457" s="146" t="n">
        <f aca="false">Parâmetros!$C$5*(F457+2*Parâmetros!$D$5+Parâmetros!$C$5*Parâmetros!$E$5)</f>
        <v>1.9136</v>
      </c>
      <c r="M457" s="146" t="n">
        <f aca="false">Parâmetros!$C$6*(F457+2*Parâmetros!$D$6+Parâmetros!$C$6*Parâmetros!$E$6)</f>
        <v>2.504</v>
      </c>
      <c r="N457" s="146" t="n">
        <f aca="false">Parâmetros!$C$7*(F457+2*Parâmetros!$D$7+Parâmetros!$C$7*Parâmetros!$E$7)</f>
        <v>3.966</v>
      </c>
      <c r="O457" s="146" t="n">
        <f aca="false">F457+2*Parâmetros!$D$8</f>
        <v>11.8</v>
      </c>
      <c r="P457" s="146" t="n">
        <f aca="false">F457+2*Parâmetros!$D$10</f>
        <v>13.52</v>
      </c>
      <c r="Q457" s="146" t="n">
        <f aca="false">G457+H457</f>
        <v>0</v>
      </c>
      <c r="S457" s="149" t="n">
        <f aca="false">S456+'Volumes por intervalo'!C456*(F456+F457)/2</f>
        <v>104813.5</v>
      </c>
      <c r="T457" s="149" t="n">
        <f aca="false">T456+'Volumes por intervalo'!H456</f>
        <v>5263.37500000003</v>
      </c>
      <c r="U457" s="149" t="n">
        <f aca="false">U456+'Volumes por intervalo'!J456</f>
        <v>17293.1680000001</v>
      </c>
      <c r="V457" s="149" t="n">
        <f aca="false">V456+'Volumes por intervalo'!K456</f>
        <v>22633.4200000001</v>
      </c>
      <c r="W457" s="149" t="n">
        <f aca="false">W456+'Volumes por intervalo'!L456</f>
        <v>35856.9300000001</v>
      </c>
      <c r="X457" s="149" t="n">
        <f aca="false">X456+'Volumes por intervalo'!M456</f>
        <v>106629.5</v>
      </c>
      <c r="Y457" s="149" t="n">
        <f aca="false">Y456+'Volumes por intervalo'!N456</f>
        <v>106629.5</v>
      </c>
      <c r="Z457" s="149" t="n">
        <f aca="false">Z456+'Volumes por intervalo'!O456</f>
        <v>122247.099999999</v>
      </c>
      <c r="AA457" s="149" t="n">
        <f aca="false">AA456+'Volumes por intervalo'!P456</f>
        <v>0</v>
      </c>
      <c r="AB457" s="149" t="n">
        <f aca="false">AB456+'Volumes por intervalo'!Q456</f>
        <v>0</v>
      </c>
      <c r="AC457" s="149" t="n">
        <f aca="false">AC456+'Volumes por intervalo'!R456</f>
        <v>0</v>
      </c>
      <c r="AD457" s="149" t="n">
        <f aca="false">AD456+'Volumes por intervalo'!S456</f>
        <v>0</v>
      </c>
    </row>
    <row r="458" customFormat="false" ht="15" hidden="false" customHeight="false" outlineLevel="0" collapsed="false">
      <c r="A458" s="138" t="s">
        <v>2119</v>
      </c>
      <c r="B458" s="146" t="n">
        <v>455</v>
      </c>
      <c r="C458" s="144" t="n">
        <v>9100</v>
      </c>
      <c r="D458" s="138" t="s">
        <v>1580</v>
      </c>
      <c r="E458" s="138" t="s">
        <v>1566</v>
      </c>
      <c r="F458" s="147" t="n">
        <v>11.6</v>
      </c>
      <c r="G458" s="148" t="n">
        <v>0</v>
      </c>
      <c r="H458" s="148" t="n">
        <v>0</v>
      </c>
      <c r="I458" s="138" t="s">
        <v>1642</v>
      </c>
      <c r="J458" s="138" t="s">
        <v>2120</v>
      </c>
      <c r="K458" s="146" t="n">
        <f aca="false">Parâmetros!$C$4*(F458+2*Parâmetros!$D$4+Parâmetros!$C$4*Parâmetros!$E$4)</f>
        <v>0.5825</v>
      </c>
      <c r="L458" s="146" t="n">
        <f aca="false">Parâmetros!$C$5*(F458+2*Parâmetros!$D$5+Parâmetros!$C$5*Parâmetros!$E$5)</f>
        <v>1.9136</v>
      </c>
      <c r="M458" s="146" t="n">
        <f aca="false">Parâmetros!$C$6*(F458+2*Parâmetros!$D$6+Parâmetros!$C$6*Parâmetros!$E$6)</f>
        <v>2.504</v>
      </c>
      <c r="N458" s="146" t="n">
        <f aca="false">Parâmetros!$C$7*(F458+2*Parâmetros!$D$7+Parâmetros!$C$7*Parâmetros!$E$7)</f>
        <v>3.966</v>
      </c>
      <c r="O458" s="146" t="n">
        <f aca="false">F458+2*Parâmetros!$D$8</f>
        <v>11.8</v>
      </c>
      <c r="P458" s="146" t="n">
        <f aca="false">F458+2*Parâmetros!$D$10</f>
        <v>13.52</v>
      </c>
      <c r="Q458" s="146" t="n">
        <f aca="false">G458+H458</f>
        <v>0</v>
      </c>
      <c r="S458" s="149" t="n">
        <f aca="false">S457+'Volumes por intervalo'!C457*(F457+F458)/2</f>
        <v>105045.5</v>
      </c>
      <c r="T458" s="149" t="n">
        <f aca="false">T457+'Volumes por intervalo'!H457</f>
        <v>5275.02500000003</v>
      </c>
      <c r="U458" s="149" t="n">
        <f aca="false">U457+'Volumes por intervalo'!J457</f>
        <v>17331.4400000001</v>
      </c>
      <c r="V458" s="149" t="n">
        <f aca="false">V457+'Volumes por intervalo'!K457</f>
        <v>22683.5000000001</v>
      </c>
      <c r="W458" s="149" t="n">
        <f aca="false">W457+'Volumes por intervalo'!L457</f>
        <v>35936.2500000001</v>
      </c>
      <c r="X458" s="149" t="n">
        <f aca="false">X457+'Volumes por intervalo'!M457</f>
        <v>106865.5</v>
      </c>
      <c r="Y458" s="149" t="n">
        <f aca="false">Y457+'Volumes por intervalo'!N457</f>
        <v>106865.5</v>
      </c>
      <c r="Z458" s="149" t="n">
        <f aca="false">Z457+'Volumes por intervalo'!O457</f>
        <v>122517.499999999</v>
      </c>
      <c r="AA458" s="149" t="n">
        <f aca="false">AA457+'Volumes por intervalo'!P457</f>
        <v>0</v>
      </c>
      <c r="AB458" s="149" t="n">
        <f aca="false">AB457+'Volumes por intervalo'!Q457</f>
        <v>0</v>
      </c>
      <c r="AC458" s="149" t="n">
        <f aca="false">AC457+'Volumes por intervalo'!R457</f>
        <v>0</v>
      </c>
      <c r="AD458" s="149" t="n">
        <f aca="false">AD457+'Volumes por intervalo'!S457</f>
        <v>0</v>
      </c>
    </row>
    <row r="459" customFormat="false" ht="15" hidden="false" customHeight="false" outlineLevel="0" collapsed="false">
      <c r="A459" s="138" t="s">
        <v>2121</v>
      </c>
      <c r="B459" s="146" t="n">
        <v>456</v>
      </c>
      <c r="C459" s="144" t="n">
        <v>9120</v>
      </c>
      <c r="D459" s="138" t="s">
        <v>1580</v>
      </c>
      <c r="E459" s="138" t="s">
        <v>1566</v>
      </c>
      <c r="F459" s="147" t="n">
        <v>11.6</v>
      </c>
      <c r="G459" s="148" t="n">
        <v>0</v>
      </c>
      <c r="H459" s="148" t="n">
        <v>0</v>
      </c>
      <c r="I459" s="138" t="s">
        <v>1642</v>
      </c>
      <c r="J459" s="138"/>
      <c r="K459" s="146" t="n">
        <f aca="false">Parâmetros!$C$4*(F459+2*Parâmetros!$D$4+Parâmetros!$C$4*Parâmetros!$E$4)</f>
        <v>0.5825</v>
      </c>
      <c r="L459" s="146" t="n">
        <f aca="false">Parâmetros!$C$5*(F459+2*Parâmetros!$D$5+Parâmetros!$C$5*Parâmetros!$E$5)</f>
        <v>1.9136</v>
      </c>
      <c r="M459" s="146" t="n">
        <f aca="false">Parâmetros!$C$6*(F459+2*Parâmetros!$D$6+Parâmetros!$C$6*Parâmetros!$E$6)</f>
        <v>2.504</v>
      </c>
      <c r="N459" s="146" t="n">
        <f aca="false">Parâmetros!$C$7*(F459+2*Parâmetros!$D$7+Parâmetros!$C$7*Parâmetros!$E$7)</f>
        <v>3.966</v>
      </c>
      <c r="O459" s="146" t="n">
        <f aca="false">F459+2*Parâmetros!$D$8</f>
        <v>11.8</v>
      </c>
      <c r="P459" s="146" t="n">
        <f aca="false">F459+2*Parâmetros!$D$10</f>
        <v>13.52</v>
      </c>
      <c r="Q459" s="146" t="n">
        <f aca="false">G459+H459</f>
        <v>0</v>
      </c>
      <c r="S459" s="149" t="n">
        <f aca="false">S458+'Volumes por intervalo'!C458*(F458+F459)/2</f>
        <v>105277.5</v>
      </c>
      <c r="T459" s="149" t="n">
        <f aca="false">T458+'Volumes por intervalo'!H458</f>
        <v>5286.67500000003</v>
      </c>
      <c r="U459" s="149" t="n">
        <f aca="false">U458+'Volumes por intervalo'!J458</f>
        <v>17369.7120000001</v>
      </c>
      <c r="V459" s="149" t="n">
        <f aca="false">V458+'Volumes por intervalo'!K458</f>
        <v>22733.5800000001</v>
      </c>
      <c r="W459" s="149" t="n">
        <f aca="false">W458+'Volumes por intervalo'!L458</f>
        <v>36015.5700000001</v>
      </c>
      <c r="X459" s="149" t="n">
        <f aca="false">X458+'Volumes por intervalo'!M458</f>
        <v>107101.5</v>
      </c>
      <c r="Y459" s="149" t="n">
        <f aca="false">Y458+'Volumes por intervalo'!N458</f>
        <v>107101.5</v>
      </c>
      <c r="Z459" s="149" t="n">
        <f aca="false">Z458+'Volumes por intervalo'!O458</f>
        <v>122787.899999999</v>
      </c>
      <c r="AA459" s="149" t="n">
        <f aca="false">AA458+'Volumes por intervalo'!P458</f>
        <v>0</v>
      </c>
      <c r="AB459" s="149" t="n">
        <f aca="false">AB458+'Volumes por intervalo'!Q458</f>
        <v>0</v>
      </c>
      <c r="AC459" s="149" t="n">
        <f aca="false">AC458+'Volumes por intervalo'!R458</f>
        <v>0</v>
      </c>
      <c r="AD459" s="149" t="n">
        <f aca="false">AD458+'Volumes por intervalo'!S458</f>
        <v>0</v>
      </c>
    </row>
    <row r="460" customFormat="false" ht="15" hidden="false" customHeight="false" outlineLevel="0" collapsed="false">
      <c r="A460" s="138" t="s">
        <v>2122</v>
      </c>
      <c r="B460" s="146" t="n">
        <v>457</v>
      </c>
      <c r="C460" s="144" t="n">
        <v>9140</v>
      </c>
      <c r="D460" s="138" t="s">
        <v>1580</v>
      </c>
      <c r="E460" s="138" t="s">
        <v>1566</v>
      </c>
      <c r="F460" s="147" t="n">
        <v>11.6</v>
      </c>
      <c r="G460" s="148" t="n">
        <v>0</v>
      </c>
      <c r="H460" s="148" t="n">
        <v>0</v>
      </c>
      <c r="I460" s="138" t="s">
        <v>1642</v>
      </c>
      <c r="J460" s="138"/>
      <c r="K460" s="146" t="n">
        <f aca="false">Parâmetros!$C$4*(F460+2*Parâmetros!$D$4+Parâmetros!$C$4*Parâmetros!$E$4)</f>
        <v>0.5825</v>
      </c>
      <c r="L460" s="146" t="n">
        <f aca="false">Parâmetros!$C$5*(F460+2*Parâmetros!$D$5+Parâmetros!$C$5*Parâmetros!$E$5)</f>
        <v>1.9136</v>
      </c>
      <c r="M460" s="146" t="n">
        <f aca="false">Parâmetros!$C$6*(F460+2*Parâmetros!$D$6+Parâmetros!$C$6*Parâmetros!$E$6)</f>
        <v>2.504</v>
      </c>
      <c r="N460" s="146" t="n">
        <f aca="false">Parâmetros!$C$7*(F460+2*Parâmetros!$D$7+Parâmetros!$C$7*Parâmetros!$E$7)</f>
        <v>3.966</v>
      </c>
      <c r="O460" s="146" t="n">
        <f aca="false">F460+2*Parâmetros!$D$8</f>
        <v>11.8</v>
      </c>
      <c r="P460" s="146" t="n">
        <f aca="false">F460+2*Parâmetros!$D$10</f>
        <v>13.52</v>
      </c>
      <c r="Q460" s="146" t="n">
        <f aca="false">G460+H460</f>
        <v>0</v>
      </c>
      <c r="S460" s="149" t="n">
        <f aca="false">S459+'Volumes por intervalo'!C459*(F459+F460)/2</f>
        <v>105509.5</v>
      </c>
      <c r="T460" s="149" t="n">
        <f aca="false">T459+'Volumes por intervalo'!H459</f>
        <v>5298.32500000002</v>
      </c>
      <c r="U460" s="149" t="n">
        <f aca="false">U459+'Volumes por intervalo'!J459</f>
        <v>17407.9840000001</v>
      </c>
      <c r="V460" s="149" t="n">
        <f aca="false">V459+'Volumes por intervalo'!K459</f>
        <v>22783.6600000001</v>
      </c>
      <c r="W460" s="149" t="n">
        <f aca="false">W459+'Volumes por intervalo'!L459</f>
        <v>36094.8900000001</v>
      </c>
      <c r="X460" s="149" t="n">
        <f aca="false">X459+'Volumes por intervalo'!M459</f>
        <v>107337.5</v>
      </c>
      <c r="Y460" s="149" t="n">
        <f aca="false">Y459+'Volumes por intervalo'!N459</f>
        <v>107337.5</v>
      </c>
      <c r="Z460" s="149" t="n">
        <f aca="false">Z459+'Volumes por intervalo'!O459</f>
        <v>123058.299999999</v>
      </c>
      <c r="AA460" s="149" t="n">
        <f aca="false">AA459+'Volumes por intervalo'!P459</f>
        <v>0</v>
      </c>
      <c r="AB460" s="149" t="n">
        <f aca="false">AB459+'Volumes por intervalo'!Q459</f>
        <v>0</v>
      </c>
      <c r="AC460" s="149" t="n">
        <f aca="false">AC459+'Volumes por intervalo'!R459</f>
        <v>0</v>
      </c>
      <c r="AD460" s="149" t="n">
        <f aca="false">AD459+'Volumes por intervalo'!S459</f>
        <v>0</v>
      </c>
    </row>
    <row r="461" customFormat="false" ht="15" hidden="false" customHeight="false" outlineLevel="0" collapsed="false">
      <c r="A461" s="138" t="s">
        <v>2123</v>
      </c>
      <c r="B461" s="146" t="n">
        <v>458</v>
      </c>
      <c r="C461" s="144" t="n">
        <v>9160</v>
      </c>
      <c r="D461" s="138" t="s">
        <v>1580</v>
      </c>
      <c r="E461" s="138" t="s">
        <v>1566</v>
      </c>
      <c r="F461" s="147" t="n">
        <v>11.6</v>
      </c>
      <c r="G461" s="148" t="n">
        <v>0</v>
      </c>
      <c r="H461" s="148" t="n">
        <v>0</v>
      </c>
      <c r="I461" s="138" t="s">
        <v>1642</v>
      </c>
      <c r="J461" s="138"/>
      <c r="K461" s="146" t="n">
        <f aca="false">Parâmetros!$C$4*(F461+2*Parâmetros!$D$4+Parâmetros!$C$4*Parâmetros!$E$4)</f>
        <v>0.5825</v>
      </c>
      <c r="L461" s="146" t="n">
        <f aca="false">Parâmetros!$C$5*(F461+2*Parâmetros!$D$5+Parâmetros!$C$5*Parâmetros!$E$5)</f>
        <v>1.9136</v>
      </c>
      <c r="M461" s="146" t="n">
        <f aca="false">Parâmetros!$C$6*(F461+2*Parâmetros!$D$6+Parâmetros!$C$6*Parâmetros!$E$6)</f>
        <v>2.504</v>
      </c>
      <c r="N461" s="146" t="n">
        <f aca="false">Parâmetros!$C$7*(F461+2*Parâmetros!$D$7+Parâmetros!$C$7*Parâmetros!$E$7)</f>
        <v>3.966</v>
      </c>
      <c r="O461" s="146" t="n">
        <f aca="false">F461+2*Parâmetros!$D$8</f>
        <v>11.8</v>
      </c>
      <c r="P461" s="146" t="n">
        <f aca="false">F461+2*Parâmetros!$D$10</f>
        <v>13.52</v>
      </c>
      <c r="Q461" s="146" t="n">
        <f aca="false">G461+H461</f>
        <v>0</v>
      </c>
      <c r="S461" s="149" t="n">
        <f aca="false">S460+'Volumes por intervalo'!C460*(F460+F461)/2</f>
        <v>105741.5</v>
      </c>
      <c r="T461" s="149" t="n">
        <f aca="false">T460+'Volumes por intervalo'!H460</f>
        <v>5309.97500000002</v>
      </c>
      <c r="U461" s="149" t="n">
        <f aca="false">U460+'Volumes por intervalo'!J460</f>
        <v>17446.2560000001</v>
      </c>
      <c r="V461" s="149" t="n">
        <f aca="false">V460+'Volumes por intervalo'!K460</f>
        <v>22833.7400000001</v>
      </c>
      <c r="W461" s="149" t="n">
        <f aca="false">W460+'Volumes por intervalo'!L460</f>
        <v>36174.2100000001</v>
      </c>
      <c r="X461" s="149" t="n">
        <f aca="false">X460+'Volumes por intervalo'!M460</f>
        <v>107573.5</v>
      </c>
      <c r="Y461" s="149" t="n">
        <f aca="false">Y460+'Volumes por intervalo'!N460</f>
        <v>107573.5</v>
      </c>
      <c r="Z461" s="149" t="n">
        <f aca="false">Z460+'Volumes por intervalo'!O460</f>
        <v>123328.699999999</v>
      </c>
      <c r="AA461" s="149" t="n">
        <f aca="false">AA460+'Volumes por intervalo'!P460</f>
        <v>0</v>
      </c>
      <c r="AB461" s="149" t="n">
        <f aca="false">AB460+'Volumes por intervalo'!Q460</f>
        <v>0</v>
      </c>
      <c r="AC461" s="149" t="n">
        <f aca="false">AC460+'Volumes por intervalo'!R460</f>
        <v>0</v>
      </c>
      <c r="AD461" s="149" t="n">
        <f aca="false">AD460+'Volumes por intervalo'!S460</f>
        <v>0</v>
      </c>
    </row>
    <row r="462" customFormat="false" ht="15" hidden="false" customHeight="false" outlineLevel="0" collapsed="false">
      <c r="A462" s="138" t="s">
        <v>2124</v>
      </c>
      <c r="B462" s="146" t="n">
        <v>459</v>
      </c>
      <c r="C462" s="144" t="n">
        <v>9180</v>
      </c>
      <c r="D462" s="138" t="s">
        <v>1580</v>
      </c>
      <c r="E462" s="138" t="s">
        <v>1566</v>
      </c>
      <c r="F462" s="147" t="n">
        <v>11.6</v>
      </c>
      <c r="G462" s="148" t="n">
        <v>0</v>
      </c>
      <c r="H462" s="148" t="n">
        <v>0</v>
      </c>
      <c r="I462" s="138" t="s">
        <v>1642</v>
      </c>
      <c r="J462" s="138"/>
      <c r="K462" s="146" t="n">
        <f aca="false">Parâmetros!$C$4*(F462+2*Parâmetros!$D$4+Parâmetros!$C$4*Parâmetros!$E$4)</f>
        <v>0.5825</v>
      </c>
      <c r="L462" s="146" t="n">
        <f aca="false">Parâmetros!$C$5*(F462+2*Parâmetros!$D$5+Parâmetros!$C$5*Parâmetros!$E$5)</f>
        <v>1.9136</v>
      </c>
      <c r="M462" s="146" t="n">
        <f aca="false">Parâmetros!$C$6*(F462+2*Parâmetros!$D$6+Parâmetros!$C$6*Parâmetros!$E$6)</f>
        <v>2.504</v>
      </c>
      <c r="N462" s="146" t="n">
        <f aca="false">Parâmetros!$C$7*(F462+2*Parâmetros!$D$7+Parâmetros!$C$7*Parâmetros!$E$7)</f>
        <v>3.966</v>
      </c>
      <c r="O462" s="146" t="n">
        <f aca="false">F462+2*Parâmetros!$D$8</f>
        <v>11.8</v>
      </c>
      <c r="P462" s="146" t="n">
        <f aca="false">F462+2*Parâmetros!$D$10</f>
        <v>13.52</v>
      </c>
      <c r="Q462" s="146" t="n">
        <f aca="false">G462+H462</f>
        <v>0</v>
      </c>
      <c r="S462" s="149" t="n">
        <f aca="false">S461+'Volumes por intervalo'!C461*(F461+F462)/2</f>
        <v>105973.5</v>
      </c>
      <c r="T462" s="149" t="n">
        <f aca="false">T461+'Volumes por intervalo'!H461</f>
        <v>5321.62500000002</v>
      </c>
      <c r="U462" s="149" t="n">
        <f aca="false">U461+'Volumes por intervalo'!J461</f>
        <v>17484.5280000001</v>
      </c>
      <c r="V462" s="149" t="n">
        <f aca="false">V461+'Volumes por intervalo'!K461</f>
        <v>22883.8200000001</v>
      </c>
      <c r="W462" s="149" t="n">
        <f aca="false">W461+'Volumes por intervalo'!L461</f>
        <v>36253.5300000001</v>
      </c>
      <c r="X462" s="149" t="n">
        <f aca="false">X461+'Volumes por intervalo'!M461</f>
        <v>107809.5</v>
      </c>
      <c r="Y462" s="149" t="n">
        <f aca="false">Y461+'Volumes por intervalo'!N461</f>
        <v>107809.5</v>
      </c>
      <c r="Z462" s="149" t="n">
        <f aca="false">Z461+'Volumes por intervalo'!O461</f>
        <v>123599.099999999</v>
      </c>
      <c r="AA462" s="149" t="n">
        <f aca="false">AA461+'Volumes por intervalo'!P461</f>
        <v>0</v>
      </c>
      <c r="AB462" s="149" t="n">
        <f aca="false">AB461+'Volumes por intervalo'!Q461</f>
        <v>0</v>
      </c>
      <c r="AC462" s="149" t="n">
        <f aca="false">AC461+'Volumes por intervalo'!R461</f>
        <v>0</v>
      </c>
      <c r="AD462" s="149" t="n">
        <f aca="false">AD461+'Volumes por intervalo'!S461</f>
        <v>0</v>
      </c>
    </row>
    <row r="463" customFormat="false" ht="15" hidden="false" customHeight="false" outlineLevel="0" collapsed="false">
      <c r="A463" s="138" t="s">
        <v>2125</v>
      </c>
      <c r="B463" s="146" t="n">
        <v>460</v>
      </c>
      <c r="C463" s="144" t="n">
        <v>9200</v>
      </c>
      <c r="D463" s="138" t="s">
        <v>1580</v>
      </c>
      <c r="E463" s="138" t="s">
        <v>1566</v>
      </c>
      <c r="F463" s="147" t="n">
        <v>11.6</v>
      </c>
      <c r="G463" s="148" t="n">
        <v>0</v>
      </c>
      <c r="H463" s="148" t="n">
        <v>0</v>
      </c>
      <c r="I463" s="138" t="s">
        <v>1856</v>
      </c>
      <c r="J463" s="138" t="s">
        <v>2126</v>
      </c>
      <c r="K463" s="146" t="n">
        <f aca="false">Parâmetros!$C$4*(F463+2*Parâmetros!$D$4+Parâmetros!$C$4*Parâmetros!$E$4)</f>
        <v>0.5825</v>
      </c>
      <c r="L463" s="146" t="n">
        <f aca="false">Parâmetros!$C$5*(F463+2*Parâmetros!$D$5+Parâmetros!$C$5*Parâmetros!$E$5)</f>
        <v>1.9136</v>
      </c>
      <c r="M463" s="146" t="n">
        <f aca="false">Parâmetros!$C$6*(F463+2*Parâmetros!$D$6+Parâmetros!$C$6*Parâmetros!$E$6)</f>
        <v>2.504</v>
      </c>
      <c r="N463" s="146" t="n">
        <f aca="false">Parâmetros!$C$7*(F463+2*Parâmetros!$D$7+Parâmetros!$C$7*Parâmetros!$E$7)</f>
        <v>3.966</v>
      </c>
      <c r="O463" s="146" t="n">
        <f aca="false">F463+2*Parâmetros!$D$8</f>
        <v>11.8</v>
      </c>
      <c r="P463" s="146" t="n">
        <f aca="false">F463+2*Parâmetros!$D$10</f>
        <v>13.52</v>
      </c>
      <c r="Q463" s="146" t="n">
        <f aca="false">G463+H463</f>
        <v>0</v>
      </c>
      <c r="S463" s="149" t="n">
        <f aca="false">S462+'Volumes por intervalo'!C462*(F462+F463)/2</f>
        <v>106205.5</v>
      </c>
      <c r="T463" s="149" t="n">
        <f aca="false">T462+'Volumes por intervalo'!H462</f>
        <v>5333.27500000002</v>
      </c>
      <c r="U463" s="149" t="n">
        <f aca="false">U462+'Volumes por intervalo'!J462</f>
        <v>17522.8000000001</v>
      </c>
      <c r="V463" s="149" t="n">
        <f aca="false">V462+'Volumes por intervalo'!K462</f>
        <v>22933.9000000001</v>
      </c>
      <c r="W463" s="149" t="n">
        <f aca="false">W462+'Volumes por intervalo'!L462</f>
        <v>36332.8500000001</v>
      </c>
      <c r="X463" s="149" t="n">
        <f aca="false">X462+'Volumes por intervalo'!M462</f>
        <v>108045.5</v>
      </c>
      <c r="Y463" s="149" t="n">
        <f aca="false">Y462+'Volumes por intervalo'!N462</f>
        <v>108045.5</v>
      </c>
      <c r="Z463" s="149" t="n">
        <f aca="false">Z462+'Volumes por intervalo'!O462</f>
        <v>123869.499999999</v>
      </c>
      <c r="AA463" s="149" t="n">
        <f aca="false">AA462+'Volumes por intervalo'!P462</f>
        <v>0</v>
      </c>
      <c r="AB463" s="149" t="n">
        <f aca="false">AB462+'Volumes por intervalo'!Q462</f>
        <v>0</v>
      </c>
      <c r="AC463" s="149" t="n">
        <f aca="false">AC462+'Volumes por intervalo'!R462</f>
        <v>0</v>
      </c>
      <c r="AD463" s="149" t="n">
        <f aca="false">AD462+'Volumes por intervalo'!S462</f>
        <v>0</v>
      </c>
    </row>
    <row r="464" customFormat="false" ht="15" hidden="false" customHeight="false" outlineLevel="0" collapsed="false">
      <c r="A464" s="138" t="s">
        <v>2127</v>
      </c>
      <c r="B464" s="146" t="n">
        <v>461</v>
      </c>
      <c r="C464" s="144" t="n">
        <v>9220</v>
      </c>
      <c r="D464" s="138" t="s">
        <v>1580</v>
      </c>
      <c r="E464" s="138" t="s">
        <v>1566</v>
      </c>
      <c r="F464" s="147" t="n">
        <v>11.6</v>
      </c>
      <c r="G464" s="148" t="n">
        <v>0</v>
      </c>
      <c r="H464" s="148" t="n">
        <v>0</v>
      </c>
      <c r="I464" s="138" t="s">
        <v>1642</v>
      </c>
      <c r="J464" s="138"/>
      <c r="K464" s="146" t="n">
        <f aca="false">Parâmetros!$C$4*(F464+2*Parâmetros!$D$4+Parâmetros!$C$4*Parâmetros!$E$4)</f>
        <v>0.5825</v>
      </c>
      <c r="L464" s="146" t="n">
        <f aca="false">Parâmetros!$C$5*(F464+2*Parâmetros!$D$5+Parâmetros!$C$5*Parâmetros!$E$5)</f>
        <v>1.9136</v>
      </c>
      <c r="M464" s="146" t="n">
        <f aca="false">Parâmetros!$C$6*(F464+2*Parâmetros!$D$6+Parâmetros!$C$6*Parâmetros!$E$6)</f>
        <v>2.504</v>
      </c>
      <c r="N464" s="146" t="n">
        <f aca="false">Parâmetros!$C$7*(F464+2*Parâmetros!$D$7+Parâmetros!$C$7*Parâmetros!$E$7)</f>
        <v>3.966</v>
      </c>
      <c r="O464" s="146" t="n">
        <f aca="false">F464+2*Parâmetros!$D$8</f>
        <v>11.8</v>
      </c>
      <c r="P464" s="146" t="n">
        <f aca="false">F464+2*Parâmetros!$D$10</f>
        <v>13.52</v>
      </c>
      <c r="Q464" s="146" t="n">
        <f aca="false">G464+H464</f>
        <v>0</v>
      </c>
      <c r="S464" s="149" t="n">
        <f aca="false">S463+'Volumes por intervalo'!C463*(F463+F464)/2</f>
        <v>106437.5</v>
      </c>
      <c r="T464" s="149" t="n">
        <f aca="false">T463+'Volumes por intervalo'!H463</f>
        <v>5344.92500000002</v>
      </c>
      <c r="U464" s="149" t="n">
        <f aca="false">U463+'Volumes por intervalo'!J463</f>
        <v>17561.0720000001</v>
      </c>
      <c r="V464" s="149" t="n">
        <f aca="false">V463+'Volumes por intervalo'!K463</f>
        <v>22983.9800000001</v>
      </c>
      <c r="W464" s="149" t="n">
        <f aca="false">W463+'Volumes por intervalo'!L463</f>
        <v>36412.1700000001</v>
      </c>
      <c r="X464" s="149" t="n">
        <f aca="false">X463+'Volumes por intervalo'!M463</f>
        <v>108281.5</v>
      </c>
      <c r="Y464" s="149" t="n">
        <f aca="false">Y463+'Volumes por intervalo'!N463</f>
        <v>108281.5</v>
      </c>
      <c r="Z464" s="149" t="n">
        <f aca="false">Z463+'Volumes por intervalo'!O463</f>
        <v>124139.899999999</v>
      </c>
      <c r="AA464" s="149" t="n">
        <f aca="false">AA463+'Volumes por intervalo'!P463</f>
        <v>0</v>
      </c>
      <c r="AB464" s="149" t="n">
        <f aca="false">AB463+'Volumes por intervalo'!Q463</f>
        <v>0</v>
      </c>
      <c r="AC464" s="149" t="n">
        <f aca="false">AC463+'Volumes por intervalo'!R463</f>
        <v>0</v>
      </c>
      <c r="AD464" s="149" t="n">
        <f aca="false">AD463+'Volumes por intervalo'!S463</f>
        <v>0</v>
      </c>
    </row>
    <row r="465" customFormat="false" ht="15" hidden="false" customHeight="false" outlineLevel="0" collapsed="false">
      <c r="A465" s="138" t="s">
        <v>2128</v>
      </c>
      <c r="B465" s="146" t="n">
        <v>462</v>
      </c>
      <c r="C465" s="144" t="n">
        <v>9240</v>
      </c>
      <c r="D465" s="138" t="s">
        <v>1580</v>
      </c>
      <c r="E465" s="138" t="s">
        <v>1566</v>
      </c>
      <c r="F465" s="147" t="n">
        <v>11.6</v>
      </c>
      <c r="G465" s="148" t="n">
        <v>0</v>
      </c>
      <c r="H465" s="148" t="n">
        <v>0</v>
      </c>
      <c r="I465" s="138" t="s">
        <v>1642</v>
      </c>
      <c r="J465" s="138"/>
      <c r="K465" s="146" t="n">
        <f aca="false">Parâmetros!$C$4*(F465+2*Parâmetros!$D$4+Parâmetros!$C$4*Parâmetros!$E$4)</f>
        <v>0.5825</v>
      </c>
      <c r="L465" s="146" t="n">
        <f aca="false">Parâmetros!$C$5*(F465+2*Parâmetros!$D$5+Parâmetros!$C$5*Parâmetros!$E$5)</f>
        <v>1.9136</v>
      </c>
      <c r="M465" s="146" t="n">
        <f aca="false">Parâmetros!$C$6*(F465+2*Parâmetros!$D$6+Parâmetros!$C$6*Parâmetros!$E$6)</f>
        <v>2.504</v>
      </c>
      <c r="N465" s="146" t="n">
        <f aca="false">Parâmetros!$C$7*(F465+2*Parâmetros!$D$7+Parâmetros!$C$7*Parâmetros!$E$7)</f>
        <v>3.966</v>
      </c>
      <c r="O465" s="146" t="n">
        <f aca="false">F465+2*Parâmetros!$D$8</f>
        <v>11.8</v>
      </c>
      <c r="P465" s="146" t="n">
        <f aca="false">F465+2*Parâmetros!$D$10</f>
        <v>13.52</v>
      </c>
      <c r="Q465" s="146" t="n">
        <f aca="false">G465+H465</f>
        <v>0</v>
      </c>
      <c r="S465" s="149" t="n">
        <f aca="false">S464+'Volumes por intervalo'!C464*(F464+F465)/2</f>
        <v>106669.5</v>
      </c>
      <c r="T465" s="149" t="n">
        <f aca="false">T464+'Volumes por intervalo'!H464</f>
        <v>5356.57500000002</v>
      </c>
      <c r="U465" s="149" t="n">
        <f aca="false">U464+'Volumes por intervalo'!J464</f>
        <v>17599.3440000001</v>
      </c>
      <c r="V465" s="149" t="n">
        <f aca="false">V464+'Volumes por intervalo'!K464</f>
        <v>23034.0600000001</v>
      </c>
      <c r="W465" s="149" t="n">
        <f aca="false">W464+'Volumes por intervalo'!L464</f>
        <v>36491.4900000001</v>
      </c>
      <c r="X465" s="149" t="n">
        <f aca="false">X464+'Volumes por intervalo'!M464</f>
        <v>108517.5</v>
      </c>
      <c r="Y465" s="149" t="n">
        <f aca="false">Y464+'Volumes por intervalo'!N464</f>
        <v>108517.5</v>
      </c>
      <c r="Z465" s="149" t="n">
        <f aca="false">Z464+'Volumes por intervalo'!O464</f>
        <v>124410.299999999</v>
      </c>
      <c r="AA465" s="149" t="n">
        <f aca="false">AA464+'Volumes por intervalo'!P464</f>
        <v>0</v>
      </c>
      <c r="AB465" s="149" t="n">
        <f aca="false">AB464+'Volumes por intervalo'!Q464</f>
        <v>0</v>
      </c>
      <c r="AC465" s="149" t="n">
        <f aca="false">AC464+'Volumes por intervalo'!R464</f>
        <v>0</v>
      </c>
      <c r="AD465" s="149" t="n">
        <f aca="false">AD464+'Volumes por intervalo'!S464</f>
        <v>0</v>
      </c>
    </row>
    <row r="466" customFormat="false" ht="15" hidden="false" customHeight="false" outlineLevel="0" collapsed="false">
      <c r="A466" s="138" t="s">
        <v>2129</v>
      </c>
      <c r="B466" s="146" t="n">
        <v>463</v>
      </c>
      <c r="C466" s="144" t="n">
        <v>9260</v>
      </c>
      <c r="D466" s="138" t="s">
        <v>1580</v>
      </c>
      <c r="E466" s="138" t="s">
        <v>1566</v>
      </c>
      <c r="F466" s="147" t="n">
        <v>11.6</v>
      </c>
      <c r="G466" s="148" t="n">
        <v>0</v>
      </c>
      <c r="H466" s="148" t="n">
        <v>0</v>
      </c>
      <c r="I466" s="138" t="s">
        <v>1642</v>
      </c>
      <c r="J466" s="138"/>
      <c r="K466" s="146" t="n">
        <f aca="false">Parâmetros!$C$4*(F466+2*Parâmetros!$D$4+Parâmetros!$C$4*Parâmetros!$E$4)</f>
        <v>0.5825</v>
      </c>
      <c r="L466" s="146" t="n">
        <f aca="false">Parâmetros!$C$5*(F466+2*Parâmetros!$D$5+Parâmetros!$C$5*Parâmetros!$E$5)</f>
        <v>1.9136</v>
      </c>
      <c r="M466" s="146" t="n">
        <f aca="false">Parâmetros!$C$6*(F466+2*Parâmetros!$D$6+Parâmetros!$C$6*Parâmetros!$E$6)</f>
        <v>2.504</v>
      </c>
      <c r="N466" s="146" t="n">
        <f aca="false">Parâmetros!$C$7*(F466+2*Parâmetros!$D$7+Parâmetros!$C$7*Parâmetros!$E$7)</f>
        <v>3.966</v>
      </c>
      <c r="O466" s="146" t="n">
        <f aca="false">F466+2*Parâmetros!$D$8</f>
        <v>11.8</v>
      </c>
      <c r="P466" s="146" t="n">
        <f aca="false">F466+2*Parâmetros!$D$10</f>
        <v>13.52</v>
      </c>
      <c r="Q466" s="146" t="n">
        <f aca="false">G466+H466</f>
        <v>0</v>
      </c>
      <c r="S466" s="149" t="n">
        <f aca="false">S465+'Volumes por intervalo'!C465*(F465+F466)/2</f>
        <v>106901.5</v>
      </c>
      <c r="T466" s="149" t="n">
        <f aca="false">T465+'Volumes por intervalo'!H465</f>
        <v>5368.22500000002</v>
      </c>
      <c r="U466" s="149" t="n">
        <f aca="false">U465+'Volumes por intervalo'!J465</f>
        <v>17637.6160000001</v>
      </c>
      <c r="V466" s="149" t="n">
        <f aca="false">V465+'Volumes por intervalo'!K465</f>
        <v>23084.1400000001</v>
      </c>
      <c r="W466" s="149" t="n">
        <f aca="false">W465+'Volumes por intervalo'!L465</f>
        <v>36570.8100000001</v>
      </c>
      <c r="X466" s="149" t="n">
        <f aca="false">X465+'Volumes por intervalo'!M465</f>
        <v>108753.5</v>
      </c>
      <c r="Y466" s="149" t="n">
        <f aca="false">Y465+'Volumes por intervalo'!N465</f>
        <v>108753.5</v>
      </c>
      <c r="Z466" s="149" t="n">
        <f aca="false">Z465+'Volumes por intervalo'!O465</f>
        <v>124680.699999999</v>
      </c>
      <c r="AA466" s="149" t="n">
        <f aca="false">AA465+'Volumes por intervalo'!P465</f>
        <v>0</v>
      </c>
      <c r="AB466" s="149" t="n">
        <f aca="false">AB465+'Volumes por intervalo'!Q465</f>
        <v>0</v>
      </c>
      <c r="AC466" s="149" t="n">
        <f aca="false">AC465+'Volumes por intervalo'!R465</f>
        <v>0</v>
      </c>
      <c r="AD466" s="149" t="n">
        <f aca="false">AD465+'Volumes por intervalo'!S465</f>
        <v>0</v>
      </c>
    </row>
    <row r="467" customFormat="false" ht="15" hidden="false" customHeight="false" outlineLevel="0" collapsed="false">
      <c r="A467" s="138" t="s">
        <v>2130</v>
      </c>
      <c r="B467" s="146" t="n">
        <v>464</v>
      </c>
      <c r="C467" s="144" t="n">
        <v>9280</v>
      </c>
      <c r="D467" s="138" t="s">
        <v>1580</v>
      </c>
      <c r="E467" s="138" t="s">
        <v>1566</v>
      </c>
      <c r="F467" s="147" t="n">
        <v>11.6</v>
      </c>
      <c r="G467" s="148" t="n">
        <v>0</v>
      </c>
      <c r="H467" s="148" t="n">
        <v>0</v>
      </c>
      <c r="I467" s="138" t="s">
        <v>1642</v>
      </c>
      <c r="J467" s="138"/>
      <c r="K467" s="146" t="n">
        <f aca="false">Parâmetros!$C$4*(F467+2*Parâmetros!$D$4+Parâmetros!$C$4*Parâmetros!$E$4)</f>
        <v>0.5825</v>
      </c>
      <c r="L467" s="146" t="n">
        <f aca="false">Parâmetros!$C$5*(F467+2*Parâmetros!$D$5+Parâmetros!$C$5*Parâmetros!$E$5)</f>
        <v>1.9136</v>
      </c>
      <c r="M467" s="146" t="n">
        <f aca="false">Parâmetros!$C$6*(F467+2*Parâmetros!$D$6+Parâmetros!$C$6*Parâmetros!$E$6)</f>
        <v>2.504</v>
      </c>
      <c r="N467" s="146" t="n">
        <f aca="false">Parâmetros!$C$7*(F467+2*Parâmetros!$D$7+Parâmetros!$C$7*Parâmetros!$E$7)</f>
        <v>3.966</v>
      </c>
      <c r="O467" s="146" t="n">
        <f aca="false">F467+2*Parâmetros!$D$8</f>
        <v>11.8</v>
      </c>
      <c r="P467" s="146" t="n">
        <f aca="false">F467+2*Parâmetros!$D$10</f>
        <v>13.52</v>
      </c>
      <c r="Q467" s="146" t="n">
        <f aca="false">G467+H467</f>
        <v>0</v>
      </c>
      <c r="S467" s="149" t="n">
        <f aca="false">S466+'Volumes por intervalo'!C466*(F466+F467)/2</f>
        <v>107133.5</v>
      </c>
      <c r="T467" s="149" t="n">
        <f aca="false">T466+'Volumes por intervalo'!H466</f>
        <v>5379.87500000002</v>
      </c>
      <c r="U467" s="149" t="n">
        <f aca="false">U466+'Volumes por intervalo'!J466</f>
        <v>17675.8880000001</v>
      </c>
      <c r="V467" s="149" t="n">
        <f aca="false">V466+'Volumes por intervalo'!K466</f>
        <v>23134.2200000001</v>
      </c>
      <c r="W467" s="149" t="n">
        <f aca="false">W466+'Volumes por intervalo'!L466</f>
        <v>36650.1300000001</v>
      </c>
      <c r="X467" s="149" t="n">
        <f aca="false">X466+'Volumes por intervalo'!M466</f>
        <v>108989.5</v>
      </c>
      <c r="Y467" s="149" t="n">
        <f aca="false">Y466+'Volumes por intervalo'!N466</f>
        <v>108989.5</v>
      </c>
      <c r="Z467" s="149" t="n">
        <f aca="false">Z466+'Volumes por intervalo'!O466</f>
        <v>124951.099999999</v>
      </c>
      <c r="AA467" s="149" t="n">
        <f aca="false">AA466+'Volumes por intervalo'!P466</f>
        <v>0</v>
      </c>
      <c r="AB467" s="149" t="n">
        <f aca="false">AB466+'Volumes por intervalo'!Q466</f>
        <v>0</v>
      </c>
      <c r="AC467" s="149" t="n">
        <f aca="false">AC466+'Volumes por intervalo'!R466</f>
        <v>0</v>
      </c>
      <c r="AD467" s="149" t="n">
        <f aca="false">AD466+'Volumes por intervalo'!S466</f>
        <v>0</v>
      </c>
    </row>
    <row r="468" customFormat="false" ht="15" hidden="false" customHeight="false" outlineLevel="0" collapsed="false">
      <c r="A468" s="138" t="s">
        <v>2131</v>
      </c>
      <c r="B468" s="146" t="n">
        <v>465</v>
      </c>
      <c r="C468" s="144" t="n">
        <v>9300</v>
      </c>
      <c r="D468" s="138" t="s">
        <v>1580</v>
      </c>
      <c r="E468" s="138" t="s">
        <v>1566</v>
      </c>
      <c r="F468" s="147" t="n">
        <v>11.6</v>
      </c>
      <c r="G468" s="148" t="n">
        <v>0</v>
      </c>
      <c r="H468" s="148" t="n">
        <v>0</v>
      </c>
      <c r="I468" s="138" t="s">
        <v>1642</v>
      </c>
      <c r="J468" s="138" t="s">
        <v>2132</v>
      </c>
      <c r="K468" s="146" t="n">
        <f aca="false">Parâmetros!$C$4*(F468+2*Parâmetros!$D$4+Parâmetros!$C$4*Parâmetros!$E$4)</f>
        <v>0.5825</v>
      </c>
      <c r="L468" s="146" t="n">
        <f aca="false">Parâmetros!$C$5*(F468+2*Parâmetros!$D$5+Parâmetros!$C$5*Parâmetros!$E$5)</f>
        <v>1.9136</v>
      </c>
      <c r="M468" s="146" t="n">
        <f aca="false">Parâmetros!$C$6*(F468+2*Parâmetros!$D$6+Parâmetros!$C$6*Parâmetros!$E$6)</f>
        <v>2.504</v>
      </c>
      <c r="N468" s="146" t="n">
        <f aca="false">Parâmetros!$C$7*(F468+2*Parâmetros!$D$7+Parâmetros!$C$7*Parâmetros!$E$7)</f>
        <v>3.966</v>
      </c>
      <c r="O468" s="146" t="n">
        <f aca="false">F468+2*Parâmetros!$D$8</f>
        <v>11.8</v>
      </c>
      <c r="P468" s="146" t="n">
        <f aca="false">F468+2*Parâmetros!$D$10</f>
        <v>13.52</v>
      </c>
      <c r="Q468" s="146" t="n">
        <f aca="false">G468+H468</f>
        <v>0</v>
      </c>
      <c r="S468" s="149" t="n">
        <f aca="false">S467+'Volumes por intervalo'!C467*(F467+F468)/2</f>
        <v>107365.5</v>
      </c>
      <c r="T468" s="149" t="n">
        <f aca="false">T467+'Volumes por intervalo'!H467</f>
        <v>5391.52500000002</v>
      </c>
      <c r="U468" s="149" t="n">
        <f aca="false">U467+'Volumes por intervalo'!J467</f>
        <v>17714.1600000001</v>
      </c>
      <c r="V468" s="149" t="n">
        <f aca="false">V467+'Volumes por intervalo'!K467</f>
        <v>23184.3000000001</v>
      </c>
      <c r="W468" s="149" t="n">
        <f aca="false">W467+'Volumes por intervalo'!L467</f>
        <v>36729.4500000001</v>
      </c>
      <c r="X468" s="149" t="n">
        <f aca="false">X467+'Volumes por intervalo'!M467</f>
        <v>109225.5</v>
      </c>
      <c r="Y468" s="149" t="n">
        <f aca="false">Y467+'Volumes por intervalo'!N467</f>
        <v>109225.5</v>
      </c>
      <c r="Z468" s="149" t="n">
        <f aca="false">Z467+'Volumes por intervalo'!O467</f>
        <v>125221.499999999</v>
      </c>
      <c r="AA468" s="149" t="n">
        <f aca="false">AA467+'Volumes por intervalo'!P467</f>
        <v>0</v>
      </c>
      <c r="AB468" s="149" t="n">
        <f aca="false">AB467+'Volumes por intervalo'!Q467</f>
        <v>0</v>
      </c>
      <c r="AC468" s="149" t="n">
        <f aca="false">AC467+'Volumes por intervalo'!R467</f>
        <v>0</v>
      </c>
      <c r="AD468" s="149" t="n">
        <f aca="false">AD467+'Volumes por intervalo'!S467</f>
        <v>0</v>
      </c>
    </row>
    <row r="469" customFormat="false" ht="15" hidden="false" customHeight="false" outlineLevel="0" collapsed="false">
      <c r="A469" s="138" t="s">
        <v>2133</v>
      </c>
      <c r="B469" s="146" t="n">
        <v>466</v>
      </c>
      <c r="C469" s="144" t="n">
        <v>9320</v>
      </c>
      <c r="D469" s="138" t="s">
        <v>1580</v>
      </c>
      <c r="E469" s="138" t="s">
        <v>1566</v>
      </c>
      <c r="F469" s="147" t="n">
        <v>11.6</v>
      </c>
      <c r="G469" s="148" t="n">
        <v>0</v>
      </c>
      <c r="H469" s="148" t="n">
        <v>0</v>
      </c>
      <c r="I469" s="138" t="s">
        <v>1856</v>
      </c>
      <c r="J469" s="138" t="s">
        <v>2134</v>
      </c>
      <c r="K469" s="146" t="n">
        <f aca="false">Parâmetros!$C$4*(F469+2*Parâmetros!$D$4+Parâmetros!$C$4*Parâmetros!$E$4)</f>
        <v>0.5825</v>
      </c>
      <c r="L469" s="146" t="n">
        <f aca="false">Parâmetros!$C$5*(F469+2*Parâmetros!$D$5+Parâmetros!$C$5*Parâmetros!$E$5)</f>
        <v>1.9136</v>
      </c>
      <c r="M469" s="146" t="n">
        <f aca="false">Parâmetros!$C$6*(F469+2*Parâmetros!$D$6+Parâmetros!$C$6*Parâmetros!$E$6)</f>
        <v>2.504</v>
      </c>
      <c r="N469" s="146" t="n">
        <f aca="false">Parâmetros!$C$7*(F469+2*Parâmetros!$D$7+Parâmetros!$C$7*Parâmetros!$E$7)</f>
        <v>3.966</v>
      </c>
      <c r="O469" s="146" t="n">
        <f aca="false">F469+2*Parâmetros!$D$8</f>
        <v>11.8</v>
      </c>
      <c r="P469" s="146" t="n">
        <f aca="false">F469+2*Parâmetros!$D$10</f>
        <v>13.52</v>
      </c>
      <c r="Q469" s="146" t="n">
        <f aca="false">G469+H469</f>
        <v>0</v>
      </c>
      <c r="S469" s="149" t="n">
        <f aca="false">S468+'Volumes por intervalo'!C468*(F468+F469)/2</f>
        <v>107597.5</v>
      </c>
      <c r="T469" s="149" t="n">
        <f aca="false">T468+'Volumes por intervalo'!H468</f>
        <v>5403.17500000002</v>
      </c>
      <c r="U469" s="149" t="n">
        <f aca="false">U468+'Volumes por intervalo'!J468</f>
        <v>17752.4320000001</v>
      </c>
      <c r="V469" s="149" t="n">
        <f aca="false">V468+'Volumes por intervalo'!K468</f>
        <v>23234.3800000001</v>
      </c>
      <c r="W469" s="149" t="n">
        <f aca="false">W468+'Volumes por intervalo'!L468</f>
        <v>36808.7700000001</v>
      </c>
      <c r="X469" s="149" t="n">
        <f aca="false">X468+'Volumes por intervalo'!M468</f>
        <v>109461.5</v>
      </c>
      <c r="Y469" s="149" t="n">
        <f aca="false">Y468+'Volumes por intervalo'!N468</f>
        <v>109461.5</v>
      </c>
      <c r="Z469" s="149" t="n">
        <f aca="false">Z468+'Volumes por intervalo'!O468</f>
        <v>125491.899999999</v>
      </c>
      <c r="AA469" s="149" t="n">
        <f aca="false">AA468+'Volumes por intervalo'!P468</f>
        <v>0</v>
      </c>
      <c r="AB469" s="149" t="n">
        <f aca="false">AB468+'Volumes por intervalo'!Q468</f>
        <v>0</v>
      </c>
      <c r="AC469" s="149" t="n">
        <f aca="false">AC468+'Volumes por intervalo'!R468</f>
        <v>0</v>
      </c>
      <c r="AD469" s="149" t="n">
        <f aca="false">AD468+'Volumes por intervalo'!S468</f>
        <v>0</v>
      </c>
    </row>
    <row r="470" customFormat="false" ht="15" hidden="false" customHeight="false" outlineLevel="0" collapsed="false">
      <c r="A470" s="138" t="s">
        <v>2135</v>
      </c>
      <c r="B470" s="146" t="n">
        <v>467</v>
      </c>
      <c r="C470" s="144" t="n">
        <v>9340</v>
      </c>
      <c r="D470" s="138" t="s">
        <v>1580</v>
      </c>
      <c r="E470" s="138" t="s">
        <v>1566</v>
      </c>
      <c r="F470" s="147" t="n">
        <v>11.6</v>
      </c>
      <c r="G470" s="148" t="n">
        <v>0</v>
      </c>
      <c r="H470" s="148" t="n">
        <v>0</v>
      </c>
      <c r="I470" s="138" t="s">
        <v>1642</v>
      </c>
      <c r="J470" s="138"/>
      <c r="K470" s="146" t="n">
        <f aca="false">Parâmetros!$C$4*(F470+2*Parâmetros!$D$4+Parâmetros!$C$4*Parâmetros!$E$4)</f>
        <v>0.5825</v>
      </c>
      <c r="L470" s="146" t="n">
        <f aca="false">Parâmetros!$C$5*(F470+2*Parâmetros!$D$5+Parâmetros!$C$5*Parâmetros!$E$5)</f>
        <v>1.9136</v>
      </c>
      <c r="M470" s="146" t="n">
        <f aca="false">Parâmetros!$C$6*(F470+2*Parâmetros!$D$6+Parâmetros!$C$6*Parâmetros!$E$6)</f>
        <v>2.504</v>
      </c>
      <c r="N470" s="146" t="n">
        <f aca="false">Parâmetros!$C$7*(F470+2*Parâmetros!$D$7+Parâmetros!$C$7*Parâmetros!$E$7)</f>
        <v>3.966</v>
      </c>
      <c r="O470" s="146" t="n">
        <f aca="false">F470+2*Parâmetros!$D$8</f>
        <v>11.8</v>
      </c>
      <c r="P470" s="146" t="n">
        <f aca="false">F470+2*Parâmetros!$D$10</f>
        <v>13.52</v>
      </c>
      <c r="Q470" s="146" t="n">
        <f aca="false">G470+H470</f>
        <v>0</v>
      </c>
      <c r="S470" s="149" t="n">
        <f aca="false">S469+'Volumes por intervalo'!C469*(F469+F470)/2</f>
        <v>107829.5</v>
      </c>
      <c r="T470" s="149" t="n">
        <f aca="false">T469+'Volumes por intervalo'!H469</f>
        <v>5414.82500000002</v>
      </c>
      <c r="U470" s="149" t="n">
        <f aca="false">U469+'Volumes por intervalo'!J469</f>
        <v>17790.7040000001</v>
      </c>
      <c r="V470" s="149" t="n">
        <f aca="false">V469+'Volumes por intervalo'!K469</f>
        <v>23284.4600000001</v>
      </c>
      <c r="W470" s="149" t="n">
        <f aca="false">W469+'Volumes por intervalo'!L469</f>
        <v>36888.0900000001</v>
      </c>
      <c r="X470" s="149" t="n">
        <f aca="false">X469+'Volumes por intervalo'!M469</f>
        <v>109697.5</v>
      </c>
      <c r="Y470" s="149" t="n">
        <f aca="false">Y469+'Volumes por intervalo'!N469</f>
        <v>109697.5</v>
      </c>
      <c r="Z470" s="149" t="n">
        <f aca="false">Z469+'Volumes por intervalo'!O469</f>
        <v>125762.299999999</v>
      </c>
      <c r="AA470" s="149" t="n">
        <f aca="false">AA469+'Volumes por intervalo'!P469</f>
        <v>0</v>
      </c>
      <c r="AB470" s="149" t="n">
        <f aca="false">AB469+'Volumes por intervalo'!Q469</f>
        <v>0</v>
      </c>
      <c r="AC470" s="149" t="n">
        <f aca="false">AC469+'Volumes por intervalo'!R469</f>
        <v>0</v>
      </c>
      <c r="AD470" s="149" t="n">
        <f aca="false">AD469+'Volumes por intervalo'!S469</f>
        <v>0</v>
      </c>
    </row>
    <row r="471" customFormat="false" ht="15" hidden="false" customHeight="false" outlineLevel="0" collapsed="false">
      <c r="A471" s="138" t="s">
        <v>2136</v>
      </c>
      <c r="B471" s="146" t="n">
        <v>468</v>
      </c>
      <c r="C471" s="144" t="n">
        <v>9360</v>
      </c>
      <c r="D471" s="138" t="s">
        <v>1580</v>
      </c>
      <c r="E471" s="138" t="s">
        <v>1566</v>
      </c>
      <c r="F471" s="147" t="n">
        <v>11.6</v>
      </c>
      <c r="G471" s="148" t="n">
        <v>0</v>
      </c>
      <c r="H471" s="148" t="n">
        <v>0</v>
      </c>
      <c r="I471" s="138" t="s">
        <v>1642</v>
      </c>
      <c r="J471" s="138"/>
      <c r="K471" s="146" t="n">
        <f aca="false">Parâmetros!$C$4*(F471+2*Parâmetros!$D$4+Parâmetros!$C$4*Parâmetros!$E$4)</f>
        <v>0.5825</v>
      </c>
      <c r="L471" s="146" t="n">
        <f aca="false">Parâmetros!$C$5*(F471+2*Parâmetros!$D$5+Parâmetros!$C$5*Parâmetros!$E$5)</f>
        <v>1.9136</v>
      </c>
      <c r="M471" s="146" t="n">
        <f aca="false">Parâmetros!$C$6*(F471+2*Parâmetros!$D$6+Parâmetros!$C$6*Parâmetros!$E$6)</f>
        <v>2.504</v>
      </c>
      <c r="N471" s="146" t="n">
        <f aca="false">Parâmetros!$C$7*(F471+2*Parâmetros!$D$7+Parâmetros!$C$7*Parâmetros!$E$7)</f>
        <v>3.966</v>
      </c>
      <c r="O471" s="146" t="n">
        <f aca="false">F471+2*Parâmetros!$D$8</f>
        <v>11.8</v>
      </c>
      <c r="P471" s="146" t="n">
        <f aca="false">F471+2*Parâmetros!$D$10</f>
        <v>13.52</v>
      </c>
      <c r="Q471" s="146" t="n">
        <f aca="false">G471+H471</f>
        <v>0</v>
      </c>
      <c r="S471" s="149" t="n">
        <f aca="false">S470+'Volumes por intervalo'!C470*(F470+F471)/2</f>
        <v>108061.5</v>
      </c>
      <c r="T471" s="149" t="n">
        <f aca="false">T470+'Volumes por intervalo'!H470</f>
        <v>5426.47500000002</v>
      </c>
      <c r="U471" s="149" t="n">
        <f aca="false">U470+'Volumes por intervalo'!J470</f>
        <v>17828.9760000001</v>
      </c>
      <c r="V471" s="149" t="n">
        <f aca="false">V470+'Volumes por intervalo'!K470</f>
        <v>23334.5400000001</v>
      </c>
      <c r="W471" s="149" t="n">
        <f aca="false">W470+'Volumes por intervalo'!L470</f>
        <v>36967.4100000001</v>
      </c>
      <c r="X471" s="149" t="n">
        <f aca="false">X470+'Volumes por intervalo'!M470</f>
        <v>109933.5</v>
      </c>
      <c r="Y471" s="149" t="n">
        <f aca="false">Y470+'Volumes por intervalo'!N470</f>
        <v>109933.5</v>
      </c>
      <c r="Z471" s="149" t="n">
        <f aca="false">Z470+'Volumes por intervalo'!O470</f>
        <v>126032.699999999</v>
      </c>
      <c r="AA471" s="149" t="n">
        <f aca="false">AA470+'Volumes por intervalo'!P470</f>
        <v>0</v>
      </c>
      <c r="AB471" s="149" t="n">
        <f aca="false">AB470+'Volumes por intervalo'!Q470</f>
        <v>0</v>
      </c>
      <c r="AC471" s="149" t="n">
        <f aca="false">AC470+'Volumes por intervalo'!R470</f>
        <v>0</v>
      </c>
      <c r="AD471" s="149" t="n">
        <f aca="false">AD470+'Volumes por intervalo'!S470</f>
        <v>0</v>
      </c>
    </row>
    <row r="472" customFormat="false" ht="15" hidden="false" customHeight="false" outlineLevel="0" collapsed="false">
      <c r="A472" s="138" t="s">
        <v>2137</v>
      </c>
      <c r="B472" s="146" t="n">
        <v>469</v>
      </c>
      <c r="C472" s="144" t="n">
        <v>9380</v>
      </c>
      <c r="D472" s="138" t="s">
        <v>1580</v>
      </c>
      <c r="E472" s="138" t="s">
        <v>1566</v>
      </c>
      <c r="F472" s="147" t="n">
        <v>11.5</v>
      </c>
      <c r="G472" s="148" t="n">
        <v>0</v>
      </c>
      <c r="H472" s="148" t="n">
        <v>0</v>
      </c>
      <c r="I472" s="138" t="s">
        <v>1642</v>
      </c>
      <c r="J472" s="138"/>
      <c r="K472" s="146" t="n">
        <f aca="false">Parâmetros!$C$4*(F472+2*Parâmetros!$D$4+Parâmetros!$C$4*Parâmetros!$E$4)</f>
        <v>0.5775</v>
      </c>
      <c r="L472" s="146" t="n">
        <f aca="false">Parâmetros!$C$5*(F472+2*Parâmetros!$D$5+Parâmetros!$C$5*Parâmetros!$E$5)</f>
        <v>1.8976</v>
      </c>
      <c r="M472" s="146" t="n">
        <f aca="false">Parâmetros!$C$6*(F472+2*Parâmetros!$D$6+Parâmetros!$C$6*Parâmetros!$E$6)</f>
        <v>2.484</v>
      </c>
      <c r="N472" s="146" t="n">
        <f aca="false">Parâmetros!$C$7*(F472+2*Parâmetros!$D$7+Parâmetros!$C$7*Parâmetros!$E$7)</f>
        <v>3.936</v>
      </c>
      <c r="O472" s="146" t="n">
        <f aca="false">F472+2*Parâmetros!$D$8</f>
        <v>11.7</v>
      </c>
      <c r="P472" s="146" t="n">
        <f aca="false">F472+2*Parâmetros!$D$10</f>
        <v>13.42</v>
      </c>
      <c r="Q472" s="146" t="n">
        <f aca="false">G472+H472</f>
        <v>0</v>
      </c>
      <c r="S472" s="149" t="n">
        <f aca="false">S471+'Volumes por intervalo'!C471*(F471+F472)/2</f>
        <v>108292.5</v>
      </c>
      <c r="T472" s="149" t="n">
        <f aca="false">T471+'Volumes por intervalo'!H471</f>
        <v>5438.07500000002</v>
      </c>
      <c r="U472" s="149" t="n">
        <f aca="false">U471+'Volumes por intervalo'!J471</f>
        <v>17867.0880000001</v>
      </c>
      <c r="V472" s="149" t="n">
        <f aca="false">V471+'Volumes por intervalo'!K471</f>
        <v>23384.4200000001</v>
      </c>
      <c r="W472" s="149" t="n">
        <f aca="false">W471+'Volumes por intervalo'!L471</f>
        <v>37046.4300000001</v>
      </c>
      <c r="X472" s="149" t="n">
        <f aca="false">X471+'Volumes por intervalo'!M471</f>
        <v>110168.5</v>
      </c>
      <c r="Y472" s="149" t="n">
        <f aca="false">Y471+'Volumes por intervalo'!N471</f>
        <v>110168.5</v>
      </c>
      <c r="Z472" s="149" t="n">
        <f aca="false">Z471+'Volumes por intervalo'!O471</f>
        <v>126302.099999999</v>
      </c>
      <c r="AA472" s="149" t="n">
        <f aca="false">AA471+'Volumes por intervalo'!P471</f>
        <v>0</v>
      </c>
      <c r="AB472" s="149" t="n">
        <f aca="false">AB471+'Volumes por intervalo'!Q471</f>
        <v>0</v>
      </c>
      <c r="AC472" s="149" t="n">
        <f aca="false">AC471+'Volumes por intervalo'!R471</f>
        <v>0</v>
      </c>
      <c r="AD472" s="149" t="n">
        <f aca="false">AD471+'Volumes por intervalo'!S471</f>
        <v>0</v>
      </c>
    </row>
    <row r="473" customFormat="false" ht="15" hidden="false" customHeight="false" outlineLevel="0" collapsed="false">
      <c r="A473" s="138" t="s">
        <v>2138</v>
      </c>
      <c r="B473" s="146" t="n">
        <v>470</v>
      </c>
      <c r="C473" s="144" t="n">
        <v>9400</v>
      </c>
      <c r="D473" s="138" t="s">
        <v>1580</v>
      </c>
      <c r="E473" s="138" t="s">
        <v>1566</v>
      </c>
      <c r="F473" s="147" t="n">
        <v>12.3</v>
      </c>
      <c r="G473" s="148" t="n">
        <v>0</v>
      </c>
      <c r="H473" s="148" t="n">
        <v>0</v>
      </c>
      <c r="I473" s="138" t="s">
        <v>1642</v>
      </c>
      <c r="J473" s="138"/>
      <c r="K473" s="146" t="n">
        <f aca="false">Parâmetros!$C$4*(F473+2*Parâmetros!$D$4+Parâmetros!$C$4*Parâmetros!$E$4)</f>
        <v>0.6175</v>
      </c>
      <c r="L473" s="146" t="n">
        <f aca="false">Parâmetros!$C$5*(F473+2*Parâmetros!$D$5+Parâmetros!$C$5*Parâmetros!$E$5)</f>
        <v>2.0256</v>
      </c>
      <c r="M473" s="146" t="n">
        <f aca="false">Parâmetros!$C$6*(F473+2*Parâmetros!$D$6+Parâmetros!$C$6*Parâmetros!$E$6)</f>
        <v>2.644</v>
      </c>
      <c r="N473" s="146" t="n">
        <f aca="false">Parâmetros!$C$7*(F473+2*Parâmetros!$D$7+Parâmetros!$C$7*Parâmetros!$E$7)</f>
        <v>4.176</v>
      </c>
      <c r="O473" s="146" t="n">
        <f aca="false">F473+2*Parâmetros!$D$8</f>
        <v>12.5</v>
      </c>
      <c r="P473" s="146" t="n">
        <f aca="false">F473+2*Parâmetros!$D$10</f>
        <v>14.22</v>
      </c>
      <c r="Q473" s="146" t="n">
        <f aca="false">G473+H473</f>
        <v>0</v>
      </c>
      <c r="S473" s="149" t="n">
        <f aca="false">S472+'Volumes por intervalo'!C472*(F472+F473)/2</f>
        <v>108530.5</v>
      </c>
      <c r="T473" s="149" t="n">
        <f aca="false">T472+'Volumes por intervalo'!H472</f>
        <v>5450.02500000002</v>
      </c>
      <c r="U473" s="149" t="n">
        <f aca="false">U472+'Volumes por intervalo'!J472</f>
        <v>17906.3200000001</v>
      </c>
      <c r="V473" s="149" t="n">
        <f aca="false">V472+'Volumes por intervalo'!K472</f>
        <v>23435.7000000001</v>
      </c>
      <c r="W473" s="149" t="n">
        <f aca="false">W472+'Volumes por intervalo'!L472</f>
        <v>37127.5500000001</v>
      </c>
      <c r="X473" s="149" t="n">
        <f aca="false">X472+'Volumes por intervalo'!M472</f>
        <v>110410.5</v>
      </c>
      <c r="Y473" s="149" t="n">
        <f aca="false">Y472+'Volumes por intervalo'!N472</f>
        <v>110410.5</v>
      </c>
      <c r="Z473" s="149" t="n">
        <f aca="false">Z472+'Volumes por intervalo'!O472</f>
        <v>126578.499999999</v>
      </c>
      <c r="AA473" s="149" t="n">
        <f aca="false">AA472+'Volumes por intervalo'!P472</f>
        <v>0</v>
      </c>
      <c r="AB473" s="149" t="n">
        <f aca="false">AB472+'Volumes por intervalo'!Q472</f>
        <v>0</v>
      </c>
      <c r="AC473" s="149" t="n">
        <f aca="false">AC472+'Volumes por intervalo'!R472</f>
        <v>0</v>
      </c>
      <c r="AD473" s="149" t="n">
        <f aca="false">AD472+'Volumes por intervalo'!S472</f>
        <v>0</v>
      </c>
    </row>
    <row r="474" customFormat="false" ht="15" hidden="false" customHeight="false" outlineLevel="0" collapsed="false">
      <c r="A474" s="138" t="s">
        <v>2139</v>
      </c>
      <c r="B474" s="146" t="n">
        <v>471</v>
      </c>
      <c r="C474" s="144" t="n">
        <v>9420</v>
      </c>
      <c r="D474" s="138" t="s">
        <v>1580</v>
      </c>
      <c r="E474" s="138" t="s">
        <v>1566</v>
      </c>
      <c r="F474" s="147" t="n">
        <v>15.4</v>
      </c>
      <c r="G474" s="148" t="n">
        <v>0</v>
      </c>
      <c r="H474" s="148" t="n">
        <v>0</v>
      </c>
      <c r="I474" s="138" t="s">
        <v>1642</v>
      </c>
      <c r="J474" s="138"/>
      <c r="K474" s="146" t="n">
        <f aca="false">Parâmetros!$C$4*(F474+2*Parâmetros!$D$4+Parâmetros!$C$4*Parâmetros!$E$4)</f>
        <v>0.7725</v>
      </c>
      <c r="L474" s="146" t="n">
        <f aca="false">Parâmetros!$C$5*(F474+2*Parâmetros!$D$5+Parâmetros!$C$5*Parâmetros!$E$5)</f>
        <v>2.5216</v>
      </c>
      <c r="M474" s="146" t="n">
        <f aca="false">Parâmetros!$C$6*(F474+2*Parâmetros!$D$6+Parâmetros!$C$6*Parâmetros!$E$6)</f>
        <v>3.264</v>
      </c>
      <c r="N474" s="146" t="n">
        <f aca="false">Parâmetros!$C$7*(F474+2*Parâmetros!$D$7+Parâmetros!$C$7*Parâmetros!$E$7)</f>
        <v>5.106</v>
      </c>
      <c r="O474" s="146" t="n">
        <f aca="false">F474+2*Parâmetros!$D$8</f>
        <v>15.6</v>
      </c>
      <c r="P474" s="146" t="n">
        <f aca="false">F474+2*Parâmetros!$D$10</f>
        <v>17.32</v>
      </c>
      <c r="Q474" s="146" t="n">
        <f aca="false">G474+H474</f>
        <v>0</v>
      </c>
      <c r="S474" s="149" t="n">
        <f aca="false">S473+'Volumes por intervalo'!C473*(F473+F474)/2</f>
        <v>108807.5</v>
      </c>
      <c r="T474" s="149" t="n">
        <f aca="false">T473+'Volumes por intervalo'!H473</f>
        <v>5463.92500000002</v>
      </c>
      <c r="U474" s="149" t="n">
        <f aca="false">U473+'Volumes por intervalo'!J473</f>
        <v>17951.7920000001</v>
      </c>
      <c r="V474" s="149" t="n">
        <f aca="false">V473+'Volumes por intervalo'!K473</f>
        <v>23494.7800000001</v>
      </c>
      <c r="W474" s="149" t="n">
        <f aca="false">W473+'Volumes por intervalo'!L473</f>
        <v>37220.3700000001</v>
      </c>
      <c r="X474" s="149" t="n">
        <f aca="false">X473+'Volumes por intervalo'!M473</f>
        <v>110691.5</v>
      </c>
      <c r="Y474" s="149" t="n">
        <f aca="false">Y473+'Volumes por intervalo'!N473</f>
        <v>110691.5</v>
      </c>
      <c r="Z474" s="149" t="n">
        <f aca="false">Z473+'Volumes por intervalo'!O473</f>
        <v>126893.899999999</v>
      </c>
      <c r="AA474" s="149" t="n">
        <f aca="false">AA473+'Volumes por intervalo'!P473</f>
        <v>0</v>
      </c>
      <c r="AB474" s="149" t="n">
        <f aca="false">AB473+'Volumes por intervalo'!Q473</f>
        <v>0</v>
      </c>
      <c r="AC474" s="149" t="n">
        <f aca="false">AC473+'Volumes por intervalo'!R473</f>
        <v>0</v>
      </c>
      <c r="AD474" s="149" t="n">
        <f aca="false">AD473+'Volumes por intervalo'!S473</f>
        <v>0</v>
      </c>
    </row>
    <row r="475" customFormat="false" ht="15" hidden="false" customHeight="false" outlineLevel="0" collapsed="false">
      <c r="A475" s="138" t="s">
        <v>2140</v>
      </c>
      <c r="B475" s="146" t="n">
        <v>472</v>
      </c>
      <c r="C475" s="144" t="n">
        <v>9440</v>
      </c>
      <c r="D475" s="138" t="s">
        <v>1580</v>
      </c>
      <c r="E475" s="138" t="s">
        <v>1566</v>
      </c>
      <c r="F475" s="147" t="n">
        <v>17</v>
      </c>
      <c r="G475" s="148" t="n">
        <v>0</v>
      </c>
      <c r="H475" s="148" t="n">
        <v>0</v>
      </c>
      <c r="I475" s="138" t="s">
        <v>1642</v>
      </c>
      <c r="J475" s="138" t="s">
        <v>1766</v>
      </c>
      <c r="K475" s="146" t="n">
        <f aca="false">Parâmetros!$C$4*(F475+2*Parâmetros!$D$4+Parâmetros!$C$4*Parâmetros!$E$4)</f>
        <v>0.8525</v>
      </c>
      <c r="L475" s="146" t="n">
        <f aca="false">Parâmetros!$C$5*(F475+2*Parâmetros!$D$5+Parâmetros!$C$5*Parâmetros!$E$5)</f>
        <v>2.7776</v>
      </c>
      <c r="M475" s="146" t="n">
        <f aca="false">Parâmetros!$C$6*(F475+2*Parâmetros!$D$6+Parâmetros!$C$6*Parâmetros!$E$6)</f>
        <v>3.584</v>
      </c>
      <c r="N475" s="146" t="n">
        <f aca="false">Parâmetros!$C$7*(F475+2*Parâmetros!$D$7+Parâmetros!$C$7*Parâmetros!$E$7)</f>
        <v>5.586</v>
      </c>
      <c r="O475" s="146" t="n">
        <f aca="false">F475+2*Parâmetros!$D$8</f>
        <v>17.2</v>
      </c>
      <c r="P475" s="146" t="n">
        <f aca="false">F475+2*Parâmetros!$D$10</f>
        <v>18.92</v>
      </c>
      <c r="Q475" s="146" t="n">
        <f aca="false">G475+H475</f>
        <v>0</v>
      </c>
      <c r="S475" s="149" t="n">
        <f aca="false">S474+'Volumes por intervalo'!C474*(F474+F475)/2</f>
        <v>109131.5</v>
      </c>
      <c r="T475" s="149" t="n">
        <f aca="false">T474+'Volumes por intervalo'!H474</f>
        <v>5480.17500000002</v>
      </c>
      <c r="U475" s="149" t="n">
        <f aca="false">U474+'Volumes por intervalo'!J474</f>
        <v>18004.7840000001</v>
      </c>
      <c r="V475" s="149" t="n">
        <f aca="false">V474+'Volumes por intervalo'!K474</f>
        <v>23563.2600000001</v>
      </c>
      <c r="W475" s="149" t="n">
        <f aca="false">W474+'Volumes por intervalo'!L474</f>
        <v>37327.2900000001</v>
      </c>
      <c r="X475" s="149" t="n">
        <f aca="false">X474+'Volumes por intervalo'!M474</f>
        <v>111019.5</v>
      </c>
      <c r="Y475" s="149" t="n">
        <f aca="false">Y474+'Volumes por intervalo'!N474</f>
        <v>111019.5</v>
      </c>
      <c r="Z475" s="149" t="n">
        <f aca="false">Z474+'Volumes por intervalo'!O474</f>
        <v>127256.299999999</v>
      </c>
      <c r="AA475" s="149" t="n">
        <f aca="false">AA474+'Volumes por intervalo'!P474</f>
        <v>0</v>
      </c>
      <c r="AB475" s="149" t="n">
        <f aca="false">AB474+'Volumes por intervalo'!Q474</f>
        <v>0</v>
      </c>
      <c r="AC475" s="149" t="n">
        <f aca="false">AC474+'Volumes por intervalo'!R474</f>
        <v>0</v>
      </c>
      <c r="AD475" s="149" t="n">
        <f aca="false">AD474+'Volumes por intervalo'!S474</f>
        <v>0</v>
      </c>
    </row>
    <row r="476" customFormat="false" ht="15" hidden="false" customHeight="false" outlineLevel="0" collapsed="false">
      <c r="A476" s="138" t="s">
        <v>2141</v>
      </c>
      <c r="B476" s="146" t="n">
        <v>473</v>
      </c>
      <c r="C476" s="144" t="n">
        <v>9460</v>
      </c>
      <c r="D476" s="138" t="s">
        <v>1580</v>
      </c>
      <c r="E476" s="138" t="s">
        <v>1566</v>
      </c>
      <c r="F476" s="147" t="n">
        <v>15.6</v>
      </c>
      <c r="G476" s="148" t="n">
        <v>0</v>
      </c>
      <c r="H476" s="148" t="n">
        <v>0</v>
      </c>
      <c r="I476" s="138" t="s">
        <v>1642</v>
      </c>
      <c r="J476" s="138" t="s">
        <v>1766</v>
      </c>
      <c r="K476" s="146" t="n">
        <f aca="false">Parâmetros!$C$4*(F476+2*Parâmetros!$D$4+Parâmetros!$C$4*Parâmetros!$E$4)</f>
        <v>0.7825</v>
      </c>
      <c r="L476" s="146" t="n">
        <f aca="false">Parâmetros!$C$5*(F476+2*Parâmetros!$D$5+Parâmetros!$C$5*Parâmetros!$E$5)</f>
        <v>2.5536</v>
      </c>
      <c r="M476" s="146" t="n">
        <f aca="false">Parâmetros!$C$6*(F476+2*Parâmetros!$D$6+Parâmetros!$C$6*Parâmetros!$E$6)</f>
        <v>3.304</v>
      </c>
      <c r="N476" s="146" t="n">
        <f aca="false">Parâmetros!$C$7*(F476+2*Parâmetros!$D$7+Parâmetros!$C$7*Parâmetros!$E$7)</f>
        <v>5.166</v>
      </c>
      <c r="O476" s="146" t="n">
        <f aca="false">F476+2*Parâmetros!$D$8</f>
        <v>15.8</v>
      </c>
      <c r="P476" s="146" t="n">
        <f aca="false">F476+2*Parâmetros!$D$10</f>
        <v>17.52</v>
      </c>
      <c r="Q476" s="146" t="n">
        <f aca="false">G476+H476</f>
        <v>0</v>
      </c>
      <c r="S476" s="149" t="n">
        <f aca="false">S475+'Volumes por intervalo'!C475*(F475+F476)/2</f>
        <v>109457.5</v>
      </c>
      <c r="T476" s="149" t="n">
        <f aca="false">T475+'Volumes por intervalo'!H475</f>
        <v>5496.52500000002</v>
      </c>
      <c r="U476" s="149" t="n">
        <f aca="false">U475+'Volumes por intervalo'!J475</f>
        <v>18058.0960000001</v>
      </c>
      <c r="V476" s="149" t="n">
        <f aca="false">V475+'Volumes por intervalo'!K475</f>
        <v>23632.1400000001</v>
      </c>
      <c r="W476" s="149" t="n">
        <f aca="false">W475+'Volumes por intervalo'!L475</f>
        <v>37434.8100000001</v>
      </c>
      <c r="X476" s="149" t="n">
        <f aca="false">X475+'Volumes por intervalo'!M475</f>
        <v>111349.5</v>
      </c>
      <c r="Y476" s="149" t="n">
        <f aca="false">Y475+'Volumes por intervalo'!N475</f>
        <v>111349.5</v>
      </c>
      <c r="Z476" s="149" t="n">
        <f aca="false">Z475+'Volumes por intervalo'!O475</f>
        <v>127620.699999999</v>
      </c>
      <c r="AA476" s="149" t="n">
        <f aca="false">AA475+'Volumes por intervalo'!P475</f>
        <v>0</v>
      </c>
      <c r="AB476" s="149" t="n">
        <f aca="false">AB475+'Volumes por intervalo'!Q475</f>
        <v>0</v>
      </c>
      <c r="AC476" s="149" t="n">
        <f aca="false">AC475+'Volumes por intervalo'!R475</f>
        <v>0</v>
      </c>
      <c r="AD476" s="149" t="n">
        <f aca="false">AD475+'Volumes por intervalo'!S475</f>
        <v>0</v>
      </c>
    </row>
    <row r="477" customFormat="false" ht="15" hidden="false" customHeight="false" outlineLevel="0" collapsed="false">
      <c r="A477" s="138" t="s">
        <v>2142</v>
      </c>
      <c r="B477" s="146" t="n">
        <v>474</v>
      </c>
      <c r="C477" s="144" t="n">
        <v>9480</v>
      </c>
      <c r="D477" s="138" t="s">
        <v>1580</v>
      </c>
      <c r="E477" s="138" t="s">
        <v>1566</v>
      </c>
      <c r="F477" s="147" t="n">
        <v>12.4</v>
      </c>
      <c r="G477" s="148" t="n">
        <v>0</v>
      </c>
      <c r="H477" s="148" t="n">
        <v>0</v>
      </c>
      <c r="I477" s="138" t="s">
        <v>1642</v>
      </c>
      <c r="J477" s="138" t="s">
        <v>1766</v>
      </c>
      <c r="K477" s="146" t="n">
        <f aca="false">Parâmetros!$C$4*(F477+2*Parâmetros!$D$4+Parâmetros!$C$4*Parâmetros!$E$4)</f>
        <v>0.6225</v>
      </c>
      <c r="L477" s="146" t="n">
        <f aca="false">Parâmetros!$C$5*(F477+2*Parâmetros!$D$5+Parâmetros!$C$5*Parâmetros!$E$5)</f>
        <v>2.0416</v>
      </c>
      <c r="M477" s="146" t="n">
        <f aca="false">Parâmetros!$C$6*(F477+2*Parâmetros!$D$6+Parâmetros!$C$6*Parâmetros!$E$6)</f>
        <v>2.664</v>
      </c>
      <c r="N477" s="146" t="n">
        <f aca="false">Parâmetros!$C$7*(F477+2*Parâmetros!$D$7+Parâmetros!$C$7*Parâmetros!$E$7)</f>
        <v>4.206</v>
      </c>
      <c r="O477" s="146" t="n">
        <f aca="false">F477+2*Parâmetros!$D$8</f>
        <v>12.6</v>
      </c>
      <c r="P477" s="146" t="n">
        <f aca="false">F477+2*Parâmetros!$D$10</f>
        <v>14.32</v>
      </c>
      <c r="Q477" s="146" t="n">
        <f aca="false">G477+H477</f>
        <v>0</v>
      </c>
      <c r="S477" s="149" t="n">
        <f aca="false">S476+'Volumes por intervalo'!C476*(F476+F477)/2</f>
        <v>109737.5</v>
      </c>
      <c r="T477" s="149" t="n">
        <f aca="false">T476+'Volumes por intervalo'!H476</f>
        <v>5510.57500000002</v>
      </c>
      <c r="U477" s="149" t="n">
        <f aca="false">U476+'Volumes por intervalo'!J476</f>
        <v>18104.0480000001</v>
      </c>
      <c r="V477" s="149" t="n">
        <f aca="false">V476+'Volumes por intervalo'!K476</f>
        <v>23691.8200000001</v>
      </c>
      <c r="W477" s="149" t="n">
        <f aca="false">W476+'Volumes por intervalo'!L476</f>
        <v>37528.5300000001</v>
      </c>
      <c r="X477" s="149" t="n">
        <f aca="false">X476+'Volumes por intervalo'!M476</f>
        <v>111633.5</v>
      </c>
      <c r="Y477" s="149" t="n">
        <f aca="false">Y476+'Volumes por intervalo'!N476</f>
        <v>111633.5</v>
      </c>
      <c r="Z477" s="149" t="n">
        <f aca="false">Z476+'Volumes por intervalo'!O476</f>
        <v>127939.099999999</v>
      </c>
      <c r="AA477" s="149" t="n">
        <f aca="false">AA476+'Volumes por intervalo'!P476</f>
        <v>0</v>
      </c>
      <c r="AB477" s="149" t="n">
        <f aca="false">AB476+'Volumes por intervalo'!Q476</f>
        <v>0</v>
      </c>
      <c r="AC477" s="149" t="n">
        <f aca="false">AC476+'Volumes por intervalo'!R476</f>
        <v>0</v>
      </c>
      <c r="AD477" s="149" t="n">
        <f aca="false">AD476+'Volumes por intervalo'!S476</f>
        <v>0</v>
      </c>
    </row>
    <row r="478" customFormat="false" ht="15" hidden="false" customHeight="false" outlineLevel="0" collapsed="false">
      <c r="A478" s="138" t="s">
        <v>2143</v>
      </c>
      <c r="B478" s="146" t="n">
        <v>475</v>
      </c>
      <c r="C478" s="144" t="n">
        <v>9500</v>
      </c>
      <c r="D478" s="138" t="s">
        <v>1580</v>
      </c>
      <c r="E478" s="138" t="s">
        <v>1566</v>
      </c>
      <c r="F478" s="147" t="n">
        <v>11</v>
      </c>
      <c r="G478" s="148" t="n">
        <v>0</v>
      </c>
      <c r="H478" s="148" t="n">
        <v>0</v>
      </c>
      <c r="I478" s="138" t="s">
        <v>1642</v>
      </c>
      <c r="J478" s="138" t="s">
        <v>1771</v>
      </c>
      <c r="K478" s="146" t="n">
        <f aca="false">Parâmetros!$C$4*(F478+2*Parâmetros!$D$4+Parâmetros!$C$4*Parâmetros!$E$4)</f>
        <v>0.5525</v>
      </c>
      <c r="L478" s="146" t="n">
        <f aca="false">Parâmetros!$C$5*(F478+2*Parâmetros!$D$5+Parâmetros!$C$5*Parâmetros!$E$5)</f>
        <v>1.8176</v>
      </c>
      <c r="M478" s="146" t="n">
        <f aca="false">Parâmetros!$C$6*(F478+2*Parâmetros!$D$6+Parâmetros!$C$6*Parâmetros!$E$6)</f>
        <v>2.384</v>
      </c>
      <c r="N478" s="146" t="n">
        <f aca="false">Parâmetros!$C$7*(F478+2*Parâmetros!$D$7+Parâmetros!$C$7*Parâmetros!$E$7)</f>
        <v>3.786</v>
      </c>
      <c r="O478" s="146" t="n">
        <f aca="false">F478+2*Parâmetros!$D$8</f>
        <v>11.2</v>
      </c>
      <c r="P478" s="146" t="n">
        <f aca="false">F478+2*Parâmetros!$D$10</f>
        <v>12.92</v>
      </c>
      <c r="Q478" s="146" t="n">
        <f aca="false">G478+H478</f>
        <v>0</v>
      </c>
      <c r="S478" s="149" t="n">
        <f aca="false">S477+'Volumes por intervalo'!C477*(F477+F478)/2</f>
        <v>109971.5</v>
      </c>
      <c r="T478" s="149" t="n">
        <f aca="false">T477+'Volumes por intervalo'!H477</f>
        <v>5522.32500000002</v>
      </c>
      <c r="U478" s="149" t="n">
        <f aca="false">U477+'Volumes por intervalo'!J477</f>
        <v>18142.6400000001</v>
      </c>
      <c r="V478" s="149" t="n">
        <f aca="false">V477+'Volumes por intervalo'!K477</f>
        <v>23742.3000000001</v>
      </c>
      <c r="W478" s="149" t="n">
        <f aca="false">W477+'Volumes por intervalo'!L477</f>
        <v>37608.4500000001</v>
      </c>
      <c r="X478" s="149" t="n">
        <f aca="false">X477+'Volumes por intervalo'!M477</f>
        <v>111871.5</v>
      </c>
      <c r="Y478" s="149" t="n">
        <f aca="false">Y477+'Volumes por intervalo'!N477</f>
        <v>111871.5</v>
      </c>
      <c r="Z478" s="149" t="n">
        <f aca="false">Z477+'Volumes por intervalo'!O477</f>
        <v>128211.499999999</v>
      </c>
      <c r="AA478" s="149" t="n">
        <f aca="false">AA477+'Volumes por intervalo'!P477</f>
        <v>0</v>
      </c>
      <c r="AB478" s="149" t="n">
        <f aca="false">AB477+'Volumes por intervalo'!Q477</f>
        <v>0</v>
      </c>
      <c r="AC478" s="149" t="n">
        <f aca="false">AC477+'Volumes por intervalo'!R477</f>
        <v>0</v>
      </c>
      <c r="AD478" s="149" t="n">
        <f aca="false">AD477+'Volumes por intervalo'!S477</f>
        <v>0</v>
      </c>
    </row>
    <row r="479" customFormat="false" ht="15" hidden="false" customHeight="false" outlineLevel="0" collapsed="false">
      <c r="A479" s="138" t="s">
        <v>2144</v>
      </c>
      <c r="B479" s="146" t="n">
        <v>476</v>
      </c>
      <c r="C479" s="144" t="n">
        <v>9520</v>
      </c>
      <c r="D479" s="138" t="s">
        <v>1580</v>
      </c>
      <c r="E479" s="138" t="s">
        <v>1566</v>
      </c>
      <c r="F479" s="147" t="n">
        <v>11</v>
      </c>
      <c r="G479" s="148" t="n">
        <v>0</v>
      </c>
      <c r="H479" s="148" t="n">
        <v>0</v>
      </c>
      <c r="I479" s="138" t="s">
        <v>1642</v>
      </c>
      <c r="J479" s="138" t="s">
        <v>2145</v>
      </c>
      <c r="K479" s="146" t="n">
        <f aca="false">Parâmetros!$C$4*(F479+2*Parâmetros!$D$4+Parâmetros!$C$4*Parâmetros!$E$4)</f>
        <v>0.5525</v>
      </c>
      <c r="L479" s="146" t="n">
        <f aca="false">Parâmetros!$C$5*(F479+2*Parâmetros!$D$5+Parâmetros!$C$5*Parâmetros!$E$5)</f>
        <v>1.8176</v>
      </c>
      <c r="M479" s="146" t="n">
        <f aca="false">Parâmetros!$C$6*(F479+2*Parâmetros!$D$6+Parâmetros!$C$6*Parâmetros!$E$6)</f>
        <v>2.384</v>
      </c>
      <c r="N479" s="146" t="n">
        <f aca="false">Parâmetros!$C$7*(F479+2*Parâmetros!$D$7+Parâmetros!$C$7*Parâmetros!$E$7)</f>
        <v>3.786</v>
      </c>
      <c r="O479" s="146" t="n">
        <f aca="false">F479+2*Parâmetros!$D$8</f>
        <v>11.2</v>
      </c>
      <c r="P479" s="146" t="n">
        <f aca="false">F479+2*Parâmetros!$D$10</f>
        <v>12.92</v>
      </c>
      <c r="Q479" s="146" t="n">
        <f aca="false">G479+H479</f>
        <v>0</v>
      </c>
      <c r="S479" s="149" t="n">
        <f aca="false">S478+'Volumes por intervalo'!C478*(F478+F479)/2</f>
        <v>110191.5</v>
      </c>
      <c r="T479" s="149" t="n">
        <f aca="false">T478+'Volumes por intervalo'!H478</f>
        <v>5533.37500000002</v>
      </c>
      <c r="U479" s="149" t="n">
        <f aca="false">U478+'Volumes por intervalo'!J478</f>
        <v>18178.9920000001</v>
      </c>
      <c r="V479" s="149" t="n">
        <f aca="false">V478+'Volumes por intervalo'!K478</f>
        <v>23789.9800000001</v>
      </c>
      <c r="W479" s="149" t="n">
        <f aca="false">W478+'Volumes por intervalo'!L478</f>
        <v>37684.1700000001</v>
      </c>
      <c r="X479" s="149" t="n">
        <f aca="false">X478+'Volumes por intervalo'!M478</f>
        <v>112095.5</v>
      </c>
      <c r="Y479" s="149" t="n">
        <f aca="false">Y478+'Volumes por intervalo'!N478</f>
        <v>112095.5</v>
      </c>
      <c r="Z479" s="149" t="n">
        <f aca="false">Z478+'Volumes por intervalo'!O478</f>
        <v>128469.899999999</v>
      </c>
      <c r="AA479" s="149" t="n">
        <f aca="false">AA478+'Volumes por intervalo'!P478</f>
        <v>0</v>
      </c>
      <c r="AB479" s="149" t="n">
        <f aca="false">AB478+'Volumes por intervalo'!Q478</f>
        <v>0</v>
      </c>
      <c r="AC479" s="149" t="n">
        <f aca="false">AC478+'Volumes por intervalo'!R478</f>
        <v>0</v>
      </c>
      <c r="AD479" s="149" t="n">
        <f aca="false">AD478+'Volumes por intervalo'!S478</f>
        <v>0</v>
      </c>
    </row>
    <row r="480" customFormat="false" ht="15" hidden="false" customHeight="false" outlineLevel="0" collapsed="false">
      <c r="A480" s="138" t="s">
        <v>2146</v>
      </c>
      <c r="B480" s="146" t="n">
        <v>477</v>
      </c>
      <c r="C480" s="144" t="n">
        <v>9540</v>
      </c>
      <c r="D480" s="138" t="s">
        <v>1580</v>
      </c>
      <c r="E480" s="138" t="s">
        <v>1566</v>
      </c>
      <c r="F480" s="147" t="n">
        <v>11.2</v>
      </c>
      <c r="G480" s="148" t="n">
        <v>0</v>
      </c>
      <c r="H480" s="148" t="n">
        <v>0</v>
      </c>
      <c r="I480" s="138" t="s">
        <v>1856</v>
      </c>
      <c r="J480" s="138" t="s">
        <v>2134</v>
      </c>
      <c r="K480" s="146" t="n">
        <f aca="false">Parâmetros!$C$4*(F480+2*Parâmetros!$D$4+Parâmetros!$C$4*Parâmetros!$E$4)</f>
        <v>0.5625</v>
      </c>
      <c r="L480" s="146" t="n">
        <f aca="false">Parâmetros!$C$5*(F480+2*Parâmetros!$D$5+Parâmetros!$C$5*Parâmetros!$E$5)</f>
        <v>1.8496</v>
      </c>
      <c r="M480" s="146" t="n">
        <f aca="false">Parâmetros!$C$6*(F480+2*Parâmetros!$D$6+Parâmetros!$C$6*Parâmetros!$E$6)</f>
        <v>2.424</v>
      </c>
      <c r="N480" s="146" t="n">
        <f aca="false">Parâmetros!$C$7*(F480+2*Parâmetros!$D$7+Parâmetros!$C$7*Parâmetros!$E$7)</f>
        <v>3.846</v>
      </c>
      <c r="O480" s="146" t="n">
        <f aca="false">F480+2*Parâmetros!$D$8</f>
        <v>11.4</v>
      </c>
      <c r="P480" s="146" t="n">
        <f aca="false">F480+2*Parâmetros!$D$10</f>
        <v>13.12</v>
      </c>
      <c r="Q480" s="146" t="n">
        <f aca="false">G480+H480</f>
        <v>0</v>
      </c>
      <c r="S480" s="149" t="n">
        <f aca="false">S479+'Volumes por intervalo'!C479*(F479+F480)/2</f>
        <v>110413.5</v>
      </c>
      <c r="T480" s="149" t="n">
        <f aca="false">T479+'Volumes por intervalo'!H479</f>
        <v>5544.52500000002</v>
      </c>
      <c r="U480" s="149" t="n">
        <f aca="false">U479+'Volumes por intervalo'!J479</f>
        <v>18215.6640000001</v>
      </c>
      <c r="V480" s="149" t="n">
        <f aca="false">V479+'Volumes por intervalo'!K479</f>
        <v>23838.0600000001</v>
      </c>
      <c r="W480" s="149" t="n">
        <f aca="false">W479+'Volumes por intervalo'!L479</f>
        <v>37760.4900000001</v>
      </c>
      <c r="X480" s="149" t="n">
        <f aca="false">X479+'Volumes por intervalo'!M479</f>
        <v>112321.5</v>
      </c>
      <c r="Y480" s="149" t="n">
        <f aca="false">Y479+'Volumes por intervalo'!N479</f>
        <v>112321.5</v>
      </c>
      <c r="Z480" s="149" t="n">
        <f aca="false">Z479+'Volumes por intervalo'!O479</f>
        <v>128730.299999999</v>
      </c>
      <c r="AA480" s="149" t="n">
        <f aca="false">AA479+'Volumes por intervalo'!P479</f>
        <v>0</v>
      </c>
      <c r="AB480" s="149" t="n">
        <f aca="false">AB479+'Volumes por intervalo'!Q479</f>
        <v>0</v>
      </c>
      <c r="AC480" s="149" t="n">
        <f aca="false">AC479+'Volumes por intervalo'!R479</f>
        <v>0</v>
      </c>
      <c r="AD480" s="149" t="n">
        <f aca="false">AD479+'Volumes por intervalo'!S479</f>
        <v>0</v>
      </c>
    </row>
    <row r="481" customFormat="false" ht="15" hidden="false" customHeight="false" outlineLevel="0" collapsed="false">
      <c r="A481" s="138" t="s">
        <v>2147</v>
      </c>
      <c r="B481" s="146" t="n">
        <v>478</v>
      </c>
      <c r="C481" s="144" t="n">
        <v>9560</v>
      </c>
      <c r="D481" s="138" t="s">
        <v>1580</v>
      </c>
      <c r="E481" s="138" t="s">
        <v>1566</v>
      </c>
      <c r="F481" s="147" t="n">
        <v>11.4</v>
      </c>
      <c r="G481" s="148" t="n">
        <v>0</v>
      </c>
      <c r="H481" s="148" t="n">
        <v>0</v>
      </c>
      <c r="I481" s="138" t="s">
        <v>1642</v>
      </c>
      <c r="J481" s="138"/>
      <c r="K481" s="146" t="n">
        <f aca="false">Parâmetros!$C$4*(F481+2*Parâmetros!$D$4+Parâmetros!$C$4*Parâmetros!$E$4)</f>
        <v>0.5725</v>
      </c>
      <c r="L481" s="146" t="n">
        <f aca="false">Parâmetros!$C$5*(F481+2*Parâmetros!$D$5+Parâmetros!$C$5*Parâmetros!$E$5)</f>
        <v>1.8816</v>
      </c>
      <c r="M481" s="146" t="n">
        <f aca="false">Parâmetros!$C$6*(F481+2*Parâmetros!$D$6+Parâmetros!$C$6*Parâmetros!$E$6)</f>
        <v>2.464</v>
      </c>
      <c r="N481" s="146" t="n">
        <f aca="false">Parâmetros!$C$7*(F481+2*Parâmetros!$D$7+Parâmetros!$C$7*Parâmetros!$E$7)</f>
        <v>3.906</v>
      </c>
      <c r="O481" s="146" t="n">
        <f aca="false">F481+2*Parâmetros!$D$8</f>
        <v>11.6</v>
      </c>
      <c r="P481" s="146" t="n">
        <f aca="false">F481+2*Parâmetros!$D$10</f>
        <v>13.32</v>
      </c>
      <c r="Q481" s="146" t="n">
        <f aca="false">G481+H481</f>
        <v>0</v>
      </c>
      <c r="S481" s="149" t="n">
        <f aca="false">S480+'Volumes por intervalo'!C480*(F480+F481)/2</f>
        <v>110639.5</v>
      </c>
      <c r="T481" s="149" t="n">
        <f aca="false">T480+'Volumes por intervalo'!H480</f>
        <v>5555.87500000002</v>
      </c>
      <c r="U481" s="149" t="n">
        <f aca="false">U480+'Volumes por intervalo'!J480</f>
        <v>18252.9760000001</v>
      </c>
      <c r="V481" s="149" t="n">
        <f aca="false">V480+'Volumes por intervalo'!K480</f>
        <v>23886.9400000001</v>
      </c>
      <c r="W481" s="149" t="n">
        <f aca="false">W480+'Volumes por intervalo'!L480</f>
        <v>37838.0100000001</v>
      </c>
      <c r="X481" s="149" t="n">
        <f aca="false">X480+'Volumes por intervalo'!M480</f>
        <v>112551.5</v>
      </c>
      <c r="Y481" s="149" t="n">
        <f aca="false">Y480+'Volumes por intervalo'!N480</f>
        <v>112551.5</v>
      </c>
      <c r="Z481" s="149" t="n">
        <f aca="false">Z480+'Volumes por intervalo'!O480</f>
        <v>128994.699999999</v>
      </c>
      <c r="AA481" s="149" t="n">
        <f aca="false">AA480+'Volumes por intervalo'!P480</f>
        <v>0</v>
      </c>
      <c r="AB481" s="149" t="n">
        <f aca="false">AB480+'Volumes por intervalo'!Q480</f>
        <v>0</v>
      </c>
      <c r="AC481" s="149" t="n">
        <f aca="false">AC480+'Volumes por intervalo'!R480</f>
        <v>0</v>
      </c>
      <c r="AD481" s="149" t="n">
        <f aca="false">AD480+'Volumes por intervalo'!S480</f>
        <v>0</v>
      </c>
    </row>
    <row r="482" customFormat="false" ht="15" hidden="false" customHeight="false" outlineLevel="0" collapsed="false">
      <c r="A482" s="138" t="s">
        <v>2148</v>
      </c>
      <c r="B482" s="146" t="n">
        <v>479</v>
      </c>
      <c r="C482" s="144" t="n">
        <v>9580</v>
      </c>
      <c r="D482" s="138" t="s">
        <v>1580</v>
      </c>
      <c r="E482" s="138" t="s">
        <v>1566</v>
      </c>
      <c r="F482" s="147" t="n">
        <v>11.4</v>
      </c>
      <c r="G482" s="148" t="n">
        <v>0</v>
      </c>
      <c r="H482" s="148" t="n">
        <v>0</v>
      </c>
      <c r="I482" s="138" t="s">
        <v>1642</v>
      </c>
      <c r="J482" s="138"/>
      <c r="K482" s="146" t="n">
        <f aca="false">Parâmetros!$C$4*(F482+2*Parâmetros!$D$4+Parâmetros!$C$4*Parâmetros!$E$4)</f>
        <v>0.5725</v>
      </c>
      <c r="L482" s="146" t="n">
        <f aca="false">Parâmetros!$C$5*(F482+2*Parâmetros!$D$5+Parâmetros!$C$5*Parâmetros!$E$5)</f>
        <v>1.8816</v>
      </c>
      <c r="M482" s="146" t="n">
        <f aca="false">Parâmetros!$C$6*(F482+2*Parâmetros!$D$6+Parâmetros!$C$6*Parâmetros!$E$6)</f>
        <v>2.464</v>
      </c>
      <c r="N482" s="146" t="n">
        <f aca="false">Parâmetros!$C$7*(F482+2*Parâmetros!$D$7+Parâmetros!$C$7*Parâmetros!$E$7)</f>
        <v>3.906</v>
      </c>
      <c r="O482" s="146" t="n">
        <f aca="false">F482+2*Parâmetros!$D$8</f>
        <v>11.6</v>
      </c>
      <c r="P482" s="146" t="n">
        <f aca="false">F482+2*Parâmetros!$D$10</f>
        <v>13.32</v>
      </c>
      <c r="Q482" s="146" t="n">
        <f aca="false">G482+H482</f>
        <v>0</v>
      </c>
      <c r="S482" s="149" t="n">
        <f aca="false">S481+'Volumes por intervalo'!C481*(F481+F482)/2</f>
        <v>110867.5</v>
      </c>
      <c r="T482" s="149" t="n">
        <f aca="false">T481+'Volumes por intervalo'!H481</f>
        <v>5567.32500000002</v>
      </c>
      <c r="U482" s="149" t="n">
        <f aca="false">U481+'Volumes por intervalo'!J481</f>
        <v>18290.6080000001</v>
      </c>
      <c r="V482" s="149" t="n">
        <f aca="false">V481+'Volumes por intervalo'!K481</f>
        <v>23936.2200000001</v>
      </c>
      <c r="W482" s="149" t="n">
        <f aca="false">W481+'Volumes por intervalo'!L481</f>
        <v>37916.1300000001</v>
      </c>
      <c r="X482" s="149" t="n">
        <f aca="false">X481+'Volumes por intervalo'!M481</f>
        <v>112783.5</v>
      </c>
      <c r="Y482" s="149" t="n">
        <f aca="false">Y481+'Volumes por intervalo'!N481</f>
        <v>112783.5</v>
      </c>
      <c r="Z482" s="149" t="n">
        <f aca="false">Z481+'Volumes por intervalo'!O481</f>
        <v>129261.099999999</v>
      </c>
      <c r="AA482" s="149" t="n">
        <f aca="false">AA481+'Volumes por intervalo'!P481</f>
        <v>0</v>
      </c>
      <c r="AB482" s="149" t="n">
        <f aca="false">AB481+'Volumes por intervalo'!Q481</f>
        <v>0</v>
      </c>
      <c r="AC482" s="149" t="n">
        <f aca="false">AC481+'Volumes por intervalo'!R481</f>
        <v>0</v>
      </c>
      <c r="AD482" s="149" t="n">
        <f aca="false">AD481+'Volumes por intervalo'!S481</f>
        <v>0</v>
      </c>
    </row>
    <row r="483" customFormat="false" ht="15" hidden="false" customHeight="false" outlineLevel="0" collapsed="false">
      <c r="A483" s="138" t="s">
        <v>2149</v>
      </c>
      <c r="B483" s="146" t="n">
        <v>480</v>
      </c>
      <c r="C483" s="144" t="n">
        <v>9600</v>
      </c>
      <c r="D483" s="138" t="s">
        <v>1580</v>
      </c>
      <c r="E483" s="138" t="s">
        <v>1566</v>
      </c>
      <c r="F483" s="147" t="n">
        <v>11.4</v>
      </c>
      <c r="G483" s="148" t="n">
        <v>0</v>
      </c>
      <c r="H483" s="148" t="n">
        <v>0</v>
      </c>
      <c r="I483" s="138" t="s">
        <v>1642</v>
      </c>
      <c r="J483" s="138"/>
      <c r="K483" s="146" t="n">
        <f aca="false">Parâmetros!$C$4*(F483+2*Parâmetros!$D$4+Parâmetros!$C$4*Parâmetros!$E$4)</f>
        <v>0.5725</v>
      </c>
      <c r="L483" s="146" t="n">
        <f aca="false">Parâmetros!$C$5*(F483+2*Parâmetros!$D$5+Parâmetros!$C$5*Parâmetros!$E$5)</f>
        <v>1.8816</v>
      </c>
      <c r="M483" s="146" t="n">
        <f aca="false">Parâmetros!$C$6*(F483+2*Parâmetros!$D$6+Parâmetros!$C$6*Parâmetros!$E$6)</f>
        <v>2.464</v>
      </c>
      <c r="N483" s="146" t="n">
        <f aca="false">Parâmetros!$C$7*(F483+2*Parâmetros!$D$7+Parâmetros!$C$7*Parâmetros!$E$7)</f>
        <v>3.906</v>
      </c>
      <c r="O483" s="146" t="n">
        <f aca="false">F483+2*Parâmetros!$D$8</f>
        <v>11.6</v>
      </c>
      <c r="P483" s="146" t="n">
        <f aca="false">F483+2*Parâmetros!$D$10</f>
        <v>13.32</v>
      </c>
      <c r="Q483" s="146" t="n">
        <f aca="false">G483+H483</f>
        <v>0</v>
      </c>
      <c r="S483" s="149" t="n">
        <f aca="false">S482+'Volumes por intervalo'!C482*(F482+F483)/2</f>
        <v>111095.5</v>
      </c>
      <c r="T483" s="149" t="n">
        <f aca="false">T482+'Volumes por intervalo'!H482</f>
        <v>5578.77500000002</v>
      </c>
      <c r="U483" s="149" t="n">
        <f aca="false">U482+'Volumes por intervalo'!J482</f>
        <v>18328.2400000001</v>
      </c>
      <c r="V483" s="149" t="n">
        <f aca="false">V482+'Volumes por intervalo'!K482</f>
        <v>23985.5000000001</v>
      </c>
      <c r="W483" s="149" t="n">
        <f aca="false">W482+'Volumes por intervalo'!L482</f>
        <v>37994.2500000001</v>
      </c>
      <c r="X483" s="149" t="n">
        <f aca="false">X482+'Volumes por intervalo'!M482</f>
        <v>113015.5</v>
      </c>
      <c r="Y483" s="149" t="n">
        <f aca="false">Y482+'Volumes por intervalo'!N482</f>
        <v>113015.5</v>
      </c>
      <c r="Z483" s="149" t="n">
        <f aca="false">Z482+'Volumes por intervalo'!O482</f>
        <v>129527.499999999</v>
      </c>
      <c r="AA483" s="149" t="n">
        <f aca="false">AA482+'Volumes por intervalo'!P482</f>
        <v>0</v>
      </c>
      <c r="AB483" s="149" t="n">
        <f aca="false">AB482+'Volumes por intervalo'!Q482</f>
        <v>0</v>
      </c>
      <c r="AC483" s="149" t="n">
        <f aca="false">AC482+'Volumes por intervalo'!R482</f>
        <v>0</v>
      </c>
      <c r="AD483" s="149" t="n">
        <f aca="false">AD482+'Volumes por intervalo'!S482</f>
        <v>0</v>
      </c>
    </row>
    <row r="484" customFormat="false" ht="15" hidden="false" customHeight="false" outlineLevel="0" collapsed="false">
      <c r="A484" s="138" t="s">
        <v>2150</v>
      </c>
      <c r="B484" s="146" t="n">
        <v>481</v>
      </c>
      <c r="C484" s="144" t="n">
        <v>9620</v>
      </c>
      <c r="D484" s="138" t="s">
        <v>1580</v>
      </c>
      <c r="E484" s="138" t="s">
        <v>1566</v>
      </c>
      <c r="F484" s="147" t="n">
        <v>11.4</v>
      </c>
      <c r="G484" s="148" t="n">
        <v>0</v>
      </c>
      <c r="H484" s="148" t="n">
        <v>0</v>
      </c>
      <c r="I484" s="138" t="s">
        <v>1642</v>
      </c>
      <c r="J484" s="138"/>
      <c r="K484" s="146" t="n">
        <f aca="false">Parâmetros!$C$4*(F484+2*Parâmetros!$D$4+Parâmetros!$C$4*Parâmetros!$E$4)</f>
        <v>0.5725</v>
      </c>
      <c r="L484" s="146" t="n">
        <f aca="false">Parâmetros!$C$5*(F484+2*Parâmetros!$D$5+Parâmetros!$C$5*Parâmetros!$E$5)</f>
        <v>1.8816</v>
      </c>
      <c r="M484" s="146" t="n">
        <f aca="false">Parâmetros!$C$6*(F484+2*Parâmetros!$D$6+Parâmetros!$C$6*Parâmetros!$E$6)</f>
        <v>2.464</v>
      </c>
      <c r="N484" s="146" t="n">
        <f aca="false">Parâmetros!$C$7*(F484+2*Parâmetros!$D$7+Parâmetros!$C$7*Parâmetros!$E$7)</f>
        <v>3.906</v>
      </c>
      <c r="O484" s="146" t="n">
        <f aca="false">F484+2*Parâmetros!$D$8</f>
        <v>11.6</v>
      </c>
      <c r="P484" s="146" t="n">
        <f aca="false">F484+2*Parâmetros!$D$10</f>
        <v>13.32</v>
      </c>
      <c r="Q484" s="146" t="n">
        <f aca="false">G484+H484</f>
        <v>0</v>
      </c>
      <c r="S484" s="149" t="n">
        <f aca="false">S483+'Volumes por intervalo'!C483*(F483+F484)/2</f>
        <v>111323.5</v>
      </c>
      <c r="T484" s="149" t="n">
        <f aca="false">T483+'Volumes por intervalo'!H483</f>
        <v>5590.22500000002</v>
      </c>
      <c r="U484" s="149" t="n">
        <f aca="false">U483+'Volumes por intervalo'!J483</f>
        <v>18365.8720000001</v>
      </c>
      <c r="V484" s="149" t="n">
        <f aca="false">V483+'Volumes por intervalo'!K483</f>
        <v>24034.7800000001</v>
      </c>
      <c r="W484" s="149" t="n">
        <f aca="false">W483+'Volumes por intervalo'!L483</f>
        <v>38072.3700000001</v>
      </c>
      <c r="X484" s="149" t="n">
        <f aca="false">X483+'Volumes por intervalo'!M483</f>
        <v>113247.5</v>
      </c>
      <c r="Y484" s="149" t="n">
        <f aca="false">Y483+'Volumes por intervalo'!N483</f>
        <v>113247.5</v>
      </c>
      <c r="Z484" s="149" t="n">
        <f aca="false">Z483+'Volumes por intervalo'!O483</f>
        <v>129793.899999999</v>
      </c>
      <c r="AA484" s="149" t="n">
        <f aca="false">AA483+'Volumes por intervalo'!P483</f>
        <v>0</v>
      </c>
      <c r="AB484" s="149" t="n">
        <f aca="false">AB483+'Volumes por intervalo'!Q483</f>
        <v>0</v>
      </c>
      <c r="AC484" s="149" t="n">
        <f aca="false">AC483+'Volumes por intervalo'!R483</f>
        <v>0</v>
      </c>
      <c r="AD484" s="149" t="n">
        <f aca="false">AD483+'Volumes por intervalo'!S483</f>
        <v>0</v>
      </c>
    </row>
    <row r="485" customFormat="false" ht="15" hidden="false" customHeight="false" outlineLevel="0" collapsed="false">
      <c r="A485" s="138" t="s">
        <v>2151</v>
      </c>
      <c r="B485" s="146" t="n">
        <v>482</v>
      </c>
      <c r="C485" s="144" t="n">
        <v>9640</v>
      </c>
      <c r="D485" s="138" t="s">
        <v>1580</v>
      </c>
      <c r="E485" s="138" t="s">
        <v>1566</v>
      </c>
      <c r="F485" s="147" t="n">
        <v>11.4</v>
      </c>
      <c r="G485" s="148" t="n">
        <v>0</v>
      </c>
      <c r="H485" s="148" t="n">
        <v>0</v>
      </c>
      <c r="I485" s="138" t="s">
        <v>1642</v>
      </c>
      <c r="J485" s="138"/>
      <c r="K485" s="146" t="n">
        <f aca="false">Parâmetros!$C$4*(F485+2*Parâmetros!$D$4+Parâmetros!$C$4*Parâmetros!$E$4)</f>
        <v>0.5725</v>
      </c>
      <c r="L485" s="146" t="n">
        <f aca="false">Parâmetros!$C$5*(F485+2*Parâmetros!$D$5+Parâmetros!$C$5*Parâmetros!$E$5)</f>
        <v>1.8816</v>
      </c>
      <c r="M485" s="146" t="n">
        <f aca="false">Parâmetros!$C$6*(F485+2*Parâmetros!$D$6+Parâmetros!$C$6*Parâmetros!$E$6)</f>
        <v>2.464</v>
      </c>
      <c r="N485" s="146" t="n">
        <f aca="false">Parâmetros!$C$7*(F485+2*Parâmetros!$D$7+Parâmetros!$C$7*Parâmetros!$E$7)</f>
        <v>3.906</v>
      </c>
      <c r="O485" s="146" t="n">
        <f aca="false">F485+2*Parâmetros!$D$8</f>
        <v>11.6</v>
      </c>
      <c r="P485" s="146" t="n">
        <f aca="false">F485+2*Parâmetros!$D$10</f>
        <v>13.32</v>
      </c>
      <c r="Q485" s="146" t="n">
        <f aca="false">G485+H485</f>
        <v>0</v>
      </c>
      <c r="S485" s="149" t="n">
        <f aca="false">S484+'Volumes por intervalo'!C484*(F484+F485)/2</f>
        <v>111551.5</v>
      </c>
      <c r="T485" s="149" t="n">
        <f aca="false">T484+'Volumes por intervalo'!H484</f>
        <v>5601.67500000002</v>
      </c>
      <c r="U485" s="149" t="n">
        <f aca="false">U484+'Volumes por intervalo'!J484</f>
        <v>18403.5040000001</v>
      </c>
      <c r="V485" s="149" t="n">
        <f aca="false">V484+'Volumes por intervalo'!K484</f>
        <v>24084.0600000001</v>
      </c>
      <c r="W485" s="149" t="n">
        <f aca="false">W484+'Volumes por intervalo'!L484</f>
        <v>38150.4900000001</v>
      </c>
      <c r="X485" s="149" t="n">
        <f aca="false">X484+'Volumes por intervalo'!M484</f>
        <v>113479.5</v>
      </c>
      <c r="Y485" s="149" t="n">
        <f aca="false">Y484+'Volumes por intervalo'!N484</f>
        <v>113479.5</v>
      </c>
      <c r="Z485" s="149" t="n">
        <f aca="false">Z484+'Volumes por intervalo'!O484</f>
        <v>130060.299999999</v>
      </c>
      <c r="AA485" s="149" t="n">
        <f aca="false">AA484+'Volumes por intervalo'!P484</f>
        <v>0</v>
      </c>
      <c r="AB485" s="149" t="n">
        <f aca="false">AB484+'Volumes por intervalo'!Q484</f>
        <v>0</v>
      </c>
      <c r="AC485" s="149" t="n">
        <f aca="false">AC484+'Volumes por intervalo'!R484</f>
        <v>0</v>
      </c>
      <c r="AD485" s="149" t="n">
        <f aca="false">AD484+'Volumes por intervalo'!S484</f>
        <v>0</v>
      </c>
    </row>
    <row r="486" customFormat="false" ht="15" hidden="false" customHeight="false" outlineLevel="0" collapsed="false">
      <c r="A486" s="138" t="s">
        <v>2152</v>
      </c>
      <c r="B486" s="146" t="n">
        <v>483</v>
      </c>
      <c r="C486" s="144" t="n">
        <v>9660</v>
      </c>
      <c r="D486" s="138" t="s">
        <v>1580</v>
      </c>
      <c r="E486" s="138" t="s">
        <v>1566</v>
      </c>
      <c r="F486" s="147" t="n">
        <v>11.4</v>
      </c>
      <c r="G486" s="148" t="n">
        <v>0</v>
      </c>
      <c r="H486" s="148" t="n">
        <v>0</v>
      </c>
      <c r="I486" s="138" t="s">
        <v>1642</v>
      </c>
      <c r="J486" s="138"/>
      <c r="K486" s="146" t="n">
        <f aca="false">Parâmetros!$C$4*(F486+2*Parâmetros!$D$4+Parâmetros!$C$4*Parâmetros!$E$4)</f>
        <v>0.5725</v>
      </c>
      <c r="L486" s="146" t="n">
        <f aca="false">Parâmetros!$C$5*(F486+2*Parâmetros!$D$5+Parâmetros!$C$5*Parâmetros!$E$5)</f>
        <v>1.8816</v>
      </c>
      <c r="M486" s="146" t="n">
        <f aca="false">Parâmetros!$C$6*(F486+2*Parâmetros!$D$6+Parâmetros!$C$6*Parâmetros!$E$6)</f>
        <v>2.464</v>
      </c>
      <c r="N486" s="146" t="n">
        <f aca="false">Parâmetros!$C$7*(F486+2*Parâmetros!$D$7+Parâmetros!$C$7*Parâmetros!$E$7)</f>
        <v>3.906</v>
      </c>
      <c r="O486" s="146" t="n">
        <f aca="false">F486+2*Parâmetros!$D$8</f>
        <v>11.6</v>
      </c>
      <c r="P486" s="146" t="n">
        <f aca="false">F486+2*Parâmetros!$D$10</f>
        <v>13.32</v>
      </c>
      <c r="Q486" s="146" t="n">
        <f aca="false">G486+H486</f>
        <v>0</v>
      </c>
      <c r="S486" s="149" t="n">
        <f aca="false">S485+'Volumes por intervalo'!C485*(F485+F486)/2</f>
        <v>111779.5</v>
      </c>
      <c r="T486" s="149" t="n">
        <f aca="false">T485+'Volumes por intervalo'!H485</f>
        <v>5613.12500000002</v>
      </c>
      <c r="U486" s="149" t="n">
        <f aca="false">U485+'Volumes por intervalo'!J485</f>
        <v>18441.1360000001</v>
      </c>
      <c r="V486" s="149" t="n">
        <f aca="false">V485+'Volumes por intervalo'!K485</f>
        <v>24133.3400000001</v>
      </c>
      <c r="W486" s="149" t="n">
        <f aca="false">W485+'Volumes por intervalo'!L485</f>
        <v>38228.6100000001</v>
      </c>
      <c r="X486" s="149" t="n">
        <f aca="false">X485+'Volumes por intervalo'!M485</f>
        <v>113711.5</v>
      </c>
      <c r="Y486" s="149" t="n">
        <f aca="false">Y485+'Volumes por intervalo'!N485</f>
        <v>113711.5</v>
      </c>
      <c r="Z486" s="149" t="n">
        <f aca="false">Z485+'Volumes por intervalo'!O485</f>
        <v>130326.699999999</v>
      </c>
      <c r="AA486" s="149" t="n">
        <f aca="false">AA485+'Volumes por intervalo'!P485</f>
        <v>0</v>
      </c>
      <c r="AB486" s="149" t="n">
        <f aca="false">AB485+'Volumes por intervalo'!Q485</f>
        <v>0</v>
      </c>
      <c r="AC486" s="149" t="n">
        <f aca="false">AC485+'Volumes por intervalo'!R485</f>
        <v>0</v>
      </c>
      <c r="AD486" s="149" t="n">
        <f aca="false">AD485+'Volumes por intervalo'!S485</f>
        <v>0</v>
      </c>
    </row>
    <row r="487" customFormat="false" ht="15" hidden="false" customHeight="false" outlineLevel="0" collapsed="false">
      <c r="A487" s="138" t="s">
        <v>2153</v>
      </c>
      <c r="B487" s="146" t="n">
        <v>484</v>
      </c>
      <c r="C487" s="144" t="n">
        <v>9680</v>
      </c>
      <c r="D487" s="138" t="s">
        <v>1580</v>
      </c>
      <c r="E487" s="138" t="s">
        <v>1566</v>
      </c>
      <c r="F487" s="147" t="n">
        <v>11.3</v>
      </c>
      <c r="G487" s="148" t="n">
        <v>0</v>
      </c>
      <c r="H487" s="148" t="n">
        <v>0</v>
      </c>
      <c r="I487" s="138" t="s">
        <v>1856</v>
      </c>
      <c r="J487" s="138" t="s">
        <v>2154</v>
      </c>
      <c r="K487" s="146" t="n">
        <f aca="false">Parâmetros!$C$4*(F487+2*Parâmetros!$D$4+Parâmetros!$C$4*Parâmetros!$E$4)</f>
        <v>0.5675</v>
      </c>
      <c r="L487" s="146" t="n">
        <f aca="false">Parâmetros!$C$5*(F487+2*Parâmetros!$D$5+Parâmetros!$C$5*Parâmetros!$E$5)</f>
        <v>1.8656</v>
      </c>
      <c r="M487" s="146" t="n">
        <f aca="false">Parâmetros!$C$6*(F487+2*Parâmetros!$D$6+Parâmetros!$C$6*Parâmetros!$E$6)</f>
        <v>2.444</v>
      </c>
      <c r="N487" s="146" t="n">
        <f aca="false">Parâmetros!$C$7*(F487+2*Parâmetros!$D$7+Parâmetros!$C$7*Parâmetros!$E$7)</f>
        <v>3.876</v>
      </c>
      <c r="O487" s="146" t="n">
        <f aca="false">F487+2*Parâmetros!$D$8</f>
        <v>11.5</v>
      </c>
      <c r="P487" s="146" t="n">
        <f aca="false">F487+2*Parâmetros!$D$10</f>
        <v>13.22</v>
      </c>
      <c r="Q487" s="146" t="n">
        <f aca="false">G487+H487</f>
        <v>0</v>
      </c>
      <c r="S487" s="149" t="n">
        <f aca="false">S486+'Volumes por intervalo'!C486*(F486+F487)/2</f>
        <v>112006.5</v>
      </c>
      <c r="T487" s="149" t="n">
        <f aca="false">T486+'Volumes por intervalo'!H486</f>
        <v>5624.52500000002</v>
      </c>
      <c r="U487" s="149" t="n">
        <f aca="false">U486+'Volumes por intervalo'!J486</f>
        <v>18478.6080000001</v>
      </c>
      <c r="V487" s="149" t="n">
        <f aca="false">V486+'Volumes por intervalo'!K486</f>
        <v>24182.4200000001</v>
      </c>
      <c r="W487" s="149" t="n">
        <f aca="false">W486+'Volumes por intervalo'!L486</f>
        <v>38306.4300000001</v>
      </c>
      <c r="X487" s="149" t="n">
        <f aca="false">X486+'Volumes por intervalo'!M486</f>
        <v>113942.5</v>
      </c>
      <c r="Y487" s="149" t="n">
        <f aca="false">Y486+'Volumes por intervalo'!N486</f>
        <v>113942.5</v>
      </c>
      <c r="Z487" s="149" t="n">
        <f aca="false">Z486+'Volumes por intervalo'!O486</f>
        <v>130592.099999999</v>
      </c>
      <c r="AA487" s="149" t="n">
        <f aca="false">AA486+'Volumes por intervalo'!P486</f>
        <v>0</v>
      </c>
      <c r="AB487" s="149" t="n">
        <f aca="false">AB486+'Volumes por intervalo'!Q486</f>
        <v>0</v>
      </c>
      <c r="AC487" s="149" t="n">
        <f aca="false">AC486+'Volumes por intervalo'!R486</f>
        <v>0</v>
      </c>
      <c r="AD487" s="149" t="n">
        <f aca="false">AD486+'Volumes por intervalo'!S486</f>
        <v>0</v>
      </c>
    </row>
    <row r="488" customFormat="false" ht="15" hidden="false" customHeight="false" outlineLevel="0" collapsed="false">
      <c r="A488" s="138" t="s">
        <v>2155</v>
      </c>
      <c r="B488" s="146" t="n">
        <v>485</v>
      </c>
      <c r="C488" s="144" t="n">
        <v>9700</v>
      </c>
      <c r="D488" s="138" t="s">
        <v>1580</v>
      </c>
      <c r="E488" s="138" t="s">
        <v>1566</v>
      </c>
      <c r="F488" s="147" t="n">
        <v>11.2</v>
      </c>
      <c r="G488" s="148" t="n">
        <v>0</v>
      </c>
      <c r="H488" s="148" t="n">
        <v>0</v>
      </c>
      <c r="I488" s="138" t="s">
        <v>1642</v>
      </c>
      <c r="J488" s="138"/>
      <c r="K488" s="146" t="n">
        <f aca="false">Parâmetros!$C$4*(F488+2*Parâmetros!$D$4+Parâmetros!$C$4*Parâmetros!$E$4)</f>
        <v>0.5625</v>
      </c>
      <c r="L488" s="146" t="n">
        <f aca="false">Parâmetros!$C$5*(F488+2*Parâmetros!$D$5+Parâmetros!$C$5*Parâmetros!$E$5)</f>
        <v>1.8496</v>
      </c>
      <c r="M488" s="146" t="n">
        <f aca="false">Parâmetros!$C$6*(F488+2*Parâmetros!$D$6+Parâmetros!$C$6*Parâmetros!$E$6)</f>
        <v>2.424</v>
      </c>
      <c r="N488" s="146" t="n">
        <f aca="false">Parâmetros!$C$7*(F488+2*Parâmetros!$D$7+Parâmetros!$C$7*Parâmetros!$E$7)</f>
        <v>3.846</v>
      </c>
      <c r="O488" s="146" t="n">
        <f aca="false">F488+2*Parâmetros!$D$8</f>
        <v>11.4</v>
      </c>
      <c r="P488" s="146" t="n">
        <f aca="false">F488+2*Parâmetros!$D$10</f>
        <v>13.12</v>
      </c>
      <c r="Q488" s="146" t="n">
        <f aca="false">G488+H488</f>
        <v>0</v>
      </c>
      <c r="S488" s="149" t="n">
        <f aca="false">S487+'Volumes por intervalo'!C487*(F487+F488)/2</f>
        <v>112231.5</v>
      </c>
      <c r="T488" s="149" t="n">
        <f aca="false">T487+'Volumes por intervalo'!H487</f>
        <v>5635.82500000002</v>
      </c>
      <c r="U488" s="149" t="n">
        <f aca="false">U487+'Volumes por intervalo'!J487</f>
        <v>18515.7600000001</v>
      </c>
      <c r="V488" s="149" t="n">
        <f aca="false">V487+'Volumes por intervalo'!K487</f>
        <v>24231.1000000001</v>
      </c>
      <c r="W488" s="149" t="n">
        <f aca="false">W487+'Volumes por intervalo'!L487</f>
        <v>38383.6500000001</v>
      </c>
      <c r="X488" s="149" t="n">
        <f aca="false">X487+'Volumes por intervalo'!M487</f>
        <v>114171.5</v>
      </c>
      <c r="Y488" s="149" t="n">
        <f aca="false">Y487+'Volumes por intervalo'!N487</f>
        <v>114171.5</v>
      </c>
      <c r="Z488" s="149" t="n">
        <f aca="false">Z487+'Volumes por intervalo'!O487</f>
        <v>130855.499999999</v>
      </c>
      <c r="AA488" s="149" t="n">
        <f aca="false">AA487+'Volumes por intervalo'!P487</f>
        <v>0</v>
      </c>
      <c r="AB488" s="149" t="n">
        <f aca="false">AB487+'Volumes por intervalo'!Q487</f>
        <v>0</v>
      </c>
      <c r="AC488" s="149" t="n">
        <f aca="false">AC487+'Volumes por intervalo'!R487</f>
        <v>0</v>
      </c>
      <c r="AD488" s="149" t="n">
        <f aca="false">AD487+'Volumes por intervalo'!S487</f>
        <v>0</v>
      </c>
    </row>
    <row r="489" customFormat="false" ht="15" hidden="false" customHeight="false" outlineLevel="0" collapsed="false">
      <c r="A489" s="138" t="s">
        <v>2156</v>
      </c>
      <c r="B489" s="146" t="n">
        <v>486</v>
      </c>
      <c r="C489" s="144" t="n">
        <v>9720</v>
      </c>
      <c r="D489" s="138" t="s">
        <v>1580</v>
      </c>
      <c r="E489" s="138" t="s">
        <v>1566</v>
      </c>
      <c r="F489" s="147" t="n">
        <v>11</v>
      </c>
      <c r="G489" s="148" t="n">
        <v>0</v>
      </c>
      <c r="H489" s="148" t="n">
        <v>0</v>
      </c>
      <c r="I489" s="138" t="s">
        <v>1642</v>
      </c>
      <c r="J489" s="138"/>
      <c r="K489" s="146" t="n">
        <f aca="false">Parâmetros!$C$4*(F489+2*Parâmetros!$D$4+Parâmetros!$C$4*Parâmetros!$E$4)</f>
        <v>0.5525</v>
      </c>
      <c r="L489" s="146" t="n">
        <f aca="false">Parâmetros!$C$5*(F489+2*Parâmetros!$D$5+Parâmetros!$C$5*Parâmetros!$E$5)</f>
        <v>1.8176</v>
      </c>
      <c r="M489" s="146" t="n">
        <f aca="false">Parâmetros!$C$6*(F489+2*Parâmetros!$D$6+Parâmetros!$C$6*Parâmetros!$E$6)</f>
        <v>2.384</v>
      </c>
      <c r="N489" s="146" t="n">
        <f aca="false">Parâmetros!$C$7*(F489+2*Parâmetros!$D$7+Parâmetros!$C$7*Parâmetros!$E$7)</f>
        <v>3.786</v>
      </c>
      <c r="O489" s="146" t="n">
        <f aca="false">F489+2*Parâmetros!$D$8</f>
        <v>11.2</v>
      </c>
      <c r="P489" s="146" t="n">
        <f aca="false">F489+2*Parâmetros!$D$10</f>
        <v>12.92</v>
      </c>
      <c r="Q489" s="146" t="n">
        <f aca="false">G489+H489</f>
        <v>0</v>
      </c>
      <c r="S489" s="149" t="n">
        <f aca="false">S488+'Volumes por intervalo'!C488*(F488+F489)/2</f>
        <v>112453.5</v>
      </c>
      <c r="T489" s="149" t="n">
        <f aca="false">T488+'Volumes por intervalo'!H488</f>
        <v>5646.97500000002</v>
      </c>
      <c r="U489" s="149" t="n">
        <f aca="false">U488+'Volumes por intervalo'!J488</f>
        <v>18552.4320000001</v>
      </c>
      <c r="V489" s="149" t="n">
        <f aca="false">V488+'Volumes por intervalo'!K488</f>
        <v>24279.1800000001</v>
      </c>
      <c r="W489" s="149" t="n">
        <f aca="false">W488+'Volumes por intervalo'!L488</f>
        <v>38459.9700000001</v>
      </c>
      <c r="X489" s="149" t="n">
        <f aca="false">X488+'Volumes por intervalo'!M488</f>
        <v>114397.5</v>
      </c>
      <c r="Y489" s="149" t="n">
        <f aca="false">Y488+'Volumes por intervalo'!N488</f>
        <v>114397.5</v>
      </c>
      <c r="Z489" s="149" t="n">
        <f aca="false">Z488+'Volumes por intervalo'!O488</f>
        <v>131115.899999999</v>
      </c>
      <c r="AA489" s="149" t="n">
        <f aca="false">AA488+'Volumes por intervalo'!P488</f>
        <v>0</v>
      </c>
      <c r="AB489" s="149" t="n">
        <f aca="false">AB488+'Volumes por intervalo'!Q488</f>
        <v>0</v>
      </c>
      <c r="AC489" s="149" t="n">
        <f aca="false">AC488+'Volumes por intervalo'!R488</f>
        <v>0</v>
      </c>
      <c r="AD489" s="149" t="n">
        <f aca="false">AD488+'Volumes por intervalo'!S488</f>
        <v>0</v>
      </c>
    </row>
    <row r="490" customFormat="false" ht="15" hidden="false" customHeight="false" outlineLevel="0" collapsed="false">
      <c r="A490" s="138" t="s">
        <v>2157</v>
      </c>
      <c r="B490" s="146" t="n">
        <v>487</v>
      </c>
      <c r="C490" s="144" t="n">
        <v>9740</v>
      </c>
      <c r="D490" s="138" t="s">
        <v>1580</v>
      </c>
      <c r="E490" s="138" t="s">
        <v>1566</v>
      </c>
      <c r="F490" s="147" t="n">
        <v>11</v>
      </c>
      <c r="G490" s="148" t="n">
        <v>0</v>
      </c>
      <c r="H490" s="148" t="n">
        <v>0</v>
      </c>
      <c r="I490" s="138" t="s">
        <v>1642</v>
      </c>
      <c r="J490" s="138"/>
      <c r="K490" s="146" t="n">
        <f aca="false">Parâmetros!$C$4*(F490+2*Parâmetros!$D$4+Parâmetros!$C$4*Parâmetros!$E$4)</f>
        <v>0.5525</v>
      </c>
      <c r="L490" s="146" t="n">
        <f aca="false">Parâmetros!$C$5*(F490+2*Parâmetros!$D$5+Parâmetros!$C$5*Parâmetros!$E$5)</f>
        <v>1.8176</v>
      </c>
      <c r="M490" s="146" t="n">
        <f aca="false">Parâmetros!$C$6*(F490+2*Parâmetros!$D$6+Parâmetros!$C$6*Parâmetros!$E$6)</f>
        <v>2.384</v>
      </c>
      <c r="N490" s="146" t="n">
        <f aca="false">Parâmetros!$C$7*(F490+2*Parâmetros!$D$7+Parâmetros!$C$7*Parâmetros!$E$7)</f>
        <v>3.786</v>
      </c>
      <c r="O490" s="146" t="n">
        <f aca="false">F490+2*Parâmetros!$D$8</f>
        <v>11.2</v>
      </c>
      <c r="P490" s="146" t="n">
        <f aca="false">F490+2*Parâmetros!$D$10</f>
        <v>12.92</v>
      </c>
      <c r="Q490" s="146" t="n">
        <f aca="false">G490+H490</f>
        <v>0</v>
      </c>
      <c r="S490" s="149" t="n">
        <f aca="false">S489+'Volumes por intervalo'!C489*(F489+F490)/2</f>
        <v>112673.5</v>
      </c>
      <c r="T490" s="149" t="n">
        <f aca="false">T489+'Volumes por intervalo'!H489</f>
        <v>5658.02500000002</v>
      </c>
      <c r="U490" s="149" t="n">
        <f aca="false">U489+'Volumes por intervalo'!J489</f>
        <v>18588.7840000001</v>
      </c>
      <c r="V490" s="149" t="n">
        <f aca="false">V489+'Volumes por intervalo'!K489</f>
        <v>24326.8600000001</v>
      </c>
      <c r="W490" s="149" t="n">
        <f aca="false">W489+'Volumes por intervalo'!L489</f>
        <v>38535.6900000001</v>
      </c>
      <c r="X490" s="149" t="n">
        <f aca="false">X489+'Volumes por intervalo'!M489</f>
        <v>114621.5</v>
      </c>
      <c r="Y490" s="149" t="n">
        <f aca="false">Y489+'Volumes por intervalo'!N489</f>
        <v>114621.5</v>
      </c>
      <c r="Z490" s="149" t="n">
        <f aca="false">Z489+'Volumes por intervalo'!O489</f>
        <v>131374.299999999</v>
      </c>
      <c r="AA490" s="149" t="n">
        <f aca="false">AA489+'Volumes por intervalo'!P489</f>
        <v>0</v>
      </c>
      <c r="AB490" s="149" t="n">
        <f aca="false">AB489+'Volumes por intervalo'!Q489</f>
        <v>0</v>
      </c>
      <c r="AC490" s="149" t="n">
        <f aca="false">AC489+'Volumes por intervalo'!R489</f>
        <v>0</v>
      </c>
      <c r="AD490" s="149" t="n">
        <f aca="false">AD489+'Volumes por intervalo'!S489</f>
        <v>0</v>
      </c>
    </row>
    <row r="491" customFormat="false" ht="15" hidden="false" customHeight="false" outlineLevel="0" collapsed="false">
      <c r="A491" s="138" t="s">
        <v>1581</v>
      </c>
      <c r="B491" s="146" t="n">
        <v>487.5</v>
      </c>
      <c r="C491" s="144" t="n">
        <v>9750</v>
      </c>
      <c r="D491" s="138" t="s">
        <v>1580</v>
      </c>
      <c r="E491" s="138" t="s">
        <v>1566</v>
      </c>
      <c r="F491" s="147" t="n">
        <v>11.6</v>
      </c>
      <c r="G491" s="148" t="n">
        <v>0</v>
      </c>
      <c r="H491" s="148" t="n">
        <v>0</v>
      </c>
      <c r="I491" s="138" t="s">
        <v>1856</v>
      </c>
      <c r="J491" s="138" t="s">
        <v>2054</v>
      </c>
      <c r="K491" s="146" t="n">
        <f aca="false">Parâmetros!$C$4*(F491+2*Parâmetros!$D$4+Parâmetros!$C$4*Parâmetros!$E$4)</f>
        <v>0.5825</v>
      </c>
      <c r="L491" s="146" t="n">
        <f aca="false">Parâmetros!$C$5*(F491+2*Parâmetros!$D$5+Parâmetros!$C$5*Parâmetros!$E$5)</f>
        <v>1.9136</v>
      </c>
      <c r="M491" s="146" t="n">
        <f aca="false">Parâmetros!$C$6*(F491+2*Parâmetros!$D$6+Parâmetros!$C$6*Parâmetros!$E$6)</f>
        <v>2.504</v>
      </c>
      <c r="N491" s="146" t="n">
        <f aca="false">Parâmetros!$C$7*(F491+2*Parâmetros!$D$7+Parâmetros!$C$7*Parâmetros!$E$7)</f>
        <v>3.966</v>
      </c>
      <c r="O491" s="146" t="n">
        <f aca="false">F491+2*Parâmetros!$D$8</f>
        <v>11.8</v>
      </c>
      <c r="P491" s="146" t="n">
        <f aca="false">F491+2*Parâmetros!$D$10</f>
        <v>13.52</v>
      </c>
      <c r="Q491" s="146" t="n">
        <f aca="false">G491+H491</f>
        <v>0</v>
      </c>
      <c r="S491" s="149" t="n">
        <f aca="false">S490+'Volumes por intervalo'!C490*(F490+F491)/2</f>
        <v>112786.5</v>
      </c>
      <c r="T491" s="149" t="n">
        <f aca="false">T490+'Volumes por intervalo'!H490</f>
        <v>5663.70000000002</v>
      </c>
      <c r="U491" s="149" t="n">
        <f aca="false">U490+'Volumes por intervalo'!J490</f>
        <v>18607.4400000001</v>
      </c>
      <c r="V491" s="149" t="n">
        <f aca="false">V490+'Volumes por intervalo'!K490</f>
        <v>24351.3000000001</v>
      </c>
      <c r="W491" s="149" t="n">
        <f aca="false">W490+'Volumes por intervalo'!L490</f>
        <v>38574.4500000001</v>
      </c>
      <c r="X491" s="149" t="n">
        <f aca="false">X490+'Volumes por intervalo'!M490</f>
        <v>114736.5</v>
      </c>
      <c r="Y491" s="149" t="n">
        <f aca="false">Y490+'Volumes por intervalo'!N490</f>
        <v>114736.5</v>
      </c>
      <c r="Z491" s="149" t="n">
        <f aca="false">Z490+'Volumes por intervalo'!O490</f>
        <v>131506.499999999</v>
      </c>
      <c r="AA491" s="149" t="n">
        <f aca="false">AA490+'Volumes por intervalo'!P490</f>
        <v>0</v>
      </c>
      <c r="AB491" s="149" t="n">
        <f aca="false">AB490+'Volumes por intervalo'!Q490</f>
        <v>0</v>
      </c>
      <c r="AC491" s="149" t="n">
        <f aca="false">AC490+'Volumes por intervalo'!R490</f>
        <v>0</v>
      </c>
      <c r="AD491" s="149" t="n">
        <f aca="false">AD490+'Volumes por intervalo'!S490</f>
        <v>0</v>
      </c>
    </row>
    <row r="492" customFormat="false" ht="15" hidden="false" customHeight="false" outlineLevel="0" collapsed="false">
      <c r="A492" s="138" t="s">
        <v>2158</v>
      </c>
      <c r="B492" s="146" t="n">
        <v>488</v>
      </c>
      <c r="C492" s="144" t="n">
        <v>9760</v>
      </c>
      <c r="D492" s="138" t="s">
        <v>1582</v>
      </c>
      <c r="E492" s="138" t="s">
        <v>1583</v>
      </c>
      <c r="F492" s="147" t="n">
        <v>12.2</v>
      </c>
      <c r="G492" s="148" t="n">
        <v>0</v>
      </c>
      <c r="H492" s="148" t="n">
        <v>0</v>
      </c>
      <c r="I492" s="138" t="s">
        <v>1642</v>
      </c>
      <c r="J492" s="138"/>
      <c r="K492" s="146" t="n">
        <f aca="false">Parâmetros!$C$4*(F492+2*Parâmetros!$D$4+Parâmetros!$C$4*Parâmetros!$E$4)</f>
        <v>0.6125</v>
      </c>
      <c r="L492" s="146" t="n">
        <f aca="false">Parâmetros!$C$5*(F492+2*Parâmetros!$D$5+Parâmetros!$C$5*Parâmetros!$E$5)</f>
        <v>2.0096</v>
      </c>
      <c r="M492" s="146" t="n">
        <f aca="false">Parâmetros!$C$6*(F492+2*Parâmetros!$D$6+Parâmetros!$C$6*Parâmetros!$E$6)</f>
        <v>2.624</v>
      </c>
      <c r="N492" s="146" t="n">
        <f aca="false">Parâmetros!$C$7*(F492+2*Parâmetros!$D$7+Parâmetros!$C$7*Parâmetros!$E$7)</f>
        <v>4.146</v>
      </c>
      <c r="O492" s="146" t="n">
        <f aca="false">F492+2*Parâmetros!$D$8</f>
        <v>12.4</v>
      </c>
      <c r="P492" s="146" t="n">
        <f aca="false">F492+2*Parâmetros!$D$10</f>
        <v>14.12</v>
      </c>
      <c r="Q492" s="146" t="n">
        <f aca="false">G492+H492</f>
        <v>0</v>
      </c>
      <c r="S492" s="149" t="n">
        <f aca="false">S491+'Volumes por intervalo'!C491*(F491+F492)/2</f>
        <v>112905.5</v>
      </c>
      <c r="T492" s="149" t="n">
        <f aca="false">T491+'Volumes por intervalo'!H491</f>
        <v>5669.67500000002</v>
      </c>
      <c r="U492" s="149" t="n">
        <f aca="false">U491+'Volumes por intervalo'!J491</f>
        <v>18627.0560000001</v>
      </c>
      <c r="V492" s="149" t="n">
        <f aca="false">V491+'Volumes por intervalo'!K491</f>
        <v>24376.9400000001</v>
      </c>
      <c r="W492" s="149" t="n">
        <f aca="false">W491+'Volumes por intervalo'!L491</f>
        <v>38615.0100000001</v>
      </c>
      <c r="X492" s="149" t="n">
        <f aca="false">X491+'Volumes por intervalo'!M491</f>
        <v>114857.5</v>
      </c>
      <c r="Y492" s="149" t="n">
        <f aca="false">Y491+'Volumes por intervalo'!N491</f>
        <v>114857.5</v>
      </c>
      <c r="Z492" s="149" t="n">
        <f aca="false">Z491+'Volumes por intervalo'!O491</f>
        <v>131644.699999999</v>
      </c>
      <c r="AA492" s="149" t="n">
        <f aca="false">AA491+'Volumes por intervalo'!P491</f>
        <v>0</v>
      </c>
      <c r="AB492" s="149" t="n">
        <f aca="false">AB491+'Volumes por intervalo'!Q491</f>
        <v>0</v>
      </c>
      <c r="AC492" s="149" t="n">
        <f aca="false">AC491+'Volumes por intervalo'!R491</f>
        <v>0</v>
      </c>
      <c r="AD492" s="149" t="n">
        <f aca="false">AD491+'Volumes por intervalo'!S491</f>
        <v>0</v>
      </c>
    </row>
    <row r="493" customFormat="false" ht="15" hidden="false" customHeight="false" outlineLevel="0" collapsed="false">
      <c r="A493" s="138" t="s">
        <v>2159</v>
      </c>
      <c r="B493" s="146" t="n">
        <v>489</v>
      </c>
      <c r="C493" s="144" t="n">
        <v>9780</v>
      </c>
      <c r="D493" s="138" t="s">
        <v>1582</v>
      </c>
      <c r="E493" s="138" t="s">
        <v>1583</v>
      </c>
      <c r="F493" s="147" t="n">
        <v>14</v>
      </c>
      <c r="G493" s="148" t="n">
        <v>0</v>
      </c>
      <c r="H493" s="148" t="n">
        <v>0</v>
      </c>
      <c r="I493" s="138" t="s">
        <v>1642</v>
      </c>
      <c r="J493" s="138"/>
      <c r="K493" s="146" t="n">
        <f aca="false">Parâmetros!$C$4*(F493+2*Parâmetros!$D$4+Parâmetros!$C$4*Parâmetros!$E$4)</f>
        <v>0.7025</v>
      </c>
      <c r="L493" s="146" t="n">
        <f aca="false">Parâmetros!$C$5*(F493+2*Parâmetros!$D$5+Parâmetros!$C$5*Parâmetros!$E$5)</f>
        <v>2.2976</v>
      </c>
      <c r="M493" s="146" t="n">
        <f aca="false">Parâmetros!$C$6*(F493+2*Parâmetros!$D$6+Parâmetros!$C$6*Parâmetros!$E$6)</f>
        <v>2.984</v>
      </c>
      <c r="N493" s="146" t="n">
        <f aca="false">Parâmetros!$C$7*(F493+2*Parâmetros!$D$7+Parâmetros!$C$7*Parâmetros!$E$7)</f>
        <v>4.686</v>
      </c>
      <c r="O493" s="146" t="n">
        <f aca="false">F493+2*Parâmetros!$D$8</f>
        <v>14.2</v>
      </c>
      <c r="P493" s="146" t="n">
        <f aca="false">F493+2*Parâmetros!$D$10</f>
        <v>15.92</v>
      </c>
      <c r="Q493" s="146" t="n">
        <f aca="false">G493+H493</f>
        <v>0</v>
      </c>
      <c r="S493" s="149" t="n">
        <f aca="false">S492+'Volumes por intervalo'!C492*(F492+F493)/2</f>
        <v>113167.5</v>
      </c>
      <c r="T493" s="149" t="n">
        <f aca="false">T492+'Volumes por intervalo'!H492</f>
        <v>5682.82500000002</v>
      </c>
      <c r="U493" s="149" t="n">
        <f aca="false">U492+'Volumes por intervalo'!J492</f>
        <v>18670.1280000001</v>
      </c>
      <c r="V493" s="149" t="n">
        <f aca="false">V492+'Volumes por intervalo'!K492</f>
        <v>24433.0200000001</v>
      </c>
      <c r="W493" s="149" t="n">
        <f aca="false">W492+'Volumes por intervalo'!L492</f>
        <v>38703.3300000001</v>
      </c>
      <c r="X493" s="149" t="n">
        <f aca="false">X492+'Volumes por intervalo'!M492</f>
        <v>115123.5</v>
      </c>
      <c r="Y493" s="149" t="n">
        <f aca="false">Y492+'Volumes por intervalo'!N492</f>
        <v>115123.5</v>
      </c>
      <c r="Z493" s="149" t="n">
        <f aca="false">Z492+'Volumes por intervalo'!O492</f>
        <v>131945.099999999</v>
      </c>
      <c r="AA493" s="149" t="n">
        <f aca="false">AA492+'Volumes por intervalo'!P492</f>
        <v>0</v>
      </c>
      <c r="AB493" s="149" t="n">
        <f aca="false">AB492+'Volumes por intervalo'!Q492</f>
        <v>0</v>
      </c>
      <c r="AC493" s="149" t="n">
        <f aca="false">AC492+'Volumes por intervalo'!R492</f>
        <v>0</v>
      </c>
      <c r="AD493" s="149" t="n">
        <f aca="false">AD492+'Volumes por intervalo'!S492</f>
        <v>0</v>
      </c>
    </row>
    <row r="494" customFormat="false" ht="15" hidden="false" customHeight="false" outlineLevel="0" collapsed="false">
      <c r="A494" s="138" t="s">
        <v>2160</v>
      </c>
      <c r="B494" s="146" t="n">
        <v>490</v>
      </c>
      <c r="C494" s="144" t="n">
        <v>9800</v>
      </c>
      <c r="D494" s="138" t="s">
        <v>1582</v>
      </c>
      <c r="E494" s="138" t="s">
        <v>1583</v>
      </c>
      <c r="F494" s="147" t="n">
        <v>14.9</v>
      </c>
      <c r="G494" s="148" t="n">
        <v>0</v>
      </c>
      <c r="H494" s="148" t="n">
        <v>0</v>
      </c>
      <c r="I494" s="138" t="s">
        <v>1642</v>
      </c>
      <c r="J494" s="138"/>
      <c r="K494" s="146" t="n">
        <f aca="false">Parâmetros!$C$4*(F494+2*Parâmetros!$D$4+Parâmetros!$C$4*Parâmetros!$E$4)</f>
        <v>0.7475</v>
      </c>
      <c r="L494" s="146" t="n">
        <f aca="false">Parâmetros!$C$5*(F494+2*Parâmetros!$D$5+Parâmetros!$C$5*Parâmetros!$E$5)</f>
        <v>2.4416</v>
      </c>
      <c r="M494" s="146" t="n">
        <f aca="false">Parâmetros!$C$6*(F494+2*Parâmetros!$D$6+Parâmetros!$C$6*Parâmetros!$E$6)</f>
        <v>3.164</v>
      </c>
      <c r="N494" s="146" t="n">
        <f aca="false">Parâmetros!$C$7*(F494+2*Parâmetros!$D$7+Parâmetros!$C$7*Parâmetros!$E$7)</f>
        <v>4.956</v>
      </c>
      <c r="O494" s="146" t="n">
        <f aca="false">F494+2*Parâmetros!$D$8</f>
        <v>15.1</v>
      </c>
      <c r="P494" s="146" t="n">
        <f aca="false">F494+2*Parâmetros!$D$10</f>
        <v>16.82</v>
      </c>
      <c r="Q494" s="146" t="n">
        <f aca="false">G494+H494</f>
        <v>0</v>
      </c>
      <c r="S494" s="149" t="n">
        <f aca="false">S493+'Volumes por intervalo'!C493*(F493+F494)/2</f>
        <v>113456.5</v>
      </c>
      <c r="T494" s="149" t="n">
        <f aca="false">T493+'Volumes por intervalo'!H493</f>
        <v>5697.32500000002</v>
      </c>
      <c r="U494" s="149" t="n">
        <f aca="false">U493+'Volumes por intervalo'!J493</f>
        <v>18717.5200000001</v>
      </c>
      <c r="V494" s="149" t="n">
        <f aca="false">V493+'Volumes por intervalo'!K493</f>
        <v>24494.5000000001</v>
      </c>
      <c r="W494" s="149" t="n">
        <f aca="false">W493+'Volumes por intervalo'!L493</f>
        <v>38799.7500000001</v>
      </c>
      <c r="X494" s="149" t="n">
        <f aca="false">X493+'Volumes por intervalo'!M493</f>
        <v>115416.5</v>
      </c>
      <c r="Y494" s="149" t="n">
        <f aca="false">Y493+'Volumes por intervalo'!N493</f>
        <v>115416.5</v>
      </c>
      <c r="Z494" s="149" t="n">
        <f aca="false">Z493+'Volumes por intervalo'!O493</f>
        <v>132272.499999999</v>
      </c>
      <c r="AA494" s="149" t="n">
        <f aca="false">AA493+'Volumes por intervalo'!P493</f>
        <v>0</v>
      </c>
      <c r="AB494" s="149" t="n">
        <f aca="false">AB493+'Volumes por intervalo'!Q493</f>
        <v>0</v>
      </c>
      <c r="AC494" s="149" t="n">
        <f aca="false">AC493+'Volumes por intervalo'!R493</f>
        <v>0</v>
      </c>
      <c r="AD494" s="149" t="n">
        <f aca="false">AD493+'Volumes por intervalo'!S493</f>
        <v>0</v>
      </c>
    </row>
    <row r="495" customFormat="false" ht="15" hidden="false" customHeight="false" outlineLevel="0" collapsed="false">
      <c r="A495" s="138" t="s">
        <v>2161</v>
      </c>
      <c r="B495" s="146" t="n">
        <v>491</v>
      </c>
      <c r="C495" s="144" t="n">
        <v>9820</v>
      </c>
      <c r="D495" s="138" t="s">
        <v>1582</v>
      </c>
      <c r="E495" s="138" t="s">
        <v>1583</v>
      </c>
      <c r="F495" s="147" t="n">
        <v>15.2</v>
      </c>
      <c r="G495" s="148" t="n">
        <v>0</v>
      </c>
      <c r="H495" s="148" t="n">
        <v>0</v>
      </c>
      <c r="I495" s="138" t="s">
        <v>1642</v>
      </c>
      <c r="J495" s="138"/>
      <c r="K495" s="146" t="n">
        <f aca="false">Parâmetros!$C$4*(F495+2*Parâmetros!$D$4+Parâmetros!$C$4*Parâmetros!$E$4)</f>
        <v>0.7625</v>
      </c>
      <c r="L495" s="146" t="n">
        <f aca="false">Parâmetros!$C$5*(F495+2*Parâmetros!$D$5+Parâmetros!$C$5*Parâmetros!$E$5)</f>
        <v>2.4896</v>
      </c>
      <c r="M495" s="146" t="n">
        <f aca="false">Parâmetros!$C$6*(F495+2*Parâmetros!$D$6+Parâmetros!$C$6*Parâmetros!$E$6)</f>
        <v>3.224</v>
      </c>
      <c r="N495" s="146" t="n">
        <f aca="false">Parâmetros!$C$7*(F495+2*Parâmetros!$D$7+Parâmetros!$C$7*Parâmetros!$E$7)</f>
        <v>5.046</v>
      </c>
      <c r="O495" s="146" t="n">
        <f aca="false">F495+2*Parâmetros!$D$8</f>
        <v>15.4</v>
      </c>
      <c r="P495" s="146" t="n">
        <f aca="false">F495+2*Parâmetros!$D$10</f>
        <v>17.12</v>
      </c>
      <c r="Q495" s="146" t="n">
        <f aca="false">G495+H495</f>
        <v>0</v>
      </c>
      <c r="S495" s="149" t="n">
        <f aca="false">S494+'Volumes por intervalo'!C494*(F494+F495)/2</f>
        <v>113757.5</v>
      </c>
      <c r="T495" s="149" t="n">
        <f aca="false">T494+'Volumes por intervalo'!H494</f>
        <v>5712.42500000002</v>
      </c>
      <c r="U495" s="149" t="n">
        <f aca="false">U494+'Volumes por intervalo'!J494</f>
        <v>18766.8320000001</v>
      </c>
      <c r="V495" s="149" t="n">
        <f aca="false">V494+'Volumes por intervalo'!K494</f>
        <v>24558.3800000001</v>
      </c>
      <c r="W495" s="149" t="n">
        <f aca="false">W494+'Volumes por intervalo'!L494</f>
        <v>38899.7700000001</v>
      </c>
      <c r="X495" s="149" t="n">
        <f aca="false">X494+'Volumes por intervalo'!M494</f>
        <v>115721.5</v>
      </c>
      <c r="Y495" s="149" t="n">
        <f aca="false">Y494+'Volumes por intervalo'!N494</f>
        <v>115721.5</v>
      </c>
      <c r="Z495" s="149" t="n">
        <f aca="false">Z494+'Volumes por intervalo'!O494</f>
        <v>132611.899999999</v>
      </c>
      <c r="AA495" s="149" t="n">
        <f aca="false">AA494+'Volumes por intervalo'!P494</f>
        <v>0</v>
      </c>
      <c r="AB495" s="149" t="n">
        <f aca="false">AB494+'Volumes por intervalo'!Q494</f>
        <v>0</v>
      </c>
      <c r="AC495" s="149" t="n">
        <f aca="false">AC494+'Volumes por intervalo'!R494</f>
        <v>0</v>
      </c>
      <c r="AD495" s="149" t="n">
        <f aca="false">AD494+'Volumes por intervalo'!S494</f>
        <v>0</v>
      </c>
    </row>
    <row r="496" customFormat="false" ht="15" hidden="false" customHeight="false" outlineLevel="0" collapsed="false">
      <c r="A496" s="138" t="s">
        <v>1585</v>
      </c>
      <c r="B496" s="146" t="n">
        <v>492</v>
      </c>
      <c r="C496" s="144" t="n">
        <v>9840</v>
      </c>
      <c r="D496" s="138" t="s">
        <v>1582</v>
      </c>
      <c r="E496" s="138" t="s">
        <v>1583</v>
      </c>
      <c r="F496" s="147" t="n">
        <v>15.7</v>
      </c>
      <c r="G496" s="148" t="n">
        <v>0</v>
      </c>
      <c r="H496" s="148" t="n">
        <v>0</v>
      </c>
      <c r="I496" s="138" t="s">
        <v>1642</v>
      </c>
      <c r="J496" s="138"/>
      <c r="K496" s="146" t="n">
        <f aca="false">Parâmetros!$C$4*(F496+2*Parâmetros!$D$4+Parâmetros!$C$4*Parâmetros!$E$4)</f>
        <v>0.7875</v>
      </c>
      <c r="L496" s="146" t="n">
        <f aca="false">Parâmetros!$C$5*(F496+2*Parâmetros!$D$5+Parâmetros!$C$5*Parâmetros!$E$5)</f>
        <v>2.5696</v>
      </c>
      <c r="M496" s="146" t="n">
        <f aca="false">Parâmetros!$C$6*(F496+2*Parâmetros!$D$6+Parâmetros!$C$6*Parâmetros!$E$6)</f>
        <v>3.324</v>
      </c>
      <c r="N496" s="146" t="n">
        <f aca="false">Parâmetros!$C$7*(F496+2*Parâmetros!$D$7+Parâmetros!$C$7*Parâmetros!$E$7)</f>
        <v>5.196</v>
      </c>
      <c r="O496" s="146" t="n">
        <f aca="false">F496+2*Parâmetros!$D$8</f>
        <v>15.9</v>
      </c>
      <c r="P496" s="146" t="n">
        <f aca="false">F496+2*Parâmetros!$D$10</f>
        <v>17.62</v>
      </c>
      <c r="Q496" s="146" t="n">
        <f aca="false">G496+H496</f>
        <v>0</v>
      </c>
      <c r="S496" s="149" t="n">
        <f aca="false">S495+'Volumes por intervalo'!C495*(F495+F496)/2</f>
        <v>114066.5</v>
      </c>
      <c r="T496" s="149" t="n">
        <f aca="false">T495+'Volumes por intervalo'!H495</f>
        <v>5727.92500000002</v>
      </c>
      <c r="U496" s="149" t="n">
        <f aca="false">U495+'Volumes por intervalo'!J495</f>
        <v>18817.4240000001</v>
      </c>
      <c r="V496" s="149" t="n">
        <f aca="false">V495+'Volumes por intervalo'!K495</f>
        <v>24623.8600000001</v>
      </c>
      <c r="W496" s="149" t="n">
        <f aca="false">W495+'Volumes por intervalo'!L495</f>
        <v>39002.1900000001</v>
      </c>
      <c r="X496" s="149" t="n">
        <f aca="false">X495+'Volumes por intervalo'!M495</f>
        <v>116034.5</v>
      </c>
      <c r="Y496" s="149" t="n">
        <f aca="false">Y495+'Volumes por intervalo'!N495</f>
        <v>116034.5</v>
      </c>
      <c r="Z496" s="149" t="n">
        <f aca="false">Z495+'Volumes por intervalo'!O495</f>
        <v>132959.299999999</v>
      </c>
      <c r="AA496" s="149" t="n">
        <f aca="false">AA495+'Volumes por intervalo'!P495</f>
        <v>0</v>
      </c>
      <c r="AB496" s="149" t="n">
        <f aca="false">AB495+'Volumes por intervalo'!Q495</f>
        <v>0</v>
      </c>
      <c r="AC496" s="149" t="n">
        <f aca="false">AC495+'Volumes por intervalo'!R495</f>
        <v>0</v>
      </c>
      <c r="AD496" s="149" t="n">
        <f aca="false">AD495+'Volumes por intervalo'!S495</f>
        <v>0</v>
      </c>
    </row>
    <row r="497" customFormat="false" ht="15" hidden="false" customHeight="false" outlineLevel="0" collapsed="false">
      <c r="A497" s="138" t="s">
        <v>2162</v>
      </c>
      <c r="B497" s="146" t="n">
        <v>493</v>
      </c>
      <c r="C497" s="144" t="n">
        <v>9860</v>
      </c>
      <c r="D497" s="138" t="s">
        <v>1586</v>
      </c>
      <c r="E497" s="138" t="s">
        <v>1587</v>
      </c>
      <c r="F497" s="147" t="n">
        <v>16.7</v>
      </c>
      <c r="G497" s="148" t="n">
        <v>0</v>
      </c>
      <c r="H497" s="148" t="n">
        <v>0</v>
      </c>
      <c r="I497" s="138" t="s">
        <v>1642</v>
      </c>
      <c r="J497" s="138"/>
      <c r="K497" s="146" t="n">
        <f aca="false">Parâmetros!$C$4*(F497+2*Parâmetros!$D$4+Parâmetros!$C$4*Parâmetros!$E$4)</f>
        <v>0.8375</v>
      </c>
      <c r="L497" s="146" t="n">
        <f aca="false">Parâmetros!$C$5*(F497+2*Parâmetros!$D$5+Parâmetros!$C$5*Parâmetros!$E$5)</f>
        <v>2.7296</v>
      </c>
      <c r="M497" s="146" t="n">
        <f aca="false">Parâmetros!$C$6*(F497+2*Parâmetros!$D$6+Parâmetros!$C$6*Parâmetros!$E$6)</f>
        <v>3.524</v>
      </c>
      <c r="N497" s="146" t="n">
        <f aca="false">Parâmetros!$C$7*(F497+2*Parâmetros!$D$7+Parâmetros!$C$7*Parâmetros!$E$7)</f>
        <v>5.496</v>
      </c>
      <c r="O497" s="146" t="n">
        <f aca="false">F497+2*Parâmetros!$D$8</f>
        <v>16.9</v>
      </c>
      <c r="P497" s="146" t="n">
        <f aca="false">F497+2*Parâmetros!$D$10</f>
        <v>18.62</v>
      </c>
      <c r="Q497" s="146" t="n">
        <f aca="false">G497+H497</f>
        <v>0</v>
      </c>
      <c r="S497" s="149" t="n">
        <f aca="false">S496+'Volumes por intervalo'!C496*(F496+F497)/2</f>
        <v>114390.5</v>
      </c>
      <c r="T497" s="149" t="n">
        <f aca="false">T496+'Volumes por intervalo'!H496</f>
        <v>5744.17500000002</v>
      </c>
      <c r="U497" s="149" t="n">
        <f aca="false">U496+'Volumes por intervalo'!J496</f>
        <v>18870.4160000001</v>
      </c>
      <c r="V497" s="149" t="n">
        <f aca="false">V496+'Volumes por intervalo'!K496</f>
        <v>24692.3400000001</v>
      </c>
      <c r="W497" s="149" t="n">
        <f aca="false">W496+'Volumes por intervalo'!L496</f>
        <v>39109.1100000001</v>
      </c>
      <c r="X497" s="149" t="n">
        <f aca="false">X496+'Volumes por intervalo'!M496</f>
        <v>116362.5</v>
      </c>
      <c r="Y497" s="149" t="n">
        <f aca="false">Y496+'Volumes por intervalo'!N496</f>
        <v>116362.5</v>
      </c>
      <c r="Z497" s="149" t="n">
        <f aca="false">Z496+'Volumes por intervalo'!O496</f>
        <v>133321.699999999</v>
      </c>
      <c r="AA497" s="149" t="n">
        <f aca="false">AA496+'Volumes por intervalo'!P496</f>
        <v>0</v>
      </c>
      <c r="AB497" s="149" t="n">
        <f aca="false">AB496+'Volumes por intervalo'!Q496</f>
        <v>0</v>
      </c>
      <c r="AC497" s="149" t="n">
        <f aca="false">AC496+'Volumes por intervalo'!R496</f>
        <v>0</v>
      </c>
      <c r="AD497" s="149" t="n">
        <f aca="false">AD496+'Volumes por intervalo'!S496</f>
        <v>0</v>
      </c>
    </row>
    <row r="498" customFormat="false" ht="15" hidden="false" customHeight="false" outlineLevel="0" collapsed="false">
      <c r="A498" s="138" t="s">
        <v>2163</v>
      </c>
      <c r="B498" s="146" t="n">
        <v>494</v>
      </c>
      <c r="C498" s="144" t="n">
        <v>9880</v>
      </c>
      <c r="D498" s="138" t="s">
        <v>1586</v>
      </c>
      <c r="E498" s="138" t="s">
        <v>1587</v>
      </c>
      <c r="F498" s="147" t="n">
        <v>17</v>
      </c>
      <c r="G498" s="148" t="n">
        <v>0</v>
      </c>
      <c r="H498" s="148" t="n">
        <v>0</v>
      </c>
      <c r="I498" s="138" t="s">
        <v>1642</v>
      </c>
      <c r="J498" s="138"/>
      <c r="K498" s="146" t="n">
        <f aca="false">Parâmetros!$C$4*(F498+2*Parâmetros!$D$4+Parâmetros!$C$4*Parâmetros!$E$4)</f>
        <v>0.8525</v>
      </c>
      <c r="L498" s="146" t="n">
        <f aca="false">Parâmetros!$C$5*(F498+2*Parâmetros!$D$5+Parâmetros!$C$5*Parâmetros!$E$5)</f>
        <v>2.7776</v>
      </c>
      <c r="M498" s="146" t="n">
        <f aca="false">Parâmetros!$C$6*(F498+2*Parâmetros!$D$6+Parâmetros!$C$6*Parâmetros!$E$6)</f>
        <v>3.584</v>
      </c>
      <c r="N498" s="146" t="n">
        <f aca="false">Parâmetros!$C$7*(F498+2*Parâmetros!$D$7+Parâmetros!$C$7*Parâmetros!$E$7)</f>
        <v>5.586</v>
      </c>
      <c r="O498" s="146" t="n">
        <f aca="false">F498+2*Parâmetros!$D$8</f>
        <v>17.2</v>
      </c>
      <c r="P498" s="146" t="n">
        <f aca="false">F498+2*Parâmetros!$D$10</f>
        <v>18.92</v>
      </c>
      <c r="Q498" s="146" t="n">
        <f aca="false">G498+H498</f>
        <v>0</v>
      </c>
      <c r="S498" s="149" t="n">
        <f aca="false">S497+'Volumes por intervalo'!C497*(F497+F498)/2</f>
        <v>114727.5</v>
      </c>
      <c r="T498" s="149" t="n">
        <f aca="false">T497+'Volumes por intervalo'!H497</f>
        <v>5761.07500000002</v>
      </c>
      <c r="U498" s="149" t="n">
        <f aca="false">U497+'Volumes por intervalo'!J497</f>
        <v>18925.4880000001</v>
      </c>
      <c r="V498" s="149" t="n">
        <f aca="false">V497+'Volumes por intervalo'!K497</f>
        <v>24763.4200000001</v>
      </c>
      <c r="W498" s="149" t="n">
        <f aca="false">W497+'Volumes por intervalo'!L497</f>
        <v>39219.9300000001</v>
      </c>
      <c r="X498" s="149" t="n">
        <f aca="false">X497+'Volumes por intervalo'!M497</f>
        <v>116703.5</v>
      </c>
      <c r="Y498" s="149" t="n">
        <f aca="false">Y497+'Volumes por intervalo'!N497</f>
        <v>116703.5</v>
      </c>
      <c r="Z498" s="149" t="n">
        <f aca="false">Z497+'Volumes por intervalo'!O497</f>
        <v>133697.099999999</v>
      </c>
      <c r="AA498" s="149" t="n">
        <f aca="false">AA497+'Volumes por intervalo'!P497</f>
        <v>0</v>
      </c>
      <c r="AB498" s="149" t="n">
        <f aca="false">AB497+'Volumes por intervalo'!Q497</f>
        <v>0</v>
      </c>
      <c r="AC498" s="149" t="n">
        <f aca="false">AC497+'Volumes por intervalo'!R497</f>
        <v>0</v>
      </c>
      <c r="AD498" s="149" t="n">
        <f aca="false">AD497+'Volumes por intervalo'!S497</f>
        <v>0</v>
      </c>
    </row>
    <row r="499" customFormat="false" ht="15" hidden="false" customHeight="false" outlineLevel="0" collapsed="false">
      <c r="A499" s="138" t="s">
        <v>2164</v>
      </c>
      <c r="B499" s="146" t="n">
        <v>495</v>
      </c>
      <c r="C499" s="144" t="n">
        <v>9900</v>
      </c>
      <c r="D499" s="138" t="s">
        <v>1586</v>
      </c>
      <c r="E499" s="138" t="s">
        <v>1587</v>
      </c>
      <c r="F499" s="147" t="n">
        <v>15.8</v>
      </c>
      <c r="G499" s="148" t="n">
        <v>0</v>
      </c>
      <c r="H499" s="148" t="n">
        <v>0</v>
      </c>
      <c r="I499" s="138" t="s">
        <v>1856</v>
      </c>
      <c r="J499" s="138" t="s">
        <v>2165</v>
      </c>
      <c r="K499" s="146" t="n">
        <f aca="false">Parâmetros!$C$4*(F499+2*Parâmetros!$D$4+Parâmetros!$C$4*Parâmetros!$E$4)</f>
        <v>0.7925</v>
      </c>
      <c r="L499" s="146" t="n">
        <f aca="false">Parâmetros!$C$5*(F499+2*Parâmetros!$D$5+Parâmetros!$C$5*Parâmetros!$E$5)</f>
        <v>2.5856</v>
      </c>
      <c r="M499" s="146" t="n">
        <f aca="false">Parâmetros!$C$6*(F499+2*Parâmetros!$D$6+Parâmetros!$C$6*Parâmetros!$E$6)</f>
        <v>3.344</v>
      </c>
      <c r="N499" s="146" t="n">
        <f aca="false">Parâmetros!$C$7*(F499+2*Parâmetros!$D$7+Parâmetros!$C$7*Parâmetros!$E$7)</f>
        <v>5.226</v>
      </c>
      <c r="O499" s="146" t="n">
        <f aca="false">F499+2*Parâmetros!$D$8</f>
        <v>16</v>
      </c>
      <c r="P499" s="146" t="n">
        <f aca="false">F499+2*Parâmetros!$D$10</f>
        <v>17.72</v>
      </c>
      <c r="Q499" s="146" t="n">
        <f aca="false">G499+H499</f>
        <v>0</v>
      </c>
      <c r="S499" s="149" t="n">
        <f aca="false">S498+'Volumes por intervalo'!C498*(F498+F499)/2</f>
        <v>115055.5</v>
      </c>
      <c r="T499" s="149" t="n">
        <f aca="false">T498+'Volumes por intervalo'!H498</f>
        <v>5777.52500000002</v>
      </c>
      <c r="U499" s="149" t="n">
        <f aca="false">U498+'Volumes por intervalo'!J498</f>
        <v>18979.1200000001</v>
      </c>
      <c r="V499" s="149" t="n">
        <f aca="false">V498+'Volumes por intervalo'!K498</f>
        <v>24832.7000000001</v>
      </c>
      <c r="W499" s="149" t="n">
        <f aca="false">W498+'Volumes por intervalo'!L498</f>
        <v>39328.0500000001</v>
      </c>
      <c r="X499" s="149" t="n">
        <f aca="false">X498+'Volumes por intervalo'!M498</f>
        <v>117035.5</v>
      </c>
      <c r="Y499" s="149" t="n">
        <f aca="false">Y498+'Volumes por intervalo'!N498</f>
        <v>117035.5</v>
      </c>
      <c r="Z499" s="149" t="n">
        <f aca="false">Z498+'Volumes por intervalo'!O498</f>
        <v>134063.499999999</v>
      </c>
      <c r="AA499" s="149" t="n">
        <f aca="false">AA498+'Volumes por intervalo'!P498</f>
        <v>0</v>
      </c>
      <c r="AB499" s="149" t="n">
        <f aca="false">AB498+'Volumes por intervalo'!Q498</f>
        <v>0</v>
      </c>
      <c r="AC499" s="149" t="n">
        <f aca="false">AC498+'Volumes por intervalo'!R498</f>
        <v>0</v>
      </c>
      <c r="AD499" s="149" t="n">
        <f aca="false">AD498+'Volumes por intervalo'!S498</f>
        <v>0</v>
      </c>
    </row>
    <row r="500" customFormat="false" ht="15" hidden="false" customHeight="false" outlineLevel="0" collapsed="false">
      <c r="A500" s="138" t="s">
        <v>1589</v>
      </c>
      <c r="B500" s="146" t="n">
        <v>496</v>
      </c>
      <c r="C500" s="144" t="n">
        <v>9920</v>
      </c>
      <c r="D500" s="138" t="s">
        <v>1586</v>
      </c>
      <c r="E500" s="138" t="s">
        <v>1587</v>
      </c>
      <c r="F500" s="147" t="n">
        <v>14.7</v>
      </c>
      <c r="G500" s="148" t="n">
        <v>0</v>
      </c>
      <c r="H500" s="148" t="n">
        <v>0</v>
      </c>
      <c r="I500" s="138" t="s">
        <v>1856</v>
      </c>
      <c r="J500" s="138" t="s">
        <v>2166</v>
      </c>
      <c r="K500" s="146" t="n">
        <f aca="false">Parâmetros!$C$4*(F500+2*Parâmetros!$D$4+Parâmetros!$C$4*Parâmetros!$E$4)</f>
        <v>0.7375</v>
      </c>
      <c r="L500" s="146" t="n">
        <f aca="false">Parâmetros!$C$5*(F500+2*Parâmetros!$D$5+Parâmetros!$C$5*Parâmetros!$E$5)</f>
        <v>2.4096</v>
      </c>
      <c r="M500" s="146" t="n">
        <f aca="false">Parâmetros!$C$6*(F500+2*Parâmetros!$D$6+Parâmetros!$C$6*Parâmetros!$E$6)</f>
        <v>3.124</v>
      </c>
      <c r="N500" s="146" t="n">
        <f aca="false">Parâmetros!$C$7*(F500+2*Parâmetros!$D$7+Parâmetros!$C$7*Parâmetros!$E$7)</f>
        <v>4.896</v>
      </c>
      <c r="O500" s="146" t="n">
        <f aca="false">F500+2*Parâmetros!$D$8</f>
        <v>14.9</v>
      </c>
      <c r="P500" s="146" t="n">
        <f aca="false">F500+2*Parâmetros!$D$10</f>
        <v>16.62</v>
      </c>
      <c r="Q500" s="146" t="n">
        <f aca="false">G500+H500</f>
        <v>0</v>
      </c>
      <c r="S500" s="149" t="n">
        <f aca="false">S499+'Volumes por intervalo'!C499*(F499+F500)/2</f>
        <v>115360.5</v>
      </c>
      <c r="T500" s="149" t="n">
        <f aca="false">T499+'Volumes por intervalo'!H499</f>
        <v>5792.82500000002</v>
      </c>
      <c r="U500" s="149" t="n">
        <f aca="false">U499+'Volumes por intervalo'!J499</f>
        <v>19029.0720000001</v>
      </c>
      <c r="V500" s="149" t="n">
        <f aca="false">V499+'Volumes por intervalo'!K499</f>
        <v>24897.3800000001</v>
      </c>
      <c r="W500" s="149" t="n">
        <f aca="false">W499+'Volumes por intervalo'!L499</f>
        <v>39429.2700000001</v>
      </c>
      <c r="X500" s="149" t="n">
        <f aca="false">X499+'Volumes por intervalo'!M499</f>
        <v>117344.5</v>
      </c>
      <c r="Y500" s="149" t="n">
        <f aca="false">Y499+'Volumes por intervalo'!N499</f>
        <v>117344.5</v>
      </c>
      <c r="Z500" s="149" t="n">
        <f aca="false">Z499+'Volumes por intervalo'!O499</f>
        <v>134406.899999999</v>
      </c>
      <c r="AA500" s="149" t="n">
        <f aca="false">AA499+'Volumes por intervalo'!P499</f>
        <v>0</v>
      </c>
      <c r="AB500" s="149" t="n">
        <f aca="false">AB499+'Volumes por intervalo'!Q499</f>
        <v>0</v>
      </c>
      <c r="AC500" s="149" t="n">
        <f aca="false">AC499+'Volumes por intervalo'!R499</f>
        <v>0</v>
      </c>
      <c r="AD500" s="149" t="n">
        <f aca="false">AD499+'Volumes por intervalo'!S499</f>
        <v>0</v>
      </c>
    </row>
    <row r="501" customFormat="false" ht="15" hidden="false" customHeight="false" outlineLevel="0" collapsed="false">
      <c r="A501" s="138" t="s">
        <v>2167</v>
      </c>
      <c r="B501" s="146" t="n">
        <v>497</v>
      </c>
      <c r="C501" s="144" t="n">
        <v>9940</v>
      </c>
      <c r="D501" s="138" t="s">
        <v>1590</v>
      </c>
      <c r="E501" s="138" t="s">
        <v>1591</v>
      </c>
      <c r="F501" s="147" t="n">
        <v>13.5</v>
      </c>
      <c r="G501" s="148" t="n">
        <v>0</v>
      </c>
      <c r="H501" s="148" t="n">
        <v>0</v>
      </c>
      <c r="I501" s="138" t="s">
        <v>1642</v>
      </c>
      <c r="J501" s="138"/>
      <c r="K501" s="146" t="n">
        <f aca="false">Parâmetros!$C$4*(F501+2*Parâmetros!$D$4+Parâmetros!$C$4*Parâmetros!$E$4)</f>
        <v>0.6775</v>
      </c>
      <c r="L501" s="146" t="n">
        <f aca="false">Parâmetros!$C$5*(F501+2*Parâmetros!$D$5+Parâmetros!$C$5*Parâmetros!$E$5)</f>
        <v>2.2176</v>
      </c>
      <c r="M501" s="146" t="n">
        <f aca="false">Parâmetros!$C$6*(F501+2*Parâmetros!$D$6+Parâmetros!$C$6*Parâmetros!$E$6)</f>
        <v>2.884</v>
      </c>
      <c r="N501" s="146" t="n">
        <f aca="false">Parâmetros!$C$7*(F501+2*Parâmetros!$D$7+Parâmetros!$C$7*Parâmetros!$E$7)</f>
        <v>4.536</v>
      </c>
      <c r="O501" s="146" t="n">
        <f aca="false">F501+2*Parâmetros!$D$8</f>
        <v>13.7</v>
      </c>
      <c r="P501" s="146" t="n">
        <f aca="false">F501+2*Parâmetros!$D$10</f>
        <v>15.42</v>
      </c>
      <c r="Q501" s="146" t="n">
        <f aca="false">G501+H501</f>
        <v>0</v>
      </c>
      <c r="S501" s="149" t="n">
        <f aca="false">S500+'Volumes por intervalo'!C500*(F500+F501)/2</f>
        <v>115642.5</v>
      </c>
      <c r="T501" s="149" t="n">
        <f aca="false">T500+'Volumes por intervalo'!H500</f>
        <v>5806.97500000002</v>
      </c>
      <c r="U501" s="149" t="n">
        <f aca="false">U500+'Volumes por intervalo'!J500</f>
        <v>19075.3440000001</v>
      </c>
      <c r="V501" s="149" t="n">
        <f aca="false">V500+'Volumes por intervalo'!K500</f>
        <v>24957.4600000001</v>
      </c>
      <c r="W501" s="149" t="n">
        <f aca="false">W500+'Volumes por intervalo'!L500</f>
        <v>39523.5900000001</v>
      </c>
      <c r="X501" s="149" t="n">
        <f aca="false">X500+'Volumes por intervalo'!M500</f>
        <v>117630.5</v>
      </c>
      <c r="Y501" s="149" t="n">
        <f aca="false">Y500+'Volumes por intervalo'!N500</f>
        <v>117630.5</v>
      </c>
      <c r="Z501" s="149" t="n">
        <f aca="false">Z500+'Volumes por intervalo'!O500</f>
        <v>134727.299999999</v>
      </c>
      <c r="AA501" s="149" t="n">
        <f aca="false">AA500+'Volumes por intervalo'!P500</f>
        <v>0</v>
      </c>
      <c r="AB501" s="149" t="n">
        <f aca="false">AB500+'Volumes por intervalo'!Q500</f>
        <v>0</v>
      </c>
      <c r="AC501" s="149" t="n">
        <f aca="false">AC500+'Volumes por intervalo'!R500</f>
        <v>0</v>
      </c>
      <c r="AD501" s="149" t="n">
        <f aca="false">AD500+'Volumes por intervalo'!S500</f>
        <v>0</v>
      </c>
    </row>
    <row r="502" customFormat="false" ht="15" hidden="false" customHeight="false" outlineLevel="0" collapsed="false">
      <c r="A502" s="138" t="s">
        <v>2168</v>
      </c>
      <c r="B502" s="146" t="n">
        <v>498</v>
      </c>
      <c r="C502" s="144" t="n">
        <v>9960</v>
      </c>
      <c r="D502" s="138" t="s">
        <v>1590</v>
      </c>
      <c r="E502" s="138" t="s">
        <v>1591</v>
      </c>
      <c r="F502" s="147" t="n">
        <v>14.6</v>
      </c>
      <c r="G502" s="148" t="n">
        <v>0</v>
      </c>
      <c r="H502" s="148" t="n">
        <v>0</v>
      </c>
      <c r="I502" s="138" t="s">
        <v>1642</v>
      </c>
      <c r="J502" s="138"/>
      <c r="K502" s="146" t="n">
        <f aca="false">Parâmetros!$C$4*(F502+2*Parâmetros!$D$4+Parâmetros!$C$4*Parâmetros!$E$4)</f>
        <v>0.7325</v>
      </c>
      <c r="L502" s="146" t="n">
        <f aca="false">Parâmetros!$C$5*(F502+2*Parâmetros!$D$5+Parâmetros!$C$5*Parâmetros!$E$5)</f>
        <v>2.3936</v>
      </c>
      <c r="M502" s="146" t="n">
        <f aca="false">Parâmetros!$C$6*(F502+2*Parâmetros!$D$6+Parâmetros!$C$6*Parâmetros!$E$6)</f>
        <v>3.104</v>
      </c>
      <c r="N502" s="146" t="n">
        <f aca="false">Parâmetros!$C$7*(F502+2*Parâmetros!$D$7+Parâmetros!$C$7*Parâmetros!$E$7)</f>
        <v>4.866</v>
      </c>
      <c r="O502" s="146" t="n">
        <f aca="false">F502+2*Parâmetros!$D$8</f>
        <v>14.8</v>
      </c>
      <c r="P502" s="146" t="n">
        <f aca="false">F502+2*Parâmetros!$D$10</f>
        <v>16.52</v>
      </c>
      <c r="Q502" s="146" t="n">
        <f aca="false">G502+H502</f>
        <v>0</v>
      </c>
      <c r="S502" s="149" t="n">
        <f aca="false">S501+'Volumes por intervalo'!C501*(F501+F502)/2</f>
        <v>115923.5</v>
      </c>
      <c r="T502" s="149" t="n">
        <f aca="false">T501+'Volumes por intervalo'!H501</f>
        <v>5821.07500000002</v>
      </c>
      <c r="U502" s="149" t="n">
        <f aca="false">U501+'Volumes por intervalo'!J501</f>
        <v>19121.4560000001</v>
      </c>
      <c r="V502" s="149" t="n">
        <f aca="false">V501+'Volumes por intervalo'!K501</f>
        <v>25017.3400000001</v>
      </c>
      <c r="W502" s="149" t="n">
        <f aca="false">W501+'Volumes por intervalo'!L501</f>
        <v>39617.6100000001</v>
      </c>
      <c r="X502" s="149" t="n">
        <f aca="false">X501+'Volumes por intervalo'!M501</f>
        <v>117915.5</v>
      </c>
      <c r="Y502" s="149" t="n">
        <f aca="false">Y501+'Volumes por intervalo'!N501</f>
        <v>117915.5</v>
      </c>
      <c r="Z502" s="149" t="n">
        <f aca="false">Z501+'Volumes por intervalo'!O501</f>
        <v>135046.699999999</v>
      </c>
      <c r="AA502" s="149" t="n">
        <f aca="false">AA501+'Volumes por intervalo'!P501</f>
        <v>0</v>
      </c>
      <c r="AB502" s="149" t="n">
        <f aca="false">AB501+'Volumes por intervalo'!Q501</f>
        <v>0</v>
      </c>
      <c r="AC502" s="149" t="n">
        <f aca="false">AC501+'Volumes por intervalo'!R501</f>
        <v>0</v>
      </c>
      <c r="AD502" s="149" t="n">
        <f aca="false">AD501+'Volumes por intervalo'!S501</f>
        <v>0</v>
      </c>
    </row>
    <row r="503" customFormat="false" ht="15" hidden="false" customHeight="false" outlineLevel="0" collapsed="false">
      <c r="A503" s="138" t="s">
        <v>2169</v>
      </c>
      <c r="B503" s="146" t="n">
        <v>499</v>
      </c>
      <c r="C503" s="144" t="n">
        <v>9980</v>
      </c>
      <c r="D503" s="138" t="s">
        <v>1590</v>
      </c>
      <c r="E503" s="138" t="s">
        <v>1591</v>
      </c>
      <c r="F503" s="147" t="n">
        <v>15.8</v>
      </c>
      <c r="G503" s="148" t="n">
        <v>0</v>
      </c>
      <c r="H503" s="148" t="n">
        <v>0</v>
      </c>
      <c r="I503" s="138" t="s">
        <v>1642</v>
      </c>
      <c r="J503" s="138"/>
      <c r="K503" s="146" t="n">
        <f aca="false">Parâmetros!$C$4*(F503+2*Parâmetros!$D$4+Parâmetros!$C$4*Parâmetros!$E$4)</f>
        <v>0.7925</v>
      </c>
      <c r="L503" s="146" t="n">
        <f aca="false">Parâmetros!$C$5*(F503+2*Parâmetros!$D$5+Parâmetros!$C$5*Parâmetros!$E$5)</f>
        <v>2.5856</v>
      </c>
      <c r="M503" s="146" t="n">
        <f aca="false">Parâmetros!$C$6*(F503+2*Parâmetros!$D$6+Parâmetros!$C$6*Parâmetros!$E$6)</f>
        <v>3.344</v>
      </c>
      <c r="N503" s="146" t="n">
        <f aca="false">Parâmetros!$C$7*(F503+2*Parâmetros!$D$7+Parâmetros!$C$7*Parâmetros!$E$7)</f>
        <v>5.226</v>
      </c>
      <c r="O503" s="146" t="n">
        <f aca="false">F503+2*Parâmetros!$D$8</f>
        <v>16</v>
      </c>
      <c r="P503" s="146" t="n">
        <f aca="false">F503+2*Parâmetros!$D$10</f>
        <v>17.72</v>
      </c>
      <c r="Q503" s="146" t="n">
        <f aca="false">G503+H503</f>
        <v>0</v>
      </c>
      <c r="S503" s="149" t="n">
        <f aca="false">S502+'Volumes por intervalo'!C502*(F502+F503)/2</f>
        <v>116227.5</v>
      </c>
      <c r="T503" s="149" t="n">
        <f aca="false">T502+'Volumes por intervalo'!H502</f>
        <v>5836.32500000002</v>
      </c>
      <c r="U503" s="149" t="n">
        <f aca="false">U502+'Volumes por intervalo'!J502</f>
        <v>19171.2480000001</v>
      </c>
      <c r="V503" s="149" t="n">
        <f aca="false">V502+'Volumes por intervalo'!K502</f>
        <v>25081.8200000001</v>
      </c>
      <c r="W503" s="149" t="n">
        <f aca="false">W502+'Volumes por intervalo'!L502</f>
        <v>39718.5300000001</v>
      </c>
      <c r="X503" s="149" t="n">
        <f aca="false">X502+'Volumes por intervalo'!M502</f>
        <v>118223.5</v>
      </c>
      <c r="Y503" s="149" t="n">
        <f aca="false">Y502+'Volumes por intervalo'!N502</f>
        <v>118223.5</v>
      </c>
      <c r="Z503" s="149" t="n">
        <f aca="false">Z502+'Volumes por intervalo'!O502</f>
        <v>135389.099999999</v>
      </c>
      <c r="AA503" s="149" t="n">
        <f aca="false">AA502+'Volumes por intervalo'!P502</f>
        <v>0</v>
      </c>
      <c r="AB503" s="149" t="n">
        <f aca="false">AB502+'Volumes por intervalo'!Q502</f>
        <v>0</v>
      </c>
      <c r="AC503" s="149" t="n">
        <f aca="false">AC502+'Volumes por intervalo'!R502</f>
        <v>0</v>
      </c>
      <c r="AD503" s="149" t="n">
        <f aca="false">AD502+'Volumes por intervalo'!S502</f>
        <v>0</v>
      </c>
    </row>
    <row r="504" customFormat="false" ht="15" hidden="false" customHeight="false" outlineLevel="0" collapsed="false">
      <c r="A504" s="138" t="s">
        <v>2170</v>
      </c>
      <c r="B504" s="146" t="n">
        <v>500</v>
      </c>
      <c r="C504" s="144" t="n">
        <v>10000</v>
      </c>
      <c r="D504" s="138" t="s">
        <v>1590</v>
      </c>
      <c r="E504" s="138" t="s">
        <v>1591</v>
      </c>
      <c r="F504" s="147" t="n">
        <v>16</v>
      </c>
      <c r="G504" s="148" t="n">
        <v>0</v>
      </c>
      <c r="H504" s="148" t="n">
        <v>0</v>
      </c>
      <c r="I504" s="138" t="s">
        <v>1642</v>
      </c>
      <c r="J504" s="138"/>
      <c r="K504" s="146" t="n">
        <f aca="false">Parâmetros!$C$4*(F504+2*Parâmetros!$D$4+Parâmetros!$C$4*Parâmetros!$E$4)</f>
        <v>0.8025</v>
      </c>
      <c r="L504" s="146" t="n">
        <f aca="false">Parâmetros!$C$5*(F504+2*Parâmetros!$D$5+Parâmetros!$C$5*Parâmetros!$E$5)</f>
        <v>2.6176</v>
      </c>
      <c r="M504" s="146" t="n">
        <f aca="false">Parâmetros!$C$6*(F504+2*Parâmetros!$D$6+Parâmetros!$C$6*Parâmetros!$E$6)</f>
        <v>3.384</v>
      </c>
      <c r="N504" s="146" t="n">
        <f aca="false">Parâmetros!$C$7*(F504+2*Parâmetros!$D$7+Parâmetros!$C$7*Parâmetros!$E$7)</f>
        <v>5.286</v>
      </c>
      <c r="O504" s="146" t="n">
        <f aca="false">F504+2*Parâmetros!$D$8</f>
        <v>16.2</v>
      </c>
      <c r="P504" s="146" t="n">
        <f aca="false">F504+2*Parâmetros!$D$10</f>
        <v>17.92</v>
      </c>
      <c r="Q504" s="146" t="n">
        <f aca="false">G504+H504</f>
        <v>0</v>
      </c>
      <c r="S504" s="149" t="n">
        <f aca="false">S503+'Volumes por intervalo'!C503*(F503+F504)/2</f>
        <v>116545.5</v>
      </c>
      <c r="T504" s="149" t="n">
        <f aca="false">T503+'Volumes por intervalo'!H503</f>
        <v>5852.27500000002</v>
      </c>
      <c r="U504" s="149" t="n">
        <f aca="false">U503+'Volumes por intervalo'!J503</f>
        <v>19223.2800000001</v>
      </c>
      <c r="V504" s="149" t="n">
        <f aca="false">V503+'Volumes por intervalo'!K503</f>
        <v>25149.1000000001</v>
      </c>
      <c r="W504" s="149" t="n">
        <f aca="false">W503+'Volumes por intervalo'!L503</f>
        <v>39823.6500000001</v>
      </c>
      <c r="X504" s="149" t="n">
        <f aca="false">X503+'Volumes por intervalo'!M503</f>
        <v>118545.5</v>
      </c>
      <c r="Y504" s="149" t="n">
        <f aca="false">Y503+'Volumes por intervalo'!N503</f>
        <v>118545.5</v>
      </c>
      <c r="Z504" s="149" t="n">
        <f aca="false">Z503+'Volumes por intervalo'!O503</f>
        <v>135745.499999999</v>
      </c>
      <c r="AA504" s="149" t="n">
        <f aca="false">AA503+'Volumes por intervalo'!P503</f>
        <v>0</v>
      </c>
      <c r="AB504" s="149" t="n">
        <f aca="false">AB503+'Volumes por intervalo'!Q503</f>
        <v>0</v>
      </c>
      <c r="AC504" s="149" t="n">
        <f aca="false">AC503+'Volumes por intervalo'!R503</f>
        <v>0</v>
      </c>
      <c r="AD504" s="149" t="n">
        <f aca="false">AD503+'Volumes por intervalo'!S503</f>
        <v>0</v>
      </c>
    </row>
    <row r="505" customFormat="false" ht="15" hidden="false" customHeight="false" outlineLevel="0" collapsed="false">
      <c r="A505" s="138" t="s">
        <v>2171</v>
      </c>
      <c r="B505" s="146" t="n">
        <v>501</v>
      </c>
      <c r="C505" s="144" t="n">
        <v>10020</v>
      </c>
      <c r="D505" s="138" t="s">
        <v>1590</v>
      </c>
      <c r="E505" s="138" t="s">
        <v>1591</v>
      </c>
      <c r="F505" s="147" t="n">
        <v>15.5</v>
      </c>
      <c r="G505" s="148" t="n">
        <v>0</v>
      </c>
      <c r="H505" s="148" t="n">
        <v>0</v>
      </c>
      <c r="I505" s="138" t="s">
        <v>1642</v>
      </c>
      <c r="J505" s="138"/>
      <c r="K505" s="146" t="n">
        <f aca="false">Parâmetros!$C$4*(F505+2*Parâmetros!$D$4+Parâmetros!$C$4*Parâmetros!$E$4)</f>
        <v>0.7775</v>
      </c>
      <c r="L505" s="146" t="n">
        <f aca="false">Parâmetros!$C$5*(F505+2*Parâmetros!$D$5+Parâmetros!$C$5*Parâmetros!$E$5)</f>
        <v>2.5376</v>
      </c>
      <c r="M505" s="146" t="n">
        <f aca="false">Parâmetros!$C$6*(F505+2*Parâmetros!$D$6+Parâmetros!$C$6*Parâmetros!$E$6)</f>
        <v>3.284</v>
      </c>
      <c r="N505" s="146" t="n">
        <f aca="false">Parâmetros!$C$7*(F505+2*Parâmetros!$D$7+Parâmetros!$C$7*Parâmetros!$E$7)</f>
        <v>5.136</v>
      </c>
      <c r="O505" s="146" t="n">
        <f aca="false">F505+2*Parâmetros!$D$8</f>
        <v>15.7</v>
      </c>
      <c r="P505" s="146" t="n">
        <f aca="false">F505+2*Parâmetros!$D$10</f>
        <v>17.42</v>
      </c>
      <c r="Q505" s="146" t="n">
        <f aca="false">G505+H505</f>
        <v>0</v>
      </c>
      <c r="S505" s="149" t="n">
        <f aca="false">S504+'Volumes por intervalo'!C504*(F504+F505)/2</f>
        <v>116860.5</v>
      </c>
      <c r="T505" s="149" t="n">
        <f aca="false">T504+'Volumes por intervalo'!H504</f>
        <v>5868.07500000002</v>
      </c>
      <c r="U505" s="149" t="n">
        <f aca="false">U504+'Volumes por intervalo'!J504</f>
        <v>19274.8320000001</v>
      </c>
      <c r="V505" s="149" t="n">
        <f aca="false">V504+'Volumes por intervalo'!K504</f>
        <v>25215.7800000001</v>
      </c>
      <c r="W505" s="149" t="n">
        <f aca="false">W504+'Volumes por intervalo'!L504</f>
        <v>39927.8700000001</v>
      </c>
      <c r="X505" s="149" t="n">
        <f aca="false">X504+'Volumes por intervalo'!M504</f>
        <v>118864.5</v>
      </c>
      <c r="Y505" s="149" t="n">
        <f aca="false">Y504+'Volumes por intervalo'!N504</f>
        <v>118864.5</v>
      </c>
      <c r="Z505" s="149" t="n">
        <f aca="false">Z504+'Volumes por intervalo'!O504</f>
        <v>136098.899999999</v>
      </c>
      <c r="AA505" s="149" t="n">
        <f aca="false">AA504+'Volumes por intervalo'!P504</f>
        <v>0</v>
      </c>
      <c r="AB505" s="149" t="n">
        <f aca="false">AB504+'Volumes por intervalo'!Q504</f>
        <v>0</v>
      </c>
      <c r="AC505" s="149" t="n">
        <f aca="false">AC504+'Volumes por intervalo'!R504</f>
        <v>0</v>
      </c>
      <c r="AD505" s="149" t="n">
        <f aca="false">AD504+'Volumes por intervalo'!S504</f>
        <v>0</v>
      </c>
    </row>
    <row r="506" customFormat="false" ht="15" hidden="false" customHeight="false" outlineLevel="0" collapsed="false">
      <c r="A506" s="138" t="s">
        <v>2172</v>
      </c>
      <c r="B506" s="146" t="n">
        <v>502</v>
      </c>
      <c r="C506" s="144" t="n">
        <v>10040</v>
      </c>
      <c r="D506" s="138" t="s">
        <v>1590</v>
      </c>
      <c r="E506" s="138" t="s">
        <v>1591</v>
      </c>
      <c r="F506" s="147" t="n">
        <v>14.1</v>
      </c>
      <c r="G506" s="148" t="n">
        <v>0</v>
      </c>
      <c r="H506" s="148" t="n">
        <v>0</v>
      </c>
      <c r="I506" s="138" t="s">
        <v>1642</v>
      </c>
      <c r="J506" s="138"/>
      <c r="K506" s="146" t="n">
        <f aca="false">Parâmetros!$C$4*(F506+2*Parâmetros!$D$4+Parâmetros!$C$4*Parâmetros!$E$4)</f>
        <v>0.7075</v>
      </c>
      <c r="L506" s="146" t="n">
        <f aca="false">Parâmetros!$C$5*(F506+2*Parâmetros!$D$5+Parâmetros!$C$5*Parâmetros!$E$5)</f>
        <v>2.3136</v>
      </c>
      <c r="M506" s="146" t="n">
        <f aca="false">Parâmetros!$C$6*(F506+2*Parâmetros!$D$6+Parâmetros!$C$6*Parâmetros!$E$6)</f>
        <v>3.004</v>
      </c>
      <c r="N506" s="146" t="n">
        <f aca="false">Parâmetros!$C$7*(F506+2*Parâmetros!$D$7+Parâmetros!$C$7*Parâmetros!$E$7)</f>
        <v>4.716</v>
      </c>
      <c r="O506" s="146" t="n">
        <f aca="false">F506+2*Parâmetros!$D$8</f>
        <v>14.3</v>
      </c>
      <c r="P506" s="146" t="n">
        <f aca="false">F506+2*Parâmetros!$D$10</f>
        <v>16.02</v>
      </c>
      <c r="Q506" s="146" t="n">
        <f aca="false">G506+H506</f>
        <v>0</v>
      </c>
      <c r="S506" s="149" t="n">
        <f aca="false">S505+'Volumes por intervalo'!C505*(F505+F506)/2</f>
        <v>117156.5</v>
      </c>
      <c r="T506" s="149" t="n">
        <f aca="false">T505+'Volumes por intervalo'!H505</f>
        <v>5882.92500000002</v>
      </c>
      <c r="U506" s="149" t="n">
        <f aca="false">U505+'Volumes por intervalo'!J505</f>
        <v>19323.3440000001</v>
      </c>
      <c r="V506" s="149" t="n">
        <f aca="false">V505+'Volumes por intervalo'!K505</f>
        <v>25278.6600000001</v>
      </c>
      <c r="W506" s="149" t="n">
        <f aca="false">W505+'Volumes por intervalo'!L505</f>
        <v>40026.3900000001</v>
      </c>
      <c r="X506" s="149" t="n">
        <f aca="false">X505+'Volumes por intervalo'!M505</f>
        <v>119164.5</v>
      </c>
      <c r="Y506" s="149" t="n">
        <f aca="false">Y505+'Volumes por intervalo'!N505</f>
        <v>119164.5</v>
      </c>
      <c r="Z506" s="149" t="n">
        <f aca="false">Z505+'Volumes por intervalo'!O505</f>
        <v>136433.299999999</v>
      </c>
      <c r="AA506" s="149" t="n">
        <f aca="false">AA505+'Volumes por intervalo'!P505</f>
        <v>0</v>
      </c>
      <c r="AB506" s="149" t="n">
        <f aca="false">AB505+'Volumes por intervalo'!Q505</f>
        <v>0</v>
      </c>
      <c r="AC506" s="149" t="n">
        <f aca="false">AC505+'Volumes por intervalo'!R505</f>
        <v>0</v>
      </c>
      <c r="AD506" s="149" t="n">
        <f aca="false">AD505+'Volumes por intervalo'!S505</f>
        <v>0</v>
      </c>
    </row>
    <row r="507" customFormat="false" ht="15" hidden="false" customHeight="false" outlineLevel="0" collapsed="false">
      <c r="A507" s="138" t="s">
        <v>2173</v>
      </c>
      <c r="B507" s="146" t="n">
        <v>503</v>
      </c>
      <c r="C507" s="144" t="n">
        <v>10060</v>
      </c>
      <c r="D507" s="138" t="s">
        <v>1590</v>
      </c>
      <c r="E507" s="138" t="s">
        <v>1591</v>
      </c>
      <c r="F507" s="147" t="n">
        <v>13.5</v>
      </c>
      <c r="G507" s="148" t="n">
        <v>0</v>
      </c>
      <c r="H507" s="148" t="n">
        <v>0</v>
      </c>
      <c r="I507" s="138" t="s">
        <v>1642</v>
      </c>
      <c r="J507" s="138"/>
      <c r="K507" s="146" t="n">
        <f aca="false">Parâmetros!$C$4*(F507+2*Parâmetros!$D$4+Parâmetros!$C$4*Parâmetros!$E$4)</f>
        <v>0.6775</v>
      </c>
      <c r="L507" s="146" t="n">
        <f aca="false">Parâmetros!$C$5*(F507+2*Parâmetros!$D$5+Parâmetros!$C$5*Parâmetros!$E$5)</f>
        <v>2.2176</v>
      </c>
      <c r="M507" s="146" t="n">
        <f aca="false">Parâmetros!$C$6*(F507+2*Parâmetros!$D$6+Parâmetros!$C$6*Parâmetros!$E$6)</f>
        <v>2.884</v>
      </c>
      <c r="N507" s="146" t="n">
        <f aca="false">Parâmetros!$C$7*(F507+2*Parâmetros!$D$7+Parâmetros!$C$7*Parâmetros!$E$7)</f>
        <v>4.536</v>
      </c>
      <c r="O507" s="146" t="n">
        <f aca="false">F507+2*Parâmetros!$D$8</f>
        <v>13.7</v>
      </c>
      <c r="P507" s="146" t="n">
        <f aca="false">F507+2*Parâmetros!$D$10</f>
        <v>15.42</v>
      </c>
      <c r="Q507" s="146" t="n">
        <f aca="false">G507+H507</f>
        <v>0</v>
      </c>
      <c r="S507" s="149" t="n">
        <f aca="false">S506+'Volumes por intervalo'!C506*(F506+F507)/2</f>
        <v>117432.5</v>
      </c>
      <c r="T507" s="149" t="n">
        <f aca="false">T506+'Volumes por intervalo'!H506</f>
        <v>5896.77500000002</v>
      </c>
      <c r="U507" s="149" t="n">
        <f aca="false">U506+'Volumes por intervalo'!J506</f>
        <v>19368.6560000001</v>
      </c>
      <c r="V507" s="149" t="n">
        <f aca="false">V506+'Volumes por intervalo'!K506</f>
        <v>25337.5400000001</v>
      </c>
      <c r="W507" s="149" t="n">
        <f aca="false">W506+'Volumes por intervalo'!L506</f>
        <v>40118.9100000001</v>
      </c>
      <c r="X507" s="149" t="n">
        <f aca="false">X506+'Volumes por intervalo'!M506</f>
        <v>119444.5</v>
      </c>
      <c r="Y507" s="149" t="n">
        <f aca="false">Y506+'Volumes por intervalo'!N506</f>
        <v>119444.5</v>
      </c>
      <c r="Z507" s="149" t="n">
        <f aca="false">Z506+'Volumes por intervalo'!O506</f>
        <v>136747.699999999</v>
      </c>
      <c r="AA507" s="149" t="n">
        <f aca="false">AA506+'Volumes por intervalo'!P506</f>
        <v>0</v>
      </c>
      <c r="AB507" s="149" t="n">
        <f aca="false">AB506+'Volumes por intervalo'!Q506</f>
        <v>0</v>
      </c>
      <c r="AC507" s="149" t="n">
        <f aca="false">AC506+'Volumes por intervalo'!R506</f>
        <v>0</v>
      </c>
      <c r="AD507" s="149" t="n">
        <f aca="false">AD506+'Volumes por intervalo'!S506</f>
        <v>0</v>
      </c>
    </row>
    <row r="508" customFormat="false" ht="15" hidden="false" customHeight="false" outlineLevel="0" collapsed="false">
      <c r="A508" s="138" t="s">
        <v>2174</v>
      </c>
      <c r="B508" s="146" t="n">
        <v>504</v>
      </c>
      <c r="C508" s="144" t="n">
        <v>10080</v>
      </c>
      <c r="D508" s="138" t="s">
        <v>1590</v>
      </c>
      <c r="E508" s="138" t="s">
        <v>1591</v>
      </c>
      <c r="F508" s="147" t="n">
        <v>13.5</v>
      </c>
      <c r="G508" s="148" t="n">
        <v>0</v>
      </c>
      <c r="H508" s="148" t="n">
        <v>0</v>
      </c>
      <c r="I508" s="138" t="s">
        <v>1642</v>
      </c>
      <c r="J508" s="138"/>
      <c r="K508" s="146" t="n">
        <f aca="false">Parâmetros!$C$4*(F508+2*Parâmetros!$D$4+Parâmetros!$C$4*Parâmetros!$E$4)</f>
        <v>0.6775</v>
      </c>
      <c r="L508" s="146" t="n">
        <f aca="false">Parâmetros!$C$5*(F508+2*Parâmetros!$D$5+Parâmetros!$C$5*Parâmetros!$E$5)</f>
        <v>2.2176</v>
      </c>
      <c r="M508" s="146" t="n">
        <f aca="false">Parâmetros!$C$6*(F508+2*Parâmetros!$D$6+Parâmetros!$C$6*Parâmetros!$E$6)</f>
        <v>2.884</v>
      </c>
      <c r="N508" s="146" t="n">
        <f aca="false">Parâmetros!$C$7*(F508+2*Parâmetros!$D$7+Parâmetros!$C$7*Parâmetros!$E$7)</f>
        <v>4.536</v>
      </c>
      <c r="O508" s="146" t="n">
        <f aca="false">F508+2*Parâmetros!$D$8</f>
        <v>13.7</v>
      </c>
      <c r="P508" s="146" t="n">
        <f aca="false">F508+2*Parâmetros!$D$10</f>
        <v>15.42</v>
      </c>
      <c r="Q508" s="146" t="n">
        <f aca="false">G508+H508</f>
        <v>0</v>
      </c>
      <c r="S508" s="149" t="n">
        <f aca="false">S507+'Volumes por intervalo'!C507*(F507+F508)/2</f>
        <v>117702.5</v>
      </c>
      <c r="T508" s="149" t="n">
        <f aca="false">T507+'Volumes por intervalo'!H507</f>
        <v>5910.32500000002</v>
      </c>
      <c r="U508" s="149" t="n">
        <f aca="false">U507+'Volumes por intervalo'!J507</f>
        <v>19413.0080000001</v>
      </c>
      <c r="V508" s="149" t="n">
        <f aca="false">V507+'Volumes por intervalo'!K507</f>
        <v>25395.2200000001</v>
      </c>
      <c r="W508" s="149" t="n">
        <f aca="false">W507+'Volumes por intervalo'!L507</f>
        <v>40209.6300000001</v>
      </c>
      <c r="X508" s="149" t="n">
        <f aca="false">X507+'Volumes por intervalo'!M507</f>
        <v>119718.5</v>
      </c>
      <c r="Y508" s="149" t="n">
        <f aca="false">Y507+'Volumes por intervalo'!N507</f>
        <v>119718.5</v>
      </c>
      <c r="Z508" s="149" t="n">
        <f aca="false">Z507+'Volumes por intervalo'!O507</f>
        <v>137056.099999999</v>
      </c>
      <c r="AA508" s="149" t="n">
        <f aca="false">AA507+'Volumes por intervalo'!P507</f>
        <v>0</v>
      </c>
      <c r="AB508" s="149" t="n">
        <f aca="false">AB507+'Volumes por intervalo'!Q507</f>
        <v>0</v>
      </c>
      <c r="AC508" s="149" t="n">
        <f aca="false">AC507+'Volumes por intervalo'!R507</f>
        <v>0</v>
      </c>
      <c r="AD508" s="149" t="n">
        <f aca="false">AD507+'Volumes por intervalo'!S507</f>
        <v>0</v>
      </c>
    </row>
    <row r="509" customFormat="false" ht="15" hidden="false" customHeight="false" outlineLevel="0" collapsed="false">
      <c r="A509" s="138" t="s">
        <v>2175</v>
      </c>
      <c r="B509" s="146" t="n">
        <v>505</v>
      </c>
      <c r="C509" s="144" t="n">
        <v>10100</v>
      </c>
      <c r="D509" s="138" t="s">
        <v>1590</v>
      </c>
      <c r="E509" s="138" t="s">
        <v>1591</v>
      </c>
      <c r="F509" s="147" t="n">
        <v>13.5</v>
      </c>
      <c r="G509" s="148" t="n">
        <v>0</v>
      </c>
      <c r="H509" s="148" t="n">
        <v>0</v>
      </c>
      <c r="I509" s="138" t="s">
        <v>1642</v>
      </c>
      <c r="J509" s="138"/>
      <c r="K509" s="146" t="n">
        <f aca="false">Parâmetros!$C$4*(F509+2*Parâmetros!$D$4+Parâmetros!$C$4*Parâmetros!$E$4)</f>
        <v>0.6775</v>
      </c>
      <c r="L509" s="146" t="n">
        <f aca="false">Parâmetros!$C$5*(F509+2*Parâmetros!$D$5+Parâmetros!$C$5*Parâmetros!$E$5)</f>
        <v>2.2176</v>
      </c>
      <c r="M509" s="146" t="n">
        <f aca="false">Parâmetros!$C$6*(F509+2*Parâmetros!$D$6+Parâmetros!$C$6*Parâmetros!$E$6)</f>
        <v>2.884</v>
      </c>
      <c r="N509" s="146" t="n">
        <f aca="false">Parâmetros!$C$7*(F509+2*Parâmetros!$D$7+Parâmetros!$C$7*Parâmetros!$E$7)</f>
        <v>4.536</v>
      </c>
      <c r="O509" s="146" t="n">
        <f aca="false">F509+2*Parâmetros!$D$8</f>
        <v>13.7</v>
      </c>
      <c r="P509" s="146" t="n">
        <f aca="false">F509+2*Parâmetros!$D$10</f>
        <v>15.42</v>
      </c>
      <c r="Q509" s="146" t="n">
        <f aca="false">G509+H509</f>
        <v>0</v>
      </c>
      <c r="S509" s="149" t="n">
        <f aca="false">S508+'Volumes por intervalo'!C508*(F508+F509)/2</f>
        <v>117972.5</v>
      </c>
      <c r="T509" s="149" t="n">
        <f aca="false">T508+'Volumes por intervalo'!H508</f>
        <v>5923.87500000002</v>
      </c>
      <c r="U509" s="149" t="n">
        <f aca="false">U508+'Volumes por intervalo'!J508</f>
        <v>19457.3600000001</v>
      </c>
      <c r="V509" s="149" t="n">
        <f aca="false">V508+'Volumes por intervalo'!K508</f>
        <v>25452.9000000001</v>
      </c>
      <c r="W509" s="149" t="n">
        <f aca="false">W508+'Volumes por intervalo'!L508</f>
        <v>40300.3500000001</v>
      </c>
      <c r="X509" s="149" t="n">
        <f aca="false">X508+'Volumes por intervalo'!M508</f>
        <v>119992.5</v>
      </c>
      <c r="Y509" s="149" t="n">
        <f aca="false">Y508+'Volumes por intervalo'!N508</f>
        <v>119992.5</v>
      </c>
      <c r="Z509" s="149" t="n">
        <f aca="false">Z508+'Volumes por intervalo'!O508</f>
        <v>137364.499999999</v>
      </c>
      <c r="AA509" s="149" t="n">
        <f aca="false">AA508+'Volumes por intervalo'!P508</f>
        <v>0</v>
      </c>
      <c r="AB509" s="149" t="n">
        <f aca="false">AB508+'Volumes por intervalo'!Q508</f>
        <v>0</v>
      </c>
      <c r="AC509" s="149" t="n">
        <f aca="false">AC508+'Volumes por intervalo'!R508</f>
        <v>0</v>
      </c>
      <c r="AD509" s="149" t="n">
        <f aca="false">AD508+'Volumes por intervalo'!S508</f>
        <v>0</v>
      </c>
    </row>
    <row r="510" customFormat="false" ht="15" hidden="false" customHeight="false" outlineLevel="0" collapsed="false">
      <c r="A510" s="138" t="s">
        <v>2176</v>
      </c>
      <c r="B510" s="146" t="n">
        <v>506</v>
      </c>
      <c r="C510" s="144" t="n">
        <v>10120</v>
      </c>
      <c r="D510" s="138" t="s">
        <v>1590</v>
      </c>
      <c r="E510" s="138" t="s">
        <v>1591</v>
      </c>
      <c r="F510" s="147" t="n">
        <v>13.5</v>
      </c>
      <c r="G510" s="148" t="n">
        <v>0</v>
      </c>
      <c r="H510" s="148" t="n">
        <v>0</v>
      </c>
      <c r="I510" s="138" t="s">
        <v>1642</v>
      </c>
      <c r="J510" s="138"/>
      <c r="K510" s="146" t="n">
        <f aca="false">Parâmetros!$C$4*(F510+2*Parâmetros!$D$4+Parâmetros!$C$4*Parâmetros!$E$4)</f>
        <v>0.6775</v>
      </c>
      <c r="L510" s="146" t="n">
        <f aca="false">Parâmetros!$C$5*(F510+2*Parâmetros!$D$5+Parâmetros!$C$5*Parâmetros!$E$5)</f>
        <v>2.2176</v>
      </c>
      <c r="M510" s="146" t="n">
        <f aca="false">Parâmetros!$C$6*(F510+2*Parâmetros!$D$6+Parâmetros!$C$6*Parâmetros!$E$6)</f>
        <v>2.884</v>
      </c>
      <c r="N510" s="146" t="n">
        <f aca="false">Parâmetros!$C$7*(F510+2*Parâmetros!$D$7+Parâmetros!$C$7*Parâmetros!$E$7)</f>
        <v>4.536</v>
      </c>
      <c r="O510" s="146" t="n">
        <f aca="false">F510+2*Parâmetros!$D$8</f>
        <v>13.7</v>
      </c>
      <c r="P510" s="146" t="n">
        <f aca="false">F510+2*Parâmetros!$D$10</f>
        <v>15.42</v>
      </c>
      <c r="Q510" s="146" t="n">
        <f aca="false">G510+H510</f>
        <v>0</v>
      </c>
      <c r="S510" s="149" t="n">
        <f aca="false">S509+'Volumes por intervalo'!C509*(F509+F510)/2</f>
        <v>118242.5</v>
      </c>
      <c r="T510" s="149" t="n">
        <f aca="false">T509+'Volumes por intervalo'!H509</f>
        <v>5937.42500000002</v>
      </c>
      <c r="U510" s="149" t="n">
        <f aca="false">U509+'Volumes por intervalo'!J509</f>
        <v>19501.7120000001</v>
      </c>
      <c r="V510" s="149" t="n">
        <f aca="false">V509+'Volumes por intervalo'!K509</f>
        <v>25510.5800000001</v>
      </c>
      <c r="W510" s="149" t="n">
        <f aca="false">W509+'Volumes por intervalo'!L509</f>
        <v>40391.0700000001</v>
      </c>
      <c r="X510" s="149" t="n">
        <f aca="false">X509+'Volumes por intervalo'!M509</f>
        <v>120266.5</v>
      </c>
      <c r="Y510" s="149" t="n">
        <f aca="false">Y509+'Volumes por intervalo'!N509</f>
        <v>120266.5</v>
      </c>
      <c r="Z510" s="149" t="n">
        <f aca="false">Z509+'Volumes por intervalo'!O509</f>
        <v>137672.899999999</v>
      </c>
      <c r="AA510" s="149" t="n">
        <f aca="false">AA509+'Volumes por intervalo'!P509</f>
        <v>0</v>
      </c>
      <c r="AB510" s="149" t="n">
        <f aca="false">AB509+'Volumes por intervalo'!Q509</f>
        <v>0</v>
      </c>
      <c r="AC510" s="149" t="n">
        <f aca="false">AC509+'Volumes por intervalo'!R509</f>
        <v>0</v>
      </c>
      <c r="AD510" s="149" t="n">
        <f aca="false">AD509+'Volumes por intervalo'!S509</f>
        <v>0</v>
      </c>
    </row>
    <row r="511" customFormat="false" ht="15" hidden="false" customHeight="false" outlineLevel="0" collapsed="false">
      <c r="A511" s="138" t="s">
        <v>2177</v>
      </c>
      <c r="B511" s="146" t="n">
        <v>507</v>
      </c>
      <c r="C511" s="144" t="n">
        <v>10140</v>
      </c>
      <c r="D511" s="138" t="s">
        <v>1590</v>
      </c>
      <c r="E511" s="138" t="s">
        <v>1591</v>
      </c>
      <c r="F511" s="147" t="n">
        <v>13.5</v>
      </c>
      <c r="G511" s="148" t="n">
        <v>0</v>
      </c>
      <c r="H511" s="148" t="n">
        <v>0</v>
      </c>
      <c r="I511" s="138" t="s">
        <v>1642</v>
      </c>
      <c r="J511" s="138"/>
      <c r="K511" s="146" t="n">
        <f aca="false">Parâmetros!$C$4*(F511+2*Parâmetros!$D$4+Parâmetros!$C$4*Parâmetros!$E$4)</f>
        <v>0.6775</v>
      </c>
      <c r="L511" s="146" t="n">
        <f aca="false">Parâmetros!$C$5*(F511+2*Parâmetros!$D$5+Parâmetros!$C$5*Parâmetros!$E$5)</f>
        <v>2.2176</v>
      </c>
      <c r="M511" s="146" t="n">
        <f aca="false">Parâmetros!$C$6*(F511+2*Parâmetros!$D$6+Parâmetros!$C$6*Parâmetros!$E$6)</f>
        <v>2.884</v>
      </c>
      <c r="N511" s="146" t="n">
        <f aca="false">Parâmetros!$C$7*(F511+2*Parâmetros!$D$7+Parâmetros!$C$7*Parâmetros!$E$7)</f>
        <v>4.536</v>
      </c>
      <c r="O511" s="146" t="n">
        <f aca="false">F511+2*Parâmetros!$D$8</f>
        <v>13.7</v>
      </c>
      <c r="P511" s="146" t="n">
        <f aca="false">F511+2*Parâmetros!$D$10</f>
        <v>15.42</v>
      </c>
      <c r="Q511" s="146" t="n">
        <f aca="false">G511+H511</f>
        <v>0</v>
      </c>
      <c r="S511" s="149" t="n">
        <f aca="false">S510+'Volumes por intervalo'!C510*(F510+F511)/2</f>
        <v>118512.5</v>
      </c>
      <c r="T511" s="149" t="n">
        <f aca="false">T510+'Volumes por intervalo'!H510</f>
        <v>5950.97500000002</v>
      </c>
      <c r="U511" s="149" t="n">
        <f aca="false">U510+'Volumes por intervalo'!J510</f>
        <v>19546.0640000001</v>
      </c>
      <c r="V511" s="149" t="n">
        <f aca="false">V510+'Volumes por intervalo'!K510</f>
        <v>25568.2600000001</v>
      </c>
      <c r="W511" s="149" t="n">
        <f aca="false">W510+'Volumes por intervalo'!L510</f>
        <v>40481.7900000001</v>
      </c>
      <c r="X511" s="149" t="n">
        <f aca="false">X510+'Volumes por intervalo'!M510</f>
        <v>120540.5</v>
      </c>
      <c r="Y511" s="149" t="n">
        <f aca="false">Y510+'Volumes por intervalo'!N510</f>
        <v>120540.5</v>
      </c>
      <c r="Z511" s="149" t="n">
        <f aca="false">Z510+'Volumes por intervalo'!O510</f>
        <v>137981.299999999</v>
      </c>
      <c r="AA511" s="149" t="n">
        <f aca="false">AA510+'Volumes por intervalo'!P510</f>
        <v>0</v>
      </c>
      <c r="AB511" s="149" t="n">
        <f aca="false">AB510+'Volumes por intervalo'!Q510</f>
        <v>0</v>
      </c>
      <c r="AC511" s="149" t="n">
        <f aca="false">AC510+'Volumes por intervalo'!R510</f>
        <v>0</v>
      </c>
      <c r="AD511" s="149" t="n">
        <f aca="false">AD510+'Volumes por intervalo'!S510</f>
        <v>0</v>
      </c>
    </row>
    <row r="512" customFormat="false" ht="15" hidden="false" customHeight="false" outlineLevel="0" collapsed="false">
      <c r="A512" s="138" t="s">
        <v>2178</v>
      </c>
      <c r="B512" s="146" t="n">
        <v>508</v>
      </c>
      <c r="C512" s="144" t="n">
        <v>10160</v>
      </c>
      <c r="D512" s="138" t="s">
        <v>1590</v>
      </c>
      <c r="E512" s="138" t="s">
        <v>1591</v>
      </c>
      <c r="F512" s="147" t="n">
        <v>13.5</v>
      </c>
      <c r="G512" s="148" t="n">
        <v>0</v>
      </c>
      <c r="H512" s="148" t="n">
        <v>0</v>
      </c>
      <c r="I512" s="138" t="s">
        <v>1642</v>
      </c>
      <c r="J512" s="138"/>
      <c r="K512" s="146" t="n">
        <f aca="false">Parâmetros!$C$4*(F512+2*Parâmetros!$D$4+Parâmetros!$C$4*Parâmetros!$E$4)</f>
        <v>0.6775</v>
      </c>
      <c r="L512" s="146" t="n">
        <f aca="false">Parâmetros!$C$5*(F512+2*Parâmetros!$D$5+Parâmetros!$C$5*Parâmetros!$E$5)</f>
        <v>2.2176</v>
      </c>
      <c r="M512" s="146" t="n">
        <f aca="false">Parâmetros!$C$6*(F512+2*Parâmetros!$D$6+Parâmetros!$C$6*Parâmetros!$E$6)</f>
        <v>2.884</v>
      </c>
      <c r="N512" s="146" t="n">
        <f aca="false">Parâmetros!$C$7*(F512+2*Parâmetros!$D$7+Parâmetros!$C$7*Parâmetros!$E$7)</f>
        <v>4.536</v>
      </c>
      <c r="O512" s="146" t="n">
        <f aca="false">F512+2*Parâmetros!$D$8</f>
        <v>13.7</v>
      </c>
      <c r="P512" s="146" t="n">
        <f aca="false">F512+2*Parâmetros!$D$10</f>
        <v>15.42</v>
      </c>
      <c r="Q512" s="146" t="n">
        <f aca="false">G512+H512</f>
        <v>0</v>
      </c>
      <c r="S512" s="149" t="n">
        <f aca="false">S511+'Volumes por intervalo'!C511*(F511+F512)/2</f>
        <v>118782.5</v>
      </c>
      <c r="T512" s="149" t="n">
        <f aca="false">T511+'Volumes por intervalo'!H511</f>
        <v>5964.52500000002</v>
      </c>
      <c r="U512" s="149" t="n">
        <f aca="false">U511+'Volumes por intervalo'!J511</f>
        <v>19590.4160000001</v>
      </c>
      <c r="V512" s="149" t="n">
        <f aca="false">V511+'Volumes por intervalo'!K511</f>
        <v>25625.9400000001</v>
      </c>
      <c r="W512" s="149" t="n">
        <f aca="false">W511+'Volumes por intervalo'!L511</f>
        <v>40572.5100000001</v>
      </c>
      <c r="X512" s="149" t="n">
        <f aca="false">X511+'Volumes por intervalo'!M511</f>
        <v>120814.5</v>
      </c>
      <c r="Y512" s="149" t="n">
        <f aca="false">Y511+'Volumes por intervalo'!N511</f>
        <v>120814.5</v>
      </c>
      <c r="Z512" s="149" t="n">
        <f aca="false">Z511+'Volumes por intervalo'!O511</f>
        <v>138289.699999999</v>
      </c>
      <c r="AA512" s="149" t="n">
        <f aca="false">AA511+'Volumes por intervalo'!P511</f>
        <v>0</v>
      </c>
      <c r="AB512" s="149" t="n">
        <f aca="false">AB511+'Volumes por intervalo'!Q511</f>
        <v>0</v>
      </c>
      <c r="AC512" s="149" t="n">
        <f aca="false">AC511+'Volumes por intervalo'!R511</f>
        <v>0</v>
      </c>
      <c r="AD512" s="149" t="n">
        <f aca="false">AD511+'Volumes por intervalo'!S511</f>
        <v>0</v>
      </c>
    </row>
    <row r="513" customFormat="false" ht="15" hidden="false" customHeight="false" outlineLevel="0" collapsed="false">
      <c r="A513" s="138" t="s">
        <v>2179</v>
      </c>
      <c r="B513" s="146" t="n">
        <v>509</v>
      </c>
      <c r="C513" s="144" t="n">
        <v>10180</v>
      </c>
      <c r="D513" s="138" t="s">
        <v>1590</v>
      </c>
      <c r="E513" s="138" t="s">
        <v>1591</v>
      </c>
      <c r="F513" s="147" t="n">
        <v>13.6</v>
      </c>
      <c r="G513" s="148" t="n">
        <v>0</v>
      </c>
      <c r="H513" s="148" t="n">
        <v>0</v>
      </c>
      <c r="I513" s="138" t="s">
        <v>1642</v>
      </c>
      <c r="J513" s="138"/>
      <c r="K513" s="146" t="n">
        <f aca="false">Parâmetros!$C$4*(F513+2*Parâmetros!$D$4+Parâmetros!$C$4*Parâmetros!$E$4)</f>
        <v>0.6825</v>
      </c>
      <c r="L513" s="146" t="n">
        <f aca="false">Parâmetros!$C$5*(F513+2*Parâmetros!$D$5+Parâmetros!$C$5*Parâmetros!$E$5)</f>
        <v>2.2336</v>
      </c>
      <c r="M513" s="146" t="n">
        <f aca="false">Parâmetros!$C$6*(F513+2*Parâmetros!$D$6+Parâmetros!$C$6*Parâmetros!$E$6)</f>
        <v>2.904</v>
      </c>
      <c r="N513" s="146" t="n">
        <f aca="false">Parâmetros!$C$7*(F513+2*Parâmetros!$D$7+Parâmetros!$C$7*Parâmetros!$E$7)</f>
        <v>4.566</v>
      </c>
      <c r="O513" s="146" t="n">
        <f aca="false">F513+2*Parâmetros!$D$8</f>
        <v>13.8</v>
      </c>
      <c r="P513" s="146" t="n">
        <f aca="false">F513+2*Parâmetros!$D$10</f>
        <v>15.52</v>
      </c>
      <c r="Q513" s="146" t="n">
        <f aca="false">G513+H513</f>
        <v>0</v>
      </c>
      <c r="S513" s="149" t="n">
        <f aca="false">S512+'Volumes por intervalo'!C512*(F512+F513)/2</f>
        <v>119053.5</v>
      </c>
      <c r="T513" s="149" t="n">
        <f aca="false">T512+'Volumes por intervalo'!H512</f>
        <v>5978.12500000002</v>
      </c>
      <c r="U513" s="149" t="n">
        <f aca="false">U512+'Volumes por intervalo'!J512</f>
        <v>19634.9280000001</v>
      </c>
      <c r="V513" s="149" t="n">
        <f aca="false">V512+'Volumes por intervalo'!K512</f>
        <v>25683.8200000001</v>
      </c>
      <c r="W513" s="149" t="n">
        <f aca="false">W512+'Volumes por intervalo'!L512</f>
        <v>40663.5300000001</v>
      </c>
      <c r="X513" s="149" t="n">
        <f aca="false">X512+'Volumes por intervalo'!M512</f>
        <v>121089.5</v>
      </c>
      <c r="Y513" s="149" t="n">
        <f aca="false">Y512+'Volumes por intervalo'!N512</f>
        <v>121089.5</v>
      </c>
      <c r="Z513" s="149" t="n">
        <f aca="false">Z512+'Volumes por intervalo'!O512</f>
        <v>138599.099999999</v>
      </c>
      <c r="AA513" s="149" t="n">
        <f aca="false">AA512+'Volumes por intervalo'!P512</f>
        <v>0</v>
      </c>
      <c r="AB513" s="149" t="n">
        <f aca="false">AB512+'Volumes por intervalo'!Q512</f>
        <v>0</v>
      </c>
      <c r="AC513" s="149" t="n">
        <f aca="false">AC512+'Volumes por intervalo'!R512</f>
        <v>0</v>
      </c>
      <c r="AD513" s="149" t="n">
        <f aca="false">AD512+'Volumes por intervalo'!S512</f>
        <v>0</v>
      </c>
    </row>
    <row r="514" customFormat="false" ht="15" hidden="false" customHeight="false" outlineLevel="0" collapsed="false">
      <c r="A514" s="138" t="s">
        <v>2180</v>
      </c>
      <c r="B514" s="146" t="n">
        <v>510</v>
      </c>
      <c r="C514" s="144" t="n">
        <v>10200</v>
      </c>
      <c r="D514" s="138" t="s">
        <v>1590</v>
      </c>
      <c r="E514" s="138" t="s">
        <v>1591</v>
      </c>
      <c r="F514" s="147" t="n">
        <v>13.6</v>
      </c>
      <c r="G514" s="148" t="n">
        <v>0</v>
      </c>
      <c r="H514" s="148" t="n">
        <v>0</v>
      </c>
      <c r="I514" s="138" t="s">
        <v>1856</v>
      </c>
      <c r="J514" s="138" t="s">
        <v>2181</v>
      </c>
      <c r="K514" s="146" t="n">
        <f aca="false">Parâmetros!$C$4*(F514+2*Parâmetros!$D$4+Parâmetros!$C$4*Parâmetros!$E$4)</f>
        <v>0.6825</v>
      </c>
      <c r="L514" s="146" t="n">
        <f aca="false">Parâmetros!$C$5*(F514+2*Parâmetros!$D$5+Parâmetros!$C$5*Parâmetros!$E$5)</f>
        <v>2.2336</v>
      </c>
      <c r="M514" s="146" t="n">
        <f aca="false">Parâmetros!$C$6*(F514+2*Parâmetros!$D$6+Parâmetros!$C$6*Parâmetros!$E$6)</f>
        <v>2.904</v>
      </c>
      <c r="N514" s="146" t="n">
        <f aca="false">Parâmetros!$C$7*(F514+2*Parâmetros!$D$7+Parâmetros!$C$7*Parâmetros!$E$7)</f>
        <v>4.566</v>
      </c>
      <c r="O514" s="146" t="n">
        <f aca="false">F514+2*Parâmetros!$D$8</f>
        <v>13.8</v>
      </c>
      <c r="P514" s="146" t="n">
        <f aca="false">F514+2*Parâmetros!$D$10</f>
        <v>15.52</v>
      </c>
      <c r="Q514" s="146" t="n">
        <f aca="false">G514+H514</f>
        <v>0</v>
      </c>
      <c r="S514" s="149" t="n">
        <f aca="false">S513+'Volumes por intervalo'!C513*(F513+F514)/2</f>
        <v>119325.5</v>
      </c>
      <c r="T514" s="149" t="n">
        <f aca="false">T513+'Volumes por intervalo'!H513</f>
        <v>5991.77500000002</v>
      </c>
      <c r="U514" s="149" t="n">
        <f aca="false">U513+'Volumes por intervalo'!J513</f>
        <v>19679.6000000001</v>
      </c>
      <c r="V514" s="149" t="n">
        <f aca="false">V513+'Volumes por intervalo'!K513</f>
        <v>25741.9000000001</v>
      </c>
      <c r="W514" s="149" t="n">
        <f aca="false">W513+'Volumes por intervalo'!L513</f>
        <v>40754.8500000001</v>
      </c>
      <c r="X514" s="149" t="n">
        <f aca="false">X513+'Volumes por intervalo'!M513</f>
        <v>121365.5</v>
      </c>
      <c r="Y514" s="149" t="n">
        <f aca="false">Y513+'Volumes por intervalo'!N513</f>
        <v>121365.5</v>
      </c>
      <c r="Z514" s="149" t="n">
        <f aca="false">Z513+'Volumes por intervalo'!O513</f>
        <v>138909.499999999</v>
      </c>
      <c r="AA514" s="149" t="n">
        <f aca="false">AA513+'Volumes por intervalo'!P513</f>
        <v>0</v>
      </c>
      <c r="AB514" s="149" t="n">
        <f aca="false">AB513+'Volumes por intervalo'!Q513</f>
        <v>0</v>
      </c>
      <c r="AC514" s="149" t="n">
        <f aca="false">AC513+'Volumes por intervalo'!R513</f>
        <v>0</v>
      </c>
      <c r="AD514" s="149" t="n">
        <f aca="false">AD513+'Volumes por intervalo'!S513</f>
        <v>0</v>
      </c>
    </row>
    <row r="515" customFormat="false" ht="15" hidden="false" customHeight="false" outlineLevel="0" collapsed="false">
      <c r="A515" s="138" t="s">
        <v>2182</v>
      </c>
      <c r="B515" s="146" t="n">
        <v>511</v>
      </c>
      <c r="C515" s="144" t="n">
        <v>10220</v>
      </c>
      <c r="D515" s="138" t="s">
        <v>1590</v>
      </c>
      <c r="E515" s="138" t="s">
        <v>1591</v>
      </c>
      <c r="F515" s="147" t="n">
        <v>13.5</v>
      </c>
      <c r="G515" s="148" t="n">
        <v>0</v>
      </c>
      <c r="H515" s="148" t="n">
        <v>0</v>
      </c>
      <c r="I515" s="138" t="s">
        <v>1642</v>
      </c>
      <c r="J515" s="138"/>
      <c r="K515" s="146" t="n">
        <f aca="false">Parâmetros!$C$4*(F515+2*Parâmetros!$D$4+Parâmetros!$C$4*Parâmetros!$E$4)</f>
        <v>0.6775</v>
      </c>
      <c r="L515" s="146" t="n">
        <f aca="false">Parâmetros!$C$5*(F515+2*Parâmetros!$D$5+Parâmetros!$C$5*Parâmetros!$E$5)</f>
        <v>2.2176</v>
      </c>
      <c r="M515" s="146" t="n">
        <f aca="false">Parâmetros!$C$6*(F515+2*Parâmetros!$D$6+Parâmetros!$C$6*Parâmetros!$E$6)</f>
        <v>2.884</v>
      </c>
      <c r="N515" s="146" t="n">
        <f aca="false">Parâmetros!$C$7*(F515+2*Parâmetros!$D$7+Parâmetros!$C$7*Parâmetros!$E$7)</f>
        <v>4.536</v>
      </c>
      <c r="O515" s="146" t="n">
        <f aca="false">F515+2*Parâmetros!$D$8</f>
        <v>13.7</v>
      </c>
      <c r="P515" s="146" t="n">
        <f aca="false">F515+2*Parâmetros!$D$10</f>
        <v>15.42</v>
      </c>
      <c r="Q515" s="146" t="n">
        <f aca="false">G515+H515</f>
        <v>0</v>
      </c>
      <c r="S515" s="149" t="n">
        <f aca="false">S514+'Volumes por intervalo'!C514*(F514+F515)/2</f>
        <v>119596.5</v>
      </c>
      <c r="T515" s="149" t="n">
        <f aca="false">T514+'Volumes por intervalo'!H514</f>
        <v>6005.37500000002</v>
      </c>
      <c r="U515" s="149" t="n">
        <f aca="false">U514+'Volumes por intervalo'!J514</f>
        <v>19724.1120000001</v>
      </c>
      <c r="V515" s="149" t="n">
        <f aca="false">V514+'Volumes por intervalo'!K514</f>
        <v>25799.7800000001</v>
      </c>
      <c r="W515" s="149" t="n">
        <f aca="false">W514+'Volumes por intervalo'!L514</f>
        <v>40845.8700000001</v>
      </c>
      <c r="X515" s="149" t="n">
        <f aca="false">X514+'Volumes por intervalo'!M514</f>
        <v>121640.5</v>
      </c>
      <c r="Y515" s="149" t="n">
        <f aca="false">Y514+'Volumes por intervalo'!N514</f>
        <v>121640.5</v>
      </c>
      <c r="Z515" s="149" t="n">
        <f aca="false">Z514+'Volumes por intervalo'!O514</f>
        <v>139218.899999999</v>
      </c>
      <c r="AA515" s="149" t="n">
        <f aca="false">AA514+'Volumes por intervalo'!P514</f>
        <v>0</v>
      </c>
      <c r="AB515" s="149" t="n">
        <f aca="false">AB514+'Volumes por intervalo'!Q514</f>
        <v>0</v>
      </c>
      <c r="AC515" s="149" t="n">
        <f aca="false">AC514+'Volumes por intervalo'!R514</f>
        <v>0</v>
      </c>
      <c r="AD515" s="149" t="n">
        <f aca="false">AD514+'Volumes por intervalo'!S514</f>
        <v>0</v>
      </c>
    </row>
    <row r="516" customFormat="false" ht="15" hidden="false" customHeight="false" outlineLevel="0" collapsed="false">
      <c r="A516" s="138" t="s">
        <v>2183</v>
      </c>
      <c r="B516" s="146" t="n">
        <v>512</v>
      </c>
      <c r="C516" s="144" t="n">
        <v>10240</v>
      </c>
      <c r="D516" s="138" t="s">
        <v>1590</v>
      </c>
      <c r="E516" s="138" t="s">
        <v>1591</v>
      </c>
      <c r="F516" s="147" t="n">
        <v>13.5</v>
      </c>
      <c r="G516" s="148" t="n">
        <v>0</v>
      </c>
      <c r="H516" s="148" t="n">
        <v>0</v>
      </c>
      <c r="I516" s="138" t="s">
        <v>1642</v>
      </c>
      <c r="J516" s="138"/>
      <c r="K516" s="146" t="n">
        <f aca="false">Parâmetros!$C$4*(F516+2*Parâmetros!$D$4+Parâmetros!$C$4*Parâmetros!$E$4)</f>
        <v>0.6775</v>
      </c>
      <c r="L516" s="146" t="n">
        <f aca="false">Parâmetros!$C$5*(F516+2*Parâmetros!$D$5+Parâmetros!$C$5*Parâmetros!$E$5)</f>
        <v>2.2176</v>
      </c>
      <c r="M516" s="146" t="n">
        <f aca="false">Parâmetros!$C$6*(F516+2*Parâmetros!$D$6+Parâmetros!$C$6*Parâmetros!$E$6)</f>
        <v>2.884</v>
      </c>
      <c r="N516" s="146" t="n">
        <f aca="false">Parâmetros!$C$7*(F516+2*Parâmetros!$D$7+Parâmetros!$C$7*Parâmetros!$E$7)</f>
        <v>4.536</v>
      </c>
      <c r="O516" s="146" t="n">
        <f aca="false">F516+2*Parâmetros!$D$8</f>
        <v>13.7</v>
      </c>
      <c r="P516" s="146" t="n">
        <f aca="false">F516+2*Parâmetros!$D$10</f>
        <v>15.42</v>
      </c>
      <c r="Q516" s="146" t="n">
        <f aca="false">G516+H516</f>
        <v>0</v>
      </c>
      <c r="S516" s="149" t="n">
        <f aca="false">S515+'Volumes por intervalo'!C515*(F515+F516)/2</f>
        <v>119866.5</v>
      </c>
      <c r="T516" s="149" t="n">
        <f aca="false">T515+'Volumes por intervalo'!H515</f>
        <v>6018.92500000002</v>
      </c>
      <c r="U516" s="149" t="n">
        <f aca="false">U515+'Volumes por intervalo'!J515</f>
        <v>19768.4640000001</v>
      </c>
      <c r="V516" s="149" t="n">
        <f aca="false">V515+'Volumes por intervalo'!K515</f>
        <v>25857.4600000001</v>
      </c>
      <c r="W516" s="149" t="n">
        <f aca="false">W515+'Volumes por intervalo'!L515</f>
        <v>40936.5900000001</v>
      </c>
      <c r="X516" s="149" t="n">
        <f aca="false">X515+'Volumes por intervalo'!M515</f>
        <v>121914.5</v>
      </c>
      <c r="Y516" s="149" t="n">
        <f aca="false">Y515+'Volumes por intervalo'!N515</f>
        <v>121914.5</v>
      </c>
      <c r="Z516" s="149" t="n">
        <f aca="false">Z515+'Volumes por intervalo'!O515</f>
        <v>139527.299999999</v>
      </c>
      <c r="AA516" s="149" t="n">
        <f aca="false">AA515+'Volumes por intervalo'!P515</f>
        <v>0</v>
      </c>
      <c r="AB516" s="149" t="n">
        <f aca="false">AB515+'Volumes por intervalo'!Q515</f>
        <v>0</v>
      </c>
      <c r="AC516" s="149" t="n">
        <f aca="false">AC515+'Volumes por intervalo'!R515</f>
        <v>0</v>
      </c>
      <c r="AD516" s="149" t="n">
        <f aca="false">AD515+'Volumes por intervalo'!S515</f>
        <v>0</v>
      </c>
    </row>
    <row r="517" customFormat="false" ht="15" hidden="false" customHeight="false" outlineLevel="0" collapsed="false">
      <c r="A517" s="138" t="s">
        <v>2184</v>
      </c>
      <c r="B517" s="146" t="n">
        <v>513</v>
      </c>
      <c r="C517" s="144" t="n">
        <v>10260</v>
      </c>
      <c r="D517" s="138" t="s">
        <v>1590</v>
      </c>
      <c r="E517" s="138" t="s">
        <v>1591</v>
      </c>
      <c r="F517" s="147" t="n">
        <v>13.5</v>
      </c>
      <c r="G517" s="148" t="n">
        <v>0</v>
      </c>
      <c r="H517" s="148" t="n">
        <v>0</v>
      </c>
      <c r="I517" s="138" t="s">
        <v>1642</v>
      </c>
      <c r="J517" s="138"/>
      <c r="K517" s="146" t="n">
        <f aca="false">Parâmetros!$C$4*(F517+2*Parâmetros!$D$4+Parâmetros!$C$4*Parâmetros!$E$4)</f>
        <v>0.6775</v>
      </c>
      <c r="L517" s="146" t="n">
        <f aca="false">Parâmetros!$C$5*(F517+2*Parâmetros!$D$5+Parâmetros!$C$5*Parâmetros!$E$5)</f>
        <v>2.2176</v>
      </c>
      <c r="M517" s="146" t="n">
        <f aca="false">Parâmetros!$C$6*(F517+2*Parâmetros!$D$6+Parâmetros!$C$6*Parâmetros!$E$6)</f>
        <v>2.884</v>
      </c>
      <c r="N517" s="146" t="n">
        <f aca="false">Parâmetros!$C$7*(F517+2*Parâmetros!$D$7+Parâmetros!$C$7*Parâmetros!$E$7)</f>
        <v>4.536</v>
      </c>
      <c r="O517" s="146" t="n">
        <f aca="false">F517+2*Parâmetros!$D$8</f>
        <v>13.7</v>
      </c>
      <c r="P517" s="146" t="n">
        <f aca="false">F517+2*Parâmetros!$D$10</f>
        <v>15.42</v>
      </c>
      <c r="Q517" s="146" t="n">
        <f aca="false">G517+H517</f>
        <v>0</v>
      </c>
      <c r="S517" s="149" t="n">
        <f aca="false">S516+'Volumes por intervalo'!C516*(F516+F517)/2</f>
        <v>120136.5</v>
      </c>
      <c r="T517" s="149" t="n">
        <f aca="false">T516+'Volumes por intervalo'!H516</f>
        <v>6032.47500000002</v>
      </c>
      <c r="U517" s="149" t="n">
        <f aca="false">U516+'Volumes por intervalo'!J516</f>
        <v>19812.8160000001</v>
      </c>
      <c r="V517" s="149" t="n">
        <f aca="false">V516+'Volumes por intervalo'!K516</f>
        <v>25915.1400000001</v>
      </c>
      <c r="W517" s="149" t="n">
        <f aca="false">W516+'Volumes por intervalo'!L516</f>
        <v>41027.3100000001</v>
      </c>
      <c r="X517" s="149" t="n">
        <f aca="false">X516+'Volumes por intervalo'!M516</f>
        <v>122188.5</v>
      </c>
      <c r="Y517" s="149" t="n">
        <f aca="false">Y516+'Volumes por intervalo'!N516</f>
        <v>122188.5</v>
      </c>
      <c r="Z517" s="149" t="n">
        <f aca="false">Z516+'Volumes por intervalo'!O516</f>
        <v>139835.699999999</v>
      </c>
      <c r="AA517" s="149" t="n">
        <f aca="false">AA516+'Volumes por intervalo'!P516</f>
        <v>0</v>
      </c>
      <c r="AB517" s="149" t="n">
        <f aca="false">AB516+'Volumes por intervalo'!Q516</f>
        <v>0</v>
      </c>
      <c r="AC517" s="149" t="n">
        <f aca="false">AC516+'Volumes por intervalo'!R516</f>
        <v>0</v>
      </c>
      <c r="AD517" s="149" t="n">
        <f aca="false">AD516+'Volumes por intervalo'!S516</f>
        <v>0</v>
      </c>
    </row>
    <row r="518" customFormat="false" ht="15" hidden="false" customHeight="false" outlineLevel="0" collapsed="false">
      <c r="A518" s="138" t="s">
        <v>2185</v>
      </c>
      <c r="B518" s="146" t="n">
        <v>514</v>
      </c>
      <c r="C518" s="144" t="n">
        <v>10280</v>
      </c>
      <c r="D518" s="138" t="s">
        <v>1590</v>
      </c>
      <c r="E518" s="138" t="s">
        <v>1591</v>
      </c>
      <c r="F518" s="147" t="n">
        <v>13</v>
      </c>
      <c r="G518" s="148" t="n">
        <v>0</v>
      </c>
      <c r="H518" s="148" t="n">
        <v>0</v>
      </c>
      <c r="I518" s="138" t="s">
        <v>1642</v>
      </c>
      <c r="J518" s="138"/>
      <c r="K518" s="146" t="n">
        <f aca="false">Parâmetros!$C$4*(F518+2*Parâmetros!$D$4+Parâmetros!$C$4*Parâmetros!$E$4)</f>
        <v>0.6525</v>
      </c>
      <c r="L518" s="146" t="n">
        <f aca="false">Parâmetros!$C$5*(F518+2*Parâmetros!$D$5+Parâmetros!$C$5*Parâmetros!$E$5)</f>
        <v>2.1376</v>
      </c>
      <c r="M518" s="146" t="n">
        <f aca="false">Parâmetros!$C$6*(F518+2*Parâmetros!$D$6+Parâmetros!$C$6*Parâmetros!$E$6)</f>
        <v>2.784</v>
      </c>
      <c r="N518" s="146" t="n">
        <f aca="false">Parâmetros!$C$7*(F518+2*Parâmetros!$D$7+Parâmetros!$C$7*Parâmetros!$E$7)</f>
        <v>4.386</v>
      </c>
      <c r="O518" s="146" t="n">
        <f aca="false">F518+2*Parâmetros!$D$8</f>
        <v>13.2</v>
      </c>
      <c r="P518" s="146" t="n">
        <f aca="false">F518+2*Parâmetros!$D$10</f>
        <v>14.92</v>
      </c>
      <c r="Q518" s="146" t="n">
        <f aca="false">G518+H518</f>
        <v>0</v>
      </c>
      <c r="S518" s="149" t="n">
        <f aca="false">S517+'Volumes por intervalo'!C517*(F517+F518)/2</f>
        <v>120401.5</v>
      </c>
      <c r="T518" s="149" t="n">
        <f aca="false">T517+'Volumes por intervalo'!H517</f>
        <v>6045.77500000002</v>
      </c>
      <c r="U518" s="149" t="n">
        <f aca="false">U517+'Volumes por intervalo'!J517</f>
        <v>19856.3680000001</v>
      </c>
      <c r="V518" s="149" t="n">
        <f aca="false">V517+'Volumes por intervalo'!K517</f>
        <v>25971.8200000001</v>
      </c>
      <c r="W518" s="149" t="n">
        <f aca="false">W517+'Volumes por intervalo'!L517</f>
        <v>41116.5300000001</v>
      </c>
      <c r="X518" s="149" t="n">
        <f aca="false">X517+'Volumes por intervalo'!M517</f>
        <v>122457.5</v>
      </c>
      <c r="Y518" s="149" t="n">
        <f aca="false">Y517+'Volumes por intervalo'!N517</f>
        <v>122457.5</v>
      </c>
      <c r="Z518" s="149" t="n">
        <f aca="false">Z517+'Volumes por intervalo'!O517</f>
        <v>140139.099999999</v>
      </c>
      <c r="AA518" s="149" t="n">
        <f aca="false">AA517+'Volumes por intervalo'!P517</f>
        <v>0</v>
      </c>
      <c r="AB518" s="149" t="n">
        <f aca="false">AB517+'Volumes por intervalo'!Q517</f>
        <v>0</v>
      </c>
      <c r="AC518" s="149" t="n">
        <f aca="false">AC517+'Volumes por intervalo'!R517</f>
        <v>0</v>
      </c>
      <c r="AD518" s="149" t="n">
        <f aca="false">AD517+'Volumes por intervalo'!S517</f>
        <v>0</v>
      </c>
    </row>
    <row r="519" customFormat="false" ht="15" hidden="false" customHeight="false" outlineLevel="0" collapsed="false">
      <c r="A519" s="138" t="s">
        <v>2186</v>
      </c>
      <c r="B519" s="146" t="n">
        <v>515</v>
      </c>
      <c r="C519" s="144" t="n">
        <v>10300</v>
      </c>
      <c r="D519" s="138" t="s">
        <v>1590</v>
      </c>
      <c r="E519" s="138" t="s">
        <v>1591</v>
      </c>
      <c r="F519" s="147" t="n">
        <v>11.6</v>
      </c>
      <c r="G519" s="148" t="n">
        <v>0</v>
      </c>
      <c r="H519" s="148" t="n">
        <v>0</v>
      </c>
      <c r="I519" s="138" t="s">
        <v>1642</v>
      </c>
      <c r="J519" s="138"/>
      <c r="K519" s="146" t="n">
        <f aca="false">Parâmetros!$C$4*(F519+2*Parâmetros!$D$4+Parâmetros!$C$4*Parâmetros!$E$4)</f>
        <v>0.5825</v>
      </c>
      <c r="L519" s="146" t="n">
        <f aca="false">Parâmetros!$C$5*(F519+2*Parâmetros!$D$5+Parâmetros!$C$5*Parâmetros!$E$5)</f>
        <v>1.9136</v>
      </c>
      <c r="M519" s="146" t="n">
        <f aca="false">Parâmetros!$C$6*(F519+2*Parâmetros!$D$6+Parâmetros!$C$6*Parâmetros!$E$6)</f>
        <v>2.504</v>
      </c>
      <c r="N519" s="146" t="n">
        <f aca="false">Parâmetros!$C$7*(F519+2*Parâmetros!$D$7+Parâmetros!$C$7*Parâmetros!$E$7)</f>
        <v>3.966</v>
      </c>
      <c r="O519" s="146" t="n">
        <f aca="false">F519+2*Parâmetros!$D$8</f>
        <v>11.8</v>
      </c>
      <c r="P519" s="146" t="n">
        <f aca="false">F519+2*Parâmetros!$D$10</f>
        <v>13.52</v>
      </c>
      <c r="Q519" s="146" t="n">
        <f aca="false">G519+H519</f>
        <v>0</v>
      </c>
      <c r="S519" s="149" t="n">
        <f aca="false">S518+'Volumes por intervalo'!C518*(F518+F519)/2</f>
        <v>120647.5</v>
      </c>
      <c r="T519" s="149" t="n">
        <f aca="false">T518+'Volumes por intervalo'!H518</f>
        <v>6058.12500000002</v>
      </c>
      <c r="U519" s="149" t="n">
        <f aca="false">U518+'Volumes por intervalo'!J518</f>
        <v>19896.8800000001</v>
      </c>
      <c r="V519" s="149" t="n">
        <f aca="false">V518+'Volumes por intervalo'!K518</f>
        <v>26024.7000000001</v>
      </c>
      <c r="W519" s="149" t="n">
        <f aca="false">W518+'Volumes por intervalo'!L518</f>
        <v>41200.0500000001</v>
      </c>
      <c r="X519" s="149" t="n">
        <f aca="false">X518+'Volumes por intervalo'!M518</f>
        <v>122707.5</v>
      </c>
      <c r="Y519" s="149" t="n">
        <f aca="false">Y518+'Volumes por intervalo'!N518</f>
        <v>122707.5</v>
      </c>
      <c r="Z519" s="149" t="n">
        <f aca="false">Z518+'Volumes por intervalo'!O518</f>
        <v>140423.499999999</v>
      </c>
      <c r="AA519" s="149" t="n">
        <f aca="false">AA518+'Volumes por intervalo'!P518</f>
        <v>0</v>
      </c>
      <c r="AB519" s="149" t="n">
        <f aca="false">AB518+'Volumes por intervalo'!Q518</f>
        <v>0</v>
      </c>
      <c r="AC519" s="149" t="n">
        <f aca="false">AC518+'Volumes por intervalo'!R518</f>
        <v>0</v>
      </c>
      <c r="AD519" s="149" t="n">
        <f aca="false">AD518+'Volumes por intervalo'!S518</f>
        <v>0</v>
      </c>
    </row>
    <row r="520" customFormat="false" ht="15" hidden="false" customHeight="false" outlineLevel="0" collapsed="false">
      <c r="A520" s="138" t="s">
        <v>2187</v>
      </c>
      <c r="B520" s="146" t="n">
        <v>516</v>
      </c>
      <c r="C520" s="144" t="n">
        <v>10320</v>
      </c>
      <c r="D520" s="138" t="s">
        <v>1590</v>
      </c>
      <c r="E520" s="138" t="s">
        <v>1591</v>
      </c>
      <c r="F520" s="147" t="n">
        <v>11</v>
      </c>
      <c r="G520" s="148" t="n">
        <v>0</v>
      </c>
      <c r="H520" s="148" t="n">
        <v>0</v>
      </c>
      <c r="I520" s="138" t="s">
        <v>1642</v>
      </c>
      <c r="J520" s="138"/>
      <c r="K520" s="146" t="n">
        <f aca="false">Parâmetros!$C$4*(F520+2*Parâmetros!$D$4+Parâmetros!$C$4*Parâmetros!$E$4)</f>
        <v>0.5525</v>
      </c>
      <c r="L520" s="146" t="n">
        <f aca="false">Parâmetros!$C$5*(F520+2*Parâmetros!$D$5+Parâmetros!$C$5*Parâmetros!$E$5)</f>
        <v>1.8176</v>
      </c>
      <c r="M520" s="146" t="n">
        <f aca="false">Parâmetros!$C$6*(F520+2*Parâmetros!$D$6+Parâmetros!$C$6*Parâmetros!$E$6)</f>
        <v>2.384</v>
      </c>
      <c r="N520" s="146" t="n">
        <f aca="false">Parâmetros!$C$7*(F520+2*Parâmetros!$D$7+Parâmetros!$C$7*Parâmetros!$E$7)</f>
        <v>3.786</v>
      </c>
      <c r="O520" s="146" t="n">
        <f aca="false">F520+2*Parâmetros!$D$8</f>
        <v>11.2</v>
      </c>
      <c r="P520" s="146" t="n">
        <f aca="false">F520+2*Parâmetros!$D$10</f>
        <v>12.92</v>
      </c>
      <c r="Q520" s="146" t="n">
        <f aca="false">G520+H520</f>
        <v>0</v>
      </c>
      <c r="S520" s="149" t="n">
        <f aca="false">S519+'Volumes por intervalo'!C519*(F519+F520)/2</f>
        <v>120873.5</v>
      </c>
      <c r="T520" s="149" t="n">
        <f aca="false">T519+'Volumes por intervalo'!H519</f>
        <v>6069.47500000002</v>
      </c>
      <c r="U520" s="149" t="n">
        <f aca="false">U519+'Volumes por intervalo'!J519</f>
        <v>19934.1920000001</v>
      </c>
      <c r="V520" s="149" t="n">
        <f aca="false">V519+'Volumes por intervalo'!K519</f>
        <v>26073.5800000001</v>
      </c>
      <c r="W520" s="149" t="n">
        <f aca="false">W519+'Volumes por intervalo'!L519</f>
        <v>41277.5700000001</v>
      </c>
      <c r="X520" s="149" t="n">
        <f aca="false">X519+'Volumes por intervalo'!M519</f>
        <v>122937.5</v>
      </c>
      <c r="Y520" s="149" t="n">
        <f aca="false">Y519+'Volumes por intervalo'!N519</f>
        <v>122937.5</v>
      </c>
      <c r="Z520" s="149" t="n">
        <f aca="false">Z519+'Volumes por intervalo'!O519</f>
        <v>140687.899999999</v>
      </c>
      <c r="AA520" s="149" t="n">
        <f aca="false">AA519+'Volumes por intervalo'!P519</f>
        <v>0</v>
      </c>
      <c r="AB520" s="149" t="n">
        <f aca="false">AB519+'Volumes por intervalo'!Q519</f>
        <v>0</v>
      </c>
      <c r="AC520" s="149" t="n">
        <f aca="false">AC519+'Volumes por intervalo'!R519</f>
        <v>0</v>
      </c>
      <c r="AD520" s="149" t="n">
        <f aca="false">AD519+'Volumes por intervalo'!S519</f>
        <v>0</v>
      </c>
    </row>
    <row r="521" customFormat="false" ht="15" hidden="false" customHeight="false" outlineLevel="0" collapsed="false">
      <c r="A521" s="138" t="s">
        <v>1593</v>
      </c>
      <c r="B521" s="146" t="n">
        <v>516.5</v>
      </c>
      <c r="C521" s="144" t="n">
        <v>10330</v>
      </c>
      <c r="D521" s="138" t="s">
        <v>1590</v>
      </c>
      <c r="E521" s="138" t="s">
        <v>1591</v>
      </c>
      <c r="F521" s="147" t="n">
        <v>11</v>
      </c>
      <c r="G521" s="148" t="n">
        <v>0</v>
      </c>
      <c r="H521" s="148" t="n">
        <v>0</v>
      </c>
      <c r="I521" s="138" t="s">
        <v>1856</v>
      </c>
      <c r="J521" s="138" t="s">
        <v>2054</v>
      </c>
      <c r="K521" s="146" t="n">
        <f aca="false">Parâmetros!$C$4*(F521+2*Parâmetros!$D$4+Parâmetros!$C$4*Parâmetros!$E$4)</f>
        <v>0.5525</v>
      </c>
      <c r="L521" s="146" t="n">
        <f aca="false">Parâmetros!$C$5*(F521+2*Parâmetros!$D$5+Parâmetros!$C$5*Parâmetros!$E$5)</f>
        <v>1.8176</v>
      </c>
      <c r="M521" s="146" t="n">
        <f aca="false">Parâmetros!$C$6*(F521+2*Parâmetros!$D$6+Parâmetros!$C$6*Parâmetros!$E$6)</f>
        <v>2.384</v>
      </c>
      <c r="N521" s="146" t="n">
        <f aca="false">Parâmetros!$C$7*(F521+2*Parâmetros!$D$7+Parâmetros!$C$7*Parâmetros!$E$7)</f>
        <v>3.786</v>
      </c>
      <c r="O521" s="146" t="n">
        <f aca="false">F521+2*Parâmetros!$D$8</f>
        <v>11.2</v>
      </c>
      <c r="P521" s="146" t="n">
        <f aca="false">F521+2*Parâmetros!$D$10</f>
        <v>12.92</v>
      </c>
      <c r="Q521" s="146" t="n">
        <f aca="false">G521+H521</f>
        <v>0</v>
      </c>
      <c r="S521" s="149" t="n">
        <f aca="false">S520+'Volumes por intervalo'!C520*(F520+F521)/2</f>
        <v>120983.5</v>
      </c>
      <c r="T521" s="149" t="n">
        <f aca="false">T520+'Volumes por intervalo'!H520</f>
        <v>6075.00000000002</v>
      </c>
      <c r="U521" s="149" t="n">
        <f aca="false">U520+'Volumes por intervalo'!J520</f>
        <v>19952.3680000001</v>
      </c>
      <c r="V521" s="149" t="n">
        <f aca="false">V520+'Volumes por intervalo'!K520</f>
        <v>26097.4200000001</v>
      </c>
      <c r="W521" s="149" t="n">
        <f aca="false">W520+'Volumes por intervalo'!L520</f>
        <v>41315.4300000001</v>
      </c>
      <c r="X521" s="149" t="n">
        <f aca="false">X520+'Volumes por intervalo'!M520</f>
        <v>123049.5</v>
      </c>
      <c r="Y521" s="149" t="n">
        <f aca="false">Y520+'Volumes por intervalo'!N520</f>
        <v>123049.5</v>
      </c>
      <c r="Z521" s="149" t="n">
        <f aca="false">Z520+'Volumes por intervalo'!O520</f>
        <v>140817.099999999</v>
      </c>
      <c r="AA521" s="149" t="n">
        <f aca="false">AA520+'Volumes por intervalo'!P520</f>
        <v>0</v>
      </c>
      <c r="AB521" s="149" t="n">
        <f aca="false">AB520+'Volumes por intervalo'!Q520</f>
        <v>0</v>
      </c>
      <c r="AC521" s="149" t="n">
        <f aca="false">AC520+'Volumes por intervalo'!R520</f>
        <v>0</v>
      </c>
      <c r="AD521" s="149" t="n">
        <f aca="false">AD520+'Volumes por intervalo'!S520</f>
        <v>0</v>
      </c>
    </row>
    <row r="522" customFormat="false" ht="15" hidden="false" customHeight="false" outlineLevel="0" collapsed="false">
      <c r="A522" s="138" t="s">
        <v>2188</v>
      </c>
      <c r="B522" s="146" t="n">
        <v>517</v>
      </c>
      <c r="C522" s="144" t="n">
        <v>10340</v>
      </c>
      <c r="D522" s="138" t="s">
        <v>1594</v>
      </c>
      <c r="E522" s="138" t="s">
        <v>1566</v>
      </c>
      <c r="F522" s="147" t="n">
        <v>11</v>
      </c>
      <c r="G522" s="148" t="n">
        <v>0</v>
      </c>
      <c r="H522" s="148" t="n">
        <v>0</v>
      </c>
      <c r="I522" s="138" t="s">
        <v>1642</v>
      </c>
      <c r="J522" s="138"/>
      <c r="K522" s="146" t="n">
        <f aca="false">Parâmetros!$C$4*(F522+2*Parâmetros!$D$4+Parâmetros!$C$4*Parâmetros!$E$4)</f>
        <v>0.5525</v>
      </c>
      <c r="L522" s="146" t="n">
        <f aca="false">Parâmetros!$C$5*(F522+2*Parâmetros!$D$5+Parâmetros!$C$5*Parâmetros!$E$5)</f>
        <v>1.8176</v>
      </c>
      <c r="M522" s="146" t="n">
        <f aca="false">Parâmetros!$C$6*(F522+2*Parâmetros!$D$6+Parâmetros!$C$6*Parâmetros!$E$6)</f>
        <v>2.384</v>
      </c>
      <c r="N522" s="146" t="n">
        <f aca="false">Parâmetros!$C$7*(F522+2*Parâmetros!$D$7+Parâmetros!$C$7*Parâmetros!$E$7)</f>
        <v>3.786</v>
      </c>
      <c r="O522" s="146" t="n">
        <f aca="false">F522+2*Parâmetros!$D$8</f>
        <v>11.2</v>
      </c>
      <c r="P522" s="146" t="n">
        <f aca="false">F522+2*Parâmetros!$D$10</f>
        <v>12.92</v>
      </c>
      <c r="Q522" s="146" t="n">
        <f aca="false">G522+H522</f>
        <v>0</v>
      </c>
      <c r="S522" s="149" t="n">
        <f aca="false">S521+'Volumes por intervalo'!C521*(F521+F522)/2</f>
        <v>121093.5</v>
      </c>
      <c r="T522" s="149" t="n">
        <f aca="false">T521+'Volumes por intervalo'!H521</f>
        <v>6080.52500000002</v>
      </c>
      <c r="U522" s="149" t="n">
        <f aca="false">U521+'Volumes por intervalo'!J521</f>
        <v>19970.5440000001</v>
      </c>
      <c r="V522" s="149" t="n">
        <f aca="false">V521+'Volumes por intervalo'!K521</f>
        <v>26121.2600000001</v>
      </c>
      <c r="W522" s="149" t="n">
        <f aca="false">W521+'Volumes por intervalo'!L521</f>
        <v>41353.2900000001</v>
      </c>
      <c r="X522" s="149" t="n">
        <f aca="false">X521+'Volumes por intervalo'!M521</f>
        <v>123161.5</v>
      </c>
      <c r="Y522" s="149" t="n">
        <f aca="false">Y521+'Volumes por intervalo'!N521</f>
        <v>123161.5</v>
      </c>
      <c r="Z522" s="149" t="n">
        <f aca="false">Z521+'Volumes por intervalo'!O521</f>
        <v>140946.299999999</v>
      </c>
      <c r="AA522" s="149" t="n">
        <f aca="false">AA521+'Volumes por intervalo'!P521</f>
        <v>0</v>
      </c>
      <c r="AB522" s="149" t="n">
        <f aca="false">AB521+'Volumes por intervalo'!Q521</f>
        <v>0</v>
      </c>
      <c r="AC522" s="149" t="n">
        <f aca="false">AC521+'Volumes por intervalo'!R521</f>
        <v>0</v>
      </c>
      <c r="AD522" s="149" t="n">
        <f aca="false">AD521+'Volumes por intervalo'!S521</f>
        <v>0</v>
      </c>
    </row>
    <row r="523" customFormat="false" ht="15" hidden="false" customHeight="false" outlineLevel="0" collapsed="false">
      <c r="A523" s="138" t="s">
        <v>2189</v>
      </c>
      <c r="B523" s="146" t="n">
        <v>518</v>
      </c>
      <c r="C523" s="144" t="n">
        <v>10360</v>
      </c>
      <c r="D523" s="138" t="s">
        <v>1594</v>
      </c>
      <c r="E523" s="138" t="s">
        <v>1566</v>
      </c>
      <c r="F523" s="147" t="n">
        <v>11</v>
      </c>
      <c r="G523" s="148" t="n">
        <v>0</v>
      </c>
      <c r="H523" s="148" t="n">
        <v>0</v>
      </c>
      <c r="I523" s="138" t="s">
        <v>1642</v>
      </c>
      <c r="J523" s="138"/>
      <c r="K523" s="146" t="n">
        <f aca="false">Parâmetros!$C$4*(F523+2*Parâmetros!$D$4+Parâmetros!$C$4*Parâmetros!$E$4)</f>
        <v>0.5525</v>
      </c>
      <c r="L523" s="146" t="n">
        <f aca="false">Parâmetros!$C$5*(F523+2*Parâmetros!$D$5+Parâmetros!$C$5*Parâmetros!$E$5)</f>
        <v>1.8176</v>
      </c>
      <c r="M523" s="146" t="n">
        <f aca="false">Parâmetros!$C$6*(F523+2*Parâmetros!$D$6+Parâmetros!$C$6*Parâmetros!$E$6)</f>
        <v>2.384</v>
      </c>
      <c r="N523" s="146" t="n">
        <f aca="false">Parâmetros!$C$7*(F523+2*Parâmetros!$D$7+Parâmetros!$C$7*Parâmetros!$E$7)</f>
        <v>3.786</v>
      </c>
      <c r="O523" s="146" t="n">
        <f aca="false">F523+2*Parâmetros!$D$8</f>
        <v>11.2</v>
      </c>
      <c r="P523" s="146" t="n">
        <f aca="false">F523+2*Parâmetros!$D$10</f>
        <v>12.92</v>
      </c>
      <c r="Q523" s="146" t="n">
        <f aca="false">G523+H523</f>
        <v>0</v>
      </c>
      <c r="S523" s="149" t="n">
        <f aca="false">S522+'Volumes por intervalo'!C522*(F522+F523)/2</f>
        <v>121313.5</v>
      </c>
      <c r="T523" s="149" t="n">
        <f aca="false">T522+'Volumes por intervalo'!H522</f>
        <v>6091.57500000002</v>
      </c>
      <c r="U523" s="149" t="n">
        <f aca="false">U522+'Volumes por intervalo'!J522</f>
        <v>20006.8960000001</v>
      </c>
      <c r="V523" s="149" t="n">
        <f aca="false">V522+'Volumes por intervalo'!K522</f>
        <v>26168.9400000001</v>
      </c>
      <c r="W523" s="149" t="n">
        <f aca="false">W522+'Volumes por intervalo'!L522</f>
        <v>41429.0100000001</v>
      </c>
      <c r="X523" s="149" t="n">
        <f aca="false">X522+'Volumes por intervalo'!M522</f>
        <v>123385.5</v>
      </c>
      <c r="Y523" s="149" t="n">
        <f aca="false">Y522+'Volumes por intervalo'!N522</f>
        <v>123385.5</v>
      </c>
      <c r="Z523" s="149" t="n">
        <f aca="false">Z522+'Volumes por intervalo'!O522</f>
        <v>141204.699999999</v>
      </c>
      <c r="AA523" s="149" t="n">
        <f aca="false">AA522+'Volumes por intervalo'!P522</f>
        <v>0</v>
      </c>
      <c r="AB523" s="149" t="n">
        <f aca="false">AB522+'Volumes por intervalo'!Q522</f>
        <v>0</v>
      </c>
      <c r="AC523" s="149" t="n">
        <f aca="false">AC522+'Volumes por intervalo'!R522</f>
        <v>0</v>
      </c>
      <c r="AD523" s="149" t="n">
        <f aca="false">AD522+'Volumes por intervalo'!S522</f>
        <v>0</v>
      </c>
    </row>
    <row r="524" customFormat="false" ht="15" hidden="false" customHeight="false" outlineLevel="0" collapsed="false">
      <c r="A524" s="138" t="s">
        <v>2190</v>
      </c>
      <c r="B524" s="146" t="n">
        <v>519</v>
      </c>
      <c r="C524" s="144" t="n">
        <v>10380</v>
      </c>
      <c r="D524" s="138" t="s">
        <v>1594</v>
      </c>
      <c r="E524" s="138" t="s">
        <v>1566</v>
      </c>
      <c r="F524" s="147" t="n">
        <v>11</v>
      </c>
      <c r="G524" s="148" t="n">
        <v>0</v>
      </c>
      <c r="H524" s="148" t="n">
        <v>0</v>
      </c>
      <c r="I524" s="138" t="s">
        <v>1642</v>
      </c>
      <c r="J524" s="138"/>
      <c r="K524" s="146" t="n">
        <f aca="false">Parâmetros!$C$4*(F524+2*Parâmetros!$D$4+Parâmetros!$C$4*Parâmetros!$E$4)</f>
        <v>0.5525</v>
      </c>
      <c r="L524" s="146" t="n">
        <f aca="false">Parâmetros!$C$5*(F524+2*Parâmetros!$D$5+Parâmetros!$C$5*Parâmetros!$E$5)</f>
        <v>1.8176</v>
      </c>
      <c r="M524" s="146" t="n">
        <f aca="false">Parâmetros!$C$6*(F524+2*Parâmetros!$D$6+Parâmetros!$C$6*Parâmetros!$E$6)</f>
        <v>2.384</v>
      </c>
      <c r="N524" s="146" t="n">
        <f aca="false">Parâmetros!$C$7*(F524+2*Parâmetros!$D$7+Parâmetros!$C$7*Parâmetros!$E$7)</f>
        <v>3.786</v>
      </c>
      <c r="O524" s="146" t="n">
        <f aca="false">F524+2*Parâmetros!$D$8</f>
        <v>11.2</v>
      </c>
      <c r="P524" s="146" t="n">
        <f aca="false">F524+2*Parâmetros!$D$10</f>
        <v>12.92</v>
      </c>
      <c r="Q524" s="146" t="n">
        <f aca="false">G524+H524</f>
        <v>0</v>
      </c>
      <c r="S524" s="149" t="n">
        <f aca="false">S523+'Volumes por intervalo'!C523*(F523+F524)/2</f>
        <v>121533.5</v>
      </c>
      <c r="T524" s="149" t="n">
        <f aca="false">T523+'Volumes por intervalo'!H523</f>
        <v>6102.62500000002</v>
      </c>
      <c r="U524" s="149" t="n">
        <f aca="false">U523+'Volumes por intervalo'!J523</f>
        <v>20043.2480000001</v>
      </c>
      <c r="V524" s="149" t="n">
        <f aca="false">V523+'Volumes por intervalo'!K523</f>
        <v>26216.6200000001</v>
      </c>
      <c r="W524" s="149" t="n">
        <f aca="false">W523+'Volumes por intervalo'!L523</f>
        <v>41504.7300000001</v>
      </c>
      <c r="X524" s="149" t="n">
        <f aca="false">X523+'Volumes por intervalo'!M523</f>
        <v>123609.5</v>
      </c>
      <c r="Y524" s="149" t="n">
        <f aca="false">Y523+'Volumes por intervalo'!N523</f>
        <v>123609.5</v>
      </c>
      <c r="Z524" s="149" t="n">
        <f aca="false">Z523+'Volumes por intervalo'!O523</f>
        <v>141463.099999999</v>
      </c>
      <c r="AA524" s="149" t="n">
        <f aca="false">AA523+'Volumes por intervalo'!P523</f>
        <v>0</v>
      </c>
      <c r="AB524" s="149" t="n">
        <f aca="false">AB523+'Volumes por intervalo'!Q523</f>
        <v>0</v>
      </c>
      <c r="AC524" s="149" t="n">
        <f aca="false">AC523+'Volumes por intervalo'!R523</f>
        <v>0</v>
      </c>
      <c r="AD524" s="149" t="n">
        <f aca="false">AD523+'Volumes por intervalo'!S523</f>
        <v>0</v>
      </c>
    </row>
    <row r="525" customFormat="false" ht="15" hidden="false" customHeight="false" outlineLevel="0" collapsed="false">
      <c r="A525" s="138" t="s">
        <v>2191</v>
      </c>
      <c r="B525" s="146" t="n">
        <v>520</v>
      </c>
      <c r="C525" s="144" t="n">
        <v>10400</v>
      </c>
      <c r="D525" s="138" t="s">
        <v>1594</v>
      </c>
      <c r="E525" s="138" t="s">
        <v>1566</v>
      </c>
      <c r="F525" s="147" t="n">
        <v>11</v>
      </c>
      <c r="G525" s="148" t="n">
        <v>0</v>
      </c>
      <c r="H525" s="148" t="n">
        <v>0</v>
      </c>
      <c r="I525" s="138" t="s">
        <v>1642</v>
      </c>
      <c r="J525" s="138"/>
      <c r="K525" s="146" t="n">
        <f aca="false">Parâmetros!$C$4*(F525+2*Parâmetros!$D$4+Parâmetros!$C$4*Parâmetros!$E$4)</f>
        <v>0.5525</v>
      </c>
      <c r="L525" s="146" t="n">
        <f aca="false">Parâmetros!$C$5*(F525+2*Parâmetros!$D$5+Parâmetros!$C$5*Parâmetros!$E$5)</f>
        <v>1.8176</v>
      </c>
      <c r="M525" s="146" t="n">
        <f aca="false">Parâmetros!$C$6*(F525+2*Parâmetros!$D$6+Parâmetros!$C$6*Parâmetros!$E$6)</f>
        <v>2.384</v>
      </c>
      <c r="N525" s="146" t="n">
        <f aca="false">Parâmetros!$C$7*(F525+2*Parâmetros!$D$7+Parâmetros!$C$7*Parâmetros!$E$7)</f>
        <v>3.786</v>
      </c>
      <c r="O525" s="146" t="n">
        <f aca="false">F525+2*Parâmetros!$D$8</f>
        <v>11.2</v>
      </c>
      <c r="P525" s="146" t="n">
        <f aca="false">F525+2*Parâmetros!$D$10</f>
        <v>12.92</v>
      </c>
      <c r="Q525" s="146" t="n">
        <f aca="false">G525+H525</f>
        <v>0</v>
      </c>
      <c r="S525" s="149" t="n">
        <f aca="false">S524+'Volumes por intervalo'!C524*(F524+F525)/2</f>
        <v>121753.5</v>
      </c>
      <c r="T525" s="149" t="n">
        <f aca="false">T524+'Volumes por intervalo'!H524</f>
        <v>6113.67500000002</v>
      </c>
      <c r="U525" s="149" t="n">
        <f aca="false">U524+'Volumes por intervalo'!J524</f>
        <v>20079.6000000001</v>
      </c>
      <c r="V525" s="149" t="n">
        <f aca="false">V524+'Volumes por intervalo'!K524</f>
        <v>26264.3000000001</v>
      </c>
      <c r="W525" s="149" t="n">
        <f aca="false">W524+'Volumes por intervalo'!L524</f>
        <v>41580.4500000001</v>
      </c>
      <c r="X525" s="149" t="n">
        <f aca="false">X524+'Volumes por intervalo'!M524</f>
        <v>123833.5</v>
      </c>
      <c r="Y525" s="149" t="n">
        <f aca="false">Y524+'Volumes por intervalo'!N524</f>
        <v>123833.5</v>
      </c>
      <c r="Z525" s="149" t="n">
        <f aca="false">Z524+'Volumes por intervalo'!O524</f>
        <v>141721.499999999</v>
      </c>
      <c r="AA525" s="149" t="n">
        <f aca="false">AA524+'Volumes por intervalo'!P524</f>
        <v>0</v>
      </c>
      <c r="AB525" s="149" t="n">
        <f aca="false">AB524+'Volumes por intervalo'!Q524</f>
        <v>0</v>
      </c>
      <c r="AC525" s="149" t="n">
        <f aca="false">AC524+'Volumes por intervalo'!R524</f>
        <v>0</v>
      </c>
      <c r="AD525" s="149" t="n">
        <f aca="false">AD524+'Volumes por intervalo'!S524</f>
        <v>0</v>
      </c>
    </row>
    <row r="526" customFormat="false" ht="15" hidden="false" customHeight="false" outlineLevel="0" collapsed="false">
      <c r="A526" s="138" t="s">
        <v>2192</v>
      </c>
      <c r="B526" s="146" t="n">
        <v>521</v>
      </c>
      <c r="C526" s="144" t="n">
        <v>10420</v>
      </c>
      <c r="D526" s="138" t="s">
        <v>1594</v>
      </c>
      <c r="E526" s="138" t="s">
        <v>1566</v>
      </c>
      <c r="F526" s="147" t="n">
        <v>11.5</v>
      </c>
      <c r="G526" s="148" t="n">
        <v>0</v>
      </c>
      <c r="H526" s="148" t="n">
        <v>0</v>
      </c>
      <c r="I526" s="138" t="s">
        <v>1642</v>
      </c>
      <c r="J526" s="138"/>
      <c r="K526" s="146" t="n">
        <f aca="false">Parâmetros!$C$4*(F526+2*Parâmetros!$D$4+Parâmetros!$C$4*Parâmetros!$E$4)</f>
        <v>0.5775</v>
      </c>
      <c r="L526" s="146" t="n">
        <f aca="false">Parâmetros!$C$5*(F526+2*Parâmetros!$D$5+Parâmetros!$C$5*Parâmetros!$E$5)</f>
        <v>1.8976</v>
      </c>
      <c r="M526" s="146" t="n">
        <f aca="false">Parâmetros!$C$6*(F526+2*Parâmetros!$D$6+Parâmetros!$C$6*Parâmetros!$E$6)</f>
        <v>2.484</v>
      </c>
      <c r="N526" s="146" t="n">
        <f aca="false">Parâmetros!$C$7*(F526+2*Parâmetros!$D$7+Parâmetros!$C$7*Parâmetros!$E$7)</f>
        <v>3.936</v>
      </c>
      <c r="O526" s="146" t="n">
        <f aca="false">F526+2*Parâmetros!$D$8</f>
        <v>11.7</v>
      </c>
      <c r="P526" s="146" t="n">
        <f aca="false">F526+2*Parâmetros!$D$10</f>
        <v>13.42</v>
      </c>
      <c r="Q526" s="146" t="n">
        <f aca="false">G526+H526</f>
        <v>0</v>
      </c>
      <c r="S526" s="149" t="n">
        <f aca="false">S525+'Volumes por intervalo'!C525*(F525+F526)/2</f>
        <v>121978.5</v>
      </c>
      <c r="T526" s="149" t="n">
        <f aca="false">T525+'Volumes por intervalo'!H525</f>
        <v>6124.97500000002</v>
      </c>
      <c r="U526" s="149" t="n">
        <f aca="false">U525+'Volumes por intervalo'!J525</f>
        <v>20116.7520000001</v>
      </c>
      <c r="V526" s="149" t="n">
        <f aca="false">V525+'Volumes por intervalo'!K525</f>
        <v>26312.9800000001</v>
      </c>
      <c r="W526" s="149" t="n">
        <f aca="false">W525+'Volumes por intervalo'!L525</f>
        <v>41657.6700000001</v>
      </c>
      <c r="X526" s="149" t="n">
        <f aca="false">X525+'Volumes por intervalo'!M525</f>
        <v>124062.5</v>
      </c>
      <c r="Y526" s="149" t="n">
        <f aca="false">Y525+'Volumes por intervalo'!N525</f>
        <v>124062.5</v>
      </c>
      <c r="Z526" s="149" t="n">
        <f aca="false">Z525+'Volumes por intervalo'!O525</f>
        <v>141984.899999999</v>
      </c>
      <c r="AA526" s="149" t="n">
        <f aca="false">AA525+'Volumes por intervalo'!P525</f>
        <v>0</v>
      </c>
      <c r="AB526" s="149" t="n">
        <f aca="false">AB525+'Volumes por intervalo'!Q525</f>
        <v>0</v>
      </c>
      <c r="AC526" s="149" t="n">
        <f aca="false">AC525+'Volumes por intervalo'!R525</f>
        <v>0</v>
      </c>
      <c r="AD526" s="149" t="n">
        <f aca="false">AD525+'Volumes por intervalo'!S525</f>
        <v>0</v>
      </c>
    </row>
    <row r="527" customFormat="false" ht="15" hidden="false" customHeight="false" outlineLevel="0" collapsed="false">
      <c r="A527" s="138" t="s">
        <v>2193</v>
      </c>
      <c r="B527" s="146" t="n">
        <v>522</v>
      </c>
      <c r="C527" s="144" t="n">
        <v>10440</v>
      </c>
      <c r="D527" s="138" t="s">
        <v>1594</v>
      </c>
      <c r="E527" s="138" t="s">
        <v>1566</v>
      </c>
      <c r="F527" s="147" t="n">
        <v>13.1</v>
      </c>
      <c r="G527" s="148" t="n">
        <v>0</v>
      </c>
      <c r="H527" s="148" t="n">
        <v>0</v>
      </c>
      <c r="I527" s="138" t="s">
        <v>1642</v>
      </c>
      <c r="J527" s="138"/>
      <c r="K527" s="146" t="n">
        <f aca="false">Parâmetros!$C$4*(F527+2*Parâmetros!$D$4+Parâmetros!$C$4*Parâmetros!$E$4)</f>
        <v>0.6575</v>
      </c>
      <c r="L527" s="146" t="n">
        <f aca="false">Parâmetros!$C$5*(F527+2*Parâmetros!$D$5+Parâmetros!$C$5*Parâmetros!$E$5)</f>
        <v>2.1536</v>
      </c>
      <c r="M527" s="146" t="n">
        <f aca="false">Parâmetros!$C$6*(F527+2*Parâmetros!$D$6+Parâmetros!$C$6*Parâmetros!$E$6)</f>
        <v>2.804</v>
      </c>
      <c r="N527" s="146" t="n">
        <f aca="false">Parâmetros!$C$7*(F527+2*Parâmetros!$D$7+Parâmetros!$C$7*Parâmetros!$E$7)</f>
        <v>4.416</v>
      </c>
      <c r="O527" s="146" t="n">
        <f aca="false">F527+2*Parâmetros!$D$8</f>
        <v>13.3</v>
      </c>
      <c r="P527" s="146" t="n">
        <f aca="false">F527+2*Parâmetros!$D$10</f>
        <v>15.02</v>
      </c>
      <c r="Q527" s="146" t="n">
        <f aca="false">G527+H527</f>
        <v>0</v>
      </c>
      <c r="S527" s="149" t="n">
        <f aca="false">S526+'Volumes por intervalo'!C526*(F526+F527)/2</f>
        <v>122224.5</v>
      </c>
      <c r="T527" s="149" t="n">
        <f aca="false">T526+'Volumes por intervalo'!H526</f>
        <v>6137.32500000002</v>
      </c>
      <c r="U527" s="149" t="n">
        <f aca="false">U526+'Volumes por intervalo'!J526</f>
        <v>20157.2640000001</v>
      </c>
      <c r="V527" s="149" t="n">
        <f aca="false">V526+'Volumes por intervalo'!K526</f>
        <v>26365.8600000001</v>
      </c>
      <c r="W527" s="149" t="n">
        <f aca="false">W526+'Volumes por intervalo'!L526</f>
        <v>41741.1900000001</v>
      </c>
      <c r="X527" s="149" t="n">
        <f aca="false">X526+'Volumes por intervalo'!M526</f>
        <v>124312.5</v>
      </c>
      <c r="Y527" s="149" t="n">
        <f aca="false">Y526+'Volumes por intervalo'!N526</f>
        <v>124312.5</v>
      </c>
      <c r="Z527" s="149" t="n">
        <f aca="false">Z526+'Volumes por intervalo'!O526</f>
        <v>142269.299999999</v>
      </c>
      <c r="AA527" s="149" t="n">
        <f aca="false">AA526+'Volumes por intervalo'!P526</f>
        <v>0</v>
      </c>
      <c r="AB527" s="149" t="n">
        <f aca="false">AB526+'Volumes por intervalo'!Q526</f>
        <v>0</v>
      </c>
      <c r="AC527" s="149" t="n">
        <f aca="false">AC526+'Volumes por intervalo'!R526</f>
        <v>0</v>
      </c>
      <c r="AD527" s="149" t="n">
        <f aca="false">AD526+'Volumes por intervalo'!S526</f>
        <v>0</v>
      </c>
    </row>
    <row r="528" customFormat="false" ht="15" hidden="false" customHeight="false" outlineLevel="0" collapsed="false">
      <c r="A528" s="138" t="s">
        <v>2194</v>
      </c>
      <c r="B528" s="146" t="n">
        <v>523</v>
      </c>
      <c r="C528" s="144" t="n">
        <v>10460</v>
      </c>
      <c r="D528" s="138" t="s">
        <v>1594</v>
      </c>
      <c r="E528" s="138" t="s">
        <v>1566</v>
      </c>
      <c r="F528" s="147" t="n">
        <v>14</v>
      </c>
      <c r="G528" s="148" t="n">
        <v>0</v>
      </c>
      <c r="H528" s="148" t="n">
        <v>0</v>
      </c>
      <c r="I528" s="138" t="s">
        <v>1642</v>
      </c>
      <c r="J528" s="138" t="s">
        <v>1764</v>
      </c>
      <c r="K528" s="146" t="n">
        <f aca="false">Parâmetros!$C$4*(F528+2*Parâmetros!$D$4+Parâmetros!$C$4*Parâmetros!$E$4)</f>
        <v>0.7025</v>
      </c>
      <c r="L528" s="146" t="n">
        <f aca="false">Parâmetros!$C$5*(F528+2*Parâmetros!$D$5+Parâmetros!$C$5*Parâmetros!$E$5)</f>
        <v>2.2976</v>
      </c>
      <c r="M528" s="146" t="n">
        <f aca="false">Parâmetros!$C$6*(F528+2*Parâmetros!$D$6+Parâmetros!$C$6*Parâmetros!$E$6)</f>
        <v>2.984</v>
      </c>
      <c r="N528" s="146" t="n">
        <f aca="false">Parâmetros!$C$7*(F528+2*Parâmetros!$D$7+Parâmetros!$C$7*Parâmetros!$E$7)</f>
        <v>4.686</v>
      </c>
      <c r="O528" s="146" t="n">
        <f aca="false">F528+2*Parâmetros!$D$8</f>
        <v>14.2</v>
      </c>
      <c r="P528" s="146" t="n">
        <f aca="false">F528+2*Parâmetros!$D$10</f>
        <v>15.92</v>
      </c>
      <c r="Q528" s="146" t="n">
        <f aca="false">G528+H528</f>
        <v>0</v>
      </c>
      <c r="S528" s="149" t="n">
        <f aca="false">S527+'Volumes por intervalo'!C527*(F527+F528)/2</f>
        <v>122495.5</v>
      </c>
      <c r="T528" s="149" t="n">
        <f aca="false">T527+'Volumes por intervalo'!H527</f>
        <v>6150.92500000002</v>
      </c>
      <c r="U528" s="149" t="n">
        <f aca="false">U527+'Volumes por intervalo'!J527</f>
        <v>20201.7760000001</v>
      </c>
      <c r="V528" s="149" t="n">
        <f aca="false">V527+'Volumes por intervalo'!K527</f>
        <v>26423.7400000001</v>
      </c>
      <c r="W528" s="149" t="n">
        <f aca="false">W527+'Volumes por intervalo'!L527</f>
        <v>41832.2100000001</v>
      </c>
      <c r="X528" s="149" t="n">
        <f aca="false">X527+'Volumes por intervalo'!M527</f>
        <v>124587.5</v>
      </c>
      <c r="Y528" s="149" t="n">
        <f aca="false">Y527+'Volumes por intervalo'!N527</f>
        <v>124587.5</v>
      </c>
      <c r="Z528" s="149" t="n">
        <f aca="false">Z527+'Volumes por intervalo'!O527</f>
        <v>142578.699999999</v>
      </c>
      <c r="AA528" s="149" t="n">
        <f aca="false">AA527+'Volumes por intervalo'!P527</f>
        <v>0</v>
      </c>
      <c r="AB528" s="149" t="n">
        <f aca="false">AB527+'Volumes por intervalo'!Q527</f>
        <v>0</v>
      </c>
      <c r="AC528" s="149" t="n">
        <f aca="false">AC527+'Volumes por intervalo'!R527</f>
        <v>0</v>
      </c>
      <c r="AD528" s="149" t="n">
        <f aca="false">AD527+'Volumes por intervalo'!S527</f>
        <v>0</v>
      </c>
    </row>
    <row r="529" customFormat="false" ht="15" hidden="false" customHeight="false" outlineLevel="0" collapsed="false">
      <c r="A529" s="138" t="s">
        <v>2195</v>
      </c>
      <c r="B529" s="146" t="n">
        <v>524</v>
      </c>
      <c r="C529" s="144" t="n">
        <v>10480</v>
      </c>
      <c r="D529" s="138" t="s">
        <v>1594</v>
      </c>
      <c r="E529" s="138" t="s">
        <v>1566</v>
      </c>
      <c r="F529" s="147" t="n">
        <v>13.3</v>
      </c>
      <c r="G529" s="148" t="n">
        <v>0</v>
      </c>
      <c r="H529" s="148" t="n">
        <v>0</v>
      </c>
      <c r="I529" s="138" t="s">
        <v>1642</v>
      </c>
      <c r="J529" s="138" t="s">
        <v>1764</v>
      </c>
      <c r="K529" s="146" t="n">
        <f aca="false">Parâmetros!$C$4*(F529+2*Parâmetros!$D$4+Parâmetros!$C$4*Parâmetros!$E$4)</f>
        <v>0.6675</v>
      </c>
      <c r="L529" s="146" t="n">
        <f aca="false">Parâmetros!$C$5*(F529+2*Parâmetros!$D$5+Parâmetros!$C$5*Parâmetros!$E$5)</f>
        <v>2.1856</v>
      </c>
      <c r="M529" s="146" t="n">
        <f aca="false">Parâmetros!$C$6*(F529+2*Parâmetros!$D$6+Parâmetros!$C$6*Parâmetros!$E$6)</f>
        <v>2.844</v>
      </c>
      <c r="N529" s="146" t="n">
        <f aca="false">Parâmetros!$C$7*(F529+2*Parâmetros!$D$7+Parâmetros!$C$7*Parâmetros!$E$7)</f>
        <v>4.476</v>
      </c>
      <c r="O529" s="146" t="n">
        <f aca="false">F529+2*Parâmetros!$D$8</f>
        <v>13.5</v>
      </c>
      <c r="P529" s="146" t="n">
        <f aca="false">F529+2*Parâmetros!$D$10</f>
        <v>15.22</v>
      </c>
      <c r="Q529" s="146" t="n">
        <f aca="false">G529+H529</f>
        <v>0</v>
      </c>
      <c r="S529" s="149" t="n">
        <f aca="false">S528+'Volumes por intervalo'!C528*(F528+F529)/2</f>
        <v>122768.5</v>
      </c>
      <c r="T529" s="149" t="n">
        <f aca="false">T528+'Volumes por intervalo'!H528</f>
        <v>6164.62500000002</v>
      </c>
      <c r="U529" s="149" t="n">
        <f aca="false">U528+'Volumes por intervalo'!J528</f>
        <v>20246.6080000001</v>
      </c>
      <c r="V529" s="149" t="n">
        <f aca="false">V528+'Volumes por intervalo'!K528</f>
        <v>26482.0200000001</v>
      </c>
      <c r="W529" s="149" t="n">
        <f aca="false">W528+'Volumes por intervalo'!L528</f>
        <v>41923.8300000001</v>
      </c>
      <c r="X529" s="149" t="n">
        <f aca="false">X528+'Volumes por intervalo'!M528</f>
        <v>124864.5</v>
      </c>
      <c r="Y529" s="149" t="n">
        <f aca="false">Y528+'Volumes por intervalo'!N528</f>
        <v>124864.5</v>
      </c>
      <c r="Z529" s="149" t="n">
        <f aca="false">Z528+'Volumes por intervalo'!O528</f>
        <v>142890.099999999</v>
      </c>
      <c r="AA529" s="149" t="n">
        <f aca="false">AA528+'Volumes por intervalo'!P528</f>
        <v>0</v>
      </c>
      <c r="AB529" s="149" t="n">
        <f aca="false">AB528+'Volumes por intervalo'!Q528</f>
        <v>0</v>
      </c>
      <c r="AC529" s="149" t="n">
        <f aca="false">AC528+'Volumes por intervalo'!R528</f>
        <v>0</v>
      </c>
      <c r="AD529" s="149" t="n">
        <f aca="false">AD528+'Volumes por intervalo'!S528</f>
        <v>0</v>
      </c>
    </row>
    <row r="530" customFormat="false" ht="15" hidden="false" customHeight="false" outlineLevel="0" collapsed="false">
      <c r="A530" s="138" t="s">
        <v>2196</v>
      </c>
      <c r="B530" s="146" t="n">
        <v>525</v>
      </c>
      <c r="C530" s="144" t="n">
        <v>10500</v>
      </c>
      <c r="D530" s="138" t="s">
        <v>1594</v>
      </c>
      <c r="E530" s="138" t="s">
        <v>1566</v>
      </c>
      <c r="F530" s="147" t="n">
        <v>11.6</v>
      </c>
      <c r="G530" s="148" t="n">
        <v>0</v>
      </c>
      <c r="H530" s="148" t="n">
        <v>0</v>
      </c>
      <c r="I530" s="138" t="s">
        <v>1642</v>
      </c>
      <c r="J530" s="138" t="s">
        <v>1764</v>
      </c>
      <c r="K530" s="146" t="n">
        <f aca="false">Parâmetros!$C$4*(F530+2*Parâmetros!$D$4+Parâmetros!$C$4*Parâmetros!$E$4)</f>
        <v>0.5825</v>
      </c>
      <c r="L530" s="146" t="n">
        <f aca="false">Parâmetros!$C$5*(F530+2*Parâmetros!$D$5+Parâmetros!$C$5*Parâmetros!$E$5)</f>
        <v>1.9136</v>
      </c>
      <c r="M530" s="146" t="n">
        <f aca="false">Parâmetros!$C$6*(F530+2*Parâmetros!$D$6+Parâmetros!$C$6*Parâmetros!$E$6)</f>
        <v>2.504</v>
      </c>
      <c r="N530" s="146" t="n">
        <f aca="false">Parâmetros!$C$7*(F530+2*Parâmetros!$D$7+Parâmetros!$C$7*Parâmetros!$E$7)</f>
        <v>3.966</v>
      </c>
      <c r="O530" s="146" t="n">
        <f aca="false">F530+2*Parâmetros!$D$8</f>
        <v>11.8</v>
      </c>
      <c r="P530" s="146" t="n">
        <f aca="false">F530+2*Parâmetros!$D$10</f>
        <v>13.52</v>
      </c>
      <c r="Q530" s="146" t="n">
        <f aca="false">G530+H530</f>
        <v>0</v>
      </c>
      <c r="S530" s="149" t="n">
        <f aca="false">S529+'Volumes por intervalo'!C529*(F529+F530)/2</f>
        <v>123017.5</v>
      </c>
      <c r="T530" s="149" t="n">
        <f aca="false">T529+'Volumes por intervalo'!H529</f>
        <v>6177.12500000002</v>
      </c>
      <c r="U530" s="149" t="n">
        <f aca="false">U529+'Volumes por intervalo'!J529</f>
        <v>20287.6000000001</v>
      </c>
      <c r="V530" s="149" t="n">
        <f aca="false">V529+'Volumes por intervalo'!K529</f>
        <v>26535.5000000001</v>
      </c>
      <c r="W530" s="149" t="n">
        <f aca="false">W529+'Volumes por intervalo'!L529</f>
        <v>42008.2500000001</v>
      </c>
      <c r="X530" s="149" t="n">
        <f aca="false">X529+'Volumes por intervalo'!M529</f>
        <v>125117.5</v>
      </c>
      <c r="Y530" s="149" t="n">
        <f aca="false">Y529+'Volumes por intervalo'!N529</f>
        <v>125117.5</v>
      </c>
      <c r="Z530" s="149" t="n">
        <f aca="false">Z529+'Volumes por intervalo'!O529</f>
        <v>143177.499999999</v>
      </c>
      <c r="AA530" s="149" t="n">
        <f aca="false">AA529+'Volumes por intervalo'!P529</f>
        <v>0</v>
      </c>
      <c r="AB530" s="149" t="n">
        <f aca="false">AB529+'Volumes por intervalo'!Q529</f>
        <v>0</v>
      </c>
      <c r="AC530" s="149" t="n">
        <f aca="false">AC529+'Volumes por intervalo'!R529</f>
        <v>0</v>
      </c>
      <c r="AD530" s="149" t="n">
        <f aca="false">AD529+'Volumes por intervalo'!S529</f>
        <v>0</v>
      </c>
    </row>
    <row r="531" customFormat="false" ht="15" hidden="false" customHeight="false" outlineLevel="0" collapsed="false">
      <c r="A531" s="138" t="s">
        <v>2197</v>
      </c>
      <c r="B531" s="146" t="n">
        <v>526</v>
      </c>
      <c r="C531" s="144" t="n">
        <v>10520</v>
      </c>
      <c r="D531" s="138" t="s">
        <v>1594</v>
      </c>
      <c r="E531" s="138" t="s">
        <v>1566</v>
      </c>
      <c r="F531" s="147" t="n">
        <v>11</v>
      </c>
      <c r="G531" s="148" t="n">
        <v>0</v>
      </c>
      <c r="H531" s="148" t="n">
        <v>0</v>
      </c>
      <c r="I531" s="138" t="s">
        <v>1642</v>
      </c>
      <c r="J531" s="138" t="s">
        <v>1764</v>
      </c>
      <c r="K531" s="146" t="n">
        <f aca="false">Parâmetros!$C$4*(F531+2*Parâmetros!$D$4+Parâmetros!$C$4*Parâmetros!$E$4)</f>
        <v>0.5525</v>
      </c>
      <c r="L531" s="146" t="n">
        <f aca="false">Parâmetros!$C$5*(F531+2*Parâmetros!$D$5+Parâmetros!$C$5*Parâmetros!$E$5)</f>
        <v>1.8176</v>
      </c>
      <c r="M531" s="146" t="n">
        <f aca="false">Parâmetros!$C$6*(F531+2*Parâmetros!$D$6+Parâmetros!$C$6*Parâmetros!$E$6)</f>
        <v>2.384</v>
      </c>
      <c r="N531" s="146" t="n">
        <f aca="false">Parâmetros!$C$7*(F531+2*Parâmetros!$D$7+Parâmetros!$C$7*Parâmetros!$E$7)</f>
        <v>3.786</v>
      </c>
      <c r="O531" s="146" t="n">
        <f aca="false">F531+2*Parâmetros!$D$8</f>
        <v>11.2</v>
      </c>
      <c r="P531" s="146" t="n">
        <f aca="false">F531+2*Parâmetros!$D$10</f>
        <v>12.92</v>
      </c>
      <c r="Q531" s="146" t="n">
        <f aca="false">G531+H531</f>
        <v>0</v>
      </c>
      <c r="S531" s="149" t="n">
        <f aca="false">S530+'Volumes por intervalo'!C530*(F530+F531)/2</f>
        <v>123243.5</v>
      </c>
      <c r="T531" s="149" t="n">
        <f aca="false">T530+'Volumes por intervalo'!H530</f>
        <v>6188.47500000002</v>
      </c>
      <c r="U531" s="149" t="n">
        <f aca="false">U530+'Volumes por intervalo'!J530</f>
        <v>20324.9120000001</v>
      </c>
      <c r="V531" s="149" t="n">
        <f aca="false">V530+'Volumes por intervalo'!K530</f>
        <v>26584.3800000001</v>
      </c>
      <c r="W531" s="149" t="n">
        <f aca="false">W530+'Volumes por intervalo'!L530</f>
        <v>42085.7700000001</v>
      </c>
      <c r="X531" s="149" t="n">
        <f aca="false">X530+'Volumes por intervalo'!M530</f>
        <v>125347.5</v>
      </c>
      <c r="Y531" s="149" t="n">
        <f aca="false">Y530+'Volumes por intervalo'!N530</f>
        <v>125347.5</v>
      </c>
      <c r="Z531" s="149" t="n">
        <f aca="false">Z530+'Volumes por intervalo'!O530</f>
        <v>143441.899999999</v>
      </c>
      <c r="AA531" s="149" t="n">
        <f aca="false">AA530+'Volumes por intervalo'!P530</f>
        <v>0</v>
      </c>
      <c r="AB531" s="149" t="n">
        <f aca="false">AB530+'Volumes por intervalo'!Q530</f>
        <v>0</v>
      </c>
      <c r="AC531" s="149" t="n">
        <f aca="false">AC530+'Volumes por intervalo'!R530</f>
        <v>0</v>
      </c>
      <c r="AD531" s="149" t="n">
        <f aca="false">AD530+'Volumes por intervalo'!S530</f>
        <v>0</v>
      </c>
    </row>
    <row r="532" customFormat="false" ht="15" hidden="false" customHeight="false" outlineLevel="0" collapsed="false">
      <c r="A532" s="138" t="s">
        <v>2198</v>
      </c>
      <c r="B532" s="146" t="n">
        <v>527</v>
      </c>
      <c r="C532" s="144" t="n">
        <v>10540</v>
      </c>
      <c r="D532" s="138" t="s">
        <v>1594</v>
      </c>
      <c r="E532" s="138" t="s">
        <v>1566</v>
      </c>
      <c r="F532" s="147" t="n">
        <v>11</v>
      </c>
      <c r="G532" s="148" t="n">
        <v>0</v>
      </c>
      <c r="H532" s="148" t="n">
        <v>0</v>
      </c>
      <c r="I532" s="138" t="s">
        <v>1642</v>
      </c>
      <c r="J532" s="138" t="s">
        <v>1764</v>
      </c>
      <c r="K532" s="146" t="n">
        <f aca="false">Parâmetros!$C$4*(F532+2*Parâmetros!$D$4+Parâmetros!$C$4*Parâmetros!$E$4)</f>
        <v>0.5525</v>
      </c>
      <c r="L532" s="146" t="n">
        <f aca="false">Parâmetros!$C$5*(F532+2*Parâmetros!$D$5+Parâmetros!$C$5*Parâmetros!$E$5)</f>
        <v>1.8176</v>
      </c>
      <c r="M532" s="146" t="n">
        <f aca="false">Parâmetros!$C$6*(F532+2*Parâmetros!$D$6+Parâmetros!$C$6*Parâmetros!$E$6)</f>
        <v>2.384</v>
      </c>
      <c r="N532" s="146" t="n">
        <f aca="false">Parâmetros!$C$7*(F532+2*Parâmetros!$D$7+Parâmetros!$C$7*Parâmetros!$E$7)</f>
        <v>3.786</v>
      </c>
      <c r="O532" s="146" t="n">
        <f aca="false">F532+2*Parâmetros!$D$8</f>
        <v>11.2</v>
      </c>
      <c r="P532" s="146" t="n">
        <f aca="false">F532+2*Parâmetros!$D$10</f>
        <v>12.92</v>
      </c>
      <c r="Q532" s="146" t="n">
        <f aca="false">G532+H532</f>
        <v>0</v>
      </c>
      <c r="S532" s="149" t="n">
        <f aca="false">S531+'Volumes por intervalo'!C531*(F531+F532)/2</f>
        <v>123463.5</v>
      </c>
      <c r="T532" s="149" t="n">
        <f aca="false">T531+'Volumes por intervalo'!H531</f>
        <v>6199.52500000002</v>
      </c>
      <c r="U532" s="149" t="n">
        <f aca="false">U531+'Volumes por intervalo'!J531</f>
        <v>20361.2640000001</v>
      </c>
      <c r="V532" s="149" t="n">
        <f aca="false">V531+'Volumes por intervalo'!K531</f>
        <v>26632.0600000001</v>
      </c>
      <c r="W532" s="149" t="n">
        <f aca="false">W531+'Volumes por intervalo'!L531</f>
        <v>42161.4900000001</v>
      </c>
      <c r="X532" s="149" t="n">
        <f aca="false">X531+'Volumes por intervalo'!M531</f>
        <v>125571.5</v>
      </c>
      <c r="Y532" s="149" t="n">
        <f aca="false">Y531+'Volumes por intervalo'!N531</f>
        <v>125571.5</v>
      </c>
      <c r="Z532" s="149" t="n">
        <f aca="false">Z531+'Volumes por intervalo'!O531</f>
        <v>143700.299999999</v>
      </c>
      <c r="AA532" s="149" t="n">
        <f aca="false">AA531+'Volumes por intervalo'!P531</f>
        <v>0</v>
      </c>
      <c r="AB532" s="149" t="n">
        <f aca="false">AB531+'Volumes por intervalo'!Q531</f>
        <v>0</v>
      </c>
      <c r="AC532" s="149" t="n">
        <f aca="false">AC531+'Volumes por intervalo'!R531</f>
        <v>0</v>
      </c>
      <c r="AD532" s="149" t="n">
        <f aca="false">AD531+'Volumes por intervalo'!S531</f>
        <v>0</v>
      </c>
    </row>
    <row r="533" customFormat="false" ht="15" hidden="false" customHeight="false" outlineLevel="0" collapsed="false">
      <c r="A533" s="138" t="s">
        <v>2199</v>
      </c>
      <c r="B533" s="146" t="n">
        <v>528</v>
      </c>
      <c r="C533" s="144" t="n">
        <v>10560</v>
      </c>
      <c r="D533" s="138" t="s">
        <v>1594</v>
      </c>
      <c r="E533" s="138" t="s">
        <v>1566</v>
      </c>
      <c r="F533" s="147" t="n">
        <v>11</v>
      </c>
      <c r="G533" s="148" t="n">
        <v>0</v>
      </c>
      <c r="H533" s="148" t="n">
        <v>0</v>
      </c>
      <c r="I533" s="138" t="s">
        <v>1642</v>
      </c>
      <c r="J533" s="138"/>
      <c r="K533" s="146" t="n">
        <f aca="false">Parâmetros!$C$4*(F533+2*Parâmetros!$D$4+Parâmetros!$C$4*Parâmetros!$E$4)</f>
        <v>0.5525</v>
      </c>
      <c r="L533" s="146" t="n">
        <f aca="false">Parâmetros!$C$5*(F533+2*Parâmetros!$D$5+Parâmetros!$C$5*Parâmetros!$E$5)</f>
        <v>1.8176</v>
      </c>
      <c r="M533" s="146" t="n">
        <f aca="false">Parâmetros!$C$6*(F533+2*Parâmetros!$D$6+Parâmetros!$C$6*Parâmetros!$E$6)</f>
        <v>2.384</v>
      </c>
      <c r="N533" s="146" t="n">
        <f aca="false">Parâmetros!$C$7*(F533+2*Parâmetros!$D$7+Parâmetros!$C$7*Parâmetros!$E$7)</f>
        <v>3.786</v>
      </c>
      <c r="O533" s="146" t="n">
        <f aca="false">F533+2*Parâmetros!$D$8</f>
        <v>11.2</v>
      </c>
      <c r="P533" s="146" t="n">
        <f aca="false">F533+2*Parâmetros!$D$10</f>
        <v>12.92</v>
      </c>
      <c r="Q533" s="146" t="n">
        <f aca="false">G533+H533</f>
        <v>0</v>
      </c>
      <c r="S533" s="149" t="n">
        <f aca="false">S532+'Volumes por intervalo'!C532*(F532+F533)/2</f>
        <v>123683.5</v>
      </c>
      <c r="T533" s="149" t="n">
        <f aca="false">T532+'Volumes por intervalo'!H532</f>
        <v>6210.57500000002</v>
      </c>
      <c r="U533" s="149" t="n">
        <f aca="false">U532+'Volumes por intervalo'!J532</f>
        <v>20397.6160000001</v>
      </c>
      <c r="V533" s="149" t="n">
        <f aca="false">V532+'Volumes por intervalo'!K532</f>
        <v>26679.7400000001</v>
      </c>
      <c r="W533" s="149" t="n">
        <f aca="false">W532+'Volumes por intervalo'!L532</f>
        <v>42237.2100000001</v>
      </c>
      <c r="X533" s="149" t="n">
        <f aca="false">X532+'Volumes por intervalo'!M532</f>
        <v>125795.5</v>
      </c>
      <c r="Y533" s="149" t="n">
        <f aca="false">Y532+'Volumes por intervalo'!N532</f>
        <v>125795.5</v>
      </c>
      <c r="Z533" s="149" t="n">
        <f aca="false">Z532+'Volumes por intervalo'!O532</f>
        <v>143958.699999999</v>
      </c>
      <c r="AA533" s="149" t="n">
        <f aca="false">AA532+'Volumes por intervalo'!P532</f>
        <v>0</v>
      </c>
      <c r="AB533" s="149" t="n">
        <f aca="false">AB532+'Volumes por intervalo'!Q532</f>
        <v>0</v>
      </c>
      <c r="AC533" s="149" t="n">
        <f aca="false">AC532+'Volumes por intervalo'!R532</f>
        <v>0</v>
      </c>
      <c r="AD533" s="149" t="n">
        <f aca="false">AD532+'Volumes por intervalo'!S532</f>
        <v>0</v>
      </c>
    </row>
    <row r="534" customFormat="false" ht="15" hidden="false" customHeight="false" outlineLevel="0" collapsed="false">
      <c r="A534" s="138" t="s">
        <v>2200</v>
      </c>
      <c r="B534" s="146" t="n">
        <v>529</v>
      </c>
      <c r="C534" s="144" t="n">
        <v>10580</v>
      </c>
      <c r="D534" s="138" t="s">
        <v>1594</v>
      </c>
      <c r="E534" s="138" t="s">
        <v>1566</v>
      </c>
      <c r="F534" s="147" t="n">
        <v>11</v>
      </c>
      <c r="G534" s="148" t="n">
        <v>0</v>
      </c>
      <c r="H534" s="148" t="n">
        <v>0</v>
      </c>
      <c r="I534" s="138" t="s">
        <v>1642</v>
      </c>
      <c r="J534" s="138"/>
      <c r="K534" s="146" t="n">
        <f aca="false">Parâmetros!$C$4*(F534+2*Parâmetros!$D$4+Parâmetros!$C$4*Parâmetros!$E$4)</f>
        <v>0.5525</v>
      </c>
      <c r="L534" s="146" t="n">
        <f aca="false">Parâmetros!$C$5*(F534+2*Parâmetros!$D$5+Parâmetros!$C$5*Parâmetros!$E$5)</f>
        <v>1.8176</v>
      </c>
      <c r="M534" s="146" t="n">
        <f aca="false">Parâmetros!$C$6*(F534+2*Parâmetros!$D$6+Parâmetros!$C$6*Parâmetros!$E$6)</f>
        <v>2.384</v>
      </c>
      <c r="N534" s="146" t="n">
        <f aca="false">Parâmetros!$C$7*(F534+2*Parâmetros!$D$7+Parâmetros!$C$7*Parâmetros!$E$7)</f>
        <v>3.786</v>
      </c>
      <c r="O534" s="146" t="n">
        <f aca="false">F534+2*Parâmetros!$D$8</f>
        <v>11.2</v>
      </c>
      <c r="P534" s="146" t="n">
        <f aca="false">F534+2*Parâmetros!$D$10</f>
        <v>12.92</v>
      </c>
      <c r="Q534" s="146" t="n">
        <f aca="false">G534+H534</f>
        <v>0</v>
      </c>
      <c r="S534" s="149" t="n">
        <f aca="false">S533+'Volumes por intervalo'!C533*(F533+F534)/2</f>
        <v>123903.5</v>
      </c>
      <c r="T534" s="149" t="n">
        <f aca="false">T533+'Volumes por intervalo'!H533</f>
        <v>6221.62500000003</v>
      </c>
      <c r="U534" s="149" t="n">
        <f aca="false">U533+'Volumes por intervalo'!J533</f>
        <v>20433.9680000001</v>
      </c>
      <c r="V534" s="149" t="n">
        <f aca="false">V533+'Volumes por intervalo'!K533</f>
        <v>26727.4200000001</v>
      </c>
      <c r="W534" s="149" t="n">
        <f aca="false">W533+'Volumes por intervalo'!L533</f>
        <v>42312.9300000001</v>
      </c>
      <c r="X534" s="149" t="n">
        <f aca="false">X533+'Volumes por intervalo'!M533</f>
        <v>126019.5</v>
      </c>
      <c r="Y534" s="149" t="n">
        <f aca="false">Y533+'Volumes por intervalo'!N533</f>
        <v>126019.5</v>
      </c>
      <c r="Z534" s="149" t="n">
        <f aca="false">Z533+'Volumes por intervalo'!O533</f>
        <v>144217.099999999</v>
      </c>
      <c r="AA534" s="149" t="n">
        <f aca="false">AA533+'Volumes por intervalo'!P533</f>
        <v>0</v>
      </c>
      <c r="AB534" s="149" t="n">
        <f aca="false">AB533+'Volumes por intervalo'!Q533</f>
        <v>0</v>
      </c>
      <c r="AC534" s="149" t="n">
        <f aca="false">AC533+'Volumes por intervalo'!R533</f>
        <v>0</v>
      </c>
      <c r="AD534" s="149" t="n">
        <f aca="false">AD533+'Volumes por intervalo'!S533</f>
        <v>0</v>
      </c>
    </row>
    <row r="535" customFormat="false" ht="15" hidden="false" customHeight="false" outlineLevel="0" collapsed="false">
      <c r="A535" s="138" t="s">
        <v>2201</v>
      </c>
      <c r="B535" s="146" t="n">
        <v>530</v>
      </c>
      <c r="C535" s="144" t="n">
        <v>10600</v>
      </c>
      <c r="D535" s="138" t="s">
        <v>1594</v>
      </c>
      <c r="E535" s="138" t="s">
        <v>1566</v>
      </c>
      <c r="F535" s="147" t="n">
        <v>11</v>
      </c>
      <c r="G535" s="148" t="n">
        <v>0</v>
      </c>
      <c r="H535" s="148" t="n">
        <v>0</v>
      </c>
      <c r="I535" s="138" t="s">
        <v>1642</v>
      </c>
      <c r="J535" s="138"/>
      <c r="K535" s="146" t="n">
        <f aca="false">Parâmetros!$C$4*(F535+2*Parâmetros!$D$4+Parâmetros!$C$4*Parâmetros!$E$4)</f>
        <v>0.5525</v>
      </c>
      <c r="L535" s="146" t="n">
        <f aca="false">Parâmetros!$C$5*(F535+2*Parâmetros!$D$5+Parâmetros!$C$5*Parâmetros!$E$5)</f>
        <v>1.8176</v>
      </c>
      <c r="M535" s="146" t="n">
        <f aca="false">Parâmetros!$C$6*(F535+2*Parâmetros!$D$6+Parâmetros!$C$6*Parâmetros!$E$6)</f>
        <v>2.384</v>
      </c>
      <c r="N535" s="146" t="n">
        <f aca="false">Parâmetros!$C$7*(F535+2*Parâmetros!$D$7+Parâmetros!$C$7*Parâmetros!$E$7)</f>
        <v>3.786</v>
      </c>
      <c r="O535" s="146" t="n">
        <f aca="false">F535+2*Parâmetros!$D$8</f>
        <v>11.2</v>
      </c>
      <c r="P535" s="146" t="n">
        <f aca="false">F535+2*Parâmetros!$D$10</f>
        <v>12.92</v>
      </c>
      <c r="Q535" s="146" t="n">
        <f aca="false">G535+H535</f>
        <v>0</v>
      </c>
      <c r="S535" s="149" t="n">
        <f aca="false">S534+'Volumes por intervalo'!C534*(F534+F535)/2</f>
        <v>124123.5</v>
      </c>
      <c r="T535" s="149" t="n">
        <f aca="false">T534+'Volumes por intervalo'!H534</f>
        <v>6232.67500000003</v>
      </c>
      <c r="U535" s="149" t="n">
        <f aca="false">U534+'Volumes por intervalo'!J534</f>
        <v>20470.3200000001</v>
      </c>
      <c r="V535" s="149" t="n">
        <f aca="false">V534+'Volumes por intervalo'!K534</f>
        <v>26775.1000000001</v>
      </c>
      <c r="W535" s="149" t="n">
        <f aca="false">W534+'Volumes por intervalo'!L534</f>
        <v>42388.6500000001</v>
      </c>
      <c r="X535" s="149" t="n">
        <f aca="false">X534+'Volumes por intervalo'!M534</f>
        <v>126243.5</v>
      </c>
      <c r="Y535" s="149" t="n">
        <f aca="false">Y534+'Volumes por intervalo'!N534</f>
        <v>126243.5</v>
      </c>
      <c r="Z535" s="149" t="n">
        <f aca="false">Z534+'Volumes por intervalo'!O534</f>
        <v>144475.499999999</v>
      </c>
      <c r="AA535" s="149" t="n">
        <f aca="false">AA534+'Volumes por intervalo'!P534</f>
        <v>0</v>
      </c>
      <c r="AB535" s="149" t="n">
        <f aca="false">AB534+'Volumes por intervalo'!Q534</f>
        <v>0</v>
      </c>
      <c r="AC535" s="149" t="n">
        <f aca="false">AC534+'Volumes por intervalo'!R534</f>
        <v>0</v>
      </c>
      <c r="AD535" s="149" t="n">
        <f aca="false">AD534+'Volumes por intervalo'!S534</f>
        <v>0</v>
      </c>
    </row>
    <row r="536" customFormat="false" ht="15" hidden="false" customHeight="false" outlineLevel="0" collapsed="false">
      <c r="A536" s="138" t="s">
        <v>2202</v>
      </c>
      <c r="B536" s="146" t="n">
        <v>531</v>
      </c>
      <c r="C536" s="144" t="n">
        <v>10620</v>
      </c>
      <c r="D536" s="138" t="s">
        <v>1594</v>
      </c>
      <c r="E536" s="138" t="s">
        <v>1566</v>
      </c>
      <c r="F536" s="147" t="n">
        <v>11</v>
      </c>
      <c r="G536" s="148" t="n">
        <v>0</v>
      </c>
      <c r="H536" s="148" t="n">
        <v>0</v>
      </c>
      <c r="I536" s="138" t="s">
        <v>1642</v>
      </c>
      <c r="J536" s="138"/>
      <c r="K536" s="146" t="n">
        <f aca="false">Parâmetros!$C$4*(F536+2*Parâmetros!$D$4+Parâmetros!$C$4*Parâmetros!$E$4)</f>
        <v>0.5525</v>
      </c>
      <c r="L536" s="146" t="n">
        <f aca="false">Parâmetros!$C$5*(F536+2*Parâmetros!$D$5+Parâmetros!$C$5*Parâmetros!$E$5)</f>
        <v>1.8176</v>
      </c>
      <c r="M536" s="146" t="n">
        <f aca="false">Parâmetros!$C$6*(F536+2*Parâmetros!$D$6+Parâmetros!$C$6*Parâmetros!$E$6)</f>
        <v>2.384</v>
      </c>
      <c r="N536" s="146" t="n">
        <f aca="false">Parâmetros!$C$7*(F536+2*Parâmetros!$D$7+Parâmetros!$C$7*Parâmetros!$E$7)</f>
        <v>3.786</v>
      </c>
      <c r="O536" s="146" t="n">
        <f aca="false">F536+2*Parâmetros!$D$8</f>
        <v>11.2</v>
      </c>
      <c r="P536" s="146" t="n">
        <f aca="false">F536+2*Parâmetros!$D$10</f>
        <v>12.92</v>
      </c>
      <c r="Q536" s="146" t="n">
        <f aca="false">G536+H536</f>
        <v>0</v>
      </c>
      <c r="S536" s="149" t="n">
        <f aca="false">S535+'Volumes por intervalo'!C535*(F535+F536)/2</f>
        <v>124343.5</v>
      </c>
      <c r="T536" s="149" t="n">
        <f aca="false">T535+'Volumes por intervalo'!H535</f>
        <v>6243.72500000003</v>
      </c>
      <c r="U536" s="149" t="n">
        <f aca="false">U535+'Volumes por intervalo'!J535</f>
        <v>20506.6720000001</v>
      </c>
      <c r="V536" s="149" t="n">
        <f aca="false">V535+'Volumes por intervalo'!K535</f>
        <v>26822.7800000001</v>
      </c>
      <c r="W536" s="149" t="n">
        <f aca="false">W535+'Volumes por intervalo'!L535</f>
        <v>42464.3700000001</v>
      </c>
      <c r="X536" s="149" t="n">
        <f aca="false">X535+'Volumes por intervalo'!M535</f>
        <v>126467.5</v>
      </c>
      <c r="Y536" s="149" t="n">
        <f aca="false">Y535+'Volumes por intervalo'!N535</f>
        <v>126467.5</v>
      </c>
      <c r="Z536" s="149" t="n">
        <f aca="false">Z535+'Volumes por intervalo'!O535</f>
        <v>144733.899999999</v>
      </c>
      <c r="AA536" s="149" t="n">
        <f aca="false">AA535+'Volumes por intervalo'!P535</f>
        <v>0</v>
      </c>
      <c r="AB536" s="149" t="n">
        <f aca="false">AB535+'Volumes por intervalo'!Q535</f>
        <v>0</v>
      </c>
      <c r="AC536" s="149" t="n">
        <f aca="false">AC535+'Volumes por intervalo'!R535</f>
        <v>0</v>
      </c>
      <c r="AD536" s="149" t="n">
        <f aca="false">AD535+'Volumes por intervalo'!S535</f>
        <v>0</v>
      </c>
    </row>
    <row r="537" customFormat="false" ht="15" hidden="false" customHeight="false" outlineLevel="0" collapsed="false">
      <c r="A537" s="138" t="s">
        <v>2203</v>
      </c>
      <c r="B537" s="146" t="n">
        <v>532</v>
      </c>
      <c r="C537" s="144" t="n">
        <v>10640</v>
      </c>
      <c r="D537" s="138" t="s">
        <v>1594</v>
      </c>
      <c r="E537" s="138" t="s">
        <v>1566</v>
      </c>
      <c r="F537" s="147" t="n">
        <v>11</v>
      </c>
      <c r="G537" s="148" t="n">
        <v>0</v>
      </c>
      <c r="H537" s="148" t="n">
        <v>0</v>
      </c>
      <c r="I537" s="138" t="s">
        <v>1642</v>
      </c>
      <c r="J537" s="138"/>
      <c r="K537" s="146" t="n">
        <f aca="false">Parâmetros!$C$4*(F537+2*Parâmetros!$D$4+Parâmetros!$C$4*Parâmetros!$E$4)</f>
        <v>0.5525</v>
      </c>
      <c r="L537" s="146" t="n">
        <f aca="false">Parâmetros!$C$5*(F537+2*Parâmetros!$D$5+Parâmetros!$C$5*Parâmetros!$E$5)</f>
        <v>1.8176</v>
      </c>
      <c r="M537" s="146" t="n">
        <f aca="false">Parâmetros!$C$6*(F537+2*Parâmetros!$D$6+Parâmetros!$C$6*Parâmetros!$E$6)</f>
        <v>2.384</v>
      </c>
      <c r="N537" s="146" t="n">
        <f aca="false">Parâmetros!$C$7*(F537+2*Parâmetros!$D$7+Parâmetros!$C$7*Parâmetros!$E$7)</f>
        <v>3.786</v>
      </c>
      <c r="O537" s="146" t="n">
        <f aca="false">F537+2*Parâmetros!$D$8</f>
        <v>11.2</v>
      </c>
      <c r="P537" s="146" t="n">
        <f aca="false">F537+2*Parâmetros!$D$10</f>
        <v>12.92</v>
      </c>
      <c r="Q537" s="146" t="n">
        <f aca="false">G537+H537</f>
        <v>0</v>
      </c>
      <c r="S537" s="149" t="n">
        <f aca="false">S536+'Volumes por intervalo'!C536*(F536+F537)/2</f>
        <v>124563.5</v>
      </c>
      <c r="T537" s="149" t="n">
        <f aca="false">T536+'Volumes por intervalo'!H536</f>
        <v>6254.77500000003</v>
      </c>
      <c r="U537" s="149" t="n">
        <f aca="false">U536+'Volumes por intervalo'!J536</f>
        <v>20543.0240000001</v>
      </c>
      <c r="V537" s="149" t="n">
        <f aca="false">V536+'Volumes por intervalo'!K536</f>
        <v>26870.4600000001</v>
      </c>
      <c r="W537" s="149" t="n">
        <f aca="false">W536+'Volumes por intervalo'!L536</f>
        <v>42540.0900000001</v>
      </c>
      <c r="X537" s="149" t="n">
        <f aca="false">X536+'Volumes por intervalo'!M536</f>
        <v>126691.5</v>
      </c>
      <c r="Y537" s="149" t="n">
        <f aca="false">Y536+'Volumes por intervalo'!N536</f>
        <v>126691.5</v>
      </c>
      <c r="Z537" s="149" t="n">
        <f aca="false">Z536+'Volumes por intervalo'!O536</f>
        <v>144992.299999999</v>
      </c>
      <c r="AA537" s="149" t="n">
        <f aca="false">AA536+'Volumes por intervalo'!P536</f>
        <v>0</v>
      </c>
      <c r="AB537" s="149" t="n">
        <f aca="false">AB536+'Volumes por intervalo'!Q536</f>
        <v>0</v>
      </c>
      <c r="AC537" s="149" t="n">
        <f aca="false">AC536+'Volumes por intervalo'!R536</f>
        <v>0</v>
      </c>
      <c r="AD537" s="149" t="n">
        <f aca="false">AD536+'Volumes por intervalo'!S536</f>
        <v>0</v>
      </c>
    </row>
    <row r="538" customFormat="false" ht="15" hidden="false" customHeight="false" outlineLevel="0" collapsed="false">
      <c r="A538" s="138" t="s">
        <v>2204</v>
      </c>
      <c r="B538" s="146" t="n">
        <v>533</v>
      </c>
      <c r="C538" s="144" t="n">
        <v>10660</v>
      </c>
      <c r="D538" s="138" t="s">
        <v>1594</v>
      </c>
      <c r="E538" s="138" t="s">
        <v>1566</v>
      </c>
      <c r="F538" s="147" t="n">
        <v>11</v>
      </c>
      <c r="G538" s="148" t="n">
        <v>0</v>
      </c>
      <c r="H538" s="148" t="n">
        <v>0</v>
      </c>
      <c r="I538" s="138" t="s">
        <v>1642</v>
      </c>
      <c r="J538" s="138"/>
      <c r="K538" s="146" t="n">
        <f aca="false">Parâmetros!$C$4*(F538+2*Parâmetros!$D$4+Parâmetros!$C$4*Parâmetros!$E$4)</f>
        <v>0.5525</v>
      </c>
      <c r="L538" s="146" t="n">
        <f aca="false">Parâmetros!$C$5*(F538+2*Parâmetros!$D$5+Parâmetros!$C$5*Parâmetros!$E$5)</f>
        <v>1.8176</v>
      </c>
      <c r="M538" s="146" t="n">
        <f aca="false">Parâmetros!$C$6*(F538+2*Parâmetros!$D$6+Parâmetros!$C$6*Parâmetros!$E$6)</f>
        <v>2.384</v>
      </c>
      <c r="N538" s="146" t="n">
        <f aca="false">Parâmetros!$C$7*(F538+2*Parâmetros!$D$7+Parâmetros!$C$7*Parâmetros!$E$7)</f>
        <v>3.786</v>
      </c>
      <c r="O538" s="146" t="n">
        <f aca="false">F538+2*Parâmetros!$D$8</f>
        <v>11.2</v>
      </c>
      <c r="P538" s="146" t="n">
        <f aca="false">F538+2*Parâmetros!$D$10</f>
        <v>12.92</v>
      </c>
      <c r="Q538" s="146" t="n">
        <f aca="false">G538+H538</f>
        <v>0</v>
      </c>
      <c r="S538" s="149" t="n">
        <f aca="false">S537+'Volumes por intervalo'!C537*(F537+F538)/2</f>
        <v>124783.5</v>
      </c>
      <c r="T538" s="149" t="n">
        <f aca="false">T537+'Volumes por intervalo'!H537</f>
        <v>6265.82500000003</v>
      </c>
      <c r="U538" s="149" t="n">
        <f aca="false">U537+'Volumes por intervalo'!J537</f>
        <v>20579.3760000001</v>
      </c>
      <c r="V538" s="149" t="n">
        <f aca="false">V537+'Volumes por intervalo'!K537</f>
        <v>26918.1400000001</v>
      </c>
      <c r="W538" s="149" t="n">
        <f aca="false">W537+'Volumes por intervalo'!L537</f>
        <v>42615.8100000001</v>
      </c>
      <c r="X538" s="149" t="n">
        <f aca="false">X537+'Volumes por intervalo'!M537</f>
        <v>126915.5</v>
      </c>
      <c r="Y538" s="149" t="n">
        <f aca="false">Y537+'Volumes por intervalo'!N537</f>
        <v>126915.5</v>
      </c>
      <c r="Z538" s="149" t="n">
        <f aca="false">Z537+'Volumes por intervalo'!O537</f>
        <v>145250.699999999</v>
      </c>
      <c r="AA538" s="149" t="n">
        <f aca="false">AA537+'Volumes por intervalo'!P537</f>
        <v>0</v>
      </c>
      <c r="AB538" s="149" t="n">
        <f aca="false">AB537+'Volumes por intervalo'!Q537</f>
        <v>0</v>
      </c>
      <c r="AC538" s="149" t="n">
        <f aca="false">AC537+'Volumes por intervalo'!R537</f>
        <v>0</v>
      </c>
      <c r="AD538" s="149" t="n">
        <f aca="false">AD537+'Volumes por intervalo'!S537</f>
        <v>0</v>
      </c>
    </row>
    <row r="539" customFormat="false" ht="15" hidden="false" customHeight="false" outlineLevel="0" collapsed="false">
      <c r="A539" s="138" t="s">
        <v>2205</v>
      </c>
      <c r="B539" s="146" t="n">
        <v>534</v>
      </c>
      <c r="C539" s="144" t="n">
        <v>10680</v>
      </c>
      <c r="D539" s="138" t="s">
        <v>1594</v>
      </c>
      <c r="E539" s="138" t="s">
        <v>1566</v>
      </c>
      <c r="F539" s="147" t="n">
        <v>11</v>
      </c>
      <c r="G539" s="148" t="n">
        <v>0</v>
      </c>
      <c r="H539" s="148" t="n">
        <v>0</v>
      </c>
      <c r="I539" s="138" t="s">
        <v>1642</v>
      </c>
      <c r="J539" s="138"/>
      <c r="K539" s="146" t="n">
        <f aca="false">Parâmetros!$C$4*(F539+2*Parâmetros!$D$4+Parâmetros!$C$4*Parâmetros!$E$4)</f>
        <v>0.5525</v>
      </c>
      <c r="L539" s="146" t="n">
        <f aca="false">Parâmetros!$C$5*(F539+2*Parâmetros!$D$5+Parâmetros!$C$5*Parâmetros!$E$5)</f>
        <v>1.8176</v>
      </c>
      <c r="M539" s="146" t="n">
        <f aca="false">Parâmetros!$C$6*(F539+2*Parâmetros!$D$6+Parâmetros!$C$6*Parâmetros!$E$6)</f>
        <v>2.384</v>
      </c>
      <c r="N539" s="146" t="n">
        <f aca="false">Parâmetros!$C$7*(F539+2*Parâmetros!$D$7+Parâmetros!$C$7*Parâmetros!$E$7)</f>
        <v>3.786</v>
      </c>
      <c r="O539" s="146" t="n">
        <f aca="false">F539+2*Parâmetros!$D$8</f>
        <v>11.2</v>
      </c>
      <c r="P539" s="146" t="n">
        <f aca="false">F539+2*Parâmetros!$D$10</f>
        <v>12.92</v>
      </c>
      <c r="Q539" s="146" t="n">
        <f aca="false">G539+H539</f>
        <v>0</v>
      </c>
      <c r="S539" s="149" t="n">
        <f aca="false">S538+'Volumes por intervalo'!C538*(F538+F539)/2</f>
        <v>125003.5</v>
      </c>
      <c r="T539" s="149" t="n">
        <f aca="false">T538+'Volumes por intervalo'!H538</f>
        <v>6276.87500000003</v>
      </c>
      <c r="U539" s="149" t="n">
        <f aca="false">U538+'Volumes por intervalo'!J538</f>
        <v>20615.7280000001</v>
      </c>
      <c r="V539" s="149" t="n">
        <f aca="false">V538+'Volumes por intervalo'!K538</f>
        <v>26965.8200000001</v>
      </c>
      <c r="W539" s="149" t="n">
        <f aca="false">W538+'Volumes por intervalo'!L538</f>
        <v>42691.5300000001</v>
      </c>
      <c r="X539" s="149" t="n">
        <f aca="false">X538+'Volumes por intervalo'!M538</f>
        <v>127139.5</v>
      </c>
      <c r="Y539" s="149" t="n">
        <f aca="false">Y538+'Volumes por intervalo'!N538</f>
        <v>127139.5</v>
      </c>
      <c r="Z539" s="149" t="n">
        <f aca="false">Z538+'Volumes por intervalo'!O538</f>
        <v>145509.099999999</v>
      </c>
      <c r="AA539" s="149" t="n">
        <f aca="false">AA538+'Volumes por intervalo'!P538</f>
        <v>0</v>
      </c>
      <c r="AB539" s="149" t="n">
        <f aca="false">AB538+'Volumes por intervalo'!Q538</f>
        <v>0</v>
      </c>
      <c r="AC539" s="149" t="n">
        <f aca="false">AC538+'Volumes por intervalo'!R538</f>
        <v>0</v>
      </c>
      <c r="AD539" s="149" t="n">
        <f aca="false">AD538+'Volumes por intervalo'!S538</f>
        <v>0</v>
      </c>
    </row>
    <row r="540" customFormat="false" ht="15" hidden="false" customHeight="false" outlineLevel="0" collapsed="false">
      <c r="A540" s="138" t="s">
        <v>2206</v>
      </c>
      <c r="B540" s="146" t="n">
        <v>535</v>
      </c>
      <c r="C540" s="144" t="n">
        <v>10700</v>
      </c>
      <c r="D540" s="138" t="s">
        <v>1594</v>
      </c>
      <c r="E540" s="138" t="s">
        <v>1566</v>
      </c>
      <c r="F540" s="147" t="n">
        <v>11</v>
      </c>
      <c r="G540" s="148" t="n">
        <v>0</v>
      </c>
      <c r="H540" s="148" t="n">
        <v>0</v>
      </c>
      <c r="I540" s="138" t="s">
        <v>1642</v>
      </c>
      <c r="J540" s="138"/>
      <c r="K540" s="146" t="n">
        <f aca="false">Parâmetros!$C$4*(F540+2*Parâmetros!$D$4+Parâmetros!$C$4*Parâmetros!$E$4)</f>
        <v>0.5525</v>
      </c>
      <c r="L540" s="146" t="n">
        <f aca="false">Parâmetros!$C$5*(F540+2*Parâmetros!$D$5+Parâmetros!$C$5*Parâmetros!$E$5)</f>
        <v>1.8176</v>
      </c>
      <c r="M540" s="146" t="n">
        <f aca="false">Parâmetros!$C$6*(F540+2*Parâmetros!$D$6+Parâmetros!$C$6*Parâmetros!$E$6)</f>
        <v>2.384</v>
      </c>
      <c r="N540" s="146" t="n">
        <f aca="false">Parâmetros!$C$7*(F540+2*Parâmetros!$D$7+Parâmetros!$C$7*Parâmetros!$E$7)</f>
        <v>3.786</v>
      </c>
      <c r="O540" s="146" t="n">
        <f aca="false">F540+2*Parâmetros!$D$8</f>
        <v>11.2</v>
      </c>
      <c r="P540" s="146" t="n">
        <f aca="false">F540+2*Parâmetros!$D$10</f>
        <v>12.92</v>
      </c>
      <c r="Q540" s="146" t="n">
        <f aca="false">G540+H540</f>
        <v>0</v>
      </c>
      <c r="S540" s="149" t="n">
        <f aca="false">S539+'Volumes por intervalo'!C539*(F539+F540)/2</f>
        <v>125223.5</v>
      </c>
      <c r="T540" s="149" t="n">
        <f aca="false">T539+'Volumes por intervalo'!H539</f>
        <v>6287.92500000003</v>
      </c>
      <c r="U540" s="149" t="n">
        <f aca="false">U539+'Volumes por intervalo'!J539</f>
        <v>20652.0800000001</v>
      </c>
      <c r="V540" s="149" t="n">
        <f aca="false">V539+'Volumes por intervalo'!K539</f>
        <v>27013.5000000001</v>
      </c>
      <c r="W540" s="149" t="n">
        <f aca="false">W539+'Volumes por intervalo'!L539</f>
        <v>42767.2500000001</v>
      </c>
      <c r="X540" s="149" t="n">
        <f aca="false">X539+'Volumes por intervalo'!M539</f>
        <v>127363.5</v>
      </c>
      <c r="Y540" s="149" t="n">
        <f aca="false">Y539+'Volumes por intervalo'!N539</f>
        <v>127363.5</v>
      </c>
      <c r="Z540" s="149" t="n">
        <f aca="false">Z539+'Volumes por intervalo'!O539</f>
        <v>145767.499999999</v>
      </c>
      <c r="AA540" s="149" t="n">
        <f aca="false">AA539+'Volumes por intervalo'!P539</f>
        <v>0</v>
      </c>
      <c r="AB540" s="149" t="n">
        <f aca="false">AB539+'Volumes por intervalo'!Q539</f>
        <v>0</v>
      </c>
      <c r="AC540" s="149" t="n">
        <f aca="false">AC539+'Volumes por intervalo'!R539</f>
        <v>0</v>
      </c>
      <c r="AD540" s="149" t="n">
        <f aca="false">AD539+'Volumes por intervalo'!S539</f>
        <v>0</v>
      </c>
    </row>
    <row r="541" customFormat="false" ht="15" hidden="false" customHeight="false" outlineLevel="0" collapsed="false">
      <c r="A541" s="138" t="s">
        <v>2207</v>
      </c>
      <c r="B541" s="146" t="n">
        <v>536</v>
      </c>
      <c r="C541" s="144" t="n">
        <v>10720</v>
      </c>
      <c r="D541" s="138" t="s">
        <v>1594</v>
      </c>
      <c r="E541" s="138" t="s">
        <v>1566</v>
      </c>
      <c r="F541" s="147" t="n">
        <v>11</v>
      </c>
      <c r="G541" s="148" t="n">
        <v>0</v>
      </c>
      <c r="H541" s="148" t="n">
        <v>0</v>
      </c>
      <c r="I541" s="138" t="s">
        <v>1642</v>
      </c>
      <c r="J541" s="138"/>
      <c r="K541" s="146" t="n">
        <f aca="false">Parâmetros!$C$4*(F541+2*Parâmetros!$D$4+Parâmetros!$C$4*Parâmetros!$E$4)</f>
        <v>0.5525</v>
      </c>
      <c r="L541" s="146" t="n">
        <f aca="false">Parâmetros!$C$5*(F541+2*Parâmetros!$D$5+Parâmetros!$C$5*Parâmetros!$E$5)</f>
        <v>1.8176</v>
      </c>
      <c r="M541" s="146" t="n">
        <f aca="false">Parâmetros!$C$6*(F541+2*Parâmetros!$D$6+Parâmetros!$C$6*Parâmetros!$E$6)</f>
        <v>2.384</v>
      </c>
      <c r="N541" s="146" t="n">
        <f aca="false">Parâmetros!$C$7*(F541+2*Parâmetros!$D$7+Parâmetros!$C$7*Parâmetros!$E$7)</f>
        <v>3.786</v>
      </c>
      <c r="O541" s="146" t="n">
        <f aca="false">F541+2*Parâmetros!$D$8</f>
        <v>11.2</v>
      </c>
      <c r="P541" s="146" t="n">
        <f aca="false">F541+2*Parâmetros!$D$10</f>
        <v>12.92</v>
      </c>
      <c r="Q541" s="146" t="n">
        <f aca="false">G541+H541</f>
        <v>0</v>
      </c>
      <c r="S541" s="149" t="n">
        <f aca="false">S540+'Volumes por intervalo'!C540*(F540+F541)/2</f>
        <v>125443.5</v>
      </c>
      <c r="T541" s="149" t="n">
        <f aca="false">T540+'Volumes por intervalo'!H540</f>
        <v>6298.97500000003</v>
      </c>
      <c r="U541" s="149" t="n">
        <f aca="false">U540+'Volumes por intervalo'!J540</f>
        <v>20688.4320000001</v>
      </c>
      <c r="V541" s="149" t="n">
        <f aca="false">V540+'Volumes por intervalo'!K540</f>
        <v>27061.1800000001</v>
      </c>
      <c r="W541" s="149" t="n">
        <f aca="false">W540+'Volumes por intervalo'!L540</f>
        <v>42842.9700000001</v>
      </c>
      <c r="X541" s="149" t="n">
        <f aca="false">X540+'Volumes por intervalo'!M540</f>
        <v>127587.5</v>
      </c>
      <c r="Y541" s="149" t="n">
        <f aca="false">Y540+'Volumes por intervalo'!N540</f>
        <v>127587.5</v>
      </c>
      <c r="Z541" s="149" t="n">
        <f aca="false">Z540+'Volumes por intervalo'!O540</f>
        <v>146025.899999999</v>
      </c>
      <c r="AA541" s="149" t="n">
        <f aca="false">AA540+'Volumes por intervalo'!P540</f>
        <v>0</v>
      </c>
      <c r="AB541" s="149" t="n">
        <f aca="false">AB540+'Volumes por intervalo'!Q540</f>
        <v>0</v>
      </c>
      <c r="AC541" s="149" t="n">
        <f aca="false">AC540+'Volumes por intervalo'!R540</f>
        <v>0</v>
      </c>
      <c r="AD541" s="149" t="n">
        <f aca="false">AD540+'Volumes por intervalo'!S540</f>
        <v>0</v>
      </c>
    </row>
    <row r="542" customFormat="false" ht="15" hidden="false" customHeight="false" outlineLevel="0" collapsed="false">
      <c r="A542" s="138" t="s">
        <v>2208</v>
      </c>
      <c r="B542" s="146" t="n">
        <v>537</v>
      </c>
      <c r="C542" s="144" t="n">
        <v>10740</v>
      </c>
      <c r="D542" s="138" t="s">
        <v>1594</v>
      </c>
      <c r="E542" s="138" t="s">
        <v>1566</v>
      </c>
      <c r="F542" s="147" t="n">
        <v>11</v>
      </c>
      <c r="G542" s="148" t="n">
        <v>0</v>
      </c>
      <c r="H542" s="148" t="n">
        <v>0</v>
      </c>
      <c r="I542" s="138" t="s">
        <v>1642</v>
      </c>
      <c r="J542" s="138"/>
      <c r="K542" s="146" t="n">
        <f aca="false">Parâmetros!$C$4*(F542+2*Parâmetros!$D$4+Parâmetros!$C$4*Parâmetros!$E$4)</f>
        <v>0.5525</v>
      </c>
      <c r="L542" s="146" t="n">
        <f aca="false">Parâmetros!$C$5*(F542+2*Parâmetros!$D$5+Parâmetros!$C$5*Parâmetros!$E$5)</f>
        <v>1.8176</v>
      </c>
      <c r="M542" s="146" t="n">
        <f aca="false">Parâmetros!$C$6*(F542+2*Parâmetros!$D$6+Parâmetros!$C$6*Parâmetros!$E$6)</f>
        <v>2.384</v>
      </c>
      <c r="N542" s="146" t="n">
        <f aca="false">Parâmetros!$C$7*(F542+2*Parâmetros!$D$7+Parâmetros!$C$7*Parâmetros!$E$7)</f>
        <v>3.786</v>
      </c>
      <c r="O542" s="146" t="n">
        <f aca="false">F542+2*Parâmetros!$D$8</f>
        <v>11.2</v>
      </c>
      <c r="P542" s="146" t="n">
        <f aca="false">F542+2*Parâmetros!$D$10</f>
        <v>12.92</v>
      </c>
      <c r="Q542" s="146" t="n">
        <f aca="false">G542+H542</f>
        <v>0</v>
      </c>
      <c r="S542" s="149" t="n">
        <f aca="false">S541+'Volumes por intervalo'!C541*(F541+F542)/2</f>
        <v>125663.5</v>
      </c>
      <c r="T542" s="149" t="n">
        <f aca="false">T541+'Volumes por intervalo'!H541</f>
        <v>6310.02500000003</v>
      </c>
      <c r="U542" s="149" t="n">
        <f aca="false">U541+'Volumes por intervalo'!J541</f>
        <v>20724.7840000001</v>
      </c>
      <c r="V542" s="149" t="n">
        <f aca="false">V541+'Volumes por intervalo'!K541</f>
        <v>27108.8600000001</v>
      </c>
      <c r="W542" s="149" t="n">
        <f aca="false">W541+'Volumes por intervalo'!L541</f>
        <v>42918.6900000001</v>
      </c>
      <c r="X542" s="149" t="n">
        <f aca="false">X541+'Volumes por intervalo'!M541</f>
        <v>127811.5</v>
      </c>
      <c r="Y542" s="149" t="n">
        <f aca="false">Y541+'Volumes por intervalo'!N541</f>
        <v>127811.5</v>
      </c>
      <c r="Z542" s="149" t="n">
        <f aca="false">Z541+'Volumes por intervalo'!O541</f>
        <v>146284.299999999</v>
      </c>
      <c r="AA542" s="149" t="n">
        <f aca="false">AA541+'Volumes por intervalo'!P541</f>
        <v>0</v>
      </c>
      <c r="AB542" s="149" t="n">
        <f aca="false">AB541+'Volumes por intervalo'!Q541</f>
        <v>0</v>
      </c>
      <c r="AC542" s="149" t="n">
        <f aca="false">AC541+'Volumes por intervalo'!R541</f>
        <v>0</v>
      </c>
      <c r="AD542" s="149" t="n">
        <f aca="false">AD541+'Volumes por intervalo'!S541</f>
        <v>0</v>
      </c>
    </row>
    <row r="543" customFormat="false" ht="15" hidden="false" customHeight="false" outlineLevel="0" collapsed="false">
      <c r="A543" s="138" t="s">
        <v>2209</v>
      </c>
      <c r="B543" s="146" t="n">
        <v>538</v>
      </c>
      <c r="C543" s="144" t="n">
        <v>10760</v>
      </c>
      <c r="D543" s="138" t="s">
        <v>1594</v>
      </c>
      <c r="E543" s="138" t="s">
        <v>1566</v>
      </c>
      <c r="F543" s="147" t="n">
        <v>11</v>
      </c>
      <c r="G543" s="148" t="n">
        <v>0</v>
      </c>
      <c r="H543" s="148" t="n">
        <v>0</v>
      </c>
      <c r="I543" s="138" t="s">
        <v>1642</v>
      </c>
      <c r="J543" s="138"/>
      <c r="K543" s="146" t="n">
        <f aca="false">Parâmetros!$C$4*(F543+2*Parâmetros!$D$4+Parâmetros!$C$4*Parâmetros!$E$4)</f>
        <v>0.5525</v>
      </c>
      <c r="L543" s="146" t="n">
        <f aca="false">Parâmetros!$C$5*(F543+2*Parâmetros!$D$5+Parâmetros!$C$5*Parâmetros!$E$5)</f>
        <v>1.8176</v>
      </c>
      <c r="M543" s="146" t="n">
        <f aca="false">Parâmetros!$C$6*(F543+2*Parâmetros!$D$6+Parâmetros!$C$6*Parâmetros!$E$6)</f>
        <v>2.384</v>
      </c>
      <c r="N543" s="146" t="n">
        <f aca="false">Parâmetros!$C$7*(F543+2*Parâmetros!$D$7+Parâmetros!$C$7*Parâmetros!$E$7)</f>
        <v>3.786</v>
      </c>
      <c r="O543" s="146" t="n">
        <f aca="false">F543+2*Parâmetros!$D$8</f>
        <v>11.2</v>
      </c>
      <c r="P543" s="146" t="n">
        <f aca="false">F543+2*Parâmetros!$D$10</f>
        <v>12.92</v>
      </c>
      <c r="Q543" s="146" t="n">
        <f aca="false">G543+H543</f>
        <v>0</v>
      </c>
      <c r="S543" s="149" t="n">
        <f aca="false">S542+'Volumes por intervalo'!C542*(F542+F543)/2</f>
        <v>125883.5</v>
      </c>
      <c r="T543" s="149" t="n">
        <f aca="false">T542+'Volumes por intervalo'!H542</f>
        <v>6321.07500000003</v>
      </c>
      <c r="U543" s="149" t="n">
        <f aca="false">U542+'Volumes por intervalo'!J542</f>
        <v>20761.1360000001</v>
      </c>
      <c r="V543" s="149" t="n">
        <f aca="false">V542+'Volumes por intervalo'!K542</f>
        <v>27156.5400000001</v>
      </c>
      <c r="W543" s="149" t="n">
        <f aca="false">W542+'Volumes por intervalo'!L542</f>
        <v>42994.4100000001</v>
      </c>
      <c r="X543" s="149" t="n">
        <f aca="false">X542+'Volumes por intervalo'!M542</f>
        <v>128035.5</v>
      </c>
      <c r="Y543" s="149" t="n">
        <f aca="false">Y542+'Volumes por intervalo'!N542</f>
        <v>128035.5</v>
      </c>
      <c r="Z543" s="149" t="n">
        <f aca="false">Z542+'Volumes por intervalo'!O542</f>
        <v>146542.699999999</v>
      </c>
      <c r="AA543" s="149" t="n">
        <f aca="false">AA542+'Volumes por intervalo'!P542</f>
        <v>0</v>
      </c>
      <c r="AB543" s="149" t="n">
        <f aca="false">AB542+'Volumes por intervalo'!Q542</f>
        <v>0</v>
      </c>
      <c r="AC543" s="149" t="n">
        <f aca="false">AC542+'Volumes por intervalo'!R542</f>
        <v>0</v>
      </c>
      <c r="AD543" s="149" t="n">
        <f aca="false">AD542+'Volumes por intervalo'!S542</f>
        <v>0</v>
      </c>
    </row>
    <row r="544" customFormat="false" ht="15" hidden="false" customHeight="false" outlineLevel="0" collapsed="false">
      <c r="A544" s="138" t="s">
        <v>2210</v>
      </c>
      <c r="B544" s="146" t="n">
        <v>539</v>
      </c>
      <c r="C544" s="144" t="n">
        <v>10780</v>
      </c>
      <c r="D544" s="138" t="s">
        <v>1594</v>
      </c>
      <c r="E544" s="138" t="s">
        <v>1566</v>
      </c>
      <c r="F544" s="147" t="n">
        <v>11</v>
      </c>
      <c r="G544" s="148" t="n">
        <v>0</v>
      </c>
      <c r="H544" s="148" t="n">
        <v>0</v>
      </c>
      <c r="I544" s="138" t="s">
        <v>1642</v>
      </c>
      <c r="J544" s="138"/>
      <c r="K544" s="146" t="n">
        <f aca="false">Parâmetros!$C$4*(F544+2*Parâmetros!$D$4+Parâmetros!$C$4*Parâmetros!$E$4)</f>
        <v>0.5525</v>
      </c>
      <c r="L544" s="146" t="n">
        <f aca="false">Parâmetros!$C$5*(F544+2*Parâmetros!$D$5+Parâmetros!$C$5*Parâmetros!$E$5)</f>
        <v>1.8176</v>
      </c>
      <c r="M544" s="146" t="n">
        <f aca="false">Parâmetros!$C$6*(F544+2*Parâmetros!$D$6+Parâmetros!$C$6*Parâmetros!$E$6)</f>
        <v>2.384</v>
      </c>
      <c r="N544" s="146" t="n">
        <f aca="false">Parâmetros!$C$7*(F544+2*Parâmetros!$D$7+Parâmetros!$C$7*Parâmetros!$E$7)</f>
        <v>3.786</v>
      </c>
      <c r="O544" s="146" t="n">
        <f aca="false">F544+2*Parâmetros!$D$8</f>
        <v>11.2</v>
      </c>
      <c r="P544" s="146" t="n">
        <f aca="false">F544+2*Parâmetros!$D$10</f>
        <v>12.92</v>
      </c>
      <c r="Q544" s="146" t="n">
        <f aca="false">G544+H544</f>
        <v>0</v>
      </c>
      <c r="S544" s="149" t="n">
        <f aca="false">S543+'Volumes por intervalo'!C543*(F543+F544)/2</f>
        <v>126103.5</v>
      </c>
      <c r="T544" s="149" t="n">
        <f aca="false">T543+'Volumes por intervalo'!H543</f>
        <v>6332.12500000003</v>
      </c>
      <c r="U544" s="149" t="n">
        <f aca="false">U543+'Volumes por intervalo'!J543</f>
        <v>20797.4880000001</v>
      </c>
      <c r="V544" s="149" t="n">
        <f aca="false">V543+'Volumes por intervalo'!K543</f>
        <v>27204.2200000001</v>
      </c>
      <c r="W544" s="149" t="n">
        <f aca="false">W543+'Volumes por intervalo'!L543</f>
        <v>43070.1300000001</v>
      </c>
      <c r="X544" s="149" t="n">
        <f aca="false">X543+'Volumes por intervalo'!M543</f>
        <v>128259.5</v>
      </c>
      <c r="Y544" s="149" t="n">
        <f aca="false">Y543+'Volumes por intervalo'!N543</f>
        <v>128259.5</v>
      </c>
      <c r="Z544" s="149" t="n">
        <f aca="false">Z543+'Volumes por intervalo'!O543</f>
        <v>146801.099999999</v>
      </c>
      <c r="AA544" s="149" t="n">
        <f aca="false">AA543+'Volumes por intervalo'!P543</f>
        <v>0</v>
      </c>
      <c r="AB544" s="149" t="n">
        <f aca="false">AB543+'Volumes por intervalo'!Q543</f>
        <v>0</v>
      </c>
      <c r="AC544" s="149" t="n">
        <f aca="false">AC543+'Volumes por intervalo'!R543</f>
        <v>0</v>
      </c>
      <c r="AD544" s="149" t="n">
        <f aca="false">AD543+'Volumes por intervalo'!S543</f>
        <v>0</v>
      </c>
    </row>
    <row r="545" customFormat="false" ht="15" hidden="false" customHeight="false" outlineLevel="0" collapsed="false">
      <c r="A545" s="138" t="s">
        <v>2211</v>
      </c>
      <c r="B545" s="146" t="n">
        <v>540</v>
      </c>
      <c r="C545" s="144" t="n">
        <v>10800</v>
      </c>
      <c r="D545" s="138" t="s">
        <v>1594</v>
      </c>
      <c r="E545" s="138" t="s">
        <v>1566</v>
      </c>
      <c r="F545" s="147" t="n">
        <v>11</v>
      </c>
      <c r="G545" s="148" t="n">
        <v>0</v>
      </c>
      <c r="H545" s="148" t="n">
        <v>0</v>
      </c>
      <c r="I545" s="138" t="s">
        <v>1642</v>
      </c>
      <c r="J545" s="138"/>
      <c r="K545" s="146" t="n">
        <f aca="false">Parâmetros!$C$4*(F545+2*Parâmetros!$D$4+Parâmetros!$C$4*Parâmetros!$E$4)</f>
        <v>0.5525</v>
      </c>
      <c r="L545" s="146" t="n">
        <f aca="false">Parâmetros!$C$5*(F545+2*Parâmetros!$D$5+Parâmetros!$C$5*Parâmetros!$E$5)</f>
        <v>1.8176</v>
      </c>
      <c r="M545" s="146" t="n">
        <f aca="false">Parâmetros!$C$6*(F545+2*Parâmetros!$D$6+Parâmetros!$C$6*Parâmetros!$E$6)</f>
        <v>2.384</v>
      </c>
      <c r="N545" s="146" t="n">
        <f aca="false">Parâmetros!$C$7*(F545+2*Parâmetros!$D$7+Parâmetros!$C$7*Parâmetros!$E$7)</f>
        <v>3.786</v>
      </c>
      <c r="O545" s="146" t="n">
        <f aca="false">F545+2*Parâmetros!$D$8</f>
        <v>11.2</v>
      </c>
      <c r="P545" s="146" t="n">
        <f aca="false">F545+2*Parâmetros!$D$10</f>
        <v>12.92</v>
      </c>
      <c r="Q545" s="146" t="n">
        <f aca="false">G545+H545</f>
        <v>0</v>
      </c>
      <c r="S545" s="149" t="n">
        <f aca="false">S544+'Volumes por intervalo'!C544*(F544+F545)/2</f>
        <v>126323.5</v>
      </c>
      <c r="T545" s="149" t="n">
        <f aca="false">T544+'Volumes por intervalo'!H544</f>
        <v>6343.17500000003</v>
      </c>
      <c r="U545" s="149" t="n">
        <f aca="false">U544+'Volumes por intervalo'!J544</f>
        <v>20833.8400000001</v>
      </c>
      <c r="V545" s="149" t="n">
        <f aca="false">V544+'Volumes por intervalo'!K544</f>
        <v>27251.9000000001</v>
      </c>
      <c r="W545" s="149" t="n">
        <f aca="false">W544+'Volumes por intervalo'!L544</f>
        <v>43145.8500000001</v>
      </c>
      <c r="X545" s="149" t="n">
        <f aca="false">X544+'Volumes por intervalo'!M544</f>
        <v>128483.5</v>
      </c>
      <c r="Y545" s="149" t="n">
        <f aca="false">Y544+'Volumes por intervalo'!N544</f>
        <v>128483.5</v>
      </c>
      <c r="Z545" s="149" t="n">
        <f aca="false">Z544+'Volumes por intervalo'!O544</f>
        <v>147059.499999999</v>
      </c>
      <c r="AA545" s="149" t="n">
        <f aca="false">AA544+'Volumes por intervalo'!P544</f>
        <v>0</v>
      </c>
      <c r="AB545" s="149" t="n">
        <f aca="false">AB544+'Volumes por intervalo'!Q544</f>
        <v>0</v>
      </c>
      <c r="AC545" s="149" t="n">
        <f aca="false">AC544+'Volumes por intervalo'!R544</f>
        <v>0</v>
      </c>
      <c r="AD545" s="149" t="n">
        <f aca="false">AD544+'Volumes por intervalo'!S544</f>
        <v>0</v>
      </c>
    </row>
    <row r="546" customFormat="false" ht="15" hidden="false" customHeight="false" outlineLevel="0" collapsed="false">
      <c r="A546" s="138" t="s">
        <v>2212</v>
      </c>
      <c r="B546" s="146" t="n">
        <v>541</v>
      </c>
      <c r="C546" s="144" t="n">
        <v>10820</v>
      </c>
      <c r="D546" s="138" t="s">
        <v>1594</v>
      </c>
      <c r="E546" s="138" t="s">
        <v>1566</v>
      </c>
      <c r="F546" s="147" t="n">
        <v>11</v>
      </c>
      <c r="G546" s="148" t="n">
        <v>0</v>
      </c>
      <c r="H546" s="148" t="n">
        <v>0</v>
      </c>
      <c r="I546" s="138" t="s">
        <v>1642</v>
      </c>
      <c r="J546" s="138"/>
      <c r="K546" s="146" t="n">
        <f aca="false">Parâmetros!$C$4*(F546+2*Parâmetros!$D$4+Parâmetros!$C$4*Parâmetros!$E$4)</f>
        <v>0.5525</v>
      </c>
      <c r="L546" s="146" t="n">
        <f aca="false">Parâmetros!$C$5*(F546+2*Parâmetros!$D$5+Parâmetros!$C$5*Parâmetros!$E$5)</f>
        <v>1.8176</v>
      </c>
      <c r="M546" s="146" t="n">
        <f aca="false">Parâmetros!$C$6*(F546+2*Parâmetros!$D$6+Parâmetros!$C$6*Parâmetros!$E$6)</f>
        <v>2.384</v>
      </c>
      <c r="N546" s="146" t="n">
        <f aca="false">Parâmetros!$C$7*(F546+2*Parâmetros!$D$7+Parâmetros!$C$7*Parâmetros!$E$7)</f>
        <v>3.786</v>
      </c>
      <c r="O546" s="146" t="n">
        <f aca="false">F546+2*Parâmetros!$D$8</f>
        <v>11.2</v>
      </c>
      <c r="P546" s="146" t="n">
        <f aca="false">F546+2*Parâmetros!$D$10</f>
        <v>12.92</v>
      </c>
      <c r="Q546" s="146" t="n">
        <f aca="false">G546+H546</f>
        <v>0</v>
      </c>
      <c r="S546" s="149" t="n">
        <f aca="false">S545+'Volumes por intervalo'!C545*(F545+F546)/2</f>
        <v>126543.5</v>
      </c>
      <c r="T546" s="149" t="n">
        <f aca="false">T545+'Volumes por intervalo'!H545</f>
        <v>6354.22500000003</v>
      </c>
      <c r="U546" s="149" t="n">
        <f aca="false">U545+'Volumes por intervalo'!J545</f>
        <v>20870.1920000001</v>
      </c>
      <c r="V546" s="149" t="n">
        <f aca="false">V545+'Volumes por intervalo'!K545</f>
        <v>27299.5800000001</v>
      </c>
      <c r="W546" s="149" t="n">
        <f aca="false">W545+'Volumes por intervalo'!L545</f>
        <v>43221.5700000001</v>
      </c>
      <c r="X546" s="149" t="n">
        <f aca="false">X545+'Volumes por intervalo'!M545</f>
        <v>128707.5</v>
      </c>
      <c r="Y546" s="149" t="n">
        <f aca="false">Y545+'Volumes por intervalo'!N545</f>
        <v>128707.5</v>
      </c>
      <c r="Z546" s="149" t="n">
        <f aca="false">Z545+'Volumes por intervalo'!O545</f>
        <v>147317.899999999</v>
      </c>
      <c r="AA546" s="149" t="n">
        <f aca="false">AA545+'Volumes por intervalo'!P545</f>
        <v>0</v>
      </c>
      <c r="AB546" s="149" t="n">
        <f aca="false">AB545+'Volumes por intervalo'!Q545</f>
        <v>0</v>
      </c>
      <c r="AC546" s="149" t="n">
        <f aca="false">AC545+'Volumes por intervalo'!R545</f>
        <v>0</v>
      </c>
      <c r="AD546" s="149" t="n">
        <f aca="false">AD545+'Volumes por intervalo'!S545</f>
        <v>0</v>
      </c>
    </row>
    <row r="547" customFormat="false" ht="15" hidden="false" customHeight="false" outlineLevel="0" collapsed="false">
      <c r="A547" s="138" t="s">
        <v>2213</v>
      </c>
      <c r="B547" s="146" t="n">
        <v>542</v>
      </c>
      <c r="C547" s="144" t="n">
        <v>10840</v>
      </c>
      <c r="D547" s="138" t="s">
        <v>1594</v>
      </c>
      <c r="E547" s="138" t="s">
        <v>1566</v>
      </c>
      <c r="F547" s="147" t="n">
        <v>11</v>
      </c>
      <c r="G547" s="148" t="n">
        <v>0</v>
      </c>
      <c r="H547" s="148" t="n">
        <v>0</v>
      </c>
      <c r="I547" s="138" t="s">
        <v>1642</v>
      </c>
      <c r="J547" s="138"/>
      <c r="K547" s="146" t="n">
        <f aca="false">Parâmetros!$C$4*(F547+2*Parâmetros!$D$4+Parâmetros!$C$4*Parâmetros!$E$4)</f>
        <v>0.5525</v>
      </c>
      <c r="L547" s="146" t="n">
        <f aca="false">Parâmetros!$C$5*(F547+2*Parâmetros!$D$5+Parâmetros!$C$5*Parâmetros!$E$5)</f>
        <v>1.8176</v>
      </c>
      <c r="M547" s="146" t="n">
        <f aca="false">Parâmetros!$C$6*(F547+2*Parâmetros!$D$6+Parâmetros!$C$6*Parâmetros!$E$6)</f>
        <v>2.384</v>
      </c>
      <c r="N547" s="146" t="n">
        <f aca="false">Parâmetros!$C$7*(F547+2*Parâmetros!$D$7+Parâmetros!$C$7*Parâmetros!$E$7)</f>
        <v>3.786</v>
      </c>
      <c r="O547" s="146" t="n">
        <f aca="false">F547+2*Parâmetros!$D$8</f>
        <v>11.2</v>
      </c>
      <c r="P547" s="146" t="n">
        <f aca="false">F547+2*Parâmetros!$D$10</f>
        <v>12.92</v>
      </c>
      <c r="Q547" s="146" t="n">
        <f aca="false">G547+H547</f>
        <v>0</v>
      </c>
      <c r="S547" s="149" t="n">
        <f aca="false">S546+'Volumes por intervalo'!C546*(F546+F547)/2</f>
        <v>126763.5</v>
      </c>
      <c r="T547" s="149" t="n">
        <f aca="false">T546+'Volumes por intervalo'!H546</f>
        <v>6365.27500000003</v>
      </c>
      <c r="U547" s="149" t="n">
        <f aca="false">U546+'Volumes por intervalo'!J546</f>
        <v>20906.5440000001</v>
      </c>
      <c r="V547" s="149" t="n">
        <f aca="false">V546+'Volumes por intervalo'!K546</f>
        <v>27347.2600000001</v>
      </c>
      <c r="W547" s="149" t="n">
        <f aca="false">W546+'Volumes por intervalo'!L546</f>
        <v>43297.2900000001</v>
      </c>
      <c r="X547" s="149" t="n">
        <f aca="false">X546+'Volumes por intervalo'!M546</f>
        <v>128931.5</v>
      </c>
      <c r="Y547" s="149" t="n">
        <f aca="false">Y546+'Volumes por intervalo'!N546</f>
        <v>128931.5</v>
      </c>
      <c r="Z547" s="149" t="n">
        <f aca="false">Z546+'Volumes por intervalo'!O546</f>
        <v>147576.299999999</v>
      </c>
      <c r="AA547" s="149" t="n">
        <f aca="false">AA546+'Volumes por intervalo'!P546</f>
        <v>0</v>
      </c>
      <c r="AB547" s="149" t="n">
        <f aca="false">AB546+'Volumes por intervalo'!Q546</f>
        <v>0</v>
      </c>
      <c r="AC547" s="149" t="n">
        <f aca="false">AC546+'Volumes por intervalo'!R546</f>
        <v>0</v>
      </c>
      <c r="AD547" s="149" t="n">
        <f aca="false">AD546+'Volumes por intervalo'!S546</f>
        <v>0</v>
      </c>
    </row>
    <row r="548" customFormat="false" ht="15" hidden="false" customHeight="false" outlineLevel="0" collapsed="false">
      <c r="A548" s="138" t="s">
        <v>2214</v>
      </c>
      <c r="B548" s="146" t="n">
        <v>543</v>
      </c>
      <c r="C548" s="144" t="n">
        <v>10860</v>
      </c>
      <c r="D548" s="138" t="s">
        <v>1594</v>
      </c>
      <c r="E548" s="138" t="s">
        <v>1566</v>
      </c>
      <c r="F548" s="147" t="n">
        <v>11</v>
      </c>
      <c r="G548" s="148" t="n">
        <v>0</v>
      </c>
      <c r="H548" s="148" t="n">
        <v>0</v>
      </c>
      <c r="I548" s="138" t="s">
        <v>1642</v>
      </c>
      <c r="J548" s="138"/>
      <c r="K548" s="146" t="n">
        <f aca="false">Parâmetros!$C$4*(F548+2*Parâmetros!$D$4+Parâmetros!$C$4*Parâmetros!$E$4)</f>
        <v>0.5525</v>
      </c>
      <c r="L548" s="146" t="n">
        <f aca="false">Parâmetros!$C$5*(F548+2*Parâmetros!$D$5+Parâmetros!$C$5*Parâmetros!$E$5)</f>
        <v>1.8176</v>
      </c>
      <c r="M548" s="146" t="n">
        <f aca="false">Parâmetros!$C$6*(F548+2*Parâmetros!$D$6+Parâmetros!$C$6*Parâmetros!$E$6)</f>
        <v>2.384</v>
      </c>
      <c r="N548" s="146" t="n">
        <f aca="false">Parâmetros!$C$7*(F548+2*Parâmetros!$D$7+Parâmetros!$C$7*Parâmetros!$E$7)</f>
        <v>3.786</v>
      </c>
      <c r="O548" s="146" t="n">
        <f aca="false">F548+2*Parâmetros!$D$8</f>
        <v>11.2</v>
      </c>
      <c r="P548" s="146" t="n">
        <f aca="false">F548+2*Parâmetros!$D$10</f>
        <v>12.92</v>
      </c>
      <c r="Q548" s="146" t="n">
        <f aca="false">G548+H548</f>
        <v>0</v>
      </c>
      <c r="S548" s="149" t="n">
        <f aca="false">S547+'Volumes por intervalo'!C547*(F547+F548)/2</f>
        <v>126983.5</v>
      </c>
      <c r="T548" s="149" t="n">
        <f aca="false">T547+'Volumes por intervalo'!H547</f>
        <v>6376.32500000003</v>
      </c>
      <c r="U548" s="149" t="n">
        <f aca="false">U547+'Volumes por intervalo'!J547</f>
        <v>20942.8960000001</v>
      </c>
      <c r="V548" s="149" t="n">
        <f aca="false">V547+'Volumes por intervalo'!K547</f>
        <v>27394.9400000001</v>
      </c>
      <c r="W548" s="149" t="n">
        <f aca="false">W547+'Volumes por intervalo'!L547</f>
        <v>43373.0100000001</v>
      </c>
      <c r="X548" s="149" t="n">
        <f aca="false">X547+'Volumes por intervalo'!M547</f>
        <v>129155.5</v>
      </c>
      <c r="Y548" s="149" t="n">
        <f aca="false">Y547+'Volumes por intervalo'!N547</f>
        <v>129155.5</v>
      </c>
      <c r="Z548" s="149" t="n">
        <f aca="false">Z547+'Volumes por intervalo'!O547</f>
        <v>147834.699999999</v>
      </c>
      <c r="AA548" s="149" t="n">
        <f aca="false">AA547+'Volumes por intervalo'!P547</f>
        <v>0</v>
      </c>
      <c r="AB548" s="149" t="n">
        <f aca="false">AB547+'Volumes por intervalo'!Q547</f>
        <v>0</v>
      </c>
      <c r="AC548" s="149" t="n">
        <f aca="false">AC547+'Volumes por intervalo'!R547</f>
        <v>0</v>
      </c>
      <c r="AD548" s="149" t="n">
        <f aca="false">AD547+'Volumes por intervalo'!S547</f>
        <v>0</v>
      </c>
    </row>
    <row r="549" customFormat="false" ht="15" hidden="false" customHeight="false" outlineLevel="0" collapsed="false">
      <c r="A549" s="138" t="s">
        <v>2215</v>
      </c>
      <c r="B549" s="146" t="n">
        <v>544</v>
      </c>
      <c r="C549" s="144" t="n">
        <v>10880</v>
      </c>
      <c r="D549" s="138" t="s">
        <v>1594</v>
      </c>
      <c r="E549" s="138" t="s">
        <v>1566</v>
      </c>
      <c r="F549" s="147" t="n">
        <v>11</v>
      </c>
      <c r="G549" s="148" t="n">
        <v>0</v>
      </c>
      <c r="H549" s="148" t="n">
        <v>0</v>
      </c>
      <c r="I549" s="138" t="s">
        <v>1642</v>
      </c>
      <c r="J549" s="138"/>
      <c r="K549" s="146" t="n">
        <f aca="false">Parâmetros!$C$4*(F549+2*Parâmetros!$D$4+Parâmetros!$C$4*Parâmetros!$E$4)</f>
        <v>0.5525</v>
      </c>
      <c r="L549" s="146" t="n">
        <f aca="false">Parâmetros!$C$5*(F549+2*Parâmetros!$D$5+Parâmetros!$C$5*Parâmetros!$E$5)</f>
        <v>1.8176</v>
      </c>
      <c r="M549" s="146" t="n">
        <f aca="false">Parâmetros!$C$6*(F549+2*Parâmetros!$D$6+Parâmetros!$C$6*Parâmetros!$E$6)</f>
        <v>2.384</v>
      </c>
      <c r="N549" s="146" t="n">
        <f aca="false">Parâmetros!$C$7*(F549+2*Parâmetros!$D$7+Parâmetros!$C$7*Parâmetros!$E$7)</f>
        <v>3.786</v>
      </c>
      <c r="O549" s="146" t="n">
        <f aca="false">F549+2*Parâmetros!$D$8</f>
        <v>11.2</v>
      </c>
      <c r="P549" s="146" t="n">
        <f aca="false">F549+2*Parâmetros!$D$10</f>
        <v>12.92</v>
      </c>
      <c r="Q549" s="146" t="n">
        <f aca="false">G549+H549</f>
        <v>0</v>
      </c>
      <c r="S549" s="149" t="n">
        <f aca="false">S548+'Volumes por intervalo'!C548*(F548+F549)/2</f>
        <v>127203.5</v>
      </c>
      <c r="T549" s="149" t="n">
        <f aca="false">T548+'Volumes por intervalo'!H548</f>
        <v>6387.37500000003</v>
      </c>
      <c r="U549" s="149" t="n">
        <f aca="false">U548+'Volumes por intervalo'!J548</f>
        <v>20979.2480000001</v>
      </c>
      <c r="V549" s="149" t="n">
        <f aca="false">V548+'Volumes por intervalo'!K548</f>
        <v>27442.6200000001</v>
      </c>
      <c r="W549" s="149" t="n">
        <f aca="false">W548+'Volumes por intervalo'!L548</f>
        <v>43448.7300000001</v>
      </c>
      <c r="X549" s="149" t="n">
        <f aca="false">X548+'Volumes por intervalo'!M548</f>
        <v>129379.5</v>
      </c>
      <c r="Y549" s="149" t="n">
        <f aca="false">Y548+'Volumes por intervalo'!N548</f>
        <v>129379.5</v>
      </c>
      <c r="Z549" s="149" t="n">
        <f aca="false">Z548+'Volumes por intervalo'!O548</f>
        <v>148093.099999999</v>
      </c>
      <c r="AA549" s="149" t="n">
        <f aca="false">AA548+'Volumes por intervalo'!P548</f>
        <v>0</v>
      </c>
      <c r="AB549" s="149" t="n">
        <f aca="false">AB548+'Volumes por intervalo'!Q548</f>
        <v>0</v>
      </c>
      <c r="AC549" s="149" t="n">
        <f aca="false">AC548+'Volumes por intervalo'!R548</f>
        <v>0</v>
      </c>
      <c r="AD549" s="149" t="n">
        <f aca="false">AD548+'Volumes por intervalo'!S548</f>
        <v>0</v>
      </c>
    </row>
    <row r="550" customFormat="false" ht="15" hidden="false" customHeight="false" outlineLevel="0" collapsed="false">
      <c r="A550" s="138" t="s">
        <v>2216</v>
      </c>
      <c r="B550" s="146" t="n">
        <v>545</v>
      </c>
      <c r="C550" s="144" t="n">
        <v>10900</v>
      </c>
      <c r="D550" s="138" t="s">
        <v>1594</v>
      </c>
      <c r="E550" s="138" t="s">
        <v>1566</v>
      </c>
      <c r="F550" s="147" t="n">
        <v>11</v>
      </c>
      <c r="G550" s="148" t="n">
        <v>0</v>
      </c>
      <c r="H550" s="148" t="n">
        <v>0</v>
      </c>
      <c r="I550" s="138" t="s">
        <v>1642</v>
      </c>
      <c r="J550" s="138"/>
      <c r="K550" s="146" t="n">
        <f aca="false">Parâmetros!$C$4*(F550+2*Parâmetros!$D$4+Parâmetros!$C$4*Parâmetros!$E$4)</f>
        <v>0.5525</v>
      </c>
      <c r="L550" s="146" t="n">
        <f aca="false">Parâmetros!$C$5*(F550+2*Parâmetros!$D$5+Parâmetros!$C$5*Parâmetros!$E$5)</f>
        <v>1.8176</v>
      </c>
      <c r="M550" s="146" t="n">
        <f aca="false">Parâmetros!$C$6*(F550+2*Parâmetros!$D$6+Parâmetros!$C$6*Parâmetros!$E$6)</f>
        <v>2.384</v>
      </c>
      <c r="N550" s="146" t="n">
        <f aca="false">Parâmetros!$C$7*(F550+2*Parâmetros!$D$7+Parâmetros!$C$7*Parâmetros!$E$7)</f>
        <v>3.786</v>
      </c>
      <c r="O550" s="146" t="n">
        <f aca="false">F550+2*Parâmetros!$D$8</f>
        <v>11.2</v>
      </c>
      <c r="P550" s="146" t="n">
        <f aca="false">F550+2*Parâmetros!$D$10</f>
        <v>12.92</v>
      </c>
      <c r="Q550" s="146" t="n">
        <f aca="false">G550+H550</f>
        <v>0</v>
      </c>
      <c r="S550" s="149" t="n">
        <f aca="false">S549+'Volumes por intervalo'!C549*(F549+F550)/2</f>
        <v>127423.5</v>
      </c>
      <c r="T550" s="149" t="n">
        <f aca="false">T549+'Volumes por intervalo'!H549</f>
        <v>6398.42500000003</v>
      </c>
      <c r="U550" s="149" t="n">
        <f aca="false">U549+'Volumes por intervalo'!J549</f>
        <v>21015.6000000001</v>
      </c>
      <c r="V550" s="149" t="n">
        <f aca="false">V549+'Volumes por intervalo'!K549</f>
        <v>27490.3000000001</v>
      </c>
      <c r="W550" s="149" t="n">
        <f aca="false">W549+'Volumes por intervalo'!L549</f>
        <v>43524.4500000001</v>
      </c>
      <c r="X550" s="149" t="n">
        <f aca="false">X549+'Volumes por intervalo'!M549</f>
        <v>129603.5</v>
      </c>
      <c r="Y550" s="149" t="n">
        <f aca="false">Y549+'Volumes por intervalo'!N549</f>
        <v>129603.5</v>
      </c>
      <c r="Z550" s="149" t="n">
        <f aca="false">Z549+'Volumes por intervalo'!O549</f>
        <v>148351.499999999</v>
      </c>
      <c r="AA550" s="149" t="n">
        <f aca="false">AA549+'Volumes por intervalo'!P549</f>
        <v>0</v>
      </c>
      <c r="AB550" s="149" t="n">
        <f aca="false">AB549+'Volumes por intervalo'!Q549</f>
        <v>0</v>
      </c>
      <c r="AC550" s="149" t="n">
        <f aca="false">AC549+'Volumes por intervalo'!R549</f>
        <v>0</v>
      </c>
      <c r="AD550" s="149" t="n">
        <f aca="false">AD549+'Volumes por intervalo'!S549</f>
        <v>0</v>
      </c>
    </row>
    <row r="551" customFormat="false" ht="15" hidden="false" customHeight="false" outlineLevel="0" collapsed="false">
      <c r="A551" s="138" t="s">
        <v>2217</v>
      </c>
      <c r="B551" s="146" t="n">
        <v>546</v>
      </c>
      <c r="C551" s="144" t="n">
        <v>10920</v>
      </c>
      <c r="D551" s="138" t="s">
        <v>1594</v>
      </c>
      <c r="E551" s="138" t="s">
        <v>1566</v>
      </c>
      <c r="F551" s="147" t="n">
        <v>11</v>
      </c>
      <c r="G551" s="148" t="n">
        <v>0</v>
      </c>
      <c r="H551" s="148" t="n">
        <v>0</v>
      </c>
      <c r="I551" s="138" t="s">
        <v>1642</v>
      </c>
      <c r="J551" s="138"/>
      <c r="K551" s="146" t="n">
        <f aca="false">Parâmetros!$C$4*(F551+2*Parâmetros!$D$4+Parâmetros!$C$4*Parâmetros!$E$4)</f>
        <v>0.5525</v>
      </c>
      <c r="L551" s="146" t="n">
        <f aca="false">Parâmetros!$C$5*(F551+2*Parâmetros!$D$5+Parâmetros!$C$5*Parâmetros!$E$5)</f>
        <v>1.8176</v>
      </c>
      <c r="M551" s="146" t="n">
        <f aca="false">Parâmetros!$C$6*(F551+2*Parâmetros!$D$6+Parâmetros!$C$6*Parâmetros!$E$6)</f>
        <v>2.384</v>
      </c>
      <c r="N551" s="146" t="n">
        <f aca="false">Parâmetros!$C$7*(F551+2*Parâmetros!$D$7+Parâmetros!$C$7*Parâmetros!$E$7)</f>
        <v>3.786</v>
      </c>
      <c r="O551" s="146" t="n">
        <f aca="false">F551+2*Parâmetros!$D$8</f>
        <v>11.2</v>
      </c>
      <c r="P551" s="146" t="n">
        <f aca="false">F551+2*Parâmetros!$D$10</f>
        <v>12.92</v>
      </c>
      <c r="Q551" s="146" t="n">
        <f aca="false">G551+H551</f>
        <v>0</v>
      </c>
      <c r="S551" s="149" t="n">
        <f aca="false">S550+'Volumes por intervalo'!C550*(F550+F551)/2</f>
        <v>127643.5</v>
      </c>
      <c r="T551" s="149" t="n">
        <f aca="false">T550+'Volumes por intervalo'!H550</f>
        <v>6409.47500000003</v>
      </c>
      <c r="U551" s="149" t="n">
        <f aca="false">U550+'Volumes por intervalo'!J550</f>
        <v>21051.9520000001</v>
      </c>
      <c r="V551" s="149" t="n">
        <f aca="false">V550+'Volumes por intervalo'!K550</f>
        <v>27537.9800000001</v>
      </c>
      <c r="W551" s="149" t="n">
        <f aca="false">W550+'Volumes por intervalo'!L550</f>
        <v>43600.1700000001</v>
      </c>
      <c r="X551" s="149" t="n">
        <f aca="false">X550+'Volumes por intervalo'!M550</f>
        <v>129827.5</v>
      </c>
      <c r="Y551" s="149" t="n">
        <f aca="false">Y550+'Volumes por intervalo'!N550</f>
        <v>129827.5</v>
      </c>
      <c r="Z551" s="149" t="n">
        <f aca="false">Z550+'Volumes por intervalo'!O550</f>
        <v>148609.899999999</v>
      </c>
      <c r="AA551" s="149" t="n">
        <f aca="false">AA550+'Volumes por intervalo'!P550</f>
        <v>0</v>
      </c>
      <c r="AB551" s="149" t="n">
        <f aca="false">AB550+'Volumes por intervalo'!Q550</f>
        <v>0</v>
      </c>
      <c r="AC551" s="149" t="n">
        <f aca="false">AC550+'Volumes por intervalo'!R550</f>
        <v>0</v>
      </c>
      <c r="AD551" s="149" t="n">
        <f aca="false">AD550+'Volumes por intervalo'!S550</f>
        <v>0</v>
      </c>
    </row>
    <row r="552" customFormat="false" ht="15" hidden="false" customHeight="false" outlineLevel="0" collapsed="false">
      <c r="A552" s="138" t="s">
        <v>2218</v>
      </c>
      <c r="B552" s="146" t="n">
        <v>547</v>
      </c>
      <c r="C552" s="144" t="n">
        <v>10940</v>
      </c>
      <c r="D552" s="138" t="s">
        <v>1594</v>
      </c>
      <c r="E552" s="138" t="s">
        <v>1566</v>
      </c>
      <c r="F552" s="147" t="n">
        <v>11</v>
      </c>
      <c r="G552" s="148" t="n">
        <v>0</v>
      </c>
      <c r="H552" s="148" t="n">
        <v>0</v>
      </c>
      <c r="I552" s="138" t="s">
        <v>1642</v>
      </c>
      <c r="J552" s="138"/>
      <c r="K552" s="146" t="n">
        <f aca="false">Parâmetros!$C$4*(F552+2*Parâmetros!$D$4+Parâmetros!$C$4*Parâmetros!$E$4)</f>
        <v>0.5525</v>
      </c>
      <c r="L552" s="146" t="n">
        <f aca="false">Parâmetros!$C$5*(F552+2*Parâmetros!$D$5+Parâmetros!$C$5*Parâmetros!$E$5)</f>
        <v>1.8176</v>
      </c>
      <c r="M552" s="146" t="n">
        <f aca="false">Parâmetros!$C$6*(F552+2*Parâmetros!$D$6+Parâmetros!$C$6*Parâmetros!$E$6)</f>
        <v>2.384</v>
      </c>
      <c r="N552" s="146" t="n">
        <f aca="false">Parâmetros!$C$7*(F552+2*Parâmetros!$D$7+Parâmetros!$C$7*Parâmetros!$E$7)</f>
        <v>3.786</v>
      </c>
      <c r="O552" s="146" t="n">
        <f aca="false">F552+2*Parâmetros!$D$8</f>
        <v>11.2</v>
      </c>
      <c r="P552" s="146" t="n">
        <f aca="false">F552+2*Parâmetros!$D$10</f>
        <v>12.92</v>
      </c>
      <c r="Q552" s="146" t="n">
        <f aca="false">G552+H552</f>
        <v>0</v>
      </c>
      <c r="S552" s="149" t="n">
        <f aca="false">S551+'Volumes por intervalo'!C551*(F551+F552)/2</f>
        <v>127863.5</v>
      </c>
      <c r="T552" s="149" t="n">
        <f aca="false">T551+'Volumes por intervalo'!H551</f>
        <v>6420.52500000003</v>
      </c>
      <c r="U552" s="149" t="n">
        <f aca="false">U551+'Volumes por intervalo'!J551</f>
        <v>21088.3040000001</v>
      </c>
      <c r="V552" s="149" t="n">
        <f aca="false">V551+'Volumes por intervalo'!K551</f>
        <v>27585.6600000001</v>
      </c>
      <c r="W552" s="149" t="n">
        <f aca="false">W551+'Volumes por intervalo'!L551</f>
        <v>43675.8900000001</v>
      </c>
      <c r="X552" s="149" t="n">
        <f aca="false">X551+'Volumes por intervalo'!M551</f>
        <v>130051.5</v>
      </c>
      <c r="Y552" s="149" t="n">
        <f aca="false">Y551+'Volumes por intervalo'!N551</f>
        <v>130051.5</v>
      </c>
      <c r="Z552" s="149" t="n">
        <f aca="false">Z551+'Volumes por intervalo'!O551</f>
        <v>148868.299999999</v>
      </c>
      <c r="AA552" s="149" t="n">
        <f aca="false">AA551+'Volumes por intervalo'!P551</f>
        <v>0</v>
      </c>
      <c r="AB552" s="149" t="n">
        <f aca="false">AB551+'Volumes por intervalo'!Q551</f>
        <v>0</v>
      </c>
      <c r="AC552" s="149" t="n">
        <f aca="false">AC551+'Volumes por intervalo'!R551</f>
        <v>0</v>
      </c>
      <c r="AD552" s="149" t="n">
        <f aca="false">AD551+'Volumes por intervalo'!S551</f>
        <v>0</v>
      </c>
    </row>
    <row r="553" customFormat="false" ht="15" hidden="false" customHeight="false" outlineLevel="0" collapsed="false">
      <c r="A553" s="138" t="s">
        <v>2219</v>
      </c>
      <c r="B553" s="146" t="n">
        <v>548</v>
      </c>
      <c r="C553" s="144" t="n">
        <v>10960</v>
      </c>
      <c r="D553" s="138" t="s">
        <v>1594</v>
      </c>
      <c r="E553" s="138" t="s">
        <v>1566</v>
      </c>
      <c r="F553" s="147" t="n">
        <v>11</v>
      </c>
      <c r="G553" s="148" t="n">
        <v>0</v>
      </c>
      <c r="H553" s="148" t="n">
        <v>0</v>
      </c>
      <c r="I553" s="138" t="s">
        <v>1642</v>
      </c>
      <c r="J553" s="138"/>
      <c r="K553" s="146" t="n">
        <f aca="false">Parâmetros!$C$4*(F553+2*Parâmetros!$D$4+Parâmetros!$C$4*Parâmetros!$E$4)</f>
        <v>0.5525</v>
      </c>
      <c r="L553" s="146" t="n">
        <f aca="false">Parâmetros!$C$5*(F553+2*Parâmetros!$D$5+Parâmetros!$C$5*Parâmetros!$E$5)</f>
        <v>1.8176</v>
      </c>
      <c r="M553" s="146" t="n">
        <f aca="false">Parâmetros!$C$6*(F553+2*Parâmetros!$D$6+Parâmetros!$C$6*Parâmetros!$E$6)</f>
        <v>2.384</v>
      </c>
      <c r="N553" s="146" t="n">
        <f aca="false">Parâmetros!$C$7*(F553+2*Parâmetros!$D$7+Parâmetros!$C$7*Parâmetros!$E$7)</f>
        <v>3.786</v>
      </c>
      <c r="O553" s="146" t="n">
        <f aca="false">F553+2*Parâmetros!$D$8</f>
        <v>11.2</v>
      </c>
      <c r="P553" s="146" t="n">
        <f aca="false">F553+2*Parâmetros!$D$10</f>
        <v>12.92</v>
      </c>
      <c r="Q553" s="146" t="n">
        <f aca="false">G553+H553</f>
        <v>0</v>
      </c>
      <c r="S553" s="149" t="n">
        <f aca="false">S552+'Volumes por intervalo'!C552*(F552+F553)/2</f>
        <v>128083.5</v>
      </c>
      <c r="T553" s="149" t="n">
        <f aca="false">T552+'Volumes por intervalo'!H552</f>
        <v>6431.57500000003</v>
      </c>
      <c r="U553" s="149" t="n">
        <f aca="false">U552+'Volumes por intervalo'!J552</f>
        <v>21124.6560000001</v>
      </c>
      <c r="V553" s="149" t="n">
        <f aca="false">V552+'Volumes por intervalo'!K552</f>
        <v>27633.3400000001</v>
      </c>
      <c r="W553" s="149" t="n">
        <f aca="false">W552+'Volumes por intervalo'!L552</f>
        <v>43751.6100000001</v>
      </c>
      <c r="X553" s="149" t="n">
        <f aca="false">X552+'Volumes por intervalo'!M552</f>
        <v>130275.5</v>
      </c>
      <c r="Y553" s="149" t="n">
        <f aca="false">Y552+'Volumes por intervalo'!N552</f>
        <v>130275.5</v>
      </c>
      <c r="Z553" s="149" t="n">
        <f aca="false">Z552+'Volumes por intervalo'!O552</f>
        <v>149126.699999999</v>
      </c>
      <c r="AA553" s="149" t="n">
        <f aca="false">AA552+'Volumes por intervalo'!P552</f>
        <v>0</v>
      </c>
      <c r="AB553" s="149" t="n">
        <f aca="false">AB552+'Volumes por intervalo'!Q552</f>
        <v>0</v>
      </c>
      <c r="AC553" s="149" t="n">
        <f aca="false">AC552+'Volumes por intervalo'!R552</f>
        <v>0</v>
      </c>
      <c r="AD553" s="149" t="n">
        <f aca="false">AD552+'Volumes por intervalo'!S552</f>
        <v>0</v>
      </c>
    </row>
    <row r="554" customFormat="false" ht="15" hidden="false" customHeight="false" outlineLevel="0" collapsed="false">
      <c r="A554" s="138" t="s">
        <v>2220</v>
      </c>
      <c r="B554" s="146" t="n">
        <v>549</v>
      </c>
      <c r="C554" s="144" t="n">
        <v>10980</v>
      </c>
      <c r="D554" s="138" t="s">
        <v>1594</v>
      </c>
      <c r="E554" s="138" t="s">
        <v>1566</v>
      </c>
      <c r="F554" s="147" t="n">
        <v>11</v>
      </c>
      <c r="G554" s="148" t="n">
        <v>0</v>
      </c>
      <c r="H554" s="148" t="n">
        <v>0</v>
      </c>
      <c r="I554" s="138" t="s">
        <v>1642</v>
      </c>
      <c r="J554" s="138"/>
      <c r="K554" s="146" t="n">
        <f aca="false">Parâmetros!$C$4*(F554+2*Parâmetros!$D$4+Parâmetros!$C$4*Parâmetros!$E$4)</f>
        <v>0.5525</v>
      </c>
      <c r="L554" s="146" t="n">
        <f aca="false">Parâmetros!$C$5*(F554+2*Parâmetros!$D$5+Parâmetros!$C$5*Parâmetros!$E$5)</f>
        <v>1.8176</v>
      </c>
      <c r="M554" s="146" t="n">
        <f aca="false">Parâmetros!$C$6*(F554+2*Parâmetros!$D$6+Parâmetros!$C$6*Parâmetros!$E$6)</f>
        <v>2.384</v>
      </c>
      <c r="N554" s="146" t="n">
        <f aca="false">Parâmetros!$C$7*(F554+2*Parâmetros!$D$7+Parâmetros!$C$7*Parâmetros!$E$7)</f>
        <v>3.786</v>
      </c>
      <c r="O554" s="146" t="n">
        <f aca="false">F554+2*Parâmetros!$D$8</f>
        <v>11.2</v>
      </c>
      <c r="P554" s="146" t="n">
        <f aca="false">F554+2*Parâmetros!$D$10</f>
        <v>12.92</v>
      </c>
      <c r="Q554" s="146" t="n">
        <f aca="false">G554+H554</f>
        <v>0</v>
      </c>
      <c r="S554" s="149" t="n">
        <f aca="false">S553+'Volumes por intervalo'!C553*(F553+F554)/2</f>
        <v>128303.5</v>
      </c>
      <c r="T554" s="149" t="n">
        <f aca="false">T553+'Volumes por intervalo'!H553</f>
        <v>6442.62500000003</v>
      </c>
      <c r="U554" s="149" t="n">
        <f aca="false">U553+'Volumes por intervalo'!J553</f>
        <v>21161.0080000001</v>
      </c>
      <c r="V554" s="149" t="n">
        <f aca="false">V553+'Volumes por intervalo'!K553</f>
        <v>27681.0200000001</v>
      </c>
      <c r="W554" s="149" t="n">
        <f aca="false">W553+'Volumes por intervalo'!L553</f>
        <v>43827.3300000001</v>
      </c>
      <c r="X554" s="149" t="n">
        <f aca="false">X553+'Volumes por intervalo'!M553</f>
        <v>130499.5</v>
      </c>
      <c r="Y554" s="149" t="n">
        <f aca="false">Y553+'Volumes por intervalo'!N553</f>
        <v>130499.5</v>
      </c>
      <c r="Z554" s="149" t="n">
        <f aca="false">Z553+'Volumes por intervalo'!O553</f>
        <v>149385.099999999</v>
      </c>
      <c r="AA554" s="149" t="n">
        <f aca="false">AA553+'Volumes por intervalo'!P553</f>
        <v>0</v>
      </c>
      <c r="AB554" s="149" t="n">
        <f aca="false">AB553+'Volumes por intervalo'!Q553</f>
        <v>0</v>
      </c>
      <c r="AC554" s="149" t="n">
        <f aca="false">AC553+'Volumes por intervalo'!R553</f>
        <v>0</v>
      </c>
      <c r="AD554" s="149" t="n">
        <f aca="false">AD553+'Volumes por intervalo'!S553</f>
        <v>0</v>
      </c>
    </row>
    <row r="555" customFormat="false" ht="15" hidden="false" customHeight="false" outlineLevel="0" collapsed="false">
      <c r="A555" s="138" t="s">
        <v>2221</v>
      </c>
      <c r="B555" s="146" t="n">
        <v>550</v>
      </c>
      <c r="C555" s="144" t="n">
        <v>11000</v>
      </c>
      <c r="D555" s="138" t="s">
        <v>1594</v>
      </c>
      <c r="E555" s="138" t="s">
        <v>1566</v>
      </c>
      <c r="F555" s="147" t="n">
        <v>11</v>
      </c>
      <c r="G555" s="148" t="n">
        <v>0</v>
      </c>
      <c r="H555" s="148" t="n">
        <v>0</v>
      </c>
      <c r="I555" s="138" t="s">
        <v>1642</v>
      </c>
      <c r="J555" s="138"/>
      <c r="K555" s="146" t="n">
        <f aca="false">Parâmetros!$C$4*(F555+2*Parâmetros!$D$4+Parâmetros!$C$4*Parâmetros!$E$4)</f>
        <v>0.5525</v>
      </c>
      <c r="L555" s="146" t="n">
        <f aca="false">Parâmetros!$C$5*(F555+2*Parâmetros!$D$5+Parâmetros!$C$5*Parâmetros!$E$5)</f>
        <v>1.8176</v>
      </c>
      <c r="M555" s="146" t="n">
        <f aca="false">Parâmetros!$C$6*(F555+2*Parâmetros!$D$6+Parâmetros!$C$6*Parâmetros!$E$6)</f>
        <v>2.384</v>
      </c>
      <c r="N555" s="146" t="n">
        <f aca="false">Parâmetros!$C$7*(F555+2*Parâmetros!$D$7+Parâmetros!$C$7*Parâmetros!$E$7)</f>
        <v>3.786</v>
      </c>
      <c r="O555" s="146" t="n">
        <f aca="false">F555+2*Parâmetros!$D$8</f>
        <v>11.2</v>
      </c>
      <c r="P555" s="146" t="n">
        <f aca="false">F555+2*Parâmetros!$D$10</f>
        <v>12.92</v>
      </c>
      <c r="Q555" s="146" t="n">
        <f aca="false">G555+H555</f>
        <v>0</v>
      </c>
      <c r="S555" s="149" t="n">
        <f aca="false">S554+'Volumes por intervalo'!C554*(F554+F555)/2</f>
        <v>128523.5</v>
      </c>
      <c r="T555" s="149" t="n">
        <f aca="false">T554+'Volumes por intervalo'!H554</f>
        <v>6453.67500000003</v>
      </c>
      <c r="U555" s="149" t="n">
        <f aca="false">U554+'Volumes por intervalo'!J554</f>
        <v>21197.36</v>
      </c>
      <c r="V555" s="149" t="n">
        <f aca="false">V554+'Volumes por intervalo'!K554</f>
        <v>27728.7000000001</v>
      </c>
      <c r="W555" s="149" t="n">
        <f aca="false">W554+'Volumes por intervalo'!L554</f>
        <v>43903.0500000001</v>
      </c>
      <c r="X555" s="149" t="n">
        <f aca="false">X554+'Volumes por intervalo'!M554</f>
        <v>130723.5</v>
      </c>
      <c r="Y555" s="149" t="n">
        <f aca="false">Y554+'Volumes por intervalo'!N554</f>
        <v>130723.5</v>
      </c>
      <c r="Z555" s="149" t="n">
        <f aca="false">Z554+'Volumes por intervalo'!O554</f>
        <v>149643.499999999</v>
      </c>
      <c r="AA555" s="149" t="n">
        <f aca="false">AA554+'Volumes por intervalo'!P554</f>
        <v>0</v>
      </c>
      <c r="AB555" s="149" t="n">
        <f aca="false">AB554+'Volumes por intervalo'!Q554</f>
        <v>0</v>
      </c>
      <c r="AC555" s="149" t="n">
        <f aca="false">AC554+'Volumes por intervalo'!R554</f>
        <v>0</v>
      </c>
      <c r="AD555" s="149" t="n">
        <f aca="false">AD554+'Volumes por intervalo'!S554</f>
        <v>0</v>
      </c>
    </row>
    <row r="556" customFormat="false" ht="15" hidden="false" customHeight="false" outlineLevel="0" collapsed="false">
      <c r="A556" s="138" t="s">
        <v>2222</v>
      </c>
      <c r="B556" s="146" t="n">
        <v>551</v>
      </c>
      <c r="C556" s="144" t="n">
        <v>11020</v>
      </c>
      <c r="D556" s="138" t="s">
        <v>1594</v>
      </c>
      <c r="E556" s="138" t="s">
        <v>1566</v>
      </c>
      <c r="F556" s="147" t="n">
        <v>11</v>
      </c>
      <c r="G556" s="148" t="n">
        <v>0</v>
      </c>
      <c r="H556" s="148" t="n">
        <v>0</v>
      </c>
      <c r="I556" s="138" t="s">
        <v>1642</v>
      </c>
      <c r="J556" s="138"/>
      <c r="K556" s="146" t="n">
        <f aca="false">Parâmetros!$C$4*(F556+2*Parâmetros!$D$4+Parâmetros!$C$4*Parâmetros!$E$4)</f>
        <v>0.5525</v>
      </c>
      <c r="L556" s="146" t="n">
        <f aca="false">Parâmetros!$C$5*(F556+2*Parâmetros!$D$5+Parâmetros!$C$5*Parâmetros!$E$5)</f>
        <v>1.8176</v>
      </c>
      <c r="M556" s="146" t="n">
        <f aca="false">Parâmetros!$C$6*(F556+2*Parâmetros!$D$6+Parâmetros!$C$6*Parâmetros!$E$6)</f>
        <v>2.384</v>
      </c>
      <c r="N556" s="146" t="n">
        <f aca="false">Parâmetros!$C$7*(F556+2*Parâmetros!$D$7+Parâmetros!$C$7*Parâmetros!$E$7)</f>
        <v>3.786</v>
      </c>
      <c r="O556" s="146" t="n">
        <f aca="false">F556+2*Parâmetros!$D$8</f>
        <v>11.2</v>
      </c>
      <c r="P556" s="146" t="n">
        <f aca="false">F556+2*Parâmetros!$D$10</f>
        <v>12.92</v>
      </c>
      <c r="Q556" s="146" t="n">
        <f aca="false">G556+H556</f>
        <v>0</v>
      </c>
      <c r="S556" s="149" t="n">
        <f aca="false">S555+'Volumes por intervalo'!C555*(F555+F556)/2</f>
        <v>128743.5</v>
      </c>
      <c r="T556" s="149" t="n">
        <f aca="false">T555+'Volumes por intervalo'!H555</f>
        <v>6464.72500000003</v>
      </c>
      <c r="U556" s="149" t="n">
        <f aca="false">U555+'Volumes por intervalo'!J555</f>
        <v>21233.712</v>
      </c>
      <c r="V556" s="149" t="n">
        <f aca="false">V555+'Volumes por intervalo'!K555</f>
        <v>27776.3800000001</v>
      </c>
      <c r="W556" s="149" t="n">
        <f aca="false">W555+'Volumes por intervalo'!L555</f>
        <v>43978.7700000001</v>
      </c>
      <c r="X556" s="149" t="n">
        <f aca="false">X555+'Volumes por intervalo'!M555</f>
        <v>130947.5</v>
      </c>
      <c r="Y556" s="149" t="n">
        <f aca="false">Y555+'Volumes por intervalo'!N555</f>
        <v>130947.5</v>
      </c>
      <c r="Z556" s="149" t="n">
        <f aca="false">Z555+'Volumes por intervalo'!O555</f>
        <v>149901.899999999</v>
      </c>
      <c r="AA556" s="149" t="n">
        <f aca="false">AA555+'Volumes por intervalo'!P555</f>
        <v>0</v>
      </c>
      <c r="AB556" s="149" t="n">
        <f aca="false">AB555+'Volumes por intervalo'!Q555</f>
        <v>0</v>
      </c>
      <c r="AC556" s="149" t="n">
        <f aca="false">AC555+'Volumes por intervalo'!R555</f>
        <v>0</v>
      </c>
      <c r="AD556" s="149" t="n">
        <f aca="false">AD555+'Volumes por intervalo'!S555</f>
        <v>0</v>
      </c>
    </row>
    <row r="557" customFormat="false" ht="15" hidden="false" customHeight="false" outlineLevel="0" collapsed="false">
      <c r="A557" s="138" t="s">
        <v>2223</v>
      </c>
      <c r="B557" s="146" t="n">
        <v>552</v>
      </c>
      <c r="C557" s="144" t="n">
        <v>11040</v>
      </c>
      <c r="D557" s="138" t="s">
        <v>1594</v>
      </c>
      <c r="E557" s="138" t="s">
        <v>1566</v>
      </c>
      <c r="F557" s="147" t="n">
        <v>11</v>
      </c>
      <c r="G557" s="148" t="n">
        <v>0</v>
      </c>
      <c r="H557" s="148" t="n">
        <v>0</v>
      </c>
      <c r="I557" s="138" t="s">
        <v>1642</v>
      </c>
      <c r="J557" s="138"/>
      <c r="K557" s="146" t="n">
        <f aca="false">Parâmetros!$C$4*(F557+2*Parâmetros!$D$4+Parâmetros!$C$4*Parâmetros!$E$4)</f>
        <v>0.5525</v>
      </c>
      <c r="L557" s="146" t="n">
        <f aca="false">Parâmetros!$C$5*(F557+2*Parâmetros!$D$5+Parâmetros!$C$5*Parâmetros!$E$5)</f>
        <v>1.8176</v>
      </c>
      <c r="M557" s="146" t="n">
        <f aca="false">Parâmetros!$C$6*(F557+2*Parâmetros!$D$6+Parâmetros!$C$6*Parâmetros!$E$6)</f>
        <v>2.384</v>
      </c>
      <c r="N557" s="146" t="n">
        <f aca="false">Parâmetros!$C$7*(F557+2*Parâmetros!$D$7+Parâmetros!$C$7*Parâmetros!$E$7)</f>
        <v>3.786</v>
      </c>
      <c r="O557" s="146" t="n">
        <f aca="false">F557+2*Parâmetros!$D$8</f>
        <v>11.2</v>
      </c>
      <c r="P557" s="146" t="n">
        <f aca="false">F557+2*Parâmetros!$D$10</f>
        <v>12.92</v>
      </c>
      <c r="Q557" s="146" t="n">
        <f aca="false">G557+H557</f>
        <v>0</v>
      </c>
      <c r="S557" s="149" t="n">
        <f aca="false">S556+'Volumes por intervalo'!C556*(F556+F557)/2</f>
        <v>128963.5</v>
      </c>
      <c r="T557" s="149" t="n">
        <f aca="false">T556+'Volumes por intervalo'!H556</f>
        <v>6475.77500000003</v>
      </c>
      <c r="U557" s="149" t="n">
        <f aca="false">U556+'Volumes por intervalo'!J556</f>
        <v>21270.064</v>
      </c>
      <c r="V557" s="149" t="n">
        <f aca="false">V556+'Volumes por intervalo'!K556</f>
        <v>27824.0600000001</v>
      </c>
      <c r="W557" s="149" t="n">
        <f aca="false">W556+'Volumes por intervalo'!L556</f>
        <v>44054.4900000001</v>
      </c>
      <c r="X557" s="149" t="n">
        <f aca="false">X556+'Volumes por intervalo'!M556</f>
        <v>131171.5</v>
      </c>
      <c r="Y557" s="149" t="n">
        <f aca="false">Y556+'Volumes por intervalo'!N556</f>
        <v>131171.5</v>
      </c>
      <c r="Z557" s="149" t="n">
        <f aca="false">Z556+'Volumes por intervalo'!O556</f>
        <v>150160.299999999</v>
      </c>
      <c r="AA557" s="149" t="n">
        <f aca="false">AA556+'Volumes por intervalo'!P556</f>
        <v>0</v>
      </c>
      <c r="AB557" s="149" t="n">
        <f aca="false">AB556+'Volumes por intervalo'!Q556</f>
        <v>0</v>
      </c>
      <c r="AC557" s="149" t="n">
        <f aca="false">AC556+'Volumes por intervalo'!R556</f>
        <v>0</v>
      </c>
      <c r="AD557" s="149" t="n">
        <f aca="false">AD556+'Volumes por intervalo'!S556</f>
        <v>0</v>
      </c>
    </row>
    <row r="558" customFormat="false" ht="15" hidden="false" customHeight="false" outlineLevel="0" collapsed="false">
      <c r="A558" s="138" t="s">
        <v>2224</v>
      </c>
      <c r="B558" s="146" t="n">
        <v>553</v>
      </c>
      <c r="C558" s="144" t="n">
        <v>11060</v>
      </c>
      <c r="D558" s="138" t="s">
        <v>1594</v>
      </c>
      <c r="E558" s="138" t="s">
        <v>1566</v>
      </c>
      <c r="F558" s="147" t="n">
        <v>11</v>
      </c>
      <c r="G558" s="148" t="n">
        <v>0</v>
      </c>
      <c r="H558" s="148" t="n">
        <v>0</v>
      </c>
      <c r="I558" s="138" t="s">
        <v>1642</v>
      </c>
      <c r="J558" s="138"/>
      <c r="K558" s="146" t="n">
        <f aca="false">Parâmetros!$C$4*(F558+2*Parâmetros!$D$4+Parâmetros!$C$4*Parâmetros!$E$4)</f>
        <v>0.5525</v>
      </c>
      <c r="L558" s="146" t="n">
        <f aca="false">Parâmetros!$C$5*(F558+2*Parâmetros!$D$5+Parâmetros!$C$5*Parâmetros!$E$5)</f>
        <v>1.8176</v>
      </c>
      <c r="M558" s="146" t="n">
        <f aca="false">Parâmetros!$C$6*(F558+2*Parâmetros!$D$6+Parâmetros!$C$6*Parâmetros!$E$6)</f>
        <v>2.384</v>
      </c>
      <c r="N558" s="146" t="n">
        <f aca="false">Parâmetros!$C$7*(F558+2*Parâmetros!$D$7+Parâmetros!$C$7*Parâmetros!$E$7)</f>
        <v>3.786</v>
      </c>
      <c r="O558" s="146" t="n">
        <f aca="false">F558+2*Parâmetros!$D$8</f>
        <v>11.2</v>
      </c>
      <c r="P558" s="146" t="n">
        <f aca="false">F558+2*Parâmetros!$D$10</f>
        <v>12.92</v>
      </c>
      <c r="Q558" s="146" t="n">
        <f aca="false">G558+H558</f>
        <v>0</v>
      </c>
      <c r="S558" s="149" t="n">
        <f aca="false">S557+'Volumes por intervalo'!C557*(F557+F558)/2</f>
        <v>129183.5</v>
      </c>
      <c r="T558" s="149" t="n">
        <f aca="false">T557+'Volumes por intervalo'!H557</f>
        <v>6486.82500000003</v>
      </c>
      <c r="U558" s="149" t="n">
        <f aca="false">U557+'Volumes por intervalo'!J557</f>
        <v>21306.416</v>
      </c>
      <c r="V558" s="149" t="n">
        <f aca="false">V557+'Volumes por intervalo'!K557</f>
        <v>27871.7400000001</v>
      </c>
      <c r="W558" s="149" t="n">
        <f aca="false">W557+'Volumes por intervalo'!L557</f>
        <v>44130.2100000001</v>
      </c>
      <c r="X558" s="149" t="n">
        <f aca="false">X557+'Volumes por intervalo'!M557</f>
        <v>131395.5</v>
      </c>
      <c r="Y558" s="149" t="n">
        <f aca="false">Y557+'Volumes por intervalo'!N557</f>
        <v>131395.5</v>
      </c>
      <c r="Z558" s="149" t="n">
        <f aca="false">Z557+'Volumes por intervalo'!O557</f>
        <v>150418.699999999</v>
      </c>
      <c r="AA558" s="149" t="n">
        <f aca="false">AA557+'Volumes por intervalo'!P557</f>
        <v>0</v>
      </c>
      <c r="AB558" s="149" t="n">
        <f aca="false">AB557+'Volumes por intervalo'!Q557</f>
        <v>0</v>
      </c>
      <c r="AC558" s="149" t="n">
        <f aca="false">AC557+'Volumes por intervalo'!R557</f>
        <v>0</v>
      </c>
      <c r="AD558" s="149" t="n">
        <f aca="false">AD557+'Volumes por intervalo'!S557</f>
        <v>0</v>
      </c>
    </row>
    <row r="559" customFormat="false" ht="15" hidden="false" customHeight="false" outlineLevel="0" collapsed="false">
      <c r="A559" s="138" t="s">
        <v>2225</v>
      </c>
      <c r="B559" s="146" t="n">
        <v>554</v>
      </c>
      <c r="C559" s="144" t="n">
        <v>11080</v>
      </c>
      <c r="D559" s="138" t="s">
        <v>1594</v>
      </c>
      <c r="E559" s="138" t="s">
        <v>1566</v>
      </c>
      <c r="F559" s="147" t="n">
        <v>11</v>
      </c>
      <c r="G559" s="148" t="n">
        <v>0</v>
      </c>
      <c r="H559" s="148" t="n">
        <v>0</v>
      </c>
      <c r="I559" s="138" t="s">
        <v>1642</v>
      </c>
      <c r="J559" s="138"/>
      <c r="K559" s="146" t="n">
        <f aca="false">Parâmetros!$C$4*(F559+2*Parâmetros!$D$4+Parâmetros!$C$4*Parâmetros!$E$4)</f>
        <v>0.5525</v>
      </c>
      <c r="L559" s="146" t="n">
        <f aca="false">Parâmetros!$C$5*(F559+2*Parâmetros!$D$5+Parâmetros!$C$5*Parâmetros!$E$5)</f>
        <v>1.8176</v>
      </c>
      <c r="M559" s="146" t="n">
        <f aca="false">Parâmetros!$C$6*(F559+2*Parâmetros!$D$6+Parâmetros!$C$6*Parâmetros!$E$6)</f>
        <v>2.384</v>
      </c>
      <c r="N559" s="146" t="n">
        <f aca="false">Parâmetros!$C$7*(F559+2*Parâmetros!$D$7+Parâmetros!$C$7*Parâmetros!$E$7)</f>
        <v>3.786</v>
      </c>
      <c r="O559" s="146" t="n">
        <f aca="false">F559+2*Parâmetros!$D$8</f>
        <v>11.2</v>
      </c>
      <c r="P559" s="146" t="n">
        <f aca="false">F559+2*Parâmetros!$D$10</f>
        <v>12.92</v>
      </c>
      <c r="Q559" s="146" t="n">
        <f aca="false">G559+H559</f>
        <v>0</v>
      </c>
      <c r="S559" s="149" t="n">
        <f aca="false">S558+'Volumes por intervalo'!C558*(F558+F559)/2</f>
        <v>129403.5</v>
      </c>
      <c r="T559" s="149" t="n">
        <f aca="false">T558+'Volumes por intervalo'!H558</f>
        <v>6497.87500000003</v>
      </c>
      <c r="U559" s="149" t="n">
        <f aca="false">U558+'Volumes por intervalo'!J558</f>
        <v>21342.768</v>
      </c>
      <c r="V559" s="149" t="n">
        <f aca="false">V558+'Volumes por intervalo'!K558</f>
        <v>27919.4200000001</v>
      </c>
      <c r="W559" s="149" t="n">
        <f aca="false">W558+'Volumes por intervalo'!L558</f>
        <v>44205.9300000001</v>
      </c>
      <c r="X559" s="149" t="n">
        <f aca="false">X558+'Volumes por intervalo'!M558</f>
        <v>131619.5</v>
      </c>
      <c r="Y559" s="149" t="n">
        <f aca="false">Y558+'Volumes por intervalo'!N558</f>
        <v>131619.5</v>
      </c>
      <c r="Z559" s="149" t="n">
        <f aca="false">Z558+'Volumes por intervalo'!O558</f>
        <v>150677.099999999</v>
      </c>
      <c r="AA559" s="149" t="n">
        <f aca="false">AA558+'Volumes por intervalo'!P558</f>
        <v>0</v>
      </c>
      <c r="AB559" s="149" t="n">
        <f aca="false">AB558+'Volumes por intervalo'!Q558</f>
        <v>0</v>
      </c>
      <c r="AC559" s="149" t="n">
        <f aca="false">AC558+'Volumes por intervalo'!R558</f>
        <v>0</v>
      </c>
      <c r="AD559" s="149" t="n">
        <f aca="false">AD558+'Volumes por intervalo'!S558</f>
        <v>0</v>
      </c>
    </row>
    <row r="560" customFormat="false" ht="15" hidden="false" customHeight="false" outlineLevel="0" collapsed="false">
      <c r="A560" s="138" t="s">
        <v>2226</v>
      </c>
      <c r="B560" s="146" t="n">
        <v>555</v>
      </c>
      <c r="C560" s="144" t="n">
        <v>11100</v>
      </c>
      <c r="D560" s="138" t="s">
        <v>1594</v>
      </c>
      <c r="E560" s="138" t="s">
        <v>1566</v>
      </c>
      <c r="F560" s="147" t="n">
        <v>11</v>
      </c>
      <c r="G560" s="148" t="n">
        <v>0</v>
      </c>
      <c r="H560" s="148" t="n">
        <v>0</v>
      </c>
      <c r="I560" s="138" t="s">
        <v>1642</v>
      </c>
      <c r="J560" s="138"/>
      <c r="K560" s="146" t="n">
        <f aca="false">Parâmetros!$C$4*(F560+2*Parâmetros!$D$4+Parâmetros!$C$4*Parâmetros!$E$4)</f>
        <v>0.5525</v>
      </c>
      <c r="L560" s="146" t="n">
        <f aca="false">Parâmetros!$C$5*(F560+2*Parâmetros!$D$5+Parâmetros!$C$5*Parâmetros!$E$5)</f>
        <v>1.8176</v>
      </c>
      <c r="M560" s="146" t="n">
        <f aca="false">Parâmetros!$C$6*(F560+2*Parâmetros!$D$6+Parâmetros!$C$6*Parâmetros!$E$6)</f>
        <v>2.384</v>
      </c>
      <c r="N560" s="146" t="n">
        <f aca="false">Parâmetros!$C$7*(F560+2*Parâmetros!$D$7+Parâmetros!$C$7*Parâmetros!$E$7)</f>
        <v>3.786</v>
      </c>
      <c r="O560" s="146" t="n">
        <f aca="false">F560+2*Parâmetros!$D$8</f>
        <v>11.2</v>
      </c>
      <c r="P560" s="146" t="n">
        <f aca="false">F560+2*Parâmetros!$D$10</f>
        <v>12.92</v>
      </c>
      <c r="Q560" s="146" t="n">
        <f aca="false">G560+H560</f>
        <v>0</v>
      </c>
      <c r="S560" s="149" t="n">
        <f aca="false">S559+'Volumes por intervalo'!C559*(F559+F560)/2</f>
        <v>129623.5</v>
      </c>
      <c r="T560" s="149" t="n">
        <f aca="false">T559+'Volumes por intervalo'!H559</f>
        <v>6508.92500000003</v>
      </c>
      <c r="U560" s="149" t="n">
        <f aca="false">U559+'Volumes por intervalo'!J559</f>
        <v>21379.12</v>
      </c>
      <c r="V560" s="149" t="n">
        <f aca="false">V559+'Volumes por intervalo'!K559</f>
        <v>27967.1000000001</v>
      </c>
      <c r="W560" s="149" t="n">
        <f aca="false">W559+'Volumes por intervalo'!L559</f>
        <v>44281.6500000001</v>
      </c>
      <c r="X560" s="149" t="n">
        <f aca="false">X559+'Volumes por intervalo'!M559</f>
        <v>131843.5</v>
      </c>
      <c r="Y560" s="149" t="n">
        <f aca="false">Y559+'Volumes por intervalo'!N559</f>
        <v>131843.5</v>
      </c>
      <c r="Z560" s="149" t="n">
        <f aca="false">Z559+'Volumes por intervalo'!O559</f>
        <v>150935.499999999</v>
      </c>
      <c r="AA560" s="149" t="n">
        <f aca="false">AA559+'Volumes por intervalo'!P559</f>
        <v>0</v>
      </c>
      <c r="AB560" s="149" t="n">
        <f aca="false">AB559+'Volumes por intervalo'!Q559</f>
        <v>0</v>
      </c>
      <c r="AC560" s="149" t="n">
        <f aca="false">AC559+'Volumes por intervalo'!R559</f>
        <v>0</v>
      </c>
      <c r="AD560" s="149" t="n">
        <f aca="false">AD559+'Volumes por intervalo'!S559</f>
        <v>0</v>
      </c>
    </row>
    <row r="561" customFormat="false" ht="15" hidden="false" customHeight="false" outlineLevel="0" collapsed="false">
      <c r="A561" s="138" t="s">
        <v>2227</v>
      </c>
      <c r="B561" s="146" t="n">
        <v>556</v>
      </c>
      <c r="C561" s="144" t="n">
        <v>11120</v>
      </c>
      <c r="D561" s="138" t="s">
        <v>1594</v>
      </c>
      <c r="E561" s="138" t="s">
        <v>1566</v>
      </c>
      <c r="F561" s="147" t="n">
        <v>11</v>
      </c>
      <c r="G561" s="148" t="n">
        <v>0</v>
      </c>
      <c r="H561" s="148" t="n">
        <v>0</v>
      </c>
      <c r="I561" s="138" t="s">
        <v>1642</v>
      </c>
      <c r="J561" s="138"/>
      <c r="K561" s="146" t="n">
        <f aca="false">Parâmetros!$C$4*(F561+2*Parâmetros!$D$4+Parâmetros!$C$4*Parâmetros!$E$4)</f>
        <v>0.5525</v>
      </c>
      <c r="L561" s="146" t="n">
        <f aca="false">Parâmetros!$C$5*(F561+2*Parâmetros!$D$5+Parâmetros!$C$5*Parâmetros!$E$5)</f>
        <v>1.8176</v>
      </c>
      <c r="M561" s="146" t="n">
        <f aca="false">Parâmetros!$C$6*(F561+2*Parâmetros!$D$6+Parâmetros!$C$6*Parâmetros!$E$6)</f>
        <v>2.384</v>
      </c>
      <c r="N561" s="146" t="n">
        <f aca="false">Parâmetros!$C$7*(F561+2*Parâmetros!$D$7+Parâmetros!$C$7*Parâmetros!$E$7)</f>
        <v>3.786</v>
      </c>
      <c r="O561" s="146" t="n">
        <f aca="false">F561+2*Parâmetros!$D$8</f>
        <v>11.2</v>
      </c>
      <c r="P561" s="146" t="n">
        <f aca="false">F561+2*Parâmetros!$D$10</f>
        <v>12.92</v>
      </c>
      <c r="Q561" s="146" t="n">
        <f aca="false">G561+H561</f>
        <v>0</v>
      </c>
      <c r="S561" s="149" t="n">
        <f aca="false">S560+'Volumes por intervalo'!C560*(F560+F561)/2</f>
        <v>129843.5</v>
      </c>
      <c r="T561" s="149" t="n">
        <f aca="false">T560+'Volumes por intervalo'!H560</f>
        <v>6519.97500000003</v>
      </c>
      <c r="U561" s="149" t="n">
        <f aca="false">U560+'Volumes por intervalo'!J560</f>
        <v>21415.472</v>
      </c>
      <c r="V561" s="149" t="n">
        <f aca="false">V560+'Volumes por intervalo'!K560</f>
        <v>28014.7800000001</v>
      </c>
      <c r="W561" s="149" t="n">
        <f aca="false">W560+'Volumes por intervalo'!L560</f>
        <v>44357.3700000001</v>
      </c>
      <c r="X561" s="149" t="n">
        <f aca="false">X560+'Volumes por intervalo'!M560</f>
        <v>132067.5</v>
      </c>
      <c r="Y561" s="149" t="n">
        <f aca="false">Y560+'Volumes por intervalo'!N560</f>
        <v>132067.5</v>
      </c>
      <c r="Z561" s="149" t="n">
        <f aca="false">Z560+'Volumes por intervalo'!O560</f>
        <v>151193.899999999</v>
      </c>
      <c r="AA561" s="149" t="n">
        <f aca="false">AA560+'Volumes por intervalo'!P560</f>
        <v>0</v>
      </c>
      <c r="AB561" s="149" t="n">
        <f aca="false">AB560+'Volumes por intervalo'!Q560</f>
        <v>0</v>
      </c>
      <c r="AC561" s="149" t="n">
        <f aca="false">AC560+'Volumes por intervalo'!R560</f>
        <v>0</v>
      </c>
      <c r="AD561" s="149" t="n">
        <f aca="false">AD560+'Volumes por intervalo'!S560</f>
        <v>0</v>
      </c>
    </row>
    <row r="562" customFormat="false" ht="15" hidden="false" customHeight="false" outlineLevel="0" collapsed="false">
      <c r="A562" s="138" t="s">
        <v>2228</v>
      </c>
      <c r="B562" s="146" t="n">
        <v>557</v>
      </c>
      <c r="C562" s="144" t="n">
        <v>11140</v>
      </c>
      <c r="D562" s="138" t="s">
        <v>1594</v>
      </c>
      <c r="E562" s="138" t="s">
        <v>1566</v>
      </c>
      <c r="F562" s="147" t="n">
        <v>11</v>
      </c>
      <c r="G562" s="148" t="n">
        <v>0</v>
      </c>
      <c r="H562" s="148" t="n">
        <v>0</v>
      </c>
      <c r="I562" s="138" t="s">
        <v>1642</v>
      </c>
      <c r="J562" s="138"/>
      <c r="K562" s="146" t="n">
        <f aca="false">Parâmetros!$C$4*(F562+2*Parâmetros!$D$4+Parâmetros!$C$4*Parâmetros!$E$4)</f>
        <v>0.5525</v>
      </c>
      <c r="L562" s="146" t="n">
        <f aca="false">Parâmetros!$C$5*(F562+2*Parâmetros!$D$5+Parâmetros!$C$5*Parâmetros!$E$5)</f>
        <v>1.8176</v>
      </c>
      <c r="M562" s="146" t="n">
        <f aca="false">Parâmetros!$C$6*(F562+2*Parâmetros!$D$6+Parâmetros!$C$6*Parâmetros!$E$6)</f>
        <v>2.384</v>
      </c>
      <c r="N562" s="146" t="n">
        <f aca="false">Parâmetros!$C$7*(F562+2*Parâmetros!$D$7+Parâmetros!$C$7*Parâmetros!$E$7)</f>
        <v>3.786</v>
      </c>
      <c r="O562" s="146" t="n">
        <f aca="false">F562+2*Parâmetros!$D$8</f>
        <v>11.2</v>
      </c>
      <c r="P562" s="146" t="n">
        <f aca="false">F562+2*Parâmetros!$D$10</f>
        <v>12.92</v>
      </c>
      <c r="Q562" s="146" t="n">
        <f aca="false">G562+H562</f>
        <v>0</v>
      </c>
      <c r="S562" s="149" t="n">
        <f aca="false">S561+'Volumes por intervalo'!C561*(F561+F562)/2</f>
        <v>130063.5</v>
      </c>
      <c r="T562" s="149" t="n">
        <f aca="false">T561+'Volumes por intervalo'!H561</f>
        <v>6531.02500000003</v>
      </c>
      <c r="U562" s="149" t="n">
        <f aca="false">U561+'Volumes por intervalo'!J561</f>
        <v>21451.824</v>
      </c>
      <c r="V562" s="149" t="n">
        <f aca="false">V561+'Volumes por intervalo'!K561</f>
        <v>28062.4600000001</v>
      </c>
      <c r="W562" s="149" t="n">
        <f aca="false">W561+'Volumes por intervalo'!L561</f>
        <v>44433.0900000001</v>
      </c>
      <c r="X562" s="149" t="n">
        <f aca="false">X561+'Volumes por intervalo'!M561</f>
        <v>132291.5</v>
      </c>
      <c r="Y562" s="149" t="n">
        <f aca="false">Y561+'Volumes por intervalo'!N561</f>
        <v>132291.5</v>
      </c>
      <c r="Z562" s="149" t="n">
        <f aca="false">Z561+'Volumes por intervalo'!O561</f>
        <v>151452.299999999</v>
      </c>
      <c r="AA562" s="149" t="n">
        <f aca="false">AA561+'Volumes por intervalo'!P561</f>
        <v>0</v>
      </c>
      <c r="AB562" s="149" t="n">
        <f aca="false">AB561+'Volumes por intervalo'!Q561</f>
        <v>0</v>
      </c>
      <c r="AC562" s="149" t="n">
        <f aca="false">AC561+'Volumes por intervalo'!R561</f>
        <v>0</v>
      </c>
      <c r="AD562" s="149" t="n">
        <f aca="false">AD561+'Volumes por intervalo'!S561</f>
        <v>0</v>
      </c>
    </row>
    <row r="563" customFormat="false" ht="15" hidden="false" customHeight="false" outlineLevel="0" collapsed="false">
      <c r="A563" s="138" t="s">
        <v>2229</v>
      </c>
      <c r="B563" s="146" t="n">
        <v>558</v>
      </c>
      <c r="C563" s="144" t="n">
        <v>11160</v>
      </c>
      <c r="D563" s="138" t="s">
        <v>1594</v>
      </c>
      <c r="E563" s="138" t="s">
        <v>1566</v>
      </c>
      <c r="F563" s="147" t="n">
        <v>11</v>
      </c>
      <c r="G563" s="148" t="n">
        <v>0</v>
      </c>
      <c r="H563" s="148" t="n">
        <v>0</v>
      </c>
      <c r="I563" s="138" t="s">
        <v>1642</v>
      </c>
      <c r="J563" s="138"/>
      <c r="K563" s="146" t="n">
        <f aca="false">Parâmetros!$C$4*(F563+2*Parâmetros!$D$4+Parâmetros!$C$4*Parâmetros!$E$4)</f>
        <v>0.5525</v>
      </c>
      <c r="L563" s="146" t="n">
        <f aca="false">Parâmetros!$C$5*(F563+2*Parâmetros!$D$5+Parâmetros!$C$5*Parâmetros!$E$5)</f>
        <v>1.8176</v>
      </c>
      <c r="M563" s="146" t="n">
        <f aca="false">Parâmetros!$C$6*(F563+2*Parâmetros!$D$6+Parâmetros!$C$6*Parâmetros!$E$6)</f>
        <v>2.384</v>
      </c>
      <c r="N563" s="146" t="n">
        <f aca="false">Parâmetros!$C$7*(F563+2*Parâmetros!$D$7+Parâmetros!$C$7*Parâmetros!$E$7)</f>
        <v>3.786</v>
      </c>
      <c r="O563" s="146" t="n">
        <f aca="false">F563+2*Parâmetros!$D$8</f>
        <v>11.2</v>
      </c>
      <c r="P563" s="146" t="n">
        <f aca="false">F563+2*Parâmetros!$D$10</f>
        <v>12.92</v>
      </c>
      <c r="Q563" s="146" t="n">
        <f aca="false">G563+H563</f>
        <v>0</v>
      </c>
      <c r="S563" s="149" t="n">
        <f aca="false">S562+'Volumes por intervalo'!C562*(F562+F563)/2</f>
        <v>130283.5</v>
      </c>
      <c r="T563" s="149" t="n">
        <f aca="false">T562+'Volumes por intervalo'!H562</f>
        <v>6542.07500000003</v>
      </c>
      <c r="U563" s="149" t="n">
        <f aca="false">U562+'Volumes por intervalo'!J562</f>
        <v>21488.176</v>
      </c>
      <c r="V563" s="149" t="n">
        <f aca="false">V562+'Volumes por intervalo'!K562</f>
        <v>28110.1400000001</v>
      </c>
      <c r="W563" s="149" t="n">
        <f aca="false">W562+'Volumes por intervalo'!L562</f>
        <v>44508.8100000001</v>
      </c>
      <c r="X563" s="149" t="n">
        <f aca="false">X562+'Volumes por intervalo'!M562</f>
        <v>132515.5</v>
      </c>
      <c r="Y563" s="149" t="n">
        <f aca="false">Y562+'Volumes por intervalo'!N562</f>
        <v>132515.5</v>
      </c>
      <c r="Z563" s="149" t="n">
        <f aca="false">Z562+'Volumes por intervalo'!O562</f>
        <v>151710.699999999</v>
      </c>
      <c r="AA563" s="149" t="n">
        <f aca="false">AA562+'Volumes por intervalo'!P562</f>
        <v>0</v>
      </c>
      <c r="AB563" s="149" t="n">
        <f aca="false">AB562+'Volumes por intervalo'!Q562</f>
        <v>0</v>
      </c>
      <c r="AC563" s="149" t="n">
        <f aca="false">AC562+'Volumes por intervalo'!R562</f>
        <v>0</v>
      </c>
      <c r="AD563" s="149" t="n">
        <f aca="false">AD562+'Volumes por intervalo'!S562</f>
        <v>0</v>
      </c>
    </row>
    <row r="564" customFormat="false" ht="15" hidden="false" customHeight="false" outlineLevel="0" collapsed="false">
      <c r="A564" s="138" t="s">
        <v>2230</v>
      </c>
      <c r="B564" s="146" t="n">
        <v>559</v>
      </c>
      <c r="C564" s="144" t="n">
        <v>11180</v>
      </c>
      <c r="D564" s="138" t="s">
        <v>1594</v>
      </c>
      <c r="E564" s="138" t="s">
        <v>1566</v>
      </c>
      <c r="F564" s="147" t="n">
        <v>11</v>
      </c>
      <c r="G564" s="148" t="n">
        <v>0</v>
      </c>
      <c r="H564" s="148" t="n">
        <v>0</v>
      </c>
      <c r="I564" s="138" t="s">
        <v>1642</v>
      </c>
      <c r="J564" s="138"/>
      <c r="K564" s="146" t="n">
        <f aca="false">Parâmetros!$C$4*(F564+2*Parâmetros!$D$4+Parâmetros!$C$4*Parâmetros!$E$4)</f>
        <v>0.5525</v>
      </c>
      <c r="L564" s="146" t="n">
        <f aca="false">Parâmetros!$C$5*(F564+2*Parâmetros!$D$5+Parâmetros!$C$5*Parâmetros!$E$5)</f>
        <v>1.8176</v>
      </c>
      <c r="M564" s="146" t="n">
        <f aca="false">Parâmetros!$C$6*(F564+2*Parâmetros!$D$6+Parâmetros!$C$6*Parâmetros!$E$6)</f>
        <v>2.384</v>
      </c>
      <c r="N564" s="146" t="n">
        <f aca="false">Parâmetros!$C$7*(F564+2*Parâmetros!$D$7+Parâmetros!$C$7*Parâmetros!$E$7)</f>
        <v>3.786</v>
      </c>
      <c r="O564" s="146" t="n">
        <f aca="false">F564+2*Parâmetros!$D$8</f>
        <v>11.2</v>
      </c>
      <c r="P564" s="146" t="n">
        <f aca="false">F564+2*Parâmetros!$D$10</f>
        <v>12.92</v>
      </c>
      <c r="Q564" s="146" t="n">
        <f aca="false">G564+H564</f>
        <v>0</v>
      </c>
      <c r="S564" s="149" t="n">
        <f aca="false">S563+'Volumes por intervalo'!C563*(F563+F564)/2</f>
        <v>130503.5</v>
      </c>
      <c r="T564" s="149" t="n">
        <f aca="false">T563+'Volumes por intervalo'!H563</f>
        <v>6553.12500000003</v>
      </c>
      <c r="U564" s="149" t="n">
        <f aca="false">U563+'Volumes por intervalo'!J563</f>
        <v>21524.528</v>
      </c>
      <c r="V564" s="149" t="n">
        <f aca="false">V563+'Volumes por intervalo'!K563</f>
        <v>28157.8200000001</v>
      </c>
      <c r="W564" s="149" t="n">
        <f aca="false">W563+'Volumes por intervalo'!L563</f>
        <v>44584.5300000001</v>
      </c>
      <c r="X564" s="149" t="n">
        <f aca="false">X563+'Volumes por intervalo'!M563</f>
        <v>132739.5</v>
      </c>
      <c r="Y564" s="149" t="n">
        <f aca="false">Y563+'Volumes por intervalo'!N563</f>
        <v>132739.5</v>
      </c>
      <c r="Z564" s="149" t="n">
        <f aca="false">Z563+'Volumes por intervalo'!O563</f>
        <v>151969.099999999</v>
      </c>
      <c r="AA564" s="149" t="n">
        <f aca="false">AA563+'Volumes por intervalo'!P563</f>
        <v>0</v>
      </c>
      <c r="AB564" s="149" t="n">
        <f aca="false">AB563+'Volumes por intervalo'!Q563</f>
        <v>0</v>
      </c>
      <c r="AC564" s="149" t="n">
        <f aca="false">AC563+'Volumes por intervalo'!R563</f>
        <v>0</v>
      </c>
      <c r="AD564" s="149" t="n">
        <f aca="false">AD563+'Volumes por intervalo'!S563</f>
        <v>0</v>
      </c>
    </row>
    <row r="565" customFormat="false" ht="15" hidden="false" customHeight="false" outlineLevel="0" collapsed="false">
      <c r="A565" s="138" t="s">
        <v>2231</v>
      </c>
      <c r="B565" s="146" t="n">
        <v>560</v>
      </c>
      <c r="C565" s="144" t="n">
        <v>11200</v>
      </c>
      <c r="D565" s="138" t="s">
        <v>1594</v>
      </c>
      <c r="E565" s="138" t="s">
        <v>1566</v>
      </c>
      <c r="F565" s="147" t="n">
        <v>11</v>
      </c>
      <c r="G565" s="148" t="n">
        <v>0</v>
      </c>
      <c r="H565" s="148" t="n">
        <v>0</v>
      </c>
      <c r="I565" s="138" t="s">
        <v>1642</v>
      </c>
      <c r="J565" s="138"/>
      <c r="K565" s="146" t="n">
        <f aca="false">Parâmetros!$C$4*(F565+2*Parâmetros!$D$4+Parâmetros!$C$4*Parâmetros!$E$4)</f>
        <v>0.5525</v>
      </c>
      <c r="L565" s="146" t="n">
        <f aca="false">Parâmetros!$C$5*(F565+2*Parâmetros!$D$5+Parâmetros!$C$5*Parâmetros!$E$5)</f>
        <v>1.8176</v>
      </c>
      <c r="M565" s="146" t="n">
        <f aca="false">Parâmetros!$C$6*(F565+2*Parâmetros!$D$6+Parâmetros!$C$6*Parâmetros!$E$6)</f>
        <v>2.384</v>
      </c>
      <c r="N565" s="146" t="n">
        <f aca="false">Parâmetros!$C$7*(F565+2*Parâmetros!$D$7+Parâmetros!$C$7*Parâmetros!$E$7)</f>
        <v>3.786</v>
      </c>
      <c r="O565" s="146" t="n">
        <f aca="false">F565+2*Parâmetros!$D$8</f>
        <v>11.2</v>
      </c>
      <c r="P565" s="146" t="n">
        <f aca="false">F565+2*Parâmetros!$D$10</f>
        <v>12.92</v>
      </c>
      <c r="Q565" s="146" t="n">
        <f aca="false">G565+H565</f>
        <v>0</v>
      </c>
      <c r="S565" s="149" t="n">
        <f aca="false">S564+'Volumes por intervalo'!C564*(F564+F565)/2</f>
        <v>130723.5</v>
      </c>
      <c r="T565" s="149" t="n">
        <f aca="false">T564+'Volumes por intervalo'!H564</f>
        <v>6564.17500000003</v>
      </c>
      <c r="U565" s="149" t="n">
        <f aca="false">U564+'Volumes por intervalo'!J564</f>
        <v>21560.88</v>
      </c>
      <c r="V565" s="149" t="n">
        <f aca="false">V564+'Volumes por intervalo'!K564</f>
        <v>28205.5000000001</v>
      </c>
      <c r="W565" s="149" t="n">
        <f aca="false">W564+'Volumes por intervalo'!L564</f>
        <v>44660.2500000001</v>
      </c>
      <c r="X565" s="149" t="n">
        <f aca="false">X564+'Volumes por intervalo'!M564</f>
        <v>132963.5</v>
      </c>
      <c r="Y565" s="149" t="n">
        <f aca="false">Y564+'Volumes por intervalo'!N564</f>
        <v>132963.5</v>
      </c>
      <c r="Z565" s="149" t="n">
        <f aca="false">Z564+'Volumes por intervalo'!O564</f>
        <v>152227.499999999</v>
      </c>
      <c r="AA565" s="149" t="n">
        <f aca="false">AA564+'Volumes por intervalo'!P564</f>
        <v>0</v>
      </c>
      <c r="AB565" s="149" t="n">
        <f aca="false">AB564+'Volumes por intervalo'!Q564</f>
        <v>0</v>
      </c>
      <c r="AC565" s="149" t="n">
        <f aca="false">AC564+'Volumes por intervalo'!R564</f>
        <v>0</v>
      </c>
      <c r="AD565" s="149" t="n">
        <f aca="false">AD564+'Volumes por intervalo'!S564</f>
        <v>0</v>
      </c>
    </row>
    <row r="566" customFormat="false" ht="15" hidden="false" customHeight="false" outlineLevel="0" collapsed="false">
      <c r="A566" s="138" t="s">
        <v>2232</v>
      </c>
      <c r="B566" s="146" t="n">
        <v>561</v>
      </c>
      <c r="C566" s="144" t="n">
        <v>11220</v>
      </c>
      <c r="D566" s="138" t="s">
        <v>1594</v>
      </c>
      <c r="E566" s="138" t="s">
        <v>1566</v>
      </c>
      <c r="F566" s="147" t="n">
        <v>11</v>
      </c>
      <c r="G566" s="148" t="n">
        <v>0</v>
      </c>
      <c r="H566" s="148" t="n">
        <v>0</v>
      </c>
      <c r="I566" s="138" t="s">
        <v>1642</v>
      </c>
      <c r="J566" s="138" t="s">
        <v>2233</v>
      </c>
      <c r="K566" s="146" t="n">
        <f aca="false">Parâmetros!$C$4*(F566+2*Parâmetros!$D$4+Parâmetros!$C$4*Parâmetros!$E$4)</f>
        <v>0.5525</v>
      </c>
      <c r="L566" s="146" t="n">
        <f aca="false">Parâmetros!$C$5*(F566+2*Parâmetros!$D$5+Parâmetros!$C$5*Parâmetros!$E$5)</f>
        <v>1.8176</v>
      </c>
      <c r="M566" s="146" t="n">
        <f aca="false">Parâmetros!$C$6*(F566+2*Parâmetros!$D$6+Parâmetros!$C$6*Parâmetros!$E$6)</f>
        <v>2.384</v>
      </c>
      <c r="N566" s="146" t="n">
        <f aca="false">Parâmetros!$C$7*(F566+2*Parâmetros!$D$7+Parâmetros!$C$7*Parâmetros!$E$7)</f>
        <v>3.786</v>
      </c>
      <c r="O566" s="146" t="n">
        <f aca="false">F566+2*Parâmetros!$D$8</f>
        <v>11.2</v>
      </c>
      <c r="P566" s="146" t="n">
        <f aca="false">F566+2*Parâmetros!$D$10</f>
        <v>12.92</v>
      </c>
      <c r="Q566" s="146" t="n">
        <f aca="false">G566+H566</f>
        <v>0</v>
      </c>
      <c r="S566" s="149" t="n">
        <f aca="false">S565+'Volumes por intervalo'!C565*(F565+F566)/2</f>
        <v>130943.5</v>
      </c>
      <c r="T566" s="149" t="n">
        <f aca="false">T565+'Volumes por intervalo'!H565</f>
        <v>6575.22500000003</v>
      </c>
      <c r="U566" s="149" t="n">
        <f aca="false">U565+'Volumes por intervalo'!J565</f>
        <v>21597.232</v>
      </c>
      <c r="V566" s="149" t="n">
        <f aca="false">V565+'Volumes por intervalo'!K565</f>
        <v>28253.1800000001</v>
      </c>
      <c r="W566" s="149" t="n">
        <f aca="false">W565+'Volumes por intervalo'!L565</f>
        <v>44735.9700000001</v>
      </c>
      <c r="X566" s="149" t="n">
        <f aca="false">X565+'Volumes por intervalo'!M565</f>
        <v>133187.5</v>
      </c>
      <c r="Y566" s="149" t="n">
        <f aca="false">Y565+'Volumes por intervalo'!N565</f>
        <v>133187.5</v>
      </c>
      <c r="Z566" s="149" t="n">
        <f aca="false">Z565+'Volumes por intervalo'!O565</f>
        <v>152485.899999999</v>
      </c>
      <c r="AA566" s="149" t="n">
        <f aca="false">AA565+'Volumes por intervalo'!P565</f>
        <v>0</v>
      </c>
      <c r="AB566" s="149" t="n">
        <f aca="false">AB565+'Volumes por intervalo'!Q565</f>
        <v>0</v>
      </c>
      <c r="AC566" s="149" t="n">
        <f aca="false">AC565+'Volumes por intervalo'!R565</f>
        <v>0</v>
      </c>
      <c r="AD566" s="149" t="n">
        <f aca="false">AD565+'Volumes por intervalo'!S565</f>
        <v>0</v>
      </c>
    </row>
    <row r="567" customFormat="false" ht="15" hidden="false" customHeight="false" outlineLevel="0" collapsed="false">
      <c r="A567" s="138" t="s">
        <v>2234</v>
      </c>
      <c r="B567" s="146" t="n">
        <v>562</v>
      </c>
      <c r="C567" s="144" t="n">
        <v>11240</v>
      </c>
      <c r="D567" s="138" t="s">
        <v>1594</v>
      </c>
      <c r="E567" s="138" t="s">
        <v>1566</v>
      </c>
      <c r="F567" s="147" t="n">
        <v>11</v>
      </c>
      <c r="G567" s="148" t="n">
        <v>0</v>
      </c>
      <c r="H567" s="148" t="n">
        <v>0</v>
      </c>
      <c r="I567" s="138" t="s">
        <v>1642</v>
      </c>
      <c r="J567" s="138"/>
      <c r="K567" s="146" t="n">
        <f aca="false">Parâmetros!$C$4*(F567+2*Parâmetros!$D$4+Parâmetros!$C$4*Parâmetros!$E$4)</f>
        <v>0.5525</v>
      </c>
      <c r="L567" s="146" t="n">
        <f aca="false">Parâmetros!$C$5*(F567+2*Parâmetros!$D$5+Parâmetros!$C$5*Parâmetros!$E$5)</f>
        <v>1.8176</v>
      </c>
      <c r="M567" s="146" t="n">
        <f aca="false">Parâmetros!$C$6*(F567+2*Parâmetros!$D$6+Parâmetros!$C$6*Parâmetros!$E$6)</f>
        <v>2.384</v>
      </c>
      <c r="N567" s="146" t="n">
        <f aca="false">Parâmetros!$C$7*(F567+2*Parâmetros!$D$7+Parâmetros!$C$7*Parâmetros!$E$7)</f>
        <v>3.786</v>
      </c>
      <c r="O567" s="146" t="n">
        <f aca="false">F567+2*Parâmetros!$D$8</f>
        <v>11.2</v>
      </c>
      <c r="P567" s="146" t="n">
        <f aca="false">F567+2*Parâmetros!$D$10</f>
        <v>12.92</v>
      </c>
      <c r="Q567" s="146" t="n">
        <f aca="false">G567+H567</f>
        <v>0</v>
      </c>
      <c r="S567" s="149" t="n">
        <f aca="false">S566+'Volumes por intervalo'!C566*(F566+F567)/2</f>
        <v>131163.5</v>
      </c>
      <c r="T567" s="149" t="n">
        <f aca="false">T566+'Volumes por intervalo'!H566</f>
        <v>6586.27500000003</v>
      </c>
      <c r="U567" s="149" t="n">
        <f aca="false">U566+'Volumes por intervalo'!J566</f>
        <v>21633.584</v>
      </c>
      <c r="V567" s="149" t="n">
        <f aca="false">V566+'Volumes por intervalo'!K566</f>
        <v>28300.8600000001</v>
      </c>
      <c r="W567" s="149" t="n">
        <f aca="false">W566+'Volumes por intervalo'!L566</f>
        <v>44811.6900000001</v>
      </c>
      <c r="X567" s="149" t="n">
        <f aca="false">X566+'Volumes por intervalo'!M566</f>
        <v>133411.5</v>
      </c>
      <c r="Y567" s="149" t="n">
        <f aca="false">Y566+'Volumes por intervalo'!N566</f>
        <v>133411.5</v>
      </c>
      <c r="Z567" s="149" t="n">
        <f aca="false">Z566+'Volumes por intervalo'!O566</f>
        <v>152744.299999999</v>
      </c>
      <c r="AA567" s="149" t="n">
        <f aca="false">AA566+'Volumes por intervalo'!P566</f>
        <v>0</v>
      </c>
      <c r="AB567" s="149" t="n">
        <f aca="false">AB566+'Volumes por intervalo'!Q566</f>
        <v>0</v>
      </c>
      <c r="AC567" s="149" t="n">
        <f aca="false">AC566+'Volumes por intervalo'!R566</f>
        <v>0</v>
      </c>
      <c r="AD567" s="149" t="n">
        <f aca="false">AD566+'Volumes por intervalo'!S566</f>
        <v>0</v>
      </c>
    </row>
    <row r="568" customFormat="false" ht="15" hidden="false" customHeight="false" outlineLevel="0" collapsed="false">
      <c r="A568" s="138" t="s">
        <v>2235</v>
      </c>
      <c r="B568" s="146" t="n">
        <v>563</v>
      </c>
      <c r="C568" s="144" t="n">
        <v>11260</v>
      </c>
      <c r="D568" s="138" t="s">
        <v>1594</v>
      </c>
      <c r="E568" s="138" t="s">
        <v>1566</v>
      </c>
      <c r="F568" s="147" t="n">
        <v>11</v>
      </c>
      <c r="G568" s="148" t="n">
        <v>0</v>
      </c>
      <c r="H568" s="148" t="n">
        <v>0</v>
      </c>
      <c r="I568" s="138" t="s">
        <v>1642</v>
      </c>
      <c r="J568" s="138"/>
      <c r="K568" s="146" t="n">
        <f aca="false">Parâmetros!$C$4*(F568+2*Parâmetros!$D$4+Parâmetros!$C$4*Parâmetros!$E$4)</f>
        <v>0.5525</v>
      </c>
      <c r="L568" s="146" t="n">
        <f aca="false">Parâmetros!$C$5*(F568+2*Parâmetros!$D$5+Parâmetros!$C$5*Parâmetros!$E$5)</f>
        <v>1.8176</v>
      </c>
      <c r="M568" s="146" t="n">
        <f aca="false">Parâmetros!$C$6*(F568+2*Parâmetros!$D$6+Parâmetros!$C$6*Parâmetros!$E$6)</f>
        <v>2.384</v>
      </c>
      <c r="N568" s="146" t="n">
        <f aca="false">Parâmetros!$C$7*(F568+2*Parâmetros!$D$7+Parâmetros!$C$7*Parâmetros!$E$7)</f>
        <v>3.786</v>
      </c>
      <c r="O568" s="146" t="n">
        <f aca="false">F568+2*Parâmetros!$D$8</f>
        <v>11.2</v>
      </c>
      <c r="P568" s="146" t="n">
        <f aca="false">F568+2*Parâmetros!$D$10</f>
        <v>12.92</v>
      </c>
      <c r="Q568" s="146" t="n">
        <f aca="false">G568+H568</f>
        <v>0</v>
      </c>
      <c r="S568" s="149" t="n">
        <f aca="false">S567+'Volumes por intervalo'!C567*(F567+F568)/2</f>
        <v>131383.5</v>
      </c>
      <c r="T568" s="149" t="n">
        <f aca="false">T567+'Volumes por intervalo'!H567</f>
        <v>6597.32500000003</v>
      </c>
      <c r="U568" s="149" t="n">
        <f aca="false">U567+'Volumes por intervalo'!J567</f>
        <v>21669.936</v>
      </c>
      <c r="V568" s="149" t="n">
        <f aca="false">V567+'Volumes por intervalo'!K567</f>
        <v>28348.5400000001</v>
      </c>
      <c r="W568" s="149" t="n">
        <f aca="false">W567+'Volumes por intervalo'!L567</f>
        <v>44887.4100000001</v>
      </c>
      <c r="X568" s="149" t="n">
        <f aca="false">X567+'Volumes por intervalo'!M567</f>
        <v>133635.5</v>
      </c>
      <c r="Y568" s="149" t="n">
        <f aca="false">Y567+'Volumes por intervalo'!N567</f>
        <v>133635.5</v>
      </c>
      <c r="Z568" s="149" t="n">
        <f aca="false">Z567+'Volumes por intervalo'!O567</f>
        <v>153002.699999999</v>
      </c>
      <c r="AA568" s="149" t="n">
        <f aca="false">AA567+'Volumes por intervalo'!P567</f>
        <v>0</v>
      </c>
      <c r="AB568" s="149" t="n">
        <f aca="false">AB567+'Volumes por intervalo'!Q567</f>
        <v>0</v>
      </c>
      <c r="AC568" s="149" t="n">
        <f aca="false">AC567+'Volumes por intervalo'!R567</f>
        <v>0</v>
      </c>
      <c r="AD568" s="149" t="n">
        <f aca="false">AD567+'Volumes por intervalo'!S567</f>
        <v>0</v>
      </c>
    </row>
    <row r="569" customFormat="false" ht="15" hidden="false" customHeight="false" outlineLevel="0" collapsed="false">
      <c r="A569" s="138" t="s">
        <v>2236</v>
      </c>
      <c r="B569" s="146" t="n">
        <v>564</v>
      </c>
      <c r="C569" s="144" t="n">
        <v>11280</v>
      </c>
      <c r="D569" s="138" t="s">
        <v>1594</v>
      </c>
      <c r="E569" s="138" t="s">
        <v>1566</v>
      </c>
      <c r="F569" s="147" t="n">
        <v>11</v>
      </c>
      <c r="G569" s="148" t="n">
        <v>0</v>
      </c>
      <c r="H569" s="148" t="n">
        <v>0</v>
      </c>
      <c r="I569" s="138" t="s">
        <v>1642</v>
      </c>
      <c r="J569" s="138"/>
      <c r="K569" s="146" t="n">
        <f aca="false">Parâmetros!$C$4*(F569+2*Parâmetros!$D$4+Parâmetros!$C$4*Parâmetros!$E$4)</f>
        <v>0.5525</v>
      </c>
      <c r="L569" s="146" t="n">
        <f aca="false">Parâmetros!$C$5*(F569+2*Parâmetros!$D$5+Parâmetros!$C$5*Parâmetros!$E$5)</f>
        <v>1.8176</v>
      </c>
      <c r="M569" s="146" t="n">
        <f aca="false">Parâmetros!$C$6*(F569+2*Parâmetros!$D$6+Parâmetros!$C$6*Parâmetros!$E$6)</f>
        <v>2.384</v>
      </c>
      <c r="N569" s="146" t="n">
        <f aca="false">Parâmetros!$C$7*(F569+2*Parâmetros!$D$7+Parâmetros!$C$7*Parâmetros!$E$7)</f>
        <v>3.786</v>
      </c>
      <c r="O569" s="146" t="n">
        <f aca="false">F569+2*Parâmetros!$D$8</f>
        <v>11.2</v>
      </c>
      <c r="P569" s="146" t="n">
        <f aca="false">F569+2*Parâmetros!$D$10</f>
        <v>12.92</v>
      </c>
      <c r="Q569" s="146" t="n">
        <f aca="false">G569+H569</f>
        <v>0</v>
      </c>
      <c r="S569" s="149" t="n">
        <f aca="false">S568+'Volumes por intervalo'!C568*(F568+F569)/2</f>
        <v>131603.5</v>
      </c>
      <c r="T569" s="149" t="n">
        <f aca="false">T568+'Volumes por intervalo'!H568</f>
        <v>6608.37500000003</v>
      </c>
      <c r="U569" s="149" t="n">
        <f aca="false">U568+'Volumes por intervalo'!J568</f>
        <v>21706.288</v>
      </c>
      <c r="V569" s="149" t="n">
        <f aca="false">V568+'Volumes por intervalo'!K568</f>
        <v>28396.2200000001</v>
      </c>
      <c r="W569" s="149" t="n">
        <f aca="false">W568+'Volumes por intervalo'!L568</f>
        <v>44963.1300000001</v>
      </c>
      <c r="X569" s="149" t="n">
        <f aca="false">X568+'Volumes por intervalo'!M568</f>
        <v>133859.5</v>
      </c>
      <c r="Y569" s="149" t="n">
        <f aca="false">Y568+'Volumes por intervalo'!N568</f>
        <v>133859.5</v>
      </c>
      <c r="Z569" s="149" t="n">
        <f aca="false">Z568+'Volumes por intervalo'!O568</f>
        <v>153261.099999999</v>
      </c>
      <c r="AA569" s="149" t="n">
        <f aca="false">AA568+'Volumes por intervalo'!P568</f>
        <v>0</v>
      </c>
      <c r="AB569" s="149" t="n">
        <f aca="false">AB568+'Volumes por intervalo'!Q568</f>
        <v>0</v>
      </c>
      <c r="AC569" s="149" t="n">
        <f aca="false">AC568+'Volumes por intervalo'!R568</f>
        <v>0</v>
      </c>
      <c r="AD569" s="149" t="n">
        <f aca="false">AD568+'Volumes por intervalo'!S568</f>
        <v>0</v>
      </c>
    </row>
    <row r="570" customFormat="false" ht="15" hidden="false" customHeight="false" outlineLevel="0" collapsed="false">
      <c r="A570" s="138" t="s">
        <v>2237</v>
      </c>
      <c r="B570" s="146" t="n">
        <v>565</v>
      </c>
      <c r="C570" s="144" t="n">
        <v>11300</v>
      </c>
      <c r="D570" s="138" t="s">
        <v>1594</v>
      </c>
      <c r="E570" s="138" t="s">
        <v>1566</v>
      </c>
      <c r="F570" s="147" t="n">
        <v>11</v>
      </c>
      <c r="G570" s="148" t="n">
        <v>0</v>
      </c>
      <c r="H570" s="148" t="n">
        <v>0</v>
      </c>
      <c r="I570" s="138" t="s">
        <v>1642</v>
      </c>
      <c r="J570" s="138"/>
      <c r="K570" s="146" t="n">
        <f aca="false">Parâmetros!$C$4*(F570+2*Parâmetros!$D$4+Parâmetros!$C$4*Parâmetros!$E$4)</f>
        <v>0.5525</v>
      </c>
      <c r="L570" s="146" t="n">
        <f aca="false">Parâmetros!$C$5*(F570+2*Parâmetros!$D$5+Parâmetros!$C$5*Parâmetros!$E$5)</f>
        <v>1.8176</v>
      </c>
      <c r="M570" s="146" t="n">
        <f aca="false">Parâmetros!$C$6*(F570+2*Parâmetros!$D$6+Parâmetros!$C$6*Parâmetros!$E$6)</f>
        <v>2.384</v>
      </c>
      <c r="N570" s="146" t="n">
        <f aca="false">Parâmetros!$C$7*(F570+2*Parâmetros!$D$7+Parâmetros!$C$7*Parâmetros!$E$7)</f>
        <v>3.786</v>
      </c>
      <c r="O570" s="146" t="n">
        <f aca="false">F570+2*Parâmetros!$D$8</f>
        <v>11.2</v>
      </c>
      <c r="P570" s="146" t="n">
        <f aca="false">F570+2*Parâmetros!$D$10</f>
        <v>12.92</v>
      </c>
      <c r="Q570" s="146" t="n">
        <f aca="false">G570+H570</f>
        <v>0</v>
      </c>
      <c r="S570" s="149" t="n">
        <f aca="false">S569+'Volumes por intervalo'!C569*(F569+F570)/2</f>
        <v>131823.5</v>
      </c>
      <c r="T570" s="149" t="n">
        <f aca="false">T569+'Volumes por intervalo'!H569</f>
        <v>6619.42500000003</v>
      </c>
      <c r="U570" s="149" t="n">
        <f aca="false">U569+'Volumes por intervalo'!J569</f>
        <v>21742.64</v>
      </c>
      <c r="V570" s="149" t="n">
        <f aca="false">V569+'Volumes por intervalo'!K569</f>
        <v>28443.9000000001</v>
      </c>
      <c r="W570" s="149" t="n">
        <f aca="false">W569+'Volumes por intervalo'!L569</f>
        <v>45038.8500000001</v>
      </c>
      <c r="X570" s="149" t="n">
        <f aca="false">X569+'Volumes por intervalo'!M569</f>
        <v>134083.5</v>
      </c>
      <c r="Y570" s="149" t="n">
        <f aca="false">Y569+'Volumes por intervalo'!N569</f>
        <v>134083.5</v>
      </c>
      <c r="Z570" s="149" t="n">
        <f aca="false">Z569+'Volumes por intervalo'!O569</f>
        <v>153519.499999999</v>
      </c>
      <c r="AA570" s="149" t="n">
        <f aca="false">AA569+'Volumes por intervalo'!P569</f>
        <v>0</v>
      </c>
      <c r="AB570" s="149" t="n">
        <f aca="false">AB569+'Volumes por intervalo'!Q569</f>
        <v>0</v>
      </c>
      <c r="AC570" s="149" t="n">
        <f aca="false">AC569+'Volumes por intervalo'!R569</f>
        <v>0</v>
      </c>
      <c r="AD570" s="149" t="n">
        <f aca="false">AD569+'Volumes por intervalo'!S569</f>
        <v>0</v>
      </c>
    </row>
    <row r="571" customFormat="false" ht="15" hidden="false" customHeight="false" outlineLevel="0" collapsed="false">
      <c r="A571" s="138" t="s">
        <v>2238</v>
      </c>
      <c r="B571" s="146" t="n">
        <v>566</v>
      </c>
      <c r="C571" s="144" t="n">
        <v>11320</v>
      </c>
      <c r="D571" s="138" t="s">
        <v>1594</v>
      </c>
      <c r="E571" s="138" t="s">
        <v>1566</v>
      </c>
      <c r="F571" s="147" t="n">
        <v>11</v>
      </c>
      <c r="G571" s="148" t="n">
        <v>0</v>
      </c>
      <c r="H571" s="148" t="n">
        <v>0</v>
      </c>
      <c r="I571" s="138" t="s">
        <v>1642</v>
      </c>
      <c r="J571" s="138"/>
      <c r="K571" s="146" t="n">
        <f aca="false">Parâmetros!$C$4*(F571+2*Parâmetros!$D$4+Parâmetros!$C$4*Parâmetros!$E$4)</f>
        <v>0.5525</v>
      </c>
      <c r="L571" s="146" t="n">
        <f aca="false">Parâmetros!$C$5*(F571+2*Parâmetros!$D$5+Parâmetros!$C$5*Parâmetros!$E$5)</f>
        <v>1.8176</v>
      </c>
      <c r="M571" s="146" t="n">
        <f aca="false">Parâmetros!$C$6*(F571+2*Parâmetros!$D$6+Parâmetros!$C$6*Parâmetros!$E$6)</f>
        <v>2.384</v>
      </c>
      <c r="N571" s="146" t="n">
        <f aca="false">Parâmetros!$C$7*(F571+2*Parâmetros!$D$7+Parâmetros!$C$7*Parâmetros!$E$7)</f>
        <v>3.786</v>
      </c>
      <c r="O571" s="146" t="n">
        <f aca="false">F571+2*Parâmetros!$D$8</f>
        <v>11.2</v>
      </c>
      <c r="P571" s="146" t="n">
        <f aca="false">F571+2*Parâmetros!$D$10</f>
        <v>12.92</v>
      </c>
      <c r="Q571" s="146" t="n">
        <f aca="false">G571+H571</f>
        <v>0</v>
      </c>
      <c r="S571" s="149" t="n">
        <f aca="false">S570+'Volumes por intervalo'!C570*(F570+F571)/2</f>
        <v>132043.5</v>
      </c>
      <c r="T571" s="149" t="n">
        <f aca="false">T570+'Volumes por intervalo'!H570</f>
        <v>6630.47500000003</v>
      </c>
      <c r="U571" s="149" t="n">
        <f aca="false">U570+'Volumes por intervalo'!J570</f>
        <v>21778.992</v>
      </c>
      <c r="V571" s="149" t="n">
        <f aca="false">V570+'Volumes por intervalo'!K570</f>
        <v>28491.5800000001</v>
      </c>
      <c r="W571" s="149" t="n">
        <f aca="false">W570+'Volumes por intervalo'!L570</f>
        <v>45114.5700000001</v>
      </c>
      <c r="X571" s="149" t="n">
        <f aca="false">X570+'Volumes por intervalo'!M570</f>
        <v>134307.5</v>
      </c>
      <c r="Y571" s="149" t="n">
        <f aca="false">Y570+'Volumes por intervalo'!N570</f>
        <v>134307.5</v>
      </c>
      <c r="Z571" s="149" t="n">
        <f aca="false">Z570+'Volumes por intervalo'!O570</f>
        <v>153777.899999998</v>
      </c>
      <c r="AA571" s="149" t="n">
        <f aca="false">AA570+'Volumes por intervalo'!P570</f>
        <v>0</v>
      </c>
      <c r="AB571" s="149" t="n">
        <f aca="false">AB570+'Volumes por intervalo'!Q570</f>
        <v>0</v>
      </c>
      <c r="AC571" s="149" t="n">
        <f aca="false">AC570+'Volumes por intervalo'!R570</f>
        <v>0</v>
      </c>
      <c r="AD571" s="149" t="n">
        <f aca="false">AD570+'Volumes por intervalo'!S570</f>
        <v>0</v>
      </c>
    </row>
    <row r="572" customFormat="false" ht="15" hidden="false" customHeight="false" outlineLevel="0" collapsed="false">
      <c r="A572" s="138" t="s">
        <v>2239</v>
      </c>
      <c r="B572" s="146" t="n">
        <v>567</v>
      </c>
      <c r="C572" s="144" t="n">
        <v>11340</v>
      </c>
      <c r="D572" s="138" t="s">
        <v>1594</v>
      </c>
      <c r="E572" s="138" t="s">
        <v>1566</v>
      </c>
      <c r="F572" s="147" t="n">
        <v>11</v>
      </c>
      <c r="G572" s="148" t="n">
        <v>0</v>
      </c>
      <c r="H572" s="148" t="n">
        <v>0</v>
      </c>
      <c r="I572" s="138" t="s">
        <v>1642</v>
      </c>
      <c r="J572" s="138"/>
      <c r="K572" s="146" t="n">
        <f aca="false">Parâmetros!$C$4*(F572+2*Parâmetros!$D$4+Parâmetros!$C$4*Parâmetros!$E$4)</f>
        <v>0.5525</v>
      </c>
      <c r="L572" s="146" t="n">
        <f aca="false">Parâmetros!$C$5*(F572+2*Parâmetros!$D$5+Parâmetros!$C$5*Parâmetros!$E$5)</f>
        <v>1.8176</v>
      </c>
      <c r="M572" s="146" t="n">
        <f aca="false">Parâmetros!$C$6*(F572+2*Parâmetros!$D$6+Parâmetros!$C$6*Parâmetros!$E$6)</f>
        <v>2.384</v>
      </c>
      <c r="N572" s="146" t="n">
        <f aca="false">Parâmetros!$C$7*(F572+2*Parâmetros!$D$7+Parâmetros!$C$7*Parâmetros!$E$7)</f>
        <v>3.786</v>
      </c>
      <c r="O572" s="146" t="n">
        <f aca="false">F572+2*Parâmetros!$D$8</f>
        <v>11.2</v>
      </c>
      <c r="P572" s="146" t="n">
        <f aca="false">F572+2*Parâmetros!$D$10</f>
        <v>12.92</v>
      </c>
      <c r="Q572" s="146" t="n">
        <f aca="false">G572+H572</f>
        <v>0</v>
      </c>
      <c r="S572" s="149" t="n">
        <f aca="false">S571+'Volumes por intervalo'!C571*(F571+F572)/2</f>
        <v>132263.5</v>
      </c>
      <c r="T572" s="149" t="n">
        <f aca="false">T571+'Volumes por intervalo'!H571</f>
        <v>6641.52500000003</v>
      </c>
      <c r="U572" s="149" t="n">
        <f aca="false">U571+'Volumes por intervalo'!J571</f>
        <v>21815.344</v>
      </c>
      <c r="V572" s="149" t="n">
        <f aca="false">V571+'Volumes por intervalo'!K571</f>
        <v>28539.2600000001</v>
      </c>
      <c r="W572" s="149" t="n">
        <f aca="false">W571+'Volumes por intervalo'!L571</f>
        <v>45190.2900000001</v>
      </c>
      <c r="X572" s="149" t="n">
        <f aca="false">X571+'Volumes por intervalo'!M571</f>
        <v>134531.5</v>
      </c>
      <c r="Y572" s="149" t="n">
        <f aca="false">Y571+'Volumes por intervalo'!N571</f>
        <v>134531.5</v>
      </c>
      <c r="Z572" s="149" t="n">
        <f aca="false">Z571+'Volumes por intervalo'!O571</f>
        <v>154036.299999998</v>
      </c>
      <c r="AA572" s="149" t="n">
        <f aca="false">AA571+'Volumes por intervalo'!P571</f>
        <v>0</v>
      </c>
      <c r="AB572" s="149" t="n">
        <f aca="false">AB571+'Volumes por intervalo'!Q571</f>
        <v>0</v>
      </c>
      <c r="AC572" s="149" t="n">
        <f aca="false">AC571+'Volumes por intervalo'!R571</f>
        <v>0</v>
      </c>
      <c r="AD572" s="149" t="n">
        <f aca="false">AD571+'Volumes por intervalo'!S571</f>
        <v>0</v>
      </c>
    </row>
    <row r="573" customFormat="false" ht="15" hidden="false" customHeight="false" outlineLevel="0" collapsed="false">
      <c r="A573" s="138" t="s">
        <v>2240</v>
      </c>
      <c r="B573" s="146" t="n">
        <v>568</v>
      </c>
      <c r="C573" s="144" t="n">
        <v>11360</v>
      </c>
      <c r="D573" s="138" t="s">
        <v>1594</v>
      </c>
      <c r="E573" s="138" t="s">
        <v>1566</v>
      </c>
      <c r="F573" s="147" t="n">
        <v>11</v>
      </c>
      <c r="G573" s="148" t="n">
        <v>0</v>
      </c>
      <c r="H573" s="148" t="n">
        <v>0</v>
      </c>
      <c r="I573" s="138" t="s">
        <v>1642</v>
      </c>
      <c r="J573" s="138"/>
      <c r="K573" s="146" t="n">
        <f aca="false">Parâmetros!$C$4*(F573+2*Parâmetros!$D$4+Parâmetros!$C$4*Parâmetros!$E$4)</f>
        <v>0.5525</v>
      </c>
      <c r="L573" s="146" t="n">
        <f aca="false">Parâmetros!$C$5*(F573+2*Parâmetros!$D$5+Parâmetros!$C$5*Parâmetros!$E$5)</f>
        <v>1.8176</v>
      </c>
      <c r="M573" s="146" t="n">
        <f aca="false">Parâmetros!$C$6*(F573+2*Parâmetros!$D$6+Parâmetros!$C$6*Parâmetros!$E$6)</f>
        <v>2.384</v>
      </c>
      <c r="N573" s="146" t="n">
        <f aca="false">Parâmetros!$C$7*(F573+2*Parâmetros!$D$7+Parâmetros!$C$7*Parâmetros!$E$7)</f>
        <v>3.786</v>
      </c>
      <c r="O573" s="146" t="n">
        <f aca="false">F573+2*Parâmetros!$D$8</f>
        <v>11.2</v>
      </c>
      <c r="P573" s="146" t="n">
        <f aca="false">F573+2*Parâmetros!$D$10</f>
        <v>12.92</v>
      </c>
      <c r="Q573" s="146" t="n">
        <f aca="false">G573+H573</f>
        <v>0</v>
      </c>
      <c r="S573" s="149" t="n">
        <f aca="false">S572+'Volumes por intervalo'!C572*(F572+F573)/2</f>
        <v>132483.5</v>
      </c>
      <c r="T573" s="149" t="n">
        <f aca="false">T572+'Volumes por intervalo'!H572</f>
        <v>6652.57500000003</v>
      </c>
      <c r="U573" s="149" t="n">
        <f aca="false">U572+'Volumes por intervalo'!J572</f>
        <v>21851.696</v>
      </c>
      <c r="V573" s="149" t="n">
        <f aca="false">V572+'Volumes por intervalo'!K572</f>
        <v>28586.9400000001</v>
      </c>
      <c r="W573" s="149" t="n">
        <f aca="false">W572+'Volumes por intervalo'!L572</f>
        <v>45266.0100000001</v>
      </c>
      <c r="X573" s="149" t="n">
        <f aca="false">X572+'Volumes por intervalo'!M572</f>
        <v>134755.5</v>
      </c>
      <c r="Y573" s="149" t="n">
        <f aca="false">Y572+'Volumes por intervalo'!N572</f>
        <v>134755.5</v>
      </c>
      <c r="Z573" s="149" t="n">
        <f aca="false">Z572+'Volumes por intervalo'!O572</f>
        <v>154294.699999998</v>
      </c>
      <c r="AA573" s="149" t="n">
        <f aca="false">AA572+'Volumes por intervalo'!P572</f>
        <v>0</v>
      </c>
      <c r="AB573" s="149" t="n">
        <f aca="false">AB572+'Volumes por intervalo'!Q572</f>
        <v>0</v>
      </c>
      <c r="AC573" s="149" t="n">
        <f aca="false">AC572+'Volumes por intervalo'!R572</f>
        <v>0</v>
      </c>
      <c r="AD573" s="149" t="n">
        <f aca="false">AD572+'Volumes por intervalo'!S572</f>
        <v>0</v>
      </c>
    </row>
    <row r="574" customFormat="false" ht="15" hidden="false" customHeight="false" outlineLevel="0" collapsed="false">
      <c r="A574" s="138" t="s">
        <v>2241</v>
      </c>
      <c r="B574" s="146" t="n">
        <v>569</v>
      </c>
      <c r="C574" s="144" t="n">
        <v>11380</v>
      </c>
      <c r="D574" s="138" t="s">
        <v>1594</v>
      </c>
      <c r="E574" s="138" t="s">
        <v>1566</v>
      </c>
      <c r="F574" s="147" t="n">
        <v>11</v>
      </c>
      <c r="G574" s="148" t="n">
        <v>0</v>
      </c>
      <c r="H574" s="148" t="n">
        <v>0</v>
      </c>
      <c r="I574" s="138" t="s">
        <v>1642</v>
      </c>
      <c r="J574" s="138"/>
      <c r="K574" s="146" t="n">
        <f aca="false">Parâmetros!$C$4*(F574+2*Parâmetros!$D$4+Parâmetros!$C$4*Parâmetros!$E$4)</f>
        <v>0.5525</v>
      </c>
      <c r="L574" s="146" t="n">
        <f aca="false">Parâmetros!$C$5*(F574+2*Parâmetros!$D$5+Parâmetros!$C$5*Parâmetros!$E$5)</f>
        <v>1.8176</v>
      </c>
      <c r="M574" s="146" t="n">
        <f aca="false">Parâmetros!$C$6*(F574+2*Parâmetros!$D$6+Parâmetros!$C$6*Parâmetros!$E$6)</f>
        <v>2.384</v>
      </c>
      <c r="N574" s="146" t="n">
        <f aca="false">Parâmetros!$C$7*(F574+2*Parâmetros!$D$7+Parâmetros!$C$7*Parâmetros!$E$7)</f>
        <v>3.786</v>
      </c>
      <c r="O574" s="146" t="n">
        <f aca="false">F574+2*Parâmetros!$D$8</f>
        <v>11.2</v>
      </c>
      <c r="P574" s="146" t="n">
        <f aca="false">F574+2*Parâmetros!$D$10</f>
        <v>12.92</v>
      </c>
      <c r="Q574" s="146" t="n">
        <f aca="false">G574+H574</f>
        <v>0</v>
      </c>
      <c r="S574" s="149" t="n">
        <f aca="false">S573+'Volumes por intervalo'!C573*(F573+F574)/2</f>
        <v>132703.5</v>
      </c>
      <c r="T574" s="149" t="n">
        <f aca="false">T573+'Volumes por intervalo'!H573</f>
        <v>6663.62500000003</v>
      </c>
      <c r="U574" s="149" t="n">
        <f aca="false">U573+'Volumes por intervalo'!J573</f>
        <v>21888.048</v>
      </c>
      <c r="V574" s="149" t="n">
        <f aca="false">V573+'Volumes por intervalo'!K573</f>
        <v>28634.6200000001</v>
      </c>
      <c r="W574" s="149" t="n">
        <f aca="false">W573+'Volumes por intervalo'!L573</f>
        <v>45341.7300000001</v>
      </c>
      <c r="X574" s="149" t="n">
        <f aca="false">X573+'Volumes por intervalo'!M573</f>
        <v>134979.5</v>
      </c>
      <c r="Y574" s="149" t="n">
        <f aca="false">Y573+'Volumes por intervalo'!N573</f>
        <v>134979.5</v>
      </c>
      <c r="Z574" s="149" t="n">
        <f aca="false">Z573+'Volumes por intervalo'!O573</f>
        <v>154553.099999998</v>
      </c>
      <c r="AA574" s="149" t="n">
        <f aca="false">AA573+'Volumes por intervalo'!P573</f>
        <v>0</v>
      </c>
      <c r="AB574" s="149" t="n">
        <f aca="false">AB573+'Volumes por intervalo'!Q573</f>
        <v>0</v>
      </c>
      <c r="AC574" s="149" t="n">
        <f aca="false">AC573+'Volumes por intervalo'!R573</f>
        <v>0</v>
      </c>
      <c r="AD574" s="149" t="n">
        <f aca="false">AD573+'Volumes por intervalo'!S573</f>
        <v>0</v>
      </c>
    </row>
    <row r="575" customFormat="false" ht="15" hidden="false" customHeight="false" outlineLevel="0" collapsed="false">
      <c r="A575" s="138" t="s">
        <v>2242</v>
      </c>
      <c r="B575" s="146" t="n">
        <v>570</v>
      </c>
      <c r="C575" s="144" t="n">
        <v>11400</v>
      </c>
      <c r="D575" s="138" t="s">
        <v>1594</v>
      </c>
      <c r="E575" s="138" t="s">
        <v>1566</v>
      </c>
      <c r="F575" s="147" t="n">
        <v>11</v>
      </c>
      <c r="G575" s="148" t="n">
        <v>0</v>
      </c>
      <c r="H575" s="148" t="n">
        <v>0</v>
      </c>
      <c r="I575" s="138" t="s">
        <v>1642</v>
      </c>
      <c r="J575" s="138"/>
      <c r="K575" s="146" t="n">
        <f aca="false">Parâmetros!$C$4*(F575+2*Parâmetros!$D$4+Parâmetros!$C$4*Parâmetros!$E$4)</f>
        <v>0.5525</v>
      </c>
      <c r="L575" s="146" t="n">
        <f aca="false">Parâmetros!$C$5*(F575+2*Parâmetros!$D$5+Parâmetros!$C$5*Parâmetros!$E$5)</f>
        <v>1.8176</v>
      </c>
      <c r="M575" s="146" t="n">
        <f aca="false">Parâmetros!$C$6*(F575+2*Parâmetros!$D$6+Parâmetros!$C$6*Parâmetros!$E$6)</f>
        <v>2.384</v>
      </c>
      <c r="N575" s="146" t="n">
        <f aca="false">Parâmetros!$C$7*(F575+2*Parâmetros!$D$7+Parâmetros!$C$7*Parâmetros!$E$7)</f>
        <v>3.786</v>
      </c>
      <c r="O575" s="146" t="n">
        <f aca="false">F575+2*Parâmetros!$D$8</f>
        <v>11.2</v>
      </c>
      <c r="P575" s="146" t="n">
        <f aca="false">F575+2*Parâmetros!$D$10</f>
        <v>12.92</v>
      </c>
      <c r="Q575" s="146" t="n">
        <f aca="false">G575+H575</f>
        <v>0</v>
      </c>
      <c r="S575" s="149" t="n">
        <f aca="false">S574+'Volumes por intervalo'!C574*(F574+F575)/2</f>
        <v>132923.5</v>
      </c>
      <c r="T575" s="149" t="n">
        <f aca="false">T574+'Volumes por intervalo'!H574</f>
        <v>6674.67500000003</v>
      </c>
      <c r="U575" s="149" t="n">
        <f aca="false">U574+'Volumes por intervalo'!J574</f>
        <v>21924.4</v>
      </c>
      <c r="V575" s="149" t="n">
        <f aca="false">V574+'Volumes por intervalo'!K574</f>
        <v>28682.3000000001</v>
      </c>
      <c r="W575" s="149" t="n">
        <f aca="false">W574+'Volumes por intervalo'!L574</f>
        <v>45417.4500000001</v>
      </c>
      <c r="X575" s="149" t="n">
        <f aca="false">X574+'Volumes por intervalo'!M574</f>
        <v>135203.5</v>
      </c>
      <c r="Y575" s="149" t="n">
        <f aca="false">Y574+'Volumes por intervalo'!N574</f>
        <v>135203.5</v>
      </c>
      <c r="Z575" s="149" t="n">
        <f aca="false">Z574+'Volumes por intervalo'!O574</f>
        <v>154811.499999998</v>
      </c>
      <c r="AA575" s="149" t="n">
        <f aca="false">AA574+'Volumes por intervalo'!P574</f>
        <v>0</v>
      </c>
      <c r="AB575" s="149" t="n">
        <f aca="false">AB574+'Volumes por intervalo'!Q574</f>
        <v>0</v>
      </c>
      <c r="AC575" s="149" t="n">
        <f aca="false">AC574+'Volumes por intervalo'!R574</f>
        <v>0</v>
      </c>
      <c r="AD575" s="149" t="n">
        <f aca="false">AD574+'Volumes por intervalo'!S574</f>
        <v>0</v>
      </c>
    </row>
    <row r="576" customFormat="false" ht="15" hidden="false" customHeight="false" outlineLevel="0" collapsed="false">
      <c r="A576" s="138" t="s">
        <v>2243</v>
      </c>
      <c r="B576" s="146" t="n">
        <v>571</v>
      </c>
      <c r="C576" s="144" t="n">
        <v>11420</v>
      </c>
      <c r="D576" s="138" t="s">
        <v>1594</v>
      </c>
      <c r="E576" s="138" t="s">
        <v>1566</v>
      </c>
      <c r="F576" s="147" t="n">
        <v>11</v>
      </c>
      <c r="G576" s="148" t="n">
        <v>0</v>
      </c>
      <c r="H576" s="148" t="n">
        <v>0</v>
      </c>
      <c r="I576" s="138" t="s">
        <v>1642</v>
      </c>
      <c r="J576" s="138"/>
      <c r="K576" s="146" t="n">
        <f aca="false">Parâmetros!$C$4*(F576+2*Parâmetros!$D$4+Parâmetros!$C$4*Parâmetros!$E$4)</f>
        <v>0.5525</v>
      </c>
      <c r="L576" s="146" t="n">
        <f aca="false">Parâmetros!$C$5*(F576+2*Parâmetros!$D$5+Parâmetros!$C$5*Parâmetros!$E$5)</f>
        <v>1.8176</v>
      </c>
      <c r="M576" s="146" t="n">
        <f aca="false">Parâmetros!$C$6*(F576+2*Parâmetros!$D$6+Parâmetros!$C$6*Parâmetros!$E$6)</f>
        <v>2.384</v>
      </c>
      <c r="N576" s="146" t="n">
        <f aca="false">Parâmetros!$C$7*(F576+2*Parâmetros!$D$7+Parâmetros!$C$7*Parâmetros!$E$7)</f>
        <v>3.786</v>
      </c>
      <c r="O576" s="146" t="n">
        <f aca="false">F576+2*Parâmetros!$D$8</f>
        <v>11.2</v>
      </c>
      <c r="P576" s="146" t="n">
        <f aca="false">F576+2*Parâmetros!$D$10</f>
        <v>12.92</v>
      </c>
      <c r="Q576" s="146" t="n">
        <f aca="false">G576+H576</f>
        <v>0</v>
      </c>
      <c r="S576" s="149" t="n">
        <f aca="false">S575+'Volumes por intervalo'!C575*(F575+F576)/2</f>
        <v>133143.5</v>
      </c>
      <c r="T576" s="149" t="n">
        <f aca="false">T575+'Volumes por intervalo'!H575</f>
        <v>6685.72500000003</v>
      </c>
      <c r="U576" s="149" t="n">
        <f aca="false">U575+'Volumes por intervalo'!J575</f>
        <v>21960.752</v>
      </c>
      <c r="V576" s="149" t="n">
        <f aca="false">V575+'Volumes por intervalo'!K575</f>
        <v>28729.9800000001</v>
      </c>
      <c r="W576" s="149" t="n">
        <f aca="false">W575+'Volumes por intervalo'!L575</f>
        <v>45493.1700000001</v>
      </c>
      <c r="X576" s="149" t="n">
        <f aca="false">X575+'Volumes por intervalo'!M575</f>
        <v>135427.5</v>
      </c>
      <c r="Y576" s="149" t="n">
        <f aca="false">Y575+'Volumes por intervalo'!N575</f>
        <v>135427.5</v>
      </c>
      <c r="Z576" s="149" t="n">
        <f aca="false">Z575+'Volumes por intervalo'!O575</f>
        <v>155069.899999998</v>
      </c>
      <c r="AA576" s="149" t="n">
        <f aca="false">AA575+'Volumes por intervalo'!P575</f>
        <v>0</v>
      </c>
      <c r="AB576" s="149" t="n">
        <f aca="false">AB575+'Volumes por intervalo'!Q575</f>
        <v>0</v>
      </c>
      <c r="AC576" s="149" t="n">
        <f aca="false">AC575+'Volumes por intervalo'!R575</f>
        <v>0</v>
      </c>
      <c r="AD576" s="149" t="n">
        <f aca="false">AD575+'Volumes por intervalo'!S575</f>
        <v>0</v>
      </c>
    </row>
    <row r="577" customFormat="false" ht="15" hidden="false" customHeight="false" outlineLevel="0" collapsed="false">
      <c r="A577" s="138" t="s">
        <v>2244</v>
      </c>
      <c r="B577" s="146" t="n">
        <v>572</v>
      </c>
      <c r="C577" s="144" t="n">
        <v>11440</v>
      </c>
      <c r="D577" s="138" t="s">
        <v>1594</v>
      </c>
      <c r="E577" s="138" t="s">
        <v>1566</v>
      </c>
      <c r="F577" s="147" t="n">
        <v>11</v>
      </c>
      <c r="G577" s="148" t="n">
        <v>0</v>
      </c>
      <c r="H577" s="148" t="n">
        <v>0</v>
      </c>
      <c r="I577" s="138" t="s">
        <v>1642</v>
      </c>
      <c r="J577" s="138" t="s">
        <v>2245</v>
      </c>
      <c r="K577" s="146" t="n">
        <f aca="false">Parâmetros!$C$4*(F577+2*Parâmetros!$D$4+Parâmetros!$C$4*Parâmetros!$E$4)</f>
        <v>0.5525</v>
      </c>
      <c r="L577" s="146" t="n">
        <f aca="false">Parâmetros!$C$5*(F577+2*Parâmetros!$D$5+Parâmetros!$C$5*Parâmetros!$E$5)</f>
        <v>1.8176</v>
      </c>
      <c r="M577" s="146" t="n">
        <f aca="false">Parâmetros!$C$6*(F577+2*Parâmetros!$D$6+Parâmetros!$C$6*Parâmetros!$E$6)</f>
        <v>2.384</v>
      </c>
      <c r="N577" s="146" t="n">
        <f aca="false">Parâmetros!$C$7*(F577+2*Parâmetros!$D$7+Parâmetros!$C$7*Parâmetros!$E$7)</f>
        <v>3.786</v>
      </c>
      <c r="O577" s="146" t="n">
        <f aca="false">F577+2*Parâmetros!$D$8</f>
        <v>11.2</v>
      </c>
      <c r="P577" s="146" t="n">
        <f aca="false">F577+2*Parâmetros!$D$10</f>
        <v>12.92</v>
      </c>
      <c r="Q577" s="146" t="n">
        <f aca="false">G577+H577</f>
        <v>0</v>
      </c>
      <c r="S577" s="149" t="n">
        <f aca="false">S576+'Volumes por intervalo'!C576*(F576+F577)/2</f>
        <v>133363.5</v>
      </c>
      <c r="T577" s="149" t="n">
        <f aca="false">T576+'Volumes por intervalo'!H576</f>
        <v>6696.77500000003</v>
      </c>
      <c r="U577" s="149" t="n">
        <f aca="false">U576+'Volumes por intervalo'!J576</f>
        <v>21997.104</v>
      </c>
      <c r="V577" s="149" t="n">
        <f aca="false">V576+'Volumes por intervalo'!K576</f>
        <v>28777.6600000001</v>
      </c>
      <c r="W577" s="149" t="n">
        <f aca="false">W576+'Volumes por intervalo'!L576</f>
        <v>45568.8900000001</v>
      </c>
      <c r="X577" s="149" t="n">
        <f aca="false">X576+'Volumes por intervalo'!M576</f>
        <v>135651.5</v>
      </c>
      <c r="Y577" s="149" t="n">
        <f aca="false">Y576+'Volumes por intervalo'!N576</f>
        <v>135651.5</v>
      </c>
      <c r="Z577" s="149" t="n">
        <f aca="false">Z576+'Volumes por intervalo'!O576</f>
        <v>155328.299999998</v>
      </c>
      <c r="AA577" s="149" t="n">
        <f aca="false">AA576+'Volumes por intervalo'!P576</f>
        <v>0</v>
      </c>
      <c r="AB577" s="149" t="n">
        <f aca="false">AB576+'Volumes por intervalo'!Q576</f>
        <v>0</v>
      </c>
      <c r="AC577" s="149" t="n">
        <f aca="false">AC576+'Volumes por intervalo'!R576</f>
        <v>0</v>
      </c>
      <c r="AD577" s="149" t="n">
        <f aca="false">AD576+'Volumes por intervalo'!S576</f>
        <v>0</v>
      </c>
    </row>
    <row r="578" customFormat="false" ht="15" hidden="false" customHeight="false" outlineLevel="0" collapsed="false">
      <c r="A578" s="138" t="s">
        <v>2246</v>
      </c>
      <c r="B578" s="146" t="n">
        <v>573</v>
      </c>
      <c r="C578" s="144" t="n">
        <v>11460</v>
      </c>
      <c r="D578" s="138" t="s">
        <v>1594</v>
      </c>
      <c r="E578" s="138" t="s">
        <v>1566</v>
      </c>
      <c r="F578" s="147" t="n">
        <v>11</v>
      </c>
      <c r="G578" s="148" t="n">
        <v>0</v>
      </c>
      <c r="H578" s="148" t="n">
        <v>0</v>
      </c>
      <c r="I578" s="138" t="s">
        <v>1642</v>
      </c>
      <c r="J578" s="138"/>
      <c r="K578" s="146" t="n">
        <f aca="false">Parâmetros!$C$4*(F578+2*Parâmetros!$D$4+Parâmetros!$C$4*Parâmetros!$E$4)</f>
        <v>0.5525</v>
      </c>
      <c r="L578" s="146" t="n">
        <f aca="false">Parâmetros!$C$5*(F578+2*Parâmetros!$D$5+Parâmetros!$C$5*Parâmetros!$E$5)</f>
        <v>1.8176</v>
      </c>
      <c r="M578" s="146" t="n">
        <f aca="false">Parâmetros!$C$6*(F578+2*Parâmetros!$D$6+Parâmetros!$C$6*Parâmetros!$E$6)</f>
        <v>2.384</v>
      </c>
      <c r="N578" s="146" t="n">
        <f aca="false">Parâmetros!$C$7*(F578+2*Parâmetros!$D$7+Parâmetros!$C$7*Parâmetros!$E$7)</f>
        <v>3.786</v>
      </c>
      <c r="O578" s="146" t="n">
        <f aca="false">F578+2*Parâmetros!$D$8</f>
        <v>11.2</v>
      </c>
      <c r="P578" s="146" t="n">
        <f aca="false">F578+2*Parâmetros!$D$10</f>
        <v>12.92</v>
      </c>
      <c r="Q578" s="146" t="n">
        <f aca="false">G578+H578</f>
        <v>0</v>
      </c>
      <c r="S578" s="149" t="n">
        <f aca="false">S577+'Volumes por intervalo'!C577*(F577+F578)/2</f>
        <v>133583.5</v>
      </c>
      <c r="T578" s="149" t="n">
        <f aca="false">T577+'Volumes por intervalo'!H577</f>
        <v>6707.82500000003</v>
      </c>
      <c r="U578" s="149" t="n">
        <f aca="false">U577+'Volumes por intervalo'!J577</f>
        <v>22033.456</v>
      </c>
      <c r="V578" s="149" t="n">
        <f aca="false">V577+'Volumes por intervalo'!K577</f>
        <v>28825.3400000001</v>
      </c>
      <c r="W578" s="149" t="n">
        <f aca="false">W577+'Volumes por intervalo'!L577</f>
        <v>45644.6100000001</v>
      </c>
      <c r="X578" s="149" t="n">
        <f aca="false">X577+'Volumes por intervalo'!M577</f>
        <v>135875.5</v>
      </c>
      <c r="Y578" s="149" t="n">
        <f aca="false">Y577+'Volumes por intervalo'!N577</f>
        <v>135875.5</v>
      </c>
      <c r="Z578" s="149" t="n">
        <f aca="false">Z577+'Volumes por intervalo'!O577</f>
        <v>155586.699999998</v>
      </c>
      <c r="AA578" s="149" t="n">
        <f aca="false">AA577+'Volumes por intervalo'!P577</f>
        <v>0</v>
      </c>
      <c r="AB578" s="149" t="n">
        <f aca="false">AB577+'Volumes por intervalo'!Q577</f>
        <v>0</v>
      </c>
      <c r="AC578" s="149" t="n">
        <f aca="false">AC577+'Volumes por intervalo'!R577</f>
        <v>0</v>
      </c>
      <c r="AD578" s="149" t="n">
        <f aca="false">AD577+'Volumes por intervalo'!S577</f>
        <v>0</v>
      </c>
    </row>
    <row r="579" customFormat="false" ht="15" hidden="false" customHeight="false" outlineLevel="0" collapsed="false">
      <c r="A579" s="138" t="s">
        <v>2247</v>
      </c>
      <c r="B579" s="146" t="n">
        <v>574</v>
      </c>
      <c r="C579" s="144" t="n">
        <v>11480</v>
      </c>
      <c r="D579" s="138" t="s">
        <v>1594</v>
      </c>
      <c r="E579" s="138" t="s">
        <v>1566</v>
      </c>
      <c r="F579" s="147" t="n">
        <v>11</v>
      </c>
      <c r="G579" s="148" t="n">
        <v>0</v>
      </c>
      <c r="H579" s="148" t="n">
        <v>0</v>
      </c>
      <c r="I579" s="138" t="s">
        <v>1642</v>
      </c>
      <c r="J579" s="138"/>
      <c r="K579" s="146" t="n">
        <f aca="false">Parâmetros!$C$4*(F579+2*Parâmetros!$D$4+Parâmetros!$C$4*Parâmetros!$E$4)</f>
        <v>0.5525</v>
      </c>
      <c r="L579" s="146" t="n">
        <f aca="false">Parâmetros!$C$5*(F579+2*Parâmetros!$D$5+Parâmetros!$C$5*Parâmetros!$E$5)</f>
        <v>1.8176</v>
      </c>
      <c r="M579" s="146" t="n">
        <f aca="false">Parâmetros!$C$6*(F579+2*Parâmetros!$D$6+Parâmetros!$C$6*Parâmetros!$E$6)</f>
        <v>2.384</v>
      </c>
      <c r="N579" s="146" t="n">
        <f aca="false">Parâmetros!$C$7*(F579+2*Parâmetros!$D$7+Parâmetros!$C$7*Parâmetros!$E$7)</f>
        <v>3.786</v>
      </c>
      <c r="O579" s="146" t="n">
        <f aca="false">F579+2*Parâmetros!$D$8</f>
        <v>11.2</v>
      </c>
      <c r="P579" s="146" t="n">
        <f aca="false">F579+2*Parâmetros!$D$10</f>
        <v>12.92</v>
      </c>
      <c r="Q579" s="146" t="n">
        <f aca="false">G579+H579</f>
        <v>0</v>
      </c>
      <c r="S579" s="149" t="n">
        <f aca="false">S578+'Volumes por intervalo'!C578*(F578+F579)/2</f>
        <v>133803.5</v>
      </c>
      <c r="T579" s="149" t="n">
        <f aca="false">T578+'Volumes por intervalo'!H578</f>
        <v>6718.87500000003</v>
      </c>
      <c r="U579" s="149" t="n">
        <f aca="false">U578+'Volumes por intervalo'!J578</f>
        <v>22069.808</v>
      </c>
      <c r="V579" s="149" t="n">
        <f aca="false">V578+'Volumes por intervalo'!K578</f>
        <v>28873.0200000001</v>
      </c>
      <c r="W579" s="149" t="n">
        <f aca="false">W578+'Volumes por intervalo'!L578</f>
        <v>45720.3300000001</v>
      </c>
      <c r="X579" s="149" t="n">
        <f aca="false">X578+'Volumes por intervalo'!M578</f>
        <v>136099.5</v>
      </c>
      <c r="Y579" s="149" t="n">
        <f aca="false">Y578+'Volumes por intervalo'!N578</f>
        <v>136099.5</v>
      </c>
      <c r="Z579" s="149" t="n">
        <f aca="false">Z578+'Volumes por intervalo'!O578</f>
        <v>155845.099999998</v>
      </c>
      <c r="AA579" s="149" t="n">
        <f aca="false">AA578+'Volumes por intervalo'!P578</f>
        <v>0</v>
      </c>
      <c r="AB579" s="149" t="n">
        <f aca="false">AB578+'Volumes por intervalo'!Q578</f>
        <v>0</v>
      </c>
      <c r="AC579" s="149" t="n">
        <f aca="false">AC578+'Volumes por intervalo'!R578</f>
        <v>0</v>
      </c>
      <c r="AD579" s="149" t="n">
        <f aca="false">AD578+'Volumes por intervalo'!S578</f>
        <v>0</v>
      </c>
    </row>
    <row r="580" customFormat="false" ht="15" hidden="false" customHeight="false" outlineLevel="0" collapsed="false">
      <c r="A580" s="138" t="s">
        <v>2248</v>
      </c>
      <c r="B580" s="146" t="n">
        <v>575</v>
      </c>
      <c r="C580" s="144" t="n">
        <v>11500</v>
      </c>
      <c r="D580" s="138" t="s">
        <v>1594</v>
      </c>
      <c r="E580" s="138" t="s">
        <v>1566</v>
      </c>
      <c r="F580" s="147" t="n">
        <v>11</v>
      </c>
      <c r="G580" s="148" t="n">
        <v>0</v>
      </c>
      <c r="H580" s="148" t="n">
        <v>0</v>
      </c>
      <c r="I580" s="138" t="s">
        <v>1642</v>
      </c>
      <c r="J580" s="138"/>
      <c r="K580" s="146" t="n">
        <f aca="false">Parâmetros!$C$4*(F580+2*Parâmetros!$D$4+Parâmetros!$C$4*Parâmetros!$E$4)</f>
        <v>0.5525</v>
      </c>
      <c r="L580" s="146" t="n">
        <f aca="false">Parâmetros!$C$5*(F580+2*Parâmetros!$D$5+Parâmetros!$C$5*Parâmetros!$E$5)</f>
        <v>1.8176</v>
      </c>
      <c r="M580" s="146" t="n">
        <f aca="false">Parâmetros!$C$6*(F580+2*Parâmetros!$D$6+Parâmetros!$C$6*Parâmetros!$E$6)</f>
        <v>2.384</v>
      </c>
      <c r="N580" s="146" t="n">
        <f aca="false">Parâmetros!$C$7*(F580+2*Parâmetros!$D$7+Parâmetros!$C$7*Parâmetros!$E$7)</f>
        <v>3.786</v>
      </c>
      <c r="O580" s="146" t="n">
        <f aca="false">F580+2*Parâmetros!$D$8</f>
        <v>11.2</v>
      </c>
      <c r="P580" s="146" t="n">
        <f aca="false">F580+2*Parâmetros!$D$10</f>
        <v>12.92</v>
      </c>
      <c r="Q580" s="146" t="n">
        <f aca="false">G580+H580</f>
        <v>0</v>
      </c>
      <c r="S580" s="149" t="n">
        <f aca="false">S579+'Volumes por intervalo'!C579*(F579+F580)/2</f>
        <v>134023.5</v>
      </c>
      <c r="T580" s="149" t="n">
        <f aca="false">T579+'Volumes por intervalo'!H579</f>
        <v>6729.92500000003</v>
      </c>
      <c r="U580" s="149" t="n">
        <f aca="false">U579+'Volumes por intervalo'!J579</f>
        <v>22106.16</v>
      </c>
      <c r="V580" s="149" t="n">
        <f aca="false">V579+'Volumes por intervalo'!K579</f>
        <v>28920.7000000001</v>
      </c>
      <c r="W580" s="149" t="n">
        <f aca="false">W579+'Volumes por intervalo'!L579</f>
        <v>45796.0500000001</v>
      </c>
      <c r="X580" s="149" t="n">
        <f aca="false">X579+'Volumes por intervalo'!M579</f>
        <v>136323.5</v>
      </c>
      <c r="Y580" s="149" t="n">
        <f aca="false">Y579+'Volumes por intervalo'!N579</f>
        <v>136323.5</v>
      </c>
      <c r="Z580" s="149" t="n">
        <f aca="false">Z579+'Volumes por intervalo'!O579</f>
        <v>156103.499999998</v>
      </c>
      <c r="AA580" s="149" t="n">
        <f aca="false">AA579+'Volumes por intervalo'!P579</f>
        <v>0</v>
      </c>
      <c r="AB580" s="149" t="n">
        <f aca="false">AB579+'Volumes por intervalo'!Q579</f>
        <v>0</v>
      </c>
      <c r="AC580" s="149" t="n">
        <f aca="false">AC579+'Volumes por intervalo'!R579</f>
        <v>0</v>
      </c>
      <c r="AD580" s="149" t="n">
        <f aca="false">AD579+'Volumes por intervalo'!S579</f>
        <v>0</v>
      </c>
    </row>
    <row r="581" customFormat="false" ht="15" hidden="false" customHeight="false" outlineLevel="0" collapsed="false">
      <c r="A581" s="138" t="s">
        <v>2249</v>
      </c>
      <c r="B581" s="146" t="n">
        <v>576</v>
      </c>
      <c r="C581" s="144" t="n">
        <v>11520</v>
      </c>
      <c r="D581" s="138" t="s">
        <v>1594</v>
      </c>
      <c r="E581" s="138" t="s">
        <v>1566</v>
      </c>
      <c r="F581" s="147" t="n">
        <v>11</v>
      </c>
      <c r="G581" s="148" t="n">
        <v>0</v>
      </c>
      <c r="H581" s="148" t="n">
        <v>0</v>
      </c>
      <c r="I581" s="138" t="s">
        <v>1642</v>
      </c>
      <c r="J581" s="138"/>
      <c r="K581" s="146" t="n">
        <f aca="false">Parâmetros!$C$4*(F581+2*Parâmetros!$D$4+Parâmetros!$C$4*Parâmetros!$E$4)</f>
        <v>0.5525</v>
      </c>
      <c r="L581" s="146" t="n">
        <f aca="false">Parâmetros!$C$5*(F581+2*Parâmetros!$D$5+Parâmetros!$C$5*Parâmetros!$E$5)</f>
        <v>1.8176</v>
      </c>
      <c r="M581" s="146" t="n">
        <f aca="false">Parâmetros!$C$6*(F581+2*Parâmetros!$D$6+Parâmetros!$C$6*Parâmetros!$E$6)</f>
        <v>2.384</v>
      </c>
      <c r="N581" s="146" t="n">
        <f aca="false">Parâmetros!$C$7*(F581+2*Parâmetros!$D$7+Parâmetros!$C$7*Parâmetros!$E$7)</f>
        <v>3.786</v>
      </c>
      <c r="O581" s="146" t="n">
        <f aca="false">F581+2*Parâmetros!$D$8</f>
        <v>11.2</v>
      </c>
      <c r="P581" s="146" t="n">
        <f aca="false">F581+2*Parâmetros!$D$10</f>
        <v>12.92</v>
      </c>
      <c r="Q581" s="146" t="n">
        <f aca="false">G581+H581</f>
        <v>0</v>
      </c>
      <c r="S581" s="149" t="n">
        <f aca="false">S580+'Volumes por intervalo'!C580*(F580+F581)/2</f>
        <v>134243.5</v>
      </c>
      <c r="T581" s="149" t="n">
        <f aca="false">T580+'Volumes por intervalo'!H580</f>
        <v>6740.97500000003</v>
      </c>
      <c r="U581" s="149" t="n">
        <f aca="false">U580+'Volumes por intervalo'!J580</f>
        <v>22142.512</v>
      </c>
      <c r="V581" s="149" t="n">
        <f aca="false">V580+'Volumes por intervalo'!K580</f>
        <v>28968.3800000001</v>
      </c>
      <c r="W581" s="149" t="n">
        <f aca="false">W580+'Volumes por intervalo'!L580</f>
        <v>45871.7700000001</v>
      </c>
      <c r="X581" s="149" t="n">
        <f aca="false">X580+'Volumes por intervalo'!M580</f>
        <v>136547.5</v>
      </c>
      <c r="Y581" s="149" t="n">
        <f aca="false">Y580+'Volumes por intervalo'!N580</f>
        <v>136547.5</v>
      </c>
      <c r="Z581" s="149" t="n">
        <f aca="false">Z580+'Volumes por intervalo'!O580</f>
        <v>156361.899999998</v>
      </c>
      <c r="AA581" s="149" t="n">
        <f aca="false">AA580+'Volumes por intervalo'!P580</f>
        <v>0</v>
      </c>
      <c r="AB581" s="149" t="n">
        <f aca="false">AB580+'Volumes por intervalo'!Q580</f>
        <v>0</v>
      </c>
      <c r="AC581" s="149" t="n">
        <f aca="false">AC580+'Volumes por intervalo'!R580</f>
        <v>0</v>
      </c>
      <c r="AD581" s="149" t="n">
        <f aca="false">AD580+'Volumes por intervalo'!S580</f>
        <v>0</v>
      </c>
    </row>
    <row r="582" customFormat="false" ht="15" hidden="false" customHeight="false" outlineLevel="0" collapsed="false">
      <c r="A582" s="138" t="s">
        <v>2250</v>
      </c>
      <c r="B582" s="146" t="n">
        <v>577</v>
      </c>
      <c r="C582" s="144" t="n">
        <v>11540</v>
      </c>
      <c r="D582" s="138" t="s">
        <v>1594</v>
      </c>
      <c r="E582" s="138" t="s">
        <v>1566</v>
      </c>
      <c r="F582" s="147" t="n">
        <v>11</v>
      </c>
      <c r="G582" s="148" t="n">
        <v>0</v>
      </c>
      <c r="H582" s="148" t="n">
        <v>0</v>
      </c>
      <c r="I582" s="138" t="s">
        <v>1642</v>
      </c>
      <c r="J582" s="138"/>
      <c r="K582" s="146" t="n">
        <f aca="false">Parâmetros!$C$4*(F582+2*Parâmetros!$D$4+Parâmetros!$C$4*Parâmetros!$E$4)</f>
        <v>0.5525</v>
      </c>
      <c r="L582" s="146" t="n">
        <f aca="false">Parâmetros!$C$5*(F582+2*Parâmetros!$D$5+Parâmetros!$C$5*Parâmetros!$E$5)</f>
        <v>1.8176</v>
      </c>
      <c r="M582" s="146" t="n">
        <f aca="false">Parâmetros!$C$6*(F582+2*Parâmetros!$D$6+Parâmetros!$C$6*Parâmetros!$E$6)</f>
        <v>2.384</v>
      </c>
      <c r="N582" s="146" t="n">
        <f aca="false">Parâmetros!$C$7*(F582+2*Parâmetros!$D$7+Parâmetros!$C$7*Parâmetros!$E$7)</f>
        <v>3.786</v>
      </c>
      <c r="O582" s="146" t="n">
        <f aca="false">F582+2*Parâmetros!$D$8</f>
        <v>11.2</v>
      </c>
      <c r="P582" s="146" t="n">
        <f aca="false">F582+2*Parâmetros!$D$10</f>
        <v>12.92</v>
      </c>
      <c r="Q582" s="146" t="n">
        <f aca="false">G582+H582</f>
        <v>0</v>
      </c>
      <c r="S582" s="149" t="n">
        <f aca="false">S581+'Volumes por intervalo'!C581*(F581+F582)/2</f>
        <v>134463.5</v>
      </c>
      <c r="T582" s="149" t="n">
        <f aca="false">T581+'Volumes por intervalo'!H581</f>
        <v>6752.02500000003</v>
      </c>
      <c r="U582" s="149" t="n">
        <f aca="false">U581+'Volumes por intervalo'!J581</f>
        <v>22178.864</v>
      </c>
      <c r="V582" s="149" t="n">
        <f aca="false">V581+'Volumes por intervalo'!K581</f>
        <v>29016.0600000001</v>
      </c>
      <c r="W582" s="149" t="n">
        <f aca="false">W581+'Volumes por intervalo'!L581</f>
        <v>45947.4900000001</v>
      </c>
      <c r="X582" s="149" t="n">
        <f aca="false">X581+'Volumes por intervalo'!M581</f>
        <v>136771.5</v>
      </c>
      <c r="Y582" s="149" t="n">
        <f aca="false">Y581+'Volumes por intervalo'!N581</f>
        <v>136771.5</v>
      </c>
      <c r="Z582" s="149" t="n">
        <f aca="false">Z581+'Volumes por intervalo'!O581</f>
        <v>156620.299999998</v>
      </c>
      <c r="AA582" s="149" t="n">
        <f aca="false">AA581+'Volumes por intervalo'!P581</f>
        <v>0</v>
      </c>
      <c r="AB582" s="149" t="n">
        <f aca="false">AB581+'Volumes por intervalo'!Q581</f>
        <v>0</v>
      </c>
      <c r="AC582" s="149" t="n">
        <f aca="false">AC581+'Volumes por intervalo'!R581</f>
        <v>0</v>
      </c>
      <c r="AD582" s="149" t="n">
        <f aca="false">AD581+'Volumes por intervalo'!S581</f>
        <v>0</v>
      </c>
    </row>
    <row r="583" customFormat="false" ht="15" hidden="false" customHeight="false" outlineLevel="0" collapsed="false">
      <c r="A583" s="138" t="s">
        <v>2251</v>
      </c>
      <c r="B583" s="146" t="n">
        <v>578</v>
      </c>
      <c r="C583" s="144" t="n">
        <v>11560</v>
      </c>
      <c r="D583" s="138" t="s">
        <v>1594</v>
      </c>
      <c r="E583" s="138" t="s">
        <v>1566</v>
      </c>
      <c r="F583" s="147" t="n">
        <v>11</v>
      </c>
      <c r="G583" s="148" t="n">
        <v>0</v>
      </c>
      <c r="H583" s="148" t="n">
        <v>0</v>
      </c>
      <c r="I583" s="138" t="s">
        <v>1642</v>
      </c>
      <c r="J583" s="138"/>
      <c r="K583" s="146" t="n">
        <f aca="false">Parâmetros!$C$4*(F583+2*Parâmetros!$D$4+Parâmetros!$C$4*Parâmetros!$E$4)</f>
        <v>0.5525</v>
      </c>
      <c r="L583" s="146" t="n">
        <f aca="false">Parâmetros!$C$5*(F583+2*Parâmetros!$D$5+Parâmetros!$C$5*Parâmetros!$E$5)</f>
        <v>1.8176</v>
      </c>
      <c r="M583" s="146" t="n">
        <f aca="false">Parâmetros!$C$6*(F583+2*Parâmetros!$D$6+Parâmetros!$C$6*Parâmetros!$E$6)</f>
        <v>2.384</v>
      </c>
      <c r="N583" s="146" t="n">
        <f aca="false">Parâmetros!$C$7*(F583+2*Parâmetros!$D$7+Parâmetros!$C$7*Parâmetros!$E$7)</f>
        <v>3.786</v>
      </c>
      <c r="O583" s="146" t="n">
        <f aca="false">F583+2*Parâmetros!$D$8</f>
        <v>11.2</v>
      </c>
      <c r="P583" s="146" t="n">
        <f aca="false">F583+2*Parâmetros!$D$10</f>
        <v>12.92</v>
      </c>
      <c r="Q583" s="146" t="n">
        <f aca="false">G583+H583</f>
        <v>0</v>
      </c>
      <c r="S583" s="149" t="n">
        <f aca="false">S582+'Volumes por intervalo'!C582*(F582+F583)/2</f>
        <v>134683.5</v>
      </c>
      <c r="T583" s="149" t="n">
        <f aca="false">T582+'Volumes por intervalo'!H582</f>
        <v>6763.07500000003</v>
      </c>
      <c r="U583" s="149" t="n">
        <f aca="false">U582+'Volumes por intervalo'!J582</f>
        <v>22215.216</v>
      </c>
      <c r="V583" s="149" t="n">
        <f aca="false">V582+'Volumes por intervalo'!K582</f>
        <v>29063.7400000001</v>
      </c>
      <c r="W583" s="149" t="n">
        <f aca="false">W582+'Volumes por intervalo'!L582</f>
        <v>46023.2100000001</v>
      </c>
      <c r="X583" s="149" t="n">
        <f aca="false">X582+'Volumes por intervalo'!M582</f>
        <v>136995.5</v>
      </c>
      <c r="Y583" s="149" t="n">
        <f aca="false">Y582+'Volumes por intervalo'!N582</f>
        <v>136995.5</v>
      </c>
      <c r="Z583" s="149" t="n">
        <f aca="false">Z582+'Volumes por intervalo'!O582</f>
        <v>156878.699999998</v>
      </c>
      <c r="AA583" s="149" t="n">
        <f aca="false">AA582+'Volumes por intervalo'!P582</f>
        <v>0</v>
      </c>
      <c r="AB583" s="149" t="n">
        <f aca="false">AB582+'Volumes por intervalo'!Q582</f>
        <v>0</v>
      </c>
      <c r="AC583" s="149" t="n">
        <f aca="false">AC582+'Volumes por intervalo'!R582</f>
        <v>0</v>
      </c>
      <c r="AD583" s="149" t="n">
        <f aca="false">AD582+'Volumes por intervalo'!S582</f>
        <v>0</v>
      </c>
    </row>
    <row r="584" customFormat="false" ht="15" hidden="false" customHeight="false" outlineLevel="0" collapsed="false">
      <c r="A584" s="138" t="s">
        <v>2252</v>
      </c>
      <c r="B584" s="146" t="n">
        <v>579</v>
      </c>
      <c r="C584" s="144" t="n">
        <v>11580</v>
      </c>
      <c r="D584" s="138" t="s">
        <v>1594</v>
      </c>
      <c r="E584" s="138" t="s">
        <v>1566</v>
      </c>
      <c r="F584" s="147" t="n">
        <v>11</v>
      </c>
      <c r="G584" s="148" t="n">
        <v>0</v>
      </c>
      <c r="H584" s="148" t="n">
        <v>0</v>
      </c>
      <c r="I584" s="138" t="s">
        <v>1642</v>
      </c>
      <c r="J584" s="138"/>
      <c r="K584" s="146" t="n">
        <f aca="false">Parâmetros!$C$4*(F584+2*Parâmetros!$D$4+Parâmetros!$C$4*Parâmetros!$E$4)</f>
        <v>0.5525</v>
      </c>
      <c r="L584" s="146" t="n">
        <f aca="false">Parâmetros!$C$5*(F584+2*Parâmetros!$D$5+Parâmetros!$C$5*Parâmetros!$E$5)</f>
        <v>1.8176</v>
      </c>
      <c r="M584" s="146" t="n">
        <f aca="false">Parâmetros!$C$6*(F584+2*Parâmetros!$D$6+Parâmetros!$C$6*Parâmetros!$E$6)</f>
        <v>2.384</v>
      </c>
      <c r="N584" s="146" t="n">
        <f aca="false">Parâmetros!$C$7*(F584+2*Parâmetros!$D$7+Parâmetros!$C$7*Parâmetros!$E$7)</f>
        <v>3.786</v>
      </c>
      <c r="O584" s="146" t="n">
        <f aca="false">F584+2*Parâmetros!$D$8</f>
        <v>11.2</v>
      </c>
      <c r="P584" s="146" t="n">
        <f aca="false">F584+2*Parâmetros!$D$10</f>
        <v>12.92</v>
      </c>
      <c r="Q584" s="146" t="n">
        <f aca="false">G584+H584</f>
        <v>0</v>
      </c>
      <c r="S584" s="149" t="n">
        <f aca="false">S583+'Volumes por intervalo'!C583*(F583+F584)/2</f>
        <v>134903.5</v>
      </c>
      <c r="T584" s="149" t="n">
        <f aca="false">T583+'Volumes por intervalo'!H583</f>
        <v>6774.12500000003</v>
      </c>
      <c r="U584" s="149" t="n">
        <f aca="false">U583+'Volumes por intervalo'!J583</f>
        <v>22251.568</v>
      </c>
      <c r="V584" s="149" t="n">
        <f aca="false">V583+'Volumes por intervalo'!K583</f>
        <v>29111.4200000001</v>
      </c>
      <c r="W584" s="149" t="n">
        <f aca="false">W583+'Volumes por intervalo'!L583</f>
        <v>46098.9300000001</v>
      </c>
      <c r="X584" s="149" t="n">
        <f aca="false">X583+'Volumes por intervalo'!M583</f>
        <v>137219.5</v>
      </c>
      <c r="Y584" s="149" t="n">
        <f aca="false">Y583+'Volumes por intervalo'!N583</f>
        <v>137219.5</v>
      </c>
      <c r="Z584" s="149" t="n">
        <f aca="false">Z583+'Volumes por intervalo'!O583</f>
        <v>157137.099999998</v>
      </c>
      <c r="AA584" s="149" t="n">
        <f aca="false">AA583+'Volumes por intervalo'!P583</f>
        <v>0</v>
      </c>
      <c r="AB584" s="149" t="n">
        <f aca="false">AB583+'Volumes por intervalo'!Q583</f>
        <v>0</v>
      </c>
      <c r="AC584" s="149" t="n">
        <f aca="false">AC583+'Volumes por intervalo'!R583</f>
        <v>0</v>
      </c>
      <c r="AD584" s="149" t="n">
        <f aca="false">AD583+'Volumes por intervalo'!S583</f>
        <v>0</v>
      </c>
    </row>
    <row r="585" customFormat="false" ht="15" hidden="false" customHeight="false" outlineLevel="0" collapsed="false">
      <c r="A585" s="138" t="s">
        <v>2253</v>
      </c>
      <c r="B585" s="146" t="n">
        <v>580</v>
      </c>
      <c r="C585" s="144" t="n">
        <v>11600</v>
      </c>
      <c r="D585" s="138" t="s">
        <v>1594</v>
      </c>
      <c r="E585" s="138" t="s">
        <v>1566</v>
      </c>
      <c r="F585" s="147" t="n">
        <v>11</v>
      </c>
      <c r="G585" s="148" t="n">
        <v>0</v>
      </c>
      <c r="H585" s="148" t="n">
        <v>0</v>
      </c>
      <c r="I585" s="138" t="s">
        <v>1642</v>
      </c>
      <c r="J585" s="138"/>
      <c r="K585" s="146" t="n">
        <f aca="false">Parâmetros!$C$4*(F585+2*Parâmetros!$D$4+Parâmetros!$C$4*Parâmetros!$E$4)</f>
        <v>0.5525</v>
      </c>
      <c r="L585" s="146" t="n">
        <f aca="false">Parâmetros!$C$5*(F585+2*Parâmetros!$D$5+Parâmetros!$C$5*Parâmetros!$E$5)</f>
        <v>1.8176</v>
      </c>
      <c r="M585" s="146" t="n">
        <f aca="false">Parâmetros!$C$6*(F585+2*Parâmetros!$D$6+Parâmetros!$C$6*Parâmetros!$E$6)</f>
        <v>2.384</v>
      </c>
      <c r="N585" s="146" t="n">
        <f aca="false">Parâmetros!$C$7*(F585+2*Parâmetros!$D$7+Parâmetros!$C$7*Parâmetros!$E$7)</f>
        <v>3.786</v>
      </c>
      <c r="O585" s="146" t="n">
        <f aca="false">F585+2*Parâmetros!$D$8</f>
        <v>11.2</v>
      </c>
      <c r="P585" s="146" t="n">
        <f aca="false">F585+2*Parâmetros!$D$10</f>
        <v>12.92</v>
      </c>
      <c r="Q585" s="146" t="n">
        <f aca="false">G585+H585</f>
        <v>0</v>
      </c>
      <c r="S585" s="149" t="n">
        <f aca="false">S584+'Volumes por intervalo'!C584*(F584+F585)/2</f>
        <v>135123.5</v>
      </c>
      <c r="T585" s="149" t="n">
        <f aca="false">T584+'Volumes por intervalo'!H584</f>
        <v>6785.17500000003</v>
      </c>
      <c r="U585" s="149" t="n">
        <f aca="false">U584+'Volumes por intervalo'!J584</f>
        <v>22287.92</v>
      </c>
      <c r="V585" s="149" t="n">
        <f aca="false">V584+'Volumes por intervalo'!K584</f>
        <v>29159.1000000001</v>
      </c>
      <c r="W585" s="149" t="n">
        <f aca="false">W584+'Volumes por intervalo'!L584</f>
        <v>46174.6500000002</v>
      </c>
      <c r="X585" s="149" t="n">
        <f aca="false">X584+'Volumes por intervalo'!M584</f>
        <v>137443.5</v>
      </c>
      <c r="Y585" s="149" t="n">
        <f aca="false">Y584+'Volumes por intervalo'!N584</f>
        <v>137443.5</v>
      </c>
      <c r="Z585" s="149" t="n">
        <f aca="false">Z584+'Volumes por intervalo'!O584</f>
        <v>157395.499999998</v>
      </c>
      <c r="AA585" s="149" t="n">
        <f aca="false">AA584+'Volumes por intervalo'!P584</f>
        <v>0</v>
      </c>
      <c r="AB585" s="149" t="n">
        <f aca="false">AB584+'Volumes por intervalo'!Q584</f>
        <v>0</v>
      </c>
      <c r="AC585" s="149" t="n">
        <f aca="false">AC584+'Volumes por intervalo'!R584</f>
        <v>0</v>
      </c>
      <c r="AD585" s="149" t="n">
        <f aca="false">AD584+'Volumes por intervalo'!S584</f>
        <v>0</v>
      </c>
    </row>
    <row r="586" customFormat="false" ht="15" hidden="false" customHeight="false" outlineLevel="0" collapsed="false">
      <c r="A586" s="138" t="s">
        <v>2254</v>
      </c>
      <c r="B586" s="146" t="n">
        <v>581</v>
      </c>
      <c r="C586" s="144" t="n">
        <v>11620</v>
      </c>
      <c r="D586" s="138" t="s">
        <v>1594</v>
      </c>
      <c r="E586" s="138" t="s">
        <v>1566</v>
      </c>
      <c r="F586" s="147" t="n">
        <v>11</v>
      </c>
      <c r="G586" s="148" t="n">
        <v>0</v>
      </c>
      <c r="H586" s="148" t="n">
        <v>0</v>
      </c>
      <c r="I586" s="138" t="s">
        <v>1642</v>
      </c>
      <c r="J586" s="138"/>
      <c r="K586" s="146" t="n">
        <f aca="false">Parâmetros!$C$4*(F586+2*Parâmetros!$D$4+Parâmetros!$C$4*Parâmetros!$E$4)</f>
        <v>0.5525</v>
      </c>
      <c r="L586" s="146" t="n">
        <f aca="false">Parâmetros!$C$5*(F586+2*Parâmetros!$D$5+Parâmetros!$C$5*Parâmetros!$E$5)</f>
        <v>1.8176</v>
      </c>
      <c r="M586" s="146" t="n">
        <f aca="false">Parâmetros!$C$6*(F586+2*Parâmetros!$D$6+Parâmetros!$C$6*Parâmetros!$E$6)</f>
        <v>2.384</v>
      </c>
      <c r="N586" s="146" t="n">
        <f aca="false">Parâmetros!$C$7*(F586+2*Parâmetros!$D$7+Parâmetros!$C$7*Parâmetros!$E$7)</f>
        <v>3.786</v>
      </c>
      <c r="O586" s="146" t="n">
        <f aca="false">F586+2*Parâmetros!$D$8</f>
        <v>11.2</v>
      </c>
      <c r="P586" s="146" t="n">
        <f aca="false">F586+2*Parâmetros!$D$10</f>
        <v>12.92</v>
      </c>
      <c r="Q586" s="146" t="n">
        <f aca="false">G586+H586</f>
        <v>0</v>
      </c>
      <c r="S586" s="149" t="n">
        <f aca="false">S585+'Volumes por intervalo'!C585*(F585+F586)/2</f>
        <v>135343.5</v>
      </c>
      <c r="T586" s="149" t="n">
        <f aca="false">T585+'Volumes por intervalo'!H585</f>
        <v>6796.22500000003</v>
      </c>
      <c r="U586" s="149" t="n">
        <f aca="false">U585+'Volumes por intervalo'!J585</f>
        <v>22324.272</v>
      </c>
      <c r="V586" s="149" t="n">
        <f aca="false">V585+'Volumes por intervalo'!K585</f>
        <v>29206.7800000001</v>
      </c>
      <c r="W586" s="149" t="n">
        <f aca="false">W585+'Volumes por intervalo'!L585</f>
        <v>46250.3700000002</v>
      </c>
      <c r="X586" s="149" t="n">
        <f aca="false">X585+'Volumes por intervalo'!M585</f>
        <v>137667.5</v>
      </c>
      <c r="Y586" s="149" t="n">
        <f aca="false">Y585+'Volumes por intervalo'!N585</f>
        <v>137667.5</v>
      </c>
      <c r="Z586" s="149" t="n">
        <f aca="false">Z585+'Volumes por intervalo'!O585</f>
        <v>157653.899999998</v>
      </c>
      <c r="AA586" s="149" t="n">
        <f aca="false">AA585+'Volumes por intervalo'!P585</f>
        <v>0</v>
      </c>
      <c r="AB586" s="149" t="n">
        <f aca="false">AB585+'Volumes por intervalo'!Q585</f>
        <v>0</v>
      </c>
      <c r="AC586" s="149" t="n">
        <f aca="false">AC585+'Volumes por intervalo'!R585</f>
        <v>0</v>
      </c>
      <c r="AD586" s="149" t="n">
        <f aca="false">AD585+'Volumes por intervalo'!S585</f>
        <v>0</v>
      </c>
    </row>
    <row r="587" customFormat="false" ht="15" hidden="false" customHeight="false" outlineLevel="0" collapsed="false">
      <c r="A587" s="138" t="s">
        <v>2255</v>
      </c>
      <c r="B587" s="146" t="n">
        <v>582</v>
      </c>
      <c r="C587" s="144" t="n">
        <v>11640</v>
      </c>
      <c r="D587" s="138" t="s">
        <v>1594</v>
      </c>
      <c r="E587" s="138" t="s">
        <v>1566</v>
      </c>
      <c r="F587" s="147" t="n">
        <v>11</v>
      </c>
      <c r="G587" s="148" t="n">
        <v>0</v>
      </c>
      <c r="H587" s="148" t="n">
        <v>0</v>
      </c>
      <c r="I587" s="138" t="s">
        <v>1642</v>
      </c>
      <c r="J587" s="138"/>
      <c r="K587" s="146" t="n">
        <f aca="false">Parâmetros!$C$4*(F587+2*Parâmetros!$D$4+Parâmetros!$C$4*Parâmetros!$E$4)</f>
        <v>0.5525</v>
      </c>
      <c r="L587" s="146" t="n">
        <f aca="false">Parâmetros!$C$5*(F587+2*Parâmetros!$D$5+Parâmetros!$C$5*Parâmetros!$E$5)</f>
        <v>1.8176</v>
      </c>
      <c r="M587" s="146" t="n">
        <f aca="false">Parâmetros!$C$6*(F587+2*Parâmetros!$D$6+Parâmetros!$C$6*Parâmetros!$E$6)</f>
        <v>2.384</v>
      </c>
      <c r="N587" s="146" t="n">
        <f aca="false">Parâmetros!$C$7*(F587+2*Parâmetros!$D$7+Parâmetros!$C$7*Parâmetros!$E$7)</f>
        <v>3.786</v>
      </c>
      <c r="O587" s="146" t="n">
        <f aca="false">F587+2*Parâmetros!$D$8</f>
        <v>11.2</v>
      </c>
      <c r="P587" s="146" t="n">
        <f aca="false">F587+2*Parâmetros!$D$10</f>
        <v>12.92</v>
      </c>
      <c r="Q587" s="146" t="n">
        <f aca="false">G587+H587</f>
        <v>0</v>
      </c>
      <c r="S587" s="149" t="n">
        <f aca="false">S586+'Volumes por intervalo'!C586*(F586+F587)/2</f>
        <v>135563.5</v>
      </c>
      <c r="T587" s="149" t="n">
        <f aca="false">T586+'Volumes por intervalo'!H586</f>
        <v>6807.27500000003</v>
      </c>
      <c r="U587" s="149" t="n">
        <f aca="false">U586+'Volumes por intervalo'!J586</f>
        <v>22360.624</v>
      </c>
      <c r="V587" s="149" t="n">
        <f aca="false">V586+'Volumes por intervalo'!K586</f>
        <v>29254.4600000001</v>
      </c>
      <c r="W587" s="149" t="n">
        <f aca="false">W586+'Volumes por intervalo'!L586</f>
        <v>46326.0900000002</v>
      </c>
      <c r="X587" s="149" t="n">
        <f aca="false">X586+'Volumes por intervalo'!M586</f>
        <v>137891.5</v>
      </c>
      <c r="Y587" s="149" t="n">
        <f aca="false">Y586+'Volumes por intervalo'!N586</f>
        <v>137891.5</v>
      </c>
      <c r="Z587" s="149" t="n">
        <f aca="false">Z586+'Volumes por intervalo'!O586</f>
        <v>157912.299999998</v>
      </c>
      <c r="AA587" s="149" t="n">
        <f aca="false">AA586+'Volumes por intervalo'!P586</f>
        <v>0</v>
      </c>
      <c r="AB587" s="149" t="n">
        <f aca="false">AB586+'Volumes por intervalo'!Q586</f>
        <v>0</v>
      </c>
      <c r="AC587" s="149" t="n">
        <f aca="false">AC586+'Volumes por intervalo'!R586</f>
        <v>0</v>
      </c>
      <c r="AD587" s="149" t="n">
        <f aca="false">AD586+'Volumes por intervalo'!S586</f>
        <v>0</v>
      </c>
    </row>
    <row r="588" customFormat="false" ht="15" hidden="false" customHeight="false" outlineLevel="0" collapsed="false">
      <c r="A588" s="138" t="s">
        <v>2256</v>
      </c>
      <c r="B588" s="146" t="n">
        <v>583</v>
      </c>
      <c r="C588" s="144" t="n">
        <v>11660</v>
      </c>
      <c r="D588" s="138" t="s">
        <v>1594</v>
      </c>
      <c r="E588" s="138" t="s">
        <v>1566</v>
      </c>
      <c r="F588" s="147" t="n">
        <v>11</v>
      </c>
      <c r="G588" s="148" t="n">
        <v>0</v>
      </c>
      <c r="H588" s="148" t="n">
        <v>0</v>
      </c>
      <c r="I588" s="138" t="s">
        <v>1642</v>
      </c>
      <c r="J588" s="138"/>
      <c r="K588" s="146" t="n">
        <f aca="false">Parâmetros!$C$4*(F588+2*Parâmetros!$D$4+Parâmetros!$C$4*Parâmetros!$E$4)</f>
        <v>0.5525</v>
      </c>
      <c r="L588" s="146" t="n">
        <f aca="false">Parâmetros!$C$5*(F588+2*Parâmetros!$D$5+Parâmetros!$C$5*Parâmetros!$E$5)</f>
        <v>1.8176</v>
      </c>
      <c r="M588" s="146" t="n">
        <f aca="false">Parâmetros!$C$6*(F588+2*Parâmetros!$D$6+Parâmetros!$C$6*Parâmetros!$E$6)</f>
        <v>2.384</v>
      </c>
      <c r="N588" s="146" t="n">
        <f aca="false">Parâmetros!$C$7*(F588+2*Parâmetros!$D$7+Parâmetros!$C$7*Parâmetros!$E$7)</f>
        <v>3.786</v>
      </c>
      <c r="O588" s="146" t="n">
        <f aca="false">F588+2*Parâmetros!$D$8</f>
        <v>11.2</v>
      </c>
      <c r="P588" s="146" t="n">
        <f aca="false">F588+2*Parâmetros!$D$10</f>
        <v>12.92</v>
      </c>
      <c r="Q588" s="146" t="n">
        <f aca="false">G588+H588</f>
        <v>0</v>
      </c>
      <c r="S588" s="149" t="n">
        <f aca="false">S587+'Volumes por intervalo'!C587*(F587+F588)/2</f>
        <v>135783.5</v>
      </c>
      <c r="T588" s="149" t="n">
        <f aca="false">T587+'Volumes por intervalo'!H587</f>
        <v>6818.32500000003</v>
      </c>
      <c r="U588" s="149" t="n">
        <f aca="false">U587+'Volumes por intervalo'!J587</f>
        <v>22396.976</v>
      </c>
      <c r="V588" s="149" t="n">
        <f aca="false">V587+'Volumes por intervalo'!K587</f>
        <v>29302.1400000001</v>
      </c>
      <c r="W588" s="149" t="n">
        <f aca="false">W587+'Volumes por intervalo'!L587</f>
        <v>46401.8100000002</v>
      </c>
      <c r="X588" s="149" t="n">
        <f aca="false">X587+'Volumes por intervalo'!M587</f>
        <v>138115.5</v>
      </c>
      <c r="Y588" s="149" t="n">
        <f aca="false">Y587+'Volumes por intervalo'!N587</f>
        <v>138115.5</v>
      </c>
      <c r="Z588" s="149" t="n">
        <f aca="false">Z587+'Volumes por intervalo'!O587</f>
        <v>158170.699999998</v>
      </c>
      <c r="AA588" s="149" t="n">
        <f aca="false">AA587+'Volumes por intervalo'!P587</f>
        <v>0</v>
      </c>
      <c r="AB588" s="149" t="n">
        <f aca="false">AB587+'Volumes por intervalo'!Q587</f>
        <v>0</v>
      </c>
      <c r="AC588" s="149" t="n">
        <f aca="false">AC587+'Volumes por intervalo'!R587</f>
        <v>0</v>
      </c>
      <c r="AD588" s="149" t="n">
        <f aca="false">AD587+'Volumes por intervalo'!S587</f>
        <v>0</v>
      </c>
    </row>
    <row r="589" customFormat="false" ht="15" hidden="false" customHeight="false" outlineLevel="0" collapsed="false">
      <c r="A589" s="138" t="s">
        <v>2257</v>
      </c>
      <c r="B589" s="146" t="n">
        <v>584</v>
      </c>
      <c r="C589" s="144" t="n">
        <v>11680</v>
      </c>
      <c r="D589" s="138" t="s">
        <v>1594</v>
      </c>
      <c r="E589" s="138" t="s">
        <v>1566</v>
      </c>
      <c r="F589" s="147" t="n">
        <v>11</v>
      </c>
      <c r="G589" s="148" t="n">
        <v>0</v>
      </c>
      <c r="H589" s="148" t="n">
        <v>0</v>
      </c>
      <c r="I589" s="138" t="s">
        <v>1642</v>
      </c>
      <c r="J589" s="138"/>
      <c r="K589" s="146" t="n">
        <f aca="false">Parâmetros!$C$4*(F589+2*Parâmetros!$D$4+Parâmetros!$C$4*Parâmetros!$E$4)</f>
        <v>0.5525</v>
      </c>
      <c r="L589" s="146" t="n">
        <f aca="false">Parâmetros!$C$5*(F589+2*Parâmetros!$D$5+Parâmetros!$C$5*Parâmetros!$E$5)</f>
        <v>1.8176</v>
      </c>
      <c r="M589" s="146" t="n">
        <f aca="false">Parâmetros!$C$6*(F589+2*Parâmetros!$D$6+Parâmetros!$C$6*Parâmetros!$E$6)</f>
        <v>2.384</v>
      </c>
      <c r="N589" s="146" t="n">
        <f aca="false">Parâmetros!$C$7*(F589+2*Parâmetros!$D$7+Parâmetros!$C$7*Parâmetros!$E$7)</f>
        <v>3.786</v>
      </c>
      <c r="O589" s="146" t="n">
        <f aca="false">F589+2*Parâmetros!$D$8</f>
        <v>11.2</v>
      </c>
      <c r="P589" s="146" t="n">
        <f aca="false">F589+2*Parâmetros!$D$10</f>
        <v>12.92</v>
      </c>
      <c r="Q589" s="146" t="n">
        <f aca="false">G589+H589</f>
        <v>0</v>
      </c>
      <c r="S589" s="149" t="n">
        <f aca="false">S588+'Volumes por intervalo'!C588*(F588+F589)/2</f>
        <v>136003.5</v>
      </c>
      <c r="T589" s="149" t="n">
        <f aca="false">T588+'Volumes por intervalo'!H588</f>
        <v>6829.37500000004</v>
      </c>
      <c r="U589" s="149" t="n">
        <f aca="false">U588+'Volumes por intervalo'!J588</f>
        <v>22433.328</v>
      </c>
      <c r="V589" s="149" t="n">
        <f aca="false">V588+'Volumes por intervalo'!K588</f>
        <v>29349.8200000001</v>
      </c>
      <c r="W589" s="149" t="n">
        <f aca="false">W588+'Volumes por intervalo'!L588</f>
        <v>46477.5300000002</v>
      </c>
      <c r="X589" s="149" t="n">
        <f aca="false">X588+'Volumes por intervalo'!M588</f>
        <v>138339.5</v>
      </c>
      <c r="Y589" s="149" t="n">
        <f aca="false">Y588+'Volumes por intervalo'!N588</f>
        <v>138339.5</v>
      </c>
      <c r="Z589" s="149" t="n">
        <f aca="false">Z588+'Volumes por intervalo'!O588</f>
        <v>158429.099999998</v>
      </c>
      <c r="AA589" s="149" t="n">
        <f aca="false">AA588+'Volumes por intervalo'!P588</f>
        <v>0</v>
      </c>
      <c r="AB589" s="149" t="n">
        <f aca="false">AB588+'Volumes por intervalo'!Q588</f>
        <v>0</v>
      </c>
      <c r="AC589" s="149" t="n">
        <f aca="false">AC588+'Volumes por intervalo'!R588</f>
        <v>0</v>
      </c>
      <c r="AD589" s="149" t="n">
        <f aca="false">AD588+'Volumes por intervalo'!S588</f>
        <v>0</v>
      </c>
    </row>
    <row r="590" customFormat="false" ht="15" hidden="false" customHeight="false" outlineLevel="0" collapsed="false">
      <c r="A590" s="138" t="s">
        <v>2258</v>
      </c>
      <c r="B590" s="146" t="n">
        <v>585</v>
      </c>
      <c r="C590" s="144" t="n">
        <v>11700</v>
      </c>
      <c r="D590" s="138" t="s">
        <v>1594</v>
      </c>
      <c r="E590" s="138" t="s">
        <v>1566</v>
      </c>
      <c r="F590" s="147" t="n">
        <v>11</v>
      </c>
      <c r="G590" s="148" t="n">
        <v>0</v>
      </c>
      <c r="H590" s="148" t="n">
        <v>0</v>
      </c>
      <c r="I590" s="138" t="s">
        <v>1642</v>
      </c>
      <c r="J590" s="138"/>
      <c r="K590" s="146" t="n">
        <f aca="false">Parâmetros!$C$4*(F590+2*Parâmetros!$D$4+Parâmetros!$C$4*Parâmetros!$E$4)</f>
        <v>0.5525</v>
      </c>
      <c r="L590" s="146" t="n">
        <f aca="false">Parâmetros!$C$5*(F590+2*Parâmetros!$D$5+Parâmetros!$C$5*Parâmetros!$E$5)</f>
        <v>1.8176</v>
      </c>
      <c r="M590" s="146" t="n">
        <f aca="false">Parâmetros!$C$6*(F590+2*Parâmetros!$D$6+Parâmetros!$C$6*Parâmetros!$E$6)</f>
        <v>2.384</v>
      </c>
      <c r="N590" s="146" t="n">
        <f aca="false">Parâmetros!$C$7*(F590+2*Parâmetros!$D$7+Parâmetros!$C$7*Parâmetros!$E$7)</f>
        <v>3.786</v>
      </c>
      <c r="O590" s="146" t="n">
        <f aca="false">F590+2*Parâmetros!$D$8</f>
        <v>11.2</v>
      </c>
      <c r="P590" s="146" t="n">
        <f aca="false">F590+2*Parâmetros!$D$10</f>
        <v>12.92</v>
      </c>
      <c r="Q590" s="146" t="n">
        <f aca="false">G590+H590</f>
        <v>0</v>
      </c>
      <c r="S590" s="149" t="n">
        <f aca="false">S589+'Volumes por intervalo'!C589*(F589+F590)/2</f>
        <v>136223.5</v>
      </c>
      <c r="T590" s="149" t="n">
        <f aca="false">T589+'Volumes por intervalo'!H589</f>
        <v>6840.42500000004</v>
      </c>
      <c r="U590" s="149" t="n">
        <f aca="false">U589+'Volumes por intervalo'!J589</f>
        <v>22469.68</v>
      </c>
      <c r="V590" s="149" t="n">
        <f aca="false">V589+'Volumes por intervalo'!K589</f>
        <v>29397.5000000001</v>
      </c>
      <c r="W590" s="149" t="n">
        <f aca="false">W589+'Volumes por intervalo'!L589</f>
        <v>46553.2500000002</v>
      </c>
      <c r="X590" s="149" t="n">
        <f aca="false">X589+'Volumes por intervalo'!M589</f>
        <v>138563.5</v>
      </c>
      <c r="Y590" s="149" t="n">
        <f aca="false">Y589+'Volumes por intervalo'!N589</f>
        <v>138563.5</v>
      </c>
      <c r="Z590" s="149" t="n">
        <f aca="false">Z589+'Volumes por intervalo'!O589</f>
        <v>158687.499999998</v>
      </c>
      <c r="AA590" s="149" t="n">
        <f aca="false">AA589+'Volumes por intervalo'!P589</f>
        <v>0</v>
      </c>
      <c r="AB590" s="149" t="n">
        <f aca="false">AB589+'Volumes por intervalo'!Q589</f>
        <v>0</v>
      </c>
      <c r="AC590" s="149" t="n">
        <f aca="false">AC589+'Volumes por intervalo'!R589</f>
        <v>0</v>
      </c>
      <c r="AD590" s="149" t="n">
        <f aca="false">AD589+'Volumes por intervalo'!S589</f>
        <v>0</v>
      </c>
    </row>
    <row r="591" customFormat="false" ht="15" hidden="false" customHeight="false" outlineLevel="0" collapsed="false">
      <c r="A591" s="138" t="s">
        <v>2259</v>
      </c>
      <c r="B591" s="146" t="n">
        <v>586</v>
      </c>
      <c r="C591" s="144" t="n">
        <v>11720</v>
      </c>
      <c r="D591" s="138" t="s">
        <v>1594</v>
      </c>
      <c r="E591" s="138" t="s">
        <v>1566</v>
      </c>
      <c r="F591" s="147" t="n">
        <v>11</v>
      </c>
      <c r="G591" s="148" t="n">
        <v>0</v>
      </c>
      <c r="H591" s="148" t="n">
        <v>0</v>
      </c>
      <c r="I591" s="138" t="s">
        <v>1642</v>
      </c>
      <c r="J591" s="138"/>
      <c r="K591" s="146" t="n">
        <f aca="false">Parâmetros!$C$4*(F591+2*Parâmetros!$D$4+Parâmetros!$C$4*Parâmetros!$E$4)</f>
        <v>0.5525</v>
      </c>
      <c r="L591" s="146" t="n">
        <f aca="false">Parâmetros!$C$5*(F591+2*Parâmetros!$D$5+Parâmetros!$C$5*Parâmetros!$E$5)</f>
        <v>1.8176</v>
      </c>
      <c r="M591" s="146" t="n">
        <f aca="false">Parâmetros!$C$6*(F591+2*Parâmetros!$D$6+Parâmetros!$C$6*Parâmetros!$E$6)</f>
        <v>2.384</v>
      </c>
      <c r="N591" s="146" t="n">
        <f aca="false">Parâmetros!$C$7*(F591+2*Parâmetros!$D$7+Parâmetros!$C$7*Parâmetros!$E$7)</f>
        <v>3.786</v>
      </c>
      <c r="O591" s="146" t="n">
        <f aca="false">F591+2*Parâmetros!$D$8</f>
        <v>11.2</v>
      </c>
      <c r="P591" s="146" t="n">
        <f aca="false">F591+2*Parâmetros!$D$10</f>
        <v>12.92</v>
      </c>
      <c r="Q591" s="146" t="n">
        <f aca="false">G591+H591</f>
        <v>0</v>
      </c>
      <c r="S591" s="149" t="n">
        <f aca="false">S590+'Volumes por intervalo'!C590*(F590+F591)/2</f>
        <v>136443.5</v>
      </c>
      <c r="T591" s="149" t="n">
        <f aca="false">T590+'Volumes por intervalo'!H590</f>
        <v>6851.47500000004</v>
      </c>
      <c r="U591" s="149" t="n">
        <f aca="false">U590+'Volumes por intervalo'!J590</f>
        <v>22506.032</v>
      </c>
      <c r="V591" s="149" t="n">
        <f aca="false">V590+'Volumes por intervalo'!K590</f>
        <v>29445.1800000001</v>
      </c>
      <c r="W591" s="149" t="n">
        <f aca="false">W590+'Volumes por intervalo'!L590</f>
        <v>46628.9700000002</v>
      </c>
      <c r="X591" s="149" t="n">
        <f aca="false">X590+'Volumes por intervalo'!M590</f>
        <v>138787.5</v>
      </c>
      <c r="Y591" s="149" t="n">
        <f aca="false">Y590+'Volumes por intervalo'!N590</f>
        <v>138787.5</v>
      </c>
      <c r="Z591" s="149" t="n">
        <f aca="false">Z590+'Volumes por intervalo'!O590</f>
        <v>158945.899999998</v>
      </c>
      <c r="AA591" s="149" t="n">
        <f aca="false">AA590+'Volumes por intervalo'!P590</f>
        <v>0</v>
      </c>
      <c r="AB591" s="149" t="n">
        <f aca="false">AB590+'Volumes por intervalo'!Q590</f>
        <v>0</v>
      </c>
      <c r="AC591" s="149" t="n">
        <f aca="false">AC590+'Volumes por intervalo'!R590</f>
        <v>0</v>
      </c>
      <c r="AD591" s="149" t="n">
        <f aca="false">AD590+'Volumes por intervalo'!S590</f>
        <v>0</v>
      </c>
    </row>
    <row r="592" customFormat="false" ht="15" hidden="false" customHeight="false" outlineLevel="0" collapsed="false">
      <c r="A592" s="138" t="s">
        <v>2260</v>
      </c>
      <c r="B592" s="146" t="n">
        <v>587</v>
      </c>
      <c r="C592" s="144" t="n">
        <v>11740</v>
      </c>
      <c r="D592" s="138" t="s">
        <v>1594</v>
      </c>
      <c r="E592" s="138" t="s">
        <v>1566</v>
      </c>
      <c r="F592" s="147" t="n">
        <v>11</v>
      </c>
      <c r="G592" s="148" t="n">
        <v>0</v>
      </c>
      <c r="H592" s="148" t="n">
        <v>0</v>
      </c>
      <c r="I592" s="138" t="s">
        <v>1642</v>
      </c>
      <c r="J592" s="138"/>
      <c r="K592" s="146" t="n">
        <f aca="false">Parâmetros!$C$4*(F592+2*Parâmetros!$D$4+Parâmetros!$C$4*Parâmetros!$E$4)</f>
        <v>0.5525</v>
      </c>
      <c r="L592" s="146" t="n">
        <f aca="false">Parâmetros!$C$5*(F592+2*Parâmetros!$D$5+Parâmetros!$C$5*Parâmetros!$E$5)</f>
        <v>1.8176</v>
      </c>
      <c r="M592" s="146" t="n">
        <f aca="false">Parâmetros!$C$6*(F592+2*Parâmetros!$D$6+Parâmetros!$C$6*Parâmetros!$E$6)</f>
        <v>2.384</v>
      </c>
      <c r="N592" s="146" t="n">
        <f aca="false">Parâmetros!$C$7*(F592+2*Parâmetros!$D$7+Parâmetros!$C$7*Parâmetros!$E$7)</f>
        <v>3.786</v>
      </c>
      <c r="O592" s="146" t="n">
        <f aca="false">F592+2*Parâmetros!$D$8</f>
        <v>11.2</v>
      </c>
      <c r="P592" s="146" t="n">
        <f aca="false">F592+2*Parâmetros!$D$10</f>
        <v>12.92</v>
      </c>
      <c r="Q592" s="146" t="n">
        <f aca="false">G592+H592</f>
        <v>0</v>
      </c>
      <c r="S592" s="149" t="n">
        <f aca="false">S591+'Volumes por intervalo'!C591*(F591+F592)/2</f>
        <v>136663.5</v>
      </c>
      <c r="T592" s="149" t="n">
        <f aca="false">T591+'Volumes por intervalo'!H591</f>
        <v>6862.52500000004</v>
      </c>
      <c r="U592" s="149" t="n">
        <f aca="false">U591+'Volumes por intervalo'!J591</f>
        <v>22542.384</v>
      </c>
      <c r="V592" s="149" t="n">
        <f aca="false">V591+'Volumes por intervalo'!K591</f>
        <v>29492.8600000001</v>
      </c>
      <c r="W592" s="149" t="n">
        <f aca="false">W591+'Volumes por intervalo'!L591</f>
        <v>46704.6900000002</v>
      </c>
      <c r="X592" s="149" t="n">
        <f aca="false">X591+'Volumes por intervalo'!M591</f>
        <v>139011.5</v>
      </c>
      <c r="Y592" s="149" t="n">
        <f aca="false">Y591+'Volumes por intervalo'!N591</f>
        <v>139011.5</v>
      </c>
      <c r="Z592" s="149" t="n">
        <f aca="false">Z591+'Volumes por intervalo'!O591</f>
        <v>159204.299999998</v>
      </c>
      <c r="AA592" s="149" t="n">
        <f aca="false">AA591+'Volumes por intervalo'!P591</f>
        <v>0</v>
      </c>
      <c r="AB592" s="149" t="n">
        <f aca="false">AB591+'Volumes por intervalo'!Q591</f>
        <v>0</v>
      </c>
      <c r="AC592" s="149" t="n">
        <f aca="false">AC591+'Volumes por intervalo'!R591</f>
        <v>0</v>
      </c>
      <c r="AD592" s="149" t="n">
        <f aca="false">AD591+'Volumes por intervalo'!S591</f>
        <v>0</v>
      </c>
    </row>
    <row r="593" customFormat="false" ht="15" hidden="false" customHeight="false" outlineLevel="0" collapsed="false">
      <c r="A593" s="138" t="s">
        <v>2261</v>
      </c>
      <c r="B593" s="146" t="n">
        <v>588</v>
      </c>
      <c r="C593" s="144" t="n">
        <v>11760</v>
      </c>
      <c r="D593" s="138" t="s">
        <v>1594</v>
      </c>
      <c r="E593" s="138" t="s">
        <v>1566</v>
      </c>
      <c r="F593" s="147" t="n">
        <v>11</v>
      </c>
      <c r="G593" s="148" t="n">
        <v>0</v>
      </c>
      <c r="H593" s="148" t="n">
        <v>0</v>
      </c>
      <c r="I593" s="138" t="s">
        <v>1642</v>
      </c>
      <c r="J593" s="138"/>
      <c r="K593" s="146" t="n">
        <f aca="false">Parâmetros!$C$4*(F593+2*Parâmetros!$D$4+Parâmetros!$C$4*Parâmetros!$E$4)</f>
        <v>0.5525</v>
      </c>
      <c r="L593" s="146" t="n">
        <f aca="false">Parâmetros!$C$5*(F593+2*Parâmetros!$D$5+Parâmetros!$C$5*Parâmetros!$E$5)</f>
        <v>1.8176</v>
      </c>
      <c r="M593" s="146" t="n">
        <f aca="false">Parâmetros!$C$6*(F593+2*Parâmetros!$D$6+Parâmetros!$C$6*Parâmetros!$E$6)</f>
        <v>2.384</v>
      </c>
      <c r="N593" s="146" t="n">
        <f aca="false">Parâmetros!$C$7*(F593+2*Parâmetros!$D$7+Parâmetros!$C$7*Parâmetros!$E$7)</f>
        <v>3.786</v>
      </c>
      <c r="O593" s="146" t="n">
        <f aca="false">F593+2*Parâmetros!$D$8</f>
        <v>11.2</v>
      </c>
      <c r="P593" s="146" t="n">
        <f aca="false">F593+2*Parâmetros!$D$10</f>
        <v>12.92</v>
      </c>
      <c r="Q593" s="146" t="n">
        <f aca="false">G593+H593</f>
        <v>0</v>
      </c>
      <c r="S593" s="149" t="n">
        <f aca="false">S592+'Volumes por intervalo'!C592*(F592+F593)/2</f>
        <v>136883.5</v>
      </c>
      <c r="T593" s="149" t="n">
        <f aca="false">T592+'Volumes por intervalo'!H592</f>
        <v>6873.57500000004</v>
      </c>
      <c r="U593" s="149" t="n">
        <f aca="false">U592+'Volumes por intervalo'!J592</f>
        <v>22578.736</v>
      </c>
      <c r="V593" s="149" t="n">
        <f aca="false">V592+'Volumes por intervalo'!K592</f>
        <v>29540.5400000001</v>
      </c>
      <c r="W593" s="149" t="n">
        <f aca="false">W592+'Volumes por intervalo'!L592</f>
        <v>46780.4100000002</v>
      </c>
      <c r="X593" s="149" t="n">
        <f aca="false">X592+'Volumes por intervalo'!M592</f>
        <v>139235.5</v>
      </c>
      <c r="Y593" s="149" t="n">
        <f aca="false">Y592+'Volumes por intervalo'!N592</f>
        <v>139235.5</v>
      </c>
      <c r="Z593" s="149" t="n">
        <f aca="false">Z592+'Volumes por intervalo'!O592</f>
        <v>159462.699999998</v>
      </c>
      <c r="AA593" s="149" t="n">
        <f aca="false">AA592+'Volumes por intervalo'!P592</f>
        <v>0</v>
      </c>
      <c r="AB593" s="149" t="n">
        <f aca="false">AB592+'Volumes por intervalo'!Q592</f>
        <v>0</v>
      </c>
      <c r="AC593" s="149" t="n">
        <f aca="false">AC592+'Volumes por intervalo'!R592</f>
        <v>0</v>
      </c>
      <c r="AD593" s="149" t="n">
        <f aca="false">AD592+'Volumes por intervalo'!S592</f>
        <v>0</v>
      </c>
    </row>
    <row r="594" customFormat="false" ht="15" hidden="false" customHeight="false" outlineLevel="0" collapsed="false">
      <c r="A594" s="138" t="s">
        <v>2262</v>
      </c>
      <c r="B594" s="146" t="n">
        <v>589</v>
      </c>
      <c r="C594" s="144" t="n">
        <v>11780</v>
      </c>
      <c r="D594" s="138" t="s">
        <v>1594</v>
      </c>
      <c r="E594" s="138" t="s">
        <v>1566</v>
      </c>
      <c r="F594" s="147" t="n">
        <v>11</v>
      </c>
      <c r="G594" s="148" t="n">
        <v>0</v>
      </c>
      <c r="H594" s="148" t="n">
        <v>0</v>
      </c>
      <c r="I594" s="138" t="s">
        <v>1642</v>
      </c>
      <c r="J594" s="138"/>
      <c r="K594" s="146" t="n">
        <f aca="false">Parâmetros!$C$4*(F594+2*Parâmetros!$D$4+Parâmetros!$C$4*Parâmetros!$E$4)</f>
        <v>0.5525</v>
      </c>
      <c r="L594" s="146" t="n">
        <f aca="false">Parâmetros!$C$5*(F594+2*Parâmetros!$D$5+Parâmetros!$C$5*Parâmetros!$E$5)</f>
        <v>1.8176</v>
      </c>
      <c r="M594" s="146" t="n">
        <f aca="false">Parâmetros!$C$6*(F594+2*Parâmetros!$D$6+Parâmetros!$C$6*Parâmetros!$E$6)</f>
        <v>2.384</v>
      </c>
      <c r="N594" s="146" t="n">
        <f aca="false">Parâmetros!$C$7*(F594+2*Parâmetros!$D$7+Parâmetros!$C$7*Parâmetros!$E$7)</f>
        <v>3.786</v>
      </c>
      <c r="O594" s="146" t="n">
        <f aca="false">F594+2*Parâmetros!$D$8</f>
        <v>11.2</v>
      </c>
      <c r="P594" s="146" t="n">
        <f aca="false">F594+2*Parâmetros!$D$10</f>
        <v>12.92</v>
      </c>
      <c r="Q594" s="146" t="n">
        <f aca="false">G594+H594</f>
        <v>0</v>
      </c>
      <c r="S594" s="149" t="n">
        <f aca="false">S593+'Volumes por intervalo'!C593*(F593+F594)/2</f>
        <v>137103.5</v>
      </c>
      <c r="T594" s="149" t="n">
        <f aca="false">T593+'Volumes por intervalo'!H593</f>
        <v>6884.62500000004</v>
      </c>
      <c r="U594" s="149" t="n">
        <f aca="false">U593+'Volumes por intervalo'!J593</f>
        <v>22615.088</v>
      </c>
      <c r="V594" s="149" t="n">
        <f aca="false">V593+'Volumes por intervalo'!K593</f>
        <v>29588.2200000001</v>
      </c>
      <c r="W594" s="149" t="n">
        <f aca="false">W593+'Volumes por intervalo'!L593</f>
        <v>46856.1300000002</v>
      </c>
      <c r="X594" s="149" t="n">
        <f aca="false">X593+'Volumes por intervalo'!M593</f>
        <v>139459.5</v>
      </c>
      <c r="Y594" s="149" t="n">
        <f aca="false">Y593+'Volumes por intervalo'!N593</f>
        <v>139459.5</v>
      </c>
      <c r="Z594" s="149" t="n">
        <f aca="false">Z593+'Volumes por intervalo'!O593</f>
        <v>159721.099999998</v>
      </c>
      <c r="AA594" s="149" t="n">
        <f aca="false">AA593+'Volumes por intervalo'!P593</f>
        <v>0</v>
      </c>
      <c r="AB594" s="149" t="n">
        <f aca="false">AB593+'Volumes por intervalo'!Q593</f>
        <v>0</v>
      </c>
      <c r="AC594" s="149" t="n">
        <f aca="false">AC593+'Volumes por intervalo'!R593</f>
        <v>0</v>
      </c>
      <c r="AD594" s="149" t="n">
        <f aca="false">AD593+'Volumes por intervalo'!S593</f>
        <v>0</v>
      </c>
    </row>
    <row r="595" customFormat="false" ht="15" hidden="false" customHeight="false" outlineLevel="0" collapsed="false">
      <c r="A595" s="138" t="s">
        <v>2263</v>
      </c>
      <c r="B595" s="146" t="n">
        <v>590</v>
      </c>
      <c r="C595" s="144" t="n">
        <v>11800</v>
      </c>
      <c r="D595" s="138" t="s">
        <v>1594</v>
      </c>
      <c r="E595" s="138" t="s">
        <v>1566</v>
      </c>
      <c r="F595" s="147" t="n">
        <v>11</v>
      </c>
      <c r="G595" s="148" t="n">
        <v>0</v>
      </c>
      <c r="H595" s="148" t="n">
        <v>0</v>
      </c>
      <c r="I595" s="138" t="s">
        <v>1642</v>
      </c>
      <c r="J595" s="138"/>
      <c r="K595" s="146" t="n">
        <f aca="false">Parâmetros!$C$4*(F595+2*Parâmetros!$D$4+Parâmetros!$C$4*Parâmetros!$E$4)</f>
        <v>0.5525</v>
      </c>
      <c r="L595" s="146" t="n">
        <f aca="false">Parâmetros!$C$5*(F595+2*Parâmetros!$D$5+Parâmetros!$C$5*Parâmetros!$E$5)</f>
        <v>1.8176</v>
      </c>
      <c r="M595" s="146" t="n">
        <f aca="false">Parâmetros!$C$6*(F595+2*Parâmetros!$D$6+Parâmetros!$C$6*Parâmetros!$E$6)</f>
        <v>2.384</v>
      </c>
      <c r="N595" s="146" t="n">
        <f aca="false">Parâmetros!$C$7*(F595+2*Parâmetros!$D$7+Parâmetros!$C$7*Parâmetros!$E$7)</f>
        <v>3.786</v>
      </c>
      <c r="O595" s="146" t="n">
        <f aca="false">F595+2*Parâmetros!$D$8</f>
        <v>11.2</v>
      </c>
      <c r="P595" s="146" t="n">
        <f aca="false">F595+2*Parâmetros!$D$10</f>
        <v>12.92</v>
      </c>
      <c r="Q595" s="146" t="n">
        <f aca="false">G595+H595</f>
        <v>0</v>
      </c>
      <c r="S595" s="149" t="n">
        <f aca="false">S594+'Volumes por intervalo'!C594*(F594+F595)/2</f>
        <v>137323.5</v>
      </c>
      <c r="T595" s="149" t="n">
        <f aca="false">T594+'Volumes por intervalo'!H594</f>
        <v>6895.67500000004</v>
      </c>
      <c r="U595" s="149" t="n">
        <f aca="false">U594+'Volumes por intervalo'!J594</f>
        <v>22651.44</v>
      </c>
      <c r="V595" s="149" t="n">
        <f aca="false">V594+'Volumes por intervalo'!K594</f>
        <v>29635.9000000001</v>
      </c>
      <c r="W595" s="149" t="n">
        <f aca="false">W594+'Volumes por intervalo'!L594</f>
        <v>46931.8500000002</v>
      </c>
      <c r="X595" s="149" t="n">
        <f aca="false">X594+'Volumes por intervalo'!M594</f>
        <v>139683.5</v>
      </c>
      <c r="Y595" s="149" t="n">
        <f aca="false">Y594+'Volumes por intervalo'!N594</f>
        <v>139683.5</v>
      </c>
      <c r="Z595" s="149" t="n">
        <f aca="false">Z594+'Volumes por intervalo'!O594</f>
        <v>159979.499999998</v>
      </c>
      <c r="AA595" s="149" t="n">
        <f aca="false">AA594+'Volumes por intervalo'!P594</f>
        <v>0</v>
      </c>
      <c r="AB595" s="149" t="n">
        <f aca="false">AB594+'Volumes por intervalo'!Q594</f>
        <v>0</v>
      </c>
      <c r="AC595" s="149" t="n">
        <f aca="false">AC594+'Volumes por intervalo'!R594</f>
        <v>0</v>
      </c>
      <c r="AD595" s="149" t="n">
        <f aca="false">AD594+'Volumes por intervalo'!S594</f>
        <v>0</v>
      </c>
    </row>
    <row r="596" customFormat="false" ht="15" hidden="false" customHeight="false" outlineLevel="0" collapsed="false">
      <c r="A596" s="138" t="s">
        <v>2264</v>
      </c>
      <c r="B596" s="146" t="n">
        <v>591</v>
      </c>
      <c r="C596" s="144" t="n">
        <v>11820</v>
      </c>
      <c r="D596" s="138" t="s">
        <v>1594</v>
      </c>
      <c r="E596" s="138" t="s">
        <v>1566</v>
      </c>
      <c r="F596" s="147" t="n">
        <v>11.8</v>
      </c>
      <c r="G596" s="148" t="n">
        <v>0</v>
      </c>
      <c r="H596" s="148" t="n">
        <v>0</v>
      </c>
      <c r="I596" s="138" t="s">
        <v>1642</v>
      </c>
      <c r="J596" s="138"/>
      <c r="K596" s="146" t="n">
        <f aca="false">Parâmetros!$C$4*(F596+2*Parâmetros!$D$4+Parâmetros!$C$4*Parâmetros!$E$4)</f>
        <v>0.5925</v>
      </c>
      <c r="L596" s="146" t="n">
        <f aca="false">Parâmetros!$C$5*(F596+2*Parâmetros!$D$5+Parâmetros!$C$5*Parâmetros!$E$5)</f>
        <v>1.9456</v>
      </c>
      <c r="M596" s="146" t="n">
        <f aca="false">Parâmetros!$C$6*(F596+2*Parâmetros!$D$6+Parâmetros!$C$6*Parâmetros!$E$6)</f>
        <v>2.544</v>
      </c>
      <c r="N596" s="146" t="n">
        <f aca="false">Parâmetros!$C$7*(F596+2*Parâmetros!$D$7+Parâmetros!$C$7*Parâmetros!$E$7)</f>
        <v>4.026</v>
      </c>
      <c r="O596" s="146" t="n">
        <f aca="false">F596+2*Parâmetros!$D$8</f>
        <v>12</v>
      </c>
      <c r="P596" s="146" t="n">
        <f aca="false">F596+2*Parâmetros!$D$10</f>
        <v>13.72</v>
      </c>
      <c r="Q596" s="146" t="n">
        <f aca="false">G596+H596</f>
        <v>0</v>
      </c>
      <c r="S596" s="149" t="n">
        <f aca="false">S595+'Volumes por intervalo'!C595*(F595+F596)/2</f>
        <v>137551.5</v>
      </c>
      <c r="T596" s="149" t="n">
        <f aca="false">T595+'Volumes por intervalo'!H595</f>
        <v>6907.12500000004</v>
      </c>
      <c r="U596" s="149" t="n">
        <f aca="false">U595+'Volumes por intervalo'!J595</f>
        <v>22689.072</v>
      </c>
      <c r="V596" s="149" t="n">
        <f aca="false">V595+'Volumes por intervalo'!K595</f>
        <v>29685.1800000001</v>
      </c>
      <c r="W596" s="149" t="n">
        <f aca="false">W595+'Volumes por intervalo'!L595</f>
        <v>47009.9700000002</v>
      </c>
      <c r="X596" s="149" t="n">
        <f aca="false">X595+'Volumes por intervalo'!M595</f>
        <v>139915.5</v>
      </c>
      <c r="Y596" s="149" t="n">
        <f aca="false">Y595+'Volumes por intervalo'!N595</f>
        <v>139915.5</v>
      </c>
      <c r="Z596" s="149" t="n">
        <f aca="false">Z595+'Volumes por intervalo'!O595</f>
        <v>160245.899999998</v>
      </c>
      <c r="AA596" s="149" t="n">
        <f aca="false">AA595+'Volumes por intervalo'!P595</f>
        <v>0</v>
      </c>
      <c r="AB596" s="149" t="n">
        <f aca="false">AB595+'Volumes por intervalo'!Q595</f>
        <v>0</v>
      </c>
      <c r="AC596" s="149" t="n">
        <f aca="false">AC595+'Volumes por intervalo'!R595</f>
        <v>0</v>
      </c>
      <c r="AD596" s="149" t="n">
        <f aca="false">AD595+'Volumes por intervalo'!S595</f>
        <v>0</v>
      </c>
    </row>
    <row r="597" customFormat="false" ht="15" hidden="false" customHeight="false" outlineLevel="0" collapsed="false">
      <c r="A597" s="138" t="s">
        <v>2265</v>
      </c>
      <c r="B597" s="146" t="n">
        <v>592</v>
      </c>
      <c r="C597" s="144" t="n">
        <v>11840</v>
      </c>
      <c r="D597" s="138" t="s">
        <v>1594</v>
      </c>
      <c r="E597" s="138" t="s">
        <v>1566</v>
      </c>
      <c r="F597" s="147" t="n">
        <v>11</v>
      </c>
      <c r="G597" s="148" t="n">
        <v>0</v>
      </c>
      <c r="H597" s="148" t="n">
        <v>0</v>
      </c>
      <c r="I597" s="138" t="s">
        <v>1642</v>
      </c>
      <c r="J597" s="138"/>
      <c r="K597" s="146" t="n">
        <f aca="false">Parâmetros!$C$4*(F597+2*Parâmetros!$D$4+Parâmetros!$C$4*Parâmetros!$E$4)</f>
        <v>0.5525</v>
      </c>
      <c r="L597" s="146" t="n">
        <f aca="false">Parâmetros!$C$5*(F597+2*Parâmetros!$D$5+Parâmetros!$C$5*Parâmetros!$E$5)</f>
        <v>1.8176</v>
      </c>
      <c r="M597" s="146" t="n">
        <f aca="false">Parâmetros!$C$6*(F597+2*Parâmetros!$D$6+Parâmetros!$C$6*Parâmetros!$E$6)</f>
        <v>2.384</v>
      </c>
      <c r="N597" s="146" t="n">
        <f aca="false">Parâmetros!$C$7*(F597+2*Parâmetros!$D$7+Parâmetros!$C$7*Parâmetros!$E$7)</f>
        <v>3.786</v>
      </c>
      <c r="O597" s="146" t="n">
        <f aca="false">F597+2*Parâmetros!$D$8</f>
        <v>11.2</v>
      </c>
      <c r="P597" s="146" t="n">
        <f aca="false">F597+2*Parâmetros!$D$10</f>
        <v>12.92</v>
      </c>
      <c r="Q597" s="146" t="n">
        <f aca="false">G597+H597</f>
        <v>0</v>
      </c>
      <c r="S597" s="149" t="n">
        <f aca="false">S596+'Volumes por intervalo'!C596*(F596+F597)/2</f>
        <v>137779.5</v>
      </c>
      <c r="T597" s="149" t="n">
        <f aca="false">T596+'Volumes por intervalo'!H596</f>
        <v>6918.57500000004</v>
      </c>
      <c r="U597" s="149" t="n">
        <f aca="false">U596+'Volumes por intervalo'!J596</f>
        <v>22726.704</v>
      </c>
      <c r="V597" s="149" t="n">
        <f aca="false">V596+'Volumes por intervalo'!K596</f>
        <v>29734.4600000001</v>
      </c>
      <c r="W597" s="149" t="n">
        <f aca="false">W596+'Volumes por intervalo'!L596</f>
        <v>47088.0900000002</v>
      </c>
      <c r="X597" s="149" t="n">
        <f aca="false">X596+'Volumes por intervalo'!M596</f>
        <v>140147.5</v>
      </c>
      <c r="Y597" s="149" t="n">
        <f aca="false">Y596+'Volumes por intervalo'!N596</f>
        <v>140147.5</v>
      </c>
      <c r="Z597" s="149" t="n">
        <f aca="false">Z596+'Volumes por intervalo'!O596</f>
        <v>160512.299999998</v>
      </c>
      <c r="AA597" s="149" t="n">
        <f aca="false">AA596+'Volumes por intervalo'!P596</f>
        <v>0</v>
      </c>
      <c r="AB597" s="149" t="n">
        <f aca="false">AB596+'Volumes por intervalo'!Q596</f>
        <v>0</v>
      </c>
      <c r="AC597" s="149" t="n">
        <f aca="false">AC596+'Volumes por intervalo'!R596</f>
        <v>0</v>
      </c>
      <c r="AD597" s="149" t="n">
        <f aca="false">AD596+'Volumes por intervalo'!S596</f>
        <v>0</v>
      </c>
    </row>
    <row r="598" customFormat="false" ht="15" hidden="false" customHeight="false" outlineLevel="0" collapsed="false">
      <c r="A598" s="138" t="s">
        <v>2266</v>
      </c>
      <c r="B598" s="146" t="n">
        <v>593</v>
      </c>
      <c r="C598" s="144" t="n">
        <v>11860</v>
      </c>
      <c r="D598" s="138" t="s">
        <v>1594</v>
      </c>
      <c r="E598" s="138" t="s">
        <v>1566</v>
      </c>
      <c r="F598" s="147" t="n">
        <v>11</v>
      </c>
      <c r="G598" s="148" t="n">
        <v>0</v>
      </c>
      <c r="H598" s="148" t="n">
        <v>0</v>
      </c>
      <c r="I598" s="138" t="s">
        <v>1642</v>
      </c>
      <c r="J598" s="138"/>
      <c r="K598" s="146" t="n">
        <f aca="false">Parâmetros!$C$4*(F598+2*Parâmetros!$D$4+Parâmetros!$C$4*Parâmetros!$E$4)</f>
        <v>0.5525</v>
      </c>
      <c r="L598" s="146" t="n">
        <f aca="false">Parâmetros!$C$5*(F598+2*Parâmetros!$D$5+Parâmetros!$C$5*Parâmetros!$E$5)</f>
        <v>1.8176</v>
      </c>
      <c r="M598" s="146" t="n">
        <f aca="false">Parâmetros!$C$6*(F598+2*Parâmetros!$D$6+Parâmetros!$C$6*Parâmetros!$E$6)</f>
        <v>2.384</v>
      </c>
      <c r="N598" s="146" t="n">
        <f aca="false">Parâmetros!$C$7*(F598+2*Parâmetros!$D$7+Parâmetros!$C$7*Parâmetros!$E$7)</f>
        <v>3.786</v>
      </c>
      <c r="O598" s="146" t="n">
        <f aca="false">F598+2*Parâmetros!$D$8</f>
        <v>11.2</v>
      </c>
      <c r="P598" s="146" t="n">
        <f aca="false">F598+2*Parâmetros!$D$10</f>
        <v>12.92</v>
      </c>
      <c r="Q598" s="146" t="n">
        <f aca="false">G598+H598</f>
        <v>0</v>
      </c>
      <c r="S598" s="149" t="n">
        <f aca="false">S597+'Volumes por intervalo'!C597*(F597+F598)/2</f>
        <v>137999.5</v>
      </c>
      <c r="T598" s="149" t="n">
        <f aca="false">T597+'Volumes por intervalo'!H597</f>
        <v>6929.62500000004</v>
      </c>
      <c r="U598" s="149" t="n">
        <f aca="false">U597+'Volumes por intervalo'!J597</f>
        <v>22763.056</v>
      </c>
      <c r="V598" s="149" t="n">
        <f aca="false">V597+'Volumes por intervalo'!K597</f>
        <v>29782.1400000001</v>
      </c>
      <c r="W598" s="149" t="n">
        <f aca="false">W597+'Volumes por intervalo'!L597</f>
        <v>47163.8100000002</v>
      </c>
      <c r="X598" s="149" t="n">
        <f aca="false">X597+'Volumes por intervalo'!M597</f>
        <v>140371.5</v>
      </c>
      <c r="Y598" s="149" t="n">
        <f aca="false">Y597+'Volumes por intervalo'!N597</f>
        <v>140371.5</v>
      </c>
      <c r="Z598" s="149" t="n">
        <f aca="false">Z597+'Volumes por intervalo'!O597</f>
        <v>160770.699999998</v>
      </c>
      <c r="AA598" s="149" t="n">
        <f aca="false">AA597+'Volumes por intervalo'!P597</f>
        <v>0</v>
      </c>
      <c r="AB598" s="149" t="n">
        <f aca="false">AB597+'Volumes por intervalo'!Q597</f>
        <v>0</v>
      </c>
      <c r="AC598" s="149" t="n">
        <f aca="false">AC597+'Volumes por intervalo'!R597</f>
        <v>0</v>
      </c>
      <c r="AD598" s="149" t="n">
        <f aca="false">AD597+'Volumes por intervalo'!S597</f>
        <v>0</v>
      </c>
    </row>
    <row r="599" customFormat="false" ht="15" hidden="false" customHeight="false" outlineLevel="0" collapsed="false">
      <c r="A599" s="138" t="s">
        <v>2267</v>
      </c>
      <c r="B599" s="146" t="n">
        <v>594</v>
      </c>
      <c r="C599" s="144" t="n">
        <v>11880</v>
      </c>
      <c r="D599" s="138" t="s">
        <v>1594</v>
      </c>
      <c r="E599" s="138" t="s">
        <v>1566</v>
      </c>
      <c r="F599" s="147" t="n">
        <v>11</v>
      </c>
      <c r="G599" s="148" t="n">
        <v>0</v>
      </c>
      <c r="H599" s="148" t="n">
        <v>0</v>
      </c>
      <c r="I599" s="138" t="s">
        <v>1642</v>
      </c>
      <c r="J599" s="138"/>
      <c r="K599" s="146" t="n">
        <f aca="false">Parâmetros!$C$4*(F599+2*Parâmetros!$D$4+Parâmetros!$C$4*Parâmetros!$E$4)</f>
        <v>0.5525</v>
      </c>
      <c r="L599" s="146" t="n">
        <f aca="false">Parâmetros!$C$5*(F599+2*Parâmetros!$D$5+Parâmetros!$C$5*Parâmetros!$E$5)</f>
        <v>1.8176</v>
      </c>
      <c r="M599" s="146" t="n">
        <f aca="false">Parâmetros!$C$6*(F599+2*Parâmetros!$D$6+Parâmetros!$C$6*Parâmetros!$E$6)</f>
        <v>2.384</v>
      </c>
      <c r="N599" s="146" t="n">
        <f aca="false">Parâmetros!$C$7*(F599+2*Parâmetros!$D$7+Parâmetros!$C$7*Parâmetros!$E$7)</f>
        <v>3.786</v>
      </c>
      <c r="O599" s="146" t="n">
        <f aca="false">F599+2*Parâmetros!$D$8</f>
        <v>11.2</v>
      </c>
      <c r="P599" s="146" t="n">
        <f aca="false">F599+2*Parâmetros!$D$10</f>
        <v>12.92</v>
      </c>
      <c r="Q599" s="146" t="n">
        <f aca="false">G599+H599</f>
        <v>0</v>
      </c>
      <c r="S599" s="149" t="n">
        <f aca="false">S598+'Volumes por intervalo'!C598*(F598+F599)/2</f>
        <v>138219.5</v>
      </c>
      <c r="T599" s="149" t="n">
        <f aca="false">T598+'Volumes por intervalo'!H598</f>
        <v>6940.67500000004</v>
      </c>
      <c r="U599" s="149" t="n">
        <f aca="false">U598+'Volumes por intervalo'!J598</f>
        <v>22799.408</v>
      </c>
      <c r="V599" s="149" t="n">
        <f aca="false">V598+'Volumes por intervalo'!K598</f>
        <v>29829.8200000001</v>
      </c>
      <c r="W599" s="149" t="n">
        <f aca="false">W598+'Volumes por intervalo'!L598</f>
        <v>47239.5300000002</v>
      </c>
      <c r="X599" s="149" t="n">
        <f aca="false">X598+'Volumes por intervalo'!M598</f>
        <v>140595.5</v>
      </c>
      <c r="Y599" s="149" t="n">
        <f aca="false">Y598+'Volumes por intervalo'!N598</f>
        <v>140595.5</v>
      </c>
      <c r="Z599" s="149" t="n">
        <f aca="false">Z598+'Volumes por intervalo'!O598</f>
        <v>161029.099999998</v>
      </c>
      <c r="AA599" s="149" t="n">
        <f aca="false">AA598+'Volumes por intervalo'!P598</f>
        <v>0</v>
      </c>
      <c r="AB599" s="149" t="n">
        <f aca="false">AB598+'Volumes por intervalo'!Q598</f>
        <v>0</v>
      </c>
      <c r="AC599" s="149" t="n">
        <f aca="false">AC598+'Volumes por intervalo'!R598</f>
        <v>0</v>
      </c>
      <c r="AD599" s="149" t="n">
        <f aca="false">AD598+'Volumes por intervalo'!S598</f>
        <v>0</v>
      </c>
    </row>
    <row r="600" customFormat="false" ht="15" hidden="false" customHeight="false" outlineLevel="0" collapsed="false">
      <c r="A600" s="138" t="s">
        <v>2268</v>
      </c>
      <c r="B600" s="146" t="n">
        <v>595</v>
      </c>
      <c r="C600" s="144" t="n">
        <v>11900</v>
      </c>
      <c r="D600" s="138" t="s">
        <v>1594</v>
      </c>
      <c r="E600" s="138" t="s">
        <v>1566</v>
      </c>
      <c r="F600" s="147" t="n">
        <v>11</v>
      </c>
      <c r="G600" s="148" t="n">
        <v>0</v>
      </c>
      <c r="H600" s="148" t="n">
        <v>0</v>
      </c>
      <c r="I600" s="138" t="s">
        <v>1642</v>
      </c>
      <c r="J600" s="138"/>
      <c r="K600" s="146" t="n">
        <f aca="false">Parâmetros!$C$4*(F600+2*Parâmetros!$D$4+Parâmetros!$C$4*Parâmetros!$E$4)</f>
        <v>0.5525</v>
      </c>
      <c r="L600" s="146" t="n">
        <f aca="false">Parâmetros!$C$5*(F600+2*Parâmetros!$D$5+Parâmetros!$C$5*Parâmetros!$E$5)</f>
        <v>1.8176</v>
      </c>
      <c r="M600" s="146" t="n">
        <f aca="false">Parâmetros!$C$6*(F600+2*Parâmetros!$D$6+Parâmetros!$C$6*Parâmetros!$E$6)</f>
        <v>2.384</v>
      </c>
      <c r="N600" s="146" t="n">
        <f aca="false">Parâmetros!$C$7*(F600+2*Parâmetros!$D$7+Parâmetros!$C$7*Parâmetros!$E$7)</f>
        <v>3.786</v>
      </c>
      <c r="O600" s="146" t="n">
        <f aca="false">F600+2*Parâmetros!$D$8</f>
        <v>11.2</v>
      </c>
      <c r="P600" s="146" t="n">
        <f aca="false">F600+2*Parâmetros!$D$10</f>
        <v>12.92</v>
      </c>
      <c r="Q600" s="146" t="n">
        <f aca="false">G600+H600</f>
        <v>0</v>
      </c>
      <c r="S600" s="149" t="n">
        <f aca="false">S599+'Volumes por intervalo'!C599*(F599+F600)/2</f>
        <v>138439.5</v>
      </c>
      <c r="T600" s="149" t="n">
        <f aca="false">T599+'Volumes por intervalo'!H599</f>
        <v>6951.72500000004</v>
      </c>
      <c r="U600" s="149" t="n">
        <f aca="false">U599+'Volumes por intervalo'!J599</f>
        <v>22835.76</v>
      </c>
      <c r="V600" s="149" t="n">
        <f aca="false">V599+'Volumes por intervalo'!K599</f>
        <v>29877.5000000001</v>
      </c>
      <c r="W600" s="149" t="n">
        <f aca="false">W599+'Volumes por intervalo'!L599</f>
        <v>47315.2500000002</v>
      </c>
      <c r="X600" s="149" t="n">
        <f aca="false">X599+'Volumes por intervalo'!M599</f>
        <v>140819.5</v>
      </c>
      <c r="Y600" s="149" t="n">
        <f aca="false">Y599+'Volumes por intervalo'!N599</f>
        <v>140819.5</v>
      </c>
      <c r="Z600" s="149" t="n">
        <f aca="false">Z599+'Volumes por intervalo'!O599</f>
        <v>161287.499999998</v>
      </c>
      <c r="AA600" s="149" t="n">
        <f aca="false">AA599+'Volumes por intervalo'!P599</f>
        <v>0</v>
      </c>
      <c r="AB600" s="149" t="n">
        <f aca="false">AB599+'Volumes por intervalo'!Q599</f>
        <v>0</v>
      </c>
      <c r="AC600" s="149" t="n">
        <f aca="false">AC599+'Volumes por intervalo'!R599</f>
        <v>0</v>
      </c>
      <c r="AD600" s="149" t="n">
        <f aca="false">AD599+'Volumes por intervalo'!S599</f>
        <v>0</v>
      </c>
    </row>
    <row r="601" customFormat="false" ht="15" hidden="false" customHeight="false" outlineLevel="0" collapsed="false">
      <c r="A601" s="138" t="s">
        <v>2269</v>
      </c>
      <c r="B601" s="146" t="n">
        <v>596</v>
      </c>
      <c r="C601" s="144" t="n">
        <v>11920</v>
      </c>
      <c r="D601" s="138" t="s">
        <v>1594</v>
      </c>
      <c r="E601" s="138" t="s">
        <v>1566</v>
      </c>
      <c r="F601" s="147" t="n">
        <v>11</v>
      </c>
      <c r="G601" s="148" t="n">
        <v>0</v>
      </c>
      <c r="H601" s="148" t="n">
        <v>0</v>
      </c>
      <c r="I601" s="138" t="s">
        <v>1642</v>
      </c>
      <c r="J601" s="138"/>
      <c r="K601" s="146" t="n">
        <f aca="false">Parâmetros!$C$4*(F601+2*Parâmetros!$D$4+Parâmetros!$C$4*Parâmetros!$E$4)</f>
        <v>0.5525</v>
      </c>
      <c r="L601" s="146" t="n">
        <f aca="false">Parâmetros!$C$5*(F601+2*Parâmetros!$D$5+Parâmetros!$C$5*Parâmetros!$E$5)</f>
        <v>1.8176</v>
      </c>
      <c r="M601" s="146" t="n">
        <f aca="false">Parâmetros!$C$6*(F601+2*Parâmetros!$D$6+Parâmetros!$C$6*Parâmetros!$E$6)</f>
        <v>2.384</v>
      </c>
      <c r="N601" s="146" t="n">
        <f aca="false">Parâmetros!$C$7*(F601+2*Parâmetros!$D$7+Parâmetros!$C$7*Parâmetros!$E$7)</f>
        <v>3.786</v>
      </c>
      <c r="O601" s="146" t="n">
        <f aca="false">F601+2*Parâmetros!$D$8</f>
        <v>11.2</v>
      </c>
      <c r="P601" s="146" t="n">
        <f aca="false">F601+2*Parâmetros!$D$10</f>
        <v>12.92</v>
      </c>
      <c r="Q601" s="146" t="n">
        <f aca="false">G601+H601</f>
        <v>0</v>
      </c>
      <c r="S601" s="149" t="n">
        <f aca="false">S600+'Volumes por intervalo'!C600*(F600+F601)/2</f>
        <v>138659.5</v>
      </c>
      <c r="T601" s="149" t="n">
        <f aca="false">T600+'Volumes por intervalo'!H600</f>
        <v>6962.77500000004</v>
      </c>
      <c r="U601" s="149" t="n">
        <f aca="false">U600+'Volumes por intervalo'!J600</f>
        <v>22872.112</v>
      </c>
      <c r="V601" s="149" t="n">
        <f aca="false">V600+'Volumes por intervalo'!K600</f>
        <v>29925.1800000001</v>
      </c>
      <c r="W601" s="149" t="n">
        <f aca="false">W600+'Volumes por intervalo'!L600</f>
        <v>47390.9700000002</v>
      </c>
      <c r="X601" s="149" t="n">
        <f aca="false">X600+'Volumes por intervalo'!M600</f>
        <v>141043.5</v>
      </c>
      <c r="Y601" s="149" t="n">
        <f aca="false">Y600+'Volumes por intervalo'!N600</f>
        <v>141043.5</v>
      </c>
      <c r="Z601" s="149" t="n">
        <f aca="false">Z600+'Volumes por intervalo'!O600</f>
        <v>161545.899999998</v>
      </c>
      <c r="AA601" s="149" t="n">
        <f aca="false">AA600+'Volumes por intervalo'!P600</f>
        <v>0</v>
      </c>
      <c r="AB601" s="149" t="n">
        <f aca="false">AB600+'Volumes por intervalo'!Q600</f>
        <v>0</v>
      </c>
      <c r="AC601" s="149" t="n">
        <f aca="false">AC600+'Volumes por intervalo'!R600</f>
        <v>0</v>
      </c>
      <c r="AD601" s="149" t="n">
        <f aca="false">AD600+'Volumes por intervalo'!S600</f>
        <v>0</v>
      </c>
    </row>
    <row r="602" customFormat="false" ht="15" hidden="false" customHeight="false" outlineLevel="0" collapsed="false">
      <c r="A602" s="138" t="s">
        <v>2270</v>
      </c>
      <c r="B602" s="146" t="n">
        <v>597</v>
      </c>
      <c r="C602" s="144" t="n">
        <v>11940</v>
      </c>
      <c r="D602" s="138" t="s">
        <v>1594</v>
      </c>
      <c r="E602" s="138" t="s">
        <v>1566</v>
      </c>
      <c r="F602" s="147" t="n">
        <v>11</v>
      </c>
      <c r="G602" s="148" t="n">
        <v>0</v>
      </c>
      <c r="H602" s="148" t="n">
        <v>0</v>
      </c>
      <c r="I602" s="138" t="s">
        <v>1642</v>
      </c>
      <c r="J602" s="138"/>
      <c r="K602" s="146" t="n">
        <f aca="false">Parâmetros!$C$4*(F602+2*Parâmetros!$D$4+Parâmetros!$C$4*Parâmetros!$E$4)</f>
        <v>0.5525</v>
      </c>
      <c r="L602" s="146" t="n">
        <f aca="false">Parâmetros!$C$5*(F602+2*Parâmetros!$D$5+Parâmetros!$C$5*Parâmetros!$E$5)</f>
        <v>1.8176</v>
      </c>
      <c r="M602" s="146" t="n">
        <f aca="false">Parâmetros!$C$6*(F602+2*Parâmetros!$D$6+Parâmetros!$C$6*Parâmetros!$E$6)</f>
        <v>2.384</v>
      </c>
      <c r="N602" s="146" t="n">
        <f aca="false">Parâmetros!$C$7*(F602+2*Parâmetros!$D$7+Parâmetros!$C$7*Parâmetros!$E$7)</f>
        <v>3.786</v>
      </c>
      <c r="O602" s="146" t="n">
        <f aca="false">F602+2*Parâmetros!$D$8</f>
        <v>11.2</v>
      </c>
      <c r="P602" s="146" t="n">
        <f aca="false">F602+2*Parâmetros!$D$10</f>
        <v>12.92</v>
      </c>
      <c r="Q602" s="146" t="n">
        <f aca="false">G602+H602</f>
        <v>0</v>
      </c>
      <c r="S602" s="149" t="n">
        <f aca="false">S601+'Volumes por intervalo'!C601*(F601+F602)/2</f>
        <v>138879.5</v>
      </c>
      <c r="T602" s="149" t="n">
        <f aca="false">T601+'Volumes por intervalo'!H601</f>
        <v>6973.82500000004</v>
      </c>
      <c r="U602" s="149" t="n">
        <f aca="false">U601+'Volumes por intervalo'!J601</f>
        <v>22908.464</v>
      </c>
      <c r="V602" s="149" t="n">
        <f aca="false">V601+'Volumes por intervalo'!K601</f>
        <v>29972.8600000001</v>
      </c>
      <c r="W602" s="149" t="n">
        <f aca="false">W601+'Volumes por intervalo'!L601</f>
        <v>47466.6900000002</v>
      </c>
      <c r="X602" s="149" t="n">
        <f aca="false">X601+'Volumes por intervalo'!M601</f>
        <v>141267.5</v>
      </c>
      <c r="Y602" s="149" t="n">
        <f aca="false">Y601+'Volumes por intervalo'!N601</f>
        <v>141267.5</v>
      </c>
      <c r="Z602" s="149" t="n">
        <f aca="false">Z601+'Volumes por intervalo'!O601</f>
        <v>161804.299999998</v>
      </c>
      <c r="AA602" s="149" t="n">
        <f aca="false">AA601+'Volumes por intervalo'!P601</f>
        <v>0</v>
      </c>
      <c r="AB602" s="149" t="n">
        <f aca="false">AB601+'Volumes por intervalo'!Q601</f>
        <v>0</v>
      </c>
      <c r="AC602" s="149" t="n">
        <f aca="false">AC601+'Volumes por intervalo'!R601</f>
        <v>0</v>
      </c>
      <c r="AD602" s="149" t="n">
        <f aca="false">AD601+'Volumes por intervalo'!S601</f>
        <v>0</v>
      </c>
    </row>
    <row r="603" customFormat="false" ht="15" hidden="false" customHeight="false" outlineLevel="0" collapsed="false">
      <c r="A603" s="138" t="s">
        <v>1595</v>
      </c>
      <c r="B603" s="146" t="n">
        <v>598</v>
      </c>
      <c r="C603" s="144" t="n">
        <v>11960</v>
      </c>
      <c r="D603" s="138" t="s">
        <v>1594</v>
      </c>
      <c r="E603" s="138" t="s">
        <v>1566</v>
      </c>
      <c r="F603" s="147" t="n">
        <v>11</v>
      </c>
      <c r="G603" s="148" t="n">
        <v>0</v>
      </c>
      <c r="H603" s="148" t="n">
        <v>0</v>
      </c>
      <c r="I603" s="138" t="s">
        <v>1642</v>
      </c>
      <c r="J603" s="138"/>
      <c r="K603" s="146" t="n">
        <f aca="false">Parâmetros!$C$4*(F603+2*Parâmetros!$D$4+Parâmetros!$C$4*Parâmetros!$E$4)</f>
        <v>0.5525</v>
      </c>
      <c r="L603" s="146" t="n">
        <f aca="false">Parâmetros!$C$5*(F603+2*Parâmetros!$D$5+Parâmetros!$C$5*Parâmetros!$E$5)</f>
        <v>1.8176</v>
      </c>
      <c r="M603" s="146" t="n">
        <f aca="false">Parâmetros!$C$6*(F603+2*Parâmetros!$D$6+Parâmetros!$C$6*Parâmetros!$E$6)</f>
        <v>2.384</v>
      </c>
      <c r="N603" s="146" t="n">
        <f aca="false">Parâmetros!$C$7*(F603+2*Parâmetros!$D$7+Parâmetros!$C$7*Parâmetros!$E$7)</f>
        <v>3.786</v>
      </c>
      <c r="O603" s="146" t="n">
        <f aca="false">F603+2*Parâmetros!$D$8</f>
        <v>11.2</v>
      </c>
      <c r="P603" s="146" t="n">
        <f aca="false">F603+2*Parâmetros!$D$10</f>
        <v>12.92</v>
      </c>
      <c r="Q603" s="146" t="n">
        <f aca="false">G603+H603</f>
        <v>0</v>
      </c>
      <c r="S603" s="149" t="n">
        <f aca="false">S602+'Volumes por intervalo'!C602*(F602+F603)/2</f>
        <v>139099.5</v>
      </c>
      <c r="T603" s="149" t="n">
        <f aca="false">T602+'Volumes por intervalo'!H602</f>
        <v>6984.87500000004</v>
      </c>
      <c r="U603" s="149" t="n">
        <f aca="false">U602+'Volumes por intervalo'!J602</f>
        <v>22944.816</v>
      </c>
      <c r="V603" s="149" t="n">
        <f aca="false">V602+'Volumes por intervalo'!K602</f>
        <v>30020.5400000001</v>
      </c>
      <c r="W603" s="149" t="n">
        <f aca="false">W602+'Volumes por intervalo'!L602</f>
        <v>47542.4100000002</v>
      </c>
      <c r="X603" s="149" t="n">
        <f aca="false">X602+'Volumes por intervalo'!M602</f>
        <v>141491.5</v>
      </c>
      <c r="Y603" s="149" t="n">
        <f aca="false">Y602+'Volumes por intervalo'!N602</f>
        <v>141491.5</v>
      </c>
      <c r="Z603" s="149" t="n">
        <f aca="false">Z602+'Volumes por intervalo'!O602</f>
        <v>162062.699999998</v>
      </c>
      <c r="AA603" s="149" t="n">
        <f aca="false">AA602+'Volumes por intervalo'!P602</f>
        <v>0</v>
      </c>
      <c r="AB603" s="149" t="n">
        <f aca="false">AB602+'Volumes por intervalo'!Q602</f>
        <v>0</v>
      </c>
      <c r="AC603" s="149" t="n">
        <f aca="false">AC602+'Volumes por intervalo'!R602</f>
        <v>0</v>
      </c>
      <c r="AD603" s="149" t="n">
        <f aca="false">AD602+'Volumes por intervalo'!S602</f>
        <v>0</v>
      </c>
    </row>
    <row r="604" customFormat="false" ht="15" hidden="false" customHeight="false" outlineLevel="0" collapsed="false">
      <c r="A604" s="138" t="s">
        <v>2271</v>
      </c>
      <c r="B604" s="146" t="n">
        <v>599</v>
      </c>
      <c r="C604" s="144" t="n">
        <v>11980</v>
      </c>
      <c r="D604" s="138" t="s">
        <v>1596</v>
      </c>
      <c r="E604" s="138" t="s">
        <v>1597</v>
      </c>
      <c r="F604" s="147" t="n">
        <v>11</v>
      </c>
      <c r="G604" s="148" t="n">
        <v>0</v>
      </c>
      <c r="H604" s="148" t="n">
        <v>3</v>
      </c>
      <c r="I604" s="138" t="s">
        <v>1642</v>
      </c>
      <c r="J604" s="138"/>
      <c r="K604" s="146" t="n">
        <f aca="false">Parâmetros!$C$4*(F604+2*Parâmetros!$D$4+Parâmetros!$C$4*Parâmetros!$E$4)</f>
        <v>0.5525</v>
      </c>
      <c r="L604" s="146" t="n">
        <f aca="false">Parâmetros!$C$5*(F604+2*Parâmetros!$D$5+Parâmetros!$C$5*Parâmetros!$E$5)</f>
        <v>1.8176</v>
      </c>
      <c r="M604" s="146" t="n">
        <f aca="false">Parâmetros!$C$6*(F604+2*Parâmetros!$D$6+Parâmetros!$C$6*Parâmetros!$E$6)</f>
        <v>2.384</v>
      </c>
      <c r="N604" s="146" t="n">
        <f aca="false">Parâmetros!$C$7*(F604+2*Parâmetros!$D$7+Parâmetros!$C$7*Parâmetros!$E$7)</f>
        <v>3.786</v>
      </c>
      <c r="O604" s="146" t="n">
        <f aca="false">F604+2*Parâmetros!$D$8</f>
        <v>11.2</v>
      </c>
      <c r="P604" s="146" t="n">
        <f aca="false">F604+2*Parâmetros!$D$10</f>
        <v>12.92</v>
      </c>
      <c r="Q604" s="146" t="n">
        <f aca="false">G604+H604</f>
        <v>3</v>
      </c>
      <c r="S604" s="149" t="n">
        <f aca="false">S603+'Volumes por intervalo'!C603*(F603+F604)/2</f>
        <v>139319.5</v>
      </c>
      <c r="T604" s="149" t="n">
        <f aca="false">T603+'Volumes por intervalo'!H603</f>
        <v>6995.92500000004</v>
      </c>
      <c r="U604" s="149" t="n">
        <f aca="false">U603+'Volumes por intervalo'!J603</f>
        <v>22981.168</v>
      </c>
      <c r="V604" s="149" t="n">
        <f aca="false">V603+'Volumes por intervalo'!K603</f>
        <v>30068.2200000001</v>
      </c>
      <c r="W604" s="149" t="n">
        <f aca="false">W603+'Volumes por intervalo'!L603</f>
        <v>47618.1300000002</v>
      </c>
      <c r="X604" s="149" t="n">
        <f aca="false">X603+'Volumes por intervalo'!M603</f>
        <v>141715.5</v>
      </c>
      <c r="Y604" s="149" t="n">
        <f aca="false">Y603+'Volumes por intervalo'!N603</f>
        <v>141715.5</v>
      </c>
      <c r="Z604" s="149" t="n">
        <f aca="false">Z603+'Volumes por intervalo'!O603</f>
        <v>162321.099999998</v>
      </c>
      <c r="AA604" s="149" t="n">
        <f aca="false">AA603+'Volumes por intervalo'!P603</f>
        <v>1.8</v>
      </c>
      <c r="AB604" s="149" t="n">
        <f aca="false">AB603+'Volumes por intervalo'!Q603</f>
        <v>1.5</v>
      </c>
      <c r="AC604" s="149" t="n">
        <f aca="false">AC603+'Volumes por intervalo'!R603</f>
        <v>30</v>
      </c>
      <c r="AD604" s="149" t="n">
        <f aca="false">AD603+'Volumes por intervalo'!S603</f>
        <v>0</v>
      </c>
    </row>
    <row r="605" customFormat="false" ht="15" hidden="false" customHeight="false" outlineLevel="0" collapsed="false">
      <c r="A605" s="138" t="s">
        <v>2272</v>
      </c>
      <c r="B605" s="146" t="n">
        <v>600</v>
      </c>
      <c r="C605" s="144" t="n">
        <v>12000</v>
      </c>
      <c r="D605" s="138" t="s">
        <v>1596</v>
      </c>
      <c r="E605" s="138" t="s">
        <v>1597</v>
      </c>
      <c r="F605" s="147" t="n">
        <v>11</v>
      </c>
      <c r="G605" s="148" t="n">
        <v>0</v>
      </c>
      <c r="H605" s="148" t="n">
        <v>3</v>
      </c>
      <c r="I605" s="138" t="s">
        <v>1642</v>
      </c>
      <c r="J605" s="138"/>
      <c r="K605" s="146" t="n">
        <f aca="false">Parâmetros!$C$4*(F605+2*Parâmetros!$D$4+Parâmetros!$C$4*Parâmetros!$E$4)</f>
        <v>0.5525</v>
      </c>
      <c r="L605" s="146" t="n">
        <f aca="false">Parâmetros!$C$5*(F605+2*Parâmetros!$D$5+Parâmetros!$C$5*Parâmetros!$E$5)</f>
        <v>1.8176</v>
      </c>
      <c r="M605" s="146" t="n">
        <f aca="false">Parâmetros!$C$6*(F605+2*Parâmetros!$D$6+Parâmetros!$C$6*Parâmetros!$E$6)</f>
        <v>2.384</v>
      </c>
      <c r="N605" s="146" t="n">
        <f aca="false">Parâmetros!$C$7*(F605+2*Parâmetros!$D$7+Parâmetros!$C$7*Parâmetros!$E$7)</f>
        <v>3.786</v>
      </c>
      <c r="O605" s="146" t="n">
        <f aca="false">F605+2*Parâmetros!$D$8</f>
        <v>11.2</v>
      </c>
      <c r="P605" s="146" t="n">
        <f aca="false">F605+2*Parâmetros!$D$10</f>
        <v>12.92</v>
      </c>
      <c r="Q605" s="146" t="n">
        <f aca="false">G605+H605</f>
        <v>3</v>
      </c>
      <c r="S605" s="149" t="n">
        <f aca="false">S604+'Volumes por intervalo'!C604*(F604+F605)/2</f>
        <v>139539.5</v>
      </c>
      <c r="T605" s="149" t="n">
        <f aca="false">T604+'Volumes por intervalo'!H604</f>
        <v>7006.97500000004</v>
      </c>
      <c r="U605" s="149" t="n">
        <f aca="false">U604+'Volumes por intervalo'!J604</f>
        <v>23017.52</v>
      </c>
      <c r="V605" s="149" t="n">
        <f aca="false">V604+'Volumes por intervalo'!K604</f>
        <v>30115.9000000001</v>
      </c>
      <c r="W605" s="149" t="n">
        <f aca="false">W604+'Volumes por intervalo'!L604</f>
        <v>47693.8500000002</v>
      </c>
      <c r="X605" s="149" t="n">
        <f aca="false">X604+'Volumes por intervalo'!M604</f>
        <v>141939.5</v>
      </c>
      <c r="Y605" s="149" t="n">
        <f aca="false">Y604+'Volumes por intervalo'!N604</f>
        <v>141939.5</v>
      </c>
      <c r="Z605" s="149" t="n">
        <f aca="false">Z604+'Volumes por intervalo'!O604</f>
        <v>162579.499999998</v>
      </c>
      <c r="AA605" s="149" t="n">
        <f aca="false">AA604+'Volumes por intervalo'!P604</f>
        <v>5.4</v>
      </c>
      <c r="AB605" s="149" t="n">
        <f aca="false">AB604+'Volumes por intervalo'!Q604</f>
        <v>4.5</v>
      </c>
      <c r="AC605" s="149" t="n">
        <f aca="false">AC604+'Volumes por intervalo'!R604</f>
        <v>90</v>
      </c>
      <c r="AD605" s="149" t="n">
        <f aca="false">AD604+'Volumes por intervalo'!S604</f>
        <v>0</v>
      </c>
    </row>
    <row r="606" customFormat="false" ht="15" hidden="false" customHeight="false" outlineLevel="0" collapsed="false">
      <c r="A606" s="138" t="s">
        <v>2273</v>
      </c>
      <c r="B606" s="146" t="n">
        <v>601</v>
      </c>
      <c r="C606" s="144" t="n">
        <v>12020</v>
      </c>
      <c r="D606" s="138" t="s">
        <v>1596</v>
      </c>
      <c r="E606" s="138" t="s">
        <v>1597</v>
      </c>
      <c r="F606" s="147" t="n">
        <v>11</v>
      </c>
      <c r="G606" s="148" t="n">
        <v>0</v>
      </c>
      <c r="H606" s="148" t="n">
        <v>3</v>
      </c>
      <c r="I606" s="138" t="s">
        <v>1642</v>
      </c>
      <c r="J606" s="138"/>
      <c r="K606" s="146" t="n">
        <f aca="false">Parâmetros!$C$4*(F606+2*Parâmetros!$D$4+Parâmetros!$C$4*Parâmetros!$E$4)</f>
        <v>0.5525</v>
      </c>
      <c r="L606" s="146" t="n">
        <f aca="false">Parâmetros!$C$5*(F606+2*Parâmetros!$D$5+Parâmetros!$C$5*Parâmetros!$E$5)</f>
        <v>1.8176</v>
      </c>
      <c r="M606" s="146" t="n">
        <f aca="false">Parâmetros!$C$6*(F606+2*Parâmetros!$D$6+Parâmetros!$C$6*Parâmetros!$E$6)</f>
        <v>2.384</v>
      </c>
      <c r="N606" s="146" t="n">
        <f aca="false">Parâmetros!$C$7*(F606+2*Parâmetros!$D$7+Parâmetros!$C$7*Parâmetros!$E$7)</f>
        <v>3.786</v>
      </c>
      <c r="O606" s="146" t="n">
        <f aca="false">F606+2*Parâmetros!$D$8</f>
        <v>11.2</v>
      </c>
      <c r="P606" s="146" t="n">
        <f aca="false">F606+2*Parâmetros!$D$10</f>
        <v>12.92</v>
      </c>
      <c r="Q606" s="146" t="n">
        <f aca="false">G606+H606</f>
        <v>3</v>
      </c>
      <c r="S606" s="149" t="n">
        <f aca="false">S605+'Volumes por intervalo'!C605*(F605+F606)/2</f>
        <v>139759.5</v>
      </c>
      <c r="T606" s="149" t="n">
        <f aca="false">T605+'Volumes por intervalo'!H605</f>
        <v>7018.02500000004</v>
      </c>
      <c r="U606" s="149" t="n">
        <f aca="false">U605+'Volumes por intervalo'!J605</f>
        <v>23053.872</v>
      </c>
      <c r="V606" s="149" t="n">
        <f aca="false">V605+'Volumes por intervalo'!K605</f>
        <v>30163.5800000001</v>
      </c>
      <c r="W606" s="149" t="n">
        <f aca="false">W605+'Volumes por intervalo'!L605</f>
        <v>47769.5700000002</v>
      </c>
      <c r="X606" s="149" t="n">
        <f aca="false">X605+'Volumes por intervalo'!M605</f>
        <v>142163.5</v>
      </c>
      <c r="Y606" s="149" t="n">
        <f aca="false">Y605+'Volumes por intervalo'!N605</f>
        <v>142163.5</v>
      </c>
      <c r="Z606" s="149" t="n">
        <f aca="false">Z605+'Volumes por intervalo'!O605</f>
        <v>162837.899999998</v>
      </c>
      <c r="AA606" s="149" t="n">
        <f aca="false">AA605+'Volumes por intervalo'!P605</f>
        <v>9</v>
      </c>
      <c r="AB606" s="149" t="n">
        <f aca="false">AB605+'Volumes por intervalo'!Q605</f>
        <v>7.5</v>
      </c>
      <c r="AC606" s="149" t="n">
        <f aca="false">AC605+'Volumes por intervalo'!R605</f>
        <v>150</v>
      </c>
      <c r="AD606" s="149" t="n">
        <f aca="false">AD605+'Volumes por intervalo'!S605</f>
        <v>0</v>
      </c>
    </row>
    <row r="607" customFormat="false" ht="15" hidden="false" customHeight="false" outlineLevel="0" collapsed="false">
      <c r="A607" s="138" t="s">
        <v>1599</v>
      </c>
      <c r="B607" s="146" t="n">
        <v>602</v>
      </c>
      <c r="C607" s="144" t="n">
        <v>12040</v>
      </c>
      <c r="D607" s="138" t="s">
        <v>1596</v>
      </c>
      <c r="E607" s="138" t="s">
        <v>1597</v>
      </c>
      <c r="F607" s="147" t="n">
        <v>11</v>
      </c>
      <c r="G607" s="148" t="n">
        <v>1.5</v>
      </c>
      <c r="H607" s="148" t="n">
        <v>3</v>
      </c>
      <c r="I607" s="138" t="s">
        <v>1856</v>
      </c>
      <c r="J607" s="138" t="s">
        <v>2274</v>
      </c>
      <c r="K607" s="146" t="n">
        <f aca="false">Parâmetros!$C$4*(F607+2*Parâmetros!$D$4+Parâmetros!$C$4*Parâmetros!$E$4)</f>
        <v>0.5525</v>
      </c>
      <c r="L607" s="146" t="n">
        <f aca="false">Parâmetros!$C$5*(F607+2*Parâmetros!$D$5+Parâmetros!$C$5*Parâmetros!$E$5)</f>
        <v>1.8176</v>
      </c>
      <c r="M607" s="146" t="n">
        <f aca="false">Parâmetros!$C$6*(F607+2*Parâmetros!$D$6+Parâmetros!$C$6*Parâmetros!$E$6)</f>
        <v>2.384</v>
      </c>
      <c r="N607" s="146" t="n">
        <f aca="false">Parâmetros!$C$7*(F607+2*Parâmetros!$D$7+Parâmetros!$C$7*Parâmetros!$E$7)</f>
        <v>3.786</v>
      </c>
      <c r="O607" s="146" t="n">
        <f aca="false">F607+2*Parâmetros!$D$8</f>
        <v>11.2</v>
      </c>
      <c r="P607" s="146" t="n">
        <f aca="false">F607+2*Parâmetros!$D$10</f>
        <v>12.92</v>
      </c>
      <c r="Q607" s="146" t="n">
        <f aca="false">G607+H607</f>
        <v>4.5</v>
      </c>
      <c r="S607" s="149" t="n">
        <f aca="false">S606+'Volumes por intervalo'!C606*(F606+F607)/2</f>
        <v>139979.5</v>
      </c>
      <c r="T607" s="149" t="n">
        <f aca="false">T606+'Volumes por intervalo'!H606</f>
        <v>7029.07500000004</v>
      </c>
      <c r="U607" s="149" t="n">
        <f aca="false">U606+'Volumes por intervalo'!J606</f>
        <v>23090.224</v>
      </c>
      <c r="V607" s="149" t="n">
        <f aca="false">V606+'Volumes por intervalo'!K606</f>
        <v>30211.2600000001</v>
      </c>
      <c r="W607" s="149" t="n">
        <f aca="false">W606+'Volumes por intervalo'!L606</f>
        <v>47845.2900000002</v>
      </c>
      <c r="X607" s="149" t="n">
        <f aca="false">X606+'Volumes por intervalo'!M606</f>
        <v>142387.5</v>
      </c>
      <c r="Y607" s="149" t="n">
        <f aca="false">Y606+'Volumes por intervalo'!N606</f>
        <v>142387.5</v>
      </c>
      <c r="Z607" s="149" t="n">
        <f aca="false">Z606+'Volumes por intervalo'!O606</f>
        <v>163096.299999998</v>
      </c>
      <c r="AA607" s="149" t="n">
        <f aca="false">AA606+'Volumes por intervalo'!P606</f>
        <v>13.5</v>
      </c>
      <c r="AB607" s="149" t="n">
        <f aca="false">AB606+'Volumes por intervalo'!Q606</f>
        <v>11.25</v>
      </c>
      <c r="AC607" s="149" t="n">
        <f aca="false">AC606+'Volumes por intervalo'!R606</f>
        <v>225</v>
      </c>
      <c r="AD607" s="149" t="n">
        <f aca="false">AD606+'Volumes por intervalo'!S606</f>
        <v>0</v>
      </c>
    </row>
    <row r="608" customFormat="false" ht="15" hidden="false" customHeight="false" outlineLevel="0" collapsed="false">
      <c r="A608" s="138" t="s">
        <v>2275</v>
      </c>
      <c r="B608" s="146" t="n">
        <v>603</v>
      </c>
      <c r="C608" s="144" t="n">
        <v>12060</v>
      </c>
      <c r="D608" s="138" t="s">
        <v>1600</v>
      </c>
      <c r="E608" s="138" t="s">
        <v>1601</v>
      </c>
      <c r="F608" s="147" t="n">
        <v>11</v>
      </c>
      <c r="G608" s="148" t="n">
        <v>3</v>
      </c>
      <c r="H608" s="148" t="n">
        <v>3</v>
      </c>
      <c r="I608" s="138" t="s">
        <v>1642</v>
      </c>
      <c r="J608" s="138"/>
      <c r="K608" s="146" t="n">
        <f aca="false">Parâmetros!$C$4*(F608+2*Parâmetros!$D$4+Parâmetros!$C$4*Parâmetros!$E$4)</f>
        <v>0.5525</v>
      </c>
      <c r="L608" s="146" t="n">
        <f aca="false">Parâmetros!$C$5*(F608+2*Parâmetros!$D$5+Parâmetros!$C$5*Parâmetros!$E$5)</f>
        <v>1.8176</v>
      </c>
      <c r="M608" s="146" t="n">
        <f aca="false">Parâmetros!$C$6*(F608+2*Parâmetros!$D$6+Parâmetros!$C$6*Parâmetros!$E$6)</f>
        <v>2.384</v>
      </c>
      <c r="N608" s="146" t="n">
        <f aca="false">Parâmetros!$C$7*(F608+2*Parâmetros!$D$7+Parâmetros!$C$7*Parâmetros!$E$7)</f>
        <v>3.786</v>
      </c>
      <c r="O608" s="146" t="n">
        <f aca="false">F608+2*Parâmetros!$D$8</f>
        <v>11.2</v>
      </c>
      <c r="P608" s="146" t="n">
        <f aca="false">F608+2*Parâmetros!$D$10</f>
        <v>12.92</v>
      </c>
      <c r="Q608" s="146" t="n">
        <f aca="false">G608+H608</f>
        <v>6</v>
      </c>
      <c r="S608" s="149" t="n">
        <f aca="false">S607+'Volumes por intervalo'!C607*(F607+F608)/2</f>
        <v>140199.5</v>
      </c>
      <c r="T608" s="149" t="n">
        <f aca="false">T607+'Volumes por intervalo'!H607</f>
        <v>7040.12500000004</v>
      </c>
      <c r="U608" s="149" t="n">
        <f aca="false">U607+'Volumes por intervalo'!J607</f>
        <v>23126.576</v>
      </c>
      <c r="V608" s="149" t="n">
        <f aca="false">V607+'Volumes por intervalo'!K607</f>
        <v>30258.9400000001</v>
      </c>
      <c r="W608" s="149" t="n">
        <f aca="false">W607+'Volumes por intervalo'!L607</f>
        <v>47921.0100000002</v>
      </c>
      <c r="X608" s="149" t="n">
        <f aca="false">X607+'Volumes por intervalo'!M607</f>
        <v>142611.5</v>
      </c>
      <c r="Y608" s="149" t="n">
        <f aca="false">Y607+'Volumes por intervalo'!N607</f>
        <v>142611.5</v>
      </c>
      <c r="Z608" s="149" t="n">
        <f aca="false">Z607+'Volumes por intervalo'!O607</f>
        <v>163354.699999998</v>
      </c>
      <c r="AA608" s="149" t="n">
        <f aca="false">AA607+'Volumes por intervalo'!P607</f>
        <v>19.8</v>
      </c>
      <c r="AB608" s="149" t="n">
        <f aca="false">AB607+'Volumes por intervalo'!Q607</f>
        <v>16.5</v>
      </c>
      <c r="AC608" s="149" t="n">
        <f aca="false">AC607+'Volumes por intervalo'!R607</f>
        <v>330</v>
      </c>
      <c r="AD608" s="149" t="n">
        <f aca="false">AD607+'Volumes por intervalo'!S607</f>
        <v>0</v>
      </c>
    </row>
    <row r="609" customFormat="false" ht="15" hidden="false" customHeight="false" outlineLevel="0" collapsed="false">
      <c r="A609" s="138" t="s">
        <v>2276</v>
      </c>
      <c r="B609" s="146" t="n">
        <v>604</v>
      </c>
      <c r="C609" s="144" t="n">
        <v>12080</v>
      </c>
      <c r="D609" s="138" t="s">
        <v>1600</v>
      </c>
      <c r="E609" s="138" t="s">
        <v>1601</v>
      </c>
      <c r="F609" s="147" t="n">
        <v>11</v>
      </c>
      <c r="G609" s="148" t="n">
        <v>3</v>
      </c>
      <c r="H609" s="148" t="n">
        <v>3</v>
      </c>
      <c r="I609" s="138" t="s">
        <v>1642</v>
      </c>
      <c r="J609" s="138"/>
      <c r="K609" s="146" t="n">
        <f aca="false">Parâmetros!$C$4*(F609+2*Parâmetros!$D$4+Parâmetros!$C$4*Parâmetros!$E$4)</f>
        <v>0.5525</v>
      </c>
      <c r="L609" s="146" t="n">
        <f aca="false">Parâmetros!$C$5*(F609+2*Parâmetros!$D$5+Parâmetros!$C$5*Parâmetros!$E$5)</f>
        <v>1.8176</v>
      </c>
      <c r="M609" s="146" t="n">
        <f aca="false">Parâmetros!$C$6*(F609+2*Parâmetros!$D$6+Parâmetros!$C$6*Parâmetros!$E$6)</f>
        <v>2.384</v>
      </c>
      <c r="N609" s="146" t="n">
        <f aca="false">Parâmetros!$C$7*(F609+2*Parâmetros!$D$7+Parâmetros!$C$7*Parâmetros!$E$7)</f>
        <v>3.786</v>
      </c>
      <c r="O609" s="146" t="n">
        <f aca="false">F609+2*Parâmetros!$D$8</f>
        <v>11.2</v>
      </c>
      <c r="P609" s="146" t="n">
        <f aca="false">F609+2*Parâmetros!$D$10</f>
        <v>12.92</v>
      </c>
      <c r="Q609" s="146" t="n">
        <f aca="false">G609+H609</f>
        <v>6</v>
      </c>
      <c r="S609" s="149" t="n">
        <f aca="false">S608+'Volumes por intervalo'!C608*(F608+F609)/2</f>
        <v>140419.5</v>
      </c>
      <c r="T609" s="149" t="n">
        <f aca="false">T608+'Volumes por intervalo'!H608</f>
        <v>7051.17500000004</v>
      </c>
      <c r="U609" s="149" t="n">
        <f aca="false">U608+'Volumes por intervalo'!J608</f>
        <v>23162.928</v>
      </c>
      <c r="V609" s="149" t="n">
        <f aca="false">V608+'Volumes por intervalo'!K608</f>
        <v>30306.6200000001</v>
      </c>
      <c r="W609" s="149" t="n">
        <f aca="false">W608+'Volumes por intervalo'!L608</f>
        <v>47996.7300000002</v>
      </c>
      <c r="X609" s="149" t="n">
        <f aca="false">X608+'Volumes por intervalo'!M608</f>
        <v>142835.5</v>
      </c>
      <c r="Y609" s="149" t="n">
        <f aca="false">Y608+'Volumes por intervalo'!N608</f>
        <v>142835.5</v>
      </c>
      <c r="Z609" s="149" t="n">
        <f aca="false">Z608+'Volumes por intervalo'!O608</f>
        <v>163613.099999998</v>
      </c>
      <c r="AA609" s="149" t="n">
        <f aca="false">AA608+'Volumes por intervalo'!P608</f>
        <v>27</v>
      </c>
      <c r="AB609" s="149" t="n">
        <f aca="false">AB608+'Volumes por intervalo'!Q608</f>
        <v>22.5</v>
      </c>
      <c r="AC609" s="149" t="n">
        <f aca="false">AC608+'Volumes por intervalo'!R608</f>
        <v>450</v>
      </c>
      <c r="AD609" s="149" t="n">
        <f aca="false">AD608+'Volumes por intervalo'!S608</f>
        <v>0</v>
      </c>
    </row>
    <row r="610" customFormat="false" ht="15" hidden="false" customHeight="false" outlineLevel="0" collapsed="false">
      <c r="A610" s="138" t="s">
        <v>2277</v>
      </c>
      <c r="B610" s="146" t="n">
        <v>605</v>
      </c>
      <c r="C610" s="144" t="n">
        <v>12100</v>
      </c>
      <c r="D610" s="138" t="s">
        <v>1600</v>
      </c>
      <c r="E610" s="138" t="s">
        <v>1601</v>
      </c>
      <c r="F610" s="147" t="n">
        <v>11</v>
      </c>
      <c r="G610" s="148" t="n">
        <v>3</v>
      </c>
      <c r="H610" s="148" t="n">
        <v>3</v>
      </c>
      <c r="I610" s="138" t="s">
        <v>1642</v>
      </c>
      <c r="J610" s="138"/>
      <c r="K610" s="146" t="n">
        <f aca="false">Parâmetros!$C$4*(F610+2*Parâmetros!$D$4+Parâmetros!$C$4*Parâmetros!$E$4)</f>
        <v>0.5525</v>
      </c>
      <c r="L610" s="146" t="n">
        <f aca="false">Parâmetros!$C$5*(F610+2*Parâmetros!$D$5+Parâmetros!$C$5*Parâmetros!$E$5)</f>
        <v>1.8176</v>
      </c>
      <c r="M610" s="146" t="n">
        <f aca="false">Parâmetros!$C$6*(F610+2*Parâmetros!$D$6+Parâmetros!$C$6*Parâmetros!$E$6)</f>
        <v>2.384</v>
      </c>
      <c r="N610" s="146" t="n">
        <f aca="false">Parâmetros!$C$7*(F610+2*Parâmetros!$D$7+Parâmetros!$C$7*Parâmetros!$E$7)</f>
        <v>3.786</v>
      </c>
      <c r="O610" s="146" t="n">
        <f aca="false">F610+2*Parâmetros!$D$8</f>
        <v>11.2</v>
      </c>
      <c r="P610" s="146" t="n">
        <f aca="false">F610+2*Parâmetros!$D$10</f>
        <v>12.92</v>
      </c>
      <c r="Q610" s="146" t="n">
        <f aca="false">G610+H610</f>
        <v>6</v>
      </c>
      <c r="S610" s="149" t="n">
        <f aca="false">S609+'Volumes por intervalo'!C609*(F609+F610)/2</f>
        <v>140639.5</v>
      </c>
      <c r="T610" s="149" t="n">
        <f aca="false">T609+'Volumes por intervalo'!H609</f>
        <v>7062.22500000004</v>
      </c>
      <c r="U610" s="149" t="n">
        <f aca="false">U609+'Volumes por intervalo'!J609</f>
        <v>23199.28</v>
      </c>
      <c r="V610" s="149" t="n">
        <f aca="false">V609+'Volumes por intervalo'!K609</f>
        <v>30354.3000000002</v>
      </c>
      <c r="W610" s="149" t="n">
        <f aca="false">W609+'Volumes por intervalo'!L609</f>
        <v>48072.4500000002</v>
      </c>
      <c r="X610" s="149" t="n">
        <f aca="false">X609+'Volumes por intervalo'!M609</f>
        <v>143059.5</v>
      </c>
      <c r="Y610" s="149" t="n">
        <f aca="false">Y609+'Volumes por intervalo'!N609</f>
        <v>143059.5</v>
      </c>
      <c r="Z610" s="149" t="n">
        <f aca="false">Z609+'Volumes por intervalo'!O609</f>
        <v>163871.499999998</v>
      </c>
      <c r="AA610" s="149" t="n">
        <f aca="false">AA609+'Volumes por intervalo'!P609</f>
        <v>34.2</v>
      </c>
      <c r="AB610" s="149" t="n">
        <f aca="false">AB609+'Volumes por intervalo'!Q609</f>
        <v>28.5</v>
      </c>
      <c r="AC610" s="149" t="n">
        <f aca="false">AC609+'Volumes por intervalo'!R609</f>
        <v>570</v>
      </c>
      <c r="AD610" s="149" t="n">
        <f aca="false">AD609+'Volumes por intervalo'!S609</f>
        <v>0</v>
      </c>
    </row>
    <row r="611" customFormat="false" ht="15" hidden="false" customHeight="false" outlineLevel="0" collapsed="false">
      <c r="A611" s="138" t="s">
        <v>2278</v>
      </c>
      <c r="B611" s="146" t="n">
        <v>606</v>
      </c>
      <c r="C611" s="144" t="n">
        <v>12120</v>
      </c>
      <c r="D611" s="138" t="s">
        <v>1600</v>
      </c>
      <c r="E611" s="138" t="s">
        <v>1601</v>
      </c>
      <c r="F611" s="147" t="n">
        <v>11</v>
      </c>
      <c r="G611" s="148" t="n">
        <v>3</v>
      </c>
      <c r="H611" s="148" t="n">
        <v>3</v>
      </c>
      <c r="I611" s="138" t="s">
        <v>1642</v>
      </c>
      <c r="J611" s="138"/>
      <c r="K611" s="146" t="n">
        <f aca="false">Parâmetros!$C$4*(F611+2*Parâmetros!$D$4+Parâmetros!$C$4*Parâmetros!$E$4)</f>
        <v>0.5525</v>
      </c>
      <c r="L611" s="146" t="n">
        <f aca="false">Parâmetros!$C$5*(F611+2*Parâmetros!$D$5+Parâmetros!$C$5*Parâmetros!$E$5)</f>
        <v>1.8176</v>
      </c>
      <c r="M611" s="146" t="n">
        <f aca="false">Parâmetros!$C$6*(F611+2*Parâmetros!$D$6+Parâmetros!$C$6*Parâmetros!$E$6)</f>
        <v>2.384</v>
      </c>
      <c r="N611" s="146" t="n">
        <f aca="false">Parâmetros!$C$7*(F611+2*Parâmetros!$D$7+Parâmetros!$C$7*Parâmetros!$E$7)</f>
        <v>3.786</v>
      </c>
      <c r="O611" s="146" t="n">
        <f aca="false">F611+2*Parâmetros!$D$8</f>
        <v>11.2</v>
      </c>
      <c r="P611" s="146" t="n">
        <f aca="false">F611+2*Parâmetros!$D$10</f>
        <v>12.92</v>
      </c>
      <c r="Q611" s="146" t="n">
        <f aca="false">G611+H611</f>
        <v>6</v>
      </c>
      <c r="S611" s="149" t="n">
        <f aca="false">S610+'Volumes por intervalo'!C610*(F610+F611)/2</f>
        <v>140859.5</v>
      </c>
      <c r="T611" s="149" t="n">
        <f aca="false">T610+'Volumes por intervalo'!H610</f>
        <v>7073.27500000004</v>
      </c>
      <c r="U611" s="149" t="n">
        <f aca="false">U610+'Volumes por intervalo'!J610</f>
        <v>23235.632</v>
      </c>
      <c r="V611" s="149" t="n">
        <f aca="false">V610+'Volumes por intervalo'!K610</f>
        <v>30401.9800000002</v>
      </c>
      <c r="W611" s="149" t="n">
        <f aca="false">W610+'Volumes por intervalo'!L610</f>
        <v>48148.1700000002</v>
      </c>
      <c r="X611" s="149" t="n">
        <f aca="false">X610+'Volumes por intervalo'!M610</f>
        <v>143283.5</v>
      </c>
      <c r="Y611" s="149" t="n">
        <f aca="false">Y610+'Volumes por intervalo'!N610</f>
        <v>143283.5</v>
      </c>
      <c r="Z611" s="149" t="n">
        <f aca="false">Z610+'Volumes por intervalo'!O610</f>
        <v>164129.899999998</v>
      </c>
      <c r="AA611" s="149" t="n">
        <f aca="false">AA610+'Volumes por intervalo'!P610</f>
        <v>41.4</v>
      </c>
      <c r="AB611" s="149" t="n">
        <f aca="false">AB610+'Volumes por intervalo'!Q610</f>
        <v>34.5</v>
      </c>
      <c r="AC611" s="149" t="n">
        <f aca="false">AC610+'Volumes por intervalo'!R610</f>
        <v>690</v>
      </c>
      <c r="AD611" s="149" t="n">
        <f aca="false">AD610+'Volumes por intervalo'!S610</f>
        <v>0</v>
      </c>
    </row>
    <row r="612" customFormat="false" ht="15" hidden="false" customHeight="false" outlineLevel="0" collapsed="false">
      <c r="A612" s="138" t="s">
        <v>2279</v>
      </c>
      <c r="B612" s="146" t="n">
        <v>607</v>
      </c>
      <c r="C612" s="144" t="n">
        <v>12140</v>
      </c>
      <c r="D612" s="138" t="s">
        <v>1600</v>
      </c>
      <c r="E612" s="138" t="s">
        <v>1601</v>
      </c>
      <c r="F612" s="147" t="n">
        <v>11</v>
      </c>
      <c r="G612" s="148" t="n">
        <v>3</v>
      </c>
      <c r="H612" s="148" t="n">
        <v>3</v>
      </c>
      <c r="I612" s="138" t="s">
        <v>1642</v>
      </c>
      <c r="J612" s="138"/>
      <c r="K612" s="146" t="n">
        <f aca="false">Parâmetros!$C$4*(F612+2*Parâmetros!$D$4+Parâmetros!$C$4*Parâmetros!$E$4)</f>
        <v>0.5525</v>
      </c>
      <c r="L612" s="146" t="n">
        <f aca="false">Parâmetros!$C$5*(F612+2*Parâmetros!$D$5+Parâmetros!$C$5*Parâmetros!$E$5)</f>
        <v>1.8176</v>
      </c>
      <c r="M612" s="146" t="n">
        <f aca="false">Parâmetros!$C$6*(F612+2*Parâmetros!$D$6+Parâmetros!$C$6*Parâmetros!$E$6)</f>
        <v>2.384</v>
      </c>
      <c r="N612" s="146" t="n">
        <f aca="false">Parâmetros!$C$7*(F612+2*Parâmetros!$D$7+Parâmetros!$C$7*Parâmetros!$E$7)</f>
        <v>3.786</v>
      </c>
      <c r="O612" s="146" t="n">
        <f aca="false">F612+2*Parâmetros!$D$8</f>
        <v>11.2</v>
      </c>
      <c r="P612" s="146" t="n">
        <f aca="false">F612+2*Parâmetros!$D$10</f>
        <v>12.92</v>
      </c>
      <c r="Q612" s="146" t="n">
        <f aca="false">G612+H612</f>
        <v>6</v>
      </c>
      <c r="S612" s="149" t="n">
        <f aca="false">S611+'Volumes por intervalo'!C611*(F611+F612)/2</f>
        <v>141079.5</v>
      </c>
      <c r="T612" s="149" t="n">
        <f aca="false">T611+'Volumes por intervalo'!H611</f>
        <v>7084.32500000004</v>
      </c>
      <c r="U612" s="149" t="n">
        <f aca="false">U611+'Volumes por intervalo'!J611</f>
        <v>23271.984</v>
      </c>
      <c r="V612" s="149" t="n">
        <f aca="false">V611+'Volumes por intervalo'!K611</f>
        <v>30449.6600000002</v>
      </c>
      <c r="W612" s="149" t="n">
        <f aca="false">W611+'Volumes por intervalo'!L611</f>
        <v>48223.8900000002</v>
      </c>
      <c r="X612" s="149" t="n">
        <f aca="false">X611+'Volumes por intervalo'!M611</f>
        <v>143507.5</v>
      </c>
      <c r="Y612" s="149" t="n">
        <f aca="false">Y611+'Volumes por intervalo'!N611</f>
        <v>143507.5</v>
      </c>
      <c r="Z612" s="149" t="n">
        <f aca="false">Z611+'Volumes por intervalo'!O611</f>
        <v>164388.299999998</v>
      </c>
      <c r="AA612" s="149" t="n">
        <f aca="false">AA611+'Volumes por intervalo'!P611</f>
        <v>48.6</v>
      </c>
      <c r="AB612" s="149" t="n">
        <f aca="false">AB611+'Volumes por intervalo'!Q611</f>
        <v>40.5</v>
      </c>
      <c r="AC612" s="149" t="n">
        <f aca="false">AC611+'Volumes por intervalo'!R611</f>
        <v>810</v>
      </c>
      <c r="AD612" s="149" t="n">
        <f aca="false">AD611+'Volumes por intervalo'!S611</f>
        <v>0</v>
      </c>
    </row>
    <row r="613" customFormat="false" ht="15" hidden="false" customHeight="false" outlineLevel="0" collapsed="false">
      <c r="A613" s="138" t="s">
        <v>2280</v>
      </c>
      <c r="B613" s="146" t="n">
        <v>608</v>
      </c>
      <c r="C613" s="144" t="n">
        <v>12160</v>
      </c>
      <c r="D613" s="138" t="s">
        <v>1600</v>
      </c>
      <c r="E613" s="138" t="s">
        <v>1601</v>
      </c>
      <c r="F613" s="147" t="n">
        <v>11</v>
      </c>
      <c r="G613" s="148" t="n">
        <v>3</v>
      </c>
      <c r="H613" s="148" t="n">
        <v>3</v>
      </c>
      <c r="I613" s="138" t="s">
        <v>1642</v>
      </c>
      <c r="J613" s="138"/>
      <c r="K613" s="146" t="n">
        <f aca="false">Parâmetros!$C$4*(F613+2*Parâmetros!$D$4+Parâmetros!$C$4*Parâmetros!$E$4)</f>
        <v>0.5525</v>
      </c>
      <c r="L613" s="146" t="n">
        <f aca="false">Parâmetros!$C$5*(F613+2*Parâmetros!$D$5+Parâmetros!$C$5*Parâmetros!$E$5)</f>
        <v>1.8176</v>
      </c>
      <c r="M613" s="146" t="n">
        <f aca="false">Parâmetros!$C$6*(F613+2*Parâmetros!$D$6+Parâmetros!$C$6*Parâmetros!$E$6)</f>
        <v>2.384</v>
      </c>
      <c r="N613" s="146" t="n">
        <f aca="false">Parâmetros!$C$7*(F613+2*Parâmetros!$D$7+Parâmetros!$C$7*Parâmetros!$E$7)</f>
        <v>3.786</v>
      </c>
      <c r="O613" s="146" t="n">
        <f aca="false">F613+2*Parâmetros!$D$8</f>
        <v>11.2</v>
      </c>
      <c r="P613" s="146" t="n">
        <f aca="false">F613+2*Parâmetros!$D$10</f>
        <v>12.92</v>
      </c>
      <c r="Q613" s="146" t="n">
        <f aca="false">G613+H613</f>
        <v>6</v>
      </c>
      <c r="S613" s="149" t="n">
        <f aca="false">S612+'Volumes por intervalo'!C612*(F612+F613)/2</f>
        <v>141299.5</v>
      </c>
      <c r="T613" s="149" t="n">
        <f aca="false">T612+'Volumes por intervalo'!H612</f>
        <v>7095.37500000004</v>
      </c>
      <c r="U613" s="149" t="n">
        <f aca="false">U612+'Volumes por intervalo'!J612</f>
        <v>23308.336</v>
      </c>
      <c r="V613" s="149" t="n">
        <f aca="false">V612+'Volumes por intervalo'!K612</f>
        <v>30497.3400000002</v>
      </c>
      <c r="W613" s="149" t="n">
        <f aca="false">W612+'Volumes por intervalo'!L612</f>
        <v>48299.6100000002</v>
      </c>
      <c r="X613" s="149" t="n">
        <f aca="false">X612+'Volumes por intervalo'!M612</f>
        <v>143731.5</v>
      </c>
      <c r="Y613" s="149" t="n">
        <f aca="false">Y612+'Volumes por intervalo'!N612</f>
        <v>143731.5</v>
      </c>
      <c r="Z613" s="149" t="n">
        <f aca="false">Z612+'Volumes por intervalo'!O612</f>
        <v>164646.699999998</v>
      </c>
      <c r="AA613" s="149" t="n">
        <f aca="false">AA612+'Volumes por intervalo'!P612</f>
        <v>55.8</v>
      </c>
      <c r="AB613" s="149" t="n">
        <f aca="false">AB612+'Volumes por intervalo'!Q612</f>
        <v>46.5</v>
      </c>
      <c r="AC613" s="149" t="n">
        <f aca="false">AC612+'Volumes por intervalo'!R612</f>
        <v>930</v>
      </c>
      <c r="AD613" s="149" t="n">
        <f aca="false">AD612+'Volumes por intervalo'!S612</f>
        <v>0</v>
      </c>
    </row>
    <row r="614" customFormat="false" ht="15" hidden="false" customHeight="false" outlineLevel="0" collapsed="false">
      <c r="A614" s="138" t="s">
        <v>2281</v>
      </c>
      <c r="B614" s="146" t="n">
        <v>609</v>
      </c>
      <c r="C614" s="144" t="n">
        <v>12180</v>
      </c>
      <c r="D614" s="138" t="s">
        <v>1600</v>
      </c>
      <c r="E614" s="138" t="s">
        <v>1601</v>
      </c>
      <c r="F614" s="147" t="n">
        <v>9.5</v>
      </c>
      <c r="G614" s="148" t="n">
        <v>2</v>
      </c>
      <c r="H614" s="148" t="n">
        <v>3</v>
      </c>
      <c r="I614" s="138" t="s">
        <v>1642</v>
      </c>
      <c r="J614" s="138"/>
      <c r="K614" s="146" t="n">
        <f aca="false">Parâmetros!$C$4*(F614+2*Parâmetros!$D$4+Parâmetros!$C$4*Parâmetros!$E$4)</f>
        <v>0.4775</v>
      </c>
      <c r="L614" s="146" t="n">
        <f aca="false">Parâmetros!$C$5*(F614+2*Parâmetros!$D$5+Parâmetros!$C$5*Parâmetros!$E$5)</f>
        <v>1.5776</v>
      </c>
      <c r="M614" s="146" t="n">
        <f aca="false">Parâmetros!$C$6*(F614+2*Parâmetros!$D$6+Parâmetros!$C$6*Parâmetros!$E$6)</f>
        <v>2.084</v>
      </c>
      <c r="N614" s="146" t="n">
        <f aca="false">Parâmetros!$C$7*(F614+2*Parâmetros!$D$7+Parâmetros!$C$7*Parâmetros!$E$7)</f>
        <v>3.336</v>
      </c>
      <c r="O614" s="146" t="n">
        <f aca="false">F614+2*Parâmetros!$D$8</f>
        <v>9.7</v>
      </c>
      <c r="P614" s="146" t="n">
        <f aca="false">F614+2*Parâmetros!$D$10</f>
        <v>11.42</v>
      </c>
      <c r="Q614" s="146" t="n">
        <f aca="false">G614+H614</f>
        <v>5</v>
      </c>
      <c r="S614" s="149" t="n">
        <f aca="false">S613+'Volumes por intervalo'!C613*(F613+F614)/2</f>
        <v>141504.5</v>
      </c>
      <c r="T614" s="149" t="n">
        <f aca="false">T613+'Volumes por intervalo'!H613</f>
        <v>7105.67500000004</v>
      </c>
      <c r="U614" s="149" t="n">
        <f aca="false">U613+'Volumes por intervalo'!J613</f>
        <v>23342.288</v>
      </c>
      <c r="V614" s="149" t="n">
        <f aca="false">V613+'Volumes por intervalo'!K613</f>
        <v>30542.0200000002</v>
      </c>
      <c r="W614" s="149" t="n">
        <f aca="false">W613+'Volumes por intervalo'!L613</f>
        <v>48370.8300000002</v>
      </c>
      <c r="X614" s="149" t="n">
        <f aca="false">X613+'Volumes por intervalo'!M613</f>
        <v>143940.5</v>
      </c>
      <c r="Y614" s="149" t="n">
        <f aca="false">Y613+'Volumes por intervalo'!N613</f>
        <v>143940.5</v>
      </c>
      <c r="Z614" s="149" t="n">
        <f aca="false">Z613+'Volumes por intervalo'!O613</f>
        <v>164890.099999998</v>
      </c>
      <c r="AA614" s="149" t="n">
        <f aca="false">AA613+'Volumes por intervalo'!P613</f>
        <v>62.4</v>
      </c>
      <c r="AB614" s="149" t="n">
        <f aca="false">AB613+'Volumes por intervalo'!Q613</f>
        <v>52</v>
      </c>
      <c r="AC614" s="149" t="n">
        <f aca="false">AC613+'Volumes por intervalo'!R613</f>
        <v>1040</v>
      </c>
      <c r="AD614" s="149" t="n">
        <f aca="false">AD613+'Volumes por intervalo'!S613</f>
        <v>0</v>
      </c>
    </row>
    <row r="615" customFormat="false" ht="15" hidden="false" customHeight="false" outlineLevel="0" collapsed="false">
      <c r="A615" s="138" t="s">
        <v>2282</v>
      </c>
      <c r="B615" s="146" t="n">
        <v>610</v>
      </c>
      <c r="C615" s="144" t="n">
        <v>12200</v>
      </c>
      <c r="D615" s="138" t="s">
        <v>1600</v>
      </c>
      <c r="E615" s="138" t="s">
        <v>1601</v>
      </c>
      <c r="F615" s="147" t="n">
        <v>9.5</v>
      </c>
      <c r="G615" s="148" t="n">
        <v>2</v>
      </c>
      <c r="H615" s="148" t="n">
        <v>3</v>
      </c>
      <c r="I615" s="138" t="s">
        <v>1642</v>
      </c>
      <c r="J615" s="138"/>
      <c r="K615" s="146" t="n">
        <f aca="false">Parâmetros!$C$4*(F615+2*Parâmetros!$D$4+Parâmetros!$C$4*Parâmetros!$E$4)</f>
        <v>0.4775</v>
      </c>
      <c r="L615" s="146" t="n">
        <f aca="false">Parâmetros!$C$5*(F615+2*Parâmetros!$D$5+Parâmetros!$C$5*Parâmetros!$E$5)</f>
        <v>1.5776</v>
      </c>
      <c r="M615" s="146" t="n">
        <f aca="false">Parâmetros!$C$6*(F615+2*Parâmetros!$D$6+Parâmetros!$C$6*Parâmetros!$E$6)</f>
        <v>2.084</v>
      </c>
      <c r="N615" s="146" t="n">
        <f aca="false">Parâmetros!$C$7*(F615+2*Parâmetros!$D$7+Parâmetros!$C$7*Parâmetros!$E$7)</f>
        <v>3.336</v>
      </c>
      <c r="O615" s="146" t="n">
        <f aca="false">F615+2*Parâmetros!$D$8</f>
        <v>9.7</v>
      </c>
      <c r="P615" s="146" t="n">
        <f aca="false">F615+2*Parâmetros!$D$10</f>
        <v>11.42</v>
      </c>
      <c r="Q615" s="146" t="n">
        <f aca="false">G615+H615</f>
        <v>5</v>
      </c>
      <c r="S615" s="149" t="n">
        <f aca="false">S614+'Volumes por intervalo'!C614*(F614+F615)/2</f>
        <v>141694.5</v>
      </c>
      <c r="T615" s="149" t="n">
        <f aca="false">T614+'Volumes por intervalo'!H614</f>
        <v>7115.22500000004</v>
      </c>
      <c r="U615" s="149" t="n">
        <f aca="false">U614+'Volumes por intervalo'!J614</f>
        <v>23373.84</v>
      </c>
      <c r="V615" s="149" t="n">
        <f aca="false">V614+'Volumes por intervalo'!K614</f>
        <v>30583.7000000002</v>
      </c>
      <c r="W615" s="149" t="n">
        <f aca="false">W614+'Volumes por intervalo'!L614</f>
        <v>48437.5500000002</v>
      </c>
      <c r="X615" s="149" t="n">
        <f aca="false">X614+'Volumes por intervalo'!M614</f>
        <v>144134.5</v>
      </c>
      <c r="Y615" s="149" t="n">
        <f aca="false">Y614+'Volumes por intervalo'!N614</f>
        <v>144134.5</v>
      </c>
      <c r="Z615" s="149" t="n">
        <f aca="false">Z614+'Volumes por intervalo'!O614</f>
        <v>165118.499999998</v>
      </c>
      <c r="AA615" s="149" t="n">
        <f aca="false">AA614+'Volumes por intervalo'!P614</f>
        <v>68.4</v>
      </c>
      <c r="AB615" s="149" t="n">
        <f aca="false">AB614+'Volumes por intervalo'!Q614</f>
        <v>57</v>
      </c>
      <c r="AC615" s="149" t="n">
        <f aca="false">AC614+'Volumes por intervalo'!R614</f>
        <v>1140</v>
      </c>
      <c r="AD615" s="149" t="n">
        <f aca="false">AD614+'Volumes por intervalo'!S614</f>
        <v>0</v>
      </c>
    </row>
    <row r="616" customFormat="false" ht="15" hidden="false" customHeight="false" outlineLevel="0" collapsed="false">
      <c r="A616" s="138" t="s">
        <v>2283</v>
      </c>
      <c r="B616" s="146" t="n">
        <v>611</v>
      </c>
      <c r="C616" s="144" t="n">
        <v>12220</v>
      </c>
      <c r="D616" s="138" t="s">
        <v>1600</v>
      </c>
      <c r="E616" s="138" t="s">
        <v>1601</v>
      </c>
      <c r="F616" s="147" t="n">
        <v>11</v>
      </c>
      <c r="G616" s="148" t="n">
        <v>2</v>
      </c>
      <c r="H616" s="148" t="n">
        <v>3</v>
      </c>
      <c r="I616" s="138" t="s">
        <v>1642</v>
      </c>
      <c r="J616" s="138"/>
      <c r="K616" s="146" t="n">
        <f aca="false">Parâmetros!$C$4*(F616+2*Parâmetros!$D$4+Parâmetros!$C$4*Parâmetros!$E$4)</f>
        <v>0.5525</v>
      </c>
      <c r="L616" s="146" t="n">
        <f aca="false">Parâmetros!$C$5*(F616+2*Parâmetros!$D$5+Parâmetros!$C$5*Parâmetros!$E$5)</f>
        <v>1.8176</v>
      </c>
      <c r="M616" s="146" t="n">
        <f aca="false">Parâmetros!$C$6*(F616+2*Parâmetros!$D$6+Parâmetros!$C$6*Parâmetros!$E$6)</f>
        <v>2.384</v>
      </c>
      <c r="N616" s="146" t="n">
        <f aca="false">Parâmetros!$C$7*(F616+2*Parâmetros!$D$7+Parâmetros!$C$7*Parâmetros!$E$7)</f>
        <v>3.786</v>
      </c>
      <c r="O616" s="146" t="n">
        <f aca="false">F616+2*Parâmetros!$D$8</f>
        <v>11.2</v>
      </c>
      <c r="P616" s="146" t="n">
        <f aca="false">F616+2*Parâmetros!$D$10</f>
        <v>12.92</v>
      </c>
      <c r="Q616" s="146" t="n">
        <f aca="false">G616+H616</f>
        <v>5</v>
      </c>
      <c r="S616" s="149" t="n">
        <f aca="false">S615+'Volumes por intervalo'!C615*(F615+F616)/2</f>
        <v>141899.5</v>
      </c>
      <c r="T616" s="149" t="n">
        <f aca="false">T615+'Volumes por intervalo'!H615</f>
        <v>7125.52500000004</v>
      </c>
      <c r="U616" s="149" t="n">
        <f aca="false">U615+'Volumes por intervalo'!J615</f>
        <v>23407.792</v>
      </c>
      <c r="V616" s="149" t="n">
        <f aca="false">V615+'Volumes por intervalo'!K615</f>
        <v>30628.3800000002</v>
      </c>
      <c r="W616" s="149" t="n">
        <f aca="false">W615+'Volumes por intervalo'!L615</f>
        <v>48508.7700000002</v>
      </c>
      <c r="X616" s="149" t="n">
        <f aca="false">X615+'Volumes por intervalo'!M615</f>
        <v>144343.5</v>
      </c>
      <c r="Y616" s="149" t="n">
        <f aca="false">Y615+'Volumes por intervalo'!N615</f>
        <v>144343.5</v>
      </c>
      <c r="Z616" s="149" t="n">
        <f aca="false">Z615+'Volumes por intervalo'!O615</f>
        <v>165361.899999998</v>
      </c>
      <c r="AA616" s="149" t="n">
        <f aca="false">AA615+'Volumes por intervalo'!P615</f>
        <v>74.4</v>
      </c>
      <c r="AB616" s="149" t="n">
        <f aca="false">AB615+'Volumes por intervalo'!Q615</f>
        <v>62</v>
      </c>
      <c r="AC616" s="149" t="n">
        <f aca="false">AC615+'Volumes por intervalo'!R615</f>
        <v>1240</v>
      </c>
      <c r="AD616" s="149" t="n">
        <f aca="false">AD615+'Volumes por intervalo'!S615</f>
        <v>0</v>
      </c>
    </row>
    <row r="617" customFormat="false" ht="15" hidden="false" customHeight="false" outlineLevel="0" collapsed="false">
      <c r="A617" s="138" t="s">
        <v>2284</v>
      </c>
      <c r="B617" s="146" t="n">
        <v>612</v>
      </c>
      <c r="C617" s="144" t="n">
        <v>12240</v>
      </c>
      <c r="D617" s="138" t="s">
        <v>1600</v>
      </c>
      <c r="E617" s="138" t="s">
        <v>1601</v>
      </c>
      <c r="F617" s="147" t="n">
        <v>11</v>
      </c>
      <c r="G617" s="148" t="n">
        <v>2</v>
      </c>
      <c r="H617" s="148" t="n">
        <v>3</v>
      </c>
      <c r="I617" s="138" t="s">
        <v>1642</v>
      </c>
      <c r="J617" s="138"/>
      <c r="K617" s="146" t="n">
        <f aca="false">Parâmetros!$C$4*(F617+2*Parâmetros!$D$4+Parâmetros!$C$4*Parâmetros!$E$4)</f>
        <v>0.5525</v>
      </c>
      <c r="L617" s="146" t="n">
        <f aca="false">Parâmetros!$C$5*(F617+2*Parâmetros!$D$5+Parâmetros!$C$5*Parâmetros!$E$5)</f>
        <v>1.8176</v>
      </c>
      <c r="M617" s="146" t="n">
        <f aca="false">Parâmetros!$C$6*(F617+2*Parâmetros!$D$6+Parâmetros!$C$6*Parâmetros!$E$6)</f>
        <v>2.384</v>
      </c>
      <c r="N617" s="146" t="n">
        <f aca="false">Parâmetros!$C$7*(F617+2*Parâmetros!$D$7+Parâmetros!$C$7*Parâmetros!$E$7)</f>
        <v>3.786</v>
      </c>
      <c r="O617" s="146" t="n">
        <f aca="false">F617+2*Parâmetros!$D$8</f>
        <v>11.2</v>
      </c>
      <c r="P617" s="146" t="n">
        <f aca="false">F617+2*Parâmetros!$D$10</f>
        <v>12.92</v>
      </c>
      <c r="Q617" s="146" t="n">
        <f aca="false">G617+H617</f>
        <v>5</v>
      </c>
      <c r="S617" s="149" t="n">
        <f aca="false">S616+'Volumes por intervalo'!C616*(F616+F617)/2</f>
        <v>142119.5</v>
      </c>
      <c r="T617" s="149" t="n">
        <f aca="false">T616+'Volumes por intervalo'!H616</f>
        <v>7136.57500000004</v>
      </c>
      <c r="U617" s="149" t="n">
        <f aca="false">U616+'Volumes por intervalo'!J616</f>
        <v>23444.144</v>
      </c>
      <c r="V617" s="149" t="n">
        <f aca="false">V616+'Volumes por intervalo'!K616</f>
        <v>30676.0600000002</v>
      </c>
      <c r="W617" s="149" t="n">
        <f aca="false">W616+'Volumes por intervalo'!L616</f>
        <v>48584.4900000002</v>
      </c>
      <c r="X617" s="149" t="n">
        <f aca="false">X616+'Volumes por intervalo'!M616</f>
        <v>144567.5</v>
      </c>
      <c r="Y617" s="149" t="n">
        <f aca="false">Y616+'Volumes por intervalo'!N616</f>
        <v>144567.5</v>
      </c>
      <c r="Z617" s="149" t="n">
        <f aca="false">Z616+'Volumes por intervalo'!O616</f>
        <v>165620.299999998</v>
      </c>
      <c r="AA617" s="149" t="n">
        <f aca="false">AA616+'Volumes por intervalo'!P616</f>
        <v>80.4</v>
      </c>
      <c r="AB617" s="149" t="n">
        <f aca="false">AB616+'Volumes por intervalo'!Q616</f>
        <v>67</v>
      </c>
      <c r="AC617" s="149" t="n">
        <f aca="false">AC616+'Volumes por intervalo'!R616</f>
        <v>1340</v>
      </c>
      <c r="AD617" s="149" t="n">
        <f aca="false">AD616+'Volumes por intervalo'!S616</f>
        <v>0</v>
      </c>
    </row>
    <row r="618" customFormat="false" ht="15" hidden="false" customHeight="false" outlineLevel="0" collapsed="false">
      <c r="A618" s="138" t="s">
        <v>2285</v>
      </c>
      <c r="B618" s="146" t="n">
        <v>613</v>
      </c>
      <c r="C618" s="144" t="n">
        <v>12260</v>
      </c>
      <c r="D618" s="138" t="s">
        <v>1600</v>
      </c>
      <c r="E618" s="138" t="s">
        <v>1601</v>
      </c>
      <c r="F618" s="147" t="n">
        <v>11</v>
      </c>
      <c r="G618" s="148" t="n">
        <v>2</v>
      </c>
      <c r="H618" s="148" t="n">
        <v>3</v>
      </c>
      <c r="I618" s="138" t="s">
        <v>1642</v>
      </c>
      <c r="J618" s="138"/>
      <c r="K618" s="146" t="n">
        <f aca="false">Parâmetros!$C$4*(F618+2*Parâmetros!$D$4+Parâmetros!$C$4*Parâmetros!$E$4)</f>
        <v>0.5525</v>
      </c>
      <c r="L618" s="146" t="n">
        <f aca="false">Parâmetros!$C$5*(F618+2*Parâmetros!$D$5+Parâmetros!$C$5*Parâmetros!$E$5)</f>
        <v>1.8176</v>
      </c>
      <c r="M618" s="146" t="n">
        <f aca="false">Parâmetros!$C$6*(F618+2*Parâmetros!$D$6+Parâmetros!$C$6*Parâmetros!$E$6)</f>
        <v>2.384</v>
      </c>
      <c r="N618" s="146" t="n">
        <f aca="false">Parâmetros!$C$7*(F618+2*Parâmetros!$D$7+Parâmetros!$C$7*Parâmetros!$E$7)</f>
        <v>3.786</v>
      </c>
      <c r="O618" s="146" t="n">
        <f aca="false">F618+2*Parâmetros!$D$8</f>
        <v>11.2</v>
      </c>
      <c r="P618" s="146" t="n">
        <f aca="false">F618+2*Parâmetros!$D$10</f>
        <v>12.92</v>
      </c>
      <c r="Q618" s="146" t="n">
        <f aca="false">G618+H618</f>
        <v>5</v>
      </c>
      <c r="S618" s="149" t="n">
        <f aca="false">S617+'Volumes por intervalo'!C617*(F617+F618)/2</f>
        <v>142339.5</v>
      </c>
      <c r="T618" s="149" t="n">
        <f aca="false">T617+'Volumes por intervalo'!H617</f>
        <v>7147.62500000004</v>
      </c>
      <c r="U618" s="149" t="n">
        <f aca="false">U617+'Volumes por intervalo'!J617</f>
        <v>23480.496</v>
      </c>
      <c r="V618" s="149" t="n">
        <f aca="false">V617+'Volumes por intervalo'!K617</f>
        <v>30723.7400000002</v>
      </c>
      <c r="W618" s="149" t="n">
        <f aca="false">W617+'Volumes por intervalo'!L617</f>
        <v>48660.2100000002</v>
      </c>
      <c r="X618" s="149" t="n">
        <f aca="false">X617+'Volumes por intervalo'!M617</f>
        <v>144791.5</v>
      </c>
      <c r="Y618" s="149" t="n">
        <f aca="false">Y617+'Volumes por intervalo'!N617</f>
        <v>144791.5</v>
      </c>
      <c r="Z618" s="149" t="n">
        <f aca="false">Z617+'Volumes por intervalo'!O617</f>
        <v>165878.699999998</v>
      </c>
      <c r="AA618" s="149" t="n">
        <f aca="false">AA617+'Volumes por intervalo'!P617</f>
        <v>86.4</v>
      </c>
      <c r="AB618" s="149" t="n">
        <f aca="false">AB617+'Volumes por intervalo'!Q617</f>
        <v>72</v>
      </c>
      <c r="AC618" s="149" t="n">
        <f aca="false">AC617+'Volumes por intervalo'!R617</f>
        <v>1440</v>
      </c>
      <c r="AD618" s="149" t="n">
        <f aca="false">AD617+'Volumes por intervalo'!S617</f>
        <v>0</v>
      </c>
    </row>
    <row r="619" customFormat="false" ht="15" hidden="false" customHeight="false" outlineLevel="0" collapsed="false">
      <c r="A619" s="138" t="s">
        <v>2286</v>
      </c>
      <c r="B619" s="146" t="n">
        <v>614</v>
      </c>
      <c r="C619" s="144" t="n">
        <v>12280</v>
      </c>
      <c r="D619" s="138" t="s">
        <v>1600</v>
      </c>
      <c r="E619" s="138" t="s">
        <v>1601</v>
      </c>
      <c r="F619" s="147" t="n">
        <v>11</v>
      </c>
      <c r="G619" s="148" t="n">
        <v>2</v>
      </c>
      <c r="H619" s="148" t="n">
        <v>3</v>
      </c>
      <c r="I619" s="138" t="s">
        <v>1642</v>
      </c>
      <c r="J619" s="138"/>
      <c r="K619" s="146" t="n">
        <f aca="false">Parâmetros!$C$4*(F619+2*Parâmetros!$D$4+Parâmetros!$C$4*Parâmetros!$E$4)</f>
        <v>0.5525</v>
      </c>
      <c r="L619" s="146" t="n">
        <f aca="false">Parâmetros!$C$5*(F619+2*Parâmetros!$D$5+Parâmetros!$C$5*Parâmetros!$E$5)</f>
        <v>1.8176</v>
      </c>
      <c r="M619" s="146" t="n">
        <f aca="false">Parâmetros!$C$6*(F619+2*Parâmetros!$D$6+Parâmetros!$C$6*Parâmetros!$E$6)</f>
        <v>2.384</v>
      </c>
      <c r="N619" s="146" t="n">
        <f aca="false">Parâmetros!$C$7*(F619+2*Parâmetros!$D$7+Parâmetros!$C$7*Parâmetros!$E$7)</f>
        <v>3.786</v>
      </c>
      <c r="O619" s="146" t="n">
        <f aca="false">F619+2*Parâmetros!$D$8</f>
        <v>11.2</v>
      </c>
      <c r="P619" s="146" t="n">
        <f aca="false">F619+2*Parâmetros!$D$10</f>
        <v>12.92</v>
      </c>
      <c r="Q619" s="146" t="n">
        <f aca="false">G619+H619</f>
        <v>5</v>
      </c>
      <c r="S619" s="149" t="n">
        <f aca="false">S618+'Volumes por intervalo'!C618*(F618+F619)/2</f>
        <v>142559.5</v>
      </c>
      <c r="T619" s="149" t="n">
        <f aca="false">T618+'Volumes por intervalo'!H618</f>
        <v>7158.67500000004</v>
      </c>
      <c r="U619" s="149" t="n">
        <f aca="false">U618+'Volumes por intervalo'!J618</f>
        <v>23516.848</v>
      </c>
      <c r="V619" s="149" t="n">
        <f aca="false">V618+'Volumes por intervalo'!K618</f>
        <v>30771.4200000002</v>
      </c>
      <c r="W619" s="149" t="n">
        <f aca="false">W618+'Volumes por intervalo'!L618</f>
        <v>48735.9300000002</v>
      </c>
      <c r="X619" s="149" t="n">
        <f aca="false">X618+'Volumes por intervalo'!M618</f>
        <v>145015.5</v>
      </c>
      <c r="Y619" s="149" t="n">
        <f aca="false">Y618+'Volumes por intervalo'!N618</f>
        <v>145015.5</v>
      </c>
      <c r="Z619" s="149" t="n">
        <f aca="false">Z618+'Volumes por intervalo'!O618</f>
        <v>166137.099999998</v>
      </c>
      <c r="AA619" s="149" t="n">
        <f aca="false">AA618+'Volumes por intervalo'!P618</f>
        <v>92.4</v>
      </c>
      <c r="AB619" s="149" t="n">
        <f aca="false">AB618+'Volumes por intervalo'!Q618</f>
        <v>77</v>
      </c>
      <c r="AC619" s="149" t="n">
        <f aca="false">AC618+'Volumes por intervalo'!R618</f>
        <v>1540</v>
      </c>
      <c r="AD619" s="149" t="n">
        <f aca="false">AD618+'Volumes por intervalo'!S618</f>
        <v>0</v>
      </c>
    </row>
    <row r="620" customFormat="false" ht="15" hidden="false" customHeight="false" outlineLevel="0" collapsed="false">
      <c r="A620" s="138" t="s">
        <v>2287</v>
      </c>
      <c r="B620" s="146" t="n">
        <v>615</v>
      </c>
      <c r="C620" s="144" t="n">
        <v>12300</v>
      </c>
      <c r="D620" s="138" t="s">
        <v>1600</v>
      </c>
      <c r="E620" s="138" t="s">
        <v>1601</v>
      </c>
      <c r="F620" s="147" t="n">
        <v>9.5</v>
      </c>
      <c r="G620" s="148" t="n">
        <v>2</v>
      </c>
      <c r="H620" s="148" t="n">
        <v>3</v>
      </c>
      <c r="I620" s="138" t="s">
        <v>1642</v>
      </c>
      <c r="J620" s="138"/>
      <c r="K620" s="146" t="n">
        <f aca="false">Parâmetros!$C$4*(F620+2*Parâmetros!$D$4+Parâmetros!$C$4*Parâmetros!$E$4)</f>
        <v>0.4775</v>
      </c>
      <c r="L620" s="146" t="n">
        <f aca="false">Parâmetros!$C$5*(F620+2*Parâmetros!$D$5+Parâmetros!$C$5*Parâmetros!$E$5)</f>
        <v>1.5776</v>
      </c>
      <c r="M620" s="146" t="n">
        <f aca="false">Parâmetros!$C$6*(F620+2*Parâmetros!$D$6+Parâmetros!$C$6*Parâmetros!$E$6)</f>
        <v>2.084</v>
      </c>
      <c r="N620" s="146" t="n">
        <f aca="false">Parâmetros!$C$7*(F620+2*Parâmetros!$D$7+Parâmetros!$C$7*Parâmetros!$E$7)</f>
        <v>3.336</v>
      </c>
      <c r="O620" s="146" t="n">
        <f aca="false">F620+2*Parâmetros!$D$8</f>
        <v>9.7</v>
      </c>
      <c r="P620" s="146" t="n">
        <f aca="false">F620+2*Parâmetros!$D$10</f>
        <v>11.42</v>
      </c>
      <c r="Q620" s="146" t="n">
        <f aca="false">G620+H620</f>
        <v>5</v>
      </c>
      <c r="S620" s="149" t="n">
        <f aca="false">S619+'Volumes por intervalo'!C619*(F619+F620)/2</f>
        <v>142764.5</v>
      </c>
      <c r="T620" s="149" t="n">
        <f aca="false">T619+'Volumes por intervalo'!H619</f>
        <v>7168.97500000004</v>
      </c>
      <c r="U620" s="149" t="n">
        <f aca="false">U619+'Volumes por intervalo'!J619</f>
        <v>23550.8</v>
      </c>
      <c r="V620" s="149" t="n">
        <f aca="false">V619+'Volumes por intervalo'!K619</f>
        <v>30816.1000000002</v>
      </c>
      <c r="W620" s="149" t="n">
        <f aca="false">W619+'Volumes por intervalo'!L619</f>
        <v>48807.1500000002</v>
      </c>
      <c r="X620" s="149" t="n">
        <f aca="false">X619+'Volumes por intervalo'!M619</f>
        <v>145224.5</v>
      </c>
      <c r="Y620" s="149" t="n">
        <f aca="false">Y619+'Volumes por intervalo'!N619</f>
        <v>145224.5</v>
      </c>
      <c r="Z620" s="149" t="n">
        <f aca="false">Z619+'Volumes por intervalo'!O619</f>
        <v>166380.499999998</v>
      </c>
      <c r="AA620" s="149" t="n">
        <f aca="false">AA619+'Volumes por intervalo'!P619</f>
        <v>98.4</v>
      </c>
      <c r="AB620" s="149" t="n">
        <f aca="false">AB619+'Volumes por intervalo'!Q619</f>
        <v>82</v>
      </c>
      <c r="AC620" s="149" t="n">
        <f aca="false">AC619+'Volumes por intervalo'!R619</f>
        <v>1640</v>
      </c>
      <c r="AD620" s="149" t="n">
        <f aca="false">AD619+'Volumes por intervalo'!S619</f>
        <v>0</v>
      </c>
    </row>
    <row r="621" customFormat="false" ht="15" hidden="false" customHeight="false" outlineLevel="0" collapsed="false">
      <c r="A621" s="138" t="s">
        <v>2288</v>
      </c>
      <c r="B621" s="146" t="n">
        <v>616</v>
      </c>
      <c r="C621" s="144" t="n">
        <v>12320</v>
      </c>
      <c r="D621" s="138" t="s">
        <v>1600</v>
      </c>
      <c r="E621" s="138" t="s">
        <v>1601</v>
      </c>
      <c r="F621" s="147" t="n">
        <v>9.5</v>
      </c>
      <c r="G621" s="148" t="n">
        <v>2</v>
      </c>
      <c r="H621" s="148" t="n">
        <v>3</v>
      </c>
      <c r="I621" s="138" t="s">
        <v>1642</v>
      </c>
      <c r="J621" s="138"/>
      <c r="K621" s="146" t="n">
        <f aca="false">Parâmetros!$C$4*(F621+2*Parâmetros!$D$4+Parâmetros!$C$4*Parâmetros!$E$4)</f>
        <v>0.4775</v>
      </c>
      <c r="L621" s="146" t="n">
        <f aca="false">Parâmetros!$C$5*(F621+2*Parâmetros!$D$5+Parâmetros!$C$5*Parâmetros!$E$5)</f>
        <v>1.5776</v>
      </c>
      <c r="M621" s="146" t="n">
        <f aca="false">Parâmetros!$C$6*(F621+2*Parâmetros!$D$6+Parâmetros!$C$6*Parâmetros!$E$6)</f>
        <v>2.084</v>
      </c>
      <c r="N621" s="146" t="n">
        <f aca="false">Parâmetros!$C$7*(F621+2*Parâmetros!$D$7+Parâmetros!$C$7*Parâmetros!$E$7)</f>
        <v>3.336</v>
      </c>
      <c r="O621" s="146" t="n">
        <f aca="false">F621+2*Parâmetros!$D$8</f>
        <v>9.7</v>
      </c>
      <c r="P621" s="146" t="n">
        <f aca="false">F621+2*Parâmetros!$D$10</f>
        <v>11.42</v>
      </c>
      <c r="Q621" s="146" t="n">
        <f aca="false">G621+H621</f>
        <v>5</v>
      </c>
      <c r="S621" s="149" t="n">
        <f aca="false">S620+'Volumes por intervalo'!C620*(F620+F621)/2</f>
        <v>142954.5</v>
      </c>
      <c r="T621" s="149" t="n">
        <f aca="false">T620+'Volumes por intervalo'!H620</f>
        <v>7178.52500000004</v>
      </c>
      <c r="U621" s="149" t="n">
        <f aca="false">U620+'Volumes por intervalo'!J620</f>
        <v>23582.352</v>
      </c>
      <c r="V621" s="149" t="n">
        <f aca="false">V620+'Volumes por intervalo'!K620</f>
        <v>30857.7800000002</v>
      </c>
      <c r="W621" s="149" t="n">
        <f aca="false">W620+'Volumes por intervalo'!L620</f>
        <v>48873.8700000002</v>
      </c>
      <c r="X621" s="149" t="n">
        <f aca="false">X620+'Volumes por intervalo'!M620</f>
        <v>145418.5</v>
      </c>
      <c r="Y621" s="149" t="n">
        <f aca="false">Y620+'Volumes por intervalo'!N620</f>
        <v>145418.5</v>
      </c>
      <c r="Z621" s="149" t="n">
        <f aca="false">Z620+'Volumes por intervalo'!O620</f>
        <v>166608.899999998</v>
      </c>
      <c r="AA621" s="149" t="n">
        <f aca="false">AA620+'Volumes por intervalo'!P620</f>
        <v>104.4</v>
      </c>
      <c r="AB621" s="149" t="n">
        <f aca="false">AB620+'Volumes por intervalo'!Q620</f>
        <v>87</v>
      </c>
      <c r="AC621" s="149" t="n">
        <f aca="false">AC620+'Volumes por intervalo'!R620</f>
        <v>1740</v>
      </c>
      <c r="AD621" s="149" t="n">
        <f aca="false">AD620+'Volumes por intervalo'!S620</f>
        <v>0</v>
      </c>
    </row>
    <row r="622" customFormat="false" ht="15" hidden="false" customHeight="false" outlineLevel="0" collapsed="false">
      <c r="A622" s="138" t="s">
        <v>2289</v>
      </c>
      <c r="B622" s="146" t="n">
        <v>617</v>
      </c>
      <c r="C622" s="144" t="n">
        <v>12340</v>
      </c>
      <c r="D622" s="138" t="s">
        <v>1600</v>
      </c>
      <c r="E622" s="138" t="s">
        <v>1601</v>
      </c>
      <c r="F622" s="147" t="n">
        <v>9.5</v>
      </c>
      <c r="G622" s="148" t="n">
        <v>2</v>
      </c>
      <c r="H622" s="148" t="n">
        <v>3</v>
      </c>
      <c r="I622" s="138" t="s">
        <v>1642</v>
      </c>
      <c r="J622" s="138"/>
      <c r="K622" s="146" t="n">
        <f aca="false">Parâmetros!$C$4*(F622+2*Parâmetros!$D$4+Parâmetros!$C$4*Parâmetros!$E$4)</f>
        <v>0.4775</v>
      </c>
      <c r="L622" s="146" t="n">
        <f aca="false">Parâmetros!$C$5*(F622+2*Parâmetros!$D$5+Parâmetros!$C$5*Parâmetros!$E$5)</f>
        <v>1.5776</v>
      </c>
      <c r="M622" s="146" t="n">
        <f aca="false">Parâmetros!$C$6*(F622+2*Parâmetros!$D$6+Parâmetros!$C$6*Parâmetros!$E$6)</f>
        <v>2.084</v>
      </c>
      <c r="N622" s="146" t="n">
        <f aca="false">Parâmetros!$C$7*(F622+2*Parâmetros!$D$7+Parâmetros!$C$7*Parâmetros!$E$7)</f>
        <v>3.336</v>
      </c>
      <c r="O622" s="146" t="n">
        <f aca="false">F622+2*Parâmetros!$D$8</f>
        <v>9.7</v>
      </c>
      <c r="P622" s="146" t="n">
        <f aca="false">F622+2*Parâmetros!$D$10</f>
        <v>11.42</v>
      </c>
      <c r="Q622" s="146" t="n">
        <f aca="false">G622+H622</f>
        <v>5</v>
      </c>
      <c r="S622" s="149" t="n">
        <f aca="false">S621+'Volumes por intervalo'!C621*(F621+F622)/2</f>
        <v>143144.5</v>
      </c>
      <c r="T622" s="149" t="n">
        <f aca="false">T621+'Volumes por intervalo'!H621</f>
        <v>7188.07500000004</v>
      </c>
      <c r="U622" s="149" t="n">
        <f aca="false">U621+'Volumes por intervalo'!J621</f>
        <v>23613.904</v>
      </c>
      <c r="V622" s="149" t="n">
        <f aca="false">V621+'Volumes por intervalo'!K621</f>
        <v>30899.4600000002</v>
      </c>
      <c r="W622" s="149" t="n">
        <f aca="false">W621+'Volumes por intervalo'!L621</f>
        <v>48940.5900000002</v>
      </c>
      <c r="X622" s="149" t="n">
        <f aca="false">X621+'Volumes por intervalo'!M621</f>
        <v>145612.5</v>
      </c>
      <c r="Y622" s="149" t="n">
        <f aca="false">Y621+'Volumes por intervalo'!N621</f>
        <v>145612.5</v>
      </c>
      <c r="Z622" s="149" t="n">
        <f aca="false">Z621+'Volumes por intervalo'!O621</f>
        <v>166837.299999998</v>
      </c>
      <c r="AA622" s="149" t="n">
        <f aca="false">AA621+'Volumes por intervalo'!P621</f>
        <v>110.4</v>
      </c>
      <c r="AB622" s="149" t="n">
        <f aca="false">AB621+'Volumes por intervalo'!Q621</f>
        <v>92</v>
      </c>
      <c r="AC622" s="149" t="n">
        <f aca="false">AC621+'Volumes por intervalo'!R621</f>
        <v>1840</v>
      </c>
      <c r="AD622" s="149" t="n">
        <f aca="false">AD621+'Volumes por intervalo'!S621</f>
        <v>0</v>
      </c>
    </row>
    <row r="623" customFormat="false" ht="15" hidden="false" customHeight="false" outlineLevel="0" collapsed="false">
      <c r="A623" s="138" t="s">
        <v>2290</v>
      </c>
      <c r="B623" s="146" t="n">
        <v>618</v>
      </c>
      <c r="C623" s="144" t="n">
        <v>12360</v>
      </c>
      <c r="D623" s="138" t="s">
        <v>1600</v>
      </c>
      <c r="E623" s="138" t="s">
        <v>1601</v>
      </c>
      <c r="F623" s="147" t="n">
        <v>9.5</v>
      </c>
      <c r="G623" s="148" t="n">
        <v>2</v>
      </c>
      <c r="H623" s="148" t="n">
        <v>3</v>
      </c>
      <c r="I623" s="138" t="s">
        <v>1642</v>
      </c>
      <c r="J623" s="138"/>
      <c r="K623" s="146" t="n">
        <f aca="false">Parâmetros!$C$4*(F623+2*Parâmetros!$D$4+Parâmetros!$C$4*Parâmetros!$E$4)</f>
        <v>0.4775</v>
      </c>
      <c r="L623" s="146" t="n">
        <f aca="false">Parâmetros!$C$5*(F623+2*Parâmetros!$D$5+Parâmetros!$C$5*Parâmetros!$E$5)</f>
        <v>1.5776</v>
      </c>
      <c r="M623" s="146" t="n">
        <f aca="false">Parâmetros!$C$6*(F623+2*Parâmetros!$D$6+Parâmetros!$C$6*Parâmetros!$E$6)</f>
        <v>2.084</v>
      </c>
      <c r="N623" s="146" t="n">
        <f aca="false">Parâmetros!$C$7*(F623+2*Parâmetros!$D$7+Parâmetros!$C$7*Parâmetros!$E$7)</f>
        <v>3.336</v>
      </c>
      <c r="O623" s="146" t="n">
        <f aca="false">F623+2*Parâmetros!$D$8</f>
        <v>9.7</v>
      </c>
      <c r="P623" s="146" t="n">
        <f aca="false">F623+2*Parâmetros!$D$10</f>
        <v>11.42</v>
      </c>
      <c r="Q623" s="146" t="n">
        <f aca="false">G623+H623</f>
        <v>5</v>
      </c>
      <c r="S623" s="149" t="n">
        <f aca="false">S622+'Volumes por intervalo'!C622*(F622+F623)/2</f>
        <v>143334.5</v>
      </c>
      <c r="T623" s="149" t="n">
        <f aca="false">T622+'Volumes por intervalo'!H622</f>
        <v>7197.62500000004</v>
      </c>
      <c r="U623" s="149" t="n">
        <f aca="false">U622+'Volumes por intervalo'!J622</f>
        <v>23645.456</v>
      </c>
      <c r="V623" s="149" t="n">
        <f aca="false">V622+'Volumes por intervalo'!K622</f>
        <v>30941.1400000002</v>
      </c>
      <c r="W623" s="149" t="n">
        <f aca="false">W622+'Volumes por intervalo'!L622</f>
        <v>49007.3100000002</v>
      </c>
      <c r="X623" s="149" t="n">
        <f aca="false">X622+'Volumes por intervalo'!M622</f>
        <v>145806.5</v>
      </c>
      <c r="Y623" s="149" t="n">
        <f aca="false">Y622+'Volumes por intervalo'!N622</f>
        <v>145806.5</v>
      </c>
      <c r="Z623" s="149" t="n">
        <f aca="false">Z622+'Volumes por intervalo'!O622</f>
        <v>167065.699999998</v>
      </c>
      <c r="AA623" s="149" t="n">
        <f aca="false">AA622+'Volumes por intervalo'!P622</f>
        <v>116.4</v>
      </c>
      <c r="AB623" s="149" t="n">
        <f aca="false">AB622+'Volumes por intervalo'!Q622</f>
        <v>97</v>
      </c>
      <c r="AC623" s="149" t="n">
        <f aca="false">AC622+'Volumes por intervalo'!R622</f>
        <v>1940</v>
      </c>
      <c r="AD623" s="149" t="n">
        <f aca="false">AD622+'Volumes por intervalo'!S622</f>
        <v>0</v>
      </c>
    </row>
    <row r="624" customFormat="false" ht="15" hidden="false" customHeight="false" outlineLevel="0" collapsed="false">
      <c r="A624" s="138" t="s">
        <v>2291</v>
      </c>
      <c r="B624" s="146" t="n">
        <v>619</v>
      </c>
      <c r="C624" s="144" t="n">
        <v>12380</v>
      </c>
      <c r="D624" s="138" t="s">
        <v>1600</v>
      </c>
      <c r="E624" s="138" t="s">
        <v>1601</v>
      </c>
      <c r="F624" s="147" t="n">
        <v>9.5</v>
      </c>
      <c r="G624" s="148" t="n">
        <v>2</v>
      </c>
      <c r="H624" s="148" t="n">
        <v>3</v>
      </c>
      <c r="I624" s="138" t="s">
        <v>1642</v>
      </c>
      <c r="J624" s="138"/>
      <c r="K624" s="146" t="n">
        <f aca="false">Parâmetros!$C$4*(F624+2*Parâmetros!$D$4+Parâmetros!$C$4*Parâmetros!$E$4)</f>
        <v>0.4775</v>
      </c>
      <c r="L624" s="146" t="n">
        <f aca="false">Parâmetros!$C$5*(F624+2*Parâmetros!$D$5+Parâmetros!$C$5*Parâmetros!$E$5)</f>
        <v>1.5776</v>
      </c>
      <c r="M624" s="146" t="n">
        <f aca="false">Parâmetros!$C$6*(F624+2*Parâmetros!$D$6+Parâmetros!$C$6*Parâmetros!$E$6)</f>
        <v>2.084</v>
      </c>
      <c r="N624" s="146" t="n">
        <f aca="false">Parâmetros!$C$7*(F624+2*Parâmetros!$D$7+Parâmetros!$C$7*Parâmetros!$E$7)</f>
        <v>3.336</v>
      </c>
      <c r="O624" s="146" t="n">
        <f aca="false">F624+2*Parâmetros!$D$8</f>
        <v>9.7</v>
      </c>
      <c r="P624" s="146" t="n">
        <f aca="false">F624+2*Parâmetros!$D$10</f>
        <v>11.42</v>
      </c>
      <c r="Q624" s="146" t="n">
        <f aca="false">G624+H624</f>
        <v>5</v>
      </c>
      <c r="S624" s="149" t="n">
        <f aca="false">S623+'Volumes por intervalo'!C623*(F623+F624)/2</f>
        <v>143524.5</v>
      </c>
      <c r="T624" s="149" t="n">
        <f aca="false">T623+'Volumes por intervalo'!H623</f>
        <v>7207.17500000004</v>
      </c>
      <c r="U624" s="149" t="n">
        <f aca="false">U623+'Volumes por intervalo'!J623</f>
        <v>23677.008</v>
      </c>
      <c r="V624" s="149" t="n">
        <f aca="false">V623+'Volumes por intervalo'!K623</f>
        <v>30982.8200000002</v>
      </c>
      <c r="W624" s="149" t="n">
        <f aca="false">W623+'Volumes por intervalo'!L623</f>
        <v>49074.0300000002</v>
      </c>
      <c r="X624" s="149" t="n">
        <f aca="false">X623+'Volumes por intervalo'!M623</f>
        <v>146000.5</v>
      </c>
      <c r="Y624" s="149" t="n">
        <f aca="false">Y623+'Volumes por intervalo'!N623</f>
        <v>146000.5</v>
      </c>
      <c r="Z624" s="149" t="n">
        <f aca="false">Z623+'Volumes por intervalo'!O623</f>
        <v>167294.099999998</v>
      </c>
      <c r="AA624" s="149" t="n">
        <f aca="false">AA623+'Volumes por intervalo'!P623</f>
        <v>122.4</v>
      </c>
      <c r="AB624" s="149" t="n">
        <f aca="false">AB623+'Volumes por intervalo'!Q623</f>
        <v>102</v>
      </c>
      <c r="AC624" s="149" t="n">
        <f aca="false">AC623+'Volumes por intervalo'!R623</f>
        <v>2040</v>
      </c>
      <c r="AD624" s="149" t="n">
        <f aca="false">AD623+'Volumes por intervalo'!S623</f>
        <v>0</v>
      </c>
    </row>
    <row r="625" customFormat="false" ht="15" hidden="false" customHeight="false" outlineLevel="0" collapsed="false">
      <c r="A625" s="138" t="s">
        <v>2292</v>
      </c>
      <c r="B625" s="146" t="n">
        <v>620</v>
      </c>
      <c r="C625" s="144" t="n">
        <v>12400</v>
      </c>
      <c r="D625" s="138" t="s">
        <v>1600</v>
      </c>
      <c r="E625" s="138" t="s">
        <v>1601</v>
      </c>
      <c r="F625" s="147" t="n">
        <v>9.5</v>
      </c>
      <c r="G625" s="148" t="n">
        <v>2</v>
      </c>
      <c r="H625" s="148" t="n">
        <v>3</v>
      </c>
      <c r="I625" s="138" t="s">
        <v>1642</v>
      </c>
      <c r="J625" s="138"/>
      <c r="K625" s="146" t="n">
        <f aca="false">Parâmetros!$C$4*(F625+2*Parâmetros!$D$4+Parâmetros!$C$4*Parâmetros!$E$4)</f>
        <v>0.4775</v>
      </c>
      <c r="L625" s="146" t="n">
        <f aca="false">Parâmetros!$C$5*(F625+2*Parâmetros!$D$5+Parâmetros!$C$5*Parâmetros!$E$5)</f>
        <v>1.5776</v>
      </c>
      <c r="M625" s="146" t="n">
        <f aca="false">Parâmetros!$C$6*(F625+2*Parâmetros!$D$6+Parâmetros!$C$6*Parâmetros!$E$6)</f>
        <v>2.084</v>
      </c>
      <c r="N625" s="146" t="n">
        <f aca="false">Parâmetros!$C$7*(F625+2*Parâmetros!$D$7+Parâmetros!$C$7*Parâmetros!$E$7)</f>
        <v>3.336</v>
      </c>
      <c r="O625" s="146" t="n">
        <f aca="false">F625+2*Parâmetros!$D$8</f>
        <v>9.7</v>
      </c>
      <c r="P625" s="146" t="n">
        <f aca="false">F625+2*Parâmetros!$D$10</f>
        <v>11.42</v>
      </c>
      <c r="Q625" s="146" t="n">
        <f aca="false">G625+H625</f>
        <v>5</v>
      </c>
      <c r="S625" s="149" t="n">
        <f aca="false">S624+'Volumes por intervalo'!C624*(F624+F625)/2</f>
        <v>143714.5</v>
      </c>
      <c r="T625" s="149" t="n">
        <f aca="false">T624+'Volumes por intervalo'!H624</f>
        <v>7216.72500000004</v>
      </c>
      <c r="U625" s="149" t="n">
        <f aca="false">U624+'Volumes por intervalo'!J624</f>
        <v>23708.56</v>
      </c>
      <c r="V625" s="149" t="n">
        <f aca="false">V624+'Volumes por intervalo'!K624</f>
        <v>31024.5000000002</v>
      </c>
      <c r="W625" s="149" t="n">
        <f aca="false">W624+'Volumes por intervalo'!L624</f>
        <v>49140.7500000002</v>
      </c>
      <c r="X625" s="149" t="n">
        <f aca="false">X624+'Volumes por intervalo'!M624</f>
        <v>146194.5</v>
      </c>
      <c r="Y625" s="149" t="n">
        <f aca="false">Y624+'Volumes por intervalo'!N624</f>
        <v>146194.5</v>
      </c>
      <c r="Z625" s="149" t="n">
        <f aca="false">Z624+'Volumes por intervalo'!O624</f>
        <v>167522.499999998</v>
      </c>
      <c r="AA625" s="149" t="n">
        <f aca="false">AA624+'Volumes por intervalo'!P624</f>
        <v>128.4</v>
      </c>
      <c r="AB625" s="149" t="n">
        <f aca="false">AB624+'Volumes por intervalo'!Q624</f>
        <v>107</v>
      </c>
      <c r="AC625" s="149" t="n">
        <f aca="false">AC624+'Volumes por intervalo'!R624</f>
        <v>2140</v>
      </c>
      <c r="AD625" s="149" t="n">
        <f aca="false">AD624+'Volumes por intervalo'!S624</f>
        <v>0</v>
      </c>
    </row>
    <row r="626" customFormat="false" ht="15" hidden="false" customHeight="false" outlineLevel="0" collapsed="false">
      <c r="A626" s="138" t="s">
        <v>2293</v>
      </c>
      <c r="B626" s="146" t="n">
        <v>621</v>
      </c>
      <c r="C626" s="144" t="n">
        <v>12420</v>
      </c>
      <c r="D626" s="138" t="s">
        <v>1600</v>
      </c>
      <c r="E626" s="138" t="s">
        <v>1601</v>
      </c>
      <c r="F626" s="147" t="n">
        <v>8.6</v>
      </c>
      <c r="G626" s="148" t="n">
        <v>1.9</v>
      </c>
      <c r="H626" s="148" t="n">
        <v>3</v>
      </c>
      <c r="I626" s="138" t="s">
        <v>1642</v>
      </c>
      <c r="J626" s="138"/>
      <c r="K626" s="146" t="n">
        <f aca="false">Parâmetros!$C$4*(F626+2*Parâmetros!$D$4+Parâmetros!$C$4*Parâmetros!$E$4)</f>
        <v>0.4325</v>
      </c>
      <c r="L626" s="146" t="n">
        <f aca="false">Parâmetros!$C$5*(F626+2*Parâmetros!$D$5+Parâmetros!$C$5*Parâmetros!$E$5)</f>
        <v>1.4336</v>
      </c>
      <c r="M626" s="146" t="n">
        <f aca="false">Parâmetros!$C$6*(F626+2*Parâmetros!$D$6+Parâmetros!$C$6*Parâmetros!$E$6)</f>
        <v>1.904</v>
      </c>
      <c r="N626" s="146" t="n">
        <f aca="false">Parâmetros!$C$7*(F626+2*Parâmetros!$D$7+Parâmetros!$C$7*Parâmetros!$E$7)</f>
        <v>3.066</v>
      </c>
      <c r="O626" s="146" t="n">
        <f aca="false">F626+2*Parâmetros!$D$8</f>
        <v>8.8</v>
      </c>
      <c r="P626" s="146" t="n">
        <f aca="false">F626+2*Parâmetros!$D$10</f>
        <v>10.52</v>
      </c>
      <c r="Q626" s="146" t="n">
        <f aca="false">G626+H626</f>
        <v>4.9</v>
      </c>
      <c r="S626" s="149" t="n">
        <f aca="false">S625+'Volumes por intervalo'!C625*(F625+F626)/2</f>
        <v>143895.5</v>
      </c>
      <c r="T626" s="149" t="n">
        <f aca="false">T625+'Volumes por intervalo'!H625</f>
        <v>7225.82500000004</v>
      </c>
      <c r="U626" s="149" t="n">
        <f aca="false">U625+'Volumes por intervalo'!J625</f>
        <v>23738.672</v>
      </c>
      <c r="V626" s="149" t="n">
        <f aca="false">V625+'Volumes por intervalo'!K625</f>
        <v>31064.3800000002</v>
      </c>
      <c r="W626" s="149" t="n">
        <f aca="false">W625+'Volumes por intervalo'!L625</f>
        <v>49204.7700000002</v>
      </c>
      <c r="X626" s="149" t="n">
        <f aca="false">X625+'Volumes por intervalo'!M625</f>
        <v>146379.5</v>
      </c>
      <c r="Y626" s="149" t="n">
        <f aca="false">Y625+'Volumes por intervalo'!N625</f>
        <v>146379.5</v>
      </c>
      <c r="Z626" s="149" t="n">
        <f aca="false">Z625+'Volumes por intervalo'!O625</f>
        <v>167741.899999998</v>
      </c>
      <c r="AA626" s="149" t="n">
        <f aca="false">AA625+'Volumes por intervalo'!P625</f>
        <v>134.34</v>
      </c>
      <c r="AB626" s="149" t="n">
        <f aca="false">AB625+'Volumes por intervalo'!Q625</f>
        <v>111.95</v>
      </c>
      <c r="AC626" s="149" t="n">
        <f aca="false">AC625+'Volumes por intervalo'!R625</f>
        <v>2239</v>
      </c>
      <c r="AD626" s="149" t="n">
        <f aca="false">AD625+'Volumes por intervalo'!S625</f>
        <v>0</v>
      </c>
    </row>
    <row r="627" customFormat="false" ht="15" hidden="false" customHeight="false" outlineLevel="0" collapsed="false">
      <c r="A627" s="138" t="s">
        <v>2294</v>
      </c>
      <c r="B627" s="146" t="n">
        <v>622</v>
      </c>
      <c r="C627" s="144" t="n">
        <v>12440</v>
      </c>
      <c r="D627" s="138" t="s">
        <v>1600</v>
      </c>
      <c r="E627" s="138" t="s">
        <v>1601</v>
      </c>
      <c r="F627" s="147" t="n">
        <v>8</v>
      </c>
      <c r="G627" s="148" t="n">
        <v>2</v>
      </c>
      <c r="H627" s="148" t="n">
        <v>3</v>
      </c>
      <c r="I627" s="138" t="s">
        <v>1642</v>
      </c>
      <c r="J627" s="138"/>
      <c r="K627" s="146" t="n">
        <f aca="false">Parâmetros!$C$4*(F627+2*Parâmetros!$D$4+Parâmetros!$C$4*Parâmetros!$E$4)</f>
        <v>0.4025</v>
      </c>
      <c r="L627" s="146" t="n">
        <f aca="false">Parâmetros!$C$5*(F627+2*Parâmetros!$D$5+Parâmetros!$C$5*Parâmetros!$E$5)</f>
        <v>1.3376</v>
      </c>
      <c r="M627" s="146" t="n">
        <f aca="false">Parâmetros!$C$6*(F627+2*Parâmetros!$D$6+Parâmetros!$C$6*Parâmetros!$E$6)</f>
        <v>1.784</v>
      </c>
      <c r="N627" s="146" t="n">
        <f aca="false">Parâmetros!$C$7*(F627+2*Parâmetros!$D$7+Parâmetros!$C$7*Parâmetros!$E$7)</f>
        <v>2.886</v>
      </c>
      <c r="O627" s="146" t="n">
        <f aca="false">F627+2*Parâmetros!$D$8</f>
        <v>8.2</v>
      </c>
      <c r="P627" s="146" t="n">
        <f aca="false">F627+2*Parâmetros!$D$10</f>
        <v>9.92</v>
      </c>
      <c r="Q627" s="146" t="n">
        <f aca="false">G627+H627</f>
        <v>5</v>
      </c>
      <c r="S627" s="149" t="n">
        <f aca="false">S626+'Volumes por intervalo'!C626*(F626+F627)/2</f>
        <v>144061.5</v>
      </c>
      <c r="T627" s="149" t="n">
        <f aca="false">T626+'Volumes por intervalo'!H626</f>
        <v>7234.17500000004</v>
      </c>
      <c r="U627" s="149" t="n">
        <f aca="false">U626+'Volumes por intervalo'!J626</f>
        <v>23766.384</v>
      </c>
      <c r="V627" s="149" t="n">
        <f aca="false">V626+'Volumes por intervalo'!K626</f>
        <v>31101.2600000002</v>
      </c>
      <c r="W627" s="149" t="n">
        <f aca="false">W626+'Volumes por intervalo'!L626</f>
        <v>49264.2900000002</v>
      </c>
      <c r="X627" s="149" t="n">
        <f aca="false">X626+'Volumes por intervalo'!M626</f>
        <v>146549.5</v>
      </c>
      <c r="Y627" s="149" t="n">
        <f aca="false">Y626+'Volumes por intervalo'!N626</f>
        <v>146549.5</v>
      </c>
      <c r="Z627" s="149" t="n">
        <f aca="false">Z626+'Volumes por intervalo'!O626</f>
        <v>167946.299999998</v>
      </c>
      <c r="AA627" s="149" t="n">
        <f aca="false">AA626+'Volumes por intervalo'!P626</f>
        <v>140.28</v>
      </c>
      <c r="AB627" s="149" t="n">
        <f aca="false">AB626+'Volumes por intervalo'!Q626</f>
        <v>116.9</v>
      </c>
      <c r="AC627" s="149" t="n">
        <f aca="false">AC626+'Volumes por intervalo'!R626</f>
        <v>2338</v>
      </c>
      <c r="AD627" s="149" t="n">
        <f aca="false">AD626+'Volumes por intervalo'!S626</f>
        <v>0</v>
      </c>
    </row>
    <row r="628" customFormat="false" ht="15" hidden="false" customHeight="false" outlineLevel="0" collapsed="false">
      <c r="A628" s="138" t="s">
        <v>2295</v>
      </c>
      <c r="B628" s="146" t="n">
        <v>623</v>
      </c>
      <c r="C628" s="144" t="n">
        <v>12460</v>
      </c>
      <c r="D628" s="138" t="s">
        <v>1600</v>
      </c>
      <c r="E628" s="138" t="s">
        <v>1601</v>
      </c>
      <c r="F628" s="147" t="n">
        <v>8.8</v>
      </c>
      <c r="G628" s="148" t="n">
        <v>2</v>
      </c>
      <c r="H628" s="148" t="n">
        <v>3</v>
      </c>
      <c r="I628" s="138" t="s">
        <v>1856</v>
      </c>
      <c r="J628" s="138" t="s">
        <v>2296</v>
      </c>
      <c r="K628" s="146" t="n">
        <f aca="false">Parâmetros!$C$4*(F628+2*Parâmetros!$D$4+Parâmetros!$C$4*Parâmetros!$E$4)</f>
        <v>0.4425</v>
      </c>
      <c r="L628" s="146" t="n">
        <f aca="false">Parâmetros!$C$5*(F628+2*Parâmetros!$D$5+Parâmetros!$C$5*Parâmetros!$E$5)</f>
        <v>1.4656</v>
      </c>
      <c r="M628" s="146" t="n">
        <f aca="false">Parâmetros!$C$6*(F628+2*Parâmetros!$D$6+Parâmetros!$C$6*Parâmetros!$E$6)</f>
        <v>1.944</v>
      </c>
      <c r="N628" s="146" t="n">
        <f aca="false">Parâmetros!$C$7*(F628+2*Parâmetros!$D$7+Parâmetros!$C$7*Parâmetros!$E$7)</f>
        <v>3.126</v>
      </c>
      <c r="O628" s="146" t="n">
        <f aca="false">F628+2*Parâmetros!$D$8</f>
        <v>9</v>
      </c>
      <c r="P628" s="146" t="n">
        <f aca="false">F628+2*Parâmetros!$D$10</f>
        <v>10.72</v>
      </c>
      <c r="Q628" s="146" t="n">
        <f aca="false">G628+H628</f>
        <v>5</v>
      </c>
      <c r="S628" s="149" t="n">
        <f aca="false">S627+'Volumes por intervalo'!C627*(F627+F628)/2</f>
        <v>144229.5</v>
      </c>
      <c r="T628" s="149" t="n">
        <f aca="false">T627+'Volumes por intervalo'!H627</f>
        <v>7242.62500000004</v>
      </c>
      <c r="U628" s="149" t="n">
        <f aca="false">U627+'Volumes por intervalo'!J627</f>
        <v>23794.416</v>
      </c>
      <c r="V628" s="149" t="n">
        <f aca="false">V627+'Volumes por intervalo'!K627</f>
        <v>31138.5400000002</v>
      </c>
      <c r="W628" s="149" t="n">
        <f aca="false">W627+'Volumes por intervalo'!L627</f>
        <v>49324.4100000002</v>
      </c>
      <c r="X628" s="149" t="n">
        <f aca="false">X627+'Volumes por intervalo'!M627</f>
        <v>146721.5</v>
      </c>
      <c r="Y628" s="149" t="n">
        <f aca="false">Y627+'Volumes por intervalo'!N627</f>
        <v>146721.5</v>
      </c>
      <c r="Z628" s="149" t="n">
        <f aca="false">Z627+'Volumes por intervalo'!O627</f>
        <v>168152.699999998</v>
      </c>
      <c r="AA628" s="149" t="n">
        <f aca="false">AA627+'Volumes por intervalo'!P627</f>
        <v>146.28</v>
      </c>
      <c r="AB628" s="149" t="n">
        <f aca="false">AB627+'Volumes por intervalo'!Q627</f>
        <v>121.9</v>
      </c>
      <c r="AC628" s="149" t="n">
        <f aca="false">AC627+'Volumes por intervalo'!R627</f>
        <v>2438</v>
      </c>
      <c r="AD628" s="149" t="n">
        <f aca="false">AD627+'Volumes por intervalo'!S627</f>
        <v>0</v>
      </c>
    </row>
    <row r="629" customFormat="false" ht="15" hidden="false" customHeight="false" outlineLevel="0" collapsed="false">
      <c r="A629" s="138" t="s">
        <v>1603</v>
      </c>
      <c r="B629" s="146" t="n">
        <v>623.5</v>
      </c>
      <c r="C629" s="144" t="n">
        <v>12470</v>
      </c>
      <c r="D629" s="138" t="s">
        <v>1600</v>
      </c>
      <c r="E629" s="138" t="s">
        <v>1601</v>
      </c>
      <c r="F629" s="147" t="n">
        <v>9.2</v>
      </c>
      <c r="G629" s="148" t="n">
        <v>2</v>
      </c>
      <c r="H629" s="148" t="n">
        <v>3</v>
      </c>
      <c r="I629" s="138" t="s">
        <v>1856</v>
      </c>
      <c r="J629" s="138" t="s">
        <v>2054</v>
      </c>
      <c r="K629" s="146" t="n">
        <f aca="false">Parâmetros!$C$4*(F629+2*Parâmetros!$D$4+Parâmetros!$C$4*Parâmetros!$E$4)</f>
        <v>0.4625</v>
      </c>
      <c r="L629" s="146" t="n">
        <f aca="false">Parâmetros!$C$5*(F629+2*Parâmetros!$D$5+Parâmetros!$C$5*Parâmetros!$E$5)</f>
        <v>1.5296</v>
      </c>
      <c r="M629" s="146" t="n">
        <f aca="false">Parâmetros!$C$6*(F629+2*Parâmetros!$D$6+Parâmetros!$C$6*Parâmetros!$E$6)</f>
        <v>2.024</v>
      </c>
      <c r="N629" s="146" t="n">
        <f aca="false">Parâmetros!$C$7*(F629+2*Parâmetros!$D$7+Parâmetros!$C$7*Parâmetros!$E$7)</f>
        <v>3.246</v>
      </c>
      <c r="O629" s="146" t="n">
        <f aca="false">F629+2*Parâmetros!$D$8</f>
        <v>9.4</v>
      </c>
      <c r="P629" s="146" t="n">
        <f aca="false">F629+2*Parâmetros!$D$10</f>
        <v>11.12</v>
      </c>
      <c r="Q629" s="146" t="n">
        <f aca="false">G629+H629</f>
        <v>5</v>
      </c>
      <c r="S629" s="149" t="n">
        <f aca="false">S628+'Volumes por intervalo'!C628*(F628+F629)/2</f>
        <v>144319.5</v>
      </c>
      <c r="T629" s="149" t="n">
        <f aca="false">T628+'Volumes por intervalo'!H628</f>
        <v>7247.15000000004</v>
      </c>
      <c r="U629" s="149" t="n">
        <f aca="false">U628+'Volumes por intervalo'!J628</f>
        <v>23809.392</v>
      </c>
      <c r="V629" s="149" t="n">
        <f aca="false">V628+'Volumes por intervalo'!K628</f>
        <v>31158.3800000002</v>
      </c>
      <c r="W629" s="149" t="n">
        <f aca="false">W628+'Volumes por intervalo'!L628</f>
        <v>49356.2700000002</v>
      </c>
      <c r="X629" s="149" t="n">
        <f aca="false">X628+'Volumes por intervalo'!M628</f>
        <v>146813.5</v>
      </c>
      <c r="Y629" s="149" t="n">
        <f aca="false">Y628+'Volumes por intervalo'!N628</f>
        <v>146813.5</v>
      </c>
      <c r="Z629" s="149" t="n">
        <f aca="false">Z628+'Volumes por intervalo'!O628</f>
        <v>168261.899999998</v>
      </c>
      <c r="AA629" s="149" t="n">
        <f aca="false">AA628+'Volumes por intervalo'!P628</f>
        <v>149.28</v>
      </c>
      <c r="AB629" s="149" t="n">
        <f aca="false">AB628+'Volumes por intervalo'!Q628</f>
        <v>124.4</v>
      </c>
      <c r="AC629" s="149" t="n">
        <f aca="false">AC628+'Volumes por intervalo'!R628</f>
        <v>2488</v>
      </c>
      <c r="AD629" s="149" t="n">
        <f aca="false">AD628+'Volumes por intervalo'!S628</f>
        <v>0</v>
      </c>
    </row>
    <row r="630" customFormat="false" ht="15" hidden="false" customHeight="false" outlineLevel="0" collapsed="false">
      <c r="A630" s="138" t="s">
        <v>2297</v>
      </c>
      <c r="B630" s="146" t="n">
        <v>624</v>
      </c>
      <c r="C630" s="144" t="n">
        <v>12480</v>
      </c>
      <c r="D630" s="138" t="s">
        <v>1604</v>
      </c>
      <c r="E630" s="138" t="s">
        <v>1605</v>
      </c>
      <c r="F630" s="147" t="n">
        <v>9.5</v>
      </c>
      <c r="G630" s="148" t="n">
        <v>2</v>
      </c>
      <c r="H630" s="148" t="n">
        <v>3</v>
      </c>
      <c r="I630" s="138" t="s">
        <v>1642</v>
      </c>
      <c r="J630" s="138"/>
      <c r="K630" s="146" t="n">
        <f aca="false">Parâmetros!$C$4*(F630+2*Parâmetros!$D$4+Parâmetros!$C$4*Parâmetros!$E$4)</f>
        <v>0.4775</v>
      </c>
      <c r="L630" s="146" t="n">
        <f aca="false">Parâmetros!$C$5*(F630+2*Parâmetros!$D$5+Parâmetros!$C$5*Parâmetros!$E$5)</f>
        <v>1.5776</v>
      </c>
      <c r="M630" s="146" t="n">
        <f aca="false">Parâmetros!$C$6*(F630+2*Parâmetros!$D$6+Parâmetros!$C$6*Parâmetros!$E$6)</f>
        <v>2.084</v>
      </c>
      <c r="N630" s="146" t="n">
        <f aca="false">Parâmetros!$C$7*(F630+2*Parâmetros!$D$7+Parâmetros!$C$7*Parâmetros!$E$7)</f>
        <v>3.336</v>
      </c>
      <c r="O630" s="146" t="n">
        <f aca="false">F630+2*Parâmetros!$D$8</f>
        <v>9.7</v>
      </c>
      <c r="P630" s="146" t="n">
        <f aca="false">F630+2*Parâmetros!$D$10</f>
        <v>11.42</v>
      </c>
      <c r="Q630" s="146" t="n">
        <f aca="false">G630+H630</f>
        <v>5</v>
      </c>
      <c r="S630" s="149" t="n">
        <f aca="false">S629+'Volumes por intervalo'!C629*(F629+F630)/2</f>
        <v>144413</v>
      </c>
      <c r="T630" s="149" t="n">
        <f aca="false">T629+'Volumes por intervalo'!H629</f>
        <v>7251.85000000004</v>
      </c>
      <c r="U630" s="149" t="n">
        <f aca="false">U629+'Volumes por intervalo'!J629</f>
        <v>23824.928</v>
      </c>
      <c r="V630" s="149" t="n">
        <f aca="false">V629+'Volumes por intervalo'!K629</f>
        <v>31178.9200000002</v>
      </c>
      <c r="W630" s="149" t="n">
        <f aca="false">W629+'Volumes por intervalo'!L629</f>
        <v>49389.1800000002</v>
      </c>
      <c r="X630" s="149" t="n">
        <f aca="false">X629+'Volumes por intervalo'!M629</f>
        <v>146909</v>
      </c>
      <c r="Y630" s="149" t="n">
        <f aca="false">Y629+'Volumes por intervalo'!N629</f>
        <v>146909</v>
      </c>
      <c r="Z630" s="149" t="n">
        <f aca="false">Z629+'Volumes por intervalo'!O629</f>
        <v>168374.599999998</v>
      </c>
      <c r="AA630" s="149" t="n">
        <f aca="false">AA629+'Volumes por intervalo'!P629</f>
        <v>152.28</v>
      </c>
      <c r="AB630" s="149" t="n">
        <f aca="false">AB629+'Volumes por intervalo'!Q629</f>
        <v>126.9</v>
      </c>
      <c r="AC630" s="149" t="n">
        <f aca="false">AC629+'Volumes por intervalo'!R629</f>
        <v>2538</v>
      </c>
      <c r="AD630" s="149" t="n">
        <f aca="false">AD629+'Volumes por intervalo'!S629</f>
        <v>26.65</v>
      </c>
    </row>
    <row r="631" customFormat="false" ht="15" hidden="false" customHeight="false" outlineLevel="0" collapsed="false">
      <c r="A631" s="138" t="s">
        <v>2298</v>
      </c>
      <c r="B631" s="146" t="n">
        <v>625</v>
      </c>
      <c r="C631" s="144" t="n">
        <v>12500</v>
      </c>
      <c r="D631" s="138" t="s">
        <v>1604</v>
      </c>
      <c r="E631" s="138" t="s">
        <v>1605</v>
      </c>
      <c r="F631" s="147" t="n">
        <v>9.5</v>
      </c>
      <c r="G631" s="148" t="n">
        <v>2</v>
      </c>
      <c r="H631" s="148" t="n">
        <v>3</v>
      </c>
      <c r="I631" s="138" t="s">
        <v>1642</v>
      </c>
      <c r="J631" s="138"/>
      <c r="K631" s="146" t="n">
        <f aca="false">Parâmetros!$C$4*(F631+2*Parâmetros!$D$4+Parâmetros!$C$4*Parâmetros!$E$4)</f>
        <v>0.4775</v>
      </c>
      <c r="L631" s="146" t="n">
        <f aca="false">Parâmetros!$C$5*(F631+2*Parâmetros!$D$5+Parâmetros!$C$5*Parâmetros!$E$5)</f>
        <v>1.5776</v>
      </c>
      <c r="M631" s="146" t="n">
        <f aca="false">Parâmetros!$C$6*(F631+2*Parâmetros!$D$6+Parâmetros!$C$6*Parâmetros!$E$6)</f>
        <v>2.084</v>
      </c>
      <c r="N631" s="146" t="n">
        <f aca="false">Parâmetros!$C$7*(F631+2*Parâmetros!$D$7+Parâmetros!$C$7*Parâmetros!$E$7)</f>
        <v>3.336</v>
      </c>
      <c r="O631" s="146" t="n">
        <f aca="false">F631+2*Parâmetros!$D$8</f>
        <v>9.7</v>
      </c>
      <c r="P631" s="146" t="n">
        <f aca="false">F631+2*Parâmetros!$D$10</f>
        <v>11.42</v>
      </c>
      <c r="Q631" s="146" t="n">
        <f aca="false">G631+H631</f>
        <v>5</v>
      </c>
      <c r="S631" s="149" t="n">
        <f aca="false">S630+'Volumes por intervalo'!C630*(F630+F631)/2</f>
        <v>144603</v>
      </c>
      <c r="T631" s="149" t="n">
        <f aca="false">T630+'Volumes por intervalo'!H630</f>
        <v>7261.40000000004</v>
      </c>
      <c r="U631" s="149" t="n">
        <f aca="false">U630+'Volumes por intervalo'!J630</f>
        <v>23856.48</v>
      </c>
      <c r="V631" s="149" t="n">
        <f aca="false">V630+'Volumes por intervalo'!K630</f>
        <v>31220.6000000002</v>
      </c>
      <c r="W631" s="149" t="n">
        <f aca="false">W630+'Volumes por intervalo'!L630</f>
        <v>49455.9000000002</v>
      </c>
      <c r="X631" s="149" t="n">
        <f aca="false">X630+'Volumes por intervalo'!M630</f>
        <v>147103</v>
      </c>
      <c r="Y631" s="149" t="n">
        <f aca="false">Y630+'Volumes por intervalo'!N630</f>
        <v>147103</v>
      </c>
      <c r="Z631" s="149" t="n">
        <f aca="false">Z630+'Volumes por intervalo'!O630</f>
        <v>168602.999999998</v>
      </c>
      <c r="AA631" s="149" t="n">
        <f aca="false">AA630+'Volumes por intervalo'!P630</f>
        <v>158.28</v>
      </c>
      <c r="AB631" s="149" t="n">
        <f aca="false">AB630+'Volumes por intervalo'!Q630</f>
        <v>131.9</v>
      </c>
      <c r="AC631" s="149" t="n">
        <f aca="false">AC630+'Volumes por intervalo'!R630</f>
        <v>2638</v>
      </c>
      <c r="AD631" s="149" t="n">
        <f aca="false">AD630+'Volumes por intervalo'!S630</f>
        <v>79.95</v>
      </c>
    </row>
    <row r="632" customFormat="false" ht="15" hidden="false" customHeight="false" outlineLevel="0" collapsed="false">
      <c r="A632" s="138" t="s">
        <v>2299</v>
      </c>
      <c r="B632" s="146" t="n">
        <v>626</v>
      </c>
      <c r="C632" s="144" t="n">
        <v>12520</v>
      </c>
      <c r="D632" s="138" t="s">
        <v>1604</v>
      </c>
      <c r="E632" s="138" t="s">
        <v>1605</v>
      </c>
      <c r="F632" s="147" t="n">
        <v>9.5</v>
      </c>
      <c r="G632" s="148" t="n">
        <v>2</v>
      </c>
      <c r="H632" s="148" t="n">
        <v>3</v>
      </c>
      <c r="I632" s="138" t="s">
        <v>1642</v>
      </c>
      <c r="J632" s="138"/>
      <c r="K632" s="146" t="n">
        <f aca="false">Parâmetros!$C$4*(F632+2*Parâmetros!$D$4+Parâmetros!$C$4*Parâmetros!$E$4)</f>
        <v>0.4775</v>
      </c>
      <c r="L632" s="146" t="n">
        <f aca="false">Parâmetros!$C$5*(F632+2*Parâmetros!$D$5+Parâmetros!$C$5*Parâmetros!$E$5)</f>
        <v>1.5776</v>
      </c>
      <c r="M632" s="146" t="n">
        <f aca="false">Parâmetros!$C$6*(F632+2*Parâmetros!$D$6+Parâmetros!$C$6*Parâmetros!$E$6)</f>
        <v>2.084</v>
      </c>
      <c r="N632" s="146" t="n">
        <f aca="false">Parâmetros!$C$7*(F632+2*Parâmetros!$D$7+Parâmetros!$C$7*Parâmetros!$E$7)</f>
        <v>3.336</v>
      </c>
      <c r="O632" s="146" t="n">
        <f aca="false">F632+2*Parâmetros!$D$8</f>
        <v>9.7</v>
      </c>
      <c r="P632" s="146" t="n">
        <f aca="false">F632+2*Parâmetros!$D$10</f>
        <v>11.42</v>
      </c>
      <c r="Q632" s="146" t="n">
        <f aca="false">G632+H632</f>
        <v>5</v>
      </c>
      <c r="S632" s="149" t="n">
        <f aca="false">S631+'Volumes por intervalo'!C631*(F631+F632)/2</f>
        <v>144793</v>
      </c>
      <c r="T632" s="149" t="n">
        <f aca="false">T631+'Volumes por intervalo'!H631</f>
        <v>7270.95000000004</v>
      </c>
      <c r="U632" s="149" t="n">
        <f aca="false">U631+'Volumes por intervalo'!J631</f>
        <v>23888.032</v>
      </c>
      <c r="V632" s="149" t="n">
        <f aca="false">V631+'Volumes por intervalo'!K631</f>
        <v>31262.2800000002</v>
      </c>
      <c r="W632" s="149" t="n">
        <f aca="false">W631+'Volumes por intervalo'!L631</f>
        <v>49522.6200000002</v>
      </c>
      <c r="X632" s="149" t="n">
        <f aca="false">X631+'Volumes por intervalo'!M631</f>
        <v>147297</v>
      </c>
      <c r="Y632" s="149" t="n">
        <f aca="false">Y631+'Volumes por intervalo'!N631</f>
        <v>147297</v>
      </c>
      <c r="Z632" s="149" t="n">
        <f aca="false">Z631+'Volumes por intervalo'!O631</f>
        <v>168831.399999998</v>
      </c>
      <c r="AA632" s="149" t="n">
        <f aca="false">AA631+'Volumes por intervalo'!P631</f>
        <v>164.28</v>
      </c>
      <c r="AB632" s="149" t="n">
        <f aca="false">AB631+'Volumes por intervalo'!Q631</f>
        <v>136.9</v>
      </c>
      <c r="AC632" s="149" t="n">
        <f aca="false">AC631+'Volumes por intervalo'!R631</f>
        <v>2738</v>
      </c>
      <c r="AD632" s="149" t="n">
        <f aca="false">AD631+'Volumes por intervalo'!S631</f>
        <v>133.25</v>
      </c>
    </row>
    <row r="633" customFormat="false" ht="15" hidden="false" customHeight="false" outlineLevel="0" collapsed="false">
      <c r="A633" s="138" t="s">
        <v>2300</v>
      </c>
      <c r="B633" s="146" t="n">
        <v>627</v>
      </c>
      <c r="C633" s="144" t="n">
        <v>12540</v>
      </c>
      <c r="D633" s="138" t="s">
        <v>1604</v>
      </c>
      <c r="E633" s="138" t="s">
        <v>1605</v>
      </c>
      <c r="F633" s="147" t="n">
        <v>9.5</v>
      </c>
      <c r="G633" s="148" t="n">
        <v>2</v>
      </c>
      <c r="H633" s="148" t="n">
        <v>3</v>
      </c>
      <c r="I633" s="138" t="s">
        <v>1642</v>
      </c>
      <c r="J633" s="138"/>
      <c r="K633" s="146" t="n">
        <f aca="false">Parâmetros!$C$4*(F633+2*Parâmetros!$D$4+Parâmetros!$C$4*Parâmetros!$E$4)</f>
        <v>0.4775</v>
      </c>
      <c r="L633" s="146" t="n">
        <f aca="false">Parâmetros!$C$5*(F633+2*Parâmetros!$D$5+Parâmetros!$C$5*Parâmetros!$E$5)</f>
        <v>1.5776</v>
      </c>
      <c r="M633" s="146" t="n">
        <f aca="false">Parâmetros!$C$6*(F633+2*Parâmetros!$D$6+Parâmetros!$C$6*Parâmetros!$E$6)</f>
        <v>2.084</v>
      </c>
      <c r="N633" s="146" t="n">
        <f aca="false">Parâmetros!$C$7*(F633+2*Parâmetros!$D$7+Parâmetros!$C$7*Parâmetros!$E$7)</f>
        <v>3.336</v>
      </c>
      <c r="O633" s="146" t="n">
        <f aca="false">F633+2*Parâmetros!$D$8</f>
        <v>9.7</v>
      </c>
      <c r="P633" s="146" t="n">
        <f aca="false">F633+2*Parâmetros!$D$10</f>
        <v>11.42</v>
      </c>
      <c r="Q633" s="146" t="n">
        <f aca="false">G633+H633</f>
        <v>5</v>
      </c>
      <c r="S633" s="149" t="n">
        <f aca="false">S632+'Volumes por intervalo'!C632*(F632+F633)/2</f>
        <v>144983</v>
      </c>
      <c r="T633" s="149" t="n">
        <f aca="false">T632+'Volumes por intervalo'!H632</f>
        <v>7280.50000000004</v>
      </c>
      <c r="U633" s="149" t="n">
        <f aca="false">U632+'Volumes por intervalo'!J632</f>
        <v>23919.584</v>
      </c>
      <c r="V633" s="149" t="n">
        <f aca="false">V632+'Volumes por intervalo'!K632</f>
        <v>31303.9600000002</v>
      </c>
      <c r="W633" s="149" t="n">
        <f aca="false">W632+'Volumes por intervalo'!L632</f>
        <v>49589.3400000002</v>
      </c>
      <c r="X633" s="149" t="n">
        <f aca="false">X632+'Volumes por intervalo'!M632</f>
        <v>147491</v>
      </c>
      <c r="Y633" s="149" t="n">
        <f aca="false">Y632+'Volumes por intervalo'!N632</f>
        <v>147491</v>
      </c>
      <c r="Z633" s="149" t="n">
        <f aca="false">Z632+'Volumes por intervalo'!O632</f>
        <v>169059.799999998</v>
      </c>
      <c r="AA633" s="149" t="n">
        <f aca="false">AA632+'Volumes por intervalo'!P632</f>
        <v>170.28</v>
      </c>
      <c r="AB633" s="149" t="n">
        <f aca="false">AB632+'Volumes por intervalo'!Q632</f>
        <v>141.9</v>
      </c>
      <c r="AC633" s="149" t="n">
        <f aca="false">AC632+'Volumes por intervalo'!R632</f>
        <v>2838</v>
      </c>
      <c r="AD633" s="149" t="n">
        <f aca="false">AD632+'Volumes por intervalo'!S632</f>
        <v>186.55</v>
      </c>
    </row>
    <row r="634" customFormat="false" ht="15" hidden="false" customHeight="false" outlineLevel="0" collapsed="false">
      <c r="A634" s="138" t="s">
        <v>2301</v>
      </c>
      <c r="B634" s="146" t="n">
        <v>628</v>
      </c>
      <c r="C634" s="144" t="n">
        <v>12560</v>
      </c>
      <c r="D634" s="138" t="s">
        <v>1604</v>
      </c>
      <c r="E634" s="138" t="s">
        <v>1605</v>
      </c>
      <c r="F634" s="147" t="n">
        <v>9.5</v>
      </c>
      <c r="G634" s="148" t="n">
        <v>2</v>
      </c>
      <c r="H634" s="148" t="n">
        <v>3</v>
      </c>
      <c r="I634" s="138" t="s">
        <v>1642</v>
      </c>
      <c r="J634" s="138"/>
      <c r="K634" s="146" t="n">
        <f aca="false">Parâmetros!$C$4*(F634+2*Parâmetros!$D$4+Parâmetros!$C$4*Parâmetros!$E$4)</f>
        <v>0.4775</v>
      </c>
      <c r="L634" s="146" t="n">
        <f aca="false">Parâmetros!$C$5*(F634+2*Parâmetros!$D$5+Parâmetros!$C$5*Parâmetros!$E$5)</f>
        <v>1.5776</v>
      </c>
      <c r="M634" s="146" t="n">
        <f aca="false">Parâmetros!$C$6*(F634+2*Parâmetros!$D$6+Parâmetros!$C$6*Parâmetros!$E$6)</f>
        <v>2.084</v>
      </c>
      <c r="N634" s="146" t="n">
        <f aca="false">Parâmetros!$C$7*(F634+2*Parâmetros!$D$7+Parâmetros!$C$7*Parâmetros!$E$7)</f>
        <v>3.336</v>
      </c>
      <c r="O634" s="146" t="n">
        <f aca="false">F634+2*Parâmetros!$D$8</f>
        <v>9.7</v>
      </c>
      <c r="P634" s="146" t="n">
        <f aca="false">F634+2*Parâmetros!$D$10</f>
        <v>11.42</v>
      </c>
      <c r="Q634" s="146" t="n">
        <f aca="false">G634+H634</f>
        <v>5</v>
      </c>
      <c r="S634" s="149" t="n">
        <f aca="false">S633+'Volumes por intervalo'!C633*(F633+F634)/2</f>
        <v>145173</v>
      </c>
      <c r="T634" s="149" t="n">
        <f aca="false">T633+'Volumes por intervalo'!H633</f>
        <v>7290.05000000004</v>
      </c>
      <c r="U634" s="149" t="n">
        <f aca="false">U633+'Volumes por intervalo'!J633</f>
        <v>23951.136</v>
      </c>
      <c r="V634" s="149" t="n">
        <f aca="false">V633+'Volumes por intervalo'!K633</f>
        <v>31345.6400000002</v>
      </c>
      <c r="W634" s="149" t="n">
        <f aca="false">W633+'Volumes por intervalo'!L633</f>
        <v>49656.0600000002</v>
      </c>
      <c r="X634" s="149" t="n">
        <f aca="false">X633+'Volumes por intervalo'!M633</f>
        <v>147685</v>
      </c>
      <c r="Y634" s="149" t="n">
        <f aca="false">Y633+'Volumes por intervalo'!N633</f>
        <v>147685</v>
      </c>
      <c r="Z634" s="149" t="n">
        <f aca="false">Z633+'Volumes por intervalo'!O633</f>
        <v>169288.199999998</v>
      </c>
      <c r="AA634" s="149" t="n">
        <f aca="false">AA633+'Volumes por intervalo'!P633</f>
        <v>176.28</v>
      </c>
      <c r="AB634" s="149" t="n">
        <f aca="false">AB633+'Volumes por intervalo'!Q633</f>
        <v>146.9</v>
      </c>
      <c r="AC634" s="149" t="n">
        <f aca="false">AC633+'Volumes por intervalo'!R633</f>
        <v>2938</v>
      </c>
      <c r="AD634" s="149" t="n">
        <f aca="false">AD633+'Volumes por intervalo'!S633</f>
        <v>239.85</v>
      </c>
    </row>
    <row r="635" customFormat="false" ht="15" hidden="false" customHeight="false" outlineLevel="0" collapsed="false">
      <c r="A635" s="138" t="s">
        <v>2302</v>
      </c>
      <c r="B635" s="146" t="n">
        <v>629</v>
      </c>
      <c r="C635" s="144" t="n">
        <v>12580</v>
      </c>
      <c r="D635" s="138" t="s">
        <v>1604</v>
      </c>
      <c r="E635" s="138" t="s">
        <v>1605</v>
      </c>
      <c r="F635" s="147" t="n">
        <v>9.5</v>
      </c>
      <c r="G635" s="148" t="n">
        <v>2</v>
      </c>
      <c r="H635" s="148" t="n">
        <v>3</v>
      </c>
      <c r="I635" s="138" t="s">
        <v>1642</v>
      </c>
      <c r="J635" s="138"/>
      <c r="K635" s="146" t="n">
        <f aca="false">Parâmetros!$C$4*(F635+2*Parâmetros!$D$4+Parâmetros!$C$4*Parâmetros!$E$4)</f>
        <v>0.4775</v>
      </c>
      <c r="L635" s="146" t="n">
        <f aca="false">Parâmetros!$C$5*(F635+2*Parâmetros!$D$5+Parâmetros!$C$5*Parâmetros!$E$5)</f>
        <v>1.5776</v>
      </c>
      <c r="M635" s="146" t="n">
        <f aca="false">Parâmetros!$C$6*(F635+2*Parâmetros!$D$6+Parâmetros!$C$6*Parâmetros!$E$6)</f>
        <v>2.084</v>
      </c>
      <c r="N635" s="146" t="n">
        <f aca="false">Parâmetros!$C$7*(F635+2*Parâmetros!$D$7+Parâmetros!$C$7*Parâmetros!$E$7)</f>
        <v>3.336</v>
      </c>
      <c r="O635" s="146" t="n">
        <f aca="false">F635+2*Parâmetros!$D$8</f>
        <v>9.7</v>
      </c>
      <c r="P635" s="146" t="n">
        <f aca="false">F635+2*Parâmetros!$D$10</f>
        <v>11.42</v>
      </c>
      <c r="Q635" s="146" t="n">
        <f aca="false">G635+H635</f>
        <v>5</v>
      </c>
      <c r="S635" s="149" t="n">
        <f aca="false">S634+'Volumes por intervalo'!C634*(F634+F635)/2</f>
        <v>145363</v>
      </c>
      <c r="T635" s="149" t="n">
        <f aca="false">T634+'Volumes por intervalo'!H634</f>
        <v>7299.60000000004</v>
      </c>
      <c r="U635" s="149" t="n">
        <f aca="false">U634+'Volumes por intervalo'!J634</f>
        <v>23982.688</v>
      </c>
      <c r="V635" s="149" t="n">
        <f aca="false">V634+'Volumes por intervalo'!K634</f>
        <v>31387.3200000002</v>
      </c>
      <c r="W635" s="149" t="n">
        <f aca="false">W634+'Volumes por intervalo'!L634</f>
        <v>49722.7800000002</v>
      </c>
      <c r="X635" s="149" t="n">
        <f aca="false">X634+'Volumes por intervalo'!M634</f>
        <v>147879</v>
      </c>
      <c r="Y635" s="149" t="n">
        <f aca="false">Y634+'Volumes por intervalo'!N634</f>
        <v>147879</v>
      </c>
      <c r="Z635" s="149" t="n">
        <f aca="false">Z634+'Volumes por intervalo'!O634</f>
        <v>169516.599999998</v>
      </c>
      <c r="AA635" s="149" t="n">
        <f aca="false">AA634+'Volumes por intervalo'!P634</f>
        <v>182.28</v>
      </c>
      <c r="AB635" s="149" t="n">
        <f aca="false">AB634+'Volumes por intervalo'!Q634</f>
        <v>151.9</v>
      </c>
      <c r="AC635" s="149" t="n">
        <f aca="false">AC634+'Volumes por intervalo'!R634</f>
        <v>3038</v>
      </c>
      <c r="AD635" s="149" t="n">
        <f aca="false">AD634+'Volumes por intervalo'!S634</f>
        <v>293.15</v>
      </c>
    </row>
    <row r="636" customFormat="false" ht="15" hidden="false" customHeight="false" outlineLevel="0" collapsed="false">
      <c r="A636" s="138" t="s">
        <v>2303</v>
      </c>
      <c r="B636" s="146" t="n">
        <v>630</v>
      </c>
      <c r="C636" s="144" t="n">
        <v>12600</v>
      </c>
      <c r="D636" s="138" t="s">
        <v>1604</v>
      </c>
      <c r="E636" s="138" t="s">
        <v>1605</v>
      </c>
      <c r="F636" s="147" t="n">
        <v>9.5</v>
      </c>
      <c r="G636" s="148" t="n">
        <v>2</v>
      </c>
      <c r="H636" s="148" t="n">
        <v>3</v>
      </c>
      <c r="I636" s="138" t="s">
        <v>1642</v>
      </c>
      <c r="J636" s="138"/>
      <c r="K636" s="146" t="n">
        <f aca="false">Parâmetros!$C$4*(F636+2*Parâmetros!$D$4+Parâmetros!$C$4*Parâmetros!$E$4)</f>
        <v>0.4775</v>
      </c>
      <c r="L636" s="146" t="n">
        <f aca="false">Parâmetros!$C$5*(F636+2*Parâmetros!$D$5+Parâmetros!$C$5*Parâmetros!$E$5)</f>
        <v>1.5776</v>
      </c>
      <c r="M636" s="146" t="n">
        <f aca="false">Parâmetros!$C$6*(F636+2*Parâmetros!$D$6+Parâmetros!$C$6*Parâmetros!$E$6)</f>
        <v>2.084</v>
      </c>
      <c r="N636" s="146" t="n">
        <f aca="false">Parâmetros!$C$7*(F636+2*Parâmetros!$D$7+Parâmetros!$C$7*Parâmetros!$E$7)</f>
        <v>3.336</v>
      </c>
      <c r="O636" s="146" t="n">
        <f aca="false">F636+2*Parâmetros!$D$8</f>
        <v>9.7</v>
      </c>
      <c r="P636" s="146" t="n">
        <f aca="false">F636+2*Parâmetros!$D$10</f>
        <v>11.42</v>
      </c>
      <c r="Q636" s="146" t="n">
        <f aca="false">G636+H636</f>
        <v>5</v>
      </c>
      <c r="S636" s="149" t="n">
        <f aca="false">S635+'Volumes por intervalo'!C635*(F635+F636)/2</f>
        <v>145553</v>
      </c>
      <c r="T636" s="149" t="n">
        <f aca="false">T635+'Volumes por intervalo'!H635</f>
        <v>7309.15000000004</v>
      </c>
      <c r="U636" s="149" t="n">
        <f aca="false">U635+'Volumes por intervalo'!J635</f>
        <v>24014.24</v>
      </c>
      <c r="V636" s="149" t="n">
        <f aca="false">V635+'Volumes por intervalo'!K635</f>
        <v>31429.0000000002</v>
      </c>
      <c r="W636" s="149" t="n">
        <f aca="false">W635+'Volumes por intervalo'!L635</f>
        <v>49789.5000000002</v>
      </c>
      <c r="X636" s="149" t="n">
        <f aca="false">X635+'Volumes por intervalo'!M635</f>
        <v>148073</v>
      </c>
      <c r="Y636" s="149" t="n">
        <f aca="false">Y635+'Volumes por intervalo'!N635</f>
        <v>148073</v>
      </c>
      <c r="Z636" s="149" t="n">
        <f aca="false">Z635+'Volumes por intervalo'!O635</f>
        <v>169744.999999998</v>
      </c>
      <c r="AA636" s="149" t="n">
        <f aca="false">AA635+'Volumes por intervalo'!P635</f>
        <v>188.28</v>
      </c>
      <c r="AB636" s="149" t="n">
        <f aca="false">AB635+'Volumes por intervalo'!Q635</f>
        <v>156.9</v>
      </c>
      <c r="AC636" s="149" t="n">
        <f aca="false">AC635+'Volumes por intervalo'!R635</f>
        <v>3138</v>
      </c>
      <c r="AD636" s="149" t="n">
        <f aca="false">AD635+'Volumes por intervalo'!S635</f>
        <v>346.45</v>
      </c>
    </row>
    <row r="637" customFormat="false" ht="15" hidden="false" customHeight="false" outlineLevel="0" collapsed="false">
      <c r="A637" s="138" t="s">
        <v>2304</v>
      </c>
      <c r="B637" s="146" t="n">
        <v>631</v>
      </c>
      <c r="C637" s="144" t="n">
        <v>12620</v>
      </c>
      <c r="D637" s="138" t="s">
        <v>1604</v>
      </c>
      <c r="E637" s="138" t="s">
        <v>1605</v>
      </c>
      <c r="F637" s="147" t="n">
        <v>9.5</v>
      </c>
      <c r="G637" s="148" t="n">
        <v>2</v>
      </c>
      <c r="H637" s="148" t="n">
        <v>3</v>
      </c>
      <c r="I637" s="138" t="s">
        <v>1642</v>
      </c>
      <c r="J637" s="138"/>
      <c r="K637" s="146" t="n">
        <f aca="false">Parâmetros!$C$4*(F637+2*Parâmetros!$D$4+Parâmetros!$C$4*Parâmetros!$E$4)</f>
        <v>0.4775</v>
      </c>
      <c r="L637" s="146" t="n">
        <f aca="false">Parâmetros!$C$5*(F637+2*Parâmetros!$D$5+Parâmetros!$C$5*Parâmetros!$E$5)</f>
        <v>1.5776</v>
      </c>
      <c r="M637" s="146" t="n">
        <f aca="false">Parâmetros!$C$6*(F637+2*Parâmetros!$D$6+Parâmetros!$C$6*Parâmetros!$E$6)</f>
        <v>2.084</v>
      </c>
      <c r="N637" s="146" t="n">
        <f aca="false">Parâmetros!$C$7*(F637+2*Parâmetros!$D$7+Parâmetros!$C$7*Parâmetros!$E$7)</f>
        <v>3.336</v>
      </c>
      <c r="O637" s="146" t="n">
        <f aca="false">F637+2*Parâmetros!$D$8</f>
        <v>9.7</v>
      </c>
      <c r="P637" s="146" t="n">
        <f aca="false">F637+2*Parâmetros!$D$10</f>
        <v>11.42</v>
      </c>
      <c r="Q637" s="146" t="n">
        <f aca="false">G637+H637</f>
        <v>5</v>
      </c>
      <c r="S637" s="149" t="n">
        <f aca="false">S636+'Volumes por intervalo'!C636*(F636+F637)/2</f>
        <v>145743</v>
      </c>
      <c r="T637" s="149" t="n">
        <f aca="false">T636+'Volumes por intervalo'!H636</f>
        <v>7318.70000000004</v>
      </c>
      <c r="U637" s="149" t="n">
        <f aca="false">U636+'Volumes por intervalo'!J636</f>
        <v>24045.792</v>
      </c>
      <c r="V637" s="149" t="n">
        <f aca="false">V636+'Volumes por intervalo'!K636</f>
        <v>31470.6800000002</v>
      </c>
      <c r="W637" s="149" t="n">
        <f aca="false">W636+'Volumes por intervalo'!L636</f>
        <v>49856.2200000002</v>
      </c>
      <c r="X637" s="149" t="n">
        <f aca="false">X636+'Volumes por intervalo'!M636</f>
        <v>148267</v>
      </c>
      <c r="Y637" s="149" t="n">
        <f aca="false">Y636+'Volumes por intervalo'!N636</f>
        <v>148267</v>
      </c>
      <c r="Z637" s="149" t="n">
        <f aca="false">Z636+'Volumes por intervalo'!O636</f>
        <v>169973.399999998</v>
      </c>
      <c r="AA637" s="149" t="n">
        <f aca="false">AA636+'Volumes por intervalo'!P636</f>
        <v>194.28</v>
      </c>
      <c r="AB637" s="149" t="n">
        <f aca="false">AB636+'Volumes por intervalo'!Q636</f>
        <v>161.9</v>
      </c>
      <c r="AC637" s="149" t="n">
        <f aca="false">AC636+'Volumes por intervalo'!R636</f>
        <v>3238</v>
      </c>
      <c r="AD637" s="149" t="n">
        <f aca="false">AD636+'Volumes por intervalo'!S636</f>
        <v>399.75</v>
      </c>
    </row>
    <row r="638" customFormat="false" ht="15" hidden="false" customHeight="false" outlineLevel="0" collapsed="false">
      <c r="A638" s="138" t="s">
        <v>2305</v>
      </c>
      <c r="B638" s="146" t="n">
        <v>632</v>
      </c>
      <c r="C638" s="144" t="n">
        <v>12640</v>
      </c>
      <c r="D638" s="138" t="s">
        <v>1604</v>
      </c>
      <c r="E638" s="138" t="s">
        <v>1605</v>
      </c>
      <c r="F638" s="147" t="n">
        <v>9.5</v>
      </c>
      <c r="G638" s="148" t="n">
        <v>2</v>
      </c>
      <c r="H638" s="148" t="n">
        <v>3</v>
      </c>
      <c r="I638" s="138" t="s">
        <v>1642</v>
      </c>
      <c r="J638" s="138"/>
      <c r="K638" s="146" t="n">
        <f aca="false">Parâmetros!$C$4*(F638+2*Parâmetros!$D$4+Parâmetros!$C$4*Parâmetros!$E$4)</f>
        <v>0.4775</v>
      </c>
      <c r="L638" s="146" t="n">
        <f aca="false">Parâmetros!$C$5*(F638+2*Parâmetros!$D$5+Parâmetros!$C$5*Parâmetros!$E$5)</f>
        <v>1.5776</v>
      </c>
      <c r="M638" s="146" t="n">
        <f aca="false">Parâmetros!$C$6*(F638+2*Parâmetros!$D$6+Parâmetros!$C$6*Parâmetros!$E$6)</f>
        <v>2.084</v>
      </c>
      <c r="N638" s="146" t="n">
        <f aca="false">Parâmetros!$C$7*(F638+2*Parâmetros!$D$7+Parâmetros!$C$7*Parâmetros!$E$7)</f>
        <v>3.336</v>
      </c>
      <c r="O638" s="146" t="n">
        <f aca="false">F638+2*Parâmetros!$D$8</f>
        <v>9.7</v>
      </c>
      <c r="P638" s="146" t="n">
        <f aca="false">F638+2*Parâmetros!$D$10</f>
        <v>11.42</v>
      </c>
      <c r="Q638" s="146" t="n">
        <f aca="false">G638+H638</f>
        <v>5</v>
      </c>
      <c r="S638" s="149" t="n">
        <f aca="false">S637+'Volumes por intervalo'!C637*(F637+F638)/2</f>
        <v>145933</v>
      </c>
      <c r="T638" s="149" t="n">
        <f aca="false">T637+'Volumes por intervalo'!H637</f>
        <v>7328.25000000004</v>
      </c>
      <c r="U638" s="149" t="n">
        <f aca="false">U637+'Volumes por intervalo'!J637</f>
        <v>24077.344</v>
      </c>
      <c r="V638" s="149" t="n">
        <f aca="false">V637+'Volumes por intervalo'!K637</f>
        <v>31512.3600000002</v>
      </c>
      <c r="W638" s="149" t="n">
        <f aca="false">W637+'Volumes por intervalo'!L637</f>
        <v>49922.9400000002</v>
      </c>
      <c r="X638" s="149" t="n">
        <f aca="false">X637+'Volumes por intervalo'!M637</f>
        <v>148461</v>
      </c>
      <c r="Y638" s="149" t="n">
        <f aca="false">Y637+'Volumes por intervalo'!N637</f>
        <v>148461</v>
      </c>
      <c r="Z638" s="149" t="n">
        <f aca="false">Z637+'Volumes por intervalo'!O637</f>
        <v>170201.799999998</v>
      </c>
      <c r="AA638" s="149" t="n">
        <f aca="false">AA637+'Volumes por intervalo'!P637</f>
        <v>200.28</v>
      </c>
      <c r="AB638" s="149" t="n">
        <f aca="false">AB637+'Volumes por intervalo'!Q637</f>
        <v>166.9</v>
      </c>
      <c r="AC638" s="149" t="n">
        <f aca="false">AC637+'Volumes por intervalo'!R637</f>
        <v>3338</v>
      </c>
      <c r="AD638" s="149" t="n">
        <f aca="false">AD637+'Volumes por intervalo'!S637</f>
        <v>453.05</v>
      </c>
    </row>
    <row r="639" customFormat="false" ht="15" hidden="false" customHeight="false" outlineLevel="0" collapsed="false">
      <c r="A639" s="138" t="s">
        <v>2306</v>
      </c>
      <c r="B639" s="146" t="n">
        <v>633</v>
      </c>
      <c r="C639" s="144" t="n">
        <v>12660</v>
      </c>
      <c r="D639" s="138" t="s">
        <v>1604</v>
      </c>
      <c r="E639" s="138" t="s">
        <v>1605</v>
      </c>
      <c r="F639" s="147" t="n">
        <v>10</v>
      </c>
      <c r="G639" s="148" t="n">
        <v>1.3</v>
      </c>
      <c r="H639" s="148" t="n">
        <v>3</v>
      </c>
      <c r="I639" s="138" t="s">
        <v>1856</v>
      </c>
      <c r="J639" s="138" t="s">
        <v>2307</v>
      </c>
      <c r="K639" s="146" t="n">
        <f aca="false">Parâmetros!$C$4*(F639+2*Parâmetros!$D$4+Parâmetros!$C$4*Parâmetros!$E$4)</f>
        <v>0.5025</v>
      </c>
      <c r="L639" s="146" t="n">
        <f aca="false">Parâmetros!$C$5*(F639+2*Parâmetros!$D$5+Parâmetros!$C$5*Parâmetros!$E$5)</f>
        <v>1.6576</v>
      </c>
      <c r="M639" s="146" t="n">
        <f aca="false">Parâmetros!$C$6*(F639+2*Parâmetros!$D$6+Parâmetros!$C$6*Parâmetros!$E$6)</f>
        <v>2.184</v>
      </c>
      <c r="N639" s="146" t="n">
        <f aca="false">Parâmetros!$C$7*(F639+2*Parâmetros!$D$7+Parâmetros!$C$7*Parâmetros!$E$7)</f>
        <v>3.486</v>
      </c>
      <c r="O639" s="146" t="n">
        <f aca="false">F639+2*Parâmetros!$D$8</f>
        <v>10.2</v>
      </c>
      <c r="P639" s="146" t="n">
        <f aca="false">F639+2*Parâmetros!$D$10</f>
        <v>11.92</v>
      </c>
      <c r="Q639" s="146" t="n">
        <f aca="false">G639+H639</f>
        <v>4.3</v>
      </c>
      <c r="S639" s="149" t="n">
        <f aca="false">S638+'Volumes por intervalo'!C638*(F638+F639)/2</f>
        <v>146128</v>
      </c>
      <c r="T639" s="149" t="n">
        <f aca="false">T638+'Volumes por intervalo'!H638</f>
        <v>7338.05000000004</v>
      </c>
      <c r="U639" s="149" t="n">
        <f aca="false">U638+'Volumes por intervalo'!J638</f>
        <v>24109.696</v>
      </c>
      <c r="V639" s="149" t="n">
        <f aca="false">V638+'Volumes por intervalo'!K638</f>
        <v>31555.0400000002</v>
      </c>
      <c r="W639" s="149" t="n">
        <f aca="false">W638+'Volumes por intervalo'!L638</f>
        <v>49991.1600000002</v>
      </c>
      <c r="X639" s="149" t="n">
        <f aca="false">X638+'Volumes por intervalo'!M638</f>
        <v>148660</v>
      </c>
      <c r="Y639" s="149" t="n">
        <f aca="false">Y638+'Volumes por intervalo'!N638</f>
        <v>148660</v>
      </c>
      <c r="Z639" s="149" t="n">
        <f aca="false">Z638+'Volumes por intervalo'!O638</f>
        <v>170435.199999998</v>
      </c>
      <c r="AA639" s="149" t="n">
        <f aca="false">AA638+'Volumes por intervalo'!P638</f>
        <v>205.86</v>
      </c>
      <c r="AB639" s="149" t="n">
        <f aca="false">AB638+'Volumes por intervalo'!Q638</f>
        <v>171.55</v>
      </c>
      <c r="AC639" s="149" t="n">
        <f aca="false">AC638+'Volumes por intervalo'!R638</f>
        <v>3431</v>
      </c>
      <c r="AD639" s="149" t="n">
        <f aca="false">AD638+'Volumes por intervalo'!S638</f>
        <v>506.35</v>
      </c>
    </row>
    <row r="640" customFormat="false" ht="15" hidden="false" customHeight="false" outlineLevel="0" collapsed="false">
      <c r="A640" s="138" t="s">
        <v>2308</v>
      </c>
      <c r="B640" s="146" t="n">
        <v>634</v>
      </c>
      <c r="C640" s="144" t="n">
        <v>12680</v>
      </c>
      <c r="D640" s="138" t="s">
        <v>1604</v>
      </c>
      <c r="E640" s="138" t="s">
        <v>1605</v>
      </c>
      <c r="F640" s="147" t="n">
        <v>10.5</v>
      </c>
      <c r="G640" s="148" t="n">
        <v>0.7</v>
      </c>
      <c r="H640" s="148" t="n">
        <v>3</v>
      </c>
      <c r="I640" s="138" t="s">
        <v>1856</v>
      </c>
      <c r="J640" s="138" t="s">
        <v>2309</v>
      </c>
      <c r="K640" s="146" t="n">
        <f aca="false">Parâmetros!$C$4*(F640+2*Parâmetros!$D$4+Parâmetros!$C$4*Parâmetros!$E$4)</f>
        <v>0.5275</v>
      </c>
      <c r="L640" s="146" t="n">
        <f aca="false">Parâmetros!$C$5*(F640+2*Parâmetros!$D$5+Parâmetros!$C$5*Parâmetros!$E$5)</f>
        <v>1.7376</v>
      </c>
      <c r="M640" s="146" t="n">
        <f aca="false">Parâmetros!$C$6*(F640+2*Parâmetros!$D$6+Parâmetros!$C$6*Parâmetros!$E$6)</f>
        <v>2.284</v>
      </c>
      <c r="N640" s="146" t="n">
        <f aca="false">Parâmetros!$C$7*(F640+2*Parâmetros!$D$7+Parâmetros!$C$7*Parâmetros!$E$7)</f>
        <v>3.636</v>
      </c>
      <c r="O640" s="146" t="n">
        <f aca="false">F640+2*Parâmetros!$D$8</f>
        <v>10.7</v>
      </c>
      <c r="P640" s="146" t="n">
        <f aca="false">F640+2*Parâmetros!$D$10</f>
        <v>12.42</v>
      </c>
      <c r="Q640" s="146" t="n">
        <f aca="false">G640+H640</f>
        <v>3.7</v>
      </c>
      <c r="S640" s="149" t="n">
        <f aca="false">S639+'Volumes por intervalo'!C639*(F639+F640)/2</f>
        <v>146333</v>
      </c>
      <c r="T640" s="149" t="n">
        <f aca="false">T639+'Volumes por intervalo'!H639</f>
        <v>7348.35000000004</v>
      </c>
      <c r="U640" s="149" t="n">
        <f aca="false">U639+'Volumes por intervalo'!J639</f>
        <v>24143.648</v>
      </c>
      <c r="V640" s="149" t="n">
        <f aca="false">V639+'Volumes por intervalo'!K639</f>
        <v>31599.7200000002</v>
      </c>
      <c r="W640" s="149" t="n">
        <f aca="false">W639+'Volumes por intervalo'!L639</f>
        <v>50062.3800000002</v>
      </c>
      <c r="X640" s="149" t="n">
        <f aca="false">X639+'Volumes por intervalo'!M639</f>
        <v>148869</v>
      </c>
      <c r="Y640" s="149" t="n">
        <f aca="false">Y639+'Volumes por intervalo'!N639</f>
        <v>148869</v>
      </c>
      <c r="Z640" s="149" t="n">
        <f aca="false">Z639+'Volumes por intervalo'!O639</f>
        <v>170678.599999998</v>
      </c>
      <c r="AA640" s="149" t="n">
        <f aca="false">AA639+'Volumes por intervalo'!P639</f>
        <v>210.66</v>
      </c>
      <c r="AB640" s="149" t="n">
        <f aca="false">AB639+'Volumes por intervalo'!Q639</f>
        <v>175.55</v>
      </c>
      <c r="AC640" s="149" t="n">
        <f aca="false">AC639+'Volumes por intervalo'!R639</f>
        <v>3511</v>
      </c>
      <c r="AD640" s="149" t="n">
        <f aca="false">AD639+'Volumes por intervalo'!S639</f>
        <v>559.65</v>
      </c>
    </row>
    <row r="641" customFormat="false" ht="15" hidden="false" customHeight="false" outlineLevel="0" collapsed="false">
      <c r="A641" s="138" t="s">
        <v>2310</v>
      </c>
      <c r="B641" s="146" t="n">
        <v>635</v>
      </c>
      <c r="C641" s="144" t="n">
        <v>12700</v>
      </c>
      <c r="D641" s="138" t="s">
        <v>1604</v>
      </c>
      <c r="E641" s="138" t="s">
        <v>1605</v>
      </c>
      <c r="F641" s="147" t="n">
        <v>11</v>
      </c>
      <c r="G641" s="148" t="n">
        <v>0</v>
      </c>
      <c r="H641" s="148" t="n">
        <v>3</v>
      </c>
      <c r="I641" s="138" t="s">
        <v>1642</v>
      </c>
      <c r="J641" s="138"/>
      <c r="K641" s="146" t="n">
        <f aca="false">Parâmetros!$C$4*(F641+2*Parâmetros!$D$4+Parâmetros!$C$4*Parâmetros!$E$4)</f>
        <v>0.5525</v>
      </c>
      <c r="L641" s="146" t="n">
        <f aca="false">Parâmetros!$C$5*(F641+2*Parâmetros!$D$5+Parâmetros!$C$5*Parâmetros!$E$5)</f>
        <v>1.8176</v>
      </c>
      <c r="M641" s="146" t="n">
        <f aca="false">Parâmetros!$C$6*(F641+2*Parâmetros!$D$6+Parâmetros!$C$6*Parâmetros!$E$6)</f>
        <v>2.384</v>
      </c>
      <c r="N641" s="146" t="n">
        <f aca="false">Parâmetros!$C$7*(F641+2*Parâmetros!$D$7+Parâmetros!$C$7*Parâmetros!$E$7)</f>
        <v>3.786</v>
      </c>
      <c r="O641" s="146" t="n">
        <f aca="false">F641+2*Parâmetros!$D$8</f>
        <v>11.2</v>
      </c>
      <c r="P641" s="146" t="n">
        <f aca="false">F641+2*Parâmetros!$D$10</f>
        <v>12.92</v>
      </c>
      <c r="Q641" s="146" t="n">
        <f aca="false">G641+H641</f>
        <v>3</v>
      </c>
      <c r="S641" s="149" t="n">
        <f aca="false">S640+'Volumes por intervalo'!C640*(F640+F641)/2</f>
        <v>146548</v>
      </c>
      <c r="T641" s="149" t="n">
        <f aca="false">T640+'Volumes por intervalo'!H640</f>
        <v>7359.15000000004</v>
      </c>
      <c r="U641" s="149" t="n">
        <f aca="false">U640+'Volumes por intervalo'!J640</f>
        <v>24179.2</v>
      </c>
      <c r="V641" s="149" t="n">
        <f aca="false">V640+'Volumes por intervalo'!K640</f>
        <v>31646.4000000002</v>
      </c>
      <c r="W641" s="149" t="n">
        <f aca="false">W640+'Volumes por intervalo'!L640</f>
        <v>50136.6000000002</v>
      </c>
      <c r="X641" s="149" t="n">
        <f aca="false">X640+'Volumes por intervalo'!M640</f>
        <v>149088</v>
      </c>
      <c r="Y641" s="149" t="n">
        <f aca="false">Y640+'Volumes por intervalo'!N640</f>
        <v>149088</v>
      </c>
      <c r="Z641" s="149" t="n">
        <f aca="false">Z640+'Volumes por intervalo'!O640</f>
        <v>170931.999999998</v>
      </c>
      <c r="AA641" s="149" t="n">
        <f aca="false">AA640+'Volumes por intervalo'!P640</f>
        <v>214.68</v>
      </c>
      <c r="AB641" s="149" t="n">
        <f aca="false">AB640+'Volumes por intervalo'!Q640</f>
        <v>178.9</v>
      </c>
      <c r="AC641" s="149" t="n">
        <f aca="false">AC640+'Volumes por intervalo'!R640</f>
        <v>3578</v>
      </c>
      <c r="AD641" s="149" t="n">
        <f aca="false">AD640+'Volumes por intervalo'!S640</f>
        <v>612.95</v>
      </c>
    </row>
    <row r="642" customFormat="false" ht="15" hidden="false" customHeight="false" outlineLevel="0" collapsed="false">
      <c r="A642" s="138" t="s">
        <v>2311</v>
      </c>
      <c r="B642" s="146" t="n">
        <v>636</v>
      </c>
      <c r="C642" s="144" t="n">
        <v>12720</v>
      </c>
      <c r="D642" s="138" t="s">
        <v>1604</v>
      </c>
      <c r="E642" s="138" t="s">
        <v>1605</v>
      </c>
      <c r="F642" s="147" t="n">
        <v>11</v>
      </c>
      <c r="G642" s="148" t="n">
        <v>3</v>
      </c>
      <c r="H642" s="148" t="n">
        <v>3</v>
      </c>
      <c r="I642" s="138" t="s">
        <v>1642</v>
      </c>
      <c r="J642" s="138"/>
      <c r="K642" s="146" t="n">
        <f aca="false">Parâmetros!$C$4*(F642+2*Parâmetros!$D$4+Parâmetros!$C$4*Parâmetros!$E$4)</f>
        <v>0.5525</v>
      </c>
      <c r="L642" s="146" t="n">
        <f aca="false">Parâmetros!$C$5*(F642+2*Parâmetros!$D$5+Parâmetros!$C$5*Parâmetros!$E$5)</f>
        <v>1.8176</v>
      </c>
      <c r="M642" s="146" t="n">
        <f aca="false">Parâmetros!$C$6*(F642+2*Parâmetros!$D$6+Parâmetros!$C$6*Parâmetros!$E$6)</f>
        <v>2.384</v>
      </c>
      <c r="N642" s="146" t="n">
        <f aca="false">Parâmetros!$C$7*(F642+2*Parâmetros!$D$7+Parâmetros!$C$7*Parâmetros!$E$7)</f>
        <v>3.786</v>
      </c>
      <c r="O642" s="146" t="n">
        <f aca="false">F642+2*Parâmetros!$D$8</f>
        <v>11.2</v>
      </c>
      <c r="P642" s="146" t="n">
        <f aca="false">F642+2*Parâmetros!$D$10</f>
        <v>12.92</v>
      </c>
      <c r="Q642" s="146" t="n">
        <f aca="false">G642+H642</f>
        <v>6</v>
      </c>
      <c r="S642" s="149" t="n">
        <f aca="false">S641+'Volumes por intervalo'!C641*(F641+F642)/2</f>
        <v>146768</v>
      </c>
      <c r="T642" s="149" t="n">
        <f aca="false">T641+'Volumes por intervalo'!H641</f>
        <v>7370.20000000004</v>
      </c>
      <c r="U642" s="149" t="n">
        <f aca="false">U641+'Volumes por intervalo'!J641</f>
        <v>24215.552</v>
      </c>
      <c r="V642" s="149" t="n">
        <f aca="false">V641+'Volumes por intervalo'!K641</f>
        <v>31694.0800000002</v>
      </c>
      <c r="W642" s="149" t="n">
        <f aca="false">W641+'Volumes por intervalo'!L641</f>
        <v>50212.3200000002</v>
      </c>
      <c r="X642" s="149" t="n">
        <f aca="false">X641+'Volumes por intervalo'!M641</f>
        <v>149312</v>
      </c>
      <c r="Y642" s="149" t="n">
        <f aca="false">Y641+'Volumes por intervalo'!N641</f>
        <v>149312</v>
      </c>
      <c r="Z642" s="149" t="n">
        <f aca="false">Z641+'Volumes por intervalo'!O641</f>
        <v>171190.399999998</v>
      </c>
      <c r="AA642" s="149" t="n">
        <f aca="false">AA641+'Volumes por intervalo'!P641</f>
        <v>220.08</v>
      </c>
      <c r="AB642" s="149" t="n">
        <f aca="false">AB641+'Volumes por intervalo'!Q641</f>
        <v>183.4</v>
      </c>
      <c r="AC642" s="149" t="n">
        <f aca="false">AC641+'Volumes por intervalo'!R641</f>
        <v>3668</v>
      </c>
      <c r="AD642" s="149" t="n">
        <f aca="false">AD641+'Volumes por intervalo'!S641</f>
        <v>666.25</v>
      </c>
    </row>
    <row r="643" customFormat="false" ht="15" hidden="false" customHeight="false" outlineLevel="0" collapsed="false">
      <c r="A643" s="138" t="s">
        <v>2312</v>
      </c>
      <c r="B643" s="146" t="n">
        <v>637</v>
      </c>
      <c r="C643" s="144" t="n">
        <v>12740</v>
      </c>
      <c r="D643" s="138" t="s">
        <v>1604</v>
      </c>
      <c r="E643" s="138" t="s">
        <v>1605</v>
      </c>
      <c r="F643" s="147" t="n">
        <v>11</v>
      </c>
      <c r="G643" s="148" t="n">
        <v>3</v>
      </c>
      <c r="H643" s="148" t="n">
        <v>3</v>
      </c>
      <c r="I643" s="138" t="s">
        <v>1642</v>
      </c>
      <c r="J643" s="138"/>
      <c r="K643" s="146" t="n">
        <f aca="false">Parâmetros!$C$4*(F643+2*Parâmetros!$D$4+Parâmetros!$C$4*Parâmetros!$E$4)</f>
        <v>0.5525</v>
      </c>
      <c r="L643" s="146" t="n">
        <f aca="false">Parâmetros!$C$5*(F643+2*Parâmetros!$D$5+Parâmetros!$C$5*Parâmetros!$E$5)</f>
        <v>1.8176</v>
      </c>
      <c r="M643" s="146" t="n">
        <f aca="false">Parâmetros!$C$6*(F643+2*Parâmetros!$D$6+Parâmetros!$C$6*Parâmetros!$E$6)</f>
        <v>2.384</v>
      </c>
      <c r="N643" s="146" t="n">
        <f aca="false">Parâmetros!$C$7*(F643+2*Parâmetros!$D$7+Parâmetros!$C$7*Parâmetros!$E$7)</f>
        <v>3.786</v>
      </c>
      <c r="O643" s="146" t="n">
        <f aca="false">F643+2*Parâmetros!$D$8</f>
        <v>11.2</v>
      </c>
      <c r="P643" s="146" t="n">
        <f aca="false">F643+2*Parâmetros!$D$10</f>
        <v>12.92</v>
      </c>
      <c r="Q643" s="146" t="n">
        <f aca="false">G643+H643</f>
        <v>6</v>
      </c>
      <c r="S643" s="149" t="n">
        <f aca="false">S642+'Volumes por intervalo'!C642*(F642+F643)/2</f>
        <v>146988</v>
      </c>
      <c r="T643" s="149" t="n">
        <f aca="false">T642+'Volumes por intervalo'!H642</f>
        <v>7381.25000000004</v>
      </c>
      <c r="U643" s="149" t="n">
        <f aca="false">U642+'Volumes por intervalo'!J642</f>
        <v>24251.904</v>
      </c>
      <c r="V643" s="149" t="n">
        <f aca="false">V642+'Volumes por intervalo'!K642</f>
        <v>31741.7600000002</v>
      </c>
      <c r="W643" s="149" t="n">
        <f aca="false">W642+'Volumes por intervalo'!L642</f>
        <v>50288.0400000002</v>
      </c>
      <c r="X643" s="149" t="n">
        <f aca="false">X642+'Volumes por intervalo'!M642</f>
        <v>149536</v>
      </c>
      <c r="Y643" s="149" t="n">
        <f aca="false">Y642+'Volumes por intervalo'!N642</f>
        <v>149536</v>
      </c>
      <c r="Z643" s="149" t="n">
        <f aca="false">Z642+'Volumes por intervalo'!O642</f>
        <v>171448.799999998</v>
      </c>
      <c r="AA643" s="149" t="n">
        <f aca="false">AA642+'Volumes por intervalo'!P642</f>
        <v>227.28</v>
      </c>
      <c r="AB643" s="149" t="n">
        <f aca="false">AB642+'Volumes por intervalo'!Q642</f>
        <v>189.4</v>
      </c>
      <c r="AC643" s="149" t="n">
        <f aca="false">AC642+'Volumes por intervalo'!R642</f>
        <v>3788</v>
      </c>
      <c r="AD643" s="149" t="n">
        <f aca="false">AD642+'Volumes por intervalo'!S642</f>
        <v>719.55</v>
      </c>
    </row>
    <row r="644" customFormat="false" ht="15" hidden="false" customHeight="false" outlineLevel="0" collapsed="false">
      <c r="A644" s="138" t="s">
        <v>2313</v>
      </c>
      <c r="B644" s="146" t="n">
        <v>638</v>
      </c>
      <c r="C644" s="144" t="n">
        <v>12760</v>
      </c>
      <c r="D644" s="138" t="s">
        <v>1604</v>
      </c>
      <c r="E644" s="138" t="s">
        <v>1605</v>
      </c>
      <c r="F644" s="147" t="n">
        <v>11</v>
      </c>
      <c r="G644" s="148" t="n">
        <v>3</v>
      </c>
      <c r="H644" s="148" t="n">
        <v>3</v>
      </c>
      <c r="I644" s="138" t="s">
        <v>1642</v>
      </c>
      <c r="J644" s="138"/>
      <c r="K644" s="146" t="n">
        <f aca="false">Parâmetros!$C$4*(F644+2*Parâmetros!$D$4+Parâmetros!$C$4*Parâmetros!$E$4)</f>
        <v>0.5525</v>
      </c>
      <c r="L644" s="146" t="n">
        <f aca="false">Parâmetros!$C$5*(F644+2*Parâmetros!$D$5+Parâmetros!$C$5*Parâmetros!$E$5)</f>
        <v>1.8176</v>
      </c>
      <c r="M644" s="146" t="n">
        <f aca="false">Parâmetros!$C$6*(F644+2*Parâmetros!$D$6+Parâmetros!$C$6*Parâmetros!$E$6)</f>
        <v>2.384</v>
      </c>
      <c r="N644" s="146" t="n">
        <f aca="false">Parâmetros!$C$7*(F644+2*Parâmetros!$D$7+Parâmetros!$C$7*Parâmetros!$E$7)</f>
        <v>3.786</v>
      </c>
      <c r="O644" s="146" t="n">
        <f aca="false">F644+2*Parâmetros!$D$8</f>
        <v>11.2</v>
      </c>
      <c r="P644" s="146" t="n">
        <f aca="false">F644+2*Parâmetros!$D$10</f>
        <v>12.92</v>
      </c>
      <c r="Q644" s="146" t="n">
        <f aca="false">G644+H644</f>
        <v>6</v>
      </c>
      <c r="S644" s="149" t="n">
        <f aca="false">S643+'Volumes por intervalo'!C643*(F643+F644)/2</f>
        <v>147208</v>
      </c>
      <c r="T644" s="149" t="n">
        <f aca="false">T643+'Volumes por intervalo'!H643</f>
        <v>7392.30000000004</v>
      </c>
      <c r="U644" s="149" t="n">
        <f aca="false">U643+'Volumes por intervalo'!J643</f>
        <v>24288.256</v>
      </c>
      <c r="V644" s="149" t="n">
        <f aca="false">V643+'Volumes por intervalo'!K643</f>
        <v>31789.4400000002</v>
      </c>
      <c r="W644" s="149" t="n">
        <f aca="false">W643+'Volumes por intervalo'!L643</f>
        <v>50363.7600000002</v>
      </c>
      <c r="X644" s="149" t="n">
        <f aca="false">X643+'Volumes por intervalo'!M643</f>
        <v>149760</v>
      </c>
      <c r="Y644" s="149" t="n">
        <f aca="false">Y643+'Volumes por intervalo'!N643</f>
        <v>149760</v>
      </c>
      <c r="Z644" s="149" t="n">
        <f aca="false">Z643+'Volumes por intervalo'!O643</f>
        <v>171707.199999998</v>
      </c>
      <c r="AA644" s="149" t="n">
        <f aca="false">AA643+'Volumes por intervalo'!P643</f>
        <v>234.48</v>
      </c>
      <c r="AB644" s="149" t="n">
        <f aca="false">AB643+'Volumes por intervalo'!Q643</f>
        <v>195.4</v>
      </c>
      <c r="AC644" s="149" t="n">
        <f aca="false">AC643+'Volumes por intervalo'!R643</f>
        <v>3908</v>
      </c>
      <c r="AD644" s="149" t="n">
        <f aca="false">AD643+'Volumes por intervalo'!S643</f>
        <v>772.85</v>
      </c>
    </row>
    <row r="645" customFormat="false" ht="15" hidden="false" customHeight="false" outlineLevel="0" collapsed="false">
      <c r="A645" s="138" t="s">
        <v>2314</v>
      </c>
      <c r="B645" s="146" t="n">
        <v>639</v>
      </c>
      <c r="C645" s="144" t="n">
        <v>12780</v>
      </c>
      <c r="D645" s="138" t="s">
        <v>1604</v>
      </c>
      <c r="E645" s="138" t="s">
        <v>1605</v>
      </c>
      <c r="F645" s="147" t="n">
        <v>11</v>
      </c>
      <c r="G645" s="148" t="n">
        <v>3</v>
      </c>
      <c r="H645" s="148" t="n">
        <v>3</v>
      </c>
      <c r="I645" s="138" t="s">
        <v>1856</v>
      </c>
      <c r="J645" s="138" t="s">
        <v>2315</v>
      </c>
      <c r="K645" s="146" t="n">
        <f aca="false">Parâmetros!$C$4*(F645+2*Parâmetros!$D$4+Parâmetros!$C$4*Parâmetros!$E$4)</f>
        <v>0.5525</v>
      </c>
      <c r="L645" s="146" t="n">
        <f aca="false">Parâmetros!$C$5*(F645+2*Parâmetros!$D$5+Parâmetros!$C$5*Parâmetros!$E$5)</f>
        <v>1.8176</v>
      </c>
      <c r="M645" s="146" t="n">
        <f aca="false">Parâmetros!$C$6*(F645+2*Parâmetros!$D$6+Parâmetros!$C$6*Parâmetros!$E$6)</f>
        <v>2.384</v>
      </c>
      <c r="N645" s="146" t="n">
        <f aca="false">Parâmetros!$C$7*(F645+2*Parâmetros!$D$7+Parâmetros!$C$7*Parâmetros!$E$7)</f>
        <v>3.786</v>
      </c>
      <c r="O645" s="146" t="n">
        <f aca="false">F645+2*Parâmetros!$D$8</f>
        <v>11.2</v>
      </c>
      <c r="P645" s="146" t="n">
        <f aca="false">F645+2*Parâmetros!$D$10</f>
        <v>12.92</v>
      </c>
      <c r="Q645" s="146" t="n">
        <f aca="false">G645+H645</f>
        <v>6</v>
      </c>
      <c r="S645" s="149" t="n">
        <f aca="false">S644+'Volumes por intervalo'!C644*(F644+F645)/2</f>
        <v>147428</v>
      </c>
      <c r="T645" s="149" t="n">
        <f aca="false">T644+'Volumes por intervalo'!H644</f>
        <v>7403.35000000004</v>
      </c>
      <c r="U645" s="149" t="n">
        <f aca="false">U644+'Volumes por intervalo'!J644</f>
        <v>24324.608</v>
      </c>
      <c r="V645" s="149" t="n">
        <f aca="false">V644+'Volumes por intervalo'!K644</f>
        <v>31837.1200000002</v>
      </c>
      <c r="W645" s="149" t="n">
        <f aca="false">W644+'Volumes por intervalo'!L644</f>
        <v>50439.4800000002</v>
      </c>
      <c r="X645" s="149" t="n">
        <f aca="false">X644+'Volumes por intervalo'!M644</f>
        <v>149984</v>
      </c>
      <c r="Y645" s="149" t="n">
        <f aca="false">Y644+'Volumes por intervalo'!N644</f>
        <v>149984</v>
      </c>
      <c r="Z645" s="149" t="n">
        <f aca="false">Z644+'Volumes por intervalo'!O644</f>
        <v>171965.599999998</v>
      </c>
      <c r="AA645" s="149" t="n">
        <f aca="false">AA644+'Volumes por intervalo'!P644</f>
        <v>241.68</v>
      </c>
      <c r="AB645" s="149" t="n">
        <f aca="false">AB644+'Volumes por intervalo'!Q644</f>
        <v>201.4</v>
      </c>
      <c r="AC645" s="149" t="n">
        <f aca="false">AC644+'Volumes por intervalo'!R644</f>
        <v>4028</v>
      </c>
      <c r="AD645" s="149" t="n">
        <f aca="false">AD644+'Volumes por intervalo'!S644</f>
        <v>826.15</v>
      </c>
    </row>
    <row r="646" customFormat="false" ht="15" hidden="false" customHeight="false" outlineLevel="0" collapsed="false">
      <c r="A646" s="138" t="s">
        <v>2316</v>
      </c>
      <c r="B646" s="146" t="n">
        <v>640</v>
      </c>
      <c r="C646" s="144" t="n">
        <v>12800</v>
      </c>
      <c r="D646" s="138" t="s">
        <v>1604</v>
      </c>
      <c r="E646" s="138" t="s">
        <v>1605</v>
      </c>
      <c r="F646" s="147" t="n">
        <v>11</v>
      </c>
      <c r="G646" s="148" t="n">
        <v>3</v>
      </c>
      <c r="H646" s="148" t="n">
        <v>3</v>
      </c>
      <c r="I646" s="138" t="s">
        <v>1642</v>
      </c>
      <c r="J646" s="138"/>
      <c r="K646" s="146" t="n">
        <f aca="false">Parâmetros!$C$4*(F646+2*Parâmetros!$D$4+Parâmetros!$C$4*Parâmetros!$E$4)</f>
        <v>0.5525</v>
      </c>
      <c r="L646" s="146" t="n">
        <f aca="false">Parâmetros!$C$5*(F646+2*Parâmetros!$D$5+Parâmetros!$C$5*Parâmetros!$E$5)</f>
        <v>1.8176</v>
      </c>
      <c r="M646" s="146" t="n">
        <f aca="false">Parâmetros!$C$6*(F646+2*Parâmetros!$D$6+Parâmetros!$C$6*Parâmetros!$E$6)</f>
        <v>2.384</v>
      </c>
      <c r="N646" s="146" t="n">
        <f aca="false">Parâmetros!$C$7*(F646+2*Parâmetros!$D$7+Parâmetros!$C$7*Parâmetros!$E$7)</f>
        <v>3.786</v>
      </c>
      <c r="O646" s="146" t="n">
        <f aca="false">F646+2*Parâmetros!$D$8</f>
        <v>11.2</v>
      </c>
      <c r="P646" s="146" t="n">
        <f aca="false">F646+2*Parâmetros!$D$10</f>
        <v>12.92</v>
      </c>
      <c r="Q646" s="146" t="n">
        <f aca="false">G646+H646</f>
        <v>6</v>
      </c>
      <c r="S646" s="149" t="n">
        <f aca="false">S645+'Volumes por intervalo'!C645*(F645+F646)/2</f>
        <v>147648</v>
      </c>
      <c r="T646" s="149" t="n">
        <f aca="false">T645+'Volumes por intervalo'!H645</f>
        <v>7414.40000000004</v>
      </c>
      <c r="U646" s="149" t="n">
        <f aca="false">U645+'Volumes por intervalo'!J645</f>
        <v>24360.96</v>
      </c>
      <c r="V646" s="149" t="n">
        <f aca="false">V645+'Volumes por intervalo'!K645</f>
        <v>31884.8000000002</v>
      </c>
      <c r="W646" s="149" t="n">
        <f aca="false">W645+'Volumes por intervalo'!L645</f>
        <v>50515.2000000002</v>
      </c>
      <c r="X646" s="149" t="n">
        <f aca="false">X645+'Volumes por intervalo'!M645</f>
        <v>150208</v>
      </c>
      <c r="Y646" s="149" t="n">
        <f aca="false">Y645+'Volumes por intervalo'!N645</f>
        <v>150208</v>
      </c>
      <c r="Z646" s="149" t="n">
        <f aca="false">Z645+'Volumes por intervalo'!O645</f>
        <v>172223.999999998</v>
      </c>
      <c r="AA646" s="149" t="n">
        <f aca="false">AA645+'Volumes por intervalo'!P645</f>
        <v>248.88</v>
      </c>
      <c r="AB646" s="149" t="n">
        <f aca="false">AB645+'Volumes por intervalo'!Q645</f>
        <v>207.4</v>
      </c>
      <c r="AC646" s="149" t="n">
        <f aca="false">AC645+'Volumes por intervalo'!R645</f>
        <v>4148</v>
      </c>
      <c r="AD646" s="149" t="n">
        <f aca="false">AD645+'Volumes por intervalo'!S645</f>
        <v>879.45</v>
      </c>
    </row>
    <row r="647" customFormat="false" ht="15" hidden="false" customHeight="false" outlineLevel="0" collapsed="false">
      <c r="A647" s="138" t="s">
        <v>2317</v>
      </c>
      <c r="B647" s="146" t="n">
        <v>641</v>
      </c>
      <c r="C647" s="144" t="n">
        <v>12820</v>
      </c>
      <c r="D647" s="138" t="s">
        <v>1604</v>
      </c>
      <c r="E647" s="138" t="s">
        <v>1605</v>
      </c>
      <c r="F647" s="147" t="n">
        <v>11</v>
      </c>
      <c r="G647" s="148" t="n">
        <v>3</v>
      </c>
      <c r="H647" s="148" t="n">
        <v>3</v>
      </c>
      <c r="I647" s="138" t="s">
        <v>1642</v>
      </c>
      <c r="J647" s="138"/>
      <c r="K647" s="146" t="n">
        <f aca="false">Parâmetros!$C$4*(F647+2*Parâmetros!$D$4+Parâmetros!$C$4*Parâmetros!$E$4)</f>
        <v>0.5525</v>
      </c>
      <c r="L647" s="146" t="n">
        <f aca="false">Parâmetros!$C$5*(F647+2*Parâmetros!$D$5+Parâmetros!$C$5*Parâmetros!$E$5)</f>
        <v>1.8176</v>
      </c>
      <c r="M647" s="146" t="n">
        <f aca="false">Parâmetros!$C$6*(F647+2*Parâmetros!$D$6+Parâmetros!$C$6*Parâmetros!$E$6)</f>
        <v>2.384</v>
      </c>
      <c r="N647" s="146" t="n">
        <f aca="false">Parâmetros!$C$7*(F647+2*Parâmetros!$D$7+Parâmetros!$C$7*Parâmetros!$E$7)</f>
        <v>3.786</v>
      </c>
      <c r="O647" s="146" t="n">
        <f aca="false">F647+2*Parâmetros!$D$8</f>
        <v>11.2</v>
      </c>
      <c r="P647" s="146" t="n">
        <f aca="false">F647+2*Parâmetros!$D$10</f>
        <v>12.92</v>
      </c>
      <c r="Q647" s="146" t="n">
        <f aca="false">G647+H647</f>
        <v>6</v>
      </c>
      <c r="S647" s="149" t="n">
        <f aca="false">S646+'Volumes por intervalo'!C646*(F646+F647)/2</f>
        <v>147868</v>
      </c>
      <c r="T647" s="149" t="n">
        <f aca="false">T646+'Volumes por intervalo'!H646</f>
        <v>7425.45000000004</v>
      </c>
      <c r="U647" s="149" t="n">
        <f aca="false">U646+'Volumes por intervalo'!J646</f>
        <v>24397.312</v>
      </c>
      <c r="V647" s="149" t="n">
        <f aca="false">V646+'Volumes por intervalo'!K646</f>
        <v>31932.4800000002</v>
      </c>
      <c r="W647" s="149" t="n">
        <f aca="false">W646+'Volumes por intervalo'!L646</f>
        <v>50590.9200000002</v>
      </c>
      <c r="X647" s="149" t="n">
        <f aca="false">X646+'Volumes por intervalo'!M646</f>
        <v>150432</v>
      </c>
      <c r="Y647" s="149" t="n">
        <f aca="false">Y646+'Volumes por intervalo'!N646</f>
        <v>150432</v>
      </c>
      <c r="Z647" s="149" t="n">
        <f aca="false">Z646+'Volumes por intervalo'!O646</f>
        <v>172482.399999998</v>
      </c>
      <c r="AA647" s="149" t="n">
        <f aca="false">AA646+'Volumes por intervalo'!P646</f>
        <v>256.08</v>
      </c>
      <c r="AB647" s="149" t="n">
        <f aca="false">AB646+'Volumes por intervalo'!Q646</f>
        <v>213.4</v>
      </c>
      <c r="AC647" s="149" t="n">
        <f aca="false">AC646+'Volumes por intervalo'!R646</f>
        <v>4268</v>
      </c>
      <c r="AD647" s="149" t="n">
        <f aca="false">AD646+'Volumes por intervalo'!S646</f>
        <v>932.75</v>
      </c>
    </row>
    <row r="648" customFormat="false" ht="15" hidden="false" customHeight="false" outlineLevel="0" collapsed="false">
      <c r="A648" s="138" t="s">
        <v>1607</v>
      </c>
      <c r="B648" s="146" t="n">
        <v>642</v>
      </c>
      <c r="C648" s="144" t="n">
        <v>12840</v>
      </c>
      <c r="D648" s="138" t="s">
        <v>1604</v>
      </c>
      <c r="E648" s="138" t="s">
        <v>1605</v>
      </c>
      <c r="F648" s="147" t="n">
        <v>11</v>
      </c>
      <c r="G648" s="148" t="n">
        <v>3</v>
      </c>
      <c r="H648" s="148" t="n">
        <v>3</v>
      </c>
      <c r="I648" s="138" t="s">
        <v>1642</v>
      </c>
      <c r="J648" s="138"/>
      <c r="K648" s="146" t="n">
        <f aca="false">Parâmetros!$C$4*(F648+2*Parâmetros!$D$4+Parâmetros!$C$4*Parâmetros!$E$4)</f>
        <v>0.5525</v>
      </c>
      <c r="L648" s="146" t="n">
        <f aca="false">Parâmetros!$C$5*(F648+2*Parâmetros!$D$5+Parâmetros!$C$5*Parâmetros!$E$5)</f>
        <v>1.8176</v>
      </c>
      <c r="M648" s="146" t="n">
        <f aca="false">Parâmetros!$C$6*(F648+2*Parâmetros!$D$6+Parâmetros!$C$6*Parâmetros!$E$6)</f>
        <v>2.384</v>
      </c>
      <c r="N648" s="146" t="n">
        <f aca="false">Parâmetros!$C$7*(F648+2*Parâmetros!$D$7+Parâmetros!$C$7*Parâmetros!$E$7)</f>
        <v>3.786</v>
      </c>
      <c r="O648" s="146" t="n">
        <f aca="false">F648+2*Parâmetros!$D$8</f>
        <v>11.2</v>
      </c>
      <c r="P648" s="146" t="n">
        <f aca="false">F648+2*Parâmetros!$D$10</f>
        <v>12.92</v>
      </c>
      <c r="Q648" s="146" t="n">
        <f aca="false">G648+H648</f>
        <v>6</v>
      </c>
      <c r="S648" s="149" t="n">
        <f aca="false">S647+'Volumes por intervalo'!C647*(F647+F648)/2</f>
        <v>148088</v>
      </c>
      <c r="T648" s="149" t="n">
        <f aca="false">T647+'Volumes por intervalo'!H647</f>
        <v>7436.50000000004</v>
      </c>
      <c r="U648" s="149" t="n">
        <f aca="false">U647+'Volumes por intervalo'!J647</f>
        <v>24433.664</v>
      </c>
      <c r="V648" s="149" t="n">
        <f aca="false">V647+'Volumes por intervalo'!K647</f>
        <v>31980.1600000002</v>
      </c>
      <c r="W648" s="149" t="n">
        <f aca="false">W647+'Volumes por intervalo'!L647</f>
        <v>50666.6400000002</v>
      </c>
      <c r="X648" s="149" t="n">
        <f aca="false">X647+'Volumes por intervalo'!M647</f>
        <v>150656</v>
      </c>
      <c r="Y648" s="149" t="n">
        <f aca="false">Y647+'Volumes por intervalo'!N647</f>
        <v>150656</v>
      </c>
      <c r="Z648" s="149" t="n">
        <f aca="false">Z647+'Volumes por intervalo'!O647</f>
        <v>172740.799999998</v>
      </c>
      <c r="AA648" s="149" t="n">
        <f aca="false">AA647+'Volumes por intervalo'!P647</f>
        <v>263.28</v>
      </c>
      <c r="AB648" s="149" t="n">
        <f aca="false">AB647+'Volumes por intervalo'!Q647</f>
        <v>219.4</v>
      </c>
      <c r="AC648" s="149" t="n">
        <f aca="false">AC647+'Volumes por intervalo'!R647</f>
        <v>4388</v>
      </c>
      <c r="AD648" s="149" t="n">
        <f aca="false">AD647+'Volumes por intervalo'!S647</f>
        <v>986.05</v>
      </c>
    </row>
    <row r="649" customFormat="false" ht="15" hidden="false" customHeight="false" outlineLevel="0" collapsed="false">
      <c r="A649" s="138" t="s">
        <v>2318</v>
      </c>
      <c r="B649" s="146" t="n">
        <v>642.5</v>
      </c>
      <c r="C649" s="144" t="n">
        <v>12850</v>
      </c>
      <c r="D649" s="138" t="s">
        <v>1608</v>
      </c>
      <c r="E649" s="138" t="s">
        <v>1609</v>
      </c>
      <c r="F649" s="147" t="n">
        <v>11</v>
      </c>
      <c r="G649" s="148" t="n">
        <v>3</v>
      </c>
      <c r="H649" s="148" t="n">
        <v>3</v>
      </c>
      <c r="I649" s="138" t="s">
        <v>1642</v>
      </c>
      <c r="J649" s="138"/>
      <c r="K649" s="146" t="n">
        <f aca="false">Parâmetros!$C$4*(F649+2*Parâmetros!$D$4+Parâmetros!$C$4*Parâmetros!$E$4)</f>
        <v>0.5525</v>
      </c>
      <c r="L649" s="146" t="n">
        <f aca="false">Parâmetros!$C$5*(F649+2*Parâmetros!$D$5+Parâmetros!$C$5*Parâmetros!$E$5)</f>
        <v>1.8176</v>
      </c>
      <c r="M649" s="146" t="n">
        <f aca="false">Parâmetros!$C$6*(F649+2*Parâmetros!$D$6+Parâmetros!$C$6*Parâmetros!$E$6)</f>
        <v>2.384</v>
      </c>
      <c r="N649" s="146" t="n">
        <f aca="false">Parâmetros!$C$7*(F649+2*Parâmetros!$D$7+Parâmetros!$C$7*Parâmetros!$E$7)</f>
        <v>3.786</v>
      </c>
      <c r="O649" s="146" t="n">
        <f aca="false">F649+2*Parâmetros!$D$8</f>
        <v>11.2</v>
      </c>
      <c r="P649" s="146" t="n">
        <f aca="false">F649+2*Parâmetros!$D$10</f>
        <v>12.92</v>
      </c>
      <c r="Q649" s="146" t="n">
        <f aca="false">G649+H649</f>
        <v>6</v>
      </c>
      <c r="S649" s="149" t="n">
        <f aca="false">S648+'Volumes por intervalo'!C648*(F648+F649)/2</f>
        <v>148198</v>
      </c>
      <c r="T649" s="149" t="n">
        <f aca="false">T648+'Volumes por intervalo'!H648</f>
        <v>7442.02500000004</v>
      </c>
      <c r="U649" s="149" t="n">
        <f aca="false">U648+'Volumes por intervalo'!J648</f>
        <v>24451.84</v>
      </c>
      <c r="V649" s="149" t="n">
        <f aca="false">V648+'Volumes por intervalo'!K648</f>
        <v>32004.0000000002</v>
      </c>
      <c r="W649" s="149" t="n">
        <f aca="false">W648+'Volumes por intervalo'!L648</f>
        <v>50704.5000000002</v>
      </c>
      <c r="X649" s="149" t="n">
        <f aca="false">X648+'Volumes por intervalo'!M648</f>
        <v>150768</v>
      </c>
      <c r="Y649" s="149" t="n">
        <f aca="false">Y648+'Volumes por intervalo'!N648</f>
        <v>150768</v>
      </c>
      <c r="Z649" s="149" t="n">
        <f aca="false">Z648+'Volumes por intervalo'!O648</f>
        <v>172869.999999998</v>
      </c>
      <c r="AA649" s="149" t="n">
        <f aca="false">AA648+'Volumes por intervalo'!P648</f>
        <v>266.88</v>
      </c>
      <c r="AB649" s="149" t="n">
        <f aca="false">AB648+'Volumes por intervalo'!Q648</f>
        <v>222.4</v>
      </c>
      <c r="AC649" s="149" t="n">
        <f aca="false">AC648+'Volumes por intervalo'!R648</f>
        <v>4448</v>
      </c>
      <c r="AD649" s="149" t="n">
        <f aca="false">AD648+'Volumes por intervalo'!S648</f>
        <v>1012.7</v>
      </c>
    </row>
    <row r="650" customFormat="false" ht="15" hidden="false" customHeight="false" outlineLevel="0" collapsed="false">
      <c r="A650" s="138" t="s">
        <v>1611</v>
      </c>
      <c r="B650" s="146" t="n">
        <v>642.79085</v>
      </c>
      <c r="C650" s="144" t="n">
        <v>12855.817</v>
      </c>
      <c r="D650" s="138" t="s">
        <v>1608</v>
      </c>
      <c r="E650" s="138" t="s">
        <v>1609</v>
      </c>
      <c r="F650" s="147" t="n">
        <v>11</v>
      </c>
      <c r="G650" s="148" t="n">
        <v>3</v>
      </c>
      <c r="H650" s="148" t="n">
        <v>3</v>
      </c>
      <c r="I650" s="138" t="s">
        <v>1642</v>
      </c>
      <c r="J650" s="138"/>
      <c r="K650" s="146" t="n">
        <f aca="false">Parâmetros!$C$4*(F650+2*Parâmetros!$D$4+Parâmetros!$C$4*Parâmetros!$E$4)</f>
        <v>0.5525</v>
      </c>
      <c r="L650" s="146" t="n">
        <f aca="false">Parâmetros!$C$5*(F650+2*Parâmetros!$D$5+Parâmetros!$C$5*Parâmetros!$E$5)</f>
        <v>1.8176</v>
      </c>
      <c r="M650" s="146" t="n">
        <f aca="false">Parâmetros!$C$6*(F650+2*Parâmetros!$D$6+Parâmetros!$C$6*Parâmetros!$E$6)</f>
        <v>2.384</v>
      </c>
      <c r="N650" s="146" t="n">
        <f aca="false">Parâmetros!$C$7*(F650+2*Parâmetros!$D$7+Parâmetros!$C$7*Parâmetros!$E$7)</f>
        <v>3.786</v>
      </c>
      <c r="O650" s="146" t="n">
        <f aca="false">F650+2*Parâmetros!$D$8</f>
        <v>11.2</v>
      </c>
      <c r="P650" s="146" t="n">
        <f aca="false">F650+2*Parâmetros!$D$10</f>
        <v>12.92</v>
      </c>
      <c r="Q650" s="146" t="n">
        <f aca="false">G650+H650</f>
        <v>6</v>
      </c>
      <c r="S650" s="149" t="n">
        <f aca="false">S649+'Volumes por intervalo'!C649*(F649+F650)/2</f>
        <v>148261.987</v>
      </c>
      <c r="T650" s="149" t="n">
        <f aca="false">T649+'Volumes por intervalo'!H649</f>
        <v>7445.23889250004</v>
      </c>
      <c r="U650" s="149" t="n">
        <f aca="false">U649+'Volumes por intervalo'!J649</f>
        <v>24462.4129792</v>
      </c>
      <c r="V650" s="149" t="n">
        <f aca="false">V649+'Volumes por intervalo'!K649</f>
        <v>32017.8677280002</v>
      </c>
      <c r="W650" s="149" t="n">
        <f aca="false">W649+'Volumes por intervalo'!L649</f>
        <v>50726.5231620002</v>
      </c>
      <c r="X650" s="149" t="n">
        <f aca="false">X649+'Volumes por intervalo'!M649</f>
        <v>150833.1504</v>
      </c>
      <c r="Y650" s="149" t="n">
        <f aca="false">Y649+'Volumes por intervalo'!N649</f>
        <v>150833.1504</v>
      </c>
      <c r="Z650" s="149" t="n">
        <f aca="false">Z649+'Volumes por intervalo'!O649</f>
        <v>172945.155639998</v>
      </c>
      <c r="AA650" s="149" t="n">
        <f aca="false">AA649+'Volumes por intervalo'!P649</f>
        <v>268.97412</v>
      </c>
      <c r="AB650" s="149" t="n">
        <f aca="false">AB649+'Volumes por intervalo'!Q649</f>
        <v>224.1451</v>
      </c>
      <c r="AC650" s="149" t="n">
        <f aca="false">AC649+'Volumes por intervalo'!R649</f>
        <v>4482.902</v>
      </c>
      <c r="AD650" s="149" t="n">
        <f aca="false">AD649+'Volumes por intervalo'!S649</f>
        <v>1028.202305</v>
      </c>
    </row>
  </sheetData>
  <autoFilter ref="A1:AD6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9"/>
    <col collapsed="false" customWidth="true" hidden="false" outlineLevel="0" max="5" min="5" style="0" width="8"/>
    <col collapsed="false" customWidth="true" hidden="false" outlineLevel="0" max="7" min="6" style="0" width="9"/>
    <col collapsed="false" customWidth="true" hidden="false" outlineLevel="0" max="12" min="8" style="0" width="10"/>
    <col collapsed="false" customWidth="true" hidden="false" outlineLevel="0" max="14" min="13" style="0" width="11"/>
    <col collapsed="false" customWidth="true" hidden="false" outlineLevel="0" max="15" min="15" style="0" width="12"/>
    <col collapsed="false" customWidth="true" hidden="false" outlineLevel="0" max="17" min="16" style="0" width="9"/>
    <col collapsed="false" customWidth="true" hidden="false" outlineLevel="0" max="18" min="18" style="0" width="10"/>
    <col collapsed="false" customWidth="true" hidden="false" outlineLevel="0" max="19" min="19" style="0" width="11"/>
  </cols>
  <sheetData>
    <row r="1" customFormat="false" ht="48" hidden="false" customHeight="true" outlineLevel="0" collapsed="false">
      <c r="A1" s="133" t="s">
        <v>14</v>
      </c>
      <c r="B1" s="133" t="s">
        <v>17</v>
      </c>
      <c r="C1" s="133" t="s">
        <v>1552</v>
      </c>
      <c r="D1" s="133" t="s">
        <v>1550</v>
      </c>
      <c r="E1" s="133" t="s">
        <v>1551</v>
      </c>
      <c r="F1" s="133" t="s">
        <v>2319</v>
      </c>
      <c r="G1" s="133" t="s">
        <v>2320</v>
      </c>
      <c r="H1" s="133" t="s">
        <v>1553</v>
      </c>
      <c r="I1" s="133" t="s">
        <v>1554</v>
      </c>
      <c r="J1" s="133" t="s">
        <v>1555</v>
      </c>
      <c r="K1" s="133" t="s">
        <v>1556</v>
      </c>
      <c r="L1" s="133" t="s">
        <v>1557</v>
      </c>
      <c r="M1" s="133" t="s">
        <v>1558</v>
      </c>
      <c r="N1" s="133" t="s">
        <v>1559</v>
      </c>
      <c r="O1" s="133" t="s">
        <v>1560</v>
      </c>
      <c r="P1" s="133" t="s">
        <v>1561</v>
      </c>
      <c r="Q1" s="133" t="s">
        <v>1562</v>
      </c>
      <c r="R1" s="133" t="s">
        <v>1563</v>
      </c>
      <c r="S1" s="133" t="s">
        <v>1564</v>
      </c>
    </row>
    <row r="2" customFormat="false" ht="15" hidden="false" customHeight="false" outlineLevel="0" collapsed="false">
      <c r="A2" s="138" t="str">
        <f aca="false">Estacas!A2</f>
        <v>0+0,00</v>
      </c>
      <c r="B2" s="138" t="str">
        <f aca="false">Estacas!A3</f>
        <v>1+0,00</v>
      </c>
      <c r="C2" s="144" t="n">
        <f aca="false">Estacas!C3-Estacas!C2</f>
        <v>20</v>
      </c>
      <c r="D2" s="138" t="s">
        <v>1565</v>
      </c>
      <c r="E2" s="138" t="s">
        <v>1566</v>
      </c>
      <c r="F2" s="141" t="n">
        <f aca="false">Estacas!F2</f>
        <v>11</v>
      </c>
      <c r="G2" s="141" t="n">
        <f aca="false">Estacas!F3</f>
        <v>11</v>
      </c>
      <c r="H2" s="141" t="n">
        <f aca="false">C2*(Estacas!K2+Estacas!K3)/2</f>
        <v>11.05</v>
      </c>
      <c r="I2" s="141" t="n">
        <f aca="false">H2*Parâmetros!$C$14</f>
        <v>26.52</v>
      </c>
      <c r="J2" s="141" t="n">
        <f aca="false">C2*(Estacas!L2+Estacas!L3)/2</f>
        <v>36.352</v>
      </c>
      <c r="K2" s="141" t="n">
        <f aca="false">C2*(Estacas!M2+Estacas!M3)/2</f>
        <v>47.68</v>
      </c>
      <c r="L2" s="141" t="n">
        <f aca="false">C2*(Estacas!N2+Estacas!N3)/2</f>
        <v>75.72</v>
      </c>
      <c r="M2" s="141" t="n">
        <f aca="false">C2*(Estacas!O2+Estacas!O3)/2</f>
        <v>224</v>
      </c>
      <c r="N2" s="141" t="n">
        <f aca="false">C2*(Estacas!O2+Estacas!O3)/2</f>
        <v>224</v>
      </c>
      <c r="O2" s="141" t="n">
        <f aca="false">C2*(Estacas!P2+Estacas!P3)/2</f>
        <v>258.4</v>
      </c>
      <c r="P2" s="141" t="n">
        <f aca="false">R2*Parâmetros!$C$11</f>
        <v>0</v>
      </c>
      <c r="Q2" s="141" t="n">
        <f aca="false">R2*Parâmetros!$C$12</f>
        <v>0</v>
      </c>
      <c r="R2" s="141" t="n">
        <f aca="false">C2*(Estacas!Q2+Estacas!Q3)/2</f>
        <v>0</v>
      </c>
      <c r="S2" s="141" t="n">
        <f aca="false">IF(LEFT(E2,3)="T09",C2*Parâmetros!$D$13*Parâmetros!$C$13,0)</f>
        <v>0</v>
      </c>
    </row>
    <row r="3" customFormat="false" ht="15" hidden="false" customHeight="false" outlineLevel="0" collapsed="false">
      <c r="A3" s="138" t="str">
        <f aca="false">Estacas!A3</f>
        <v>1+0,00</v>
      </c>
      <c r="B3" s="138" t="str">
        <f aca="false">Estacas!A4</f>
        <v>2+0,00</v>
      </c>
      <c r="C3" s="144" t="n">
        <f aca="false">Estacas!C4-Estacas!C3</f>
        <v>20</v>
      </c>
      <c r="D3" s="138" t="s">
        <v>1565</v>
      </c>
      <c r="E3" s="138" t="s">
        <v>1566</v>
      </c>
      <c r="F3" s="141" t="n">
        <f aca="false">Estacas!F3</f>
        <v>11</v>
      </c>
      <c r="G3" s="141" t="n">
        <f aca="false">Estacas!F4</f>
        <v>11</v>
      </c>
      <c r="H3" s="141" t="n">
        <f aca="false">C3*(Estacas!K3+Estacas!K4)/2</f>
        <v>11.05</v>
      </c>
      <c r="I3" s="141" t="n">
        <f aca="false">H3*Parâmetros!$C$14</f>
        <v>26.52</v>
      </c>
      <c r="J3" s="141" t="n">
        <f aca="false">C3*(Estacas!L3+Estacas!L4)/2</f>
        <v>36.352</v>
      </c>
      <c r="K3" s="141" t="n">
        <f aca="false">C3*(Estacas!M3+Estacas!M4)/2</f>
        <v>47.68</v>
      </c>
      <c r="L3" s="141" t="n">
        <f aca="false">C3*(Estacas!N3+Estacas!N4)/2</f>
        <v>75.72</v>
      </c>
      <c r="M3" s="141" t="n">
        <f aca="false">C3*(Estacas!O3+Estacas!O4)/2</f>
        <v>224</v>
      </c>
      <c r="N3" s="141" t="n">
        <f aca="false">C3*(Estacas!O3+Estacas!O4)/2</f>
        <v>224</v>
      </c>
      <c r="O3" s="141" t="n">
        <f aca="false">C3*(Estacas!P3+Estacas!P4)/2</f>
        <v>258.4</v>
      </c>
      <c r="P3" s="141" t="n">
        <f aca="false">R3*Parâmetros!$C$11</f>
        <v>0</v>
      </c>
      <c r="Q3" s="141" t="n">
        <f aca="false">R3*Parâmetros!$C$12</f>
        <v>0</v>
      </c>
      <c r="R3" s="141" t="n">
        <f aca="false">C3*(Estacas!Q3+Estacas!Q4)/2</f>
        <v>0</v>
      </c>
      <c r="S3" s="141" t="n">
        <f aca="false">IF(LEFT(E3,3)="T09",C3*Parâmetros!$D$13*Parâmetros!$C$13,0)</f>
        <v>0</v>
      </c>
    </row>
    <row r="4" customFormat="false" ht="15" hidden="false" customHeight="false" outlineLevel="0" collapsed="false">
      <c r="A4" s="138" t="str">
        <f aca="false">Estacas!A4</f>
        <v>2+0,00</v>
      </c>
      <c r="B4" s="138" t="str">
        <f aca="false">Estacas!A5</f>
        <v>3+0,00</v>
      </c>
      <c r="C4" s="144" t="n">
        <f aca="false">Estacas!C5-Estacas!C4</f>
        <v>20</v>
      </c>
      <c r="D4" s="138" t="s">
        <v>1565</v>
      </c>
      <c r="E4" s="138" t="s">
        <v>1566</v>
      </c>
      <c r="F4" s="141" t="n">
        <f aca="false">Estacas!F4</f>
        <v>11</v>
      </c>
      <c r="G4" s="141" t="n">
        <f aca="false">Estacas!F5</f>
        <v>11</v>
      </c>
      <c r="H4" s="141" t="n">
        <f aca="false">C4*(Estacas!K4+Estacas!K5)/2</f>
        <v>11.05</v>
      </c>
      <c r="I4" s="141" t="n">
        <f aca="false">H4*Parâmetros!$C$14</f>
        <v>26.52</v>
      </c>
      <c r="J4" s="141" t="n">
        <f aca="false">C4*(Estacas!L4+Estacas!L5)/2</f>
        <v>36.352</v>
      </c>
      <c r="K4" s="141" t="n">
        <f aca="false">C4*(Estacas!M4+Estacas!M5)/2</f>
        <v>47.68</v>
      </c>
      <c r="L4" s="141" t="n">
        <f aca="false">C4*(Estacas!N4+Estacas!N5)/2</f>
        <v>75.72</v>
      </c>
      <c r="M4" s="141" t="n">
        <f aca="false">C4*(Estacas!O4+Estacas!O5)/2</f>
        <v>224</v>
      </c>
      <c r="N4" s="141" t="n">
        <f aca="false">C4*(Estacas!O4+Estacas!O5)/2</f>
        <v>224</v>
      </c>
      <c r="O4" s="141" t="n">
        <f aca="false">C4*(Estacas!P4+Estacas!P5)/2</f>
        <v>258.4</v>
      </c>
      <c r="P4" s="141" t="n">
        <f aca="false">R4*Parâmetros!$C$11</f>
        <v>0</v>
      </c>
      <c r="Q4" s="141" t="n">
        <f aca="false">R4*Parâmetros!$C$12</f>
        <v>0</v>
      </c>
      <c r="R4" s="141" t="n">
        <f aca="false">C4*(Estacas!Q4+Estacas!Q5)/2</f>
        <v>0</v>
      </c>
      <c r="S4" s="141" t="n">
        <f aca="false">IF(LEFT(E4,3)="T09",C4*Parâmetros!$D$13*Parâmetros!$C$13,0)</f>
        <v>0</v>
      </c>
    </row>
    <row r="5" customFormat="false" ht="15" hidden="false" customHeight="false" outlineLevel="0" collapsed="false">
      <c r="A5" s="138" t="str">
        <f aca="false">Estacas!A5</f>
        <v>3+0,00</v>
      </c>
      <c r="B5" s="138" t="str">
        <f aca="false">Estacas!A6</f>
        <v>4+0,00</v>
      </c>
      <c r="C5" s="144" t="n">
        <f aca="false">Estacas!C6-Estacas!C5</f>
        <v>20</v>
      </c>
      <c r="D5" s="138" t="s">
        <v>1565</v>
      </c>
      <c r="E5" s="138" t="s">
        <v>1566</v>
      </c>
      <c r="F5" s="141" t="n">
        <f aca="false">Estacas!F5</f>
        <v>11</v>
      </c>
      <c r="G5" s="141" t="n">
        <f aca="false">Estacas!F6</f>
        <v>11</v>
      </c>
      <c r="H5" s="141" t="n">
        <f aca="false">C5*(Estacas!K5+Estacas!K6)/2</f>
        <v>11.05</v>
      </c>
      <c r="I5" s="141" t="n">
        <f aca="false">H5*Parâmetros!$C$14</f>
        <v>26.52</v>
      </c>
      <c r="J5" s="141" t="n">
        <f aca="false">C5*(Estacas!L5+Estacas!L6)/2</f>
        <v>36.352</v>
      </c>
      <c r="K5" s="141" t="n">
        <f aca="false">C5*(Estacas!M5+Estacas!M6)/2</f>
        <v>47.68</v>
      </c>
      <c r="L5" s="141" t="n">
        <f aca="false">C5*(Estacas!N5+Estacas!N6)/2</f>
        <v>75.72</v>
      </c>
      <c r="M5" s="141" t="n">
        <f aca="false">C5*(Estacas!O5+Estacas!O6)/2</f>
        <v>224</v>
      </c>
      <c r="N5" s="141" t="n">
        <f aca="false">C5*(Estacas!O5+Estacas!O6)/2</f>
        <v>224</v>
      </c>
      <c r="O5" s="141" t="n">
        <f aca="false">C5*(Estacas!P5+Estacas!P6)/2</f>
        <v>258.4</v>
      </c>
      <c r="P5" s="141" t="n">
        <f aca="false">R5*Parâmetros!$C$11</f>
        <v>0</v>
      </c>
      <c r="Q5" s="141" t="n">
        <f aca="false">R5*Parâmetros!$C$12</f>
        <v>0</v>
      </c>
      <c r="R5" s="141" t="n">
        <f aca="false">C5*(Estacas!Q5+Estacas!Q6)/2</f>
        <v>0</v>
      </c>
      <c r="S5" s="141" t="n">
        <f aca="false">IF(LEFT(E5,3)="T09",C5*Parâmetros!$D$13*Parâmetros!$C$13,0)</f>
        <v>0</v>
      </c>
    </row>
    <row r="6" customFormat="false" ht="15" hidden="false" customHeight="false" outlineLevel="0" collapsed="false">
      <c r="A6" s="138" t="str">
        <f aca="false">Estacas!A6</f>
        <v>4+0,00</v>
      </c>
      <c r="B6" s="138" t="str">
        <f aca="false">Estacas!A7</f>
        <v>5+0,00</v>
      </c>
      <c r="C6" s="144" t="n">
        <f aca="false">Estacas!C7-Estacas!C6</f>
        <v>20</v>
      </c>
      <c r="D6" s="138" t="s">
        <v>1565</v>
      </c>
      <c r="E6" s="138" t="s">
        <v>1566</v>
      </c>
      <c r="F6" s="141" t="n">
        <f aca="false">Estacas!F6</f>
        <v>11</v>
      </c>
      <c r="G6" s="141" t="n">
        <f aca="false">Estacas!F7</f>
        <v>11</v>
      </c>
      <c r="H6" s="141" t="n">
        <f aca="false">C6*(Estacas!K6+Estacas!K7)/2</f>
        <v>11.05</v>
      </c>
      <c r="I6" s="141" t="n">
        <f aca="false">H6*Parâmetros!$C$14</f>
        <v>26.52</v>
      </c>
      <c r="J6" s="141" t="n">
        <f aca="false">C6*(Estacas!L6+Estacas!L7)/2</f>
        <v>36.352</v>
      </c>
      <c r="K6" s="141" t="n">
        <f aca="false">C6*(Estacas!M6+Estacas!M7)/2</f>
        <v>47.68</v>
      </c>
      <c r="L6" s="141" t="n">
        <f aca="false">C6*(Estacas!N6+Estacas!N7)/2</f>
        <v>75.72</v>
      </c>
      <c r="M6" s="141" t="n">
        <f aca="false">C6*(Estacas!O6+Estacas!O7)/2</f>
        <v>224</v>
      </c>
      <c r="N6" s="141" t="n">
        <f aca="false">C6*(Estacas!O6+Estacas!O7)/2</f>
        <v>224</v>
      </c>
      <c r="O6" s="141" t="n">
        <f aca="false">C6*(Estacas!P6+Estacas!P7)/2</f>
        <v>258.4</v>
      </c>
      <c r="P6" s="141" t="n">
        <f aca="false">R6*Parâmetros!$C$11</f>
        <v>0</v>
      </c>
      <c r="Q6" s="141" t="n">
        <f aca="false">R6*Parâmetros!$C$12</f>
        <v>0</v>
      </c>
      <c r="R6" s="141" t="n">
        <f aca="false">C6*(Estacas!Q6+Estacas!Q7)/2</f>
        <v>0</v>
      </c>
      <c r="S6" s="141" t="n">
        <f aca="false">IF(LEFT(E6,3)="T09",C6*Parâmetros!$D$13*Parâmetros!$C$13,0)</f>
        <v>0</v>
      </c>
    </row>
    <row r="7" customFormat="false" ht="15" hidden="false" customHeight="false" outlineLevel="0" collapsed="false">
      <c r="A7" s="138" t="str">
        <f aca="false">Estacas!A7</f>
        <v>5+0,00</v>
      </c>
      <c r="B7" s="138" t="str">
        <f aca="false">Estacas!A8</f>
        <v>6+0,00</v>
      </c>
      <c r="C7" s="144" t="n">
        <f aca="false">Estacas!C8-Estacas!C7</f>
        <v>20</v>
      </c>
      <c r="D7" s="138" t="s">
        <v>1565</v>
      </c>
      <c r="E7" s="138" t="s">
        <v>1566</v>
      </c>
      <c r="F7" s="141" t="n">
        <f aca="false">Estacas!F7</f>
        <v>11</v>
      </c>
      <c r="G7" s="141" t="n">
        <f aca="false">Estacas!F8</f>
        <v>11</v>
      </c>
      <c r="H7" s="141" t="n">
        <f aca="false">C7*(Estacas!K7+Estacas!K8)/2</f>
        <v>11.05</v>
      </c>
      <c r="I7" s="141" t="n">
        <f aca="false">H7*Parâmetros!$C$14</f>
        <v>26.52</v>
      </c>
      <c r="J7" s="141" t="n">
        <f aca="false">C7*(Estacas!L7+Estacas!L8)/2</f>
        <v>36.352</v>
      </c>
      <c r="K7" s="141" t="n">
        <f aca="false">C7*(Estacas!M7+Estacas!M8)/2</f>
        <v>47.68</v>
      </c>
      <c r="L7" s="141" t="n">
        <f aca="false">C7*(Estacas!N7+Estacas!N8)/2</f>
        <v>75.72</v>
      </c>
      <c r="M7" s="141" t="n">
        <f aca="false">C7*(Estacas!O7+Estacas!O8)/2</f>
        <v>224</v>
      </c>
      <c r="N7" s="141" t="n">
        <f aca="false">C7*(Estacas!O7+Estacas!O8)/2</f>
        <v>224</v>
      </c>
      <c r="O7" s="141" t="n">
        <f aca="false">C7*(Estacas!P7+Estacas!P8)/2</f>
        <v>258.4</v>
      </c>
      <c r="P7" s="141" t="n">
        <f aca="false">R7*Parâmetros!$C$11</f>
        <v>0</v>
      </c>
      <c r="Q7" s="141" t="n">
        <f aca="false">R7*Parâmetros!$C$12</f>
        <v>0</v>
      </c>
      <c r="R7" s="141" t="n">
        <f aca="false">C7*(Estacas!Q7+Estacas!Q8)/2</f>
        <v>0</v>
      </c>
      <c r="S7" s="141" t="n">
        <f aca="false">IF(LEFT(E7,3)="T09",C7*Parâmetros!$D$13*Parâmetros!$C$13,0)</f>
        <v>0</v>
      </c>
    </row>
    <row r="8" customFormat="false" ht="15" hidden="false" customHeight="false" outlineLevel="0" collapsed="false">
      <c r="A8" s="138" t="str">
        <f aca="false">Estacas!A8</f>
        <v>6+0,00</v>
      </c>
      <c r="B8" s="138" t="str">
        <f aca="false">Estacas!A9</f>
        <v>7+0,00</v>
      </c>
      <c r="C8" s="144" t="n">
        <f aca="false">Estacas!C9-Estacas!C8</f>
        <v>20</v>
      </c>
      <c r="D8" s="138" t="s">
        <v>1565</v>
      </c>
      <c r="E8" s="138" t="s">
        <v>1566</v>
      </c>
      <c r="F8" s="141" t="n">
        <f aca="false">Estacas!F8</f>
        <v>11</v>
      </c>
      <c r="G8" s="141" t="n">
        <f aca="false">Estacas!F9</f>
        <v>11</v>
      </c>
      <c r="H8" s="141" t="n">
        <f aca="false">C8*(Estacas!K8+Estacas!K9)/2</f>
        <v>11.05</v>
      </c>
      <c r="I8" s="141" t="n">
        <f aca="false">H8*Parâmetros!$C$14</f>
        <v>26.52</v>
      </c>
      <c r="J8" s="141" t="n">
        <f aca="false">C8*(Estacas!L8+Estacas!L9)/2</f>
        <v>36.352</v>
      </c>
      <c r="K8" s="141" t="n">
        <f aca="false">C8*(Estacas!M8+Estacas!M9)/2</f>
        <v>47.68</v>
      </c>
      <c r="L8" s="141" t="n">
        <f aca="false">C8*(Estacas!N8+Estacas!N9)/2</f>
        <v>75.72</v>
      </c>
      <c r="M8" s="141" t="n">
        <f aca="false">C8*(Estacas!O8+Estacas!O9)/2</f>
        <v>224</v>
      </c>
      <c r="N8" s="141" t="n">
        <f aca="false">C8*(Estacas!O8+Estacas!O9)/2</f>
        <v>224</v>
      </c>
      <c r="O8" s="141" t="n">
        <f aca="false">C8*(Estacas!P8+Estacas!P9)/2</f>
        <v>258.4</v>
      </c>
      <c r="P8" s="141" t="n">
        <f aca="false">R8*Parâmetros!$C$11</f>
        <v>0</v>
      </c>
      <c r="Q8" s="141" t="n">
        <f aca="false">R8*Parâmetros!$C$12</f>
        <v>0</v>
      </c>
      <c r="R8" s="141" t="n">
        <f aca="false">C8*(Estacas!Q8+Estacas!Q9)/2</f>
        <v>0</v>
      </c>
      <c r="S8" s="141" t="n">
        <f aca="false">IF(LEFT(E8,3)="T09",C8*Parâmetros!$D$13*Parâmetros!$C$13,0)</f>
        <v>0</v>
      </c>
    </row>
    <row r="9" customFormat="false" ht="15" hidden="false" customHeight="false" outlineLevel="0" collapsed="false">
      <c r="A9" s="138" t="str">
        <f aca="false">Estacas!A9</f>
        <v>7+0,00</v>
      </c>
      <c r="B9" s="138" t="str">
        <f aca="false">Estacas!A10</f>
        <v>8+0,00</v>
      </c>
      <c r="C9" s="144" t="n">
        <f aca="false">Estacas!C10-Estacas!C9</f>
        <v>20</v>
      </c>
      <c r="D9" s="138" t="s">
        <v>1565</v>
      </c>
      <c r="E9" s="138" t="s">
        <v>1566</v>
      </c>
      <c r="F9" s="141" t="n">
        <f aca="false">Estacas!F9</f>
        <v>11</v>
      </c>
      <c r="G9" s="141" t="n">
        <f aca="false">Estacas!F10</f>
        <v>11</v>
      </c>
      <c r="H9" s="141" t="n">
        <f aca="false">C9*(Estacas!K9+Estacas!K10)/2</f>
        <v>11.05</v>
      </c>
      <c r="I9" s="141" t="n">
        <f aca="false">H9*Parâmetros!$C$14</f>
        <v>26.52</v>
      </c>
      <c r="J9" s="141" t="n">
        <f aca="false">C9*(Estacas!L9+Estacas!L10)/2</f>
        <v>36.352</v>
      </c>
      <c r="K9" s="141" t="n">
        <f aca="false">C9*(Estacas!M9+Estacas!M10)/2</f>
        <v>47.68</v>
      </c>
      <c r="L9" s="141" t="n">
        <f aca="false">C9*(Estacas!N9+Estacas!N10)/2</f>
        <v>75.72</v>
      </c>
      <c r="M9" s="141" t="n">
        <f aca="false">C9*(Estacas!O9+Estacas!O10)/2</f>
        <v>224</v>
      </c>
      <c r="N9" s="141" t="n">
        <f aca="false">C9*(Estacas!O9+Estacas!O10)/2</f>
        <v>224</v>
      </c>
      <c r="O9" s="141" t="n">
        <f aca="false">C9*(Estacas!P9+Estacas!P10)/2</f>
        <v>258.4</v>
      </c>
      <c r="P9" s="141" t="n">
        <f aca="false">R9*Parâmetros!$C$11</f>
        <v>0</v>
      </c>
      <c r="Q9" s="141" t="n">
        <f aca="false">R9*Parâmetros!$C$12</f>
        <v>0</v>
      </c>
      <c r="R9" s="141" t="n">
        <f aca="false">C9*(Estacas!Q9+Estacas!Q10)/2</f>
        <v>0</v>
      </c>
      <c r="S9" s="141" t="n">
        <f aca="false">IF(LEFT(E9,3)="T09",C9*Parâmetros!$D$13*Parâmetros!$C$13,0)</f>
        <v>0</v>
      </c>
    </row>
    <row r="10" customFormat="false" ht="15" hidden="false" customHeight="false" outlineLevel="0" collapsed="false">
      <c r="A10" s="138" t="str">
        <f aca="false">Estacas!A10</f>
        <v>8+0,00</v>
      </c>
      <c r="B10" s="138" t="str">
        <f aca="false">Estacas!A11</f>
        <v>9+0,00</v>
      </c>
      <c r="C10" s="144" t="n">
        <f aca="false">Estacas!C11-Estacas!C10</f>
        <v>20</v>
      </c>
      <c r="D10" s="138" t="s">
        <v>1565</v>
      </c>
      <c r="E10" s="138" t="s">
        <v>1566</v>
      </c>
      <c r="F10" s="141" t="n">
        <f aca="false">Estacas!F10</f>
        <v>11</v>
      </c>
      <c r="G10" s="141" t="n">
        <f aca="false">Estacas!F11</f>
        <v>11</v>
      </c>
      <c r="H10" s="141" t="n">
        <f aca="false">C10*(Estacas!K10+Estacas!K11)/2</f>
        <v>11.05</v>
      </c>
      <c r="I10" s="141" t="n">
        <f aca="false">H10*Parâmetros!$C$14</f>
        <v>26.52</v>
      </c>
      <c r="J10" s="141" t="n">
        <f aca="false">C10*(Estacas!L10+Estacas!L11)/2</f>
        <v>36.352</v>
      </c>
      <c r="K10" s="141" t="n">
        <f aca="false">C10*(Estacas!M10+Estacas!M11)/2</f>
        <v>47.68</v>
      </c>
      <c r="L10" s="141" t="n">
        <f aca="false">C10*(Estacas!N10+Estacas!N11)/2</f>
        <v>75.72</v>
      </c>
      <c r="M10" s="141" t="n">
        <f aca="false">C10*(Estacas!O10+Estacas!O11)/2</f>
        <v>224</v>
      </c>
      <c r="N10" s="141" t="n">
        <f aca="false">C10*(Estacas!O10+Estacas!O11)/2</f>
        <v>224</v>
      </c>
      <c r="O10" s="141" t="n">
        <f aca="false">C10*(Estacas!P10+Estacas!P11)/2</f>
        <v>258.4</v>
      </c>
      <c r="P10" s="141" t="n">
        <f aca="false">R10*Parâmetros!$C$11</f>
        <v>0</v>
      </c>
      <c r="Q10" s="141" t="n">
        <f aca="false">R10*Parâmetros!$C$12</f>
        <v>0</v>
      </c>
      <c r="R10" s="141" t="n">
        <f aca="false">C10*(Estacas!Q10+Estacas!Q11)/2</f>
        <v>0</v>
      </c>
      <c r="S10" s="141" t="n">
        <f aca="false">IF(LEFT(E10,3)="T09",C10*Parâmetros!$D$13*Parâmetros!$C$13,0)</f>
        <v>0</v>
      </c>
    </row>
    <row r="11" customFormat="false" ht="15" hidden="false" customHeight="false" outlineLevel="0" collapsed="false">
      <c r="A11" s="138" t="str">
        <f aca="false">Estacas!A11</f>
        <v>9+0,00</v>
      </c>
      <c r="B11" s="138" t="str">
        <f aca="false">Estacas!A12</f>
        <v>10+0,00</v>
      </c>
      <c r="C11" s="144" t="n">
        <f aca="false">Estacas!C12-Estacas!C11</f>
        <v>20</v>
      </c>
      <c r="D11" s="138" t="s">
        <v>1565</v>
      </c>
      <c r="E11" s="138" t="s">
        <v>1566</v>
      </c>
      <c r="F11" s="141" t="n">
        <f aca="false">Estacas!F11</f>
        <v>11</v>
      </c>
      <c r="G11" s="141" t="n">
        <f aca="false">Estacas!F12</f>
        <v>11</v>
      </c>
      <c r="H11" s="141" t="n">
        <f aca="false">C11*(Estacas!K11+Estacas!K12)/2</f>
        <v>11.05</v>
      </c>
      <c r="I11" s="141" t="n">
        <f aca="false">H11*Parâmetros!$C$14</f>
        <v>26.52</v>
      </c>
      <c r="J11" s="141" t="n">
        <f aca="false">C11*(Estacas!L11+Estacas!L12)/2</f>
        <v>36.352</v>
      </c>
      <c r="K11" s="141" t="n">
        <f aca="false">C11*(Estacas!M11+Estacas!M12)/2</f>
        <v>47.68</v>
      </c>
      <c r="L11" s="141" t="n">
        <f aca="false">C11*(Estacas!N11+Estacas!N12)/2</f>
        <v>75.72</v>
      </c>
      <c r="M11" s="141" t="n">
        <f aca="false">C11*(Estacas!O11+Estacas!O12)/2</f>
        <v>224</v>
      </c>
      <c r="N11" s="141" t="n">
        <f aca="false">C11*(Estacas!O11+Estacas!O12)/2</f>
        <v>224</v>
      </c>
      <c r="O11" s="141" t="n">
        <f aca="false">C11*(Estacas!P11+Estacas!P12)/2</f>
        <v>258.4</v>
      </c>
      <c r="P11" s="141" t="n">
        <f aca="false">R11*Parâmetros!$C$11</f>
        <v>0</v>
      </c>
      <c r="Q11" s="141" t="n">
        <f aca="false">R11*Parâmetros!$C$12</f>
        <v>0</v>
      </c>
      <c r="R11" s="141" t="n">
        <f aca="false">C11*(Estacas!Q11+Estacas!Q12)/2</f>
        <v>0</v>
      </c>
      <c r="S11" s="141" t="n">
        <f aca="false">IF(LEFT(E11,3)="T09",C11*Parâmetros!$D$13*Parâmetros!$C$13,0)</f>
        <v>0</v>
      </c>
    </row>
    <row r="12" customFormat="false" ht="15" hidden="false" customHeight="false" outlineLevel="0" collapsed="false">
      <c r="A12" s="138" t="str">
        <f aca="false">Estacas!A12</f>
        <v>10+0,00</v>
      </c>
      <c r="B12" s="138" t="str">
        <f aca="false">Estacas!A13</f>
        <v>11+0,00</v>
      </c>
      <c r="C12" s="144" t="n">
        <f aca="false">Estacas!C13-Estacas!C12</f>
        <v>20</v>
      </c>
      <c r="D12" s="138" t="s">
        <v>1565</v>
      </c>
      <c r="E12" s="138" t="s">
        <v>1566</v>
      </c>
      <c r="F12" s="141" t="n">
        <f aca="false">Estacas!F12</f>
        <v>11</v>
      </c>
      <c r="G12" s="141" t="n">
        <f aca="false">Estacas!F13</f>
        <v>11</v>
      </c>
      <c r="H12" s="141" t="n">
        <f aca="false">C12*(Estacas!K12+Estacas!K13)/2</f>
        <v>11.05</v>
      </c>
      <c r="I12" s="141" t="n">
        <f aca="false">H12*Parâmetros!$C$14</f>
        <v>26.52</v>
      </c>
      <c r="J12" s="141" t="n">
        <f aca="false">C12*(Estacas!L12+Estacas!L13)/2</f>
        <v>36.352</v>
      </c>
      <c r="K12" s="141" t="n">
        <f aca="false">C12*(Estacas!M12+Estacas!M13)/2</f>
        <v>47.68</v>
      </c>
      <c r="L12" s="141" t="n">
        <f aca="false">C12*(Estacas!N12+Estacas!N13)/2</f>
        <v>75.72</v>
      </c>
      <c r="M12" s="141" t="n">
        <f aca="false">C12*(Estacas!O12+Estacas!O13)/2</f>
        <v>224</v>
      </c>
      <c r="N12" s="141" t="n">
        <f aca="false">C12*(Estacas!O12+Estacas!O13)/2</f>
        <v>224</v>
      </c>
      <c r="O12" s="141" t="n">
        <f aca="false">C12*(Estacas!P12+Estacas!P13)/2</f>
        <v>258.4</v>
      </c>
      <c r="P12" s="141" t="n">
        <f aca="false">R12*Parâmetros!$C$11</f>
        <v>0</v>
      </c>
      <c r="Q12" s="141" t="n">
        <f aca="false">R12*Parâmetros!$C$12</f>
        <v>0</v>
      </c>
      <c r="R12" s="141" t="n">
        <f aca="false">C12*(Estacas!Q12+Estacas!Q13)/2</f>
        <v>0</v>
      </c>
      <c r="S12" s="141" t="n">
        <f aca="false">IF(LEFT(E12,3)="T09",C12*Parâmetros!$D$13*Parâmetros!$C$13,0)</f>
        <v>0</v>
      </c>
    </row>
    <row r="13" customFormat="false" ht="15" hidden="false" customHeight="false" outlineLevel="0" collapsed="false">
      <c r="A13" s="138" t="str">
        <f aca="false">Estacas!A13</f>
        <v>11+0,00</v>
      </c>
      <c r="B13" s="138" t="str">
        <f aca="false">Estacas!A14</f>
        <v>12+0,00</v>
      </c>
      <c r="C13" s="144" t="n">
        <f aca="false">Estacas!C14-Estacas!C13</f>
        <v>20</v>
      </c>
      <c r="D13" s="138" t="s">
        <v>1565</v>
      </c>
      <c r="E13" s="138" t="s">
        <v>1566</v>
      </c>
      <c r="F13" s="141" t="n">
        <f aca="false">Estacas!F13</f>
        <v>11</v>
      </c>
      <c r="G13" s="141" t="n">
        <f aca="false">Estacas!F14</f>
        <v>11</v>
      </c>
      <c r="H13" s="141" t="n">
        <f aca="false">C13*(Estacas!K13+Estacas!K14)/2</f>
        <v>11.05</v>
      </c>
      <c r="I13" s="141" t="n">
        <f aca="false">H13*Parâmetros!$C$14</f>
        <v>26.52</v>
      </c>
      <c r="J13" s="141" t="n">
        <f aca="false">C13*(Estacas!L13+Estacas!L14)/2</f>
        <v>36.352</v>
      </c>
      <c r="K13" s="141" t="n">
        <f aca="false">C13*(Estacas!M13+Estacas!M14)/2</f>
        <v>47.68</v>
      </c>
      <c r="L13" s="141" t="n">
        <f aca="false">C13*(Estacas!N13+Estacas!N14)/2</f>
        <v>75.72</v>
      </c>
      <c r="M13" s="141" t="n">
        <f aca="false">C13*(Estacas!O13+Estacas!O14)/2</f>
        <v>224</v>
      </c>
      <c r="N13" s="141" t="n">
        <f aca="false">C13*(Estacas!O13+Estacas!O14)/2</f>
        <v>224</v>
      </c>
      <c r="O13" s="141" t="n">
        <f aca="false">C13*(Estacas!P13+Estacas!P14)/2</f>
        <v>258.4</v>
      </c>
      <c r="P13" s="141" t="n">
        <f aca="false">R13*Parâmetros!$C$11</f>
        <v>0</v>
      </c>
      <c r="Q13" s="141" t="n">
        <f aca="false">R13*Parâmetros!$C$12</f>
        <v>0</v>
      </c>
      <c r="R13" s="141" t="n">
        <f aca="false">C13*(Estacas!Q13+Estacas!Q14)/2</f>
        <v>0</v>
      </c>
      <c r="S13" s="141" t="n">
        <f aca="false">IF(LEFT(E13,3)="T09",C13*Parâmetros!$D$13*Parâmetros!$C$13,0)</f>
        <v>0</v>
      </c>
    </row>
    <row r="14" customFormat="false" ht="15" hidden="false" customHeight="false" outlineLevel="0" collapsed="false">
      <c r="A14" s="138" t="str">
        <f aca="false">Estacas!A14</f>
        <v>12+0,00</v>
      </c>
      <c r="B14" s="138" t="str">
        <f aca="false">Estacas!A15</f>
        <v>13+0,00</v>
      </c>
      <c r="C14" s="144" t="n">
        <f aca="false">Estacas!C15-Estacas!C14</f>
        <v>20</v>
      </c>
      <c r="D14" s="138" t="s">
        <v>1565</v>
      </c>
      <c r="E14" s="138" t="s">
        <v>1566</v>
      </c>
      <c r="F14" s="141" t="n">
        <f aca="false">Estacas!F14</f>
        <v>11</v>
      </c>
      <c r="G14" s="141" t="n">
        <f aca="false">Estacas!F15</f>
        <v>11</v>
      </c>
      <c r="H14" s="141" t="n">
        <f aca="false">C14*(Estacas!K14+Estacas!K15)/2</f>
        <v>11.05</v>
      </c>
      <c r="I14" s="141" t="n">
        <f aca="false">H14*Parâmetros!$C$14</f>
        <v>26.52</v>
      </c>
      <c r="J14" s="141" t="n">
        <f aca="false">C14*(Estacas!L14+Estacas!L15)/2</f>
        <v>36.352</v>
      </c>
      <c r="K14" s="141" t="n">
        <f aca="false">C14*(Estacas!M14+Estacas!M15)/2</f>
        <v>47.68</v>
      </c>
      <c r="L14" s="141" t="n">
        <f aca="false">C14*(Estacas!N14+Estacas!N15)/2</f>
        <v>75.72</v>
      </c>
      <c r="M14" s="141" t="n">
        <f aca="false">C14*(Estacas!O14+Estacas!O15)/2</f>
        <v>224</v>
      </c>
      <c r="N14" s="141" t="n">
        <f aca="false">C14*(Estacas!O14+Estacas!O15)/2</f>
        <v>224</v>
      </c>
      <c r="O14" s="141" t="n">
        <f aca="false">C14*(Estacas!P14+Estacas!P15)/2</f>
        <v>258.4</v>
      </c>
      <c r="P14" s="141" t="n">
        <f aca="false">R14*Parâmetros!$C$11</f>
        <v>0</v>
      </c>
      <c r="Q14" s="141" t="n">
        <f aca="false">R14*Parâmetros!$C$12</f>
        <v>0</v>
      </c>
      <c r="R14" s="141" t="n">
        <f aca="false">C14*(Estacas!Q14+Estacas!Q15)/2</f>
        <v>0</v>
      </c>
      <c r="S14" s="141" t="n">
        <f aca="false">IF(LEFT(E14,3)="T09",C14*Parâmetros!$D$13*Parâmetros!$C$13,0)</f>
        <v>0</v>
      </c>
    </row>
    <row r="15" customFormat="false" ht="15" hidden="false" customHeight="false" outlineLevel="0" collapsed="false">
      <c r="A15" s="138" t="str">
        <f aca="false">Estacas!A15</f>
        <v>13+0,00</v>
      </c>
      <c r="B15" s="138" t="str">
        <f aca="false">Estacas!A16</f>
        <v>14+0,00</v>
      </c>
      <c r="C15" s="144" t="n">
        <f aca="false">Estacas!C16-Estacas!C15</f>
        <v>20</v>
      </c>
      <c r="D15" s="138" t="s">
        <v>1565</v>
      </c>
      <c r="E15" s="138" t="s">
        <v>1566</v>
      </c>
      <c r="F15" s="141" t="n">
        <f aca="false">Estacas!F15</f>
        <v>11</v>
      </c>
      <c r="G15" s="141" t="n">
        <f aca="false">Estacas!F16</f>
        <v>11</v>
      </c>
      <c r="H15" s="141" t="n">
        <f aca="false">C15*(Estacas!K15+Estacas!K16)/2</f>
        <v>11.05</v>
      </c>
      <c r="I15" s="141" t="n">
        <f aca="false">H15*Parâmetros!$C$14</f>
        <v>26.52</v>
      </c>
      <c r="J15" s="141" t="n">
        <f aca="false">C15*(Estacas!L15+Estacas!L16)/2</f>
        <v>36.352</v>
      </c>
      <c r="K15" s="141" t="n">
        <f aca="false">C15*(Estacas!M15+Estacas!M16)/2</f>
        <v>47.68</v>
      </c>
      <c r="L15" s="141" t="n">
        <f aca="false">C15*(Estacas!N15+Estacas!N16)/2</f>
        <v>75.72</v>
      </c>
      <c r="M15" s="141" t="n">
        <f aca="false">C15*(Estacas!O15+Estacas!O16)/2</f>
        <v>224</v>
      </c>
      <c r="N15" s="141" t="n">
        <f aca="false">C15*(Estacas!O15+Estacas!O16)/2</f>
        <v>224</v>
      </c>
      <c r="O15" s="141" t="n">
        <f aca="false">C15*(Estacas!P15+Estacas!P16)/2</f>
        <v>258.4</v>
      </c>
      <c r="P15" s="141" t="n">
        <f aca="false">R15*Parâmetros!$C$11</f>
        <v>0</v>
      </c>
      <c r="Q15" s="141" t="n">
        <f aca="false">R15*Parâmetros!$C$12</f>
        <v>0</v>
      </c>
      <c r="R15" s="141" t="n">
        <f aca="false">C15*(Estacas!Q15+Estacas!Q16)/2</f>
        <v>0</v>
      </c>
      <c r="S15" s="141" t="n">
        <f aca="false">IF(LEFT(E15,3)="T09",C15*Parâmetros!$D$13*Parâmetros!$C$13,0)</f>
        <v>0</v>
      </c>
    </row>
    <row r="16" customFormat="false" ht="15" hidden="false" customHeight="false" outlineLevel="0" collapsed="false">
      <c r="A16" s="138" t="str">
        <f aca="false">Estacas!A16</f>
        <v>14+0,00</v>
      </c>
      <c r="B16" s="138" t="str">
        <f aca="false">Estacas!A17</f>
        <v>15+0,00</v>
      </c>
      <c r="C16" s="144" t="n">
        <f aca="false">Estacas!C17-Estacas!C16</f>
        <v>20</v>
      </c>
      <c r="D16" s="138" t="s">
        <v>1565</v>
      </c>
      <c r="E16" s="138" t="s">
        <v>1566</v>
      </c>
      <c r="F16" s="141" t="n">
        <f aca="false">Estacas!F16</f>
        <v>11</v>
      </c>
      <c r="G16" s="141" t="n">
        <f aca="false">Estacas!F17</f>
        <v>11</v>
      </c>
      <c r="H16" s="141" t="n">
        <f aca="false">C16*(Estacas!K16+Estacas!K17)/2</f>
        <v>11.05</v>
      </c>
      <c r="I16" s="141" t="n">
        <f aca="false">H16*Parâmetros!$C$14</f>
        <v>26.52</v>
      </c>
      <c r="J16" s="141" t="n">
        <f aca="false">C16*(Estacas!L16+Estacas!L17)/2</f>
        <v>36.352</v>
      </c>
      <c r="K16" s="141" t="n">
        <f aca="false">C16*(Estacas!M16+Estacas!M17)/2</f>
        <v>47.68</v>
      </c>
      <c r="L16" s="141" t="n">
        <f aca="false">C16*(Estacas!N16+Estacas!N17)/2</f>
        <v>75.72</v>
      </c>
      <c r="M16" s="141" t="n">
        <f aca="false">C16*(Estacas!O16+Estacas!O17)/2</f>
        <v>224</v>
      </c>
      <c r="N16" s="141" t="n">
        <f aca="false">C16*(Estacas!O16+Estacas!O17)/2</f>
        <v>224</v>
      </c>
      <c r="O16" s="141" t="n">
        <f aca="false">C16*(Estacas!P16+Estacas!P17)/2</f>
        <v>258.4</v>
      </c>
      <c r="P16" s="141" t="n">
        <f aca="false">R16*Parâmetros!$C$11</f>
        <v>0</v>
      </c>
      <c r="Q16" s="141" t="n">
        <f aca="false">R16*Parâmetros!$C$12</f>
        <v>0</v>
      </c>
      <c r="R16" s="141" t="n">
        <f aca="false">C16*(Estacas!Q16+Estacas!Q17)/2</f>
        <v>0</v>
      </c>
      <c r="S16" s="141" t="n">
        <f aca="false">IF(LEFT(E16,3)="T09",C16*Parâmetros!$D$13*Parâmetros!$C$13,0)</f>
        <v>0</v>
      </c>
    </row>
    <row r="17" customFormat="false" ht="15" hidden="false" customHeight="false" outlineLevel="0" collapsed="false">
      <c r="A17" s="138" t="str">
        <f aca="false">Estacas!A17</f>
        <v>15+0,00</v>
      </c>
      <c r="B17" s="138" t="str">
        <f aca="false">Estacas!A18</f>
        <v>16+0,00</v>
      </c>
      <c r="C17" s="144" t="n">
        <f aca="false">Estacas!C18-Estacas!C17</f>
        <v>20</v>
      </c>
      <c r="D17" s="138" t="s">
        <v>1565</v>
      </c>
      <c r="E17" s="138" t="s">
        <v>1566</v>
      </c>
      <c r="F17" s="141" t="n">
        <f aca="false">Estacas!F17</f>
        <v>11</v>
      </c>
      <c r="G17" s="141" t="n">
        <f aca="false">Estacas!F18</f>
        <v>11</v>
      </c>
      <c r="H17" s="141" t="n">
        <f aca="false">C17*(Estacas!K17+Estacas!K18)/2</f>
        <v>11.05</v>
      </c>
      <c r="I17" s="141" t="n">
        <f aca="false">H17*Parâmetros!$C$14</f>
        <v>26.52</v>
      </c>
      <c r="J17" s="141" t="n">
        <f aca="false">C17*(Estacas!L17+Estacas!L18)/2</f>
        <v>36.352</v>
      </c>
      <c r="K17" s="141" t="n">
        <f aca="false">C17*(Estacas!M17+Estacas!M18)/2</f>
        <v>47.68</v>
      </c>
      <c r="L17" s="141" t="n">
        <f aca="false">C17*(Estacas!N17+Estacas!N18)/2</f>
        <v>75.72</v>
      </c>
      <c r="M17" s="141" t="n">
        <f aca="false">C17*(Estacas!O17+Estacas!O18)/2</f>
        <v>224</v>
      </c>
      <c r="N17" s="141" t="n">
        <f aca="false">C17*(Estacas!O17+Estacas!O18)/2</f>
        <v>224</v>
      </c>
      <c r="O17" s="141" t="n">
        <f aca="false">C17*(Estacas!P17+Estacas!P18)/2</f>
        <v>258.4</v>
      </c>
      <c r="P17" s="141" t="n">
        <f aca="false">R17*Parâmetros!$C$11</f>
        <v>0</v>
      </c>
      <c r="Q17" s="141" t="n">
        <f aca="false">R17*Parâmetros!$C$12</f>
        <v>0</v>
      </c>
      <c r="R17" s="141" t="n">
        <f aca="false">C17*(Estacas!Q17+Estacas!Q18)/2</f>
        <v>0</v>
      </c>
      <c r="S17" s="141" t="n">
        <f aca="false">IF(LEFT(E17,3)="T09",C17*Parâmetros!$D$13*Parâmetros!$C$13,0)</f>
        <v>0</v>
      </c>
    </row>
    <row r="18" customFormat="false" ht="15" hidden="false" customHeight="false" outlineLevel="0" collapsed="false">
      <c r="A18" s="138" t="str">
        <f aca="false">Estacas!A18</f>
        <v>16+0,00</v>
      </c>
      <c r="B18" s="138" t="str">
        <f aca="false">Estacas!A19</f>
        <v>17+0,00</v>
      </c>
      <c r="C18" s="144" t="n">
        <f aca="false">Estacas!C19-Estacas!C18</f>
        <v>20</v>
      </c>
      <c r="D18" s="138" t="s">
        <v>1565</v>
      </c>
      <c r="E18" s="138" t="s">
        <v>1566</v>
      </c>
      <c r="F18" s="141" t="n">
        <f aca="false">Estacas!F18</f>
        <v>11</v>
      </c>
      <c r="G18" s="141" t="n">
        <f aca="false">Estacas!F19</f>
        <v>11</v>
      </c>
      <c r="H18" s="141" t="n">
        <f aca="false">C18*(Estacas!K18+Estacas!K19)/2</f>
        <v>11.05</v>
      </c>
      <c r="I18" s="141" t="n">
        <f aca="false">H18*Parâmetros!$C$14</f>
        <v>26.52</v>
      </c>
      <c r="J18" s="141" t="n">
        <f aca="false">C18*(Estacas!L18+Estacas!L19)/2</f>
        <v>36.352</v>
      </c>
      <c r="K18" s="141" t="n">
        <f aca="false">C18*(Estacas!M18+Estacas!M19)/2</f>
        <v>47.68</v>
      </c>
      <c r="L18" s="141" t="n">
        <f aca="false">C18*(Estacas!N18+Estacas!N19)/2</f>
        <v>75.72</v>
      </c>
      <c r="M18" s="141" t="n">
        <f aca="false">C18*(Estacas!O18+Estacas!O19)/2</f>
        <v>224</v>
      </c>
      <c r="N18" s="141" t="n">
        <f aca="false">C18*(Estacas!O18+Estacas!O19)/2</f>
        <v>224</v>
      </c>
      <c r="O18" s="141" t="n">
        <f aca="false">C18*(Estacas!P18+Estacas!P19)/2</f>
        <v>258.4</v>
      </c>
      <c r="P18" s="141" t="n">
        <f aca="false">R18*Parâmetros!$C$11</f>
        <v>0</v>
      </c>
      <c r="Q18" s="141" t="n">
        <f aca="false">R18*Parâmetros!$C$12</f>
        <v>0</v>
      </c>
      <c r="R18" s="141" t="n">
        <f aca="false">C18*(Estacas!Q18+Estacas!Q19)/2</f>
        <v>0</v>
      </c>
      <c r="S18" s="141" t="n">
        <f aca="false">IF(LEFT(E18,3)="T09",C18*Parâmetros!$D$13*Parâmetros!$C$13,0)</f>
        <v>0</v>
      </c>
    </row>
    <row r="19" customFormat="false" ht="15" hidden="false" customHeight="false" outlineLevel="0" collapsed="false">
      <c r="A19" s="138" t="str">
        <f aca="false">Estacas!A19</f>
        <v>17+0,00</v>
      </c>
      <c r="B19" s="138" t="str">
        <f aca="false">Estacas!A20</f>
        <v>18+0,00</v>
      </c>
      <c r="C19" s="144" t="n">
        <f aca="false">Estacas!C20-Estacas!C19</f>
        <v>20</v>
      </c>
      <c r="D19" s="138" t="s">
        <v>1565</v>
      </c>
      <c r="E19" s="138" t="s">
        <v>1566</v>
      </c>
      <c r="F19" s="141" t="n">
        <f aca="false">Estacas!F19</f>
        <v>11</v>
      </c>
      <c r="G19" s="141" t="n">
        <f aca="false">Estacas!F20</f>
        <v>11</v>
      </c>
      <c r="H19" s="141" t="n">
        <f aca="false">C19*(Estacas!K19+Estacas!K20)/2</f>
        <v>11.05</v>
      </c>
      <c r="I19" s="141" t="n">
        <f aca="false">H19*Parâmetros!$C$14</f>
        <v>26.52</v>
      </c>
      <c r="J19" s="141" t="n">
        <f aca="false">C19*(Estacas!L19+Estacas!L20)/2</f>
        <v>36.352</v>
      </c>
      <c r="K19" s="141" t="n">
        <f aca="false">C19*(Estacas!M19+Estacas!M20)/2</f>
        <v>47.68</v>
      </c>
      <c r="L19" s="141" t="n">
        <f aca="false">C19*(Estacas!N19+Estacas!N20)/2</f>
        <v>75.72</v>
      </c>
      <c r="M19" s="141" t="n">
        <f aca="false">C19*(Estacas!O19+Estacas!O20)/2</f>
        <v>224</v>
      </c>
      <c r="N19" s="141" t="n">
        <f aca="false">C19*(Estacas!O19+Estacas!O20)/2</f>
        <v>224</v>
      </c>
      <c r="O19" s="141" t="n">
        <f aca="false">C19*(Estacas!P19+Estacas!P20)/2</f>
        <v>258.4</v>
      </c>
      <c r="P19" s="141" t="n">
        <f aca="false">R19*Parâmetros!$C$11</f>
        <v>0</v>
      </c>
      <c r="Q19" s="141" t="n">
        <f aca="false">R19*Parâmetros!$C$12</f>
        <v>0</v>
      </c>
      <c r="R19" s="141" t="n">
        <f aca="false">C19*(Estacas!Q19+Estacas!Q20)/2</f>
        <v>0</v>
      </c>
      <c r="S19" s="141" t="n">
        <f aca="false">IF(LEFT(E19,3)="T09",C19*Parâmetros!$D$13*Parâmetros!$C$13,0)</f>
        <v>0</v>
      </c>
    </row>
    <row r="20" customFormat="false" ht="15" hidden="false" customHeight="false" outlineLevel="0" collapsed="false">
      <c r="A20" s="138" t="str">
        <f aca="false">Estacas!A20</f>
        <v>18+0,00</v>
      </c>
      <c r="B20" s="138" t="str">
        <f aca="false">Estacas!A21</f>
        <v>19+0,00</v>
      </c>
      <c r="C20" s="144" t="n">
        <f aca="false">Estacas!C21-Estacas!C20</f>
        <v>20</v>
      </c>
      <c r="D20" s="138" t="s">
        <v>1565</v>
      </c>
      <c r="E20" s="138" t="s">
        <v>1566</v>
      </c>
      <c r="F20" s="141" t="n">
        <f aca="false">Estacas!F20</f>
        <v>11</v>
      </c>
      <c r="G20" s="141" t="n">
        <f aca="false">Estacas!F21</f>
        <v>11</v>
      </c>
      <c r="H20" s="141" t="n">
        <f aca="false">C20*(Estacas!K20+Estacas!K21)/2</f>
        <v>11.05</v>
      </c>
      <c r="I20" s="141" t="n">
        <f aca="false">H20*Parâmetros!$C$14</f>
        <v>26.52</v>
      </c>
      <c r="J20" s="141" t="n">
        <f aca="false">C20*(Estacas!L20+Estacas!L21)/2</f>
        <v>36.352</v>
      </c>
      <c r="K20" s="141" t="n">
        <f aca="false">C20*(Estacas!M20+Estacas!M21)/2</f>
        <v>47.68</v>
      </c>
      <c r="L20" s="141" t="n">
        <f aca="false">C20*(Estacas!N20+Estacas!N21)/2</f>
        <v>75.72</v>
      </c>
      <c r="M20" s="141" t="n">
        <f aca="false">C20*(Estacas!O20+Estacas!O21)/2</f>
        <v>224</v>
      </c>
      <c r="N20" s="141" t="n">
        <f aca="false">C20*(Estacas!O20+Estacas!O21)/2</f>
        <v>224</v>
      </c>
      <c r="O20" s="141" t="n">
        <f aca="false">C20*(Estacas!P20+Estacas!P21)/2</f>
        <v>258.4</v>
      </c>
      <c r="P20" s="141" t="n">
        <f aca="false">R20*Parâmetros!$C$11</f>
        <v>0</v>
      </c>
      <c r="Q20" s="141" t="n">
        <f aca="false">R20*Parâmetros!$C$12</f>
        <v>0</v>
      </c>
      <c r="R20" s="141" t="n">
        <f aca="false">C20*(Estacas!Q20+Estacas!Q21)/2</f>
        <v>0</v>
      </c>
      <c r="S20" s="141" t="n">
        <f aca="false">IF(LEFT(E20,3)="T09",C20*Parâmetros!$D$13*Parâmetros!$C$13,0)</f>
        <v>0</v>
      </c>
    </row>
    <row r="21" customFormat="false" ht="15" hidden="false" customHeight="false" outlineLevel="0" collapsed="false">
      <c r="A21" s="138" t="str">
        <f aca="false">Estacas!A21</f>
        <v>19+0,00</v>
      </c>
      <c r="B21" s="138" t="str">
        <f aca="false">Estacas!A22</f>
        <v>20+0,00</v>
      </c>
      <c r="C21" s="144" t="n">
        <f aca="false">Estacas!C22-Estacas!C21</f>
        <v>20</v>
      </c>
      <c r="D21" s="138" t="s">
        <v>1565</v>
      </c>
      <c r="E21" s="138" t="s">
        <v>1566</v>
      </c>
      <c r="F21" s="141" t="n">
        <f aca="false">Estacas!F21</f>
        <v>11</v>
      </c>
      <c r="G21" s="141" t="n">
        <f aca="false">Estacas!F22</f>
        <v>11</v>
      </c>
      <c r="H21" s="141" t="n">
        <f aca="false">C21*(Estacas!K21+Estacas!K22)/2</f>
        <v>11.05</v>
      </c>
      <c r="I21" s="141" t="n">
        <f aca="false">H21*Parâmetros!$C$14</f>
        <v>26.52</v>
      </c>
      <c r="J21" s="141" t="n">
        <f aca="false">C21*(Estacas!L21+Estacas!L22)/2</f>
        <v>36.352</v>
      </c>
      <c r="K21" s="141" t="n">
        <f aca="false">C21*(Estacas!M21+Estacas!M22)/2</f>
        <v>47.68</v>
      </c>
      <c r="L21" s="141" t="n">
        <f aca="false">C21*(Estacas!N21+Estacas!N22)/2</f>
        <v>75.72</v>
      </c>
      <c r="M21" s="141" t="n">
        <f aca="false">C21*(Estacas!O21+Estacas!O22)/2</f>
        <v>224</v>
      </c>
      <c r="N21" s="141" t="n">
        <f aca="false">C21*(Estacas!O21+Estacas!O22)/2</f>
        <v>224</v>
      </c>
      <c r="O21" s="141" t="n">
        <f aca="false">C21*(Estacas!P21+Estacas!P22)/2</f>
        <v>258.4</v>
      </c>
      <c r="P21" s="141" t="n">
        <f aca="false">R21*Parâmetros!$C$11</f>
        <v>0</v>
      </c>
      <c r="Q21" s="141" t="n">
        <f aca="false">R21*Parâmetros!$C$12</f>
        <v>0</v>
      </c>
      <c r="R21" s="141" t="n">
        <f aca="false">C21*(Estacas!Q21+Estacas!Q22)/2</f>
        <v>0</v>
      </c>
      <c r="S21" s="141" t="n">
        <f aca="false">IF(LEFT(E21,3)="T09",C21*Parâmetros!$D$13*Parâmetros!$C$13,0)</f>
        <v>0</v>
      </c>
    </row>
    <row r="22" customFormat="false" ht="15" hidden="false" customHeight="false" outlineLevel="0" collapsed="false">
      <c r="A22" s="138" t="str">
        <f aca="false">Estacas!A22</f>
        <v>20+0,00</v>
      </c>
      <c r="B22" s="138" t="str">
        <f aca="false">Estacas!A23</f>
        <v>21+0,00</v>
      </c>
      <c r="C22" s="144" t="n">
        <f aca="false">Estacas!C23-Estacas!C22</f>
        <v>20</v>
      </c>
      <c r="D22" s="138" t="s">
        <v>1565</v>
      </c>
      <c r="E22" s="138" t="s">
        <v>1566</v>
      </c>
      <c r="F22" s="141" t="n">
        <f aca="false">Estacas!F22</f>
        <v>11</v>
      </c>
      <c r="G22" s="141" t="n">
        <f aca="false">Estacas!F23</f>
        <v>11</v>
      </c>
      <c r="H22" s="141" t="n">
        <f aca="false">C22*(Estacas!K22+Estacas!K23)/2</f>
        <v>11.05</v>
      </c>
      <c r="I22" s="141" t="n">
        <f aca="false">H22*Parâmetros!$C$14</f>
        <v>26.52</v>
      </c>
      <c r="J22" s="141" t="n">
        <f aca="false">C22*(Estacas!L22+Estacas!L23)/2</f>
        <v>36.352</v>
      </c>
      <c r="K22" s="141" t="n">
        <f aca="false">C22*(Estacas!M22+Estacas!M23)/2</f>
        <v>47.68</v>
      </c>
      <c r="L22" s="141" t="n">
        <f aca="false">C22*(Estacas!N22+Estacas!N23)/2</f>
        <v>75.72</v>
      </c>
      <c r="M22" s="141" t="n">
        <f aca="false">C22*(Estacas!O22+Estacas!O23)/2</f>
        <v>224</v>
      </c>
      <c r="N22" s="141" t="n">
        <f aca="false">C22*(Estacas!O22+Estacas!O23)/2</f>
        <v>224</v>
      </c>
      <c r="O22" s="141" t="n">
        <f aca="false">C22*(Estacas!P22+Estacas!P23)/2</f>
        <v>258.4</v>
      </c>
      <c r="P22" s="141" t="n">
        <f aca="false">R22*Parâmetros!$C$11</f>
        <v>0</v>
      </c>
      <c r="Q22" s="141" t="n">
        <f aca="false">R22*Parâmetros!$C$12</f>
        <v>0</v>
      </c>
      <c r="R22" s="141" t="n">
        <f aca="false">C22*(Estacas!Q22+Estacas!Q23)/2</f>
        <v>0</v>
      </c>
      <c r="S22" s="141" t="n">
        <f aca="false">IF(LEFT(E22,3)="T09",C22*Parâmetros!$D$13*Parâmetros!$C$13,0)</f>
        <v>0</v>
      </c>
    </row>
    <row r="23" customFormat="false" ht="15" hidden="false" customHeight="false" outlineLevel="0" collapsed="false">
      <c r="A23" s="138" t="str">
        <f aca="false">Estacas!A23</f>
        <v>21+0,00</v>
      </c>
      <c r="B23" s="138" t="str">
        <f aca="false">Estacas!A24</f>
        <v>22+0,00</v>
      </c>
      <c r="C23" s="144" t="n">
        <f aca="false">Estacas!C24-Estacas!C23</f>
        <v>20</v>
      </c>
      <c r="D23" s="138" t="s">
        <v>1565</v>
      </c>
      <c r="E23" s="138" t="s">
        <v>1566</v>
      </c>
      <c r="F23" s="141" t="n">
        <f aca="false">Estacas!F23</f>
        <v>11</v>
      </c>
      <c r="G23" s="141" t="n">
        <f aca="false">Estacas!F24</f>
        <v>11</v>
      </c>
      <c r="H23" s="141" t="n">
        <f aca="false">C23*(Estacas!K23+Estacas!K24)/2</f>
        <v>11.05</v>
      </c>
      <c r="I23" s="141" t="n">
        <f aca="false">H23*Parâmetros!$C$14</f>
        <v>26.52</v>
      </c>
      <c r="J23" s="141" t="n">
        <f aca="false">C23*(Estacas!L23+Estacas!L24)/2</f>
        <v>36.352</v>
      </c>
      <c r="K23" s="141" t="n">
        <f aca="false">C23*(Estacas!M23+Estacas!M24)/2</f>
        <v>47.68</v>
      </c>
      <c r="L23" s="141" t="n">
        <f aca="false">C23*(Estacas!N23+Estacas!N24)/2</f>
        <v>75.72</v>
      </c>
      <c r="M23" s="141" t="n">
        <f aca="false">C23*(Estacas!O23+Estacas!O24)/2</f>
        <v>224</v>
      </c>
      <c r="N23" s="141" t="n">
        <f aca="false">C23*(Estacas!O23+Estacas!O24)/2</f>
        <v>224</v>
      </c>
      <c r="O23" s="141" t="n">
        <f aca="false">C23*(Estacas!P23+Estacas!P24)/2</f>
        <v>258.4</v>
      </c>
      <c r="P23" s="141" t="n">
        <f aca="false">R23*Parâmetros!$C$11</f>
        <v>0</v>
      </c>
      <c r="Q23" s="141" t="n">
        <f aca="false">R23*Parâmetros!$C$12</f>
        <v>0</v>
      </c>
      <c r="R23" s="141" t="n">
        <f aca="false">C23*(Estacas!Q23+Estacas!Q24)/2</f>
        <v>0</v>
      </c>
      <c r="S23" s="141" t="n">
        <f aca="false">IF(LEFT(E23,3)="T09",C23*Parâmetros!$D$13*Parâmetros!$C$13,0)</f>
        <v>0</v>
      </c>
    </row>
    <row r="24" customFormat="false" ht="15" hidden="false" customHeight="false" outlineLevel="0" collapsed="false">
      <c r="A24" s="138" t="str">
        <f aca="false">Estacas!A24</f>
        <v>22+0,00</v>
      </c>
      <c r="B24" s="138" t="str">
        <f aca="false">Estacas!A25</f>
        <v>23+0,00</v>
      </c>
      <c r="C24" s="144" t="n">
        <f aca="false">Estacas!C25-Estacas!C24</f>
        <v>20</v>
      </c>
      <c r="D24" s="138" t="s">
        <v>1565</v>
      </c>
      <c r="E24" s="138" t="s">
        <v>1566</v>
      </c>
      <c r="F24" s="141" t="n">
        <f aca="false">Estacas!F24</f>
        <v>11</v>
      </c>
      <c r="G24" s="141" t="n">
        <f aca="false">Estacas!F25</f>
        <v>11</v>
      </c>
      <c r="H24" s="141" t="n">
        <f aca="false">C24*(Estacas!K24+Estacas!K25)/2</f>
        <v>11.05</v>
      </c>
      <c r="I24" s="141" t="n">
        <f aca="false">H24*Parâmetros!$C$14</f>
        <v>26.52</v>
      </c>
      <c r="J24" s="141" t="n">
        <f aca="false">C24*(Estacas!L24+Estacas!L25)/2</f>
        <v>36.352</v>
      </c>
      <c r="K24" s="141" t="n">
        <f aca="false">C24*(Estacas!M24+Estacas!M25)/2</f>
        <v>47.68</v>
      </c>
      <c r="L24" s="141" t="n">
        <f aca="false">C24*(Estacas!N24+Estacas!N25)/2</f>
        <v>75.72</v>
      </c>
      <c r="M24" s="141" t="n">
        <f aca="false">C24*(Estacas!O24+Estacas!O25)/2</f>
        <v>224</v>
      </c>
      <c r="N24" s="141" t="n">
        <f aca="false">C24*(Estacas!O24+Estacas!O25)/2</f>
        <v>224</v>
      </c>
      <c r="O24" s="141" t="n">
        <f aca="false">C24*(Estacas!P24+Estacas!P25)/2</f>
        <v>258.4</v>
      </c>
      <c r="P24" s="141" t="n">
        <f aca="false">R24*Parâmetros!$C$11</f>
        <v>0</v>
      </c>
      <c r="Q24" s="141" t="n">
        <f aca="false">R24*Parâmetros!$C$12</f>
        <v>0</v>
      </c>
      <c r="R24" s="141" t="n">
        <f aca="false">C24*(Estacas!Q24+Estacas!Q25)/2</f>
        <v>0</v>
      </c>
      <c r="S24" s="141" t="n">
        <f aca="false">IF(LEFT(E24,3)="T09",C24*Parâmetros!$D$13*Parâmetros!$C$13,0)</f>
        <v>0</v>
      </c>
    </row>
    <row r="25" customFormat="false" ht="15" hidden="false" customHeight="false" outlineLevel="0" collapsed="false">
      <c r="A25" s="138" t="str">
        <f aca="false">Estacas!A25</f>
        <v>23+0,00</v>
      </c>
      <c r="B25" s="138" t="str">
        <f aca="false">Estacas!A26</f>
        <v>24+0,00</v>
      </c>
      <c r="C25" s="144" t="n">
        <f aca="false">Estacas!C26-Estacas!C25</f>
        <v>20</v>
      </c>
      <c r="D25" s="138" t="s">
        <v>1565</v>
      </c>
      <c r="E25" s="138" t="s">
        <v>1566</v>
      </c>
      <c r="F25" s="141" t="n">
        <f aca="false">Estacas!F25</f>
        <v>11</v>
      </c>
      <c r="G25" s="141" t="n">
        <f aca="false">Estacas!F26</f>
        <v>11</v>
      </c>
      <c r="H25" s="141" t="n">
        <f aca="false">C25*(Estacas!K25+Estacas!K26)/2</f>
        <v>11.05</v>
      </c>
      <c r="I25" s="141" t="n">
        <f aca="false">H25*Parâmetros!$C$14</f>
        <v>26.52</v>
      </c>
      <c r="J25" s="141" t="n">
        <f aca="false">C25*(Estacas!L25+Estacas!L26)/2</f>
        <v>36.352</v>
      </c>
      <c r="K25" s="141" t="n">
        <f aca="false">C25*(Estacas!M25+Estacas!M26)/2</f>
        <v>47.68</v>
      </c>
      <c r="L25" s="141" t="n">
        <f aca="false">C25*(Estacas!N25+Estacas!N26)/2</f>
        <v>75.72</v>
      </c>
      <c r="M25" s="141" t="n">
        <f aca="false">C25*(Estacas!O25+Estacas!O26)/2</f>
        <v>224</v>
      </c>
      <c r="N25" s="141" t="n">
        <f aca="false">C25*(Estacas!O25+Estacas!O26)/2</f>
        <v>224</v>
      </c>
      <c r="O25" s="141" t="n">
        <f aca="false">C25*(Estacas!P25+Estacas!P26)/2</f>
        <v>258.4</v>
      </c>
      <c r="P25" s="141" t="n">
        <f aca="false">R25*Parâmetros!$C$11</f>
        <v>0</v>
      </c>
      <c r="Q25" s="141" t="n">
        <f aca="false">R25*Parâmetros!$C$12</f>
        <v>0</v>
      </c>
      <c r="R25" s="141" t="n">
        <f aca="false">C25*(Estacas!Q25+Estacas!Q26)/2</f>
        <v>0</v>
      </c>
      <c r="S25" s="141" t="n">
        <f aca="false">IF(LEFT(E25,3)="T09",C25*Parâmetros!$D$13*Parâmetros!$C$13,0)</f>
        <v>0</v>
      </c>
    </row>
    <row r="26" customFormat="false" ht="15" hidden="false" customHeight="false" outlineLevel="0" collapsed="false">
      <c r="A26" s="138" t="str">
        <f aca="false">Estacas!A26</f>
        <v>24+0,00</v>
      </c>
      <c r="B26" s="138" t="str">
        <f aca="false">Estacas!A27</f>
        <v>25+0,00</v>
      </c>
      <c r="C26" s="144" t="n">
        <f aca="false">Estacas!C27-Estacas!C26</f>
        <v>20</v>
      </c>
      <c r="D26" s="138" t="s">
        <v>1565</v>
      </c>
      <c r="E26" s="138" t="s">
        <v>1566</v>
      </c>
      <c r="F26" s="141" t="n">
        <f aca="false">Estacas!F26</f>
        <v>11</v>
      </c>
      <c r="G26" s="141" t="n">
        <f aca="false">Estacas!F27</f>
        <v>11</v>
      </c>
      <c r="H26" s="141" t="n">
        <f aca="false">C26*(Estacas!K26+Estacas!K27)/2</f>
        <v>11.05</v>
      </c>
      <c r="I26" s="141" t="n">
        <f aca="false">H26*Parâmetros!$C$14</f>
        <v>26.52</v>
      </c>
      <c r="J26" s="141" t="n">
        <f aca="false">C26*(Estacas!L26+Estacas!L27)/2</f>
        <v>36.352</v>
      </c>
      <c r="K26" s="141" t="n">
        <f aca="false">C26*(Estacas!M26+Estacas!M27)/2</f>
        <v>47.68</v>
      </c>
      <c r="L26" s="141" t="n">
        <f aca="false">C26*(Estacas!N26+Estacas!N27)/2</f>
        <v>75.72</v>
      </c>
      <c r="M26" s="141" t="n">
        <f aca="false">C26*(Estacas!O26+Estacas!O27)/2</f>
        <v>224</v>
      </c>
      <c r="N26" s="141" t="n">
        <f aca="false">C26*(Estacas!O26+Estacas!O27)/2</f>
        <v>224</v>
      </c>
      <c r="O26" s="141" t="n">
        <f aca="false">C26*(Estacas!P26+Estacas!P27)/2</f>
        <v>258.4</v>
      </c>
      <c r="P26" s="141" t="n">
        <f aca="false">R26*Parâmetros!$C$11</f>
        <v>0</v>
      </c>
      <c r="Q26" s="141" t="n">
        <f aca="false">R26*Parâmetros!$C$12</f>
        <v>0</v>
      </c>
      <c r="R26" s="141" t="n">
        <f aca="false">C26*(Estacas!Q26+Estacas!Q27)/2</f>
        <v>0</v>
      </c>
      <c r="S26" s="141" t="n">
        <f aca="false">IF(LEFT(E26,3)="T09",C26*Parâmetros!$D$13*Parâmetros!$C$13,0)</f>
        <v>0</v>
      </c>
    </row>
    <row r="27" customFormat="false" ht="15" hidden="false" customHeight="false" outlineLevel="0" collapsed="false">
      <c r="A27" s="138" t="str">
        <f aca="false">Estacas!A27</f>
        <v>25+0,00</v>
      </c>
      <c r="B27" s="138" t="str">
        <f aca="false">Estacas!A28</f>
        <v>26+0,00</v>
      </c>
      <c r="C27" s="144" t="n">
        <f aca="false">Estacas!C28-Estacas!C27</f>
        <v>20</v>
      </c>
      <c r="D27" s="138" t="s">
        <v>1565</v>
      </c>
      <c r="E27" s="138" t="s">
        <v>1566</v>
      </c>
      <c r="F27" s="141" t="n">
        <f aca="false">Estacas!F27</f>
        <v>11</v>
      </c>
      <c r="G27" s="141" t="n">
        <f aca="false">Estacas!F28</f>
        <v>11</v>
      </c>
      <c r="H27" s="141" t="n">
        <f aca="false">C27*(Estacas!K27+Estacas!K28)/2</f>
        <v>11.05</v>
      </c>
      <c r="I27" s="141" t="n">
        <f aca="false">H27*Parâmetros!$C$14</f>
        <v>26.52</v>
      </c>
      <c r="J27" s="141" t="n">
        <f aca="false">C27*(Estacas!L27+Estacas!L28)/2</f>
        <v>36.352</v>
      </c>
      <c r="K27" s="141" t="n">
        <f aca="false">C27*(Estacas!M27+Estacas!M28)/2</f>
        <v>47.68</v>
      </c>
      <c r="L27" s="141" t="n">
        <f aca="false">C27*(Estacas!N27+Estacas!N28)/2</f>
        <v>75.72</v>
      </c>
      <c r="M27" s="141" t="n">
        <f aca="false">C27*(Estacas!O27+Estacas!O28)/2</f>
        <v>224</v>
      </c>
      <c r="N27" s="141" t="n">
        <f aca="false">C27*(Estacas!O27+Estacas!O28)/2</f>
        <v>224</v>
      </c>
      <c r="O27" s="141" t="n">
        <f aca="false">C27*(Estacas!P27+Estacas!P28)/2</f>
        <v>258.4</v>
      </c>
      <c r="P27" s="141" t="n">
        <f aca="false">R27*Parâmetros!$C$11</f>
        <v>0</v>
      </c>
      <c r="Q27" s="141" t="n">
        <f aca="false">R27*Parâmetros!$C$12</f>
        <v>0</v>
      </c>
      <c r="R27" s="141" t="n">
        <f aca="false">C27*(Estacas!Q27+Estacas!Q28)/2</f>
        <v>0</v>
      </c>
      <c r="S27" s="141" t="n">
        <f aca="false">IF(LEFT(E27,3)="T09",C27*Parâmetros!$D$13*Parâmetros!$C$13,0)</f>
        <v>0</v>
      </c>
    </row>
    <row r="28" customFormat="false" ht="15" hidden="false" customHeight="false" outlineLevel="0" collapsed="false">
      <c r="A28" s="138" t="str">
        <f aca="false">Estacas!A28</f>
        <v>26+0,00</v>
      </c>
      <c r="B28" s="138" t="str">
        <f aca="false">Estacas!A29</f>
        <v>27+0,00</v>
      </c>
      <c r="C28" s="144" t="n">
        <f aca="false">Estacas!C29-Estacas!C28</f>
        <v>20</v>
      </c>
      <c r="D28" s="138" t="s">
        <v>1565</v>
      </c>
      <c r="E28" s="138" t="s">
        <v>1566</v>
      </c>
      <c r="F28" s="141" t="n">
        <f aca="false">Estacas!F28</f>
        <v>11</v>
      </c>
      <c r="G28" s="141" t="n">
        <f aca="false">Estacas!F29</f>
        <v>11</v>
      </c>
      <c r="H28" s="141" t="n">
        <f aca="false">C28*(Estacas!K28+Estacas!K29)/2</f>
        <v>11.05</v>
      </c>
      <c r="I28" s="141" t="n">
        <f aca="false">H28*Parâmetros!$C$14</f>
        <v>26.52</v>
      </c>
      <c r="J28" s="141" t="n">
        <f aca="false">C28*(Estacas!L28+Estacas!L29)/2</f>
        <v>36.352</v>
      </c>
      <c r="K28" s="141" t="n">
        <f aca="false">C28*(Estacas!M28+Estacas!M29)/2</f>
        <v>47.68</v>
      </c>
      <c r="L28" s="141" t="n">
        <f aca="false">C28*(Estacas!N28+Estacas!N29)/2</f>
        <v>75.72</v>
      </c>
      <c r="M28" s="141" t="n">
        <f aca="false">C28*(Estacas!O28+Estacas!O29)/2</f>
        <v>224</v>
      </c>
      <c r="N28" s="141" t="n">
        <f aca="false">C28*(Estacas!O28+Estacas!O29)/2</f>
        <v>224</v>
      </c>
      <c r="O28" s="141" t="n">
        <f aca="false">C28*(Estacas!P28+Estacas!P29)/2</f>
        <v>258.4</v>
      </c>
      <c r="P28" s="141" t="n">
        <f aca="false">R28*Parâmetros!$C$11</f>
        <v>0</v>
      </c>
      <c r="Q28" s="141" t="n">
        <f aca="false">R28*Parâmetros!$C$12</f>
        <v>0</v>
      </c>
      <c r="R28" s="141" t="n">
        <f aca="false">C28*(Estacas!Q28+Estacas!Q29)/2</f>
        <v>0</v>
      </c>
      <c r="S28" s="141" t="n">
        <f aca="false">IF(LEFT(E28,3)="T09",C28*Parâmetros!$D$13*Parâmetros!$C$13,0)</f>
        <v>0</v>
      </c>
    </row>
    <row r="29" customFormat="false" ht="15" hidden="false" customHeight="false" outlineLevel="0" collapsed="false">
      <c r="A29" s="138" t="str">
        <f aca="false">Estacas!A29</f>
        <v>27+0,00</v>
      </c>
      <c r="B29" s="138" t="str">
        <f aca="false">Estacas!A30</f>
        <v>28+0,00</v>
      </c>
      <c r="C29" s="144" t="n">
        <f aca="false">Estacas!C30-Estacas!C29</f>
        <v>20</v>
      </c>
      <c r="D29" s="138" t="s">
        <v>1565</v>
      </c>
      <c r="E29" s="138" t="s">
        <v>1566</v>
      </c>
      <c r="F29" s="141" t="n">
        <f aca="false">Estacas!F29</f>
        <v>11</v>
      </c>
      <c r="G29" s="141" t="n">
        <f aca="false">Estacas!F30</f>
        <v>11</v>
      </c>
      <c r="H29" s="141" t="n">
        <f aca="false">C29*(Estacas!K29+Estacas!K30)/2</f>
        <v>11.05</v>
      </c>
      <c r="I29" s="141" t="n">
        <f aca="false">H29*Parâmetros!$C$14</f>
        <v>26.52</v>
      </c>
      <c r="J29" s="141" t="n">
        <f aca="false">C29*(Estacas!L29+Estacas!L30)/2</f>
        <v>36.352</v>
      </c>
      <c r="K29" s="141" t="n">
        <f aca="false">C29*(Estacas!M29+Estacas!M30)/2</f>
        <v>47.68</v>
      </c>
      <c r="L29" s="141" t="n">
        <f aca="false">C29*(Estacas!N29+Estacas!N30)/2</f>
        <v>75.72</v>
      </c>
      <c r="M29" s="141" t="n">
        <f aca="false">C29*(Estacas!O29+Estacas!O30)/2</f>
        <v>224</v>
      </c>
      <c r="N29" s="141" t="n">
        <f aca="false">C29*(Estacas!O29+Estacas!O30)/2</f>
        <v>224</v>
      </c>
      <c r="O29" s="141" t="n">
        <f aca="false">C29*(Estacas!P29+Estacas!P30)/2</f>
        <v>258.4</v>
      </c>
      <c r="P29" s="141" t="n">
        <f aca="false">R29*Parâmetros!$C$11</f>
        <v>0</v>
      </c>
      <c r="Q29" s="141" t="n">
        <f aca="false">R29*Parâmetros!$C$12</f>
        <v>0</v>
      </c>
      <c r="R29" s="141" t="n">
        <f aca="false">C29*(Estacas!Q29+Estacas!Q30)/2</f>
        <v>0</v>
      </c>
      <c r="S29" s="141" t="n">
        <f aca="false">IF(LEFT(E29,3)="T09",C29*Parâmetros!$D$13*Parâmetros!$C$13,0)</f>
        <v>0</v>
      </c>
    </row>
    <row r="30" customFormat="false" ht="15" hidden="false" customHeight="false" outlineLevel="0" collapsed="false">
      <c r="A30" s="138" t="str">
        <f aca="false">Estacas!A30</f>
        <v>28+0,00</v>
      </c>
      <c r="B30" s="138" t="str">
        <f aca="false">Estacas!A31</f>
        <v>29+0,00</v>
      </c>
      <c r="C30" s="144" t="n">
        <f aca="false">Estacas!C31-Estacas!C30</f>
        <v>20</v>
      </c>
      <c r="D30" s="138" t="s">
        <v>1565</v>
      </c>
      <c r="E30" s="138" t="s">
        <v>1566</v>
      </c>
      <c r="F30" s="141" t="n">
        <f aca="false">Estacas!F30</f>
        <v>11</v>
      </c>
      <c r="G30" s="141" t="n">
        <f aca="false">Estacas!F31</f>
        <v>11</v>
      </c>
      <c r="H30" s="141" t="n">
        <f aca="false">C30*(Estacas!K30+Estacas!K31)/2</f>
        <v>11.05</v>
      </c>
      <c r="I30" s="141" t="n">
        <f aca="false">H30*Parâmetros!$C$14</f>
        <v>26.52</v>
      </c>
      <c r="J30" s="141" t="n">
        <f aca="false">C30*(Estacas!L30+Estacas!L31)/2</f>
        <v>36.352</v>
      </c>
      <c r="K30" s="141" t="n">
        <f aca="false">C30*(Estacas!M30+Estacas!M31)/2</f>
        <v>47.68</v>
      </c>
      <c r="L30" s="141" t="n">
        <f aca="false">C30*(Estacas!N30+Estacas!N31)/2</f>
        <v>75.72</v>
      </c>
      <c r="M30" s="141" t="n">
        <f aca="false">C30*(Estacas!O30+Estacas!O31)/2</f>
        <v>224</v>
      </c>
      <c r="N30" s="141" t="n">
        <f aca="false">C30*(Estacas!O30+Estacas!O31)/2</f>
        <v>224</v>
      </c>
      <c r="O30" s="141" t="n">
        <f aca="false">C30*(Estacas!P30+Estacas!P31)/2</f>
        <v>258.4</v>
      </c>
      <c r="P30" s="141" t="n">
        <f aca="false">R30*Parâmetros!$C$11</f>
        <v>0</v>
      </c>
      <c r="Q30" s="141" t="n">
        <f aca="false">R30*Parâmetros!$C$12</f>
        <v>0</v>
      </c>
      <c r="R30" s="141" t="n">
        <f aca="false">C30*(Estacas!Q30+Estacas!Q31)/2</f>
        <v>0</v>
      </c>
      <c r="S30" s="141" t="n">
        <f aca="false">IF(LEFT(E30,3)="T09",C30*Parâmetros!$D$13*Parâmetros!$C$13,0)</f>
        <v>0</v>
      </c>
    </row>
    <row r="31" customFormat="false" ht="15" hidden="false" customHeight="false" outlineLevel="0" collapsed="false">
      <c r="A31" s="138" t="str">
        <f aca="false">Estacas!A31</f>
        <v>29+0,00</v>
      </c>
      <c r="B31" s="138" t="str">
        <f aca="false">Estacas!A32</f>
        <v>30+0,00</v>
      </c>
      <c r="C31" s="144" t="n">
        <f aca="false">Estacas!C32-Estacas!C31</f>
        <v>20</v>
      </c>
      <c r="D31" s="138" t="s">
        <v>1565</v>
      </c>
      <c r="E31" s="138" t="s">
        <v>1566</v>
      </c>
      <c r="F31" s="141" t="n">
        <f aca="false">Estacas!F31</f>
        <v>11</v>
      </c>
      <c r="G31" s="141" t="n">
        <f aca="false">Estacas!F32</f>
        <v>11</v>
      </c>
      <c r="H31" s="141" t="n">
        <f aca="false">C31*(Estacas!K31+Estacas!K32)/2</f>
        <v>11.05</v>
      </c>
      <c r="I31" s="141" t="n">
        <f aca="false">H31*Parâmetros!$C$14</f>
        <v>26.52</v>
      </c>
      <c r="J31" s="141" t="n">
        <f aca="false">C31*(Estacas!L31+Estacas!L32)/2</f>
        <v>36.352</v>
      </c>
      <c r="K31" s="141" t="n">
        <f aca="false">C31*(Estacas!M31+Estacas!M32)/2</f>
        <v>47.68</v>
      </c>
      <c r="L31" s="141" t="n">
        <f aca="false">C31*(Estacas!N31+Estacas!N32)/2</f>
        <v>75.72</v>
      </c>
      <c r="M31" s="141" t="n">
        <f aca="false">C31*(Estacas!O31+Estacas!O32)/2</f>
        <v>224</v>
      </c>
      <c r="N31" s="141" t="n">
        <f aca="false">C31*(Estacas!O31+Estacas!O32)/2</f>
        <v>224</v>
      </c>
      <c r="O31" s="141" t="n">
        <f aca="false">C31*(Estacas!P31+Estacas!P32)/2</f>
        <v>258.4</v>
      </c>
      <c r="P31" s="141" t="n">
        <f aca="false">R31*Parâmetros!$C$11</f>
        <v>0</v>
      </c>
      <c r="Q31" s="141" t="n">
        <f aca="false">R31*Parâmetros!$C$12</f>
        <v>0</v>
      </c>
      <c r="R31" s="141" t="n">
        <f aca="false">C31*(Estacas!Q31+Estacas!Q32)/2</f>
        <v>0</v>
      </c>
      <c r="S31" s="141" t="n">
        <f aca="false">IF(LEFT(E31,3)="T09",C31*Parâmetros!$D$13*Parâmetros!$C$13,0)</f>
        <v>0</v>
      </c>
    </row>
    <row r="32" customFormat="false" ht="15" hidden="false" customHeight="false" outlineLevel="0" collapsed="false">
      <c r="A32" s="138" t="str">
        <f aca="false">Estacas!A32</f>
        <v>30+0,00</v>
      </c>
      <c r="B32" s="138" t="str">
        <f aca="false">Estacas!A33</f>
        <v>31+0,00</v>
      </c>
      <c r="C32" s="144" t="n">
        <f aca="false">Estacas!C33-Estacas!C32</f>
        <v>20</v>
      </c>
      <c r="D32" s="138" t="s">
        <v>1565</v>
      </c>
      <c r="E32" s="138" t="s">
        <v>1566</v>
      </c>
      <c r="F32" s="141" t="n">
        <f aca="false">Estacas!F32</f>
        <v>11</v>
      </c>
      <c r="G32" s="141" t="n">
        <f aca="false">Estacas!F33</f>
        <v>11</v>
      </c>
      <c r="H32" s="141" t="n">
        <f aca="false">C32*(Estacas!K32+Estacas!K33)/2</f>
        <v>11.05</v>
      </c>
      <c r="I32" s="141" t="n">
        <f aca="false">H32*Parâmetros!$C$14</f>
        <v>26.52</v>
      </c>
      <c r="J32" s="141" t="n">
        <f aca="false">C32*(Estacas!L32+Estacas!L33)/2</f>
        <v>36.352</v>
      </c>
      <c r="K32" s="141" t="n">
        <f aca="false">C32*(Estacas!M32+Estacas!M33)/2</f>
        <v>47.68</v>
      </c>
      <c r="L32" s="141" t="n">
        <f aca="false">C32*(Estacas!N32+Estacas!N33)/2</f>
        <v>75.72</v>
      </c>
      <c r="M32" s="141" t="n">
        <f aca="false">C32*(Estacas!O32+Estacas!O33)/2</f>
        <v>224</v>
      </c>
      <c r="N32" s="141" t="n">
        <f aca="false">C32*(Estacas!O32+Estacas!O33)/2</f>
        <v>224</v>
      </c>
      <c r="O32" s="141" t="n">
        <f aca="false">C32*(Estacas!P32+Estacas!P33)/2</f>
        <v>258.4</v>
      </c>
      <c r="P32" s="141" t="n">
        <f aca="false">R32*Parâmetros!$C$11</f>
        <v>0</v>
      </c>
      <c r="Q32" s="141" t="n">
        <f aca="false">R32*Parâmetros!$C$12</f>
        <v>0</v>
      </c>
      <c r="R32" s="141" t="n">
        <f aca="false">C32*(Estacas!Q32+Estacas!Q33)/2</f>
        <v>0</v>
      </c>
      <c r="S32" s="141" t="n">
        <f aca="false">IF(LEFT(E32,3)="T09",C32*Parâmetros!$D$13*Parâmetros!$C$13,0)</f>
        <v>0</v>
      </c>
    </row>
    <row r="33" customFormat="false" ht="15" hidden="false" customHeight="false" outlineLevel="0" collapsed="false">
      <c r="A33" s="138" t="str">
        <f aca="false">Estacas!A33</f>
        <v>31+0,00</v>
      </c>
      <c r="B33" s="138" t="str">
        <f aca="false">Estacas!A34</f>
        <v>32+0,00</v>
      </c>
      <c r="C33" s="144" t="n">
        <f aca="false">Estacas!C34-Estacas!C33</f>
        <v>20</v>
      </c>
      <c r="D33" s="138" t="s">
        <v>1565</v>
      </c>
      <c r="E33" s="138" t="s">
        <v>1566</v>
      </c>
      <c r="F33" s="141" t="n">
        <f aca="false">Estacas!F33</f>
        <v>11</v>
      </c>
      <c r="G33" s="141" t="n">
        <f aca="false">Estacas!F34</f>
        <v>11</v>
      </c>
      <c r="H33" s="141" t="n">
        <f aca="false">C33*(Estacas!K33+Estacas!K34)/2</f>
        <v>11.05</v>
      </c>
      <c r="I33" s="141" t="n">
        <f aca="false">H33*Parâmetros!$C$14</f>
        <v>26.52</v>
      </c>
      <c r="J33" s="141" t="n">
        <f aca="false">C33*(Estacas!L33+Estacas!L34)/2</f>
        <v>36.352</v>
      </c>
      <c r="K33" s="141" t="n">
        <f aca="false">C33*(Estacas!M33+Estacas!M34)/2</f>
        <v>47.68</v>
      </c>
      <c r="L33" s="141" t="n">
        <f aca="false">C33*(Estacas!N33+Estacas!N34)/2</f>
        <v>75.72</v>
      </c>
      <c r="M33" s="141" t="n">
        <f aca="false">C33*(Estacas!O33+Estacas!O34)/2</f>
        <v>224</v>
      </c>
      <c r="N33" s="141" t="n">
        <f aca="false">C33*(Estacas!O33+Estacas!O34)/2</f>
        <v>224</v>
      </c>
      <c r="O33" s="141" t="n">
        <f aca="false">C33*(Estacas!P33+Estacas!P34)/2</f>
        <v>258.4</v>
      </c>
      <c r="P33" s="141" t="n">
        <f aca="false">R33*Parâmetros!$C$11</f>
        <v>0</v>
      </c>
      <c r="Q33" s="141" t="n">
        <f aca="false">R33*Parâmetros!$C$12</f>
        <v>0</v>
      </c>
      <c r="R33" s="141" t="n">
        <f aca="false">C33*(Estacas!Q33+Estacas!Q34)/2</f>
        <v>0</v>
      </c>
      <c r="S33" s="141" t="n">
        <f aca="false">IF(LEFT(E33,3)="T09",C33*Parâmetros!$D$13*Parâmetros!$C$13,0)</f>
        <v>0</v>
      </c>
    </row>
    <row r="34" customFormat="false" ht="15" hidden="false" customHeight="false" outlineLevel="0" collapsed="false">
      <c r="A34" s="138" t="str">
        <f aca="false">Estacas!A34</f>
        <v>32+0,00</v>
      </c>
      <c r="B34" s="138" t="str">
        <f aca="false">Estacas!A35</f>
        <v>33+0,00</v>
      </c>
      <c r="C34" s="144" t="n">
        <f aca="false">Estacas!C35-Estacas!C34</f>
        <v>20</v>
      </c>
      <c r="D34" s="138" t="s">
        <v>1565</v>
      </c>
      <c r="E34" s="138" t="s">
        <v>1566</v>
      </c>
      <c r="F34" s="141" t="n">
        <f aca="false">Estacas!F34</f>
        <v>11</v>
      </c>
      <c r="G34" s="141" t="n">
        <f aca="false">Estacas!F35</f>
        <v>11</v>
      </c>
      <c r="H34" s="141" t="n">
        <f aca="false">C34*(Estacas!K34+Estacas!K35)/2</f>
        <v>11.05</v>
      </c>
      <c r="I34" s="141" t="n">
        <f aca="false">H34*Parâmetros!$C$14</f>
        <v>26.52</v>
      </c>
      <c r="J34" s="141" t="n">
        <f aca="false">C34*(Estacas!L34+Estacas!L35)/2</f>
        <v>36.352</v>
      </c>
      <c r="K34" s="141" t="n">
        <f aca="false">C34*(Estacas!M34+Estacas!M35)/2</f>
        <v>47.68</v>
      </c>
      <c r="L34" s="141" t="n">
        <f aca="false">C34*(Estacas!N34+Estacas!N35)/2</f>
        <v>75.72</v>
      </c>
      <c r="M34" s="141" t="n">
        <f aca="false">C34*(Estacas!O34+Estacas!O35)/2</f>
        <v>224</v>
      </c>
      <c r="N34" s="141" t="n">
        <f aca="false">C34*(Estacas!O34+Estacas!O35)/2</f>
        <v>224</v>
      </c>
      <c r="O34" s="141" t="n">
        <f aca="false">C34*(Estacas!P34+Estacas!P35)/2</f>
        <v>258.4</v>
      </c>
      <c r="P34" s="141" t="n">
        <f aca="false">R34*Parâmetros!$C$11</f>
        <v>0</v>
      </c>
      <c r="Q34" s="141" t="n">
        <f aca="false">R34*Parâmetros!$C$12</f>
        <v>0</v>
      </c>
      <c r="R34" s="141" t="n">
        <f aca="false">C34*(Estacas!Q34+Estacas!Q35)/2</f>
        <v>0</v>
      </c>
      <c r="S34" s="141" t="n">
        <f aca="false">IF(LEFT(E34,3)="T09",C34*Parâmetros!$D$13*Parâmetros!$C$13,0)</f>
        <v>0</v>
      </c>
    </row>
    <row r="35" customFormat="false" ht="15" hidden="false" customHeight="false" outlineLevel="0" collapsed="false">
      <c r="A35" s="138" t="str">
        <f aca="false">Estacas!A35</f>
        <v>33+0,00</v>
      </c>
      <c r="B35" s="138" t="str">
        <f aca="false">Estacas!A36</f>
        <v>34+0,00</v>
      </c>
      <c r="C35" s="144" t="n">
        <f aca="false">Estacas!C36-Estacas!C35</f>
        <v>20</v>
      </c>
      <c r="D35" s="138" t="s">
        <v>1565</v>
      </c>
      <c r="E35" s="138" t="s">
        <v>1566</v>
      </c>
      <c r="F35" s="141" t="n">
        <f aca="false">Estacas!F35</f>
        <v>11</v>
      </c>
      <c r="G35" s="141" t="n">
        <f aca="false">Estacas!F36</f>
        <v>11</v>
      </c>
      <c r="H35" s="141" t="n">
        <f aca="false">C35*(Estacas!K35+Estacas!K36)/2</f>
        <v>11.05</v>
      </c>
      <c r="I35" s="141" t="n">
        <f aca="false">H35*Parâmetros!$C$14</f>
        <v>26.52</v>
      </c>
      <c r="J35" s="141" t="n">
        <f aca="false">C35*(Estacas!L35+Estacas!L36)/2</f>
        <v>36.352</v>
      </c>
      <c r="K35" s="141" t="n">
        <f aca="false">C35*(Estacas!M35+Estacas!M36)/2</f>
        <v>47.68</v>
      </c>
      <c r="L35" s="141" t="n">
        <f aca="false">C35*(Estacas!N35+Estacas!N36)/2</f>
        <v>75.72</v>
      </c>
      <c r="M35" s="141" t="n">
        <f aca="false">C35*(Estacas!O35+Estacas!O36)/2</f>
        <v>224</v>
      </c>
      <c r="N35" s="141" t="n">
        <f aca="false">C35*(Estacas!O35+Estacas!O36)/2</f>
        <v>224</v>
      </c>
      <c r="O35" s="141" t="n">
        <f aca="false">C35*(Estacas!P35+Estacas!P36)/2</f>
        <v>258.4</v>
      </c>
      <c r="P35" s="141" t="n">
        <f aca="false">R35*Parâmetros!$C$11</f>
        <v>0</v>
      </c>
      <c r="Q35" s="141" t="n">
        <f aca="false">R35*Parâmetros!$C$12</f>
        <v>0</v>
      </c>
      <c r="R35" s="141" t="n">
        <f aca="false">C35*(Estacas!Q35+Estacas!Q36)/2</f>
        <v>0</v>
      </c>
      <c r="S35" s="141" t="n">
        <f aca="false">IF(LEFT(E35,3)="T09",C35*Parâmetros!$D$13*Parâmetros!$C$13,0)</f>
        <v>0</v>
      </c>
    </row>
    <row r="36" customFormat="false" ht="15" hidden="false" customHeight="false" outlineLevel="0" collapsed="false">
      <c r="A36" s="138" t="str">
        <f aca="false">Estacas!A36</f>
        <v>34+0,00</v>
      </c>
      <c r="B36" s="138" t="str">
        <f aca="false">Estacas!A37</f>
        <v>35+0,00</v>
      </c>
      <c r="C36" s="144" t="n">
        <f aca="false">Estacas!C37-Estacas!C36</f>
        <v>20</v>
      </c>
      <c r="D36" s="138" t="s">
        <v>1565</v>
      </c>
      <c r="E36" s="138" t="s">
        <v>1566</v>
      </c>
      <c r="F36" s="141" t="n">
        <f aca="false">Estacas!F36</f>
        <v>11</v>
      </c>
      <c r="G36" s="141" t="n">
        <f aca="false">Estacas!F37</f>
        <v>11</v>
      </c>
      <c r="H36" s="141" t="n">
        <f aca="false">C36*(Estacas!K36+Estacas!K37)/2</f>
        <v>11.05</v>
      </c>
      <c r="I36" s="141" t="n">
        <f aca="false">H36*Parâmetros!$C$14</f>
        <v>26.52</v>
      </c>
      <c r="J36" s="141" t="n">
        <f aca="false">C36*(Estacas!L36+Estacas!L37)/2</f>
        <v>36.352</v>
      </c>
      <c r="K36" s="141" t="n">
        <f aca="false">C36*(Estacas!M36+Estacas!M37)/2</f>
        <v>47.68</v>
      </c>
      <c r="L36" s="141" t="n">
        <f aca="false">C36*(Estacas!N36+Estacas!N37)/2</f>
        <v>75.72</v>
      </c>
      <c r="M36" s="141" t="n">
        <f aca="false">C36*(Estacas!O36+Estacas!O37)/2</f>
        <v>224</v>
      </c>
      <c r="N36" s="141" t="n">
        <f aca="false">C36*(Estacas!O36+Estacas!O37)/2</f>
        <v>224</v>
      </c>
      <c r="O36" s="141" t="n">
        <f aca="false">C36*(Estacas!P36+Estacas!P37)/2</f>
        <v>258.4</v>
      </c>
      <c r="P36" s="141" t="n">
        <f aca="false">R36*Parâmetros!$C$11</f>
        <v>0</v>
      </c>
      <c r="Q36" s="141" t="n">
        <f aca="false">R36*Parâmetros!$C$12</f>
        <v>0</v>
      </c>
      <c r="R36" s="141" t="n">
        <f aca="false">C36*(Estacas!Q36+Estacas!Q37)/2</f>
        <v>0</v>
      </c>
      <c r="S36" s="141" t="n">
        <f aca="false">IF(LEFT(E36,3)="T09",C36*Parâmetros!$D$13*Parâmetros!$C$13,0)</f>
        <v>0</v>
      </c>
    </row>
    <row r="37" customFormat="false" ht="15" hidden="false" customHeight="false" outlineLevel="0" collapsed="false">
      <c r="A37" s="138" t="str">
        <f aca="false">Estacas!A37</f>
        <v>35+0,00</v>
      </c>
      <c r="B37" s="138" t="str">
        <f aca="false">Estacas!A38</f>
        <v>36+0,00</v>
      </c>
      <c r="C37" s="144" t="n">
        <f aca="false">Estacas!C38-Estacas!C37</f>
        <v>20</v>
      </c>
      <c r="D37" s="138" t="s">
        <v>1565</v>
      </c>
      <c r="E37" s="138" t="s">
        <v>1566</v>
      </c>
      <c r="F37" s="141" t="n">
        <f aca="false">Estacas!F37</f>
        <v>11</v>
      </c>
      <c r="G37" s="141" t="n">
        <f aca="false">Estacas!F38</f>
        <v>11</v>
      </c>
      <c r="H37" s="141" t="n">
        <f aca="false">C37*(Estacas!K37+Estacas!K38)/2</f>
        <v>11.05</v>
      </c>
      <c r="I37" s="141" t="n">
        <f aca="false">H37*Parâmetros!$C$14</f>
        <v>26.52</v>
      </c>
      <c r="J37" s="141" t="n">
        <f aca="false">C37*(Estacas!L37+Estacas!L38)/2</f>
        <v>36.352</v>
      </c>
      <c r="K37" s="141" t="n">
        <f aca="false">C37*(Estacas!M37+Estacas!M38)/2</f>
        <v>47.68</v>
      </c>
      <c r="L37" s="141" t="n">
        <f aca="false">C37*(Estacas!N37+Estacas!N38)/2</f>
        <v>75.72</v>
      </c>
      <c r="M37" s="141" t="n">
        <f aca="false">C37*(Estacas!O37+Estacas!O38)/2</f>
        <v>224</v>
      </c>
      <c r="N37" s="141" t="n">
        <f aca="false">C37*(Estacas!O37+Estacas!O38)/2</f>
        <v>224</v>
      </c>
      <c r="O37" s="141" t="n">
        <f aca="false">C37*(Estacas!P37+Estacas!P38)/2</f>
        <v>258.4</v>
      </c>
      <c r="P37" s="141" t="n">
        <f aca="false">R37*Parâmetros!$C$11</f>
        <v>0</v>
      </c>
      <c r="Q37" s="141" t="n">
        <f aca="false">R37*Parâmetros!$C$12</f>
        <v>0</v>
      </c>
      <c r="R37" s="141" t="n">
        <f aca="false">C37*(Estacas!Q37+Estacas!Q38)/2</f>
        <v>0</v>
      </c>
      <c r="S37" s="141" t="n">
        <f aca="false">IF(LEFT(E37,3)="T09",C37*Parâmetros!$D$13*Parâmetros!$C$13,0)</f>
        <v>0</v>
      </c>
    </row>
    <row r="38" customFormat="false" ht="15" hidden="false" customHeight="false" outlineLevel="0" collapsed="false">
      <c r="A38" s="138" t="str">
        <f aca="false">Estacas!A38</f>
        <v>36+0,00</v>
      </c>
      <c r="B38" s="138" t="str">
        <f aca="false">Estacas!A39</f>
        <v>37+0,00</v>
      </c>
      <c r="C38" s="144" t="n">
        <f aca="false">Estacas!C39-Estacas!C38</f>
        <v>20</v>
      </c>
      <c r="D38" s="138" t="s">
        <v>1565</v>
      </c>
      <c r="E38" s="138" t="s">
        <v>1566</v>
      </c>
      <c r="F38" s="141" t="n">
        <f aca="false">Estacas!F38</f>
        <v>11</v>
      </c>
      <c r="G38" s="141" t="n">
        <f aca="false">Estacas!F39</f>
        <v>11</v>
      </c>
      <c r="H38" s="141" t="n">
        <f aca="false">C38*(Estacas!K38+Estacas!K39)/2</f>
        <v>11.05</v>
      </c>
      <c r="I38" s="141" t="n">
        <f aca="false">H38*Parâmetros!$C$14</f>
        <v>26.52</v>
      </c>
      <c r="J38" s="141" t="n">
        <f aca="false">C38*(Estacas!L38+Estacas!L39)/2</f>
        <v>36.352</v>
      </c>
      <c r="K38" s="141" t="n">
        <f aca="false">C38*(Estacas!M38+Estacas!M39)/2</f>
        <v>47.68</v>
      </c>
      <c r="L38" s="141" t="n">
        <f aca="false">C38*(Estacas!N38+Estacas!N39)/2</f>
        <v>75.72</v>
      </c>
      <c r="M38" s="141" t="n">
        <f aca="false">C38*(Estacas!O38+Estacas!O39)/2</f>
        <v>224</v>
      </c>
      <c r="N38" s="141" t="n">
        <f aca="false">C38*(Estacas!O38+Estacas!O39)/2</f>
        <v>224</v>
      </c>
      <c r="O38" s="141" t="n">
        <f aca="false">C38*(Estacas!P38+Estacas!P39)/2</f>
        <v>258.4</v>
      </c>
      <c r="P38" s="141" t="n">
        <f aca="false">R38*Parâmetros!$C$11</f>
        <v>0</v>
      </c>
      <c r="Q38" s="141" t="n">
        <f aca="false">R38*Parâmetros!$C$12</f>
        <v>0</v>
      </c>
      <c r="R38" s="141" t="n">
        <f aca="false">C38*(Estacas!Q38+Estacas!Q39)/2</f>
        <v>0</v>
      </c>
      <c r="S38" s="141" t="n">
        <f aca="false">IF(LEFT(E38,3)="T09",C38*Parâmetros!$D$13*Parâmetros!$C$13,0)</f>
        <v>0</v>
      </c>
    </row>
    <row r="39" customFormat="false" ht="15" hidden="false" customHeight="false" outlineLevel="0" collapsed="false">
      <c r="A39" s="138" t="str">
        <f aca="false">Estacas!A39</f>
        <v>37+0,00</v>
      </c>
      <c r="B39" s="138" t="str">
        <f aca="false">Estacas!A40</f>
        <v>38+0,00</v>
      </c>
      <c r="C39" s="144" t="n">
        <f aca="false">Estacas!C40-Estacas!C39</f>
        <v>20</v>
      </c>
      <c r="D39" s="138" t="s">
        <v>1565</v>
      </c>
      <c r="E39" s="138" t="s">
        <v>1566</v>
      </c>
      <c r="F39" s="141" t="n">
        <f aca="false">Estacas!F39</f>
        <v>11</v>
      </c>
      <c r="G39" s="141" t="n">
        <f aca="false">Estacas!F40</f>
        <v>11</v>
      </c>
      <c r="H39" s="141" t="n">
        <f aca="false">C39*(Estacas!K39+Estacas!K40)/2</f>
        <v>11.05</v>
      </c>
      <c r="I39" s="141" t="n">
        <f aca="false">H39*Parâmetros!$C$14</f>
        <v>26.52</v>
      </c>
      <c r="J39" s="141" t="n">
        <f aca="false">C39*(Estacas!L39+Estacas!L40)/2</f>
        <v>36.352</v>
      </c>
      <c r="K39" s="141" t="n">
        <f aca="false">C39*(Estacas!M39+Estacas!M40)/2</f>
        <v>47.68</v>
      </c>
      <c r="L39" s="141" t="n">
        <f aca="false">C39*(Estacas!N39+Estacas!N40)/2</f>
        <v>75.72</v>
      </c>
      <c r="M39" s="141" t="n">
        <f aca="false">C39*(Estacas!O39+Estacas!O40)/2</f>
        <v>224</v>
      </c>
      <c r="N39" s="141" t="n">
        <f aca="false">C39*(Estacas!O39+Estacas!O40)/2</f>
        <v>224</v>
      </c>
      <c r="O39" s="141" t="n">
        <f aca="false">C39*(Estacas!P39+Estacas!P40)/2</f>
        <v>258.4</v>
      </c>
      <c r="P39" s="141" t="n">
        <f aca="false">R39*Parâmetros!$C$11</f>
        <v>0</v>
      </c>
      <c r="Q39" s="141" t="n">
        <f aca="false">R39*Parâmetros!$C$12</f>
        <v>0</v>
      </c>
      <c r="R39" s="141" t="n">
        <f aca="false">C39*(Estacas!Q39+Estacas!Q40)/2</f>
        <v>0</v>
      </c>
      <c r="S39" s="141" t="n">
        <f aca="false">IF(LEFT(E39,3)="T09",C39*Parâmetros!$D$13*Parâmetros!$C$13,0)</f>
        <v>0</v>
      </c>
    </row>
    <row r="40" customFormat="false" ht="15" hidden="false" customHeight="false" outlineLevel="0" collapsed="false">
      <c r="A40" s="138" t="str">
        <f aca="false">Estacas!A40</f>
        <v>38+0,00</v>
      </c>
      <c r="B40" s="138" t="str">
        <f aca="false">Estacas!A41</f>
        <v>39+0,00</v>
      </c>
      <c r="C40" s="144" t="n">
        <f aca="false">Estacas!C41-Estacas!C40</f>
        <v>20</v>
      </c>
      <c r="D40" s="138" t="s">
        <v>1565</v>
      </c>
      <c r="E40" s="138" t="s">
        <v>1566</v>
      </c>
      <c r="F40" s="141" t="n">
        <f aca="false">Estacas!F40</f>
        <v>11</v>
      </c>
      <c r="G40" s="141" t="n">
        <f aca="false">Estacas!F41</f>
        <v>11</v>
      </c>
      <c r="H40" s="141" t="n">
        <f aca="false">C40*(Estacas!K40+Estacas!K41)/2</f>
        <v>11.05</v>
      </c>
      <c r="I40" s="141" t="n">
        <f aca="false">H40*Parâmetros!$C$14</f>
        <v>26.52</v>
      </c>
      <c r="J40" s="141" t="n">
        <f aca="false">C40*(Estacas!L40+Estacas!L41)/2</f>
        <v>36.352</v>
      </c>
      <c r="K40" s="141" t="n">
        <f aca="false">C40*(Estacas!M40+Estacas!M41)/2</f>
        <v>47.68</v>
      </c>
      <c r="L40" s="141" t="n">
        <f aca="false">C40*(Estacas!N40+Estacas!N41)/2</f>
        <v>75.72</v>
      </c>
      <c r="M40" s="141" t="n">
        <f aca="false">C40*(Estacas!O40+Estacas!O41)/2</f>
        <v>224</v>
      </c>
      <c r="N40" s="141" t="n">
        <f aca="false">C40*(Estacas!O40+Estacas!O41)/2</f>
        <v>224</v>
      </c>
      <c r="O40" s="141" t="n">
        <f aca="false">C40*(Estacas!P40+Estacas!P41)/2</f>
        <v>258.4</v>
      </c>
      <c r="P40" s="141" t="n">
        <f aca="false">R40*Parâmetros!$C$11</f>
        <v>0</v>
      </c>
      <c r="Q40" s="141" t="n">
        <f aca="false">R40*Parâmetros!$C$12</f>
        <v>0</v>
      </c>
      <c r="R40" s="141" t="n">
        <f aca="false">C40*(Estacas!Q40+Estacas!Q41)/2</f>
        <v>0</v>
      </c>
      <c r="S40" s="141" t="n">
        <f aca="false">IF(LEFT(E40,3)="T09",C40*Parâmetros!$D$13*Parâmetros!$C$13,0)</f>
        <v>0</v>
      </c>
    </row>
    <row r="41" customFormat="false" ht="15" hidden="false" customHeight="false" outlineLevel="0" collapsed="false">
      <c r="A41" s="138" t="str">
        <f aca="false">Estacas!A41</f>
        <v>39+0,00</v>
      </c>
      <c r="B41" s="138" t="str">
        <f aca="false">Estacas!A42</f>
        <v>40+0,00</v>
      </c>
      <c r="C41" s="144" t="n">
        <f aca="false">Estacas!C42-Estacas!C41</f>
        <v>20</v>
      </c>
      <c r="D41" s="138" t="s">
        <v>1565</v>
      </c>
      <c r="E41" s="138" t="s">
        <v>1566</v>
      </c>
      <c r="F41" s="141" t="n">
        <f aca="false">Estacas!F41</f>
        <v>11</v>
      </c>
      <c r="G41" s="141" t="n">
        <f aca="false">Estacas!F42</f>
        <v>11</v>
      </c>
      <c r="H41" s="141" t="n">
        <f aca="false">C41*(Estacas!K41+Estacas!K42)/2</f>
        <v>11.05</v>
      </c>
      <c r="I41" s="141" t="n">
        <f aca="false">H41*Parâmetros!$C$14</f>
        <v>26.52</v>
      </c>
      <c r="J41" s="141" t="n">
        <f aca="false">C41*(Estacas!L41+Estacas!L42)/2</f>
        <v>36.352</v>
      </c>
      <c r="K41" s="141" t="n">
        <f aca="false">C41*(Estacas!M41+Estacas!M42)/2</f>
        <v>47.68</v>
      </c>
      <c r="L41" s="141" t="n">
        <f aca="false">C41*(Estacas!N41+Estacas!N42)/2</f>
        <v>75.72</v>
      </c>
      <c r="M41" s="141" t="n">
        <f aca="false">C41*(Estacas!O41+Estacas!O42)/2</f>
        <v>224</v>
      </c>
      <c r="N41" s="141" t="n">
        <f aca="false">C41*(Estacas!O41+Estacas!O42)/2</f>
        <v>224</v>
      </c>
      <c r="O41" s="141" t="n">
        <f aca="false">C41*(Estacas!P41+Estacas!P42)/2</f>
        <v>258.4</v>
      </c>
      <c r="P41" s="141" t="n">
        <f aca="false">R41*Parâmetros!$C$11</f>
        <v>0</v>
      </c>
      <c r="Q41" s="141" t="n">
        <f aca="false">R41*Parâmetros!$C$12</f>
        <v>0</v>
      </c>
      <c r="R41" s="141" t="n">
        <f aca="false">C41*(Estacas!Q41+Estacas!Q42)/2</f>
        <v>0</v>
      </c>
      <c r="S41" s="141" t="n">
        <f aca="false">IF(LEFT(E41,3)="T09",C41*Parâmetros!$D$13*Parâmetros!$C$13,0)</f>
        <v>0</v>
      </c>
    </row>
    <row r="42" customFormat="false" ht="15" hidden="false" customHeight="false" outlineLevel="0" collapsed="false">
      <c r="A42" s="138" t="str">
        <f aca="false">Estacas!A42</f>
        <v>40+0,00</v>
      </c>
      <c r="B42" s="138" t="str">
        <f aca="false">Estacas!A43</f>
        <v>41+0,00</v>
      </c>
      <c r="C42" s="144" t="n">
        <f aca="false">Estacas!C43-Estacas!C42</f>
        <v>20</v>
      </c>
      <c r="D42" s="138" t="s">
        <v>1565</v>
      </c>
      <c r="E42" s="138" t="s">
        <v>1566</v>
      </c>
      <c r="F42" s="141" t="n">
        <f aca="false">Estacas!F42</f>
        <v>11</v>
      </c>
      <c r="G42" s="141" t="n">
        <f aca="false">Estacas!F43</f>
        <v>11</v>
      </c>
      <c r="H42" s="141" t="n">
        <f aca="false">C42*(Estacas!K42+Estacas!K43)/2</f>
        <v>11.05</v>
      </c>
      <c r="I42" s="141" t="n">
        <f aca="false">H42*Parâmetros!$C$14</f>
        <v>26.52</v>
      </c>
      <c r="J42" s="141" t="n">
        <f aca="false">C42*(Estacas!L42+Estacas!L43)/2</f>
        <v>36.352</v>
      </c>
      <c r="K42" s="141" t="n">
        <f aca="false">C42*(Estacas!M42+Estacas!M43)/2</f>
        <v>47.68</v>
      </c>
      <c r="L42" s="141" t="n">
        <f aca="false">C42*(Estacas!N42+Estacas!N43)/2</f>
        <v>75.72</v>
      </c>
      <c r="M42" s="141" t="n">
        <f aca="false">C42*(Estacas!O42+Estacas!O43)/2</f>
        <v>224</v>
      </c>
      <c r="N42" s="141" t="n">
        <f aca="false">C42*(Estacas!O42+Estacas!O43)/2</f>
        <v>224</v>
      </c>
      <c r="O42" s="141" t="n">
        <f aca="false">C42*(Estacas!P42+Estacas!P43)/2</f>
        <v>258.4</v>
      </c>
      <c r="P42" s="141" t="n">
        <f aca="false">R42*Parâmetros!$C$11</f>
        <v>0</v>
      </c>
      <c r="Q42" s="141" t="n">
        <f aca="false">R42*Parâmetros!$C$12</f>
        <v>0</v>
      </c>
      <c r="R42" s="141" t="n">
        <f aca="false">C42*(Estacas!Q42+Estacas!Q43)/2</f>
        <v>0</v>
      </c>
      <c r="S42" s="141" t="n">
        <f aca="false">IF(LEFT(E42,3)="T09",C42*Parâmetros!$D$13*Parâmetros!$C$13,0)</f>
        <v>0</v>
      </c>
    </row>
    <row r="43" customFormat="false" ht="15" hidden="false" customHeight="false" outlineLevel="0" collapsed="false">
      <c r="A43" s="138" t="str">
        <f aca="false">Estacas!A43</f>
        <v>41+0,00</v>
      </c>
      <c r="B43" s="138" t="str">
        <f aca="false">Estacas!A44</f>
        <v>42+0,00</v>
      </c>
      <c r="C43" s="144" t="n">
        <f aca="false">Estacas!C44-Estacas!C43</f>
        <v>20</v>
      </c>
      <c r="D43" s="138" t="s">
        <v>1565</v>
      </c>
      <c r="E43" s="138" t="s">
        <v>1566</v>
      </c>
      <c r="F43" s="141" t="n">
        <f aca="false">Estacas!F43</f>
        <v>11</v>
      </c>
      <c r="G43" s="141" t="n">
        <f aca="false">Estacas!F44</f>
        <v>11</v>
      </c>
      <c r="H43" s="141" t="n">
        <f aca="false">C43*(Estacas!K43+Estacas!K44)/2</f>
        <v>11.05</v>
      </c>
      <c r="I43" s="141" t="n">
        <f aca="false">H43*Parâmetros!$C$14</f>
        <v>26.52</v>
      </c>
      <c r="J43" s="141" t="n">
        <f aca="false">C43*(Estacas!L43+Estacas!L44)/2</f>
        <v>36.352</v>
      </c>
      <c r="K43" s="141" t="n">
        <f aca="false">C43*(Estacas!M43+Estacas!M44)/2</f>
        <v>47.68</v>
      </c>
      <c r="L43" s="141" t="n">
        <f aca="false">C43*(Estacas!N43+Estacas!N44)/2</f>
        <v>75.72</v>
      </c>
      <c r="M43" s="141" t="n">
        <f aca="false">C43*(Estacas!O43+Estacas!O44)/2</f>
        <v>224</v>
      </c>
      <c r="N43" s="141" t="n">
        <f aca="false">C43*(Estacas!O43+Estacas!O44)/2</f>
        <v>224</v>
      </c>
      <c r="O43" s="141" t="n">
        <f aca="false">C43*(Estacas!P43+Estacas!P44)/2</f>
        <v>258.4</v>
      </c>
      <c r="P43" s="141" t="n">
        <f aca="false">R43*Parâmetros!$C$11</f>
        <v>0</v>
      </c>
      <c r="Q43" s="141" t="n">
        <f aca="false">R43*Parâmetros!$C$12</f>
        <v>0</v>
      </c>
      <c r="R43" s="141" t="n">
        <f aca="false">C43*(Estacas!Q43+Estacas!Q44)/2</f>
        <v>0</v>
      </c>
      <c r="S43" s="141" t="n">
        <f aca="false">IF(LEFT(E43,3)="T09",C43*Parâmetros!$D$13*Parâmetros!$C$13,0)</f>
        <v>0</v>
      </c>
    </row>
    <row r="44" customFormat="false" ht="15" hidden="false" customHeight="false" outlineLevel="0" collapsed="false">
      <c r="A44" s="138" t="str">
        <f aca="false">Estacas!A44</f>
        <v>42+0,00</v>
      </c>
      <c r="B44" s="138" t="str">
        <f aca="false">Estacas!A45</f>
        <v>43+0,00</v>
      </c>
      <c r="C44" s="144" t="n">
        <f aca="false">Estacas!C45-Estacas!C44</f>
        <v>20</v>
      </c>
      <c r="D44" s="138" t="s">
        <v>1565</v>
      </c>
      <c r="E44" s="138" t="s">
        <v>1566</v>
      </c>
      <c r="F44" s="141" t="n">
        <f aca="false">Estacas!F44</f>
        <v>11</v>
      </c>
      <c r="G44" s="141" t="n">
        <f aca="false">Estacas!F45</f>
        <v>11</v>
      </c>
      <c r="H44" s="141" t="n">
        <f aca="false">C44*(Estacas!K44+Estacas!K45)/2</f>
        <v>11.05</v>
      </c>
      <c r="I44" s="141" t="n">
        <f aca="false">H44*Parâmetros!$C$14</f>
        <v>26.52</v>
      </c>
      <c r="J44" s="141" t="n">
        <f aca="false">C44*(Estacas!L44+Estacas!L45)/2</f>
        <v>36.352</v>
      </c>
      <c r="K44" s="141" t="n">
        <f aca="false">C44*(Estacas!M44+Estacas!M45)/2</f>
        <v>47.68</v>
      </c>
      <c r="L44" s="141" t="n">
        <f aca="false">C44*(Estacas!N44+Estacas!N45)/2</f>
        <v>75.72</v>
      </c>
      <c r="M44" s="141" t="n">
        <f aca="false">C44*(Estacas!O44+Estacas!O45)/2</f>
        <v>224</v>
      </c>
      <c r="N44" s="141" t="n">
        <f aca="false">C44*(Estacas!O44+Estacas!O45)/2</f>
        <v>224</v>
      </c>
      <c r="O44" s="141" t="n">
        <f aca="false">C44*(Estacas!P44+Estacas!P45)/2</f>
        <v>258.4</v>
      </c>
      <c r="P44" s="141" t="n">
        <f aca="false">R44*Parâmetros!$C$11</f>
        <v>0</v>
      </c>
      <c r="Q44" s="141" t="n">
        <f aca="false">R44*Parâmetros!$C$12</f>
        <v>0</v>
      </c>
      <c r="R44" s="141" t="n">
        <f aca="false">C44*(Estacas!Q44+Estacas!Q45)/2</f>
        <v>0</v>
      </c>
      <c r="S44" s="141" t="n">
        <f aca="false">IF(LEFT(E44,3)="T09",C44*Parâmetros!$D$13*Parâmetros!$C$13,0)</f>
        <v>0</v>
      </c>
    </row>
    <row r="45" customFormat="false" ht="15" hidden="false" customHeight="false" outlineLevel="0" collapsed="false">
      <c r="A45" s="138" t="str">
        <f aca="false">Estacas!A45</f>
        <v>43+0,00</v>
      </c>
      <c r="B45" s="138" t="str">
        <f aca="false">Estacas!A46</f>
        <v>44+0,00</v>
      </c>
      <c r="C45" s="144" t="n">
        <f aca="false">Estacas!C46-Estacas!C45</f>
        <v>20</v>
      </c>
      <c r="D45" s="138" t="s">
        <v>1565</v>
      </c>
      <c r="E45" s="138" t="s">
        <v>1566</v>
      </c>
      <c r="F45" s="141" t="n">
        <f aca="false">Estacas!F45</f>
        <v>11</v>
      </c>
      <c r="G45" s="141" t="n">
        <f aca="false">Estacas!F46</f>
        <v>11</v>
      </c>
      <c r="H45" s="141" t="n">
        <f aca="false">C45*(Estacas!K45+Estacas!K46)/2</f>
        <v>11.05</v>
      </c>
      <c r="I45" s="141" t="n">
        <f aca="false">H45*Parâmetros!$C$14</f>
        <v>26.52</v>
      </c>
      <c r="J45" s="141" t="n">
        <f aca="false">C45*(Estacas!L45+Estacas!L46)/2</f>
        <v>36.352</v>
      </c>
      <c r="K45" s="141" t="n">
        <f aca="false">C45*(Estacas!M45+Estacas!M46)/2</f>
        <v>47.68</v>
      </c>
      <c r="L45" s="141" t="n">
        <f aca="false">C45*(Estacas!N45+Estacas!N46)/2</f>
        <v>75.72</v>
      </c>
      <c r="M45" s="141" t="n">
        <f aca="false">C45*(Estacas!O45+Estacas!O46)/2</f>
        <v>224</v>
      </c>
      <c r="N45" s="141" t="n">
        <f aca="false">C45*(Estacas!O45+Estacas!O46)/2</f>
        <v>224</v>
      </c>
      <c r="O45" s="141" t="n">
        <f aca="false">C45*(Estacas!P45+Estacas!P46)/2</f>
        <v>258.4</v>
      </c>
      <c r="P45" s="141" t="n">
        <f aca="false">R45*Parâmetros!$C$11</f>
        <v>0</v>
      </c>
      <c r="Q45" s="141" t="n">
        <f aca="false">R45*Parâmetros!$C$12</f>
        <v>0</v>
      </c>
      <c r="R45" s="141" t="n">
        <f aca="false">C45*(Estacas!Q45+Estacas!Q46)/2</f>
        <v>0</v>
      </c>
      <c r="S45" s="141" t="n">
        <f aca="false">IF(LEFT(E45,3)="T09",C45*Parâmetros!$D$13*Parâmetros!$C$13,0)</f>
        <v>0</v>
      </c>
    </row>
    <row r="46" customFormat="false" ht="15" hidden="false" customHeight="false" outlineLevel="0" collapsed="false">
      <c r="A46" s="138" t="str">
        <f aca="false">Estacas!A46</f>
        <v>44+0,00</v>
      </c>
      <c r="B46" s="138" t="str">
        <f aca="false">Estacas!A47</f>
        <v>45+0,00</v>
      </c>
      <c r="C46" s="144" t="n">
        <f aca="false">Estacas!C47-Estacas!C46</f>
        <v>20</v>
      </c>
      <c r="D46" s="138" t="s">
        <v>1565</v>
      </c>
      <c r="E46" s="138" t="s">
        <v>1566</v>
      </c>
      <c r="F46" s="141" t="n">
        <f aca="false">Estacas!F46</f>
        <v>11</v>
      </c>
      <c r="G46" s="141" t="n">
        <f aca="false">Estacas!F47</f>
        <v>11</v>
      </c>
      <c r="H46" s="141" t="n">
        <f aca="false">C46*(Estacas!K46+Estacas!K47)/2</f>
        <v>11.05</v>
      </c>
      <c r="I46" s="141" t="n">
        <f aca="false">H46*Parâmetros!$C$14</f>
        <v>26.52</v>
      </c>
      <c r="J46" s="141" t="n">
        <f aca="false">C46*(Estacas!L46+Estacas!L47)/2</f>
        <v>36.352</v>
      </c>
      <c r="K46" s="141" t="n">
        <f aca="false">C46*(Estacas!M46+Estacas!M47)/2</f>
        <v>47.68</v>
      </c>
      <c r="L46" s="141" t="n">
        <f aca="false">C46*(Estacas!N46+Estacas!N47)/2</f>
        <v>75.72</v>
      </c>
      <c r="M46" s="141" t="n">
        <f aca="false">C46*(Estacas!O46+Estacas!O47)/2</f>
        <v>224</v>
      </c>
      <c r="N46" s="141" t="n">
        <f aca="false">C46*(Estacas!O46+Estacas!O47)/2</f>
        <v>224</v>
      </c>
      <c r="O46" s="141" t="n">
        <f aca="false">C46*(Estacas!P46+Estacas!P47)/2</f>
        <v>258.4</v>
      </c>
      <c r="P46" s="141" t="n">
        <f aca="false">R46*Parâmetros!$C$11</f>
        <v>0</v>
      </c>
      <c r="Q46" s="141" t="n">
        <f aca="false">R46*Parâmetros!$C$12</f>
        <v>0</v>
      </c>
      <c r="R46" s="141" t="n">
        <f aca="false">C46*(Estacas!Q46+Estacas!Q47)/2</f>
        <v>0</v>
      </c>
      <c r="S46" s="141" t="n">
        <f aca="false">IF(LEFT(E46,3)="T09",C46*Parâmetros!$D$13*Parâmetros!$C$13,0)</f>
        <v>0</v>
      </c>
    </row>
    <row r="47" customFormat="false" ht="15" hidden="false" customHeight="false" outlineLevel="0" collapsed="false">
      <c r="A47" s="138" t="str">
        <f aca="false">Estacas!A47</f>
        <v>45+0,00</v>
      </c>
      <c r="B47" s="138" t="str">
        <f aca="false">Estacas!A48</f>
        <v>46+0,00</v>
      </c>
      <c r="C47" s="144" t="n">
        <f aca="false">Estacas!C48-Estacas!C47</f>
        <v>20</v>
      </c>
      <c r="D47" s="138" t="s">
        <v>1565</v>
      </c>
      <c r="E47" s="138" t="s">
        <v>1566</v>
      </c>
      <c r="F47" s="141" t="n">
        <f aca="false">Estacas!F47</f>
        <v>11</v>
      </c>
      <c r="G47" s="141" t="n">
        <f aca="false">Estacas!F48</f>
        <v>11</v>
      </c>
      <c r="H47" s="141" t="n">
        <f aca="false">C47*(Estacas!K47+Estacas!K48)/2</f>
        <v>11.05</v>
      </c>
      <c r="I47" s="141" t="n">
        <f aca="false">H47*Parâmetros!$C$14</f>
        <v>26.52</v>
      </c>
      <c r="J47" s="141" t="n">
        <f aca="false">C47*(Estacas!L47+Estacas!L48)/2</f>
        <v>36.352</v>
      </c>
      <c r="K47" s="141" t="n">
        <f aca="false">C47*(Estacas!M47+Estacas!M48)/2</f>
        <v>47.68</v>
      </c>
      <c r="L47" s="141" t="n">
        <f aca="false">C47*(Estacas!N47+Estacas!N48)/2</f>
        <v>75.72</v>
      </c>
      <c r="M47" s="141" t="n">
        <f aca="false">C47*(Estacas!O47+Estacas!O48)/2</f>
        <v>224</v>
      </c>
      <c r="N47" s="141" t="n">
        <f aca="false">C47*(Estacas!O47+Estacas!O48)/2</f>
        <v>224</v>
      </c>
      <c r="O47" s="141" t="n">
        <f aca="false">C47*(Estacas!P47+Estacas!P48)/2</f>
        <v>258.4</v>
      </c>
      <c r="P47" s="141" t="n">
        <f aca="false">R47*Parâmetros!$C$11</f>
        <v>0</v>
      </c>
      <c r="Q47" s="141" t="n">
        <f aca="false">R47*Parâmetros!$C$12</f>
        <v>0</v>
      </c>
      <c r="R47" s="141" t="n">
        <f aca="false">C47*(Estacas!Q47+Estacas!Q48)/2</f>
        <v>0</v>
      </c>
      <c r="S47" s="141" t="n">
        <f aca="false">IF(LEFT(E47,3)="T09",C47*Parâmetros!$D$13*Parâmetros!$C$13,0)</f>
        <v>0</v>
      </c>
    </row>
    <row r="48" customFormat="false" ht="15" hidden="false" customHeight="false" outlineLevel="0" collapsed="false">
      <c r="A48" s="138" t="str">
        <f aca="false">Estacas!A48</f>
        <v>46+0,00</v>
      </c>
      <c r="B48" s="138" t="str">
        <f aca="false">Estacas!A49</f>
        <v>47+0,00</v>
      </c>
      <c r="C48" s="144" t="n">
        <f aca="false">Estacas!C49-Estacas!C48</f>
        <v>20</v>
      </c>
      <c r="D48" s="138" t="s">
        <v>1565</v>
      </c>
      <c r="E48" s="138" t="s">
        <v>1566</v>
      </c>
      <c r="F48" s="141" t="n">
        <f aca="false">Estacas!F48</f>
        <v>11</v>
      </c>
      <c r="G48" s="141" t="n">
        <f aca="false">Estacas!F49</f>
        <v>11</v>
      </c>
      <c r="H48" s="141" t="n">
        <f aca="false">C48*(Estacas!K48+Estacas!K49)/2</f>
        <v>11.05</v>
      </c>
      <c r="I48" s="141" t="n">
        <f aca="false">H48*Parâmetros!$C$14</f>
        <v>26.52</v>
      </c>
      <c r="J48" s="141" t="n">
        <f aca="false">C48*(Estacas!L48+Estacas!L49)/2</f>
        <v>36.352</v>
      </c>
      <c r="K48" s="141" t="n">
        <f aca="false">C48*(Estacas!M48+Estacas!M49)/2</f>
        <v>47.68</v>
      </c>
      <c r="L48" s="141" t="n">
        <f aca="false">C48*(Estacas!N48+Estacas!N49)/2</f>
        <v>75.72</v>
      </c>
      <c r="M48" s="141" t="n">
        <f aca="false">C48*(Estacas!O48+Estacas!O49)/2</f>
        <v>224</v>
      </c>
      <c r="N48" s="141" t="n">
        <f aca="false">C48*(Estacas!O48+Estacas!O49)/2</f>
        <v>224</v>
      </c>
      <c r="O48" s="141" t="n">
        <f aca="false">C48*(Estacas!P48+Estacas!P49)/2</f>
        <v>258.4</v>
      </c>
      <c r="P48" s="141" t="n">
        <f aca="false">R48*Parâmetros!$C$11</f>
        <v>0</v>
      </c>
      <c r="Q48" s="141" t="n">
        <f aca="false">R48*Parâmetros!$C$12</f>
        <v>0</v>
      </c>
      <c r="R48" s="141" t="n">
        <f aca="false">C48*(Estacas!Q48+Estacas!Q49)/2</f>
        <v>0</v>
      </c>
      <c r="S48" s="141" t="n">
        <f aca="false">IF(LEFT(E48,3)="T09",C48*Parâmetros!$D$13*Parâmetros!$C$13,0)</f>
        <v>0</v>
      </c>
    </row>
    <row r="49" customFormat="false" ht="15" hidden="false" customHeight="false" outlineLevel="0" collapsed="false">
      <c r="A49" s="138" t="str">
        <f aca="false">Estacas!A49</f>
        <v>47+0,00</v>
      </c>
      <c r="B49" s="138" t="str">
        <f aca="false">Estacas!A50</f>
        <v>48+0,00</v>
      </c>
      <c r="C49" s="144" t="n">
        <f aca="false">Estacas!C50-Estacas!C49</f>
        <v>20</v>
      </c>
      <c r="D49" s="138" t="s">
        <v>1565</v>
      </c>
      <c r="E49" s="138" t="s">
        <v>1566</v>
      </c>
      <c r="F49" s="141" t="n">
        <f aca="false">Estacas!F49</f>
        <v>11</v>
      </c>
      <c r="G49" s="141" t="n">
        <f aca="false">Estacas!F50</f>
        <v>11</v>
      </c>
      <c r="H49" s="141" t="n">
        <f aca="false">C49*(Estacas!K49+Estacas!K50)/2</f>
        <v>11.05</v>
      </c>
      <c r="I49" s="141" t="n">
        <f aca="false">H49*Parâmetros!$C$14</f>
        <v>26.52</v>
      </c>
      <c r="J49" s="141" t="n">
        <f aca="false">C49*(Estacas!L49+Estacas!L50)/2</f>
        <v>36.352</v>
      </c>
      <c r="K49" s="141" t="n">
        <f aca="false">C49*(Estacas!M49+Estacas!M50)/2</f>
        <v>47.68</v>
      </c>
      <c r="L49" s="141" t="n">
        <f aca="false">C49*(Estacas!N49+Estacas!N50)/2</f>
        <v>75.72</v>
      </c>
      <c r="M49" s="141" t="n">
        <f aca="false">C49*(Estacas!O49+Estacas!O50)/2</f>
        <v>224</v>
      </c>
      <c r="N49" s="141" t="n">
        <f aca="false">C49*(Estacas!O49+Estacas!O50)/2</f>
        <v>224</v>
      </c>
      <c r="O49" s="141" t="n">
        <f aca="false">C49*(Estacas!P49+Estacas!P50)/2</f>
        <v>258.4</v>
      </c>
      <c r="P49" s="141" t="n">
        <f aca="false">R49*Parâmetros!$C$11</f>
        <v>0</v>
      </c>
      <c r="Q49" s="141" t="n">
        <f aca="false">R49*Parâmetros!$C$12</f>
        <v>0</v>
      </c>
      <c r="R49" s="141" t="n">
        <f aca="false">C49*(Estacas!Q49+Estacas!Q50)/2</f>
        <v>0</v>
      </c>
      <c r="S49" s="141" t="n">
        <f aca="false">IF(LEFT(E49,3)="T09",C49*Parâmetros!$D$13*Parâmetros!$C$13,0)</f>
        <v>0</v>
      </c>
    </row>
    <row r="50" customFormat="false" ht="15" hidden="false" customHeight="false" outlineLevel="0" collapsed="false">
      <c r="A50" s="138" t="str">
        <f aca="false">Estacas!A50</f>
        <v>48+0,00</v>
      </c>
      <c r="B50" s="138" t="str">
        <f aca="false">Estacas!A51</f>
        <v>49+0,00</v>
      </c>
      <c r="C50" s="144" t="n">
        <f aca="false">Estacas!C51-Estacas!C50</f>
        <v>20</v>
      </c>
      <c r="D50" s="138" t="s">
        <v>1565</v>
      </c>
      <c r="E50" s="138" t="s">
        <v>1566</v>
      </c>
      <c r="F50" s="141" t="n">
        <f aca="false">Estacas!F50</f>
        <v>11</v>
      </c>
      <c r="G50" s="141" t="n">
        <f aca="false">Estacas!F51</f>
        <v>11</v>
      </c>
      <c r="H50" s="141" t="n">
        <f aca="false">C50*(Estacas!K50+Estacas!K51)/2</f>
        <v>11.05</v>
      </c>
      <c r="I50" s="141" t="n">
        <f aca="false">H50*Parâmetros!$C$14</f>
        <v>26.52</v>
      </c>
      <c r="J50" s="141" t="n">
        <f aca="false">C50*(Estacas!L50+Estacas!L51)/2</f>
        <v>36.352</v>
      </c>
      <c r="K50" s="141" t="n">
        <f aca="false">C50*(Estacas!M50+Estacas!M51)/2</f>
        <v>47.68</v>
      </c>
      <c r="L50" s="141" t="n">
        <f aca="false">C50*(Estacas!N50+Estacas!N51)/2</f>
        <v>75.72</v>
      </c>
      <c r="M50" s="141" t="n">
        <f aca="false">C50*(Estacas!O50+Estacas!O51)/2</f>
        <v>224</v>
      </c>
      <c r="N50" s="141" t="n">
        <f aca="false">C50*(Estacas!O50+Estacas!O51)/2</f>
        <v>224</v>
      </c>
      <c r="O50" s="141" t="n">
        <f aca="false">C50*(Estacas!P50+Estacas!P51)/2</f>
        <v>258.4</v>
      </c>
      <c r="P50" s="141" t="n">
        <f aca="false">R50*Parâmetros!$C$11</f>
        <v>0</v>
      </c>
      <c r="Q50" s="141" t="n">
        <f aca="false">R50*Parâmetros!$C$12</f>
        <v>0</v>
      </c>
      <c r="R50" s="141" t="n">
        <f aca="false">C50*(Estacas!Q50+Estacas!Q51)/2</f>
        <v>0</v>
      </c>
      <c r="S50" s="141" t="n">
        <f aca="false">IF(LEFT(E50,3)="T09",C50*Parâmetros!$D$13*Parâmetros!$C$13,0)</f>
        <v>0</v>
      </c>
    </row>
    <row r="51" customFormat="false" ht="15" hidden="false" customHeight="false" outlineLevel="0" collapsed="false">
      <c r="A51" s="138" t="str">
        <f aca="false">Estacas!A51</f>
        <v>49+0,00</v>
      </c>
      <c r="B51" s="138" t="str">
        <f aca="false">Estacas!A52</f>
        <v>50+0,00</v>
      </c>
      <c r="C51" s="144" t="n">
        <f aca="false">Estacas!C52-Estacas!C51</f>
        <v>20</v>
      </c>
      <c r="D51" s="138" t="s">
        <v>1565</v>
      </c>
      <c r="E51" s="138" t="s">
        <v>1566</v>
      </c>
      <c r="F51" s="141" t="n">
        <f aca="false">Estacas!F51</f>
        <v>11</v>
      </c>
      <c r="G51" s="141" t="n">
        <f aca="false">Estacas!F52</f>
        <v>12.9</v>
      </c>
      <c r="H51" s="141" t="n">
        <f aca="false">C51*(Estacas!K51+Estacas!K52)/2</f>
        <v>12</v>
      </c>
      <c r="I51" s="141" t="n">
        <f aca="false">H51*Parâmetros!$C$14</f>
        <v>28.8</v>
      </c>
      <c r="J51" s="141" t="n">
        <f aca="false">C51*(Estacas!L51+Estacas!L52)/2</f>
        <v>39.392</v>
      </c>
      <c r="K51" s="141" t="n">
        <f aca="false">C51*(Estacas!M51+Estacas!M52)/2</f>
        <v>51.48</v>
      </c>
      <c r="L51" s="141" t="n">
        <f aca="false">C51*(Estacas!N51+Estacas!N52)/2</f>
        <v>81.42</v>
      </c>
      <c r="M51" s="141" t="n">
        <f aca="false">C51*(Estacas!O51+Estacas!O52)/2</f>
        <v>243</v>
      </c>
      <c r="N51" s="141" t="n">
        <f aca="false">C51*(Estacas!O51+Estacas!O52)/2</f>
        <v>243</v>
      </c>
      <c r="O51" s="141" t="n">
        <f aca="false">C51*(Estacas!P51+Estacas!P52)/2</f>
        <v>277.4</v>
      </c>
      <c r="P51" s="141" t="n">
        <f aca="false">R51*Parâmetros!$C$11</f>
        <v>0</v>
      </c>
      <c r="Q51" s="141" t="n">
        <f aca="false">R51*Parâmetros!$C$12</f>
        <v>0</v>
      </c>
      <c r="R51" s="141" t="n">
        <f aca="false">C51*(Estacas!Q51+Estacas!Q52)/2</f>
        <v>0</v>
      </c>
      <c r="S51" s="141" t="n">
        <f aca="false">IF(LEFT(E51,3)="T09",C51*Parâmetros!$D$13*Parâmetros!$C$13,0)</f>
        <v>0</v>
      </c>
    </row>
    <row r="52" customFormat="false" ht="15" hidden="false" customHeight="false" outlineLevel="0" collapsed="false">
      <c r="A52" s="138" t="str">
        <f aca="false">Estacas!A52</f>
        <v>50+0,00</v>
      </c>
      <c r="B52" s="138" t="str">
        <f aca="false">Estacas!A53</f>
        <v>51+0,00</v>
      </c>
      <c r="C52" s="144" t="n">
        <f aca="false">Estacas!C53-Estacas!C52</f>
        <v>20</v>
      </c>
      <c r="D52" s="138" t="s">
        <v>1565</v>
      </c>
      <c r="E52" s="138" t="s">
        <v>1566</v>
      </c>
      <c r="F52" s="141" t="n">
        <f aca="false">Estacas!F52</f>
        <v>12.9</v>
      </c>
      <c r="G52" s="141" t="n">
        <f aca="false">Estacas!F53</f>
        <v>11</v>
      </c>
      <c r="H52" s="141" t="n">
        <f aca="false">C52*(Estacas!K52+Estacas!K53)/2</f>
        <v>12</v>
      </c>
      <c r="I52" s="141" t="n">
        <f aca="false">H52*Parâmetros!$C$14</f>
        <v>28.8</v>
      </c>
      <c r="J52" s="141" t="n">
        <f aca="false">C52*(Estacas!L52+Estacas!L53)/2</f>
        <v>39.392</v>
      </c>
      <c r="K52" s="141" t="n">
        <f aca="false">C52*(Estacas!M52+Estacas!M53)/2</f>
        <v>51.48</v>
      </c>
      <c r="L52" s="141" t="n">
        <f aca="false">C52*(Estacas!N52+Estacas!N53)/2</f>
        <v>81.42</v>
      </c>
      <c r="M52" s="141" t="n">
        <f aca="false">C52*(Estacas!O52+Estacas!O53)/2</f>
        <v>243</v>
      </c>
      <c r="N52" s="141" t="n">
        <f aca="false">C52*(Estacas!O52+Estacas!O53)/2</f>
        <v>243</v>
      </c>
      <c r="O52" s="141" t="n">
        <f aca="false">C52*(Estacas!P52+Estacas!P53)/2</f>
        <v>277.4</v>
      </c>
      <c r="P52" s="141" t="n">
        <f aca="false">R52*Parâmetros!$C$11</f>
        <v>0</v>
      </c>
      <c r="Q52" s="141" t="n">
        <f aca="false">R52*Parâmetros!$C$12</f>
        <v>0</v>
      </c>
      <c r="R52" s="141" t="n">
        <f aca="false">C52*(Estacas!Q52+Estacas!Q53)/2</f>
        <v>0</v>
      </c>
      <c r="S52" s="141" t="n">
        <f aca="false">IF(LEFT(E52,3)="T09",C52*Parâmetros!$D$13*Parâmetros!$C$13,0)</f>
        <v>0</v>
      </c>
    </row>
    <row r="53" customFormat="false" ht="15" hidden="false" customHeight="false" outlineLevel="0" collapsed="false">
      <c r="A53" s="138" t="str">
        <f aca="false">Estacas!A53</f>
        <v>51+0,00</v>
      </c>
      <c r="B53" s="138" t="str">
        <f aca="false">Estacas!A54</f>
        <v>52+0,00</v>
      </c>
      <c r="C53" s="144" t="n">
        <f aca="false">Estacas!C54-Estacas!C53</f>
        <v>20</v>
      </c>
      <c r="D53" s="138" t="s">
        <v>1565</v>
      </c>
      <c r="E53" s="138" t="s">
        <v>1566</v>
      </c>
      <c r="F53" s="141" t="n">
        <f aca="false">Estacas!F53</f>
        <v>11</v>
      </c>
      <c r="G53" s="141" t="n">
        <f aca="false">Estacas!F54</f>
        <v>11</v>
      </c>
      <c r="H53" s="141" t="n">
        <f aca="false">C53*(Estacas!K53+Estacas!K54)/2</f>
        <v>11.05</v>
      </c>
      <c r="I53" s="141" t="n">
        <f aca="false">H53*Parâmetros!$C$14</f>
        <v>26.52</v>
      </c>
      <c r="J53" s="141" t="n">
        <f aca="false">C53*(Estacas!L53+Estacas!L54)/2</f>
        <v>36.352</v>
      </c>
      <c r="K53" s="141" t="n">
        <f aca="false">C53*(Estacas!M53+Estacas!M54)/2</f>
        <v>47.68</v>
      </c>
      <c r="L53" s="141" t="n">
        <f aca="false">C53*(Estacas!N53+Estacas!N54)/2</f>
        <v>75.72</v>
      </c>
      <c r="M53" s="141" t="n">
        <f aca="false">C53*(Estacas!O53+Estacas!O54)/2</f>
        <v>224</v>
      </c>
      <c r="N53" s="141" t="n">
        <f aca="false">C53*(Estacas!O53+Estacas!O54)/2</f>
        <v>224</v>
      </c>
      <c r="O53" s="141" t="n">
        <f aca="false">C53*(Estacas!P53+Estacas!P54)/2</f>
        <v>258.4</v>
      </c>
      <c r="P53" s="141" t="n">
        <f aca="false">R53*Parâmetros!$C$11</f>
        <v>0</v>
      </c>
      <c r="Q53" s="141" t="n">
        <f aca="false">R53*Parâmetros!$C$12</f>
        <v>0</v>
      </c>
      <c r="R53" s="141" t="n">
        <f aca="false">C53*(Estacas!Q53+Estacas!Q54)/2</f>
        <v>0</v>
      </c>
      <c r="S53" s="141" t="n">
        <f aca="false">IF(LEFT(E53,3)="T09",C53*Parâmetros!$D$13*Parâmetros!$C$13,0)</f>
        <v>0</v>
      </c>
    </row>
    <row r="54" customFormat="false" ht="15" hidden="false" customHeight="false" outlineLevel="0" collapsed="false">
      <c r="A54" s="138" t="str">
        <f aca="false">Estacas!A54</f>
        <v>52+0,00</v>
      </c>
      <c r="B54" s="138" t="str">
        <f aca="false">Estacas!A55</f>
        <v>53+0,00</v>
      </c>
      <c r="C54" s="144" t="n">
        <f aca="false">Estacas!C55-Estacas!C54</f>
        <v>20</v>
      </c>
      <c r="D54" s="138" t="s">
        <v>1565</v>
      </c>
      <c r="E54" s="138" t="s">
        <v>1566</v>
      </c>
      <c r="F54" s="141" t="n">
        <f aca="false">Estacas!F54</f>
        <v>11</v>
      </c>
      <c r="G54" s="141" t="n">
        <f aca="false">Estacas!F55</f>
        <v>11</v>
      </c>
      <c r="H54" s="141" t="n">
        <f aca="false">C54*(Estacas!K54+Estacas!K55)/2</f>
        <v>11.05</v>
      </c>
      <c r="I54" s="141" t="n">
        <f aca="false">H54*Parâmetros!$C$14</f>
        <v>26.52</v>
      </c>
      <c r="J54" s="141" t="n">
        <f aca="false">C54*(Estacas!L54+Estacas!L55)/2</f>
        <v>36.352</v>
      </c>
      <c r="K54" s="141" t="n">
        <f aca="false">C54*(Estacas!M54+Estacas!M55)/2</f>
        <v>47.68</v>
      </c>
      <c r="L54" s="141" t="n">
        <f aca="false">C54*(Estacas!N54+Estacas!N55)/2</f>
        <v>75.72</v>
      </c>
      <c r="M54" s="141" t="n">
        <f aca="false">C54*(Estacas!O54+Estacas!O55)/2</f>
        <v>224</v>
      </c>
      <c r="N54" s="141" t="n">
        <f aca="false">C54*(Estacas!O54+Estacas!O55)/2</f>
        <v>224</v>
      </c>
      <c r="O54" s="141" t="n">
        <f aca="false">C54*(Estacas!P54+Estacas!P55)/2</f>
        <v>258.4</v>
      </c>
      <c r="P54" s="141" t="n">
        <f aca="false">R54*Parâmetros!$C$11</f>
        <v>0</v>
      </c>
      <c r="Q54" s="141" t="n">
        <f aca="false">R54*Parâmetros!$C$12</f>
        <v>0</v>
      </c>
      <c r="R54" s="141" t="n">
        <f aca="false">C54*(Estacas!Q54+Estacas!Q55)/2</f>
        <v>0</v>
      </c>
      <c r="S54" s="141" t="n">
        <f aca="false">IF(LEFT(E54,3)="T09",C54*Parâmetros!$D$13*Parâmetros!$C$13,0)</f>
        <v>0</v>
      </c>
    </row>
    <row r="55" customFormat="false" ht="15" hidden="false" customHeight="false" outlineLevel="0" collapsed="false">
      <c r="A55" s="138" t="str">
        <f aca="false">Estacas!A55</f>
        <v>53+0,00</v>
      </c>
      <c r="B55" s="138" t="str">
        <f aca="false">Estacas!A56</f>
        <v>54+0,00</v>
      </c>
      <c r="C55" s="144" t="n">
        <f aca="false">Estacas!C56-Estacas!C55</f>
        <v>20</v>
      </c>
      <c r="D55" s="138" t="s">
        <v>1565</v>
      </c>
      <c r="E55" s="138" t="s">
        <v>1566</v>
      </c>
      <c r="F55" s="141" t="n">
        <f aca="false">Estacas!F55</f>
        <v>11</v>
      </c>
      <c r="G55" s="141" t="n">
        <f aca="false">Estacas!F56</f>
        <v>11</v>
      </c>
      <c r="H55" s="141" t="n">
        <f aca="false">C55*(Estacas!K55+Estacas!K56)/2</f>
        <v>11.05</v>
      </c>
      <c r="I55" s="141" t="n">
        <f aca="false">H55*Parâmetros!$C$14</f>
        <v>26.52</v>
      </c>
      <c r="J55" s="141" t="n">
        <f aca="false">C55*(Estacas!L55+Estacas!L56)/2</f>
        <v>36.352</v>
      </c>
      <c r="K55" s="141" t="n">
        <f aca="false">C55*(Estacas!M55+Estacas!M56)/2</f>
        <v>47.68</v>
      </c>
      <c r="L55" s="141" t="n">
        <f aca="false">C55*(Estacas!N55+Estacas!N56)/2</f>
        <v>75.72</v>
      </c>
      <c r="M55" s="141" t="n">
        <f aca="false">C55*(Estacas!O55+Estacas!O56)/2</f>
        <v>224</v>
      </c>
      <c r="N55" s="141" t="n">
        <f aca="false">C55*(Estacas!O55+Estacas!O56)/2</f>
        <v>224</v>
      </c>
      <c r="O55" s="141" t="n">
        <f aca="false">C55*(Estacas!P55+Estacas!P56)/2</f>
        <v>258.4</v>
      </c>
      <c r="P55" s="141" t="n">
        <f aca="false">R55*Parâmetros!$C$11</f>
        <v>0</v>
      </c>
      <c r="Q55" s="141" t="n">
        <f aca="false">R55*Parâmetros!$C$12</f>
        <v>0</v>
      </c>
      <c r="R55" s="141" t="n">
        <f aca="false">C55*(Estacas!Q55+Estacas!Q56)/2</f>
        <v>0</v>
      </c>
      <c r="S55" s="141" t="n">
        <f aca="false">IF(LEFT(E55,3)="T09",C55*Parâmetros!$D$13*Parâmetros!$C$13,0)</f>
        <v>0</v>
      </c>
    </row>
    <row r="56" customFormat="false" ht="15" hidden="false" customHeight="false" outlineLevel="0" collapsed="false">
      <c r="A56" s="138" t="str">
        <f aca="false">Estacas!A56</f>
        <v>54+0,00</v>
      </c>
      <c r="B56" s="138" t="str">
        <f aca="false">Estacas!A57</f>
        <v>55+0,00</v>
      </c>
      <c r="C56" s="144" t="n">
        <f aca="false">Estacas!C57-Estacas!C56</f>
        <v>20</v>
      </c>
      <c r="D56" s="138" t="s">
        <v>1565</v>
      </c>
      <c r="E56" s="138" t="s">
        <v>1566</v>
      </c>
      <c r="F56" s="141" t="n">
        <f aca="false">Estacas!F56</f>
        <v>11</v>
      </c>
      <c r="G56" s="141" t="n">
        <f aca="false">Estacas!F57</f>
        <v>11</v>
      </c>
      <c r="H56" s="141" t="n">
        <f aca="false">C56*(Estacas!K56+Estacas!K57)/2</f>
        <v>11.05</v>
      </c>
      <c r="I56" s="141" t="n">
        <f aca="false">H56*Parâmetros!$C$14</f>
        <v>26.52</v>
      </c>
      <c r="J56" s="141" t="n">
        <f aca="false">C56*(Estacas!L56+Estacas!L57)/2</f>
        <v>36.352</v>
      </c>
      <c r="K56" s="141" t="n">
        <f aca="false">C56*(Estacas!M56+Estacas!M57)/2</f>
        <v>47.68</v>
      </c>
      <c r="L56" s="141" t="n">
        <f aca="false">C56*(Estacas!N56+Estacas!N57)/2</f>
        <v>75.72</v>
      </c>
      <c r="M56" s="141" t="n">
        <f aca="false">C56*(Estacas!O56+Estacas!O57)/2</f>
        <v>224</v>
      </c>
      <c r="N56" s="141" t="n">
        <f aca="false">C56*(Estacas!O56+Estacas!O57)/2</f>
        <v>224</v>
      </c>
      <c r="O56" s="141" t="n">
        <f aca="false">C56*(Estacas!P56+Estacas!P57)/2</f>
        <v>258.4</v>
      </c>
      <c r="P56" s="141" t="n">
        <f aca="false">R56*Parâmetros!$C$11</f>
        <v>0</v>
      </c>
      <c r="Q56" s="141" t="n">
        <f aca="false">R56*Parâmetros!$C$12</f>
        <v>0</v>
      </c>
      <c r="R56" s="141" t="n">
        <f aca="false">C56*(Estacas!Q56+Estacas!Q57)/2</f>
        <v>0</v>
      </c>
      <c r="S56" s="141" t="n">
        <f aca="false">IF(LEFT(E56,3)="T09",C56*Parâmetros!$D$13*Parâmetros!$C$13,0)</f>
        <v>0</v>
      </c>
    </row>
    <row r="57" customFormat="false" ht="15" hidden="false" customHeight="false" outlineLevel="0" collapsed="false">
      <c r="A57" s="138" t="str">
        <f aca="false">Estacas!A57</f>
        <v>55+0,00</v>
      </c>
      <c r="B57" s="138" t="str">
        <f aca="false">Estacas!A58</f>
        <v>56+0,00</v>
      </c>
      <c r="C57" s="144" t="n">
        <f aca="false">Estacas!C58-Estacas!C57</f>
        <v>20</v>
      </c>
      <c r="D57" s="138" t="s">
        <v>1565</v>
      </c>
      <c r="E57" s="138" t="s">
        <v>1566</v>
      </c>
      <c r="F57" s="141" t="n">
        <f aca="false">Estacas!F57</f>
        <v>11</v>
      </c>
      <c r="G57" s="141" t="n">
        <f aca="false">Estacas!F58</f>
        <v>11</v>
      </c>
      <c r="H57" s="141" t="n">
        <f aca="false">C57*(Estacas!K57+Estacas!K58)/2</f>
        <v>11.05</v>
      </c>
      <c r="I57" s="141" t="n">
        <f aca="false">H57*Parâmetros!$C$14</f>
        <v>26.52</v>
      </c>
      <c r="J57" s="141" t="n">
        <f aca="false">C57*(Estacas!L57+Estacas!L58)/2</f>
        <v>36.352</v>
      </c>
      <c r="K57" s="141" t="n">
        <f aca="false">C57*(Estacas!M57+Estacas!M58)/2</f>
        <v>47.68</v>
      </c>
      <c r="L57" s="141" t="n">
        <f aca="false">C57*(Estacas!N57+Estacas!N58)/2</f>
        <v>75.72</v>
      </c>
      <c r="M57" s="141" t="n">
        <f aca="false">C57*(Estacas!O57+Estacas!O58)/2</f>
        <v>224</v>
      </c>
      <c r="N57" s="141" t="n">
        <f aca="false">C57*(Estacas!O57+Estacas!O58)/2</f>
        <v>224</v>
      </c>
      <c r="O57" s="141" t="n">
        <f aca="false">C57*(Estacas!P57+Estacas!P58)/2</f>
        <v>258.4</v>
      </c>
      <c r="P57" s="141" t="n">
        <f aca="false">R57*Parâmetros!$C$11</f>
        <v>0</v>
      </c>
      <c r="Q57" s="141" t="n">
        <f aca="false">R57*Parâmetros!$C$12</f>
        <v>0</v>
      </c>
      <c r="R57" s="141" t="n">
        <f aca="false">C57*(Estacas!Q57+Estacas!Q58)/2</f>
        <v>0</v>
      </c>
      <c r="S57" s="141" t="n">
        <f aca="false">IF(LEFT(E57,3)="T09",C57*Parâmetros!$D$13*Parâmetros!$C$13,0)</f>
        <v>0</v>
      </c>
    </row>
    <row r="58" customFormat="false" ht="15" hidden="false" customHeight="false" outlineLevel="0" collapsed="false">
      <c r="A58" s="138" t="str">
        <f aca="false">Estacas!A58</f>
        <v>56+0,00</v>
      </c>
      <c r="B58" s="138" t="str">
        <f aca="false">Estacas!A59</f>
        <v>57+0,00</v>
      </c>
      <c r="C58" s="144" t="n">
        <f aca="false">Estacas!C59-Estacas!C58</f>
        <v>20</v>
      </c>
      <c r="D58" s="138" t="s">
        <v>1565</v>
      </c>
      <c r="E58" s="138" t="s">
        <v>1566</v>
      </c>
      <c r="F58" s="141" t="n">
        <f aca="false">Estacas!F58</f>
        <v>11</v>
      </c>
      <c r="G58" s="141" t="n">
        <f aca="false">Estacas!F59</f>
        <v>11</v>
      </c>
      <c r="H58" s="141" t="n">
        <f aca="false">C58*(Estacas!K58+Estacas!K59)/2</f>
        <v>11.05</v>
      </c>
      <c r="I58" s="141" t="n">
        <f aca="false">H58*Parâmetros!$C$14</f>
        <v>26.52</v>
      </c>
      <c r="J58" s="141" t="n">
        <f aca="false">C58*(Estacas!L58+Estacas!L59)/2</f>
        <v>36.352</v>
      </c>
      <c r="K58" s="141" t="n">
        <f aca="false">C58*(Estacas!M58+Estacas!M59)/2</f>
        <v>47.68</v>
      </c>
      <c r="L58" s="141" t="n">
        <f aca="false">C58*(Estacas!N58+Estacas!N59)/2</f>
        <v>75.72</v>
      </c>
      <c r="M58" s="141" t="n">
        <f aca="false">C58*(Estacas!O58+Estacas!O59)/2</f>
        <v>224</v>
      </c>
      <c r="N58" s="141" t="n">
        <f aca="false">C58*(Estacas!O58+Estacas!O59)/2</f>
        <v>224</v>
      </c>
      <c r="O58" s="141" t="n">
        <f aca="false">C58*(Estacas!P58+Estacas!P59)/2</f>
        <v>258.4</v>
      </c>
      <c r="P58" s="141" t="n">
        <f aca="false">R58*Parâmetros!$C$11</f>
        <v>0</v>
      </c>
      <c r="Q58" s="141" t="n">
        <f aca="false">R58*Parâmetros!$C$12</f>
        <v>0</v>
      </c>
      <c r="R58" s="141" t="n">
        <f aca="false">C58*(Estacas!Q58+Estacas!Q59)/2</f>
        <v>0</v>
      </c>
      <c r="S58" s="141" t="n">
        <f aca="false">IF(LEFT(E58,3)="T09",C58*Parâmetros!$D$13*Parâmetros!$C$13,0)</f>
        <v>0</v>
      </c>
    </row>
    <row r="59" customFormat="false" ht="15" hidden="false" customHeight="false" outlineLevel="0" collapsed="false">
      <c r="A59" s="138" t="str">
        <f aca="false">Estacas!A59</f>
        <v>57+0,00</v>
      </c>
      <c r="B59" s="138" t="str">
        <f aca="false">Estacas!A60</f>
        <v>58+0,00</v>
      </c>
      <c r="C59" s="144" t="n">
        <f aca="false">Estacas!C60-Estacas!C59</f>
        <v>20</v>
      </c>
      <c r="D59" s="138" t="s">
        <v>1565</v>
      </c>
      <c r="E59" s="138" t="s">
        <v>1566</v>
      </c>
      <c r="F59" s="141" t="n">
        <f aca="false">Estacas!F59</f>
        <v>11</v>
      </c>
      <c r="G59" s="141" t="n">
        <f aca="false">Estacas!F60</f>
        <v>11</v>
      </c>
      <c r="H59" s="141" t="n">
        <f aca="false">C59*(Estacas!K59+Estacas!K60)/2</f>
        <v>11.05</v>
      </c>
      <c r="I59" s="141" t="n">
        <f aca="false">H59*Parâmetros!$C$14</f>
        <v>26.52</v>
      </c>
      <c r="J59" s="141" t="n">
        <f aca="false">C59*(Estacas!L59+Estacas!L60)/2</f>
        <v>36.352</v>
      </c>
      <c r="K59" s="141" t="n">
        <f aca="false">C59*(Estacas!M59+Estacas!M60)/2</f>
        <v>47.68</v>
      </c>
      <c r="L59" s="141" t="n">
        <f aca="false">C59*(Estacas!N59+Estacas!N60)/2</f>
        <v>75.72</v>
      </c>
      <c r="M59" s="141" t="n">
        <f aca="false">C59*(Estacas!O59+Estacas!O60)/2</f>
        <v>224</v>
      </c>
      <c r="N59" s="141" t="n">
        <f aca="false">C59*(Estacas!O59+Estacas!O60)/2</f>
        <v>224</v>
      </c>
      <c r="O59" s="141" t="n">
        <f aca="false">C59*(Estacas!P59+Estacas!P60)/2</f>
        <v>258.4</v>
      </c>
      <c r="P59" s="141" t="n">
        <f aca="false">R59*Parâmetros!$C$11</f>
        <v>0</v>
      </c>
      <c r="Q59" s="141" t="n">
        <f aca="false">R59*Parâmetros!$C$12</f>
        <v>0</v>
      </c>
      <c r="R59" s="141" t="n">
        <f aca="false">C59*(Estacas!Q59+Estacas!Q60)/2</f>
        <v>0</v>
      </c>
      <c r="S59" s="141" t="n">
        <f aca="false">IF(LEFT(E59,3)="T09",C59*Parâmetros!$D$13*Parâmetros!$C$13,0)</f>
        <v>0</v>
      </c>
    </row>
    <row r="60" customFormat="false" ht="15" hidden="false" customHeight="false" outlineLevel="0" collapsed="false">
      <c r="A60" s="138" t="str">
        <f aca="false">Estacas!A60</f>
        <v>58+0,00</v>
      </c>
      <c r="B60" s="138" t="str">
        <f aca="false">Estacas!A61</f>
        <v>59+0,00</v>
      </c>
      <c r="C60" s="144" t="n">
        <f aca="false">Estacas!C61-Estacas!C60</f>
        <v>20</v>
      </c>
      <c r="D60" s="138" t="s">
        <v>1565</v>
      </c>
      <c r="E60" s="138" t="s">
        <v>1566</v>
      </c>
      <c r="F60" s="141" t="n">
        <f aca="false">Estacas!F60</f>
        <v>11</v>
      </c>
      <c r="G60" s="141" t="n">
        <f aca="false">Estacas!F61</f>
        <v>11</v>
      </c>
      <c r="H60" s="141" t="n">
        <f aca="false">C60*(Estacas!K60+Estacas!K61)/2</f>
        <v>11.05</v>
      </c>
      <c r="I60" s="141" t="n">
        <f aca="false">H60*Parâmetros!$C$14</f>
        <v>26.52</v>
      </c>
      <c r="J60" s="141" t="n">
        <f aca="false">C60*(Estacas!L60+Estacas!L61)/2</f>
        <v>36.352</v>
      </c>
      <c r="K60" s="141" t="n">
        <f aca="false">C60*(Estacas!M60+Estacas!M61)/2</f>
        <v>47.68</v>
      </c>
      <c r="L60" s="141" t="n">
        <f aca="false">C60*(Estacas!N60+Estacas!N61)/2</f>
        <v>75.72</v>
      </c>
      <c r="M60" s="141" t="n">
        <f aca="false">C60*(Estacas!O60+Estacas!O61)/2</f>
        <v>224</v>
      </c>
      <c r="N60" s="141" t="n">
        <f aca="false">C60*(Estacas!O60+Estacas!O61)/2</f>
        <v>224</v>
      </c>
      <c r="O60" s="141" t="n">
        <f aca="false">C60*(Estacas!P60+Estacas!P61)/2</f>
        <v>258.4</v>
      </c>
      <c r="P60" s="141" t="n">
        <f aca="false">R60*Parâmetros!$C$11</f>
        <v>0</v>
      </c>
      <c r="Q60" s="141" t="n">
        <f aca="false">R60*Parâmetros!$C$12</f>
        <v>0</v>
      </c>
      <c r="R60" s="141" t="n">
        <f aca="false">C60*(Estacas!Q60+Estacas!Q61)/2</f>
        <v>0</v>
      </c>
      <c r="S60" s="141" t="n">
        <f aca="false">IF(LEFT(E60,3)="T09",C60*Parâmetros!$D$13*Parâmetros!$C$13,0)</f>
        <v>0</v>
      </c>
    </row>
    <row r="61" customFormat="false" ht="15" hidden="false" customHeight="false" outlineLevel="0" collapsed="false">
      <c r="A61" s="138" t="str">
        <f aca="false">Estacas!A61</f>
        <v>59+0,00</v>
      </c>
      <c r="B61" s="138" t="str">
        <f aca="false">Estacas!A62</f>
        <v>60+0,00</v>
      </c>
      <c r="C61" s="144" t="n">
        <f aca="false">Estacas!C62-Estacas!C61</f>
        <v>20</v>
      </c>
      <c r="D61" s="138" t="s">
        <v>1565</v>
      </c>
      <c r="E61" s="138" t="s">
        <v>1566</v>
      </c>
      <c r="F61" s="141" t="n">
        <f aca="false">Estacas!F61</f>
        <v>11</v>
      </c>
      <c r="G61" s="141" t="n">
        <f aca="false">Estacas!F62</f>
        <v>11</v>
      </c>
      <c r="H61" s="141" t="n">
        <f aca="false">C61*(Estacas!K61+Estacas!K62)/2</f>
        <v>11.05</v>
      </c>
      <c r="I61" s="141" t="n">
        <f aca="false">H61*Parâmetros!$C$14</f>
        <v>26.52</v>
      </c>
      <c r="J61" s="141" t="n">
        <f aca="false">C61*(Estacas!L61+Estacas!L62)/2</f>
        <v>36.352</v>
      </c>
      <c r="K61" s="141" t="n">
        <f aca="false">C61*(Estacas!M61+Estacas!M62)/2</f>
        <v>47.68</v>
      </c>
      <c r="L61" s="141" t="n">
        <f aca="false">C61*(Estacas!N61+Estacas!N62)/2</f>
        <v>75.72</v>
      </c>
      <c r="M61" s="141" t="n">
        <f aca="false">C61*(Estacas!O61+Estacas!O62)/2</f>
        <v>224</v>
      </c>
      <c r="N61" s="141" t="n">
        <f aca="false">C61*(Estacas!O61+Estacas!O62)/2</f>
        <v>224</v>
      </c>
      <c r="O61" s="141" t="n">
        <f aca="false">C61*(Estacas!P61+Estacas!P62)/2</f>
        <v>258.4</v>
      </c>
      <c r="P61" s="141" t="n">
        <f aca="false">R61*Parâmetros!$C$11</f>
        <v>0</v>
      </c>
      <c r="Q61" s="141" t="n">
        <f aca="false">R61*Parâmetros!$C$12</f>
        <v>0</v>
      </c>
      <c r="R61" s="141" t="n">
        <f aca="false">C61*(Estacas!Q61+Estacas!Q62)/2</f>
        <v>0</v>
      </c>
      <c r="S61" s="141" t="n">
        <f aca="false">IF(LEFT(E61,3)="T09",C61*Parâmetros!$D$13*Parâmetros!$C$13,0)</f>
        <v>0</v>
      </c>
    </row>
    <row r="62" customFormat="false" ht="15" hidden="false" customHeight="false" outlineLevel="0" collapsed="false">
      <c r="A62" s="138" t="str">
        <f aca="false">Estacas!A62</f>
        <v>60+0,00</v>
      </c>
      <c r="B62" s="138" t="str">
        <f aca="false">Estacas!A63</f>
        <v>61+0,00</v>
      </c>
      <c r="C62" s="144" t="n">
        <f aca="false">Estacas!C63-Estacas!C62</f>
        <v>20</v>
      </c>
      <c r="D62" s="138" t="s">
        <v>1565</v>
      </c>
      <c r="E62" s="138" t="s">
        <v>1566</v>
      </c>
      <c r="F62" s="141" t="n">
        <f aca="false">Estacas!F62</f>
        <v>11</v>
      </c>
      <c r="G62" s="141" t="n">
        <f aca="false">Estacas!F63</f>
        <v>11</v>
      </c>
      <c r="H62" s="141" t="n">
        <f aca="false">C62*(Estacas!K62+Estacas!K63)/2</f>
        <v>11.05</v>
      </c>
      <c r="I62" s="141" t="n">
        <f aca="false">H62*Parâmetros!$C$14</f>
        <v>26.52</v>
      </c>
      <c r="J62" s="141" t="n">
        <f aca="false">C62*(Estacas!L62+Estacas!L63)/2</f>
        <v>36.352</v>
      </c>
      <c r="K62" s="141" t="n">
        <f aca="false">C62*(Estacas!M62+Estacas!M63)/2</f>
        <v>47.68</v>
      </c>
      <c r="L62" s="141" t="n">
        <f aca="false">C62*(Estacas!N62+Estacas!N63)/2</f>
        <v>75.72</v>
      </c>
      <c r="M62" s="141" t="n">
        <f aca="false">C62*(Estacas!O62+Estacas!O63)/2</f>
        <v>224</v>
      </c>
      <c r="N62" s="141" t="n">
        <f aca="false">C62*(Estacas!O62+Estacas!O63)/2</f>
        <v>224</v>
      </c>
      <c r="O62" s="141" t="n">
        <f aca="false">C62*(Estacas!P62+Estacas!P63)/2</f>
        <v>258.4</v>
      </c>
      <c r="P62" s="141" t="n">
        <f aca="false">R62*Parâmetros!$C$11</f>
        <v>0</v>
      </c>
      <c r="Q62" s="141" t="n">
        <f aca="false">R62*Parâmetros!$C$12</f>
        <v>0</v>
      </c>
      <c r="R62" s="141" t="n">
        <f aca="false">C62*(Estacas!Q62+Estacas!Q63)/2</f>
        <v>0</v>
      </c>
      <c r="S62" s="141" t="n">
        <f aca="false">IF(LEFT(E62,3)="T09",C62*Parâmetros!$D$13*Parâmetros!$C$13,0)</f>
        <v>0</v>
      </c>
    </row>
    <row r="63" customFormat="false" ht="15" hidden="false" customHeight="false" outlineLevel="0" collapsed="false">
      <c r="A63" s="138" t="str">
        <f aca="false">Estacas!A63</f>
        <v>61+0,00</v>
      </c>
      <c r="B63" s="138" t="str">
        <f aca="false">Estacas!A64</f>
        <v>62+0,00</v>
      </c>
      <c r="C63" s="144" t="n">
        <f aca="false">Estacas!C64-Estacas!C63</f>
        <v>20</v>
      </c>
      <c r="D63" s="138" t="s">
        <v>1565</v>
      </c>
      <c r="E63" s="138" t="s">
        <v>1566</v>
      </c>
      <c r="F63" s="141" t="n">
        <f aca="false">Estacas!F63</f>
        <v>11</v>
      </c>
      <c r="G63" s="141" t="n">
        <f aca="false">Estacas!F64</f>
        <v>11</v>
      </c>
      <c r="H63" s="141" t="n">
        <f aca="false">C63*(Estacas!K63+Estacas!K64)/2</f>
        <v>11.05</v>
      </c>
      <c r="I63" s="141" t="n">
        <f aca="false">H63*Parâmetros!$C$14</f>
        <v>26.52</v>
      </c>
      <c r="J63" s="141" t="n">
        <f aca="false">C63*(Estacas!L63+Estacas!L64)/2</f>
        <v>36.352</v>
      </c>
      <c r="K63" s="141" t="n">
        <f aca="false">C63*(Estacas!M63+Estacas!M64)/2</f>
        <v>47.68</v>
      </c>
      <c r="L63" s="141" t="n">
        <f aca="false">C63*(Estacas!N63+Estacas!N64)/2</f>
        <v>75.72</v>
      </c>
      <c r="M63" s="141" t="n">
        <f aca="false">C63*(Estacas!O63+Estacas!O64)/2</f>
        <v>224</v>
      </c>
      <c r="N63" s="141" t="n">
        <f aca="false">C63*(Estacas!O63+Estacas!O64)/2</f>
        <v>224</v>
      </c>
      <c r="O63" s="141" t="n">
        <f aca="false">C63*(Estacas!P63+Estacas!P64)/2</f>
        <v>258.4</v>
      </c>
      <c r="P63" s="141" t="n">
        <f aca="false">R63*Parâmetros!$C$11</f>
        <v>0</v>
      </c>
      <c r="Q63" s="141" t="n">
        <f aca="false">R63*Parâmetros!$C$12</f>
        <v>0</v>
      </c>
      <c r="R63" s="141" t="n">
        <f aca="false">C63*(Estacas!Q63+Estacas!Q64)/2</f>
        <v>0</v>
      </c>
      <c r="S63" s="141" t="n">
        <f aca="false">IF(LEFT(E63,3)="T09",C63*Parâmetros!$D$13*Parâmetros!$C$13,0)</f>
        <v>0</v>
      </c>
    </row>
    <row r="64" customFormat="false" ht="15" hidden="false" customHeight="false" outlineLevel="0" collapsed="false">
      <c r="A64" s="138" t="str">
        <f aca="false">Estacas!A64</f>
        <v>62+0,00</v>
      </c>
      <c r="B64" s="138" t="str">
        <f aca="false">Estacas!A65</f>
        <v>63+0,00</v>
      </c>
      <c r="C64" s="144" t="n">
        <f aca="false">Estacas!C65-Estacas!C64</f>
        <v>20</v>
      </c>
      <c r="D64" s="138" t="s">
        <v>1565</v>
      </c>
      <c r="E64" s="138" t="s">
        <v>1566</v>
      </c>
      <c r="F64" s="141" t="n">
        <f aca="false">Estacas!F64</f>
        <v>11</v>
      </c>
      <c r="G64" s="141" t="n">
        <f aca="false">Estacas!F65</f>
        <v>11</v>
      </c>
      <c r="H64" s="141" t="n">
        <f aca="false">C64*(Estacas!K64+Estacas!K65)/2</f>
        <v>11.05</v>
      </c>
      <c r="I64" s="141" t="n">
        <f aca="false">H64*Parâmetros!$C$14</f>
        <v>26.52</v>
      </c>
      <c r="J64" s="141" t="n">
        <f aca="false">C64*(Estacas!L64+Estacas!L65)/2</f>
        <v>36.352</v>
      </c>
      <c r="K64" s="141" t="n">
        <f aca="false">C64*(Estacas!M64+Estacas!M65)/2</f>
        <v>47.68</v>
      </c>
      <c r="L64" s="141" t="n">
        <f aca="false">C64*(Estacas!N64+Estacas!N65)/2</f>
        <v>75.72</v>
      </c>
      <c r="M64" s="141" t="n">
        <f aca="false">C64*(Estacas!O64+Estacas!O65)/2</f>
        <v>224</v>
      </c>
      <c r="N64" s="141" t="n">
        <f aca="false">C64*(Estacas!O64+Estacas!O65)/2</f>
        <v>224</v>
      </c>
      <c r="O64" s="141" t="n">
        <f aca="false">C64*(Estacas!P64+Estacas!P65)/2</f>
        <v>258.4</v>
      </c>
      <c r="P64" s="141" t="n">
        <f aca="false">R64*Parâmetros!$C$11</f>
        <v>0</v>
      </c>
      <c r="Q64" s="141" t="n">
        <f aca="false">R64*Parâmetros!$C$12</f>
        <v>0</v>
      </c>
      <c r="R64" s="141" t="n">
        <f aca="false">C64*(Estacas!Q64+Estacas!Q65)/2</f>
        <v>0</v>
      </c>
      <c r="S64" s="141" t="n">
        <f aca="false">IF(LEFT(E64,3)="T09",C64*Parâmetros!$D$13*Parâmetros!$C$13,0)</f>
        <v>0</v>
      </c>
    </row>
    <row r="65" customFormat="false" ht="15" hidden="false" customHeight="false" outlineLevel="0" collapsed="false">
      <c r="A65" s="138" t="str">
        <f aca="false">Estacas!A65</f>
        <v>63+0,00</v>
      </c>
      <c r="B65" s="138" t="str">
        <f aca="false">Estacas!A66</f>
        <v>64+0,00</v>
      </c>
      <c r="C65" s="144" t="n">
        <f aca="false">Estacas!C66-Estacas!C65</f>
        <v>20</v>
      </c>
      <c r="D65" s="138" t="s">
        <v>1565</v>
      </c>
      <c r="E65" s="138" t="s">
        <v>1566</v>
      </c>
      <c r="F65" s="141" t="n">
        <f aca="false">Estacas!F65</f>
        <v>11</v>
      </c>
      <c r="G65" s="141" t="n">
        <f aca="false">Estacas!F66</f>
        <v>11</v>
      </c>
      <c r="H65" s="141" t="n">
        <f aca="false">C65*(Estacas!K65+Estacas!K66)/2</f>
        <v>11.05</v>
      </c>
      <c r="I65" s="141" t="n">
        <f aca="false">H65*Parâmetros!$C$14</f>
        <v>26.52</v>
      </c>
      <c r="J65" s="141" t="n">
        <f aca="false">C65*(Estacas!L65+Estacas!L66)/2</f>
        <v>36.352</v>
      </c>
      <c r="K65" s="141" t="n">
        <f aca="false">C65*(Estacas!M65+Estacas!M66)/2</f>
        <v>47.68</v>
      </c>
      <c r="L65" s="141" t="n">
        <f aca="false">C65*(Estacas!N65+Estacas!N66)/2</f>
        <v>75.72</v>
      </c>
      <c r="M65" s="141" t="n">
        <f aca="false">C65*(Estacas!O65+Estacas!O66)/2</f>
        <v>224</v>
      </c>
      <c r="N65" s="141" t="n">
        <f aca="false">C65*(Estacas!O65+Estacas!O66)/2</f>
        <v>224</v>
      </c>
      <c r="O65" s="141" t="n">
        <f aca="false">C65*(Estacas!P65+Estacas!P66)/2</f>
        <v>258.4</v>
      </c>
      <c r="P65" s="141" t="n">
        <f aca="false">R65*Parâmetros!$C$11</f>
        <v>0</v>
      </c>
      <c r="Q65" s="141" t="n">
        <f aca="false">R65*Parâmetros!$C$12</f>
        <v>0</v>
      </c>
      <c r="R65" s="141" t="n">
        <f aca="false">C65*(Estacas!Q65+Estacas!Q66)/2</f>
        <v>0</v>
      </c>
      <c r="S65" s="141" t="n">
        <f aca="false">IF(LEFT(E65,3)="T09",C65*Parâmetros!$D$13*Parâmetros!$C$13,0)</f>
        <v>0</v>
      </c>
    </row>
    <row r="66" customFormat="false" ht="15" hidden="false" customHeight="false" outlineLevel="0" collapsed="false">
      <c r="A66" s="138" t="str">
        <f aca="false">Estacas!A66</f>
        <v>64+0,00</v>
      </c>
      <c r="B66" s="138" t="str">
        <f aca="false">Estacas!A67</f>
        <v>65+0,00</v>
      </c>
      <c r="C66" s="144" t="n">
        <f aca="false">Estacas!C67-Estacas!C66</f>
        <v>20</v>
      </c>
      <c r="D66" s="138" t="s">
        <v>1565</v>
      </c>
      <c r="E66" s="138" t="s">
        <v>1566</v>
      </c>
      <c r="F66" s="141" t="n">
        <f aca="false">Estacas!F66</f>
        <v>11</v>
      </c>
      <c r="G66" s="141" t="n">
        <f aca="false">Estacas!F67</f>
        <v>11</v>
      </c>
      <c r="H66" s="141" t="n">
        <f aca="false">C66*(Estacas!K66+Estacas!K67)/2</f>
        <v>11.05</v>
      </c>
      <c r="I66" s="141" t="n">
        <f aca="false">H66*Parâmetros!$C$14</f>
        <v>26.52</v>
      </c>
      <c r="J66" s="141" t="n">
        <f aca="false">C66*(Estacas!L66+Estacas!L67)/2</f>
        <v>36.352</v>
      </c>
      <c r="K66" s="141" t="n">
        <f aca="false">C66*(Estacas!M66+Estacas!M67)/2</f>
        <v>47.68</v>
      </c>
      <c r="L66" s="141" t="n">
        <f aca="false">C66*(Estacas!N66+Estacas!N67)/2</f>
        <v>75.72</v>
      </c>
      <c r="M66" s="141" t="n">
        <f aca="false">C66*(Estacas!O66+Estacas!O67)/2</f>
        <v>224</v>
      </c>
      <c r="N66" s="141" t="n">
        <f aca="false">C66*(Estacas!O66+Estacas!O67)/2</f>
        <v>224</v>
      </c>
      <c r="O66" s="141" t="n">
        <f aca="false">C66*(Estacas!P66+Estacas!P67)/2</f>
        <v>258.4</v>
      </c>
      <c r="P66" s="141" t="n">
        <f aca="false">R66*Parâmetros!$C$11</f>
        <v>0</v>
      </c>
      <c r="Q66" s="141" t="n">
        <f aca="false">R66*Parâmetros!$C$12</f>
        <v>0</v>
      </c>
      <c r="R66" s="141" t="n">
        <f aca="false">C66*(Estacas!Q66+Estacas!Q67)/2</f>
        <v>0</v>
      </c>
      <c r="S66" s="141" t="n">
        <f aca="false">IF(LEFT(E66,3)="T09",C66*Parâmetros!$D$13*Parâmetros!$C$13,0)</f>
        <v>0</v>
      </c>
    </row>
    <row r="67" customFormat="false" ht="15" hidden="false" customHeight="false" outlineLevel="0" collapsed="false">
      <c r="A67" s="138" t="str">
        <f aca="false">Estacas!A67</f>
        <v>65+0,00</v>
      </c>
      <c r="B67" s="138" t="str">
        <f aca="false">Estacas!A68</f>
        <v>66+0,00</v>
      </c>
      <c r="C67" s="144" t="n">
        <f aca="false">Estacas!C68-Estacas!C67</f>
        <v>20</v>
      </c>
      <c r="D67" s="138" t="s">
        <v>1565</v>
      </c>
      <c r="E67" s="138" t="s">
        <v>1566</v>
      </c>
      <c r="F67" s="141" t="n">
        <f aca="false">Estacas!F67</f>
        <v>11</v>
      </c>
      <c r="G67" s="141" t="n">
        <f aca="false">Estacas!F68</f>
        <v>11</v>
      </c>
      <c r="H67" s="141" t="n">
        <f aca="false">C67*(Estacas!K67+Estacas!K68)/2</f>
        <v>11.05</v>
      </c>
      <c r="I67" s="141" t="n">
        <f aca="false">H67*Parâmetros!$C$14</f>
        <v>26.52</v>
      </c>
      <c r="J67" s="141" t="n">
        <f aca="false">C67*(Estacas!L67+Estacas!L68)/2</f>
        <v>36.352</v>
      </c>
      <c r="K67" s="141" t="n">
        <f aca="false">C67*(Estacas!M67+Estacas!M68)/2</f>
        <v>47.68</v>
      </c>
      <c r="L67" s="141" t="n">
        <f aca="false">C67*(Estacas!N67+Estacas!N68)/2</f>
        <v>75.72</v>
      </c>
      <c r="M67" s="141" t="n">
        <f aca="false">C67*(Estacas!O67+Estacas!O68)/2</f>
        <v>224</v>
      </c>
      <c r="N67" s="141" t="n">
        <f aca="false">C67*(Estacas!O67+Estacas!O68)/2</f>
        <v>224</v>
      </c>
      <c r="O67" s="141" t="n">
        <f aca="false">C67*(Estacas!P67+Estacas!P68)/2</f>
        <v>258.4</v>
      </c>
      <c r="P67" s="141" t="n">
        <f aca="false">R67*Parâmetros!$C$11</f>
        <v>0</v>
      </c>
      <c r="Q67" s="141" t="n">
        <f aca="false">R67*Parâmetros!$C$12</f>
        <v>0</v>
      </c>
      <c r="R67" s="141" t="n">
        <f aca="false">C67*(Estacas!Q67+Estacas!Q68)/2</f>
        <v>0</v>
      </c>
      <c r="S67" s="141" t="n">
        <f aca="false">IF(LEFT(E67,3)="T09",C67*Parâmetros!$D$13*Parâmetros!$C$13,0)</f>
        <v>0</v>
      </c>
    </row>
    <row r="68" customFormat="false" ht="15" hidden="false" customHeight="false" outlineLevel="0" collapsed="false">
      <c r="A68" s="138" t="str">
        <f aca="false">Estacas!A68</f>
        <v>66+0,00</v>
      </c>
      <c r="B68" s="138" t="str">
        <f aca="false">Estacas!A69</f>
        <v>67+0,00</v>
      </c>
      <c r="C68" s="144" t="n">
        <f aca="false">Estacas!C69-Estacas!C68</f>
        <v>20</v>
      </c>
      <c r="D68" s="138" t="s">
        <v>1565</v>
      </c>
      <c r="E68" s="138" t="s">
        <v>1566</v>
      </c>
      <c r="F68" s="141" t="n">
        <f aca="false">Estacas!F68</f>
        <v>11</v>
      </c>
      <c r="G68" s="141" t="n">
        <f aca="false">Estacas!F69</f>
        <v>11</v>
      </c>
      <c r="H68" s="141" t="n">
        <f aca="false">C68*(Estacas!K68+Estacas!K69)/2</f>
        <v>11.05</v>
      </c>
      <c r="I68" s="141" t="n">
        <f aca="false">H68*Parâmetros!$C$14</f>
        <v>26.52</v>
      </c>
      <c r="J68" s="141" t="n">
        <f aca="false">C68*(Estacas!L68+Estacas!L69)/2</f>
        <v>36.352</v>
      </c>
      <c r="K68" s="141" t="n">
        <f aca="false">C68*(Estacas!M68+Estacas!M69)/2</f>
        <v>47.68</v>
      </c>
      <c r="L68" s="141" t="n">
        <f aca="false">C68*(Estacas!N68+Estacas!N69)/2</f>
        <v>75.72</v>
      </c>
      <c r="M68" s="141" t="n">
        <f aca="false">C68*(Estacas!O68+Estacas!O69)/2</f>
        <v>224</v>
      </c>
      <c r="N68" s="141" t="n">
        <f aca="false">C68*(Estacas!O68+Estacas!O69)/2</f>
        <v>224</v>
      </c>
      <c r="O68" s="141" t="n">
        <f aca="false">C68*(Estacas!P68+Estacas!P69)/2</f>
        <v>258.4</v>
      </c>
      <c r="P68" s="141" t="n">
        <f aca="false">R68*Parâmetros!$C$11</f>
        <v>0</v>
      </c>
      <c r="Q68" s="141" t="n">
        <f aca="false">R68*Parâmetros!$C$12</f>
        <v>0</v>
      </c>
      <c r="R68" s="141" t="n">
        <f aca="false">C68*(Estacas!Q68+Estacas!Q69)/2</f>
        <v>0</v>
      </c>
      <c r="S68" s="141" t="n">
        <f aca="false">IF(LEFT(E68,3)="T09",C68*Parâmetros!$D$13*Parâmetros!$C$13,0)</f>
        <v>0</v>
      </c>
    </row>
    <row r="69" customFormat="false" ht="15" hidden="false" customHeight="false" outlineLevel="0" collapsed="false">
      <c r="A69" s="138" t="str">
        <f aca="false">Estacas!A69</f>
        <v>67+0,00</v>
      </c>
      <c r="B69" s="138" t="str">
        <f aca="false">Estacas!A70</f>
        <v>68+0,00</v>
      </c>
      <c r="C69" s="144" t="n">
        <f aca="false">Estacas!C70-Estacas!C69</f>
        <v>20</v>
      </c>
      <c r="D69" s="138" t="s">
        <v>1565</v>
      </c>
      <c r="E69" s="138" t="s">
        <v>1566</v>
      </c>
      <c r="F69" s="141" t="n">
        <f aca="false">Estacas!F69</f>
        <v>11</v>
      </c>
      <c r="G69" s="141" t="n">
        <f aca="false">Estacas!F70</f>
        <v>11</v>
      </c>
      <c r="H69" s="141" t="n">
        <f aca="false">C69*(Estacas!K69+Estacas!K70)/2</f>
        <v>11.05</v>
      </c>
      <c r="I69" s="141" t="n">
        <f aca="false">H69*Parâmetros!$C$14</f>
        <v>26.52</v>
      </c>
      <c r="J69" s="141" t="n">
        <f aca="false">C69*(Estacas!L69+Estacas!L70)/2</f>
        <v>36.352</v>
      </c>
      <c r="K69" s="141" t="n">
        <f aca="false">C69*(Estacas!M69+Estacas!M70)/2</f>
        <v>47.68</v>
      </c>
      <c r="L69" s="141" t="n">
        <f aca="false">C69*(Estacas!N69+Estacas!N70)/2</f>
        <v>75.72</v>
      </c>
      <c r="M69" s="141" t="n">
        <f aca="false">C69*(Estacas!O69+Estacas!O70)/2</f>
        <v>224</v>
      </c>
      <c r="N69" s="141" t="n">
        <f aca="false">C69*(Estacas!O69+Estacas!O70)/2</f>
        <v>224</v>
      </c>
      <c r="O69" s="141" t="n">
        <f aca="false">C69*(Estacas!P69+Estacas!P70)/2</f>
        <v>258.4</v>
      </c>
      <c r="P69" s="141" t="n">
        <f aca="false">R69*Parâmetros!$C$11</f>
        <v>0</v>
      </c>
      <c r="Q69" s="141" t="n">
        <f aca="false">R69*Parâmetros!$C$12</f>
        <v>0</v>
      </c>
      <c r="R69" s="141" t="n">
        <f aca="false">C69*(Estacas!Q69+Estacas!Q70)/2</f>
        <v>0</v>
      </c>
      <c r="S69" s="141" t="n">
        <f aca="false">IF(LEFT(E69,3)="T09",C69*Parâmetros!$D$13*Parâmetros!$C$13,0)</f>
        <v>0</v>
      </c>
    </row>
    <row r="70" customFormat="false" ht="15" hidden="false" customHeight="false" outlineLevel="0" collapsed="false">
      <c r="A70" s="138" t="str">
        <f aca="false">Estacas!A70</f>
        <v>68+0,00</v>
      </c>
      <c r="B70" s="138" t="str">
        <f aca="false">Estacas!A71</f>
        <v>69+0,00</v>
      </c>
      <c r="C70" s="144" t="n">
        <f aca="false">Estacas!C71-Estacas!C70</f>
        <v>20</v>
      </c>
      <c r="D70" s="138" t="s">
        <v>1565</v>
      </c>
      <c r="E70" s="138" t="s">
        <v>1566</v>
      </c>
      <c r="F70" s="141" t="n">
        <f aca="false">Estacas!F70</f>
        <v>11</v>
      </c>
      <c r="G70" s="141" t="n">
        <f aca="false">Estacas!F71</f>
        <v>11</v>
      </c>
      <c r="H70" s="141" t="n">
        <f aca="false">C70*(Estacas!K70+Estacas!K71)/2</f>
        <v>11.05</v>
      </c>
      <c r="I70" s="141" t="n">
        <f aca="false">H70*Parâmetros!$C$14</f>
        <v>26.52</v>
      </c>
      <c r="J70" s="141" t="n">
        <f aca="false">C70*(Estacas!L70+Estacas!L71)/2</f>
        <v>36.352</v>
      </c>
      <c r="K70" s="141" t="n">
        <f aca="false">C70*(Estacas!M70+Estacas!M71)/2</f>
        <v>47.68</v>
      </c>
      <c r="L70" s="141" t="n">
        <f aca="false">C70*(Estacas!N70+Estacas!N71)/2</f>
        <v>75.72</v>
      </c>
      <c r="M70" s="141" t="n">
        <f aca="false">C70*(Estacas!O70+Estacas!O71)/2</f>
        <v>224</v>
      </c>
      <c r="N70" s="141" t="n">
        <f aca="false">C70*(Estacas!O70+Estacas!O71)/2</f>
        <v>224</v>
      </c>
      <c r="O70" s="141" t="n">
        <f aca="false">C70*(Estacas!P70+Estacas!P71)/2</f>
        <v>258.4</v>
      </c>
      <c r="P70" s="141" t="n">
        <f aca="false">R70*Parâmetros!$C$11</f>
        <v>0</v>
      </c>
      <c r="Q70" s="141" t="n">
        <f aca="false">R70*Parâmetros!$C$12</f>
        <v>0</v>
      </c>
      <c r="R70" s="141" t="n">
        <f aca="false">C70*(Estacas!Q70+Estacas!Q71)/2</f>
        <v>0</v>
      </c>
      <c r="S70" s="141" t="n">
        <f aca="false">IF(LEFT(E70,3)="T09",C70*Parâmetros!$D$13*Parâmetros!$C$13,0)</f>
        <v>0</v>
      </c>
    </row>
    <row r="71" customFormat="false" ht="15" hidden="false" customHeight="false" outlineLevel="0" collapsed="false">
      <c r="A71" s="138" t="str">
        <f aca="false">Estacas!A71</f>
        <v>69+0,00</v>
      </c>
      <c r="B71" s="138" t="str">
        <f aca="false">Estacas!A72</f>
        <v>70+0,00</v>
      </c>
      <c r="C71" s="144" t="n">
        <f aca="false">Estacas!C72-Estacas!C71</f>
        <v>20</v>
      </c>
      <c r="D71" s="138" t="s">
        <v>1565</v>
      </c>
      <c r="E71" s="138" t="s">
        <v>1566</v>
      </c>
      <c r="F71" s="141" t="n">
        <f aca="false">Estacas!F71</f>
        <v>11</v>
      </c>
      <c r="G71" s="141" t="n">
        <f aca="false">Estacas!F72</f>
        <v>11</v>
      </c>
      <c r="H71" s="141" t="n">
        <f aca="false">C71*(Estacas!K71+Estacas!K72)/2</f>
        <v>11.05</v>
      </c>
      <c r="I71" s="141" t="n">
        <f aca="false">H71*Parâmetros!$C$14</f>
        <v>26.52</v>
      </c>
      <c r="J71" s="141" t="n">
        <f aca="false">C71*(Estacas!L71+Estacas!L72)/2</f>
        <v>36.352</v>
      </c>
      <c r="K71" s="141" t="n">
        <f aca="false">C71*(Estacas!M71+Estacas!M72)/2</f>
        <v>47.68</v>
      </c>
      <c r="L71" s="141" t="n">
        <f aca="false">C71*(Estacas!N71+Estacas!N72)/2</f>
        <v>75.72</v>
      </c>
      <c r="M71" s="141" t="n">
        <f aca="false">C71*(Estacas!O71+Estacas!O72)/2</f>
        <v>224</v>
      </c>
      <c r="N71" s="141" t="n">
        <f aca="false">C71*(Estacas!O71+Estacas!O72)/2</f>
        <v>224</v>
      </c>
      <c r="O71" s="141" t="n">
        <f aca="false">C71*(Estacas!P71+Estacas!P72)/2</f>
        <v>258.4</v>
      </c>
      <c r="P71" s="141" t="n">
        <f aca="false">R71*Parâmetros!$C$11</f>
        <v>0</v>
      </c>
      <c r="Q71" s="141" t="n">
        <f aca="false">R71*Parâmetros!$C$12</f>
        <v>0</v>
      </c>
      <c r="R71" s="141" t="n">
        <f aca="false">C71*(Estacas!Q71+Estacas!Q72)/2</f>
        <v>0</v>
      </c>
      <c r="S71" s="141" t="n">
        <f aca="false">IF(LEFT(E71,3)="T09",C71*Parâmetros!$D$13*Parâmetros!$C$13,0)</f>
        <v>0</v>
      </c>
    </row>
    <row r="72" customFormat="false" ht="15" hidden="false" customHeight="false" outlineLevel="0" collapsed="false">
      <c r="A72" s="138" t="str">
        <f aca="false">Estacas!A72</f>
        <v>70+0,00</v>
      </c>
      <c r="B72" s="138" t="str">
        <f aca="false">Estacas!A73</f>
        <v>71+0,00</v>
      </c>
      <c r="C72" s="144" t="n">
        <f aca="false">Estacas!C73-Estacas!C72</f>
        <v>20</v>
      </c>
      <c r="D72" s="138" t="s">
        <v>1565</v>
      </c>
      <c r="E72" s="138" t="s">
        <v>1566</v>
      </c>
      <c r="F72" s="141" t="n">
        <f aca="false">Estacas!F72</f>
        <v>11</v>
      </c>
      <c r="G72" s="141" t="n">
        <f aca="false">Estacas!F73</f>
        <v>11</v>
      </c>
      <c r="H72" s="141" t="n">
        <f aca="false">C72*(Estacas!K72+Estacas!K73)/2</f>
        <v>11.05</v>
      </c>
      <c r="I72" s="141" t="n">
        <f aca="false">H72*Parâmetros!$C$14</f>
        <v>26.52</v>
      </c>
      <c r="J72" s="141" t="n">
        <f aca="false">C72*(Estacas!L72+Estacas!L73)/2</f>
        <v>36.352</v>
      </c>
      <c r="K72" s="141" t="n">
        <f aca="false">C72*(Estacas!M72+Estacas!M73)/2</f>
        <v>47.68</v>
      </c>
      <c r="L72" s="141" t="n">
        <f aca="false">C72*(Estacas!N72+Estacas!N73)/2</f>
        <v>75.72</v>
      </c>
      <c r="M72" s="141" t="n">
        <f aca="false">C72*(Estacas!O72+Estacas!O73)/2</f>
        <v>224</v>
      </c>
      <c r="N72" s="141" t="n">
        <f aca="false">C72*(Estacas!O72+Estacas!O73)/2</f>
        <v>224</v>
      </c>
      <c r="O72" s="141" t="n">
        <f aca="false">C72*(Estacas!P72+Estacas!P73)/2</f>
        <v>258.4</v>
      </c>
      <c r="P72" s="141" t="n">
        <f aca="false">R72*Parâmetros!$C$11</f>
        <v>0</v>
      </c>
      <c r="Q72" s="141" t="n">
        <f aca="false">R72*Parâmetros!$C$12</f>
        <v>0</v>
      </c>
      <c r="R72" s="141" t="n">
        <f aca="false">C72*(Estacas!Q72+Estacas!Q73)/2</f>
        <v>0</v>
      </c>
      <c r="S72" s="141" t="n">
        <f aca="false">IF(LEFT(E72,3)="T09",C72*Parâmetros!$D$13*Parâmetros!$C$13,0)</f>
        <v>0</v>
      </c>
    </row>
    <row r="73" customFormat="false" ht="15" hidden="false" customHeight="false" outlineLevel="0" collapsed="false">
      <c r="A73" s="138" t="str">
        <f aca="false">Estacas!A73</f>
        <v>71+0,00</v>
      </c>
      <c r="B73" s="138" t="str">
        <f aca="false">Estacas!A74</f>
        <v>72+0,00</v>
      </c>
      <c r="C73" s="144" t="n">
        <f aca="false">Estacas!C74-Estacas!C73</f>
        <v>20</v>
      </c>
      <c r="D73" s="138" t="s">
        <v>1565</v>
      </c>
      <c r="E73" s="138" t="s">
        <v>1566</v>
      </c>
      <c r="F73" s="141" t="n">
        <f aca="false">Estacas!F73</f>
        <v>11</v>
      </c>
      <c r="G73" s="141" t="n">
        <f aca="false">Estacas!F74</f>
        <v>11</v>
      </c>
      <c r="H73" s="141" t="n">
        <f aca="false">C73*(Estacas!K73+Estacas!K74)/2</f>
        <v>11.05</v>
      </c>
      <c r="I73" s="141" t="n">
        <f aca="false">H73*Parâmetros!$C$14</f>
        <v>26.52</v>
      </c>
      <c r="J73" s="141" t="n">
        <f aca="false">C73*(Estacas!L73+Estacas!L74)/2</f>
        <v>36.352</v>
      </c>
      <c r="K73" s="141" t="n">
        <f aca="false">C73*(Estacas!M73+Estacas!M74)/2</f>
        <v>47.68</v>
      </c>
      <c r="L73" s="141" t="n">
        <f aca="false">C73*(Estacas!N73+Estacas!N74)/2</f>
        <v>75.72</v>
      </c>
      <c r="M73" s="141" t="n">
        <f aca="false">C73*(Estacas!O73+Estacas!O74)/2</f>
        <v>224</v>
      </c>
      <c r="N73" s="141" t="n">
        <f aca="false">C73*(Estacas!O73+Estacas!O74)/2</f>
        <v>224</v>
      </c>
      <c r="O73" s="141" t="n">
        <f aca="false">C73*(Estacas!P73+Estacas!P74)/2</f>
        <v>258.4</v>
      </c>
      <c r="P73" s="141" t="n">
        <f aca="false">R73*Parâmetros!$C$11</f>
        <v>0</v>
      </c>
      <c r="Q73" s="141" t="n">
        <f aca="false">R73*Parâmetros!$C$12</f>
        <v>0</v>
      </c>
      <c r="R73" s="141" t="n">
        <f aca="false">C73*(Estacas!Q73+Estacas!Q74)/2</f>
        <v>0</v>
      </c>
      <c r="S73" s="141" t="n">
        <f aca="false">IF(LEFT(E73,3)="T09",C73*Parâmetros!$D$13*Parâmetros!$C$13,0)</f>
        <v>0</v>
      </c>
    </row>
    <row r="74" customFormat="false" ht="15" hidden="false" customHeight="false" outlineLevel="0" collapsed="false">
      <c r="A74" s="138" t="str">
        <f aca="false">Estacas!A74</f>
        <v>72+0,00</v>
      </c>
      <c r="B74" s="138" t="str">
        <f aca="false">Estacas!A75</f>
        <v>73+0,00</v>
      </c>
      <c r="C74" s="144" t="n">
        <f aca="false">Estacas!C75-Estacas!C74</f>
        <v>20</v>
      </c>
      <c r="D74" s="138" t="s">
        <v>1565</v>
      </c>
      <c r="E74" s="138" t="s">
        <v>1566</v>
      </c>
      <c r="F74" s="141" t="n">
        <f aca="false">Estacas!F74</f>
        <v>11</v>
      </c>
      <c r="G74" s="141" t="n">
        <f aca="false">Estacas!F75</f>
        <v>11</v>
      </c>
      <c r="H74" s="141" t="n">
        <f aca="false">C74*(Estacas!K74+Estacas!K75)/2</f>
        <v>11.05</v>
      </c>
      <c r="I74" s="141" t="n">
        <f aca="false">H74*Parâmetros!$C$14</f>
        <v>26.52</v>
      </c>
      <c r="J74" s="141" t="n">
        <f aca="false">C74*(Estacas!L74+Estacas!L75)/2</f>
        <v>36.352</v>
      </c>
      <c r="K74" s="141" t="n">
        <f aca="false">C74*(Estacas!M74+Estacas!M75)/2</f>
        <v>47.68</v>
      </c>
      <c r="L74" s="141" t="n">
        <f aca="false">C74*(Estacas!N74+Estacas!N75)/2</f>
        <v>75.72</v>
      </c>
      <c r="M74" s="141" t="n">
        <f aca="false">C74*(Estacas!O74+Estacas!O75)/2</f>
        <v>224</v>
      </c>
      <c r="N74" s="141" t="n">
        <f aca="false">C74*(Estacas!O74+Estacas!O75)/2</f>
        <v>224</v>
      </c>
      <c r="O74" s="141" t="n">
        <f aca="false">C74*(Estacas!P74+Estacas!P75)/2</f>
        <v>258.4</v>
      </c>
      <c r="P74" s="141" t="n">
        <f aca="false">R74*Parâmetros!$C$11</f>
        <v>0</v>
      </c>
      <c r="Q74" s="141" t="n">
        <f aca="false">R74*Parâmetros!$C$12</f>
        <v>0</v>
      </c>
      <c r="R74" s="141" t="n">
        <f aca="false">C74*(Estacas!Q74+Estacas!Q75)/2</f>
        <v>0</v>
      </c>
      <c r="S74" s="141" t="n">
        <f aca="false">IF(LEFT(E74,3)="T09",C74*Parâmetros!$D$13*Parâmetros!$C$13,0)</f>
        <v>0</v>
      </c>
    </row>
    <row r="75" customFormat="false" ht="15" hidden="false" customHeight="false" outlineLevel="0" collapsed="false">
      <c r="A75" s="138" t="str">
        <f aca="false">Estacas!A75</f>
        <v>73+0,00</v>
      </c>
      <c r="B75" s="138" t="str">
        <f aca="false">Estacas!A76</f>
        <v>74+0,00</v>
      </c>
      <c r="C75" s="144" t="n">
        <f aca="false">Estacas!C76-Estacas!C75</f>
        <v>20</v>
      </c>
      <c r="D75" s="138" t="s">
        <v>1565</v>
      </c>
      <c r="E75" s="138" t="s">
        <v>1566</v>
      </c>
      <c r="F75" s="141" t="n">
        <f aca="false">Estacas!F75</f>
        <v>11</v>
      </c>
      <c r="G75" s="141" t="n">
        <f aca="false">Estacas!F76</f>
        <v>11</v>
      </c>
      <c r="H75" s="141" t="n">
        <f aca="false">C75*(Estacas!K75+Estacas!K76)/2</f>
        <v>11.05</v>
      </c>
      <c r="I75" s="141" t="n">
        <f aca="false">H75*Parâmetros!$C$14</f>
        <v>26.52</v>
      </c>
      <c r="J75" s="141" t="n">
        <f aca="false">C75*(Estacas!L75+Estacas!L76)/2</f>
        <v>36.352</v>
      </c>
      <c r="K75" s="141" t="n">
        <f aca="false">C75*(Estacas!M75+Estacas!M76)/2</f>
        <v>47.68</v>
      </c>
      <c r="L75" s="141" t="n">
        <f aca="false">C75*(Estacas!N75+Estacas!N76)/2</f>
        <v>75.72</v>
      </c>
      <c r="M75" s="141" t="n">
        <f aca="false">C75*(Estacas!O75+Estacas!O76)/2</f>
        <v>224</v>
      </c>
      <c r="N75" s="141" t="n">
        <f aca="false">C75*(Estacas!O75+Estacas!O76)/2</f>
        <v>224</v>
      </c>
      <c r="O75" s="141" t="n">
        <f aca="false">C75*(Estacas!P75+Estacas!P76)/2</f>
        <v>258.4</v>
      </c>
      <c r="P75" s="141" t="n">
        <f aca="false">R75*Parâmetros!$C$11</f>
        <v>0</v>
      </c>
      <c r="Q75" s="141" t="n">
        <f aca="false">R75*Parâmetros!$C$12</f>
        <v>0</v>
      </c>
      <c r="R75" s="141" t="n">
        <f aca="false">C75*(Estacas!Q75+Estacas!Q76)/2</f>
        <v>0</v>
      </c>
      <c r="S75" s="141" t="n">
        <f aca="false">IF(LEFT(E75,3)="T09",C75*Parâmetros!$D$13*Parâmetros!$C$13,0)</f>
        <v>0</v>
      </c>
    </row>
    <row r="76" customFormat="false" ht="15" hidden="false" customHeight="false" outlineLevel="0" collapsed="false">
      <c r="A76" s="138" t="str">
        <f aca="false">Estacas!A76</f>
        <v>74+0,00</v>
      </c>
      <c r="B76" s="138" t="str">
        <f aca="false">Estacas!A77</f>
        <v>75+0,00</v>
      </c>
      <c r="C76" s="144" t="n">
        <f aca="false">Estacas!C77-Estacas!C76</f>
        <v>20</v>
      </c>
      <c r="D76" s="138" t="s">
        <v>1565</v>
      </c>
      <c r="E76" s="138" t="s">
        <v>1566</v>
      </c>
      <c r="F76" s="141" t="n">
        <f aca="false">Estacas!F76</f>
        <v>11</v>
      </c>
      <c r="G76" s="141" t="n">
        <f aca="false">Estacas!F77</f>
        <v>11</v>
      </c>
      <c r="H76" s="141" t="n">
        <f aca="false">C76*(Estacas!K76+Estacas!K77)/2</f>
        <v>11.05</v>
      </c>
      <c r="I76" s="141" t="n">
        <f aca="false">H76*Parâmetros!$C$14</f>
        <v>26.52</v>
      </c>
      <c r="J76" s="141" t="n">
        <f aca="false">C76*(Estacas!L76+Estacas!L77)/2</f>
        <v>36.352</v>
      </c>
      <c r="K76" s="141" t="n">
        <f aca="false">C76*(Estacas!M76+Estacas!M77)/2</f>
        <v>47.68</v>
      </c>
      <c r="L76" s="141" t="n">
        <f aca="false">C76*(Estacas!N76+Estacas!N77)/2</f>
        <v>75.72</v>
      </c>
      <c r="M76" s="141" t="n">
        <f aca="false">C76*(Estacas!O76+Estacas!O77)/2</f>
        <v>224</v>
      </c>
      <c r="N76" s="141" t="n">
        <f aca="false">C76*(Estacas!O76+Estacas!O77)/2</f>
        <v>224</v>
      </c>
      <c r="O76" s="141" t="n">
        <f aca="false">C76*(Estacas!P76+Estacas!P77)/2</f>
        <v>258.4</v>
      </c>
      <c r="P76" s="141" t="n">
        <f aca="false">R76*Parâmetros!$C$11</f>
        <v>0</v>
      </c>
      <c r="Q76" s="141" t="n">
        <f aca="false">R76*Parâmetros!$C$12</f>
        <v>0</v>
      </c>
      <c r="R76" s="141" t="n">
        <f aca="false">C76*(Estacas!Q76+Estacas!Q77)/2</f>
        <v>0</v>
      </c>
      <c r="S76" s="141" t="n">
        <f aca="false">IF(LEFT(E76,3)="T09",C76*Parâmetros!$D$13*Parâmetros!$C$13,0)</f>
        <v>0</v>
      </c>
    </row>
    <row r="77" customFormat="false" ht="15" hidden="false" customHeight="false" outlineLevel="0" collapsed="false">
      <c r="A77" s="138" t="str">
        <f aca="false">Estacas!A77</f>
        <v>75+0,00</v>
      </c>
      <c r="B77" s="138" t="str">
        <f aca="false">Estacas!A78</f>
        <v>76+0,00</v>
      </c>
      <c r="C77" s="144" t="n">
        <f aca="false">Estacas!C78-Estacas!C77</f>
        <v>20</v>
      </c>
      <c r="D77" s="138" t="s">
        <v>1565</v>
      </c>
      <c r="E77" s="138" t="s">
        <v>1566</v>
      </c>
      <c r="F77" s="141" t="n">
        <f aca="false">Estacas!F77</f>
        <v>11</v>
      </c>
      <c r="G77" s="141" t="n">
        <f aca="false">Estacas!F78</f>
        <v>11</v>
      </c>
      <c r="H77" s="141" t="n">
        <f aca="false">C77*(Estacas!K77+Estacas!K78)/2</f>
        <v>11.05</v>
      </c>
      <c r="I77" s="141" t="n">
        <f aca="false">H77*Parâmetros!$C$14</f>
        <v>26.52</v>
      </c>
      <c r="J77" s="141" t="n">
        <f aca="false">C77*(Estacas!L77+Estacas!L78)/2</f>
        <v>36.352</v>
      </c>
      <c r="K77" s="141" t="n">
        <f aca="false">C77*(Estacas!M77+Estacas!M78)/2</f>
        <v>47.68</v>
      </c>
      <c r="L77" s="141" t="n">
        <f aca="false">C77*(Estacas!N77+Estacas!N78)/2</f>
        <v>75.72</v>
      </c>
      <c r="M77" s="141" t="n">
        <f aca="false">C77*(Estacas!O77+Estacas!O78)/2</f>
        <v>224</v>
      </c>
      <c r="N77" s="141" t="n">
        <f aca="false">C77*(Estacas!O77+Estacas!O78)/2</f>
        <v>224</v>
      </c>
      <c r="O77" s="141" t="n">
        <f aca="false">C77*(Estacas!P77+Estacas!P78)/2</f>
        <v>258.4</v>
      </c>
      <c r="P77" s="141" t="n">
        <f aca="false">R77*Parâmetros!$C$11</f>
        <v>0</v>
      </c>
      <c r="Q77" s="141" t="n">
        <f aca="false">R77*Parâmetros!$C$12</f>
        <v>0</v>
      </c>
      <c r="R77" s="141" t="n">
        <f aca="false">C77*(Estacas!Q77+Estacas!Q78)/2</f>
        <v>0</v>
      </c>
      <c r="S77" s="141" t="n">
        <f aca="false">IF(LEFT(E77,3)="T09",C77*Parâmetros!$D$13*Parâmetros!$C$13,0)</f>
        <v>0</v>
      </c>
    </row>
    <row r="78" customFormat="false" ht="15" hidden="false" customHeight="false" outlineLevel="0" collapsed="false">
      <c r="A78" s="138" t="str">
        <f aca="false">Estacas!A78</f>
        <v>76+0,00</v>
      </c>
      <c r="B78" s="138" t="str">
        <f aca="false">Estacas!A79</f>
        <v>77+0,00</v>
      </c>
      <c r="C78" s="144" t="n">
        <f aca="false">Estacas!C79-Estacas!C78</f>
        <v>20</v>
      </c>
      <c r="D78" s="138" t="s">
        <v>1565</v>
      </c>
      <c r="E78" s="138" t="s">
        <v>1566</v>
      </c>
      <c r="F78" s="141" t="n">
        <f aca="false">Estacas!F78</f>
        <v>11</v>
      </c>
      <c r="G78" s="141" t="n">
        <f aca="false">Estacas!F79</f>
        <v>11</v>
      </c>
      <c r="H78" s="141" t="n">
        <f aca="false">C78*(Estacas!K78+Estacas!K79)/2</f>
        <v>11.05</v>
      </c>
      <c r="I78" s="141" t="n">
        <f aca="false">H78*Parâmetros!$C$14</f>
        <v>26.52</v>
      </c>
      <c r="J78" s="141" t="n">
        <f aca="false">C78*(Estacas!L78+Estacas!L79)/2</f>
        <v>36.352</v>
      </c>
      <c r="K78" s="141" t="n">
        <f aca="false">C78*(Estacas!M78+Estacas!M79)/2</f>
        <v>47.68</v>
      </c>
      <c r="L78" s="141" t="n">
        <f aca="false">C78*(Estacas!N78+Estacas!N79)/2</f>
        <v>75.72</v>
      </c>
      <c r="M78" s="141" t="n">
        <f aca="false">C78*(Estacas!O78+Estacas!O79)/2</f>
        <v>224</v>
      </c>
      <c r="N78" s="141" t="n">
        <f aca="false">C78*(Estacas!O78+Estacas!O79)/2</f>
        <v>224</v>
      </c>
      <c r="O78" s="141" t="n">
        <f aca="false">C78*(Estacas!P78+Estacas!P79)/2</f>
        <v>258.4</v>
      </c>
      <c r="P78" s="141" t="n">
        <f aca="false">R78*Parâmetros!$C$11</f>
        <v>0</v>
      </c>
      <c r="Q78" s="141" t="n">
        <f aca="false">R78*Parâmetros!$C$12</f>
        <v>0</v>
      </c>
      <c r="R78" s="141" t="n">
        <f aca="false">C78*(Estacas!Q78+Estacas!Q79)/2</f>
        <v>0</v>
      </c>
      <c r="S78" s="141" t="n">
        <f aca="false">IF(LEFT(E78,3)="T09",C78*Parâmetros!$D$13*Parâmetros!$C$13,0)</f>
        <v>0</v>
      </c>
    </row>
    <row r="79" customFormat="false" ht="15" hidden="false" customHeight="false" outlineLevel="0" collapsed="false">
      <c r="A79" s="138" t="str">
        <f aca="false">Estacas!A79</f>
        <v>77+0,00</v>
      </c>
      <c r="B79" s="138" t="str">
        <f aca="false">Estacas!A80</f>
        <v>78+0,00</v>
      </c>
      <c r="C79" s="144" t="n">
        <f aca="false">Estacas!C80-Estacas!C79</f>
        <v>20</v>
      </c>
      <c r="D79" s="138" t="s">
        <v>1565</v>
      </c>
      <c r="E79" s="138" t="s">
        <v>1566</v>
      </c>
      <c r="F79" s="141" t="n">
        <f aca="false">Estacas!F79</f>
        <v>11</v>
      </c>
      <c r="G79" s="141" t="n">
        <f aca="false">Estacas!F80</f>
        <v>11</v>
      </c>
      <c r="H79" s="141" t="n">
        <f aca="false">C79*(Estacas!K79+Estacas!K80)/2</f>
        <v>11.05</v>
      </c>
      <c r="I79" s="141" t="n">
        <f aca="false">H79*Parâmetros!$C$14</f>
        <v>26.52</v>
      </c>
      <c r="J79" s="141" t="n">
        <f aca="false">C79*(Estacas!L79+Estacas!L80)/2</f>
        <v>36.352</v>
      </c>
      <c r="K79" s="141" t="n">
        <f aca="false">C79*(Estacas!M79+Estacas!M80)/2</f>
        <v>47.68</v>
      </c>
      <c r="L79" s="141" t="n">
        <f aca="false">C79*(Estacas!N79+Estacas!N80)/2</f>
        <v>75.72</v>
      </c>
      <c r="M79" s="141" t="n">
        <f aca="false">C79*(Estacas!O79+Estacas!O80)/2</f>
        <v>224</v>
      </c>
      <c r="N79" s="141" t="n">
        <f aca="false">C79*(Estacas!O79+Estacas!O80)/2</f>
        <v>224</v>
      </c>
      <c r="O79" s="141" t="n">
        <f aca="false">C79*(Estacas!P79+Estacas!P80)/2</f>
        <v>258.4</v>
      </c>
      <c r="P79" s="141" t="n">
        <f aca="false">R79*Parâmetros!$C$11</f>
        <v>0</v>
      </c>
      <c r="Q79" s="141" t="n">
        <f aca="false">R79*Parâmetros!$C$12</f>
        <v>0</v>
      </c>
      <c r="R79" s="141" t="n">
        <f aca="false">C79*(Estacas!Q79+Estacas!Q80)/2</f>
        <v>0</v>
      </c>
      <c r="S79" s="141" t="n">
        <f aca="false">IF(LEFT(E79,3)="T09",C79*Parâmetros!$D$13*Parâmetros!$C$13,0)</f>
        <v>0</v>
      </c>
    </row>
    <row r="80" customFormat="false" ht="15" hidden="false" customHeight="false" outlineLevel="0" collapsed="false">
      <c r="A80" s="138" t="str">
        <f aca="false">Estacas!A80</f>
        <v>78+0,00</v>
      </c>
      <c r="B80" s="138" t="str">
        <f aca="false">Estacas!A81</f>
        <v>79+0,00</v>
      </c>
      <c r="C80" s="144" t="n">
        <f aca="false">Estacas!C81-Estacas!C80</f>
        <v>20</v>
      </c>
      <c r="D80" s="138" t="s">
        <v>1565</v>
      </c>
      <c r="E80" s="138" t="s">
        <v>1566</v>
      </c>
      <c r="F80" s="141" t="n">
        <f aca="false">Estacas!F80</f>
        <v>11</v>
      </c>
      <c r="G80" s="141" t="n">
        <f aca="false">Estacas!F81</f>
        <v>11</v>
      </c>
      <c r="H80" s="141" t="n">
        <f aca="false">C80*(Estacas!K80+Estacas!K81)/2</f>
        <v>11.05</v>
      </c>
      <c r="I80" s="141" t="n">
        <f aca="false">H80*Parâmetros!$C$14</f>
        <v>26.52</v>
      </c>
      <c r="J80" s="141" t="n">
        <f aca="false">C80*(Estacas!L80+Estacas!L81)/2</f>
        <v>36.352</v>
      </c>
      <c r="K80" s="141" t="n">
        <f aca="false">C80*(Estacas!M80+Estacas!M81)/2</f>
        <v>47.68</v>
      </c>
      <c r="L80" s="141" t="n">
        <f aca="false">C80*(Estacas!N80+Estacas!N81)/2</f>
        <v>75.72</v>
      </c>
      <c r="M80" s="141" t="n">
        <f aca="false">C80*(Estacas!O80+Estacas!O81)/2</f>
        <v>224</v>
      </c>
      <c r="N80" s="141" t="n">
        <f aca="false">C80*(Estacas!O80+Estacas!O81)/2</f>
        <v>224</v>
      </c>
      <c r="O80" s="141" t="n">
        <f aca="false">C80*(Estacas!P80+Estacas!P81)/2</f>
        <v>258.4</v>
      </c>
      <c r="P80" s="141" t="n">
        <f aca="false">R80*Parâmetros!$C$11</f>
        <v>0</v>
      </c>
      <c r="Q80" s="141" t="n">
        <f aca="false">R80*Parâmetros!$C$12</f>
        <v>0</v>
      </c>
      <c r="R80" s="141" t="n">
        <f aca="false">C80*(Estacas!Q80+Estacas!Q81)/2</f>
        <v>0</v>
      </c>
      <c r="S80" s="141" t="n">
        <f aca="false">IF(LEFT(E80,3)="T09",C80*Parâmetros!$D$13*Parâmetros!$C$13,0)</f>
        <v>0</v>
      </c>
    </row>
    <row r="81" customFormat="false" ht="15" hidden="false" customHeight="false" outlineLevel="0" collapsed="false">
      <c r="A81" s="138" t="str">
        <f aca="false">Estacas!A81</f>
        <v>79+0,00</v>
      </c>
      <c r="B81" s="138" t="str">
        <f aca="false">Estacas!A82</f>
        <v>80+0,00</v>
      </c>
      <c r="C81" s="144" t="n">
        <f aca="false">Estacas!C82-Estacas!C81</f>
        <v>20</v>
      </c>
      <c r="D81" s="138" t="s">
        <v>1565</v>
      </c>
      <c r="E81" s="138" t="s">
        <v>1566</v>
      </c>
      <c r="F81" s="141" t="n">
        <f aca="false">Estacas!F81</f>
        <v>11</v>
      </c>
      <c r="G81" s="141" t="n">
        <f aca="false">Estacas!F82</f>
        <v>11</v>
      </c>
      <c r="H81" s="141" t="n">
        <f aca="false">C81*(Estacas!K81+Estacas!K82)/2</f>
        <v>11.05</v>
      </c>
      <c r="I81" s="141" t="n">
        <f aca="false">H81*Parâmetros!$C$14</f>
        <v>26.52</v>
      </c>
      <c r="J81" s="141" t="n">
        <f aca="false">C81*(Estacas!L81+Estacas!L82)/2</f>
        <v>36.352</v>
      </c>
      <c r="K81" s="141" t="n">
        <f aca="false">C81*(Estacas!M81+Estacas!M82)/2</f>
        <v>47.68</v>
      </c>
      <c r="L81" s="141" t="n">
        <f aca="false">C81*(Estacas!N81+Estacas!N82)/2</f>
        <v>75.72</v>
      </c>
      <c r="M81" s="141" t="n">
        <f aca="false">C81*(Estacas!O81+Estacas!O82)/2</f>
        <v>224</v>
      </c>
      <c r="N81" s="141" t="n">
        <f aca="false">C81*(Estacas!O81+Estacas!O82)/2</f>
        <v>224</v>
      </c>
      <c r="O81" s="141" t="n">
        <f aca="false">C81*(Estacas!P81+Estacas!P82)/2</f>
        <v>258.4</v>
      </c>
      <c r="P81" s="141" t="n">
        <f aca="false">R81*Parâmetros!$C$11</f>
        <v>0</v>
      </c>
      <c r="Q81" s="141" t="n">
        <f aca="false">R81*Parâmetros!$C$12</f>
        <v>0</v>
      </c>
      <c r="R81" s="141" t="n">
        <f aca="false">C81*(Estacas!Q81+Estacas!Q82)/2</f>
        <v>0</v>
      </c>
      <c r="S81" s="141" t="n">
        <f aca="false">IF(LEFT(E81,3)="T09",C81*Parâmetros!$D$13*Parâmetros!$C$13,0)</f>
        <v>0</v>
      </c>
    </row>
    <row r="82" customFormat="false" ht="15" hidden="false" customHeight="false" outlineLevel="0" collapsed="false">
      <c r="A82" s="138" t="str">
        <f aca="false">Estacas!A82</f>
        <v>80+0,00</v>
      </c>
      <c r="B82" s="138" t="str">
        <f aca="false">Estacas!A83</f>
        <v>81+0,00</v>
      </c>
      <c r="C82" s="144" t="n">
        <f aca="false">Estacas!C83-Estacas!C82</f>
        <v>20</v>
      </c>
      <c r="D82" s="138" t="s">
        <v>1565</v>
      </c>
      <c r="E82" s="138" t="s">
        <v>1566</v>
      </c>
      <c r="F82" s="141" t="n">
        <f aca="false">Estacas!F82</f>
        <v>11</v>
      </c>
      <c r="G82" s="141" t="n">
        <f aca="false">Estacas!F83</f>
        <v>11</v>
      </c>
      <c r="H82" s="141" t="n">
        <f aca="false">C82*(Estacas!K82+Estacas!K83)/2</f>
        <v>11.05</v>
      </c>
      <c r="I82" s="141" t="n">
        <f aca="false">H82*Parâmetros!$C$14</f>
        <v>26.52</v>
      </c>
      <c r="J82" s="141" t="n">
        <f aca="false">C82*(Estacas!L82+Estacas!L83)/2</f>
        <v>36.352</v>
      </c>
      <c r="K82" s="141" t="n">
        <f aca="false">C82*(Estacas!M82+Estacas!M83)/2</f>
        <v>47.68</v>
      </c>
      <c r="L82" s="141" t="n">
        <f aca="false">C82*(Estacas!N82+Estacas!N83)/2</f>
        <v>75.72</v>
      </c>
      <c r="M82" s="141" t="n">
        <f aca="false">C82*(Estacas!O82+Estacas!O83)/2</f>
        <v>224</v>
      </c>
      <c r="N82" s="141" t="n">
        <f aca="false">C82*(Estacas!O82+Estacas!O83)/2</f>
        <v>224</v>
      </c>
      <c r="O82" s="141" t="n">
        <f aca="false">C82*(Estacas!P82+Estacas!P83)/2</f>
        <v>258.4</v>
      </c>
      <c r="P82" s="141" t="n">
        <f aca="false">R82*Parâmetros!$C$11</f>
        <v>0</v>
      </c>
      <c r="Q82" s="141" t="n">
        <f aca="false">R82*Parâmetros!$C$12</f>
        <v>0</v>
      </c>
      <c r="R82" s="141" t="n">
        <f aca="false">C82*(Estacas!Q82+Estacas!Q83)/2</f>
        <v>0</v>
      </c>
      <c r="S82" s="141" t="n">
        <f aca="false">IF(LEFT(E82,3)="T09",C82*Parâmetros!$D$13*Parâmetros!$C$13,0)</f>
        <v>0</v>
      </c>
    </row>
    <row r="83" customFormat="false" ht="15" hidden="false" customHeight="false" outlineLevel="0" collapsed="false">
      <c r="A83" s="138" t="str">
        <f aca="false">Estacas!A83</f>
        <v>81+0,00</v>
      </c>
      <c r="B83" s="138" t="str">
        <f aca="false">Estacas!A84</f>
        <v>82+0,00</v>
      </c>
      <c r="C83" s="144" t="n">
        <f aca="false">Estacas!C84-Estacas!C83</f>
        <v>20</v>
      </c>
      <c r="D83" s="138" t="s">
        <v>1565</v>
      </c>
      <c r="E83" s="138" t="s">
        <v>1566</v>
      </c>
      <c r="F83" s="141" t="n">
        <f aca="false">Estacas!F83</f>
        <v>11</v>
      </c>
      <c r="G83" s="141" t="n">
        <f aca="false">Estacas!F84</f>
        <v>11</v>
      </c>
      <c r="H83" s="141" t="n">
        <f aca="false">C83*(Estacas!K83+Estacas!K84)/2</f>
        <v>11.05</v>
      </c>
      <c r="I83" s="141" t="n">
        <f aca="false">H83*Parâmetros!$C$14</f>
        <v>26.52</v>
      </c>
      <c r="J83" s="141" t="n">
        <f aca="false">C83*(Estacas!L83+Estacas!L84)/2</f>
        <v>36.352</v>
      </c>
      <c r="K83" s="141" t="n">
        <f aca="false">C83*(Estacas!M83+Estacas!M84)/2</f>
        <v>47.68</v>
      </c>
      <c r="L83" s="141" t="n">
        <f aca="false">C83*(Estacas!N83+Estacas!N84)/2</f>
        <v>75.72</v>
      </c>
      <c r="M83" s="141" t="n">
        <f aca="false">C83*(Estacas!O83+Estacas!O84)/2</f>
        <v>224</v>
      </c>
      <c r="N83" s="141" t="n">
        <f aca="false">C83*(Estacas!O83+Estacas!O84)/2</f>
        <v>224</v>
      </c>
      <c r="O83" s="141" t="n">
        <f aca="false">C83*(Estacas!P83+Estacas!P84)/2</f>
        <v>258.4</v>
      </c>
      <c r="P83" s="141" t="n">
        <f aca="false">R83*Parâmetros!$C$11</f>
        <v>0</v>
      </c>
      <c r="Q83" s="141" t="n">
        <f aca="false">R83*Parâmetros!$C$12</f>
        <v>0</v>
      </c>
      <c r="R83" s="141" t="n">
        <f aca="false">C83*(Estacas!Q83+Estacas!Q84)/2</f>
        <v>0</v>
      </c>
      <c r="S83" s="141" t="n">
        <f aca="false">IF(LEFT(E83,3)="T09",C83*Parâmetros!$D$13*Parâmetros!$C$13,0)</f>
        <v>0</v>
      </c>
    </row>
    <row r="84" customFormat="false" ht="15" hidden="false" customHeight="false" outlineLevel="0" collapsed="false">
      <c r="A84" s="138" t="str">
        <f aca="false">Estacas!A84</f>
        <v>82+0,00</v>
      </c>
      <c r="B84" s="138" t="str">
        <f aca="false">Estacas!A85</f>
        <v>83+0,00</v>
      </c>
      <c r="C84" s="144" t="n">
        <f aca="false">Estacas!C85-Estacas!C84</f>
        <v>20</v>
      </c>
      <c r="D84" s="138" t="s">
        <v>1565</v>
      </c>
      <c r="E84" s="138" t="s">
        <v>1566</v>
      </c>
      <c r="F84" s="141" t="n">
        <f aca="false">Estacas!F84</f>
        <v>11</v>
      </c>
      <c r="G84" s="141" t="n">
        <f aca="false">Estacas!F85</f>
        <v>11</v>
      </c>
      <c r="H84" s="141" t="n">
        <f aca="false">C84*(Estacas!K84+Estacas!K85)/2</f>
        <v>11.05</v>
      </c>
      <c r="I84" s="141" t="n">
        <f aca="false">H84*Parâmetros!$C$14</f>
        <v>26.52</v>
      </c>
      <c r="J84" s="141" t="n">
        <f aca="false">C84*(Estacas!L84+Estacas!L85)/2</f>
        <v>36.352</v>
      </c>
      <c r="K84" s="141" t="n">
        <f aca="false">C84*(Estacas!M84+Estacas!M85)/2</f>
        <v>47.68</v>
      </c>
      <c r="L84" s="141" t="n">
        <f aca="false">C84*(Estacas!N84+Estacas!N85)/2</f>
        <v>75.72</v>
      </c>
      <c r="M84" s="141" t="n">
        <f aca="false">C84*(Estacas!O84+Estacas!O85)/2</f>
        <v>224</v>
      </c>
      <c r="N84" s="141" t="n">
        <f aca="false">C84*(Estacas!O84+Estacas!O85)/2</f>
        <v>224</v>
      </c>
      <c r="O84" s="141" t="n">
        <f aca="false">C84*(Estacas!P84+Estacas!P85)/2</f>
        <v>258.4</v>
      </c>
      <c r="P84" s="141" t="n">
        <f aca="false">R84*Parâmetros!$C$11</f>
        <v>0</v>
      </c>
      <c r="Q84" s="141" t="n">
        <f aca="false">R84*Parâmetros!$C$12</f>
        <v>0</v>
      </c>
      <c r="R84" s="141" t="n">
        <f aca="false">C84*(Estacas!Q84+Estacas!Q85)/2</f>
        <v>0</v>
      </c>
      <c r="S84" s="141" t="n">
        <f aca="false">IF(LEFT(E84,3)="T09",C84*Parâmetros!$D$13*Parâmetros!$C$13,0)</f>
        <v>0</v>
      </c>
    </row>
    <row r="85" customFormat="false" ht="15" hidden="false" customHeight="false" outlineLevel="0" collapsed="false">
      <c r="A85" s="138" t="str">
        <f aca="false">Estacas!A85</f>
        <v>83+0,00</v>
      </c>
      <c r="B85" s="138" t="str">
        <f aca="false">Estacas!A86</f>
        <v>84+0,00</v>
      </c>
      <c r="C85" s="144" t="n">
        <f aca="false">Estacas!C86-Estacas!C85</f>
        <v>20</v>
      </c>
      <c r="D85" s="138" t="s">
        <v>1565</v>
      </c>
      <c r="E85" s="138" t="s">
        <v>1566</v>
      </c>
      <c r="F85" s="141" t="n">
        <f aca="false">Estacas!F85</f>
        <v>11</v>
      </c>
      <c r="G85" s="141" t="n">
        <f aca="false">Estacas!F86</f>
        <v>11</v>
      </c>
      <c r="H85" s="141" t="n">
        <f aca="false">C85*(Estacas!K85+Estacas!K86)/2</f>
        <v>11.05</v>
      </c>
      <c r="I85" s="141" t="n">
        <f aca="false">H85*Parâmetros!$C$14</f>
        <v>26.52</v>
      </c>
      <c r="J85" s="141" t="n">
        <f aca="false">C85*(Estacas!L85+Estacas!L86)/2</f>
        <v>36.352</v>
      </c>
      <c r="K85" s="141" t="n">
        <f aca="false">C85*(Estacas!M85+Estacas!M86)/2</f>
        <v>47.68</v>
      </c>
      <c r="L85" s="141" t="n">
        <f aca="false">C85*(Estacas!N85+Estacas!N86)/2</f>
        <v>75.72</v>
      </c>
      <c r="M85" s="141" t="n">
        <f aca="false">C85*(Estacas!O85+Estacas!O86)/2</f>
        <v>224</v>
      </c>
      <c r="N85" s="141" t="n">
        <f aca="false">C85*(Estacas!O85+Estacas!O86)/2</f>
        <v>224</v>
      </c>
      <c r="O85" s="141" t="n">
        <f aca="false">C85*(Estacas!P85+Estacas!P86)/2</f>
        <v>258.4</v>
      </c>
      <c r="P85" s="141" t="n">
        <f aca="false">R85*Parâmetros!$C$11</f>
        <v>0</v>
      </c>
      <c r="Q85" s="141" t="n">
        <f aca="false">R85*Parâmetros!$C$12</f>
        <v>0</v>
      </c>
      <c r="R85" s="141" t="n">
        <f aca="false">C85*(Estacas!Q85+Estacas!Q86)/2</f>
        <v>0</v>
      </c>
      <c r="S85" s="141" t="n">
        <f aca="false">IF(LEFT(E85,3)="T09",C85*Parâmetros!$D$13*Parâmetros!$C$13,0)</f>
        <v>0</v>
      </c>
    </row>
    <row r="86" customFormat="false" ht="15" hidden="false" customHeight="false" outlineLevel="0" collapsed="false">
      <c r="A86" s="138" t="str">
        <f aca="false">Estacas!A86</f>
        <v>84+0,00</v>
      </c>
      <c r="B86" s="138" t="str">
        <f aca="false">Estacas!A87</f>
        <v>85+0,00</v>
      </c>
      <c r="C86" s="144" t="n">
        <f aca="false">Estacas!C87-Estacas!C86</f>
        <v>20</v>
      </c>
      <c r="D86" s="138" t="s">
        <v>1565</v>
      </c>
      <c r="E86" s="138" t="s">
        <v>1566</v>
      </c>
      <c r="F86" s="141" t="n">
        <f aca="false">Estacas!F86</f>
        <v>11</v>
      </c>
      <c r="G86" s="141" t="n">
        <f aca="false">Estacas!F87</f>
        <v>11</v>
      </c>
      <c r="H86" s="141" t="n">
        <f aca="false">C86*(Estacas!K86+Estacas!K87)/2</f>
        <v>11.05</v>
      </c>
      <c r="I86" s="141" t="n">
        <f aca="false">H86*Parâmetros!$C$14</f>
        <v>26.52</v>
      </c>
      <c r="J86" s="141" t="n">
        <f aca="false">C86*(Estacas!L86+Estacas!L87)/2</f>
        <v>36.352</v>
      </c>
      <c r="K86" s="141" t="n">
        <f aca="false">C86*(Estacas!M86+Estacas!M87)/2</f>
        <v>47.68</v>
      </c>
      <c r="L86" s="141" t="n">
        <f aca="false">C86*(Estacas!N86+Estacas!N87)/2</f>
        <v>75.72</v>
      </c>
      <c r="M86" s="141" t="n">
        <f aca="false">C86*(Estacas!O86+Estacas!O87)/2</f>
        <v>224</v>
      </c>
      <c r="N86" s="141" t="n">
        <f aca="false">C86*(Estacas!O86+Estacas!O87)/2</f>
        <v>224</v>
      </c>
      <c r="O86" s="141" t="n">
        <f aca="false">C86*(Estacas!P86+Estacas!P87)/2</f>
        <v>258.4</v>
      </c>
      <c r="P86" s="141" t="n">
        <f aca="false">R86*Parâmetros!$C$11</f>
        <v>0</v>
      </c>
      <c r="Q86" s="141" t="n">
        <f aca="false">R86*Parâmetros!$C$12</f>
        <v>0</v>
      </c>
      <c r="R86" s="141" t="n">
        <f aca="false">C86*(Estacas!Q86+Estacas!Q87)/2</f>
        <v>0</v>
      </c>
      <c r="S86" s="141" t="n">
        <f aca="false">IF(LEFT(E86,3)="T09",C86*Parâmetros!$D$13*Parâmetros!$C$13,0)</f>
        <v>0</v>
      </c>
    </row>
    <row r="87" customFormat="false" ht="15" hidden="false" customHeight="false" outlineLevel="0" collapsed="false">
      <c r="A87" s="138" t="str">
        <f aca="false">Estacas!A87</f>
        <v>85+0,00</v>
      </c>
      <c r="B87" s="138" t="str">
        <f aca="false">Estacas!A88</f>
        <v>86+0,00</v>
      </c>
      <c r="C87" s="144" t="n">
        <f aca="false">Estacas!C88-Estacas!C87</f>
        <v>20</v>
      </c>
      <c r="D87" s="138" t="s">
        <v>1565</v>
      </c>
      <c r="E87" s="138" t="s">
        <v>1566</v>
      </c>
      <c r="F87" s="141" t="n">
        <f aca="false">Estacas!F87</f>
        <v>11</v>
      </c>
      <c r="G87" s="141" t="n">
        <f aca="false">Estacas!F88</f>
        <v>11</v>
      </c>
      <c r="H87" s="141" t="n">
        <f aca="false">C87*(Estacas!K87+Estacas!K88)/2</f>
        <v>11.05</v>
      </c>
      <c r="I87" s="141" t="n">
        <f aca="false">H87*Parâmetros!$C$14</f>
        <v>26.52</v>
      </c>
      <c r="J87" s="141" t="n">
        <f aca="false">C87*(Estacas!L87+Estacas!L88)/2</f>
        <v>36.352</v>
      </c>
      <c r="K87" s="141" t="n">
        <f aca="false">C87*(Estacas!M87+Estacas!M88)/2</f>
        <v>47.68</v>
      </c>
      <c r="L87" s="141" t="n">
        <f aca="false">C87*(Estacas!N87+Estacas!N88)/2</f>
        <v>75.72</v>
      </c>
      <c r="M87" s="141" t="n">
        <f aca="false">C87*(Estacas!O87+Estacas!O88)/2</f>
        <v>224</v>
      </c>
      <c r="N87" s="141" t="n">
        <f aca="false">C87*(Estacas!O87+Estacas!O88)/2</f>
        <v>224</v>
      </c>
      <c r="O87" s="141" t="n">
        <f aca="false">C87*(Estacas!P87+Estacas!P88)/2</f>
        <v>258.4</v>
      </c>
      <c r="P87" s="141" t="n">
        <f aca="false">R87*Parâmetros!$C$11</f>
        <v>0</v>
      </c>
      <c r="Q87" s="141" t="n">
        <f aca="false">R87*Parâmetros!$C$12</f>
        <v>0</v>
      </c>
      <c r="R87" s="141" t="n">
        <f aca="false">C87*(Estacas!Q87+Estacas!Q88)/2</f>
        <v>0</v>
      </c>
      <c r="S87" s="141" t="n">
        <f aca="false">IF(LEFT(E87,3)="T09",C87*Parâmetros!$D$13*Parâmetros!$C$13,0)</f>
        <v>0</v>
      </c>
    </row>
    <row r="88" customFormat="false" ht="15" hidden="false" customHeight="false" outlineLevel="0" collapsed="false">
      <c r="A88" s="138" t="str">
        <f aca="false">Estacas!A88</f>
        <v>86+0,00</v>
      </c>
      <c r="B88" s="138" t="str">
        <f aca="false">Estacas!A89</f>
        <v>87+0,00</v>
      </c>
      <c r="C88" s="144" t="n">
        <f aca="false">Estacas!C89-Estacas!C88</f>
        <v>20</v>
      </c>
      <c r="D88" s="138" t="s">
        <v>1565</v>
      </c>
      <c r="E88" s="138" t="s">
        <v>1566</v>
      </c>
      <c r="F88" s="141" t="n">
        <f aca="false">Estacas!F88</f>
        <v>11</v>
      </c>
      <c r="G88" s="141" t="n">
        <f aca="false">Estacas!F89</f>
        <v>11</v>
      </c>
      <c r="H88" s="141" t="n">
        <f aca="false">C88*(Estacas!K88+Estacas!K89)/2</f>
        <v>11.05</v>
      </c>
      <c r="I88" s="141" t="n">
        <f aca="false">H88*Parâmetros!$C$14</f>
        <v>26.52</v>
      </c>
      <c r="J88" s="141" t="n">
        <f aca="false">C88*(Estacas!L88+Estacas!L89)/2</f>
        <v>36.352</v>
      </c>
      <c r="K88" s="141" t="n">
        <f aca="false">C88*(Estacas!M88+Estacas!M89)/2</f>
        <v>47.68</v>
      </c>
      <c r="L88" s="141" t="n">
        <f aca="false">C88*(Estacas!N88+Estacas!N89)/2</f>
        <v>75.72</v>
      </c>
      <c r="M88" s="141" t="n">
        <f aca="false">C88*(Estacas!O88+Estacas!O89)/2</f>
        <v>224</v>
      </c>
      <c r="N88" s="141" t="n">
        <f aca="false">C88*(Estacas!O88+Estacas!O89)/2</f>
        <v>224</v>
      </c>
      <c r="O88" s="141" t="n">
        <f aca="false">C88*(Estacas!P88+Estacas!P89)/2</f>
        <v>258.4</v>
      </c>
      <c r="P88" s="141" t="n">
        <f aca="false">R88*Parâmetros!$C$11</f>
        <v>0</v>
      </c>
      <c r="Q88" s="141" t="n">
        <f aca="false">R88*Parâmetros!$C$12</f>
        <v>0</v>
      </c>
      <c r="R88" s="141" t="n">
        <f aca="false">C88*(Estacas!Q88+Estacas!Q89)/2</f>
        <v>0</v>
      </c>
      <c r="S88" s="141" t="n">
        <f aca="false">IF(LEFT(E88,3)="T09",C88*Parâmetros!$D$13*Parâmetros!$C$13,0)</f>
        <v>0</v>
      </c>
    </row>
    <row r="89" customFormat="false" ht="15" hidden="false" customHeight="false" outlineLevel="0" collapsed="false">
      <c r="A89" s="138" t="str">
        <f aca="false">Estacas!A89</f>
        <v>87+0,00</v>
      </c>
      <c r="B89" s="138" t="str">
        <f aca="false">Estacas!A90</f>
        <v>88+0,00</v>
      </c>
      <c r="C89" s="144" t="n">
        <f aca="false">Estacas!C90-Estacas!C89</f>
        <v>20</v>
      </c>
      <c r="D89" s="138" t="s">
        <v>1565</v>
      </c>
      <c r="E89" s="138" t="s">
        <v>1566</v>
      </c>
      <c r="F89" s="141" t="n">
        <f aca="false">Estacas!F89</f>
        <v>11</v>
      </c>
      <c r="G89" s="141" t="n">
        <f aca="false">Estacas!F90</f>
        <v>11</v>
      </c>
      <c r="H89" s="141" t="n">
        <f aca="false">C89*(Estacas!K89+Estacas!K90)/2</f>
        <v>11.05</v>
      </c>
      <c r="I89" s="141" t="n">
        <f aca="false">H89*Parâmetros!$C$14</f>
        <v>26.52</v>
      </c>
      <c r="J89" s="141" t="n">
        <f aca="false">C89*(Estacas!L89+Estacas!L90)/2</f>
        <v>36.352</v>
      </c>
      <c r="K89" s="141" t="n">
        <f aca="false">C89*(Estacas!M89+Estacas!M90)/2</f>
        <v>47.68</v>
      </c>
      <c r="L89" s="141" t="n">
        <f aca="false">C89*(Estacas!N89+Estacas!N90)/2</f>
        <v>75.72</v>
      </c>
      <c r="M89" s="141" t="n">
        <f aca="false">C89*(Estacas!O89+Estacas!O90)/2</f>
        <v>224</v>
      </c>
      <c r="N89" s="141" t="n">
        <f aca="false">C89*(Estacas!O89+Estacas!O90)/2</f>
        <v>224</v>
      </c>
      <c r="O89" s="141" t="n">
        <f aca="false">C89*(Estacas!P89+Estacas!P90)/2</f>
        <v>258.4</v>
      </c>
      <c r="P89" s="141" t="n">
        <f aca="false">R89*Parâmetros!$C$11</f>
        <v>0</v>
      </c>
      <c r="Q89" s="141" t="n">
        <f aca="false">R89*Parâmetros!$C$12</f>
        <v>0</v>
      </c>
      <c r="R89" s="141" t="n">
        <f aca="false">C89*(Estacas!Q89+Estacas!Q90)/2</f>
        <v>0</v>
      </c>
      <c r="S89" s="141" t="n">
        <f aca="false">IF(LEFT(E89,3)="T09",C89*Parâmetros!$D$13*Parâmetros!$C$13,0)</f>
        <v>0</v>
      </c>
    </row>
    <row r="90" customFormat="false" ht="15" hidden="false" customHeight="false" outlineLevel="0" collapsed="false">
      <c r="A90" s="138" t="str">
        <f aca="false">Estacas!A90</f>
        <v>88+0,00</v>
      </c>
      <c r="B90" s="138" t="str">
        <f aca="false">Estacas!A91</f>
        <v>89+0,00</v>
      </c>
      <c r="C90" s="144" t="n">
        <f aca="false">Estacas!C91-Estacas!C90</f>
        <v>20</v>
      </c>
      <c r="D90" s="138" t="s">
        <v>1565</v>
      </c>
      <c r="E90" s="138" t="s">
        <v>1566</v>
      </c>
      <c r="F90" s="141" t="n">
        <f aca="false">Estacas!F90</f>
        <v>11</v>
      </c>
      <c r="G90" s="141" t="n">
        <f aca="false">Estacas!F91</f>
        <v>11</v>
      </c>
      <c r="H90" s="141" t="n">
        <f aca="false">C90*(Estacas!K90+Estacas!K91)/2</f>
        <v>11.05</v>
      </c>
      <c r="I90" s="141" t="n">
        <f aca="false">H90*Parâmetros!$C$14</f>
        <v>26.52</v>
      </c>
      <c r="J90" s="141" t="n">
        <f aca="false">C90*(Estacas!L90+Estacas!L91)/2</f>
        <v>36.352</v>
      </c>
      <c r="K90" s="141" t="n">
        <f aca="false">C90*(Estacas!M90+Estacas!M91)/2</f>
        <v>47.68</v>
      </c>
      <c r="L90" s="141" t="n">
        <f aca="false">C90*(Estacas!N90+Estacas!N91)/2</f>
        <v>75.72</v>
      </c>
      <c r="M90" s="141" t="n">
        <f aca="false">C90*(Estacas!O90+Estacas!O91)/2</f>
        <v>224</v>
      </c>
      <c r="N90" s="141" t="n">
        <f aca="false">C90*(Estacas!O90+Estacas!O91)/2</f>
        <v>224</v>
      </c>
      <c r="O90" s="141" t="n">
        <f aca="false">C90*(Estacas!P90+Estacas!P91)/2</f>
        <v>258.4</v>
      </c>
      <c r="P90" s="141" t="n">
        <f aca="false">R90*Parâmetros!$C$11</f>
        <v>0</v>
      </c>
      <c r="Q90" s="141" t="n">
        <f aca="false">R90*Parâmetros!$C$12</f>
        <v>0</v>
      </c>
      <c r="R90" s="141" t="n">
        <f aca="false">C90*(Estacas!Q90+Estacas!Q91)/2</f>
        <v>0</v>
      </c>
      <c r="S90" s="141" t="n">
        <f aca="false">IF(LEFT(E90,3)="T09",C90*Parâmetros!$D$13*Parâmetros!$C$13,0)</f>
        <v>0</v>
      </c>
    </row>
    <row r="91" customFormat="false" ht="15" hidden="false" customHeight="false" outlineLevel="0" collapsed="false">
      <c r="A91" s="138" t="str">
        <f aca="false">Estacas!A91</f>
        <v>89+0,00</v>
      </c>
      <c r="B91" s="138" t="str">
        <f aca="false">Estacas!A92</f>
        <v>90+0,00</v>
      </c>
      <c r="C91" s="144" t="n">
        <f aca="false">Estacas!C92-Estacas!C91</f>
        <v>20</v>
      </c>
      <c r="D91" s="138" t="s">
        <v>1565</v>
      </c>
      <c r="E91" s="138" t="s">
        <v>1566</v>
      </c>
      <c r="F91" s="141" t="n">
        <f aca="false">Estacas!F91</f>
        <v>11</v>
      </c>
      <c r="G91" s="141" t="n">
        <f aca="false">Estacas!F92</f>
        <v>11</v>
      </c>
      <c r="H91" s="141" t="n">
        <f aca="false">C91*(Estacas!K91+Estacas!K92)/2</f>
        <v>11.05</v>
      </c>
      <c r="I91" s="141" t="n">
        <f aca="false">H91*Parâmetros!$C$14</f>
        <v>26.52</v>
      </c>
      <c r="J91" s="141" t="n">
        <f aca="false">C91*(Estacas!L91+Estacas!L92)/2</f>
        <v>36.352</v>
      </c>
      <c r="K91" s="141" t="n">
        <f aca="false">C91*(Estacas!M91+Estacas!M92)/2</f>
        <v>47.68</v>
      </c>
      <c r="L91" s="141" t="n">
        <f aca="false">C91*(Estacas!N91+Estacas!N92)/2</f>
        <v>75.72</v>
      </c>
      <c r="M91" s="141" t="n">
        <f aca="false">C91*(Estacas!O91+Estacas!O92)/2</f>
        <v>224</v>
      </c>
      <c r="N91" s="141" t="n">
        <f aca="false">C91*(Estacas!O91+Estacas!O92)/2</f>
        <v>224</v>
      </c>
      <c r="O91" s="141" t="n">
        <f aca="false">C91*(Estacas!P91+Estacas!P92)/2</f>
        <v>258.4</v>
      </c>
      <c r="P91" s="141" t="n">
        <f aca="false">R91*Parâmetros!$C$11</f>
        <v>0</v>
      </c>
      <c r="Q91" s="141" t="n">
        <f aca="false">R91*Parâmetros!$C$12</f>
        <v>0</v>
      </c>
      <c r="R91" s="141" t="n">
        <f aca="false">C91*(Estacas!Q91+Estacas!Q92)/2</f>
        <v>0</v>
      </c>
      <c r="S91" s="141" t="n">
        <f aca="false">IF(LEFT(E91,3)="T09",C91*Parâmetros!$D$13*Parâmetros!$C$13,0)</f>
        <v>0</v>
      </c>
    </row>
    <row r="92" customFormat="false" ht="15" hidden="false" customHeight="false" outlineLevel="0" collapsed="false">
      <c r="A92" s="138" t="str">
        <f aca="false">Estacas!A92</f>
        <v>90+0,00</v>
      </c>
      <c r="B92" s="138" t="str">
        <f aca="false">Estacas!A93</f>
        <v>91+0,00</v>
      </c>
      <c r="C92" s="144" t="n">
        <f aca="false">Estacas!C93-Estacas!C92</f>
        <v>20</v>
      </c>
      <c r="D92" s="138" t="s">
        <v>1565</v>
      </c>
      <c r="E92" s="138" t="s">
        <v>1566</v>
      </c>
      <c r="F92" s="141" t="n">
        <f aca="false">Estacas!F92</f>
        <v>11</v>
      </c>
      <c r="G92" s="141" t="n">
        <f aca="false">Estacas!F93</f>
        <v>11</v>
      </c>
      <c r="H92" s="141" t="n">
        <f aca="false">C92*(Estacas!K92+Estacas!K93)/2</f>
        <v>11.05</v>
      </c>
      <c r="I92" s="141" t="n">
        <f aca="false">H92*Parâmetros!$C$14</f>
        <v>26.52</v>
      </c>
      <c r="J92" s="141" t="n">
        <f aca="false">C92*(Estacas!L92+Estacas!L93)/2</f>
        <v>36.352</v>
      </c>
      <c r="K92" s="141" t="n">
        <f aca="false">C92*(Estacas!M92+Estacas!M93)/2</f>
        <v>47.68</v>
      </c>
      <c r="L92" s="141" t="n">
        <f aca="false">C92*(Estacas!N92+Estacas!N93)/2</f>
        <v>75.72</v>
      </c>
      <c r="M92" s="141" t="n">
        <f aca="false">C92*(Estacas!O92+Estacas!O93)/2</f>
        <v>224</v>
      </c>
      <c r="N92" s="141" t="n">
        <f aca="false">C92*(Estacas!O92+Estacas!O93)/2</f>
        <v>224</v>
      </c>
      <c r="O92" s="141" t="n">
        <f aca="false">C92*(Estacas!P92+Estacas!P93)/2</f>
        <v>258.4</v>
      </c>
      <c r="P92" s="141" t="n">
        <f aca="false">R92*Parâmetros!$C$11</f>
        <v>0</v>
      </c>
      <c r="Q92" s="141" t="n">
        <f aca="false">R92*Parâmetros!$C$12</f>
        <v>0</v>
      </c>
      <c r="R92" s="141" t="n">
        <f aca="false">C92*(Estacas!Q92+Estacas!Q93)/2</f>
        <v>0</v>
      </c>
      <c r="S92" s="141" t="n">
        <f aca="false">IF(LEFT(E92,3)="T09",C92*Parâmetros!$D$13*Parâmetros!$C$13,0)</f>
        <v>0</v>
      </c>
    </row>
    <row r="93" customFormat="false" ht="15" hidden="false" customHeight="false" outlineLevel="0" collapsed="false">
      <c r="A93" s="138" t="str">
        <f aca="false">Estacas!A93</f>
        <v>91+0,00</v>
      </c>
      <c r="B93" s="138" t="str">
        <f aca="false">Estacas!A94</f>
        <v>92+0,00</v>
      </c>
      <c r="C93" s="144" t="n">
        <f aca="false">Estacas!C94-Estacas!C93</f>
        <v>20</v>
      </c>
      <c r="D93" s="138" t="s">
        <v>1565</v>
      </c>
      <c r="E93" s="138" t="s">
        <v>1566</v>
      </c>
      <c r="F93" s="141" t="n">
        <f aca="false">Estacas!F93</f>
        <v>11</v>
      </c>
      <c r="G93" s="141" t="n">
        <f aca="false">Estacas!F94</f>
        <v>11</v>
      </c>
      <c r="H93" s="141" t="n">
        <f aca="false">C93*(Estacas!K93+Estacas!K94)/2</f>
        <v>11.05</v>
      </c>
      <c r="I93" s="141" t="n">
        <f aca="false">H93*Parâmetros!$C$14</f>
        <v>26.52</v>
      </c>
      <c r="J93" s="141" t="n">
        <f aca="false">C93*(Estacas!L93+Estacas!L94)/2</f>
        <v>36.352</v>
      </c>
      <c r="K93" s="141" t="n">
        <f aca="false">C93*(Estacas!M93+Estacas!M94)/2</f>
        <v>47.68</v>
      </c>
      <c r="L93" s="141" t="n">
        <f aca="false">C93*(Estacas!N93+Estacas!N94)/2</f>
        <v>75.72</v>
      </c>
      <c r="M93" s="141" t="n">
        <f aca="false">C93*(Estacas!O93+Estacas!O94)/2</f>
        <v>224</v>
      </c>
      <c r="N93" s="141" t="n">
        <f aca="false">C93*(Estacas!O93+Estacas!O94)/2</f>
        <v>224</v>
      </c>
      <c r="O93" s="141" t="n">
        <f aca="false">C93*(Estacas!P93+Estacas!P94)/2</f>
        <v>258.4</v>
      </c>
      <c r="P93" s="141" t="n">
        <f aca="false">R93*Parâmetros!$C$11</f>
        <v>0</v>
      </c>
      <c r="Q93" s="141" t="n">
        <f aca="false">R93*Parâmetros!$C$12</f>
        <v>0</v>
      </c>
      <c r="R93" s="141" t="n">
        <f aca="false">C93*(Estacas!Q93+Estacas!Q94)/2</f>
        <v>0</v>
      </c>
      <c r="S93" s="141" t="n">
        <f aca="false">IF(LEFT(E93,3)="T09",C93*Parâmetros!$D$13*Parâmetros!$C$13,0)</f>
        <v>0</v>
      </c>
    </row>
    <row r="94" customFormat="false" ht="15" hidden="false" customHeight="false" outlineLevel="0" collapsed="false">
      <c r="A94" s="138" t="str">
        <f aca="false">Estacas!A94</f>
        <v>92+0,00</v>
      </c>
      <c r="B94" s="138" t="str">
        <f aca="false">Estacas!A95</f>
        <v>93+0,00</v>
      </c>
      <c r="C94" s="144" t="n">
        <f aca="false">Estacas!C95-Estacas!C94</f>
        <v>20</v>
      </c>
      <c r="D94" s="138" t="s">
        <v>1565</v>
      </c>
      <c r="E94" s="138" t="s">
        <v>1566</v>
      </c>
      <c r="F94" s="141" t="n">
        <f aca="false">Estacas!F94</f>
        <v>11</v>
      </c>
      <c r="G94" s="141" t="n">
        <f aca="false">Estacas!F95</f>
        <v>11</v>
      </c>
      <c r="H94" s="141" t="n">
        <f aca="false">C94*(Estacas!K94+Estacas!K95)/2</f>
        <v>11.05</v>
      </c>
      <c r="I94" s="141" t="n">
        <f aca="false">H94*Parâmetros!$C$14</f>
        <v>26.52</v>
      </c>
      <c r="J94" s="141" t="n">
        <f aca="false">C94*(Estacas!L94+Estacas!L95)/2</f>
        <v>36.352</v>
      </c>
      <c r="K94" s="141" t="n">
        <f aca="false">C94*(Estacas!M94+Estacas!M95)/2</f>
        <v>47.68</v>
      </c>
      <c r="L94" s="141" t="n">
        <f aca="false">C94*(Estacas!N94+Estacas!N95)/2</f>
        <v>75.72</v>
      </c>
      <c r="M94" s="141" t="n">
        <f aca="false">C94*(Estacas!O94+Estacas!O95)/2</f>
        <v>224</v>
      </c>
      <c r="N94" s="141" t="n">
        <f aca="false">C94*(Estacas!O94+Estacas!O95)/2</f>
        <v>224</v>
      </c>
      <c r="O94" s="141" t="n">
        <f aca="false">C94*(Estacas!P94+Estacas!P95)/2</f>
        <v>258.4</v>
      </c>
      <c r="P94" s="141" t="n">
        <f aca="false">R94*Parâmetros!$C$11</f>
        <v>0</v>
      </c>
      <c r="Q94" s="141" t="n">
        <f aca="false">R94*Parâmetros!$C$12</f>
        <v>0</v>
      </c>
      <c r="R94" s="141" t="n">
        <f aca="false">C94*(Estacas!Q94+Estacas!Q95)/2</f>
        <v>0</v>
      </c>
      <c r="S94" s="141" t="n">
        <f aca="false">IF(LEFT(E94,3)="T09",C94*Parâmetros!$D$13*Parâmetros!$C$13,0)</f>
        <v>0</v>
      </c>
    </row>
    <row r="95" customFormat="false" ht="15" hidden="false" customHeight="false" outlineLevel="0" collapsed="false">
      <c r="A95" s="138" t="str">
        <f aca="false">Estacas!A95</f>
        <v>93+0,00</v>
      </c>
      <c r="B95" s="138" t="str">
        <f aca="false">Estacas!A96</f>
        <v>94+0,00</v>
      </c>
      <c r="C95" s="144" t="n">
        <f aca="false">Estacas!C96-Estacas!C95</f>
        <v>20</v>
      </c>
      <c r="D95" s="138" t="s">
        <v>1565</v>
      </c>
      <c r="E95" s="138" t="s">
        <v>1566</v>
      </c>
      <c r="F95" s="141" t="n">
        <f aca="false">Estacas!F95</f>
        <v>11</v>
      </c>
      <c r="G95" s="141" t="n">
        <f aca="false">Estacas!F96</f>
        <v>11</v>
      </c>
      <c r="H95" s="141" t="n">
        <f aca="false">C95*(Estacas!K95+Estacas!K96)/2</f>
        <v>11.05</v>
      </c>
      <c r="I95" s="141" t="n">
        <f aca="false">H95*Parâmetros!$C$14</f>
        <v>26.52</v>
      </c>
      <c r="J95" s="141" t="n">
        <f aca="false">C95*(Estacas!L95+Estacas!L96)/2</f>
        <v>36.352</v>
      </c>
      <c r="K95" s="141" t="n">
        <f aca="false">C95*(Estacas!M95+Estacas!M96)/2</f>
        <v>47.68</v>
      </c>
      <c r="L95" s="141" t="n">
        <f aca="false">C95*(Estacas!N95+Estacas!N96)/2</f>
        <v>75.72</v>
      </c>
      <c r="M95" s="141" t="n">
        <f aca="false">C95*(Estacas!O95+Estacas!O96)/2</f>
        <v>224</v>
      </c>
      <c r="N95" s="141" t="n">
        <f aca="false">C95*(Estacas!O95+Estacas!O96)/2</f>
        <v>224</v>
      </c>
      <c r="O95" s="141" t="n">
        <f aca="false">C95*(Estacas!P95+Estacas!P96)/2</f>
        <v>258.4</v>
      </c>
      <c r="P95" s="141" t="n">
        <f aca="false">R95*Parâmetros!$C$11</f>
        <v>0</v>
      </c>
      <c r="Q95" s="141" t="n">
        <f aca="false">R95*Parâmetros!$C$12</f>
        <v>0</v>
      </c>
      <c r="R95" s="141" t="n">
        <f aca="false">C95*(Estacas!Q95+Estacas!Q96)/2</f>
        <v>0</v>
      </c>
      <c r="S95" s="141" t="n">
        <f aca="false">IF(LEFT(E95,3)="T09",C95*Parâmetros!$D$13*Parâmetros!$C$13,0)</f>
        <v>0</v>
      </c>
    </row>
    <row r="96" customFormat="false" ht="15" hidden="false" customHeight="false" outlineLevel="0" collapsed="false">
      <c r="A96" s="138" t="str">
        <f aca="false">Estacas!A96</f>
        <v>94+0,00</v>
      </c>
      <c r="B96" s="138" t="str">
        <f aca="false">Estacas!A97</f>
        <v>95+0,00</v>
      </c>
      <c r="C96" s="144" t="n">
        <f aca="false">Estacas!C97-Estacas!C96</f>
        <v>20</v>
      </c>
      <c r="D96" s="138" t="s">
        <v>1565</v>
      </c>
      <c r="E96" s="138" t="s">
        <v>1566</v>
      </c>
      <c r="F96" s="141" t="n">
        <f aca="false">Estacas!F96</f>
        <v>11</v>
      </c>
      <c r="G96" s="141" t="n">
        <f aca="false">Estacas!F97</f>
        <v>11</v>
      </c>
      <c r="H96" s="141" t="n">
        <f aca="false">C96*(Estacas!K96+Estacas!K97)/2</f>
        <v>11.05</v>
      </c>
      <c r="I96" s="141" t="n">
        <f aca="false">H96*Parâmetros!$C$14</f>
        <v>26.52</v>
      </c>
      <c r="J96" s="141" t="n">
        <f aca="false">C96*(Estacas!L96+Estacas!L97)/2</f>
        <v>36.352</v>
      </c>
      <c r="K96" s="141" t="n">
        <f aca="false">C96*(Estacas!M96+Estacas!M97)/2</f>
        <v>47.68</v>
      </c>
      <c r="L96" s="141" t="n">
        <f aca="false">C96*(Estacas!N96+Estacas!N97)/2</f>
        <v>75.72</v>
      </c>
      <c r="M96" s="141" t="n">
        <f aca="false">C96*(Estacas!O96+Estacas!O97)/2</f>
        <v>224</v>
      </c>
      <c r="N96" s="141" t="n">
        <f aca="false">C96*(Estacas!O96+Estacas!O97)/2</f>
        <v>224</v>
      </c>
      <c r="O96" s="141" t="n">
        <f aca="false">C96*(Estacas!P96+Estacas!P97)/2</f>
        <v>258.4</v>
      </c>
      <c r="P96" s="141" t="n">
        <f aca="false">R96*Parâmetros!$C$11</f>
        <v>0</v>
      </c>
      <c r="Q96" s="141" t="n">
        <f aca="false">R96*Parâmetros!$C$12</f>
        <v>0</v>
      </c>
      <c r="R96" s="141" t="n">
        <f aca="false">C96*(Estacas!Q96+Estacas!Q97)/2</f>
        <v>0</v>
      </c>
      <c r="S96" s="141" t="n">
        <f aca="false">IF(LEFT(E96,3)="T09",C96*Parâmetros!$D$13*Parâmetros!$C$13,0)</f>
        <v>0</v>
      </c>
    </row>
    <row r="97" customFormat="false" ht="15" hidden="false" customHeight="false" outlineLevel="0" collapsed="false">
      <c r="A97" s="138" t="str">
        <f aca="false">Estacas!A97</f>
        <v>95+0,00</v>
      </c>
      <c r="B97" s="138" t="str">
        <f aca="false">Estacas!A98</f>
        <v>96+0,00</v>
      </c>
      <c r="C97" s="144" t="n">
        <f aca="false">Estacas!C98-Estacas!C97</f>
        <v>20</v>
      </c>
      <c r="D97" s="138" t="s">
        <v>1565</v>
      </c>
      <c r="E97" s="138" t="s">
        <v>1566</v>
      </c>
      <c r="F97" s="141" t="n">
        <f aca="false">Estacas!F97</f>
        <v>11</v>
      </c>
      <c r="G97" s="141" t="n">
        <f aca="false">Estacas!F98</f>
        <v>11</v>
      </c>
      <c r="H97" s="141" t="n">
        <f aca="false">C97*(Estacas!K97+Estacas!K98)/2</f>
        <v>11.05</v>
      </c>
      <c r="I97" s="141" t="n">
        <f aca="false">H97*Parâmetros!$C$14</f>
        <v>26.52</v>
      </c>
      <c r="J97" s="141" t="n">
        <f aca="false">C97*(Estacas!L97+Estacas!L98)/2</f>
        <v>36.352</v>
      </c>
      <c r="K97" s="141" t="n">
        <f aca="false">C97*(Estacas!M97+Estacas!M98)/2</f>
        <v>47.68</v>
      </c>
      <c r="L97" s="141" t="n">
        <f aca="false">C97*(Estacas!N97+Estacas!N98)/2</f>
        <v>75.72</v>
      </c>
      <c r="M97" s="141" t="n">
        <f aca="false">C97*(Estacas!O97+Estacas!O98)/2</f>
        <v>224</v>
      </c>
      <c r="N97" s="141" t="n">
        <f aca="false">C97*(Estacas!O97+Estacas!O98)/2</f>
        <v>224</v>
      </c>
      <c r="O97" s="141" t="n">
        <f aca="false">C97*(Estacas!P97+Estacas!P98)/2</f>
        <v>258.4</v>
      </c>
      <c r="P97" s="141" t="n">
        <f aca="false">R97*Parâmetros!$C$11</f>
        <v>0</v>
      </c>
      <c r="Q97" s="141" t="n">
        <f aca="false">R97*Parâmetros!$C$12</f>
        <v>0</v>
      </c>
      <c r="R97" s="141" t="n">
        <f aca="false">C97*(Estacas!Q97+Estacas!Q98)/2</f>
        <v>0</v>
      </c>
      <c r="S97" s="141" t="n">
        <f aca="false">IF(LEFT(E97,3)="T09",C97*Parâmetros!$D$13*Parâmetros!$C$13,0)</f>
        <v>0</v>
      </c>
    </row>
    <row r="98" customFormat="false" ht="15" hidden="false" customHeight="false" outlineLevel="0" collapsed="false">
      <c r="A98" s="138" t="str">
        <f aca="false">Estacas!A98</f>
        <v>96+0,00</v>
      </c>
      <c r="B98" s="138" t="str">
        <f aca="false">Estacas!A99</f>
        <v>97+0,00</v>
      </c>
      <c r="C98" s="144" t="n">
        <f aca="false">Estacas!C99-Estacas!C98</f>
        <v>20</v>
      </c>
      <c r="D98" s="138" t="s">
        <v>1565</v>
      </c>
      <c r="E98" s="138" t="s">
        <v>1566</v>
      </c>
      <c r="F98" s="141" t="n">
        <f aca="false">Estacas!F98</f>
        <v>11</v>
      </c>
      <c r="G98" s="141" t="n">
        <f aca="false">Estacas!F99</f>
        <v>11</v>
      </c>
      <c r="H98" s="141" t="n">
        <f aca="false">C98*(Estacas!K98+Estacas!K99)/2</f>
        <v>11.05</v>
      </c>
      <c r="I98" s="141" t="n">
        <f aca="false">H98*Parâmetros!$C$14</f>
        <v>26.52</v>
      </c>
      <c r="J98" s="141" t="n">
        <f aca="false">C98*(Estacas!L98+Estacas!L99)/2</f>
        <v>36.352</v>
      </c>
      <c r="K98" s="141" t="n">
        <f aca="false">C98*(Estacas!M98+Estacas!M99)/2</f>
        <v>47.68</v>
      </c>
      <c r="L98" s="141" t="n">
        <f aca="false">C98*(Estacas!N98+Estacas!N99)/2</f>
        <v>75.72</v>
      </c>
      <c r="M98" s="141" t="n">
        <f aca="false">C98*(Estacas!O98+Estacas!O99)/2</f>
        <v>224</v>
      </c>
      <c r="N98" s="141" t="n">
        <f aca="false">C98*(Estacas!O98+Estacas!O99)/2</f>
        <v>224</v>
      </c>
      <c r="O98" s="141" t="n">
        <f aca="false">C98*(Estacas!P98+Estacas!P99)/2</f>
        <v>258.4</v>
      </c>
      <c r="P98" s="141" t="n">
        <f aca="false">R98*Parâmetros!$C$11</f>
        <v>0</v>
      </c>
      <c r="Q98" s="141" t="n">
        <f aca="false">R98*Parâmetros!$C$12</f>
        <v>0</v>
      </c>
      <c r="R98" s="141" t="n">
        <f aca="false">C98*(Estacas!Q98+Estacas!Q99)/2</f>
        <v>0</v>
      </c>
      <c r="S98" s="141" t="n">
        <f aca="false">IF(LEFT(E98,3)="T09",C98*Parâmetros!$D$13*Parâmetros!$C$13,0)</f>
        <v>0</v>
      </c>
    </row>
    <row r="99" customFormat="false" ht="15" hidden="false" customHeight="false" outlineLevel="0" collapsed="false">
      <c r="A99" s="138" t="str">
        <f aca="false">Estacas!A99</f>
        <v>97+0,00</v>
      </c>
      <c r="B99" s="138" t="str">
        <f aca="false">Estacas!A100</f>
        <v>98+0,00</v>
      </c>
      <c r="C99" s="144" t="n">
        <f aca="false">Estacas!C100-Estacas!C99</f>
        <v>20</v>
      </c>
      <c r="D99" s="138" t="s">
        <v>1565</v>
      </c>
      <c r="E99" s="138" t="s">
        <v>1566</v>
      </c>
      <c r="F99" s="141" t="n">
        <f aca="false">Estacas!F99</f>
        <v>11</v>
      </c>
      <c r="G99" s="141" t="n">
        <f aca="false">Estacas!F100</f>
        <v>11</v>
      </c>
      <c r="H99" s="141" t="n">
        <f aca="false">C99*(Estacas!K99+Estacas!K100)/2</f>
        <v>11.05</v>
      </c>
      <c r="I99" s="141" t="n">
        <f aca="false">H99*Parâmetros!$C$14</f>
        <v>26.52</v>
      </c>
      <c r="J99" s="141" t="n">
        <f aca="false">C99*(Estacas!L99+Estacas!L100)/2</f>
        <v>36.352</v>
      </c>
      <c r="K99" s="141" t="n">
        <f aca="false">C99*(Estacas!M99+Estacas!M100)/2</f>
        <v>47.68</v>
      </c>
      <c r="L99" s="141" t="n">
        <f aca="false">C99*(Estacas!N99+Estacas!N100)/2</f>
        <v>75.72</v>
      </c>
      <c r="M99" s="141" t="n">
        <f aca="false">C99*(Estacas!O99+Estacas!O100)/2</f>
        <v>224</v>
      </c>
      <c r="N99" s="141" t="n">
        <f aca="false">C99*(Estacas!O99+Estacas!O100)/2</f>
        <v>224</v>
      </c>
      <c r="O99" s="141" t="n">
        <f aca="false">C99*(Estacas!P99+Estacas!P100)/2</f>
        <v>258.4</v>
      </c>
      <c r="P99" s="141" t="n">
        <f aca="false">R99*Parâmetros!$C$11</f>
        <v>0</v>
      </c>
      <c r="Q99" s="141" t="n">
        <f aca="false">R99*Parâmetros!$C$12</f>
        <v>0</v>
      </c>
      <c r="R99" s="141" t="n">
        <f aca="false">C99*(Estacas!Q99+Estacas!Q100)/2</f>
        <v>0</v>
      </c>
      <c r="S99" s="141" t="n">
        <f aca="false">IF(LEFT(E99,3)="T09",C99*Parâmetros!$D$13*Parâmetros!$C$13,0)</f>
        <v>0</v>
      </c>
    </row>
    <row r="100" customFormat="false" ht="15" hidden="false" customHeight="false" outlineLevel="0" collapsed="false">
      <c r="A100" s="138" t="str">
        <f aca="false">Estacas!A100</f>
        <v>98+0,00</v>
      </c>
      <c r="B100" s="138" t="str">
        <f aca="false">Estacas!A101</f>
        <v>99+0,00</v>
      </c>
      <c r="C100" s="144" t="n">
        <f aca="false">Estacas!C101-Estacas!C100</f>
        <v>20</v>
      </c>
      <c r="D100" s="138" t="s">
        <v>1565</v>
      </c>
      <c r="E100" s="138" t="s">
        <v>1566</v>
      </c>
      <c r="F100" s="141" t="n">
        <f aca="false">Estacas!F100</f>
        <v>11</v>
      </c>
      <c r="G100" s="141" t="n">
        <f aca="false">Estacas!F101</f>
        <v>11</v>
      </c>
      <c r="H100" s="141" t="n">
        <f aca="false">C100*(Estacas!K100+Estacas!K101)/2</f>
        <v>11.05</v>
      </c>
      <c r="I100" s="141" t="n">
        <f aca="false">H100*Parâmetros!$C$14</f>
        <v>26.52</v>
      </c>
      <c r="J100" s="141" t="n">
        <f aca="false">C100*(Estacas!L100+Estacas!L101)/2</f>
        <v>36.352</v>
      </c>
      <c r="K100" s="141" t="n">
        <f aca="false">C100*(Estacas!M100+Estacas!M101)/2</f>
        <v>47.68</v>
      </c>
      <c r="L100" s="141" t="n">
        <f aca="false">C100*(Estacas!N100+Estacas!N101)/2</f>
        <v>75.72</v>
      </c>
      <c r="M100" s="141" t="n">
        <f aca="false">C100*(Estacas!O100+Estacas!O101)/2</f>
        <v>224</v>
      </c>
      <c r="N100" s="141" t="n">
        <f aca="false">C100*(Estacas!O100+Estacas!O101)/2</f>
        <v>224</v>
      </c>
      <c r="O100" s="141" t="n">
        <f aca="false">C100*(Estacas!P100+Estacas!P101)/2</f>
        <v>258.4</v>
      </c>
      <c r="P100" s="141" t="n">
        <f aca="false">R100*Parâmetros!$C$11</f>
        <v>0</v>
      </c>
      <c r="Q100" s="141" t="n">
        <f aca="false">R100*Parâmetros!$C$12</f>
        <v>0</v>
      </c>
      <c r="R100" s="141" t="n">
        <f aca="false">C100*(Estacas!Q100+Estacas!Q101)/2</f>
        <v>0</v>
      </c>
      <c r="S100" s="141" t="n">
        <f aca="false">IF(LEFT(E100,3)="T09",C100*Parâmetros!$D$13*Parâmetros!$C$13,0)</f>
        <v>0</v>
      </c>
    </row>
    <row r="101" customFormat="false" ht="15" hidden="false" customHeight="false" outlineLevel="0" collapsed="false">
      <c r="A101" s="138" t="str">
        <f aca="false">Estacas!A101</f>
        <v>99+0,00</v>
      </c>
      <c r="B101" s="138" t="str">
        <f aca="false">Estacas!A102</f>
        <v>100+0,00</v>
      </c>
      <c r="C101" s="144" t="n">
        <f aca="false">Estacas!C102-Estacas!C101</f>
        <v>20</v>
      </c>
      <c r="D101" s="138" t="s">
        <v>1565</v>
      </c>
      <c r="E101" s="138" t="s">
        <v>1566</v>
      </c>
      <c r="F101" s="141" t="n">
        <f aca="false">Estacas!F101</f>
        <v>11</v>
      </c>
      <c r="G101" s="141" t="n">
        <f aca="false">Estacas!F102</f>
        <v>11</v>
      </c>
      <c r="H101" s="141" t="n">
        <f aca="false">C101*(Estacas!K101+Estacas!K102)/2</f>
        <v>11.05</v>
      </c>
      <c r="I101" s="141" t="n">
        <f aca="false">H101*Parâmetros!$C$14</f>
        <v>26.52</v>
      </c>
      <c r="J101" s="141" t="n">
        <f aca="false">C101*(Estacas!L101+Estacas!L102)/2</f>
        <v>36.352</v>
      </c>
      <c r="K101" s="141" t="n">
        <f aca="false">C101*(Estacas!M101+Estacas!M102)/2</f>
        <v>47.68</v>
      </c>
      <c r="L101" s="141" t="n">
        <f aca="false">C101*(Estacas!N101+Estacas!N102)/2</f>
        <v>75.72</v>
      </c>
      <c r="M101" s="141" t="n">
        <f aca="false">C101*(Estacas!O101+Estacas!O102)/2</f>
        <v>224</v>
      </c>
      <c r="N101" s="141" t="n">
        <f aca="false">C101*(Estacas!O101+Estacas!O102)/2</f>
        <v>224</v>
      </c>
      <c r="O101" s="141" t="n">
        <f aca="false">C101*(Estacas!P101+Estacas!P102)/2</f>
        <v>258.4</v>
      </c>
      <c r="P101" s="141" t="n">
        <f aca="false">R101*Parâmetros!$C$11</f>
        <v>0</v>
      </c>
      <c r="Q101" s="141" t="n">
        <f aca="false">R101*Parâmetros!$C$12</f>
        <v>0</v>
      </c>
      <c r="R101" s="141" t="n">
        <f aca="false">C101*(Estacas!Q101+Estacas!Q102)/2</f>
        <v>0</v>
      </c>
      <c r="S101" s="141" t="n">
        <f aca="false">IF(LEFT(E101,3)="T09",C101*Parâmetros!$D$13*Parâmetros!$C$13,0)</f>
        <v>0</v>
      </c>
    </row>
    <row r="102" customFormat="false" ht="15" hidden="false" customHeight="false" outlineLevel="0" collapsed="false">
      <c r="A102" s="138" t="str">
        <f aca="false">Estacas!A102</f>
        <v>100+0,00</v>
      </c>
      <c r="B102" s="138" t="str">
        <f aca="false">Estacas!A103</f>
        <v>101+0,00</v>
      </c>
      <c r="C102" s="144" t="n">
        <f aca="false">Estacas!C103-Estacas!C102</f>
        <v>20</v>
      </c>
      <c r="D102" s="138" t="s">
        <v>1565</v>
      </c>
      <c r="E102" s="138" t="s">
        <v>1566</v>
      </c>
      <c r="F102" s="141" t="n">
        <f aca="false">Estacas!F102</f>
        <v>11</v>
      </c>
      <c r="G102" s="141" t="n">
        <f aca="false">Estacas!F103</f>
        <v>11</v>
      </c>
      <c r="H102" s="141" t="n">
        <f aca="false">C102*(Estacas!K102+Estacas!K103)/2</f>
        <v>11.05</v>
      </c>
      <c r="I102" s="141" t="n">
        <f aca="false">H102*Parâmetros!$C$14</f>
        <v>26.52</v>
      </c>
      <c r="J102" s="141" t="n">
        <f aca="false">C102*(Estacas!L102+Estacas!L103)/2</f>
        <v>36.352</v>
      </c>
      <c r="K102" s="141" t="n">
        <f aca="false">C102*(Estacas!M102+Estacas!M103)/2</f>
        <v>47.68</v>
      </c>
      <c r="L102" s="141" t="n">
        <f aca="false">C102*(Estacas!N102+Estacas!N103)/2</f>
        <v>75.72</v>
      </c>
      <c r="M102" s="141" t="n">
        <f aca="false">C102*(Estacas!O102+Estacas!O103)/2</f>
        <v>224</v>
      </c>
      <c r="N102" s="141" t="n">
        <f aca="false">C102*(Estacas!O102+Estacas!O103)/2</f>
        <v>224</v>
      </c>
      <c r="O102" s="141" t="n">
        <f aca="false">C102*(Estacas!P102+Estacas!P103)/2</f>
        <v>258.4</v>
      </c>
      <c r="P102" s="141" t="n">
        <f aca="false">R102*Parâmetros!$C$11</f>
        <v>0</v>
      </c>
      <c r="Q102" s="141" t="n">
        <f aca="false">R102*Parâmetros!$C$12</f>
        <v>0</v>
      </c>
      <c r="R102" s="141" t="n">
        <f aca="false">C102*(Estacas!Q102+Estacas!Q103)/2</f>
        <v>0</v>
      </c>
      <c r="S102" s="141" t="n">
        <f aca="false">IF(LEFT(E102,3)="T09",C102*Parâmetros!$D$13*Parâmetros!$C$13,0)</f>
        <v>0</v>
      </c>
    </row>
    <row r="103" customFormat="false" ht="15" hidden="false" customHeight="false" outlineLevel="0" collapsed="false">
      <c r="A103" s="138" t="str">
        <f aca="false">Estacas!A103</f>
        <v>101+0,00</v>
      </c>
      <c r="B103" s="138" t="str">
        <f aca="false">Estacas!A104</f>
        <v>102+0,00</v>
      </c>
      <c r="C103" s="144" t="n">
        <f aca="false">Estacas!C104-Estacas!C103</f>
        <v>20</v>
      </c>
      <c r="D103" s="138" t="s">
        <v>1565</v>
      </c>
      <c r="E103" s="138" t="s">
        <v>1566</v>
      </c>
      <c r="F103" s="141" t="n">
        <f aca="false">Estacas!F103</f>
        <v>11</v>
      </c>
      <c r="G103" s="141" t="n">
        <f aca="false">Estacas!F104</f>
        <v>11</v>
      </c>
      <c r="H103" s="141" t="n">
        <f aca="false">C103*(Estacas!K103+Estacas!K104)/2</f>
        <v>11.05</v>
      </c>
      <c r="I103" s="141" t="n">
        <f aca="false">H103*Parâmetros!$C$14</f>
        <v>26.52</v>
      </c>
      <c r="J103" s="141" t="n">
        <f aca="false">C103*(Estacas!L103+Estacas!L104)/2</f>
        <v>36.352</v>
      </c>
      <c r="K103" s="141" t="n">
        <f aca="false">C103*(Estacas!M103+Estacas!M104)/2</f>
        <v>47.68</v>
      </c>
      <c r="L103" s="141" t="n">
        <f aca="false">C103*(Estacas!N103+Estacas!N104)/2</f>
        <v>75.72</v>
      </c>
      <c r="M103" s="141" t="n">
        <f aca="false">C103*(Estacas!O103+Estacas!O104)/2</f>
        <v>224</v>
      </c>
      <c r="N103" s="141" t="n">
        <f aca="false">C103*(Estacas!O103+Estacas!O104)/2</f>
        <v>224</v>
      </c>
      <c r="O103" s="141" t="n">
        <f aca="false">C103*(Estacas!P103+Estacas!P104)/2</f>
        <v>258.4</v>
      </c>
      <c r="P103" s="141" t="n">
        <f aca="false">R103*Parâmetros!$C$11</f>
        <v>0</v>
      </c>
      <c r="Q103" s="141" t="n">
        <f aca="false">R103*Parâmetros!$C$12</f>
        <v>0</v>
      </c>
      <c r="R103" s="141" t="n">
        <f aca="false">C103*(Estacas!Q103+Estacas!Q104)/2</f>
        <v>0</v>
      </c>
      <c r="S103" s="141" t="n">
        <f aca="false">IF(LEFT(E103,3)="T09",C103*Parâmetros!$D$13*Parâmetros!$C$13,0)</f>
        <v>0</v>
      </c>
    </row>
    <row r="104" customFormat="false" ht="15" hidden="false" customHeight="false" outlineLevel="0" collapsed="false">
      <c r="A104" s="138" t="str">
        <f aca="false">Estacas!A104</f>
        <v>102+0,00</v>
      </c>
      <c r="B104" s="138" t="str">
        <f aca="false">Estacas!A105</f>
        <v>103+0,00</v>
      </c>
      <c r="C104" s="144" t="n">
        <f aca="false">Estacas!C105-Estacas!C104</f>
        <v>20</v>
      </c>
      <c r="D104" s="138" t="s">
        <v>1565</v>
      </c>
      <c r="E104" s="138" t="s">
        <v>1566</v>
      </c>
      <c r="F104" s="141" t="n">
        <f aca="false">Estacas!F104</f>
        <v>11</v>
      </c>
      <c r="G104" s="141" t="n">
        <f aca="false">Estacas!F105</f>
        <v>11</v>
      </c>
      <c r="H104" s="141" t="n">
        <f aca="false">C104*(Estacas!K104+Estacas!K105)/2</f>
        <v>11.05</v>
      </c>
      <c r="I104" s="141" t="n">
        <f aca="false">H104*Parâmetros!$C$14</f>
        <v>26.52</v>
      </c>
      <c r="J104" s="141" t="n">
        <f aca="false">C104*(Estacas!L104+Estacas!L105)/2</f>
        <v>36.352</v>
      </c>
      <c r="K104" s="141" t="n">
        <f aca="false">C104*(Estacas!M104+Estacas!M105)/2</f>
        <v>47.68</v>
      </c>
      <c r="L104" s="141" t="n">
        <f aca="false">C104*(Estacas!N104+Estacas!N105)/2</f>
        <v>75.72</v>
      </c>
      <c r="M104" s="141" t="n">
        <f aca="false">C104*(Estacas!O104+Estacas!O105)/2</f>
        <v>224</v>
      </c>
      <c r="N104" s="141" t="n">
        <f aca="false">C104*(Estacas!O104+Estacas!O105)/2</f>
        <v>224</v>
      </c>
      <c r="O104" s="141" t="n">
        <f aca="false">C104*(Estacas!P104+Estacas!P105)/2</f>
        <v>258.4</v>
      </c>
      <c r="P104" s="141" t="n">
        <f aca="false">R104*Parâmetros!$C$11</f>
        <v>0</v>
      </c>
      <c r="Q104" s="141" t="n">
        <f aca="false">R104*Parâmetros!$C$12</f>
        <v>0</v>
      </c>
      <c r="R104" s="141" t="n">
        <f aca="false">C104*(Estacas!Q104+Estacas!Q105)/2</f>
        <v>0</v>
      </c>
      <c r="S104" s="141" t="n">
        <f aca="false">IF(LEFT(E104,3)="T09",C104*Parâmetros!$D$13*Parâmetros!$C$13,0)</f>
        <v>0</v>
      </c>
    </row>
    <row r="105" customFormat="false" ht="15" hidden="false" customHeight="false" outlineLevel="0" collapsed="false">
      <c r="A105" s="138" t="str">
        <f aca="false">Estacas!A105</f>
        <v>103+0,00</v>
      </c>
      <c r="B105" s="138" t="str">
        <f aca="false">Estacas!A106</f>
        <v>104+0,00</v>
      </c>
      <c r="C105" s="144" t="n">
        <f aca="false">Estacas!C106-Estacas!C105</f>
        <v>20</v>
      </c>
      <c r="D105" s="138" t="s">
        <v>1565</v>
      </c>
      <c r="E105" s="138" t="s">
        <v>1566</v>
      </c>
      <c r="F105" s="141" t="n">
        <f aca="false">Estacas!F105</f>
        <v>11</v>
      </c>
      <c r="G105" s="141" t="n">
        <f aca="false">Estacas!F106</f>
        <v>11</v>
      </c>
      <c r="H105" s="141" t="n">
        <f aca="false">C105*(Estacas!K105+Estacas!K106)/2</f>
        <v>11.05</v>
      </c>
      <c r="I105" s="141" t="n">
        <f aca="false">H105*Parâmetros!$C$14</f>
        <v>26.52</v>
      </c>
      <c r="J105" s="141" t="n">
        <f aca="false">C105*(Estacas!L105+Estacas!L106)/2</f>
        <v>36.352</v>
      </c>
      <c r="K105" s="141" t="n">
        <f aca="false">C105*(Estacas!M105+Estacas!M106)/2</f>
        <v>47.68</v>
      </c>
      <c r="L105" s="141" t="n">
        <f aca="false">C105*(Estacas!N105+Estacas!N106)/2</f>
        <v>75.72</v>
      </c>
      <c r="M105" s="141" t="n">
        <f aca="false">C105*(Estacas!O105+Estacas!O106)/2</f>
        <v>224</v>
      </c>
      <c r="N105" s="141" t="n">
        <f aca="false">C105*(Estacas!O105+Estacas!O106)/2</f>
        <v>224</v>
      </c>
      <c r="O105" s="141" t="n">
        <f aca="false">C105*(Estacas!P105+Estacas!P106)/2</f>
        <v>258.4</v>
      </c>
      <c r="P105" s="141" t="n">
        <f aca="false">R105*Parâmetros!$C$11</f>
        <v>0</v>
      </c>
      <c r="Q105" s="141" t="n">
        <f aca="false">R105*Parâmetros!$C$12</f>
        <v>0</v>
      </c>
      <c r="R105" s="141" t="n">
        <f aca="false">C105*(Estacas!Q105+Estacas!Q106)/2</f>
        <v>0</v>
      </c>
      <c r="S105" s="141" t="n">
        <f aca="false">IF(LEFT(E105,3)="T09",C105*Parâmetros!$D$13*Parâmetros!$C$13,0)</f>
        <v>0</v>
      </c>
    </row>
    <row r="106" customFormat="false" ht="15" hidden="false" customHeight="false" outlineLevel="0" collapsed="false">
      <c r="A106" s="138" t="str">
        <f aca="false">Estacas!A106</f>
        <v>104+0,00</v>
      </c>
      <c r="B106" s="138" t="str">
        <f aca="false">Estacas!A107</f>
        <v>105+0,00</v>
      </c>
      <c r="C106" s="144" t="n">
        <f aca="false">Estacas!C107-Estacas!C106</f>
        <v>20</v>
      </c>
      <c r="D106" s="138" t="s">
        <v>1565</v>
      </c>
      <c r="E106" s="138" t="s">
        <v>1566</v>
      </c>
      <c r="F106" s="141" t="n">
        <f aca="false">Estacas!F106</f>
        <v>11</v>
      </c>
      <c r="G106" s="141" t="n">
        <f aca="false">Estacas!F107</f>
        <v>11</v>
      </c>
      <c r="H106" s="141" t="n">
        <f aca="false">C106*(Estacas!K106+Estacas!K107)/2</f>
        <v>11.05</v>
      </c>
      <c r="I106" s="141" t="n">
        <f aca="false">H106*Parâmetros!$C$14</f>
        <v>26.52</v>
      </c>
      <c r="J106" s="141" t="n">
        <f aca="false">C106*(Estacas!L106+Estacas!L107)/2</f>
        <v>36.352</v>
      </c>
      <c r="K106" s="141" t="n">
        <f aca="false">C106*(Estacas!M106+Estacas!M107)/2</f>
        <v>47.68</v>
      </c>
      <c r="L106" s="141" t="n">
        <f aca="false">C106*(Estacas!N106+Estacas!N107)/2</f>
        <v>75.72</v>
      </c>
      <c r="M106" s="141" t="n">
        <f aca="false">C106*(Estacas!O106+Estacas!O107)/2</f>
        <v>224</v>
      </c>
      <c r="N106" s="141" t="n">
        <f aca="false">C106*(Estacas!O106+Estacas!O107)/2</f>
        <v>224</v>
      </c>
      <c r="O106" s="141" t="n">
        <f aca="false">C106*(Estacas!P106+Estacas!P107)/2</f>
        <v>258.4</v>
      </c>
      <c r="P106" s="141" t="n">
        <f aca="false">R106*Parâmetros!$C$11</f>
        <v>0</v>
      </c>
      <c r="Q106" s="141" t="n">
        <f aca="false">R106*Parâmetros!$C$12</f>
        <v>0</v>
      </c>
      <c r="R106" s="141" t="n">
        <f aca="false">C106*(Estacas!Q106+Estacas!Q107)/2</f>
        <v>0</v>
      </c>
      <c r="S106" s="141" t="n">
        <f aca="false">IF(LEFT(E106,3)="T09",C106*Parâmetros!$D$13*Parâmetros!$C$13,0)</f>
        <v>0</v>
      </c>
    </row>
    <row r="107" customFormat="false" ht="15" hidden="false" customHeight="false" outlineLevel="0" collapsed="false">
      <c r="A107" s="138" t="str">
        <f aca="false">Estacas!A107</f>
        <v>105+0,00</v>
      </c>
      <c r="B107" s="138" t="str">
        <f aca="false">Estacas!A108</f>
        <v>106+0,00</v>
      </c>
      <c r="C107" s="144" t="n">
        <f aca="false">Estacas!C108-Estacas!C107</f>
        <v>20</v>
      </c>
      <c r="D107" s="138" t="s">
        <v>1565</v>
      </c>
      <c r="E107" s="138" t="s">
        <v>1566</v>
      </c>
      <c r="F107" s="141" t="n">
        <f aca="false">Estacas!F107</f>
        <v>11</v>
      </c>
      <c r="G107" s="141" t="n">
        <f aca="false">Estacas!F108</f>
        <v>11</v>
      </c>
      <c r="H107" s="141" t="n">
        <f aca="false">C107*(Estacas!K107+Estacas!K108)/2</f>
        <v>11.05</v>
      </c>
      <c r="I107" s="141" t="n">
        <f aca="false">H107*Parâmetros!$C$14</f>
        <v>26.52</v>
      </c>
      <c r="J107" s="141" t="n">
        <f aca="false">C107*(Estacas!L107+Estacas!L108)/2</f>
        <v>36.352</v>
      </c>
      <c r="K107" s="141" t="n">
        <f aca="false">C107*(Estacas!M107+Estacas!M108)/2</f>
        <v>47.68</v>
      </c>
      <c r="L107" s="141" t="n">
        <f aca="false">C107*(Estacas!N107+Estacas!N108)/2</f>
        <v>75.72</v>
      </c>
      <c r="M107" s="141" t="n">
        <f aca="false">C107*(Estacas!O107+Estacas!O108)/2</f>
        <v>224</v>
      </c>
      <c r="N107" s="141" t="n">
        <f aca="false">C107*(Estacas!O107+Estacas!O108)/2</f>
        <v>224</v>
      </c>
      <c r="O107" s="141" t="n">
        <f aca="false">C107*(Estacas!P107+Estacas!P108)/2</f>
        <v>258.4</v>
      </c>
      <c r="P107" s="141" t="n">
        <f aca="false">R107*Parâmetros!$C$11</f>
        <v>0</v>
      </c>
      <c r="Q107" s="141" t="n">
        <f aca="false">R107*Parâmetros!$C$12</f>
        <v>0</v>
      </c>
      <c r="R107" s="141" t="n">
        <f aca="false">C107*(Estacas!Q107+Estacas!Q108)/2</f>
        <v>0</v>
      </c>
      <c r="S107" s="141" t="n">
        <f aca="false">IF(LEFT(E107,3)="T09",C107*Parâmetros!$D$13*Parâmetros!$C$13,0)</f>
        <v>0</v>
      </c>
    </row>
    <row r="108" customFormat="false" ht="15" hidden="false" customHeight="false" outlineLevel="0" collapsed="false">
      <c r="A108" s="138" t="str">
        <f aca="false">Estacas!A108</f>
        <v>106+0,00</v>
      </c>
      <c r="B108" s="138" t="str">
        <f aca="false">Estacas!A109</f>
        <v>107+0,00</v>
      </c>
      <c r="C108" s="144" t="n">
        <f aca="false">Estacas!C109-Estacas!C108</f>
        <v>20</v>
      </c>
      <c r="D108" s="138" t="s">
        <v>1565</v>
      </c>
      <c r="E108" s="138" t="s">
        <v>1566</v>
      </c>
      <c r="F108" s="141" t="n">
        <f aca="false">Estacas!F108</f>
        <v>11</v>
      </c>
      <c r="G108" s="141" t="n">
        <f aca="false">Estacas!F109</f>
        <v>11</v>
      </c>
      <c r="H108" s="141" t="n">
        <f aca="false">C108*(Estacas!K108+Estacas!K109)/2</f>
        <v>11.05</v>
      </c>
      <c r="I108" s="141" t="n">
        <f aca="false">H108*Parâmetros!$C$14</f>
        <v>26.52</v>
      </c>
      <c r="J108" s="141" t="n">
        <f aca="false">C108*(Estacas!L108+Estacas!L109)/2</f>
        <v>36.352</v>
      </c>
      <c r="K108" s="141" t="n">
        <f aca="false">C108*(Estacas!M108+Estacas!M109)/2</f>
        <v>47.68</v>
      </c>
      <c r="L108" s="141" t="n">
        <f aca="false">C108*(Estacas!N108+Estacas!N109)/2</f>
        <v>75.72</v>
      </c>
      <c r="M108" s="141" t="n">
        <f aca="false">C108*(Estacas!O108+Estacas!O109)/2</f>
        <v>224</v>
      </c>
      <c r="N108" s="141" t="n">
        <f aca="false">C108*(Estacas!O108+Estacas!O109)/2</f>
        <v>224</v>
      </c>
      <c r="O108" s="141" t="n">
        <f aca="false">C108*(Estacas!P108+Estacas!P109)/2</f>
        <v>258.4</v>
      </c>
      <c r="P108" s="141" t="n">
        <f aca="false">R108*Parâmetros!$C$11</f>
        <v>0</v>
      </c>
      <c r="Q108" s="141" t="n">
        <f aca="false">R108*Parâmetros!$C$12</f>
        <v>0</v>
      </c>
      <c r="R108" s="141" t="n">
        <f aca="false">C108*(Estacas!Q108+Estacas!Q109)/2</f>
        <v>0</v>
      </c>
      <c r="S108" s="141" t="n">
        <f aca="false">IF(LEFT(E108,3)="T09",C108*Parâmetros!$D$13*Parâmetros!$C$13,0)</f>
        <v>0</v>
      </c>
    </row>
    <row r="109" customFormat="false" ht="15" hidden="false" customHeight="false" outlineLevel="0" collapsed="false">
      <c r="A109" s="138" t="str">
        <f aca="false">Estacas!A109</f>
        <v>107+0,00</v>
      </c>
      <c r="B109" s="138" t="str">
        <f aca="false">Estacas!A110</f>
        <v>108+0,00</v>
      </c>
      <c r="C109" s="144" t="n">
        <f aca="false">Estacas!C110-Estacas!C109</f>
        <v>20</v>
      </c>
      <c r="D109" s="138" t="s">
        <v>1565</v>
      </c>
      <c r="E109" s="138" t="s">
        <v>1566</v>
      </c>
      <c r="F109" s="141" t="n">
        <f aca="false">Estacas!F109</f>
        <v>11</v>
      </c>
      <c r="G109" s="141" t="n">
        <f aca="false">Estacas!F110</f>
        <v>11</v>
      </c>
      <c r="H109" s="141" t="n">
        <f aca="false">C109*(Estacas!K109+Estacas!K110)/2</f>
        <v>11.05</v>
      </c>
      <c r="I109" s="141" t="n">
        <f aca="false">H109*Parâmetros!$C$14</f>
        <v>26.52</v>
      </c>
      <c r="J109" s="141" t="n">
        <f aca="false">C109*(Estacas!L109+Estacas!L110)/2</f>
        <v>36.352</v>
      </c>
      <c r="K109" s="141" t="n">
        <f aca="false">C109*(Estacas!M109+Estacas!M110)/2</f>
        <v>47.68</v>
      </c>
      <c r="L109" s="141" t="n">
        <f aca="false">C109*(Estacas!N109+Estacas!N110)/2</f>
        <v>75.72</v>
      </c>
      <c r="M109" s="141" t="n">
        <f aca="false">C109*(Estacas!O109+Estacas!O110)/2</f>
        <v>224</v>
      </c>
      <c r="N109" s="141" t="n">
        <f aca="false">C109*(Estacas!O109+Estacas!O110)/2</f>
        <v>224</v>
      </c>
      <c r="O109" s="141" t="n">
        <f aca="false">C109*(Estacas!P109+Estacas!P110)/2</f>
        <v>258.4</v>
      </c>
      <c r="P109" s="141" t="n">
        <f aca="false">R109*Parâmetros!$C$11</f>
        <v>0</v>
      </c>
      <c r="Q109" s="141" t="n">
        <f aca="false">R109*Parâmetros!$C$12</f>
        <v>0</v>
      </c>
      <c r="R109" s="141" t="n">
        <f aca="false">C109*(Estacas!Q109+Estacas!Q110)/2</f>
        <v>0</v>
      </c>
      <c r="S109" s="141" t="n">
        <f aca="false">IF(LEFT(E109,3)="T09",C109*Parâmetros!$D$13*Parâmetros!$C$13,0)</f>
        <v>0</v>
      </c>
    </row>
    <row r="110" customFormat="false" ht="15" hidden="false" customHeight="false" outlineLevel="0" collapsed="false">
      <c r="A110" s="138" t="str">
        <f aca="false">Estacas!A110</f>
        <v>108+0,00</v>
      </c>
      <c r="B110" s="138" t="str">
        <f aca="false">Estacas!A111</f>
        <v>109+0,00</v>
      </c>
      <c r="C110" s="144" t="n">
        <f aca="false">Estacas!C111-Estacas!C110</f>
        <v>20</v>
      </c>
      <c r="D110" s="138" t="s">
        <v>1565</v>
      </c>
      <c r="E110" s="138" t="s">
        <v>1566</v>
      </c>
      <c r="F110" s="141" t="n">
        <f aca="false">Estacas!F110</f>
        <v>11</v>
      </c>
      <c r="G110" s="141" t="n">
        <f aca="false">Estacas!F111</f>
        <v>11</v>
      </c>
      <c r="H110" s="141" t="n">
        <f aca="false">C110*(Estacas!K110+Estacas!K111)/2</f>
        <v>11.05</v>
      </c>
      <c r="I110" s="141" t="n">
        <f aca="false">H110*Parâmetros!$C$14</f>
        <v>26.52</v>
      </c>
      <c r="J110" s="141" t="n">
        <f aca="false">C110*(Estacas!L110+Estacas!L111)/2</f>
        <v>36.352</v>
      </c>
      <c r="K110" s="141" t="n">
        <f aca="false">C110*(Estacas!M110+Estacas!M111)/2</f>
        <v>47.68</v>
      </c>
      <c r="L110" s="141" t="n">
        <f aca="false">C110*(Estacas!N110+Estacas!N111)/2</f>
        <v>75.72</v>
      </c>
      <c r="M110" s="141" t="n">
        <f aca="false">C110*(Estacas!O110+Estacas!O111)/2</f>
        <v>224</v>
      </c>
      <c r="N110" s="141" t="n">
        <f aca="false">C110*(Estacas!O110+Estacas!O111)/2</f>
        <v>224</v>
      </c>
      <c r="O110" s="141" t="n">
        <f aca="false">C110*(Estacas!P110+Estacas!P111)/2</f>
        <v>258.4</v>
      </c>
      <c r="P110" s="141" t="n">
        <f aca="false">R110*Parâmetros!$C$11</f>
        <v>0</v>
      </c>
      <c r="Q110" s="141" t="n">
        <f aca="false">R110*Parâmetros!$C$12</f>
        <v>0</v>
      </c>
      <c r="R110" s="141" t="n">
        <f aca="false">C110*(Estacas!Q110+Estacas!Q111)/2</f>
        <v>0</v>
      </c>
      <c r="S110" s="141" t="n">
        <f aca="false">IF(LEFT(E110,3)="T09",C110*Parâmetros!$D$13*Parâmetros!$C$13,0)</f>
        <v>0</v>
      </c>
    </row>
    <row r="111" customFormat="false" ht="15" hidden="false" customHeight="false" outlineLevel="0" collapsed="false">
      <c r="A111" s="138" t="str">
        <f aca="false">Estacas!A111</f>
        <v>109+0,00</v>
      </c>
      <c r="B111" s="138" t="str">
        <f aca="false">Estacas!A112</f>
        <v>110+0,00</v>
      </c>
      <c r="C111" s="144" t="n">
        <f aca="false">Estacas!C112-Estacas!C111</f>
        <v>20</v>
      </c>
      <c r="D111" s="138" t="s">
        <v>1565</v>
      </c>
      <c r="E111" s="138" t="s">
        <v>1566</v>
      </c>
      <c r="F111" s="141" t="n">
        <f aca="false">Estacas!F111</f>
        <v>11</v>
      </c>
      <c r="G111" s="141" t="n">
        <f aca="false">Estacas!F112</f>
        <v>11</v>
      </c>
      <c r="H111" s="141" t="n">
        <f aca="false">C111*(Estacas!K111+Estacas!K112)/2</f>
        <v>11.05</v>
      </c>
      <c r="I111" s="141" t="n">
        <f aca="false">H111*Parâmetros!$C$14</f>
        <v>26.52</v>
      </c>
      <c r="J111" s="141" t="n">
        <f aca="false">C111*(Estacas!L111+Estacas!L112)/2</f>
        <v>36.352</v>
      </c>
      <c r="K111" s="141" t="n">
        <f aca="false">C111*(Estacas!M111+Estacas!M112)/2</f>
        <v>47.68</v>
      </c>
      <c r="L111" s="141" t="n">
        <f aca="false">C111*(Estacas!N111+Estacas!N112)/2</f>
        <v>75.72</v>
      </c>
      <c r="M111" s="141" t="n">
        <f aca="false">C111*(Estacas!O111+Estacas!O112)/2</f>
        <v>224</v>
      </c>
      <c r="N111" s="141" t="n">
        <f aca="false">C111*(Estacas!O111+Estacas!O112)/2</f>
        <v>224</v>
      </c>
      <c r="O111" s="141" t="n">
        <f aca="false">C111*(Estacas!P111+Estacas!P112)/2</f>
        <v>258.4</v>
      </c>
      <c r="P111" s="141" t="n">
        <f aca="false">R111*Parâmetros!$C$11</f>
        <v>0</v>
      </c>
      <c r="Q111" s="141" t="n">
        <f aca="false">R111*Parâmetros!$C$12</f>
        <v>0</v>
      </c>
      <c r="R111" s="141" t="n">
        <f aca="false">C111*(Estacas!Q111+Estacas!Q112)/2</f>
        <v>0</v>
      </c>
      <c r="S111" s="141" t="n">
        <f aca="false">IF(LEFT(E111,3)="T09",C111*Parâmetros!$D$13*Parâmetros!$C$13,0)</f>
        <v>0</v>
      </c>
    </row>
    <row r="112" customFormat="false" ht="15" hidden="false" customHeight="false" outlineLevel="0" collapsed="false">
      <c r="A112" s="138" t="str">
        <f aca="false">Estacas!A112</f>
        <v>110+0,00</v>
      </c>
      <c r="B112" s="138" t="str">
        <f aca="false">Estacas!A113</f>
        <v>111+0,00</v>
      </c>
      <c r="C112" s="144" t="n">
        <f aca="false">Estacas!C113-Estacas!C112</f>
        <v>20</v>
      </c>
      <c r="D112" s="138" t="s">
        <v>1565</v>
      </c>
      <c r="E112" s="138" t="s">
        <v>1566</v>
      </c>
      <c r="F112" s="141" t="n">
        <f aca="false">Estacas!F112</f>
        <v>11</v>
      </c>
      <c r="G112" s="141" t="n">
        <f aca="false">Estacas!F113</f>
        <v>11</v>
      </c>
      <c r="H112" s="141" t="n">
        <f aca="false">C112*(Estacas!K112+Estacas!K113)/2</f>
        <v>11.05</v>
      </c>
      <c r="I112" s="141" t="n">
        <f aca="false">H112*Parâmetros!$C$14</f>
        <v>26.52</v>
      </c>
      <c r="J112" s="141" t="n">
        <f aca="false">C112*(Estacas!L112+Estacas!L113)/2</f>
        <v>36.352</v>
      </c>
      <c r="K112" s="141" t="n">
        <f aca="false">C112*(Estacas!M112+Estacas!M113)/2</f>
        <v>47.68</v>
      </c>
      <c r="L112" s="141" t="n">
        <f aca="false">C112*(Estacas!N112+Estacas!N113)/2</f>
        <v>75.72</v>
      </c>
      <c r="M112" s="141" t="n">
        <f aca="false">C112*(Estacas!O112+Estacas!O113)/2</f>
        <v>224</v>
      </c>
      <c r="N112" s="141" t="n">
        <f aca="false">C112*(Estacas!O112+Estacas!O113)/2</f>
        <v>224</v>
      </c>
      <c r="O112" s="141" t="n">
        <f aca="false">C112*(Estacas!P112+Estacas!P113)/2</f>
        <v>258.4</v>
      </c>
      <c r="P112" s="141" t="n">
        <f aca="false">R112*Parâmetros!$C$11</f>
        <v>0</v>
      </c>
      <c r="Q112" s="141" t="n">
        <f aca="false">R112*Parâmetros!$C$12</f>
        <v>0</v>
      </c>
      <c r="R112" s="141" t="n">
        <f aca="false">C112*(Estacas!Q112+Estacas!Q113)/2</f>
        <v>0</v>
      </c>
      <c r="S112" s="141" t="n">
        <f aca="false">IF(LEFT(E112,3)="T09",C112*Parâmetros!$D$13*Parâmetros!$C$13,0)</f>
        <v>0</v>
      </c>
    </row>
    <row r="113" customFormat="false" ht="15" hidden="false" customHeight="false" outlineLevel="0" collapsed="false">
      <c r="A113" s="138" t="str">
        <f aca="false">Estacas!A113</f>
        <v>111+0,00</v>
      </c>
      <c r="B113" s="138" t="str">
        <f aca="false">Estacas!A114</f>
        <v>112+0,00</v>
      </c>
      <c r="C113" s="144" t="n">
        <f aca="false">Estacas!C114-Estacas!C113</f>
        <v>20</v>
      </c>
      <c r="D113" s="138" t="s">
        <v>1565</v>
      </c>
      <c r="E113" s="138" t="s">
        <v>1566</v>
      </c>
      <c r="F113" s="141" t="n">
        <f aca="false">Estacas!F113</f>
        <v>11</v>
      </c>
      <c r="G113" s="141" t="n">
        <f aca="false">Estacas!F114</f>
        <v>11</v>
      </c>
      <c r="H113" s="141" t="n">
        <f aca="false">C113*(Estacas!K113+Estacas!K114)/2</f>
        <v>11.05</v>
      </c>
      <c r="I113" s="141" t="n">
        <f aca="false">H113*Parâmetros!$C$14</f>
        <v>26.52</v>
      </c>
      <c r="J113" s="141" t="n">
        <f aca="false">C113*(Estacas!L113+Estacas!L114)/2</f>
        <v>36.352</v>
      </c>
      <c r="K113" s="141" t="n">
        <f aca="false">C113*(Estacas!M113+Estacas!M114)/2</f>
        <v>47.68</v>
      </c>
      <c r="L113" s="141" t="n">
        <f aca="false">C113*(Estacas!N113+Estacas!N114)/2</f>
        <v>75.72</v>
      </c>
      <c r="M113" s="141" t="n">
        <f aca="false">C113*(Estacas!O113+Estacas!O114)/2</f>
        <v>224</v>
      </c>
      <c r="N113" s="141" t="n">
        <f aca="false">C113*(Estacas!O113+Estacas!O114)/2</f>
        <v>224</v>
      </c>
      <c r="O113" s="141" t="n">
        <f aca="false">C113*(Estacas!P113+Estacas!P114)/2</f>
        <v>258.4</v>
      </c>
      <c r="P113" s="141" t="n">
        <f aca="false">R113*Parâmetros!$C$11</f>
        <v>0</v>
      </c>
      <c r="Q113" s="141" t="n">
        <f aca="false">R113*Parâmetros!$C$12</f>
        <v>0</v>
      </c>
      <c r="R113" s="141" t="n">
        <f aca="false">C113*(Estacas!Q113+Estacas!Q114)/2</f>
        <v>0</v>
      </c>
      <c r="S113" s="141" t="n">
        <f aca="false">IF(LEFT(E113,3)="T09",C113*Parâmetros!$D$13*Parâmetros!$C$13,0)</f>
        <v>0</v>
      </c>
    </row>
    <row r="114" customFormat="false" ht="15" hidden="false" customHeight="false" outlineLevel="0" collapsed="false">
      <c r="A114" s="138" t="str">
        <f aca="false">Estacas!A114</f>
        <v>112+0,00</v>
      </c>
      <c r="B114" s="138" t="str">
        <f aca="false">Estacas!A115</f>
        <v>113+0,00</v>
      </c>
      <c r="C114" s="144" t="n">
        <f aca="false">Estacas!C115-Estacas!C114</f>
        <v>20</v>
      </c>
      <c r="D114" s="138" t="s">
        <v>1565</v>
      </c>
      <c r="E114" s="138" t="s">
        <v>1566</v>
      </c>
      <c r="F114" s="141" t="n">
        <f aca="false">Estacas!F114</f>
        <v>11</v>
      </c>
      <c r="G114" s="141" t="n">
        <f aca="false">Estacas!F115</f>
        <v>11</v>
      </c>
      <c r="H114" s="141" t="n">
        <f aca="false">C114*(Estacas!K114+Estacas!K115)/2</f>
        <v>11.05</v>
      </c>
      <c r="I114" s="141" t="n">
        <f aca="false">H114*Parâmetros!$C$14</f>
        <v>26.52</v>
      </c>
      <c r="J114" s="141" t="n">
        <f aca="false">C114*(Estacas!L114+Estacas!L115)/2</f>
        <v>36.352</v>
      </c>
      <c r="K114" s="141" t="n">
        <f aca="false">C114*(Estacas!M114+Estacas!M115)/2</f>
        <v>47.68</v>
      </c>
      <c r="L114" s="141" t="n">
        <f aca="false">C114*(Estacas!N114+Estacas!N115)/2</f>
        <v>75.72</v>
      </c>
      <c r="M114" s="141" t="n">
        <f aca="false">C114*(Estacas!O114+Estacas!O115)/2</f>
        <v>224</v>
      </c>
      <c r="N114" s="141" t="n">
        <f aca="false">C114*(Estacas!O114+Estacas!O115)/2</f>
        <v>224</v>
      </c>
      <c r="O114" s="141" t="n">
        <f aca="false">C114*(Estacas!P114+Estacas!P115)/2</f>
        <v>258.4</v>
      </c>
      <c r="P114" s="141" t="n">
        <f aca="false">R114*Parâmetros!$C$11</f>
        <v>0</v>
      </c>
      <c r="Q114" s="141" t="n">
        <f aca="false">R114*Parâmetros!$C$12</f>
        <v>0</v>
      </c>
      <c r="R114" s="141" t="n">
        <f aca="false">C114*(Estacas!Q114+Estacas!Q115)/2</f>
        <v>0</v>
      </c>
      <c r="S114" s="141" t="n">
        <f aca="false">IF(LEFT(E114,3)="T09",C114*Parâmetros!$D$13*Parâmetros!$C$13,0)</f>
        <v>0</v>
      </c>
    </row>
    <row r="115" customFormat="false" ht="15" hidden="false" customHeight="false" outlineLevel="0" collapsed="false">
      <c r="A115" s="138" t="str">
        <f aca="false">Estacas!A115</f>
        <v>113+0,00</v>
      </c>
      <c r="B115" s="138" t="str">
        <f aca="false">Estacas!A116</f>
        <v>114+0,00</v>
      </c>
      <c r="C115" s="144" t="n">
        <f aca="false">Estacas!C116-Estacas!C115</f>
        <v>20</v>
      </c>
      <c r="D115" s="138" t="s">
        <v>1565</v>
      </c>
      <c r="E115" s="138" t="s">
        <v>1566</v>
      </c>
      <c r="F115" s="141" t="n">
        <f aca="false">Estacas!F115</f>
        <v>11</v>
      </c>
      <c r="G115" s="141" t="n">
        <f aca="false">Estacas!F116</f>
        <v>11</v>
      </c>
      <c r="H115" s="141" t="n">
        <f aca="false">C115*(Estacas!K115+Estacas!K116)/2</f>
        <v>11.05</v>
      </c>
      <c r="I115" s="141" t="n">
        <f aca="false">H115*Parâmetros!$C$14</f>
        <v>26.52</v>
      </c>
      <c r="J115" s="141" t="n">
        <f aca="false">C115*(Estacas!L115+Estacas!L116)/2</f>
        <v>36.352</v>
      </c>
      <c r="K115" s="141" t="n">
        <f aca="false">C115*(Estacas!M115+Estacas!M116)/2</f>
        <v>47.68</v>
      </c>
      <c r="L115" s="141" t="n">
        <f aca="false">C115*(Estacas!N115+Estacas!N116)/2</f>
        <v>75.72</v>
      </c>
      <c r="M115" s="141" t="n">
        <f aca="false">C115*(Estacas!O115+Estacas!O116)/2</f>
        <v>224</v>
      </c>
      <c r="N115" s="141" t="n">
        <f aca="false">C115*(Estacas!O115+Estacas!O116)/2</f>
        <v>224</v>
      </c>
      <c r="O115" s="141" t="n">
        <f aca="false">C115*(Estacas!P115+Estacas!P116)/2</f>
        <v>258.4</v>
      </c>
      <c r="P115" s="141" t="n">
        <f aca="false">R115*Parâmetros!$C$11</f>
        <v>0</v>
      </c>
      <c r="Q115" s="141" t="n">
        <f aca="false">R115*Parâmetros!$C$12</f>
        <v>0</v>
      </c>
      <c r="R115" s="141" t="n">
        <f aca="false">C115*(Estacas!Q115+Estacas!Q116)/2</f>
        <v>0</v>
      </c>
      <c r="S115" s="141" t="n">
        <f aca="false">IF(LEFT(E115,3)="T09",C115*Parâmetros!$D$13*Parâmetros!$C$13,0)</f>
        <v>0</v>
      </c>
    </row>
    <row r="116" customFormat="false" ht="15" hidden="false" customHeight="false" outlineLevel="0" collapsed="false">
      <c r="A116" s="138" t="str">
        <f aca="false">Estacas!A116</f>
        <v>114+0,00</v>
      </c>
      <c r="B116" s="138" t="str">
        <f aca="false">Estacas!A117</f>
        <v>115+0,00</v>
      </c>
      <c r="C116" s="144" t="n">
        <f aca="false">Estacas!C117-Estacas!C116</f>
        <v>20</v>
      </c>
      <c r="D116" s="138" t="s">
        <v>1565</v>
      </c>
      <c r="E116" s="138" t="s">
        <v>1566</v>
      </c>
      <c r="F116" s="141" t="n">
        <f aca="false">Estacas!F116</f>
        <v>11</v>
      </c>
      <c r="G116" s="141" t="n">
        <f aca="false">Estacas!F117</f>
        <v>11</v>
      </c>
      <c r="H116" s="141" t="n">
        <f aca="false">C116*(Estacas!K116+Estacas!K117)/2</f>
        <v>11.05</v>
      </c>
      <c r="I116" s="141" t="n">
        <f aca="false">H116*Parâmetros!$C$14</f>
        <v>26.52</v>
      </c>
      <c r="J116" s="141" t="n">
        <f aca="false">C116*(Estacas!L116+Estacas!L117)/2</f>
        <v>36.352</v>
      </c>
      <c r="K116" s="141" t="n">
        <f aca="false">C116*(Estacas!M116+Estacas!M117)/2</f>
        <v>47.68</v>
      </c>
      <c r="L116" s="141" t="n">
        <f aca="false">C116*(Estacas!N116+Estacas!N117)/2</f>
        <v>75.72</v>
      </c>
      <c r="M116" s="141" t="n">
        <f aca="false">C116*(Estacas!O116+Estacas!O117)/2</f>
        <v>224</v>
      </c>
      <c r="N116" s="141" t="n">
        <f aca="false">C116*(Estacas!O116+Estacas!O117)/2</f>
        <v>224</v>
      </c>
      <c r="O116" s="141" t="n">
        <f aca="false">C116*(Estacas!P116+Estacas!P117)/2</f>
        <v>258.4</v>
      </c>
      <c r="P116" s="141" t="n">
        <f aca="false">R116*Parâmetros!$C$11</f>
        <v>0</v>
      </c>
      <c r="Q116" s="141" t="n">
        <f aca="false">R116*Parâmetros!$C$12</f>
        <v>0</v>
      </c>
      <c r="R116" s="141" t="n">
        <f aca="false">C116*(Estacas!Q116+Estacas!Q117)/2</f>
        <v>0</v>
      </c>
      <c r="S116" s="141" t="n">
        <f aca="false">IF(LEFT(E116,3)="T09",C116*Parâmetros!$D$13*Parâmetros!$C$13,0)</f>
        <v>0</v>
      </c>
    </row>
    <row r="117" customFormat="false" ht="15" hidden="false" customHeight="false" outlineLevel="0" collapsed="false">
      <c r="A117" s="138" t="str">
        <f aca="false">Estacas!A117</f>
        <v>115+0,00</v>
      </c>
      <c r="B117" s="138" t="str">
        <f aca="false">Estacas!A118</f>
        <v>116+0,00</v>
      </c>
      <c r="C117" s="144" t="n">
        <f aca="false">Estacas!C118-Estacas!C117</f>
        <v>20</v>
      </c>
      <c r="D117" s="138" t="s">
        <v>1565</v>
      </c>
      <c r="E117" s="138" t="s">
        <v>1566</v>
      </c>
      <c r="F117" s="141" t="n">
        <f aca="false">Estacas!F117</f>
        <v>11</v>
      </c>
      <c r="G117" s="141" t="n">
        <f aca="false">Estacas!F118</f>
        <v>11</v>
      </c>
      <c r="H117" s="141" t="n">
        <f aca="false">C117*(Estacas!K117+Estacas!K118)/2</f>
        <v>11.05</v>
      </c>
      <c r="I117" s="141" t="n">
        <f aca="false">H117*Parâmetros!$C$14</f>
        <v>26.52</v>
      </c>
      <c r="J117" s="141" t="n">
        <f aca="false">C117*(Estacas!L117+Estacas!L118)/2</f>
        <v>36.352</v>
      </c>
      <c r="K117" s="141" t="n">
        <f aca="false">C117*(Estacas!M117+Estacas!M118)/2</f>
        <v>47.68</v>
      </c>
      <c r="L117" s="141" t="n">
        <f aca="false">C117*(Estacas!N117+Estacas!N118)/2</f>
        <v>75.72</v>
      </c>
      <c r="M117" s="141" t="n">
        <f aca="false">C117*(Estacas!O117+Estacas!O118)/2</f>
        <v>224</v>
      </c>
      <c r="N117" s="141" t="n">
        <f aca="false">C117*(Estacas!O117+Estacas!O118)/2</f>
        <v>224</v>
      </c>
      <c r="O117" s="141" t="n">
        <f aca="false">C117*(Estacas!P117+Estacas!P118)/2</f>
        <v>258.4</v>
      </c>
      <c r="P117" s="141" t="n">
        <f aca="false">R117*Parâmetros!$C$11</f>
        <v>0</v>
      </c>
      <c r="Q117" s="141" t="n">
        <f aca="false">R117*Parâmetros!$C$12</f>
        <v>0</v>
      </c>
      <c r="R117" s="141" t="n">
        <f aca="false">C117*(Estacas!Q117+Estacas!Q118)/2</f>
        <v>0</v>
      </c>
      <c r="S117" s="141" t="n">
        <f aca="false">IF(LEFT(E117,3)="T09",C117*Parâmetros!$D$13*Parâmetros!$C$13,0)</f>
        <v>0</v>
      </c>
    </row>
    <row r="118" customFormat="false" ht="15" hidden="false" customHeight="false" outlineLevel="0" collapsed="false">
      <c r="A118" s="138" t="str">
        <f aca="false">Estacas!A118</f>
        <v>116+0,00</v>
      </c>
      <c r="B118" s="138" t="str">
        <f aca="false">Estacas!A119</f>
        <v>117+0,00</v>
      </c>
      <c r="C118" s="144" t="n">
        <f aca="false">Estacas!C119-Estacas!C118</f>
        <v>20</v>
      </c>
      <c r="D118" s="138" t="s">
        <v>1565</v>
      </c>
      <c r="E118" s="138" t="s">
        <v>1566</v>
      </c>
      <c r="F118" s="141" t="n">
        <f aca="false">Estacas!F118</f>
        <v>11</v>
      </c>
      <c r="G118" s="141" t="n">
        <f aca="false">Estacas!F119</f>
        <v>12.7</v>
      </c>
      <c r="H118" s="141" t="n">
        <f aca="false">C118*(Estacas!K118+Estacas!K119)/2</f>
        <v>11.9</v>
      </c>
      <c r="I118" s="141" t="n">
        <f aca="false">H118*Parâmetros!$C$14</f>
        <v>28.56</v>
      </c>
      <c r="J118" s="141" t="n">
        <f aca="false">C118*(Estacas!L118+Estacas!L119)/2</f>
        <v>39.072</v>
      </c>
      <c r="K118" s="141" t="n">
        <f aca="false">C118*(Estacas!M118+Estacas!M119)/2</f>
        <v>51.08</v>
      </c>
      <c r="L118" s="141" t="n">
        <f aca="false">C118*(Estacas!N118+Estacas!N119)/2</f>
        <v>80.82</v>
      </c>
      <c r="M118" s="141" t="n">
        <f aca="false">C118*(Estacas!O118+Estacas!O119)/2</f>
        <v>241</v>
      </c>
      <c r="N118" s="141" t="n">
        <f aca="false">C118*(Estacas!O118+Estacas!O119)/2</f>
        <v>241</v>
      </c>
      <c r="O118" s="141" t="n">
        <f aca="false">C118*(Estacas!P118+Estacas!P119)/2</f>
        <v>275.4</v>
      </c>
      <c r="P118" s="141" t="n">
        <f aca="false">R118*Parâmetros!$C$11</f>
        <v>0</v>
      </c>
      <c r="Q118" s="141" t="n">
        <f aca="false">R118*Parâmetros!$C$12</f>
        <v>0</v>
      </c>
      <c r="R118" s="141" t="n">
        <f aca="false">C118*(Estacas!Q118+Estacas!Q119)/2</f>
        <v>0</v>
      </c>
      <c r="S118" s="141" t="n">
        <f aca="false">IF(LEFT(E118,3)="T09",C118*Parâmetros!$D$13*Parâmetros!$C$13,0)</f>
        <v>0</v>
      </c>
    </row>
    <row r="119" customFormat="false" ht="15" hidden="false" customHeight="false" outlineLevel="0" collapsed="false">
      <c r="A119" s="138" t="str">
        <f aca="false">Estacas!A119</f>
        <v>117+0,00</v>
      </c>
      <c r="B119" s="138" t="str">
        <f aca="false">Estacas!A120</f>
        <v>118+0,00</v>
      </c>
      <c r="C119" s="144" t="n">
        <f aca="false">Estacas!C120-Estacas!C119</f>
        <v>20</v>
      </c>
      <c r="D119" s="138" t="s">
        <v>1565</v>
      </c>
      <c r="E119" s="138" t="s">
        <v>1566</v>
      </c>
      <c r="F119" s="141" t="n">
        <f aca="false">Estacas!F119</f>
        <v>12.7</v>
      </c>
      <c r="G119" s="141" t="n">
        <f aca="false">Estacas!F120</f>
        <v>14.5</v>
      </c>
      <c r="H119" s="141" t="n">
        <f aca="false">C119*(Estacas!K119+Estacas!K120)/2</f>
        <v>13.65</v>
      </c>
      <c r="I119" s="141" t="n">
        <f aca="false">H119*Parâmetros!$C$14</f>
        <v>32.76</v>
      </c>
      <c r="J119" s="141" t="n">
        <f aca="false">C119*(Estacas!L119+Estacas!L120)/2</f>
        <v>44.672</v>
      </c>
      <c r="K119" s="141" t="n">
        <f aca="false">C119*(Estacas!M119+Estacas!M120)/2</f>
        <v>58.08</v>
      </c>
      <c r="L119" s="141" t="n">
        <f aca="false">C119*(Estacas!N119+Estacas!N120)/2</f>
        <v>91.32</v>
      </c>
      <c r="M119" s="141" t="n">
        <f aca="false">C119*(Estacas!O119+Estacas!O120)/2</f>
        <v>276</v>
      </c>
      <c r="N119" s="141" t="n">
        <f aca="false">C119*(Estacas!O119+Estacas!O120)/2</f>
        <v>276</v>
      </c>
      <c r="O119" s="141" t="n">
        <f aca="false">C119*(Estacas!P119+Estacas!P120)/2</f>
        <v>310.4</v>
      </c>
      <c r="P119" s="141" t="n">
        <f aca="false">R119*Parâmetros!$C$11</f>
        <v>0</v>
      </c>
      <c r="Q119" s="141" t="n">
        <f aca="false">R119*Parâmetros!$C$12</f>
        <v>0</v>
      </c>
      <c r="R119" s="141" t="n">
        <f aca="false">C119*(Estacas!Q119+Estacas!Q120)/2</f>
        <v>0</v>
      </c>
      <c r="S119" s="141" t="n">
        <f aca="false">IF(LEFT(E119,3)="T09",C119*Parâmetros!$D$13*Parâmetros!$C$13,0)</f>
        <v>0</v>
      </c>
    </row>
    <row r="120" customFormat="false" ht="15" hidden="false" customHeight="false" outlineLevel="0" collapsed="false">
      <c r="A120" s="138" t="str">
        <f aca="false">Estacas!A120</f>
        <v>118+0,00</v>
      </c>
      <c r="B120" s="138" t="str">
        <f aca="false">Estacas!A121</f>
        <v>119+0,00</v>
      </c>
      <c r="C120" s="144" t="n">
        <f aca="false">Estacas!C121-Estacas!C120</f>
        <v>20</v>
      </c>
      <c r="D120" s="138" t="s">
        <v>1565</v>
      </c>
      <c r="E120" s="138" t="s">
        <v>1566</v>
      </c>
      <c r="F120" s="141" t="n">
        <f aca="false">Estacas!F120</f>
        <v>14.5</v>
      </c>
      <c r="G120" s="141" t="n">
        <f aca="false">Estacas!F121</f>
        <v>15.9</v>
      </c>
      <c r="H120" s="141" t="n">
        <f aca="false">C120*(Estacas!K120+Estacas!K121)/2</f>
        <v>15.25</v>
      </c>
      <c r="I120" s="141" t="n">
        <f aca="false">H120*Parâmetros!$C$14</f>
        <v>36.6</v>
      </c>
      <c r="J120" s="141" t="n">
        <f aca="false">C120*(Estacas!L120+Estacas!L121)/2</f>
        <v>49.792</v>
      </c>
      <c r="K120" s="141" t="n">
        <f aca="false">C120*(Estacas!M120+Estacas!M121)/2</f>
        <v>64.48</v>
      </c>
      <c r="L120" s="141" t="n">
        <f aca="false">C120*(Estacas!N120+Estacas!N121)/2</f>
        <v>100.92</v>
      </c>
      <c r="M120" s="141" t="n">
        <f aca="false">C120*(Estacas!O120+Estacas!O121)/2</f>
        <v>308</v>
      </c>
      <c r="N120" s="141" t="n">
        <f aca="false">C120*(Estacas!O120+Estacas!O121)/2</f>
        <v>308</v>
      </c>
      <c r="O120" s="141" t="n">
        <f aca="false">C120*(Estacas!P120+Estacas!P121)/2</f>
        <v>342.4</v>
      </c>
      <c r="P120" s="141" t="n">
        <f aca="false">R120*Parâmetros!$C$11</f>
        <v>0</v>
      </c>
      <c r="Q120" s="141" t="n">
        <f aca="false">R120*Parâmetros!$C$12</f>
        <v>0</v>
      </c>
      <c r="R120" s="141" t="n">
        <f aca="false">C120*(Estacas!Q120+Estacas!Q121)/2</f>
        <v>0</v>
      </c>
      <c r="S120" s="141" t="n">
        <f aca="false">IF(LEFT(E120,3)="T09",C120*Parâmetros!$D$13*Parâmetros!$C$13,0)</f>
        <v>0</v>
      </c>
    </row>
    <row r="121" customFormat="false" ht="15" hidden="false" customHeight="false" outlineLevel="0" collapsed="false">
      <c r="A121" s="138" t="str">
        <f aca="false">Estacas!A121</f>
        <v>119+0,00</v>
      </c>
      <c r="B121" s="138" t="str">
        <f aca="false">Estacas!A122</f>
        <v>120+0,00</v>
      </c>
      <c r="C121" s="144" t="n">
        <f aca="false">Estacas!C122-Estacas!C121</f>
        <v>20</v>
      </c>
      <c r="D121" s="138" t="s">
        <v>1565</v>
      </c>
      <c r="E121" s="138" t="s">
        <v>1566</v>
      </c>
      <c r="F121" s="141" t="n">
        <f aca="false">Estacas!F121</f>
        <v>15.9</v>
      </c>
      <c r="G121" s="141" t="n">
        <f aca="false">Estacas!F122</f>
        <v>15.2</v>
      </c>
      <c r="H121" s="141" t="n">
        <f aca="false">C121*(Estacas!K121+Estacas!K122)/2</f>
        <v>15.6</v>
      </c>
      <c r="I121" s="141" t="n">
        <f aca="false">H121*Parâmetros!$C$14</f>
        <v>37.44</v>
      </c>
      <c r="J121" s="141" t="n">
        <f aca="false">C121*(Estacas!L121+Estacas!L122)/2</f>
        <v>50.912</v>
      </c>
      <c r="K121" s="141" t="n">
        <f aca="false">C121*(Estacas!M121+Estacas!M122)/2</f>
        <v>65.88</v>
      </c>
      <c r="L121" s="141" t="n">
        <f aca="false">C121*(Estacas!N121+Estacas!N122)/2</f>
        <v>103.02</v>
      </c>
      <c r="M121" s="141" t="n">
        <f aca="false">C121*(Estacas!O121+Estacas!O122)/2</f>
        <v>315</v>
      </c>
      <c r="N121" s="141" t="n">
        <f aca="false">C121*(Estacas!O121+Estacas!O122)/2</f>
        <v>315</v>
      </c>
      <c r="O121" s="141" t="n">
        <f aca="false">C121*(Estacas!P121+Estacas!P122)/2</f>
        <v>349.4</v>
      </c>
      <c r="P121" s="141" t="n">
        <f aca="false">R121*Parâmetros!$C$11</f>
        <v>0</v>
      </c>
      <c r="Q121" s="141" t="n">
        <f aca="false">R121*Parâmetros!$C$12</f>
        <v>0</v>
      </c>
      <c r="R121" s="141" t="n">
        <f aca="false">C121*(Estacas!Q121+Estacas!Q122)/2</f>
        <v>0</v>
      </c>
      <c r="S121" s="141" t="n">
        <f aca="false">IF(LEFT(E121,3)="T09",C121*Parâmetros!$D$13*Parâmetros!$C$13,0)</f>
        <v>0</v>
      </c>
    </row>
    <row r="122" customFormat="false" ht="15" hidden="false" customHeight="false" outlineLevel="0" collapsed="false">
      <c r="A122" s="138" t="str">
        <f aca="false">Estacas!A122</f>
        <v>120+0,00</v>
      </c>
      <c r="B122" s="138" t="str">
        <f aca="false">Estacas!A123</f>
        <v>121+0,00</v>
      </c>
      <c r="C122" s="144" t="n">
        <f aca="false">Estacas!C123-Estacas!C122</f>
        <v>20</v>
      </c>
      <c r="D122" s="138" t="s">
        <v>1565</v>
      </c>
      <c r="E122" s="138" t="s">
        <v>1566</v>
      </c>
      <c r="F122" s="141" t="n">
        <f aca="false">Estacas!F122</f>
        <v>15.2</v>
      </c>
      <c r="G122" s="141" t="n">
        <f aca="false">Estacas!F123</f>
        <v>13.2</v>
      </c>
      <c r="H122" s="141" t="n">
        <f aca="false">C122*(Estacas!K122+Estacas!K123)/2</f>
        <v>14.25</v>
      </c>
      <c r="I122" s="141" t="n">
        <f aca="false">H122*Parâmetros!$C$14</f>
        <v>34.2</v>
      </c>
      <c r="J122" s="141" t="n">
        <f aca="false">C122*(Estacas!L122+Estacas!L123)/2</f>
        <v>46.592</v>
      </c>
      <c r="K122" s="141" t="n">
        <f aca="false">C122*(Estacas!M122+Estacas!M123)/2</f>
        <v>60.48</v>
      </c>
      <c r="L122" s="141" t="n">
        <f aca="false">C122*(Estacas!N122+Estacas!N123)/2</f>
        <v>94.92</v>
      </c>
      <c r="M122" s="141" t="n">
        <f aca="false">C122*(Estacas!O122+Estacas!O123)/2</f>
        <v>288</v>
      </c>
      <c r="N122" s="141" t="n">
        <f aca="false">C122*(Estacas!O122+Estacas!O123)/2</f>
        <v>288</v>
      </c>
      <c r="O122" s="141" t="n">
        <f aca="false">C122*(Estacas!P122+Estacas!P123)/2</f>
        <v>322.4</v>
      </c>
      <c r="P122" s="141" t="n">
        <f aca="false">R122*Parâmetros!$C$11</f>
        <v>0</v>
      </c>
      <c r="Q122" s="141" t="n">
        <f aca="false">R122*Parâmetros!$C$12</f>
        <v>0</v>
      </c>
      <c r="R122" s="141" t="n">
        <f aca="false">C122*(Estacas!Q122+Estacas!Q123)/2</f>
        <v>0</v>
      </c>
      <c r="S122" s="141" t="n">
        <f aca="false">IF(LEFT(E122,3)="T09",C122*Parâmetros!$D$13*Parâmetros!$C$13,0)</f>
        <v>0</v>
      </c>
    </row>
    <row r="123" customFormat="false" ht="15" hidden="false" customHeight="false" outlineLevel="0" collapsed="false">
      <c r="A123" s="138" t="str">
        <f aca="false">Estacas!A123</f>
        <v>121+0,00</v>
      </c>
      <c r="B123" s="138" t="str">
        <f aca="false">Estacas!A124</f>
        <v>122+0,00</v>
      </c>
      <c r="C123" s="144" t="n">
        <f aca="false">Estacas!C124-Estacas!C123</f>
        <v>20</v>
      </c>
      <c r="D123" s="138" t="s">
        <v>1565</v>
      </c>
      <c r="E123" s="138" t="s">
        <v>1566</v>
      </c>
      <c r="F123" s="141" t="n">
        <f aca="false">Estacas!F123</f>
        <v>13.2</v>
      </c>
      <c r="G123" s="141" t="n">
        <f aca="false">Estacas!F124</f>
        <v>11.7</v>
      </c>
      <c r="H123" s="141" t="n">
        <f aca="false">C123*(Estacas!K123+Estacas!K124)/2</f>
        <v>12.5</v>
      </c>
      <c r="I123" s="141" t="n">
        <f aca="false">H123*Parâmetros!$C$14</f>
        <v>30</v>
      </c>
      <c r="J123" s="141" t="n">
        <f aca="false">C123*(Estacas!L123+Estacas!L124)/2</f>
        <v>40.992</v>
      </c>
      <c r="K123" s="141" t="n">
        <f aca="false">C123*(Estacas!M123+Estacas!M124)/2</f>
        <v>53.48</v>
      </c>
      <c r="L123" s="141" t="n">
        <f aca="false">C123*(Estacas!N123+Estacas!N124)/2</f>
        <v>84.42</v>
      </c>
      <c r="M123" s="141" t="n">
        <f aca="false">C123*(Estacas!O123+Estacas!O124)/2</f>
        <v>253</v>
      </c>
      <c r="N123" s="141" t="n">
        <f aca="false">C123*(Estacas!O123+Estacas!O124)/2</f>
        <v>253</v>
      </c>
      <c r="O123" s="141" t="n">
        <f aca="false">C123*(Estacas!P123+Estacas!P124)/2</f>
        <v>287.4</v>
      </c>
      <c r="P123" s="141" t="n">
        <f aca="false">R123*Parâmetros!$C$11</f>
        <v>0</v>
      </c>
      <c r="Q123" s="141" t="n">
        <f aca="false">R123*Parâmetros!$C$12</f>
        <v>0</v>
      </c>
      <c r="R123" s="141" t="n">
        <f aca="false">C123*(Estacas!Q123+Estacas!Q124)/2</f>
        <v>0</v>
      </c>
      <c r="S123" s="141" t="n">
        <f aca="false">IF(LEFT(E123,3)="T09",C123*Parâmetros!$D$13*Parâmetros!$C$13,0)</f>
        <v>0</v>
      </c>
    </row>
    <row r="124" customFormat="false" ht="15" hidden="false" customHeight="false" outlineLevel="0" collapsed="false">
      <c r="A124" s="138" t="str">
        <f aca="false">Estacas!A124</f>
        <v>122+0,00</v>
      </c>
      <c r="B124" s="138" t="str">
        <f aca="false">Estacas!A125</f>
        <v>123+0,00</v>
      </c>
      <c r="C124" s="144" t="n">
        <f aca="false">Estacas!C125-Estacas!C124</f>
        <v>20</v>
      </c>
      <c r="D124" s="138" t="s">
        <v>1565</v>
      </c>
      <c r="E124" s="138" t="s">
        <v>1566</v>
      </c>
      <c r="F124" s="141" t="n">
        <f aca="false">Estacas!F124</f>
        <v>11.7</v>
      </c>
      <c r="G124" s="141" t="n">
        <f aca="false">Estacas!F125</f>
        <v>11</v>
      </c>
      <c r="H124" s="141" t="n">
        <f aca="false">C124*(Estacas!K124+Estacas!K125)/2</f>
        <v>11.4</v>
      </c>
      <c r="I124" s="141" t="n">
        <f aca="false">H124*Parâmetros!$C$14</f>
        <v>27.36</v>
      </c>
      <c r="J124" s="141" t="n">
        <f aca="false">C124*(Estacas!L124+Estacas!L125)/2</f>
        <v>37.472</v>
      </c>
      <c r="K124" s="141" t="n">
        <f aca="false">C124*(Estacas!M124+Estacas!M125)/2</f>
        <v>49.08</v>
      </c>
      <c r="L124" s="141" t="n">
        <f aca="false">C124*(Estacas!N124+Estacas!N125)/2</f>
        <v>77.82</v>
      </c>
      <c r="M124" s="141" t="n">
        <f aca="false">C124*(Estacas!O124+Estacas!O125)/2</f>
        <v>231</v>
      </c>
      <c r="N124" s="141" t="n">
        <f aca="false">C124*(Estacas!O124+Estacas!O125)/2</f>
        <v>231</v>
      </c>
      <c r="O124" s="141" t="n">
        <f aca="false">C124*(Estacas!P124+Estacas!P125)/2</f>
        <v>265.4</v>
      </c>
      <c r="P124" s="141" t="n">
        <f aca="false">R124*Parâmetros!$C$11</f>
        <v>0</v>
      </c>
      <c r="Q124" s="141" t="n">
        <f aca="false">R124*Parâmetros!$C$12</f>
        <v>0</v>
      </c>
      <c r="R124" s="141" t="n">
        <f aca="false">C124*(Estacas!Q124+Estacas!Q125)/2</f>
        <v>0</v>
      </c>
      <c r="S124" s="141" t="n">
        <f aca="false">IF(LEFT(E124,3)="T09",C124*Parâmetros!$D$13*Parâmetros!$C$13,0)</f>
        <v>0</v>
      </c>
    </row>
    <row r="125" customFormat="false" ht="15" hidden="false" customHeight="false" outlineLevel="0" collapsed="false">
      <c r="A125" s="138" t="str">
        <f aca="false">Estacas!A125</f>
        <v>123+0,00</v>
      </c>
      <c r="B125" s="138" t="str">
        <f aca="false">Estacas!A126</f>
        <v>124+0,00</v>
      </c>
      <c r="C125" s="144" t="n">
        <f aca="false">Estacas!C126-Estacas!C125</f>
        <v>20</v>
      </c>
      <c r="D125" s="138" t="s">
        <v>1565</v>
      </c>
      <c r="E125" s="138" t="s">
        <v>1566</v>
      </c>
      <c r="F125" s="141" t="n">
        <f aca="false">Estacas!F125</f>
        <v>11</v>
      </c>
      <c r="G125" s="141" t="n">
        <f aca="false">Estacas!F126</f>
        <v>11.6</v>
      </c>
      <c r="H125" s="141" t="n">
        <f aca="false">C125*(Estacas!K125+Estacas!K126)/2</f>
        <v>11.35</v>
      </c>
      <c r="I125" s="141" t="n">
        <f aca="false">H125*Parâmetros!$C$14</f>
        <v>27.24</v>
      </c>
      <c r="J125" s="141" t="n">
        <f aca="false">C125*(Estacas!L125+Estacas!L126)/2</f>
        <v>37.312</v>
      </c>
      <c r="K125" s="141" t="n">
        <f aca="false">C125*(Estacas!M125+Estacas!M126)/2</f>
        <v>48.88</v>
      </c>
      <c r="L125" s="141" t="n">
        <f aca="false">C125*(Estacas!N125+Estacas!N126)/2</f>
        <v>77.52</v>
      </c>
      <c r="M125" s="141" t="n">
        <f aca="false">C125*(Estacas!O125+Estacas!O126)/2</f>
        <v>230</v>
      </c>
      <c r="N125" s="141" t="n">
        <f aca="false">C125*(Estacas!O125+Estacas!O126)/2</f>
        <v>230</v>
      </c>
      <c r="O125" s="141" t="n">
        <f aca="false">C125*(Estacas!P125+Estacas!P126)/2</f>
        <v>264.4</v>
      </c>
      <c r="P125" s="141" t="n">
        <f aca="false">R125*Parâmetros!$C$11</f>
        <v>0</v>
      </c>
      <c r="Q125" s="141" t="n">
        <f aca="false">R125*Parâmetros!$C$12</f>
        <v>0</v>
      </c>
      <c r="R125" s="141" t="n">
        <f aca="false">C125*(Estacas!Q125+Estacas!Q126)/2</f>
        <v>0</v>
      </c>
      <c r="S125" s="141" t="n">
        <f aca="false">IF(LEFT(E125,3)="T09",C125*Parâmetros!$D$13*Parâmetros!$C$13,0)</f>
        <v>0</v>
      </c>
    </row>
    <row r="126" customFormat="false" ht="15" hidden="false" customHeight="false" outlineLevel="0" collapsed="false">
      <c r="A126" s="138" t="str">
        <f aca="false">Estacas!A126</f>
        <v>124+0,00</v>
      </c>
      <c r="B126" s="138" t="str">
        <f aca="false">Estacas!A127</f>
        <v>125+0,00</v>
      </c>
      <c r="C126" s="144" t="n">
        <f aca="false">Estacas!C127-Estacas!C126</f>
        <v>20</v>
      </c>
      <c r="D126" s="138" t="s">
        <v>1565</v>
      </c>
      <c r="E126" s="138" t="s">
        <v>1566</v>
      </c>
      <c r="F126" s="141" t="n">
        <f aca="false">Estacas!F126</f>
        <v>11.6</v>
      </c>
      <c r="G126" s="141" t="n">
        <f aca="false">Estacas!F127</f>
        <v>11</v>
      </c>
      <c r="H126" s="141" t="n">
        <f aca="false">C126*(Estacas!K126+Estacas!K127)/2</f>
        <v>11.35</v>
      </c>
      <c r="I126" s="141" t="n">
        <f aca="false">H126*Parâmetros!$C$14</f>
        <v>27.24</v>
      </c>
      <c r="J126" s="141" t="n">
        <f aca="false">C126*(Estacas!L126+Estacas!L127)/2</f>
        <v>37.312</v>
      </c>
      <c r="K126" s="141" t="n">
        <f aca="false">C126*(Estacas!M126+Estacas!M127)/2</f>
        <v>48.88</v>
      </c>
      <c r="L126" s="141" t="n">
        <f aca="false">C126*(Estacas!N126+Estacas!N127)/2</f>
        <v>77.52</v>
      </c>
      <c r="M126" s="141" t="n">
        <f aca="false">C126*(Estacas!O126+Estacas!O127)/2</f>
        <v>230</v>
      </c>
      <c r="N126" s="141" t="n">
        <f aca="false">C126*(Estacas!O126+Estacas!O127)/2</f>
        <v>230</v>
      </c>
      <c r="O126" s="141" t="n">
        <f aca="false">C126*(Estacas!P126+Estacas!P127)/2</f>
        <v>264.4</v>
      </c>
      <c r="P126" s="141" t="n">
        <f aca="false">R126*Parâmetros!$C$11</f>
        <v>0</v>
      </c>
      <c r="Q126" s="141" t="n">
        <f aca="false">R126*Parâmetros!$C$12</f>
        <v>0</v>
      </c>
      <c r="R126" s="141" t="n">
        <f aca="false">C126*(Estacas!Q126+Estacas!Q127)/2</f>
        <v>0</v>
      </c>
      <c r="S126" s="141" t="n">
        <f aca="false">IF(LEFT(E126,3)="T09",C126*Parâmetros!$D$13*Parâmetros!$C$13,0)</f>
        <v>0</v>
      </c>
    </row>
    <row r="127" customFormat="false" ht="15" hidden="false" customHeight="false" outlineLevel="0" collapsed="false">
      <c r="A127" s="138" t="str">
        <f aca="false">Estacas!A127</f>
        <v>125+0,00</v>
      </c>
      <c r="B127" s="138" t="str">
        <f aca="false">Estacas!A128</f>
        <v>126+0,00</v>
      </c>
      <c r="C127" s="144" t="n">
        <f aca="false">Estacas!C128-Estacas!C127</f>
        <v>20</v>
      </c>
      <c r="D127" s="138" t="s">
        <v>1565</v>
      </c>
      <c r="E127" s="138" t="s">
        <v>1566</v>
      </c>
      <c r="F127" s="141" t="n">
        <f aca="false">Estacas!F127</f>
        <v>11</v>
      </c>
      <c r="G127" s="141" t="n">
        <f aca="false">Estacas!F128</f>
        <v>11</v>
      </c>
      <c r="H127" s="141" t="n">
        <f aca="false">C127*(Estacas!K127+Estacas!K128)/2</f>
        <v>11.05</v>
      </c>
      <c r="I127" s="141" t="n">
        <f aca="false">H127*Parâmetros!$C$14</f>
        <v>26.52</v>
      </c>
      <c r="J127" s="141" t="n">
        <f aca="false">C127*(Estacas!L127+Estacas!L128)/2</f>
        <v>36.352</v>
      </c>
      <c r="K127" s="141" t="n">
        <f aca="false">C127*(Estacas!M127+Estacas!M128)/2</f>
        <v>47.68</v>
      </c>
      <c r="L127" s="141" t="n">
        <f aca="false">C127*(Estacas!N127+Estacas!N128)/2</f>
        <v>75.72</v>
      </c>
      <c r="M127" s="141" t="n">
        <f aca="false">C127*(Estacas!O127+Estacas!O128)/2</f>
        <v>224</v>
      </c>
      <c r="N127" s="141" t="n">
        <f aca="false">C127*(Estacas!O127+Estacas!O128)/2</f>
        <v>224</v>
      </c>
      <c r="O127" s="141" t="n">
        <f aca="false">C127*(Estacas!P127+Estacas!P128)/2</f>
        <v>258.4</v>
      </c>
      <c r="P127" s="141" t="n">
        <f aca="false">R127*Parâmetros!$C$11</f>
        <v>0</v>
      </c>
      <c r="Q127" s="141" t="n">
        <f aca="false">R127*Parâmetros!$C$12</f>
        <v>0</v>
      </c>
      <c r="R127" s="141" t="n">
        <f aca="false">C127*(Estacas!Q127+Estacas!Q128)/2</f>
        <v>0</v>
      </c>
      <c r="S127" s="141" t="n">
        <f aca="false">IF(LEFT(E127,3)="T09",C127*Parâmetros!$D$13*Parâmetros!$C$13,0)</f>
        <v>0</v>
      </c>
    </row>
    <row r="128" customFormat="false" ht="15" hidden="false" customHeight="false" outlineLevel="0" collapsed="false">
      <c r="A128" s="138" t="str">
        <f aca="false">Estacas!A128</f>
        <v>126+0,00</v>
      </c>
      <c r="B128" s="138" t="str">
        <f aca="false">Estacas!A129</f>
        <v>127+0,00</v>
      </c>
      <c r="C128" s="144" t="n">
        <f aca="false">Estacas!C129-Estacas!C128</f>
        <v>20</v>
      </c>
      <c r="D128" s="138" t="s">
        <v>1565</v>
      </c>
      <c r="E128" s="138" t="s">
        <v>1566</v>
      </c>
      <c r="F128" s="141" t="n">
        <f aca="false">Estacas!F128</f>
        <v>11</v>
      </c>
      <c r="G128" s="141" t="n">
        <f aca="false">Estacas!F129</f>
        <v>11</v>
      </c>
      <c r="H128" s="141" t="n">
        <f aca="false">C128*(Estacas!K128+Estacas!K129)/2</f>
        <v>11.05</v>
      </c>
      <c r="I128" s="141" t="n">
        <f aca="false">H128*Parâmetros!$C$14</f>
        <v>26.52</v>
      </c>
      <c r="J128" s="141" t="n">
        <f aca="false">C128*(Estacas!L128+Estacas!L129)/2</f>
        <v>36.352</v>
      </c>
      <c r="K128" s="141" t="n">
        <f aca="false">C128*(Estacas!M128+Estacas!M129)/2</f>
        <v>47.68</v>
      </c>
      <c r="L128" s="141" t="n">
        <f aca="false">C128*(Estacas!N128+Estacas!N129)/2</f>
        <v>75.72</v>
      </c>
      <c r="M128" s="141" t="n">
        <f aca="false">C128*(Estacas!O128+Estacas!O129)/2</f>
        <v>224</v>
      </c>
      <c r="N128" s="141" t="n">
        <f aca="false">C128*(Estacas!O128+Estacas!O129)/2</f>
        <v>224</v>
      </c>
      <c r="O128" s="141" t="n">
        <f aca="false">C128*(Estacas!P128+Estacas!P129)/2</f>
        <v>258.4</v>
      </c>
      <c r="P128" s="141" t="n">
        <f aca="false">R128*Parâmetros!$C$11</f>
        <v>0</v>
      </c>
      <c r="Q128" s="141" t="n">
        <f aca="false">R128*Parâmetros!$C$12</f>
        <v>0</v>
      </c>
      <c r="R128" s="141" t="n">
        <f aca="false">C128*(Estacas!Q128+Estacas!Q129)/2</f>
        <v>0</v>
      </c>
      <c r="S128" s="141" t="n">
        <f aca="false">IF(LEFT(E128,3)="T09",C128*Parâmetros!$D$13*Parâmetros!$C$13,0)</f>
        <v>0</v>
      </c>
    </row>
    <row r="129" customFormat="false" ht="15" hidden="false" customHeight="false" outlineLevel="0" collapsed="false">
      <c r="A129" s="138" t="str">
        <f aca="false">Estacas!A129</f>
        <v>127+0,00</v>
      </c>
      <c r="B129" s="138" t="str">
        <f aca="false">Estacas!A130</f>
        <v>128+0,00</v>
      </c>
      <c r="C129" s="144" t="n">
        <f aca="false">Estacas!C130-Estacas!C129</f>
        <v>20</v>
      </c>
      <c r="D129" s="138" t="s">
        <v>1565</v>
      </c>
      <c r="E129" s="138" t="s">
        <v>1566</v>
      </c>
      <c r="F129" s="141" t="n">
        <f aca="false">Estacas!F129</f>
        <v>11</v>
      </c>
      <c r="G129" s="141" t="n">
        <f aca="false">Estacas!F130</f>
        <v>11</v>
      </c>
      <c r="H129" s="141" t="n">
        <f aca="false">C129*(Estacas!K129+Estacas!K130)/2</f>
        <v>11.05</v>
      </c>
      <c r="I129" s="141" t="n">
        <f aca="false">H129*Parâmetros!$C$14</f>
        <v>26.52</v>
      </c>
      <c r="J129" s="141" t="n">
        <f aca="false">C129*(Estacas!L129+Estacas!L130)/2</f>
        <v>36.352</v>
      </c>
      <c r="K129" s="141" t="n">
        <f aca="false">C129*(Estacas!M129+Estacas!M130)/2</f>
        <v>47.68</v>
      </c>
      <c r="L129" s="141" t="n">
        <f aca="false">C129*(Estacas!N129+Estacas!N130)/2</f>
        <v>75.72</v>
      </c>
      <c r="M129" s="141" t="n">
        <f aca="false">C129*(Estacas!O129+Estacas!O130)/2</f>
        <v>224</v>
      </c>
      <c r="N129" s="141" t="n">
        <f aca="false">C129*(Estacas!O129+Estacas!O130)/2</f>
        <v>224</v>
      </c>
      <c r="O129" s="141" t="n">
        <f aca="false">C129*(Estacas!P129+Estacas!P130)/2</f>
        <v>258.4</v>
      </c>
      <c r="P129" s="141" t="n">
        <f aca="false">R129*Parâmetros!$C$11</f>
        <v>0</v>
      </c>
      <c r="Q129" s="141" t="n">
        <f aca="false">R129*Parâmetros!$C$12</f>
        <v>0</v>
      </c>
      <c r="R129" s="141" t="n">
        <f aca="false">C129*(Estacas!Q129+Estacas!Q130)/2</f>
        <v>0</v>
      </c>
      <c r="S129" s="141" t="n">
        <f aca="false">IF(LEFT(E129,3)="T09",C129*Parâmetros!$D$13*Parâmetros!$C$13,0)</f>
        <v>0</v>
      </c>
    </row>
    <row r="130" customFormat="false" ht="15" hidden="false" customHeight="false" outlineLevel="0" collapsed="false">
      <c r="A130" s="138" t="str">
        <f aca="false">Estacas!A130</f>
        <v>128+0,00</v>
      </c>
      <c r="B130" s="138" t="str">
        <f aca="false">Estacas!A131</f>
        <v>129+0,00</v>
      </c>
      <c r="C130" s="144" t="n">
        <f aca="false">Estacas!C131-Estacas!C130</f>
        <v>20</v>
      </c>
      <c r="D130" s="138" t="s">
        <v>1565</v>
      </c>
      <c r="E130" s="138" t="s">
        <v>1566</v>
      </c>
      <c r="F130" s="141" t="n">
        <f aca="false">Estacas!F130</f>
        <v>11</v>
      </c>
      <c r="G130" s="141" t="n">
        <f aca="false">Estacas!F131</f>
        <v>11</v>
      </c>
      <c r="H130" s="141" t="n">
        <f aca="false">C130*(Estacas!K130+Estacas!K131)/2</f>
        <v>11.05</v>
      </c>
      <c r="I130" s="141" t="n">
        <f aca="false">H130*Parâmetros!$C$14</f>
        <v>26.52</v>
      </c>
      <c r="J130" s="141" t="n">
        <f aca="false">C130*(Estacas!L130+Estacas!L131)/2</f>
        <v>36.352</v>
      </c>
      <c r="K130" s="141" t="n">
        <f aca="false">C130*(Estacas!M130+Estacas!M131)/2</f>
        <v>47.68</v>
      </c>
      <c r="L130" s="141" t="n">
        <f aca="false">C130*(Estacas!N130+Estacas!N131)/2</f>
        <v>75.72</v>
      </c>
      <c r="M130" s="141" t="n">
        <f aca="false">C130*(Estacas!O130+Estacas!O131)/2</f>
        <v>224</v>
      </c>
      <c r="N130" s="141" t="n">
        <f aca="false">C130*(Estacas!O130+Estacas!O131)/2</f>
        <v>224</v>
      </c>
      <c r="O130" s="141" t="n">
        <f aca="false">C130*(Estacas!P130+Estacas!P131)/2</f>
        <v>258.4</v>
      </c>
      <c r="P130" s="141" t="n">
        <f aca="false">R130*Parâmetros!$C$11</f>
        <v>0</v>
      </c>
      <c r="Q130" s="141" t="n">
        <f aca="false">R130*Parâmetros!$C$12</f>
        <v>0</v>
      </c>
      <c r="R130" s="141" t="n">
        <f aca="false">C130*(Estacas!Q130+Estacas!Q131)/2</f>
        <v>0</v>
      </c>
      <c r="S130" s="141" t="n">
        <f aca="false">IF(LEFT(E130,3)="T09",C130*Parâmetros!$D$13*Parâmetros!$C$13,0)</f>
        <v>0</v>
      </c>
    </row>
    <row r="131" customFormat="false" ht="15" hidden="false" customHeight="false" outlineLevel="0" collapsed="false">
      <c r="A131" s="138" t="str">
        <f aca="false">Estacas!A131</f>
        <v>129+0,00</v>
      </c>
      <c r="B131" s="138" t="str">
        <f aca="false">Estacas!A132</f>
        <v>130+0,00</v>
      </c>
      <c r="C131" s="144" t="n">
        <f aca="false">Estacas!C132-Estacas!C131</f>
        <v>20</v>
      </c>
      <c r="D131" s="138" t="s">
        <v>1565</v>
      </c>
      <c r="E131" s="138" t="s">
        <v>1566</v>
      </c>
      <c r="F131" s="141" t="n">
        <f aca="false">Estacas!F131</f>
        <v>11</v>
      </c>
      <c r="G131" s="141" t="n">
        <f aca="false">Estacas!F132</f>
        <v>11</v>
      </c>
      <c r="H131" s="141" t="n">
        <f aca="false">C131*(Estacas!K131+Estacas!K132)/2</f>
        <v>11.05</v>
      </c>
      <c r="I131" s="141" t="n">
        <f aca="false">H131*Parâmetros!$C$14</f>
        <v>26.52</v>
      </c>
      <c r="J131" s="141" t="n">
        <f aca="false">C131*(Estacas!L131+Estacas!L132)/2</f>
        <v>36.352</v>
      </c>
      <c r="K131" s="141" t="n">
        <f aca="false">C131*(Estacas!M131+Estacas!M132)/2</f>
        <v>47.68</v>
      </c>
      <c r="L131" s="141" t="n">
        <f aca="false">C131*(Estacas!N131+Estacas!N132)/2</f>
        <v>75.72</v>
      </c>
      <c r="M131" s="141" t="n">
        <f aca="false">C131*(Estacas!O131+Estacas!O132)/2</f>
        <v>224</v>
      </c>
      <c r="N131" s="141" t="n">
        <f aca="false">C131*(Estacas!O131+Estacas!O132)/2</f>
        <v>224</v>
      </c>
      <c r="O131" s="141" t="n">
        <f aca="false">C131*(Estacas!P131+Estacas!P132)/2</f>
        <v>258.4</v>
      </c>
      <c r="P131" s="141" t="n">
        <f aca="false">R131*Parâmetros!$C$11</f>
        <v>0</v>
      </c>
      <c r="Q131" s="141" t="n">
        <f aca="false">R131*Parâmetros!$C$12</f>
        <v>0</v>
      </c>
      <c r="R131" s="141" t="n">
        <f aca="false">C131*(Estacas!Q131+Estacas!Q132)/2</f>
        <v>0</v>
      </c>
      <c r="S131" s="141" t="n">
        <f aca="false">IF(LEFT(E131,3)="T09",C131*Parâmetros!$D$13*Parâmetros!$C$13,0)</f>
        <v>0</v>
      </c>
    </row>
    <row r="132" customFormat="false" ht="15" hidden="false" customHeight="false" outlineLevel="0" collapsed="false">
      <c r="A132" s="138" t="str">
        <f aca="false">Estacas!A132</f>
        <v>130+0,00</v>
      </c>
      <c r="B132" s="138" t="str">
        <f aca="false">Estacas!A133</f>
        <v>131+0,00</v>
      </c>
      <c r="C132" s="144" t="n">
        <f aca="false">Estacas!C133-Estacas!C132</f>
        <v>20</v>
      </c>
      <c r="D132" s="138" t="s">
        <v>1565</v>
      </c>
      <c r="E132" s="138" t="s">
        <v>1566</v>
      </c>
      <c r="F132" s="141" t="n">
        <f aca="false">Estacas!F132</f>
        <v>11</v>
      </c>
      <c r="G132" s="141" t="n">
        <f aca="false">Estacas!F133</f>
        <v>11</v>
      </c>
      <c r="H132" s="141" t="n">
        <f aca="false">C132*(Estacas!K132+Estacas!K133)/2</f>
        <v>11.05</v>
      </c>
      <c r="I132" s="141" t="n">
        <f aca="false">H132*Parâmetros!$C$14</f>
        <v>26.52</v>
      </c>
      <c r="J132" s="141" t="n">
        <f aca="false">C132*(Estacas!L132+Estacas!L133)/2</f>
        <v>36.352</v>
      </c>
      <c r="K132" s="141" t="n">
        <f aca="false">C132*(Estacas!M132+Estacas!M133)/2</f>
        <v>47.68</v>
      </c>
      <c r="L132" s="141" t="n">
        <f aca="false">C132*(Estacas!N132+Estacas!N133)/2</f>
        <v>75.72</v>
      </c>
      <c r="M132" s="141" t="n">
        <f aca="false">C132*(Estacas!O132+Estacas!O133)/2</f>
        <v>224</v>
      </c>
      <c r="N132" s="141" t="n">
        <f aca="false">C132*(Estacas!O132+Estacas!O133)/2</f>
        <v>224</v>
      </c>
      <c r="O132" s="141" t="n">
        <f aca="false">C132*(Estacas!P132+Estacas!P133)/2</f>
        <v>258.4</v>
      </c>
      <c r="P132" s="141" t="n">
        <f aca="false">R132*Parâmetros!$C$11</f>
        <v>0</v>
      </c>
      <c r="Q132" s="141" t="n">
        <f aca="false">R132*Parâmetros!$C$12</f>
        <v>0</v>
      </c>
      <c r="R132" s="141" t="n">
        <f aca="false">C132*(Estacas!Q132+Estacas!Q133)/2</f>
        <v>0</v>
      </c>
      <c r="S132" s="141" t="n">
        <f aca="false">IF(LEFT(E132,3)="T09",C132*Parâmetros!$D$13*Parâmetros!$C$13,0)</f>
        <v>0</v>
      </c>
    </row>
    <row r="133" customFormat="false" ht="15" hidden="false" customHeight="false" outlineLevel="0" collapsed="false">
      <c r="A133" s="138" t="str">
        <f aca="false">Estacas!A133</f>
        <v>131+0,00</v>
      </c>
      <c r="B133" s="138" t="str">
        <f aca="false">Estacas!A134</f>
        <v>132+0,00</v>
      </c>
      <c r="C133" s="144" t="n">
        <f aca="false">Estacas!C134-Estacas!C133</f>
        <v>20</v>
      </c>
      <c r="D133" s="138" t="s">
        <v>1565</v>
      </c>
      <c r="E133" s="138" t="s">
        <v>1566</v>
      </c>
      <c r="F133" s="141" t="n">
        <f aca="false">Estacas!F133</f>
        <v>11</v>
      </c>
      <c r="G133" s="141" t="n">
        <f aca="false">Estacas!F134</f>
        <v>11</v>
      </c>
      <c r="H133" s="141" t="n">
        <f aca="false">C133*(Estacas!K133+Estacas!K134)/2</f>
        <v>11.05</v>
      </c>
      <c r="I133" s="141" t="n">
        <f aca="false">H133*Parâmetros!$C$14</f>
        <v>26.52</v>
      </c>
      <c r="J133" s="141" t="n">
        <f aca="false">C133*(Estacas!L133+Estacas!L134)/2</f>
        <v>36.352</v>
      </c>
      <c r="K133" s="141" t="n">
        <f aca="false">C133*(Estacas!M133+Estacas!M134)/2</f>
        <v>47.68</v>
      </c>
      <c r="L133" s="141" t="n">
        <f aca="false">C133*(Estacas!N133+Estacas!N134)/2</f>
        <v>75.72</v>
      </c>
      <c r="M133" s="141" t="n">
        <f aca="false">C133*(Estacas!O133+Estacas!O134)/2</f>
        <v>224</v>
      </c>
      <c r="N133" s="141" t="n">
        <f aca="false">C133*(Estacas!O133+Estacas!O134)/2</f>
        <v>224</v>
      </c>
      <c r="O133" s="141" t="n">
        <f aca="false">C133*(Estacas!P133+Estacas!P134)/2</f>
        <v>258.4</v>
      </c>
      <c r="P133" s="141" t="n">
        <f aca="false">R133*Parâmetros!$C$11</f>
        <v>0</v>
      </c>
      <c r="Q133" s="141" t="n">
        <f aca="false">R133*Parâmetros!$C$12</f>
        <v>0</v>
      </c>
      <c r="R133" s="141" t="n">
        <f aca="false">C133*(Estacas!Q133+Estacas!Q134)/2</f>
        <v>0</v>
      </c>
      <c r="S133" s="141" t="n">
        <f aca="false">IF(LEFT(E133,3)="T09",C133*Parâmetros!$D$13*Parâmetros!$C$13,0)</f>
        <v>0</v>
      </c>
    </row>
    <row r="134" customFormat="false" ht="15" hidden="false" customHeight="false" outlineLevel="0" collapsed="false">
      <c r="A134" s="138" t="str">
        <f aca="false">Estacas!A134</f>
        <v>132+0,00</v>
      </c>
      <c r="B134" s="138" t="str">
        <f aca="false">Estacas!A135</f>
        <v>133+0,00</v>
      </c>
      <c r="C134" s="144" t="n">
        <f aca="false">Estacas!C135-Estacas!C134</f>
        <v>20</v>
      </c>
      <c r="D134" s="138" t="s">
        <v>1565</v>
      </c>
      <c r="E134" s="138" t="s">
        <v>1566</v>
      </c>
      <c r="F134" s="141" t="n">
        <f aca="false">Estacas!F134</f>
        <v>11</v>
      </c>
      <c r="G134" s="141" t="n">
        <f aca="false">Estacas!F135</f>
        <v>11</v>
      </c>
      <c r="H134" s="141" t="n">
        <f aca="false">C134*(Estacas!K134+Estacas!K135)/2</f>
        <v>11.05</v>
      </c>
      <c r="I134" s="141" t="n">
        <f aca="false">H134*Parâmetros!$C$14</f>
        <v>26.52</v>
      </c>
      <c r="J134" s="141" t="n">
        <f aca="false">C134*(Estacas!L134+Estacas!L135)/2</f>
        <v>36.352</v>
      </c>
      <c r="K134" s="141" t="n">
        <f aca="false">C134*(Estacas!M134+Estacas!M135)/2</f>
        <v>47.68</v>
      </c>
      <c r="L134" s="141" t="n">
        <f aca="false">C134*(Estacas!N134+Estacas!N135)/2</f>
        <v>75.72</v>
      </c>
      <c r="M134" s="141" t="n">
        <f aca="false">C134*(Estacas!O134+Estacas!O135)/2</f>
        <v>224</v>
      </c>
      <c r="N134" s="141" t="n">
        <f aca="false">C134*(Estacas!O134+Estacas!O135)/2</f>
        <v>224</v>
      </c>
      <c r="O134" s="141" t="n">
        <f aca="false">C134*(Estacas!P134+Estacas!P135)/2</f>
        <v>258.4</v>
      </c>
      <c r="P134" s="141" t="n">
        <f aca="false">R134*Parâmetros!$C$11</f>
        <v>0</v>
      </c>
      <c r="Q134" s="141" t="n">
        <f aca="false">R134*Parâmetros!$C$12</f>
        <v>0</v>
      </c>
      <c r="R134" s="141" t="n">
        <f aca="false">C134*(Estacas!Q134+Estacas!Q135)/2</f>
        <v>0</v>
      </c>
      <c r="S134" s="141" t="n">
        <f aca="false">IF(LEFT(E134,3)="T09",C134*Parâmetros!$D$13*Parâmetros!$C$13,0)</f>
        <v>0</v>
      </c>
    </row>
    <row r="135" customFormat="false" ht="15" hidden="false" customHeight="false" outlineLevel="0" collapsed="false">
      <c r="A135" s="138" t="str">
        <f aca="false">Estacas!A135</f>
        <v>133+0,00</v>
      </c>
      <c r="B135" s="138" t="str">
        <f aca="false">Estacas!A136</f>
        <v>134+0,00</v>
      </c>
      <c r="C135" s="144" t="n">
        <f aca="false">Estacas!C136-Estacas!C135</f>
        <v>20</v>
      </c>
      <c r="D135" s="138" t="s">
        <v>1565</v>
      </c>
      <c r="E135" s="138" t="s">
        <v>1566</v>
      </c>
      <c r="F135" s="141" t="n">
        <f aca="false">Estacas!F135</f>
        <v>11</v>
      </c>
      <c r="G135" s="141" t="n">
        <f aca="false">Estacas!F136</f>
        <v>11</v>
      </c>
      <c r="H135" s="141" t="n">
        <f aca="false">C135*(Estacas!K135+Estacas!K136)/2</f>
        <v>11.05</v>
      </c>
      <c r="I135" s="141" t="n">
        <f aca="false">H135*Parâmetros!$C$14</f>
        <v>26.52</v>
      </c>
      <c r="J135" s="141" t="n">
        <f aca="false">C135*(Estacas!L135+Estacas!L136)/2</f>
        <v>36.352</v>
      </c>
      <c r="K135" s="141" t="n">
        <f aca="false">C135*(Estacas!M135+Estacas!M136)/2</f>
        <v>47.68</v>
      </c>
      <c r="L135" s="141" t="n">
        <f aca="false">C135*(Estacas!N135+Estacas!N136)/2</f>
        <v>75.72</v>
      </c>
      <c r="M135" s="141" t="n">
        <f aca="false">C135*(Estacas!O135+Estacas!O136)/2</f>
        <v>224</v>
      </c>
      <c r="N135" s="141" t="n">
        <f aca="false">C135*(Estacas!O135+Estacas!O136)/2</f>
        <v>224</v>
      </c>
      <c r="O135" s="141" t="n">
        <f aca="false">C135*(Estacas!P135+Estacas!P136)/2</f>
        <v>258.4</v>
      </c>
      <c r="P135" s="141" t="n">
        <f aca="false">R135*Parâmetros!$C$11</f>
        <v>0</v>
      </c>
      <c r="Q135" s="141" t="n">
        <f aca="false">R135*Parâmetros!$C$12</f>
        <v>0</v>
      </c>
      <c r="R135" s="141" t="n">
        <f aca="false">C135*(Estacas!Q135+Estacas!Q136)/2</f>
        <v>0</v>
      </c>
      <c r="S135" s="141" t="n">
        <f aca="false">IF(LEFT(E135,3)="T09",C135*Parâmetros!$D$13*Parâmetros!$C$13,0)</f>
        <v>0</v>
      </c>
    </row>
    <row r="136" customFormat="false" ht="15" hidden="false" customHeight="false" outlineLevel="0" collapsed="false">
      <c r="A136" s="138" t="str">
        <f aca="false">Estacas!A136</f>
        <v>134+0,00</v>
      </c>
      <c r="B136" s="138" t="str">
        <f aca="false">Estacas!A137</f>
        <v>135+0,00</v>
      </c>
      <c r="C136" s="144" t="n">
        <f aca="false">Estacas!C137-Estacas!C136</f>
        <v>20</v>
      </c>
      <c r="D136" s="138" t="s">
        <v>1565</v>
      </c>
      <c r="E136" s="138" t="s">
        <v>1566</v>
      </c>
      <c r="F136" s="141" t="n">
        <f aca="false">Estacas!F136</f>
        <v>11</v>
      </c>
      <c r="G136" s="141" t="n">
        <f aca="false">Estacas!F137</f>
        <v>11</v>
      </c>
      <c r="H136" s="141" t="n">
        <f aca="false">C136*(Estacas!K136+Estacas!K137)/2</f>
        <v>11.05</v>
      </c>
      <c r="I136" s="141" t="n">
        <f aca="false">H136*Parâmetros!$C$14</f>
        <v>26.52</v>
      </c>
      <c r="J136" s="141" t="n">
        <f aca="false">C136*(Estacas!L136+Estacas!L137)/2</f>
        <v>36.352</v>
      </c>
      <c r="K136" s="141" t="n">
        <f aca="false">C136*(Estacas!M136+Estacas!M137)/2</f>
        <v>47.68</v>
      </c>
      <c r="L136" s="141" t="n">
        <f aca="false">C136*(Estacas!N136+Estacas!N137)/2</f>
        <v>75.72</v>
      </c>
      <c r="M136" s="141" t="n">
        <f aca="false">C136*(Estacas!O136+Estacas!O137)/2</f>
        <v>224</v>
      </c>
      <c r="N136" s="141" t="n">
        <f aca="false">C136*(Estacas!O136+Estacas!O137)/2</f>
        <v>224</v>
      </c>
      <c r="O136" s="141" t="n">
        <f aca="false">C136*(Estacas!P136+Estacas!P137)/2</f>
        <v>258.4</v>
      </c>
      <c r="P136" s="141" t="n">
        <f aca="false">R136*Parâmetros!$C$11</f>
        <v>0</v>
      </c>
      <c r="Q136" s="141" t="n">
        <f aca="false">R136*Parâmetros!$C$12</f>
        <v>0</v>
      </c>
      <c r="R136" s="141" t="n">
        <f aca="false">C136*(Estacas!Q136+Estacas!Q137)/2</f>
        <v>0</v>
      </c>
      <c r="S136" s="141" t="n">
        <f aca="false">IF(LEFT(E136,3)="T09",C136*Parâmetros!$D$13*Parâmetros!$C$13,0)</f>
        <v>0</v>
      </c>
    </row>
    <row r="137" customFormat="false" ht="15" hidden="false" customHeight="false" outlineLevel="0" collapsed="false">
      <c r="A137" s="138" t="str">
        <f aca="false">Estacas!A137</f>
        <v>135+0,00</v>
      </c>
      <c r="B137" s="138" t="str">
        <f aca="false">Estacas!A138</f>
        <v>136+0,00</v>
      </c>
      <c r="C137" s="144" t="n">
        <f aca="false">Estacas!C138-Estacas!C137</f>
        <v>20</v>
      </c>
      <c r="D137" s="138" t="s">
        <v>1565</v>
      </c>
      <c r="E137" s="138" t="s">
        <v>1566</v>
      </c>
      <c r="F137" s="141" t="n">
        <f aca="false">Estacas!F137</f>
        <v>11</v>
      </c>
      <c r="G137" s="141" t="n">
        <f aca="false">Estacas!F138</f>
        <v>11</v>
      </c>
      <c r="H137" s="141" t="n">
        <f aca="false">C137*(Estacas!K137+Estacas!K138)/2</f>
        <v>11.05</v>
      </c>
      <c r="I137" s="141" t="n">
        <f aca="false">H137*Parâmetros!$C$14</f>
        <v>26.52</v>
      </c>
      <c r="J137" s="141" t="n">
        <f aca="false">C137*(Estacas!L137+Estacas!L138)/2</f>
        <v>36.352</v>
      </c>
      <c r="K137" s="141" t="n">
        <f aca="false">C137*(Estacas!M137+Estacas!M138)/2</f>
        <v>47.68</v>
      </c>
      <c r="L137" s="141" t="n">
        <f aca="false">C137*(Estacas!N137+Estacas!N138)/2</f>
        <v>75.72</v>
      </c>
      <c r="M137" s="141" t="n">
        <f aca="false">C137*(Estacas!O137+Estacas!O138)/2</f>
        <v>224</v>
      </c>
      <c r="N137" s="141" t="n">
        <f aca="false">C137*(Estacas!O137+Estacas!O138)/2</f>
        <v>224</v>
      </c>
      <c r="O137" s="141" t="n">
        <f aca="false">C137*(Estacas!P137+Estacas!P138)/2</f>
        <v>258.4</v>
      </c>
      <c r="P137" s="141" t="n">
        <f aca="false">R137*Parâmetros!$C$11</f>
        <v>0</v>
      </c>
      <c r="Q137" s="141" t="n">
        <f aca="false">R137*Parâmetros!$C$12</f>
        <v>0</v>
      </c>
      <c r="R137" s="141" t="n">
        <f aca="false">C137*(Estacas!Q137+Estacas!Q138)/2</f>
        <v>0</v>
      </c>
      <c r="S137" s="141" t="n">
        <f aca="false">IF(LEFT(E137,3)="T09",C137*Parâmetros!$D$13*Parâmetros!$C$13,0)</f>
        <v>0</v>
      </c>
    </row>
    <row r="138" customFormat="false" ht="15" hidden="false" customHeight="false" outlineLevel="0" collapsed="false">
      <c r="A138" s="138" t="str">
        <f aca="false">Estacas!A138</f>
        <v>136+0,00</v>
      </c>
      <c r="B138" s="138" t="str">
        <f aca="false">Estacas!A139</f>
        <v>137+0,00</v>
      </c>
      <c r="C138" s="144" t="n">
        <f aca="false">Estacas!C139-Estacas!C138</f>
        <v>20</v>
      </c>
      <c r="D138" s="138" t="s">
        <v>1565</v>
      </c>
      <c r="E138" s="138" t="s">
        <v>1566</v>
      </c>
      <c r="F138" s="141" t="n">
        <f aca="false">Estacas!F138</f>
        <v>11</v>
      </c>
      <c r="G138" s="141" t="n">
        <f aca="false">Estacas!F139</f>
        <v>11</v>
      </c>
      <c r="H138" s="141" t="n">
        <f aca="false">C138*(Estacas!K138+Estacas!K139)/2</f>
        <v>11.05</v>
      </c>
      <c r="I138" s="141" t="n">
        <f aca="false">H138*Parâmetros!$C$14</f>
        <v>26.52</v>
      </c>
      <c r="J138" s="141" t="n">
        <f aca="false">C138*(Estacas!L138+Estacas!L139)/2</f>
        <v>36.352</v>
      </c>
      <c r="K138" s="141" t="n">
        <f aca="false">C138*(Estacas!M138+Estacas!M139)/2</f>
        <v>47.68</v>
      </c>
      <c r="L138" s="141" t="n">
        <f aca="false">C138*(Estacas!N138+Estacas!N139)/2</f>
        <v>75.72</v>
      </c>
      <c r="M138" s="141" t="n">
        <f aca="false">C138*(Estacas!O138+Estacas!O139)/2</f>
        <v>224</v>
      </c>
      <c r="N138" s="141" t="n">
        <f aca="false">C138*(Estacas!O138+Estacas!O139)/2</f>
        <v>224</v>
      </c>
      <c r="O138" s="141" t="n">
        <f aca="false">C138*(Estacas!P138+Estacas!P139)/2</f>
        <v>258.4</v>
      </c>
      <c r="P138" s="141" t="n">
        <f aca="false">R138*Parâmetros!$C$11</f>
        <v>0</v>
      </c>
      <c r="Q138" s="141" t="n">
        <f aca="false">R138*Parâmetros!$C$12</f>
        <v>0</v>
      </c>
      <c r="R138" s="141" t="n">
        <f aca="false">C138*(Estacas!Q138+Estacas!Q139)/2</f>
        <v>0</v>
      </c>
      <c r="S138" s="141" t="n">
        <f aca="false">IF(LEFT(E138,3)="T09",C138*Parâmetros!$D$13*Parâmetros!$C$13,0)</f>
        <v>0</v>
      </c>
    </row>
    <row r="139" customFormat="false" ht="15" hidden="false" customHeight="false" outlineLevel="0" collapsed="false">
      <c r="A139" s="138" t="str">
        <f aca="false">Estacas!A139</f>
        <v>137+0,00</v>
      </c>
      <c r="B139" s="138" t="str">
        <f aca="false">Estacas!A140</f>
        <v>138+0,00</v>
      </c>
      <c r="C139" s="144" t="n">
        <f aca="false">Estacas!C140-Estacas!C139</f>
        <v>20</v>
      </c>
      <c r="D139" s="138" t="s">
        <v>1565</v>
      </c>
      <c r="E139" s="138" t="s">
        <v>1566</v>
      </c>
      <c r="F139" s="141" t="n">
        <f aca="false">Estacas!F139</f>
        <v>11</v>
      </c>
      <c r="G139" s="141" t="n">
        <f aca="false">Estacas!F140</f>
        <v>11</v>
      </c>
      <c r="H139" s="141" t="n">
        <f aca="false">C139*(Estacas!K139+Estacas!K140)/2</f>
        <v>11.05</v>
      </c>
      <c r="I139" s="141" t="n">
        <f aca="false">H139*Parâmetros!$C$14</f>
        <v>26.52</v>
      </c>
      <c r="J139" s="141" t="n">
        <f aca="false">C139*(Estacas!L139+Estacas!L140)/2</f>
        <v>36.352</v>
      </c>
      <c r="K139" s="141" t="n">
        <f aca="false">C139*(Estacas!M139+Estacas!M140)/2</f>
        <v>47.68</v>
      </c>
      <c r="L139" s="141" t="n">
        <f aca="false">C139*(Estacas!N139+Estacas!N140)/2</f>
        <v>75.72</v>
      </c>
      <c r="M139" s="141" t="n">
        <f aca="false">C139*(Estacas!O139+Estacas!O140)/2</f>
        <v>224</v>
      </c>
      <c r="N139" s="141" t="n">
        <f aca="false">C139*(Estacas!O139+Estacas!O140)/2</f>
        <v>224</v>
      </c>
      <c r="O139" s="141" t="n">
        <f aca="false">C139*(Estacas!P139+Estacas!P140)/2</f>
        <v>258.4</v>
      </c>
      <c r="P139" s="141" t="n">
        <f aca="false">R139*Parâmetros!$C$11</f>
        <v>0</v>
      </c>
      <c r="Q139" s="141" t="n">
        <f aca="false">R139*Parâmetros!$C$12</f>
        <v>0</v>
      </c>
      <c r="R139" s="141" t="n">
        <f aca="false">C139*(Estacas!Q139+Estacas!Q140)/2</f>
        <v>0</v>
      </c>
      <c r="S139" s="141" t="n">
        <f aca="false">IF(LEFT(E139,3)="T09",C139*Parâmetros!$D$13*Parâmetros!$C$13,0)</f>
        <v>0</v>
      </c>
    </row>
    <row r="140" customFormat="false" ht="15" hidden="false" customHeight="false" outlineLevel="0" collapsed="false">
      <c r="A140" s="138" t="str">
        <f aca="false">Estacas!A140</f>
        <v>138+0,00</v>
      </c>
      <c r="B140" s="138" t="str">
        <f aca="false">Estacas!A141</f>
        <v>139+0,00</v>
      </c>
      <c r="C140" s="144" t="n">
        <f aca="false">Estacas!C141-Estacas!C140</f>
        <v>20</v>
      </c>
      <c r="D140" s="138" t="s">
        <v>1565</v>
      </c>
      <c r="E140" s="138" t="s">
        <v>1566</v>
      </c>
      <c r="F140" s="141" t="n">
        <f aca="false">Estacas!F140</f>
        <v>11</v>
      </c>
      <c r="G140" s="141" t="n">
        <f aca="false">Estacas!F141</f>
        <v>11</v>
      </c>
      <c r="H140" s="141" t="n">
        <f aca="false">C140*(Estacas!K140+Estacas!K141)/2</f>
        <v>11.05</v>
      </c>
      <c r="I140" s="141" t="n">
        <f aca="false">H140*Parâmetros!$C$14</f>
        <v>26.52</v>
      </c>
      <c r="J140" s="141" t="n">
        <f aca="false">C140*(Estacas!L140+Estacas!L141)/2</f>
        <v>36.352</v>
      </c>
      <c r="K140" s="141" t="n">
        <f aca="false">C140*(Estacas!M140+Estacas!M141)/2</f>
        <v>47.68</v>
      </c>
      <c r="L140" s="141" t="n">
        <f aca="false">C140*(Estacas!N140+Estacas!N141)/2</f>
        <v>75.72</v>
      </c>
      <c r="M140" s="141" t="n">
        <f aca="false">C140*(Estacas!O140+Estacas!O141)/2</f>
        <v>224</v>
      </c>
      <c r="N140" s="141" t="n">
        <f aca="false">C140*(Estacas!O140+Estacas!O141)/2</f>
        <v>224</v>
      </c>
      <c r="O140" s="141" t="n">
        <f aca="false">C140*(Estacas!P140+Estacas!P141)/2</f>
        <v>258.4</v>
      </c>
      <c r="P140" s="141" t="n">
        <f aca="false">R140*Parâmetros!$C$11</f>
        <v>0</v>
      </c>
      <c r="Q140" s="141" t="n">
        <f aca="false">R140*Parâmetros!$C$12</f>
        <v>0</v>
      </c>
      <c r="R140" s="141" t="n">
        <f aca="false">C140*(Estacas!Q140+Estacas!Q141)/2</f>
        <v>0</v>
      </c>
      <c r="S140" s="141" t="n">
        <f aca="false">IF(LEFT(E140,3)="T09",C140*Parâmetros!$D$13*Parâmetros!$C$13,0)</f>
        <v>0</v>
      </c>
    </row>
    <row r="141" customFormat="false" ht="15" hidden="false" customHeight="false" outlineLevel="0" collapsed="false">
      <c r="A141" s="138" t="str">
        <f aca="false">Estacas!A141</f>
        <v>139+0,00</v>
      </c>
      <c r="B141" s="138" t="str">
        <f aca="false">Estacas!A142</f>
        <v>140+0,00</v>
      </c>
      <c r="C141" s="144" t="n">
        <f aca="false">Estacas!C142-Estacas!C141</f>
        <v>20</v>
      </c>
      <c r="D141" s="138" t="s">
        <v>1565</v>
      </c>
      <c r="E141" s="138" t="s">
        <v>1566</v>
      </c>
      <c r="F141" s="141" t="n">
        <f aca="false">Estacas!F141</f>
        <v>11</v>
      </c>
      <c r="G141" s="141" t="n">
        <f aca="false">Estacas!F142</f>
        <v>11</v>
      </c>
      <c r="H141" s="141" t="n">
        <f aca="false">C141*(Estacas!K141+Estacas!K142)/2</f>
        <v>11.05</v>
      </c>
      <c r="I141" s="141" t="n">
        <f aca="false">H141*Parâmetros!$C$14</f>
        <v>26.52</v>
      </c>
      <c r="J141" s="141" t="n">
        <f aca="false">C141*(Estacas!L141+Estacas!L142)/2</f>
        <v>36.352</v>
      </c>
      <c r="K141" s="141" t="n">
        <f aca="false">C141*(Estacas!M141+Estacas!M142)/2</f>
        <v>47.68</v>
      </c>
      <c r="L141" s="141" t="n">
        <f aca="false">C141*(Estacas!N141+Estacas!N142)/2</f>
        <v>75.72</v>
      </c>
      <c r="M141" s="141" t="n">
        <f aca="false">C141*(Estacas!O141+Estacas!O142)/2</f>
        <v>224</v>
      </c>
      <c r="N141" s="141" t="n">
        <f aca="false">C141*(Estacas!O141+Estacas!O142)/2</f>
        <v>224</v>
      </c>
      <c r="O141" s="141" t="n">
        <f aca="false">C141*(Estacas!P141+Estacas!P142)/2</f>
        <v>258.4</v>
      </c>
      <c r="P141" s="141" t="n">
        <f aca="false">R141*Parâmetros!$C$11</f>
        <v>0</v>
      </c>
      <c r="Q141" s="141" t="n">
        <f aca="false">R141*Parâmetros!$C$12</f>
        <v>0</v>
      </c>
      <c r="R141" s="141" t="n">
        <f aca="false">C141*(Estacas!Q141+Estacas!Q142)/2</f>
        <v>0</v>
      </c>
      <c r="S141" s="141" t="n">
        <f aca="false">IF(LEFT(E141,3)="T09",C141*Parâmetros!$D$13*Parâmetros!$C$13,0)</f>
        <v>0</v>
      </c>
    </row>
    <row r="142" customFormat="false" ht="15" hidden="false" customHeight="false" outlineLevel="0" collapsed="false">
      <c r="A142" s="138" t="str">
        <f aca="false">Estacas!A142</f>
        <v>140+0,00</v>
      </c>
      <c r="B142" s="138" t="str">
        <f aca="false">Estacas!A143</f>
        <v>141+0,00</v>
      </c>
      <c r="C142" s="144" t="n">
        <f aca="false">Estacas!C143-Estacas!C142</f>
        <v>20</v>
      </c>
      <c r="D142" s="138" t="s">
        <v>1565</v>
      </c>
      <c r="E142" s="138" t="s">
        <v>1566</v>
      </c>
      <c r="F142" s="141" t="n">
        <f aca="false">Estacas!F142</f>
        <v>11</v>
      </c>
      <c r="G142" s="141" t="n">
        <f aca="false">Estacas!F143</f>
        <v>11</v>
      </c>
      <c r="H142" s="141" t="n">
        <f aca="false">C142*(Estacas!K142+Estacas!K143)/2</f>
        <v>11.05</v>
      </c>
      <c r="I142" s="141" t="n">
        <f aca="false">H142*Parâmetros!$C$14</f>
        <v>26.52</v>
      </c>
      <c r="J142" s="141" t="n">
        <f aca="false">C142*(Estacas!L142+Estacas!L143)/2</f>
        <v>36.352</v>
      </c>
      <c r="K142" s="141" t="n">
        <f aca="false">C142*(Estacas!M142+Estacas!M143)/2</f>
        <v>47.68</v>
      </c>
      <c r="L142" s="141" t="n">
        <f aca="false">C142*(Estacas!N142+Estacas!N143)/2</f>
        <v>75.72</v>
      </c>
      <c r="M142" s="141" t="n">
        <f aca="false">C142*(Estacas!O142+Estacas!O143)/2</f>
        <v>224</v>
      </c>
      <c r="N142" s="141" t="n">
        <f aca="false">C142*(Estacas!O142+Estacas!O143)/2</f>
        <v>224</v>
      </c>
      <c r="O142" s="141" t="n">
        <f aca="false">C142*(Estacas!P142+Estacas!P143)/2</f>
        <v>258.4</v>
      </c>
      <c r="P142" s="141" t="n">
        <f aca="false">R142*Parâmetros!$C$11</f>
        <v>0</v>
      </c>
      <c r="Q142" s="141" t="n">
        <f aca="false">R142*Parâmetros!$C$12</f>
        <v>0</v>
      </c>
      <c r="R142" s="141" t="n">
        <f aca="false">C142*(Estacas!Q142+Estacas!Q143)/2</f>
        <v>0</v>
      </c>
      <c r="S142" s="141" t="n">
        <f aca="false">IF(LEFT(E142,3)="T09",C142*Parâmetros!$D$13*Parâmetros!$C$13,0)</f>
        <v>0</v>
      </c>
    </row>
    <row r="143" customFormat="false" ht="15" hidden="false" customHeight="false" outlineLevel="0" collapsed="false">
      <c r="A143" s="138" t="str">
        <f aca="false">Estacas!A143</f>
        <v>141+0,00</v>
      </c>
      <c r="B143" s="138" t="str">
        <f aca="false">Estacas!A144</f>
        <v>142+0,00</v>
      </c>
      <c r="C143" s="144" t="n">
        <f aca="false">Estacas!C144-Estacas!C143</f>
        <v>20</v>
      </c>
      <c r="D143" s="138" t="s">
        <v>1565</v>
      </c>
      <c r="E143" s="138" t="s">
        <v>1566</v>
      </c>
      <c r="F143" s="141" t="n">
        <f aca="false">Estacas!F143</f>
        <v>11</v>
      </c>
      <c r="G143" s="141" t="n">
        <f aca="false">Estacas!F144</f>
        <v>11</v>
      </c>
      <c r="H143" s="141" t="n">
        <f aca="false">C143*(Estacas!K143+Estacas!K144)/2</f>
        <v>11.05</v>
      </c>
      <c r="I143" s="141" t="n">
        <f aca="false">H143*Parâmetros!$C$14</f>
        <v>26.52</v>
      </c>
      <c r="J143" s="141" t="n">
        <f aca="false">C143*(Estacas!L143+Estacas!L144)/2</f>
        <v>36.352</v>
      </c>
      <c r="K143" s="141" t="n">
        <f aca="false">C143*(Estacas!M143+Estacas!M144)/2</f>
        <v>47.68</v>
      </c>
      <c r="L143" s="141" t="n">
        <f aca="false">C143*(Estacas!N143+Estacas!N144)/2</f>
        <v>75.72</v>
      </c>
      <c r="M143" s="141" t="n">
        <f aca="false">C143*(Estacas!O143+Estacas!O144)/2</f>
        <v>224</v>
      </c>
      <c r="N143" s="141" t="n">
        <f aca="false">C143*(Estacas!O143+Estacas!O144)/2</f>
        <v>224</v>
      </c>
      <c r="O143" s="141" t="n">
        <f aca="false">C143*(Estacas!P143+Estacas!P144)/2</f>
        <v>258.4</v>
      </c>
      <c r="P143" s="141" t="n">
        <f aca="false">R143*Parâmetros!$C$11</f>
        <v>0</v>
      </c>
      <c r="Q143" s="141" t="n">
        <f aca="false">R143*Parâmetros!$C$12</f>
        <v>0</v>
      </c>
      <c r="R143" s="141" t="n">
        <f aca="false">C143*(Estacas!Q143+Estacas!Q144)/2</f>
        <v>0</v>
      </c>
      <c r="S143" s="141" t="n">
        <f aca="false">IF(LEFT(E143,3)="T09",C143*Parâmetros!$D$13*Parâmetros!$C$13,0)</f>
        <v>0</v>
      </c>
    </row>
    <row r="144" customFormat="false" ht="15" hidden="false" customHeight="false" outlineLevel="0" collapsed="false">
      <c r="A144" s="138" t="str">
        <f aca="false">Estacas!A144</f>
        <v>142+0,00</v>
      </c>
      <c r="B144" s="138" t="str">
        <f aca="false">Estacas!A145</f>
        <v>143+0,00</v>
      </c>
      <c r="C144" s="144" t="n">
        <f aca="false">Estacas!C145-Estacas!C144</f>
        <v>20</v>
      </c>
      <c r="D144" s="138" t="s">
        <v>1565</v>
      </c>
      <c r="E144" s="138" t="s">
        <v>1566</v>
      </c>
      <c r="F144" s="141" t="n">
        <f aca="false">Estacas!F144</f>
        <v>11</v>
      </c>
      <c r="G144" s="141" t="n">
        <f aca="false">Estacas!F145</f>
        <v>11</v>
      </c>
      <c r="H144" s="141" t="n">
        <f aca="false">C144*(Estacas!K144+Estacas!K145)/2</f>
        <v>11.05</v>
      </c>
      <c r="I144" s="141" t="n">
        <f aca="false">H144*Parâmetros!$C$14</f>
        <v>26.52</v>
      </c>
      <c r="J144" s="141" t="n">
        <f aca="false">C144*(Estacas!L144+Estacas!L145)/2</f>
        <v>36.352</v>
      </c>
      <c r="K144" s="141" t="n">
        <f aca="false">C144*(Estacas!M144+Estacas!M145)/2</f>
        <v>47.68</v>
      </c>
      <c r="L144" s="141" t="n">
        <f aca="false">C144*(Estacas!N144+Estacas!N145)/2</f>
        <v>75.72</v>
      </c>
      <c r="M144" s="141" t="n">
        <f aca="false">C144*(Estacas!O144+Estacas!O145)/2</f>
        <v>224</v>
      </c>
      <c r="N144" s="141" t="n">
        <f aca="false">C144*(Estacas!O144+Estacas!O145)/2</f>
        <v>224</v>
      </c>
      <c r="O144" s="141" t="n">
        <f aca="false">C144*(Estacas!P144+Estacas!P145)/2</f>
        <v>258.4</v>
      </c>
      <c r="P144" s="141" t="n">
        <f aca="false">R144*Parâmetros!$C$11</f>
        <v>0</v>
      </c>
      <c r="Q144" s="141" t="n">
        <f aca="false">R144*Parâmetros!$C$12</f>
        <v>0</v>
      </c>
      <c r="R144" s="141" t="n">
        <f aca="false">C144*(Estacas!Q144+Estacas!Q145)/2</f>
        <v>0</v>
      </c>
      <c r="S144" s="141" t="n">
        <f aca="false">IF(LEFT(E144,3)="T09",C144*Parâmetros!$D$13*Parâmetros!$C$13,0)</f>
        <v>0</v>
      </c>
    </row>
    <row r="145" customFormat="false" ht="15" hidden="false" customHeight="false" outlineLevel="0" collapsed="false">
      <c r="A145" s="138" t="str">
        <f aca="false">Estacas!A145</f>
        <v>143+0,00</v>
      </c>
      <c r="B145" s="138" t="str">
        <f aca="false">Estacas!A146</f>
        <v>144+0,00</v>
      </c>
      <c r="C145" s="144" t="n">
        <f aca="false">Estacas!C146-Estacas!C145</f>
        <v>20</v>
      </c>
      <c r="D145" s="138" t="s">
        <v>1565</v>
      </c>
      <c r="E145" s="138" t="s">
        <v>1566</v>
      </c>
      <c r="F145" s="141" t="n">
        <f aca="false">Estacas!F145</f>
        <v>11</v>
      </c>
      <c r="G145" s="141" t="n">
        <f aca="false">Estacas!F146</f>
        <v>11</v>
      </c>
      <c r="H145" s="141" t="n">
        <f aca="false">C145*(Estacas!K145+Estacas!K146)/2</f>
        <v>11.05</v>
      </c>
      <c r="I145" s="141" t="n">
        <f aca="false">H145*Parâmetros!$C$14</f>
        <v>26.52</v>
      </c>
      <c r="J145" s="141" t="n">
        <f aca="false">C145*(Estacas!L145+Estacas!L146)/2</f>
        <v>36.352</v>
      </c>
      <c r="K145" s="141" t="n">
        <f aca="false">C145*(Estacas!M145+Estacas!M146)/2</f>
        <v>47.68</v>
      </c>
      <c r="L145" s="141" t="n">
        <f aca="false">C145*(Estacas!N145+Estacas!N146)/2</f>
        <v>75.72</v>
      </c>
      <c r="M145" s="141" t="n">
        <f aca="false">C145*(Estacas!O145+Estacas!O146)/2</f>
        <v>224</v>
      </c>
      <c r="N145" s="141" t="n">
        <f aca="false">C145*(Estacas!O145+Estacas!O146)/2</f>
        <v>224</v>
      </c>
      <c r="O145" s="141" t="n">
        <f aca="false">C145*(Estacas!P145+Estacas!P146)/2</f>
        <v>258.4</v>
      </c>
      <c r="P145" s="141" t="n">
        <f aca="false">R145*Parâmetros!$C$11</f>
        <v>0</v>
      </c>
      <c r="Q145" s="141" t="n">
        <f aca="false">R145*Parâmetros!$C$12</f>
        <v>0</v>
      </c>
      <c r="R145" s="141" t="n">
        <f aca="false">C145*(Estacas!Q145+Estacas!Q146)/2</f>
        <v>0</v>
      </c>
      <c r="S145" s="141" t="n">
        <f aca="false">IF(LEFT(E145,3)="T09",C145*Parâmetros!$D$13*Parâmetros!$C$13,0)</f>
        <v>0</v>
      </c>
    </row>
    <row r="146" customFormat="false" ht="15" hidden="false" customHeight="false" outlineLevel="0" collapsed="false">
      <c r="A146" s="138" t="str">
        <f aca="false">Estacas!A146</f>
        <v>144+0,00</v>
      </c>
      <c r="B146" s="138" t="str">
        <f aca="false">Estacas!A147</f>
        <v>145+0,00</v>
      </c>
      <c r="C146" s="144" t="n">
        <f aca="false">Estacas!C147-Estacas!C146</f>
        <v>20</v>
      </c>
      <c r="D146" s="138" t="s">
        <v>1565</v>
      </c>
      <c r="E146" s="138" t="s">
        <v>1566</v>
      </c>
      <c r="F146" s="141" t="n">
        <f aca="false">Estacas!F146</f>
        <v>11</v>
      </c>
      <c r="G146" s="141" t="n">
        <f aca="false">Estacas!F147</f>
        <v>11</v>
      </c>
      <c r="H146" s="141" t="n">
        <f aca="false">C146*(Estacas!K146+Estacas!K147)/2</f>
        <v>11.05</v>
      </c>
      <c r="I146" s="141" t="n">
        <f aca="false">H146*Parâmetros!$C$14</f>
        <v>26.52</v>
      </c>
      <c r="J146" s="141" t="n">
        <f aca="false">C146*(Estacas!L146+Estacas!L147)/2</f>
        <v>36.352</v>
      </c>
      <c r="K146" s="141" t="n">
        <f aca="false">C146*(Estacas!M146+Estacas!M147)/2</f>
        <v>47.68</v>
      </c>
      <c r="L146" s="141" t="n">
        <f aca="false">C146*(Estacas!N146+Estacas!N147)/2</f>
        <v>75.72</v>
      </c>
      <c r="M146" s="141" t="n">
        <f aca="false">C146*(Estacas!O146+Estacas!O147)/2</f>
        <v>224</v>
      </c>
      <c r="N146" s="141" t="n">
        <f aca="false">C146*(Estacas!O146+Estacas!O147)/2</f>
        <v>224</v>
      </c>
      <c r="O146" s="141" t="n">
        <f aca="false">C146*(Estacas!P146+Estacas!P147)/2</f>
        <v>258.4</v>
      </c>
      <c r="P146" s="141" t="n">
        <f aca="false">R146*Parâmetros!$C$11</f>
        <v>0</v>
      </c>
      <c r="Q146" s="141" t="n">
        <f aca="false">R146*Parâmetros!$C$12</f>
        <v>0</v>
      </c>
      <c r="R146" s="141" t="n">
        <f aca="false">C146*(Estacas!Q146+Estacas!Q147)/2</f>
        <v>0</v>
      </c>
      <c r="S146" s="141" t="n">
        <f aca="false">IF(LEFT(E146,3)="T09",C146*Parâmetros!$D$13*Parâmetros!$C$13,0)</f>
        <v>0</v>
      </c>
    </row>
    <row r="147" customFormat="false" ht="15" hidden="false" customHeight="false" outlineLevel="0" collapsed="false">
      <c r="A147" s="138" t="str">
        <f aca="false">Estacas!A147</f>
        <v>145+0,00</v>
      </c>
      <c r="B147" s="138" t="str">
        <f aca="false">Estacas!A148</f>
        <v>146+0,00</v>
      </c>
      <c r="C147" s="144" t="n">
        <f aca="false">Estacas!C148-Estacas!C147</f>
        <v>20</v>
      </c>
      <c r="D147" s="138" t="s">
        <v>1565</v>
      </c>
      <c r="E147" s="138" t="s">
        <v>1566</v>
      </c>
      <c r="F147" s="141" t="n">
        <f aca="false">Estacas!F147</f>
        <v>11</v>
      </c>
      <c r="G147" s="141" t="n">
        <f aca="false">Estacas!F148</f>
        <v>11</v>
      </c>
      <c r="H147" s="141" t="n">
        <f aca="false">C147*(Estacas!K147+Estacas!K148)/2</f>
        <v>11.05</v>
      </c>
      <c r="I147" s="141" t="n">
        <f aca="false">H147*Parâmetros!$C$14</f>
        <v>26.52</v>
      </c>
      <c r="J147" s="141" t="n">
        <f aca="false">C147*(Estacas!L147+Estacas!L148)/2</f>
        <v>36.352</v>
      </c>
      <c r="K147" s="141" t="n">
        <f aca="false">C147*(Estacas!M147+Estacas!M148)/2</f>
        <v>47.68</v>
      </c>
      <c r="L147" s="141" t="n">
        <f aca="false">C147*(Estacas!N147+Estacas!N148)/2</f>
        <v>75.72</v>
      </c>
      <c r="M147" s="141" t="n">
        <f aca="false">C147*(Estacas!O147+Estacas!O148)/2</f>
        <v>224</v>
      </c>
      <c r="N147" s="141" t="n">
        <f aca="false">C147*(Estacas!O147+Estacas!O148)/2</f>
        <v>224</v>
      </c>
      <c r="O147" s="141" t="n">
        <f aca="false">C147*(Estacas!P147+Estacas!P148)/2</f>
        <v>258.4</v>
      </c>
      <c r="P147" s="141" t="n">
        <f aca="false">R147*Parâmetros!$C$11</f>
        <v>0</v>
      </c>
      <c r="Q147" s="141" t="n">
        <f aca="false">R147*Parâmetros!$C$12</f>
        <v>0</v>
      </c>
      <c r="R147" s="141" t="n">
        <f aca="false">C147*(Estacas!Q147+Estacas!Q148)/2</f>
        <v>0</v>
      </c>
      <c r="S147" s="141" t="n">
        <f aca="false">IF(LEFT(E147,3)="T09",C147*Parâmetros!$D$13*Parâmetros!$C$13,0)</f>
        <v>0</v>
      </c>
    </row>
    <row r="148" customFormat="false" ht="15" hidden="false" customHeight="false" outlineLevel="0" collapsed="false">
      <c r="A148" s="138" t="str">
        <f aca="false">Estacas!A148</f>
        <v>146+0,00</v>
      </c>
      <c r="B148" s="138" t="str">
        <f aca="false">Estacas!A149</f>
        <v>147+0,00</v>
      </c>
      <c r="C148" s="144" t="n">
        <f aca="false">Estacas!C149-Estacas!C148</f>
        <v>20</v>
      </c>
      <c r="D148" s="138" t="s">
        <v>1565</v>
      </c>
      <c r="E148" s="138" t="s">
        <v>1566</v>
      </c>
      <c r="F148" s="141" t="n">
        <f aca="false">Estacas!F148</f>
        <v>11</v>
      </c>
      <c r="G148" s="141" t="n">
        <f aca="false">Estacas!F149</f>
        <v>11</v>
      </c>
      <c r="H148" s="141" t="n">
        <f aca="false">C148*(Estacas!K148+Estacas!K149)/2</f>
        <v>11.05</v>
      </c>
      <c r="I148" s="141" t="n">
        <f aca="false">H148*Parâmetros!$C$14</f>
        <v>26.52</v>
      </c>
      <c r="J148" s="141" t="n">
        <f aca="false">C148*(Estacas!L148+Estacas!L149)/2</f>
        <v>36.352</v>
      </c>
      <c r="K148" s="141" t="n">
        <f aca="false">C148*(Estacas!M148+Estacas!M149)/2</f>
        <v>47.68</v>
      </c>
      <c r="L148" s="141" t="n">
        <f aca="false">C148*(Estacas!N148+Estacas!N149)/2</f>
        <v>75.72</v>
      </c>
      <c r="M148" s="141" t="n">
        <f aca="false">C148*(Estacas!O148+Estacas!O149)/2</f>
        <v>224</v>
      </c>
      <c r="N148" s="141" t="n">
        <f aca="false">C148*(Estacas!O148+Estacas!O149)/2</f>
        <v>224</v>
      </c>
      <c r="O148" s="141" t="n">
        <f aca="false">C148*(Estacas!P148+Estacas!P149)/2</f>
        <v>258.4</v>
      </c>
      <c r="P148" s="141" t="n">
        <f aca="false">R148*Parâmetros!$C$11</f>
        <v>0</v>
      </c>
      <c r="Q148" s="141" t="n">
        <f aca="false">R148*Parâmetros!$C$12</f>
        <v>0</v>
      </c>
      <c r="R148" s="141" t="n">
        <f aca="false">C148*(Estacas!Q148+Estacas!Q149)/2</f>
        <v>0</v>
      </c>
      <c r="S148" s="141" t="n">
        <f aca="false">IF(LEFT(E148,3)="T09",C148*Parâmetros!$D$13*Parâmetros!$C$13,0)</f>
        <v>0</v>
      </c>
    </row>
    <row r="149" customFormat="false" ht="15" hidden="false" customHeight="false" outlineLevel="0" collapsed="false">
      <c r="A149" s="138" t="str">
        <f aca="false">Estacas!A149</f>
        <v>147+0,00</v>
      </c>
      <c r="B149" s="138" t="str">
        <f aca="false">Estacas!A150</f>
        <v>148+0,00</v>
      </c>
      <c r="C149" s="144" t="n">
        <f aca="false">Estacas!C150-Estacas!C149</f>
        <v>20</v>
      </c>
      <c r="D149" s="138" t="s">
        <v>1565</v>
      </c>
      <c r="E149" s="138" t="s">
        <v>1566</v>
      </c>
      <c r="F149" s="141" t="n">
        <f aca="false">Estacas!F149</f>
        <v>11</v>
      </c>
      <c r="G149" s="141" t="n">
        <f aca="false">Estacas!F150</f>
        <v>11</v>
      </c>
      <c r="H149" s="141" t="n">
        <f aca="false">C149*(Estacas!K149+Estacas!K150)/2</f>
        <v>11.05</v>
      </c>
      <c r="I149" s="141" t="n">
        <f aca="false">H149*Parâmetros!$C$14</f>
        <v>26.52</v>
      </c>
      <c r="J149" s="141" t="n">
        <f aca="false">C149*(Estacas!L149+Estacas!L150)/2</f>
        <v>36.352</v>
      </c>
      <c r="K149" s="141" t="n">
        <f aca="false">C149*(Estacas!M149+Estacas!M150)/2</f>
        <v>47.68</v>
      </c>
      <c r="L149" s="141" t="n">
        <f aca="false">C149*(Estacas!N149+Estacas!N150)/2</f>
        <v>75.72</v>
      </c>
      <c r="M149" s="141" t="n">
        <f aca="false">C149*(Estacas!O149+Estacas!O150)/2</f>
        <v>224</v>
      </c>
      <c r="N149" s="141" t="n">
        <f aca="false">C149*(Estacas!O149+Estacas!O150)/2</f>
        <v>224</v>
      </c>
      <c r="O149" s="141" t="n">
        <f aca="false">C149*(Estacas!P149+Estacas!P150)/2</f>
        <v>258.4</v>
      </c>
      <c r="P149" s="141" t="n">
        <f aca="false">R149*Parâmetros!$C$11</f>
        <v>0</v>
      </c>
      <c r="Q149" s="141" t="n">
        <f aca="false">R149*Parâmetros!$C$12</f>
        <v>0</v>
      </c>
      <c r="R149" s="141" t="n">
        <f aca="false">C149*(Estacas!Q149+Estacas!Q150)/2</f>
        <v>0</v>
      </c>
      <c r="S149" s="141" t="n">
        <f aca="false">IF(LEFT(E149,3)="T09",C149*Parâmetros!$D$13*Parâmetros!$C$13,0)</f>
        <v>0</v>
      </c>
    </row>
    <row r="150" customFormat="false" ht="15" hidden="false" customHeight="false" outlineLevel="0" collapsed="false">
      <c r="A150" s="138" t="str">
        <f aca="false">Estacas!A150</f>
        <v>148+0,00</v>
      </c>
      <c r="B150" s="138" t="str">
        <f aca="false">Estacas!A151</f>
        <v>149+0,00</v>
      </c>
      <c r="C150" s="144" t="n">
        <f aca="false">Estacas!C151-Estacas!C150</f>
        <v>20</v>
      </c>
      <c r="D150" s="138" t="s">
        <v>1565</v>
      </c>
      <c r="E150" s="138" t="s">
        <v>1566</v>
      </c>
      <c r="F150" s="141" t="n">
        <f aca="false">Estacas!F150</f>
        <v>11</v>
      </c>
      <c r="G150" s="141" t="n">
        <f aca="false">Estacas!F151</f>
        <v>11</v>
      </c>
      <c r="H150" s="141" t="n">
        <f aca="false">C150*(Estacas!K150+Estacas!K151)/2</f>
        <v>11.05</v>
      </c>
      <c r="I150" s="141" t="n">
        <f aca="false">H150*Parâmetros!$C$14</f>
        <v>26.52</v>
      </c>
      <c r="J150" s="141" t="n">
        <f aca="false">C150*(Estacas!L150+Estacas!L151)/2</f>
        <v>36.352</v>
      </c>
      <c r="K150" s="141" t="n">
        <f aca="false">C150*(Estacas!M150+Estacas!M151)/2</f>
        <v>47.68</v>
      </c>
      <c r="L150" s="141" t="n">
        <f aca="false">C150*(Estacas!N150+Estacas!N151)/2</f>
        <v>75.72</v>
      </c>
      <c r="M150" s="141" t="n">
        <f aca="false">C150*(Estacas!O150+Estacas!O151)/2</f>
        <v>224</v>
      </c>
      <c r="N150" s="141" t="n">
        <f aca="false">C150*(Estacas!O150+Estacas!O151)/2</f>
        <v>224</v>
      </c>
      <c r="O150" s="141" t="n">
        <f aca="false">C150*(Estacas!P150+Estacas!P151)/2</f>
        <v>258.4</v>
      </c>
      <c r="P150" s="141" t="n">
        <f aca="false">R150*Parâmetros!$C$11</f>
        <v>0</v>
      </c>
      <c r="Q150" s="141" t="n">
        <f aca="false">R150*Parâmetros!$C$12</f>
        <v>0</v>
      </c>
      <c r="R150" s="141" t="n">
        <f aca="false">C150*(Estacas!Q150+Estacas!Q151)/2</f>
        <v>0</v>
      </c>
      <c r="S150" s="141" t="n">
        <f aca="false">IF(LEFT(E150,3)="T09",C150*Parâmetros!$D$13*Parâmetros!$C$13,0)</f>
        <v>0</v>
      </c>
    </row>
    <row r="151" customFormat="false" ht="15" hidden="false" customHeight="false" outlineLevel="0" collapsed="false">
      <c r="A151" s="138" t="str">
        <f aca="false">Estacas!A151</f>
        <v>149+0,00</v>
      </c>
      <c r="B151" s="138" t="str">
        <f aca="false">Estacas!A152</f>
        <v>150+0,00</v>
      </c>
      <c r="C151" s="144" t="n">
        <f aca="false">Estacas!C152-Estacas!C151</f>
        <v>20</v>
      </c>
      <c r="D151" s="138" t="s">
        <v>1565</v>
      </c>
      <c r="E151" s="138" t="s">
        <v>1566</v>
      </c>
      <c r="F151" s="141" t="n">
        <f aca="false">Estacas!F151</f>
        <v>11</v>
      </c>
      <c r="G151" s="141" t="n">
        <f aca="false">Estacas!F152</f>
        <v>11</v>
      </c>
      <c r="H151" s="141" t="n">
        <f aca="false">C151*(Estacas!K151+Estacas!K152)/2</f>
        <v>11.05</v>
      </c>
      <c r="I151" s="141" t="n">
        <f aca="false">H151*Parâmetros!$C$14</f>
        <v>26.52</v>
      </c>
      <c r="J151" s="141" t="n">
        <f aca="false">C151*(Estacas!L151+Estacas!L152)/2</f>
        <v>36.352</v>
      </c>
      <c r="K151" s="141" t="n">
        <f aca="false">C151*(Estacas!M151+Estacas!M152)/2</f>
        <v>47.68</v>
      </c>
      <c r="L151" s="141" t="n">
        <f aca="false">C151*(Estacas!N151+Estacas!N152)/2</f>
        <v>75.72</v>
      </c>
      <c r="M151" s="141" t="n">
        <f aca="false">C151*(Estacas!O151+Estacas!O152)/2</f>
        <v>224</v>
      </c>
      <c r="N151" s="141" t="n">
        <f aca="false">C151*(Estacas!O151+Estacas!O152)/2</f>
        <v>224</v>
      </c>
      <c r="O151" s="141" t="n">
        <f aca="false">C151*(Estacas!P151+Estacas!P152)/2</f>
        <v>258.4</v>
      </c>
      <c r="P151" s="141" t="n">
        <f aca="false">R151*Parâmetros!$C$11</f>
        <v>0</v>
      </c>
      <c r="Q151" s="141" t="n">
        <f aca="false">R151*Parâmetros!$C$12</f>
        <v>0</v>
      </c>
      <c r="R151" s="141" t="n">
        <f aca="false">C151*(Estacas!Q151+Estacas!Q152)/2</f>
        <v>0</v>
      </c>
      <c r="S151" s="141" t="n">
        <f aca="false">IF(LEFT(E151,3)="T09",C151*Parâmetros!$D$13*Parâmetros!$C$13,0)</f>
        <v>0</v>
      </c>
    </row>
    <row r="152" customFormat="false" ht="15" hidden="false" customHeight="false" outlineLevel="0" collapsed="false">
      <c r="A152" s="138" t="str">
        <f aca="false">Estacas!A152</f>
        <v>150+0,00</v>
      </c>
      <c r="B152" s="138" t="str">
        <f aca="false">Estacas!A153</f>
        <v>151+0,00</v>
      </c>
      <c r="C152" s="144" t="n">
        <f aca="false">Estacas!C153-Estacas!C152</f>
        <v>20</v>
      </c>
      <c r="D152" s="138" t="s">
        <v>1565</v>
      </c>
      <c r="E152" s="138" t="s">
        <v>1566</v>
      </c>
      <c r="F152" s="141" t="n">
        <f aca="false">Estacas!F152</f>
        <v>11</v>
      </c>
      <c r="G152" s="141" t="n">
        <f aca="false">Estacas!F153</f>
        <v>11</v>
      </c>
      <c r="H152" s="141" t="n">
        <f aca="false">C152*(Estacas!K152+Estacas!K153)/2</f>
        <v>11.05</v>
      </c>
      <c r="I152" s="141" t="n">
        <f aca="false">H152*Parâmetros!$C$14</f>
        <v>26.52</v>
      </c>
      <c r="J152" s="141" t="n">
        <f aca="false">C152*(Estacas!L152+Estacas!L153)/2</f>
        <v>36.352</v>
      </c>
      <c r="K152" s="141" t="n">
        <f aca="false">C152*(Estacas!M152+Estacas!M153)/2</f>
        <v>47.68</v>
      </c>
      <c r="L152" s="141" t="n">
        <f aca="false">C152*(Estacas!N152+Estacas!N153)/2</f>
        <v>75.72</v>
      </c>
      <c r="M152" s="141" t="n">
        <f aca="false">C152*(Estacas!O152+Estacas!O153)/2</f>
        <v>224</v>
      </c>
      <c r="N152" s="141" t="n">
        <f aca="false">C152*(Estacas!O152+Estacas!O153)/2</f>
        <v>224</v>
      </c>
      <c r="O152" s="141" t="n">
        <f aca="false">C152*(Estacas!P152+Estacas!P153)/2</f>
        <v>258.4</v>
      </c>
      <c r="P152" s="141" t="n">
        <f aca="false">R152*Parâmetros!$C$11</f>
        <v>0</v>
      </c>
      <c r="Q152" s="141" t="n">
        <f aca="false">R152*Parâmetros!$C$12</f>
        <v>0</v>
      </c>
      <c r="R152" s="141" t="n">
        <f aca="false">C152*(Estacas!Q152+Estacas!Q153)/2</f>
        <v>0</v>
      </c>
      <c r="S152" s="141" t="n">
        <f aca="false">IF(LEFT(E152,3)="T09",C152*Parâmetros!$D$13*Parâmetros!$C$13,0)</f>
        <v>0</v>
      </c>
    </row>
    <row r="153" customFormat="false" ht="15" hidden="false" customHeight="false" outlineLevel="0" collapsed="false">
      <c r="A153" s="138" t="str">
        <f aca="false">Estacas!A153</f>
        <v>151+0,00</v>
      </c>
      <c r="B153" s="138" t="str">
        <f aca="false">Estacas!A154</f>
        <v>152+0,00</v>
      </c>
      <c r="C153" s="144" t="n">
        <f aca="false">Estacas!C154-Estacas!C153</f>
        <v>20</v>
      </c>
      <c r="D153" s="138" t="s">
        <v>1565</v>
      </c>
      <c r="E153" s="138" t="s">
        <v>1566</v>
      </c>
      <c r="F153" s="141" t="n">
        <f aca="false">Estacas!F153</f>
        <v>11</v>
      </c>
      <c r="G153" s="141" t="n">
        <f aca="false">Estacas!F154</f>
        <v>11</v>
      </c>
      <c r="H153" s="141" t="n">
        <f aca="false">C153*(Estacas!K153+Estacas!K154)/2</f>
        <v>11.05</v>
      </c>
      <c r="I153" s="141" t="n">
        <f aca="false">H153*Parâmetros!$C$14</f>
        <v>26.52</v>
      </c>
      <c r="J153" s="141" t="n">
        <f aca="false">C153*(Estacas!L153+Estacas!L154)/2</f>
        <v>36.352</v>
      </c>
      <c r="K153" s="141" t="n">
        <f aca="false">C153*(Estacas!M153+Estacas!M154)/2</f>
        <v>47.68</v>
      </c>
      <c r="L153" s="141" t="n">
        <f aca="false">C153*(Estacas!N153+Estacas!N154)/2</f>
        <v>75.72</v>
      </c>
      <c r="M153" s="141" t="n">
        <f aca="false">C153*(Estacas!O153+Estacas!O154)/2</f>
        <v>224</v>
      </c>
      <c r="N153" s="141" t="n">
        <f aca="false">C153*(Estacas!O153+Estacas!O154)/2</f>
        <v>224</v>
      </c>
      <c r="O153" s="141" t="n">
        <f aca="false">C153*(Estacas!P153+Estacas!P154)/2</f>
        <v>258.4</v>
      </c>
      <c r="P153" s="141" t="n">
        <f aca="false">R153*Parâmetros!$C$11</f>
        <v>0</v>
      </c>
      <c r="Q153" s="141" t="n">
        <f aca="false">R153*Parâmetros!$C$12</f>
        <v>0</v>
      </c>
      <c r="R153" s="141" t="n">
        <f aca="false">C153*(Estacas!Q153+Estacas!Q154)/2</f>
        <v>0</v>
      </c>
      <c r="S153" s="141" t="n">
        <f aca="false">IF(LEFT(E153,3)="T09",C153*Parâmetros!$D$13*Parâmetros!$C$13,0)</f>
        <v>0</v>
      </c>
    </row>
    <row r="154" customFormat="false" ht="15" hidden="false" customHeight="false" outlineLevel="0" collapsed="false">
      <c r="A154" s="138" t="str">
        <f aca="false">Estacas!A154</f>
        <v>152+0,00</v>
      </c>
      <c r="B154" s="138" t="str">
        <f aca="false">Estacas!A155</f>
        <v>153+0,00</v>
      </c>
      <c r="C154" s="144" t="n">
        <f aca="false">Estacas!C155-Estacas!C154</f>
        <v>20</v>
      </c>
      <c r="D154" s="138" t="s">
        <v>1565</v>
      </c>
      <c r="E154" s="138" t="s">
        <v>1566</v>
      </c>
      <c r="F154" s="141" t="n">
        <f aca="false">Estacas!F154</f>
        <v>11</v>
      </c>
      <c r="G154" s="141" t="n">
        <f aca="false">Estacas!F155</f>
        <v>11</v>
      </c>
      <c r="H154" s="141" t="n">
        <f aca="false">C154*(Estacas!K154+Estacas!K155)/2</f>
        <v>11.05</v>
      </c>
      <c r="I154" s="141" t="n">
        <f aca="false">H154*Parâmetros!$C$14</f>
        <v>26.52</v>
      </c>
      <c r="J154" s="141" t="n">
        <f aca="false">C154*(Estacas!L154+Estacas!L155)/2</f>
        <v>36.352</v>
      </c>
      <c r="K154" s="141" t="n">
        <f aca="false">C154*(Estacas!M154+Estacas!M155)/2</f>
        <v>47.68</v>
      </c>
      <c r="L154" s="141" t="n">
        <f aca="false">C154*(Estacas!N154+Estacas!N155)/2</f>
        <v>75.72</v>
      </c>
      <c r="M154" s="141" t="n">
        <f aca="false">C154*(Estacas!O154+Estacas!O155)/2</f>
        <v>224</v>
      </c>
      <c r="N154" s="141" t="n">
        <f aca="false">C154*(Estacas!O154+Estacas!O155)/2</f>
        <v>224</v>
      </c>
      <c r="O154" s="141" t="n">
        <f aca="false">C154*(Estacas!P154+Estacas!P155)/2</f>
        <v>258.4</v>
      </c>
      <c r="P154" s="141" t="n">
        <f aca="false">R154*Parâmetros!$C$11</f>
        <v>0</v>
      </c>
      <c r="Q154" s="141" t="n">
        <f aca="false">R154*Parâmetros!$C$12</f>
        <v>0</v>
      </c>
      <c r="R154" s="141" t="n">
        <f aca="false">C154*(Estacas!Q154+Estacas!Q155)/2</f>
        <v>0</v>
      </c>
      <c r="S154" s="141" t="n">
        <f aca="false">IF(LEFT(E154,3)="T09",C154*Parâmetros!$D$13*Parâmetros!$C$13,0)</f>
        <v>0</v>
      </c>
    </row>
    <row r="155" customFormat="false" ht="15" hidden="false" customHeight="false" outlineLevel="0" collapsed="false">
      <c r="A155" s="138" t="str">
        <f aca="false">Estacas!A155</f>
        <v>153+0,00</v>
      </c>
      <c r="B155" s="138" t="str">
        <f aca="false">Estacas!A156</f>
        <v>154+0,00</v>
      </c>
      <c r="C155" s="144" t="n">
        <f aca="false">Estacas!C156-Estacas!C155</f>
        <v>20</v>
      </c>
      <c r="D155" s="138" t="s">
        <v>1565</v>
      </c>
      <c r="E155" s="138" t="s">
        <v>1566</v>
      </c>
      <c r="F155" s="141" t="n">
        <f aca="false">Estacas!F155</f>
        <v>11</v>
      </c>
      <c r="G155" s="141" t="n">
        <f aca="false">Estacas!F156</f>
        <v>12.2</v>
      </c>
      <c r="H155" s="141" t="n">
        <f aca="false">C155*(Estacas!K155+Estacas!K156)/2</f>
        <v>11.65</v>
      </c>
      <c r="I155" s="141" t="n">
        <f aca="false">H155*Parâmetros!$C$14</f>
        <v>27.96</v>
      </c>
      <c r="J155" s="141" t="n">
        <f aca="false">C155*(Estacas!L155+Estacas!L156)/2</f>
        <v>38.272</v>
      </c>
      <c r="K155" s="141" t="n">
        <f aca="false">C155*(Estacas!M155+Estacas!M156)/2</f>
        <v>50.08</v>
      </c>
      <c r="L155" s="141" t="n">
        <f aca="false">C155*(Estacas!N155+Estacas!N156)/2</f>
        <v>79.32</v>
      </c>
      <c r="M155" s="141" t="n">
        <f aca="false">C155*(Estacas!O155+Estacas!O156)/2</f>
        <v>236</v>
      </c>
      <c r="N155" s="141" t="n">
        <f aca="false">C155*(Estacas!O155+Estacas!O156)/2</f>
        <v>236</v>
      </c>
      <c r="O155" s="141" t="n">
        <f aca="false">C155*(Estacas!P155+Estacas!P156)/2</f>
        <v>270.4</v>
      </c>
      <c r="P155" s="141" t="n">
        <f aca="false">R155*Parâmetros!$C$11</f>
        <v>0</v>
      </c>
      <c r="Q155" s="141" t="n">
        <f aca="false">R155*Parâmetros!$C$12</f>
        <v>0</v>
      </c>
      <c r="R155" s="141" t="n">
        <f aca="false">C155*(Estacas!Q155+Estacas!Q156)/2</f>
        <v>0</v>
      </c>
      <c r="S155" s="141" t="n">
        <f aca="false">IF(LEFT(E155,3)="T09",C155*Parâmetros!$D$13*Parâmetros!$C$13,0)</f>
        <v>0</v>
      </c>
    </row>
    <row r="156" customFormat="false" ht="15" hidden="false" customHeight="false" outlineLevel="0" collapsed="false">
      <c r="A156" s="138" t="str">
        <f aca="false">Estacas!A156</f>
        <v>154+0,00</v>
      </c>
      <c r="B156" s="138" t="str">
        <f aca="false">Estacas!A157</f>
        <v>155+0,00</v>
      </c>
      <c r="C156" s="144" t="n">
        <f aca="false">Estacas!C157-Estacas!C156</f>
        <v>20</v>
      </c>
      <c r="D156" s="138" t="s">
        <v>1565</v>
      </c>
      <c r="E156" s="138" t="s">
        <v>1566</v>
      </c>
      <c r="F156" s="141" t="n">
        <f aca="false">Estacas!F156</f>
        <v>12.2</v>
      </c>
      <c r="G156" s="141" t="n">
        <f aca="false">Estacas!F157</f>
        <v>11</v>
      </c>
      <c r="H156" s="141" t="n">
        <f aca="false">C156*(Estacas!K156+Estacas!K157)/2</f>
        <v>11.65</v>
      </c>
      <c r="I156" s="141" t="n">
        <f aca="false">H156*Parâmetros!$C$14</f>
        <v>27.96</v>
      </c>
      <c r="J156" s="141" t="n">
        <f aca="false">C156*(Estacas!L156+Estacas!L157)/2</f>
        <v>38.272</v>
      </c>
      <c r="K156" s="141" t="n">
        <f aca="false">C156*(Estacas!M156+Estacas!M157)/2</f>
        <v>50.08</v>
      </c>
      <c r="L156" s="141" t="n">
        <f aca="false">C156*(Estacas!N156+Estacas!N157)/2</f>
        <v>79.32</v>
      </c>
      <c r="M156" s="141" t="n">
        <f aca="false">C156*(Estacas!O156+Estacas!O157)/2</f>
        <v>236</v>
      </c>
      <c r="N156" s="141" t="n">
        <f aca="false">C156*(Estacas!O156+Estacas!O157)/2</f>
        <v>236</v>
      </c>
      <c r="O156" s="141" t="n">
        <f aca="false">C156*(Estacas!P156+Estacas!P157)/2</f>
        <v>270.4</v>
      </c>
      <c r="P156" s="141" t="n">
        <f aca="false">R156*Parâmetros!$C$11</f>
        <v>0</v>
      </c>
      <c r="Q156" s="141" t="n">
        <f aca="false">R156*Parâmetros!$C$12</f>
        <v>0</v>
      </c>
      <c r="R156" s="141" t="n">
        <f aca="false">C156*(Estacas!Q156+Estacas!Q157)/2</f>
        <v>0</v>
      </c>
      <c r="S156" s="141" t="n">
        <f aca="false">IF(LEFT(E156,3)="T09",C156*Parâmetros!$D$13*Parâmetros!$C$13,0)</f>
        <v>0</v>
      </c>
    </row>
    <row r="157" customFormat="false" ht="15" hidden="false" customHeight="false" outlineLevel="0" collapsed="false">
      <c r="A157" s="138" t="str">
        <f aca="false">Estacas!A157</f>
        <v>155+0,00</v>
      </c>
      <c r="B157" s="138" t="str">
        <f aca="false">Estacas!A158</f>
        <v>156+0,00</v>
      </c>
      <c r="C157" s="144" t="n">
        <f aca="false">Estacas!C158-Estacas!C157</f>
        <v>20</v>
      </c>
      <c r="D157" s="138" t="s">
        <v>1565</v>
      </c>
      <c r="E157" s="138" t="s">
        <v>1566</v>
      </c>
      <c r="F157" s="141" t="n">
        <f aca="false">Estacas!F157</f>
        <v>11</v>
      </c>
      <c r="G157" s="141" t="n">
        <f aca="false">Estacas!F158</f>
        <v>11</v>
      </c>
      <c r="H157" s="141" t="n">
        <f aca="false">C157*(Estacas!K157+Estacas!K158)/2</f>
        <v>11.05</v>
      </c>
      <c r="I157" s="141" t="n">
        <f aca="false">H157*Parâmetros!$C$14</f>
        <v>26.52</v>
      </c>
      <c r="J157" s="141" t="n">
        <f aca="false">C157*(Estacas!L157+Estacas!L158)/2</f>
        <v>36.352</v>
      </c>
      <c r="K157" s="141" t="n">
        <f aca="false">C157*(Estacas!M157+Estacas!M158)/2</f>
        <v>47.68</v>
      </c>
      <c r="L157" s="141" t="n">
        <f aca="false">C157*(Estacas!N157+Estacas!N158)/2</f>
        <v>75.72</v>
      </c>
      <c r="M157" s="141" t="n">
        <f aca="false">C157*(Estacas!O157+Estacas!O158)/2</f>
        <v>224</v>
      </c>
      <c r="N157" s="141" t="n">
        <f aca="false">C157*(Estacas!O157+Estacas!O158)/2</f>
        <v>224</v>
      </c>
      <c r="O157" s="141" t="n">
        <f aca="false">C157*(Estacas!P157+Estacas!P158)/2</f>
        <v>258.4</v>
      </c>
      <c r="P157" s="141" t="n">
        <f aca="false">R157*Parâmetros!$C$11</f>
        <v>0</v>
      </c>
      <c r="Q157" s="141" t="n">
        <f aca="false">R157*Parâmetros!$C$12</f>
        <v>0</v>
      </c>
      <c r="R157" s="141" t="n">
        <f aca="false">C157*(Estacas!Q157+Estacas!Q158)/2</f>
        <v>0</v>
      </c>
      <c r="S157" s="141" t="n">
        <f aca="false">IF(LEFT(E157,3)="T09",C157*Parâmetros!$D$13*Parâmetros!$C$13,0)</f>
        <v>0</v>
      </c>
    </row>
    <row r="158" customFormat="false" ht="15" hidden="false" customHeight="false" outlineLevel="0" collapsed="false">
      <c r="A158" s="138" t="str">
        <f aca="false">Estacas!A158</f>
        <v>156+0,00</v>
      </c>
      <c r="B158" s="138" t="str">
        <f aca="false">Estacas!A159</f>
        <v>157+0,00</v>
      </c>
      <c r="C158" s="144" t="n">
        <f aca="false">Estacas!C159-Estacas!C158</f>
        <v>20</v>
      </c>
      <c r="D158" s="138" t="s">
        <v>1565</v>
      </c>
      <c r="E158" s="138" t="s">
        <v>1566</v>
      </c>
      <c r="F158" s="141" t="n">
        <f aca="false">Estacas!F158</f>
        <v>11</v>
      </c>
      <c r="G158" s="141" t="n">
        <f aca="false">Estacas!F159</f>
        <v>11</v>
      </c>
      <c r="H158" s="141" t="n">
        <f aca="false">C158*(Estacas!K158+Estacas!K159)/2</f>
        <v>11.05</v>
      </c>
      <c r="I158" s="141" t="n">
        <f aca="false">H158*Parâmetros!$C$14</f>
        <v>26.52</v>
      </c>
      <c r="J158" s="141" t="n">
        <f aca="false">C158*(Estacas!L158+Estacas!L159)/2</f>
        <v>36.352</v>
      </c>
      <c r="K158" s="141" t="n">
        <f aca="false">C158*(Estacas!M158+Estacas!M159)/2</f>
        <v>47.68</v>
      </c>
      <c r="L158" s="141" t="n">
        <f aca="false">C158*(Estacas!N158+Estacas!N159)/2</f>
        <v>75.72</v>
      </c>
      <c r="M158" s="141" t="n">
        <f aca="false">C158*(Estacas!O158+Estacas!O159)/2</f>
        <v>224</v>
      </c>
      <c r="N158" s="141" t="n">
        <f aca="false">C158*(Estacas!O158+Estacas!O159)/2</f>
        <v>224</v>
      </c>
      <c r="O158" s="141" t="n">
        <f aca="false">C158*(Estacas!P158+Estacas!P159)/2</f>
        <v>258.4</v>
      </c>
      <c r="P158" s="141" t="n">
        <f aca="false">R158*Parâmetros!$C$11</f>
        <v>0</v>
      </c>
      <c r="Q158" s="141" t="n">
        <f aca="false">R158*Parâmetros!$C$12</f>
        <v>0</v>
      </c>
      <c r="R158" s="141" t="n">
        <f aca="false">C158*(Estacas!Q158+Estacas!Q159)/2</f>
        <v>0</v>
      </c>
      <c r="S158" s="141" t="n">
        <f aca="false">IF(LEFT(E158,3)="T09",C158*Parâmetros!$D$13*Parâmetros!$C$13,0)</f>
        <v>0</v>
      </c>
    </row>
    <row r="159" customFormat="false" ht="15" hidden="false" customHeight="false" outlineLevel="0" collapsed="false">
      <c r="A159" s="138" t="str">
        <f aca="false">Estacas!A159</f>
        <v>157+0,00</v>
      </c>
      <c r="B159" s="138" t="str">
        <f aca="false">Estacas!A160</f>
        <v>158+0,00</v>
      </c>
      <c r="C159" s="144" t="n">
        <f aca="false">Estacas!C160-Estacas!C159</f>
        <v>20</v>
      </c>
      <c r="D159" s="138" t="s">
        <v>1565</v>
      </c>
      <c r="E159" s="138" t="s">
        <v>1566</v>
      </c>
      <c r="F159" s="141" t="n">
        <f aca="false">Estacas!F159</f>
        <v>11</v>
      </c>
      <c r="G159" s="141" t="n">
        <f aca="false">Estacas!F160</f>
        <v>11</v>
      </c>
      <c r="H159" s="141" t="n">
        <f aca="false">C159*(Estacas!K159+Estacas!K160)/2</f>
        <v>11.05</v>
      </c>
      <c r="I159" s="141" t="n">
        <f aca="false">H159*Parâmetros!$C$14</f>
        <v>26.52</v>
      </c>
      <c r="J159" s="141" t="n">
        <f aca="false">C159*(Estacas!L159+Estacas!L160)/2</f>
        <v>36.352</v>
      </c>
      <c r="K159" s="141" t="n">
        <f aca="false">C159*(Estacas!M159+Estacas!M160)/2</f>
        <v>47.68</v>
      </c>
      <c r="L159" s="141" t="n">
        <f aca="false">C159*(Estacas!N159+Estacas!N160)/2</f>
        <v>75.72</v>
      </c>
      <c r="M159" s="141" t="n">
        <f aca="false">C159*(Estacas!O159+Estacas!O160)/2</f>
        <v>224</v>
      </c>
      <c r="N159" s="141" t="n">
        <f aca="false">C159*(Estacas!O159+Estacas!O160)/2</f>
        <v>224</v>
      </c>
      <c r="O159" s="141" t="n">
        <f aca="false">C159*(Estacas!P159+Estacas!P160)/2</f>
        <v>258.4</v>
      </c>
      <c r="P159" s="141" t="n">
        <f aca="false">R159*Parâmetros!$C$11</f>
        <v>0</v>
      </c>
      <c r="Q159" s="141" t="n">
        <f aca="false">R159*Parâmetros!$C$12</f>
        <v>0</v>
      </c>
      <c r="R159" s="141" t="n">
        <f aca="false">C159*(Estacas!Q159+Estacas!Q160)/2</f>
        <v>0</v>
      </c>
      <c r="S159" s="141" t="n">
        <f aca="false">IF(LEFT(E159,3)="T09",C159*Parâmetros!$D$13*Parâmetros!$C$13,0)</f>
        <v>0</v>
      </c>
    </row>
    <row r="160" customFormat="false" ht="15" hidden="false" customHeight="false" outlineLevel="0" collapsed="false">
      <c r="A160" s="138" t="str">
        <f aca="false">Estacas!A160</f>
        <v>158+0,00</v>
      </c>
      <c r="B160" s="138" t="str">
        <f aca="false">Estacas!A161</f>
        <v>159+0,00</v>
      </c>
      <c r="C160" s="144" t="n">
        <f aca="false">Estacas!C161-Estacas!C160</f>
        <v>20</v>
      </c>
      <c r="D160" s="138" t="s">
        <v>1565</v>
      </c>
      <c r="E160" s="138" t="s">
        <v>1566</v>
      </c>
      <c r="F160" s="141" t="n">
        <f aca="false">Estacas!F160</f>
        <v>11</v>
      </c>
      <c r="G160" s="141" t="n">
        <f aca="false">Estacas!F161</f>
        <v>11</v>
      </c>
      <c r="H160" s="141" t="n">
        <f aca="false">C160*(Estacas!K160+Estacas!K161)/2</f>
        <v>11.05</v>
      </c>
      <c r="I160" s="141" t="n">
        <f aca="false">H160*Parâmetros!$C$14</f>
        <v>26.52</v>
      </c>
      <c r="J160" s="141" t="n">
        <f aca="false">C160*(Estacas!L160+Estacas!L161)/2</f>
        <v>36.352</v>
      </c>
      <c r="K160" s="141" t="n">
        <f aca="false">C160*(Estacas!M160+Estacas!M161)/2</f>
        <v>47.68</v>
      </c>
      <c r="L160" s="141" t="n">
        <f aca="false">C160*(Estacas!N160+Estacas!N161)/2</f>
        <v>75.72</v>
      </c>
      <c r="M160" s="141" t="n">
        <f aca="false">C160*(Estacas!O160+Estacas!O161)/2</f>
        <v>224</v>
      </c>
      <c r="N160" s="141" t="n">
        <f aca="false">C160*(Estacas!O160+Estacas!O161)/2</f>
        <v>224</v>
      </c>
      <c r="O160" s="141" t="n">
        <f aca="false">C160*(Estacas!P160+Estacas!P161)/2</f>
        <v>258.4</v>
      </c>
      <c r="P160" s="141" t="n">
        <f aca="false">R160*Parâmetros!$C$11</f>
        <v>0</v>
      </c>
      <c r="Q160" s="141" t="n">
        <f aca="false">R160*Parâmetros!$C$12</f>
        <v>0</v>
      </c>
      <c r="R160" s="141" t="n">
        <f aca="false">C160*(Estacas!Q160+Estacas!Q161)/2</f>
        <v>0</v>
      </c>
      <c r="S160" s="141" t="n">
        <f aca="false">IF(LEFT(E160,3)="T09",C160*Parâmetros!$D$13*Parâmetros!$C$13,0)</f>
        <v>0</v>
      </c>
    </row>
    <row r="161" customFormat="false" ht="15" hidden="false" customHeight="false" outlineLevel="0" collapsed="false">
      <c r="A161" s="138" t="str">
        <f aca="false">Estacas!A161</f>
        <v>159+0,00</v>
      </c>
      <c r="B161" s="138" t="str">
        <f aca="false">Estacas!A162</f>
        <v>160+0,00</v>
      </c>
      <c r="C161" s="144" t="n">
        <f aca="false">Estacas!C162-Estacas!C161</f>
        <v>20</v>
      </c>
      <c r="D161" s="138" t="s">
        <v>1565</v>
      </c>
      <c r="E161" s="138" t="s">
        <v>1566</v>
      </c>
      <c r="F161" s="141" t="n">
        <f aca="false">Estacas!F161</f>
        <v>11</v>
      </c>
      <c r="G161" s="141" t="n">
        <f aca="false">Estacas!F162</f>
        <v>11</v>
      </c>
      <c r="H161" s="141" t="n">
        <f aca="false">C161*(Estacas!K161+Estacas!K162)/2</f>
        <v>11.05</v>
      </c>
      <c r="I161" s="141" t="n">
        <f aca="false">H161*Parâmetros!$C$14</f>
        <v>26.52</v>
      </c>
      <c r="J161" s="141" t="n">
        <f aca="false">C161*(Estacas!L161+Estacas!L162)/2</f>
        <v>36.352</v>
      </c>
      <c r="K161" s="141" t="n">
        <f aca="false">C161*(Estacas!M161+Estacas!M162)/2</f>
        <v>47.68</v>
      </c>
      <c r="L161" s="141" t="n">
        <f aca="false">C161*(Estacas!N161+Estacas!N162)/2</f>
        <v>75.72</v>
      </c>
      <c r="M161" s="141" t="n">
        <f aca="false">C161*(Estacas!O161+Estacas!O162)/2</f>
        <v>224</v>
      </c>
      <c r="N161" s="141" t="n">
        <f aca="false">C161*(Estacas!O161+Estacas!O162)/2</f>
        <v>224</v>
      </c>
      <c r="O161" s="141" t="n">
        <f aca="false">C161*(Estacas!P161+Estacas!P162)/2</f>
        <v>258.4</v>
      </c>
      <c r="P161" s="141" t="n">
        <f aca="false">R161*Parâmetros!$C$11</f>
        <v>0</v>
      </c>
      <c r="Q161" s="141" t="n">
        <f aca="false">R161*Parâmetros!$C$12</f>
        <v>0</v>
      </c>
      <c r="R161" s="141" t="n">
        <f aca="false">C161*(Estacas!Q161+Estacas!Q162)/2</f>
        <v>0</v>
      </c>
      <c r="S161" s="141" t="n">
        <f aca="false">IF(LEFT(E161,3)="T09",C161*Parâmetros!$D$13*Parâmetros!$C$13,0)</f>
        <v>0</v>
      </c>
    </row>
    <row r="162" customFormat="false" ht="15" hidden="false" customHeight="false" outlineLevel="0" collapsed="false">
      <c r="A162" s="138" t="str">
        <f aca="false">Estacas!A162</f>
        <v>160+0,00</v>
      </c>
      <c r="B162" s="138" t="str">
        <f aca="false">Estacas!A163</f>
        <v>161+0,00</v>
      </c>
      <c r="C162" s="144" t="n">
        <f aca="false">Estacas!C163-Estacas!C162</f>
        <v>20</v>
      </c>
      <c r="D162" s="138" t="s">
        <v>1565</v>
      </c>
      <c r="E162" s="138" t="s">
        <v>1566</v>
      </c>
      <c r="F162" s="141" t="n">
        <f aca="false">Estacas!F162</f>
        <v>11</v>
      </c>
      <c r="G162" s="141" t="n">
        <f aca="false">Estacas!F163</f>
        <v>11</v>
      </c>
      <c r="H162" s="141" t="n">
        <f aca="false">C162*(Estacas!K162+Estacas!K163)/2</f>
        <v>11.05</v>
      </c>
      <c r="I162" s="141" t="n">
        <f aca="false">H162*Parâmetros!$C$14</f>
        <v>26.52</v>
      </c>
      <c r="J162" s="141" t="n">
        <f aca="false">C162*(Estacas!L162+Estacas!L163)/2</f>
        <v>36.352</v>
      </c>
      <c r="K162" s="141" t="n">
        <f aca="false">C162*(Estacas!M162+Estacas!M163)/2</f>
        <v>47.68</v>
      </c>
      <c r="L162" s="141" t="n">
        <f aca="false">C162*(Estacas!N162+Estacas!N163)/2</f>
        <v>75.72</v>
      </c>
      <c r="M162" s="141" t="n">
        <f aca="false">C162*(Estacas!O162+Estacas!O163)/2</f>
        <v>224</v>
      </c>
      <c r="N162" s="141" t="n">
        <f aca="false">C162*(Estacas!O162+Estacas!O163)/2</f>
        <v>224</v>
      </c>
      <c r="O162" s="141" t="n">
        <f aca="false">C162*(Estacas!P162+Estacas!P163)/2</f>
        <v>258.4</v>
      </c>
      <c r="P162" s="141" t="n">
        <f aca="false">R162*Parâmetros!$C$11</f>
        <v>0</v>
      </c>
      <c r="Q162" s="141" t="n">
        <f aca="false">R162*Parâmetros!$C$12</f>
        <v>0</v>
      </c>
      <c r="R162" s="141" t="n">
        <f aca="false">C162*(Estacas!Q162+Estacas!Q163)/2</f>
        <v>0</v>
      </c>
      <c r="S162" s="141" t="n">
        <f aca="false">IF(LEFT(E162,3)="T09",C162*Parâmetros!$D$13*Parâmetros!$C$13,0)</f>
        <v>0</v>
      </c>
    </row>
    <row r="163" customFormat="false" ht="15" hidden="false" customHeight="false" outlineLevel="0" collapsed="false">
      <c r="A163" s="138" t="str">
        <f aca="false">Estacas!A163</f>
        <v>161+0,00</v>
      </c>
      <c r="B163" s="138" t="str">
        <f aca="false">Estacas!A164</f>
        <v>162+0,00</v>
      </c>
      <c r="C163" s="144" t="n">
        <f aca="false">Estacas!C164-Estacas!C163</f>
        <v>20</v>
      </c>
      <c r="D163" s="138" t="s">
        <v>1565</v>
      </c>
      <c r="E163" s="138" t="s">
        <v>1566</v>
      </c>
      <c r="F163" s="141" t="n">
        <f aca="false">Estacas!F163</f>
        <v>11</v>
      </c>
      <c r="G163" s="141" t="n">
        <f aca="false">Estacas!F164</f>
        <v>11</v>
      </c>
      <c r="H163" s="141" t="n">
        <f aca="false">C163*(Estacas!K163+Estacas!K164)/2</f>
        <v>11.05</v>
      </c>
      <c r="I163" s="141" t="n">
        <f aca="false">H163*Parâmetros!$C$14</f>
        <v>26.52</v>
      </c>
      <c r="J163" s="141" t="n">
        <f aca="false">C163*(Estacas!L163+Estacas!L164)/2</f>
        <v>36.352</v>
      </c>
      <c r="K163" s="141" t="n">
        <f aca="false">C163*(Estacas!M163+Estacas!M164)/2</f>
        <v>47.68</v>
      </c>
      <c r="L163" s="141" t="n">
        <f aca="false">C163*(Estacas!N163+Estacas!N164)/2</f>
        <v>75.72</v>
      </c>
      <c r="M163" s="141" t="n">
        <f aca="false">C163*(Estacas!O163+Estacas!O164)/2</f>
        <v>224</v>
      </c>
      <c r="N163" s="141" t="n">
        <f aca="false">C163*(Estacas!O163+Estacas!O164)/2</f>
        <v>224</v>
      </c>
      <c r="O163" s="141" t="n">
        <f aca="false">C163*(Estacas!P163+Estacas!P164)/2</f>
        <v>258.4</v>
      </c>
      <c r="P163" s="141" t="n">
        <f aca="false">R163*Parâmetros!$C$11</f>
        <v>0</v>
      </c>
      <c r="Q163" s="141" t="n">
        <f aca="false">R163*Parâmetros!$C$12</f>
        <v>0</v>
      </c>
      <c r="R163" s="141" t="n">
        <f aca="false">C163*(Estacas!Q163+Estacas!Q164)/2</f>
        <v>0</v>
      </c>
      <c r="S163" s="141" t="n">
        <f aca="false">IF(LEFT(E163,3)="T09",C163*Parâmetros!$D$13*Parâmetros!$C$13,0)</f>
        <v>0</v>
      </c>
    </row>
    <row r="164" customFormat="false" ht="15" hidden="false" customHeight="false" outlineLevel="0" collapsed="false">
      <c r="A164" s="138" t="str">
        <f aca="false">Estacas!A164</f>
        <v>162+0,00</v>
      </c>
      <c r="B164" s="138" t="str">
        <f aca="false">Estacas!A165</f>
        <v>163+0,00</v>
      </c>
      <c r="C164" s="144" t="n">
        <f aca="false">Estacas!C165-Estacas!C164</f>
        <v>20</v>
      </c>
      <c r="D164" s="138" t="s">
        <v>1565</v>
      </c>
      <c r="E164" s="138" t="s">
        <v>1566</v>
      </c>
      <c r="F164" s="141" t="n">
        <f aca="false">Estacas!F164</f>
        <v>11</v>
      </c>
      <c r="G164" s="141" t="n">
        <f aca="false">Estacas!F165</f>
        <v>11</v>
      </c>
      <c r="H164" s="141" t="n">
        <f aca="false">C164*(Estacas!K164+Estacas!K165)/2</f>
        <v>11.05</v>
      </c>
      <c r="I164" s="141" t="n">
        <f aca="false">H164*Parâmetros!$C$14</f>
        <v>26.52</v>
      </c>
      <c r="J164" s="141" t="n">
        <f aca="false">C164*(Estacas!L164+Estacas!L165)/2</f>
        <v>36.352</v>
      </c>
      <c r="K164" s="141" t="n">
        <f aca="false">C164*(Estacas!M164+Estacas!M165)/2</f>
        <v>47.68</v>
      </c>
      <c r="L164" s="141" t="n">
        <f aca="false">C164*(Estacas!N164+Estacas!N165)/2</f>
        <v>75.72</v>
      </c>
      <c r="M164" s="141" t="n">
        <f aca="false">C164*(Estacas!O164+Estacas!O165)/2</f>
        <v>224</v>
      </c>
      <c r="N164" s="141" t="n">
        <f aca="false">C164*(Estacas!O164+Estacas!O165)/2</f>
        <v>224</v>
      </c>
      <c r="O164" s="141" t="n">
        <f aca="false">C164*(Estacas!P164+Estacas!P165)/2</f>
        <v>258.4</v>
      </c>
      <c r="P164" s="141" t="n">
        <f aca="false">R164*Parâmetros!$C$11</f>
        <v>0</v>
      </c>
      <c r="Q164" s="141" t="n">
        <f aca="false">R164*Parâmetros!$C$12</f>
        <v>0</v>
      </c>
      <c r="R164" s="141" t="n">
        <f aca="false">C164*(Estacas!Q164+Estacas!Q165)/2</f>
        <v>0</v>
      </c>
      <c r="S164" s="141" t="n">
        <f aca="false">IF(LEFT(E164,3)="T09",C164*Parâmetros!$D$13*Parâmetros!$C$13,0)</f>
        <v>0</v>
      </c>
    </row>
    <row r="165" customFormat="false" ht="15" hidden="false" customHeight="false" outlineLevel="0" collapsed="false">
      <c r="A165" s="138" t="str">
        <f aca="false">Estacas!A165</f>
        <v>163+0,00</v>
      </c>
      <c r="B165" s="138" t="str">
        <f aca="false">Estacas!A166</f>
        <v>164+0,00</v>
      </c>
      <c r="C165" s="144" t="n">
        <f aca="false">Estacas!C166-Estacas!C165</f>
        <v>20</v>
      </c>
      <c r="D165" s="138" t="s">
        <v>1565</v>
      </c>
      <c r="E165" s="138" t="s">
        <v>1566</v>
      </c>
      <c r="F165" s="141" t="n">
        <f aca="false">Estacas!F165</f>
        <v>11</v>
      </c>
      <c r="G165" s="141" t="n">
        <f aca="false">Estacas!F166</f>
        <v>11</v>
      </c>
      <c r="H165" s="141" t="n">
        <f aca="false">C165*(Estacas!K165+Estacas!K166)/2</f>
        <v>11.05</v>
      </c>
      <c r="I165" s="141" t="n">
        <f aca="false">H165*Parâmetros!$C$14</f>
        <v>26.52</v>
      </c>
      <c r="J165" s="141" t="n">
        <f aca="false">C165*(Estacas!L165+Estacas!L166)/2</f>
        <v>36.352</v>
      </c>
      <c r="K165" s="141" t="n">
        <f aca="false">C165*(Estacas!M165+Estacas!M166)/2</f>
        <v>47.68</v>
      </c>
      <c r="L165" s="141" t="n">
        <f aca="false">C165*(Estacas!N165+Estacas!N166)/2</f>
        <v>75.72</v>
      </c>
      <c r="M165" s="141" t="n">
        <f aca="false">C165*(Estacas!O165+Estacas!O166)/2</f>
        <v>224</v>
      </c>
      <c r="N165" s="141" t="n">
        <f aca="false">C165*(Estacas!O165+Estacas!O166)/2</f>
        <v>224</v>
      </c>
      <c r="O165" s="141" t="n">
        <f aca="false">C165*(Estacas!P165+Estacas!P166)/2</f>
        <v>258.4</v>
      </c>
      <c r="P165" s="141" t="n">
        <f aca="false">R165*Parâmetros!$C$11</f>
        <v>0</v>
      </c>
      <c r="Q165" s="141" t="n">
        <f aca="false">R165*Parâmetros!$C$12</f>
        <v>0</v>
      </c>
      <c r="R165" s="141" t="n">
        <f aca="false">C165*(Estacas!Q165+Estacas!Q166)/2</f>
        <v>0</v>
      </c>
      <c r="S165" s="141" t="n">
        <f aca="false">IF(LEFT(E165,3)="T09",C165*Parâmetros!$D$13*Parâmetros!$C$13,0)</f>
        <v>0</v>
      </c>
    </row>
    <row r="166" customFormat="false" ht="15" hidden="false" customHeight="false" outlineLevel="0" collapsed="false">
      <c r="A166" s="138" t="str">
        <f aca="false">Estacas!A166</f>
        <v>164+0,00</v>
      </c>
      <c r="B166" s="138" t="str">
        <f aca="false">Estacas!A167</f>
        <v>165+0,00</v>
      </c>
      <c r="C166" s="144" t="n">
        <f aca="false">Estacas!C167-Estacas!C166</f>
        <v>20</v>
      </c>
      <c r="D166" s="138" t="s">
        <v>1565</v>
      </c>
      <c r="E166" s="138" t="s">
        <v>1566</v>
      </c>
      <c r="F166" s="141" t="n">
        <f aca="false">Estacas!F166</f>
        <v>11</v>
      </c>
      <c r="G166" s="141" t="n">
        <f aca="false">Estacas!F167</f>
        <v>11</v>
      </c>
      <c r="H166" s="141" t="n">
        <f aca="false">C166*(Estacas!K166+Estacas!K167)/2</f>
        <v>11.05</v>
      </c>
      <c r="I166" s="141" t="n">
        <f aca="false">H166*Parâmetros!$C$14</f>
        <v>26.52</v>
      </c>
      <c r="J166" s="141" t="n">
        <f aca="false">C166*(Estacas!L166+Estacas!L167)/2</f>
        <v>36.352</v>
      </c>
      <c r="K166" s="141" t="n">
        <f aca="false">C166*(Estacas!M166+Estacas!M167)/2</f>
        <v>47.68</v>
      </c>
      <c r="L166" s="141" t="n">
        <f aca="false">C166*(Estacas!N166+Estacas!N167)/2</f>
        <v>75.72</v>
      </c>
      <c r="M166" s="141" t="n">
        <f aca="false">C166*(Estacas!O166+Estacas!O167)/2</f>
        <v>224</v>
      </c>
      <c r="N166" s="141" t="n">
        <f aca="false">C166*(Estacas!O166+Estacas!O167)/2</f>
        <v>224</v>
      </c>
      <c r="O166" s="141" t="n">
        <f aca="false">C166*(Estacas!P166+Estacas!P167)/2</f>
        <v>258.4</v>
      </c>
      <c r="P166" s="141" t="n">
        <f aca="false">R166*Parâmetros!$C$11</f>
        <v>0</v>
      </c>
      <c r="Q166" s="141" t="n">
        <f aca="false">R166*Parâmetros!$C$12</f>
        <v>0</v>
      </c>
      <c r="R166" s="141" t="n">
        <f aca="false">C166*(Estacas!Q166+Estacas!Q167)/2</f>
        <v>0</v>
      </c>
      <c r="S166" s="141" t="n">
        <f aca="false">IF(LEFT(E166,3)="T09",C166*Parâmetros!$D$13*Parâmetros!$C$13,0)</f>
        <v>0</v>
      </c>
    </row>
    <row r="167" customFormat="false" ht="15" hidden="false" customHeight="false" outlineLevel="0" collapsed="false">
      <c r="A167" s="138" t="str">
        <f aca="false">Estacas!A167</f>
        <v>165+0,00</v>
      </c>
      <c r="B167" s="138" t="str">
        <f aca="false">Estacas!A168</f>
        <v>166+0,00</v>
      </c>
      <c r="C167" s="144" t="n">
        <f aca="false">Estacas!C168-Estacas!C167</f>
        <v>20</v>
      </c>
      <c r="D167" s="138" t="s">
        <v>1565</v>
      </c>
      <c r="E167" s="138" t="s">
        <v>1566</v>
      </c>
      <c r="F167" s="141" t="n">
        <f aca="false">Estacas!F167</f>
        <v>11</v>
      </c>
      <c r="G167" s="141" t="n">
        <f aca="false">Estacas!F168</f>
        <v>11</v>
      </c>
      <c r="H167" s="141" t="n">
        <f aca="false">C167*(Estacas!K167+Estacas!K168)/2</f>
        <v>11.05</v>
      </c>
      <c r="I167" s="141" t="n">
        <f aca="false">H167*Parâmetros!$C$14</f>
        <v>26.52</v>
      </c>
      <c r="J167" s="141" t="n">
        <f aca="false">C167*(Estacas!L167+Estacas!L168)/2</f>
        <v>36.352</v>
      </c>
      <c r="K167" s="141" t="n">
        <f aca="false">C167*(Estacas!M167+Estacas!M168)/2</f>
        <v>47.68</v>
      </c>
      <c r="L167" s="141" t="n">
        <f aca="false">C167*(Estacas!N167+Estacas!N168)/2</f>
        <v>75.72</v>
      </c>
      <c r="M167" s="141" t="n">
        <f aca="false">C167*(Estacas!O167+Estacas!O168)/2</f>
        <v>224</v>
      </c>
      <c r="N167" s="141" t="n">
        <f aca="false">C167*(Estacas!O167+Estacas!O168)/2</f>
        <v>224</v>
      </c>
      <c r="O167" s="141" t="n">
        <f aca="false">C167*(Estacas!P167+Estacas!P168)/2</f>
        <v>258.4</v>
      </c>
      <c r="P167" s="141" t="n">
        <f aca="false">R167*Parâmetros!$C$11</f>
        <v>0</v>
      </c>
      <c r="Q167" s="141" t="n">
        <f aca="false">R167*Parâmetros!$C$12</f>
        <v>0</v>
      </c>
      <c r="R167" s="141" t="n">
        <f aca="false">C167*(Estacas!Q167+Estacas!Q168)/2</f>
        <v>0</v>
      </c>
      <c r="S167" s="141" t="n">
        <f aca="false">IF(LEFT(E167,3)="T09",C167*Parâmetros!$D$13*Parâmetros!$C$13,0)</f>
        <v>0</v>
      </c>
    </row>
    <row r="168" customFormat="false" ht="15" hidden="false" customHeight="false" outlineLevel="0" collapsed="false">
      <c r="A168" s="138" t="str">
        <f aca="false">Estacas!A168</f>
        <v>166+0,00</v>
      </c>
      <c r="B168" s="138" t="str">
        <f aca="false">Estacas!A169</f>
        <v>167+0,00</v>
      </c>
      <c r="C168" s="144" t="n">
        <f aca="false">Estacas!C169-Estacas!C168</f>
        <v>20</v>
      </c>
      <c r="D168" s="138" t="s">
        <v>1565</v>
      </c>
      <c r="E168" s="138" t="s">
        <v>1566</v>
      </c>
      <c r="F168" s="141" t="n">
        <f aca="false">Estacas!F168</f>
        <v>11</v>
      </c>
      <c r="G168" s="141" t="n">
        <f aca="false">Estacas!F169</f>
        <v>11</v>
      </c>
      <c r="H168" s="141" t="n">
        <f aca="false">C168*(Estacas!K168+Estacas!K169)/2</f>
        <v>11.05</v>
      </c>
      <c r="I168" s="141" t="n">
        <f aca="false">H168*Parâmetros!$C$14</f>
        <v>26.52</v>
      </c>
      <c r="J168" s="141" t="n">
        <f aca="false">C168*(Estacas!L168+Estacas!L169)/2</f>
        <v>36.352</v>
      </c>
      <c r="K168" s="141" t="n">
        <f aca="false">C168*(Estacas!M168+Estacas!M169)/2</f>
        <v>47.68</v>
      </c>
      <c r="L168" s="141" t="n">
        <f aca="false">C168*(Estacas!N168+Estacas!N169)/2</f>
        <v>75.72</v>
      </c>
      <c r="M168" s="141" t="n">
        <f aca="false">C168*(Estacas!O168+Estacas!O169)/2</f>
        <v>224</v>
      </c>
      <c r="N168" s="141" t="n">
        <f aca="false">C168*(Estacas!O168+Estacas!O169)/2</f>
        <v>224</v>
      </c>
      <c r="O168" s="141" t="n">
        <f aca="false">C168*(Estacas!P168+Estacas!P169)/2</f>
        <v>258.4</v>
      </c>
      <c r="P168" s="141" t="n">
        <f aca="false">R168*Parâmetros!$C$11</f>
        <v>0</v>
      </c>
      <c r="Q168" s="141" t="n">
        <f aca="false">R168*Parâmetros!$C$12</f>
        <v>0</v>
      </c>
      <c r="R168" s="141" t="n">
        <f aca="false">C168*(Estacas!Q168+Estacas!Q169)/2</f>
        <v>0</v>
      </c>
      <c r="S168" s="141" t="n">
        <f aca="false">IF(LEFT(E168,3)="T09",C168*Parâmetros!$D$13*Parâmetros!$C$13,0)</f>
        <v>0</v>
      </c>
    </row>
    <row r="169" customFormat="false" ht="15" hidden="false" customHeight="false" outlineLevel="0" collapsed="false">
      <c r="A169" s="138" t="str">
        <f aca="false">Estacas!A169</f>
        <v>167+0,00</v>
      </c>
      <c r="B169" s="138" t="str">
        <f aca="false">Estacas!A170</f>
        <v>168+0,00</v>
      </c>
      <c r="C169" s="144" t="n">
        <f aca="false">Estacas!C170-Estacas!C169</f>
        <v>20</v>
      </c>
      <c r="D169" s="138" t="s">
        <v>1565</v>
      </c>
      <c r="E169" s="138" t="s">
        <v>1566</v>
      </c>
      <c r="F169" s="141" t="n">
        <f aca="false">Estacas!F169</f>
        <v>11</v>
      </c>
      <c r="G169" s="141" t="n">
        <f aca="false">Estacas!F170</f>
        <v>12.1</v>
      </c>
      <c r="H169" s="141" t="n">
        <f aca="false">C169*(Estacas!K169+Estacas!K170)/2</f>
        <v>11.6</v>
      </c>
      <c r="I169" s="141" t="n">
        <f aca="false">H169*Parâmetros!$C$14</f>
        <v>27.84</v>
      </c>
      <c r="J169" s="141" t="n">
        <f aca="false">C169*(Estacas!L169+Estacas!L170)/2</f>
        <v>38.112</v>
      </c>
      <c r="K169" s="141" t="n">
        <f aca="false">C169*(Estacas!M169+Estacas!M170)/2</f>
        <v>49.88</v>
      </c>
      <c r="L169" s="141" t="n">
        <f aca="false">C169*(Estacas!N169+Estacas!N170)/2</f>
        <v>79.02</v>
      </c>
      <c r="M169" s="141" t="n">
        <f aca="false">C169*(Estacas!O169+Estacas!O170)/2</f>
        <v>235</v>
      </c>
      <c r="N169" s="141" t="n">
        <f aca="false">C169*(Estacas!O169+Estacas!O170)/2</f>
        <v>235</v>
      </c>
      <c r="O169" s="141" t="n">
        <f aca="false">C169*(Estacas!P169+Estacas!P170)/2</f>
        <v>269.4</v>
      </c>
      <c r="P169" s="141" t="n">
        <f aca="false">R169*Parâmetros!$C$11</f>
        <v>0</v>
      </c>
      <c r="Q169" s="141" t="n">
        <f aca="false">R169*Parâmetros!$C$12</f>
        <v>0</v>
      </c>
      <c r="R169" s="141" t="n">
        <f aca="false">C169*(Estacas!Q169+Estacas!Q170)/2</f>
        <v>0</v>
      </c>
      <c r="S169" s="141" t="n">
        <f aca="false">IF(LEFT(E169,3)="T09",C169*Parâmetros!$D$13*Parâmetros!$C$13,0)</f>
        <v>0</v>
      </c>
    </row>
    <row r="170" customFormat="false" ht="15" hidden="false" customHeight="false" outlineLevel="0" collapsed="false">
      <c r="A170" s="138" t="str">
        <f aca="false">Estacas!A170</f>
        <v>168+0,00</v>
      </c>
      <c r="B170" s="138" t="str">
        <f aca="false">Estacas!A171</f>
        <v>169+0,00</v>
      </c>
      <c r="C170" s="144" t="n">
        <f aca="false">Estacas!C171-Estacas!C170</f>
        <v>20</v>
      </c>
      <c r="D170" s="138" t="s">
        <v>1565</v>
      </c>
      <c r="E170" s="138" t="s">
        <v>1566</v>
      </c>
      <c r="F170" s="141" t="n">
        <f aca="false">Estacas!F170</f>
        <v>12.1</v>
      </c>
      <c r="G170" s="141" t="n">
        <f aca="false">Estacas!F171</f>
        <v>13.2</v>
      </c>
      <c r="H170" s="141" t="n">
        <f aca="false">C170*(Estacas!K170+Estacas!K171)/2</f>
        <v>12.7</v>
      </c>
      <c r="I170" s="141" t="n">
        <f aca="false">H170*Parâmetros!$C$14</f>
        <v>30.48</v>
      </c>
      <c r="J170" s="141" t="n">
        <f aca="false">C170*(Estacas!L170+Estacas!L171)/2</f>
        <v>41.632</v>
      </c>
      <c r="K170" s="141" t="n">
        <f aca="false">C170*(Estacas!M170+Estacas!M171)/2</f>
        <v>54.28</v>
      </c>
      <c r="L170" s="141" t="n">
        <f aca="false">C170*(Estacas!N170+Estacas!N171)/2</f>
        <v>85.62</v>
      </c>
      <c r="M170" s="141" t="n">
        <f aca="false">C170*(Estacas!O170+Estacas!O171)/2</f>
        <v>257</v>
      </c>
      <c r="N170" s="141" t="n">
        <f aca="false">C170*(Estacas!O170+Estacas!O171)/2</f>
        <v>257</v>
      </c>
      <c r="O170" s="141" t="n">
        <f aca="false">C170*(Estacas!P170+Estacas!P171)/2</f>
        <v>291.4</v>
      </c>
      <c r="P170" s="141" t="n">
        <f aca="false">R170*Parâmetros!$C$11</f>
        <v>0</v>
      </c>
      <c r="Q170" s="141" t="n">
        <f aca="false">R170*Parâmetros!$C$12</f>
        <v>0</v>
      </c>
      <c r="R170" s="141" t="n">
        <f aca="false">C170*(Estacas!Q170+Estacas!Q171)/2</f>
        <v>0</v>
      </c>
      <c r="S170" s="141" t="n">
        <f aca="false">IF(LEFT(E170,3)="T09",C170*Parâmetros!$D$13*Parâmetros!$C$13,0)</f>
        <v>0</v>
      </c>
    </row>
    <row r="171" customFormat="false" ht="15" hidden="false" customHeight="false" outlineLevel="0" collapsed="false">
      <c r="A171" s="138" t="str">
        <f aca="false">Estacas!A171</f>
        <v>169+0,00</v>
      </c>
      <c r="B171" s="138" t="str">
        <f aca="false">Estacas!A172</f>
        <v>170+0,00</v>
      </c>
      <c r="C171" s="144" t="n">
        <f aca="false">Estacas!C172-Estacas!C171</f>
        <v>20</v>
      </c>
      <c r="D171" s="138" t="s">
        <v>1565</v>
      </c>
      <c r="E171" s="138" t="s">
        <v>1566</v>
      </c>
      <c r="F171" s="141" t="n">
        <f aca="false">Estacas!F171</f>
        <v>13.2</v>
      </c>
      <c r="G171" s="141" t="n">
        <f aca="false">Estacas!F172</f>
        <v>14</v>
      </c>
      <c r="H171" s="141" t="n">
        <f aca="false">C171*(Estacas!K171+Estacas!K172)/2</f>
        <v>13.65</v>
      </c>
      <c r="I171" s="141" t="n">
        <f aca="false">H171*Parâmetros!$C$14</f>
        <v>32.76</v>
      </c>
      <c r="J171" s="141" t="n">
        <f aca="false">C171*(Estacas!L171+Estacas!L172)/2</f>
        <v>44.672</v>
      </c>
      <c r="K171" s="141" t="n">
        <f aca="false">C171*(Estacas!M171+Estacas!M172)/2</f>
        <v>58.08</v>
      </c>
      <c r="L171" s="141" t="n">
        <f aca="false">C171*(Estacas!N171+Estacas!N172)/2</f>
        <v>91.32</v>
      </c>
      <c r="M171" s="141" t="n">
        <f aca="false">C171*(Estacas!O171+Estacas!O172)/2</f>
        <v>276</v>
      </c>
      <c r="N171" s="141" t="n">
        <f aca="false">C171*(Estacas!O171+Estacas!O172)/2</f>
        <v>276</v>
      </c>
      <c r="O171" s="141" t="n">
        <f aca="false">C171*(Estacas!P171+Estacas!P172)/2</f>
        <v>310.4</v>
      </c>
      <c r="P171" s="141" t="n">
        <f aca="false">R171*Parâmetros!$C$11</f>
        <v>0</v>
      </c>
      <c r="Q171" s="141" t="n">
        <f aca="false">R171*Parâmetros!$C$12</f>
        <v>0</v>
      </c>
      <c r="R171" s="141" t="n">
        <f aca="false">C171*(Estacas!Q171+Estacas!Q172)/2</f>
        <v>0</v>
      </c>
      <c r="S171" s="141" t="n">
        <f aca="false">IF(LEFT(E171,3)="T09",C171*Parâmetros!$D$13*Parâmetros!$C$13,0)</f>
        <v>0</v>
      </c>
    </row>
    <row r="172" customFormat="false" ht="15" hidden="false" customHeight="false" outlineLevel="0" collapsed="false">
      <c r="A172" s="138" t="str">
        <f aca="false">Estacas!A172</f>
        <v>170+0,00</v>
      </c>
      <c r="B172" s="138" t="str">
        <f aca="false">Estacas!A173</f>
        <v>171+0,00</v>
      </c>
      <c r="C172" s="144" t="n">
        <f aca="false">Estacas!C173-Estacas!C172</f>
        <v>20</v>
      </c>
      <c r="D172" s="138" t="s">
        <v>1565</v>
      </c>
      <c r="E172" s="138" t="s">
        <v>1566</v>
      </c>
      <c r="F172" s="141" t="n">
        <f aca="false">Estacas!F172</f>
        <v>14</v>
      </c>
      <c r="G172" s="141" t="n">
        <f aca="false">Estacas!F173</f>
        <v>13.7</v>
      </c>
      <c r="H172" s="141" t="n">
        <f aca="false">C172*(Estacas!K172+Estacas!K173)/2</f>
        <v>13.9</v>
      </c>
      <c r="I172" s="141" t="n">
        <f aca="false">H172*Parâmetros!$C$14</f>
        <v>33.36</v>
      </c>
      <c r="J172" s="141" t="n">
        <f aca="false">C172*(Estacas!L172+Estacas!L173)/2</f>
        <v>45.472</v>
      </c>
      <c r="K172" s="141" t="n">
        <f aca="false">C172*(Estacas!M172+Estacas!M173)/2</f>
        <v>59.08</v>
      </c>
      <c r="L172" s="141" t="n">
        <f aca="false">C172*(Estacas!N172+Estacas!N173)/2</f>
        <v>92.82</v>
      </c>
      <c r="M172" s="141" t="n">
        <f aca="false">C172*(Estacas!O172+Estacas!O173)/2</f>
        <v>281</v>
      </c>
      <c r="N172" s="141" t="n">
        <f aca="false">C172*(Estacas!O172+Estacas!O173)/2</f>
        <v>281</v>
      </c>
      <c r="O172" s="141" t="n">
        <f aca="false">C172*(Estacas!P172+Estacas!P173)/2</f>
        <v>315.4</v>
      </c>
      <c r="P172" s="141" t="n">
        <f aca="false">R172*Parâmetros!$C$11</f>
        <v>0</v>
      </c>
      <c r="Q172" s="141" t="n">
        <f aca="false">R172*Parâmetros!$C$12</f>
        <v>0</v>
      </c>
      <c r="R172" s="141" t="n">
        <f aca="false">C172*(Estacas!Q172+Estacas!Q173)/2</f>
        <v>0</v>
      </c>
      <c r="S172" s="141" t="n">
        <f aca="false">IF(LEFT(E172,3)="T09",C172*Parâmetros!$D$13*Parâmetros!$C$13,0)</f>
        <v>0</v>
      </c>
    </row>
    <row r="173" customFormat="false" ht="15" hidden="false" customHeight="false" outlineLevel="0" collapsed="false">
      <c r="A173" s="138" t="str">
        <f aca="false">Estacas!A173</f>
        <v>171+0,00</v>
      </c>
      <c r="B173" s="138" t="str">
        <f aca="false">Estacas!A174</f>
        <v>172+0,00</v>
      </c>
      <c r="C173" s="144" t="n">
        <f aca="false">Estacas!C174-Estacas!C173</f>
        <v>20</v>
      </c>
      <c r="D173" s="138" t="s">
        <v>1565</v>
      </c>
      <c r="E173" s="138" t="s">
        <v>1566</v>
      </c>
      <c r="F173" s="141" t="n">
        <f aca="false">Estacas!F173</f>
        <v>13.7</v>
      </c>
      <c r="G173" s="141" t="n">
        <f aca="false">Estacas!F174</f>
        <v>13.1</v>
      </c>
      <c r="H173" s="141" t="n">
        <f aca="false">C173*(Estacas!K173+Estacas!K174)/2</f>
        <v>13.45</v>
      </c>
      <c r="I173" s="141" t="n">
        <f aca="false">H173*Parâmetros!$C$14</f>
        <v>32.28</v>
      </c>
      <c r="J173" s="141" t="n">
        <f aca="false">C173*(Estacas!L173+Estacas!L174)/2</f>
        <v>44.032</v>
      </c>
      <c r="K173" s="141" t="n">
        <f aca="false">C173*(Estacas!M173+Estacas!M174)/2</f>
        <v>57.28</v>
      </c>
      <c r="L173" s="141" t="n">
        <f aca="false">C173*(Estacas!N173+Estacas!N174)/2</f>
        <v>90.12</v>
      </c>
      <c r="M173" s="141" t="n">
        <f aca="false">C173*(Estacas!O173+Estacas!O174)/2</f>
        <v>272</v>
      </c>
      <c r="N173" s="141" t="n">
        <f aca="false">C173*(Estacas!O173+Estacas!O174)/2</f>
        <v>272</v>
      </c>
      <c r="O173" s="141" t="n">
        <f aca="false">C173*(Estacas!P173+Estacas!P174)/2</f>
        <v>306.4</v>
      </c>
      <c r="P173" s="141" t="n">
        <f aca="false">R173*Parâmetros!$C$11</f>
        <v>0</v>
      </c>
      <c r="Q173" s="141" t="n">
        <f aca="false">R173*Parâmetros!$C$12</f>
        <v>0</v>
      </c>
      <c r="R173" s="141" t="n">
        <f aca="false">C173*(Estacas!Q173+Estacas!Q174)/2</f>
        <v>0</v>
      </c>
      <c r="S173" s="141" t="n">
        <f aca="false">IF(LEFT(E173,3)="T09",C173*Parâmetros!$D$13*Parâmetros!$C$13,0)</f>
        <v>0</v>
      </c>
    </row>
    <row r="174" customFormat="false" ht="15" hidden="false" customHeight="false" outlineLevel="0" collapsed="false">
      <c r="A174" s="138" t="str">
        <f aca="false">Estacas!A174</f>
        <v>172+0,00</v>
      </c>
      <c r="B174" s="138" t="str">
        <f aca="false">Estacas!A175</f>
        <v>173+0,00</v>
      </c>
      <c r="C174" s="144" t="n">
        <f aca="false">Estacas!C175-Estacas!C174</f>
        <v>20</v>
      </c>
      <c r="D174" s="138" t="s">
        <v>1565</v>
      </c>
      <c r="E174" s="138" t="s">
        <v>1566</v>
      </c>
      <c r="F174" s="141" t="n">
        <f aca="false">Estacas!F174</f>
        <v>13.1</v>
      </c>
      <c r="G174" s="141" t="n">
        <f aca="false">Estacas!F175</f>
        <v>13.6</v>
      </c>
      <c r="H174" s="141" t="n">
        <f aca="false">C174*(Estacas!K174+Estacas!K175)/2</f>
        <v>13.4</v>
      </c>
      <c r="I174" s="141" t="n">
        <f aca="false">H174*Parâmetros!$C$14</f>
        <v>32.16</v>
      </c>
      <c r="J174" s="141" t="n">
        <f aca="false">C174*(Estacas!L174+Estacas!L175)/2</f>
        <v>43.872</v>
      </c>
      <c r="K174" s="141" t="n">
        <f aca="false">C174*(Estacas!M174+Estacas!M175)/2</f>
        <v>57.08</v>
      </c>
      <c r="L174" s="141" t="n">
        <f aca="false">C174*(Estacas!N174+Estacas!N175)/2</f>
        <v>89.82</v>
      </c>
      <c r="M174" s="141" t="n">
        <f aca="false">C174*(Estacas!O174+Estacas!O175)/2</f>
        <v>271</v>
      </c>
      <c r="N174" s="141" t="n">
        <f aca="false">C174*(Estacas!O174+Estacas!O175)/2</f>
        <v>271</v>
      </c>
      <c r="O174" s="141" t="n">
        <f aca="false">C174*(Estacas!P174+Estacas!P175)/2</f>
        <v>305.4</v>
      </c>
      <c r="P174" s="141" t="n">
        <f aca="false">R174*Parâmetros!$C$11</f>
        <v>0</v>
      </c>
      <c r="Q174" s="141" t="n">
        <f aca="false">R174*Parâmetros!$C$12</f>
        <v>0</v>
      </c>
      <c r="R174" s="141" t="n">
        <f aca="false">C174*(Estacas!Q174+Estacas!Q175)/2</f>
        <v>0</v>
      </c>
      <c r="S174" s="141" t="n">
        <f aca="false">IF(LEFT(E174,3)="T09",C174*Parâmetros!$D$13*Parâmetros!$C$13,0)</f>
        <v>0</v>
      </c>
    </row>
    <row r="175" customFormat="false" ht="15" hidden="false" customHeight="false" outlineLevel="0" collapsed="false">
      <c r="A175" s="138" t="str">
        <f aca="false">Estacas!A175</f>
        <v>173+0,00</v>
      </c>
      <c r="B175" s="138" t="str">
        <f aca="false">Estacas!A176</f>
        <v>174+0,00</v>
      </c>
      <c r="C175" s="144" t="n">
        <f aca="false">Estacas!C176-Estacas!C175</f>
        <v>20</v>
      </c>
      <c r="D175" s="138" t="s">
        <v>1565</v>
      </c>
      <c r="E175" s="138" t="s">
        <v>1566</v>
      </c>
      <c r="F175" s="141" t="n">
        <f aca="false">Estacas!F175</f>
        <v>13.6</v>
      </c>
      <c r="G175" s="141" t="n">
        <f aca="false">Estacas!F176</f>
        <v>14</v>
      </c>
      <c r="H175" s="141" t="n">
        <f aca="false">C175*(Estacas!K175+Estacas!K176)/2</f>
        <v>13.85</v>
      </c>
      <c r="I175" s="141" t="n">
        <f aca="false">H175*Parâmetros!$C$14</f>
        <v>33.24</v>
      </c>
      <c r="J175" s="141" t="n">
        <f aca="false">C175*(Estacas!L175+Estacas!L176)/2</f>
        <v>45.312</v>
      </c>
      <c r="K175" s="141" t="n">
        <f aca="false">C175*(Estacas!M175+Estacas!M176)/2</f>
        <v>58.88</v>
      </c>
      <c r="L175" s="141" t="n">
        <f aca="false">C175*(Estacas!N175+Estacas!N176)/2</f>
        <v>92.52</v>
      </c>
      <c r="M175" s="141" t="n">
        <f aca="false">C175*(Estacas!O175+Estacas!O176)/2</f>
        <v>280</v>
      </c>
      <c r="N175" s="141" t="n">
        <f aca="false">C175*(Estacas!O175+Estacas!O176)/2</f>
        <v>280</v>
      </c>
      <c r="O175" s="141" t="n">
        <f aca="false">C175*(Estacas!P175+Estacas!P176)/2</f>
        <v>314.4</v>
      </c>
      <c r="P175" s="141" t="n">
        <f aca="false">R175*Parâmetros!$C$11</f>
        <v>0</v>
      </c>
      <c r="Q175" s="141" t="n">
        <f aca="false">R175*Parâmetros!$C$12</f>
        <v>0</v>
      </c>
      <c r="R175" s="141" t="n">
        <f aca="false">C175*(Estacas!Q175+Estacas!Q176)/2</f>
        <v>0</v>
      </c>
      <c r="S175" s="141" t="n">
        <f aca="false">IF(LEFT(E175,3)="T09",C175*Parâmetros!$D$13*Parâmetros!$C$13,0)</f>
        <v>0</v>
      </c>
    </row>
    <row r="176" customFormat="false" ht="15" hidden="false" customHeight="false" outlineLevel="0" collapsed="false">
      <c r="A176" s="138" t="str">
        <f aca="false">Estacas!A176</f>
        <v>174+0,00</v>
      </c>
      <c r="B176" s="138" t="str">
        <f aca="false">Estacas!A177</f>
        <v>175+0,00</v>
      </c>
      <c r="C176" s="144" t="n">
        <f aca="false">Estacas!C177-Estacas!C176</f>
        <v>20</v>
      </c>
      <c r="D176" s="138" t="s">
        <v>1565</v>
      </c>
      <c r="E176" s="138" t="s">
        <v>1566</v>
      </c>
      <c r="F176" s="141" t="n">
        <f aca="false">Estacas!F176</f>
        <v>14</v>
      </c>
      <c r="G176" s="141" t="n">
        <f aca="false">Estacas!F177</f>
        <v>12.8</v>
      </c>
      <c r="H176" s="141" t="n">
        <f aca="false">C176*(Estacas!K176+Estacas!K177)/2</f>
        <v>13.45</v>
      </c>
      <c r="I176" s="141" t="n">
        <f aca="false">H176*Parâmetros!$C$14</f>
        <v>32.28</v>
      </c>
      <c r="J176" s="141" t="n">
        <f aca="false">C176*(Estacas!L176+Estacas!L177)/2</f>
        <v>44.032</v>
      </c>
      <c r="K176" s="141" t="n">
        <f aca="false">C176*(Estacas!M176+Estacas!M177)/2</f>
        <v>57.28</v>
      </c>
      <c r="L176" s="141" t="n">
        <f aca="false">C176*(Estacas!N176+Estacas!N177)/2</f>
        <v>90.12</v>
      </c>
      <c r="M176" s="141" t="n">
        <f aca="false">C176*(Estacas!O176+Estacas!O177)/2</f>
        <v>272</v>
      </c>
      <c r="N176" s="141" t="n">
        <f aca="false">C176*(Estacas!O176+Estacas!O177)/2</f>
        <v>272</v>
      </c>
      <c r="O176" s="141" t="n">
        <f aca="false">C176*(Estacas!P176+Estacas!P177)/2</f>
        <v>306.4</v>
      </c>
      <c r="P176" s="141" t="n">
        <f aca="false">R176*Parâmetros!$C$11</f>
        <v>0</v>
      </c>
      <c r="Q176" s="141" t="n">
        <f aca="false">R176*Parâmetros!$C$12</f>
        <v>0</v>
      </c>
      <c r="R176" s="141" t="n">
        <f aca="false">C176*(Estacas!Q176+Estacas!Q177)/2</f>
        <v>0</v>
      </c>
      <c r="S176" s="141" t="n">
        <f aca="false">IF(LEFT(E176,3)="T09",C176*Parâmetros!$D$13*Parâmetros!$C$13,0)</f>
        <v>0</v>
      </c>
    </row>
    <row r="177" customFormat="false" ht="15" hidden="false" customHeight="false" outlineLevel="0" collapsed="false">
      <c r="A177" s="138" t="str">
        <f aca="false">Estacas!A177</f>
        <v>175+0,00</v>
      </c>
      <c r="B177" s="138" t="str">
        <f aca="false">Estacas!A178</f>
        <v>176+0,00</v>
      </c>
      <c r="C177" s="144" t="n">
        <f aca="false">Estacas!C178-Estacas!C177</f>
        <v>20</v>
      </c>
      <c r="D177" s="138" t="s">
        <v>1565</v>
      </c>
      <c r="E177" s="138" t="s">
        <v>1566</v>
      </c>
      <c r="F177" s="141" t="n">
        <f aca="false">Estacas!F177</f>
        <v>12.8</v>
      </c>
      <c r="G177" s="141" t="n">
        <f aca="false">Estacas!F178</f>
        <v>11.2</v>
      </c>
      <c r="H177" s="141" t="n">
        <f aca="false">C177*(Estacas!K177+Estacas!K178)/2</f>
        <v>12.05</v>
      </c>
      <c r="I177" s="141" t="n">
        <f aca="false">H177*Parâmetros!$C$14</f>
        <v>28.92</v>
      </c>
      <c r="J177" s="141" t="n">
        <f aca="false">C177*(Estacas!L177+Estacas!L178)/2</f>
        <v>39.552</v>
      </c>
      <c r="K177" s="141" t="n">
        <f aca="false">C177*(Estacas!M177+Estacas!M178)/2</f>
        <v>51.68</v>
      </c>
      <c r="L177" s="141" t="n">
        <f aca="false">C177*(Estacas!N177+Estacas!N178)/2</f>
        <v>81.72</v>
      </c>
      <c r="M177" s="141" t="n">
        <f aca="false">C177*(Estacas!O177+Estacas!O178)/2</f>
        <v>244</v>
      </c>
      <c r="N177" s="141" t="n">
        <f aca="false">C177*(Estacas!O177+Estacas!O178)/2</f>
        <v>244</v>
      </c>
      <c r="O177" s="141" t="n">
        <f aca="false">C177*(Estacas!P177+Estacas!P178)/2</f>
        <v>278.4</v>
      </c>
      <c r="P177" s="141" t="n">
        <f aca="false">R177*Parâmetros!$C$11</f>
        <v>0</v>
      </c>
      <c r="Q177" s="141" t="n">
        <f aca="false">R177*Parâmetros!$C$12</f>
        <v>0</v>
      </c>
      <c r="R177" s="141" t="n">
        <f aca="false">C177*(Estacas!Q177+Estacas!Q178)/2</f>
        <v>0</v>
      </c>
      <c r="S177" s="141" t="n">
        <f aca="false">IF(LEFT(E177,3)="T09",C177*Parâmetros!$D$13*Parâmetros!$C$13,0)</f>
        <v>0</v>
      </c>
    </row>
    <row r="178" customFormat="false" ht="15" hidden="false" customHeight="false" outlineLevel="0" collapsed="false">
      <c r="A178" s="138" t="str">
        <f aca="false">Estacas!A178</f>
        <v>176+0,00</v>
      </c>
      <c r="B178" s="138" t="str">
        <f aca="false">Estacas!A179</f>
        <v>177+0,00</v>
      </c>
      <c r="C178" s="144" t="n">
        <f aca="false">Estacas!C179-Estacas!C178</f>
        <v>20</v>
      </c>
      <c r="D178" s="138" t="s">
        <v>1565</v>
      </c>
      <c r="E178" s="138" t="s">
        <v>1566</v>
      </c>
      <c r="F178" s="141" t="n">
        <f aca="false">Estacas!F178</f>
        <v>11.2</v>
      </c>
      <c r="G178" s="141" t="n">
        <f aca="false">Estacas!F179</f>
        <v>11</v>
      </c>
      <c r="H178" s="141" t="n">
        <f aca="false">C178*(Estacas!K178+Estacas!K179)/2</f>
        <v>11.15</v>
      </c>
      <c r="I178" s="141" t="n">
        <f aca="false">H178*Parâmetros!$C$14</f>
        <v>26.76</v>
      </c>
      <c r="J178" s="141" t="n">
        <f aca="false">C178*(Estacas!L178+Estacas!L179)/2</f>
        <v>36.672</v>
      </c>
      <c r="K178" s="141" t="n">
        <f aca="false">C178*(Estacas!M178+Estacas!M179)/2</f>
        <v>48.08</v>
      </c>
      <c r="L178" s="141" t="n">
        <f aca="false">C178*(Estacas!N178+Estacas!N179)/2</f>
        <v>76.32</v>
      </c>
      <c r="M178" s="141" t="n">
        <f aca="false">C178*(Estacas!O178+Estacas!O179)/2</f>
        <v>226</v>
      </c>
      <c r="N178" s="141" t="n">
        <f aca="false">C178*(Estacas!O178+Estacas!O179)/2</f>
        <v>226</v>
      </c>
      <c r="O178" s="141" t="n">
        <f aca="false">C178*(Estacas!P178+Estacas!P179)/2</f>
        <v>260.4</v>
      </c>
      <c r="P178" s="141" t="n">
        <f aca="false">R178*Parâmetros!$C$11</f>
        <v>0</v>
      </c>
      <c r="Q178" s="141" t="n">
        <f aca="false">R178*Parâmetros!$C$12</f>
        <v>0</v>
      </c>
      <c r="R178" s="141" t="n">
        <f aca="false">C178*(Estacas!Q178+Estacas!Q179)/2</f>
        <v>0</v>
      </c>
      <c r="S178" s="141" t="n">
        <f aca="false">IF(LEFT(E178,3)="T09",C178*Parâmetros!$D$13*Parâmetros!$C$13,0)</f>
        <v>0</v>
      </c>
    </row>
    <row r="179" customFormat="false" ht="15" hidden="false" customHeight="false" outlineLevel="0" collapsed="false">
      <c r="A179" s="138" t="str">
        <f aca="false">Estacas!A179</f>
        <v>177+0,00</v>
      </c>
      <c r="B179" s="138" t="str">
        <f aca="false">Estacas!A180</f>
        <v>178+0,00</v>
      </c>
      <c r="C179" s="144" t="n">
        <f aca="false">Estacas!C180-Estacas!C179</f>
        <v>20</v>
      </c>
      <c r="D179" s="138" t="s">
        <v>1565</v>
      </c>
      <c r="E179" s="138" t="s">
        <v>1566</v>
      </c>
      <c r="F179" s="141" t="n">
        <f aca="false">Estacas!F179</f>
        <v>11</v>
      </c>
      <c r="G179" s="141" t="n">
        <f aca="false">Estacas!F180</f>
        <v>11</v>
      </c>
      <c r="H179" s="141" t="n">
        <f aca="false">C179*(Estacas!K179+Estacas!K180)/2</f>
        <v>11.05</v>
      </c>
      <c r="I179" s="141" t="n">
        <f aca="false">H179*Parâmetros!$C$14</f>
        <v>26.52</v>
      </c>
      <c r="J179" s="141" t="n">
        <f aca="false">C179*(Estacas!L179+Estacas!L180)/2</f>
        <v>36.352</v>
      </c>
      <c r="K179" s="141" t="n">
        <f aca="false">C179*(Estacas!M179+Estacas!M180)/2</f>
        <v>47.68</v>
      </c>
      <c r="L179" s="141" t="n">
        <f aca="false">C179*(Estacas!N179+Estacas!N180)/2</f>
        <v>75.72</v>
      </c>
      <c r="M179" s="141" t="n">
        <f aca="false">C179*(Estacas!O179+Estacas!O180)/2</f>
        <v>224</v>
      </c>
      <c r="N179" s="141" t="n">
        <f aca="false">C179*(Estacas!O179+Estacas!O180)/2</f>
        <v>224</v>
      </c>
      <c r="O179" s="141" t="n">
        <f aca="false">C179*(Estacas!P179+Estacas!P180)/2</f>
        <v>258.4</v>
      </c>
      <c r="P179" s="141" t="n">
        <f aca="false">R179*Parâmetros!$C$11</f>
        <v>0</v>
      </c>
      <c r="Q179" s="141" t="n">
        <f aca="false">R179*Parâmetros!$C$12</f>
        <v>0</v>
      </c>
      <c r="R179" s="141" t="n">
        <f aca="false">C179*(Estacas!Q179+Estacas!Q180)/2</f>
        <v>0</v>
      </c>
      <c r="S179" s="141" t="n">
        <f aca="false">IF(LEFT(E179,3)="T09",C179*Parâmetros!$D$13*Parâmetros!$C$13,0)</f>
        <v>0</v>
      </c>
    </row>
    <row r="180" customFormat="false" ht="15" hidden="false" customHeight="false" outlineLevel="0" collapsed="false">
      <c r="A180" s="138" t="str">
        <f aca="false">Estacas!A180</f>
        <v>178+0,00</v>
      </c>
      <c r="B180" s="138" t="str">
        <f aca="false">Estacas!A181</f>
        <v>179+0,00</v>
      </c>
      <c r="C180" s="144" t="n">
        <f aca="false">Estacas!C181-Estacas!C180</f>
        <v>20</v>
      </c>
      <c r="D180" s="138" t="s">
        <v>1565</v>
      </c>
      <c r="E180" s="138" t="s">
        <v>1566</v>
      </c>
      <c r="F180" s="141" t="n">
        <f aca="false">Estacas!F180</f>
        <v>11</v>
      </c>
      <c r="G180" s="141" t="n">
        <f aca="false">Estacas!F181</f>
        <v>11</v>
      </c>
      <c r="H180" s="141" t="n">
        <f aca="false">C180*(Estacas!K180+Estacas!K181)/2</f>
        <v>11.05</v>
      </c>
      <c r="I180" s="141" t="n">
        <f aca="false">H180*Parâmetros!$C$14</f>
        <v>26.52</v>
      </c>
      <c r="J180" s="141" t="n">
        <f aca="false">C180*(Estacas!L180+Estacas!L181)/2</f>
        <v>36.352</v>
      </c>
      <c r="K180" s="141" t="n">
        <f aca="false">C180*(Estacas!M180+Estacas!M181)/2</f>
        <v>47.68</v>
      </c>
      <c r="L180" s="141" t="n">
        <f aca="false">C180*(Estacas!N180+Estacas!N181)/2</f>
        <v>75.72</v>
      </c>
      <c r="M180" s="141" t="n">
        <f aca="false">C180*(Estacas!O180+Estacas!O181)/2</f>
        <v>224</v>
      </c>
      <c r="N180" s="141" t="n">
        <f aca="false">C180*(Estacas!O180+Estacas!O181)/2</f>
        <v>224</v>
      </c>
      <c r="O180" s="141" t="n">
        <f aca="false">C180*(Estacas!P180+Estacas!P181)/2</f>
        <v>258.4</v>
      </c>
      <c r="P180" s="141" t="n">
        <f aca="false">R180*Parâmetros!$C$11</f>
        <v>0</v>
      </c>
      <c r="Q180" s="141" t="n">
        <f aca="false">R180*Parâmetros!$C$12</f>
        <v>0</v>
      </c>
      <c r="R180" s="141" t="n">
        <f aca="false">C180*(Estacas!Q180+Estacas!Q181)/2</f>
        <v>0</v>
      </c>
      <c r="S180" s="141" t="n">
        <f aca="false">IF(LEFT(E180,3)="T09",C180*Parâmetros!$D$13*Parâmetros!$C$13,0)</f>
        <v>0</v>
      </c>
    </row>
    <row r="181" customFormat="false" ht="15" hidden="false" customHeight="false" outlineLevel="0" collapsed="false">
      <c r="A181" s="138" t="str">
        <f aca="false">Estacas!A181</f>
        <v>179+0,00</v>
      </c>
      <c r="B181" s="138" t="str">
        <f aca="false">Estacas!A182</f>
        <v>180+0,00</v>
      </c>
      <c r="C181" s="144" t="n">
        <f aca="false">Estacas!C182-Estacas!C181</f>
        <v>20</v>
      </c>
      <c r="D181" s="138" t="s">
        <v>1565</v>
      </c>
      <c r="E181" s="138" t="s">
        <v>1566</v>
      </c>
      <c r="F181" s="141" t="n">
        <f aca="false">Estacas!F181</f>
        <v>11</v>
      </c>
      <c r="G181" s="141" t="n">
        <f aca="false">Estacas!F182</f>
        <v>11</v>
      </c>
      <c r="H181" s="141" t="n">
        <f aca="false">C181*(Estacas!K181+Estacas!K182)/2</f>
        <v>11.05</v>
      </c>
      <c r="I181" s="141" t="n">
        <f aca="false">H181*Parâmetros!$C$14</f>
        <v>26.52</v>
      </c>
      <c r="J181" s="141" t="n">
        <f aca="false">C181*(Estacas!L181+Estacas!L182)/2</f>
        <v>36.352</v>
      </c>
      <c r="K181" s="141" t="n">
        <f aca="false">C181*(Estacas!M181+Estacas!M182)/2</f>
        <v>47.68</v>
      </c>
      <c r="L181" s="141" t="n">
        <f aca="false">C181*(Estacas!N181+Estacas!N182)/2</f>
        <v>75.72</v>
      </c>
      <c r="M181" s="141" t="n">
        <f aca="false">C181*(Estacas!O181+Estacas!O182)/2</f>
        <v>224</v>
      </c>
      <c r="N181" s="141" t="n">
        <f aca="false">C181*(Estacas!O181+Estacas!O182)/2</f>
        <v>224</v>
      </c>
      <c r="O181" s="141" t="n">
        <f aca="false">C181*(Estacas!P181+Estacas!P182)/2</f>
        <v>258.4</v>
      </c>
      <c r="P181" s="141" t="n">
        <f aca="false">R181*Parâmetros!$C$11</f>
        <v>0</v>
      </c>
      <c r="Q181" s="141" t="n">
        <f aca="false">R181*Parâmetros!$C$12</f>
        <v>0</v>
      </c>
      <c r="R181" s="141" t="n">
        <f aca="false">C181*(Estacas!Q181+Estacas!Q182)/2</f>
        <v>0</v>
      </c>
      <c r="S181" s="141" t="n">
        <f aca="false">IF(LEFT(E181,3)="T09",C181*Parâmetros!$D$13*Parâmetros!$C$13,0)</f>
        <v>0</v>
      </c>
    </row>
    <row r="182" customFormat="false" ht="15" hidden="false" customHeight="false" outlineLevel="0" collapsed="false">
      <c r="A182" s="138" t="str">
        <f aca="false">Estacas!A182</f>
        <v>180+0,00</v>
      </c>
      <c r="B182" s="138" t="str">
        <f aca="false">Estacas!A183</f>
        <v>181+0,00</v>
      </c>
      <c r="C182" s="144" t="n">
        <f aca="false">Estacas!C183-Estacas!C182</f>
        <v>20</v>
      </c>
      <c r="D182" s="138" t="s">
        <v>1565</v>
      </c>
      <c r="E182" s="138" t="s">
        <v>1566</v>
      </c>
      <c r="F182" s="141" t="n">
        <f aca="false">Estacas!F182</f>
        <v>11</v>
      </c>
      <c r="G182" s="141" t="n">
        <f aca="false">Estacas!F183</f>
        <v>11</v>
      </c>
      <c r="H182" s="141" t="n">
        <f aca="false">C182*(Estacas!K182+Estacas!K183)/2</f>
        <v>11.05</v>
      </c>
      <c r="I182" s="141" t="n">
        <f aca="false">H182*Parâmetros!$C$14</f>
        <v>26.52</v>
      </c>
      <c r="J182" s="141" t="n">
        <f aca="false">C182*(Estacas!L182+Estacas!L183)/2</f>
        <v>36.352</v>
      </c>
      <c r="K182" s="141" t="n">
        <f aca="false">C182*(Estacas!M182+Estacas!M183)/2</f>
        <v>47.68</v>
      </c>
      <c r="L182" s="141" t="n">
        <f aca="false">C182*(Estacas!N182+Estacas!N183)/2</f>
        <v>75.72</v>
      </c>
      <c r="M182" s="141" t="n">
        <f aca="false">C182*(Estacas!O182+Estacas!O183)/2</f>
        <v>224</v>
      </c>
      <c r="N182" s="141" t="n">
        <f aca="false">C182*(Estacas!O182+Estacas!O183)/2</f>
        <v>224</v>
      </c>
      <c r="O182" s="141" t="n">
        <f aca="false">C182*(Estacas!P182+Estacas!P183)/2</f>
        <v>258.4</v>
      </c>
      <c r="P182" s="141" t="n">
        <f aca="false">R182*Parâmetros!$C$11</f>
        <v>0</v>
      </c>
      <c r="Q182" s="141" t="n">
        <f aca="false">R182*Parâmetros!$C$12</f>
        <v>0</v>
      </c>
      <c r="R182" s="141" t="n">
        <f aca="false">C182*(Estacas!Q182+Estacas!Q183)/2</f>
        <v>0</v>
      </c>
      <c r="S182" s="141" t="n">
        <f aca="false">IF(LEFT(E182,3)="T09",C182*Parâmetros!$D$13*Parâmetros!$C$13,0)</f>
        <v>0</v>
      </c>
    </row>
    <row r="183" customFormat="false" ht="15" hidden="false" customHeight="false" outlineLevel="0" collapsed="false">
      <c r="A183" s="138" t="str">
        <f aca="false">Estacas!A183</f>
        <v>181+0,00</v>
      </c>
      <c r="B183" s="138" t="str">
        <f aca="false">Estacas!A184</f>
        <v>182+0,00</v>
      </c>
      <c r="C183" s="144" t="n">
        <f aca="false">Estacas!C184-Estacas!C183</f>
        <v>20</v>
      </c>
      <c r="D183" s="138" t="s">
        <v>1565</v>
      </c>
      <c r="E183" s="138" t="s">
        <v>1566</v>
      </c>
      <c r="F183" s="141" t="n">
        <f aca="false">Estacas!F183</f>
        <v>11</v>
      </c>
      <c r="G183" s="141" t="n">
        <f aca="false">Estacas!F184</f>
        <v>11</v>
      </c>
      <c r="H183" s="141" t="n">
        <f aca="false">C183*(Estacas!K183+Estacas!K184)/2</f>
        <v>11.05</v>
      </c>
      <c r="I183" s="141" t="n">
        <f aca="false">H183*Parâmetros!$C$14</f>
        <v>26.52</v>
      </c>
      <c r="J183" s="141" t="n">
        <f aca="false">C183*(Estacas!L183+Estacas!L184)/2</f>
        <v>36.352</v>
      </c>
      <c r="K183" s="141" t="n">
        <f aca="false">C183*(Estacas!M183+Estacas!M184)/2</f>
        <v>47.68</v>
      </c>
      <c r="L183" s="141" t="n">
        <f aca="false">C183*(Estacas!N183+Estacas!N184)/2</f>
        <v>75.72</v>
      </c>
      <c r="M183" s="141" t="n">
        <f aca="false">C183*(Estacas!O183+Estacas!O184)/2</f>
        <v>224</v>
      </c>
      <c r="N183" s="141" t="n">
        <f aca="false">C183*(Estacas!O183+Estacas!O184)/2</f>
        <v>224</v>
      </c>
      <c r="O183" s="141" t="n">
        <f aca="false">C183*(Estacas!P183+Estacas!P184)/2</f>
        <v>258.4</v>
      </c>
      <c r="P183" s="141" t="n">
        <f aca="false">R183*Parâmetros!$C$11</f>
        <v>0</v>
      </c>
      <c r="Q183" s="141" t="n">
        <f aca="false">R183*Parâmetros!$C$12</f>
        <v>0</v>
      </c>
      <c r="R183" s="141" t="n">
        <f aca="false">C183*(Estacas!Q183+Estacas!Q184)/2</f>
        <v>0</v>
      </c>
      <c r="S183" s="141" t="n">
        <f aca="false">IF(LEFT(E183,3)="T09",C183*Parâmetros!$D$13*Parâmetros!$C$13,0)</f>
        <v>0</v>
      </c>
    </row>
    <row r="184" customFormat="false" ht="15" hidden="false" customHeight="false" outlineLevel="0" collapsed="false">
      <c r="A184" s="138" t="str">
        <f aca="false">Estacas!A184</f>
        <v>182+0,00</v>
      </c>
      <c r="B184" s="138" t="str">
        <f aca="false">Estacas!A185</f>
        <v>183+0,00</v>
      </c>
      <c r="C184" s="144" t="n">
        <f aca="false">Estacas!C185-Estacas!C184</f>
        <v>20</v>
      </c>
      <c r="D184" s="138" t="s">
        <v>1565</v>
      </c>
      <c r="E184" s="138" t="s">
        <v>1566</v>
      </c>
      <c r="F184" s="141" t="n">
        <f aca="false">Estacas!F184</f>
        <v>11</v>
      </c>
      <c r="G184" s="141" t="n">
        <f aca="false">Estacas!F185</f>
        <v>11</v>
      </c>
      <c r="H184" s="141" t="n">
        <f aca="false">C184*(Estacas!K184+Estacas!K185)/2</f>
        <v>11.05</v>
      </c>
      <c r="I184" s="141" t="n">
        <f aca="false">H184*Parâmetros!$C$14</f>
        <v>26.52</v>
      </c>
      <c r="J184" s="141" t="n">
        <f aca="false">C184*(Estacas!L184+Estacas!L185)/2</f>
        <v>36.352</v>
      </c>
      <c r="K184" s="141" t="n">
        <f aca="false">C184*(Estacas!M184+Estacas!M185)/2</f>
        <v>47.68</v>
      </c>
      <c r="L184" s="141" t="n">
        <f aca="false">C184*(Estacas!N184+Estacas!N185)/2</f>
        <v>75.72</v>
      </c>
      <c r="M184" s="141" t="n">
        <f aca="false">C184*(Estacas!O184+Estacas!O185)/2</f>
        <v>224</v>
      </c>
      <c r="N184" s="141" t="n">
        <f aca="false">C184*(Estacas!O184+Estacas!O185)/2</f>
        <v>224</v>
      </c>
      <c r="O184" s="141" t="n">
        <f aca="false">C184*(Estacas!P184+Estacas!P185)/2</f>
        <v>258.4</v>
      </c>
      <c r="P184" s="141" t="n">
        <f aca="false">R184*Parâmetros!$C$11</f>
        <v>0</v>
      </c>
      <c r="Q184" s="141" t="n">
        <f aca="false">R184*Parâmetros!$C$12</f>
        <v>0</v>
      </c>
      <c r="R184" s="141" t="n">
        <f aca="false">C184*(Estacas!Q184+Estacas!Q185)/2</f>
        <v>0</v>
      </c>
      <c r="S184" s="141" t="n">
        <f aca="false">IF(LEFT(E184,3)="T09",C184*Parâmetros!$D$13*Parâmetros!$C$13,0)</f>
        <v>0</v>
      </c>
    </row>
    <row r="185" customFormat="false" ht="15" hidden="false" customHeight="false" outlineLevel="0" collapsed="false">
      <c r="A185" s="138" t="str">
        <f aca="false">Estacas!A185</f>
        <v>183+0,00</v>
      </c>
      <c r="B185" s="138" t="str">
        <f aca="false">Estacas!A186</f>
        <v>184+0,00</v>
      </c>
      <c r="C185" s="144" t="n">
        <f aca="false">Estacas!C186-Estacas!C185</f>
        <v>20</v>
      </c>
      <c r="D185" s="138" t="s">
        <v>1565</v>
      </c>
      <c r="E185" s="138" t="s">
        <v>1566</v>
      </c>
      <c r="F185" s="141" t="n">
        <f aca="false">Estacas!F185</f>
        <v>11</v>
      </c>
      <c r="G185" s="141" t="n">
        <f aca="false">Estacas!F186</f>
        <v>11</v>
      </c>
      <c r="H185" s="141" t="n">
        <f aca="false">C185*(Estacas!K185+Estacas!K186)/2</f>
        <v>11.05</v>
      </c>
      <c r="I185" s="141" t="n">
        <f aca="false">H185*Parâmetros!$C$14</f>
        <v>26.52</v>
      </c>
      <c r="J185" s="141" t="n">
        <f aca="false">C185*(Estacas!L185+Estacas!L186)/2</f>
        <v>36.352</v>
      </c>
      <c r="K185" s="141" t="n">
        <f aca="false">C185*(Estacas!M185+Estacas!M186)/2</f>
        <v>47.68</v>
      </c>
      <c r="L185" s="141" t="n">
        <f aca="false">C185*(Estacas!N185+Estacas!N186)/2</f>
        <v>75.72</v>
      </c>
      <c r="M185" s="141" t="n">
        <f aca="false">C185*(Estacas!O185+Estacas!O186)/2</f>
        <v>224</v>
      </c>
      <c r="N185" s="141" t="n">
        <f aca="false">C185*(Estacas!O185+Estacas!O186)/2</f>
        <v>224</v>
      </c>
      <c r="O185" s="141" t="n">
        <f aca="false">C185*(Estacas!P185+Estacas!P186)/2</f>
        <v>258.4</v>
      </c>
      <c r="P185" s="141" t="n">
        <f aca="false">R185*Parâmetros!$C$11</f>
        <v>0</v>
      </c>
      <c r="Q185" s="141" t="n">
        <f aca="false">R185*Parâmetros!$C$12</f>
        <v>0</v>
      </c>
      <c r="R185" s="141" t="n">
        <f aca="false">C185*(Estacas!Q185+Estacas!Q186)/2</f>
        <v>0</v>
      </c>
      <c r="S185" s="141" t="n">
        <f aca="false">IF(LEFT(E185,3)="T09",C185*Parâmetros!$D$13*Parâmetros!$C$13,0)</f>
        <v>0</v>
      </c>
    </row>
    <row r="186" customFormat="false" ht="15" hidden="false" customHeight="false" outlineLevel="0" collapsed="false">
      <c r="A186" s="138" t="str">
        <f aca="false">Estacas!A186</f>
        <v>184+0,00</v>
      </c>
      <c r="B186" s="138" t="str">
        <f aca="false">Estacas!A187</f>
        <v>185+0,00</v>
      </c>
      <c r="C186" s="144" t="n">
        <f aca="false">Estacas!C187-Estacas!C186</f>
        <v>20</v>
      </c>
      <c r="D186" s="138" t="s">
        <v>1565</v>
      </c>
      <c r="E186" s="138" t="s">
        <v>1566</v>
      </c>
      <c r="F186" s="141" t="n">
        <f aca="false">Estacas!F186</f>
        <v>11</v>
      </c>
      <c r="G186" s="141" t="n">
        <f aca="false">Estacas!F187</f>
        <v>11</v>
      </c>
      <c r="H186" s="141" t="n">
        <f aca="false">C186*(Estacas!K186+Estacas!K187)/2</f>
        <v>11.05</v>
      </c>
      <c r="I186" s="141" t="n">
        <f aca="false">H186*Parâmetros!$C$14</f>
        <v>26.52</v>
      </c>
      <c r="J186" s="141" t="n">
        <f aca="false">C186*(Estacas!L186+Estacas!L187)/2</f>
        <v>36.352</v>
      </c>
      <c r="K186" s="141" t="n">
        <f aca="false">C186*(Estacas!M186+Estacas!M187)/2</f>
        <v>47.68</v>
      </c>
      <c r="L186" s="141" t="n">
        <f aca="false">C186*(Estacas!N186+Estacas!N187)/2</f>
        <v>75.72</v>
      </c>
      <c r="M186" s="141" t="n">
        <f aca="false">C186*(Estacas!O186+Estacas!O187)/2</f>
        <v>224</v>
      </c>
      <c r="N186" s="141" t="n">
        <f aca="false">C186*(Estacas!O186+Estacas!O187)/2</f>
        <v>224</v>
      </c>
      <c r="O186" s="141" t="n">
        <f aca="false">C186*(Estacas!P186+Estacas!P187)/2</f>
        <v>258.4</v>
      </c>
      <c r="P186" s="141" t="n">
        <f aca="false">R186*Parâmetros!$C$11</f>
        <v>0</v>
      </c>
      <c r="Q186" s="141" t="n">
        <f aca="false">R186*Parâmetros!$C$12</f>
        <v>0</v>
      </c>
      <c r="R186" s="141" t="n">
        <f aca="false">C186*(Estacas!Q186+Estacas!Q187)/2</f>
        <v>0</v>
      </c>
      <c r="S186" s="141" t="n">
        <f aca="false">IF(LEFT(E186,3)="T09",C186*Parâmetros!$D$13*Parâmetros!$C$13,0)</f>
        <v>0</v>
      </c>
    </row>
    <row r="187" customFormat="false" ht="15" hidden="false" customHeight="false" outlineLevel="0" collapsed="false">
      <c r="A187" s="138" t="str">
        <f aca="false">Estacas!A187</f>
        <v>185+0,00</v>
      </c>
      <c r="B187" s="138" t="str">
        <f aca="false">Estacas!A188</f>
        <v>186+0,00</v>
      </c>
      <c r="C187" s="144" t="n">
        <f aca="false">Estacas!C188-Estacas!C187</f>
        <v>20</v>
      </c>
      <c r="D187" s="138" t="s">
        <v>1565</v>
      </c>
      <c r="E187" s="138" t="s">
        <v>1566</v>
      </c>
      <c r="F187" s="141" t="n">
        <f aca="false">Estacas!F187</f>
        <v>11</v>
      </c>
      <c r="G187" s="141" t="n">
        <f aca="false">Estacas!F188</f>
        <v>11</v>
      </c>
      <c r="H187" s="141" t="n">
        <f aca="false">C187*(Estacas!K187+Estacas!K188)/2</f>
        <v>11.05</v>
      </c>
      <c r="I187" s="141" t="n">
        <f aca="false">H187*Parâmetros!$C$14</f>
        <v>26.52</v>
      </c>
      <c r="J187" s="141" t="n">
        <f aca="false">C187*(Estacas!L187+Estacas!L188)/2</f>
        <v>36.352</v>
      </c>
      <c r="K187" s="141" t="n">
        <f aca="false">C187*(Estacas!M187+Estacas!M188)/2</f>
        <v>47.68</v>
      </c>
      <c r="L187" s="141" t="n">
        <f aca="false">C187*(Estacas!N187+Estacas!N188)/2</f>
        <v>75.72</v>
      </c>
      <c r="M187" s="141" t="n">
        <f aca="false">C187*(Estacas!O187+Estacas!O188)/2</f>
        <v>224</v>
      </c>
      <c r="N187" s="141" t="n">
        <f aca="false">C187*(Estacas!O187+Estacas!O188)/2</f>
        <v>224</v>
      </c>
      <c r="O187" s="141" t="n">
        <f aca="false">C187*(Estacas!P187+Estacas!P188)/2</f>
        <v>258.4</v>
      </c>
      <c r="P187" s="141" t="n">
        <f aca="false">R187*Parâmetros!$C$11</f>
        <v>0</v>
      </c>
      <c r="Q187" s="141" t="n">
        <f aca="false">R187*Parâmetros!$C$12</f>
        <v>0</v>
      </c>
      <c r="R187" s="141" t="n">
        <f aca="false">C187*(Estacas!Q187+Estacas!Q188)/2</f>
        <v>0</v>
      </c>
      <c r="S187" s="141" t="n">
        <f aca="false">IF(LEFT(E187,3)="T09",C187*Parâmetros!$D$13*Parâmetros!$C$13,0)</f>
        <v>0</v>
      </c>
    </row>
    <row r="188" customFormat="false" ht="15" hidden="false" customHeight="false" outlineLevel="0" collapsed="false">
      <c r="A188" s="138" t="str">
        <f aca="false">Estacas!A188</f>
        <v>186+0,00</v>
      </c>
      <c r="B188" s="138" t="str">
        <f aca="false">Estacas!A189</f>
        <v>187+0,00</v>
      </c>
      <c r="C188" s="144" t="n">
        <f aca="false">Estacas!C189-Estacas!C188</f>
        <v>20</v>
      </c>
      <c r="D188" s="138" t="s">
        <v>1565</v>
      </c>
      <c r="E188" s="138" t="s">
        <v>1566</v>
      </c>
      <c r="F188" s="141" t="n">
        <f aca="false">Estacas!F188</f>
        <v>11</v>
      </c>
      <c r="G188" s="141" t="n">
        <f aca="false">Estacas!F189</f>
        <v>11</v>
      </c>
      <c r="H188" s="141" t="n">
        <f aca="false">C188*(Estacas!K188+Estacas!K189)/2</f>
        <v>11.05</v>
      </c>
      <c r="I188" s="141" t="n">
        <f aca="false">H188*Parâmetros!$C$14</f>
        <v>26.52</v>
      </c>
      <c r="J188" s="141" t="n">
        <f aca="false">C188*(Estacas!L188+Estacas!L189)/2</f>
        <v>36.352</v>
      </c>
      <c r="K188" s="141" t="n">
        <f aca="false">C188*(Estacas!M188+Estacas!M189)/2</f>
        <v>47.68</v>
      </c>
      <c r="L188" s="141" t="n">
        <f aca="false">C188*(Estacas!N188+Estacas!N189)/2</f>
        <v>75.72</v>
      </c>
      <c r="M188" s="141" t="n">
        <f aca="false">C188*(Estacas!O188+Estacas!O189)/2</f>
        <v>224</v>
      </c>
      <c r="N188" s="141" t="n">
        <f aca="false">C188*(Estacas!O188+Estacas!O189)/2</f>
        <v>224</v>
      </c>
      <c r="O188" s="141" t="n">
        <f aca="false">C188*(Estacas!P188+Estacas!P189)/2</f>
        <v>258.4</v>
      </c>
      <c r="P188" s="141" t="n">
        <f aca="false">R188*Parâmetros!$C$11</f>
        <v>0</v>
      </c>
      <c r="Q188" s="141" t="n">
        <f aca="false">R188*Parâmetros!$C$12</f>
        <v>0</v>
      </c>
      <c r="R188" s="141" t="n">
        <f aca="false">C188*(Estacas!Q188+Estacas!Q189)/2</f>
        <v>0</v>
      </c>
      <c r="S188" s="141" t="n">
        <f aca="false">IF(LEFT(E188,3)="T09",C188*Parâmetros!$D$13*Parâmetros!$C$13,0)</f>
        <v>0</v>
      </c>
    </row>
    <row r="189" customFormat="false" ht="15" hidden="false" customHeight="false" outlineLevel="0" collapsed="false">
      <c r="A189" s="138" t="str">
        <f aca="false">Estacas!A189</f>
        <v>187+0,00</v>
      </c>
      <c r="B189" s="138" t="str">
        <f aca="false">Estacas!A190</f>
        <v>188+0,00</v>
      </c>
      <c r="C189" s="144" t="n">
        <f aca="false">Estacas!C190-Estacas!C189</f>
        <v>20</v>
      </c>
      <c r="D189" s="138" t="s">
        <v>1565</v>
      </c>
      <c r="E189" s="138" t="s">
        <v>1566</v>
      </c>
      <c r="F189" s="141" t="n">
        <f aca="false">Estacas!F189</f>
        <v>11</v>
      </c>
      <c r="G189" s="141" t="n">
        <f aca="false">Estacas!F190</f>
        <v>11</v>
      </c>
      <c r="H189" s="141" t="n">
        <f aca="false">C189*(Estacas!K189+Estacas!K190)/2</f>
        <v>11.05</v>
      </c>
      <c r="I189" s="141" t="n">
        <f aca="false">H189*Parâmetros!$C$14</f>
        <v>26.52</v>
      </c>
      <c r="J189" s="141" t="n">
        <f aca="false">C189*(Estacas!L189+Estacas!L190)/2</f>
        <v>36.352</v>
      </c>
      <c r="K189" s="141" t="n">
        <f aca="false">C189*(Estacas!M189+Estacas!M190)/2</f>
        <v>47.68</v>
      </c>
      <c r="L189" s="141" t="n">
        <f aca="false">C189*(Estacas!N189+Estacas!N190)/2</f>
        <v>75.72</v>
      </c>
      <c r="M189" s="141" t="n">
        <f aca="false">C189*(Estacas!O189+Estacas!O190)/2</f>
        <v>224</v>
      </c>
      <c r="N189" s="141" t="n">
        <f aca="false">C189*(Estacas!O189+Estacas!O190)/2</f>
        <v>224</v>
      </c>
      <c r="O189" s="141" t="n">
        <f aca="false">C189*(Estacas!P189+Estacas!P190)/2</f>
        <v>258.4</v>
      </c>
      <c r="P189" s="141" t="n">
        <f aca="false">R189*Parâmetros!$C$11</f>
        <v>0</v>
      </c>
      <c r="Q189" s="141" t="n">
        <f aca="false">R189*Parâmetros!$C$12</f>
        <v>0</v>
      </c>
      <c r="R189" s="141" t="n">
        <f aca="false">C189*(Estacas!Q189+Estacas!Q190)/2</f>
        <v>0</v>
      </c>
      <c r="S189" s="141" t="n">
        <f aca="false">IF(LEFT(E189,3)="T09",C189*Parâmetros!$D$13*Parâmetros!$C$13,0)</f>
        <v>0</v>
      </c>
    </row>
    <row r="190" customFormat="false" ht="15" hidden="false" customHeight="false" outlineLevel="0" collapsed="false">
      <c r="A190" s="138" t="str">
        <f aca="false">Estacas!A190</f>
        <v>188+0,00</v>
      </c>
      <c r="B190" s="138" t="str">
        <f aca="false">Estacas!A191</f>
        <v>189+0,00</v>
      </c>
      <c r="C190" s="144" t="n">
        <f aca="false">Estacas!C191-Estacas!C190</f>
        <v>20</v>
      </c>
      <c r="D190" s="138" t="s">
        <v>1565</v>
      </c>
      <c r="E190" s="138" t="s">
        <v>1566</v>
      </c>
      <c r="F190" s="141" t="n">
        <f aca="false">Estacas!F190</f>
        <v>11</v>
      </c>
      <c r="G190" s="141" t="n">
        <f aca="false">Estacas!F191</f>
        <v>11</v>
      </c>
      <c r="H190" s="141" t="n">
        <f aca="false">C190*(Estacas!K190+Estacas!K191)/2</f>
        <v>11.05</v>
      </c>
      <c r="I190" s="141" t="n">
        <f aca="false">H190*Parâmetros!$C$14</f>
        <v>26.52</v>
      </c>
      <c r="J190" s="141" t="n">
        <f aca="false">C190*(Estacas!L190+Estacas!L191)/2</f>
        <v>36.352</v>
      </c>
      <c r="K190" s="141" t="n">
        <f aca="false">C190*(Estacas!M190+Estacas!M191)/2</f>
        <v>47.68</v>
      </c>
      <c r="L190" s="141" t="n">
        <f aca="false">C190*(Estacas!N190+Estacas!N191)/2</f>
        <v>75.72</v>
      </c>
      <c r="M190" s="141" t="n">
        <f aca="false">C190*(Estacas!O190+Estacas!O191)/2</f>
        <v>224</v>
      </c>
      <c r="N190" s="141" t="n">
        <f aca="false">C190*(Estacas!O190+Estacas!O191)/2</f>
        <v>224</v>
      </c>
      <c r="O190" s="141" t="n">
        <f aca="false">C190*(Estacas!P190+Estacas!P191)/2</f>
        <v>258.4</v>
      </c>
      <c r="P190" s="141" t="n">
        <f aca="false">R190*Parâmetros!$C$11</f>
        <v>0</v>
      </c>
      <c r="Q190" s="141" t="n">
        <f aca="false">R190*Parâmetros!$C$12</f>
        <v>0</v>
      </c>
      <c r="R190" s="141" t="n">
        <f aca="false">C190*(Estacas!Q190+Estacas!Q191)/2</f>
        <v>0</v>
      </c>
      <c r="S190" s="141" t="n">
        <f aca="false">IF(LEFT(E190,3)="T09",C190*Parâmetros!$D$13*Parâmetros!$C$13,0)</f>
        <v>0</v>
      </c>
    </row>
    <row r="191" customFormat="false" ht="15" hidden="false" customHeight="false" outlineLevel="0" collapsed="false">
      <c r="A191" s="138" t="str">
        <f aca="false">Estacas!A191</f>
        <v>189+0,00</v>
      </c>
      <c r="B191" s="138" t="str">
        <f aca="false">Estacas!A192</f>
        <v>190+0,00</v>
      </c>
      <c r="C191" s="144" t="n">
        <f aca="false">Estacas!C192-Estacas!C191</f>
        <v>20</v>
      </c>
      <c r="D191" s="138" t="s">
        <v>1565</v>
      </c>
      <c r="E191" s="138" t="s">
        <v>1566</v>
      </c>
      <c r="F191" s="141" t="n">
        <f aca="false">Estacas!F191</f>
        <v>11</v>
      </c>
      <c r="G191" s="141" t="n">
        <f aca="false">Estacas!F192</f>
        <v>11</v>
      </c>
      <c r="H191" s="141" t="n">
        <f aca="false">C191*(Estacas!K191+Estacas!K192)/2</f>
        <v>11.05</v>
      </c>
      <c r="I191" s="141" t="n">
        <f aca="false">H191*Parâmetros!$C$14</f>
        <v>26.52</v>
      </c>
      <c r="J191" s="141" t="n">
        <f aca="false">C191*(Estacas!L191+Estacas!L192)/2</f>
        <v>36.352</v>
      </c>
      <c r="K191" s="141" t="n">
        <f aca="false">C191*(Estacas!M191+Estacas!M192)/2</f>
        <v>47.68</v>
      </c>
      <c r="L191" s="141" t="n">
        <f aca="false">C191*(Estacas!N191+Estacas!N192)/2</f>
        <v>75.72</v>
      </c>
      <c r="M191" s="141" t="n">
        <f aca="false">C191*(Estacas!O191+Estacas!O192)/2</f>
        <v>224</v>
      </c>
      <c r="N191" s="141" t="n">
        <f aca="false">C191*(Estacas!O191+Estacas!O192)/2</f>
        <v>224</v>
      </c>
      <c r="O191" s="141" t="n">
        <f aca="false">C191*(Estacas!P191+Estacas!P192)/2</f>
        <v>258.4</v>
      </c>
      <c r="P191" s="141" t="n">
        <f aca="false">R191*Parâmetros!$C$11</f>
        <v>0</v>
      </c>
      <c r="Q191" s="141" t="n">
        <f aca="false">R191*Parâmetros!$C$12</f>
        <v>0</v>
      </c>
      <c r="R191" s="141" t="n">
        <f aca="false">C191*(Estacas!Q191+Estacas!Q192)/2</f>
        <v>0</v>
      </c>
      <c r="S191" s="141" t="n">
        <f aca="false">IF(LEFT(E191,3)="T09",C191*Parâmetros!$D$13*Parâmetros!$C$13,0)</f>
        <v>0</v>
      </c>
    </row>
    <row r="192" customFormat="false" ht="15" hidden="false" customHeight="false" outlineLevel="0" collapsed="false">
      <c r="A192" s="138" t="str">
        <f aca="false">Estacas!A192</f>
        <v>190+0,00</v>
      </c>
      <c r="B192" s="138" t="str">
        <f aca="false">Estacas!A193</f>
        <v>191+0,00</v>
      </c>
      <c r="C192" s="144" t="n">
        <f aca="false">Estacas!C193-Estacas!C192</f>
        <v>20</v>
      </c>
      <c r="D192" s="138" t="s">
        <v>1565</v>
      </c>
      <c r="E192" s="138" t="s">
        <v>1566</v>
      </c>
      <c r="F192" s="141" t="n">
        <f aca="false">Estacas!F192</f>
        <v>11</v>
      </c>
      <c r="G192" s="141" t="n">
        <f aca="false">Estacas!F193</f>
        <v>11</v>
      </c>
      <c r="H192" s="141" t="n">
        <f aca="false">C192*(Estacas!K192+Estacas!K193)/2</f>
        <v>11.05</v>
      </c>
      <c r="I192" s="141" t="n">
        <f aca="false">H192*Parâmetros!$C$14</f>
        <v>26.52</v>
      </c>
      <c r="J192" s="141" t="n">
        <f aca="false">C192*(Estacas!L192+Estacas!L193)/2</f>
        <v>36.352</v>
      </c>
      <c r="K192" s="141" t="n">
        <f aca="false">C192*(Estacas!M192+Estacas!M193)/2</f>
        <v>47.68</v>
      </c>
      <c r="L192" s="141" t="n">
        <f aca="false">C192*(Estacas!N192+Estacas!N193)/2</f>
        <v>75.72</v>
      </c>
      <c r="M192" s="141" t="n">
        <f aca="false">C192*(Estacas!O192+Estacas!O193)/2</f>
        <v>224</v>
      </c>
      <c r="N192" s="141" t="n">
        <f aca="false">C192*(Estacas!O192+Estacas!O193)/2</f>
        <v>224</v>
      </c>
      <c r="O192" s="141" t="n">
        <f aca="false">C192*(Estacas!P192+Estacas!P193)/2</f>
        <v>258.4</v>
      </c>
      <c r="P192" s="141" t="n">
        <f aca="false">R192*Parâmetros!$C$11</f>
        <v>0</v>
      </c>
      <c r="Q192" s="141" t="n">
        <f aca="false">R192*Parâmetros!$C$12</f>
        <v>0</v>
      </c>
      <c r="R192" s="141" t="n">
        <f aca="false">C192*(Estacas!Q192+Estacas!Q193)/2</f>
        <v>0</v>
      </c>
      <c r="S192" s="141" t="n">
        <f aca="false">IF(LEFT(E192,3)="T09",C192*Parâmetros!$D$13*Parâmetros!$C$13,0)</f>
        <v>0</v>
      </c>
    </row>
    <row r="193" customFormat="false" ht="15" hidden="false" customHeight="false" outlineLevel="0" collapsed="false">
      <c r="A193" s="138" t="str">
        <f aca="false">Estacas!A193</f>
        <v>191+0,00</v>
      </c>
      <c r="B193" s="138" t="str">
        <f aca="false">Estacas!A194</f>
        <v>192+0,00</v>
      </c>
      <c r="C193" s="144" t="n">
        <f aca="false">Estacas!C194-Estacas!C193</f>
        <v>20</v>
      </c>
      <c r="D193" s="138" t="s">
        <v>1565</v>
      </c>
      <c r="E193" s="138" t="s">
        <v>1566</v>
      </c>
      <c r="F193" s="141" t="n">
        <f aca="false">Estacas!F193</f>
        <v>11</v>
      </c>
      <c r="G193" s="141" t="n">
        <f aca="false">Estacas!F194</f>
        <v>11</v>
      </c>
      <c r="H193" s="141" t="n">
        <f aca="false">C193*(Estacas!K193+Estacas!K194)/2</f>
        <v>11.05</v>
      </c>
      <c r="I193" s="141" t="n">
        <f aca="false">H193*Parâmetros!$C$14</f>
        <v>26.52</v>
      </c>
      <c r="J193" s="141" t="n">
        <f aca="false">C193*(Estacas!L193+Estacas!L194)/2</f>
        <v>36.352</v>
      </c>
      <c r="K193" s="141" t="n">
        <f aca="false">C193*(Estacas!M193+Estacas!M194)/2</f>
        <v>47.68</v>
      </c>
      <c r="L193" s="141" t="n">
        <f aca="false">C193*(Estacas!N193+Estacas!N194)/2</f>
        <v>75.72</v>
      </c>
      <c r="M193" s="141" t="n">
        <f aca="false">C193*(Estacas!O193+Estacas!O194)/2</f>
        <v>224</v>
      </c>
      <c r="N193" s="141" t="n">
        <f aca="false">C193*(Estacas!O193+Estacas!O194)/2</f>
        <v>224</v>
      </c>
      <c r="O193" s="141" t="n">
        <f aca="false">C193*(Estacas!P193+Estacas!P194)/2</f>
        <v>258.4</v>
      </c>
      <c r="P193" s="141" t="n">
        <f aca="false">R193*Parâmetros!$C$11</f>
        <v>0</v>
      </c>
      <c r="Q193" s="141" t="n">
        <f aca="false">R193*Parâmetros!$C$12</f>
        <v>0</v>
      </c>
      <c r="R193" s="141" t="n">
        <f aca="false">C193*(Estacas!Q193+Estacas!Q194)/2</f>
        <v>0</v>
      </c>
      <c r="S193" s="141" t="n">
        <f aca="false">IF(LEFT(E193,3)="T09",C193*Parâmetros!$D$13*Parâmetros!$C$13,0)</f>
        <v>0</v>
      </c>
    </row>
    <row r="194" customFormat="false" ht="15" hidden="false" customHeight="false" outlineLevel="0" collapsed="false">
      <c r="A194" s="138" t="str">
        <f aca="false">Estacas!A194</f>
        <v>192+0,00</v>
      </c>
      <c r="B194" s="138" t="str">
        <f aca="false">Estacas!A195</f>
        <v>193+0,00</v>
      </c>
      <c r="C194" s="144" t="n">
        <f aca="false">Estacas!C195-Estacas!C194</f>
        <v>20</v>
      </c>
      <c r="D194" s="138" t="s">
        <v>1565</v>
      </c>
      <c r="E194" s="138" t="s">
        <v>1566</v>
      </c>
      <c r="F194" s="141" t="n">
        <f aca="false">Estacas!F194</f>
        <v>11</v>
      </c>
      <c r="G194" s="141" t="n">
        <f aca="false">Estacas!F195</f>
        <v>11</v>
      </c>
      <c r="H194" s="141" t="n">
        <f aca="false">C194*(Estacas!K194+Estacas!K195)/2</f>
        <v>11.05</v>
      </c>
      <c r="I194" s="141" t="n">
        <f aca="false">H194*Parâmetros!$C$14</f>
        <v>26.52</v>
      </c>
      <c r="J194" s="141" t="n">
        <f aca="false">C194*(Estacas!L194+Estacas!L195)/2</f>
        <v>36.352</v>
      </c>
      <c r="K194" s="141" t="n">
        <f aca="false">C194*(Estacas!M194+Estacas!M195)/2</f>
        <v>47.68</v>
      </c>
      <c r="L194" s="141" t="n">
        <f aca="false">C194*(Estacas!N194+Estacas!N195)/2</f>
        <v>75.72</v>
      </c>
      <c r="M194" s="141" t="n">
        <f aca="false">C194*(Estacas!O194+Estacas!O195)/2</f>
        <v>224</v>
      </c>
      <c r="N194" s="141" t="n">
        <f aca="false">C194*(Estacas!O194+Estacas!O195)/2</f>
        <v>224</v>
      </c>
      <c r="O194" s="141" t="n">
        <f aca="false">C194*(Estacas!P194+Estacas!P195)/2</f>
        <v>258.4</v>
      </c>
      <c r="P194" s="141" t="n">
        <f aca="false">R194*Parâmetros!$C$11</f>
        <v>0</v>
      </c>
      <c r="Q194" s="141" t="n">
        <f aca="false">R194*Parâmetros!$C$12</f>
        <v>0</v>
      </c>
      <c r="R194" s="141" t="n">
        <f aca="false">C194*(Estacas!Q194+Estacas!Q195)/2</f>
        <v>0</v>
      </c>
      <c r="S194" s="141" t="n">
        <f aca="false">IF(LEFT(E194,3)="T09",C194*Parâmetros!$D$13*Parâmetros!$C$13,0)</f>
        <v>0</v>
      </c>
    </row>
    <row r="195" customFormat="false" ht="15" hidden="false" customHeight="false" outlineLevel="0" collapsed="false">
      <c r="A195" s="138" t="str">
        <f aca="false">Estacas!A195</f>
        <v>193+0,00</v>
      </c>
      <c r="B195" s="138" t="str">
        <f aca="false">Estacas!A196</f>
        <v>194+0,00</v>
      </c>
      <c r="C195" s="144" t="n">
        <f aca="false">Estacas!C196-Estacas!C195</f>
        <v>20</v>
      </c>
      <c r="D195" s="138" t="s">
        <v>1565</v>
      </c>
      <c r="E195" s="138" t="s">
        <v>1566</v>
      </c>
      <c r="F195" s="141" t="n">
        <f aca="false">Estacas!F195</f>
        <v>11</v>
      </c>
      <c r="G195" s="141" t="n">
        <f aca="false">Estacas!F196</f>
        <v>11</v>
      </c>
      <c r="H195" s="141" t="n">
        <f aca="false">C195*(Estacas!K195+Estacas!K196)/2</f>
        <v>11.05</v>
      </c>
      <c r="I195" s="141" t="n">
        <f aca="false">H195*Parâmetros!$C$14</f>
        <v>26.52</v>
      </c>
      <c r="J195" s="141" t="n">
        <f aca="false">C195*(Estacas!L195+Estacas!L196)/2</f>
        <v>36.352</v>
      </c>
      <c r="K195" s="141" t="n">
        <f aca="false">C195*(Estacas!M195+Estacas!M196)/2</f>
        <v>47.68</v>
      </c>
      <c r="L195" s="141" t="n">
        <f aca="false">C195*(Estacas!N195+Estacas!N196)/2</f>
        <v>75.72</v>
      </c>
      <c r="M195" s="141" t="n">
        <f aca="false">C195*(Estacas!O195+Estacas!O196)/2</f>
        <v>224</v>
      </c>
      <c r="N195" s="141" t="n">
        <f aca="false">C195*(Estacas!O195+Estacas!O196)/2</f>
        <v>224</v>
      </c>
      <c r="O195" s="141" t="n">
        <f aca="false">C195*(Estacas!P195+Estacas!P196)/2</f>
        <v>258.4</v>
      </c>
      <c r="P195" s="141" t="n">
        <f aca="false">R195*Parâmetros!$C$11</f>
        <v>0</v>
      </c>
      <c r="Q195" s="141" t="n">
        <f aca="false">R195*Parâmetros!$C$12</f>
        <v>0</v>
      </c>
      <c r="R195" s="141" t="n">
        <f aca="false">C195*(Estacas!Q195+Estacas!Q196)/2</f>
        <v>0</v>
      </c>
      <c r="S195" s="141" t="n">
        <f aca="false">IF(LEFT(E195,3)="T09",C195*Parâmetros!$D$13*Parâmetros!$C$13,0)</f>
        <v>0</v>
      </c>
    </row>
    <row r="196" customFormat="false" ht="15" hidden="false" customHeight="false" outlineLevel="0" collapsed="false">
      <c r="A196" s="138" t="str">
        <f aca="false">Estacas!A196</f>
        <v>194+0,00</v>
      </c>
      <c r="B196" s="138" t="str">
        <f aca="false">Estacas!A197</f>
        <v>195+0,00</v>
      </c>
      <c r="C196" s="144" t="n">
        <f aca="false">Estacas!C197-Estacas!C196</f>
        <v>20</v>
      </c>
      <c r="D196" s="138" t="s">
        <v>1565</v>
      </c>
      <c r="E196" s="138" t="s">
        <v>1566</v>
      </c>
      <c r="F196" s="141" t="n">
        <f aca="false">Estacas!F196</f>
        <v>11</v>
      </c>
      <c r="G196" s="141" t="n">
        <f aca="false">Estacas!F197</f>
        <v>11</v>
      </c>
      <c r="H196" s="141" t="n">
        <f aca="false">C196*(Estacas!K196+Estacas!K197)/2</f>
        <v>11.05</v>
      </c>
      <c r="I196" s="141" t="n">
        <f aca="false">H196*Parâmetros!$C$14</f>
        <v>26.52</v>
      </c>
      <c r="J196" s="141" t="n">
        <f aca="false">C196*(Estacas!L196+Estacas!L197)/2</f>
        <v>36.352</v>
      </c>
      <c r="K196" s="141" t="n">
        <f aca="false">C196*(Estacas!M196+Estacas!M197)/2</f>
        <v>47.68</v>
      </c>
      <c r="L196" s="141" t="n">
        <f aca="false">C196*(Estacas!N196+Estacas!N197)/2</f>
        <v>75.72</v>
      </c>
      <c r="M196" s="141" t="n">
        <f aca="false">C196*(Estacas!O196+Estacas!O197)/2</f>
        <v>224</v>
      </c>
      <c r="N196" s="141" t="n">
        <f aca="false">C196*(Estacas!O196+Estacas!O197)/2</f>
        <v>224</v>
      </c>
      <c r="O196" s="141" t="n">
        <f aca="false">C196*(Estacas!P196+Estacas!P197)/2</f>
        <v>258.4</v>
      </c>
      <c r="P196" s="141" t="n">
        <f aca="false">R196*Parâmetros!$C$11</f>
        <v>0</v>
      </c>
      <c r="Q196" s="141" t="n">
        <f aca="false">R196*Parâmetros!$C$12</f>
        <v>0</v>
      </c>
      <c r="R196" s="141" t="n">
        <f aca="false">C196*(Estacas!Q196+Estacas!Q197)/2</f>
        <v>0</v>
      </c>
      <c r="S196" s="141" t="n">
        <f aca="false">IF(LEFT(E196,3)="T09",C196*Parâmetros!$D$13*Parâmetros!$C$13,0)</f>
        <v>0</v>
      </c>
    </row>
    <row r="197" customFormat="false" ht="15" hidden="false" customHeight="false" outlineLevel="0" collapsed="false">
      <c r="A197" s="138" t="str">
        <f aca="false">Estacas!A197</f>
        <v>195+0,00</v>
      </c>
      <c r="B197" s="138" t="str">
        <f aca="false">Estacas!A198</f>
        <v>196+0,00</v>
      </c>
      <c r="C197" s="144" t="n">
        <f aca="false">Estacas!C198-Estacas!C197</f>
        <v>20</v>
      </c>
      <c r="D197" s="138" t="s">
        <v>1565</v>
      </c>
      <c r="E197" s="138" t="s">
        <v>1566</v>
      </c>
      <c r="F197" s="141" t="n">
        <f aca="false">Estacas!F197</f>
        <v>11</v>
      </c>
      <c r="G197" s="141" t="n">
        <f aca="false">Estacas!F198</f>
        <v>11</v>
      </c>
      <c r="H197" s="141" t="n">
        <f aca="false">C197*(Estacas!K197+Estacas!K198)/2</f>
        <v>11.05</v>
      </c>
      <c r="I197" s="141" t="n">
        <f aca="false">H197*Parâmetros!$C$14</f>
        <v>26.52</v>
      </c>
      <c r="J197" s="141" t="n">
        <f aca="false">C197*(Estacas!L197+Estacas!L198)/2</f>
        <v>36.352</v>
      </c>
      <c r="K197" s="141" t="n">
        <f aca="false">C197*(Estacas!M197+Estacas!M198)/2</f>
        <v>47.68</v>
      </c>
      <c r="L197" s="141" t="n">
        <f aca="false">C197*(Estacas!N197+Estacas!N198)/2</f>
        <v>75.72</v>
      </c>
      <c r="M197" s="141" t="n">
        <f aca="false">C197*(Estacas!O197+Estacas!O198)/2</f>
        <v>224</v>
      </c>
      <c r="N197" s="141" t="n">
        <f aca="false">C197*(Estacas!O197+Estacas!O198)/2</f>
        <v>224</v>
      </c>
      <c r="O197" s="141" t="n">
        <f aca="false">C197*(Estacas!P197+Estacas!P198)/2</f>
        <v>258.4</v>
      </c>
      <c r="P197" s="141" t="n">
        <f aca="false">R197*Parâmetros!$C$11</f>
        <v>0</v>
      </c>
      <c r="Q197" s="141" t="n">
        <f aca="false">R197*Parâmetros!$C$12</f>
        <v>0</v>
      </c>
      <c r="R197" s="141" t="n">
        <f aca="false">C197*(Estacas!Q197+Estacas!Q198)/2</f>
        <v>0</v>
      </c>
      <c r="S197" s="141" t="n">
        <f aca="false">IF(LEFT(E197,3)="T09",C197*Parâmetros!$D$13*Parâmetros!$C$13,0)</f>
        <v>0</v>
      </c>
    </row>
    <row r="198" customFormat="false" ht="15" hidden="false" customHeight="false" outlineLevel="0" collapsed="false">
      <c r="A198" s="138" t="str">
        <f aca="false">Estacas!A198</f>
        <v>196+0,00</v>
      </c>
      <c r="B198" s="138" t="str">
        <f aca="false">Estacas!A199</f>
        <v>197+0,00</v>
      </c>
      <c r="C198" s="144" t="n">
        <f aca="false">Estacas!C199-Estacas!C198</f>
        <v>20</v>
      </c>
      <c r="D198" s="138" t="s">
        <v>1565</v>
      </c>
      <c r="E198" s="138" t="s">
        <v>1566</v>
      </c>
      <c r="F198" s="141" t="n">
        <f aca="false">Estacas!F198</f>
        <v>11</v>
      </c>
      <c r="G198" s="141" t="n">
        <f aca="false">Estacas!F199</f>
        <v>11</v>
      </c>
      <c r="H198" s="141" t="n">
        <f aca="false">C198*(Estacas!K198+Estacas!K199)/2</f>
        <v>11.05</v>
      </c>
      <c r="I198" s="141" t="n">
        <f aca="false">H198*Parâmetros!$C$14</f>
        <v>26.52</v>
      </c>
      <c r="J198" s="141" t="n">
        <f aca="false">C198*(Estacas!L198+Estacas!L199)/2</f>
        <v>36.352</v>
      </c>
      <c r="K198" s="141" t="n">
        <f aca="false">C198*(Estacas!M198+Estacas!M199)/2</f>
        <v>47.68</v>
      </c>
      <c r="L198" s="141" t="n">
        <f aca="false">C198*(Estacas!N198+Estacas!N199)/2</f>
        <v>75.72</v>
      </c>
      <c r="M198" s="141" t="n">
        <f aca="false">C198*(Estacas!O198+Estacas!O199)/2</f>
        <v>224</v>
      </c>
      <c r="N198" s="141" t="n">
        <f aca="false">C198*(Estacas!O198+Estacas!O199)/2</f>
        <v>224</v>
      </c>
      <c r="O198" s="141" t="n">
        <f aca="false">C198*(Estacas!P198+Estacas!P199)/2</f>
        <v>258.4</v>
      </c>
      <c r="P198" s="141" t="n">
        <f aca="false">R198*Parâmetros!$C$11</f>
        <v>0</v>
      </c>
      <c r="Q198" s="141" t="n">
        <f aca="false">R198*Parâmetros!$C$12</f>
        <v>0</v>
      </c>
      <c r="R198" s="141" t="n">
        <f aca="false">C198*(Estacas!Q198+Estacas!Q199)/2</f>
        <v>0</v>
      </c>
      <c r="S198" s="141" t="n">
        <f aca="false">IF(LEFT(E198,3)="T09",C198*Parâmetros!$D$13*Parâmetros!$C$13,0)</f>
        <v>0</v>
      </c>
    </row>
    <row r="199" customFormat="false" ht="15" hidden="false" customHeight="false" outlineLevel="0" collapsed="false">
      <c r="A199" s="138" t="str">
        <f aca="false">Estacas!A199</f>
        <v>197+0,00</v>
      </c>
      <c r="B199" s="138" t="str">
        <f aca="false">Estacas!A200</f>
        <v>198+0,00</v>
      </c>
      <c r="C199" s="144" t="n">
        <f aca="false">Estacas!C200-Estacas!C199</f>
        <v>20</v>
      </c>
      <c r="D199" s="138" t="s">
        <v>1565</v>
      </c>
      <c r="E199" s="138" t="s">
        <v>1566</v>
      </c>
      <c r="F199" s="141" t="n">
        <f aca="false">Estacas!F199</f>
        <v>11</v>
      </c>
      <c r="G199" s="141" t="n">
        <f aca="false">Estacas!F200</f>
        <v>11</v>
      </c>
      <c r="H199" s="141" t="n">
        <f aca="false">C199*(Estacas!K199+Estacas!K200)/2</f>
        <v>11.05</v>
      </c>
      <c r="I199" s="141" t="n">
        <f aca="false">H199*Parâmetros!$C$14</f>
        <v>26.52</v>
      </c>
      <c r="J199" s="141" t="n">
        <f aca="false">C199*(Estacas!L199+Estacas!L200)/2</f>
        <v>36.352</v>
      </c>
      <c r="K199" s="141" t="n">
        <f aca="false">C199*(Estacas!M199+Estacas!M200)/2</f>
        <v>47.68</v>
      </c>
      <c r="L199" s="141" t="n">
        <f aca="false">C199*(Estacas!N199+Estacas!N200)/2</f>
        <v>75.72</v>
      </c>
      <c r="M199" s="141" t="n">
        <f aca="false">C199*(Estacas!O199+Estacas!O200)/2</f>
        <v>224</v>
      </c>
      <c r="N199" s="141" t="n">
        <f aca="false">C199*(Estacas!O199+Estacas!O200)/2</f>
        <v>224</v>
      </c>
      <c r="O199" s="141" t="n">
        <f aca="false">C199*(Estacas!P199+Estacas!P200)/2</f>
        <v>258.4</v>
      </c>
      <c r="P199" s="141" t="n">
        <f aca="false">R199*Parâmetros!$C$11</f>
        <v>0</v>
      </c>
      <c r="Q199" s="141" t="n">
        <f aca="false">R199*Parâmetros!$C$12</f>
        <v>0</v>
      </c>
      <c r="R199" s="141" t="n">
        <f aca="false">C199*(Estacas!Q199+Estacas!Q200)/2</f>
        <v>0</v>
      </c>
      <c r="S199" s="141" t="n">
        <f aca="false">IF(LEFT(E199,3)="T09",C199*Parâmetros!$D$13*Parâmetros!$C$13,0)</f>
        <v>0</v>
      </c>
    </row>
    <row r="200" customFormat="false" ht="15" hidden="false" customHeight="false" outlineLevel="0" collapsed="false">
      <c r="A200" s="138" t="str">
        <f aca="false">Estacas!A200</f>
        <v>198+0,00</v>
      </c>
      <c r="B200" s="138" t="str">
        <f aca="false">Estacas!A201</f>
        <v>199+0,00</v>
      </c>
      <c r="C200" s="144" t="n">
        <f aca="false">Estacas!C201-Estacas!C200</f>
        <v>20</v>
      </c>
      <c r="D200" s="138" t="s">
        <v>1565</v>
      </c>
      <c r="E200" s="138" t="s">
        <v>1566</v>
      </c>
      <c r="F200" s="141" t="n">
        <f aca="false">Estacas!F200</f>
        <v>11</v>
      </c>
      <c r="G200" s="141" t="n">
        <f aca="false">Estacas!F201</f>
        <v>11</v>
      </c>
      <c r="H200" s="141" t="n">
        <f aca="false">C200*(Estacas!K200+Estacas!K201)/2</f>
        <v>11.05</v>
      </c>
      <c r="I200" s="141" t="n">
        <f aca="false">H200*Parâmetros!$C$14</f>
        <v>26.52</v>
      </c>
      <c r="J200" s="141" t="n">
        <f aca="false">C200*(Estacas!L200+Estacas!L201)/2</f>
        <v>36.352</v>
      </c>
      <c r="K200" s="141" t="n">
        <f aca="false">C200*(Estacas!M200+Estacas!M201)/2</f>
        <v>47.68</v>
      </c>
      <c r="L200" s="141" t="n">
        <f aca="false">C200*(Estacas!N200+Estacas!N201)/2</f>
        <v>75.72</v>
      </c>
      <c r="M200" s="141" t="n">
        <f aca="false">C200*(Estacas!O200+Estacas!O201)/2</f>
        <v>224</v>
      </c>
      <c r="N200" s="141" t="n">
        <f aca="false">C200*(Estacas!O200+Estacas!O201)/2</f>
        <v>224</v>
      </c>
      <c r="O200" s="141" t="n">
        <f aca="false">C200*(Estacas!P200+Estacas!P201)/2</f>
        <v>258.4</v>
      </c>
      <c r="P200" s="141" t="n">
        <f aca="false">R200*Parâmetros!$C$11</f>
        <v>0</v>
      </c>
      <c r="Q200" s="141" t="n">
        <f aca="false">R200*Parâmetros!$C$12</f>
        <v>0</v>
      </c>
      <c r="R200" s="141" t="n">
        <f aca="false">C200*(Estacas!Q200+Estacas!Q201)/2</f>
        <v>0</v>
      </c>
      <c r="S200" s="141" t="n">
        <f aca="false">IF(LEFT(E200,3)="T09",C200*Parâmetros!$D$13*Parâmetros!$C$13,0)</f>
        <v>0</v>
      </c>
    </row>
    <row r="201" customFormat="false" ht="15" hidden="false" customHeight="false" outlineLevel="0" collapsed="false">
      <c r="A201" s="138" t="str">
        <f aca="false">Estacas!A201</f>
        <v>199+0,00</v>
      </c>
      <c r="B201" s="138" t="str">
        <f aca="false">Estacas!A202</f>
        <v>200+0,00</v>
      </c>
      <c r="C201" s="144" t="n">
        <f aca="false">Estacas!C202-Estacas!C201</f>
        <v>20</v>
      </c>
      <c r="D201" s="138" t="s">
        <v>1565</v>
      </c>
      <c r="E201" s="138" t="s">
        <v>1566</v>
      </c>
      <c r="F201" s="141" t="n">
        <f aca="false">Estacas!F201</f>
        <v>11</v>
      </c>
      <c r="G201" s="141" t="n">
        <f aca="false">Estacas!F202</f>
        <v>11</v>
      </c>
      <c r="H201" s="141" t="n">
        <f aca="false">C201*(Estacas!K201+Estacas!K202)/2</f>
        <v>11.05</v>
      </c>
      <c r="I201" s="141" t="n">
        <f aca="false">H201*Parâmetros!$C$14</f>
        <v>26.52</v>
      </c>
      <c r="J201" s="141" t="n">
        <f aca="false">C201*(Estacas!L201+Estacas!L202)/2</f>
        <v>36.352</v>
      </c>
      <c r="K201" s="141" t="n">
        <f aca="false">C201*(Estacas!M201+Estacas!M202)/2</f>
        <v>47.68</v>
      </c>
      <c r="L201" s="141" t="n">
        <f aca="false">C201*(Estacas!N201+Estacas!N202)/2</f>
        <v>75.72</v>
      </c>
      <c r="M201" s="141" t="n">
        <f aca="false">C201*(Estacas!O201+Estacas!O202)/2</f>
        <v>224</v>
      </c>
      <c r="N201" s="141" t="n">
        <f aca="false">C201*(Estacas!O201+Estacas!O202)/2</f>
        <v>224</v>
      </c>
      <c r="O201" s="141" t="n">
        <f aca="false">C201*(Estacas!P201+Estacas!P202)/2</f>
        <v>258.4</v>
      </c>
      <c r="P201" s="141" t="n">
        <f aca="false">R201*Parâmetros!$C$11</f>
        <v>0</v>
      </c>
      <c r="Q201" s="141" t="n">
        <f aca="false">R201*Parâmetros!$C$12</f>
        <v>0</v>
      </c>
      <c r="R201" s="141" t="n">
        <f aca="false">C201*(Estacas!Q201+Estacas!Q202)/2</f>
        <v>0</v>
      </c>
      <c r="S201" s="141" t="n">
        <f aca="false">IF(LEFT(E201,3)="T09",C201*Parâmetros!$D$13*Parâmetros!$C$13,0)</f>
        <v>0</v>
      </c>
    </row>
    <row r="202" customFormat="false" ht="15" hidden="false" customHeight="false" outlineLevel="0" collapsed="false">
      <c r="A202" s="138" t="str">
        <f aca="false">Estacas!A202</f>
        <v>200+0,00</v>
      </c>
      <c r="B202" s="138" t="str">
        <f aca="false">Estacas!A203</f>
        <v>201+0,00</v>
      </c>
      <c r="C202" s="144" t="n">
        <f aca="false">Estacas!C203-Estacas!C202</f>
        <v>20</v>
      </c>
      <c r="D202" s="138" t="s">
        <v>1565</v>
      </c>
      <c r="E202" s="138" t="s">
        <v>1566</v>
      </c>
      <c r="F202" s="141" t="n">
        <f aca="false">Estacas!F202</f>
        <v>11</v>
      </c>
      <c r="G202" s="141" t="n">
        <f aca="false">Estacas!F203</f>
        <v>11</v>
      </c>
      <c r="H202" s="141" t="n">
        <f aca="false">C202*(Estacas!K202+Estacas!K203)/2</f>
        <v>11.05</v>
      </c>
      <c r="I202" s="141" t="n">
        <f aca="false">H202*Parâmetros!$C$14</f>
        <v>26.52</v>
      </c>
      <c r="J202" s="141" t="n">
        <f aca="false">C202*(Estacas!L202+Estacas!L203)/2</f>
        <v>36.352</v>
      </c>
      <c r="K202" s="141" t="n">
        <f aca="false">C202*(Estacas!M202+Estacas!M203)/2</f>
        <v>47.68</v>
      </c>
      <c r="L202" s="141" t="n">
        <f aca="false">C202*(Estacas!N202+Estacas!N203)/2</f>
        <v>75.72</v>
      </c>
      <c r="M202" s="141" t="n">
        <f aca="false">C202*(Estacas!O202+Estacas!O203)/2</f>
        <v>224</v>
      </c>
      <c r="N202" s="141" t="n">
        <f aca="false">C202*(Estacas!O202+Estacas!O203)/2</f>
        <v>224</v>
      </c>
      <c r="O202" s="141" t="n">
        <f aca="false">C202*(Estacas!P202+Estacas!P203)/2</f>
        <v>258.4</v>
      </c>
      <c r="P202" s="141" t="n">
        <f aca="false">R202*Parâmetros!$C$11</f>
        <v>0</v>
      </c>
      <c r="Q202" s="141" t="n">
        <f aca="false">R202*Parâmetros!$C$12</f>
        <v>0</v>
      </c>
      <c r="R202" s="141" t="n">
        <f aca="false">C202*(Estacas!Q202+Estacas!Q203)/2</f>
        <v>0</v>
      </c>
      <c r="S202" s="141" t="n">
        <f aca="false">IF(LEFT(E202,3)="T09",C202*Parâmetros!$D$13*Parâmetros!$C$13,0)</f>
        <v>0</v>
      </c>
    </row>
    <row r="203" customFormat="false" ht="15" hidden="false" customHeight="false" outlineLevel="0" collapsed="false">
      <c r="A203" s="138" t="str">
        <f aca="false">Estacas!A203</f>
        <v>201+0,00</v>
      </c>
      <c r="B203" s="138" t="str">
        <f aca="false">Estacas!A204</f>
        <v>202+0,00</v>
      </c>
      <c r="C203" s="144" t="n">
        <f aca="false">Estacas!C204-Estacas!C203</f>
        <v>20</v>
      </c>
      <c r="D203" s="138" t="s">
        <v>1565</v>
      </c>
      <c r="E203" s="138" t="s">
        <v>1566</v>
      </c>
      <c r="F203" s="141" t="n">
        <f aca="false">Estacas!F203</f>
        <v>11</v>
      </c>
      <c r="G203" s="141" t="n">
        <f aca="false">Estacas!F204</f>
        <v>11</v>
      </c>
      <c r="H203" s="141" t="n">
        <f aca="false">C203*(Estacas!K203+Estacas!K204)/2</f>
        <v>11.05</v>
      </c>
      <c r="I203" s="141" t="n">
        <f aca="false">H203*Parâmetros!$C$14</f>
        <v>26.52</v>
      </c>
      <c r="J203" s="141" t="n">
        <f aca="false">C203*(Estacas!L203+Estacas!L204)/2</f>
        <v>36.352</v>
      </c>
      <c r="K203" s="141" t="n">
        <f aca="false">C203*(Estacas!M203+Estacas!M204)/2</f>
        <v>47.68</v>
      </c>
      <c r="L203" s="141" t="n">
        <f aca="false">C203*(Estacas!N203+Estacas!N204)/2</f>
        <v>75.72</v>
      </c>
      <c r="M203" s="141" t="n">
        <f aca="false">C203*(Estacas!O203+Estacas!O204)/2</f>
        <v>224</v>
      </c>
      <c r="N203" s="141" t="n">
        <f aca="false">C203*(Estacas!O203+Estacas!O204)/2</f>
        <v>224</v>
      </c>
      <c r="O203" s="141" t="n">
        <f aca="false">C203*(Estacas!P203+Estacas!P204)/2</f>
        <v>258.4</v>
      </c>
      <c r="P203" s="141" t="n">
        <f aca="false">R203*Parâmetros!$C$11</f>
        <v>0</v>
      </c>
      <c r="Q203" s="141" t="n">
        <f aca="false">R203*Parâmetros!$C$12</f>
        <v>0</v>
      </c>
      <c r="R203" s="141" t="n">
        <f aca="false">C203*(Estacas!Q203+Estacas!Q204)/2</f>
        <v>0</v>
      </c>
      <c r="S203" s="141" t="n">
        <f aca="false">IF(LEFT(E203,3)="T09",C203*Parâmetros!$D$13*Parâmetros!$C$13,0)</f>
        <v>0</v>
      </c>
    </row>
    <row r="204" customFormat="false" ht="15" hidden="false" customHeight="false" outlineLevel="0" collapsed="false">
      <c r="A204" s="138" t="str">
        <f aca="false">Estacas!A204</f>
        <v>202+0,00</v>
      </c>
      <c r="B204" s="138" t="str">
        <f aca="false">Estacas!A205</f>
        <v>203+0,00</v>
      </c>
      <c r="C204" s="144" t="n">
        <f aca="false">Estacas!C205-Estacas!C204</f>
        <v>20</v>
      </c>
      <c r="D204" s="138" t="s">
        <v>1565</v>
      </c>
      <c r="E204" s="138" t="s">
        <v>1566</v>
      </c>
      <c r="F204" s="141" t="n">
        <f aca="false">Estacas!F204</f>
        <v>11</v>
      </c>
      <c r="G204" s="141" t="n">
        <f aca="false">Estacas!F205</f>
        <v>11</v>
      </c>
      <c r="H204" s="141" t="n">
        <f aca="false">C204*(Estacas!K204+Estacas!K205)/2</f>
        <v>11.05</v>
      </c>
      <c r="I204" s="141" t="n">
        <f aca="false">H204*Parâmetros!$C$14</f>
        <v>26.52</v>
      </c>
      <c r="J204" s="141" t="n">
        <f aca="false">C204*(Estacas!L204+Estacas!L205)/2</f>
        <v>36.352</v>
      </c>
      <c r="K204" s="141" t="n">
        <f aca="false">C204*(Estacas!M204+Estacas!M205)/2</f>
        <v>47.68</v>
      </c>
      <c r="L204" s="141" t="n">
        <f aca="false">C204*(Estacas!N204+Estacas!N205)/2</f>
        <v>75.72</v>
      </c>
      <c r="M204" s="141" t="n">
        <f aca="false">C204*(Estacas!O204+Estacas!O205)/2</f>
        <v>224</v>
      </c>
      <c r="N204" s="141" t="n">
        <f aca="false">C204*(Estacas!O204+Estacas!O205)/2</f>
        <v>224</v>
      </c>
      <c r="O204" s="141" t="n">
        <f aca="false">C204*(Estacas!P204+Estacas!P205)/2</f>
        <v>258.4</v>
      </c>
      <c r="P204" s="141" t="n">
        <f aca="false">R204*Parâmetros!$C$11</f>
        <v>0</v>
      </c>
      <c r="Q204" s="141" t="n">
        <f aca="false">R204*Parâmetros!$C$12</f>
        <v>0</v>
      </c>
      <c r="R204" s="141" t="n">
        <f aca="false">C204*(Estacas!Q204+Estacas!Q205)/2</f>
        <v>0</v>
      </c>
      <c r="S204" s="141" t="n">
        <f aca="false">IF(LEFT(E204,3)="T09",C204*Parâmetros!$D$13*Parâmetros!$C$13,0)</f>
        <v>0</v>
      </c>
    </row>
    <row r="205" customFormat="false" ht="15" hidden="false" customHeight="false" outlineLevel="0" collapsed="false">
      <c r="A205" s="138" t="str">
        <f aca="false">Estacas!A205</f>
        <v>203+0,00</v>
      </c>
      <c r="B205" s="138" t="str">
        <f aca="false">Estacas!A206</f>
        <v>204+0,00</v>
      </c>
      <c r="C205" s="144" t="n">
        <f aca="false">Estacas!C206-Estacas!C205</f>
        <v>20</v>
      </c>
      <c r="D205" s="138" t="s">
        <v>1565</v>
      </c>
      <c r="E205" s="138" t="s">
        <v>1566</v>
      </c>
      <c r="F205" s="141" t="n">
        <f aca="false">Estacas!F205</f>
        <v>11</v>
      </c>
      <c r="G205" s="141" t="n">
        <f aca="false">Estacas!F206</f>
        <v>11</v>
      </c>
      <c r="H205" s="141" t="n">
        <f aca="false">C205*(Estacas!K205+Estacas!K206)/2</f>
        <v>11.05</v>
      </c>
      <c r="I205" s="141" t="n">
        <f aca="false">H205*Parâmetros!$C$14</f>
        <v>26.52</v>
      </c>
      <c r="J205" s="141" t="n">
        <f aca="false">C205*(Estacas!L205+Estacas!L206)/2</f>
        <v>36.352</v>
      </c>
      <c r="K205" s="141" t="n">
        <f aca="false">C205*(Estacas!M205+Estacas!M206)/2</f>
        <v>47.68</v>
      </c>
      <c r="L205" s="141" t="n">
        <f aca="false">C205*(Estacas!N205+Estacas!N206)/2</f>
        <v>75.72</v>
      </c>
      <c r="M205" s="141" t="n">
        <f aca="false">C205*(Estacas!O205+Estacas!O206)/2</f>
        <v>224</v>
      </c>
      <c r="N205" s="141" t="n">
        <f aca="false">C205*(Estacas!O205+Estacas!O206)/2</f>
        <v>224</v>
      </c>
      <c r="O205" s="141" t="n">
        <f aca="false">C205*(Estacas!P205+Estacas!P206)/2</f>
        <v>258.4</v>
      </c>
      <c r="P205" s="141" t="n">
        <f aca="false">R205*Parâmetros!$C$11</f>
        <v>0</v>
      </c>
      <c r="Q205" s="141" t="n">
        <f aca="false">R205*Parâmetros!$C$12</f>
        <v>0</v>
      </c>
      <c r="R205" s="141" t="n">
        <f aca="false">C205*(Estacas!Q205+Estacas!Q206)/2</f>
        <v>0</v>
      </c>
      <c r="S205" s="141" t="n">
        <f aca="false">IF(LEFT(E205,3)="T09",C205*Parâmetros!$D$13*Parâmetros!$C$13,0)</f>
        <v>0</v>
      </c>
    </row>
    <row r="206" customFormat="false" ht="15" hidden="false" customHeight="false" outlineLevel="0" collapsed="false">
      <c r="A206" s="138" t="str">
        <f aca="false">Estacas!A206</f>
        <v>204+0,00</v>
      </c>
      <c r="B206" s="138" t="str">
        <f aca="false">Estacas!A207</f>
        <v>205+0,00</v>
      </c>
      <c r="C206" s="144" t="n">
        <f aca="false">Estacas!C207-Estacas!C206</f>
        <v>20</v>
      </c>
      <c r="D206" s="138" t="s">
        <v>1565</v>
      </c>
      <c r="E206" s="138" t="s">
        <v>1566</v>
      </c>
      <c r="F206" s="141" t="n">
        <f aca="false">Estacas!F206</f>
        <v>11</v>
      </c>
      <c r="G206" s="141" t="n">
        <f aca="false">Estacas!F207</f>
        <v>11</v>
      </c>
      <c r="H206" s="141" t="n">
        <f aca="false">C206*(Estacas!K206+Estacas!K207)/2</f>
        <v>11.05</v>
      </c>
      <c r="I206" s="141" t="n">
        <f aca="false">H206*Parâmetros!$C$14</f>
        <v>26.52</v>
      </c>
      <c r="J206" s="141" t="n">
        <f aca="false">C206*(Estacas!L206+Estacas!L207)/2</f>
        <v>36.352</v>
      </c>
      <c r="K206" s="141" t="n">
        <f aca="false">C206*(Estacas!M206+Estacas!M207)/2</f>
        <v>47.68</v>
      </c>
      <c r="L206" s="141" t="n">
        <f aca="false">C206*(Estacas!N206+Estacas!N207)/2</f>
        <v>75.72</v>
      </c>
      <c r="M206" s="141" t="n">
        <f aca="false">C206*(Estacas!O206+Estacas!O207)/2</f>
        <v>224</v>
      </c>
      <c r="N206" s="141" t="n">
        <f aca="false">C206*(Estacas!O206+Estacas!O207)/2</f>
        <v>224</v>
      </c>
      <c r="O206" s="141" t="n">
        <f aca="false">C206*(Estacas!P206+Estacas!P207)/2</f>
        <v>258.4</v>
      </c>
      <c r="P206" s="141" t="n">
        <f aca="false">R206*Parâmetros!$C$11</f>
        <v>0</v>
      </c>
      <c r="Q206" s="141" t="n">
        <f aca="false">R206*Parâmetros!$C$12</f>
        <v>0</v>
      </c>
      <c r="R206" s="141" t="n">
        <f aca="false">C206*(Estacas!Q206+Estacas!Q207)/2</f>
        <v>0</v>
      </c>
      <c r="S206" s="141" t="n">
        <f aca="false">IF(LEFT(E206,3)="T09",C206*Parâmetros!$D$13*Parâmetros!$C$13,0)</f>
        <v>0</v>
      </c>
    </row>
    <row r="207" customFormat="false" ht="15" hidden="false" customHeight="false" outlineLevel="0" collapsed="false">
      <c r="A207" s="138" t="str">
        <f aca="false">Estacas!A207</f>
        <v>205+0,00</v>
      </c>
      <c r="B207" s="138" t="str">
        <f aca="false">Estacas!A208</f>
        <v>206+0,00</v>
      </c>
      <c r="C207" s="144" t="n">
        <f aca="false">Estacas!C208-Estacas!C207</f>
        <v>20</v>
      </c>
      <c r="D207" s="138" t="s">
        <v>1565</v>
      </c>
      <c r="E207" s="138" t="s">
        <v>1566</v>
      </c>
      <c r="F207" s="141" t="n">
        <f aca="false">Estacas!F207</f>
        <v>11</v>
      </c>
      <c r="G207" s="141" t="n">
        <f aca="false">Estacas!F208</f>
        <v>11</v>
      </c>
      <c r="H207" s="141" t="n">
        <f aca="false">C207*(Estacas!K207+Estacas!K208)/2</f>
        <v>11.05</v>
      </c>
      <c r="I207" s="141" t="n">
        <f aca="false">H207*Parâmetros!$C$14</f>
        <v>26.52</v>
      </c>
      <c r="J207" s="141" t="n">
        <f aca="false">C207*(Estacas!L207+Estacas!L208)/2</f>
        <v>36.352</v>
      </c>
      <c r="K207" s="141" t="n">
        <f aca="false">C207*(Estacas!M207+Estacas!M208)/2</f>
        <v>47.68</v>
      </c>
      <c r="L207" s="141" t="n">
        <f aca="false">C207*(Estacas!N207+Estacas!N208)/2</f>
        <v>75.72</v>
      </c>
      <c r="M207" s="141" t="n">
        <f aca="false">C207*(Estacas!O207+Estacas!O208)/2</f>
        <v>224</v>
      </c>
      <c r="N207" s="141" t="n">
        <f aca="false">C207*(Estacas!O207+Estacas!O208)/2</f>
        <v>224</v>
      </c>
      <c r="O207" s="141" t="n">
        <f aca="false">C207*(Estacas!P207+Estacas!P208)/2</f>
        <v>258.4</v>
      </c>
      <c r="P207" s="141" t="n">
        <f aca="false">R207*Parâmetros!$C$11</f>
        <v>0</v>
      </c>
      <c r="Q207" s="141" t="n">
        <f aca="false">R207*Parâmetros!$C$12</f>
        <v>0</v>
      </c>
      <c r="R207" s="141" t="n">
        <f aca="false">C207*(Estacas!Q207+Estacas!Q208)/2</f>
        <v>0</v>
      </c>
      <c r="S207" s="141" t="n">
        <f aca="false">IF(LEFT(E207,3)="T09",C207*Parâmetros!$D$13*Parâmetros!$C$13,0)</f>
        <v>0</v>
      </c>
    </row>
    <row r="208" customFormat="false" ht="15" hidden="false" customHeight="false" outlineLevel="0" collapsed="false">
      <c r="A208" s="138" t="str">
        <f aca="false">Estacas!A208</f>
        <v>206+0,00</v>
      </c>
      <c r="B208" s="138" t="str">
        <f aca="false">Estacas!A209</f>
        <v>207+0,00</v>
      </c>
      <c r="C208" s="144" t="n">
        <f aca="false">Estacas!C209-Estacas!C208</f>
        <v>20</v>
      </c>
      <c r="D208" s="138" t="s">
        <v>1565</v>
      </c>
      <c r="E208" s="138" t="s">
        <v>1566</v>
      </c>
      <c r="F208" s="141" t="n">
        <f aca="false">Estacas!F208</f>
        <v>11</v>
      </c>
      <c r="G208" s="141" t="n">
        <f aca="false">Estacas!F209</f>
        <v>11</v>
      </c>
      <c r="H208" s="141" t="n">
        <f aca="false">C208*(Estacas!K208+Estacas!K209)/2</f>
        <v>11.05</v>
      </c>
      <c r="I208" s="141" t="n">
        <f aca="false">H208*Parâmetros!$C$14</f>
        <v>26.52</v>
      </c>
      <c r="J208" s="141" t="n">
        <f aca="false">C208*(Estacas!L208+Estacas!L209)/2</f>
        <v>36.352</v>
      </c>
      <c r="K208" s="141" t="n">
        <f aca="false">C208*(Estacas!M208+Estacas!M209)/2</f>
        <v>47.68</v>
      </c>
      <c r="L208" s="141" t="n">
        <f aca="false">C208*(Estacas!N208+Estacas!N209)/2</f>
        <v>75.72</v>
      </c>
      <c r="M208" s="141" t="n">
        <f aca="false">C208*(Estacas!O208+Estacas!O209)/2</f>
        <v>224</v>
      </c>
      <c r="N208" s="141" t="n">
        <f aca="false">C208*(Estacas!O208+Estacas!O209)/2</f>
        <v>224</v>
      </c>
      <c r="O208" s="141" t="n">
        <f aca="false">C208*(Estacas!P208+Estacas!P209)/2</f>
        <v>258.4</v>
      </c>
      <c r="P208" s="141" t="n">
        <f aca="false">R208*Parâmetros!$C$11</f>
        <v>0</v>
      </c>
      <c r="Q208" s="141" t="n">
        <f aca="false">R208*Parâmetros!$C$12</f>
        <v>0</v>
      </c>
      <c r="R208" s="141" t="n">
        <f aca="false">C208*(Estacas!Q208+Estacas!Q209)/2</f>
        <v>0</v>
      </c>
      <c r="S208" s="141" t="n">
        <f aca="false">IF(LEFT(E208,3)="T09",C208*Parâmetros!$D$13*Parâmetros!$C$13,0)</f>
        <v>0</v>
      </c>
    </row>
    <row r="209" customFormat="false" ht="15" hidden="false" customHeight="false" outlineLevel="0" collapsed="false">
      <c r="A209" s="138" t="str">
        <f aca="false">Estacas!A209</f>
        <v>207+0,00</v>
      </c>
      <c r="B209" s="138" t="str">
        <f aca="false">Estacas!A210</f>
        <v>208+0,00</v>
      </c>
      <c r="C209" s="144" t="n">
        <f aca="false">Estacas!C210-Estacas!C209</f>
        <v>20</v>
      </c>
      <c r="D209" s="138" t="s">
        <v>1565</v>
      </c>
      <c r="E209" s="138" t="s">
        <v>1566</v>
      </c>
      <c r="F209" s="141" t="n">
        <f aca="false">Estacas!F209</f>
        <v>11</v>
      </c>
      <c r="G209" s="141" t="n">
        <f aca="false">Estacas!F210</f>
        <v>11</v>
      </c>
      <c r="H209" s="141" t="n">
        <f aca="false">C209*(Estacas!K209+Estacas!K210)/2</f>
        <v>11.05</v>
      </c>
      <c r="I209" s="141" t="n">
        <f aca="false">H209*Parâmetros!$C$14</f>
        <v>26.52</v>
      </c>
      <c r="J209" s="141" t="n">
        <f aca="false">C209*(Estacas!L209+Estacas!L210)/2</f>
        <v>36.352</v>
      </c>
      <c r="K209" s="141" t="n">
        <f aca="false">C209*(Estacas!M209+Estacas!M210)/2</f>
        <v>47.68</v>
      </c>
      <c r="L209" s="141" t="n">
        <f aca="false">C209*(Estacas!N209+Estacas!N210)/2</f>
        <v>75.72</v>
      </c>
      <c r="M209" s="141" t="n">
        <f aca="false">C209*(Estacas!O209+Estacas!O210)/2</f>
        <v>224</v>
      </c>
      <c r="N209" s="141" t="n">
        <f aca="false">C209*(Estacas!O209+Estacas!O210)/2</f>
        <v>224</v>
      </c>
      <c r="O209" s="141" t="n">
        <f aca="false">C209*(Estacas!P209+Estacas!P210)/2</f>
        <v>258.4</v>
      </c>
      <c r="P209" s="141" t="n">
        <f aca="false">R209*Parâmetros!$C$11</f>
        <v>0</v>
      </c>
      <c r="Q209" s="141" t="n">
        <f aca="false">R209*Parâmetros!$C$12</f>
        <v>0</v>
      </c>
      <c r="R209" s="141" t="n">
        <f aca="false">C209*(Estacas!Q209+Estacas!Q210)/2</f>
        <v>0</v>
      </c>
      <c r="S209" s="141" t="n">
        <f aca="false">IF(LEFT(E209,3)="T09",C209*Parâmetros!$D$13*Parâmetros!$C$13,0)</f>
        <v>0</v>
      </c>
    </row>
    <row r="210" customFormat="false" ht="15" hidden="false" customHeight="false" outlineLevel="0" collapsed="false">
      <c r="A210" s="138" t="str">
        <f aca="false">Estacas!A210</f>
        <v>208+0,00</v>
      </c>
      <c r="B210" s="138" t="str">
        <f aca="false">Estacas!A211</f>
        <v>209+0,00</v>
      </c>
      <c r="C210" s="144" t="n">
        <f aca="false">Estacas!C211-Estacas!C210</f>
        <v>20</v>
      </c>
      <c r="D210" s="138" t="s">
        <v>1565</v>
      </c>
      <c r="E210" s="138" t="s">
        <v>1566</v>
      </c>
      <c r="F210" s="141" t="n">
        <f aca="false">Estacas!F210</f>
        <v>11</v>
      </c>
      <c r="G210" s="141" t="n">
        <f aca="false">Estacas!F211</f>
        <v>12.3</v>
      </c>
      <c r="H210" s="141" t="n">
        <f aca="false">C210*(Estacas!K210+Estacas!K211)/2</f>
        <v>11.7</v>
      </c>
      <c r="I210" s="141" t="n">
        <f aca="false">H210*Parâmetros!$C$14</f>
        <v>28.08</v>
      </c>
      <c r="J210" s="141" t="n">
        <f aca="false">C210*(Estacas!L210+Estacas!L211)/2</f>
        <v>38.432</v>
      </c>
      <c r="K210" s="141" t="n">
        <f aca="false">C210*(Estacas!M210+Estacas!M211)/2</f>
        <v>50.28</v>
      </c>
      <c r="L210" s="141" t="n">
        <f aca="false">C210*(Estacas!N210+Estacas!N211)/2</f>
        <v>79.62</v>
      </c>
      <c r="M210" s="141" t="n">
        <f aca="false">C210*(Estacas!O210+Estacas!O211)/2</f>
        <v>237</v>
      </c>
      <c r="N210" s="141" t="n">
        <f aca="false">C210*(Estacas!O210+Estacas!O211)/2</f>
        <v>237</v>
      </c>
      <c r="O210" s="141" t="n">
        <f aca="false">C210*(Estacas!P210+Estacas!P211)/2</f>
        <v>271.4</v>
      </c>
      <c r="P210" s="141" t="n">
        <f aca="false">R210*Parâmetros!$C$11</f>
        <v>0</v>
      </c>
      <c r="Q210" s="141" t="n">
        <f aca="false">R210*Parâmetros!$C$12</f>
        <v>0</v>
      </c>
      <c r="R210" s="141" t="n">
        <f aca="false">C210*(Estacas!Q210+Estacas!Q211)/2</f>
        <v>0</v>
      </c>
      <c r="S210" s="141" t="n">
        <f aca="false">IF(LEFT(E210,3)="T09",C210*Parâmetros!$D$13*Parâmetros!$C$13,0)</f>
        <v>0</v>
      </c>
    </row>
    <row r="211" customFormat="false" ht="15" hidden="false" customHeight="false" outlineLevel="0" collapsed="false">
      <c r="A211" s="138" t="str">
        <f aca="false">Estacas!A211</f>
        <v>209+0,00</v>
      </c>
      <c r="B211" s="138" t="str">
        <f aca="false">Estacas!A212</f>
        <v>210+0,00</v>
      </c>
      <c r="C211" s="144" t="n">
        <f aca="false">Estacas!C212-Estacas!C211</f>
        <v>20</v>
      </c>
      <c r="D211" s="138" t="s">
        <v>1565</v>
      </c>
      <c r="E211" s="138" t="s">
        <v>1566</v>
      </c>
      <c r="F211" s="141" t="n">
        <f aca="false">Estacas!F211</f>
        <v>12.3</v>
      </c>
      <c r="G211" s="141" t="n">
        <f aca="false">Estacas!F212</f>
        <v>15</v>
      </c>
      <c r="H211" s="141" t="n">
        <f aca="false">C211*(Estacas!K211+Estacas!K212)/2</f>
        <v>13.7</v>
      </c>
      <c r="I211" s="141" t="n">
        <f aca="false">H211*Parâmetros!$C$14</f>
        <v>32.88</v>
      </c>
      <c r="J211" s="141" t="n">
        <f aca="false">C211*(Estacas!L211+Estacas!L212)/2</f>
        <v>44.832</v>
      </c>
      <c r="K211" s="141" t="n">
        <f aca="false">C211*(Estacas!M211+Estacas!M212)/2</f>
        <v>58.28</v>
      </c>
      <c r="L211" s="141" t="n">
        <f aca="false">C211*(Estacas!N211+Estacas!N212)/2</f>
        <v>91.62</v>
      </c>
      <c r="M211" s="141" t="n">
        <f aca="false">C211*(Estacas!O211+Estacas!O212)/2</f>
        <v>277</v>
      </c>
      <c r="N211" s="141" t="n">
        <f aca="false">C211*(Estacas!O211+Estacas!O212)/2</f>
        <v>277</v>
      </c>
      <c r="O211" s="141" t="n">
        <f aca="false">C211*(Estacas!P211+Estacas!P212)/2</f>
        <v>311.4</v>
      </c>
      <c r="P211" s="141" t="n">
        <f aca="false">R211*Parâmetros!$C$11</f>
        <v>0</v>
      </c>
      <c r="Q211" s="141" t="n">
        <f aca="false">R211*Parâmetros!$C$12</f>
        <v>0</v>
      </c>
      <c r="R211" s="141" t="n">
        <f aca="false">C211*(Estacas!Q211+Estacas!Q212)/2</f>
        <v>0</v>
      </c>
      <c r="S211" s="141" t="n">
        <f aca="false">IF(LEFT(E211,3)="T09",C211*Parâmetros!$D$13*Parâmetros!$C$13,0)</f>
        <v>0</v>
      </c>
    </row>
    <row r="212" customFormat="false" ht="15" hidden="false" customHeight="false" outlineLevel="0" collapsed="false">
      <c r="A212" s="138" t="str">
        <f aca="false">Estacas!A212</f>
        <v>210+0,00</v>
      </c>
      <c r="B212" s="138" t="str">
        <f aca="false">Estacas!A213</f>
        <v>211+0,00</v>
      </c>
      <c r="C212" s="144" t="n">
        <f aca="false">Estacas!C213-Estacas!C212</f>
        <v>20</v>
      </c>
      <c r="D212" s="138" t="s">
        <v>1565</v>
      </c>
      <c r="E212" s="138" t="s">
        <v>1566</v>
      </c>
      <c r="F212" s="141" t="n">
        <f aca="false">Estacas!F212</f>
        <v>15</v>
      </c>
      <c r="G212" s="141" t="n">
        <f aca="false">Estacas!F213</f>
        <v>16.7</v>
      </c>
      <c r="H212" s="141" t="n">
        <f aca="false">C212*(Estacas!K212+Estacas!K213)/2</f>
        <v>15.9</v>
      </c>
      <c r="I212" s="141" t="n">
        <f aca="false">H212*Parâmetros!$C$14</f>
        <v>38.16</v>
      </c>
      <c r="J212" s="141" t="n">
        <f aca="false">C212*(Estacas!L212+Estacas!L213)/2</f>
        <v>51.872</v>
      </c>
      <c r="K212" s="141" t="n">
        <f aca="false">C212*(Estacas!M212+Estacas!M213)/2</f>
        <v>67.08</v>
      </c>
      <c r="L212" s="141" t="n">
        <f aca="false">C212*(Estacas!N212+Estacas!N213)/2</f>
        <v>104.82</v>
      </c>
      <c r="M212" s="141" t="n">
        <f aca="false">C212*(Estacas!O212+Estacas!O213)/2</f>
        <v>321</v>
      </c>
      <c r="N212" s="141" t="n">
        <f aca="false">C212*(Estacas!O212+Estacas!O213)/2</f>
        <v>321</v>
      </c>
      <c r="O212" s="141" t="n">
        <f aca="false">C212*(Estacas!P212+Estacas!P213)/2</f>
        <v>355.4</v>
      </c>
      <c r="P212" s="141" t="n">
        <f aca="false">R212*Parâmetros!$C$11</f>
        <v>0</v>
      </c>
      <c r="Q212" s="141" t="n">
        <f aca="false">R212*Parâmetros!$C$12</f>
        <v>0</v>
      </c>
      <c r="R212" s="141" t="n">
        <f aca="false">C212*(Estacas!Q212+Estacas!Q213)/2</f>
        <v>0</v>
      </c>
      <c r="S212" s="141" t="n">
        <f aca="false">IF(LEFT(E212,3)="T09",C212*Parâmetros!$D$13*Parâmetros!$C$13,0)</f>
        <v>0</v>
      </c>
    </row>
    <row r="213" customFormat="false" ht="15" hidden="false" customHeight="false" outlineLevel="0" collapsed="false">
      <c r="A213" s="138" t="str">
        <f aca="false">Estacas!A213</f>
        <v>211+0,00</v>
      </c>
      <c r="B213" s="138" t="str">
        <f aca="false">Estacas!A214</f>
        <v>212+0,00</v>
      </c>
      <c r="C213" s="144" t="n">
        <f aca="false">Estacas!C214-Estacas!C213</f>
        <v>20</v>
      </c>
      <c r="D213" s="138" t="s">
        <v>1565</v>
      </c>
      <c r="E213" s="138" t="s">
        <v>1566</v>
      </c>
      <c r="F213" s="141" t="n">
        <f aca="false">Estacas!F213</f>
        <v>16.7</v>
      </c>
      <c r="G213" s="141" t="n">
        <f aca="false">Estacas!F214</f>
        <v>15.5</v>
      </c>
      <c r="H213" s="141" t="n">
        <f aca="false">C213*(Estacas!K213+Estacas!K214)/2</f>
        <v>16.15</v>
      </c>
      <c r="I213" s="141" t="n">
        <f aca="false">H213*Parâmetros!$C$14</f>
        <v>38.76</v>
      </c>
      <c r="J213" s="141" t="n">
        <f aca="false">C213*(Estacas!L213+Estacas!L214)/2</f>
        <v>52.672</v>
      </c>
      <c r="K213" s="141" t="n">
        <f aca="false">C213*(Estacas!M213+Estacas!M214)/2</f>
        <v>68.08</v>
      </c>
      <c r="L213" s="141" t="n">
        <f aca="false">C213*(Estacas!N213+Estacas!N214)/2</f>
        <v>106.32</v>
      </c>
      <c r="M213" s="141" t="n">
        <f aca="false">C213*(Estacas!O213+Estacas!O214)/2</f>
        <v>326</v>
      </c>
      <c r="N213" s="141" t="n">
        <f aca="false">C213*(Estacas!O213+Estacas!O214)/2</f>
        <v>326</v>
      </c>
      <c r="O213" s="141" t="n">
        <f aca="false">C213*(Estacas!P213+Estacas!P214)/2</f>
        <v>360.4</v>
      </c>
      <c r="P213" s="141" t="n">
        <f aca="false">R213*Parâmetros!$C$11</f>
        <v>0</v>
      </c>
      <c r="Q213" s="141" t="n">
        <f aca="false">R213*Parâmetros!$C$12</f>
        <v>0</v>
      </c>
      <c r="R213" s="141" t="n">
        <f aca="false">C213*(Estacas!Q213+Estacas!Q214)/2</f>
        <v>0</v>
      </c>
      <c r="S213" s="141" t="n">
        <f aca="false">IF(LEFT(E213,3)="T09",C213*Parâmetros!$D$13*Parâmetros!$C$13,0)</f>
        <v>0</v>
      </c>
    </row>
    <row r="214" customFormat="false" ht="15" hidden="false" customHeight="false" outlineLevel="0" collapsed="false">
      <c r="A214" s="138" t="str">
        <f aca="false">Estacas!A214</f>
        <v>212+0,00</v>
      </c>
      <c r="B214" s="138" t="str">
        <f aca="false">Estacas!A215</f>
        <v>213+0,00</v>
      </c>
      <c r="C214" s="144" t="n">
        <f aca="false">Estacas!C215-Estacas!C214</f>
        <v>20</v>
      </c>
      <c r="D214" s="138" t="s">
        <v>1565</v>
      </c>
      <c r="E214" s="138" t="s">
        <v>1566</v>
      </c>
      <c r="F214" s="141" t="n">
        <f aca="false">Estacas!F214</f>
        <v>15.5</v>
      </c>
      <c r="G214" s="141" t="n">
        <f aca="false">Estacas!F215</f>
        <v>12.7</v>
      </c>
      <c r="H214" s="141" t="n">
        <f aca="false">C214*(Estacas!K214+Estacas!K215)/2</f>
        <v>14.15</v>
      </c>
      <c r="I214" s="141" t="n">
        <f aca="false">H214*Parâmetros!$C$14</f>
        <v>33.96</v>
      </c>
      <c r="J214" s="141" t="n">
        <f aca="false">C214*(Estacas!L214+Estacas!L215)/2</f>
        <v>46.272</v>
      </c>
      <c r="K214" s="141" t="n">
        <f aca="false">C214*(Estacas!M214+Estacas!M215)/2</f>
        <v>60.08</v>
      </c>
      <c r="L214" s="141" t="n">
        <f aca="false">C214*(Estacas!N214+Estacas!N215)/2</f>
        <v>94.32</v>
      </c>
      <c r="M214" s="141" t="n">
        <f aca="false">C214*(Estacas!O214+Estacas!O215)/2</f>
        <v>286</v>
      </c>
      <c r="N214" s="141" t="n">
        <f aca="false">C214*(Estacas!O214+Estacas!O215)/2</f>
        <v>286</v>
      </c>
      <c r="O214" s="141" t="n">
        <f aca="false">C214*(Estacas!P214+Estacas!P215)/2</f>
        <v>320.4</v>
      </c>
      <c r="P214" s="141" t="n">
        <f aca="false">R214*Parâmetros!$C$11</f>
        <v>0</v>
      </c>
      <c r="Q214" s="141" t="n">
        <f aca="false">R214*Parâmetros!$C$12</f>
        <v>0</v>
      </c>
      <c r="R214" s="141" t="n">
        <f aca="false">C214*(Estacas!Q214+Estacas!Q215)/2</f>
        <v>0</v>
      </c>
      <c r="S214" s="141" t="n">
        <f aca="false">IF(LEFT(E214,3)="T09",C214*Parâmetros!$D$13*Parâmetros!$C$13,0)</f>
        <v>0</v>
      </c>
    </row>
    <row r="215" customFormat="false" ht="15" hidden="false" customHeight="false" outlineLevel="0" collapsed="false">
      <c r="A215" s="138" t="str">
        <f aca="false">Estacas!A215</f>
        <v>213+0,00</v>
      </c>
      <c r="B215" s="138" t="str">
        <f aca="false">Estacas!A216</f>
        <v>214+0,00</v>
      </c>
      <c r="C215" s="144" t="n">
        <f aca="false">Estacas!C216-Estacas!C215</f>
        <v>20</v>
      </c>
      <c r="D215" s="138" t="s">
        <v>1565</v>
      </c>
      <c r="E215" s="138" t="s">
        <v>1566</v>
      </c>
      <c r="F215" s="141" t="n">
        <f aca="false">Estacas!F215</f>
        <v>12.7</v>
      </c>
      <c r="G215" s="141" t="n">
        <f aca="false">Estacas!F216</f>
        <v>11.1</v>
      </c>
      <c r="H215" s="141" t="n">
        <f aca="false">C215*(Estacas!K215+Estacas!K216)/2</f>
        <v>11.95</v>
      </c>
      <c r="I215" s="141" t="n">
        <f aca="false">H215*Parâmetros!$C$14</f>
        <v>28.68</v>
      </c>
      <c r="J215" s="141" t="n">
        <f aca="false">C215*(Estacas!L215+Estacas!L216)/2</f>
        <v>39.232</v>
      </c>
      <c r="K215" s="141" t="n">
        <f aca="false">C215*(Estacas!M215+Estacas!M216)/2</f>
        <v>51.28</v>
      </c>
      <c r="L215" s="141" t="n">
        <f aca="false">C215*(Estacas!N215+Estacas!N216)/2</f>
        <v>81.12</v>
      </c>
      <c r="M215" s="141" t="n">
        <f aca="false">C215*(Estacas!O215+Estacas!O216)/2</f>
        <v>242</v>
      </c>
      <c r="N215" s="141" t="n">
        <f aca="false">C215*(Estacas!O215+Estacas!O216)/2</f>
        <v>242</v>
      </c>
      <c r="O215" s="141" t="n">
        <f aca="false">C215*(Estacas!P215+Estacas!P216)/2</f>
        <v>276.4</v>
      </c>
      <c r="P215" s="141" t="n">
        <f aca="false">R215*Parâmetros!$C$11</f>
        <v>0</v>
      </c>
      <c r="Q215" s="141" t="n">
        <f aca="false">R215*Parâmetros!$C$12</f>
        <v>0</v>
      </c>
      <c r="R215" s="141" t="n">
        <f aca="false">C215*(Estacas!Q215+Estacas!Q216)/2</f>
        <v>0</v>
      </c>
      <c r="S215" s="141" t="n">
        <f aca="false">IF(LEFT(E215,3)="T09",C215*Parâmetros!$D$13*Parâmetros!$C$13,0)</f>
        <v>0</v>
      </c>
    </row>
    <row r="216" customFormat="false" ht="15" hidden="false" customHeight="false" outlineLevel="0" collapsed="false">
      <c r="A216" s="138" t="str">
        <f aca="false">Estacas!A216</f>
        <v>214+0,00</v>
      </c>
      <c r="B216" s="138" t="str">
        <f aca="false">Estacas!A217</f>
        <v>215+0,00</v>
      </c>
      <c r="C216" s="144" t="n">
        <f aca="false">Estacas!C217-Estacas!C216</f>
        <v>20</v>
      </c>
      <c r="D216" s="138" t="s">
        <v>1565</v>
      </c>
      <c r="E216" s="138" t="s">
        <v>1566</v>
      </c>
      <c r="F216" s="141" t="n">
        <f aca="false">Estacas!F216</f>
        <v>11.1</v>
      </c>
      <c r="G216" s="141" t="n">
        <f aca="false">Estacas!F217</f>
        <v>11</v>
      </c>
      <c r="H216" s="141" t="n">
        <f aca="false">C216*(Estacas!K216+Estacas!K217)/2</f>
        <v>11.1</v>
      </c>
      <c r="I216" s="141" t="n">
        <f aca="false">H216*Parâmetros!$C$14</f>
        <v>26.64</v>
      </c>
      <c r="J216" s="141" t="n">
        <f aca="false">C216*(Estacas!L216+Estacas!L217)/2</f>
        <v>36.512</v>
      </c>
      <c r="K216" s="141" t="n">
        <f aca="false">C216*(Estacas!M216+Estacas!M217)/2</f>
        <v>47.88</v>
      </c>
      <c r="L216" s="141" t="n">
        <f aca="false">C216*(Estacas!N216+Estacas!N217)/2</f>
        <v>76.02</v>
      </c>
      <c r="M216" s="141" t="n">
        <f aca="false">C216*(Estacas!O216+Estacas!O217)/2</f>
        <v>225</v>
      </c>
      <c r="N216" s="141" t="n">
        <f aca="false">C216*(Estacas!O216+Estacas!O217)/2</f>
        <v>225</v>
      </c>
      <c r="O216" s="141" t="n">
        <f aca="false">C216*(Estacas!P216+Estacas!P217)/2</f>
        <v>259.4</v>
      </c>
      <c r="P216" s="141" t="n">
        <f aca="false">R216*Parâmetros!$C$11</f>
        <v>0</v>
      </c>
      <c r="Q216" s="141" t="n">
        <f aca="false">R216*Parâmetros!$C$12</f>
        <v>0</v>
      </c>
      <c r="R216" s="141" t="n">
        <f aca="false">C216*(Estacas!Q216+Estacas!Q217)/2</f>
        <v>0</v>
      </c>
      <c r="S216" s="141" t="n">
        <f aca="false">IF(LEFT(E216,3)="T09",C216*Parâmetros!$D$13*Parâmetros!$C$13,0)</f>
        <v>0</v>
      </c>
    </row>
    <row r="217" customFormat="false" ht="15" hidden="false" customHeight="false" outlineLevel="0" collapsed="false">
      <c r="A217" s="138" t="str">
        <f aca="false">Estacas!A217</f>
        <v>215+0,00</v>
      </c>
      <c r="B217" s="138" t="str">
        <f aca="false">Estacas!A218</f>
        <v>216+0,00</v>
      </c>
      <c r="C217" s="144" t="n">
        <f aca="false">Estacas!C218-Estacas!C217</f>
        <v>20</v>
      </c>
      <c r="D217" s="138" t="s">
        <v>1565</v>
      </c>
      <c r="E217" s="138" t="s">
        <v>1566</v>
      </c>
      <c r="F217" s="141" t="n">
        <f aca="false">Estacas!F217</f>
        <v>11</v>
      </c>
      <c r="G217" s="141" t="n">
        <f aca="false">Estacas!F218</f>
        <v>11</v>
      </c>
      <c r="H217" s="141" t="n">
        <f aca="false">C217*(Estacas!K217+Estacas!K218)/2</f>
        <v>11.05</v>
      </c>
      <c r="I217" s="141" t="n">
        <f aca="false">H217*Parâmetros!$C$14</f>
        <v>26.52</v>
      </c>
      <c r="J217" s="141" t="n">
        <f aca="false">C217*(Estacas!L217+Estacas!L218)/2</f>
        <v>36.352</v>
      </c>
      <c r="K217" s="141" t="n">
        <f aca="false">C217*(Estacas!M217+Estacas!M218)/2</f>
        <v>47.68</v>
      </c>
      <c r="L217" s="141" t="n">
        <f aca="false">C217*(Estacas!N217+Estacas!N218)/2</f>
        <v>75.72</v>
      </c>
      <c r="M217" s="141" t="n">
        <f aca="false">C217*(Estacas!O217+Estacas!O218)/2</f>
        <v>224</v>
      </c>
      <c r="N217" s="141" t="n">
        <f aca="false">C217*(Estacas!O217+Estacas!O218)/2</f>
        <v>224</v>
      </c>
      <c r="O217" s="141" t="n">
        <f aca="false">C217*(Estacas!P217+Estacas!P218)/2</f>
        <v>258.4</v>
      </c>
      <c r="P217" s="141" t="n">
        <f aca="false">R217*Parâmetros!$C$11</f>
        <v>0</v>
      </c>
      <c r="Q217" s="141" t="n">
        <f aca="false">R217*Parâmetros!$C$12</f>
        <v>0</v>
      </c>
      <c r="R217" s="141" t="n">
        <f aca="false">C217*(Estacas!Q217+Estacas!Q218)/2</f>
        <v>0</v>
      </c>
      <c r="S217" s="141" t="n">
        <f aca="false">IF(LEFT(E217,3)="T09",C217*Parâmetros!$D$13*Parâmetros!$C$13,0)</f>
        <v>0</v>
      </c>
    </row>
    <row r="218" customFormat="false" ht="15" hidden="false" customHeight="false" outlineLevel="0" collapsed="false">
      <c r="A218" s="138" t="str">
        <f aca="false">Estacas!A218</f>
        <v>216+0,00</v>
      </c>
      <c r="B218" s="138" t="str">
        <f aca="false">Estacas!A219</f>
        <v>217+0,00</v>
      </c>
      <c r="C218" s="144" t="n">
        <f aca="false">Estacas!C219-Estacas!C218</f>
        <v>20</v>
      </c>
      <c r="D218" s="138" t="s">
        <v>1565</v>
      </c>
      <c r="E218" s="138" t="s">
        <v>1566</v>
      </c>
      <c r="F218" s="141" t="n">
        <f aca="false">Estacas!F218</f>
        <v>11</v>
      </c>
      <c r="G218" s="141" t="n">
        <f aca="false">Estacas!F219</f>
        <v>11</v>
      </c>
      <c r="H218" s="141" t="n">
        <f aca="false">C218*(Estacas!K218+Estacas!K219)/2</f>
        <v>11.05</v>
      </c>
      <c r="I218" s="141" t="n">
        <f aca="false">H218*Parâmetros!$C$14</f>
        <v>26.52</v>
      </c>
      <c r="J218" s="141" t="n">
        <f aca="false">C218*(Estacas!L218+Estacas!L219)/2</f>
        <v>36.352</v>
      </c>
      <c r="K218" s="141" t="n">
        <f aca="false">C218*(Estacas!M218+Estacas!M219)/2</f>
        <v>47.68</v>
      </c>
      <c r="L218" s="141" t="n">
        <f aca="false">C218*(Estacas!N218+Estacas!N219)/2</f>
        <v>75.72</v>
      </c>
      <c r="M218" s="141" t="n">
        <f aca="false">C218*(Estacas!O218+Estacas!O219)/2</f>
        <v>224</v>
      </c>
      <c r="N218" s="141" t="n">
        <f aca="false">C218*(Estacas!O218+Estacas!O219)/2</f>
        <v>224</v>
      </c>
      <c r="O218" s="141" t="n">
        <f aca="false">C218*(Estacas!P218+Estacas!P219)/2</f>
        <v>258.4</v>
      </c>
      <c r="P218" s="141" t="n">
        <f aca="false">R218*Parâmetros!$C$11</f>
        <v>0</v>
      </c>
      <c r="Q218" s="141" t="n">
        <f aca="false">R218*Parâmetros!$C$12</f>
        <v>0</v>
      </c>
      <c r="R218" s="141" t="n">
        <f aca="false">C218*(Estacas!Q218+Estacas!Q219)/2</f>
        <v>0</v>
      </c>
      <c r="S218" s="141" t="n">
        <f aca="false">IF(LEFT(E218,3)="T09",C218*Parâmetros!$D$13*Parâmetros!$C$13,0)</f>
        <v>0</v>
      </c>
    </row>
    <row r="219" customFormat="false" ht="15" hidden="false" customHeight="false" outlineLevel="0" collapsed="false">
      <c r="A219" s="138" t="str">
        <f aca="false">Estacas!A219</f>
        <v>217+0,00</v>
      </c>
      <c r="B219" s="138" t="str">
        <f aca="false">Estacas!A220</f>
        <v>218+0,00</v>
      </c>
      <c r="C219" s="144" t="n">
        <f aca="false">Estacas!C220-Estacas!C219</f>
        <v>20</v>
      </c>
      <c r="D219" s="138" t="s">
        <v>1565</v>
      </c>
      <c r="E219" s="138" t="s">
        <v>1566</v>
      </c>
      <c r="F219" s="141" t="n">
        <f aca="false">Estacas!F219</f>
        <v>11</v>
      </c>
      <c r="G219" s="141" t="n">
        <f aca="false">Estacas!F220</f>
        <v>11</v>
      </c>
      <c r="H219" s="141" t="n">
        <f aca="false">C219*(Estacas!K219+Estacas!K220)/2</f>
        <v>11.05</v>
      </c>
      <c r="I219" s="141" t="n">
        <f aca="false">H219*Parâmetros!$C$14</f>
        <v>26.52</v>
      </c>
      <c r="J219" s="141" t="n">
        <f aca="false">C219*(Estacas!L219+Estacas!L220)/2</f>
        <v>36.352</v>
      </c>
      <c r="K219" s="141" t="n">
        <f aca="false">C219*(Estacas!M219+Estacas!M220)/2</f>
        <v>47.68</v>
      </c>
      <c r="L219" s="141" t="n">
        <f aca="false">C219*(Estacas!N219+Estacas!N220)/2</f>
        <v>75.72</v>
      </c>
      <c r="M219" s="141" t="n">
        <f aca="false">C219*(Estacas!O219+Estacas!O220)/2</f>
        <v>224</v>
      </c>
      <c r="N219" s="141" t="n">
        <f aca="false">C219*(Estacas!O219+Estacas!O220)/2</f>
        <v>224</v>
      </c>
      <c r="O219" s="141" t="n">
        <f aca="false">C219*(Estacas!P219+Estacas!P220)/2</f>
        <v>258.4</v>
      </c>
      <c r="P219" s="141" t="n">
        <f aca="false">R219*Parâmetros!$C$11</f>
        <v>0</v>
      </c>
      <c r="Q219" s="141" t="n">
        <f aca="false">R219*Parâmetros!$C$12</f>
        <v>0</v>
      </c>
      <c r="R219" s="141" t="n">
        <f aca="false">C219*(Estacas!Q219+Estacas!Q220)/2</f>
        <v>0</v>
      </c>
      <c r="S219" s="141" t="n">
        <f aca="false">IF(LEFT(E219,3)="T09",C219*Parâmetros!$D$13*Parâmetros!$C$13,0)</f>
        <v>0</v>
      </c>
    </row>
    <row r="220" customFormat="false" ht="15" hidden="false" customHeight="false" outlineLevel="0" collapsed="false">
      <c r="A220" s="138" t="str">
        <f aca="false">Estacas!A220</f>
        <v>218+0,00</v>
      </c>
      <c r="B220" s="138" t="str">
        <f aca="false">Estacas!A221</f>
        <v>219+0,00</v>
      </c>
      <c r="C220" s="144" t="n">
        <f aca="false">Estacas!C221-Estacas!C220</f>
        <v>20</v>
      </c>
      <c r="D220" s="138" t="s">
        <v>1565</v>
      </c>
      <c r="E220" s="138" t="s">
        <v>1566</v>
      </c>
      <c r="F220" s="141" t="n">
        <f aca="false">Estacas!F220</f>
        <v>11</v>
      </c>
      <c r="G220" s="141" t="n">
        <f aca="false">Estacas!F221</f>
        <v>11</v>
      </c>
      <c r="H220" s="141" t="n">
        <f aca="false">C220*(Estacas!K220+Estacas!K221)/2</f>
        <v>11.05</v>
      </c>
      <c r="I220" s="141" t="n">
        <f aca="false">H220*Parâmetros!$C$14</f>
        <v>26.52</v>
      </c>
      <c r="J220" s="141" t="n">
        <f aca="false">C220*(Estacas!L220+Estacas!L221)/2</f>
        <v>36.352</v>
      </c>
      <c r="K220" s="141" t="n">
        <f aca="false">C220*(Estacas!M220+Estacas!M221)/2</f>
        <v>47.68</v>
      </c>
      <c r="L220" s="141" t="n">
        <f aca="false">C220*(Estacas!N220+Estacas!N221)/2</f>
        <v>75.72</v>
      </c>
      <c r="M220" s="141" t="n">
        <f aca="false">C220*(Estacas!O220+Estacas!O221)/2</f>
        <v>224</v>
      </c>
      <c r="N220" s="141" t="n">
        <f aca="false">C220*(Estacas!O220+Estacas!O221)/2</f>
        <v>224</v>
      </c>
      <c r="O220" s="141" t="n">
        <f aca="false">C220*(Estacas!P220+Estacas!P221)/2</f>
        <v>258.4</v>
      </c>
      <c r="P220" s="141" t="n">
        <f aca="false">R220*Parâmetros!$C$11</f>
        <v>0</v>
      </c>
      <c r="Q220" s="141" t="n">
        <f aca="false">R220*Parâmetros!$C$12</f>
        <v>0</v>
      </c>
      <c r="R220" s="141" t="n">
        <f aca="false">C220*(Estacas!Q220+Estacas!Q221)/2</f>
        <v>0</v>
      </c>
      <c r="S220" s="141" t="n">
        <f aca="false">IF(LEFT(E220,3)="T09",C220*Parâmetros!$D$13*Parâmetros!$C$13,0)</f>
        <v>0</v>
      </c>
    </row>
    <row r="221" customFormat="false" ht="15" hidden="false" customHeight="false" outlineLevel="0" collapsed="false">
      <c r="A221" s="138" t="str">
        <f aca="false">Estacas!A221</f>
        <v>219+0,00</v>
      </c>
      <c r="B221" s="138" t="str">
        <f aca="false">Estacas!A222</f>
        <v>220+0,00</v>
      </c>
      <c r="C221" s="144" t="n">
        <f aca="false">Estacas!C222-Estacas!C221</f>
        <v>20</v>
      </c>
      <c r="D221" s="138" t="s">
        <v>1565</v>
      </c>
      <c r="E221" s="138" t="s">
        <v>1566</v>
      </c>
      <c r="F221" s="141" t="n">
        <f aca="false">Estacas!F221</f>
        <v>11</v>
      </c>
      <c r="G221" s="141" t="n">
        <f aca="false">Estacas!F222</f>
        <v>11</v>
      </c>
      <c r="H221" s="141" t="n">
        <f aca="false">C221*(Estacas!K221+Estacas!K222)/2</f>
        <v>11.05</v>
      </c>
      <c r="I221" s="141" t="n">
        <f aca="false">H221*Parâmetros!$C$14</f>
        <v>26.52</v>
      </c>
      <c r="J221" s="141" t="n">
        <f aca="false">C221*(Estacas!L221+Estacas!L222)/2</f>
        <v>36.352</v>
      </c>
      <c r="K221" s="141" t="n">
        <f aca="false">C221*(Estacas!M221+Estacas!M222)/2</f>
        <v>47.68</v>
      </c>
      <c r="L221" s="141" t="n">
        <f aca="false">C221*(Estacas!N221+Estacas!N222)/2</f>
        <v>75.72</v>
      </c>
      <c r="M221" s="141" t="n">
        <f aca="false">C221*(Estacas!O221+Estacas!O222)/2</f>
        <v>224</v>
      </c>
      <c r="N221" s="141" t="n">
        <f aca="false">C221*(Estacas!O221+Estacas!O222)/2</f>
        <v>224</v>
      </c>
      <c r="O221" s="141" t="n">
        <f aca="false">C221*(Estacas!P221+Estacas!P222)/2</f>
        <v>258.4</v>
      </c>
      <c r="P221" s="141" t="n">
        <f aca="false">R221*Parâmetros!$C$11</f>
        <v>0</v>
      </c>
      <c r="Q221" s="141" t="n">
        <f aca="false">R221*Parâmetros!$C$12</f>
        <v>0</v>
      </c>
      <c r="R221" s="141" t="n">
        <f aca="false">C221*(Estacas!Q221+Estacas!Q222)/2</f>
        <v>0</v>
      </c>
      <c r="S221" s="141" t="n">
        <f aca="false">IF(LEFT(E221,3)="T09",C221*Parâmetros!$D$13*Parâmetros!$C$13,0)</f>
        <v>0</v>
      </c>
    </row>
    <row r="222" customFormat="false" ht="15" hidden="false" customHeight="false" outlineLevel="0" collapsed="false">
      <c r="A222" s="138" t="str">
        <f aca="false">Estacas!A222</f>
        <v>220+0,00</v>
      </c>
      <c r="B222" s="138" t="str">
        <f aca="false">Estacas!A223</f>
        <v>221+0,00</v>
      </c>
      <c r="C222" s="144" t="n">
        <f aca="false">Estacas!C223-Estacas!C222</f>
        <v>20</v>
      </c>
      <c r="D222" s="138" t="s">
        <v>1565</v>
      </c>
      <c r="E222" s="138" t="s">
        <v>1566</v>
      </c>
      <c r="F222" s="141" t="n">
        <f aca="false">Estacas!F222</f>
        <v>11</v>
      </c>
      <c r="G222" s="141" t="n">
        <f aca="false">Estacas!F223</f>
        <v>11</v>
      </c>
      <c r="H222" s="141" t="n">
        <f aca="false">C222*(Estacas!K222+Estacas!K223)/2</f>
        <v>11.05</v>
      </c>
      <c r="I222" s="141" t="n">
        <f aca="false">H222*Parâmetros!$C$14</f>
        <v>26.52</v>
      </c>
      <c r="J222" s="141" t="n">
        <f aca="false">C222*(Estacas!L222+Estacas!L223)/2</f>
        <v>36.352</v>
      </c>
      <c r="K222" s="141" t="n">
        <f aca="false">C222*(Estacas!M222+Estacas!M223)/2</f>
        <v>47.68</v>
      </c>
      <c r="L222" s="141" t="n">
        <f aca="false">C222*(Estacas!N222+Estacas!N223)/2</f>
        <v>75.72</v>
      </c>
      <c r="M222" s="141" t="n">
        <f aca="false">C222*(Estacas!O222+Estacas!O223)/2</f>
        <v>224</v>
      </c>
      <c r="N222" s="141" t="n">
        <f aca="false">C222*(Estacas!O222+Estacas!O223)/2</f>
        <v>224</v>
      </c>
      <c r="O222" s="141" t="n">
        <f aca="false">C222*(Estacas!P222+Estacas!P223)/2</f>
        <v>258.4</v>
      </c>
      <c r="P222" s="141" t="n">
        <f aca="false">R222*Parâmetros!$C$11</f>
        <v>0</v>
      </c>
      <c r="Q222" s="141" t="n">
        <f aca="false">R222*Parâmetros!$C$12</f>
        <v>0</v>
      </c>
      <c r="R222" s="141" t="n">
        <f aca="false">C222*(Estacas!Q222+Estacas!Q223)/2</f>
        <v>0</v>
      </c>
      <c r="S222" s="141" t="n">
        <f aca="false">IF(LEFT(E222,3)="T09",C222*Parâmetros!$D$13*Parâmetros!$C$13,0)</f>
        <v>0</v>
      </c>
    </row>
    <row r="223" customFormat="false" ht="15" hidden="false" customHeight="false" outlineLevel="0" collapsed="false">
      <c r="A223" s="138" t="str">
        <f aca="false">Estacas!A223</f>
        <v>221+0,00</v>
      </c>
      <c r="B223" s="138" t="str">
        <f aca="false">Estacas!A224</f>
        <v>222+0,00</v>
      </c>
      <c r="C223" s="144" t="n">
        <f aca="false">Estacas!C224-Estacas!C223</f>
        <v>20</v>
      </c>
      <c r="D223" s="138" t="s">
        <v>1565</v>
      </c>
      <c r="E223" s="138" t="s">
        <v>1566</v>
      </c>
      <c r="F223" s="141" t="n">
        <f aca="false">Estacas!F223</f>
        <v>11</v>
      </c>
      <c r="G223" s="141" t="n">
        <f aca="false">Estacas!F224</f>
        <v>11</v>
      </c>
      <c r="H223" s="141" t="n">
        <f aca="false">C223*(Estacas!K223+Estacas!K224)/2</f>
        <v>11.05</v>
      </c>
      <c r="I223" s="141" t="n">
        <f aca="false">H223*Parâmetros!$C$14</f>
        <v>26.52</v>
      </c>
      <c r="J223" s="141" t="n">
        <f aca="false">C223*(Estacas!L223+Estacas!L224)/2</f>
        <v>36.352</v>
      </c>
      <c r="K223" s="141" t="n">
        <f aca="false">C223*(Estacas!M223+Estacas!M224)/2</f>
        <v>47.68</v>
      </c>
      <c r="L223" s="141" t="n">
        <f aca="false">C223*(Estacas!N223+Estacas!N224)/2</f>
        <v>75.72</v>
      </c>
      <c r="M223" s="141" t="n">
        <f aca="false">C223*(Estacas!O223+Estacas!O224)/2</f>
        <v>224</v>
      </c>
      <c r="N223" s="141" t="n">
        <f aca="false">C223*(Estacas!O223+Estacas!O224)/2</f>
        <v>224</v>
      </c>
      <c r="O223" s="141" t="n">
        <f aca="false">C223*(Estacas!P223+Estacas!P224)/2</f>
        <v>258.4</v>
      </c>
      <c r="P223" s="141" t="n">
        <f aca="false">R223*Parâmetros!$C$11</f>
        <v>0</v>
      </c>
      <c r="Q223" s="141" t="n">
        <f aca="false">R223*Parâmetros!$C$12</f>
        <v>0</v>
      </c>
      <c r="R223" s="141" t="n">
        <f aca="false">C223*(Estacas!Q223+Estacas!Q224)/2</f>
        <v>0</v>
      </c>
      <c r="S223" s="141" t="n">
        <f aca="false">IF(LEFT(E223,3)="T09",C223*Parâmetros!$D$13*Parâmetros!$C$13,0)</f>
        <v>0</v>
      </c>
    </row>
    <row r="224" customFormat="false" ht="15" hidden="false" customHeight="false" outlineLevel="0" collapsed="false">
      <c r="A224" s="138" t="str">
        <f aca="false">Estacas!A224</f>
        <v>222+0,00</v>
      </c>
      <c r="B224" s="138" t="str">
        <f aca="false">Estacas!A225</f>
        <v>223+0,00</v>
      </c>
      <c r="C224" s="144" t="n">
        <f aca="false">Estacas!C225-Estacas!C224</f>
        <v>20</v>
      </c>
      <c r="D224" s="138" t="s">
        <v>1565</v>
      </c>
      <c r="E224" s="138" t="s">
        <v>1566</v>
      </c>
      <c r="F224" s="141" t="n">
        <f aca="false">Estacas!F224</f>
        <v>11</v>
      </c>
      <c r="G224" s="141" t="n">
        <f aca="false">Estacas!F225</f>
        <v>11</v>
      </c>
      <c r="H224" s="141" t="n">
        <f aca="false">C224*(Estacas!K224+Estacas!K225)/2</f>
        <v>11.05</v>
      </c>
      <c r="I224" s="141" t="n">
        <f aca="false">H224*Parâmetros!$C$14</f>
        <v>26.52</v>
      </c>
      <c r="J224" s="141" t="n">
        <f aca="false">C224*(Estacas!L224+Estacas!L225)/2</f>
        <v>36.352</v>
      </c>
      <c r="K224" s="141" t="n">
        <f aca="false">C224*(Estacas!M224+Estacas!M225)/2</f>
        <v>47.68</v>
      </c>
      <c r="L224" s="141" t="n">
        <f aca="false">C224*(Estacas!N224+Estacas!N225)/2</f>
        <v>75.72</v>
      </c>
      <c r="M224" s="141" t="n">
        <f aca="false">C224*(Estacas!O224+Estacas!O225)/2</f>
        <v>224</v>
      </c>
      <c r="N224" s="141" t="n">
        <f aca="false">C224*(Estacas!O224+Estacas!O225)/2</f>
        <v>224</v>
      </c>
      <c r="O224" s="141" t="n">
        <f aca="false">C224*(Estacas!P224+Estacas!P225)/2</f>
        <v>258.4</v>
      </c>
      <c r="P224" s="141" t="n">
        <f aca="false">R224*Parâmetros!$C$11</f>
        <v>0</v>
      </c>
      <c r="Q224" s="141" t="n">
        <f aca="false">R224*Parâmetros!$C$12</f>
        <v>0</v>
      </c>
      <c r="R224" s="141" t="n">
        <f aca="false">C224*(Estacas!Q224+Estacas!Q225)/2</f>
        <v>0</v>
      </c>
      <c r="S224" s="141" t="n">
        <f aca="false">IF(LEFT(E224,3)="T09",C224*Parâmetros!$D$13*Parâmetros!$C$13,0)</f>
        <v>0</v>
      </c>
    </row>
    <row r="225" customFormat="false" ht="15" hidden="false" customHeight="false" outlineLevel="0" collapsed="false">
      <c r="A225" s="138" t="str">
        <f aca="false">Estacas!A225</f>
        <v>223+0,00</v>
      </c>
      <c r="B225" s="138" t="str">
        <f aca="false">Estacas!A226</f>
        <v>224+0,00</v>
      </c>
      <c r="C225" s="144" t="n">
        <f aca="false">Estacas!C226-Estacas!C225</f>
        <v>20</v>
      </c>
      <c r="D225" s="138" t="s">
        <v>1565</v>
      </c>
      <c r="E225" s="138" t="s">
        <v>1566</v>
      </c>
      <c r="F225" s="141" t="n">
        <f aca="false">Estacas!F225</f>
        <v>11</v>
      </c>
      <c r="G225" s="141" t="n">
        <f aca="false">Estacas!F226</f>
        <v>11</v>
      </c>
      <c r="H225" s="141" t="n">
        <f aca="false">C225*(Estacas!K225+Estacas!K226)/2</f>
        <v>11.05</v>
      </c>
      <c r="I225" s="141" t="n">
        <f aca="false">H225*Parâmetros!$C$14</f>
        <v>26.52</v>
      </c>
      <c r="J225" s="141" t="n">
        <f aca="false">C225*(Estacas!L225+Estacas!L226)/2</f>
        <v>36.352</v>
      </c>
      <c r="K225" s="141" t="n">
        <f aca="false">C225*(Estacas!M225+Estacas!M226)/2</f>
        <v>47.68</v>
      </c>
      <c r="L225" s="141" t="n">
        <f aca="false">C225*(Estacas!N225+Estacas!N226)/2</f>
        <v>75.72</v>
      </c>
      <c r="M225" s="141" t="n">
        <f aca="false">C225*(Estacas!O225+Estacas!O226)/2</f>
        <v>224</v>
      </c>
      <c r="N225" s="141" t="n">
        <f aca="false">C225*(Estacas!O225+Estacas!O226)/2</f>
        <v>224</v>
      </c>
      <c r="O225" s="141" t="n">
        <f aca="false">C225*(Estacas!P225+Estacas!P226)/2</f>
        <v>258.4</v>
      </c>
      <c r="P225" s="141" t="n">
        <f aca="false">R225*Parâmetros!$C$11</f>
        <v>0</v>
      </c>
      <c r="Q225" s="141" t="n">
        <f aca="false">R225*Parâmetros!$C$12</f>
        <v>0</v>
      </c>
      <c r="R225" s="141" t="n">
        <f aca="false">C225*(Estacas!Q225+Estacas!Q226)/2</f>
        <v>0</v>
      </c>
      <c r="S225" s="141" t="n">
        <f aca="false">IF(LEFT(E225,3)="T09",C225*Parâmetros!$D$13*Parâmetros!$C$13,0)</f>
        <v>0</v>
      </c>
    </row>
    <row r="226" customFormat="false" ht="15" hidden="false" customHeight="false" outlineLevel="0" collapsed="false">
      <c r="A226" s="138" t="str">
        <f aca="false">Estacas!A226</f>
        <v>224+0,00</v>
      </c>
      <c r="B226" s="138" t="str">
        <f aca="false">Estacas!A227</f>
        <v>225+0,00</v>
      </c>
      <c r="C226" s="144" t="n">
        <f aca="false">Estacas!C227-Estacas!C226</f>
        <v>20</v>
      </c>
      <c r="D226" s="138" t="s">
        <v>1565</v>
      </c>
      <c r="E226" s="138" t="s">
        <v>1566</v>
      </c>
      <c r="F226" s="141" t="n">
        <f aca="false">Estacas!F226</f>
        <v>11</v>
      </c>
      <c r="G226" s="141" t="n">
        <f aca="false">Estacas!F227</f>
        <v>11</v>
      </c>
      <c r="H226" s="141" t="n">
        <f aca="false">C226*(Estacas!K226+Estacas!K227)/2</f>
        <v>11.05</v>
      </c>
      <c r="I226" s="141" t="n">
        <f aca="false">H226*Parâmetros!$C$14</f>
        <v>26.52</v>
      </c>
      <c r="J226" s="141" t="n">
        <f aca="false">C226*(Estacas!L226+Estacas!L227)/2</f>
        <v>36.352</v>
      </c>
      <c r="K226" s="141" t="n">
        <f aca="false">C226*(Estacas!M226+Estacas!M227)/2</f>
        <v>47.68</v>
      </c>
      <c r="L226" s="141" t="n">
        <f aca="false">C226*(Estacas!N226+Estacas!N227)/2</f>
        <v>75.72</v>
      </c>
      <c r="M226" s="141" t="n">
        <f aca="false">C226*(Estacas!O226+Estacas!O227)/2</f>
        <v>224</v>
      </c>
      <c r="N226" s="141" t="n">
        <f aca="false">C226*(Estacas!O226+Estacas!O227)/2</f>
        <v>224</v>
      </c>
      <c r="O226" s="141" t="n">
        <f aca="false">C226*(Estacas!P226+Estacas!P227)/2</f>
        <v>258.4</v>
      </c>
      <c r="P226" s="141" t="n">
        <f aca="false">R226*Parâmetros!$C$11</f>
        <v>0</v>
      </c>
      <c r="Q226" s="141" t="n">
        <f aca="false">R226*Parâmetros!$C$12</f>
        <v>0</v>
      </c>
      <c r="R226" s="141" t="n">
        <f aca="false">C226*(Estacas!Q226+Estacas!Q227)/2</f>
        <v>0</v>
      </c>
      <c r="S226" s="141" t="n">
        <f aca="false">IF(LEFT(E226,3)="T09",C226*Parâmetros!$D$13*Parâmetros!$C$13,0)</f>
        <v>0</v>
      </c>
    </row>
    <row r="227" customFormat="false" ht="15" hidden="false" customHeight="false" outlineLevel="0" collapsed="false">
      <c r="A227" s="138" t="str">
        <f aca="false">Estacas!A227</f>
        <v>225+0,00</v>
      </c>
      <c r="B227" s="138" t="str">
        <f aca="false">Estacas!A228</f>
        <v>226+0,00</v>
      </c>
      <c r="C227" s="144" t="n">
        <f aca="false">Estacas!C228-Estacas!C227</f>
        <v>20</v>
      </c>
      <c r="D227" s="138" t="s">
        <v>1565</v>
      </c>
      <c r="E227" s="138" t="s">
        <v>1566</v>
      </c>
      <c r="F227" s="141" t="n">
        <f aca="false">Estacas!F227</f>
        <v>11</v>
      </c>
      <c r="G227" s="141" t="n">
        <f aca="false">Estacas!F228</f>
        <v>11</v>
      </c>
      <c r="H227" s="141" t="n">
        <f aca="false">C227*(Estacas!K227+Estacas!K228)/2</f>
        <v>11.05</v>
      </c>
      <c r="I227" s="141" t="n">
        <f aca="false">H227*Parâmetros!$C$14</f>
        <v>26.52</v>
      </c>
      <c r="J227" s="141" t="n">
        <f aca="false">C227*(Estacas!L227+Estacas!L228)/2</f>
        <v>36.352</v>
      </c>
      <c r="K227" s="141" t="n">
        <f aca="false">C227*(Estacas!M227+Estacas!M228)/2</f>
        <v>47.68</v>
      </c>
      <c r="L227" s="141" t="n">
        <f aca="false">C227*(Estacas!N227+Estacas!N228)/2</f>
        <v>75.72</v>
      </c>
      <c r="M227" s="141" t="n">
        <f aca="false">C227*(Estacas!O227+Estacas!O228)/2</f>
        <v>224</v>
      </c>
      <c r="N227" s="141" t="n">
        <f aca="false">C227*(Estacas!O227+Estacas!O228)/2</f>
        <v>224</v>
      </c>
      <c r="O227" s="141" t="n">
        <f aca="false">C227*(Estacas!P227+Estacas!P228)/2</f>
        <v>258.4</v>
      </c>
      <c r="P227" s="141" t="n">
        <f aca="false">R227*Parâmetros!$C$11</f>
        <v>0</v>
      </c>
      <c r="Q227" s="141" t="n">
        <f aca="false">R227*Parâmetros!$C$12</f>
        <v>0</v>
      </c>
      <c r="R227" s="141" t="n">
        <f aca="false">C227*(Estacas!Q227+Estacas!Q228)/2</f>
        <v>0</v>
      </c>
      <c r="S227" s="141" t="n">
        <f aca="false">IF(LEFT(E227,3)="T09",C227*Parâmetros!$D$13*Parâmetros!$C$13,0)</f>
        <v>0</v>
      </c>
    </row>
    <row r="228" customFormat="false" ht="15" hidden="false" customHeight="false" outlineLevel="0" collapsed="false">
      <c r="A228" s="138" t="str">
        <f aca="false">Estacas!A228</f>
        <v>226+0,00</v>
      </c>
      <c r="B228" s="138" t="str">
        <f aca="false">Estacas!A229</f>
        <v>227+0,00</v>
      </c>
      <c r="C228" s="144" t="n">
        <f aca="false">Estacas!C229-Estacas!C228</f>
        <v>20</v>
      </c>
      <c r="D228" s="138" t="s">
        <v>1565</v>
      </c>
      <c r="E228" s="138" t="s">
        <v>1566</v>
      </c>
      <c r="F228" s="141" t="n">
        <f aca="false">Estacas!F228</f>
        <v>11</v>
      </c>
      <c r="G228" s="141" t="n">
        <f aca="false">Estacas!F229</f>
        <v>11</v>
      </c>
      <c r="H228" s="141" t="n">
        <f aca="false">C228*(Estacas!K228+Estacas!K229)/2</f>
        <v>11.05</v>
      </c>
      <c r="I228" s="141" t="n">
        <f aca="false">H228*Parâmetros!$C$14</f>
        <v>26.52</v>
      </c>
      <c r="J228" s="141" t="n">
        <f aca="false">C228*(Estacas!L228+Estacas!L229)/2</f>
        <v>36.352</v>
      </c>
      <c r="K228" s="141" t="n">
        <f aca="false">C228*(Estacas!M228+Estacas!M229)/2</f>
        <v>47.68</v>
      </c>
      <c r="L228" s="141" t="n">
        <f aca="false">C228*(Estacas!N228+Estacas!N229)/2</f>
        <v>75.72</v>
      </c>
      <c r="M228" s="141" t="n">
        <f aca="false">C228*(Estacas!O228+Estacas!O229)/2</f>
        <v>224</v>
      </c>
      <c r="N228" s="141" t="n">
        <f aca="false">C228*(Estacas!O228+Estacas!O229)/2</f>
        <v>224</v>
      </c>
      <c r="O228" s="141" t="n">
        <f aca="false">C228*(Estacas!P228+Estacas!P229)/2</f>
        <v>258.4</v>
      </c>
      <c r="P228" s="141" t="n">
        <f aca="false">R228*Parâmetros!$C$11</f>
        <v>0</v>
      </c>
      <c r="Q228" s="141" t="n">
        <f aca="false">R228*Parâmetros!$C$12</f>
        <v>0</v>
      </c>
      <c r="R228" s="141" t="n">
        <f aca="false">C228*(Estacas!Q228+Estacas!Q229)/2</f>
        <v>0</v>
      </c>
      <c r="S228" s="141" t="n">
        <f aca="false">IF(LEFT(E228,3)="T09",C228*Parâmetros!$D$13*Parâmetros!$C$13,0)</f>
        <v>0</v>
      </c>
    </row>
    <row r="229" customFormat="false" ht="15" hidden="false" customHeight="false" outlineLevel="0" collapsed="false">
      <c r="A229" s="138" t="str">
        <f aca="false">Estacas!A229</f>
        <v>227+0,00</v>
      </c>
      <c r="B229" s="138" t="str">
        <f aca="false">Estacas!A230</f>
        <v>228+0,00</v>
      </c>
      <c r="C229" s="144" t="n">
        <f aca="false">Estacas!C230-Estacas!C229</f>
        <v>20</v>
      </c>
      <c r="D229" s="138" t="s">
        <v>1565</v>
      </c>
      <c r="E229" s="138" t="s">
        <v>1566</v>
      </c>
      <c r="F229" s="141" t="n">
        <f aca="false">Estacas!F229</f>
        <v>11</v>
      </c>
      <c r="G229" s="141" t="n">
        <f aca="false">Estacas!F230</f>
        <v>11</v>
      </c>
      <c r="H229" s="141" t="n">
        <f aca="false">C229*(Estacas!K229+Estacas!K230)/2</f>
        <v>11.05</v>
      </c>
      <c r="I229" s="141" t="n">
        <f aca="false">H229*Parâmetros!$C$14</f>
        <v>26.52</v>
      </c>
      <c r="J229" s="141" t="n">
        <f aca="false">C229*(Estacas!L229+Estacas!L230)/2</f>
        <v>36.352</v>
      </c>
      <c r="K229" s="141" t="n">
        <f aca="false">C229*(Estacas!M229+Estacas!M230)/2</f>
        <v>47.68</v>
      </c>
      <c r="L229" s="141" t="n">
        <f aca="false">C229*(Estacas!N229+Estacas!N230)/2</f>
        <v>75.72</v>
      </c>
      <c r="M229" s="141" t="n">
        <f aca="false">C229*(Estacas!O229+Estacas!O230)/2</f>
        <v>224</v>
      </c>
      <c r="N229" s="141" t="n">
        <f aca="false">C229*(Estacas!O229+Estacas!O230)/2</f>
        <v>224</v>
      </c>
      <c r="O229" s="141" t="n">
        <f aca="false">C229*(Estacas!P229+Estacas!P230)/2</f>
        <v>258.4</v>
      </c>
      <c r="P229" s="141" t="n">
        <f aca="false">R229*Parâmetros!$C$11</f>
        <v>0</v>
      </c>
      <c r="Q229" s="141" t="n">
        <f aca="false">R229*Parâmetros!$C$12</f>
        <v>0</v>
      </c>
      <c r="R229" s="141" t="n">
        <f aca="false">C229*(Estacas!Q229+Estacas!Q230)/2</f>
        <v>0</v>
      </c>
      <c r="S229" s="141" t="n">
        <f aca="false">IF(LEFT(E229,3)="T09",C229*Parâmetros!$D$13*Parâmetros!$C$13,0)</f>
        <v>0</v>
      </c>
    </row>
    <row r="230" customFormat="false" ht="15" hidden="false" customHeight="false" outlineLevel="0" collapsed="false">
      <c r="A230" s="138" t="str">
        <f aca="false">Estacas!A230</f>
        <v>228+0,00</v>
      </c>
      <c r="B230" s="138" t="str">
        <f aca="false">Estacas!A231</f>
        <v>229+0,00</v>
      </c>
      <c r="C230" s="144" t="n">
        <f aca="false">Estacas!C231-Estacas!C230</f>
        <v>20</v>
      </c>
      <c r="D230" s="138" t="s">
        <v>1565</v>
      </c>
      <c r="E230" s="138" t="s">
        <v>1566</v>
      </c>
      <c r="F230" s="141" t="n">
        <f aca="false">Estacas!F230</f>
        <v>11</v>
      </c>
      <c r="G230" s="141" t="n">
        <f aca="false">Estacas!F231</f>
        <v>11</v>
      </c>
      <c r="H230" s="141" t="n">
        <f aca="false">C230*(Estacas!K230+Estacas!K231)/2</f>
        <v>11.05</v>
      </c>
      <c r="I230" s="141" t="n">
        <f aca="false">H230*Parâmetros!$C$14</f>
        <v>26.52</v>
      </c>
      <c r="J230" s="141" t="n">
        <f aca="false">C230*(Estacas!L230+Estacas!L231)/2</f>
        <v>36.352</v>
      </c>
      <c r="K230" s="141" t="n">
        <f aca="false">C230*(Estacas!M230+Estacas!M231)/2</f>
        <v>47.68</v>
      </c>
      <c r="L230" s="141" t="n">
        <f aca="false">C230*(Estacas!N230+Estacas!N231)/2</f>
        <v>75.72</v>
      </c>
      <c r="M230" s="141" t="n">
        <f aca="false">C230*(Estacas!O230+Estacas!O231)/2</f>
        <v>224</v>
      </c>
      <c r="N230" s="141" t="n">
        <f aca="false">C230*(Estacas!O230+Estacas!O231)/2</f>
        <v>224</v>
      </c>
      <c r="O230" s="141" t="n">
        <f aca="false">C230*(Estacas!P230+Estacas!P231)/2</f>
        <v>258.4</v>
      </c>
      <c r="P230" s="141" t="n">
        <f aca="false">R230*Parâmetros!$C$11</f>
        <v>0</v>
      </c>
      <c r="Q230" s="141" t="n">
        <f aca="false">R230*Parâmetros!$C$12</f>
        <v>0</v>
      </c>
      <c r="R230" s="141" t="n">
        <f aca="false">C230*(Estacas!Q230+Estacas!Q231)/2</f>
        <v>0</v>
      </c>
      <c r="S230" s="141" t="n">
        <f aca="false">IF(LEFT(E230,3)="T09",C230*Parâmetros!$D$13*Parâmetros!$C$13,0)</f>
        <v>0</v>
      </c>
    </row>
    <row r="231" customFormat="false" ht="15" hidden="false" customHeight="false" outlineLevel="0" collapsed="false">
      <c r="A231" s="138" t="str">
        <f aca="false">Estacas!A231</f>
        <v>229+0,00</v>
      </c>
      <c r="B231" s="138" t="str">
        <f aca="false">Estacas!A232</f>
        <v>230+0,00</v>
      </c>
      <c r="C231" s="144" t="n">
        <f aca="false">Estacas!C232-Estacas!C231</f>
        <v>20</v>
      </c>
      <c r="D231" s="138" t="s">
        <v>1565</v>
      </c>
      <c r="E231" s="138" t="s">
        <v>1566</v>
      </c>
      <c r="F231" s="141" t="n">
        <f aca="false">Estacas!F231</f>
        <v>11</v>
      </c>
      <c r="G231" s="141" t="n">
        <f aca="false">Estacas!F232</f>
        <v>11</v>
      </c>
      <c r="H231" s="141" t="n">
        <f aca="false">C231*(Estacas!K231+Estacas!K232)/2</f>
        <v>11.05</v>
      </c>
      <c r="I231" s="141" t="n">
        <f aca="false">H231*Parâmetros!$C$14</f>
        <v>26.52</v>
      </c>
      <c r="J231" s="141" t="n">
        <f aca="false">C231*(Estacas!L231+Estacas!L232)/2</f>
        <v>36.352</v>
      </c>
      <c r="K231" s="141" t="n">
        <f aca="false">C231*(Estacas!M231+Estacas!M232)/2</f>
        <v>47.68</v>
      </c>
      <c r="L231" s="141" t="n">
        <f aca="false">C231*(Estacas!N231+Estacas!N232)/2</f>
        <v>75.72</v>
      </c>
      <c r="M231" s="141" t="n">
        <f aca="false">C231*(Estacas!O231+Estacas!O232)/2</f>
        <v>224</v>
      </c>
      <c r="N231" s="141" t="n">
        <f aca="false">C231*(Estacas!O231+Estacas!O232)/2</f>
        <v>224</v>
      </c>
      <c r="O231" s="141" t="n">
        <f aca="false">C231*(Estacas!P231+Estacas!P232)/2</f>
        <v>258.4</v>
      </c>
      <c r="P231" s="141" t="n">
        <f aca="false">R231*Parâmetros!$C$11</f>
        <v>0</v>
      </c>
      <c r="Q231" s="141" t="n">
        <f aca="false">R231*Parâmetros!$C$12</f>
        <v>0</v>
      </c>
      <c r="R231" s="141" t="n">
        <f aca="false">C231*(Estacas!Q231+Estacas!Q232)/2</f>
        <v>0</v>
      </c>
      <c r="S231" s="141" t="n">
        <f aca="false">IF(LEFT(E231,3)="T09",C231*Parâmetros!$D$13*Parâmetros!$C$13,0)</f>
        <v>0</v>
      </c>
    </row>
    <row r="232" customFormat="false" ht="15" hidden="false" customHeight="false" outlineLevel="0" collapsed="false">
      <c r="A232" s="138" t="str">
        <f aca="false">Estacas!A232</f>
        <v>230+0,00</v>
      </c>
      <c r="B232" s="138" t="str">
        <f aca="false">Estacas!A233</f>
        <v>231+0,00</v>
      </c>
      <c r="C232" s="144" t="n">
        <f aca="false">Estacas!C233-Estacas!C232</f>
        <v>20</v>
      </c>
      <c r="D232" s="138" t="s">
        <v>1565</v>
      </c>
      <c r="E232" s="138" t="s">
        <v>1566</v>
      </c>
      <c r="F232" s="141" t="n">
        <f aca="false">Estacas!F232</f>
        <v>11</v>
      </c>
      <c r="G232" s="141" t="n">
        <f aca="false">Estacas!F233</f>
        <v>11</v>
      </c>
      <c r="H232" s="141" t="n">
        <f aca="false">C232*(Estacas!K232+Estacas!K233)/2</f>
        <v>11.05</v>
      </c>
      <c r="I232" s="141" t="n">
        <f aca="false">H232*Parâmetros!$C$14</f>
        <v>26.52</v>
      </c>
      <c r="J232" s="141" t="n">
        <f aca="false">C232*(Estacas!L232+Estacas!L233)/2</f>
        <v>36.352</v>
      </c>
      <c r="K232" s="141" t="n">
        <f aca="false">C232*(Estacas!M232+Estacas!M233)/2</f>
        <v>47.68</v>
      </c>
      <c r="L232" s="141" t="n">
        <f aca="false">C232*(Estacas!N232+Estacas!N233)/2</f>
        <v>75.72</v>
      </c>
      <c r="M232" s="141" t="n">
        <f aca="false">C232*(Estacas!O232+Estacas!O233)/2</f>
        <v>224</v>
      </c>
      <c r="N232" s="141" t="n">
        <f aca="false">C232*(Estacas!O232+Estacas!O233)/2</f>
        <v>224</v>
      </c>
      <c r="O232" s="141" t="n">
        <f aca="false">C232*(Estacas!P232+Estacas!P233)/2</f>
        <v>258.4</v>
      </c>
      <c r="P232" s="141" t="n">
        <f aca="false">R232*Parâmetros!$C$11</f>
        <v>0</v>
      </c>
      <c r="Q232" s="141" t="n">
        <f aca="false">R232*Parâmetros!$C$12</f>
        <v>0</v>
      </c>
      <c r="R232" s="141" t="n">
        <f aca="false">C232*(Estacas!Q232+Estacas!Q233)/2</f>
        <v>0</v>
      </c>
      <c r="S232" s="141" t="n">
        <f aca="false">IF(LEFT(E232,3)="T09",C232*Parâmetros!$D$13*Parâmetros!$C$13,0)</f>
        <v>0</v>
      </c>
    </row>
    <row r="233" customFormat="false" ht="15" hidden="false" customHeight="false" outlineLevel="0" collapsed="false">
      <c r="A233" s="138" t="str">
        <f aca="false">Estacas!A233</f>
        <v>231+0,00</v>
      </c>
      <c r="B233" s="138" t="str">
        <f aca="false">Estacas!A234</f>
        <v>232+0,00</v>
      </c>
      <c r="C233" s="144" t="n">
        <f aca="false">Estacas!C234-Estacas!C233</f>
        <v>20</v>
      </c>
      <c r="D233" s="138" t="s">
        <v>1565</v>
      </c>
      <c r="E233" s="138" t="s">
        <v>1566</v>
      </c>
      <c r="F233" s="141" t="n">
        <f aca="false">Estacas!F233</f>
        <v>11</v>
      </c>
      <c r="G233" s="141" t="n">
        <f aca="false">Estacas!F234</f>
        <v>11</v>
      </c>
      <c r="H233" s="141" t="n">
        <f aca="false">C233*(Estacas!K233+Estacas!K234)/2</f>
        <v>11.05</v>
      </c>
      <c r="I233" s="141" t="n">
        <f aca="false">H233*Parâmetros!$C$14</f>
        <v>26.52</v>
      </c>
      <c r="J233" s="141" t="n">
        <f aca="false">C233*(Estacas!L233+Estacas!L234)/2</f>
        <v>36.352</v>
      </c>
      <c r="K233" s="141" t="n">
        <f aca="false">C233*(Estacas!M233+Estacas!M234)/2</f>
        <v>47.68</v>
      </c>
      <c r="L233" s="141" t="n">
        <f aca="false">C233*(Estacas!N233+Estacas!N234)/2</f>
        <v>75.72</v>
      </c>
      <c r="M233" s="141" t="n">
        <f aca="false">C233*(Estacas!O233+Estacas!O234)/2</f>
        <v>224</v>
      </c>
      <c r="N233" s="141" t="n">
        <f aca="false">C233*(Estacas!O233+Estacas!O234)/2</f>
        <v>224</v>
      </c>
      <c r="O233" s="141" t="n">
        <f aca="false">C233*(Estacas!P233+Estacas!P234)/2</f>
        <v>258.4</v>
      </c>
      <c r="P233" s="141" t="n">
        <f aca="false">R233*Parâmetros!$C$11</f>
        <v>0</v>
      </c>
      <c r="Q233" s="141" t="n">
        <f aca="false">R233*Parâmetros!$C$12</f>
        <v>0</v>
      </c>
      <c r="R233" s="141" t="n">
        <f aca="false">C233*(Estacas!Q233+Estacas!Q234)/2</f>
        <v>0</v>
      </c>
      <c r="S233" s="141" t="n">
        <f aca="false">IF(LEFT(E233,3)="T09",C233*Parâmetros!$D$13*Parâmetros!$C$13,0)</f>
        <v>0</v>
      </c>
    </row>
    <row r="234" customFormat="false" ht="15" hidden="false" customHeight="false" outlineLevel="0" collapsed="false">
      <c r="A234" s="138" t="str">
        <f aca="false">Estacas!A234</f>
        <v>232+0,00</v>
      </c>
      <c r="B234" s="138" t="str">
        <f aca="false">Estacas!A235</f>
        <v>233+0,00</v>
      </c>
      <c r="C234" s="144" t="n">
        <f aca="false">Estacas!C235-Estacas!C234</f>
        <v>20</v>
      </c>
      <c r="D234" s="138" t="s">
        <v>1565</v>
      </c>
      <c r="E234" s="138" t="s">
        <v>1566</v>
      </c>
      <c r="F234" s="141" t="n">
        <f aca="false">Estacas!F234</f>
        <v>11</v>
      </c>
      <c r="G234" s="141" t="n">
        <f aca="false">Estacas!F235</f>
        <v>11</v>
      </c>
      <c r="H234" s="141" t="n">
        <f aca="false">C234*(Estacas!K234+Estacas!K235)/2</f>
        <v>11.05</v>
      </c>
      <c r="I234" s="141" t="n">
        <f aca="false">H234*Parâmetros!$C$14</f>
        <v>26.52</v>
      </c>
      <c r="J234" s="141" t="n">
        <f aca="false">C234*(Estacas!L234+Estacas!L235)/2</f>
        <v>36.352</v>
      </c>
      <c r="K234" s="141" t="n">
        <f aca="false">C234*(Estacas!M234+Estacas!M235)/2</f>
        <v>47.68</v>
      </c>
      <c r="L234" s="141" t="n">
        <f aca="false">C234*(Estacas!N234+Estacas!N235)/2</f>
        <v>75.72</v>
      </c>
      <c r="M234" s="141" t="n">
        <f aca="false">C234*(Estacas!O234+Estacas!O235)/2</f>
        <v>224</v>
      </c>
      <c r="N234" s="141" t="n">
        <f aca="false">C234*(Estacas!O234+Estacas!O235)/2</f>
        <v>224</v>
      </c>
      <c r="O234" s="141" t="n">
        <f aca="false">C234*(Estacas!P234+Estacas!P235)/2</f>
        <v>258.4</v>
      </c>
      <c r="P234" s="141" t="n">
        <f aca="false">R234*Parâmetros!$C$11</f>
        <v>0</v>
      </c>
      <c r="Q234" s="141" t="n">
        <f aca="false">R234*Parâmetros!$C$12</f>
        <v>0</v>
      </c>
      <c r="R234" s="141" t="n">
        <f aca="false">C234*(Estacas!Q234+Estacas!Q235)/2</f>
        <v>0</v>
      </c>
      <c r="S234" s="141" t="n">
        <f aca="false">IF(LEFT(E234,3)="T09",C234*Parâmetros!$D$13*Parâmetros!$C$13,0)</f>
        <v>0</v>
      </c>
    </row>
    <row r="235" customFormat="false" ht="15" hidden="false" customHeight="false" outlineLevel="0" collapsed="false">
      <c r="A235" s="138" t="str">
        <f aca="false">Estacas!A235</f>
        <v>233+0,00</v>
      </c>
      <c r="B235" s="138" t="str">
        <f aca="false">Estacas!A236</f>
        <v>234+0,00</v>
      </c>
      <c r="C235" s="144" t="n">
        <f aca="false">Estacas!C236-Estacas!C235</f>
        <v>20</v>
      </c>
      <c r="D235" s="138" t="s">
        <v>1565</v>
      </c>
      <c r="E235" s="138" t="s">
        <v>1566</v>
      </c>
      <c r="F235" s="141" t="n">
        <f aca="false">Estacas!F235</f>
        <v>11</v>
      </c>
      <c r="G235" s="141" t="n">
        <f aca="false">Estacas!F236</f>
        <v>11</v>
      </c>
      <c r="H235" s="141" t="n">
        <f aca="false">C235*(Estacas!K235+Estacas!K236)/2</f>
        <v>11.05</v>
      </c>
      <c r="I235" s="141" t="n">
        <f aca="false">H235*Parâmetros!$C$14</f>
        <v>26.52</v>
      </c>
      <c r="J235" s="141" t="n">
        <f aca="false">C235*(Estacas!L235+Estacas!L236)/2</f>
        <v>36.352</v>
      </c>
      <c r="K235" s="141" t="n">
        <f aca="false">C235*(Estacas!M235+Estacas!M236)/2</f>
        <v>47.68</v>
      </c>
      <c r="L235" s="141" t="n">
        <f aca="false">C235*(Estacas!N235+Estacas!N236)/2</f>
        <v>75.72</v>
      </c>
      <c r="M235" s="141" t="n">
        <f aca="false">C235*(Estacas!O235+Estacas!O236)/2</f>
        <v>224</v>
      </c>
      <c r="N235" s="141" t="n">
        <f aca="false">C235*(Estacas!O235+Estacas!O236)/2</f>
        <v>224</v>
      </c>
      <c r="O235" s="141" t="n">
        <f aca="false">C235*(Estacas!P235+Estacas!P236)/2</f>
        <v>258.4</v>
      </c>
      <c r="P235" s="141" t="n">
        <f aca="false">R235*Parâmetros!$C$11</f>
        <v>0</v>
      </c>
      <c r="Q235" s="141" t="n">
        <f aca="false">R235*Parâmetros!$C$12</f>
        <v>0</v>
      </c>
      <c r="R235" s="141" t="n">
        <f aca="false">C235*(Estacas!Q235+Estacas!Q236)/2</f>
        <v>0</v>
      </c>
      <c r="S235" s="141" t="n">
        <f aca="false">IF(LEFT(E235,3)="T09",C235*Parâmetros!$D$13*Parâmetros!$C$13,0)</f>
        <v>0</v>
      </c>
    </row>
    <row r="236" customFormat="false" ht="15" hidden="false" customHeight="false" outlineLevel="0" collapsed="false">
      <c r="A236" s="138" t="str">
        <f aca="false">Estacas!A236</f>
        <v>234+0,00</v>
      </c>
      <c r="B236" s="138" t="str">
        <f aca="false">Estacas!A237</f>
        <v>235+0,00</v>
      </c>
      <c r="C236" s="144" t="n">
        <f aca="false">Estacas!C237-Estacas!C236</f>
        <v>20</v>
      </c>
      <c r="D236" s="138" t="s">
        <v>1565</v>
      </c>
      <c r="E236" s="138" t="s">
        <v>1566</v>
      </c>
      <c r="F236" s="141" t="n">
        <f aca="false">Estacas!F236</f>
        <v>11</v>
      </c>
      <c r="G236" s="141" t="n">
        <f aca="false">Estacas!F237</f>
        <v>11</v>
      </c>
      <c r="H236" s="141" t="n">
        <f aca="false">C236*(Estacas!K236+Estacas!K237)/2</f>
        <v>11.05</v>
      </c>
      <c r="I236" s="141" t="n">
        <f aca="false">H236*Parâmetros!$C$14</f>
        <v>26.52</v>
      </c>
      <c r="J236" s="141" t="n">
        <f aca="false">C236*(Estacas!L236+Estacas!L237)/2</f>
        <v>36.352</v>
      </c>
      <c r="K236" s="141" t="n">
        <f aca="false">C236*(Estacas!M236+Estacas!M237)/2</f>
        <v>47.68</v>
      </c>
      <c r="L236" s="141" t="n">
        <f aca="false">C236*(Estacas!N236+Estacas!N237)/2</f>
        <v>75.72</v>
      </c>
      <c r="M236" s="141" t="n">
        <f aca="false">C236*(Estacas!O236+Estacas!O237)/2</f>
        <v>224</v>
      </c>
      <c r="N236" s="141" t="n">
        <f aca="false">C236*(Estacas!O236+Estacas!O237)/2</f>
        <v>224</v>
      </c>
      <c r="O236" s="141" t="n">
        <f aca="false">C236*(Estacas!P236+Estacas!P237)/2</f>
        <v>258.4</v>
      </c>
      <c r="P236" s="141" t="n">
        <f aca="false">R236*Parâmetros!$C$11</f>
        <v>0</v>
      </c>
      <c r="Q236" s="141" t="n">
        <f aca="false">R236*Parâmetros!$C$12</f>
        <v>0</v>
      </c>
      <c r="R236" s="141" t="n">
        <f aca="false">C236*(Estacas!Q236+Estacas!Q237)/2</f>
        <v>0</v>
      </c>
      <c r="S236" s="141" t="n">
        <f aca="false">IF(LEFT(E236,3)="T09",C236*Parâmetros!$D$13*Parâmetros!$C$13,0)</f>
        <v>0</v>
      </c>
    </row>
    <row r="237" customFormat="false" ht="15" hidden="false" customHeight="false" outlineLevel="0" collapsed="false">
      <c r="A237" s="138" t="str">
        <f aca="false">Estacas!A237</f>
        <v>235+0,00</v>
      </c>
      <c r="B237" s="138" t="str">
        <f aca="false">Estacas!A238</f>
        <v>236+0,00</v>
      </c>
      <c r="C237" s="144" t="n">
        <f aca="false">Estacas!C238-Estacas!C237</f>
        <v>20</v>
      </c>
      <c r="D237" s="138" t="s">
        <v>1565</v>
      </c>
      <c r="E237" s="138" t="s">
        <v>1566</v>
      </c>
      <c r="F237" s="141" t="n">
        <f aca="false">Estacas!F237</f>
        <v>11</v>
      </c>
      <c r="G237" s="141" t="n">
        <f aca="false">Estacas!F238</f>
        <v>11</v>
      </c>
      <c r="H237" s="141" t="n">
        <f aca="false">C237*(Estacas!K237+Estacas!K238)/2</f>
        <v>11.05</v>
      </c>
      <c r="I237" s="141" t="n">
        <f aca="false">H237*Parâmetros!$C$14</f>
        <v>26.52</v>
      </c>
      <c r="J237" s="141" t="n">
        <f aca="false">C237*(Estacas!L237+Estacas!L238)/2</f>
        <v>36.352</v>
      </c>
      <c r="K237" s="141" t="n">
        <f aca="false">C237*(Estacas!M237+Estacas!M238)/2</f>
        <v>47.68</v>
      </c>
      <c r="L237" s="141" t="n">
        <f aca="false">C237*(Estacas!N237+Estacas!N238)/2</f>
        <v>75.72</v>
      </c>
      <c r="M237" s="141" t="n">
        <f aca="false">C237*(Estacas!O237+Estacas!O238)/2</f>
        <v>224</v>
      </c>
      <c r="N237" s="141" t="n">
        <f aca="false">C237*(Estacas!O237+Estacas!O238)/2</f>
        <v>224</v>
      </c>
      <c r="O237" s="141" t="n">
        <f aca="false">C237*(Estacas!P237+Estacas!P238)/2</f>
        <v>258.4</v>
      </c>
      <c r="P237" s="141" t="n">
        <f aca="false">R237*Parâmetros!$C$11</f>
        <v>0</v>
      </c>
      <c r="Q237" s="141" t="n">
        <f aca="false">R237*Parâmetros!$C$12</f>
        <v>0</v>
      </c>
      <c r="R237" s="141" t="n">
        <f aca="false">C237*(Estacas!Q237+Estacas!Q238)/2</f>
        <v>0</v>
      </c>
      <c r="S237" s="141" t="n">
        <f aca="false">IF(LEFT(E237,3)="T09",C237*Parâmetros!$D$13*Parâmetros!$C$13,0)</f>
        <v>0</v>
      </c>
    </row>
    <row r="238" customFormat="false" ht="15" hidden="false" customHeight="false" outlineLevel="0" collapsed="false">
      <c r="A238" s="138" t="str">
        <f aca="false">Estacas!A238</f>
        <v>236+0,00</v>
      </c>
      <c r="B238" s="138" t="str">
        <f aca="false">Estacas!A239</f>
        <v>237+0,00</v>
      </c>
      <c r="C238" s="144" t="n">
        <f aca="false">Estacas!C239-Estacas!C238</f>
        <v>20</v>
      </c>
      <c r="D238" s="138" t="s">
        <v>1565</v>
      </c>
      <c r="E238" s="138" t="s">
        <v>1566</v>
      </c>
      <c r="F238" s="141" t="n">
        <f aca="false">Estacas!F238</f>
        <v>11</v>
      </c>
      <c r="G238" s="141" t="n">
        <f aca="false">Estacas!F239</f>
        <v>11</v>
      </c>
      <c r="H238" s="141" t="n">
        <f aca="false">C238*(Estacas!K238+Estacas!K239)/2</f>
        <v>11.05</v>
      </c>
      <c r="I238" s="141" t="n">
        <f aca="false">H238*Parâmetros!$C$14</f>
        <v>26.52</v>
      </c>
      <c r="J238" s="141" t="n">
        <f aca="false">C238*(Estacas!L238+Estacas!L239)/2</f>
        <v>36.352</v>
      </c>
      <c r="K238" s="141" t="n">
        <f aca="false">C238*(Estacas!M238+Estacas!M239)/2</f>
        <v>47.68</v>
      </c>
      <c r="L238" s="141" t="n">
        <f aca="false">C238*(Estacas!N238+Estacas!N239)/2</f>
        <v>75.72</v>
      </c>
      <c r="M238" s="141" t="n">
        <f aca="false">C238*(Estacas!O238+Estacas!O239)/2</f>
        <v>224</v>
      </c>
      <c r="N238" s="141" t="n">
        <f aca="false">C238*(Estacas!O238+Estacas!O239)/2</f>
        <v>224</v>
      </c>
      <c r="O238" s="141" t="n">
        <f aca="false">C238*(Estacas!P238+Estacas!P239)/2</f>
        <v>258.4</v>
      </c>
      <c r="P238" s="141" t="n">
        <f aca="false">R238*Parâmetros!$C$11</f>
        <v>0</v>
      </c>
      <c r="Q238" s="141" t="n">
        <f aca="false">R238*Parâmetros!$C$12</f>
        <v>0</v>
      </c>
      <c r="R238" s="141" t="n">
        <f aca="false">C238*(Estacas!Q238+Estacas!Q239)/2</f>
        <v>0</v>
      </c>
      <c r="S238" s="141" t="n">
        <f aca="false">IF(LEFT(E238,3)="T09",C238*Parâmetros!$D$13*Parâmetros!$C$13,0)</f>
        <v>0</v>
      </c>
    </row>
    <row r="239" customFormat="false" ht="15" hidden="false" customHeight="false" outlineLevel="0" collapsed="false">
      <c r="A239" s="138" t="str">
        <f aca="false">Estacas!A239</f>
        <v>237+0,00</v>
      </c>
      <c r="B239" s="138" t="str">
        <f aca="false">Estacas!A240</f>
        <v>238+0,00</v>
      </c>
      <c r="C239" s="144" t="n">
        <f aca="false">Estacas!C240-Estacas!C239</f>
        <v>20</v>
      </c>
      <c r="D239" s="138" t="s">
        <v>1565</v>
      </c>
      <c r="E239" s="138" t="s">
        <v>1566</v>
      </c>
      <c r="F239" s="141" t="n">
        <f aca="false">Estacas!F239</f>
        <v>11</v>
      </c>
      <c r="G239" s="141" t="n">
        <f aca="false">Estacas!F240</f>
        <v>11</v>
      </c>
      <c r="H239" s="141" t="n">
        <f aca="false">C239*(Estacas!K239+Estacas!K240)/2</f>
        <v>11.05</v>
      </c>
      <c r="I239" s="141" t="n">
        <f aca="false">H239*Parâmetros!$C$14</f>
        <v>26.52</v>
      </c>
      <c r="J239" s="141" t="n">
        <f aca="false">C239*(Estacas!L239+Estacas!L240)/2</f>
        <v>36.352</v>
      </c>
      <c r="K239" s="141" t="n">
        <f aca="false">C239*(Estacas!M239+Estacas!M240)/2</f>
        <v>47.68</v>
      </c>
      <c r="L239" s="141" t="n">
        <f aca="false">C239*(Estacas!N239+Estacas!N240)/2</f>
        <v>75.72</v>
      </c>
      <c r="M239" s="141" t="n">
        <f aca="false">C239*(Estacas!O239+Estacas!O240)/2</f>
        <v>224</v>
      </c>
      <c r="N239" s="141" t="n">
        <f aca="false">C239*(Estacas!O239+Estacas!O240)/2</f>
        <v>224</v>
      </c>
      <c r="O239" s="141" t="n">
        <f aca="false">C239*(Estacas!P239+Estacas!P240)/2</f>
        <v>258.4</v>
      </c>
      <c r="P239" s="141" t="n">
        <f aca="false">R239*Parâmetros!$C$11</f>
        <v>0</v>
      </c>
      <c r="Q239" s="141" t="n">
        <f aca="false">R239*Parâmetros!$C$12</f>
        <v>0</v>
      </c>
      <c r="R239" s="141" t="n">
        <f aca="false">C239*(Estacas!Q239+Estacas!Q240)/2</f>
        <v>0</v>
      </c>
      <c r="S239" s="141" t="n">
        <f aca="false">IF(LEFT(E239,3)="T09",C239*Parâmetros!$D$13*Parâmetros!$C$13,0)</f>
        <v>0</v>
      </c>
    </row>
    <row r="240" customFormat="false" ht="15" hidden="false" customHeight="false" outlineLevel="0" collapsed="false">
      <c r="A240" s="138" t="str">
        <f aca="false">Estacas!A240</f>
        <v>238+0,00</v>
      </c>
      <c r="B240" s="138" t="str">
        <f aca="false">Estacas!A241</f>
        <v>239+0,00</v>
      </c>
      <c r="C240" s="144" t="n">
        <f aca="false">Estacas!C241-Estacas!C240</f>
        <v>20</v>
      </c>
      <c r="D240" s="138" t="s">
        <v>1565</v>
      </c>
      <c r="E240" s="138" t="s">
        <v>1566</v>
      </c>
      <c r="F240" s="141" t="n">
        <f aca="false">Estacas!F240</f>
        <v>11</v>
      </c>
      <c r="G240" s="141" t="n">
        <f aca="false">Estacas!F241</f>
        <v>11</v>
      </c>
      <c r="H240" s="141" t="n">
        <f aca="false">C240*(Estacas!K240+Estacas!K241)/2</f>
        <v>11.05</v>
      </c>
      <c r="I240" s="141" t="n">
        <f aca="false">H240*Parâmetros!$C$14</f>
        <v>26.52</v>
      </c>
      <c r="J240" s="141" t="n">
        <f aca="false">C240*(Estacas!L240+Estacas!L241)/2</f>
        <v>36.352</v>
      </c>
      <c r="K240" s="141" t="n">
        <f aca="false">C240*(Estacas!M240+Estacas!M241)/2</f>
        <v>47.68</v>
      </c>
      <c r="L240" s="141" t="n">
        <f aca="false">C240*(Estacas!N240+Estacas!N241)/2</f>
        <v>75.72</v>
      </c>
      <c r="M240" s="141" t="n">
        <f aca="false">C240*(Estacas!O240+Estacas!O241)/2</f>
        <v>224</v>
      </c>
      <c r="N240" s="141" t="n">
        <f aca="false">C240*(Estacas!O240+Estacas!O241)/2</f>
        <v>224</v>
      </c>
      <c r="O240" s="141" t="n">
        <f aca="false">C240*(Estacas!P240+Estacas!P241)/2</f>
        <v>258.4</v>
      </c>
      <c r="P240" s="141" t="n">
        <f aca="false">R240*Parâmetros!$C$11</f>
        <v>0</v>
      </c>
      <c r="Q240" s="141" t="n">
        <f aca="false">R240*Parâmetros!$C$12</f>
        <v>0</v>
      </c>
      <c r="R240" s="141" t="n">
        <f aca="false">C240*(Estacas!Q240+Estacas!Q241)/2</f>
        <v>0</v>
      </c>
      <c r="S240" s="141" t="n">
        <f aca="false">IF(LEFT(E240,3)="T09",C240*Parâmetros!$D$13*Parâmetros!$C$13,0)</f>
        <v>0</v>
      </c>
    </row>
    <row r="241" customFormat="false" ht="15" hidden="false" customHeight="false" outlineLevel="0" collapsed="false">
      <c r="A241" s="138" t="str">
        <f aca="false">Estacas!A241</f>
        <v>239+0,00</v>
      </c>
      <c r="B241" s="138" t="str">
        <f aca="false">Estacas!A242</f>
        <v>240+0,00</v>
      </c>
      <c r="C241" s="144" t="n">
        <f aca="false">Estacas!C242-Estacas!C241</f>
        <v>20</v>
      </c>
      <c r="D241" s="138" t="s">
        <v>1565</v>
      </c>
      <c r="E241" s="138" t="s">
        <v>1566</v>
      </c>
      <c r="F241" s="141" t="n">
        <f aca="false">Estacas!F241</f>
        <v>11</v>
      </c>
      <c r="G241" s="141" t="n">
        <f aca="false">Estacas!F242</f>
        <v>11</v>
      </c>
      <c r="H241" s="141" t="n">
        <f aca="false">C241*(Estacas!K241+Estacas!K242)/2</f>
        <v>11.05</v>
      </c>
      <c r="I241" s="141" t="n">
        <f aca="false">H241*Parâmetros!$C$14</f>
        <v>26.52</v>
      </c>
      <c r="J241" s="141" t="n">
        <f aca="false">C241*(Estacas!L241+Estacas!L242)/2</f>
        <v>36.352</v>
      </c>
      <c r="K241" s="141" t="n">
        <f aca="false">C241*(Estacas!M241+Estacas!M242)/2</f>
        <v>47.68</v>
      </c>
      <c r="L241" s="141" t="n">
        <f aca="false">C241*(Estacas!N241+Estacas!N242)/2</f>
        <v>75.72</v>
      </c>
      <c r="M241" s="141" t="n">
        <f aca="false">C241*(Estacas!O241+Estacas!O242)/2</f>
        <v>224</v>
      </c>
      <c r="N241" s="141" t="n">
        <f aca="false">C241*(Estacas!O241+Estacas!O242)/2</f>
        <v>224</v>
      </c>
      <c r="O241" s="141" t="n">
        <f aca="false">C241*(Estacas!P241+Estacas!P242)/2</f>
        <v>258.4</v>
      </c>
      <c r="P241" s="141" t="n">
        <f aca="false">R241*Parâmetros!$C$11</f>
        <v>0</v>
      </c>
      <c r="Q241" s="141" t="n">
        <f aca="false">R241*Parâmetros!$C$12</f>
        <v>0</v>
      </c>
      <c r="R241" s="141" t="n">
        <f aca="false">C241*(Estacas!Q241+Estacas!Q242)/2</f>
        <v>0</v>
      </c>
      <c r="S241" s="141" t="n">
        <f aca="false">IF(LEFT(E241,3)="T09",C241*Parâmetros!$D$13*Parâmetros!$C$13,0)</f>
        <v>0</v>
      </c>
    </row>
    <row r="242" customFormat="false" ht="15" hidden="false" customHeight="false" outlineLevel="0" collapsed="false">
      <c r="A242" s="138" t="str">
        <f aca="false">Estacas!A242</f>
        <v>240+0,00</v>
      </c>
      <c r="B242" s="138" t="str">
        <f aca="false">Estacas!A243</f>
        <v>241+0,00</v>
      </c>
      <c r="C242" s="144" t="n">
        <f aca="false">Estacas!C243-Estacas!C242</f>
        <v>20</v>
      </c>
      <c r="D242" s="138" t="s">
        <v>1565</v>
      </c>
      <c r="E242" s="138" t="s">
        <v>1566</v>
      </c>
      <c r="F242" s="141" t="n">
        <f aca="false">Estacas!F242</f>
        <v>11</v>
      </c>
      <c r="G242" s="141" t="n">
        <f aca="false">Estacas!F243</f>
        <v>11</v>
      </c>
      <c r="H242" s="141" t="n">
        <f aca="false">C242*(Estacas!K242+Estacas!K243)/2</f>
        <v>11.05</v>
      </c>
      <c r="I242" s="141" t="n">
        <f aca="false">H242*Parâmetros!$C$14</f>
        <v>26.52</v>
      </c>
      <c r="J242" s="141" t="n">
        <f aca="false">C242*(Estacas!L242+Estacas!L243)/2</f>
        <v>36.352</v>
      </c>
      <c r="K242" s="141" t="n">
        <f aca="false">C242*(Estacas!M242+Estacas!M243)/2</f>
        <v>47.68</v>
      </c>
      <c r="L242" s="141" t="n">
        <f aca="false">C242*(Estacas!N242+Estacas!N243)/2</f>
        <v>75.72</v>
      </c>
      <c r="M242" s="141" t="n">
        <f aca="false">C242*(Estacas!O242+Estacas!O243)/2</f>
        <v>224</v>
      </c>
      <c r="N242" s="141" t="n">
        <f aca="false">C242*(Estacas!O242+Estacas!O243)/2</f>
        <v>224</v>
      </c>
      <c r="O242" s="141" t="n">
        <f aca="false">C242*(Estacas!P242+Estacas!P243)/2</f>
        <v>258.4</v>
      </c>
      <c r="P242" s="141" t="n">
        <f aca="false">R242*Parâmetros!$C$11</f>
        <v>0</v>
      </c>
      <c r="Q242" s="141" t="n">
        <f aca="false">R242*Parâmetros!$C$12</f>
        <v>0</v>
      </c>
      <c r="R242" s="141" t="n">
        <f aca="false">C242*(Estacas!Q242+Estacas!Q243)/2</f>
        <v>0</v>
      </c>
      <c r="S242" s="141" t="n">
        <f aca="false">IF(LEFT(E242,3)="T09",C242*Parâmetros!$D$13*Parâmetros!$C$13,0)</f>
        <v>0</v>
      </c>
    </row>
    <row r="243" customFormat="false" ht="15" hidden="false" customHeight="false" outlineLevel="0" collapsed="false">
      <c r="A243" s="138" t="str">
        <f aca="false">Estacas!A243</f>
        <v>241+0,00</v>
      </c>
      <c r="B243" s="138" t="str">
        <f aca="false">Estacas!A244</f>
        <v>242+0,00</v>
      </c>
      <c r="C243" s="144" t="n">
        <f aca="false">Estacas!C244-Estacas!C243</f>
        <v>20</v>
      </c>
      <c r="D243" s="138" t="s">
        <v>1565</v>
      </c>
      <c r="E243" s="138" t="s">
        <v>1566</v>
      </c>
      <c r="F243" s="141" t="n">
        <f aca="false">Estacas!F243</f>
        <v>11</v>
      </c>
      <c r="G243" s="141" t="n">
        <f aca="false">Estacas!F244</f>
        <v>11</v>
      </c>
      <c r="H243" s="141" t="n">
        <f aca="false">C243*(Estacas!K243+Estacas!K244)/2</f>
        <v>11.05</v>
      </c>
      <c r="I243" s="141" t="n">
        <f aca="false">H243*Parâmetros!$C$14</f>
        <v>26.52</v>
      </c>
      <c r="J243" s="141" t="n">
        <f aca="false">C243*(Estacas!L243+Estacas!L244)/2</f>
        <v>36.352</v>
      </c>
      <c r="K243" s="141" t="n">
        <f aca="false">C243*(Estacas!M243+Estacas!M244)/2</f>
        <v>47.68</v>
      </c>
      <c r="L243" s="141" t="n">
        <f aca="false">C243*(Estacas!N243+Estacas!N244)/2</f>
        <v>75.72</v>
      </c>
      <c r="M243" s="141" t="n">
        <f aca="false">C243*(Estacas!O243+Estacas!O244)/2</f>
        <v>224</v>
      </c>
      <c r="N243" s="141" t="n">
        <f aca="false">C243*(Estacas!O243+Estacas!O244)/2</f>
        <v>224</v>
      </c>
      <c r="O243" s="141" t="n">
        <f aca="false">C243*(Estacas!P243+Estacas!P244)/2</f>
        <v>258.4</v>
      </c>
      <c r="P243" s="141" t="n">
        <f aca="false">R243*Parâmetros!$C$11</f>
        <v>0</v>
      </c>
      <c r="Q243" s="141" t="n">
        <f aca="false">R243*Parâmetros!$C$12</f>
        <v>0</v>
      </c>
      <c r="R243" s="141" t="n">
        <f aca="false">C243*(Estacas!Q243+Estacas!Q244)/2</f>
        <v>0</v>
      </c>
      <c r="S243" s="141" t="n">
        <f aca="false">IF(LEFT(E243,3)="T09",C243*Parâmetros!$D$13*Parâmetros!$C$13,0)</f>
        <v>0</v>
      </c>
    </row>
    <row r="244" customFormat="false" ht="15" hidden="false" customHeight="false" outlineLevel="0" collapsed="false">
      <c r="A244" s="138" t="str">
        <f aca="false">Estacas!A244</f>
        <v>242+0,00</v>
      </c>
      <c r="B244" s="138" t="str">
        <f aca="false">Estacas!A245</f>
        <v>243+0,00</v>
      </c>
      <c r="C244" s="144" t="n">
        <f aca="false">Estacas!C245-Estacas!C244</f>
        <v>20</v>
      </c>
      <c r="D244" s="138" t="s">
        <v>1565</v>
      </c>
      <c r="E244" s="138" t="s">
        <v>1566</v>
      </c>
      <c r="F244" s="141" t="n">
        <f aca="false">Estacas!F244</f>
        <v>11</v>
      </c>
      <c r="G244" s="141" t="n">
        <f aca="false">Estacas!F245</f>
        <v>11</v>
      </c>
      <c r="H244" s="141" t="n">
        <f aca="false">C244*(Estacas!K244+Estacas!K245)/2</f>
        <v>11.05</v>
      </c>
      <c r="I244" s="141" t="n">
        <f aca="false">H244*Parâmetros!$C$14</f>
        <v>26.52</v>
      </c>
      <c r="J244" s="141" t="n">
        <f aca="false">C244*(Estacas!L244+Estacas!L245)/2</f>
        <v>36.352</v>
      </c>
      <c r="K244" s="141" t="n">
        <f aca="false">C244*(Estacas!M244+Estacas!M245)/2</f>
        <v>47.68</v>
      </c>
      <c r="L244" s="141" t="n">
        <f aca="false">C244*(Estacas!N244+Estacas!N245)/2</f>
        <v>75.72</v>
      </c>
      <c r="M244" s="141" t="n">
        <f aca="false">C244*(Estacas!O244+Estacas!O245)/2</f>
        <v>224</v>
      </c>
      <c r="N244" s="141" t="n">
        <f aca="false">C244*(Estacas!O244+Estacas!O245)/2</f>
        <v>224</v>
      </c>
      <c r="O244" s="141" t="n">
        <f aca="false">C244*(Estacas!P244+Estacas!P245)/2</f>
        <v>258.4</v>
      </c>
      <c r="P244" s="141" t="n">
        <f aca="false">R244*Parâmetros!$C$11</f>
        <v>0</v>
      </c>
      <c r="Q244" s="141" t="n">
        <f aca="false">R244*Parâmetros!$C$12</f>
        <v>0</v>
      </c>
      <c r="R244" s="141" t="n">
        <f aca="false">C244*(Estacas!Q244+Estacas!Q245)/2</f>
        <v>0</v>
      </c>
      <c r="S244" s="141" t="n">
        <f aca="false">IF(LEFT(E244,3)="T09",C244*Parâmetros!$D$13*Parâmetros!$C$13,0)</f>
        <v>0</v>
      </c>
    </row>
    <row r="245" customFormat="false" ht="15" hidden="false" customHeight="false" outlineLevel="0" collapsed="false">
      <c r="A245" s="138" t="str">
        <f aca="false">Estacas!A245</f>
        <v>243+0,00</v>
      </c>
      <c r="B245" s="138" t="str">
        <f aca="false">Estacas!A246</f>
        <v>244+0,00</v>
      </c>
      <c r="C245" s="144" t="n">
        <f aca="false">Estacas!C246-Estacas!C245</f>
        <v>20</v>
      </c>
      <c r="D245" s="138" t="s">
        <v>1565</v>
      </c>
      <c r="E245" s="138" t="s">
        <v>1566</v>
      </c>
      <c r="F245" s="141" t="n">
        <f aca="false">Estacas!F245</f>
        <v>11</v>
      </c>
      <c r="G245" s="141" t="n">
        <f aca="false">Estacas!F246</f>
        <v>11</v>
      </c>
      <c r="H245" s="141" t="n">
        <f aca="false">C245*(Estacas!K245+Estacas!K246)/2</f>
        <v>11.05</v>
      </c>
      <c r="I245" s="141" t="n">
        <f aca="false">H245*Parâmetros!$C$14</f>
        <v>26.52</v>
      </c>
      <c r="J245" s="141" t="n">
        <f aca="false">C245*(Estacas!L245+Estacas!L246)/2</f>
        <v>36.352</v>
      </c>
      <c r="K245" s="141" t="n">
        <f aca="false">C245*(Estacas!M245+Estacas!M246)/2</f>
        <v>47.68</v>
      </c>
      <c r="L245" s="141" t="n">
        <f aca="false">C245*(Estacas!N245+Estacas!N246)/2</f>
        <v>75.72</v>
      </c>
      <c r="M245" s="141" t="n">
        <f aca="false">C245*(Estacas!O245+Estacas!O246)/2</f>
        <v>224</v>
      </c>
      <c r="N245" s="141" t="n">
        <f aca="false">C245*(Estacas!O245+Estacas!O246)/2</f>
        <v>224</v>
      </c>
      <c r="O245" s="141" t="n">
        <f aca="false">C245*(Estacas!P245+Estacas!P246)/2</f>
        <v>258.4</v>
      </c>
      <c r="P245" s="141" t="n">
        <f aca="false">R245*Parâmetros!$C$11</f>
        <v>0</v>
      </c>
      <c r="Q245" s="141" t="n">
        <f aca="false">R245*Parâmetros!$C$12</f>
        <v>0</v>
      </c>
      <c r="R245" s="141" t="n">
        <f aca="false">C245*(Estacas!Q245+Estacas!Q246)/2</f>
        <v>0</v>
      </c>
      <c r="S245" s="141" t="n">
        <f aca="false">IF(LEFT(E245,3)="T09",C245*Parâmetros!$D$13*Parâmetros!$C$13,0)</f>
        <v>0</v>
      </c>
    </row>
    <row r="246" customFormat="false" ht="15" hidden="false" customHeight="false" outlineLevel="0" collapsed="false">
      <c r="A246" s="138" t="str">
        <f aca="false">Estacas!A246</f>
        <v>244+0,00</v>
      </c>
      <c r="B246" s="138" t="str">
        <f aca="false">Estacas!A247</f>
        <v>245+0,00</v>
      </c>
      <c r="C246" s="144" t="n">
        <f aca="false">Estacas!C247-Estacas!C246</f>
        <v>20</v>
      </c>
      <c r="D246" s="138" t="s">
        <v>1565</v>
      </c>
      <c r="E246" s="138" t="s">
        <v>1566</v>
      </c>
      <c r="F246" s="141" t="n">
        <f aca="false">Estacas!F246</f>
        <v>11</v>
      </c>
      <c r="G246" s="141" t="n">
        <f aca="false">Estacas!F247</f>
        <v>11</v>
      </c>
      <c r="H246" s="141" t="n">
        <f aca="false">C246*(Estacas!K246+Estacas!K247)/2</f>
        <v>11.05</v>
      </c>
      <c r="I246" s="141" t="n">
        <f aca="false">H246*Parâmetros!$C$14</f>
        <v>26.52</v>
      </c>
      <c r="J246" s="141" t="n">
        <f aca="false">C246*(Estacas!L246+Estacas!L247)/2</f>
        <v>36.352</v>
      </c>
      <c r="K246" s="141" t="n">
        <f aca="false">C246*(Estacas!M246+Estacas!M247)/2</f>
        <v>47.68</v>
      </c>
      <c r="L246" s="141" t="n">
        <f aca="false">C246*(Estacas!N246+Estacas!N247)/2</f>
        <v>75.72</v>
      </c>
      <c r="M246" s="141" t="n">
        <f aca="false">C246*(Estacas!O246+Estacas!O247)/2</f>
        <v>224</v>
      </c>
      <c r="N246" s="141" t="n">
        <f aca="false">C246*(Estacas!O246+Estacas!O247)/2</f>
        <v>224</v>
      </c>
      <c r="O246" s="141" t="n">
        <f aca="false">C246*(Estacas!P246+Estacas!P247)/2</f>
        <v>258.4</v>
      </c>
      <c r="P246" s="141" t="n">
        <f aca="false">R246*Parâmetros!$C$11</f>
        <v>0</v>
      </c>
      <c r="Q246" s="141" t="n">
        <f aca="false">R246*Parâmetros!$C$12</f>
        <v>0</v>
      </c>
      <c r="R246" s="141" t="n">
        <f aca="false">C246*(Estacas!Q246+Estacas!Q247)/2</f>
        <v>0</v>
      </c>
      <c r="S246" s="141" t="n">
        <f aca="false">IF(LEFT(E246,3)="T09",C246*Parâmetros!$D$13*Parâmetros!$C$13,0)</f>
        <v>0</v>
      </c>
    </row>
    <row r="247" customFormat="false" ht="15" hidden="false" customHeight="false" outlineLevel="0" collapsed="false">
      <c r="A247" s="138" t="str">
        <f aca="false">Estacas!A247</f>
        <v>245+0,00</v>
      </c>
      <c r="B247" s="138" t="str">
        <f aca="false">Estacas!A248</f>
        <v>246+0,00</v>
      </c>
      <c r="C247" s="144" t="n">
        <f aca="false">Estacas!C248-Estacas!C247</f>
        <v>20</v>
      </c>
      <c r="D247" s="138" t="s">
        <v>1565</v>
      </c>
      <c r="E247" s="138" t="s">
        <v>1566</v>
      </c>
      <c r="F247" s="141" t="n">
        <f aca="false">Estacas!F247</f>
        <v>11</v>
      </c>
      <c r="G247" s="141" t="n">
        <f aca="false">Estacas!F248</f>
        <v>11</v>
      </c>
      <c r="H247" s="141" t="n">
        <f aca="false">C247*(Estacas!K247+Estacas!K248)/2</f>
        <v>11.05</v>
      </c>
      <c r="I247" s="141" t="n">
        <f aca="false">H247*Parâmetros!$C$14</f>
        <v>26.52</v>
      </c>
      <c r="J247" s="141" t="n">
        <f aca="false">C247*(Estacas!L247+Estacas!L248)/2</f>
        <v>36.352</v>
      </c>
      <c r="K247" s="141" t="n">
        <f aca="false">C247*(Estacas!M247+Estacas!M248)/2</f>
        <v>47.68</v>
      </c>
      <c r="L247" s="141" t="n">
        <f aca="false">C247*(Estacas!N247+Estacas!N248)/2</f>
        <v>75.72</v>
      </c>
      <c r="M247" s="141" t="n">
        <f aca="false">C247*(Estacas!O247+Estacas!O248)/2</f>
        <v>224</v>
      </c>
      <c r="N247" s="141" t="n">
        <f aca="false">C247*(Estacas!O247+Estacas!O248)/2</f>
        <v>224</v>
      </c>
      <c r="O247" s="141" t="n">
        <f aca="false">C247*(Estacas!P247+Estacas!P248)/2</f>
        <v>258.4</v>
      </c>
      <c r="P247" s="141" t="n">
        <f aca="false">R247*Parâmetros!$C$11</f>
        <v>0</v>
      </c>
      <c r="Q247" s="141" t="n">
        <f aca="false">R247*Parâmetros!$C$12</f>
        <v>0</v>
      </c>
      <c r="R247" s="141" t="n">
        <f aca="false">C247*(Estacas!Q247+Estacas!Q248)/2</f>
        <v>0</v>
      </c>
      <c r="S247" s="141" t="n">
        <f aca="false">IF(LEFT(E247,3)="T09",C247*Parâmetros!$D$13*Parâmetros!$C$13,0)</f>
        <v>0</v>
      </c>
    </row>
    <row r="248" customFormat="false" ht="15" hidden="false" customHeight="false" outlineLevel="0" collapsed="false">
      <c r="A248" s="138" t="str">
        <f aca="false">Estacas!A248</f>
        <v>246+0,00</v>
      </c>
      <c r="B248" s="138" t="str">
        <f aca="false">Estacas!A249</f>
        <v>247+0,00</v>
      </c>
      <c r="C248" s="144" t="n">
        <f aca="false">Estacas!C249-Estacas!C248</f>
        <v>20</v>
      </c>
      <c r="D248" s="138" t="s">
        <v>1565</v>
      </c>
      <c r="E248" s="138" t="s">
        <v>1566</v>
      </c>
      <c r="F248" s="141" t="n">
        <f aca="false">Estacas!F248</f>
        <v>11</v>
      </c>
      <c r="G248" s="141" t="n">
        <f aca="false">Estacas!F249</f>
        <v>11</v>
      </c>
      <c r="H248" s="141" t="n">
        <f aca="false">C248*(Estacas!K248+Estacas!K249)/2</f>
        <v>11.05</v>
      </c>
      <c r="I248" s="141" t="n">
        <f aca="false">H248*Parâmetros!$C$14</f>
        <v>26.52</v>
      </c>
      <c r="J248" s="141" t="n">
        <f aca="false">C248*(Estacas!L248+Estacas!L249)/2</f>
        <v>36.352</v>
      </c>
      <c r="K248" s="141" t="n">
        <f aca="false">C248*(Estacas!M248+Estacas!M249)/2</f>
        <v>47.68</v>
      </c>
      <c r="L248" s="141" t="n">
        <f aca="false">C248*(Estacas!N248+Estacas!N249)/2</f>
        <v>75.72</v>
      </c>
      <c r="M248" s="141" t="n">
        <f aca="false">C248*(Estacas!O248+Estacas!O249)/2</f>
        <v>224</v>
      </c>
      <c r="N248" s="141" t="n">
        <f aca="false">C248*(Estacas!O248+Estacas!O249)/2</f>
        <v>224</v>
      </c>
      <c r="O248" s="141" t="n">
        <f aca="false">C248*(Estacas!P248+Estacas!P249)/2</f>
        <v>258.4</v>
      </c>
      <c r="P248" s="141" t="n">
        <f aca="false">R248*Parâmetros!$C$11</f>
        <v>0</v>
      </c>
      <c r="Q248" s="141" t="n">
        <f aca="false">R248*Parâmetros!$C$12</f>
        <v>0</v>
      </c>
      <c r="R248" s="141" t="n">
        <f aca="false">C248*(Estacas!Q248+Estacas!Q249)/2</f>
        <v>0</v>
      </c>
      <c r="S248" s="141" t="n">
        <f aca="false">IF(LEFT(E248,3)="T09",C248*Parâmetros!$D$13*Parâmetros!$C$13,0)</f>
        <v>0</v>
      </c>
    </row>
    <row r="249" customFormat="false" ht="15" hidden="false" customHeight="false" outlineLevel="0" collapsed="false">
      <c r="A249" s="138" t="str">
        <f aca="false">Estacas!A249</f>
        <v>247+0,00</v>
      </c>
      <c r="B249" s="138" t="str">
        <f aca="false">Estacas!A250</f>
        <v>248+0,00</v>
      </c>
      <c r="C249" s="144" t="n">
        <f aca="false">Estacas!C250-Estacas!C249</f>
        <v>20</v>
      </c>
      <c r="D249" s="138" t="s">
        <v>1565</v>
      </c>
      <c r="E249" s="138" t="s">
        <v>1566</v>
      </c>
      <c r="F249" s="141" t="n">
        <f aca="false">Estacas!F249</f>
        <v>11</v>
      </c>
      <c r="G249" s="141" t="n">
        <f aca="false">Estacas!F250</f>
        <v>11</v>
      </c>
      <c r="H249" s="141" t="n">
        <f aca="false">C249*(Estacas!K249+Estacas!K250)/2</f>
        <v>11.05</v>
      </c>
      <c r="I249" s="141" t="n">
        <f aca="false">H249*Parâmetros!$C$14</f>
        <v>26.52</v>
      </c>
      <c r="J249" s="141" t="n">
        <f aca="false">C249*(Estacas!L249+Estacas!L250)/2</f>
        <v>36.352</v>
      </c>
      <c r="K249" s="141" t="n">
        <f aca="false">C249*(Estacas!M249+Estacas!M250)/2</f>
        <v>47.68</v>
      </c>
      <c r="L249" s="141" t="n">
        <f aca="false">C249*(Estacas!N249+Estacas!N250)/2</f>
        <v>75.72</v>
      </c>
      <c r="M249" s="141" t="n">
        <f aca="false">C249*(Estacas!O249+Estacas!O250)/2</f>
        <v>224</v>
      </c>
      <c r="N249" s="141" t="n">
        <f aca="false">C249*(Estacas!O249+Estacas!O250)/2</f>
        <v>224</v>
      </c>
      <c r="O249" s="141" t="n">
        <f aca="false">C249*(Estacas!P249+Estacas!P250)/2</f>
        <v>258.4</v>
      </c>
      <c r="P249" s="141" t="n">
        <f aca="false">R249*Parâmetros!$C$11</f>
        <v>0</v>
      </c>
      <c r="Q249" s="141" t="n">
        <f aca="false">R249*Parâmetros!$C$12</f>
        <v>0</v>
      </c>
      <c r="R249" s="141" t="n">
        <f aca="false">C249*(Estacas!Q249+Estacas!Q250)/2</f>
        <v>0</v>
      </c>
      <c r="S249" s="141" t="n">
        <f aca="false">IF(LEFT(E249,3)="T09",C249*Parâmetros!$D$13*Parâmetros!$C$13,0)</f>
        <v>0</v>
      </c>
    </row>
    <row r="250" customFormat="false" ht="15" hidden="false" customHeight="false" outlineLevel="0" collapsed="false">
      <c r="A250" s="138" t="str">
        <f aca="false">Estacas!A250</f>
        <v>248+0,00</v>
      </c>
      <c r="B250" s="138" t="str">
        <f aca="false">Estacas!A251</f>
        <v>249+0,00</v>
      </c>
      <c r="C250" s="144" t="n">
        <f aca="false">Estacas!C251-Estacas!C250</f>
        <v>20</v>
      </c>
      <c r="D250" s="138" t="s">
        <v>1565</v>
      </c>
      <c r="E250" s="138" t="s">
        <v>1566</v>
      </c>
      <c r="F250" s="141" t="n">
        <f aca="false">Estacas!F250</f>
        <v>11</v>
      </c>
      <c r="G250" s="141" t="n">
        <f aca="false">Estacas!F251</f>
        <v>11</v>
      </c>
      <c r="H250" s="141" t="n">
        <f aca="false">C250*(Estacas!K250+Estacas!K251)/2</f>
        <v>11.05</v>
      </c>
      <c r="I250" s="141" t="n">
        <f aca="false">H250*Parâmetros!$C$14</f>
        <v>26.52</v>
      </c>
      <c r="J250" s="141" t="n">
        <f aca="false">C250*(Estacas!L250+Estacas!L251)/2</f>
        <v>36.352</v>
      </c>
      <c r="K250" s="141" t="n">
        <f aca="false">C250*(Estacas!M250+Estacas!M251)/2</f>
        <v>47.68</v>
      </c>
      <c r="L250" s="141" t="n">
        <f aca="false">C250*(Estacas!N250+Estacas!N251)/2</f>
        <v>75.72</v>
      </c>
      <c r="M250" s="141" t="n">
        <f aca="false">C250*(Estacas!O250+Estacas!O251)/2</f>
        <v>224</v>
      </c>
      <c r="N250" s="141" t="n">
        <f aca="false">C250*(Estacas!O250+Estacas!O251)/2</f>
        <v>224</v>
      </c>
      <c r="O250" s="141" t="n">
        <f aca="false">C250*(Estacas!P250+Estacas!P251)/2</f>
        <v>258.4</v>
      </c>
      <c r="P250" s="141" t="n">
        <f aca="false">R250*Parâmetros!$C$11</f>
        <v>0</v>
      </c>
      <c r="Q250" s="141" t="n">
        <f aca="false">R250*Parâmetros!$C$12</f>
        <v>0</v>
      </c>
      <c r="R250" s="141" t="n">
        <f aca="false">C250*(Estacas!Q250+Estacas!Q251)/2</f>
        <v>0</v>
      </c>
      <c r="S250" s="141" t="n">
        <f aca="false">IF(LEFT(E250,3)="T09",C250*Parâmetros!$D$13*Parâmetros!$C$13,0)</f>
        <v>0</v>
      </c>
    </row>
    <row r="251" customFormat="false" ht="15" hidden="false" customHeight="false" outlineLevel="0" collapsed="false">
      <c r="A251" s="138" t="str">
        <f aca="false">Estacas!A251</f>
        <v>249+0,00</v>
      </c>
      <c r="B251" s="138" t="str">
        <f aca="false">Estacas!A252</f>
        <v>250+0,00</v>
      </c>
      <c r="C251" s="144" t="n">
        <f aca="false">Estacas!C252-Estacas!C251</f>
        <v>20</v>
      </c>
      <c r="D251" s="138" t="s">
        <v>1565</v>
      </c>
      <c r="E251" s="138" t="s">
        <v>1566</v>
      </c>
      <c r="F251" s="141" t="n">
        <f aca="false">Estacas!F251</f>
        <v>11</v>
      </c>
      <c r="G251" s="141" t="n">
        <f aca="false">Estacas!F252</f>
        <v>11</v>
      </c>
      <c r="H251" s="141" t="n">
        <f aca="false">C251*(Estacas!K251+Estacas!K252)/2</f>
        <v>11.05</v>
      </c>
      <c r="I251" s="141" t="n">
        <f aca="false">H251*Parâmetros!$C$14</f>
        <v>26.52</v>
      </c>
      <c r="J251" s="141" t="n">
        <f aca="false">C251*(Estacas!L251+Estacas!L252)/2</f>
        <v>36.352</v>
      </c>
      <c r="K251" s="141" t="n">
        <f aca="false">C251*(Estacas!M251+Estacas!M252)/2</f>
        <v>47.68</v>
      </c>
      <c r="L251" s="141" t="n">
        <f aca="false">C251*(Estacas!N251+Estacas!N252)/2</f>
        <v>75.72</v>
      </c>
      <c r="M251" s="141" t="n">
        <f aca="false">C251*(Estacas!O251+Estacas!O252)/2</f>
        <v>224</v>
      </c>
      <c r="N251" s="141" t="n">
        <f aca="false">C251*(Estacas!O251+Estacas!O252)/2</f>
        <v>224</v>
      </c>
      <c r="O251" s="141" t="n">
        <f aca="false">C251*(Estacas!P251+Estacas!P252)/2</f>
        <v>258.4</v>
      </c>
      <c r="P251" s="141" t="n">
        <f aca="false">R251*Parâmetros!$C$11</f>
        <v>0</v>
      </c>
      <c r="Q251" s="141" t="n">
        <f aca="false">R251*Parâmetros!$C$12</f>
        <v>0</v>
      </c>
      <c r="R251" s="141" t="n">
        <f aca="false">C251*(Estacas!Q251+Estacas!Q252)/2</f>
        <v>0</v>
      </c>
      <c r="S251" s="141" t="n">
        <f aca="false">IF(LEFT(E251,3)="T09",C251*Parâmetros!$D$13*Parâmetros!$C$13,0)</f>
        <v>0</v>
      </c>
    </row>
    <row r="252" customFormat="false" ht="15" hidden="false" customHeight="false" outlineLevel="0" collapsed="false">
      <c r="A252" s="138" t="str">
        <f aca="false">Estacas!A252</f>
        <v>250+0,00</v>
      </c>
      <c r="B252" s="138" t="str">
        <f aca="false">Estacas!A253</f>
        <v>251+0,00</v>
      </c>
      <c r="C252" s="144" t="n">
        <f aca="false">Estacas!C253-Estacas!C252</f>
        <v>20</v>
      </c>
      <c r="D252" s="138" t="s">
        <v>1565</v>
      </c>
      <c r="E252" s="138" t="s">
        <v>1566</v>
      </c>
      <c r="F252" s="141" t="n">
        <f aca="false">Estacas!F252</f>
        <v>11</v>
      </c>
      <c r="G252" s="141" t="n">
        <f aca="false">Estacas!F253</f>
        <v>12</v>
      </c>
      <c r="H252" s="141" t="n">
        <f aca="false">C252*(Estacas!K252+Estacas!K253)/2</f>
        <v>11.55</v>
      </c>
      <c r="I252" s="141" t="n">
        <f aca="false">H252*Parâmetros!$C$14</f>
        <v>27.72</v>
      </c>
      <c r="J252" s="141" t="n">
        <f aca="false">C252*(Estacas!L252+Estacas!L253)/2</f>
        <v>37.952</v>
      </c>
      <c r="K252" s="141" t="n">
        <f aca="false">C252*(Estacas!M252+Estacas!M253)/2</f>
        <v>49.68</v>
      </c>
      <c r="L252" s="141" t="n">
        <f aca="false">C252*(Estacas!N252+Estacas!N253)/2</f>
        <v>78.72</v>
      </c>
      <c r="M252" s="141" t="n">
        <f aca="false">C252*(Estacas!O252+Estacas!O253)/2</f>
        <v>234</v>
      </c>
      <c r="N252" s="141" t="n">
        <f aca="false">C252*(Estacas!O252+Estacas!O253)/2</f>
        <v>234</v>
      </c>
      <c r="O252" s="141" t="n">
        <f aca="false">C252*(Estacas!P252+Estacas!P253)/2</f>
        <v>268.4</v>
      </c>
      <c r="P252" s="141" t="n">
        <f aca="false">R252*Parâmetros!$C$11</f>
        <v>0</v>
      </c>
      <c r="Q252" s="141" t="n">
        <f aca="false">R252*Parâmetros!$C$12</f>
        <v>0</v>
      </c>
      <c r="R252" s="141" t="n">
        <f aca="false">C252*(Estacas!Q252+Estacas!Q253)/2</f>
        <v>0</v>
      </c>
      <c r="S252" s="141" t="n">
        <f aca="false">IF(LEFT(E252,3)="T09",C252*Parâmetros!$D$13*Parâmetros!$C$13,0)</f>
        <v>0</v>
      </c>
    </row>
    <row r="253" customFormat="false" ht="15" hidden="false" customHeight="false" outlineLevel="0" collapsed="false">
      <c r="A253" s="138" t="str">
        <f aca="false">Estacas!A253</f>
        <v>251+0,00</v>
      </c>
      <c r="B253" s="138" t="str">
        <f aca="false">Estacas!A254</f>
        <v>252+0,00</v>
      </c>
      <c r="C253" s="144" t="n">
        <f aca="false">Estacas!C254-Estacas!C253</f>
        <v>20</v>
      </c>
      <c r="D253" s="138" t="s">
        <v>1565</v>
      </c>
      <c r="E253" s="138" t="s">
        <v>1566</v>
      </c>
      <c r="F253" s="141" t="n">
        <f aca="false">Estacas!F253</f>
        <v>12</v>
      </c>
      <c r="G253" s="141" t="n">
        <f aca="false">Estacas!F254</f>
        <v>13.6</v>
      </c>
      <c r="H253" s="141" t="n">
        <f aca="false">C253*(Estacas!K253+Estacas!K254)/2</f>
        <v>12.85</v>
      </c>
      <c r="I253" s="141" t="n">
        <f aca="false">H253*Parâmetros!$C$14</f>
        <v>30.84</v>
      </c>
      <c r="J253" s="141" t="n">
        <f aca="false">C253*(Estacas!L253+Estacas!L254)/2</f>
        <v>42.112</v>
      </c>
      <c r="K253" s="141" t="n">
        <f aca="false">C253*(Estacas!M253+Estacas!M254)/2</f>
        <v>54.88</v>
      </c>
      <c r="L253" s="141" t="n">
        <f aca="false">C253*(Estacas!N253+Estacas!N254)/2</f>
        <v>86.52</v>
      </c>
      <c r="M253" s="141" t="n">
        <f aca="false">C253*(Estacas!O253+Estacas!O254)/2</f>
        <v>260</v>
      </c>
      <c r="N253" s="141" t="n">
        <f aca="false">C253*(Estacas!O253+Estacas!O254)/2</f>
        <v>260</v>
      </c>
      <c r="O253" s="141" t="n">
        <f aca="false">C253*(Estacas!P253+Estacas!P254)/2</f>
        <v>294.4</v>
      </c>
      <c r="P253" s="141" t="n">
        <f aca="false">R253*Parâmetros!$C$11</f>
        <v>0</v>
      </c>
      <c r="Q253" s="141" t="n">
        <f aca="false">R253*Parâmetros!$C$12</f>
        <v>0</v>
      </c>
      <c r="R253" s="141" t="n">
        <f aca="false">C253*(Estacas!Q253+Estacas!Q254)/2</f>
        <v>0</v>
      </c>
      <c r="S253" s="141" t="n">
        <f aca="false">IF(LEFT(E253,3)="T09",C253*Parâmetros!$D$13*Parâmetros!$C$13,0)</f>
        <v>0</v>
      </c>
    </row>
    <row r="254" customFormat="false" ht="15" hidden="false" customHeight="false" outlineLevel="0" collapsed="false">
      <c r="A254" s="138" t="str">
        <f aca="false">Estacas!A254</f>
        <v>252+0,00</v>
      </c>
      <c r="B254" s="138" t="str">
        <f aca="false">Estacas!A255</f>
        <v>253+0,00</v>
      </c>
      <c r="C254" s="144" t="n">
        <f aca="false">Estacas!C255-Estacas!C254</f>
        <v>20</v>
      </c>
      <c r="D254" s="138" t="s">
        <v>1565</v>
      </c>
      <c r="E254" s="138" t="s">
        <v>1566</v>
      </c>
      <c r="F254" s="141" t="n">
        <f aca="false">Estacas!F254</f>
        <v>13.6</v>
      </c>
      <c r="G254" s="141" t="n">
        <f aca="false">Estacas!F255</f>
        <v>14</v>
      </c>
      <c r="H254" s="141" t="n">
        <f aca="false">C254*(Estacas!K254+Estacas!K255)/2</f>
        <v>13.85</v>
      </c>
      <c r="I254" s="141" t="n">
        <f aca="false">H254*Parâmetros!$C$14</f>
        <v>33.24</v>
      </c>
      <c r="J254" s="141" t="n">
        <f aca="false">C254*(Estacas!L254+Estacas!L255)/2</f>
        <v>45.312</v>
      </c>
      <c r="K254" s="141" t="n">
        <f aca="false">C254*(Estacas!M254+Estacas!M255)/2</f>
        <v>58.88</v>
      </c>
      <c r="L254" s="141" t="n">
        <f aca="false">C254*(Estacas!N254+Estacas!N255)/2</f>
        <v>92.52</v>
      </c>
      <c r="M254" s="141" t="n">
        <f aca="false">C254*(Estacas!O254+Estacas!O255)/2</f>
        <v>280</v>
      </c>
      <c r="N254" s="141" t="n">
        <f aca="false">C254*(Estacas!O254+Estacas!O255)/2</f>
        <v>280</v>
      </c>
      <c r="O254" s="141" t="n">
        <f aca="false">C254*(Estacas!P254+Estacas!P255)/2</f>
        <v>314.4</v>
      </c>
      <c r="P254" s="141" t="n">
        <f aca="false">R254*Parâmetros!$C$11</f>
        <v>0</v>
      </c>
      <c r="Q254" s="141" t="n">
        <f aca="false">R254*Parâmetros!$C$12</f>
        <v>0</v>
      </c>
      <c r="R254" s="141" t="n">
        <f aca="false">C254*(Estacas!Q254+Estacas!Q255)/2</f>
        <v>0</v>
      </c>
      <c r="S254" s="141" t="n">
        <f aca="false">IF(LEFT(E254,3)="T09",C254*Parâmetros!$D$13*Parâmetros!$C$13,0)</f>
        <v>0</v>
      </c>
    </row>
    <row r="255" customFormat="false" ht="15" hidden="false" customHeight="false" outlineLevel="0" collapsed="false">
      <c r="A255" s="138" t="str">
        <f aca="false">Estacas!A255</f>
        <v>253+0,00</v>
      </c>
      <c r="B255" s="138" t="str">
        <f aca="false">Estacas!A256</f>
        <v>254+0,00</v>
      </c>
      <c r="C255" s="144" t="n">
        <f aca="false">Estacas!C256-Estacas!C255</f>
        <v>20</v>
      </c>
      <c r="D255" s="138" t="s">
        <v>1565</v>
      </c>
      <c r="E255" s="138" t="s">
        <v>1566</v>
      </c>
      <c r="F255" s="141" t="n">
        <f aca="false">Estacas!F255</f>
        <v>14</v>
      </c>
      <c r="G255" s="141" t="n">
        <f aca="false">Estacas!F256</f>
        <v>14.1</v>
      </c>
      <c r="H255" s="141" t="n">
        <f aca="false">C255*(Estacas!K255+Estacas!K256)/2</f>
        <v>14.1</v>
      </c>
      <c r="I255" s="141" t="n">
        <f aca="false">H255*Parâmetros!$C$14</f>
        <v>33.84</v>
      </c>
      <c r="J255" s="141" t="n">
        <f aca="false">C255*(Estacas!L255+Estacas!L256)/2</f>
        <v>46.112</v>
      </c>
      <c r="K255" s="141" t="n">
        <f aca="false">C255*(Estacas!M255+Estacas!M256)/2</f>
        <v>59.88</v>
      </c>
      <c r="L255" s="141" t="n">
        <f aca="false">C255*(Estacas!N255+Estacas!N256)/2</f>
        <v>94.02</v>
      </c>
      <c r="M255" s="141" t="n">
        <f aca="false">C255*(Estacas!O255+Estacas!O256)/2</f>
        <v>285</v>
      </c>
      <c r="N255" s="141" t="n">
        <f aca="false">C255*(Estacas!O255+Estacas!O256)/2</f>
        <v>285</v>
      </c>
      <c r="O255" s="141" t="n">
        <f aca="false">C255*(Estacas!P255+Estacas!P256)/2</f>
        <v>319.4</v>
      </c>
      <c r="P255" s="141" t="n">
        <f aca="false">R255*Parâmetros!$C$11</f>
        <v>0</v>
      </c>
      <c r="Q255" s="141" t="n">
        <f aca="false">R255*Parâmetros!$C$12</f>
        <v>0</v>
      </c>
      <c r="R255" s="141" t="n">
        <f aca="false">C255*(Estacas!Q255+Estacas!Q256)/2</f>
        <v>0</v>
      </c>
      <c r="S255" s="141" t="n">
        <f aca="false">IF(LEFT(E255,3)="T09",C255*Parâmetros!$D$13*Parâmetros!$C$13,0)</f>
        <v>0</v>
      </c>
    </row>
    <row r="256" customFormat="false" ht="15" hidden="false" customHeight="false" outlineLevel="0" collapsed="false">
      <c r="A256" s="138" t="str">
        <f aca="false">Estacas!A256</f>
        <v>254+0,00</v>
      </c>
      <c r="B256" s="138" t="str">
        <f aca="false">Estacas!A257</f>
        <v>255+0,00</v>
      </c>
      <c r="C256" s="144" t="n">
        <f aca="false">Estacas!C257-Estacas!C256</f>
        <v>20</v>
      </c>
      <c r="D256" s="138" t="s">
        <v>1565</v>
      </c>
      <c r="E256" s="138" t="s">
        <v>1566</v>
      </c>
      <c r="F256" s="141" t="n">
        <f aca="false">Estacas!F256</f>
        <v>14.1</v>
      </c>
      <c r="G256" s="141" t="n">
        <f aca="false">Estacas!F257</f>
        <v>14.1</v>
      </c>
      <c r="H256" s="141" t="n">
        <f aca="false">C256*(Estacas!K256+Estacas!K257)/2</f>
        <v>14.15</v>
      </c>
      <c r="I256" s="141" t="n">
        <f aca="false">H256*Parâmetros!$C$14</f>
        <v>33.96</v>
      </c>
      <c r="J256" s="141" t="n">
        <f aca="false">C256*(Estacas!L256+Estacas!L257)/2</f>
        <v>46.272</v>
      </c>
      <c r="K256" s="141" t="n">
        <f aca="false">C256*(Estacas!M256+Estacas!M257)/2</f>
        <v>60.08</v>
      </c>
      <c r="L256" s="141" t="n">
        <f aca="false">C256*(Estacas!N256+Estacas!N257)/2</f>
        <v>94.32</v>
      </c>
      <c r="M256" s="141" t="n">
        <f aca="false">C256*(Estacas!O256+Estacas!O257)/2</f>
        <v>286</v>
      </c>
      <c r="N256" s="141" t="n">
        <f aca="false">C256*(Estacas!O256+Estacas!O257)/2</f>
        <v>286</v>
      </c>
      <c r="O256" s="141" t="n">
        <f aca="false">C256*(Estacas!P256+Estacas!P257)/2</f>
        <v>320.4</v>
      </c>
      <c r="P256" s="141" t="n">
        <f aca="false">R256*Parâmetros!$C$11</f>
        <v>0</v>
      </c>
      <c r="Q256" s="141" t="n">
        <f aca="false">R256*Parâmetros!$C$12</f>
        <v>0</v>
      </c>
      <c r="R256" s="141" t="n">
        <f aca="false">C256*(Estacas!Q256+Estacas!Q257)/2</f>
        <v>0</v>
      </c>
      <c r="S256" s="141" t="n">
        <f aca="false">IF(LEFT(E256,3)="T09",C256*Parâmetros!$D$13*Parâmetros!$C$13,0)</f>
        <v>0</v>
      </c>
    </row>
    <row r="257" customFormat="false" ht="15" hidden="false" customHeight="false" outlineLevel="0" collapsed="false">
      <c r="A257" s="138" t="str">
        <f aca="false">Estacas!A257</f>
        <v>255+0,00</v>
      </c>
      <c r="B257" s="138" t="str">
        <f aca="false">Estacas!A258</f>
        <v>256+0,00</v>
      </c>
      <c r="C257" s="144" t="n">
        <f aca="false">Estacas!C258-Estacas!C257</f>
        <v>20</v>
      </c>
      <c r="D257" s="138" t="s">
        <v>1565</v>
      </c>
      <c r="E257" s="138" t="s">
        <v>1566</v>
      </c>
      <c r="F257" s="141" t="n">
        <f aca="false">Estacas!F257</f>
        <v>14.1</v>
      </c>
      <c r="G257" s="141" t="n">
        <f aca="false">Estacas!F258</f>
        <v>14</v>
      </c>
      <c r="H257" s="141" t="n">
        <f aca="false">C257*(Estacas!K257+Estacas!K258)/2</f>
        <v>14.1</v>
      </c>
      <c r="I257" s="141" t="n">
        <f aca="false">H257*Parâmetros!$C$14</f>
        <v>33.84</v>
      </c>
      <c r="J257" s="141" t="n">
        <f aca="false">C257*(Estacas!L257+Estacas!L258)/2</f>
        <v>46.112</v>
      </c>
      <c r="K257" s="141" t="n">
        <f aca="false">C257*(Estacas!M257+Estacas!M258)/2</f>
        <v>59.88</v>
      </c>
      <c r="L257" s="141" t="n">
        <f aca="false">C257*(Estacas!N257+Estacas!N258)/2</f>
        <v>94.02</v>
      </c>
      <c r="M257" s="141" t="n">
        <f aca="false">C257*(Estacas!O257+Estacas!O258)/2</f>
        <v>285</v>
      </c>
      <c r="N257" s="141" t="n">
        <f aca="false">C257*(Estacas!O257+Estacas!O258)/2</f>
        <v>285</v>
      </c>
      <c r="O257" s="141" t="n">
        <f aca="false">C257*(Estacas!P257+Estacas!P258)/2</f>
        <v>319.4</v>
      </c>
      <c r="P257" s="141" t="n">
        <f aca="false">R257*Parâmetros!$C$11</f>
        <v>0</v>
      </c>
      <c r="Q257" s="141" t="n">
        <f aca="false">R257*Parâmetros!$C$12</f>
        <v>0</v>
      </c>
      <c r="R257" s="141" t="n">
        <f aca="false">C257*(Estacas!Q257+Estacas!Q258)/2</f>
        <v>0</v>
      </c>
      <c r="S257" s="141" t="n">
        <f aca="false">IF(LEFT(E257,3)="T09",C257*Parâmetros!$D$13*Parâmetros!$C$13,0)</f>
        <v>0</v>
      </c>
    </row>
    <row r="258" customFormat="false" ht="15" hidden="false" customHeight="false" outlineLevel="0" collapsed="false">
      <c r="A258" s="138" t="str">
        <f aca="false">Estacas!A258</f>
        <v>256+0,00</v>
      </c>
      <c r="B258" s="138" t="str">
        <f aca="false">Estacas!A259</f>
        <v>257+0,00</v>
      </c>
      <c r="C258" s="144" t="n">
        <f aca="false">Estacas!C259-Estacas!C258</f>
        <v>20</v>
      </c>
      <c r="D258" s="138" t="s">
        <v>1565</v>
      </c>
      <c r="E258" s="138" t="s">
        <v>1566</v>
      </c>
      <c r="F258" s="141" t="n">
        <f aca="false">Estacas!F258</f>
        <v>14</v>
      </c>
      <c r="G258" s="141" t="n">
        <f aca="false">Estacas!F259</f>
        <v>12.4</v>
      </c>
      <c r="H258" s="141" t="n">
        <f aca="false">C258*(Estacas!K258+Estacas!K259)/2</f>
        <v>13.25</v>
      </c>
      <c r="I258" s="141" t="n">
        <f aca="false">H258*Parâmetros!$C$14</f>
        <v>31.8</v>
      </c>
      <c r="J258" s="141" t="n">
        <f aca="false">C258*(Estacas!L258+Estacas!L259)/2</f>
        <v>43.392</v>
      </c>
      <c r="K258" s="141" t="n">
        <f aca="false">C258*(Estacas!M258+Estacas!M259)/2</f>
        <v>56.48</v>
      </c>
      <c r="L258" s="141" t="n">
        <f aca="false">C258*(Estacas!N258+Estacas!N259)/2</f>
        <v>88.92</v>
      </c>
      <c r="M258" s="141" t="n">
        <f aca="false">C258*(Estacas!O258+Estacas!O259)/2</f>
        <v>268</v>
      </c>
      <c r="N258" s="141" t="n">
        <f aca="false">C258*(Estacas!O258+Estacas!O259)/2</f>
        <v>268</v>
      </c>
      <c r="O258" s="141" t="n">
        <f aca="false">C258*(Estacas!P258+Estacas!P259)/2</f>
        <v>302.4</v>
      </c>
      <c r="P258" s="141" t="n">
        <f aca="false">R258*Parâmetros!$C$11</f>
        <v>0</v>
      </c>
      <c r="Q258" s="141" t="n">
        <f aca="false">R258*Parâmetros!$C$12</f>
        <v>0</v>
      </c>
      <c r="R258" s="141" t="n">
        <f aca="false">C258*(Estacas!Q258+Estacas!Q259)/2</f>
        <v>0</v>
      </c>
      <c r="S258" s="141" t="n">
        <f aca="false">IF(LEFT(E258,3)="T09",C258*Parâmetros!$D$13*Parâmetros!$C$13,0)</f>
        <v>0</v>
      </c>
    </row>
    <row r="259" customFormat="false" ht="15" hidden="false" customHeight="false" outlineLevel="0" collapsed="false">
      <c r="A259" s="138" t="str">
        <f aca="false">Estacas!A259</f>
        <v>257+0,00</v>
      </c>
      <c r="B259" s="138" t="str">
        <f aca="false">Estacas!A260</f>
        <v>258+0,00</v>
      </c>
      <c r="C259" s="144" t="n">
        <f aca="false">Estacas!C260-Estacas!C259</f>
        <v>20</v>
      </c>
      <c r="D259" s="138" t="s">
        <v>1565</v>
      </c>
      <c r="E259" s="138" t="s">
        <v>1566</v>
      </c>
      <c r="F259" s="141" t="n">
        <f aca="false">Estacas!F259</f>
        <v>12.4</v>
      </c>
      <c r="G259" s="141" t="n">
        <f aca="false">Estacas!F260</f>
        <v>10.9</v>
      </c>
      <c r="H259" s="141" t="n">
        <f aca="false">C259*(Estacas!K259+Estacas!K260)/2</f>
        <v>11.7</v>
      </c>
      <c r="I259" s="141" t="n">
        <f aca="false">H259*Parâmetros!$C$14</f>
        <v>28.08</v>
      </c>
      <c r="J259" s="141" t="n">
        <f aca="false">C259*(Estacas!L259+Estacas!L260)/2</f>
        <v>38.432</v>
      </c>
      <c r="K259" s="141" t="n">
        <f aca="false">C259*(Estacas!M259+Estacas!M260)/2</f>
        <v>50.28</v>
      </c>
      <c r="L259" s="141" t="n">
        <f aca="false">C259*(Estacas!N259+Estacas!N260)/2</f>
        <v>79.62</v>
      </c>
      <c r="M259" s="141" t="n">
        <f aca="false">C259*(Estacas!O259+Estacas!O260)/2</f>
        <v>237</v>
      </c>
      <c r="N259" s="141" t="n">
        <f aca="false">C259*(Estacas!O259+Estacas!O260)/2</f>
        <v>237</v>
      </c>
      <c r="O259" s="141" t="n">
        <f aca="false">C259*(Estacas!P259+Estacas!P260)/2</f>
        <v>271.4</v>
      </c>
      <c r="P259" s="141" t="n">
        <f aca="false">R259*Parâmetros!$C$11</f>
        <v>0</v>
      </c>
      <c r="Q259" s="141" t="n">
        <f aca="false">R259*Parâmetros!$C$12</f>
        <v>0</v>
      </c>
      <c r="R259" s="141" t="n">
        <f aca="false">C259*(Estacas!Q259+Estacas!Q260)/2</f>
        <v>0</v>
      </c>
      <c r="S259" s="141" t="n">
        <f aca="false">IF(LEFT(E259,3)="T09",C259*Parâmetros!$D$13*Parâmetros!$C$13,0)</f>
        <v>0</v>
      </c>
    </row>
    <row r="260" customFormat="false" ht="15" hidden="false" customHeight="false" outlineLevel="0" collapsed="false">
      <c r="A260" s="138" t="str">
        <f aca="false">Estacas!A260</f>
        <v>258+0,00</v>
      </c>
      <c r="B260" s="138" t="str">
        <f aca="false">Estacas!A261</f>
        <v>259+0,00</v>
      </c>
      <c r="C260" s="144" t="n">
        <f aca="false">Estacas!C261-Estacas!C260</f>
        <v>20</v>
      </c>
      <c r="D260" s="138" t="s">
        <v>1565</v>
      </c>
      <c r="E260" s="138" t="s">
        <v>1566</v>
      </c>
      <c r="F260" s="141" t="n">
        <f aca="false">Estacas!F260</f>
        <v>10.9</v>
      </c>
      <c r="G260" s="141" t="n">
        <f aca="false">Estacas!F261</f>
        <v>11</v>
      </c>
      <c r="H260" s="141" t="n">
        <f aca="false">C260*(Estacas!K260+Estacas!K261)/2</f>
        <v>11</v>
      </c>
      <c r="I260" s="141" t="n">
        <f aca="false">H260*Parâmetros!$C$14</f>
        <v>26.4</v>
      </c>
      <c r="J260" s="141" t="n">
        <f aca="false">C260*(Estacas!L260+Estacas!L261)/2</f>
        <v>36.192</v>
      </c>
      <c r="K260" s="141" t="n">
        <f aca="false">C260*(Estacas!M260+Estacas!M261)/2</f>
        <v>47.48</v>
      </c>
      <c r="L260" s="141" t="n">
        <f aca="false">C260*(Estacas!N260+Estacas!N261)/2</f>
        <v>75.42</v>
      </c>
      <c r="M260" s="141" t="n">
        <f aca="false">C260*(Estacas!O260+Estacas!O261)/2</f>
        <v>223</v>
      </c>
      <c r="N260" s="141" t="n">
        <f aca="false">C260*(Estacas!O260+Estacas!O261)/2</f>
        <v>223</v>
      </c>
      <c r="O260" s="141" t="n">
        <f aca="false">C260*(Estacas!P260+Estacas!P261)/2</f>
        <v>257.4</v>
      </c>
      <c r="P260" s="141" t="n">
        <f aca="false">R260*Parâmetros!$C$11</f>
        <v>0</v>
      </c>
      <c r="Q260" s="141" t="n">
        <f aca="false">R260*Parâmetros!$C$12</f>
        <v>0</v>
      </c>
      <c r="R260" s="141" t="n">
        <f aca="false">C260*(Estacas!Q260+Estacas!Q261)/2</f>
        <v>0</v>
      </c>
      <c r="S260" s="141" t="n">
        <f aca="false">IF(LEFT(E260,3)="T09",C260*Parâmetros!$D$13*Parâmetros!$C$13,0)</f>
        <v>0</v>
      </c>
    </row>
    <row r="261" customFormat="false" ht="15" hidden="false" customHeight="false" outlineLevel="0" collapsed="false">
      <c r="A261" s="138" t="str">
        <f aca="false">Estacas!A261</f>
        <v>259+0,00</v>
      </c>
      <c r="B261" s="138" t="str">
        <f aca="false">Estacas!A262</f>
        <v>260+0,00</v>
      </c>
      <c r="C261" s="144" t="n">
        <f aca="false">Estacas!C262-Estacas!C261</f>
        <v>20</v>
      </c>
      <c r="D261" s="138" t="s">
        <v>1565</v>
      </c>
      <c r="E261" s="138" t="s">
        <v>1566</v>
      </c>
      <c r="F261" s="141" t="n">
        <f aca="false">Estacas!F261</f>
        <v>11</v>
      </c>
      <c r="G261" s="141" t="n">
        <f aca="false">Estacas!F262</f>
        <v>11</v>
      </c>
      <c r="H261" s="141" t="n">
        <f aca="false">C261*(Estacas!K261+Estacas!K262)/2</f>
        <v>11.05</v>
      </c>
      <c r="I261" s="141" t="n">
        <f aca="false">H261*Parâmetros!$C$14</f>
        <v>26.52</v>
      </c>
      <c r="J261" s="141" t="n">
        <f aca="false">C261*(Estacas!L261+Estacas!L262)/2</f>
        <v>36.352</v>
      </c>
      <c r="K261" s="141" t="n">
        <f aca="false">C261*(Estacas!M261+Estacas!M262)/2</f>
        <v>47.68</v>
      </c>
      <c r="L261" s="141" t="n">
        <f aca="false">C261*(Estacas!N261+Estacas!N262)/2</f>
        <v>75.72</v>
      </c>
      <c r="M261" s="141" t="n">
        <f aca="false">C261*(Estacas!O261+Estacas!O262)/2</f>
        <v>224</v>
      </c>
      <c r="N261" s="141" t="n">
        <f aca="false">C261*(Estacas!O261+Estacas!O262)/2</f>
        <v>224</v>
      </c>
      <c r="O261" s="141" t="n">
        <f aca="false">C261*(Estacas!P261+Estacas!P262)/2</f>
        <v>258.4</v>
      </c>
      <c r="P261" s="141" t="n">
        <f aca="false">R261*Parâmetros!$C$11</f>
        <v>0</v>
      </c>
      <c r="Q261" s="141" t="n">
        <f aca="false">R261*Parâmetros!$C$12</f>
        <v>0</v>
      </c>
      <c r="R261" s="141" t="n">
        <f aca="false">C261*(Estacas!Q261+Estacas!Q262)/2</f>
        <v>0</v>
      </c>
      <c r="S261" s="141" t="n">
        <f aca="false">IF(LEFT(E261,3)="T09",C261*Parâmetros!$D$13*Parâmetros!$C$13,0)</f>
        <v>0</v>
      </c>
    </row>
    <row r="262" customFormat="false" ht="15" hidden="false" customHeight="false" outlineLevel="0" collapsed="false">
      <c r="A262" s="138" t="str">
        <f aca="false">Estacas!A262</f>
        <v>260+0,00</v>
      </c>
      <c r="B262" s="138" t="str">
        <f aca="false">Estacas!A263</f>
        <v>261+0,00</v>
      </c>
      <c r="C262" s="144" t="n">
        <f aca="false">Estacas!C263-Estacas!C262</f>
        <v>20</v>
      </c>
      <c r="D262" s="138" t="s">
        <v>1565</v>
      </c>
      <c r="E262" s="138" t="s">
        <v>1566</v>
      </c>
      <c r="F262" s="141" t="n">
        <f aca="false">Estacas!F262</f>
        <v>11</v>
      </c>
      <c r="G262" s="141" t="n">
        <f aca="false">Estacas!F263</f>
        <v>11</v>
      </c>
      <c r="H262" s="141" t="n">
        <f aca="false">C262*(Estacas!K262+Estacas!K263)/2</f>
        <v>11.05</v>
      </c>
      <c r="I262" s="141" t="n">
        <f aca="false">H262*Parâmetros!$C$14</f>
        <v>26.52</v>
      </c>
      <c r="J262" s="141" t="n">
        <f aca="false">C262*(Estacas!L262+Estacas!L263)/2</f>
        <v>36.352</v>
      </c>
      <c r="K262" s="141" t="n">
        <f aca="false">C262*(Estacas!M262+Estacas!M263)/2</f>
        <v>47.68</v>
      </c>
      <c r="L262" s="141" t="n">
        <f aca="false">C262*(Estacas!N262+Estacas!N263)/2</f>
        <v>75.72</v>
      </c>
      <c r="M262" s="141" t="n">
        <f aca="false">C262*(Estacas!O262+Estacas!O263)/2</f>
        <v>224</v>
      </c>
      <c r="N262" s="141" t="n">
        <f aca="false">C262*(Estacas!O262+Estacas!O263)/2</f>
        <v>224</v>
      </c>
      <c r="O262" s="141" t="n">
        <f aca="false">C262*(Estacas!P262+Estacas!P263)/2</f>
        <v>258.4</v>
      </c>
      <c r="P262" s="141" t="n">
        <f aca="false">R262*Parâmetros!$C$11</f>
        <v>0</v>
      </c>
      <c r="Q262" s="141" t="n">
        <f aca="false">R262*Parâmetros!$C$12</f>
        <v>0</v>
      </c>
      <c r="R262" s="141" t="n">
        <f aca="false">C262*(Estacas!Q262+Estacas!Q263)/2</f>
        <v>0</v>
      </c>
      <c r="S262" s="141" t="n">
        <f aca="false">IF(LEFT(E262,3)="T09",C262*Parâmetros!$D$13*Parâmetros!$C$13,0)</f>
        <v>0</v>
      </c>
    </row>
    <row r="263" customFormat="false" ht="15" hidden="false" customHeight="false" outlineLevel="0" collapsed="false">
      <c r="A263" s="138" t="str">
        <f aca="false">Estacas!A263</f>
        <v>261+0,00</v>
      </c>
      <c r="B263" s="138" t="str">
        <f aca="false">Estacas!A264</f>
        <v>262+0,00</v>
      </c>
      <c r="C263" s="144" t="n">
        <f aca="false">Estacas!C264-Estacas!C263</f>
        <v>20</v>
      </c>
      <c r="D263" s="138" t="s">
        <v>1565</v>
      </c>
      <c r="E263" s="138" t="s">
        <v>1566</v>
      </c>
      <c r="F263" s="141" t="n">
        <f aca="false">Estacas!F263</f>
        <v>11</v>
      </c>
      <c r="G263" s="141" t="n">
        <f aca="false">Estacas!F264</f>
        <v>11</v>
      </c>
      <c r="H263" s="141" t="n">
        <f aca="false">C263*(Estacas!K263+Estacas!K264)/2</f>
        <v>11.05</v>
      </c>
      <c r="I263" s="141" t="n">
        <f aca="false">H263*Parâmetros!$C$14</f>
        <v>26.52</v>
      </c>
      <c r="J263" s="141" t="n">
        <f aca="false">C263*(Estacas!L263+Estacas!L264)/2</f>
        <v>36.352</v>
      </c>
      <c r="K263" s="141" t="n">
        <f aca="false">C263*(Estacas!M263+Estacas!M264)/2</f>
        <v>47.68</v>
      </c>
      <c r="L263" s="141" t="n">
        <f aca="false">C263*(Estacas!N263+Estacas!N264)/2</f>
        <v>75.72</v>
      </c>
      <c r="M263" s="141" t="n">
        <f aca="false">C263*(Estacas!O263+Estacas!O264)/2</f>
        <v>224</v>
      </c>
      <c r="N263" s="141" t="n">
        <f aca="false">C263*(Estacas!O263+Estacas!O264)/2</f>
        <v>224</v>
      </c>
      <c r="O263" s="141" t="n">
        <f aca="false">C263*(Estacas!P263+Estacas!P264)/2</f>
        <v>258.4</v>
      </c>
      <c r="P263" s="141" t="n">
        <f aca="false">R263*Parâmetros!$C$11</f>
        <v>0</v>
      </c>
      <c r="Q263" s="141" t="n">
        <f aca="false">R263*Parâmetros!$C$12</f>
        <v>0</v>
      </c>
      <c r="R263" s="141" t="n">
        <f aca="false">C263*(Estacas!Q263+Estacas!Q264)/2</f>
        <v>0</v>
      </c>
      <c r="S263" s="141" t="n">
        <f aca="false">IF(LEFT(E263,3)="T09",C263*Parâmetros!$D$13*Parâmetros!$C$13,0)</f>
        <v>0</v>
      </c>
    </row>
    <row r="264" customFormat="false" ht="15" hidden="false" customHeight="false" outlineLevel="0" collapsed="false">
      <c r="A264" s="138" t="str">
        <f aca="false">Estacas!A264</f>
        <v>262+0,00</v>
      </c>
      <c r="B264" s="138" t="str">
        <f aca="false">Estacas!A265</f>
        <v>263+0,00</v>
      </c>
      <c r="C264" s="144" t="n">
        <f aca="false">Estacas!C265-Estacas!C264</f>
        <v>20</v>
      </c>
      <c r="D264" s="138" t="s">
        <v>1565</v>
      </c>
      <c r="E264" s="138" t="s">
        <v>1566</v>
      </c>
      <c r="F264" s="141" t="n">
        <f aca="false">Estacas!F264</f>
        <v>11</v>
      </c>
      <c r="G264" s="141" t="n">
        <f aca="false">Estacas!F265</f>
        <v>11</v>
      </c>
      <c r="H264" s="141" t="n">
        <f aca="false">C264*(Estacas!K264+Estacas!K265)/2</f>
        <v>11.05</v>
      </c>
      <c r="I264" s="141" t="n">
        <f aca="false">H264*Parâmetros!$C$14</f>
        <v>26.52</v>
      </c>
      <c r="J264" s="141" t="n">
        <f aca="false">C264*(Estacas!L264+Estacas!L265)/2</f>
        <v>36.352</v>
      </c>
      <c r="K264" s="141" t="n">
        <f aca="false">C264*(Estacas!M264+Estacas!M265)/2</f>
        <v>47.68</v>
      </c>
      <c r="L264" s="141" t="n">
        <f aca="false">C264*(Estacas!N264+Estacas!N265)/2</f>
        <v>75.72</v>
      </c>
      <c r="M264" s="141" t="n">
        <f aca="false">C264*(Estacas!O264+Estacas!O265)/2</f>
        <v>224</v>
      </c>
      <c r="N264" s="141" t="n">
        <f aca="false">C264*(Estacas!O264+Estacas!O265)/2</f>
        <v>224</v>
      </c>
      <c r="O264" s="141" t="n">
        <f aca="false">C264*(Estacas!P264+Estacas!P265)/2</f>
        <v>258.4</v>
      </c>
      <c r="P264" s="141" t="n">
        <f aca="false">R264*Parâmetros!$C$11</f>
        <v>0</v>
      </c>
      <c r="Q264" s="141" t="n">
        <f aca="false">R264*Parâmetros!$C$12</f>
        <v>0</v>
      </c>
      <c r="R264" s="141" t="n">
        <f aca="false">C264*(Estacas!Q264+Estacas!Q265)/2</f>
        <v>0</v>
      </c>
      <c r="S264" s="141" t="n">
        <f aca="false">IF(LEFT(E264,3)="T09",C264*Parâmetros!$D$13*Parâmetros!$C$13,0)</f>
        <v>0</v>
      </c>
    </row>
    <row r="265" customFormat="false" ht="15" hidden="false" customHeight="false" outlineLevel="0" collapsed="false">
      <c r="A265" s="138" t="str">
        <f aca="false">Estacas!A265</f>
        <v>263+0,00</v>
      </c>
      <c r="B265" s="138" t="str">
        <f aca="false">Estacas!A266</f>
        <v>264+0,00</v>
      </c>
      <c r="C265" s="144" t="n">
        <f aca="false">Estacas!C266-Estacas!C265</f>
        <v>20</v>
      </c>
      <c r="D265" s="138" t="s">
        <v>1565</v>
      </c>
      <c r="E265" s="138" t="s">
        <v>1566</v>
      </c>
      <c r="F265" s="141" t="n">
        <f aca="false">Estacas!F265</f>
        <v>11</v>
      </c>
      <c r="G265" s="141" t="n">
        <f aca="false">Estacas!F266</f>
        <v>11</v>
      </c>
      <c r="H265" s="141" t="n">
        <f aca="false">C265*(Estacas!K265+Estacas!K266)/2</f>
        <v>11.05</v>
      </c>
      <c r="I265" s="141" t="n">
        <f aca="false">H265*Parâmetros!$C$14</f>
        <v>26.52</v>
      </c>
      <c r="J265" s="141" t="n">
        <f aca="false">C265*(Estacas!L265+Estacas!L266)/2</f>
        <v>36.352</v>
      </c>
      <c r="K265" s="141" t="n">
        <f aca="false">C265*(Estacas!M265+Estacas!M266)/2</f>
        <v>47.68</v>
      </c>
      <c r="L265" s="141" t="n">
        <f aca="false">C265*(Estacas!N265+Estacas!N266)/2</f>
        <v>75.72</v>
      </c>
      <c r="M265" s="141" t="n">
        <f aca="false">C265*(Estacas!O265+Estacas!O266)/2</f>
        <v>224</v>
      </c>
      <c r="N265" s="141" t="n">
        <f aca="false">C265*(Estacas!O265+Estacas!O266)/2</f>
        <v>224</v>
      </c>
      <c r="O265" s="141" t="n">
        <f aca="false">C265*(Estacas!P265+Estacas!P266)/2</f>
        <v>258.4</v>
      </c>
      <c r="P265" s="141" t="n">
        <f aca="false">R265*Parâmetros!$C$11</f>
        <v>0</v>
      </c>
      <c r="Q265" s="141" t="n">
        <f aca="false">R265*Parâmetros!$C$12</f>
        <v>0</v>
      </c>
      <c r="R265" s="141" t="n">
        <f aca="false">C265*(Estacas!Q265+Estacas!Q266)/2</f>
        <v>0</v>
      </c>
      <c r="S265" s="141" t="n">
        <f aca="false">IF(LEFT(E265,3)="T09",C265*Parâmetros!$D$13*Parâmetros!$C$13,0)</f>
        <v>0</v>
      </c>
    </row>
    <row r="266" customFormat="false" ht="15" hidden="false" customHeight="false" outlineLevel="0" collapsed="false">
      <c r="A266" s="138" t="str">
        <f aca="false">Estacas!A266</f>
        <v>264+0,00</v>
      </c>
      <c r="B266" s="138" t="str">
        <f aca="false">Estacas!A267</f>
        <v>265+0,00</v>
      </c>
      <c r="C266" s="144" t="n">
        <f aca="false">Estacas!C267-Estacas!C266</f>
        <v>20</v>
      </c>
      <c r="D266" s="138" t="s">
        <v>1565</v>
      </c>
      <c r="E266" s="138" t="s">
        <v>1566</v>
      </c>
      <c r="F266" s="141" t="n">
        <f aca="false">Estacas!F266</f>
        <v>11</v>
      </c>
      <c r="G266" s="141" t="n">
        <f aca="false">Estacas!F267</f>
        <v>11</v>
      </c>
      <c r="H266" s="141" t="n">
        <f aca="false">C266*(Estacas!K266+Estacas!K267)/2</f>
        <v>11.05</v>
      </c>
      <c r="I266" s="141" t="n">
        <f aca="false">H266*Parâmetros!$C$14</f>
        <v>26.52</v>
      </c>
      <c r="J266" s="141" t="n">
        <f aca="false">C266*(Estacas!L266+Estacas!L267)/2</f>
        <v>36.352</v>
      </c>
      <c r="K266" s="141" t="n">
        <f aca="false">C266*(Estacas!M266+Estacas!M267)/2</f>
        <v>47.68</v>
      </c>
      <c r="L266" s="141" t="n">
        <f aca="false">C266*(Estacas!N266+Estacas!N267)/2</f>
        <v>75.72</v>
      </c>
      <c r="M266" s="141" t="n">
        <f aca="false">C266*(Estacas!O266+Estacas!O267)/2</f>
        <v>224</v>
      </c>
      <c r="N266" s="141" t="n">
        <f aca="false">C266*(Estacas!O266+Estacas!O267)/2</f>
        <v>224</v>
      </c>
      <c r="O266" s="141" t="n">
        <f aca="false">C266*(Estacas!P266+Estacas!P267)/2</f>
        <v>258.4</v>
      </c>
      <c r="P266" s="141" t="n">
        <f aca="false">R266*Parâmetros!$C$11</f>
        <v>0</v>
      </c>
      <c r="Q266" s="141" t="n">
        <f aca="false">R266*Parâmetros!$C$12</f>
        <v>0</v>
      </c>
      <c r="R266" s="141" t="n">
        <f aca="false">C266*(Estacas!Q266+Estacas!Q267)/2</f>
        <v>0</v>
      </c>
      <c r="S266" s="141" t="n">
        <f aca="false">IF(LEFT(E266,3)="T09",C266*Parâmetros!$D$13*Parâmetros!$C$13,0)</f>
        <v>0</v>
      </c>
    </row>
    <row r="267" customFormat="false" ht="15" hidden="false" customHeight="false" outlineLevel="0" collapsed="false">
      <c r="A267" s="138" t="str">
        <f aca="false">Estacas!A267</f>
        <v>265+0,00</v>
      </c>
      <c r="B267" s="138" t="str">
        <f aca="false">Estacas!A268</f>
        <v>266+0,00</v>
      </c>
      <c r="C267" s="144" t="n">
        <f aca="false">Estacas!C268-Estacas!C267</f>
        <v>20</v>
      </c>
      <c r="D267" s="138" t="s">
        <v>1565</v>
      </c>
      <c r="E267" s="138" t="s">
        <v>1566</v>
      </c>
      <c r="F267" s="141" t="n">
        <f aca="false">Estacas!F267</f>
        <v>11</v>
      </c>
      <c r="G267" s="141" t="n">
        <f aca="false">Estacas!F268</f>
        <v>11</v>
      </c>
      <c r="H267" s="141" t="n">
        <f aca="false">C267*(Estacas!K267+Estacas!K268)/2</f>
        <v>11.05</v>
      </c>
      <c r="I267" s="141" t="n">
        <f aca="false">H267*Parâmetros!$C$14</f>
        <v>26.52</v>
      </c>
      <c r="J267" s="141" t="n">
        <f aca="false">C267*(Estacas!L267+Estacas!L268)/2</f>
        <v>36.352</v>
      </c>
      <c r="K267" s="141" t="n">
        <f aca="false">C267*(Estacas!M267+Estacas!M268)/2</f>
        <v>47.68</v>
      </c>
      <c r="L267" s="141" t="n">
        <f aca="false">C267*(Estacas!N267+Estacas!N268)/2</f>
        <v>75.72</v>
      </c>
      <c r="M267" s="141" t="n">
        <f aca="false">C267*(Estacas!O267+Estacas!O268)/2</f>
        <v>224</v>
      </c>
      <c r="N267" s="141" t="n">
        <f aca="false">C267*(Estacas!O267+Estacas!O268)/2</f>
        <v>224</v>
      </c>
      <c r="O267" s="141" t="n">
        <f aca="false">C267*(Estacas!P267+Estacas!P268)/2</f>
        <v>258.4</v>
      </c>
      <c r="P267" s="141" t="n">
        <f aca="false">R267*Parâmetros!$C$11</f>
        <v>0</v>
      </c>
      <c r="Q267" s="141" t="n">
        <f aca="false">R267*Parâmetros!$C$12</f>
        <v>0</v>
      </c>
      <c r="R267" s="141" t="n">
        <f aca="false">C267*(Estacas!Q267+Estacas!Q268)/2</f>
        <v>0</v>
      </c>
      <c r="S267" s="141" t="n">
        <f aca="false">IF(LEFT(E267,3)="T09",C267*Parâmetros!$D$13*Parâmetros!$C$13,0)</f>
        <v>0</v>
      </c>
    </row>
    <row r="268" customFormat="false" ht="15" hidden="false" customHeight="false" outlineLevel="0" collapsed="false">
      <c r="A268" s="138" t="str">
        <f aca="false">Estacas!A268</f>
        <v>266+0,00</v>
      </c>
      <c r="B268" s="138" t="str">
        <f aca="false">Estacas!A269</f>
        <v>267+0,00</v>
      </c>
      <c r="C268" s="144" t="n">
        <f aca="false">Estacas!C269-Estacas!C268</f>
        <v>20</v>
      </c>
      <c r="D268" s="138" t="s">
        <v>1565</v>
      </c>
      <c r="E268" s="138" t="s">
        <v>1566</v>
      </c>
      <c r="F268" s="141" t="n">
        <f aca="false">Estacas!F268</f>
        <v>11</v>
      </c>
      <c r="G268" s="141" t="n">
        <f aca="false">Estacas!F269</f>
        <v>11</v>
      </c>
      <c r="H268" s="141" t="n">
        <f aca="false">C268*(Estacas!K268+Estacas!K269)/2</f>
        <v>11.05</v>
      </c>
      <c r="I268" s="141" t="n">
        <f aca="false">H268*Parâmetros!$C$14</f>
        <v>26.52</v>
      </c>
      <c r="J268" s="141" t="n">
        <f aca="false">C268*(Estacas!L268+Estacas!L269)/2</f>
        <v>36.352</v>
      </c>
      <c r="K268" s="141" t="n">
        <f aca="false">C268*(Estacas!M268+Estacas!M269)/2</f>
        <v>47.68</v>
      </c>
      <c r="L268" s="141" t="n">
        <f aca="false">C268*(Estacas!N268+Estacas!N269)/2</f>
        <v>75.72</v>
      </c>
      <c r="M268" s="141" t="n">
        <f aca="false">C268*(Estacas!O268+Estacas!O269)/2</f>
        <v>224</v>
      </c>
      <c r="N268" s="141" t="n">
        <f aca="false">C268*(Estacas!O268+Estacas!O269)/2</f>
        <v>224</v>
      </c>
      <c r="O268" s="141" t="n">
        <f aca="false">C268*(Estacas!P268+Estacas!P269)/2</f>
        <v>258.4</v>
      </c>
      <c r="P268" s="141" t="n">
        <f aca="false">R268*Parâmetros!$C$11</f>
        <v>0</v>
      </c>
      <c r="Q268" s="141" t="n">
        <f aca="false">R268*Parâmetros!$C$12</f>
        <v>0</v>
      </c>
      <c r="R268" s="141" t="n">
        <f aca="false">C268*(Estacas!Q268+Estacas!Q269)/2</f>
        <v>0</v>
      </c>
      <c r="S268" s="141" t="n">
        <f aca="false">IF(LEFT(E268,3)="T09",C268*Parâmetros!$D$13*Parâmetros!$C$13,0)</f>
        <v>0</v>
      </c>
    </row>
    <row r="269" customFormat="false" ht="15" hidden="false" customHeight="false" outlineLevel="0" collapsed="false">
      <c r="A269" s="138" t="str">
        <f aca="false">Estacas!A269</f>
        <v>267+0,00</v>
      </c>
      <c r="B269" s="138" t="str">
        <f aca="false">Estacas!A270</f>
        <v>268+0,00</v>
      </c>
      <c r="C269" s="144" t="n">
        <f aca="false">Estacas!C270-Estacas!C269</f>
        <v>20</v>
      </c>
      <c r="D269" s="138" t="s">
        <v>1565</v>
      </c>
      <c r="E269" s="138" t="s">
        <v>1566</v>
      </c>
      <c r="F269" s="141" t="n">
        <f aca="false">Estacas!F269</f>
        <v>11</v>
      </c>
      <c r="G269" s="141" t="n">
        <f aca="false">Estacas!F270</f>
        <v>11</v>
      </c>
      <c r="H269" s="141" t="n">
        <f aca="false">C269*(Estacas!K269+Estacas!K270)/2</f>
        <v>11.05</v>
      </c>
      <c r="I269" s="141" t="n">
        <f aca="false">H269*Parâmetros!$C$14</f>
        <v>26.52</v>
      </c>
      <c r="J269" s="141" t="n">
        <f aca="false">C269*(Estacas!L269+Estacas!L270)/2</f>
        <v>36.352</v>
      </c>
      <c r="K269" s="141" t="n">
        <f aca="false">C269*(Estacas!M269+Estacas!M270)/2</f>
        <v>47.68</v>
      </c>
      <c r="L269" s="141" t="n">
        <f aca="false">C269*(Estacas!N269+Estacas!N270)/2</f>
        <v>75.72</v>
      </c>
      <c r="M269" s="141" t="n">
        <f aca="false">C269*(Estacas!O269+Estacas!O270)/2</f>
        <v>224</v>
      </c>
      <c r="N269" s="141" t="n">
        <f aca="false">C269*(Estacas!O269+Estacas!O270)/2</f>
        <v>224</v>
      </c>
      <c r="O269" s="141" t="n">
        <f aca="false">C269*(Estacas!P269+Estacas!P270)/2</f>
        <v>258.4</v>
      </c>
      <c r="P269" s="141" t="n">
        <f aca="false">R269*Parâmetros!$C$11</f>
        <v>0</v>
      </c>
      <c r="Q269" s="141" t="n">
        <f aca="false">R269*Parâmetros!$C$12</f>
        <v>0</v>
      </c>
      <c r="R269" s="141" t="n">
        <f aca="false">C269*(Estacas!Q269+Estacas!Q270)/2</f>
        <v>0</v>
      </c>
      <c r="S269" s="141" t="n">
        <f aca="false">IF(LEFT(E269,3)="T09",C269*Parâmetros!$D$13*Parâmetros!$C$13,0)</f>
        <v>0</v>
      </c>
    </row>
    <row r="270" customFormat="false" ht="15" hidden="false" customHeight="false" outlineLevel="0" collapsed="false">
      <c r="A270" s="138" t="str">
        <f aca="false">Estacas!A270</f>
        <v>268+0,00</v>
      </c>
      <c r="B270" s="138" t="str">
        <f aca="false">Estacas!A271</f>
        <v>269+0,00</v>
      </c>
      <c r="C270" s="144" t="n">
        <f aca="false">Estacas!C271-Estacas!C270</f>
        <v>20</v>
      </c>
      <c r="D270" s="138" t="s">
        <v>1565</v>
      </c>
      <c r="E270" s="138" t="s">
        <v>1566</v>
      </c>
      <c r="F270" s="141" t="n">
        <f aca="false">Estacas!F270</f>
        <v>11</v>
      </c>
      <c r="G270" s="141" t="n">
        <f aca="false">Estacas!F271</f>
        <v>11</v>
      </c>
      <c r="H270" s="141" t="n">
        <f aca="false">C270*(Estacas!K270+Estacas!K271)/2</f>
        <v>11.05</v>
      </c>
      <c r="I270" s="141" t="n">
        <f aca="false">H270*Parâmetros!$C$14</f>
        <v>26.52</v>
      </c>
      <c r="J270" s="141" t="n">
        <f aca="false">C270*(Estacas!L270+Estacas!L271)/2</f>
        <v>36.352</v>
      </c>
      <c r="K270" s="141" t="n">
        <f aca="false">C270*(Estacas!M270+Estacas!M271)/2</f>
        <v>47.68</v>
      </c>
      <c r="L270" s="141" t="n">
        <f aca="false">C270*(Estacas!N270+Estacas!N271)/2</f>
        <v>75.72</v>
      </c>
      <c r="M270" s="141" t="n">
        <f aca="false">C270*(Estacas!O270+Estacas!O271)/2</f>
        <v>224</v>
      </c>
      <c r="N270" s="141" t="n">
        <f aca="false">C270*(Estacas!O270+Estacas!O271)/2</f>
        <v>224</v>
      </c>
      <c r="O270" s="141" t="n">
        <f aca="false">C270*(Estacas!P270+Estacas!P271)/2</f>
        <v>258.4</v>
      </c>
      <c r="P270" s="141" t="n">
        <f aca="false">R270*Parâmetros!$C$11</f>
        <v>0</v>
      </c>
      <c r="Q270" s="141" t="n">
        <f aca="false">R270*Parâmetros!$C$12</f>
        <v>0</v>
      </c>
      <c r="R270" s="141" t="n">
        <f aca="false">C270*(Estacas!Q270+Estacas!Q271)/2</f>
        <v>0</v>
      </c>
      <c r="S270" s="141" t="n">
        <f aca="false">IF(LEFT(E270,3)="T09",C270*Parâmetros!$D$13*Parâmetros!$C$13,0)</f>
        <v>0</v>
      </c>
    </row>
    <row r="271" customFormat="false" ht="15" hidden="false" customHeight="false" outlineLevel="0" collapsed="false">
      <c r="A271" s="138" t="str">
        <f aca="false">Estacas!A271</f>
        <v>269+0,00</v>
      </c>
      <c r="B271" s="138" t="str">
        <f aca="false">Estacas!A272</f>
        <v>270+0,00</v>
      </c>
      <c r="C271" s="144" t="n">
        <f aca="false">Estacas!C272-Estacas!C271</f>
        <v>20</v>
      </c>
      <c r="D271" s="138" t="s">
        <v>1565</v>
      </c>
      <c r="E271" s="138" t="s">
        <v>1566</v>
      </c>
      <c r="F271" s="141" t="n">
        <f aca="false">Estacas!F271</f>
        <v>11</v>
      </c>
      <c r="G271" s="141" t="n">
        <f aca="false">Estacas!F272</f>
        <v>11</v>
      </c>
      <c r="H271" s="141" t="n">
        <f aca="false">C271*(Estacas!K271+Estacas!K272)/2</f>
        <v>11.05</v>
      </c>
      <c r="I271" s="141" t="n">
        <f aca="false">H271*Parâmetros!$C$14</f>
        <v>26.52</v>
      </c>
      <c r="J271" s="141" t="n">
        <f aca="false">C271*(Estacas!L271+Estacas!L272)/2</f>
        <v>36.352</v>
      </c>
      <c r="K271" s="141" t="n">
        <f aca="false">C271*(Estacas!M271+Estacas!M272)/2</f>
        <v>47.68</v>
      </c>
      <c r="L271" s="141" t="n">
        <f aca="false">C271*(Estacas!N271+Estacas!N272)/2</f>
        <v>75.72</v>
      </c>
      <c r="M271" s="141" t="n">
        <f aca="false">C271*(Estacas!O271+Estacas!O272)/2</f>
        <v>224</v>
      </c>
      <c r="N271" s="141" t="n">
        <f aca="false">C271*(Estacas!O271+Estacas!O272)/2</f>
        <v>224</v>
      </c>
      <c r="O271" s="141" t="n">
        <f aca="false">C271*(Estacas!P271+Estacas!P272)/2</f>
        <v>258.4</v>
      </c>
      <c r="P271" s="141" t="n">
        <f aca="false">R271*Parâmetros!$C$11</f>
        <v>0</v>
      </c>
      <c r="Q271" s="141" t="n">
        <f aca="false">R271*Parâmetros!$C$12</f>
        <v>0</v>
      </c>
      <c r="R271" s="141" t="n">
        <f aca="false">C271*(Estacas!Q271+Estacas!Q272)/2</f>
        <v>0</v>
      </c>
      <c r="S271" s="141" t="n">
        <f aca="false">IF(LEFT(E271,3)="T09",C271*Parâmetros!$D$13*Parâmetros!$C$13,0)</f>
        <v>0</v>
      </c>
    </row>
    <row r="272" customFormat="false" ht="15" hidden="false" customHeight="false" outlineLevel="0" collapsed="false">
      <c r="A272" s="138" t="str">
        <f aca="false">Estacas!A272</f>
        <v>270+0,00</v>
      </c>
      <c r="B272" s="138" t="str">
        <f aca="false">Estacas!A273</f>
        <v>271+0,00</v>
      </c>
      <c r="C272" s="144" t="n">
        <f aca="false">Estacas!C273-Estacas!C272</f>
        <v>20</v>
      </c>
      <c r="D272" s="138" t="s">
        <v>1565</v>
      </c>
      <c r="E272" s="138" t="s">
        <v>1566</v>
      </c>
      <c r="F272" s="141" t="n">
        <f aca="false">Estacas!F272</f>
        <v>11</v>
      </c>
      <c r="G272" s="141" t="n">
        <f aca="false">Estacas!F273</f>
        <v>11</v>
      </c>
      <c r="H272" s="141" t="n">
        <f aca="false">C272*(Estacas!K272+Estacas!K273)/2</f>
        <v>11.05</v>
      </c>
      <c r="I272" s="141" t="n">
        <f aca="false">H272*Parâmetros!$C$14</f>
        <v>26.52</v>
      </c>
      <c r="J272" s="141" t="n">
        <f aca="false">C272*(Estacas!L272+Estacas!L273)/2</f>
        <v>36.352</v>
      </c>
      <c r="K272" s="141" t="n">
        <f aca="false">C272*(Estacas!M272+Estacas!M273)/2</f>
        <v>47.68</v>
      </c>
      <c r="L272" s="141" t="n">
        <f aca="false">C272*(Estacas!N272+Estacas!N273)/2</f>
        <v>75.72</v>
      </c>
      <c r="M272" s="141" t="n">
        <f aca="false">C272*(Estacas!O272+Estacas!O273)/2</f>
        <v>224</v>
      </c>
      <c r="N272" s="141" t="n">
        <f aca="false">C272*(Estacas!O272+Estacas!O273)/2</f>
        <v>224</v>
      </c>
      <c r="O272" s="141" t="n">
        <f aca="false">C272*(Estacas!P272+Estacas!P273)/2</f>
        <v>258.4</v>
      </c>
      <c r="P272" s="141" t="n">
        <f aca="false">R272*Parâmetros!$C$11</f>
        <v>0</v>
      </c>
      <c r="Q272" s="141" t="n">
        <f aca="false">R272*Parâmetros!$C$12</f>
        <v>0</v>
      </c>
      <c r="R272" s="141" t="n">
        <f aca="false">C272*(Estacas!Q272+Estacas!Q273)/2</f>
        <v>0</v>
      </c>
      <c r="S272" s="141" t="n">
        <f aca="false">IF(LEFT(E272,3)="T09",C272*Parâmetros!$D$13*Parâmetros!$C$13,0)</f>
        <v>0</v>
      </c>
    </row>
    <row r="273" customFormat="false" ht="15" hidden="false" customHeight="false" outlineLevel="0" collapsed="false">
      <c r="A273" s="138" t="str">
        <f aca="false">Estacas!A273</f>
        <v>271+0,00</v>
      </c>
      <c r="B273" s="138" t="str">
        <f aca="false">Estacas!A274</f>
        <v>272+0,00</v>
      </c>
      <c r="C273" s="144" t="n">
        <f aca="false">Estacas!C274-Estacas!C273</f>
        <v>20</v>
      </c>
      <c r="D273" s="138" t="s">
        <v>1565</v>
      </c>
      <c r="E273" s="138" t="s">
        <v>1566</v>
      </c>
      <c r="F273" s="141" t="n">
        <f aca="false">Estacas!F273</f>
        <v>11</v>
      </c>
      <c r="G273" s="141" t="n">
        <f aca="false">Estacas!F274</f>
        <v>11</v>
      </c>
      <c r="H273" s="141" t="n">
        <f aca="false">C273*(Estacas!K273+Estacas!K274)/2</f>
        <v>11.05</v>
      </c>
      <c r="I273" s="141" t="n">
        <f aca="false">H273*Parâmetros!$C$14</f>
        <v>26.52</v>
      </c>
      <c r="J273" s="141" t="n">
        <f aca="false">C273*(Estacas!L273+Estacas!L274)/2</f>
        <v>36.352</v>
      </c>
      <c r="K273" s="141" t="n">
        <f aca="false">C273*(Estacas!M273+Estacas!M274)/2</f>
        <v>47.68</v>
      </c>
      <c r="L273" s="141" t="n">
        <f aca="false">C273*(Estacas!N273+Estacas!N274)/2</f>
        <v>75.72</v>
      </c>
      <c r="M273" s="141" t="n">
        <f aca="false">C273*(Estacas!O273+Estacas!O274)/2</f>
        <v>224</v>
      </c>
      <c r="N273" s="141" t="n">
        <f aca="false">C273*(Estacas!O273+Estacas!O274)/2</f>
        <v>224</v>
      </c>
      <c r="O273" s="141" t="n">
        <f aca="false">C273*(Estacas!P273+Estacas!P274)/2</f>
        <v>258.4</v>
      </c>
      <c r="P273" s="141" t="n">
        <f aca="false">R273*Parâmetros!$C$11</f>
        <v>0</v>
      </c>
      <c r="Q273" s="141" t="n">
        <f aca="false">R273*Parâmetros!$C$12</f>
        <v>0</v>
      </c>
      <c r="R273" s="141" t="n">
        <f aca="false">C273*(Estacas!Q273+Estacas!Q274)/2</f>
        <v>0</v>
      </c>
      <c r="S273" s="141" t="n">
        <f aca="false">IF(LEFT(E273,3)="T09",C273*Parâmetros!$D$13*Parâmetros!$C$13,0)</f>
        <v>0</v>
      </c>
    </row>
    <row r="274" customFormat="false" ht="15" hidden="false" customHeight="false" outlineLevel="0" collapsed="false">
      <c r="A274" s="138" t="str">
        <f aca="false">Estacas!A274</f>
        <v>272+0,00</v>
      </c>
      <c r="B274" s="138" t="str">
        <f aca="false">Estacas!A275</f>
        <v>273+0,00</v>
      </c>
      <c r="C274" s="144" t="n">
        <f aca="false">Estacas!C275-Estacas!C274</f>
        <v>20</v>
      </c>
      <c r="D274" s="138" t="s">
        <v>1565</v>
      </c>
      <c r="E274" s="138" t="s">
        <v>1566</v>
      </c>
      <c r="F274" s="141" t="n">
        <f aca="false">Estacas!F274</f>
        <v>11</v>
      </c>
      <c r="G274" s="141" t="n">
        <f aca="false">Estacas!F275</f>
        <v>11</v>
      </c>
      <c r="H274" s="141" t="n">
        <f aca="false">C274*(Estacas!K274+Estacas!K275)/2</f>
        <v>11.05</v>
      </c>
      <c r="I274" s="141" t="n">
        <f aca="false">H274*Parâmetros!$C$14</f>
        <v>26.52</v>
      </c>
      <c r="J274" s="141" t="n">
        <f aca="false">C274*(Estacas!L274+Estacas!L275)/2</f>
        <v>36.352</v>
      </c>
      <c r="K274" s="141" t="n">
        <f aca="false">C274*(Estacas!M274+Estacas!M275)/2</f>
        <v>47.68</v>
      </c>
      <c r="L274" s="141" t="n">
        <f aca="false">C274*(Estacas!N274+Estacas!N275)/2</f>
        <v>75.72</v>
      </c>
      <c r="M274" s="141" t="n">
        <f aca="false">C274*(Estacas!O274+Estacas!O275)/2</f>
        <v>224</v>
      </c>
      <c r="N274" s="141" t="n">
        <f aca="false">C274*(Estacas!O274+Estacas!O275)/2</f>
        <v>224</v>
      </c>
      <c r="O274" s="141" t="n">
        <f aca="false">C274*(Estacas!P274+Estacas!P275)/2</f>
        <v>258.4</v>
      </c>
      <c r="P274" s="141" t="n">
        <f aca="false">R274*Parâmetros!$C$11</f>
        <v>0</v>
      </c>
      <c r="Q274" s="141" t="n">
        <f aca="false">R274*Parâmetros!$C$12</f>
        <v>0</v>
      </c>
      <c r="R274" s="141" t="n">
        <f aca="false">C274*(Estacas!Q274+Estacas!Q275)/2</f>
        <v>0</v>
      </c>
      <c r="S274" s="141" t="n">
        <f aca="false">IF(LEFT(E274,3)="T09",C274*Parâmetros!$D$13*Parâmetros!$C$13,0)</f>
        <v>0</v>
      </c>
    </row>
    <row r="275" customFormat="false" ht="15" hidden="false" customHeight="false" outlineLevel="0" collapsed="false">
      <c r="A275" s="138" t="str">
        <f aca="false">Estacas!A275</f>
        <v>273+0,00</v>
      </c>
      <c r="B275" s="138" t="str">
        <f aca="false">Estacas!A276</f>
        <v>274+0,00</v>
      </c>
      <c r="C275" s="144" t="n">
        <f aca="false">Estacas!C276-Estacas!C275</f>
        <v>20</v>
      </c>
      <c r="D275" s="138" t="s">
        <v>1565</v>
      </c>
      <c r="E275" s="138" t="s">
        <v>1566</v>
      </c>
      <c r="F275" s="141" t="n">
        <f aca="false">Estacas!F275</f>
        <v>11</v>
      </c>
      <c r="G275" s="141" t="n">
        <f aca="false">Estacas!F276</f>
        <v>11</v>
      </c>
      <c r="H275" s="141" t="n">
        <f aca="false">C275*(Estacas!K275+Estacas!K276)/2</f>
        <v>11.05</v>
      </c>
      <c r="I275" s="141" t="n">
        <f aca="false">H275*Parâmetros!$C$14</f>
        <v>26.52</v>
      </c>
      <c r="J275" s="141" t="n">
        <f aca="false">C275*(Estacas!L275+Estacas!L276)/2</f>
        <v>36.352</v>
      </c>
      <c r="K275" s="141" t="n">
        <f aca="false">C275*(Estacas!M275+Estacas!M276)/2</f>
        <v>47.68</v>
      </c>
      <c r="L275" s="141" t="n">
        <f aca="false">C275*(Estacas!N275+Estacas!N276)/2</f>
        <v>75.72</v>
      </c>
      <c r="M275" s="141" t="n">
        <f aca="false">C275*(Estacas!O275+Estacas!O276)/2</f>
        <v>224</v>
      </c>
      <c r="N275" s="141" t="n">
        <f aca="false">C275*(Estacas!O275+Estacas!O276)/2</f>
        <v>224</v>
      </c>
      <c r="O275" s="141" t="n">
        <f aca="false">C275*(Estacas!P275+Estacas!P276)/2</f>
        <v>258.4</v>
      </c>
      <c r="P275" s="141" t="n">
        <f aca="false">R275*Parâmetros!$C$11</f>
        <v>0</v>
      </c>
      <c r="Q275" s="141" t="n">
        <f aca="false">R275*Parâmetros!$C$12</f>
        <v>0</v>
      </c>
      <c r="R275" s="141" t="n">
        <f aca="false">C275*(Estacas!Q275+Estacas!Q276)/2</f>
        <v>0</v>
      </c>
      <c r="S275" s="141" t="n">
        <f aca="false">IF(LEFT(E275,3)="T09",C275*Parâmetros!$D$13*Parâmetros!$C$13,0)</f>
        <v>0</v>
      </c>
    </row>
    <row r="276" customFormat="false" ht="15" hidden="false" customHeight="false" outlineLevel="0" collapsed="false">
      <c r="A276" s="138" t="str">
        <f aca="false">Estacas!A276</f>
        <v>274+0,00</v>
      </c>
      <c r="B276" s="138" t="str">
        <f aca="false">Estacas!A277</f>
        <v>275+0,00</v>
      </c>
      <c r="C276" s="144" t="n">
        <f aca="false">Estacas!C277-Estacas!C276</f>
        <v>20</v>
      </c>
      <c r="D276" s="138" t="s">
        <v>1565</v>
      </c>
      <c r="E276" s="138" t="s">
        <v>1566</v>
      </c>
      <c r="F276" s="141" t="n">
        <f aca="false">Estacas!F276</f>
        <v>11</v>
      </c>
      <c r="G276" s="141" t="n">
        <f aca="false">Estacas!F277</f>
        <v>11</v>
      </c>
      <c r="H276" s="141" t="n">
        <f aca="false">C276*(Estacas!K276+Estacas!K277)/2</f>
        <v>11.05</v>
      </c>
      <c r="I276" s="141" t="n">
        <f aca="false">H276*Parâmetros!$C$14</f>
        <v>26.52</v>
      </c>
      <c r="J276" s="141" t="n">
        <f aca="false">C276*(Estacas!L276+Estacas!L277)/2</f>
        <v>36.352</v>
      </c>
      <c r="K276" s="141" t="n">
        <f aca="false">C276*(Estacas!M276+Estacas!M277)/2</f>
        <v>47.68</v>
      </c>
      <c r="L276" s="141" t="n">
        <f aca="false">C276*(Estacas!N276+Estacas!N277)/2</f>
        <v>75.72</v>
      </c>
      <c r="M276" s="141" t="n">
        <f aca="false">C276*(Estacas!O276+Estacas!O277)/2</f>
        <v>224</v>
      </c>
      <c r="N276" s="141" t="n">
        <f aca="false">C276*(Estacas!O276+Estacas!O277)/2</f>
        <v>224</v>
      </c>
      <c r="O276" s="141" t="n">
        <f aca="false">C276*(Estacas!P276+Estacas!P277)/2</f>
        <v>258.4</v>
      </c>
      <c r="P276" s="141" t="n">
        <f aca="false">R276*Parâmetros!$C$11</f>
        <v>0</v>
      </c>
      <c r="Q276" s="141" t="n">
        <f aca="false">R276*Parâmetros!$C$12</f>
        <v>0</v>
      </c>
      <c r="R276" s="141" t="n">
        <f aca="false">C276*(Estacas!Q276+Estacas!Q277)/2</f>
        <v>0</v>
      </c>
      <c r="S276" s="141" t="n">
        <f aca="false">IF(LEFT(E276,3)="T09",C276*Parâmetros!$D$13*Parâmetros!$C$13,0)</f>
        <v>0</v>
      </c>
    </row>
    <row r="277" customFormat="false" ht="15" hidden="false" customHeight="false" outlineLevel="0" collapsed="false">
      <c r="A277" s="138" t="str">
        <f aca="false">Estacas!A277</f>
        <v>275+0,00</v>
      </c>
      <c r="B277" s="138" t="str">
        <f aca="false">Estacas!A278</f>
        <v>276+0,00</v>
      </c>
      <c r="C277" s="144" t="n">
        <f aca="false">Estacas!C278-Estacas!C277</f>
        <v>20</v>
      </c>
      <c r="D277" s="138" t="s">
        <v>1565</v>
      </c>
      <c r="E277" s="138" t="s">
        <v>1566</v>
      </c>
      <c r="F277" s="141" t="n">
        <f aca="false">Estacas!F277</f>
        <v>11</v>
      </c>
      <c r="G277" s="141" t="n">
        <f aca="false">Estacas!F278</f>
        <v>11</v>
      </c>
      <c r="H277" s="141" t="n">
        <f aca="false">C277*(Estacas!K277+Estacas!K278)/2</f>
        <v>11.05</v>
      </c>
      <c r="I277" s="141" t="n">
        <f aca="false">H277*Parâmetros!$C$14</f>
        <v>26.52</v>
      </c>
      <c r="J277" s="141" t="n">
        <f aca="false">C277*(Estacas!L277+Estacas!L278)/2</f>
        <v>36.352</v>
      </c>
      <c r="K277" s="141" t="n">
        <f aca="false">C277*(Estacas!M277+Estacas!M278)/2</f>
        <v>47.68</v>
      </c>
      <c r="L277" s="141" t="n">
        <f aca="false">C277*(Estacas!N277+Estacas!N278)/2</f>
        <v>75.72</v>
      </c>
      <c r="M277" s="141" t="n">
        <f aca="false">C277*(Estacas!O277+Estacas!O278)/2</f>
        <v>224</v>
      </c>
      <c r="N277" s="141" t="n">
        <f aca="false">C277*(Estacas!O277+Estacas!O278)/2</f>
        <v>224</v>
      </c>
      <c r="O277" s="141" t="n">
        <f aca="false">C277*(Estacas!P277+Estacas!P278)/2</f>
        <v>258.4</v>
      </c>
      <c r="P277" s="141" t="n">
        <f aca="false">R277*Parâmetros!$C$11</f>
        <v>0</v>
      </c>
      <c r="Q277" s="141" t="n">
        <f aca="false">R277*Parâmetros!$C$12</f>
        <v>0</v>
      </c>
      <c r="R277" s="141" t="n">
        <f aca="false">C277*(Estacas!Q277+Estacas!Q278)/2</f>
        <v>0</v>
      </c>
      <c r="S277" s="141" t="n">
        <f aca="false">IF(LEFT(E277,3)="T09",C277*Parâmetros!$D$13*Parâmetros!$C$13,0)</f>
        <v>0</v>
      </c>
    </row>
    <row r="278" customFormat="false" ht="15" hidden="false" customHeight="false" outlineLevel="0" collapsed="false">
      <c r="A278" s="138" t="str">
        <f aca="false">Estacas!A278</f>
        <v>276+0,00</v>
      </c>
      <c r="B278" s="138" t="str">
        <f aca="false">Estacas!A279</f>
        <v>277+0,00</v>
      </c>
      <c r="C278" s="144" t="n">
        <f aca="false">Estacas!C279-Estacas!C278</f>
        <v>20</v>
      </c>
      <c r="D278" s="138" t="s">
        <v>1565</v>
      </c>
      <c r="E278" s="138" t="s">
        <v>1566</v>
      </c>
      <c r="F278" s="141" t="n">
        <f aca="false">Estacas!F278</f>
        <v>11</v>
      </c>
      <c r="G278" s="141" t="n">
        <f aca="false">Estacas!F279</f>
        <v>11</v>
      </c>
      <c r="H278" s="141" t="n">
        <f aca="false">C278*(Estacas!K278+Estacas!K279)/2</f>
        <v>11.05</v>
      </c>
      <c r="I278" s="141" t="n">
        <f aca="false">H278*Parâmetros!$C$14</f>
        <v>26.52</v>
      </c>
      <c r="J278" s="141" t="n">
        <f aca="false">C278*(Estacas!L278+Estacas!L279)/2</f>
        <v>36.352</v>
      </c>
      <c r="K278" s="141" t="n">
        <f aca="false">C278*(Estacas!M278+Estacas!M279)/2</f>
        <v>47.68</v>
      </c>
      <c r="L278" s="141" t="n">
        <f aca="false">C278*(Estacas!N278+Estacas!N279)/2</f>
        <v>75.72</v>
      </c>
      <c r="M278" s="141" t="n">
        <f aca="false">C278*(Estacas!O278+Estacas!O279)/2</f>
        <v>224</v>
      </c>
      <c r="N278" s="141" t="n">
        <f aca="false">C278*(Estacas!O278+Estacas!O279)/2</f>
        <v>224</v>
      </c>
      <c r="O278" s="141" t="n">
        <f aca="false">C278*(Estacas!P278+Estacas!P279)/2</f>
        <v>258.4</v>
      </c>
      <c r="P278" s="141" t="n">
        <f aca="false">R278*Parâmetros!$C$11</f>
        <v>0</v>
      </c>
      <c r="Q278" s="141" t="n">
        <f aca="false">R278*Parâmetros!$C$12</f>
        <v>0</v>
      </c>
      <c r="R278" s="141" t="n">
        <f aca="false">C278*(Estacas!Q278+Estacas!Q279)/2</f>
        <v>0</v>
      </c>
      <c r="S278" s="141" t="n">
        <f aca="false">IF(LEFT(E278,3)="T09",C278*Parâmetros!$D$13*Parâmetros!$C$13,0)</f>
        <v>0</v>
      </c>
    </row>
    <row r="279" customFormat="false" ht="15" hidden="false" customHeight="false" outlineLevel="0" collapsed="false">
      <c r="A279" s="138" t="str">
        <f aca="false">Estacas!A279</f>
        <v>277+0,00</v>
      </c>
      <c r="B279" s="138" t="str">
        <f aca="false">Estacas!A280</f>
        <v>278+0,00</v>
      </c>
      <c r="C279" s="144" t="n">
        <f aca="false">Estacas!C280-Estacas!C279</f>
        <v>20</v>
      </c>
      <c r="D279" s="138" t="s">
        <v>1565</v>
      </c>
      <c r="E279" s="138" t="s">
        <v>1566</v>
      </c>
      <c r="F279" s="141" t="n">
        <f aca="false">Estacas!F279</f>
        <v>11</v>
      </c>
      <c r="G279" s="141" t="n">
        <f aca="false">Estacas!F280</f>
        <v>11</v>
      </c>
      <c r="H279" s="141" t="n">
        <f aca="false">C279*(Estacas!K279+Estacas!K280)/2</f>
        <v>11.05</v>
      </c>
      <c r="I279" s="141" t="n">
        <f aca="false">H279*Parâmetros!$C$14</f>
        <v>26.52</v>
      </c>
      <c r="J279" s="141" t="n">
        <f aca="false">C279*(Estacas!L279+Estacas!L280)/2</f>
        <v>36.352</v>
      </c>
      <c r="K279" s="141" t="n">
        <f aca="false">C279*(Estacas!M279+Estacas!M280)/2</f>
        <v>47.68</v>
      </c>
      <c r="L279" s="141" t="n">
        <f aca="false">C279*(Estacas!N279+Estacas!N280)/2</f>
        <v>75.72</v>
      </c>
      <c r="M279" s="141" t="n">
        <f aca="false">C279*(Estacas!O279+Estacas!O280)/2</f>
        <v>224</v>
      </c>
      <c r="N279" s="141" t="n">
        <f aca="false">C279*(Estacas!O279+Estacas!O280)/2</f>
        <v>224</v>
      </c>
      <c r="O279" s="141" t="n">
        <f aca="false">C279*(Estacas!P279+Estacas!P280)/2</f>
        <v>258.4</v>
      </c>
      <c r="P279" s="141" t="n">
        <f aca="false">R279*Parâmetros!$C$11</f>
        <v>0</v>
      </c>
      <c r="Q279" s="141" t="n">
        <f aca="false">R279*Parâmetros!$C$12</f>
        <v>0</v>
      </c>
      <c r="R279" s="141" t="n">
        <f aca="false">C279*(Estacas!Q279+Estacas!Q280)/2</f>
        <v>0</v>
      </c>
      <c r="S279" s="141" t="n">
        <f aca="false">IF(LEFT(E279,3)="T09",C279*Parâmetros!$D$13*Parâmetros!$C$13,0)</f>
        <v>0</v>
      </c>
    </row>
    <row r="280" customFormat="false" ht="15" hidden="false" customHeight="false" outlineLevel="0" collapsed="false">
      <c r="A280" s="138" t="str">
        <f aca="false">Estacas!A280</f>
        <v>278+0,00</v>
      </c>
      <c r="B280" s="138" t="str">
        <f aca="false">Estacas!A281</f>
        <v>279+0,00</v>
      </c>
      <c r="C280" s="144" t="n">
        <f aca="false">Estacas!C281-Estacas!C280</f>
        <v>20</v>
      </c>
      <c r="D280" s="138" t="s">
        <v>1565</v>
      </c>
      <c r="E280" s="138" t="s">
        <v>1566</v>
      </c>
      <c r="F280" s="141" t="n">
        <f aca="false">Estacas!F280</f>
        <v>11</v>
      </c>
      <c r="G280" s="141" t="n">
        <f aca="false">Estacas!F281</f>
        <v>11</v>
      </c>
      <c r="H280" s="141" t="n">
        <f aca="false">C280*(Estacas!K280+Estacas!K281)/2</f>
        <v>11.05</v>
      </c>
      <c r="I280" s="141" t="n">
        <f aca="false">H280*Parâmetros!$C$14</f>
        <v>26.52</v>
      </c>
      <c r="J280" s="141" t="n">
        <f aca="false">C280*(Estacas!L280+Estacas!L281)/2</f>
        <v>36.352</v>
      </c>
      <c r="K280" s="141" t="n">
        <f aca="false">C280*(Estacas!M280+Estacas!M281)/2</f>
        <v>47.68</v>
      </c>
      <c r="L280" s="141" t="n">
        <f aca="false">C280*(Estacas!N280+Estacas!N281)/2</f>
        <v>75.72</v>
      </c>
      <c r="M280" s="141" t="n">
        <f aca="false">C280*(Estacas!O280+Estacas!O281)/2</f>
        <v>224</v>
      </c>
      <c r="N280" s="141" t="n">
        <f aca="false">C280*(Estacas!O280+Estacas!O281)/2</f>
        <v>224</v>
      </c>
      <c r="O280" s="141" t="n">
        <f aca="false">C280*(Estacas!P280+Estacas!P281)/2</f>
        <v>258.4</v>
      </c>
      <c r="P280" s="141" t="n">
        <f aca="false">R280*Parâmetros!$C$11</f>
        <v>0</v>
      </c>
      <c r="Q280" s="141" t="n">
        <f aca="false">R280*Parâmetros!$C$12</f>
        <v>0</v>
      </c>
      <c r="R280" s="141" t="n">
        <f aca="false">C280*(Estacas!Q280+Estacas!Q281)/2</f>
        <v>0</v>
      </c>
      <c r="S280" s="141" t="n">
        <f aca="false">IF(LEFT(E280,3)="T09",C280*Parâmetros!$D$13*Parâmetros!$C$13,0)</f>
        <v>0</v>
      </c>
    </row>
    <row r="281" customFormat="false" ht="15" hidden="false" customHeight="false" outlineLevel="0" collapsed="false">
      <c r="A281" s="138" t="str">
        <f aca="false">Estacas!A281</f>
        <v>279+0,00</v>
      </c>
      <c r="B281" s="138" t="str">
        <f aca="false">Estacas!A282</f>
        <v>280+0,00</v>
      </c>
      <c r="C281" s="144" t="n">
        <f aca="false">Estacas!C282-Estacas!C281</f>
        <v>20</v>
      </c>
      <c r="D281" s="138" t="s">
        <v>1565</v>
      </c>
      <c r="E281" s="138" t="s">
        <v>1566</v>
      </c>
      <c r="F281" s="141" t="n">
        <f aca="false">Estacas!F281</f>
        <v>11</v>
      </c>
      <c r="G281" s="141" t="n">
        <f aca="false">Estacas!F282</f>
        <v>11</v>
      </c>
      <c r="H281" s="141" t="n">
        <f aca="false">C281*(Estacas!K281+Estacas!K282)/2</f>
        <v>11.05</v>
      </c>
      <c r="I281" s="141" t="n">
        <f aca="false">H281*Parâmetros!$C$14</f>
        <v>26.52</v>
      </c>
      <c r="J281" s="141" t="n">
        <f aca="false">C281*(Estacas!L281+Estacas!L282)/2</f>
        <v>36.352</v>
      </c>
      <c r="K281" s="141" t="n">
        <f aca="false">C281*(Estacas!M281+Estacas!M282)/2</f>
        <v>47.68</v>
      </c>
      <c r="L281" s="141" t="n">
        <f aca="false">C281*(Estacas!N281+Estacas!N282)/2</f>
        <v>75.72</v>
      </c>
      <c r="M281" s="141" t="n">
        <f aca="false">C281*(Estacas!O281+Estacas!O282)/2</f>
        <v>224</v>
      </c>
      <c r="N281" s="141" t="n">
        <f aca="false">C281*(Estacas!O281+Estacas!O282)/2</f>
        <v>224</v>
      </c>
      <c r="O281" s="141" t="n">
        <f aca="false">C281*(Estacas!P281+Estacas!P282)/2</f>
        <v>258.4</v>
      </c>
      <c r="P281" s="141" t="n">
        <f aca="false">R281*Parâmetros!$C$11</f>
        <v>0</v>
      </c>
      <c r="Q281" s="141" t="n">
        <f aca="false">R281*Parâmetros!$C$12</f>
        <v>0</v>
      </c>
      <c r="R281" s="141" t="n">
        <f aca="false">C281*(Estacas!Q281+Estacas!Q282)/2</f>
        <v>0</v>
      </c>
      <c r="S281" s="141" t="n">
        <f aca="false">IF(LEFT(E281,3)="T09",C281*Parâmetros!$D$13*Parâmetros!$C$13,0)</f>
        <v>0</v>
      </c>
    </row>
    <row r="282" customFormat="false" ht="15" hidden="false" customHeight="false" outlineLevel="0" collapsed="false">
      <c r="A282" s="138" t="str">
        <f aca="false">Estacas!A282</f>
        <v>280+0,00</v>
      </c>
      <c r="B282" s="138" t="str">
        <f aca="false">Estacas!A283</f>
        <v>281+0,00</v>
      </c>
      <c r="C282" s="144" t="n">
        <f aca="false">Estacas!C283-Estacas!C282</f>
        <v>20</v>
      </c>
      <c r="D282" s="138" t="s">
        <v>1565</v>
      </c>
      <c r="E282" s="138" t="s">
        <v>1566</v>
      </c>
      <c r="F282" s="141" t="n">
        <f aca="false">Estacas!F282</f>
        <v>11</v>
      </c>
      <c r="G282" s="141" t="n">
        <f aca="false">Estacas!F283</f>
        <v>11</v>
      </c>
      <c r="H282" s="141" t="n">
        <f aca="false">C282*(Estacas!K282+Estacas!K283)/2</f>
        <v>11.05</v>
      </c>
      <c r="I282" s="141" t="n">
        <f aca="false">H282*Parâmetros!$C$14</f>
        <v>26.52</v>
      </c>
      <c r="J282" s="141" t="n">
        <f aca="false">C282*(Estacas!L282+Estacas!L283)/2</f>
        <v>36.352</v>
      </c>
      <c r="K282" s="141" t="n">
        <f aca="false">C282*(Estacas!M282+Estacas!M283)/2</f>
        <v>47.68</v>
      </c>
      <c r="L282" s="141" t="n">
        <f aca="false">C282*(Estacas!N282+Estacas!N283)/2</f>
        <v>75.72</v>
      </c>
      <c r="M282" s="141" t="n">
        <f aca="false">C282*(Estacas!O282+Estacas!O283)/2</f>
        <v>224</v>
      </c>
      <c r="N282" s="141" t="n">
        <f aca="false">C282*(Estacas!O282+Estacas!O283)/2</f>
        <v>224</v>
      </c>
      <c r="O282" s="141" t="n">
        <f aca="false">C282*(Estacas!P282+Estacas!P283)/2</f>
        <v>258.4</v>
      </c>
      <c r="P282" s="141" t="n">
        <f aca="false">R282*Parâmetros!$C$11</f>
        <v>0</v>
      </c>
      <c r="Q282" s="141" t="n">
        <f aca="false">R282*Parâmetros!$C$12</f>
        <v>0</v>
      </c>
      <c r="R282" s="141" t="n">
        <f aca="false">C282*(Estacas!Q282+Estacas!Q283)/2</f>
        <v>0</v>
      </c>
      <c r="S282" s="141" t="n">
        <f aca="false">IF(LEFT(E282,3)="T09",C282*Parâmetros!$D$13*Parâmetros!$C$13,0)</f>
        <v>0</v>
      </c>
    </row>
    <row r="283" customFormat="false" ht="15" hidden="false" customHeight="false" outlineLevel="0" collapsed="false">
      <c r="A283" s="138" t="str">
        <f aca="false">Estacas!A283</f>
        <v>281+0,00</v>
      </c>
      <c r="B283" s="138" t="str">
        <f aca="false">Estacas!A284</f>
        <v>282+0,00</v>
      </c>
      <c r="C283" s="144" t="n">
        <f aca="false">Estacas!C284-Estacas!C283</f>
        <v>20</v>
      </c>
      <c r="D283" s="138" t="s">
        <v>1565</v>
      </c>
      <c r="E283" s="138" t="s">
        <v>1566</v>
      </c>
      <c r="F283" s="141" t="n">
        <f aca="false">Estacas!F283</f>
        <v>11</v>
      </c>
      <c r="G283" s="141" t="n">
        <f aca="false">Estacas!F284</f>
        <v>11</v>
      </c>
      <c r="H283" s="141" t="n">
        <f aca="false">C283*(Estacas!K283+Estacas!K284)/2</f>
        <v>11.05</v>
      </c>
      <c r="I283" s="141" t="n">
        <f aca="false">H283*Parâmetros!$C$14</f>
        <v>26.52</v>
      </c>
      <c r="J283" s="141" t="n">
        <f aca="false">C283*(Estacas!L283+Estacas!L284)/2</f>
        <v>36.352</v>
      </c>
      <c r="K283" s="141" t="n">
        <f aca="false">C283*(Estacas!M283+Estacas!M284)/2</f>
        <v>47.68</v>
      </c>
      <c r="L283" s="141" t="n">
        <f aca="false">C283*(Estacas!N283+Estacas!N284)/2</f>
        <v>75.72</v>
      </c>
      <c r="M283" s="141" t="n">
        <f aca="false">C283*(Estacas!O283+Estacas!O284)/2</f>
        <v>224</v>
      </c>
      <c r="N283" s="141" t="n">
        <f aca="false">C283*(Estacas!O283+Estacas!O284)/2</f>
        <v>224</v>
      </c>
      <c r="O283" s="141" t="n">
        <f aca="false">C283*(Estacas!P283+Estacas!P284)/2</f>
        <v>258.4</v>
      </c>
      <c r="P283" s="141" t="n">
        <f aca="false">R283*Parâmetros!$C$11</f>
        <v>0</v>
      </c>
      <c r="Q283" s="141" t="n">
        <f aca="false">R283*Parâmetros!$C$12</f>
        <v>0</v>
      </c>
      <c r="R283" s="141" t="n">
        <f aca="false">C283*(Estacas!Q283+Estacas!Q284)/2</f>
        <v>0</v>
      </c>
      <c r="S283" s="141" t="n">
        <f aca="false">IF(LEFT(E283,3)="T09",C283*Parâmetros!$D$13*Parâmetros!$C$13,0)</f>
        <v>0</v>
      </c>
    </row>
    <row r="284" customFormat="false" ht="15" hidden="false" customHeight="false" outlineLevel="0" collapsed="false">
      <c r="A284" s="138" t="str">
        <f aca="false">Estacas!A284</f>
        <v>282+0,00</v>
      </c>
      <c r="B284" s="138" t="str">
        <f aca="false">Estacas!A285</f>
        <v>283+0,00</v>
      </c>
      <c r="C284" s="144" t="n">
        <f aca="false">Estacas!C285-Estacas!C284</f>
        <v>20</v>
      </c>
      <c r="D284" s="138" t="s">
        <v>1565</v>
      </c>
      <c r="E284" s="138" t="s">
        <v>1566</v>
      </c>
      <c r="F284" s="141" t="n">
        <f aca="false">Estacas!F284</f>
        <v>11</v>
      </c>
      <c r="G284" s="141" t="n">
        <f aca="false">Estacas!F285</f>
        <v>11</v>
      </c>
      <c r="H284" s="141" t="n">
        <f aca="false">C284*(Estacas!K284+Estacas!K285)/2</f>
        <v>11.05</v>
      </c>
      <c r="I284" s="141" t="n">
        <f aca="false">H284*Parâmetros!$C$14</f>
        <v>26.52</v>
      </c>
      <c r="J284" s="141" t="n">
        <f aca="false">C284*(Estacas!L284+Estacas!L285)/2</f>
        <v>36.352</v>
      </c>
      <c r="K284" s="141" t="n">
        <f aca="false">C284*(Estacas!M284+Estacas!M285)/2</f>
        <v>47.68</v>
      </c>
      <c r="L284" s="141" t="n">
        <f aca="false">C284*(Estacas!N284+Estacas!N285)/2</f>
        <v>75.72</v>
      </c>
      <c r="M284" s="141" t="n">
        <f aca="false">C284*(Estacas!O284+Estacas!O285)/2</f>
        <v>224</v>
      </c>
      <c r="N284" s="141" t="n">
        <f aca="false">C284*(Estacas!O284+Estacas!O285)/2</f>
        <v>224</v>
      </c>
      <c r="O284" s="141" t="n">
        <f aca="false">C284*(Estacas!P284+Estacas!P285)/2</f>
        <v>258.4</v>
      </c>
      <c r="P284" s="141" t="n">
        <f aca="false">R284*Parâmetros!$C$11</f>
        <v>0</v>
      </c>
      <c r="Q284" s="141" t="n">
        <f aca="false">R284*Parâmetros!$C$12</f>
        <v>0</v>
      </c>
      <c r="R284" s="141" t="n">
        <f aca="false">C284*(Estacas!Q284+Estacas!Q285)/2</f>
        <v>0</v>
      </c>
      <c r="S284" s="141" t="n">
        <f aca="false">IF(LEFT(E284,3)="T09",C284*Parâmetros!$D$13*Parâmetros!$C$13,0)</f>
        <v>0</v>
      </c>
    </row>
    <row r="285" customFormat="false" ht="15" hidden="false" customHeight="false" outlineLevel="0" collapsed="false">
      <c r="A285" s="138" t="str">
        <f aca="false">Estacas!A285</f>
        <v>283+0,00</v>
      </c>
      <c r="B285" s="138" t="str">
        <f aca="false">Estacas!A286</f>
        <v>284+0,00</v>
      </c>
      <c r="C285" s="144" t="n">
        <f aca="false">Estacas!C286-Estacas!C285</f>
        <v>20</v>
      </c>
      <c r="D285" s="138" t="s">
        <v>1565</v>
      </c>
      <c r="E285" s="138" t="s">
        <v>1566</v>
      </c>
      <c r="F285" s="141" t="n">
        <f aca="false">Estacas!F285</f>
        <v>11</v>
      </c>
      <c r="G285" s="141" t="n">
        <f aca="false">Estacas!F286</f>
        <v>11</v>
      </c>
      <c r="H285" s="141" t="n">
        <f aca="false">C285*(Estacas!K285+Estacas!K286)/2</f>
        <v>11.05</v>
      </c>
      <c r="I285" s="141" t="n">
        <f aca="false">H285*Parâmetros!$C$14</f>
        <v>26.52</v>
      </c>
      <c r="J285" s="141" t="n">
        <f aca="false">C285*(Estacas!L285+Estacas!L286)/2</f>
        <v>36.352</v>
      </c>
      <c r="K285" s="141" t="n">
        <f aca="false">C285*(Estacas!M285+Estacas!M286)/2</f>
        <v>47.68</v>
      </c>
      <c r="L285" s="141" t="n">
        <f aca="false">C285*(Estacas!N285+Estacas!N286)/2</f>
        <v>75.72</v>
      </c>
      <c r="M285" s="141" t="n">
        <f aca="false">C285*(Estacas!O285+Estacas!O286)/2</f>
        <v>224</v>
      </c>
      <c r="N285" s="141" t="n">
        <f aca="false">C285*(Estacas!O285+Estacas!O286)/2</f>
        <v>224</v>
      </c>
      <c r="O285" s="141" t="n">
        <f aca="false">C285*(Estacas!P285+Estacas!P286)/2</f>
        <v>258.4</v>
      </c>
      <c r="P285" s="141" t="n">
        <f aca="false">R285*Parâmetros!$C$11</f>
        <v>0</v>
      </c>
      <c r="Q285" s="141" t="n">
        <f aca="false">R285*Parâmetros!$C$12</f>
        <v>0</v>
      </c>
      <c r="R285" s="141" t="n">
        <f aca="false">C285*(Estacas!Q285+Estacas!Q286)/2</f>
        <v>0</v>
      </c>
      <c r="S285" s="141" t="n">
        <f aca="false">IF(LEFT(E285,3)="T09",C285*Parâmetros!$D$13*Parâmetros!$C$13,0)</f>
        <v>0</v>
      </c>
    </row>
    <row r="286" customFormat="false" ht="15" hidden="false" customHeight="false" outlineLevel="0" collapsed="false">
      <c r="A286" s="138" t="str">
        <f aca="false">Estacas!A286</f>
        <v>284+0,00</v>
      </c>
      <c r="B286" s="138" t="str">
        <f aca="false">Estacas!A287</f>
        <v>285+0,00</v>
      </c>
      <c r="C286" s="144" t="n">
        <f aca="false">Estacas!C287-Estacas!C286</f>
        <v>20</v>
      </c>
      <c r="D286" s="138" t="s">
        <v>1565</v>
      </c>
      <c r="E286" s="138" t="s">
        <v>1566</v>
      </c>
      <c r="F286" s="141" t="n">
        <f aca="false">Estacas!F286</f>
        <v>11</v>
      </c>
      <c r="G286" s="141" t="n">
        <f aca="false">Estacas!F287</f>
        <v>11</v>
      </c>
      <c r="H286" s="141" t="n">
        <f aca="false">C286*(Estacas!K286+Estacas!K287)/2</f>
        <v>11.05</v>
      </c>
      <c r="I286" s="141" t="n">
        <f aca="false">H286*Parâmetros!$C$14</f>
        <v>26.52</v>
      </c>
      <c r="J286" s="141" t="n">
        <f aca="false">C286*(Estacas!L286+Estacas!L287)/2</f>
        <v>36.352</v>
      </c>
      <c r="K286" s="141" t="n">
        <f aca="false">C286*(Estacas!M286+Estacas!M287)/2</f>
        <v>47.68</v>
      </c>
      <c r="L286" s="141" t="n">
        <f aca="false">C286*(Estacas!N286+Estacas!N287)/2</f>
        <v>75.72</v>
      </c>
      <c r="M286" s="141" t="n">
        <f aca="false">C286*(Estacas!O286+Estacas!O287)/2</f>
        <v>224</v>
      </c>
      <c r="N286" s="141" t="n">
        <f aca="false">C286*(Estacas!O286+Estacas!O287)/2</f>
        <v>224</v>
      </c>
      <c r="O286" s="141" t="n">
        <f aca="false">C286*(Estacas!P286+Estacas!P287)/2</f>
        <v>258.4</v>
      </c>
      <c r="P286" s="141" t="n">
        <f aca="false">R286*Parâmetros!$C$11</f>
        <v>0</v>
      </c>
      <c r="Q286" s="141" t="n">
        <f aca="false">R286*Parâmetros!$C$12</f>
        <v>0</v>
      </c>
      <c r="R286" s="141" t="n">
        <f aca="false">C286*(Estacas!Q286+Estacas!Q287)/2</f>
        <v>0</v>
      </c>
      <c r="S286" s="141" t="n">
        <f aca="false">IF(LEFT(E286,3)="T09",C286*Parâmetros!$D$13*Parâmetros!$C$13,0)</f>
        <v>0</v>
      </c>
    </row>
    <row r="287" customFormat="false" ht="15" hidden="false" customHeight="false" outlineLevel="0" collapsed="false">
      <c r="A287" s="138" t="str">
        <f aca="false">Estacas!A287</f>
        <v>285+0,00</v>
      </c>
      <c r="B287" s="138" t="str">
        <f aca="false">Estacas!A288</f>
        <v>286+0,00</v>
      </c>
      <c r="C287" s="144" t="n">
        <f aca="false">Estacas!C288-Estacas!C287</f>
        <v>20</v>
      </c>
      <c r="D287" s="138" t="s">
        <v>1565</v>
      </c>
      <c r="E287" s="138" t="s">
        <v>1566</v>
      </c>
      <c r="F287" s="141" t="n">
        <f aca="false">Estacas!F287</f>
        <v>11</v>
      </c>
      <c r="G287" s="141" t="n">
        <f aca="false">Estacas!F288</f>
        <v>11</v>
      </c>
      <c r="H287" s="141" t="n">
        <f aca="false">C287*(Estacas!K287+Estacas!K288)/2</f>
        <v>11.05</v>
      </c>
      <c r="I287" s="141" t="n">
        <f aca="false">H287*Parâmetros!$C$14</f>
        <v>26.52</v>
      </c>
      <c r="J287" s="141" t="n">
        <f aca="false">C287*(Estacas!L287+Estacas!L288)/2</f>
        <v>36.352</v>
      </c>
      <c r="K287" s="141" t="n">
        <f aca="false">C287*(Estacas!M287+Estacas!M288)/2</f>
        <v>47.68</v>
      </c>
      <c r="L287" s="141" t="n">
        <f aca="false">C287*(Estacas!N287+Estacas!N288)/2</f>
        <v>75.72</v>
      </c>
      <c r="M287" s="141" t="n">
        <f aca="false">C287*(Estacas!O287+Estacas!O288)/2</f>
        <v>224</v>
      </c>
      <c r="N287" s="141" t="n">
        <f aca="false">C287*(Estacas!O287+Estacas!O288)/2</f>
        <v>224</v>
      </c>
      <c r="O287" s="141" t="n">
        <f aca="false">C287*(Estacas!P287+Estacas!P288)/2</f>
        <v>258.4</v>
      </c>
      <c r="P287" s="141" t="n">
        <f aca="false">R287*Parâmetros!$C$11</f>
        <v>0</v>
      </c>
      <c r="Q287" s="141" t="n">
        <f aca="false">R287*Parâmetros!$C$12</f>
        <v>0</v>
      </c>
      <c r="R287" s="141" t="n">
        <f aca="false">C287*(Estacas!Q287+Estacas!Q288)/2</f>
        <v>0</v>
      </c>
      <c r="S287" s="141" t="n">
        <f aca="false">IF(LEFT(E287,3)="T09",C287*Parâmetros!$D$13*Parâmetros!$C$13,0)</f>
        <v>0</v>
      </c>
    </row>
    <row r="288" customFormat="false" ht="15" hidden="false" customHeight="false" outlineLevel="0" collapsed="false">
      <c r="A288" s="138" t="str">
        <f aca="false">Estacas!A288</f>
        <v>286+0,00</v>
      </c>
      <c r="B288" s="138" t="str">
        <f aca="false">Estacas!A289</f>
        <v>287+0,00</v>
      </c>
      <c r="C288" s="144" t="n">
        <f aca="false">Estacas!C289-Estacas!C288</f>
        <v>20</v>
      </c>
      <c r="D288" s="138" t="s">
        <v>1565</v>
      </c>
      <c r="E288" s="138" t="s">
        <v>1566</v>
      </c>
      <c r="F288" s="141" t="n">
        <f aca="false">Estacas!F288</f>
        <v>11</v>
      </c>
      <c r="G288" s="141" t="n">
        <f aca="false">Estacas!F289</f>
        <v>11</v>
      </c>
      <c r="H288" s="141" t="n">
        <f aca="false">C288*(Estacas!K288+Estacas!K289)/2</f>
        <v>11.05</v>
      </c>
      <c r="I288" s="141" t="n">
        <f aca="false">H288*Parâmetros!$C$14</f>
        <v>26.52</v>
      </c>
      <c r="J288" s="141" t="n">
        <f aca="false">C288*(Estacas!L288+Estacas!L289)/2</f>
        <v>36.352</v>
      </c>
      <c r="K288" s="141" t="n">
        <f aca="false">C288*(Estacas!M288+Estacas!M289)/2</f>
        <v>47.68</v>
      </c>
      <c r="L288" s="141" t="n">
        <f aca="false">C288*(Estacas!N288+Estacas!N289)/2</f>
        <v>75.72</v>
      </c>
      <c r="M288" s="141" t="n">
        <f aca="false">C288*(Estacas!O288+Estacas!O289)/2</f>
        <v>224</v>
      </c>
      <c r="N288" s="141" t="n">
        <f aca="false">C288*(Estacas!O288+Estacas!O289)/2</f>
        <v>224</v>
      </c>
      <c r="O288" s="141" t="n">
        <f aca="false">C288*(Estacas!P288+Estacas!P289)/2</f>
        <v>258.4</v>
      </c>
      <c r="P288" s="141" t="n">
        <f aca="false">R288*Parâmetros!$C$11</f>
        <v>0</v>
      </c>
      <c r="Q288" s="141" t="n">
        <f aca="false">R288*Parâmetros!$C$12</f>
        <v>0</v>
      </c>
      <c r="R288" s="141" t="n">
        <f aca="false">C288*(Estacas!Q288+Estacas!Q289)/2</f>
        <v>0</v>
      </c>
      <c r="S288" s="141" t="n">
        <f aca="false">IF(LEFT(E288,3)="T09",C288*Parâmetros!$D$13*Parâmetros!$C$13,0)</f>
        <v>0</v>
      </c>
    </row>
    <row r="289" customFormat="false" ht="15" hidden="false" customHeight="false" outlineLevel="0" collapsed="false">
      <c r="A289" s="138" t="str">
        <f aca="false">Estacas!A289</f>
        <v>287+0,00</v>
      </c>
      <c r="B289" s="138" t="str">
        <f aca="false">Estacas!A290</f>
        <v>288+0,00</v>
      </c>
      <c r="C289" s="144" t="n">
        <f aca="false">Estacas!C290-Estacas!C289</f>
        <v>20</v>
      </c>
      <c r="D289" s="138" t="s">
        <v>1565</v>
      </c>
      <c r="E289" s="138" t="s">
        <v>1566</v>
      </c>
      <c r="F289" s="141" t="n">
        <f aca="false">Estacas!F289</f>
        <v>11</v>
      </c>
      <c r="G289" s="141" t="n">
        <f aca="false">Estacas!F290</f>
        <v>11</v>
      </c>
      <c r="H289" s="141" t="n">
        <f aca="false">C289*(Estacas!K289+Estacas!K290)/2</f>
        <v>11.05</v>
      </c>
      <c r="I289" s="141" t="n">
        <f aca="false">H289*Parâmetros!$C$14</f>
        <v>26.52</v>
      </c>
      <c r="J289" s="141" t="n">
        <f aca="false">C289*(Estacas!L289+Estacas!L290)/2</f>
        <v>36.352</v>
      </c>
      <c r="K289" s="141" t="n">
        <f aca="false">C289*(Estacas!M289+Estacas!M290)/2</f>
        <v>47.68</v>
      </c>
      <c r="L289" s="141" t="n">
        <f aca="false">C289*(Estacas!N289+Estacas!N290)/2</f>
        <v>75.72</v>
      </c>
      <c r="M289" s="141" t="n">
        <f aca="false">C289*(Estacas!O289+Estacas!O290)/2</f>
        <v>224</v>
      </c>
      <c r="N289" s="141" t="n">
        <f aca="false">C289*(Estacas!O289+Estacas!O290)/2</f>
        <v>224</v>
      </c>
      <c r="O289" s="141" t="n">
        <f aca="false">C289*(Estacas!P289+Estacas!P290)/2</f>
        <v>258.4</v>
      </c>
      <c r="P289" s="141" t="n">
        <f aca="false">R289*Parâmetros!$C$11</f>
        <v>0</v>
      </c>
      <c r="Q289" s="141" t="n">
        <f aca="false">R289*Parâmetros!$C$12</f>
        <v>0</v>
      </c>
      <c r="R289" s="141" t="n">
        <f aca="false">C289*(Estacas!Q289+Estacas!Q290)/2</f>
        <v>0</v>
      </c>
      <c r="S289" s="141" t="n">
        <f aca="false">IF(LEFT(E289,3)="T09",C289*Parâmetros!$D$13*Parâmetros!$C$13,0)</f>
        <v>0</v>
      </c>
    </row>
    <row r="290" customFormat="false" ht="15" hidden="false" customHeight="false" outlineLevel="0" collapsed="false">
      <c r="A290" s="138" t="str">
        <f aca="false">Estacas!A290</f>
        <v>288+0,00</v>
      </c>
      <c r="B290" s="138" t="str">
        <f aca="false">Estacas!A291</f>
        <v>289+0,00</v>
      </c>
      <c r="C290" s="144" t="n">
        <f aca="false">Estacas!C291-Estacas!C290</f>
        <v>20</v>
      </c>
      <c r="D290" s="138" t="s">
        <v>1565</v>
      </c>
      <c r="E290" s="138" t="s">
        <v>1566</v>
      </c>
      <c r="F290" s="141" t="n">
        <f aca="false">Estacas!F290</f>
        <v>11</v>
      </c>
      <c r="G290" s="141" t="n">
        <f aca="false">Estacas!F291</f>
        <v>11</v>
      </c>
      <c r="H290" s="141" t="n">
        <f aca="false">C290*(Estacas!K290+Estacas!K291)/2</f>
        <v>11.05</v>
      </c>
      <c r="I290" s="141" t="n">
        <f aca="false">H290*Parâmetros!$C$14</f>
        <v>26.52</v>
      </c>
      <c r="J290" s="141" t="n">
        <f aca="false">C290*(Estacas!L290+Estacas!L291)/2</f>
        <v>36.352</v>
      </c>
      <c r="K290" s="141" t="n">
        <f aca="false">C290*(Estacas!M290+Estacas!M291)/2</f>
        <v>47.68</v>
      </c>
      <c r="L290" s="141" t="n">
        <f aca="false">C290*(Estacas!N290+Estacas!N291)/2</f>
        <v>75.72</v>
      </c>
      <c r="M290" s="141" t="n">
        <f aca="false">C290*(Estacas!O290+Estacas!O291)/2</f>
        <v>224</v>
      </c>
      <c r="N290" s="141" t="n">
        <f aca="false">C290*(Estacas!O290+Estacas!O291)/2</f>
        <v>224</v>
      </c>
      <c r="O290" s="141" t="n">
        <f aca="false">C290*(Estacas!P290+Estacas!P291)/2</f>
        <v>258.4</v>
      </c>
      <c r="P290" s="141" t="n">
        <f aca="false">R290*Parâmetros!$C$11</f>
        <v>0</v>
      </c>
      <c r="Q290" s="141" t="n">
        <f aca="false">R290*Parâmetros!$C$12</f>
        <v>0</v>
      </c>
      <c r="R290" s="141" t="n">
        <f aca="false">C290*(Estacas!Q290+Estacas!Q291)/2</f>
        <v>0</v>
      </c>
      <c r="S290" s="141" t="n">
        <f aca="false">IF(LEFT(E290,3)="T09",C290*Parâmetros!$D$13*Parâmetros!$C$13,0)</f>
        <v>0</v>
      </c>
    </row>
    <row r="291" customFormat="false" ht="15" hidden="false" customHeight="false" outlineLevel="0" collapsed="false">
      <c r="A291" s="138" t="str">
        <f aca="false">Estacas!A291</f>
        <v>289+0,00</v>
      </c>
      <c r="B291" s="138" t="str">
        <f aca="false">Estacas!A292</f>
        <v>290+0,00</v>
      </c>
      <c r="C291" s="144" t="n">
        <f aca="false">Estacas!C292-Estacas!C291</f>
        <v>20</v>
      </c>
      <c r="D291" s="138" t="s">
        <v>1565</v>
      </c>
      <c r="E291" s="138" t="s">
        <v>1566</v>
      </c>
      <c r="F291" s="141" t="n">
        <f aca="false">Estacas!F291</f>
        <v>11</v>
      </c>
      <c r="G291" s="141" t="n">
        <f aca="false">Estacas!F292</f>
        <v>11</v>
      </c>
      <c r="H291" s="141" t="n">
        <f aca="false">C291*(Estacas!K291+Estacas!K292)/2</f>
        <v>11.05</v>
      </c>
      <c r="I291" s="141" t="n">
        <f aca="false">H291*Parâmetros!$C$14</f>
        <v>26.52</v>
      </c>
      <c r="J291" s="141" t="n">
        <f aca="false">C291*(Estacas!L291+Estacas!L292)/2</f>
        <v>36.352</v>
      </c>
      <c r="K291" s="141" t="n">
        <f aca="false">C291*(Estacas!M291+Estacas!M292)/2</f>
        <v>47.68</v>
      </c>
      <c r="L291" s="141" t="n">
        <f aca="false">C291*(Estacas!N291+Estacas!N292)/2</f>
        <v>75.72</v>
      </c>
      <c r="M291" s="141" t="n">
        <f aca="false">C291*(Estacas!O291+Estacas!O292)/2</f>
        <v>224</v>
      </c>
      <c r="N291" s="141" t="n">
        <f aca="false">C291*(Estacas!O291+Estacas!O292)/2</f>
        <v>224</v>
      </c>
      <c r="O291" s="141" t="n">
        <f aca="false">C291*(Estacas!P291+Estacas!P292)/2</f>
        <v>258.4</v>
      </c>
      <c r="P291" s="141" t="n">
        <f aca="false">R291*Parâmetros!$C$11</f>
        <v>0</v>
      </c>
      <c r="Q291" s="141" t="n">
        <f aca="false">R291*Parâmetros!$C$12</f>
        <v>0</v>
      </c>
      <c r="R291" s="141" t="n">
        <f aca="false">C291*(Estacas!Q291+Estacas!Q292)/2</f>
        <v>0</v>
      </c>
      <c r="S291" s="141" t="n">
        <f aca="false">IF(LEFT(E291,3)="T09",C291*Parâmetros!$D$13*Parâmetros!$C$13,0)</f>
        <v>0</v>
      </c>
    </row>
    <row r="292" customFormat="false" ht="15" hidden="false" customHeight="false" outlineLevel="0" collapsed="false">
      <c r="A292" s="138" t="str">
        <f aca="false">Estacas!A292</f>
        <v>290+0,00</v>
      </c>
      <c r="B292" s="138" t="str">
        <f aca="false">Estacas!A293</f>
        <v>291+0,00</v>
      </c>
      <c r="C292" s="144" t="n">
        <f aca="false">Estacas!C293-Estacas!C292</f>
        <v>20</v>
      </c>
      <c r="D292" s="138" t="s">
        <v>1565</v>
      </c>
      <c r="E292" s="138" t="s">
        <v>1566</v>
      </c>
      <c r="F292" s="141" t="n">
        <f aca="false">Estacas!F292</f>
        <v>11</v>
      </c>
      <c r="G292" s="141" t="n">
        <f aca="false">Estacas!F293</f>
        <v>11</v>
      </c>
      <c r="H292" s="141" t="n">
        <f aca="false">C292*(Estacas!K292+Estacas!K293)/2</f>
        <v>11.05</v>
      </c>
      <c r="I292" s="141" t="n">
        <f aca="false">H292*Parâmetros!$C$14</f>
        <v>26.52</v>
      </c>
      <c r="J292" s="141" t="n">
        <f aca="false">C292*(Estacas!L292+Estacas!L293)/2</f>
        <v>36.352</v>
      </c>
      <c r="K292" s="141" t="n">
        <f aca="false">C292*(Estacas!M292+Estacas!M293)/2</f>
        <v>47.68</v>
      </c>
      <c r="L292" s="141" t="n">
        <f aca="false">C292*(Estacas!N292+Estacas!N293)/2</f>
        <v>75.72</v>
      </c>
      <c r="M292" s="141" t="n">
        <f aca="false">C292*(Estacas!O292+Estacas!O293)/2</f>
        <v>224</v>
      </c>
      <c r="N292" s="141" t="n">
        <f aca="false">C292*(Estacas!O292+Estacas!O293)/2</f>
        <v>224</v>
      </c>
      <c r="O292" s="141" t="n">
        <f aca="false">C292*(Estacas!P292+Estacas!P293)/2</f>
        <v>258.4</v>
      </c>
      <c r="P292" s="141" t="n">
        <f aca="false">R292*Parâmetros!$C$11</f>
        <v>0</v>
      </c>
      <c r="Q292" s="141" t="n">
        <f aca="false">R292*Parâmetros!$C$12</f>
        <v>0</v>
      </c>
      <c r="R292" s="141" t="n">
        <f aca="false">C292*(Estacas!Q292+Estacas!Q293)/2</f>
        <v>0</v>
      </c>
      <c r="S292" s="141" t="n">
        <f aca="false">IF(LEFT(E292,3)="T09",C292*Parâmetros!$D$13*Parâmetros!$C$13,0)</f>
        <v>0</v>
      </c>
    </row>
    <row r="293" customFormat="false" ht="15" hidden="false" customHeight="false" outlineLevel="0" collapsed="false">
      <c r="A293" s="138" t="str">
        <f aca="false">Estacas!A293</f>
        <v>291+0,00</v>
      </c>
      <c r="B293" s="138" t="str">
        <f aca="false">Estacas!A294</f>
        <v>292+0,00</v>
      </c>
      <c r="C293" s="144" t="n">
        <f aca="false">Estacas!C294-Estacas!C293</f>
        <v>20</v>
      </c>
      <c r="D293" s="138" t="s">
        <v>1565</v>
      </c>
      <c r="E293" s="138" t="s">
        <v>1566</v>
      </c>
      <c r="F293" s="141" t="n">
        <f aca="false">Estacas!F293</f>
        <v>11</v>
      </c>
      <c r="G293" s="141" t="n">
        <f aca="false">Estacas!F294</f>
        <v>11</v>
      </c>
      <c r="H293" s="141" t="n">
        <f aca="false">C293*(Estacas!K293+Estacas!K294)/2</f>
        <v>11.05</v>
      </c>
      <c r="I293" s="141" t="n">
        <f aca="false">H293*Parâmetros!$C$14</f>
        <v>26.52</v>
      </c>
      <c r="J293" s="141" t="n">
        <f aca="false">C293*(Estacas!L293+Estacas!L294)/2</f>
        <v>36.352</v>
      </c>
      <c r="K293" s="141" t="n">
        <f aca="false">C293*(Estacas!M293+Estacas!M294)/2</f>
        <v>47.68</v>
      </c>
      <c r="L293" s="141" t="n">
        <f aca="false">C293*(Estacas!N293+Estacas!N294)/2</f>
        <v>75.72</v>
      </c>
      <c r="M293" s="141" t="n">
        <f aca="false">C293*(Estacas!O293+Estacas!O294)/2</f>
        <v>224</v>
      </c>
      <c r="N293" s="141" t="n">
        <f aca="false">C293*(Estacas!O293+Estacas!O294)/2</f>
        <v>224</v>
      </c>
      <c r="O293" s="141" t="n">
        <f aca="false">C293*(Estacas!P293+Estacas!P294)/2</f>
        <v>258.4</v>
      </c>
      <c r="P293" s="141" t="n">
        <f aca="false">R293*Parâmetros!$C$11</f>
        <v>0</v>
      </c>
      <c r="Q293" s="141" t="n">
        <f aca="false">R293*Parâmetros!$C$12</f>
        <v>0</v>
      </c>
      <c r="R293" s="141" t="n">
        <f aca="false">C293*(Estacas!Q293+Estacas!Q294)/2</f>
        <v>0</v>
      </c>
      <c r="S293" s="141" t="n">
        <f aca="false">IF(LEFT(E293,3)="T09",C293*Parâmetros!$D$13*Parâmetros!$C$13,0)</f>
        <v>0</v>
      </c>
    </row>
    <row r="294" customFormat="false" ht="15" hidden="false" customHeight="false" outlineLevel="0" collapsed="false">
      <c r="A294" s="138" t="str">
        <f aca="false">Estacas!A294</f>
        <v>292+0,00</v>
      </c>
      <c r="B294" s="138" t="str">
        <f aca="false">Estacas!A295</f>
        <v>293+0,00</v>
      </c>
      <c r="C294" s="144" t="n">
        <f aca="false">Estacas!C295-Estacas!C294</f>
        <v>20</v>
      </c>
      <c r="D294" s="138" t="s">
        <v>1565</v>
      </c>
      <c r="E294" s="138" t="s">
        <v>1566</v>
      </c>
      <c r="F294" s="141" t="n">
        <f aca="false">Estacas!F294</f>
        <v>11</v>
      </c>
      <c r="G294" s="141" t="n">
        <f aca="false">Estacas!F295</f>
        <v>11</v>
      </c>
      <c r="H294" s="141" t="n">
        <f aca="false">C294*(Estacas!K294+Estacas!K295)/2</f>
        <v>11.05</v>
      </c>
      <c r="I294" s="141" t="n">
        <f aca="false">H294*Parâmetros!$C$14</f>
        <v>26.52</v>
      </c>
      <c r="J294" s="141" t="n">
        <f aca="false">C294*(Estacas!L294+Estacas!L295)/2</f>
        <v>36.352</v>
      </c>
      <c r="K294" s="141" t="n">
        <f aca="false">C294*(Estacas!M294+Estacas!M295)/2</f>
        <v>47.68</v>
      </c>
      <c r="L294" s="141" t="n">
        <f aca="false">C294*(Estacas!N294+Estacas!N295)/2</f>
        <v>75.72</v>
      </c>
      <c r="M294" s="141" t="n">
        <f aca="false">C294*(Estacas!O294+Estacas!O295)/2</f>
        <v>224</v>
      </c>
      <c r="N294" s="141" t="n">
        <f aca="false">C294*(Estacas!O294+Estacas!O295)/2</f>
        <v>224</v>
      </c>
      <c r="O294" s="141" t="n">
        <f aca="false">C294*(Estacas!P294+Estacas!P295)/2</f>
        <v>258.4</v>
      </c>
      <c r="P294" s="141" t="n">
        <f aca="false">R294*Parâmetros!$C$11</f>
        <v>0</v>
      </c>
      <c r="Q294" s="141" t="n">
        <f aca="false">R294*Parâmetros!$C$12</f>
        <v>0</v>
      </c>
      <c r="R294" s="141" t="n">
        <f aca="false">C294*(Estacas!Q294+Estacas!Q295)/2</f>
        <v>0</v>
      </c>
      <c r="S294" s="141" t="n">
        <f aca="false">IF(LEFT(E294,3)="T09",C294*Parâmetros!$D$13*Parâmetros!$C$13,0)</f>
        <v>0</v>
      </c>
    </row>
    <row r="295" customFormat="false" ht="15" hidden="false" customHeight="false" outlineLevel="0" collapsed="false">
      <c r="A295" s="138" t="str">
        <f aca="false">Estacas!A295</f>
        <v>293+0,00</v>
      </c>
      <c r="B295" s="138" t="str">
        <f aca="false">Estacas!A296</f>
        <v>294+0,00</v>
      </c>
      <c r="C295" s="144" t="n">
        <f aca="false">Estacas!C296-Estacas!C295</f>
        <v>20</v>
      </c>
      <c r="D295" s="138" t="s">
        <v>1565</v>
      </c>
      <c r="E295" s="138" t="s">
        <v>1566</v>
      </c>
      <c r="F295" s="141" t="n">
        <f aca="false">Estacas!F295</f>
        <v>11</v>
      </c>
      <c r="G295" s="141" t="n">
        <f aca="false">Estacas!F296</f>
        <v>11</v>
      </c>
      <c r="H295" s="141" t="n">
        <f aca="false">C295*(Estacas!K295+Estacas!K296)/2</f>
        <v>11.05</v>
      </c>
      <c r="I295" s="141" t="n">
        <f aca="false">H295*Parâmetros!$C$14</f>
        <v>26.52</v>
      </c>
      <c r="J295" s="141" t="n">
        <f aca="false">C295*(Estacas!L295+Estacas!L296)/2</f>
        <v>36.352</v>
      </c>
      <c r="K295" s="141" t="n">
        <f aca="false">C295*(Estacas!M295+Estacas!M296)/2</f>
        <v>47.68</v>
      </c>
      <c r="L295" s="141" t="n">
        <f aca="false">C295*(Estacas!N295+Estacas!N296)/2</f>
        <v>75.72</v>
      </c>
      <c r="M295" s="141" t="n">
        <f aca="false">C295*(Estacas!O295+Estacas!O296)/2</f>
        <v>224</v>
      </c>
      <c r="N295" s="141" t="n">
        <f aca="false">C295*(Estacas!O295+Estacas!O296)/2</f>
        <v>224</v>
      </c>
      <c r="O295" s="141" t="n">
        <f aca="false">C295*(Estacas!P295+Estacas!P296)/2</f>
        <v>258.4</v>
      </c>
      <c r="P295" s="141" t="n">
        <f aca="false">R295*Parâmetros!$C$11</f>
        <v>0</v>
      </c>
      <c r="Q295" s="141" t="n">
        <f aca="false">R295*Parâmetros!$C$12</f>
        <v>0</v>
      </c>
      <c r="R295" s="141" t="n">
        <f aca="false">C295*(Estacas!Q295+Estacas!Q296)/2</f>
        <v>0</v>
      </c>
      <c r="S295" s="141" t="n">
        <f aca="false">IF(LEFT(E295,3)="T09",C295*Parâmetros!$D$13*Parâmetros!$C$13,0)</f>
        <v>0</v>
      </c>
    </row>
    <row r="296" customFormat="false" ht="15" hidden="false" customHeight="false" outlineLevel="0" collapsed="false">
      <c r="A296" s="138" t="str">
        <f aca="false">Estacas!A296</f>
        <v>294+0,00</v>
      </c>
      <c r="B296" s="138" t="str">
        <f aca="false">Estacas!A297</f>
        <v>295+0,00</v>
      </c>
      <c r="C296" s="144" t="n">
        <f aca="false">Estacas!C297-Estacas!C296</f>
        <v>20</v>
      </c>
      <c r="D296" s="138" t="s">
        <v>1565</v>
      </c>
      <c r="E296" s="138" t="s">
        <v>1566</v>
      </c>
      <c r="F296" s="141" t="n">
        <f aca="false">Estacas!F296</f>
        <v>11</v>
      </c>
      <c r="G296" s="141" t="n">
        <f aca="false">Estacas!F297</f>
        <v>11</v>
      </c>
      <c r="H296" s="141" t="n">
        <f aca="false">C296*(Estacas!K296+Estacas!K297)/2</f>
        <v>11.05</v>
      </c>
      <c r="I296" s="141" t="n">
        <f aca="false">H296*Parâmetros!$C$14</f>
        <v>26.52</v>
      </c>
      <c r="J296" s="141" t="n">
        <f aca="false">C296*(Estacas!L296+Estacas!L297)/2</f>
        <v>36.352</v>
      </c>
      <c r="K296" s="141" t="n">
        <f aca="false">C296*(Estacas!M296+Estacas!M297)/2</f>
        <v>47.68</v>
      </c>
      <c r="L296" s="141" t="n">
        <f aca="false">C296*(Estacas!N296+Estacas!N297)/2</f>
        <v>75.72</v>
      </c>
      <c r="M296" s="141" t="n">
        <f aca="false">C296*(Estacas!O296+Estacas!O297)/2</f>
        <v>224</v>
      </c>
      <c r="N296" s="141" t="n">
        <f aca="false">C296*(Estacas!O296+Estacas!O297)/2</f>
        <v>224</v>
      </c>
      <c r="O296" s="141" t="n">
        <f aca="false">C296*(Estacas!P296+Estacas!P297)/2</f>
        <v>258.4</v>
      </c>
      <c r="P296" s="141" t="n">
        <f aca="false">R296*Parâmetros!$C$11</f>
        <v>0</v>
      </c>
      <c r="Q296" s="141" t="n">
        <f aca="false">R296*Parâmetros!$C$12</f>
        <v>0</v>
      </c>
      <c r="R296" s="141" t="n">
        <f aca="false">C296*(Estacas!Q296+Estacas!Q297)/2</f>
        <v>0</v>
      </c>
      <c r="S296" s="141" t="n">
        <f aca="false">IF(LEFT(E296,3)="T09",C296*Parâmetros!$D$13*Parâmetros!$C$13,0)</f>
        <v>0</v>
      </c>
    </row>
    <row r="297" customFormat="false" ht="15" hidden="false" customHeight="false" outlineLevel="0" collapsed="false">
      <c r="A297" s="138" t="str">
        <f aca="false">Estacas!A297</f>
        <v>295+0,00</v>
      </c>
      <c r="B297" s="138" t="str">
        <f aca="false">Estacas!A298</f>
        <v>296+0,00</v>
      </c>
      <c r="C297" s="144" t="n">
        <f aca="false">Estacas!C298-Estacas!C297</f>
        <v>20</v>
      </c>
      <c r="D297" s="138" t="s">
        <v>1565</v>
      </c>
      <c r="E297" s="138" t="s">
        <v>1566</v>
      </c>
      <c r="F297" s="141" t="n">
        <f aca="false">Estacas!F297</f>
        <v>11</v>
      </c>
      <c r="G297" s="141" t="n">
        <f aca="false">Estacas!F298</f>
        <v>11</v>
      </c>
      <c r="H297" s="141" t="n">
        <f aca="false">C297*(Estacas!K297+Estacas!K298)/2</f>
        <v>11.05</v>
      </c>
      <c r="I297" s="141" t="n">
        <f aca="false">H297*Parâmetros!$C$14</f>
        <v>26.52</v>
      </c>
      <c r="J297" s="141" t="n">
        <f aca="false">C297*(Estacas!L297+Estacas!L298)/2</f>
        <v>36.352</v>
      </c>
      <c r="K297" s="141" t="n">
        <f aca="false">C297*(Estacas!M297+Estacas!M298)/2</f>
        <v>47.68</v>
      </c>
      <c r="L297" s="141" t="n">
        <f aca="false">C297*(Estacas!N297+Estacas!N298)/2</f>
        <v>75.72</v>
      </c>
      <c r="M297" s="141" t="n">
        <f aca="false">C297*(Estacas!O297+Estacas!O298)/2</f>
        <v>224</v>
      </c>
      <c r="N297" s="141" t="n">
        <f aca="false">C297*(Estacas!O297+Estacas!O298)/2</f>
        <v>224</v>
      </c>
      <c r="O297" s="141" t="n">
        <f aca="false">C297*(Estacas!P297+Estacas!P298)/2</f>
        <v>258.4</v>
      </c>
      <c r="P297" s="141" t="n">
        <f aca="false">R297*Parâmetros!$C$11</f>
        <v>0</v>
      </c>
      <c r="Q297" s="141" t="n">
        <f aca="false">R297*Parâmetros!$C$12</f>
        <v>0</v>
      </c>
      <c r="R297" s="141" t="n">
        <f aca="false">C297*(Estacas!Q297+Estacas!Q298)/2</f>
        <v>0</v>
      </c>
      <c r="S297" s="141" t="n">
        <f aca="false">IF(LEFT(E297,3)="T09",C297*Parâmetros!$D$13*Parâmetros!$C$13,0)</f>
        <v>0</v>
      </c>
    </row>
    <row r="298" customFormat="false" ht="15" hidden="false" customHeight="false" outlineLevel="0" collapsed="false">
      <c r="A298" s="138" t="str">
        <f aca="false">Estacas!A298</f>
        <v>296+0,00</v>
      </c>
      <c r="B298" s="138" t="str">
        <f aca="false">Estacas!A299</f>
        <v>297+0,00</v>
      </c>
      <c r="C298" s="144" t="n">
        <f aca="false">Estacas!C299-Estacas!C298</f>
        <v>20</v>
      </c>
      <c r="D298" s="138" t="s">
        <v>1565</v>
      </c>
      <c r="E298" s="138" t="s">
        <v>1566</v>
      </c>
      <c r="F298" s="141" t="n">
        <f aca="false">Estacas!F298</f>
        <v>11</v>
      </c>
      <c r="G298" s="141" t="n">
        <f aca="false">Estacas!F299</f>
        <v>11</v>
      </c>
      <c r="H298" s="141" t="n">
        <f aca="false">C298*(Estacas!K298+Estacas!K299)/2</f>
        <v>11.05</v>
      </c>
      <c r="I298" s="141" t="n">
        <f aca="false">H298*Parâmetros!$C$14</f>
        <v>26.52</v>
      </c>
      <c r="J298" s="141" t="n">
        <f aca="false">C298*(Estacas!L298+Estacas!L299)/2</f>
        <v>36.352</v>
      </c>
      <c r="K298" s="141" t="n">
        <f aca="false">C298*(Estacas!M298+Estacas!M299)/2</f>
        <v>47.68</v>
      </c>
      <c r="L298" s="141" t="n">
        <f aca="false">C298*(Estacas!N298+Estacas!N299)/2</f>
        <v>75.72</v>
      </c>
      <c r="M298" s="141" t="n">
        <f aca="false">C298*(Estacas!O298+Estacas!O299)/2</f>
        <v>224</v>
      </c>
      <c r="N298" s="141" t="n">
        <f aca="false">C298*(Estacas!O298+Estacas!O299)/2</f>
        <v>224</v>
      </c>
      <c r="O298" s="141" t="n">
        <f aca="false">C298*(Estacas!P298+Estacas!P299)/2</f>
        <v>258.4</v>
      </c>
      <c r="P298" s="141" t="n">
        <f aca="false">R298*Parâmetros!$C$11</f>
        <v>0</v>
      </c>
      <c r="Q298" s="141" t="n">
        <f aca="false">R298*Parâmetros!$C$12</f>
        <v>0</v>
      </c>
      <c r="R298" s="141" t="n">
        <f aca="false">C298*(Estacas!Q298+Estacas!Q299)/2</f>
        <v>0</v>
      </c>
      <c r="S298" s="141" t="n">
        <f aca="false">IF(LEFT(E298,3)="T09",C298*Parâmetros!$D$13*Parâmetros!$C$13,0)</f>
        <v>0</v>
      </c>
    </row>
    <row r="299" customFormat="false" ht="15" hidden="false" customHeight="false" outlineLevel="0" collapsed="false">
      <c r="A299" s="138" t="str">
        <f aca="false">Estacas!A299</f>
        <v>297+0,00</v>
      </c>
      <c r="B299" s="138" t="str">
        <f aca="false">Estacas!A300</f>
        <v>298+0,00</v>
      </c>
      <c r="C299" s="144" t="n">
        <f aca="false">Estacas!C300-Estacas!C299</f>
        <v>20</v>
      </c>
      <c r="D299" s="138" t="s">
        <v>1565</v>
      </c>
      <c r="E299" s="138" t="s">
        <v>1566</v>
      </c>
      <c r="F299" s="141" t="n">
        <f aca="false">Estacas!F299</f>
        <v>11</v>
      </c>
      <c r="G299" s="141" t="n">
        <f aca="false">Estacas!F300</f>
        <v>11</v>
      </c>
      <c r="H299" s="141" t="n">
        <f aca="false">C299*(Estacas!K299+Estacas!K300)/2</f>
        <v>11.05</v>
      </c>
      <c r="I299" s="141" t="n">
        <f aca="false">H299*Parâmetros!$C$14</f>
        <v>26.52</v>
      </c>
      <c r="J299" s="141" t="n">
        <f aca="false">C299*(Estacas!L299+Estacas!L300)/2</f>
        <v>36.352</v>
      </c>
      <c r="K299" s="141" t="n">
        <f aca="false">C299*(Estacas!M299+Estacas!M300)/2</f>
        <v>47.68</v>
      </c>
      <c r="L299" s="141" t="n">
        <f aca="false">C299*(Estacas!N299+Estacas!N300)/2</f>
        <v>75.72</v>
      </c>
      <c r="M299" s="141" t="n">
        <f aca="false">C299*(Estacas!O299+Estacas!O300)/2</f>
        <v>224</v>
      </c>
      <c r="N299" s="141" t="n">
        <f aca="false">C299*(Estacas!O299+Estacas!O300)/2</f>
        <v>224</v>
      </c>
      <c r="O299" s="141" t="n">
        <f aca="false">C299*(Estacas!P299+Estacas!P300)/2</f>
        <v>258.4</v>
      </c>
      <c r="P299" s="141" t="n">
        <f aca="false">R299*Parâmetros!$C$11</f>
        <v>0</v>
      </c>
      <c r="Q299" s="141" t="n">
        <f aca="false">R299*Parâmetros!$C$12</f>
        <v>0</v>
      </c>
      <c r="R299" s="141" t="n">
        <f aca="false">C299*(Estacas!Q299+Estacas!Q300)/2</f>
        <v>0</v>
      </c>
      <c r="S299" s="141" t="n">
        <f aca="false">IF(LEFT(E299,3)="T09",C299*Parâmetros!$D$13*Parâmetros!$C$13,0)</f>
        <v>0</v>
      </c>
    </row>
    <row r="300" customFormat="false" ht="15" hidden="false" customHeight="false" outlineLevel="0" collapsed="false">
      <c r="A300" s="138" t="str">
        <f aca="false">Estacas!A300</f>
        <v>298+0,00</v>
      </c>
      <c r="B300" s="138" t="str">
        <f aca="false">Estacas!A301</f>
        <v>299+0,00</v>
      </c>
      <c r="C300" s="144" t="n">
        <f aca="false">Estacas!C301-Estacas!C300</f>
        <v>20</v>
      </c>
      <c r="D300" s="138" t="s">
        <v>1565</v>
      </c>
      <c r="E300" s="138" t="s">
        <v>1566</v>
      </c>
      <c r="F300" s="141" t="n">
        <f aca="false">Estacas!F300</f>
        <v>11</v>
      </c>
      <c r="G300" s="141" t="n">
        <f aca="false">Estacas!F301</f>
        <v>11</v>
      </c>
      <c r="H300" s="141" t="n">
        <f aca="false">C300*(Estacas!K300+Estacas!K301)/2</f>
        <v>11.05</v>
      </c>
      <c r="I300" s="141" t="n">
        <f aca="false">H300*Parâmetros!$C$14</f>
        <v>26.52</v>
      </c>
      <c r="J300" s="141" t="n">
        <f aca="false">C300*(Estacas!L300+Estacas!L301)/2</f>
        <v>36.352</v>
      </c>
      <c r="K300" s="141" t="n">
        <f aca="false">C300*(Estacas!M300+Estacas!M301)/2</f>
        <v>47.68</v>
      </c>
      <c r="L300" s="141" t="n">
        <f aca="false">C300*(Estacas!N300+Estacas!N301)/2</f>
        <v>75.72</v>
      </c>
      <c r="M300" s="141" t="n">
        <f aca="false">C300*(Estacas!O300+Estacas!O301)/2</f>
        <v>224</v>
      </c>
      <c r="N300" s="141" t="n">
        <f aca="false">C300*(Estacas!O300+Estacas!O301)/2</f>
        <v>224</v>
      </c>
      <c r="O300" s="141" t="n">
        <f aca="false">C300*(Estacas!P300+Estacas!P301)/2</f>
        <v>258.4</v>
      </c>
      <c r="P300" s="141" t="n">
        <f aca="false">R300*Parâmetros!$C$11</f>
        <v>0</v>
      </c>
      <c r="Q300" s="141" t="n">
        <f aca="false">R300*Parâmetros!$C$12</f>
        <v>0</v>
      </c>
      <c r="R300" s="141" t="n">
        <f aca="false">C300*(Estacas!Q300+Estacas!Q301)/2</f>
        <v>0</v>
      </c>
      <c r="S300" s="141" t="n">
        <f aca="false">IF(LEFT(E300,3)="T09",C300*Parâmetros!$D$13*Parâmetros!$C$13,0)</f>
        <v>0</v>
      </c>
    </row>
    <row r="301" customFormat="false" ht="15" hidden="false" customHeight="false" outlineLevel="0" collapsed="false">
      <c r="A301" s="138" t="str">
        <f aca="false">Estacas!A301</f>
        <v>299+0,00</v>
      </c>
      <c r="B301" s="138" t="str">
        <f aca="false">Estacas!A302</f>
        <v>300+0,00</v>
      </c>
      <c r="C301" s="144" t="n">
        <f aca="false">Estacas!C302-Estacas!C301</f>
        <v>20</v>
      </c>
      <c r="D301" s="138" t="s">
        <v>1565</v>
      </c>
      <c r="E301" s="138" t="s">
        <v>1566</v>
      </c>
      <c r="F301" s="141" t="n">
        <f aca="false">Estacas!F301</f>
        <v>11</v>
      </c>
      <c r="G301" s="141" t="n">
        <f aca="false">Estacas!F302</f>
        <v>11</v>
      </c>
      <c r="H301" s="141" t="n">
        <f aca="false">C301*(Estacas!K301+Estacas!K302)/2</f>
        <v>11.05</v>
      </c>
      <c r="I301" s="141" t="n">
        <f aca="false">H301*Parâmetros!$C$14</f>
        <v>26.52</v>
      </c>
      <c r="J301" s="141" t="n">
        <f aca="false">C301*(Estacas!L301+Estacas!L302)/2</f>
        <v>36.352</v>
      </c>
      <c r="K301" s="141" t="n">
        <f aca="false">C301*(Estacas!M301+Estacas!M302)/2</f>
        <v>47.68</v>
      </c>
      <c r="L301" s="141" t="n">
        <f aca="false">C301*(Estacas!N301+Estacas!N302)/2</f>
        <v>75.72</v>
      </c>
      <c r="M301" s="141" t="n">
        <f aca="false">C301*(Estacas!O301+Estacas!O302)/2</f>
        <v>224</v>
      </c>
      <c r="N301" s="141" t="n">
        <f aca="false">C301*(Estacas!O301+Estacas!O302)/2</f>
        <v>224</v>
      </c>
      <c r="O301" s="141" t="n">
        <f aca="false">C301*(Estacas!P301+Estacas!P302)/2</f>
        <v>258.4</v>
      </c>
      <c r="P301" s="141" t="n">
        <f aca="false">R301*Parâmetros!$C$11</f>
        <v>0</v>
      </c>
      <c r="Q301" s="141" t="n">
        <f aca="false">R301*Parâmetros!$C$12</f>
        <v>0</v>
      </c>
      <c r="R301" s="141" t="n">
        <f aca="false">C301*(Estacas!Q301+Estacas!Q302)/2</f>
        <v>0</v>
      </c>
      <c r="S301" s="141" t="n">
        <f aca="false">IF(LEFT(E301,3)="T09",C301*Parâmetros!$D$13*Parâmetros!$C$13,0)</f>
        <v>0</v>
      </c>
    </row>
    <row r="302" customFormat="false" ht="15" hidden="false" customHeight="false" outlineLevel="0" collapsed="false">
      <c r="A302" s="138" t="str">
        <f aca="false">Estacas!A302</f>
        <v>300+0,00</v>
      </c>
      <c r="B302" s="138" t="str">
        <f aca="false">Estacas!A303</f>
        <v>301+0,00</v>
      </c>
      <c r="C302" s="144" t="n">
        <f aca="false">Estacas!C303-Estacas!C302</f>
        <v>20</v>
      </c>
      <c r="D302" s="138" t="s">
        <v>1565</v>
      </c>
      <c r="E302" s="138" t="s">
        <v>1566</v>
      </c>
      <c r="F302" s="141" t="n">
        <f aca="false">Estacas!F302</f>
        <v>11</v>
      </c>
      <c r="G302" s="141" t="n">
        <f aca="false">Estacas!F303</f>
        <v>11</v>
      </c>
      <c r="H302" s="141" t="n">
        <f aca="false">C302*(Estacas!K302+Estacas!K303)/2</f>
        <v>11.05</v>
      </c>
      <c r="I302" s="141" t="n">
        <f aca="false">H302*Parâmetros!$C$14</f>
        <v>26.52</v>
      </c>
      <c r="J302" s="141" t="n">
        <f aca="false">C302*(Estacas!L302+Estacas!L303)/2</f>
        <v>36.352</v>
      </c>
      <c r="K302" s="141" t="n">
        <f aca="false">C302*(Estacas!M302+Estacas!M303)/2</f>
        <v>47.68</v>
      </c>
      <c r="L302" s="141" t="n">
        <f aca="false">C302*(Estacas!N302+Estacas!N303)/2</f>
        <v>75.72</v>
      </c>
      <c r="M302" s="141" t="n">
        <f aca="false">C302*(Estacas!O302+Estacas!O303)/2</f>
        <v>224</v>
      </c>
      <c r="N302" s="141" t="n">
        <f aca="false">C302*(Estacas!O302+Estacas!O303)/2</f>
        <v>224</v>
      </c>
      <c r="O302" s="141" t="n">
        <f aca="false">C302*(Estacas!P302+Estacas!P303)/2</f>
        <v>258.4</v>
      </c>
      <c r="P302" s="141" t="n">
        <f aca="false">R302*Parâmetros!$C$11</f>
        <v>0</v>
      </c>
      <c r="Q302" s="141" t="n">
        <f aca="false">R302*Parâmetros!$C$12</f>
        <v>0</v>
      </c>
      <c r="R302" s="141" t="n">
        <f aca="false">C302*(Estacas!Q302+Estacas!Q303)/2</f>
        <v>0</v>
      </c>
      <c r="S302" s="141" t="n">
        <f aca="false">IF(LEFT(E302,3)="T09",C302*Parâmetros!$D$13*Parâmetros!$C$13,0)</f>
        <v>0</v>
      </c>
    </row>
    <row r="303" customFormat="false" ht="15" hidden="false" customHeight="false" outlineLevel="0" collapsed="false">
      <c r="A303" s="138" t="str">
        <f aca="false">Estacas!A303</f>
        <v>301+0,00</v>
      </c>
      <c r="B303" s="138" t="str">
        <f aca="false">Estacas!A304</f>
        <v>302+0,00</v>
      </c>
      <c r="C303" s="144" t="n">
        <f aca="false">Estacas!C304-Estacas!C303</f>
        <v>20</v>
      </c>
      <c r="D303" s="138" t="s">
        <v>1565</v>
      </c>
      <c r="E303" s="138" t="s">
        <v>1566</v>
      </c>
      <c r="F303" s="141" t="n">
        <f aca="false">Estacas!F303</f>
        <v>11</v>
      </c>
      <c r="G303" s="141" t="n">
        <f aca="false">Estacas!F304</f>
        <v>11</v>
      </c>
      <c r="H303" s="141" t="n">
        <f aca="false">C303*(Estacas!K303+Estacas!K304)/2</f>
        <v>11.05</v>
      </c>
      <c r="I303" s="141" t="n">
        <f aca="false">H303*Parâmetros!$C$14</f>
        <v>26.52</v>
      </c>
      <c r="J303" s="141" t="n">
        <f aca="false">C303*(Estacas!L303+Estacas!L304)/2</f>
        <v>36.352</v>
      </c>
      <c r="K303" s="141" t="n">
        <f aca="false">C303*(Estacas!M303+Estacas!M304)/2</f>
        <v>47.68</v>
      </c>
      <c r="L303" s="141" t="n">
        <f aca="false">C303*(Estacas!N303+Estacas!N304)/2</f>
        <v>75.72</v>
      </c>
      <c r="M303" s="141" t="n">
        <f aca="false">C303*(Estacas!O303+Estacas!O304)/2</f>
        <v>224</v>
      </c>
      <c r="N303" s="141" t="n">
        <f aca="false">C303*(Estacas!O303+Estacas!O304)/2</f>
        <v>224</v>
      </c>
      <c r="O303" s="141" t="n">
        <f aca="false">C303*(Estacas!P303+Estacas!P304)/2</f>
        <v>258.4</v>
      </c>
      <c r="P303" s="141" t="n">
        <f aca="false">R303*Parâmetros!$C$11</f>
        <v>0</v>
      </c>
      <c r="Q303" s="141" t="n">
        <f aca="false">R303*Parâmetros!$C$12</f>
        <v>0</v>
      </c>
      <c r="R303" s="141" t="n">
        <f aca="false">C303*(Estacas!Q303+Estacas!Q304)/2</f>
        <v>0</v>
      </c>
      <c r="S303" s="141" t="n">
        <f aca="false">IF(LEFT(E303,3)="T09",C303*Parâmetros!$D$13*Parâmetros!$C$13,0)</f>
        <v>0</v>
      </c>
    </row>
    <row r="304" customFormat="false" ht="15" hidden="false" customHeight="false" outlineLevel="0" collapsed="false">
      <c r="A304" s="138" t="str">
        <f aca="false">Estacas!A304</f>
        <v>302+0,00</v>
      </c>
      <c r="B304" s="138" t="str">
        <f aca="false">Estacas!A305</f>
        <v>303+0,00</v>
      </c>
      <c r="C304" s="144" t="n">
        <f aca="false">Estacas!C305-Estacas!C304</f>
        <v>20</v>
      </c>
      <c r="D304" s="138" t="s">
        <v>1565</v>
      </c>
      <c r="E304" s="138" t="s">
        <v>1566</v>
      </c>
      <c r="F304" s="141" t="n">
        <f aca="false">Estacas!F304</f>
        <v>11</v>
      </c>
      <c r="G304" s="141" t="n">
        <f aca="false">Estacas!F305</f>
        <v>11</v>
      </c>
      <c r="H304" s="141" t="n">
        <f aca="false">C304*(Estacas!K304+Estacas!K305)/2</f>
        <v>11.05</v>
      </c>
      <c r="I304" s="141" t="n">
        <f aca="false">H304*Parâmetros!$C$14</f>
        <v>26.52</v>
      </c>
      <c r="J304" s="141" t="n">
        <f aca="false">C304*(Estacas!L304+Estacas!L305)/2</f>
        <v>36.352</v>
      </c>
      <c r="K304" s="141" t="n">
        <f aca="false">C304*(Estacas!M304+Estacas!M305)/2</f>
        <v>47.68</v>
      </c>
      <c r="L304" s="141" t="n">
        <f aca="false">C304*(Estacas!N304+Estacas!N305)/2</f>
        <v>75.72</v>
      </c>
      <c r="M304" s="141" t="n">
        <f aca="false">C304*(Estacas!O304+Estacas!O305)/2</f>
        <v>224</v>
      </c>
      <c r="N304" s="141" t="n">
        <f aca="false">C304*(Estacas!O304+Estacas!O305)/2</f>
        <v>224</v>
      </c>
      <c r="O304" s="141" t="n">
        <f aca="false">C304*(Estacas!P304+Estacas!P305)/2</f>
        <v>258.4</v>
      </c>
      <c r="P304" s="141" t="n">
        <f aca="false">R304*Parâmetros!$C$11</f>
        <v>0</v>
      </c>
      <c r="Q304" s="141" t="n">
        <f aca="false">R304*Parâmetros!$C$12</f>
        <v>0</v>
      </c>
      <c r="R304" s="141" t="n">
        <f aca="false">C304*(Estacas!Q304+Estacas!Q305)/2</f>
        <v>0</v>
      </c>
      <c r="S304" s="141" t="n">
        <f aca="false">IF(LEFT(E304,3)="T09",C304*Parâmetros!$D$13*Parâmetros!$C$13,0)</f>
        <v>0</v>
      </c>
    </row>
    <row r="305" customFormat="false" ht="15" hidden="false" customHeight="false" outlineLevel="0" collapsed="false">
      <c r="A305" s="138" t="str">
        <f aca="false">Estacas!A305</f>
        <v>303+0,00</v>
      </c>
      <c r="B305" s="138" t="str">
        <f aca="false">Estacas!A306</f>
        <v>304+0,00</v>
      </c>
      <c r="C305" s="144" t="n">
        <f aca="false">Estacas!C306-Estacas!C305</f>
        <v>20</v>
      </c>
      <c r="D305" s="138" t="s">
        <v>1565</v>
      </c>
      <c r="E305" s="138" t="s">
        <v>1566</v>
      </c>
      <c r="F305" s="141" t="n">
        <f aca="false">Estacas!F305</f>
        <v>11</v>
      </c>
      <c r="G305" s="141" t="n">
        <f aca="false">Estacas!F306</f>
        <v>11</v>
      </c>
      <c r="H305" s="141" t="n">
        <f aca="false">C305*(Estacas!K305+Estacas!K306)/2</f>
        <v>11.05</v>
      </c>
      <c r="I305" s="141" t="n">
        <f aca="false">H305*Parâmetros!$C$14</f>
        <v>26.52</v>
      </c>
      <c r="J305" s="141" t="n">
        <f aca="false">C305*(Estacas!L305+Estacas!L306)/2</f>
        <v>36.352</v>
      </c>
      <c r="K305" s="141" t="n">
        <f aca="false">C305*(Estacas!M305+Estacas!M306)/2</f>
        <v>47.68</v>
      </c>
      <c r="L305" s="141" t="n">
        <f aca="false">C305*(Estacas!N305+Estacas!N306)/2</f>
        <v>75.72</v>
      </c>
      <c r="M305" s="141" t="n">
        <f aca="false">C305*(Estacas!O305+Estacas!O306)/2</f>
        <v>224</v>
      </c>
      <c r="N305" s="141" t="n">
        <f aca="false">C305*(Estacas!O305+Estacas!O306)/2</f>
        <v>224</v>
      </c>
      <c r="O305" s="141" t="n">
        <f aca="false">C305*(Estacas!P305+Estacas!P306)/2</f>
        <v>258.4</v>
      </c>
      <c r="P305" s="141" t="n">
        <f aca="false">R305*Parâmetros!$C$11</f>
        <v>0</v>
      </c>
      <c r="Q305" s="141" t="n">
        <f aca="false">R305*Parâmetros!$C$12</f>
        <v>0</v>
      </c>
      <c r="R305" s="141" t="n">
        <f aca="false">C305*(Estacas!Q305+Estacas!Q306)/2</f>
        <v>0</v>
      </c>
      <c r="S305" s="141" t="n">
        <f aca="false">IF(LEFT(E305,3)="T09",C305*Parâmetros!$D$13*Parâmetros!$C$13,0)</f>
        <v>0</v>
      </c>
    </row>
    <row r="306" customFormat="false" ht="15" hidden="false" customHeight="false" outlineLevel="0" collapsed="false">
      <c r="A306" s="138" t="str">
        <f aca="false">Estacas!A306</f>
        <v>304+0,00</v>
      </c>
      <c r="B306" s="138" t="str">
        <f aca="false">Estacas!A307</f>
        <v>305+0,00</v>
      </c>
      <c r="C306" s="144" t="n">
        <f aca="false">Estacas!C307-Estacas!C306</f>
        <v>20</v>
      </c>
      <c r="D306" s="138" t="s">
        <v>1565</v>
      </c>
      <c r="E306" s="138" t="s">
        <v>1566</v>
      </c>
      <c r="F306" s="141" t="n">
        <f aca="false">Estacas!F306</f>
        <v>11</v>
      </c>
      <c r="G306" s="141" t="n">
        <f aca="false">Estacas!F307</f>
        <v>11</v>
      </c>
      <c r="H306" s="141" t="n">
        <f aca="false">C306*(Estacas!K306+Estacas!K307)/2</f>
        <v>11.05</v>
      </c>
      <c r="I306" s="141" t="n">
        <f aca="false">H306*Parâmetros!$C$14</f>
        <v>26.52</v>
      </c>
      <c r="J306" s="141" t="n">
        <f aca="false">C306*(Estacas!L306+Estacas!L307)/2</f>
        <v>36.352</v>
      </c>
      <c r="K306" s="141" t="n">
        <f aca="false">C306*(Estacas!M306+Estacas!M307)/2</f>
        <v>47.68</v>
      </c>
      <c r="L306" s="141" t="n">
        <f aca="false">C306*(Estacas!N306+Estacas!N307)/2</f>
        <v>75.72</v>
      </c>
      <c r="M306" s="141" t="n">
        <f aca="false">C306*(Estacas!O306+Estacas!O307)/2</f>
        <v>224</v>
      </c>
      <c r="N306" s="141" t="n">
        <f aca="false">C306*(Estacas!O306+Estacas!O307)/2</f>
        <v>224</v>
      </c>
      <c r="O306" s="141" t="n">
        <f aca="false">C306*(Estacas!P306+Estacas!P307)/2</f>
        <v>258.4</v>
      </c>
      <c r="P306" s="141" t="n">
        <f aca="false">R306*Parâmetros!$C$11</f>
        <v>0</v>
      </c>
      <c r="Q306" s="141" t="n">
        <f aca="false">R306*Parâmetros!$C$12</f>
        <v>0</v>
      </c>
      <c r="R306" s="141" t="n">
        <f aca="false">C306*(Estacas!Q306+Estacas!Q307)/2</f>
        <v>0</v>
      </c>
      <c r="S306" s="141" t="n">
        <f aca="false">IF(LEFT(E306,3)="T09",C306*Parâmetros!$D$13*Parâmetros!$C$13,0)</f>
        <v>0</v>
      </c>
    </row>
    <row r="307" customFormat="false" ht="15" hidden="false" customHeight="false" outlineLevel="0" collapsed="false">
      <c r="A307" s="138" t="str">
        <f aca="false">Estacas!A307</f>
        <v>305+0,00</v>
      </c>
      <c r="B307" s="138" t="str">
        <f aca="false">Estacas!A308</f>
        <v>306+0,00</v>
      </c>
      <c r="C307" s="144" t="n">
        <f aca="false">Estacas!C308-Estacas!C307</f>
        <v>20</v>
      </c>
      <c r="D307" s="138" t="s">
        <v>1565</v>
      </c>
      <c r="E307" s="138" t="s">
        <v>1566</v>
      </c>
      <c r="F307" s="141" t="n">
        <f aca="false">Estacas!F307</f>
        <v>11</v>
      </c>
      <c r="G307" s="141" t="n">
        <f aca="false">Estacas!F308</f>
        <v>11</v>
      </c>
      <c r="H307" s="141" t="n">
        <f aca="false">C307*(Estacas!K307+Estacas!K308)/2</f>
        <v>11.05</v>
      </c>
      <c r="I307" s="141" t="n">
        <f aca="false">H307*Parâmetros!$C$14</f>
        <v>26.52</v>
      </c>
      <c r="J307" s="141" t="n">
        <f aca="false">C307*(Estacas!L307+Estacas!L308)/2</f>
        <v>36.352</v>
      </c>
      <c r="K307" s="141" t="n">
        <f aca="false">C307*(Estacas!M307+Estacas!M308)/2</f>
        <v>47.68</v>
      </c>
      <c r="L307" s="141" t="n">
        <f aca="false">C307*(Estacas!N307+Estacas!N308)/2</f>
        <v>75.72</v>
      </c>
      <c r="M307" s="141" t="n">
        <f aca="false">C307*(Estacas!O307+Estacas!O308)/2</f>
        <v>224</v>
      </c>
      <c r="N307" s="141" t="n">
        <f aca="false">C307*(Estacas!O307+Estacas!O308)/2</f>
        <v>224</v>
      </c>
      <c r="O307" s="141" t="n">
        <f aca="false">C307*(Estacas!P307+Estacas!P308)/2</f>
        <v>258.4</v>
      </c>
      <c r="P307" s="141" t="n">
        <f aca="false">R307*Parâmetros!$C$11</f>
        <v>0</v>
      </c>
      <c r="Q307" s="141" t="n">
        <f aca="false">R307*Parâmetros!$C$12</f>
        <v>0</v>
      </c>
      <c r="R307" s="141" t="n">
        <f aca="false">C307*(Estacas!Q307+Estacas!Q308)/2</f>
        <v>0</v>
      </c>
      <c r="S307" s="141" t="n">
        <f aca="false">IF(LEFT(E307,3)="T09",C307*Parâmetros!$D$13*Parâmetros!$C$13,0)</f>
        <v>0</v>
      </c>
    </row>
    <row r="308" customFormat="false" ht="15" hidden="false" customHeight="false" outlineLevel="0" collapsed="false">
      <c r="A308" s="138" t="str">
        <f aca="false">Estacas!A308</f>
        <v>306+0,00</v>
      </c>
      <c r="B308" s="138" t="str">
        <f aca="false">Estacas!A309</f>
        <v>307+0,00</v>
      </c>
      <c r="C308" s="144" t="n">
        <f aca="false">Estacas!C309-Estacas!C308</f>
        <v>20</v>
      </c>
      <c r="D308" s="138" t="s">
        <v>1565</v>
      </c>
      <c r="E308" s="138" t="s">
        <v>1566</v>
      </c>
      <c r="F308" s="141" t="n">
        <f aca="false">Estacas!F308</f>
        <v>11</v>
      </c>
      <c r="G308" s="141" t="n">
        <f aca="false">Estacas!F309</f>
        <v>11</v>
      </c>
      <c r="H308" s="141" t="n">
        <f aca="false">C308*(Estacas!K308+Estacas!K309)/2</f>
        <v>11.05</v>
      </c>
      <c r="I308" s="141" t="n">
        <f aca="false">H308*Parâmetros!$C$14</f>
        <v>26.52</v>
      </c>
      <c r="J308" s="141" t="n">
        <f aca="false">C308*(Estacas!L308+Estacas!L309)/2</f>
        <v>36.352</v>
      </c>
      <c r="K308" s="141" t="n">
        <f aca="false">C308*(Estacas!M308+Estacas!M309)/2</f>
        <v>47.68</v>
      </c>
      <c r="L308" s="141" t="n">
        <f aca="false">C308*(Estacas!N308+Estacas!N309)/2</f>
        <v>75.72</v>
      </c>
      <c r="M308" s="141" t="n">
        <f aca="false">C308*(Estacas!O308+Estacas!O309)/2</f>
        <v>224</v>
      </c>
      <c r="N308" s="141" t="n">
        <f aca="false">C308*(Estacas!O308+Estacas!O309)/2</f>
        <v>224</v>
      </c>
      <c r="O308" s="141" t="n">
        <f aca="false">C308*(Estacas!P308+Estacas!P309)/2</f>
        <v>258.4</v>
      </c>
      <c r="P308" s="141" t="n">
        <f aca="false">R308*Parâmetros!$C$11</f>
        <v>0</v>
      </c>
      <c r="Q308" s="141" t="n">
        <f aca="false">R308*Parâmetros!$C$12</f>
        <v>0</v>
      </c>
      <c r="R308" s="141" t="n">
        <f aca="false">C308*(Estacas!Q308+Estacas!Q309)/2</f>
        <v>0</v>
      </c>
      <c r="S308" s="141" t="n">
        <f aca="false">IF(LEFT(E308,3)="T09",C308*Parâmetros!$D$13*Parâmetros!$C$13,0)</f>
        <v>0</v>
      </c>
    </row>
    <row r="309" customFormat="false" ht="15" hidden="false" customHeight="false" outlineLevel="0" collapsed="false">
      <c r="A309" s="138" t="str">
        <f aca="false">Estacas!A309</f>
        <v>307+0,00</v>
      </c>
      <c r="B309" s="138" t="str">
        <f aca="false">Estacas!A310</f>
        <v>308+0,00</v>
      </c>
      <c r="C309" s="144" t="n">
        <f aca="false">Estacas!C310-Estacas!C309</f>
        <v>20</v>
      </c>
      <c r="D309" s="138" t="s">
        <v>1565</v>
      </c>
      <c r="E309" s="138" t="s">
        <v>1566</v>
      </c>
      <c r="F309" s="141" t="n">
        <f aca="false">Estacas!F309</f>
        <v>11</v>
      </c>
      <c r="G309" s="141" t="n">
        <f aca="false">Estacas!F310</f>
        <v>11</v>
      </c>
      <c r="H309" s="141" t="n">
        <f aca="false">C309*(Estacas!K309+Estacas!K310)/2</f>
        <v>11.05</v>
      </c>
      <c r="I309" s="141" t="n">
        <f aca="false">H309*Parâmetros!$C$14</f>
        <v>26.52</v>
      </c>
      <c r="J309" s="141" t="n">
        <f aca="false">C309*(Estacas!L309+Estacas!L310)/2</f>
        <v>36.352</v>
      </c>
      <c r="K309" s="141" t="n">
        <f aca="false">C309*(Estacas!M309+Estacas!M310)/2</f>
        <v>47.68</v>
      </c>
      <c r="L309" s="141" t="n">
        <f aca="false">C309*(Estacas!N309+Estacas!N310)/2</f>
        <v>75.72</v>
      </c>
      <c r="M309" s="141" t="n">
        <f aca="false">C309*(Estacas!O309+Estacas!O310)/2</f>
        <v>224</v>
      </c>
      <c r="N309" s="141" t="n">
        <f aca="false">C309*(Estacas!O309+Estacas!O310)/2</f>
        <v>224</v>
      </c>
      <c r="O309" s="141" t="n">
        <f aca="false">C309*(Estacas!P309+Estacas!P310)/2</f>
        <v>258.4</v>
      </c>
      <c r="P309" s="141" t="n">
        <f aca="false">R309*Parâmetros!$C$11</f>
        <v>0</v>
      </c>
      <c r="Q309" s="141" t="n">
        <f aca="false">R309*Parâmetros!$C$12</f>
        <v>0</v>
      </c>
      <c r="R309" s="141" t="n">
        <f aca="false">C309*(Estacas!Q309+Estacas!Q310)/2</f>
        <v>0</v>
      </c>
      <c r="S309" s="141" t="n">
        <f aca="false">IF(LEFT(E309,3)="T09",C309*Parâmetros!$D$13*Parâmetros!$C$13,0)</f>
        <v>0</v>
      </c>
    </row>
    <row r="310" customFormat="false" ht="15" hidden="false" customHeight="false" outlineLevel="0" collapsed="false">
      <c r="A310" s="138" t="str">
        <f aca="false">Estacas!A310</f>
        <v>308+0,00</v>
      </c>
      <c r="B310" s="138" t="str">
        <f aca="false">Estacas!A311</f>
        <v>309+0,00</v>
      </c>
      <c r="C310" s="144" t="n">
        <f aca="false">Estacas!C311-Estacas!C310</f>
        <v>20</v>
      </c>
      <c r="D310" s="138" t="s">
        <v>1565</v>
      </c>
      <c r="E310" s="138" t="s">
        <v>1566</v>
      </c>
      <c r="F310" s="141" t="n">
        <f aca="false">Estacas!F310</f>
        <v>11</v>
      </c>
      <c r="G310" s="141" t="n">
        <f aca="false">Estacas!F311</f>
        <v>11</v>
      </c>
      <c r="H310" s="141" t="n">
        <f aca="false">C310*(Estacas!K310+Estacas!K311)/2</f>
        <v>11.05</v>
      </c>
      <c r="I310" s="141" t="n">
        <f aca="false">H310*Parâmetros!$C$14</f>
        <v>26.52</v>
      </c>
      <c r="J310" s="141" t="n">
        <f aca="false">C310*(Estacas!L310+Estacas!L311)/2</f>
        <v>36.352</v>
      </c>
      <c r="K310" s="141" t="n">
        <f aca="false">C310*(Estacas!M310+Estacas!M311)/2</f>
        <v>47.68</v>
      </c>
      <c r="L310" s="141" t="n">
        <f aca="false">C310*(Estacas!N310+Estacas!N311)/2</f>
        <v>75.72</v>
      </c>
      <c r="M310" s="141" t="n">
        <f aca="false">C310*(Estacas!O310+Estacas!O311)/2</f>
        <v>224</v>
      </c>
      <c r="N310" s="141" t="n">
        <f aca="false">C310*(Estacas!O310+Estacas!O311)/2</f>
        <v>224</v>
      </c>
      <c r="O310" s="141" t="n">
        <f aca="false">C310*(Estacas!P310+Estacas!P311)/2</f>
        <v>258.4</v>
      </c>
      <c r="P310" s="141" t="n">
        <f aca="false">R310*Parâmetros!$C$11</f>
        <v>0</v>
      </c>
      <c r="Q310" s="141" t="n">
        <f aca="false">R310*Parâmetros!$C$12</f>
        <v>0</v>
      </c>
      <c r="R310" s="141" t="n">
        <f aca="false">C310*(Estacas!Q310+Estacas!Q311)/2</f>
        <v>0</v>
      </c>
      <c r="S310" s="141" t="n">
        <f aca="false">IF(LEFT(E310,3)="T09",C310*Parâmetros!$D$13*Parâmetros!$C$13,0)</f>
        <v>0</v>
      </c>
    </row>
    <row r="311" customFormat="false" ht="15" hidden="false" customHeight="false" outlineLevel="0" collapsed="false">
      <c r="A311" s="138" t="str">
        <f aca="false">Estacas!A311</f>
        <v>309+0,00</v>
      </c>
      <c r="B311" s="138" t="str">
        <f aca="false">Estacas!A312</f>
        <v>310+0,00</v>
      </c>
      <c r="C311" s="144" t="n">
        <f aca="false">Estacas!C312-Estacas!C311</f>
        <v>20</v>
      </c>
      <c r="D311" s="138" t="s">
        <v>1565</v>
      </c>
      <c r="E311" s="138" t="s">
        <v>1566</v>
      </c>
      <c r="F311" s="141" t="n">
        <f aca="false">Estacas!F311</f>
        <v>11</v>
      </c>
      <c r="G311" s="141" t="n">
        <f aca="false">Estacas!F312</f>
        <v>11</v>
      </c>
      <c r="H311" s="141" t="n">
        <f aca="false">C311*(Estacas!K311+Estacas!K312)/2</f>
        <v>11.05</v>
      </c>
      <c r="I311" s="141" t="n">
        <f aca="false">H311*Parâmetros!$C$14</f>
        <v>26.52</v>
      </c>
      <c r="J311" s="141" t="n">
        <f aca="false">C311*(Estacas!L311+Estacas!L312)/2</f>
        <v>36.352</v>
      </c>
      <c r="K311" s="141" t="n">
        <f aca="false">C311*(Estacas!M311+Estacas!M312)/2</f>
        <v>47.68</v>
      </c>
      <c r="L311" s="141" t="n">
        <f aca="false">C311*(Estacas!N311+Estacas!N312)/2</f>
        <v>75.72</v>
      </c>
      <c r="M311" s="141" t="n">
        <f aca="false">C311*(Estacas!O311+Estacas!O312)/2</f>
        <v>224</v>
      </c>
      <c r="N311" s="141" t="n">
        <f aca="false">C311*(Estacas!O311+Estacas!O312)/2</f>
        <v>224</v>
      </c>
      <c r="O311" s="141" t="n">
        <f aca="false">C311*(Estacas!P311+Estacas!P312)/2</f>
        <v>258.4</v>
      </c>
      <c r="P311" s="141" t="n">
        <f aca="false">R311*Parâmetros!$C$11</f>
        <v>0</v>
      </c>
      <c r="Q311" s="141" t="n">
        <f aca="false">R311*Parâmetros!$C$12</f>
        <v>0</v>
      </c>
      <c r="R311" s="141" t="n">
        <f aca="false">C311*(Estacas!Q311+Estacas!Q312)/2</f>
        <v>0</v>
      </c>
      <c r="S311" s="141" t="n">
        <f aca="false">IF(LEFT(E311,3)="T09",C311*Parâmetros!$D$13*Parâmetros!$C$13,0)</f>
        <v>0</v>
      </c>
    </row>
    <row r="312" customFormat="false" ht="15" hidden="false" customHeight="false" outlineLevel="0" collapsed="false">
      <c r="A312" s="138" t="str">
        <f aca="false">Estacas!A312</f>
        <v>310+0,00</v>
      </c>
      <c r="B312" s="138" t="str">
        <f aca="false">Estacas!A313</f>
        <v>311+0,00</v>
      </c>
      <c r="C312" s="144" t="n">
        <f aca="false">Estacas!C313-Estacas!C312</f>
        <v>20</v>
      </c>
      <c r="D312" s="138" t="s">
        <v>1565</v>
      </c>
      <c r="E312" s="138" t="s">
        <v>1566</v>
      </c>
      <c r="F312" s="141" t="n">
        <f aca="false">Estacas!F312</f>
        <v>11</v>
      </c>
      <c r="G312" s="141" t="n">
        <f aca="false">Estacas!F313</f>
        <v>11.1</v>
      </c>
      <c r="H312" s="141" t="n">
        <f aca="false">C312*(Estacas!K312+Estacas!K313)/2</f>
        <v>11.1</v>
      </c>
      <c r="I312" s="141" t="n">
        <f aca="false">H312*Parâmetros!$C$14</f>
        <v>26.64</v>
      </c>
      <c r="J312" s="141" t="n">
        <f aca="false">C312*(Estacas!L312+Estacas!L313)/2</f>
        <v>36.512</v>
      </c>
      <c r="K312" s="141" t="n">
        <f aca="false">C312*(Estacas!M312+Estacas!M313)/2</f>
        <v>47.88</v>
      </c>
      <c r="L312" s="141" t="n">
        <f aca="false">C312*(Estacas!N312+Estacas!N313)/2</f>
        <v>76.02</v>
      </c>
      <c r="M312" s="141" t="n">
        <f aca="false">C312*(Estacas!O312+Estacas!O313)/2</f>
        <v>225</v>
      </c>
      <c r="N312" s="141" t="n">
        <f aca="false">C312*(Estacas!O312+Estacas!O313)/2</f>
        <v>225</v>
      </c>
      <c r="O312" s="141" t="n">
        <f aca="false">C312*(Estacas!P312+Estacas!P313)/2</f>
        <v>259.4</v>
      </c>
      <c r="P312" s="141" t="n">
        <f aca="false">R312*Parâmetros!$C$11</f>
        <v>0</v>
      </c>
      <c r="Q312" s="141" t="n">
        <f aca="false">R312*Parâmetros!$C$12</f>
        <v>0</v>
      </c>
      <c r="R312" s="141" t="n">
        <f aca="false">C312*(Estacas!Q312+Estacas!Q313)/2</f>
        <v>0</v>
      </c>
      <c r="S312" s="141" t="n">
        <f aca="false">IF(LEFT(E312,3)="T09",C312*Parâmetros!$D$13*Parâmetros!$C$13,0)</f>
        <v>0</v>
      </c>
    </row>
    <row r="313" customFormat="false" ht="15" hidden="false" customHeight="false" outlineLevel="0" collapsed="false">
      <c r="A313" s="138" t="str">
        <f aca="false">Estacas!A313</f>
        <v>311+0,00</v>
      </c>
      <c r="B313" s="138" t="str">
        <f aca="false">Estacas!A314</f>
        <v>312+0,00</v>
      </c>
      <c r="C313" s="144" t="n">
        <f aca="false">Estacas!C314-Estacas!C313</f>
        <v>20</v>
      </c>
      <c r="D313" s="138" t="s">
        <v>1565</v>
      </c>
      <c r="E313" s="138" t="s">
        <v>1566</v>
      </c>
      <c r="F313" s="141" t="n">
        <f aca="false">Estacas!F313</f>
        <v>11.1</v>
      </c>
      <c r="G313" s="141" t="n">
        <f aca="false">Estacas!F314</f>
        <v>11.1</v>
      </c>
      <c r="H313" s="141" t="n">
        <f aca="false">C313*(Estacas!K313+Estacas!K314)/2</f>
        <v>11.15</v>
      </c>
      <c r="I313" s="141" t="n">
        <f aca="false">H313*Parâmetros!$C$14</f>
        <v>26.76</v>
      </c>
      <c r="J313" s="141" t="n">
        <f aca="false">C313*(Estacas!L313+Estacas!L314)/2</f>
        <v>36.672</v>
      </c>
      <c r="K313" s="141" t="n">
        <f aca="false">C313*(Estacas!M313+Estacas!M314)/2</f>
        <v>48.08</v>
      </c>
      <c r="L313" s="141" t="n">
        <f aca="false">C313*(Estacas!N313+Estacas!N314)/2</f>
        <v>76.32</v>
      </c>
      <c r="M313" s="141" t="n">
        <f aca="false">C313*(Estacas!O313+Estacas!O314)/2</f>
        <v>226</v>
      </c>
      <c r="N313" s="141" t="n">
        <f aca="false">C313*(Estacas!O313+Estacas!O314)/2</f>
        <v>226</v>
      </c>
      <c r="O313" s="141" t="n">
        <f aca="false">C313*(Estacas!P313+Estacas!P314)/2</f>
        <v>260.4</v>
      </c>
      <c r="P313" s="141" t="n">
        <f aca="false">R313*Parâmetros!$C$11</f>
        <v>0</v>
      </c>
      <c r="Q313" s="141" t="n">
        <f aca="false">R313*Parâmetros!$C$12</f>
        <v>0</v>
      </c>
      <c r="R313" s="141" t="n">
        <f aca="false">C313*(Estacas!Q313+Estacas!Q314)/2</f>
        <v>0</v>
      </c>
      <c r="S313" s="141" t="n">
        <f aca="false">IF(LEFT(E313,3)="T09",C313*Parâmetros!$D$13*Parâmetros!$C$13,0)</f>
        <v>0</v>
      </c>
    </row>
    <row r="314" customFormat="false" ht="15" hidden="false" customHeight="false" outlineLevel="0" collapsed="false">
      <c r="A314" s="138" t="str">
        <f aca="false">Estacas!A314</f>
        <v>312+0,00</v>
      </c>
      <c r="B314" s="138" t="str">
        <f aca="false">Estacas!A315</f>
        <v>313+0,00</v>
      </c>
      <c r="C314" s="144" t="n">
        <f aca="false">Estacas!C315-Estacas!C314</f>
        <v>20</v>
      </c>
      <c r="D314" s="138" t="s">
        <v>1565</v>
      </c>
      <c r="E314" s="138" t="s">
        <v>1566</v>
      </c>
      <c r="F314" s="141" t="n">
        <f aca="false">Estacas!F314</f>
        <v>11.1</v>
      </c>
      <c r="G314" s="141" t="n">
        <f aca="false">Estacas!F315</f>
        <v>11.1</v>
      </c>
      <c r="H314" s="141" t="n">
        <f aca="false">C314*(Estacas!K314+Estacas!K315)/2</f>
        <v>11.15</v>
      </c>
      <c r="I314" s="141" t="n">
        <f aca="false">H314*Parâmetros!$C$14</f>
        <v>26.76</v>
      </c>
      <c r="J314" s="141" t="n">
        <f aca="false">C314*(Estacas!L314+Estacas!L315)/2</f>
        <v>36.672</v>
      </c>
      <c r="K314" s="141" t="n">
        <f aca="false">C314*(Estacas!M314+Estacas!M315)/2</f>
        <v>48.08</v>
      </c>
      <c r="L314" s="141" t="n">
        <f aca="false">C314*(Estacas!N314+Estacas!N315)/2</f>
        <v>76.32</v>
      </c>
      <c r="M314" s="141" t="n">
        <f aca="false">C314*(Estacas!O314+Estacas!O315)/2</f>
        <v>226</v>
      </c>
      <c r="N314" s="141" t="n">
        <f aca="false">C314*(Estacas!O314+Estacas!O315)/2</f>
        <v>226</v>
      </c>
      <c r="O314" s="141" t="n">
        <f aca="false">C314*(Estacas!P314+Estacas!P315)/2</f>
        <v>260.4</v>
      </c>
      <c r="P314" s="141" t="n">
        <f aca="false">R314*Parâmetros!$C$11</f>
        <v>0</v>
      </c>
      <c r="Q314" s="141" t="n">
        <f aca="false">R314*Parâmetros!$C$12</f>
        <v>0</v>
      </c>
      <c r="R314" s="141" t="n">
        <f aca="false">C314*(Estacas!Q314+Estacas!Q315)/2</f>
        <v>0</v>
      </c>
      <c r="S314" s="141" t="n">
        <f aca="false">IF(LEFT(E314,3)="T09",C314*Parâmetros!$D$13*Parâmetros!$C$13,0)</f>
        <v>0</v>
      </c>
    </row>
    <row r="315" customFormat="false" ht="15" hidden="false" customHeight="false" outlineLevel="0" collapsed="false">
      <c r="A315" s="138" t="str">
        <f aca="false">Estacas!A315</f>
        <v>313+0,00</v>
      </c>
      <c r="B315" s="138" t="str">
        <f aca="false">Estacas!A316</f>
        <v>314+0,00</v>
      </c>
      <c r="C315" s="144" t="n">
        <f aca="false">Estacas!C316-Estacas!C315</f>
        <v>20</v>
      </c>
      <c r="D315" s="138" t="s">
        <v>1565</v>
      </c>
      <c r="E315" s="138" t="s">
        <v>1566</v>
      </c>
      <c r="F315" s="141" t="n">
        <f aca="false">Estacas!F315</f>
        <v>11.1</v>
      </c>
      <c r="G315" s="141" t="n">
        <f aca="false">Estacas!F316</f>
        <v>11</v>
      </c>
      <c r="H315" s="141" t="n">
        <f aca="false">C315*(Estacas!K315+Estacas!K316)/2</f>
        <v>11.1</v>
      </c>
      <c r="I315" s="141" t="n">
        <f aca="false">H315*Parâmetros!$C$14</f>
        <v>26.64</v>
      </c>
      <c r="J315" s="141" t="n">
        <f aca="false">C315*(Estacas!L315+Estacas!L316)/2</f>
        <v>36.512</v>
      </c>
      <c r="K315" s="141" t="n">
        <f aca="false">C315*(Estacas!M315+Estacas!M316)/2</f>
        <v>47.88</v>
      </c>
      <c r="L315" s="141" t="n">
        <f aca="false">C315*(Estacas!N315+Estacas!N316)/2</f>
        <v>76.02</v>
      </c>
      <c r="M315" s="141" t="n">
        <f aca="false">C315*(Estacas!O315+Estacas!O316)/2</f>
        <v>225</v>
      </c>
      <c r="N315" s="141" t="n">
        <f aca="false">C315*(Estacas!O315+Estacas!O316)/2</f>
        <v>225</v>
      </c>
      <c r="O315" s="141" t="n">
        <f aca="false">C315*(Estacas!P315+Estacas!P316)/2</f>
        <v>259.4</v>
      </c>
      <c r="P315" s="141" t="n">
        <f aca="false">R315*Parâmetros!$C$11</f>
        <v>0</v>
      </c>
      <c r="Q315" s="141" t="n">
        <f aca="false">R315*Parâmetros!$C$12</f>
        <v>0</v>
      </c>
      <c r="R315" s="141" t="n">
        <f aca="false">C315*(Estacas!Q315+Estacas!Q316)/2</f>
        <v>0</v>
      </c>
      <c r="S315" s="141" t="n">
        <f aca="false">IF(LEFT(E315,3)="T09",C315*Parâmetros!$D$13*Parâmetros!$C$13,0)</f>
        <v>0</v>
      </c>
    </row>
    <row r="316" customFormat="false" ht="15" hidden="false" customHeight="false" outlineLevel="0" collapsed="false">
      <c r="A316" s="138" t="str">
        <f aca="false">Estacas!A316</f>
        <v>314+0,00</v>
      </c>
      <c r="B316" s="138" t="str">
        <f aca="false">Estacas!A317</f>
        <v>315+0,00</v>
      </c>
      <c r="C316" s="144" t="n">
        <f aca="false">Estacas!C317-Estacas!C316</f>
        <v>20</v>
      </c>
      <c r="D316" s="138" t="s">
        <v>1565</v>
      </c>
      <c r="E316" s="138" t="s">
        <v>1566</v>
      </c>
      <c r="F316" s="141" t="n">
        <f aca="false">Estacas!F316</f>
        <v>11</v>
      </c>
      <c r="G316" s="141" t="n">
        <f aca="false">Estacas!F317</f>
        <v>14.7</v>
      </c>
      <c r="H316" s="141" t="n">
        <f aca="false">C316*(Estacas!K316+Estacas!K317)/2</f>
        <v>12.9</v>
      </c>
      <c r="I316" s="141" t="n">
        <f aca="false">H316*Parâmetros!$C$14</f>
        <v>30.96</v>
      </c>
      <c r="J316" s="141" t="n">
        <f aca="false">C316*(Estacas!L316+Estacas!L317)/2</f>
        <v>42.272</v>
      </c>
      <c r="K316" s="141" t="n">
        <f aca="false">C316*(Estacas!M316+Estacas!M317)/2</f>
        <v>55.08</v>
      </c>
      <c r="L316" s="141" t="n">
        <f aca="false">C316*(Estacas!N316+Estacas!N317)/2</f>
        <v>86.82</v>
      </c>
      <c r="M316" s="141" t="n">
        <f aca="false">C316*(Estacas!O316+Estacas!O317)/2</f>
        <v>261</v>
      </c>
      <c r="N316" s="141" t="n">
        <f aca="false">C316*(Estacas!O316+Estacas!O317)/2</f>
        <v>261</v>
      </c>
      <c r="O316" s="141" t="n">
        <f aca="false">C316*(Estacas!P316+Estacas!P317)/2</f>
        <v>295.4</v>
      </c>
      <c r="P316" s="141" t="n">
        <f aca="false">R316*Parâmetros!$C$11</f>
        <v>0</v>
      </c>
      <c r="Q316" s="141" t="n">
        <f aca="false">R316*Parâmetros!$C$12</f>
        <v>0</v>
      </c>
      <c r="R316" s="141" t="n">
        <f aca="false">C316*(Estacas!Q316+Estacas!Q317)/2</f>
        <v>0</v>
      </c>
      <c r="S316" s="141" t="n">
        <f aca="false">IF(LEFT(E316,3)="T09",C316*Parâmetros!$D$13*Parâmetros!$C$13,0)</f>
        <v>0</v>
      </c>
    </row>
    <row r="317" customFormat="false" ht="15" hidden="false" customHeight="false" outlineLevel="0" collapsed="false">
      <c r="A317" s="138" t="str">
        <f aca="false">Estacas!A317</f>
        <v>315+0,00</v>
      </c>
      <c r="B317" s="138" t="str">
        <f aca="false">Estacas!A318</f>
        <v>316+0,00</v>
      </c>
      <c r="C317" s="144" t="n">
        <f aca="false">Estacas!C318-Estacas!C317</f>
        <v>20</v>
      </c>
      <c r="D317" s="138" t="s">
        <v>1565</v>
      </c>
      <c r="E317" s="138" t="s">
        <v>1566</v>
      </c>
      <c r="F317" s="141" t="n">
        <f aca="false">Estacas!F317</f>
        <v>14.7</v>
      </c>
      <c r="G317" s="141" t="n">
        <f aca="false">Estacas!F318</f>
        <v>13.2</v>
      </c>
      <c r="H317" s="141" t="n">
        <f aca="false">C317*(Estacas!K317+Estacas!K318)/2</f>
        <v>14</v>
      </c>
      <c r="I317" s="141" t="n">
        <f aca="false">H317*Parâmetros!$C$14</f>
        <v>33.6</v>
      </c>
      <c r="J317" s="141" t="n">
        <f aca="false">C317*(Estacas!L317+Estacas!L318)/2</f>
        <v>45.792</v>
      </c>
      <c r="K317" s="141" t="n">
        <f aca="false">C317*(Estacas!M317+Estacas!M318)/2</f>
        <v>59.48</v>
      </c>
      <c r="L317" s="141" t="n">
        <f aca="false">C317*(Estacas!N317+Estacas!N318)/2</f>
        <v>93.42</v>
      </c>
      <c r="M317" s="141" t="n">
        <f aca="false">C317*(Estacas!O317+Estacas!O318)/2</f>
        <v>283</v>
      </c>
      <c r="N317" s="141" t="n">
        <f aca="false">C317*(Estacas!O317+Estacas!O318)/2</f>
        <v>283</v>
      </c>
      <c r="O317" s="141" t="n">
        <f aca="false">C317*(Estacas!P317+Estacas!P318)/2</f>
        <v>317.4</v>
      </c>
      <c r="P317" s="141" t="n">
        <f aca="false">R317*Parâmetros!$C$11</f>
        <v>0</v>
      </c>
      <c r="Q317" s="141" t="n">
        <f aca="false">R317*Parâmetros!$C$12</f>
        <v>0</v>
      </c>
      <c r="R317" s="141" t="n">
        <f aca="false">C317*(Estacas!Q317+Estacas!Q318)/2</f>
        <v>0</v>
      </c>
      <c r="S317" s="141" t="n">
        <f aca="false">IF(LEFT(E317,3)="T09",C317*Parâmetros!$D$13*Parâmetros!$C$13,0)</f>
        <v>0</v>
      </c>
    </row>
    <row r="318" customFormat="false" ht="15" hidden="false" customHeight="false" outlineLevel="0" collapsed="false">
      <c r="A318" s="138" t="str">
        <f aca="false">Estacas!A318</f>
        <v>316+0,00</v>
      </c>
      <c r="B318" s="138" t="str">
        <f aca="false">Estacas!A319</f>
        <v>317+0,00</v>
      </c>
      <c r="C318" s="144" t="n">
        <f aca="false">Estacas!C319-Estacas!C318</f>
        <v>20</v>
      </c>
      <c r="D318" s="138" t="s">
        <v>1565</v>
      </c>
      <c r="E318" s="138" t="s">
        <v>1566</v>
      </c>
      <c r="F318" s="141" t="n">
        <f aca="false">Estacas!F318</f>
        <v>13.2</v>
      </c>
      <c r="G318" s="141" t="n">
        <f aca="false">Estacas!F319</f>
        <v>12.3</v>
      </c>
      <c r="H318" s="141" t="n">
        <f aca="false">C318*(Estacas!K318+Estacas!K319)/2</f>
        <v>12.8</v>
      </c>
      <c r="I318" s="141" t="n">
        <f aca="false">H318*Parâmetros!$C$14</f>
        <v>30.72</v>
      </c>
      <c r="J318" s="141" t="n">
        <f aca="false">C318*(Estacas!L318+Estacas!L319)/2</f>
        <v>41.952</v>
      </c>
      <c r="K318" s="141" t="n">
        <f aca="false">C318*(Estacas!M318+Estacas!M319)/2</f>
        <v>54.68</v>
      </c>
      <c r="L318" s="141" t="n">
        <f aca="false">C318*(Estacas!N318+Estacas!N319)/2</f>
        <v>86.22</v>
      </c>
      <c r="M318" s="141" t="n">
        <f aca="false">C318*(Estacas!O318+Estacas!O319)/2</f>
        <v>259</v>
      </c>
      <c r="N318" s="141" t="n">
        <f aca="false">C318*(Estacas!O318+Estacas!O319)/2</f>
        <v>259</v>
      </c>
      <c r="O318" s="141" t="n">
        <f aca="false">C318*(Estacas!P318+Estacas!P319)/2</f>
        <v>293.4</v>
      </c>
      <c r="P318" s="141" t="n">
        <f aca="false">R318*Parâmetros!$C$11</f>
        <v>0</v>
      </c>
      <c r="Q318" s="141" t="n">
        <f aca="false">R318*Parâmetros!$C$12</f>
        <v>0</v>
      </c>
      <c r="R318" s="141" t="n">
        <f aca="false">C318*(Estacas!Q318+Estacas!Q319)/2</f>
        <v>0</v>
      </c>
      <c r="S318" s="141" t="n">
        <f aca="false">IF(LEFT(E318,3)="T09",C318*Parâmetros!$D$13*Parâmetros!$C$13,0)</f>
        <v>0</v>
      </c>
    </row>
    <row r="319" customFormat="false" ht="15" hidden="false" customHeight="false" outlineLevel="0" collapsed="false">
      <c r="A319" s="138" t="str">
        <f aca="false">Estacas!A319</f>
        <v>317+0,00</v>
      </c>
      <c r="B319" s="138" t="str">
        <f aca="false">Estacas!A320</f>
        <v>318+0,00</v>
      </c>
      <c r="C319" s="144" t="n">
        <f aca="false">Estacas!C320-Estacas!C319</f>
        <v>20</v>
      </c>
      <c r="D319" s="138" t="s">
        <v>1565</v>
      </c>
      <c r="E319" s="138" t="s">
        <v>1566</v>
      </c>
      <c r="F319" s="141" t="n">
        <f aca="false">Estacas!F319</f>
        <v>12.3</v>
      </c>
      <c r="G319" s="141" t="n">
        <f aca="false">Estacas!F320</f>
        <v>11.4</v>
      </c>
      <c r="H319" s="141" t="n">
        <f aca="false">C319*(Estacas!K319+Estacas!K320)/2</f>
        <v>11.9</v>
      </c>
      <c r="I319" s="141" t="n">
        <f aca="false">H319*Parâmetros!$C$14</f>
        <v>28.56</v>
      </c>
      <c r="J319" s="141" t="n">
        <f aca="false">C319*(Estacas!L319+Estacas!L320)/2</f>
        <v>39.072</v>
      </c>
      <c r="K319" s="141" t="n">
        <f aca="false">C319*(Estacas!M319+Estacas!M320)/2</f>
        <v>51.08</v>
      </c>
      <c r="L319" s="141" t="n">
        <f aca="false">C319*(Estacas!N319+Estacas!N320)/2</f>
        <v>80.82</v>
      </c>
      <c r="M319" s="141" t="n">
        <f aca="false">C319*(Estacas!O319+Estacas!O320)/2</f>
        <v>241</v>
      </c>
      <c r="N319" s="141" t="n">
        <f aca="false">C319*(Estacas!O319+Estacas!O320)/2</f>
        <v>241</v>
      </c>
      <c r="O319" s="141" t="n">
        <f aca="false">C319*(Estacas!P319+Estacas!P320)/2</f>
        <v>275.4</v>
      </c>
      <c r="P319" s="141" t="n">
        <f aca="false">R319*Parâmetros!$C$11</f>
        <v>0</v>
      </c>
      <c r="Q319" s="141" t="n">
        <f aca="false">R319*Parâmetros!$C$12</f>
        <v>0</v>
      </c>
      <c r="R319" s="141" t="n">
        <f aca="false">C319*(Estacas!Q319+Estacas!Q320)/2</f>
        <v>0</v>
      </c>
      <c r="S319" s="141" t="n">
        <f aca="false">IF(LEFT(E319,3)="T09",C319*Parâmetros!$D$13*Parâmetros!$C$13,0)</f>
        <v>0</v>
      </c>
    </row>
    <row r="320" customFormat="false" ht="15" hidden="false" customHeight="false" outlineLevel="0" collapsed="false">
      <c r="A320" s="138" t="str">
        <f aca="false">Estacas!A320</f>
        <v>318+0,00</v>
      </c>
      <c r="B320" s="138" t="str">
        <f aca="false">Estacas!A321</f>
        <v>319+0,00</v>
      </c>
      <c r="C320" s="144" t="n">
        <f aca="false">Estacas!C321-Estacas!C320</f>
        <v>20</v>
      </c>
      <c r="D320" s="138" t="s">
        <v>1565</v>
      </c>
      <c r="E320" s="138" t="s">
        <v>1566</v>
      </c>
      <c r="F320" s="141" t="n">
        <f aca="false">Estacas!F320</f>
        <v>11.4</v>
      </c>
      <c r="G320" s="141" t="n">
        <f aca="false">Estacas!F321</f>
        <v>12.5</v>
      </c>
      <c r="H320" s="141" t="n">
        <f aca="false">C320*(Estacas!K320+Estacas!K321)/2</f>
        <v>12</v>
      </c>
      <c r="I320" s="141" t="n">
        <f aca="false">H320*Parâmetros!$C$14</f>
        <v>28.8</v>
      </c>
      <c r="J320" s="141" t="n">
        <f aca="false">C320*(Estacas!L320+Estacas!L321)/2</f>
        <v>39.392</v>
      </c>
      <c r="K320" s="141" t="n">
        <f aca="false">C320*(Estacas!M320+Estacas!M321)/2</f>
        <v>51.48</v>
      </c>
      <c r="L320" s="141" t="n">
        <f aca="false">C320*(Estacas!N320+Estacas!N321)/2</f>
        <v>81.42</v>
      </c>
      <c r="M320" s="141" t="n">
        <f aca="false">C320*(Estacas!O320+Estacas!O321)/2</f>
        <v>243</v>
      </c>
      <c r="N320" s="141" t="n">
        <f aca="false">C320*(Estacas!O320+Estacas!O321)/2</f>
        <v>243</v>
      </c>
      <c r="O320" s="141" t="n">
        <f aca="false">C320*(Estacas!P320+Estacas!P321)/2</f>
        <v>277.4</v>
      </c>
      <c r="P320" s="141" t="n">
        <f aca="false">R320*Parâmetros!$C$11</f>
        <v>0</v>
      </c>
      <c r="Q320" s="141" t="n">
        <f aca="false">R320*Parâmetros!$C$12</f>
        <v>0</v>
      </c>
      <c r="R320" s="141" t="n">
        <f aca="false">C320*(Estacas!Q320+Estacas!Q321)/2</f>
        <v>0</v>
      </c>
      <c r="S320" s="141" t="n">
        <f aca="false">IF(LEFT(E320,3)="T09",C320*Parâmetros!$D$13*Parâmetros!$C$13,0)</f>
        <v>0</v>
      </c>
    </row>
    <row r="321" customFormat="false" ht="15" hidden="false" customHeight="false" outlineLevel="0" collapsed="false">
      <c r="A321" s="138" t="str">
        <f aca="false">Estacas!A321</f>
        <v>319+0,00</v>
      </c>
      <c r="B321" s="138" t="str">
        <f aca="false">Estacas!A322</f>
        <v>320+0,00</v>
      </c>
      <c r="C321" s="144" t="n">
        <f aca="false">Estacas!C322-Estacas!C321</f>
        <v>20</v>
      </c>
      <c r="D321" s="138" t="s">
        <v>1570</v>
      </c>
      <c r="E321" s="138" t="s">
        <v>1571</v>
      </c>
      <c r="F321" s="141" t="n">
        <f aca="false">Estacas!F321</f>
        <v>12.5</v>
      </c>
      <c r="G321" s="141" t="n">
        <f aca="false">Estacas!F322</f>
        <v>14.4</v>
      </c>
      <c r="H321" s="141" t="n">
        <f aca="false">C321*(Estacas!K321+Estacas!K322)/2</f>
        <v>13.5</v>
      </c>
      <c r="I321" s="141" t="n">
        <f aca="false">H321*Parâmetros!$C$14</f>
        <v>32.4</v>
      </c>
      <c r="J321" s="141" t="n">
        <f aca="false">C321*(Estacas!L321+Estacas!L322)/2</f>
        <v>44.192</v>
      </c>
      <c r="K321" s="141" t="n">
        <f aca="false">C321*(Estacas!M321+Estacas!M322)/2</f>
        <v>57.48</v>
      </c>
      <c r="L321" s="141" t="n">
        <f aca="false">C321*(Estacas!N321+Estacas!N322)/2</f>
        <v>90.42</v>
      </c>
      <c r="M321" s="141" t="n">
        <f aca="false">C321*(Estacas!O321+Estacas!O322)/2</f>
        <v>273</v>
      </c>
      <c r="N321" s="141" t="n">
        <f aca="false">C321*(Estacas!O321+Estacas!O322)/2</f>
        <v>273</v>
      </c>
      <c r="O321" s="141" t="n">
        <f aca="false">C321*(Estacas!P321+Estacas!P322)/2</f>
        <v>307.4</v>
      </c>
      <c r="P321" s="141" t="n">
        <f aca="false">R321*Parâmetros!$C$11</f>
        <v>0</v>
      </c>
      <c r="Q321" s="141" t="n">
        <f aca="false">R321*Parâmetros!$C$12</f>
        <v>0</v>
      </c>
      <c r="R321" s="141" t="n">
        <f aca="false">C321*(Estacas!Q321+Estacas!Q322)/2</f>
        <v>0</v>
      </c>
      <c r="S321" s="141" t="n">
        <f aca="false">IF(LEFT(E321,3)="T09",C321*Parâmetros!$D$13*Parâmetros!$C$13,0)</f>
        <v>0</v>
      </c>
    </row>
    <row r="322" customFormat="false" ht="15" hidden="false" customHeight="false" outlineLevel="0" collapsed="false">
      <c r="A322" s="138" t="str">
        <f aca="false">Estacas!A322</f>
        <v>320+0,00</v>
      </c>
      <c r="B322" s="138" t="str">
        <f aca="false">Estacas!A323</f>
        <v>321+0,00</v>
      </c>
      <c r="C322" s="144" t="n">
        <f aca="false">Estacas!C323-Estacas!C322</f>
        <v>20</v>
      </c>
      <c r="D322" s="138" t="s">
        <v>1570</v>
      </c>
      <c r="E322" s="138" t="s">
        <v>1571</v>
      </c>
      <c r="F322" s="141" t="n">
        <f aca="false">Estacas!F322</f>
        <v>14.4</v>
      </c>
      <c r="G322" s="141" t="n">
        <f aca="false">Estacas!F323</f>
        <v>16.7</v>
      </c>
      <c r="H322" s="141" t="n">
        <f aca="false">C322*(Estacas!K322+Estacas!K323)/2</f>
        <v>15.6</v>
      </c>
      <c r="I322" s="141" t="n">
        <f aca="false">H322*Parâmetros!$C$14</f>
        <v>37.44</v>
      </c>
      <c r="J322" s="141" t="n">
        <f aca="false">C322*(Estacas!L322+Estacas!L323)/2</f>
        <v>50.912</v>
      </c>
      <c r="K322" s="141" t="n">
        <f aca="false">C322*(Estacas!M322+Estacas!M323)/2</f>
        <v>65.88</v>
      </c>
      <c r="L322" s="141" t="n">
        <f aca="false">C322*(Estacas!N322+Estacas!N323)/2</f>
        <v>103.02</v>
      </c>
      <c r="M322" s="141" t="n">
        <f aca="false">C322*(Estacas!O322+Estacas!O323)/2</f>
        <v>315</v>
      </c>
      <c r="N322" s="141" t="n">
        <f aca="false">C322*(Estacas!O322+Estacas!O323)/2</f>
        <v>315</v>
      </c>
      <c r="O322" s="141" t="n">
        <f aca="false">C322*(Estacas!P322+Estacas!P323)/2</f>
        <v>349.4</v>
      </c>
      <c r="P322" s="141" t="n">
        <f aca="false">R322*Parâmetros!$C$11</f>
        <v>0</v>
      </c>
      <c r="Q322" s="141" t="n">
        <f aca="false">R322*Parâmetros!$C$12</f>
        <v>0</v>
      </c>
      <c r="R322" s="141" t="n">
        <f aca="false">C322*(Estacas!Q322+Estacas!Q323)/2</f>
        <v>0</v>
      </c>
      <c r="S322" s="141" t="n">
        <f aca="false">IF(LEFT(E322,3)="T09",C322*Parâmetros!$D$13*Parâmetros!$C$13,0)</f>
        <v>0</v>
      </c>
    </row>
    <row r="323" customFormat="false" ht="15" hidden="false" customHeight="false" outlineLevel="0" collapsed="false">
      <c r="A323" s="138" t="str">
        <f aca="false">Estacas!A323</f>
        <v>321+0,00</v>
      </c>
      <c r="B323" s="138" t="str">
        <f aca="false">Estacas!A324</f>
        <v>322+0,00</v>
      </c>
      <c r="C323" s="144" t="n">
        <f aca="false">Estacas!C324-Estacas!C323</f>
        <v>20</v>
      </c>
      <c r="D323" s="138" t="s">
        <v>1570</v>
      </c>
      <c r="E323" s="138" t="s">
        <v>1571</v>
      </c>
      <c r="F323" s="141" t="n">
        <f aca="false">Estacas!F323</f>
        <v>16.7</v>
      </c>
      <c r="G323" s="141" t="n">
        <f aca="false">Estacas!F324</f>
        <v>18.3</v>
      </c>
      <c r="H323" s="141" t="n">
        <f aca="false">C323*(Estacas!K323+Estacas!K324)/2</f>
        <v>17.55</v>
      </c>
      <c r="I323" s="141" t="n">
        <f aca="false">H323*Parâmetros!$C$14</f>
        <v>42.12</v>
      </c>
      <c r="J323" s="141" t="n">
        <f aca="false">C323*(Estacas!L323+Estacas!L324)/2</f>
        <v>57.152</v>
      </c>
      <c r="K323" s="141" t="n">
        <f aca="false">C323*(Estacas!M323+Estacas!M324)/2</f>
        <v>73.68</v>
      </c>
      <c r="L323" s="141" t="n">
        <f aca="false">C323*(Estacas!N323+Estacas!N324)/2</f>
        <v>114.72</v>
      </c>
      <c r="M323" s="141" t="n">
        <f aca="false">C323*(Estacas!O323+Estacas!O324)/2</f>
        <v>354</v>
      </c>
      <c r="N323" s="141" t="n">
        <f aca="false">C323*(Estacas!O323+Estacas!O324)/2</f>
        <v>354</v>
      </c>
      <c r="O323" s="141" t="n">
        <f aca="false">C323*(Estacas!P323+Estacas!P324)/2</f>
        <v>388.4</v>
      </c>
      <c r="P323" s="141" t="n">
        <f aca="false">R323*Parâmetros!$C$11</f>
        <v>0</v>
      </c>
      <c r="Q323" s="141" t="n">
        <f aca="false">R323*Parâmetros!$C$12</f>
        <v>0</v>
      </c>
      <c r="R323" s="141" t="n">
        <f aca="false">C323*(Estacas!Q323+Estacas!Q324)/2</f>
        <v>0</v>
      </c>
      <c r="S323" s="141" t="n">
        <f aca="false">IF(LEFT(E323,3)="T09",C323*Parâmetros!$D$13*Parâmetros!$C$13,0)</f>
        <v>0</v>
      </c>
    </row>
    <row r="324" customFormat="false" ht="15" hidden="false" customHeight="false" outlineLevel="0" collapsed="false">
      <c r="A324" s="138" t="str">
        <f aca="false">Estacas!A324</f>
        <v>322+0,00</v>
      </c>
      <c r="B324" s="138" t="str">
        <f aca="false">Estacas!A325</f>
        <v>323+0,00</v>
      </c>
      <c r="C324" s="144" t="n">
        <f aca="false">Estacas!C325-Estacas!C324</f>
        <v>20</v>
      </c>
      <c r="D324" s="138" t="s">
        <v>1570</v>
      </c>
      <c r="E324" s="138" t="s">
        <v>1571</v>
      </c>
      <c r="F324" s="141" t="n">
        <f aca="false">Estacas!F324</f>
        <v>18.3</v>
      </c>
      <c r="G324" s="141" t="n">
        <f aca="false">Estacas!F325</f>
        <v>18.4</v>
      </c>
      <c r="H324" s="141" t="n">
        <f aca="false">C324*(Estacas!K324+Estacas!K325)/2</f>
        <v>18.4</v>
      </c>
      <c r="I324" s="141" t="n">
        <f aca="false">H324*Parâmetros!$C$14</f>
        <v>44.16</v>
      </c>
      <c r="J324" s="141" t="n">
        <f aca="false">C324*(Estacas!L324+Estacas!L325)/2</f>
        <v>59.872</v>
      </c>
      <c r="K324" s="141" t="n">
        <f aca="false">C324*(Estacas!M324+Estacas!M325)/2</f>
        <v>77.08</v>
      </c>
      <c r="L324" s="141" t="n">
        <f aca="false">C324*(Estacas!N324+Estacas!N325)/2</f>
        <v>119.82</v>
      </c>
      <c r="M324" s="141" t="n">
        <f aca="false">C324*(Estacas!O324+Estacas!O325)/2</f>
        <v>371</v>
      </c>
      <c r="N324" s="141" t="n">
        <f aca="false">C324*(Estacas!O324+Estacas!O325)/2</f>
        <v>371</v>
      </c>
      <c r="O324" s="141" t="n">
        <f aca="false">C324*(Estacas!P324+Estacas!P325)/2</f>
        <v>405.4</v>
      </c>
      <c r="P324" s="141" t="n">
        <f aca="false">R324*Parâmetros!$C$11</f>
        <v>0</v>
      </c>
      <c r="Q324" s="141" t="n">
        <f aca="false">R324*Parâmetros!$C$12</f>
        <v>0</v>
      </c>
      <c r="R324" s="141" t="n">
        <f aca="false">C324*(Estacas!Q324+Estacas!Q325)/2</f>
        <v>0</v>
      </c>
      <c r="S324" s="141" t="n">
        <f aca="false">IF(LEFT(E324,3)="T09",C324*Parâmetros!$D$13*Parâmetros!$C$13,0)</f>
        <v>0</v>
      </c>
    </row>
    <row r="325" customFormat="false" ht="15" hidden="false" customHeight="false" outlineLevel="0" collapsed="false">
      <c r="A325" s="138" t="str">
        <f aca="false">Estacas!A325</f>
        <v>323+0,00</v>
      </c>
      <c r="B325" s="138" t="str">
        <f aca="false">Estacas!A326</f>
        <v>324+0,00</v>
      </c>
      <c r="C325" s="144" t="n">
        <f aca="false">Estacas!C326-Estacas!C325</f>
        <v>20</v>
      </c>
      <c r="D325" s="138" t="s">
        <v>1570</v>
      </c>
      <c r="E325" s="138" t="s">
        <v>1571</v>
      </c>
      <c r="F325" s="141" t="n">
        <f aca="false">Estacas!F325</f>
        <v>18.4</v>
      </c>
      <c r="G325" s="141" t="n">
        <f aca="false">Estacas!F326</f>
        <v>18.4</v>
      </c>
      <c r="H325" s="141" t="n">
        <f aca="false">C325*(Estacas!K325+Estacas!K326)/2</f>
        <v>18.45</v>
      </c>
      <c r="I325" s="141" t="n">
        <f aca="false">H325*Parâmetros!$C$14</f>
        <v>44.28</v>
      </c>
      <c r="J325" s="141" t="n">
        <f aca="false">C325*(Estacas!L325+Estacas!L326)/2</f>
        <v>60.032</v>
      </c>
      <c r="K325" s="141" t="n">
        <f aca="false">C325*(Estacas!M325+Estacas!M326)/2</f>
        <v>77.28</v>
      </c>
      <c r="L325" s="141" t="n">
        <f aca="false">C325*(Estacas!N325+Estacas!N326)/2</f>
        <v>120.12</v>
      </c>
      <c r="M325" s="141" t="n">
        <f aca="false">C325*(Estacas!O325+Estacas!O326)/2</f>
        <v>372</v>
      </c>
      <c r="N325" s="141" t="n">
        <f aca="false">C325*(Estacas!O325+Estacas!O326)/2</f>
        <v>372</v>
      </c>
      <c r="O325" s="141" t="n">
        <f aca="false">C325*(Estacas!P325+Estacas!P326)/2</f>
        <v>406.4</v>
      </c>
      <c r="P325" s="141" t="n">
        <f aca="false">R325*Parâmetros!$C$11</f>
        <v>0</v>
      </c>
      <c r="Q325" s="141" t="n">
        <f aca="false">R325*Parâmetros!$C$12</f>
        <v>0</v>
      </c>
      <c r="R325" s="141" t="n">
        <f aca="false">C325*(Estacas!Q325+Estacas!Q326)/2</f>
        <v>0</v>
      </c>
      <c r="S325" s="141" t="n">
        <f aca="false">IF(LEFT(E325,3)="T09",C325*Parâmetros!$D$13*Parâmetros!$C$13,0)</f>
        <v>0</v>
      </c>
    </row>
    <row r="326" customFormat="false" ht="15" hidden="false" customHeight="false" outlineLevel="0" collapsed="false">
      <c r="A326" s="138" t="str">
        <f aca="false">Estacas!A326</f>
        <v>324+0,00</v>
      </c>
      <c r="B326" s="138" t="str">
        <f aca="false">Estacas!A327</f>
        <v>325+0,00</v>
      </c>
      <c r="C326" s="144" t="n">
        <f aca="false">Estacas!C327-Estacas!C326</f>
        <v>20</v>
      </c>
      <c r="D326" s="138" t="s">
        <v>1570</v>
      </c>
      <c r="E326" s="138" t="s">
        <v>1571</v>
      </c>
      <c r="F326" s="141" t="n">
        <f aca="false">Estacas!F326</f>
        <v>18.4</v>
      </c>
      <c r="G326" s="141" t="n">
        <f aca="false">Estacas!F327</f>
        <v>18.4</v>
      </c>
      <c r="H326" s="141" t="n">
        <f aca="false">C326*(Estacas!K326+Estacas!K327)/2</f>
        <v>18.45</v>
      </c>
      <c r="I326" s="141" t="n">
        <f aca="false">H326*Parâmetros!$C$14</f>
        <v>44.28</v>
      </c>
      <c r="J326" s="141" t="n">
        <f aca="false">C326*(Estacas!L326+Estacas!L327)/2</f>
        <v>60.032</v>
      </c>
      <c r="K326" s="141" t="n">
        <f aca="false">C326*(Estacas!M326+Estacas!M327)/2</f>
        <v>77.28</v>
      </c>
      <c r="L326" s="141" t="n">
        <f aca="false">C326*(Estacas!N326+Estacas!N327)/2</f>
        <v>120.12</v>
      </c>
      <c r="M326" s="141" t="n">
        <f aca="false">C326*(Estacas!O326+Estacas!O327)/2</f>
        <v>372</v>
      </c>
      <c r="N326" s="141" t="n">
        <f aca="false">C326*(Estacas!O326+Estacas!O327)/2</f>
        <v>372</v>
      </c>
      <c r="O326" s="141" t="n">
        <f aca="false">C326*(Estacas!P326+Estacas!P327)/2</f>
        <v>406.4</v>
      </c>
      <c r="P326" s="141" t="n">
        <f aca="false">R326*Parâmetros!$C$11</f>
        <v>0</v>
      </c>
      <c r="Q326" s="141" t="n">
        <f aca="false">R326*Parâmetros!$C$12</f>
        <v>0</v>
      </c>
      <c r="R326" s="141" t="n">
        <f aca="false">C326*(Estacas!Q326+Estacas!Q327)/2</f>
        <v>0</v>
      </c>
      <c r="S326" s="141" t="n">
        <f aca="false">IF(LEFT(E326,3)="T09",C326*Parâmetros!$D$13*Parâmetros!$C$13,0)</f>
        <v>0</v>
      </c>
    </row>
    <row r="327" customFormat="false" ht="15" hidden="false" customHeight="false" outlineLevel="0" collapsed="false">
      <c r="A327" s="138" t="str">
        <f aca="false">Estacas!A327</f>
        <v>325+0,00</v>
      </c>
      <c r="B327" s="138" t="str">
        <f aca="false">Estacas!A328</f>
        <v>326+0,00</v>
      </c>
      <c r="C327" s="144" t="n">
        <f aca="false">Estacas!C328-Estacas!C327</f>
        <v>20</v>
      </c>
      <c r="D327" s="138" t="s">
        <v>1570</v>
      </c>
      <c r="E327" s="138" t="s">
        <v>1571</v>
      </c>
      <c r="F327" s="141" t="n">
        <f aca="false">Estacas!F327</f>
        <v>18.4</v>
      </c>
      <c r="G327" s="141" t="n">
        <f aca="false">Estacas!F328</f>
        <v>18.4</v>
      </c>
      <c r="H327" s="141" t="n">
        <f aca="false">C327*(Estacas!K327+Estacas!K328)/2</f>
        <v>18.45</v>
      </c>
      <c r="I327" s="141" t="n">
        <f aca="false">H327*Parâmetros!$C$14</f>
        <v>44.28</v>
      </c>
      <c r="J327" s="141" t="n">
        <f aca="false">C327*(Estacas!L327+Estacas!L328)/2</f>
        <v>60.032</v>
      </c>
      <c r="K327" s="141" t="n">
        <f aca="false">C327*(Estacas!M327+Estacas!M328)/2</f>
        <v>77.28</v>
      </c>
      <c r="L327" s="141" t="n">
        <f aca="false">C327*(Estacas!N327+Estacas!N328)/2</f>
        <v>120.12</v>
      </c>
      <c r="M327" s="141" t="n">
        <f aca="false">C327*(Estacas!O327+Estacas!O328)/2</f>
        <v>372</v>
      </c>
      <c r="N327" s="141" t="n">
        <f aca="false">C327*(Estacas!O327+Estacas!O328)/2</f>
        <v>372</v>
      </c>
      <c r="O327" s="141" t="n">
        <f aca="false">C327*(Estacas!P327+Estacas!P328)/2</f>
        <v>406.4</v>
      </c>
      <c r="P327" s="141" t="n">
        <f aca="false">R327*Parâmetros!$C$11</f>
        <v>0</v>
      </c>
      <c r="Q327" s="141" t="n">
        <f aca="false">R327*Parâmetros!$C$12</f>
        <v>0</v>
      </c>
      <c r="R327" s="141" t="n">
        <f aca="false">C327*(Estacas!Q327+Estacas!Q328)/2</f>
        <v>0</v>
      </c>
      <c r="S327" s="141" t="n">
        <f aca="false">IF(LEFT(E327,3)="T09",C327*Parâmetros!$D$13*Parâmetros!$C$13,0)</f>
        <v>0</v>
      </c>
    </row>
    <row r="328" customFormat="false" ht="15" hidden="false" customHeight="false" outlineLevel="0" collapsed="false">
      <c r="A328" s="138" t="str">
        <f aca="false">Estacas!A328</f>
        <v>326+0,00</v>
      </c>
      <c r="B328" s="138" t="str">
        <f aca="false">Estacas!A329</f>
        <v>327+0,00</v>
      </c>
      <c r="C328" s="144" t="n">
        <f aca="false">Estacas!C329-Estacas!C328</f>
        <v>20</v>
      </c>
      <c r="D328" s="138" t="s">
        <v>1570</v>
      </c>
      <c r="E328" s="138" t="s">
        <v>1571</v>
      </c>
      <c r="F328" s="141" t="n">
        <f aca="false">Estacas!F328</f>
        <v>18.4</v>
      </c>
      <c r="G328" s="141" t="n">
        <f aca="false">Estacas!F329</f>
        <v>18.4</v>
      </c>
      <c r="H328" s="141" t="n">
        <f aca="false">C328*(Estacas!K328+Estacas!K329)/2</f>
        <v>18.45</v>
      </c>
      <c r="I328" s="141" t="n">
        <f aca="false">H328*Parâmetros!$C$14</f>
        <v>44.28</v>
      </c>
      <c r="J328" s="141" t="n">
        <f aca="false">C328*(Estacas!L328+Estacas!L329)/2</f>
        <v>60.032</v>
      </c>
      <c r="K328" s="141" t="n">
        <f aca="false">C328*(Estacas!M328+Estacas!M329)/2</f>
        <v>77.28</v>
      </c>
      <c r="L328" s="141" t="n">
        <f aca="false">C328*(Estacas!N328+Estacas!N329)/2</f>
        <v>120.12</v>
      </c>
      <c r="M328" s="141" t="n">
        <f aca="false">C328*(Estacas!O328+Estacas!O329)/2</f>
        <v>372</v>
      </c>
      <c r="N328" s="141" t="n">
        <f aca="false">C328*(Estacas!O328+Estacas!O329)/2</f>
        <v>372</v>
      </c>
      <c r="O328" s="141" t="n">
        <f aca="false">C328*(Estacas!P328+Estacas!P329)/2</f>
        <v>406.4</v>
      </c>
      <c r="P328" s="141" t="n">
        <f aca="false">R328*Parâmetros!$C$11</f>
        <v>0</v>
      </c>
      <c r="Q328" s="141" t="n">
        <f aca="false">R328*Parâmetros!$C$12</f>
        <v>0</v>
      </c>
      <c r="R328" s="141" t="n">
        <f aca="false">C328*(Estacas!Q328+Estacas!Q329)/2</f>
        <v>0</v>
      </c>
      <c r="S328" s="141" t="n">
        <f aca="false">IF(LEFT(E328,3)="T09",C328*Parâmetros!$D$13*Parâmetros!$C$13,0)</f>
        <v>0</v>
      </c>
    </row>
    <row r="329" customFormat="false" ht="15" hidden="false" customHeight="false" outlineLevel="0" collapsed="false">
      <c r="A329" s="138" t="str">
        <f aca="false">Estacas!A329</f>
        <v>327+0,00</v>
      </c>
      <c r="B329" s="138" t="str">
        <f aca="false">Estacas!A330</f>
        <v>328+0,00</v>
      </c>
      <c r="C329" s="144" t="n">
        <f aca="false">Estacas!C330-Estacas!C329</f>
        <v>20</v>
      </c>
      <c r="D329" s="138" t="s">
        <v>1570</v>
      </c>
      <c r="E329" s="138" t="s">
        <v>1571</v>
      </c>
      <c r="F329" s="141" t="n">
        <f aca="false">Estacas!F329</f>
        <v>18.4</v>
      </c>
      <c r="G329" s="141" t="n">
        <f aca="false">Estacas!F330</f>
        <v>18.4</v>
      </c>
      <c r="H329" s="141" t="n">
        <f aca="false">C329*(Estacas!K329+Estacas!K330)/2</f>
        <v>18.45</v>
      </c>
      <c r="I329" s="141" t="n">
        <f aca="false">H329*Parâmetros!$C$14</f>
        <v>44.28</v>
      </c>
      <c r="J329" s="141" t="n">
        <f aca="false">C329*(Estacas!L329+Estacas!L330)/2</f>
        <v>60.032</v>
      </c>
      <c r="K329" s="141" t="n">
        <f aca="false">C329*(Estacas!M329+Estacas!M330)/2</f>
        <v>77.28</v>
      </c>
      <c r="L329" s="141" t="n">
        <f aca="false">C329*(Estacas!N329+Estacas!N330)/2</f>
        <v>120.12</v>
      </c>
      <c r="M329" s="141" t="n">
        <f aca="false">C329*(Estacas!O329+Estacas!O330)/2</f>
        <v>372</v>
      </c>
      <c r="N329" s="141" t="n">
        <f aca="false">C329*(Estacas!O329+Estacas!O330)/2</f>
        <v>372</v>
      </c>
      <c r="O329" s="141" t="n">
        <f aca="false">C329*(Estacas!P329+Estacas!P330)/2</f>
        <v>406.4</v>
      </c>
      <c r="P329" s="141" t="n">
        <f aca="false">R329*Parâmetros!$C$11</f>
        <v>0</v>
      </c>
      <c r="Q329" s="141" t="n">
        <f aca="false">R329*Parâmetros!$C$12</f>
        <v>0</v>
      </c>
      <c r="R329" s="141" t="n">
        <f aca="false">C329*(Estacas!Q329+Estacas!Q330)/2</f>
        <v>0</v>
      </c>
      <c r="S329" s="141" t="n">
        <f aca="false">IF(LEFT(E329,3)="T09",C329*Parâmetros!$D$13*Parâmetros!$C$13,0)</f>
        <v>0</v>
      </c>
    </row>
    <row r="330" customFormat="false" ht="15" hidden="false" customHeight="false" outlineLevel="0" collapsed="false">
      <c r="A330" s="138" t="str">
        <f aca="false">Estacas!A330</f>
        <v>328+0,00</v>
      </c>
      <c r="B330" s="138" t="str">
        <f aca="false">Estacas!A331</f>
        <v>329+0,00</v>
      </c>
      <c r="C330" s="144" t="n">
        <f aca="false">Estacas!C331-Estacas!C330</f>
        <v>20</v>
      </c>
      <c r="D330" s="138" t="s">
        <v>1570</v>
      </c>
      <c r="E330" s="138" t="s">
        <v>1571</v>
      </c>
      <c r="F330" s="141" t="n">
        <f aca="false">Estacas!F330</f>
        <v>18.4</v>
      </c>
      <c r="G330" s="141" t="n">
        <f aca="false">Estacas!F331</f>
        <v>18.4</v>
      </c>
      <c r="H330" s="141" t="n">
        <f aca="false">C330*(Estacas!K330+Estacas!K331)/2</f>
        <v>18.45</v>
      </c>
      <c r="I330" s="141" t="n">
        <f aca="false">H330*Parâmetros!$C$14</f>
        <v>44.28</v>
      </c>
      <c r="J330" s="141" t="n">
        <f aca="false">C330*(Estacas!L330+Estacas!L331)/2</f>
        <v>60.032</v>
      </c>
      <c r="K330" s="141" t="n">
        <f aca="false">C330*(Estacas!M330+Estacas!M331)/2</f>
        <v>77.28</v>
      </c>
      <c r="L330" s="141" t="n">
        <f aca="false">C330*(Estacas!N330+Estacas!N331)/2</f>
        <v>120.12</v>
      </c>
      <c r="M330" s="141" t="n">
        <f aca="false">C330*(Estacas!O330+Estacas!O331)/2</f>
        <v>372</v>
      </c>
      <c r="N330" s="141" t="n">
        <f aca="false">C330*(Estacas!O330+Estacas!O331)/2</f>
        <v>372</v>
      </c>
      <c r="O330" s="141" t="n">
        <f aca="false">C330*(Estacas!P330+Estacas!P331)/2</f>
        <v>406.4</v>
      </c>
      <c r="P330" s="141" t="n">
        <f aca="false">R330*Parâmetros!$C$11</f>
        <v>0</v>
      </c>
      <c r="Q330" s="141" t="n">
        <f aca="false">R330*Parâmetros!$C$12</f>
        <v>0</v>
      </c>
      <c r="R330" s="141" t="n">
        <f aca="false">C330*(Estacas!Q330+Estacas!Q331)/2</f>
        <v>0</v>
      </c>
      <c r="S330" s="141" t="n">
        <f aca="false">IF(LEFT(E330,3)="T09",C330*Parâmetros!$D$13*Parâmetros!$C$13,0)</f>
        <v>0</v>
      </c>
    </row>
    <row r="331" customFormat="false" ht="15" hidden="false" customHeight="false" outlineLevel="0" collapsed="false">
      <c r="A331" s="138" t="str">
        <f aca="false">Estacas!A331</f>
        <v>329+0,00</v>
      </c>
      <c r="B331" s="138" t="str">
        <f aca="false">Estacas!A332</f>
        <v>330+0,00</v>
      </c>
      <c r="C331" s="144" t="n">
        <f aca="false">Estacas!C332-Estacas!C331</f>
        <v>20</v>
      </c>
      <c r="D331" s="138" t="s">
        <v>1570</v>
      </c>
      <c r="E331" s="138" t="s">
        <v>1571</v>
      </c>
      <c r="F331" s="141" t="n">
        <f aca="false">Estacas!F331</f>
        <v>18.4</v>
      </c>
      <c r="G331" s="141" t="n">
        <f aca="false">Estacas!F332</f>
        <v>18.4</v>
      </c>
      <c r="H331" s="141" t="n">
        <f aca="false">C331*(Estacas!K331+Estacas!K332)/2</f>
        <v>18.45</v>
      </c>
      <c r="I331" s="141" t="n">
        <f aca="false">H331*Parâmetros!$C$14</f>
        <v>44.28</v>
      </c>
      <c r="J331" s="141" t="n">
        <f aca="false">C331*(Estacas!L331+Estacas!L332)/2</f>
        <v>60.032</v>
      </c>
      <c r="K331" s="141" t="n">
        <f aca="false">C331*(Estacas!M331+Estacas!M332)/2</f>
        <v>77.28</v>
      </c>
      <c r="L331" s="141" t="n">
        <f aca="false">C331*(Estacas!N331+Estacas!N332)/2</f>
        <v>120.12</v>
      </c>
      <c r="M331" s="141" t="n">
        <f aca="false">C331*(Estacas!O331+Estacas!O332)/2</f>
        <v>372</v>
      </c>
      <c r="N331" s="141" t="n">
        <f aca="false">C331*(Estacas!O331+Estacas!O332)/2</f>
        <v>372</v>
      </c>
      <c r="O331" s="141" t="n">
        <f aca="false">C331*(Estacas!P331+Estacas!P332)/2</f>
        <v>406.4</v>
      </c>
      <c r="P331" s="141" t="n">
        <f aca="false">R331*Parâmetros!$C$11</f>
        <v>0</v>
      </c>
      <c r="Q331" s="141" t="n">
        <f aca="false">R331*Parâmetros!$C$12</f>
        <v>0</v>
      </c>
      <c r="R331" s="141" t="n">
        <f aca="false">C331*(Estacas!Q331+Estacas!Q332)/2</f>
        <v>0</v>
      </c>
      <c r="S331" s="141" t="n">
        <f aca="false">IF(LEFT(E331,3)="T09",C331*Parâmetros!$D$13*Parâmetros!$C$13,0)</f>
        <v>0</v>
      </c>
    </row>
    <row r="332" customFormat="false" ht="15" hidden="false" customHeight="false" outlineLevel="0" collapsed="false">
      <c r="A332" s="138" t="str">
        <f aca="false">Estacas!A332</f>
        <v>330+0,00</v>
      </c>
      <c r="B332" s="138" t="str">
        <f aca="false">Estacas!A333</f>
        <v>331+0,00</v>
      </c>
      <c r="C332" s="144" t="n">
        <f aca="false">Estacas!C333-Estacas!C332</f>
        <v>20</v>
      </c>
      <c r="D332" s="138" t="s">
        <v>1570</v>
      </c>
      <c r="E332" s="138" t="s">
        <v>1571</v>
      </c>
      <c r="F332" s="141" t="n">
        <f aca="false">Estacas!F332</f>
        <v>18.4</v>
      </c>
      <c r="G332" s="141" t="n">
        <f aca="false">Estacas!F333</f>
        <v>18.2</v>
      </c>
      <c r="H332" s="141" t="n">
        <f aca="false">C332*(Estacas!K332+Estacas!K333)/2</f>
        <v>18.35</v>
      </c>
      <c r="I332" s="141" t="n">
        <f aca="false">H332*Parâmetros!$C$14</f>
        <v>44.04</v>
      </c>
      <c r="J332" s="141" t="n">
        <f aca="false">C332*(Estacas!L332+Estacas!L333)/2</f>
        <v>59.712</v>
      </c>
      <c r="K332" s="141" t="n">
        <f aca="false">C332*(Estacas!M332+Estacas!M333)/2</f>
        <v>76.88</v>
      </c>
      <c r="L332" s="141" t="n">
        <f aca="false">C332*(Estacas!N332+Estacas!N333)/2</f>
        <v>119.52</v>
      </c>
      <c r="M332" s="141" t="n">
        <f aca="false">C332*(Estacas!O332+Estacas!O333)/2</f>
        <v>370</v>
      </c>
      <c r="N332" s="141" t="n">
        <f aca="false">C332*(Estacas!O332+Estacas!O333)/2</f>
        <v>370</v>
      </c>
      <c r="O332" s="141" t="n">
        <f aca="false">C332*(Estacas!P332+Estacas!P333)/2</f>
        <v>404.4</v>
      </c>
      <c r="P332" s="141" t="n">
        <f aca="false">R332*Parâmetros!$C$11</f>
        <v>0</v>
      </c>
      <c r="Q332" s="141" t="n">
        <f aca="false">R332*Parâmetros!$C$12</f>
        <v>0</v>
      </c>
      <c r="R332" s="141" t="n">
        <f aca="false">C332*(Estacas!Q332+Estacas!Q333)/2</f>
        <v>0</v>
      </c>
      <c r="S332" s="141" t="n">
        <f aca="false">IF(LEFT(E332,3)="T09",C332*Parâmetros!$D$13*Parâmetros!$C$13,0)</f>
        <v>0</v>
      </c>
    </row>
    <row r="333" customFormat="false" ht="15" hidden="false" customHeight="false" outlineLevel="0" collapsed="false">
      <c r="A333" s="138" t="str">
        <f aca="false">Estacas!A333</f>
        <v>331+0,00</v>
      </c>
      <c r="B333" s="138" t="str">
        <f aca="false">Estacas!A334</f>
        <v>332+0,00</v>
      </c>
      <c r="C333" s="144" t="n">
        <f aca="false">Estacas!C334-Estacas!C333</f>
        <v>20</v>
      </c>
      <c r="D333" s="138" t="s">
        <v>1570</v>
      </c>
      <c r="E333" s="138" t="s">
        <v>1571</v>
      </c>
      <c r="F333" s="141" t="n">
        <f aca="false">Estacas!F333</f>
        <v>18.2</v>
      </c>
      <c r="G333" s="141" t="n">
        <f aca="false">Estacas!F334</f>
        <v>16.6</v>
      </c>
      <c r="H333" s="141" t="n">
        <f aca="false">C333*(Estacas!K333+Estacas!K334)/2</f>
        <v>17.45</v>
      </c>
      <c r="I333" s="141" t="n">
        <f aca="false">H333*Parâmetros!$C$14</f>
        <v>41.88</v>
      </c>
      <c r="J333" s="141" t="n">
        <f aca="false">C333*(Estacas!L333+Estacas!L334)/2</f>
        <v>56.832</v>
      </c>
      <c r="K333" s="141" t="n">
        <f aca="false">C333*(Estacas!M333+Estacas!M334)/2</f>
        <v>73.28</v>
      </c>
      <c r="L333" s="141" t="n">
        <f aca="false">C333*(Estacas!N333+Estacas!N334)/2</f>
        <v>114.12</v>
      </c>
      <c r="M333" s="141" t="n">
        <f aca="false">C333*(Estacas!O333+Estacas!O334)/2</f>
        <v>352</v>
      </c>
      <c r="N333" s="141" t="n">
        <f aca="false">C333*(Estacas!O333+Estacas!O334)/2</f>
        <v>352</v>
      </c>
      <c r="O333" s="141" t="n">
        <f aca="false">C333*(Estacas!P333+Estacas!P334)/2</f>
        <v>386.4</v>
      </c>
      <c r="P333" s="141" t="n">
        <f aca="false">R333*Parâmetros!$C$11</f>
        <v>0</v>
      </c>
      <c r="Q333" s="141" t="n">
        <f aca="false">R333*Parâmetros!$C$12</f>
        <v>0</v>
      </c>
      <c r="R333" s="141" t="n">
        <f aca="false">C333*(Estacas!Q333+Estacas!Q334)/2</f>
        <v>0</v>
      </c>
      <c r="S333" s="141" t="n">
        <f aca="false">IF(LEFT(E333,3)="T09",C333*Parâmetros!$D$13*Parâmetros!$C$13,0)</f>
        <v>0</v>
      </c>
    </row>
    <row r="334" customFormat="false" ht="15" hidden="false" customHeight="false" outlineLevel="0" collapsed="false">
      <c r="A334" s="138" t="str">
        <f aca="false">Estacas!A334</f>
        <v>332+0,00</v>
      </c>
      <c r="B334" s="138" t="str">
        <f aca="false">Estacas!A335</f>
        <v>333+0,00</v>
      </c>
      <c r="C334" s="144" t="n">
        <f aca="false">Estacas!C335-Estacas!C334</f>
        <v>20</v>
      </c>
      <c r="D334" s="138" t="s">
        <v>1574</v>
      </c>
      <c r="E334" s="138" t="s">
        <v>1566</v>
      </c>
      <c r="F334" s="141" t="n">
        <f aca="false">Estacas!F334</f>
        <v>16.6</v>
      </c>
      <c r="G334" s="141" t="n">
        <f aca="false">Estacas!F335</f>
        <v>13.5</v>
      </c>
      <c r="H334" s="141" t="n">
        <f aca="false">C334*(Estacas!K334+Estacas!K335)/2</f>
        <v>15.1</v>
      </c>
      <c r="I334" s="141" t="n">
        <f aca="false">H334*Parâmetros!$C$14</f>
        <v>36.24</v>
      </c>
      <c r="J334" s="141" t="n">
        <f aca="false">C334*(Estacas!L334+Estacas!L335)/2</f>
        <v>49.312</v>
      </c>
      <c r="K334" s="141" t="n">
        <f aca="false">C334*(Estacas!M334+Estacas!M335)/2</f>
        <v>63.88</v>
      </c>
      <c r="L334" s="141" t="n">
        <f aca="false">C334*(Estacas!N334+Estacas!N335)/2</f>
        <v>100.02</v>
      </c>
      <c r="M334" s="141" t="n">
        <f aca="false">C334*(Estacas!O334+Estacas!O335)/2</f>
        <v>305</v>
      </c>
      <c r="N334" s="141" t="n">
        <f aca="false">C334*(Estacas!O334+Estacas!O335)/2</f>
        <v>305</v>
      </c>
      <c r="O334" s="141" t="n">
        <f aca="false">C334*(Estacas!P334+Estacas!P335)/2</f>
        <v>339.4</v>
      </c>
      <c r="P334" s="141" t="n">
        <f aca="false">R334*Parâmetros!$C$11</f>
        <v>0</v>
      </c>
      <c r="Q334" s="141" t="n">
        <f aca="false">R334*Parâmetros!$C$12</f>
        <v>0</v>
      </c>
      <c r="R334" s="141" t="n">
        <f aca="false">C334*(Estacas!Q334+Estacas!Q335)/2</f>
        <v>0</v>
      </c>
      <c r="S334" s="141" t="n">
        <f aca="false">IF(LEFT(E334,3)="T09",C334*Parâmetros!$D$13*Parâmetros!$C$13,0)</f>
        <v>0</v>
      </c>
    </row>
    <row r="335" customFormat="false" ht="15" hidden="false" customHeight="false" outlineLevel="0" collapsed="false">
      <c r="A335" s="138" t="str">
        <f aca="false">Estacas!A335</f>
        <v>333+0,00</v>
      </c>
      <c r="B335" s="138" t="str">
        <f aca="false">Estacas!A336</f>
        <v>334+0,00</v>
      </c>
      <c r="C335" s="144" t="n">
        <f aca="false">Estacas!C336-Estacas!C335</f>
        <v>20</v>
      </c>
      <c r="D335" s="138" t="s">
        <v>1574</v>
      </c>
      <c r="E335" s="138" t="s">
        <v>1566</v>
      </c>
      <c r="F335" s="141" t="n">
        <f aca="false">Estacas!F335</f>
        <v>13.5</v>
      </c>
      <c r="G335" s="141" t="n">
        <f aca="false">Estacas!F336</f>
        <v>12.3</v>
      </c>
      <c r="H335" s="141" t="n">
        <f aca="false">C335*(Estacas!K335+Estacas!K336)/2</f>
        <v>12.95</v>
      </c>
      <c r="I335" s="141" t="n">
        <f aca="false">H335*Parâmetros!$C$14</f>
        <v>31.08</v>
      </c>
      <c r="J335" s="141" t="n">
        <f aca="false">C335*(Estacas!L335+Estacas!L336)/2</f>
        <v>42.432</v>
      </c>
      <c r="K335" s="141" t="n">
        <f aca="false">C335*(Estacas!M335+Estacas!M336)/2</f>
        <v>55.28</v>
      </c>
      <c r="L335" s="141" t="n">
        <f aca="false">C335*(Estacas!N335+Estacas!N336)/2</f>
        <v>87.12</v>
      </c>
      <c r="M335" s="141" t="n">
        <f aca="false">C335*(Estacas!O335+Estacas!O336)/2</f>
        <v>262</v>
      </c>
      <c r="N335" s="141" t="n">
        <f aca="false">C335*(Estacas!O335+Estacas!O336)/2</f>
        <v>262</v>
      </c>
      <c r="O335" s="141" t="n">
        <f aca="false">C335*(Estacas!P335+Estacas!P336)/2</f>
        <v>296.4</v>
      </c>
      <c r="P335" s="141" t="n">
        <f aca="false">R335*Parâmetros!$C$11</f>
        <v>0</v>
      </c>
      <c r="Q335" s="141" t="n">
        <f aca="false">R335*Parâmetros!$C$12</f>
        <v>0</v>
      </c>
      <c r="R335" s="141" t="n">
        <f aca="false">C335*(Estacas!Q335+Estacas!Q336)/2</f>
        <v>0</v>
      </c>
      <c r="S335" s="141" t="n">
        <f aca="false">IF(LEFT(E335,3)="T09",C335*Parâmetros!$D$13*Parâmetros!$C$13,0)</f>
        <v>0</v>
      </c>
    </row>
    <row r="336" customFormat="false" ht="15" hidden="false" customHeight="false" outlineLevel="0" collapsed="false">
      <c r="A336" s="138" t="str">
        <f aca="false">Estacas!A336</f>
        <v>334+0,00</v>
      </c>
      <c r="B336" s="138" t="str">
        <f aca="false">Estacas!A337</f>
        <v>335+0,00</v>
      </c>
      <c r="C336" s="144" t="n">
        <f aca="false">Estacas!C337-Estacas!C336</f>
        <v>20</v>
      </c>
      <c r="D336" s="138" t="s">
        <v>1574</v>
      </c>
      <c r="E336" s="138" t="s">
        <v>1566</v>
      </c>
      <c r="F336" s="141" t="n">
        <f aca="false">Estacas!F336</f>
        <v>12.3</v>
      </c>
      <c r="G336" s="141" t="n">
        <f aca="false">Estacas!F337</f>
        <v>11.1</v>
      </c>
      <c r="H336" s="141" t="n">
        <f aca="false">C336*(Estacas!K336+Estacas!K337)/2</f>
        <v>11.75</v>
      </c>
      <c r="I336" s="141" t="n">
        <f aca="false">H336*Parâmetros!$C$14</f>
        <v>28.2</v>
      </c>
      <c r="J336" s="141" t="n">
        <f aca="false">C336*(Estacas!L336+Estacas!L337)/2</f>
        <v>38.592</v>
      </c>
      <c r="K336" s="141" t="n">
        <f aca="false">C336*(Estacas!M336+Estacas!M337)/2</f>
        <v>50.48</v>
      </c>
      <c r="L336" s="141" t="n">
        <f aca="false">C336*(Estacas!N336+Estacas!N337)/2</f>
        <v>79.92</v>
      </c>
      <c r="M336" s="141" t="n">
        <f aca="false">C336*(Estacas!O336+Estacas!O337)/2</f>
        <v>238</v>
      </c>
      <c r="N336" s="141" t="n">
        <f aca="false">C336*(Estacas!O336+Estacas!O337)/2</f>
        <v>238</v>
      </c>
      <c r="O336" s="141" t="n">
        <f aca="false">C336*(Estacas!P336+Estacas!P337)/2</f>
        <v>272.4</v>
      </c>
      <c r="P336" s="141" t="n">
        <f aca="false">R336*Parâmetros!$C$11</f>
        <v>0</v>
      </c>
      <c r="Q336" s="141" t="n">
        <f aca="false">R336*Parâmetros!$C$12</f>
        <v>0</v>
      </c>
      <c r="R336" s="141" t="n">
        <f aca="false">C336*(Estacas!Q336+Estacas!Q337)/2</f>
        <v>0</v>
      </c>
      <c r="S336" s="141" t="n">
        <f aca="false">IF(LEFT(E336,3)="T09",C336*Parâmetros!$D$13*Parâmetros!$C$13,0)</f>
        <v>0</v>
      </c>
    </row>
    <row r="337" customFormat="false" ht="15" hidden="false" customHeight="false" outlineLevel="0" collapsed="false">
      <c r="A337" s="138" t="str">
        <f aca="false">Estacas!A337</f>
        <v>335+0,00</v>
      </c>
      <c r="B337" s="138" t="str">
        <f aca="false">Estacas!A338</f>
        <v>336+0,00</v>
      </c>
      <c r="C337" s="144" t="n">
        <f aca="false">Estacas!C338-Estacas!C337</f>
        <v>20</v>
      </c>
      <c r="D337" s="138" t="s">
        <v>1574</v>
      </c>
      <c r="E337" s="138" t="s">
        <v>1566</v>
      </c>
      <c r="F337" s="141" t="n">
        <f aca="false">Estacas!F337</f>
        <v>11.1</v>
      </c>
      <c r="G337" s="141" t="n">
        <f aca="false">Estacas!F338</f>
        <v>11</v>
      </c>
      <c r="H337" s="141" t="n">
        <f aca="false">C337*(Estacas!K337+Estacas!K338)/2</f>
        <v>11.1</v>
      </c>
      <c r="I337" s="141" t="n">
        <f aca="false">H337*Parâmetros!$C$14</f>
        <v>26.64</v>
      </c>
      <c r="J337" s="141" t="n">
        <f aca="false">C337*(Estacas!L337+Estacas!L338)/2</f>
        <v>36.512</v>
      </c>
      <c r="K337" s="141" t="n">
        <f aca="false">C337*(Estacas!M337+Estacas!M338)/2</f>
        <v>47.88</v>
      </c>
      <c r="L337" s="141" t="n">
        <f aca="false">C337*(Estacas!N337+Estacas!N338)/2</f>
        <v>76.02</v>
      </c>
      <c r="M337" s="141" t="n">
        <f aca="false">C337*(Estacas!O337+Estacas!O338)/2</f>
        <v>225</v>
      </c>
      <c r="N337" s="141" t="n">
        <f aca="false">C337*(Estacas!O337+Estacas!O338)/2</f>
        <v>225</v>
      </c>
      <c r="O337" s="141" t="n">
        <f aca="false">C337*(Estacas!P337+Estacas!P338)/2</f>
        <v>259.4</v>
      </c>
      <c r="P337" s="141" t="n">
        <f aca="false">R337*Parâmetros!$C$11</f>
        <v>0</v>
      </c>
      <c r="Q337" s="141" t="n">
        <f aca="false">R337*Parâmetros!$C$12</f>
        <v>0</v>
      </c>
      <c r="R337" s="141" t="n">
        <f aca="false">C337*(Estacas!Q337+Estacas!Q338)/2</f>
        <v>0</v>
      </c>
      <c r="S337" s="141" t="n">
        <f aca="false">IF(LEFT(E337,3)="T09",C337*Parâmetros!$D$13*Parâmetros!$C$13,0)</f>
        <v>0</v>
      </c>
    </row>
    <row r="338" customFormat="false" ht="15" hidden="false" customHeight="false" outlineLevel="0" collapsed="false">
      <c r="A338" s="138" t="str">
        <f aca="false">Estacas!A338</f>
        <v>336+0,00</v>
      </c>
      <c r="B338" s="138" t="str">
        <f aca="false">Estacas!A339</f>
        <v>337+0,00</v>
      </c>
      <c r="C338" s="144" t="n">
        <f aca="false">Estacas!C339-Estacas!C338</f>
        <v>20</v>
      </c>
      <c r="D338" s="138" t="s">
        <v>1574</v>
      </c>
      <c r="E338" s="138" t="s">
        <v>1566</v>
      </c>
      <c r="F338" s="141" t="n">
        <f aca="false">Estacas!F338</f>
        <v>11</v>
      </c>
      <c r="G338" s="141" t="n">
        <f aca="false">Estacas!F339</f>
        <v>11</v>
      </c>
      <c r="H338" s="141" t="n">
        <f aca="false">C338*(Estacas!K338+Estacas!K339)/2</f>
        <v>11.05</v>
      </c>
      <c r="I338" s="141" t="n">
        <f aca="false">H338*Parâmetros!$C$14</f>
        <v>26.52</v>
      </c>
      <c r="J338" s="141" t="n">
        <f aca="false">C338*(Estacas!L338+Estacas!L339)/2</f>
        <v>36.352</v>
      </c>
      <c r="K338" s="141" t="n">
        <f aca="false">C338*(Estacas!M338+Estacas!M339)/2</f>
        <v>47.68</v>
      </c>
      <c r="L338" s="141" t="n">
        <f aca="false">C338*(Estacas!N338+Estacas!N339)/2</f>
        <v>75.72</v>
      </c>
      <c r="M338" s="141" t="n">
        <f aca="false">C338*(Estacas!O338+Estacas!O339)/2</f>
        <v>224</v>
      </c>
      <c r="N338" s="141" t="n">
        <f aca="false">C338*(Estacas!O338+Estacas!O339)/2</f>
        <v>224</v>
      </c>
      <c r="O338" s="141" t="n">
        <f aca="false">C338*(Estacas!P338+Estacas!P339)/2</f>
        <v>258.4</v>
      </c>
      <c r="P338" s="141" t="n">
        <f aca="false">R338*Parâmetros!$C$11</f>
        <v>0</v>
      </c>
      <c r="Q338" s="141" t="n">
        <f aca="false">R338*Parâmetros!$C$12</f>
        <v>0</v>
      </c>
      <c r="R338" s="141" t="n">
        <f aca="false">C338*(Estacas!Q338+Estacas!Q339)/2</f>
        <v>0</v>
      </c>
      <c r="S338" s="141" t="n">
        <f aca="false">IF(LEFT(E338,3)="T09",C338*Parâmetros!$D$13*Parâmetros!$C$13,0)</f>
        <v>0</v>
      </c>
    </row>
    <row r="339" customFormat="false" ht="15" hidden="false" customHeight="false" outlineLevel="0" collapsed="false">
      <c r="A339" s="138" t="str">
        <f aca="false">Estacas!A339</f>
        <v>337+0,00</v>
      </c>
      <c r="B339" s="138" t="str">
        <f aca="false">Estacas!A340</f>
        <v>338+0,00</v>
      </c>
      <c r="C339" s="144" t="n">
        <f aca="false">Estacas!C340-Estacas!C339</f>
        <v>20</v>
      </c>
      <c r="D339" s="138" t="s">
        <v>1574</v>
      </c>
      <c r="E339" s="138" t="s">
        <v>1566</v>
      </c>
      <c r="F339" s="141" t="n">
        <f aca="false">Estacas!F339</f>
        <v>11</v>
      </c>
      <c r="G339" s="141" t="n">
        <f aca="false">Estacas!F340</f>
        <v>11</v>
      </c>
      <c r="H339" s="141" t="n">
        <f aca="false">C339*(Estacas!K339+Estacas!K340)/2</f>
        <v>11.05</v>
      </c>
      <c r="I339" s="141" t="n">
        <f aca="false">H339*Parâmetros!$C$14</f>
        <v>26.52</v>
      </c>
      <c r="J339" s="141" t="n">
        <f aca="false">C339*(Estacas!L339+Estacas!L340)/2</f>
        <v>36.352</v>
      </c>
      <c r="K339" s="141" t="n">
        <f aca="false">C339*(Estacas!M339+Estacas!M340)/2</f>
        <v>47.68</v>
      </c>
      <c r="L339" s="141" t="n">
        <f aca="false">C339*(Estacas!N339+Estacas!N340)/2</f>
        <v>75.72</v>
      </c>
      <c r="M339" s="141" t="n">
        <f aca="false">C339*(Estacas!O339+Estacas!O340)/2</f>
        <v>224</v>
      </c>
      <c r="N339" s="141" t="n">
        <f aca="false">C339*(Estacas!O339+Estacas!O340)/2</f>
        <v>224</v>
      </c>
      <c r="O339" s="141" t="n">
        <f aca="false">C339*(Estacas!P339+Estacas!P340)/2</f>
        <v>258.4</v>
      </c>
      <c r="P339" s="141" t="n">
        <f aca="false">R339*Parâmetros!$C$11</f>
        <v>0</v>
      </c>
      <c r="Q339" s="141" t="n">
        <f aca="false">R339*Parâmetros!$C$12</f>
        <v>0</v>
      </c>
      <c r="R339" s="141" t="n">
        <f aca="false">C339*(Estacas!Q339+Estacas!Q340)/2</f>
        <v>0</v>
      </c>
      <c r="S339" s="141" t="n">
        <f aca="false">IF(LEFT(E339,3)="T09",C339*Parâmetros!$D$13*Parâmetros!$C$13,0)</f>
        <v>0</v>
      </c>
    </row>
    <row r="340" customFormat="false" ht="15" hidden="false" customHeight="false" outlineLevel="0" collapsed="false">
      <c r="A340" s="138" t="str">
        <f aca="false">Estacas!A340</f>
        <v>338+0,00</v>
      </c>
      <c r="B340" s="138" t="str">
        <f aca="false">Estacas!A341</f>
        <v>339+0,00</v>
      </c>
      <c r="C340" s="144" t="n">
        <f aca="false">Estacas!C341-Estacas!C340</f>
        <v>20</v>
      </c>
      <c r="D340" s="138" t="s">
        <v>1574</v>
      </c>
      <c r="E340" s="138" t="s">
        <v>1566</v>
      </c>
      <c r="F340" s="141" t="n">
        <f aca="false">Estacas!F340</f>
        <v>11</v>
      </c>
      <c r="G340" s="141" t="n">
        <f aca="false">Estacas!F341</f>
        <v>11</v>
      </c>
      <c r="H340" s="141" t="n">
        <f aca="false">C340*(Estacas!K340+Estacas!K341)/2</f>
        <v>11.05</v>
      </c>
      <c r="I340" s="141" t="n">
        <f aca="false">H340*Parâmetros!$C$14</f>
        <v>26.52</v>
      </c>
      <c r="J340" s="141" t="n">
        <f aca="false">C340*(Estacas!L340+Estacas!L341)/2</f>
        <v>36.352</v>
      </c>
      <c r="K340" s="141" t="n">
        <f aca="false">C340*(Estacas!M340+Estacas!M341)/2</f>
        <v>47.68</v>
      </c>
      <c r="L340" s="141" t="n">
        <f aca="false">C340*(Estacas!N340+Estacas!N341)/2</f>
        <v>75.72</v>
      </c>
      <c r="M340" s="141" t="n">
        <f aca="false">C340*(Estacas!O340+Estacas!O341)/2</f>
        <v>224</v>
      </c>
      <c r="N340" s="141" t="n">
        <f aca="false">C340*(Estacas!O340+Estacas!O341)/2</f>
        <v>224</v>
      </c>
      <c r="O340" s="141" t="n">
        <f aca="false">C340*(Estacas!P340+Estacas!P341)/2</f>
        <v>258.4</v>
      </c>
      <c r="P340" s="141" t="n">
        <f aca="false">R340*Parâmetros!$C$11</f>
        <v>0</v>
      </c>
      <c r="Q340" s="141" t="n">
        <f aca="false">R340*Parâmetros!$C$12</f>
        <v>0</v>
      </c>
      <c r="R340" s="141" t="n">
        <f aca="false">C340*(Estacas!Q340+Estacas!Q341)/2</f>
        <v>0</v>
      </c>
      <c r="S340" s="141" t="n">
        <f aca="false">IF(LEFT(E340,3)="T09",C340*Parâmetros!$D$13*Parâmetros!$C$13,0)</f>
        <v>0</v>
      </c>
    </row>
    <row r="341" customFormat="false" ht="15" hidden="false" customHeight="false" outlineLevel="0" collapsed="false">
      <c r="A341" s="138" t="str">
        <f aca="false">Estacas!A341</f>
        <v>339+0,00</v>
      </c>
      <c r="B341" s="138" t="str">
        <f aca="false">Estacas!A342</f>
        <v>340+0,00</v>
      </c>
      <c r="C341" s="144" t="n">
        <f aca="false">Estacas!C342-Estacas!C341</f>
        <v>20</v>
      </c>
      <c r="D341" s="138" t="s">
        <v>1574</v>
      </c>
      <c r="E341" s="138" t="s">
        <v>1566</v>
      </c>
      <c r="F341" s="141" t="n">
        <f aca="false">Estacas!F341</f>
        <v>11</v>
      </c>
      <c r="G341" s="141" t="n">
        <f aca="false">Estacas!F342</f>
        <v>12.6</v>
      </c>
      <c r="H341" s="141" t="n">
        <f aca="false">C341*(Estacas!K341+Estacas!K342)/2</f>
        <v>11.85</v>
      </c>
      <c r="I341" s="141" t="n">
        <f aca="false">H341*Parâmetros!$C$14</f>
        <v>28.44</v>
      </c>
      <c r="J341" s="141" t="n">
        <f aca="false">C341*(Estacas!L341+Estacas!L342)/2</f>
        <v>38.912</v>
      </c>
      <c r="K341" s="141" t="n">
        <f aca="false">C341*(Estacas!M341+Estacas!M342)/2</f>
        <v>50.88</v>
      </c>
      <c r="L341" s="141" t="n">
        <f aca="false">C341*(Estacas!N341+Estacas!N342)/2</f>
        <v>80.52</v>
      </c>
      <c r="M341" s="141" t="n">
        <f aca="false">C341*(Estacas!O341+Estacas!O342)/2</f>
        <v>240</v>
      </c>
      <c r="N341" s="141" t="n">
        <f aca="false">C341*(Estacas!O341+Estacas!O342)/2</f>
        <v>240</v>
      </c>
      <c r="O341" s="141" t="n">
        <f aca="false">C341*(Estacas!P341+Estacas!P342)/2</f>
        <v>274.4</v>
      </c>
      <c r="P341" s="141" t="n">
        <f aca="false">R341*Parâmetros!$C$11</f>
        <v>0</v>
      </c>
      <c r="Q341" s="141" t="n">
        <f aca="false">R341*Parâmetros!$C$12</f>
        <v>0</v>
      </c>
      <c r="R341" s="141" t="n">
        <f aca="false">C341*(Estacas!Q341+Estacas!Q342)/2</f>
        <v>0</v>
      </c>
      <c r="S341" s="141" t="n">
        <f aca="false">IF(LEFT(E341,3)="T09",C341*Parâmetros!$D$13*Parâmetros!$C$13,0)</f>
        <v>0</v>
      </c>
    </row>
    <row r="342" customFormat="false" ht="15" hidden="false" customHeight="false" outlineLevel="0" collapsed="false">
      <c r="A342" s="138" t="str">
        <f aca="false">Estacas!A342</f>
        <v>340+0,00</v>
      </c>
      <c r="B342" s="138" t="str">
        <f aca="false">Estacas!A343</f>
        <v>341+0,00</v>
      </c>
      <c r="C342" s="144" t="n">
        <f aca="false">Estacas!C343-Estacas!C342</f>
        <v>20</v>
      </c>
      <c r="D342" s="138" t="s">
        <v>1574</v>
      </c>
      <c r="E342" s="138" t="s">
        <v>1566</v>
      </c>
      <c r="F342" s="141" t="n">
        <f aca="false">Estacas!F342</f>
        <v>12.6</v>
      </c>
      <c r="G342" s="141" t="n">
        <f aca="false">Estacas!F343</f>
        <v>11</v>
      </c>
      <c r="H342" s="141" t="n">
        <f aca="false">C342*(Estacas!K342+Estacas!K343)/2</f>
        <v>11.85</v>
      </c>
      <c r="I342" s="141" t="n">
        <f aca="false">H342*Parâmetros!$C$14</f>
        <v>28.44</v>
      </c>
      <c r="J342" s="141" t="n">
        <f aca="false">C342*(Estacas!L342+Estacas!L343)/2</f>
        <v>38.912</v>
      </c>
      <c r="K342" s="141" t="n">
        <f aca="false">C342*(Estacas!M342+Estacas!M343)/2</f>
        <v>50.88</v>
      </c>
      <c r="L342" s="141" t="n">
        <f aca="false">C342*(Estacas!N342+Estacas!N343)/2</f>
        <v>80.52</v>
      </c>
      <c r="M342" s="141" t="n">
        <f aca="false">C342*(Estacas!O342+Estacas!O343)/2</f>
        <v>240</v>
      </c>
      <c r="N342" s="141" t="n">
        <f aca="false">C342*(Estacas!O342+Estacas!O343)/2</f>
        <v>240</v>
      </c>
      <c r="O342" s="141" t="n">
        <f aca="false">C342*(Estacas!P342+Estacas!P343)/2</f>
        <v>274.4</v>
      </c>
      <c r="P342" s="141" t="n">
        <f aca="false">R342*Parâmetros!$C$11</f>
        <v>0</v>
      </c>
      <c r="Q342" s="141" t="n">
        <f aca="false">R342*Parâmetros!$C$12</f>
        <v>0</v>
      </c>
      <c r="R342" s="141" t="n">
        <f aca="false">C342*(Estacas!Q342+Estacas!Q343)/2</f>
        <v>0</v>
      </c>
      <c r="S342" s="141" t="n">
        <f aca="false">IF(LEFT(E342,3)="T09",C342*Parâmetros!$D$13*Parâmetros!$C$13,0)</f>
        <v>0</v>
      </c>
    </row>
    <row r="343" customFormat="false" ht="15" hidden="false" customHeight="false" outlineLevel="0" collapsed="false">
      <c r="A343" s="138" t="str">
        <f aca="false">Estacas!A343</f>
        <v>341+0,00</v>
      </c>
      <c r="B343" s="138" t="str">
        <f aca="false">Estacas!A344</f>
        <v>342+0,00</v>
      </c>
      <c r="C343" s="144" t="n">
        <f aca="false">Estacas!C344-Estacas!C343</f>
        <v>20</v>
      </c>
      <c r="D343" s="138" t="s">
        <v>1574</v>
      </c>
      <c r="E343" s="138" t="s">
        <v>1566</v>
      </c>
      <c r="F343" s="141" t="n">
        <f aca="false">Estacas!F343</f>
        <v>11</v>
      </c>
      <c r="G343" s="141" t="n">
        <f aca="false">Estacas!F344</f>
        <v>11</v>
      </c>
      <c r="H343" s="141" t="n">
        <f aca="false">C343*(Estacas!K343+Estacas!K344)/2</f>
        <v>11.05</v>
      </c>
      <c r="I343" s="141" t="n">
        <f aca="false">H343*Parâmetros!$C$14</f>
        <v>26.52</v>
      </c>
      <c r="J343" s="141" t="n">
        <f aca="false">C343*(Estacas!L343+Estacas!L344)/2</f>
        <v>36.352</v>
      </c>
      <c r="K343" s="141" t="n">
        <f aca="false">C343*(Estacas!M343+Estacas!M344)/2</f>
        <v>47.68</v>
      </c>
      <c r="L343" s="141" t="n">
        <f aca="false">C343*(Estacas!N343+Estacas!N344)/2</f>
        <v>75.72</v>
      </c>
      <c r="M343" s="141" t="n">
        <f aca="false">C343*(Estacas!O343+Estacas!O344)/2</f>
        <v>224</v>
      </c>
      <c r="N343" s="141" t="n">
        <f aca="false">C343*(Estacas!O343+Estacas!O344)/2</f>
        <v>224</v>
      </c>
      <c r="O343" s="141" t="n">
        <f aca="false">C343*(Estacas!P343+Estacas!P344)/2</f>
        <v>258.4</v>
      </c>
      <c r="P343" s="141" t="n">
        <f aca="false">R343*Parâmetros!$C$11</f>
        <v>0</v>
      </c>
      <c r="Q343" s="141" t="n">
        <f aca="false">R343*Parâmetros!$C$12</f>
        <v>0</v>
      </c>
      <c r="R343" s="141" t="n">
        <f aca="false">C343*(Estacas!Q343+Estacas!Q344)/2</f>
        <v>0</v>
      </c>
      <c r="S343" s="141" t="n">
        <f aca="false">IF(LEFT(E343,3)="T09",C343*Parâmetros!$D$13*Parâmetros!$C$13,0)</f>
        <v>0</v>
      </c>
    </row>
    <row r="344" customFormat="false" ht="15" hidden="false" customHeight="false" outlineLevel="0" collapsed="false">
      <c r="A344" s="138" t="str">
        <f aca="false">Estacas!A344</f>
        <v>342+0,00</v>
      </c>
      <c r="B344" s="138" t="str">
        <f aca="false">Estacas!A345</f>
        <v>343+0,00</v>
      </c>
      <c r="C344" s="144" t="n">
        <f aca="false">Estacas!C345-Estacas!C344</f>
        <v>20</v>
      </c>
      <c r="D344" s="138" t="s">
        <v>1574</v>
      </c>
      <c r="E344" s="138" t="s">
        <v>1566</v>
      </c>
      <c r="F344" s="141" t="n">
        <f aca="false">Estacas!F344</f>
        <v>11</v>
      </c>
      <c r="G344" s="141" t="n">
        <f aca="false">Estacas!F345</f>
        <v>11</v>
      </c>
      <c r="H344" s="141" t="n">
        <f aca="false">C344*(Estacas!K344+Estacas!K345)/2</f>
        <v>11.05</v>
      </c>
      <c r="I344" s="141" t="n">
        <f aca="false">H344*Parâmetros!$C$14</f>
        <v>26.52</v>
      </c>
      <c r="J344" s="141" t="n">
        <f aca="false">C344*(Estacas!L344+Estacas!L345)/2</f>
        <v>36.352</v>
      </c>
      <c r="K344" s="141" t="n">
        <f aca="false">C344*(Estacas!M344+Estacas!M345)/2</f>
        <v>47.68</v>
      </c>
      <c r="L344" s="141" t="n">
        <f aca="false">C344*(Estacas!N344+Estacas!N345)/2</f>
        <v>75.72</v>
      </c>
      <c r="M344" s="141" t="n">
        <f aca="false">C344*(Estacas!O344+Estacas!O345)/2</f>
        <v>224</v>
      </c>
      <c r="N344" s="141" t="n">
        <f aca="false">C344*(Estacas!O344+Estacas!O345)/2</f>
        <v>224</v>
      </c>
      <c r="O344" s="141" t="n">
        <f aca="false">C344*(Estacas!P344+Estacas!P345)/2</f>
        <v>258.4</v>
      </c>
      <c r="P344" s="141" t="n">
        <f aca="false">R344*Parâmetros!$C$11</f>
        <v>0</v>
      </c>
      <c r="Q344" s="141" t="n">
        <f aca="false">R344*Parâmetros!$C$12</f>
        <v>0</v>
      </c>
      <c r="R344" s="141" t="n">
        <f aca="false">C344*(Estacas!Q344+Estacas!Q345)/2</f>
        <v>0</v>
      </c>
      <c r="S344" s="141" t="n">
        <f aca="false">IF(LEFT(E344,3)="T09",C344*Parâmetros!$D$13*Parâmetros!$C$13,0)</f>
        <v>0</v>
      </c>
    </row>
    <row r="345" customFormat="false" ht="15" hidden="false" customHeight="false" outlineLevel="0" collapsed="false">
      <c r="A345" s="138" t="str">
        <f aca="false">Estacas!A345</f>
        <v>343+0,00</v>
      </c>
      <c r="B345" s="138" t="str">
        <f aca="false">Estacas!A346</f>
        <v>344+0,00</v>
      </c>
      <c r="C345" s="144" t="n">
        <f aca="false">Estacas!C346-Estacas!C345</f>
        <v>20</v>
      </c>
      <c r="D345" s="138" t="s">
        <v>1574</v>
      </c>
      <c r="E345" s="138" t="s">
        <v>1566</v>
      </c>
      <c r="F345" s="141" t="n">
        <f aca="false">Estacas!F345</f>
        <v>11</v>
      </c>
      <c r="G345" s="141" t="n">
        <f aca="false">Estacas!F346</f>
        <v>11</v>
      </c>
      <c r="H345" s="141" t="n">
        <f aca="false">C345*(Estacas!K345+Estacas!K346)/2</f>
        <v>11.05</v>
      </c>
      <c r="I345" s="141" t="n">
        <f aca="false">H345*Parâmetros!$C$14</f>
        <v>26.52</v>
      </c>
      <c r="J345" s="141" t="n">
        <f aca="false">C345*(Estacas!L345+Estacas!L346)/2</f>
        <v>36.352</v>
      </c>
      <c r="K345" s="141" t="n">
        <f aca="false">C345*(Estacas!M345+Estacas!M346)/2</f>
        <v>47.68</v>
      </c>
      <c r="L345" s="141" t="n">
        <f aca="false">C345*(Estacas!N345+Estacas!N346)/2</f>
        <v>75.72</v>
      </c>
      <c r="M345" s="141" t="n">
        <f aca="false">C345*(Estacas!O345+Estacas!O346)/2</f>
        <v>224</v>
      </c>
      <c r="N345" s="141" t="n">
        <f aca="false">C345*(Estacas!O345+Estacas!O346)/2</f>
        <v>224</v>
      </c>
      <c r="O345" s="141" t="n">
        <f aca="false">C345*(Estacas!P345+Estacas!P346)/2</f>
        <v>258.4</v>
      </c>
      <c r="P345" s="141" t="n">
        <f aca="false">R345*Parâmetros!$C$11</f>
        <v>0</v>
      </c>
      <c r="Q345" s="141" t="n">
        <f aca="false">R345*Parâmetros!$C$12</f>
        <v>0</v>
      </c>
      <c r="R345" s="141" t="n">
        <f aca="false">C345*(Estacas!Q345+Estacas!Q346)/2</f>
        <v>0</v>
      </c>
      <c r="S345" s="141" t="n">
        <f aca="false">IF(LEFT(E345,3)="T09",C345*Parâmetros!$D$13*Parâmetros!$C$13,0)</f>
        <v>0</v>
      </c>
    </row>
    <row r="346" customFormat="false" ht="15" hidden="false" customHeight="false" outlineLevel="0" collapsed="false">
      <c r="A346" s="138" t="str">
        <f aca="false">Estacas!A346</f>
        <v>344+0,00</v>
      </c>
      <c r="B346" s="138" t="str">
        <f aca="false">Estacas!A347</f>
        <v>345+0,00</v>
      </c>
      <c r="C346" s="144" t="n">
        <f aca="false">Estacas!C347-Estacas!C346</f>
        <v>20</v>
      </c>
      <c r="D346" s="138" t="s">
        <v>1574</v>
      </c>
      <c r="E346" s="138" t="s">
        <v>1566</v>
      </c>
      <c r="F346" s="141" t="n">
        <f aca="false">Estacas!F346</f>
        <v>11</v>
      </c>
      <c r="G346" s="141" t="n">
        <f aca="false">Estacas!F347</f>
        <v>11</v>
      </c>
      <c r="H346" s="141" t="n">
        <f aca="false">C346*(Estacas!K346+Estacas!K347)/2</f>
        <v>11.05</v>
      </c>
      <c r="I346" s="141" t="n">
        <f aca="false">H346*Parâmetros!$C$14</f>
        <v>26.52</v>
      </c>
      <c r="J346" s="141" t="n">
        <f aca="false">C346*(Estacas!L346+Estacas!L347)/2</f>
        <v>36.352</v>
      </c>
      <c r="K346" s="141" t="n">
        <f aca="false">C346*(Estacas!M346+Estacas!M347)/2</f>
        <v>47.68</v>
      </c>
      <c r="L346" s="141" t="n">
        <f aca="false">C346*(Estacas!N346+Estacas!N347)/2</f>
        <v>75.72</v>
      </c>
      <c r="M346" s="141" t="n">
        <f aca="false">C346*(Estacas!O346+Estacas!O347)/2</f>
        <v>224</v>
      </c>
      <c r="N346" s="141" t="n">
        <f aca="false">C346*(Estacas!O346+Estacas!O347)/2</f>
        <v>224</v>
      </c>
      <c r="O346" s="141" t="n">
        <f aca="false">C346*(Estacas!P346+Estacas!P347)/2</f>
        <v>258.4</v>
      </c>
      <c r="P346" s="141" t="n">
        <f aca="false">R346*Parâmetros!$C$11</f>
        <v>0</v>
      </c>
      <c r="Q346" s="141" t="n">
        <f aca="false">R346*Parâmetros!$C$12</f>
        <v>0</v>
      </c>
      <c r="R346" s="141" t="n">
        <f aca="false">C346*(Estacas!Q346+Estacas!Q347)/2</f>
        <v>0</v>
      </c>
      <c r="S346" s="141" t="n">
        <f aca="false">IF(LEFT(E346,3)="T09",C346*Parâmetros!$D$13*Parâmetros!$C$13,0)</f>
        <v>0</v>
      </c>
    </row>
    <row r="347" customFormat="false" ht="15" hidden="false" customHeight="false" outlineLevel="0" collapsed="false">
      <c r="A347" s="138" t="str">
        <f aca="false">Estacas!A347</f>
        <v>345+0,00</v>
      </c>
      <c r="B347" s="138" t="str">
        <f aca="false">Estacas!A348</f>
        <v>346+0,00</v>
      </c>
      <c r="C347" s="144" t="n">
        <f aca="false">Estacas!C348-Estacas!C347</f>
        <v>20</v>
      </c>
      <c r="D347" s="138" t="s">
        <v>1574</v>
      </c>
      <c r="E347" s="138" t="s">
        <v>1566</v>
      </c>
      <c r="F347" s="141" t="n">
        <f aca="false">Estacas!F347</f>
        <v>11</v>
      </c>
      <c r="G347" s="141" t="n">
        <f aca="false">Estacas!F348</f>
        <v>11</v>
      </c>
      <c r="H347" s="141" t="n">
        <f aca="false">C347*(Estacas!K347+Estacas!K348)/2</f>
        <v>11.05</v>
      </c>
      <c r="I347" s="141" t="n">
        <f aca="false">H347*Parâmetros!$C$14</f>
        <v>26.52</v>
      </c>
      <c r="J347" s="141" t="n">
        <f aca="false">C347*(Estacas!L347+Estacas!L348)/2</f>
        <v>36.352</v>
      </c>
      <c r="K347" s="141" t="n">
        <f aca="false">C347*(Estacas!M347+Estacas!M348)/2</f>
        <v>47.68</v>
      </c>
      <c r="L347" s="141" t="n">
        <f aca="false">C347*(Estacas!N347+Estacas!N348)/2</f>
        <v>75.72</v>
      </c>
      <c r="M347" s="141" t="n">
        <f aca="false">C347*(Estacas!O347+Estacas!O348)/2</f>
        <v>224</v>
      </c>
      <c r="N347" s="141" t="n">
        <f aca="false">C347*(Estacas!O347+Estacas!O348)/2</f>
        <v>224</v>
      </c>
      <c r="O347" s="141" t="n">
        <f aca="false">C347*(Estacas!P347+Estacas!P348)/2</f>
        <v>258.4</v>
      </c>
      <c r="P347" s="141" t="n">
        <f aca="false">R347*Parâmetros!$C$11</f>
        <v>0</v>
      </c>
      <c r="Q347" s="141" t="n">
        <f aca="false">R347*Parâmetros!$C$12</f>
        <v>0</v>
      </c>
      <c r="R347" s="141" t="n">
        <f aca="false">C347*(Estacas!Q347+Estacas!Q348)/2</f>
        <v>0</v>
      </c>
      <c r="S347" s="141" t="n">
        <f aca="false">IF(LEFT(E347,3)="T09",C347*Parâmetros!$D$13*Parâmetros!$C$13,0)</f>
        <v>0</v>
      </c>
    </row>
    <row r="348" customFormat="false" ht="15" hidden="false" customHeight="false" outlineLevel="0" collapsed="false">
      <c r="A348" s="138" t="str">
        <f aca="false">Estacas!A348</f>
        <v>346+0,00</v>
      </c>
      <c r="B348" s="138" t="str">
        <f aca="false">Estacas!A349</f>
        <v>347+0,00</v>
      </c>
      <c r="C348" s="144" t="n">
        <f aca="false">Estacas!C349-Estacas!C348</f>
        <v>20</v>
      </c>
      <c r="D348" s="138" t="s">
        <v>1574</v>
      </c>
      <c r="E348" s="138" t="s">
        <v>1566</v>
      </c>
      <c r="F348" s="141" t="n">
        <f aca="false">Estacas!F348</f>
        <v>11</v>
      </c>
      <c r="G348" s="141" t="n">
        <f aca="false">Estacas!F349</f>
        <v>11</v>
      </c>
      <c r="H348" s="141" t="n">
        <f aca="false">C348*(Estacas!K348+Estacas!K349)/2</f>
        <v>11.05</v>
      </c>
      <c r="I348" s="141" t="n">
        <f aca="false">H348*Parâmetros!$C$14</f>
        <v>26.52</v>
      </c>
      <c r="J348" s="141" t="n">
        <f aca="false">C348*(Estacas!L348+Estacas!L349)/2</f>
        <v>36.352</v>
      </c>
      <c r="K348" s="141" t="n">
        <f aca="false">C348*(Estacas!M348+Estacas!M349)/2</f>
        <v>47.68</v>
      </c>
      <c r="L348" s="141" t="n">
        <f aca="false">C348*(Estacas!N348+Estacas!N349)/2</f>
        <v>75.72</v>
      </c>
      <c r="M348" s="141" t="n">
        <f aca="false">C348*(Estacas!O348+Estacas!O349)/2</f>
        <v>224</v>
      </c>
      <c r="N348" s="141" t="n">
        <f aca="false">C348*(Estacas!O348+Estacas!O349)/2</f>
        <v>224</v>
      </c>
      <c r="O348" s="141" t="n">
        <f aca="false">C348*(Estacas!P348+Estacas!P349)/2</f>
        <v>258.4</v>
      </c>
      <c r="P348" s="141" t="n">
        <f aca="false">R348*Parâmetros!$C$11</f>
        <v>0</v>
      </c>
      <c r="Q348" s="141" t="n">
        <f aca="false">R348*Parâmetros!$C$12</f>
        <v>0</v>
      </c>
      <c r="R348" s="141" t="n">
        <f aca="false">C348*(Estacas!Q348+Estacas!Q349)/2</f>
        <v>0</v>
      </c>
      <c r="S348" s="141" t="n">
        <f aca="false">IF(LEFT(E348,3)="T09",C348*Parâmetros!$D$13*Parâmetros!$C$13,0)</f>
        <v>0</v>
      </c>
    </row>
    <row r="349" customFormat="false" ht="15" hidden="false" customHeight="false" outlineLevel="0" collapsed="false">
      <c r="A349" s="138" t="str">
        <f aca="false">Estacas!A349</f>
        <v>347+0,00</v>
      </c>
      <c r="B349" s="138" t="str">
        <f aca="false">Estacas!A350</f>
        <v>348+0,00</v>
      </c>
      <c r="C349" s="144" t="n">
        <f aca="false">Estacas!C350-Estacas!C349</f>
        <v>20</v>
      </c>
      <c r="D349" s="138" t="s">
        <v>1574</v>
      </c>
      <c r="E349" s="138" t="s">
        <v>1566</v>
      </c>
      <c r="F349" s="141" t="n">
        <f aca="false">Estacas!F349</f>
        <v>11</v>
      </c>
      <c r="G349" s="141" t="n">
        <f aca="false">Estacas!F350</f>
        <v>11</v>
      </c>
      <c r="H349" s="141" t="n">
        <f aca="false">C349*(Estacas!K349+Estacas!K350)/2</f>
        <v>11.05</v>
      </c>
      <c r="I349" s="141" t="n">
        <f aca="false">H349*Parâmetros!$C$14</f>
        <v>26.52</v>
      </c>
      <c r="J349" s="141" t="n">
        <f aca="false">C349*(Estacas!L349+Estacas!L350)/2</f>
        <v>36.352</v>
      </c>
      <c r="K349" s="141" t="n">
        <f aca="false">C349*(Estacas!M349+Estacas!M350)/2</f>
        <v>47.68</v>
      </c>
      <c r="L349" s="141" t="n">
        <f aca="false">C349*(Estacas!N349+Estacas!N350)/2</f>
        <v>75.72</v>
      </c>
      <c r="M349" s="141" t="n">
        <f aca="false">C349*(Estacas!O349+Estacas!O350)/2</f>
        <v>224</v>
      </c>
      <c r="N349" s="141" t="n">
        <f aca="false">C349*(Estacas!O349+Estacas!O350)/2</f>
        <v>224</v>
      </c>
      <c r="O349" s="141" t="n">
        <f aca="false">C349*(Estacas!P349+Estacas!P350)/2</f>
        <v>258.4</v>
      </c>
      <c r="P349" s="141" t="n">
        <f aca="false">R349*Parâmetros!$C$11</f>
        <v>0</v>
      </c>
      <c r="Q349" s="141" t="n">
        <f aca="false">R349*Parâmetros!$C$12</f>
        <v>0</v>
      </c>
      <c r="R349" s="141" t="n">
        <f aca="false">C349*(Estacas!Q349+Estacas!Q350)/2</f>
        <v>0</v>
      </c>
      <c r="S349" s="141" t="n">
        <f aca="false">IF(LEFT(E349,3)="T09",C349*Parâmetros!$D$13*Parâmetros!$C$13,0)</f>
        <v>0</v>
      </c>
    </row>
    <row r="350" customFormat="false" ht="15" hidden="false" customHeight="false" outlineLevel="0" collapsed="false">
      <c r="A350" s="138" t="str">
        <f aca="false">Estacas!A350</f>
        <v>348+0,00</v>
      </c>
      <c r="B350" s="138" t="str">
        <f aca="false">Estacas!A351</f>
        <v>349+0,00</v>
      </c>
      <c r="C350" s="144" t="n">
        <f aca="false">Estacas!C351-Estacas!C350</f>
        <v>20</v>
      </c>
      <c r="D350" s="138" t="s">
        <v>1574</v>
      </c>
      <c r="E350" s="138" t="s">
        <v>1566</v>
      </c>
      <c r="F350" s="141" t="n">
        <f aca="false">Estacas!F350</f>
        <v>11</v>
      </c>
      <c r="G350" s="141" t="n">
        <f aca="false">Estacas!F351</f>
        <v>15.4</v>
      </c>
      <c r="H350" s="141" t="n">
        <f aca="false">C350*(Estacas!K350+Estacas!K351)/2</f>
        <v>13.25</v>
      </c>
      <c r="I350" s="141" t="n">
        <f aca="false">H350*Parâmetros!$C$14</f>
        <v>31.8</v>
      </c>
      <c r="J350" s="141" t="n">
        <f aca="false">C350*(Estacas!L350+Estacas!L351)/2</f>
        <v>43.392</v>
      </c>
      <c r="K350" s="141" t="n">
        <f aca="false">C350*(Estacas!M350+Estacas!M351)/2</f>
        <v>56.48</v>
      </c>
      <c r="L350" s="141" t="n">
        <f aca="false">C350*(Estacas!N350+Estacas!N351)/2</f>
        <v>88.92</v>
      </c>
      <c r="M350" s="141" t="n">
        <f aca="false">C350*(Estacas!O350+Estacas!O351)/2</f>
        <v>268</v>
      </c>
      <c r="N350" s="141" t="n">
        <f aca="false">C350*(Estacas!O350+Estacas!O351)/2</f>
        <v>268</v>
      </c>
      <c r="O350" s="141" t="n">
        <f aca="false">C350*(Estacas!P350+Estacas!P351)/2</f>
        <v>302.4</v>
      </c>
      <c r="P350" s="141" t="n">
        <f aca="false">R350*Parâmetros!$C$11</f>
        <v>0</v>
      </c>
      <c r="Q350" s="141" t="n">
        <f aca="false">R350*Parâmetros!$C$12</f>
        <v>0</v>
      </c>
      <c r="R350" s="141" t="n">
        <f aca="false">C350*(Estacas!Q350+Estacas!Q351)/2</f>
        <v>0</v>
      </c>
      <c r="S350" s="141" t="n">
        <f aca="false">IF(LEFT(E350,3)="T09",C350*Parâmetros!$D$13*Parâmetros!$C$13,0)</f>
        <v>0</v>
      </c>
    </row>
    <row r="351" customFormat="false" ht="15" hidden="false" customHeight="false" outlineLevel="0" collapsed="false">
      <c r="A351" s="138" t="str">
        <f aca="false">Estacas!A351</f>
        <v>349+0,00</v>
      </c>
      <c r="B351" s="138" t="str">
        <f aca="false">Estacas!A352</f>
        <v>350+0,00</v>
      </c>
      <c r="C351" s="144" t="n">
        <f aca="false">Estacas!C352-Estacas!C351</f>
        <v>20</v>
      </c>
      <c r="D351" s="138" t="s">
        <v>1574</v>
      </c>
      <c r="E351" s="138" t="s">
        <v>1566</v>
      </c>
      <c r="F351" s="141" t="n">
        <f aca="false">Estacas!F351</f>
        <v>15.4</v>
      </c>
      <c r="G351" s="141" t="n">
        <f aca="false">Estacas!F352</f>
        <v>13.4</v>
      </c>
      <c r="H351" s="141" t="n">
        <f aca="false">C351*(Estacas!K351+Estacas!K352)/2</f>
        <v>14.45</v>
      </c>
      <c r="I351" s="141" t="n">
        <f aca="false">H351*Parâmetros!$C$14</f>
        <v>34.68</v>
      </c>
      <c r="J351" s="141" t="n">
        <f aca="false">C351*(Estacas!L351+Estacas!L352)/2</f>
        <v>47.232</v>
      </c>
      <c r="K351" s="141" t="n">
        <f aca="false">C351*(Estacas!M351+Estacas!M352)/2</f>
        <v>61.28</v>
      </c>
      <c r="L351" s="141" t="n">
        <f aca="false">C351*(Estacas!N351+Estacas!N352)/2</f>
        <v>96.12</v>
      </c>
      <c r="M351" s="141" t="n">
        <f aca="false">C351*(Estacas!O351+Estacas!O352)/2</f>
        <v>292</v>
      </c>
      <c r="N351" s="141" t="n">
        <f aca="false">C351*(Estacas!O351+Estacas!O352)/2</f>
        <v>292</v>
      </c>
      <c r="O351" s="141" t="n">
        <f aca="false">C351*(Estacas!P351+Estacas!P352)/2</f>
        <v>326.4</v>
      </c>
      <c r="P351" s="141" t="n">
        <f aca="false">R351*Parâmetros!$C$11</f>
        <v>0</v>
      </c>
      <c r="Q351" s="141" t="n">
        <f aca="false">R351*Parâmetros!$C$12</f>
        <v>0</v>
      </c>
      <c r="R351" s="141" t="n">
        <f aca="false">C351*(Estacas!Q351+Estacas!Q352)/2</f>
        <v>0</v>
      </c>
      <c r="S351" s="141" t="n">
        <f aca="false">IF(LEFT(E351,3)="T09",C351*Parâmetros!$D$13*Parâmetros!$C$13,0)</f>
        <v>0</v>
      </c>
    </row>
    <row r="352" customFormat="false" ht="15" hidden="false" customHeight="false" outlineLevel="0" collapsed="false">
      <c r="A352" s="138" t="str">
        <f aca="false">Estacas!A352</f>
        <v>350+0,00</v>
      </c>
      <c r="B352" s="138" t="str">
        <f aca="false">Estacas!A353</f>
        <v>351+0,00</v>
      </c>
      <c r="C352" s="144" t="n">
        <f aca="false">Estacas!C353-Estacas!C352</f>
        <v>20</v>
      </c>
      <c r="D352" s="138" t="s">
        <v>1574</v>
      </c>
      <c r="E352" s="138" t="s">
        <v>1566</v>
      </c>
      <c r="F352" s="141" t="n">
        <f aca="false">Estacas!F352</f>
        <v>13.4</v>
      </c>
      <c r="G352" s="141" t="n">
        <f aca="false">Estacas!F353</f>
        <v>11</v>
      </c>
      <c r="H352" s="141" t="n">
        <f aca="false">C352*(Estacas!K352+Estacas!K353)/2</f>
        <v>12.25</v>
      </c>
      <c r="I352" s="141" t="n">
        <f aca="false">H352*Parâmetros!$C$14</f>
        <v>29.4</v>
      </c>
      <c r="J352" s="141" t="n">
        <f aca="false">C352*(Estacas!L352+Estacas!L353)/2</f>
        <v>40.192</v>
      </c>
      <c r="K352" s="141" t="n">
        <f aca="false">C352*(Estacas!M352+Estacas!M353)/2</f>
        <v>52.48</v>
      </c>
      <c r="L352" s="141" t="n">
        <f aca="false">C352*(Estacas!N352+Estacas!N353)/2</f>
        <v>82.92</v>
      </c>
      <c r="M352" s="141" t="n">
        <f aca="false">C352*(Estacas!O352+Estacas!O353)/2</f>
        <v>248</v>
      </c>
      <c r="N352" s="141" t="n">
        <f aca="false">C352*(Estacas!O352+Estacas!O353)/2</f>
        <v>248</v>
      </c>
      <c r="O352" s="141" t="n">
        <f aca="false">C352*(Estacas!P352+Estacas!P353)/2</f>
        <v>282.4</v>
      </c>
      <c r="P352" s="141" t="n">
        <f aca="false">R352*Parâmetros!$C$11</f>
        <v>0</v>
      </c>
      <c r="Q352" s="141" t="n">
        <f aca="false">R352*Parâmetros!$C$12</f>
        <v>0</v>
      </c>
      <c r="R352" s="141" t="n">
        <f aca="false">C352*(Estacas!Q352+Estacas!Q353)/2</f>
        <v>0</v>
      </c>
      <c r="S352" s="141" t="n">
        <f aca="false">IF(LEFT(E352,3)="T09",C352*Parâmetros!$D$13*Parâmetros!$C$13,0)</f>
        <v>0</v>
      </c>
    </row>
    <row r="353" customFormat="false" ht="15" hidden="false" customHeight="false" outlineLevel="0" collapsed="false">
      <c r="A353" s="138" t="str">
        <f aca="false">Estacas!A353</f>
        <v>351+0,00</v>
      </c>
      <c r="B353" s="138" t="str">
        <f aca="false">Estacas!A354</f>
        <v>352+0,00</v>
      </c>
      <c r="C353" s="144" t="n">
        <f aca="false">Estacas!C354-Estacas!C353</f>
        <v>20</v>
      </c>
      <c r="D353" s="138" t="s">
        <v>1574</v>
      </c>
      <c r="E353" s="138" t="s">
        <v>1566</v>
      </c>
      <c r="F353" s="141" t="n">
        <f aca="false">Estacas!F353</f>
        <v>11</v>
      </c>
      <c r="G353" s="141" t="n">
        <f aca="false">Estacas!F354</f>
        <v>11</v>
      </c>
      <c r="H353" s="141" t="n">
        <f aca="false">C353*(Estacas!K353+Estacas!K354)/2</f>
        <v>11.05</v>
      </c>
      <c r="I353" s="141" t="n">
        <f aca="false">H353*Parâmetros!$C$14</f>
        <v>26.52</v>
      </c>
      <c r="J353" s="141" t="n">
        <f aca="false">C353*(Estacas!L353+Estacas!L354)/2</f>
        <v>36.352</v>
      </c>
      <c r="K353" s="141" t="n">
        <f aca="false">C353*(Estacas!M353+Estacas!M354)/2</f>
        <v>47.68</v>
      </c>
      <c r="L353" s="141" t="n">
        <f aca="false">C353*(Estacas!N353+Estacas!N354)/2</f>
        <v>75.72</v>
      </c>
      <c r="M353" s="141" t="n">
        <f aca="false">C353*(Estacas!O353+Estacas!O354)/2</f>
        <v>224</v>
      </c>
      <c r="N353" s="141" t="n">
        <f aca="false">C353*(Estacas!O353+Estacas!O354)/2</f>
        <v>224</v>
      </c>
      <c r="O353" s="141" t="n">
        <f aca="false">C353*(Estacas!P353+Estacas!P354)/2</f>
        <v>258.4</v>
      </c>
      <c r="P353" s="141" t="n">
        <f aca="false">R353*Parâmetros!$C$11</f>
        <v>0</v>
      </c>
      <c r="Q353" s="141" t="n">
        <f aca="false">R353*Parâmetros!$C$12</f>
        <v>0</v>
      </c>
      <c r="R353" s="141" t="n">
        <f aca="false">C353*(Estacas!Q353+Estacas!Q354)/2</f>
        <v>0</v>
      </c>
      <c r="S353" s="141" t="n">
        <f aca="false">IF(LEFT(E353,3)="T09",C353*Parâmetros!$D$13*Parâmetros!$C$13,0)</f>
        <v>0</v>
      </c>
    </row>
    <row r="354" customFormat="false" ht="15" hidden="false" customHeight="false" outlineLevel="0" collapsed="false">
      <c r="A354" s="138" t="str">
        <f aca="false">Estacas!A354</f>
        <v>352+0,00</v>
      </c>
      <c r="B354" s="138" t="str">
        <f aca="false">Estacas!A355</f>
        <v>353+0,00</v>
      </c>
      <c r="C354" s="144" t="n">
        <f aca="false">Estacas!C355-Estacas!C354</f>
        <v>20</v>
      </c>
      <c r="D354" s="138" t="s">
        <v>1574</v>
      </c>
      <c r="E354" s="138" t="s">
        <v>1566</v>
      </c>
      <c r="F354" s="141" t="n">
        <f aca="false">Estacas!F354</f>
        <v>11</v>
      </c>
      <c r="G354" s="141" t="n">
        <f aca="false">Estacas!F355</f>
        <v>11</v>
      </c>
      <c r="H354" s="141" t="n">
        <f aca="false">C354*(Estacas!K354+Estacas!K355)/2</f>
        <v>11.05</v>
      </c>
      <c r="I354" s="141" t="n">
        <f aca="false">H354*Parâmetros!$C$14</f>
        <v>26.52</v>
      </c>
      <c r="J354" s="141" t="n">
        <f aca="false">C354*(Estacas!L354+Estacas!L355)/2</f>
        <v>36.352</v>
      </c>
      <c r="K354" s="141" t="n">
        <f aca="false">C354*(Estacas!M354+Estacas!M355)/2</f>
        <v>47.68</v>
      </c>
      <c r="L354" s="141" t="n">
        <f aca="false">C354*(Estacas!N354+Estacas!N355)/2</f>
        <v>75.72</v>
      </c>
      <c r="M354" s="141" t="n">
        <f aca="false">C354*(Estacas!O354+Estacas!O355)/2</f>
        <v>224</v>
      </c>
      <c r="N354" s="141" t="n">
        <f aca="false">C354*(Estacas!O354+Estacas!O355)/2</f>
        <v>224</v>
      </c>
      <c r="O354" s="141" t="n">
        <f aca="false">C354*(Estacas!P354+Estacas!P355)/2</f>
        <v>258.4</v>
      </c>
      <c r="P354" s="141" t="n">
        <f aca="false">R354*Parâmetros!$C$11</f>
        <v>0</v>
      </c>
      <c r="Q354" s="141" t="n">
        <f aca="false">R354*Parâmetros!$C$12</f>
        <v>0</v>
      </c>
      <c r="R354" s="141" t="n">
        <f aca="false">C354*(Estacas!Q354+Estacas!Q355)/2</f>
        <v>0</v>
      </c>
      <c r="S354" s="141" t="n">
        <f aca="false">IF(LEFT(E354,3)="T09",C354*Parâmetros!$D$13*Parâmetros!$C$13,0)</f>
        <v>0</v>
      </c>
    </row>
    <row r="355" customFormat="false" ht="15" hidden="false" customHeight="false" outlineLevel="0" collapsed="false">
      <c r="A355" s="138" t="str">
        <f aca="false">Estacas!A355</f>
        <v>353+0,00</v>
      </c>
      <c r="B355" s="138" t="str">
        <f aca="false">Estacas!A356</f>
        <v>354+0,00</v>
      </c>
      <c r="C355" s="144" t="n">
        <f aca="false">Estacas!C356-Estacas!C355</f>
        <v>20</v>
      </c>
      <c r="D355" s="138" t="s">
        <v>1574</v>
      </c>
      <c r="E355" s="138" t="s">
        <v>1566</v>
      </c>
      <c r="F355" s="141" t="n">
        <f aca="false">Estacas!F355</f>
        <v>11</v>
      </c>
      <c r="G355" s="141" t="n">
        <f aca="false">Estacas!F356</f>
        <v>11</v>
      </c>
      <c r="H355" s="141" t="n">
        <f aca="false">C355*(Estacas!K355+Estacas!K356)/2</f>
        <v>11.05</v>
      </c>
      <c r="I355" s="141" t="n">
        <f aca="false">H355*Parâmetros!$C$14</f>
        <v>26.52</v>
      </c>
      <c r="J355" s="141" t="n">
        <f aca="false">C355*(Estacas!L355+Estacas!L356)/2</f>
        <v>36.352</v>
      </c>
      <c r="K355" s="141" t="n">
        <f aca="false">C355*(Estacas!M355+Estacas!M356)/2</f>
        <v>47.68</v>
      </c>
      <c r="L355" s="141" t="n">
        <f aca="false">C355*(Estacas!N355+Estacas!N356)/2</f>
        <v>75.72</v>
      </c>
      <c r="M355" s="141" t="n">
        <f aca="false">C355*(Estacas!O355+Estacas!O356)/2</f>
        <v>224</v>
      </c>
      <c r="N355" s="141" t="n">
        <f aca="false">C355*(Estacas!O355+Estacas!O356)/2</f>
        <v>224</v>
      </c>
      <c r="O355" s="141" t="n">
        <f aca="false">C355*(Estacas!P355+Estacas!P356)/2</f>
        <v>258.4</v>
      </c>
      <c r="P355" s="141" t="n">
        <f aca="false">R355*Parâmetros!$C$11</f>
        <v>0</v>
      </c>
      <c r="Q355" s="141" t="n">
        <f aca="false">R355*Parâmetros!$C$12</f>
        <v>0</v>
      </c>
      <c r="R355" s="141" t="n">
        <f aca="false">C355*(Estacas!Q355+Estacas!Q356)/2</f>
        <v>0</v>
      </c>
      <c r="S355" s="141" t="n">
        <f aca="false">IF(LEFT(E355,3)="T09",C355*Parâmetros!$D$13*Parâmetros!$C$13,0)</f>
        <v>0</v>
      </c>
    </row>
    <row r="356" customFormat="false" ht="15" hidden="false" customHeight="false" outlineLevel="0" collapsed="false">
      <c r="A356" s="138" t="str">
        <f aca="false">Estacas!A356</f>
        <v>354+0,00</v>
      </c>
      <c r="B356" s="138" t="str">
        <f aca="false">Estacas!A357</f>
        <v>355+0,00</v>
      </c>
      <c r="C356" s="144" t="n">
        <f aca="false">Estacas!C357-Estacas!C356</f>
        <v>20</v>
      </c>
      <c r="D356" s="138" t="s">
        <v>1574</v>
      </c>
      <c r="E356" s="138" t="s">
        <v>1566</v>
      </c>
      <c r="F356" s="141" t="n">
        <f aca="false">Estacas!F356</f>
        <v>11</v>
      </c>
      <c r="G356" s="141" t="n">
        <f aca="false">Estacas!F357</f>
        <v>11</v>
      </c>
      <c r="H356" s="141" t="n">
        <f aca="false">C356*(Estacas!K356+Estacas!K357)/2</f>
        <v>11.05</v>
      </c>
      <c r="I356" s="141" t="n">
        <f aca="false">H356*Parâmetros!$C$14</f>
        <v>26.52</v>
      </c>
      <c r="J356" s="141" t="n">
        <f aca="false">C356*(Estacas!L356+Estacas!L357)/2</f>
        <v>36.352</v>
      </c>
      <c r="K356" s="141" t="n">
        <f aca="false">C356*(Estacas!M356+Estacas!M357)/2</f>
        <v>47.68</v>
      </c>
      <c r="L356" s="141" t="n">
        <f aca="false">C356*(Estacas!N356+Estacas!N357)/2</f>
        <v>75.72</v>
      </c>
      <c r="M356" s="141" t="n">
        <f aca="false">C356*(Estacas!O356+Estacas!O357)/2</f>
        <v>224</v>
      </c>
      <c r="N356" s="141" t="n">
        <f aca="false">C356*(Estacas!O356+Estacas!O357)/2</f>
        <v>224</v>
      </c>
      <c r="O356" s="141" t="n">
        <f aca="false">C356*(Estacas!P356+Estacas!P357)/2</f>
        <v>258.4</v>
      </c>
      <c r="P356" s="141" t="n">
        <f aca="false">R356*Parâmetros!$C$11</f>
        <v>0</v>
      </c>
      <c r="Q356" s="141" t="n">
        <f aca="false">R356*Parâmetros!$C$12</f>
        <v>0</v>
      </c>
      <c r="R356" s="141" t="n">
        <f aca="false">C356*(Estacas!Q356+Estacas!Q357)/2</f>
        <v>0</v>
      </c>
      <c r="S356" s="141" t="n">
        <f aca="false">IF(LEFT(E356,3)="T09",C356*Parâmetros!$D$13*Parâmetros!$C$13,0)</f>
        <v>0</v>
      </c>
    </row>
    <row r="357" customFormat="false" ht="15" hidden="false" customHeight="false" outlineLevel="0" collapsed="false">
      <c r="A357" s="138" t="str">
        <f aca="false">Estacas!A357</f>
        <v>355+0,00</v>
      </c>
      <c r="B357" s="138" t="str">
        <f aca="false">Estacas!A358</f>
        <v>356+0,00</v>
      </c>
      <c r="C357" s="144" t="n">
        <f aca="false">Estacas!C358-Estacas!C357</f>
        <v>20</v>
      </c>
      <c r="D357" s="138" t="s">
        <v>1574</v>
      </c>
      <c r="E357" s="138" t="s">
        <v>1566</v>
      </c>
      <c r="F357" s="141" t="n">
        <f aca="false">Estacas!F357</f>
        <v>11</v>
      </c>
      <c r="G357" s="141" t="n">
        <f aca="false">Estacas!F358</f>
        <v>11</v>
      </c>
      <c r="H357" s="141" t="n">
        <f aca="false">C357*(Estacas!K357+Estacas!K358)/2</f>
        <v>11.05</v>
      </c>
      <c r="I357" s="141" t="n">
        <f aca="false">H357*Parâmetros!$C$14</f>
        <v>26.52</v>
      </c>
      <c r="J357" s="141" t="n">
        <f aca="false">C357*(Estacas!L357+Estacas!L358)/2</f>
        <v>36.352</v>
      </c>
      <c r="K357" s="141" t="n">
        <f aca="false">C357*(Estacas!M357+Estacas!M358)/2</f>
        <v>47.68</v>
      </c>
      <c r="L357" s="141" t="n">
        <f aca="false">C357*(Estacas!N357+Estacas!N358)/2</f>
        <v>75.72</v>
      </c>
      <c r="M357" s="141" t="n">
        <f aca="false">C357*(Estacas!O357+Estacas!O358)/2</f>
        <v>224</v>
      </c>
      <c r="N357" s="141" t="n">
        <f aca="false">C357*(Estacas!O357+Estacas!O358)/2</f>
        <v>224</v>
      </c>
      <c r="O357" s="141" t="n">
        <f aca="false">C357*(Estacas!P357+Estacas!P358)/2</f>
        <v>258.4</v>
      </c>
      <c r="P357" s="141" t="n">
        <f aca="false">R357*Parâmetros!$C$11</f>
        <v>0</v>
      </c>
      <c r="Q357" s="141" t="n">
        <f aca="false">R357*Parâmetros!$C$12</f>
        <v>0</v>
      </c>
      <c r="R357" s="141" t="n">
        <f aca="false">C357*(Estacas!Q357+Estacas!Q358)/2</f>
        <v>0</v>
      </c>
      <c r="S357" s="141" t="n">
        <f aca="false">IF(LEFT(E357,3)="T09",C357*Parâmetros!$D$13*Parâmetros!$C$13,0)</f>
        <v>0</v>
      </c>
    </row>
    <row r="358" customFormat="false" ht="15" hidden="false" customHeight="false" outlineLevel="0" collapsed="false">
      <c r="A358" s="138" t="str">
        <f aca="false">Estacas!A358</f>
        <v>356+0,00</v>
      </c>
      <c r="B358" s="138" t="str">
        <f aca="false">Estacas!A359</f>
        <v>357+0,00</v>
      </c>
      <c r="C358" s="144" t="n">
        <f aca="false">Estacas!C359-Estacas!C358</f>
        <v>20</v>
      </c>
      <c r="D358" s="138" t="s">
        <v>1574</v>
      </c>
      <c r="E358" s="138" t="s">
        <v>1566</v>
      </c>
      <c r="F358" s="141" t="n">
        <f aca="false">Estacas!F358</f>
        <v>11</v>
      </c>
      <c r="G358" s="141" t="n">
        <f aca="false">Estacas!F359</f>
        <v>11</v>
      </c>
      <c r="H358" s="141" t="n">
        <f aca="false">C358*(Estacas!K358+Estacas!K359)/2</f>
        <v>11.05</v>
      </c>
      <c r="I358" s="141" t="n">
        <f aca="false">H358*Parâmetros!$C$14</f>
        <v>26.52</v>
      </c>
      <c r="J358" s="141" t="n">
        <f aca="false">C358*(Estacas!L358+Estacas!L359)/2</f>
        <v>36.352</v>
      </c>
      <c r="K358" s="141" t="n">
        <f aca="false">C358*(Estacas!M358+Estacas!M359)/2</f>
        <v>47.68</v>
      </c>
      <c r="L358" s="141" t="n">
        <f aca="false">C358*(Estacas!N358+Estacas!N359)/2</f>
        <v>75.72</v>
      </c>
      <c r="M358" s="141" t="n">
        <f aca="false">C358*(Estacas!O358+Estacas!O359)/2</f>
        <v>224</v>
      </c>
      <c r="N358" s="141" t="n">
        <f aca="false">C358*(Estacas!O358+Estacas!O359)/2</f>
        <v>224</v>
      </c>
      <c r="O358" s="141" t="n">
        <f aca="false">C358*(Estacas!P358+Estacas!P359)/2</f>
        <v>258.4</v>
      </c>
      <c r="P358" s="141" t="n">
        <f aca="false">R358*Parâmetros!$C$11</f>
        <v>0</v>
      </c>
      <c r="Q358" s="141" t="n">
        <f aca="false">R358*Parâmetros!$C$12</f>
        <v>0</v>
      </c>
      <c r="R358" s="141" t="n">
        <f aca="false">C358*(Estacas!Q358+Estacas!Q359)/2</f>
        <v>0</v>
      </c>
      <c r="S358" s="141" t="n">
        <f aca="false">IF(LEFT(E358,3)="T09",C358*Parâmetros!$D$13*Parâmetros!$C$13,0)</f>
        <v>0</v>
      </c>
    </row>
    <row r="359" customFormat="false" ht="15" hidden="false" customHeight="false" outlineLevel="0" collapsed="false">
      <c r="A359" s="138" t="str">
        <f aca="false">Estacas!A359</f>
        <v>357+0,00</v>
      </c>
      <c r="B359" s="138" t="str">
        <f aca="false">Estacas!A360</f>
        <v>358+0,00</v>
      </c>
      <c r="C359" s="144" t="n">
        <f aca="false">Estacas!C360-Estacas!C359</f>
        <v>20</v>
      </c>
      <c r="D359" s="138" t="s">
        <v>1574</v>
      </c>
      <c r="E359" s="138" t="s">
        <v>1566</v>
      </c>
      <c r="F359" s="141" t="n">
        <f aca="false">Estacas!F359</f>
        <v>11</v>
      </c>
      <c r="G359" s="141" t="n">
        <f aca="false">Estacas!F360</f>
        <v>11</v>
      </c>
      <c r="H359" s="141" t="n">
        <f aca="false">C359*(Estacas!K359+Estacas!K360)/2</f>
        <v>11.05</v>
      </c>
      <c r="I359" s="141" t="n">
        <f aca="false">H359*Parâmetros!$C$14</f>
        <v>26.52</v>
      </c>
      <c r="J359" s="141" t="n">
        <f aca="false">C359*(Estacas!L359+Estacas!L360)/2</f>
        <v>36.352</v>
      </c>
      <c r="K359" s="141" t="n">
        <f aca="false">C359*(Estacas!M359+Estacas!M360)/2</f>
        <v>47.68</v>
      </c>
      <c r="L359" s="141" t="n">
        <f aca="false">C359*(Estacas!N359+Estacas!N360)/2</f>
        <v>75.72</v>
      </c>
      <c r="M359" s="141" t="n">
        <f aca="false">C359*(Estacas!O359+Estacas!O360)/2</f>
        <v>224</v>
      </c>
      <c r="N359" s="141" t="n">
        <f aca="false">C359*(Estacas!O359+Estacas!O360)/2</f>
        <v>224</v>
      </c>
      <c r="O359" s="141" t="n">
        <f aca="false">C359*(Estacas!P359+Estacas!P360)/2</f>
        <v>258.4</v>
      </c>
      <c r="P359" s="141" t="n">
        <f aca="false">R359*Parâmetros!$C$11</f>
        <v>0</v>
      </c>
      <c r="Q359" s="141" t="n">
        <f aca="false">R359*Parâmetros!$C$12</f>
        <v>0</v>
      </c>
      <c r="R359" s="141" t="n">
        <f aca="false">C359*(Estacas!Q359+Estacas!Q360)/2</f>
        <v>0</v>
      </c>
      <c r="S359" s="141" t="n">
        <f aca="false">IF(LEFT(E359,3)="T09",C359*Parâmetros!$D$13*Parâmetros!$C$13,0)</f>
        <v>0</v>
      </c>
    </row>
    <row r="360" customFormat="false" ht="15" hidden="false" customHeight="false" outlineLevel="0" collapsed="false">
      <c r="A360" s="138" t="str">
        <f aca="false">Estacas!A360</f>
        <v>358+0,00</v>
      </c>
      <c r="B360" s="138" t="str">
        <f aca="false">Estacas!A361</f>
        <v>359+0,00</v>
      </c>
      <c r="C360" s="144" t="n">
        <f aca="false">Estacas!C361-Estacas!C360</f>
        <v>20</v>
      </c>
      <c r="D360" s="138" t="s">
        <v>1574</v>
      </c>
      <c r="E360" s="138" t="s">
        <v>1566</v>
      </c>
      <c r="F360" s="141" t="n">
        <f aca="false">Estacas!F360</f>
        <v>11</v>
      </c>
      <c r="G360" s="141" t="n">
        <f aca="false">Estacas!F361</f>
        <v>11</v>
      </c>
      <c r="H360" s="141" t="n">
        <f aca="false">C360*(Estacas!K360+Estacas!K361)/2</f>
        <v>11.05</v>
      </c>
      <c r="I360" s="141" t="n">
        <f aca="false">H360*Parâmetros!$C$14</f>
        <v>26.52</v>
      </c>
      <c r="J360" s="141" t="n">
        <f aca="false">C360*(Estacas!L360+Estacas!L361)/2</f>
        <v>36.352</v>
      </c>
      <c r="K360" s="141" t="n">
        <f aca="false">C360*(Estacas!M360+Estacas!M361)/2</f>
        <v>47.68</v>
      </c>
      <c r="L360" s="141" t="n">
        <f aca="false">C360*(Estacas!N360+Estacas!N361)/2</f>
        <v>75.72</v>
      </c>
      <c r="M360" s="141" t="n">
        <f aca="false">C360*(Estacas!O360+Estacas!O361)/2</f>
        <v>224</v>
      </c>
      <c r="N360" s="141" t="n">
        <f aca="false">C360*(Estacas!O360+Estacas!O361)/2</f>
        <v>224</v>
      </c>
      <c r="O360" s="141" t="n">
        <f aca="false">C360*(Estacas!P360+Estacas!P361)/2</f>
        <v>258.4</v>
      </c>
      <c r="P360" s="141" t="n">
        <f aca="false">R360*Parâmetros!$C$11</f>
        <v>0</v>
      </c>
      <c r="Q360" s="141" t="n">
        <f aca="false">R360*Parâmetros!$C$12</f>
        <v>0</v>
      </c>
      <c r="R360" s="141" t="n">
        <f aca="false">C360*(Estacas!Q360+Estacas!Q361)/2</f>
        <v>0</v>
      </c>
      <c r="S360" s="141" t="n">
        <f aca="false">IF(LEFT(E360,3)="T09",C360*Parâmetros!$D$13*Parâmetros!$C$13,0)</f>
        <v>0</v>
      </c>
    </row>
    <row r="361" customFormat="false" ht="15" hidden="false" customHeight="false" outlineLevel="0" collapsed="false">
      <c r="A361" s="138" t="str">
        <f aca="false">Estacas!A361</f>
        <v>359+0,00</v>
      </c>
      <c r="B361" s="138" t="str">
        <f aca="false">Estacas!A362</f>
        <v>360+0,00</v>
      </c>
      <c r="C361" s="144" t="n">
        <f aca="false">Estacas!C362-Estacas!C361</f>
        <v>20</v>
      </c>
      <c r="D361" s="138" t="s">
        <v>1574</v>
      </c>
      <c r="E361" s="138" t="s">
        <v>1566</v>
      </c>
      <c r="F361" s="141" t="n">
        <f aca="false">Estacas!F361</f>
        <v>11</v>
      </c>
      <c r="G361" s="141" t="n">
        <f aca="false">Estacas!F362</f>
        <v>11.1</v>
      </c>
      <c r="H361" s="141" t="n">
        <f aca="false">C361*(Estacas!K361+Estacas!K362)/2</f>
        <v>11.1</v>
      </c>
      <c r="I361" s="141" t="n">
        <f aca="false">H361*Parâmetros!$C$14</f>
        <v>26.64</v>
      </c>
      <c r="J361" s="141" t="n">
        <f aca="false">C361*(Estacas!L361+Estacas!L362)/2</f>
        <v>36.512</v>
      </c>
      <c r="K361" s="141" t="n">
        <f aca="false">C361*(Estacas!M361+Estacas!M362)/2</f>
        <v>47.88</v>
      </c>
      <c r="L361" s="141" t="n">
        <f aca="false">C361*(Estacas!N361+Estacas!N362)/2</f>
        <v>76.02</v>
      </c>
      <c r="M361" s="141" t="n">
        <f aca="false">C361*(Estacas!O361+Estacas!O362)/2</f>
        <v>225</v>
      </c>
      <c r="N361" s="141" t="n">
        <f aca="false">C361*(Estacas!O361+Estacas!O362)/2</f>
        <v>225</v>
      </c>
      <c r="O361" s="141" t="n">
        <f aca="false">C361*(Estacas!P361+Estacas!P362)/2</f>
        <v>259.4</v>
      </c>
      <c r="P361" s="141" t="n">
        <f aca="false">R361*Parâmetros!$C$11</f>
        <v>0</v>
      </c>
      <c r="Q361" s="141" t="n">
        <f aca="false">R361*Parâmetros!$C$12</f>
        <v>0</v>
      </c>
      <c r="R361" s="141" t="n">
        <f aca="false">C361*(Estacas!Q361+Estacas!Q362)/2</f>
        <v>0</v>
      </c>
      <c r="S361" s="141" t="n">
        <f aca="false">IF(LEFT(E361,3)="T09",C361*Parâmetros!$D$13*Parâmetros!$C$13,0)</f>
        <v>0</v>
      </c>
    </row>
    <row r="362" customFormat="false" ht="15" hidden="false" customHeight="false" outlineLevel="0" collapsed="false">
      <c r="A362" s="138" t="str">
        <f aca="false">Estacas!A362</f>
        <v>360+0,00</v>
      </c>
      <c r="B362" s="138" t="str">
        <f aca="false">Estacas!A363</f>
        <v>361+0,00</v>
      </c>
      <c r="C362" s="144" t="n">
        <f aca="false">Estacas!C363-Estacas!C362</f>
        <v>20</v>
      </c>
      <c r="D362" s="138" t="s">
        <v>1574</v>
      </c>
      <c r="E362" s="138" t="s">
        <v>1566</v>
      </c>
      <c r="F362" s="141" t="n">
        <f aca="false">Estacas!F362</f>
        <v>11.1</v>
      </c>
      <c r="G362" s="141" t="n">
        <f aca="false">Estacas!F363</f>
        <v>12.9</v>
      </c>
      <c r="H362" s="141" t="n">
        <f aca="false">C362*(Estacas!K362+Estacas!K363)/2</f>
        <v>12.05</v>
      </c>
      <c r="I362" s="141" t="n">
        <f aca="false">H362*Parâmetros!$C$14</f>
        <v>28.92</v>
      </c>
      <c r="J362" s="141" t="n">
        <f aca="false">C362*(Estacas!L362+Estacas!L363)/2</f>
        <v>39.552</v>
      </c>
      <c r="K362" s="141" t="n">
        <f aca="false">C362*(Estacas!M362+Estacas!M363)/2</f>
        <v>51.68</v>
      </c>
      <c r="L362" s="141" t="n">
        <f aca="false">C362*(Estacas!N362+Estacas!N363)/2</f>
        <v>81.72</v>
      </c>
      <c r="M362" s="141" t="n">
        <f aca="false">C362*(Estacas!O362+Estacas!O363)/2</f>
        <v>244</v>
      </c>
      <c r="N362" s="141" t="n">
        <f aca="false">C362*(Estacas!O362+Estacas!O363)/2</f>
        <v>244</v>
      </c>
      <c r="O362" s="141" t="n">
        <f aca="false">C362*(Estacas!P362+Estacas!P363)/2</f>
        <v>278.4</v>
      </c>
      <c r="P362" s="141" t="n">
        <f aca="false">R362*Parâmetros!$C$11</f>
        <v>0</v>
      </c>
      <c r="Q362" s="141" t="n">
        <f aca="false">R362*Parâmetros!$C$12</f>
        <v>0</v>
      </c>
      <c r="R362" s="141" t="n">
        <f aca="false">C362*(Estacas!Q362+Estacas!Q363)/2</f>
        <v>0</v>
      </c>
      <c r="S362" s="141" t="n">
        <f aca="false">IF(LEFT(E362,3)="T09",C362*Parâmetros!$D$13*Parâmetros!$C$13,0)</f>
        <v>0</v>
      </c>
    </row>
    <row r="363" customFormat="false" ht="15" hidden="false" customHeight="false" outlineLevel="0" collapsed="false">
      <c r="A363" s="138" t="str">
        <f aca="false">Estacas!A363</f>
        <v>361+0,00</v>
      </c>
      <c r="B363" s="138" t="str">
        <f aca="false">Estacas!A364</f>
        <v>362+0,00</v>
      </c>
      <c r="C363" s="144" t="n">
        <f aca="false">Estacas!C364-Estacas!C363</f>
        <v>20</v>
      </c>
      <c r="D363" s="138" t="s">
        <v>1574</v>
      </c>
      <c r="E363" s="138" t="s">
        <v>1566</v>
      </c>
      <c r="F363" s="141" t="n">
        <f aca="false">Estacas!F363</f>
        <v>12.9</v>
      </c>
      <c r="G363" s="141" t="n">
        <f aca="false">Estacas!F364</f>
        <v>16.1</v>
      </c>
      <c r="H363" s="141" t="n">
        <f aca="false">C363*(Estacas!K363+Estacas!K364)/2</f>
        <v>14.55</v>
      </c>
      <c r="I363" s="141" t="n">
        <f aca="false">H363*Parâmetros!$C$14</f>
        <v>34.92</v>
      </c>
      <c r="J363" s="141" t="n">
        <f aca="false">C363*(Estacas!L363+Estacas!L364)/2</f>
        <v>47.552</v>
      </c>
      <c r="K363" s="141" t="n">
        <f aca="false">C363*(Estacas!M363+Estacas!M364)/2</f>
        <v>61.68</v>
      </c>
      <c r="L363" s="141" t="n">
        <f aca="false">C363*(Estacas!N363+Estacas!N364)/2</f>
        <v>96.72</v>
      </c>
      <c r="M363" s="141" t="n">
        <f aca="false">C363*(Estacas!O363+Estacas!O364)/2</f>
        <v>294</v>
      </c>
      <c r="N363" s="141" t="n">
        <f aca="false">C363*(Estacas!O363+Estacas!O364)/2</f>
        <v>294</v>
      </c>
      <c r="O363" s="141" t="n">
        <f aca="false">C363*(Estacas!P363+Estacas!P364)/2</f>
        <v>328.4</v>
      </c>
      <c r="P363" s="141" t="n">
        <f aca="false">R363*Parâmetros!$C$11</f>
        <v>0</v>
      </c>
      <c r="Q363" s="141" t="n">
        <f aca="false">R363*Parâmetros!$C$12</f>
        <v>0</v>
      </c>
      <c r="R363" s="141" t="n">
        <f aca="false">C363*(Estacas!Q363+Estacas!Q364)/2</f>
        <v>0</v>
      </c>
      <c r="S363" s="141" t="n">
        <f aca="false">IF(LEFT(E363,3)="T09",C363*Parâmetros!$D$13*Parâmetros!$C$13,0)</f>
        <v>0</v>
      </c>
    </row>
    <row r="364" customFormat="false" ht="15" hidden="false" customHeight="false" outlineLevel="0" collapsed="false">
      <c r="A364" s="138" t="str">
        <f aca="false">Estacas!A364</f>
        <v>362+0,00</v>
      </c>
      <c r="B364" s="138" t="str">
        <f aca="false">Estacas!A365</f>
        <v>363+0,00</v>
      </c>
      <c r="C364" s="144" t="n">
        <f aca="false">Estacas!C365-Estacas!C364</f>
        <v>20</v>
      </c>
      <c r="D364" s="138" t="s">
        <v>1574</v>
      </c>
      <c r="E364" s="138" t="s">
        <v>1566</v>
      </c>
      <c r="F364" s="141" t="n">
        <f aca="false">Estacas!F364</f>
        <v>16.1</v>
      </c>
      <c r="G364" s="141" t="n">
        <f aca="false">Estacas!F365</f>
        <v>17</v>
      </c>
      <c r="H364" s="141" t="n">
        <f aca="false">C364*(Estacas!K364+Estacas!K365)/2</f>
        <v>16.6</v>
      </c>
      <c r="I364" s="141" t="n">
        <f aca="false">H364*Parâmetros!$C$14</f>
        <v>39.84</v>
      </c>
      <c r="J364" s="141" t="n">
        <f aca="false">C364*(Estacas!L364+Estacas!L365)/2</f>
        <v>54.112</v>
      </c>
      <c r="K364" s="141" t="n">
        <f aca="false">C364*(Estacas!M364+Estacas!M365)/2</f>
        <v>69.88</v>
      </c>
      <c r="L364" s="141" t="n">
        <f aca="false">C364*(Estacas!N364+Estacas!N365)/2</f>
        <v>109.02</v>
      </c>
      <c r="M364" s="141" t="n">
        <f aca="false">C364*(Estacas!O364+Estacas!O365)/2</f>
        <v>335</v>
      </c>
      <c r="N364" s="141" t="n">
        <f aca="false">C364*(Estacas!O364+Estacas!O365)/2</f>
        <v>335</v>
      </c>
      <c r="O364" s="141" t="n">
        <f aca="false">C364*(Estacas!P364+Estacas!P365)/2</f>
        <v>369.4</v>
      </c>
      <c r="P364" s="141" t="n">
        <f aca="false">R364*Parâmetros!$C$11</f>
        <v>0</v>
      </c>
      <c r="Q364" s="141" t="n">
        <f aca="false">R364*Parâmetros!$C$12</f>
        <v>0</v>
      </c>
      <c r="R364" s="141" t="n">
        <f aca="false">C364*(Estacas!Q364+Estacas!Q365)/2</f>
        <v>0</v>
      </c>
      <c r="S364" s="141" t="n">
        <f aca="false">IF(LEFT(E364,3)="T09",C364*Parâmetros!$D$13*Parâmetros!$C$13,0)</f>
        <v>0</v>
      </c>
    </row>
    <row r="365" customFormat="false" ht="15" hidden="false" customHeight="false" outlineLevel="0" collapsed="false">
      <c r="A365" s="138" t="str">
        <f aca="false">Estacas!A365</f>
        <v>363+0,00</v>
      </c>
      <c r="B365" s="138" t="str">
        <f aca="false">Estacas!A366</f>
        <v>364+0,00</v>
      </c>
      <c r="C365" s="144" t="n">
        <f aca="false">Estacas!C366-Estacas!C365</f>
        <v>20</v>
      </c>
      <c r="D365" s="138" t="s">
        <v>1574</v>
      </c>
      <c r="E365" s="138" t="s">
        <v>1566</v>
      </c>
      <c r="F365" s="141" t="n">
        <f aca="false">Estacas!F365</f>
        <v>17</v>
      </c>
      <c r="G365" s="141" t="n">
        <f aca="false">Estacas!F366</f>
        <v>14.7</v>
      </c>
      <c r="H365" s="141" t="n">
        <f aca="false">C365*(Estacas!K365+Estacas!K366)/2</f>
        <v>15.9</v>
      </c>
      <c r="I365" s="141" t="n">
        <f aca="false">H365*Parâmetros!$C$14</f>
        <v>38.16</v>
      </c>
      <c r="J365" s="141" t="n">
        <f aca="false">C365*(Estacas!L365+Estacas!L366)/2</f>
        <v>51.872</v>
      </c>
      <c r="K365" s="141" t="n">
        <f aca="false">C365*(Estacas!M365+Estacas!M366)/2</f>
        <v>67.08</v>
      </c>
      <c r="L365" s="141" t="n">
        <f aca="false">C365*(Estacas!N365+Estacas!N366)/2</f>
        <v>104.82</v>
      </c>
      <c r="M365" s="141" t="n">
        <f aca="false">C365*(Estacas!O365+Estacas!O366)/2</f>
        <v>321</v>
      </c>
      <c r="N365" s="141" t="n">
        <f aca="false">C365*(Estacas!O365+Estacas!O366)/2</f>
        <v>321</v>
      </c>
      <c r="O365" s="141" t="n">
        <f aca="false">C365*(Estacas!P365+Estacas!P366)/2</f>
        <v>355.4</v>
      </c>
      <c r="P365" s="141" t="n">
        <f aca="false">R365*Parâmetros!$C$11</f>
        <v>0</v>
      </c>
      <c r="Q365" s="141" t="n">
        <f aca="false">R365*Parâmetros!$C$12</f>
        <v>0</v>
      </c>
      <c r="R365" s="141" t="n">
        <f aca="false">C365*(Estacas!Q365+Estacas!Q366)/2</f>
        <v>0</v>
      </c>
      <c r="S365" s="141" t="n">
        <f aca="false">IF(LEFT(E365,3)="T09",C365*Parâmetros!$D$13*Parâmetros!$C$13,0)</f>
        <v>0</v>
      </c>
    </row>
    <row r="366" customFormat="false" ht="15" hidden="false" customHeight="false" outlineLevel="0" collapsed="false">
      <c r="A366" s="138" t="str">
        <f aca="false">Estacas!A366</f>
        <v>364+0,00</v>
      </c>
      <c r="B366" s="138" t="str">
        <f aca="false">Estacas!A367</f>
        <v>365+0,00</v>
      </c>
      <c r="C366" s="144" t="n">
        <f aca="false">Estacas!C367-Estacas!C366</f>
        <v>20</v>
      </c>
      <c r="D366" s="138" t="s">
        <v>1574</v>
      </c>
      <c r="E366" s="138" t="s">
        <v>1566</v>
      </c>
      <c r="F366" s="141" t="n">
        <f aca="false">Estacas!F366</f>
        <v>14.7</v>
      </c>
      <c r="G366" s="141" t="n">
        <f aca="false">Estacas!F367</f>
        <v>11.5</v>
      </c>
      <c r="H366" s="141" t="n">
        <f aca="false">C366*(Estacas!K366+Estacas!K367)/2</f>
        <v>13.15</v>
      </c>
      <c r="I366" s="141" t="n">
        <f aca="false">H366*Parâmetros!$C$14</f>
        <v>31.56</v>
      </c>
      <c r="J366" s="141" t="n">
        <f aca="false">C366*(Estacas!L366+Estacas!L367)/2</f>
        <v>43.072</v>
      </c>
      <c r="K366" s="141" t="n">
        <f aca="false">C366*(Estacas!M366+Estacas!M367)/2</f>
        <v>56.08</v>
      </c>
      <c r="L366" s="141" t="n">
        <f aca="false">C366*(Estacas!N366+Estacas!N367)/2</f>
        <v>88.32</v>
      </c>
      <c r="M366" s="141" t="n">
        <f aca="false">C366*(Estacas!O366+Estacas!O367)/2</f>
        <v>266</v>
      </c>
      <c r="N366" s="141" t="n">
        <f aca="false">C366*(Estacas!O366+Estacas!O367)/2</f>
        <v>266</v>
      </c>
      <c r="O366" s="141" t="n">
        <f aca="false">C366*(Estacas!P366+Estacas!P367)/2</f>
        <v>300.4</v>
      </c>
      <c r="P366" s="141" t="n">
        <f aca="false">R366*Parâmetros!$C$11</f>
        <v>0</v>
      </c>
      <c r="Q366" s="141" t="n">
        <f aca="false">R366*Parâmetros!$C$12</f>
        <v>0</v>
      </c>
      <c r="R366" s="141" t="n">
        <f aca="false">C366*(Estacas!Q366+Estacas!Q367)/2</f>
        <v>0</v>
      </c>
      <c r="S366" s="141" t="n">
        <f aca="false">IF(LEFT(E366,3)="T09",C366*Parâmetros!$D$13*Parâmetros!$C$13,0)</f>
        <v>0</v>
      </c>
    </row>
    <row r="367" customFormat="false" ht="15" hidden="false" customHeight="false" outlineLevel="0" collapsed="false">
      <c r="A367" s="138" t="str">
        <f aca="false">Estacas!A367</f>
        <v>365+0,00</v>
      </c>
      <c r="B367" s="138" t="str">
        <f aca="false">Estacas!A368</f>
        <v>366+0,00</v>
      </c>
      <c r="C367" s="144" t="n">
        <f aca="false">Estacas!C368-Estacas!C367</f>
        <v>20</v>
      </c>
      <c r="D367" s="138" t="s">
        <v>1574</v>
      </c>
      <c r="E367" s="138" t="s">
        <v>1566</v>
      </c>
      <c r="F367" s="141" t="n">
        <f aca="false">Estacas!F367</f>
        <v>11.5</v>
      </c>
      <c r="G367" s="141" t="n">
        <f aca="false">Estacas!F368</f>
        <v>11</v>
      </c>
      <c r="H367" s="141" t="n">
        <f aca="false">C367*(Estacas!K367+Estacas!K368)/2</f>
        <v>11.3</v>
      </c>
      <c r="I367" s="141" t="n">
        <f aca="false">H367*Parâmetros!$C$14</f>
        <v>27.12</v>
      </c>
      <c r="J367" s="141" t="n">
        <f aca="false">C367*(Estacas!L367+Estacas!L368)/2</f>
        <v>37.152</v>
      </c>
      <c r="K367" s="141" t="n">
        <f aca="false">C367*(Estacas!M367+Estacas!M368)/2</f>
        <v>48.68</v>
      </c>
      <c r="L367" s="141" t="n">
        <f aca="false">C367*(Estacas!N367+Estacas!N368)/2</f>
        <v>77.22</v>
      </c>
      <c r="M367" s="141" t="n">
        <f aca="false">C367*(Estacas!O367+Estacas!O368)/2</f>
        <v>229</v>
      </c>
      <c r="N367" s="141" t="n">
        <f aca="false">C367*(Estacas!O367+Estacas!O368)/2</f>
        <v>229</v>
      </c>
      <c r="O367" s="141" t="n">
        <f aca="false">C367*(Estacas!P367+Estacas!P368)/2</f>
        <v>263.4</v>
      </c>
      <c r="P367" s="141" t="n">
        <f aca="false">R367*Parâmetros!$C$11</f>
        <v>0</v>
      </c>
      <c r="Q367" s="141" t="n">
        <f aca="false">R367*Parâmetros!$C$12</f>
        <v>0</v>
      </c>
      <c r="R367" s="141" t="n">
        <f aca="false">C367*(Estacas!Q367+Estacas!Q368)/2</f>
        <v>0</v>
      </c>
      <c r="S367" s="141" t="n">
        <f aca="false">IF(LEFT(E367,3)="T09",C367*Parâmetros!$D$13*Parâmetros!$C$13,0)</f>
        <v>0</v>
      </c>
    </row>
    <row r="368" customFormat="false" ht="15" hidden="false" customHeight="false" outlineLevel="0" collapsed="false">
      <c r="A368" s="138" t="str">
        <f aca="false">Estacas!A368</f>
        <v>366+0,00</v>
      </c>
      <c r="B368" s="138" t="str">
        <f aca="false">Estacas!A369</f>
        <v>367+0,00</v>
      </c>
      <c r="C368" s="144" t="n">
        <f aca="false">Estacas!C369-Estacas!C368</f>
        <v>20</v>
      </c>
      <c r="D368" s="138" t="s">
        <v>1574</v>
      </c>
      <c r="E368" s="138" t="s">
        <v>1566</v>
      </c>
      <c r="F368" s="141" t="n">
        <f aca="false">Estacas!F368</f>
        <v>11</v>
      </c>
      <c r="G368" s="141" t="n">
        <f aca="false">Estacas!F369</f>
        <v>11</v>
      </c>
      <c r="H368" s="141" t="n">
        <f aca="false">C368*(Estacas!K368+Estacas!K369)/2</f>
        <v>11.05</v>
      </c>
      <c r="I368" s="141" t="n">
        <f aca="false">H368*Parâmetros!$C$14</f>
        <v>26.52</v>
      </c>
      <c r="J368" s="141" t="n">
        <f aca="false">C368*(Estacas!L368+Estacas!L369)/2</f>
        <v>36.352</v>
      </c>
      <c r="K368" s="141" t="n">
        <f aca="false">C368*(Estacas!M368+Estacas!M369)/2</f>
        <v>47.68</v>
      </c>
      <c r="L368" s="141" t="n">
        <f aca="false">C368*(Estacas!N368+Estacas!N369)/2</f>
        <v>75.72</v>
      </c>
      <c r="M368" s="141" t="n">
        <f aca="false">C368*(Estacas!O368+Estacas!O369)/2</f>
        <v>224</v>
      </c>
      <c r="N368" s="141" t="n">
        <f aca="false">C368*(Estacas!O368+Estacas!O369)/2</f>
        <v>224</v>
      </c>
      <c r="O368" s="141" t="n">
        <f aca="false">C368*(Estacas!P368+Estacas!P369)/2</f>
        <v>258.4</v>
      </c>
      <c r="P368" s="141" t="n">
        <f aca="false">R368*Parâmetros!$C$11</f>
        <v>0</v>
      </c>
      <c r="Q368" s="141" t="n">
        <f aca="false">R368*Parâmetros!$C$12</f>
        <v>0</v>
      </c>
      <c r="R368" s="141" t="n">
        <f aca="false">C368*(Estacas!Q368+Estacas!Q369)/2</f>
        <v>0</v>
      </c>
      <c r="S368" s="141" t="n">
        <f aca="false">IF(LEFT(E368,3)="T09",C368*Parâmetros!$D$13*Parâmetros!$C$13,0)</f>
        <v>0</v>
      </c>
    </row>
    <row r="369" customFormat="false" ht="15" hidden="false" customHeight="false" outlineLevel="0" collapsed="false">
      <c r="A369" s="138" t="str">
        <f aca="false">Estacas!A369</f>
        <v>367+0,00</v>
      </c>
      <c r="B369" s="138" t="str">
        <f aca="false">Estacas!A370</f>
        <v>368+0,00</v>
      </c>
      <c r="C369" s="144" t="n">
        <f aca="false">Estacas!C370-Estacas!C369</f>
        <v>20</v>
      </c>
      <c r="D369" s="138" t="s">
        <v>1574</v>
      </c>
      <c r="E369" s="138" t="s">
        <v>1566</v>
      </c>
      <c r="F369" s="141" t="n">
        <f aca="false">Estacas!F369</f>
        <v>11</v>
      </c>
      <c r="G369" s="141" t="n">
        <f aca="false">Estacas!F370</f>
        <v>11</v>
      </c>
      <c r="H369" s="141" t="n">
        <f aca="false">C369*(Estacas!K369+Estacas!K370)/2</f>
        <v>11.05</v>
      </c>
      <c r="I369" s="141" t="n">
        <f aca="false">H369*Parâmetros!$C$14</f>
        <v>26.52</v>
      </c>
      <c r="J369" s="141" t="n">
        <f aca="false">C369*(Estacas!L369+Estacas!L370)/2</f>
        <v>36.352</v>
      </c>
      <c r="K369" s="141" t="n">
        <f aca="false">C369*(Estacas!M369+Estacas!M370)/2</f>
        <v>47.68</v>
      </c>
      <c r="L369" s="141" t="n">
        <f aca="false">C369*(Estacas!N369+Estacas!N370)/2</f>
        <v>75.72</v>
      </c>
      <c r="M369" s="141" t="n">
        <f aca="false">C369*(Estacas!O369+Estacas!O370)/2</f>
        <v>224</v>
      </c>
      <c r="N369" s="141" t="n">
        <f aca="false">C369*(Estacas!O369+Estacas!O370)/2</f>
        <v>224</v>
      </c>
      <c r="O369" s="141" t="n">
        <f aca="false">C369*(Estacas!P369+Estacas!P370)/2</f>
        <v>258.4</v>
      </c>
      <c r="P369" s="141" t="n">
        <f aca="false">R369*Parâmetros!$C$11</f>
        <v>0</v>
      </c>
      <c r="Q369" s="141" t="n">
        <f aca="false">R369*Parâmetros!$C$12</f>
        <v>0</v>
      </c>
      <c r="R369" s="141" t="n">
        <f aca="false">C369*(Estacas!Q369+Estacas!Q370)/2</f>
        <v>0</v>
      </c>
      <c r="S369" s="141" t="n">
        <f aca="false">IF(LEFT(E369,3)="T09",C369*Parâmetros!$D$13*Parâmetros!$C$13,0)</f>
        <v>0</v>
      </c>
    </row>
    <row r="370" customFormat="false" ht="15" hidden="false" customHeight="false" outlineLevel="0" collapsed="false">
      <c r="A370" s="138" t="str">
        <f aca="false">Estacas!A370</f>
        <v>368+0,00</v>
      </c>
      <c r="B370" s="138" t="str">
        <f aca="false">Estacas!A371</f>
        <v>369+0,00</v>
      </c>
      <c r="C370" s="144" t="n">
        <f aca="false">Estacas!C371-Estacas!C370</f>
        <v>20</v>
      </c>
      <c r="D370" s="138" t="s">
        <v>1574</v>
      </c>
      <c r="E370" s="138" t="s">
        <v>1566</v>
      </c>
      <c r="F370" s="141" t="n">
        <f aca="false">Estacas!F370</f>
        <v>11</v>
      </c>
      <c r="G370" s="141" t="n">
        <f aca="false">Estacas!F371</f>
        <v>11</v>
      </c>
      <c r="H370" s="141" t="n">
        <f aca="false">C370*(Estacas!K370+Estacas!K371)/2</f>
        <v>11.05</v>
      </c>
      <c r="I370" s="141" t="n">
        <f aca="false">H370*Parâmetros!$C$14</f>
        <v>26.52</v>
      </c>
      <c r="J370" s="141" t="n">
        <f aca="false">C370*(Estacas!L370+Estacas!L371)/2</f>
        <v>36.352</v>
      </c>
      <c r="K370" s="141" t="n">
        <f aca="false">C370*(Estacas!M370+Estacas!M371)/2</f>
        <v>47.68</v>
      </c>
      <c r="L370" s="141" t="n">
        <f aca="false">C370*(Estacas!N370+Estacas!N371)/2</f>
        <v>75.72</v>
      </c>
      <c r="M370" s="141" t="n">
        <f aca="false">C370*(Estacas!O370+Estacas!O371)/2</f>
        <v>224</v>
      </c>
      <c r="N370" s="141" t="n">
        <f aca="false">C370*(Estacas!O370+Estacas!O371)/2</f>
        <v>224</v>
      </c>
      <c r="O370" s="141" t="n">
        <f aca="false">C370*(Estacas!P370+Estacas!P371)/2</f>
        <v>258.4</v>
      </c>
      <c r="P370" s="141" t="n">
        <f aca="false">R370*Parâmetros!$C$11</f>
        <v>0</v>
      </c>
      <c r="Q370" s="141" t="n">
        <f aca="false">R370*Parâmetros!$C$12</f>
        <v>0</v>
      </c>
      <c r="R370" s="141" t="n">
        <f aca="false">C370*(Estacas!Q370+Estacas!Q371)/2</f>
        <v>0</v>
      </c>
      <c r="S370" s="141" t="n">
        <f aca="false">IF(LEFT(E370,3)="T09",C370*Parâmetros!$D$13*Parâmetros!$C$13,0)</f>
        <v>0</v>
      </c>
    </row>
    <row r="371" customFormat="false" ht="15" hidden="false" customHeight="false" outlineLevel="0" collapsed="false">
      <c r="A371" s="138" t="str">
        <f aca="false">Estacas!A371</f>
        <v>369+0,00</v>
      </c>
      <c r="B371" s="138" t="str">
        <f aca="false">Estacas!A372</f>
        <v>370+0,00</v>
      </c>
      <c r="C371" s="144" t="n">
        <f aca="false">Estacas!C372-Estacas!C371</f>
        <v>20</v>
      </c>
      <c r="D371" s="138" t="s">
        <v>1574</v>
      </c>
      <c r="E371" s="138" t="s">
        <v>1566</v>
      </c>
      <c r="F371" s="141" t="n">
        <f aca="false">Estacas!F371</f>
        <v>11</v>
      </c>
      <c r="G371" s="141" t="n">
        <f aca="false">Estacas!F372</f>
        <v>11</v>
      </c>
      <c r="H371" s="141" t="n">
        <f aca="false">C371*(Estacas!K371+Estacas!K372)/2</f>
        <v>11.05</v>
      </c>
      <c r="I371" s="141" t="n">
        <f aca="false">H371*Parâmetros!$C$14</f>
        <v>26.52</v>
      </c>
      <c r="J371" s="141" t="n">
        <f aca="false">C371*(Estacas!L371+Estacas!L372)/2</f>
        <v>36.352</v>
      </c>
      <c r="K371" s="141" t="n">
        <f aca="false">C371*(Estacas!M371+Estacas!M372)/2</f>
        <v>47.68</v>
      </c>
      <c r="L371" s="141" t="n">
        <f aca="false">C371*(Estacas!N371+Estacas!N372)/2</f>
        <v>75.72</v>
      </c>
      <c r="M371" s="141" t="n">
        <f aca="false">C371*(Estacas!O371+Estacas!O372)/2</f>
        <v>224</v>
      </c>
      <c r="N371" s="141" t="n">
        <f aca="false">C371*(Estacas!O371+Estacas!O372)/2</f>
        <v>224</v>
      </c>
      <c r="O371" s="141" t="n">
        <f aca="false">C371*(Estacas!P371+Estacas!P372)/2</f>
        <v>258.4</v>
      </c>
      <c r="P371" s="141" t="n">
        <f aca="false">R371*Parâmetros!$C$11</f>
        <v>0</v>
      </c>
      <c r="Q371" s="141" t="n">
        <f aca="false">R371*Parâmetros!$C$12</f>
        <v>0</v>
      </c>
      <c r="R371" s="141" t="n">
        <f aca="false">C371*(Estacas!Q371+Estacas!Q372)/2</f>
        <v>0</v>
      </c>
      <c r="S371" s="141" t="n">
        <f aca="false">IF(LEFT(E371,3)="T09",C371*Parâmetros!$D$13*Parâmetros!$C$13,0)</f>
        <v>0</v>
      </c>
    </row>
    <row r="372" customFormat="false" ht="15" hidden="false" customHeight="false" outlineLevel="0" collapsed="false">
      <c r="A372" s="138" t="str">
        <f aca="false">Estacas!A372</f>
        <v>370+0,00</v>
      </c>
      <c r="B372" s="138" t="str">
        <f aca="false">Estacas!A373</f>
        <v>371+0,00</v>
      </c>
      <c r="C372" s="144" t="n">
        <f aca="false">Estacas!C373-Estacas!C372</f>
        <v>20</v>
      </c>
      <c r="D372" s="138" t="s">
        <v>1574</v>
      </c>
      <c r="E372" s="138" t="s">
        <v>1566</v>
      </c>
      <c r="F372" s="141" t="n">
        <f aca="false">Estacas!F372</f>
        <v>11</v>
      </c>
      <c r="G372" s="141" t="n">
        <f aca="false">Estacas!F373</f>
        <v>11</v>
      </c>
      <c r="H372" s="141" t="n">
        <f aca="false">C372*(Estacas!K372+Estacas!K373)/2</f>
        <v>11.05</v>
      </c>
      <c r="I372" s="141" t="n">
        <f aca="false">H372*Parâmetros!$C$14</f>
        <v>26.52</v>
      </c>
      <c r="J372" s="141" t="n">
        <f aca="false">C372*(Estacas!L372+Estacas!L373)/2</f>
        <v>36.352</v>
      </c>
      <c r="K372" s="141" t="n">
        <f aca="false">C372*(Estacas!M372+Estacas!M373)/2</f>
        <v>47.68</v>
      </c>
      <c r="L372" s="141" t="n">
        <f aca="false">C372*(Estacas!N372+Estacas!N373)/2</f>
        <v>75.72</v>
      </c>
      <c r="M372" s="141" t="n">
        <f aca="false">C372*(Estacas!O372+Estacas!O373)/2</f>
        <v>224</v>
      </c>
      <c r="N372" s="141" t="n">
        <f aca="false">C372*(Estacas!O372+Estacas!O373)/2</f>
        <v>224</v>
      </c>
      <c r="O372" s="141" t="n">
        <f aca="false">C372*(Estacas!P372+Estacas!P373)/2</f>
        <v>258.4</v>
      </c>
      <c r="P372" s="141" t="n">
        <f aca="false">R372*Parâmetros!$C$11</f>
        <v>0</v>
      </c>
      <c r="Q372" s="141" t="n">
        <f aca="false">R372*Parâmetros!$C$12</f>
        <v>0</v>
      </c>
      <c r="R372" s="141" t="n">
        <f aca="false">C372*(Estacas!Q372+Estacas!Q373)/2</f>
        <v>0</v>
      </c>
      <c r="S372" s="141" t="n">
        <f aca="false">IF(LEFT(E372,3)="T09",C372*Parâmetros!$D$13*Parâmetros!$C$13,0)</f>
        <v>0</v>
      </c>
    </row>
    <row r="373" customFormat="false" ht="15" hidden="false" customHeight="false" outlineLevel="0" collapsed="false">
      <c r="A373" s="138" t="str">
        <f aca="false">Estacas!A373</f>
        <v>371+0,00</v>
      </c>
      <c r="B373" s="138" t="str">
        <f aca="false">Estacas!A374</f>
        <v>372+0,00</v>
      </c>
      <c r="C373" s="144" t="n">
        <f aca="false">Estacas!C374-Estacas!C373</f>
        <v>20</v>
      </c>
      <c r="D373" s="138" t="s">
        <v>1574</v>
      </c>
      <c r="E373" s="138" t="s">
        <v>1566</v>
      </c>
      <c r="F373" s="141" t="n">
        <f aca="false">Estacas!F373</f>
        <v>11</v>
      </c>
      <c r="G373" s="141" t="n">
        <f aca="false">Estacas!F374</f>
        <v>11</v>
      </c>
      <c r="H373" s="141" t="n">
        <f aca="false">C373*(Estacas!K373+Estacas!K374)/2</f>
        <v>11.05</v>
      </c>
      <c r="I373" s="141" t="n">
        <f aca="false">H373*Parâmetros!$C$14</f>
        <v>26.52</v>
      </c>
      <c r="J373" s="141" t="n">
        <f aca="false">C373*(Estacas!L373+Estacas!L374)/2</f>
        <v>36.352</v>
      </c>
      <c r="K373" s="141" t="n">
        <f aca="false">C373*(Estacas!M373+Estacas!M374)/2</f>
        <v>47.68</v>
      </c>
      <c r="L373" s="141" t="n">
        <f aca="false">C373*(Estacas!N373+Estacas!N374)/2</f>
        <v>75.72</v>
      </c>
      <c r="M373" s="141" t="n">
        <f aca="false">C373*(Estacas!O373+Estacas!O374)/2</f>
        <v>224</v>
      </c>
      <c r="N373" s="141" t="n">
        <f aca="false">C373*(Estacas!O373+Estacas!O374)/2</f>
        <v>224</v>
      </c>
      <c r="O373" s="141" t="n">
        <f aca="false">C373*(Estacas!P373+Estacas!P374)/2</f>
        <v>258.4</v>
      </c>
      <c r="P373" s="141" t="n">
        <f aca="false">R373*Parâmetros!$C$11</f>
        <v>0</v>
      </c>
      <c r="Q373" s="141" t="n">
        <f aca="false">R373*Parâmetros!$C$12</f>
        <v>0</v>
      </c>
      <c r="R373" s="141" t="n">
        <f aca="false">C373*(Estacas!Q373+Estacas!Q374)/2</f>
        <v>0</v>
      </c>
      <c r="S373" s="141" t="n">
        <f aca="false">IF(LEFT(E373,3)="T09",C373*Parâmetros!$D$13*Parâmetros!$C$13,0)</f>
        <v>0</v>
      </c>
    </row>
    <row r="374" customFormat="false" ht="15" hidden="false" customHeight="false" outlineLevel="0" collapsed="false">
      <c r="A374" s="138" t="str">
        <f aca="false">Estacas!A374</f>
        <v>372+0,00</v>
      </c>
      <c r="B374" s="138" t="str">
        <f aca="false">Estacas!A375</f>
        <v>373+0,00</v>
      </c>
      <c r="C374" s="144" t="n">
        <f aca="false">Estacas!C375-Estacas!C374</f>
        <v>20</v>
      </c>
      <c r="D374" s="138" t="s">
        <v>1574</v>
      </c>
      <c r="E374" s="138" t="s">
        <v>1566</v>
      </c>
      <c r="F374" s="141" t="n">
        <f aca="false">Estacas!F374</f>
        <v>11</v>
      </c>
      <c r="G374" s="141" t="n">
        <f aca="false">Estacas!F375</f>
        <v>11</v>
      </c>
      <c r="H374" s="141" t="n">
        <f aca="false">C374*(Estacas!K374+Estacas!K375)/2</f>
        <v>11.05</v>
      </c>
      <c r="I374" s="141" t="n">
        <f aca="false">H374*Parâmetros!$C$14</f>
        <v>26.52</v>
      </c>
      <c r="J374" s="141" t="n">
        <f aca="false">C374*(Estacas!L374+Estacas!L375)/2</f>
        <v>36.352</v>
      </c>
      <c r="K374" s="141" t="n">
        <f aca="false">C374*(Estacas!M374+Estacas!M375)/2</f>
        <v>47.68</v>
      </c>
      <c r="L374" s="141" t="n">
        <f aca="false">C374*(Estacas!N374+Estacas!N375)/2</f>
        <v>75.72</v>
      </c>
      <c r="M374" s="141" t="n">
        <f aca="false">C374*(Estacas!O374+Estacas!O375)/2</f>
        <v>224</v>
      </c>
      <c r="N374" s="141" t="n">
        <f aca="false">C374*(Estacas!O374+Estacas!O375)/2</f>
        <v>224</v>
      </c>
      <c r="O374" s="141" t="n">
        <f aca="false">C374*(Estacas!P374+Estacas!P375)/2</f>
        <v>258.4</v>
      </c>
      <c r="P374" s="141" t="n">
        <f aca="false">R374*Parâmetros!$C$11</f>
        <v>0</v>
      </c>
      <c r="Q374" s="141" t="n">
        <f aca="false">R374*Parâmetros!$C$12</f>
        <v>0</v>
      </c>
      <c r="R374" s="141" t="n">
        <f aca="false">C374*(Estacas!Q374+Estacas!Q375)/2</f>
        <v>0</v>
      </c>
      <c r="S374" s="141" t="n">
        <f aca="false">IF(LEFT(E374,3)="T09",C374*Parâmetros!$D$13*Parâmetros!$C$13,0)</f>
        <v>0</v>
      </c>
    </row>
    <row r="375" customFormat="false" ht="15" hidden="false" customHeight="false" outlineLevel="0" collapsed="false">
      <c r="A375" s="138" t="str">
        <f aca="false">Estacas!A375</f>
        <v>373+0,00</v>
      </c>
      <c r="B375" s="138" t="str">
        <f aca="false">Estacas!A376</f>
        <v>374+0,00</v>
      </c>
      <c r="C375" s="144" t="n">
        <f aca="false">Estacas!C376-Estacas!C375</f>
        <v>20</v>
      </c>
      <c r="D375" s="138" t="s">
        <v>1574</v>
      </c>
      <c r="E375" s="138" t="s">
        <v>1566</v>
      </c>
      <c r="F375" s="141" t="n">
        <f aca="false">Estacas!F375</f>
        <v>11</v>
      </c>
      <c r="G375" s="141" t="n">
        <f aca="false">Estacas!F376</f>
        <v>11</v>
      </c>
      <c r="H375" s="141" t="n">
        <f aca="false">C375*(Estacas!K375+Estacas!K376)/2</f>
        <v>11.05</v>
      </c>
      <c r="I375" s="141" t="n">
        <f aca="false">H375*Parâmetros!$C$14</f>
        <v>26.52</v>
      </c>
      <c r="J375" s="141" t="n">
        <f aca="false">C375*(Estacas!L375+Estacas!L376)/2</f>
        <v>36.352</v>
      </c>
      <c r="K375" s="141" t="n">
        <f aca="false">C375*(Estacas!M375+Estacas!M376)/2</f>
        <v>47.68</v>
      </c>
      <c r="L375" s="141" t="n">
        <f aca="false">C375*(Estacas!N375+Estacas!N376)/2</f>
        <v>75.72</v>
      </c>
      <c r="M375" s="141" t="n">
        <f aca="false">C375*(Estacas!O375+Estacas!O376)/2</f>
        <v>224</v>
      </c>
      <c r="N375" s="141" t="n">
        <f aca="false">C375*(Estacas!O375+Estacas!O376)/2</f>
        <v>224</v>
      </c>
      <c r="O375" s="141" t="n">
        <f aca="false">C375*(Estacas!P375+Estacas!P376)/2</f>
        <v>258.4</v>
      </c>
      <c r="P375" s="141" t="n">
        <f aca="false">R375*Parâmetros!$C$11</f>
        <v>0</v>
      </c>
      <c r="Q375" s="141" t="n">
        <f aca="false">R375*Parâmetros!$C$12</f>
        <v>0</v>
      </c>
      <c r="R375" s="141" t="n">
        <f aca="false">C375*(Estacas!Q375+Estacas!Q376)/2</f>
        <v>0</v>
      </c>
      <c r="S375" s="141" t="n">
        <f aca="false">IF(LEFT(E375,3)="T09",C375*Parâmetros!$D$13*Parâmetros!$C$13,0)</f>
        <v>0</v>
      </c>
    </row>
    <row r="376" customFormat="false" ht="15" hidden="false" customHeight="false" outlineLevel="0" collapsed="false">
      <c r="A376" s="138" t="str">
        <f aca="false">Estacas!A376</f>
        <v>374+0,00</v>
      </c>
      <c r="B376" s="138" t="str">
        <f aca="false">Estacas!A377</f>
        <v>375+0,00</v>
      </c>
      <c r="C376" s="144" t="n">
        <f aca="false">Estacas!C377-Estacas!C376</f>
        <v>20</v>
      </c>
      <c r="D376" s="138" t="s">
        <v>1574</v>
      </c>
      <c r="E376" s="138" t="s">
        <v>1566</v>
      </c>
      <c r="F376" s="141" t="n">
        <f aca="false">Estacas!F376</f>
        <v>11</v>
      </c>
      <c r="G376" s="141" t="n">
        <f aca="false">Estacas!F377</f>
        <v>11</v>
      </c>
      <c r="H376" s="141" t="n">
        <f aca="false">C376*(Estacas!K376+Estacas!K377)/2</f>
        <v>11.05</v>
      </c>
      <c r="I376" s="141" t="n">
        <f aca="false">H376*Parâmetros!$C$14</f>
        <v>26.52</v>
      </c>
      <c r="J376" s="141" t="n">
        <f aca="false">C376*(Estacas!L376+Estacas!L377)/2</f>
        <v>36.352</v>
      </c>
      <c r="K376" s="141" t="n">
        <f aca="false">C376*(Estacas!M376+Estacas!M377)/2</f>
        <v>47.68</v>
      </c>
      <c r="L376" s="141" t="n">
        <f aca="false">C376*(Estacas!N376+Estacas!N377)/2</f>
        <v>75.72</v>
      </c>
      <c r="M376" s="141" t="n">
        <f aca="false">C376*(Estacas!O376+Estacas!O377)/2</f>
        <v>224</v>
      </c>
      <c r="N376" s="141" t="n">
        <f aca="false">C376*(Estacas!O376+Estacas!O377)/2</f>
        <v>224</v>
      </c>
      <c r="O376" s="141" t="n">
        <f aca="false">C376*(Estacas!P376+Estacas!P377)/2</f>
        <v>258.4</v>
      </c>
      <c r="P376" s="141" t="n">
        <f aca="false">R376*Parâmetros!$C$11</f>
        <v>0</v>
      </c>
      <c r="Q376" s="141" t="n">
        <f aca="false">R376*Parâmetros!$C$12</f>
        <v>0</v>
      </c>
      <c r="R376" s="141" t="n">
        <f aca="false">C376*(Estacas!Q376+Estacas!Q377)/2</f>
        <v>0</v>
      </c>
      <c r="S376" s="141" t="n">
        <f aca="false">IF(LEFT(E376,3)="T09",C376*Parâmetros!$D$13*Parâmetros!$C$13,0)</f>
        <v>0</v>
      </c>
    </row>
    <row r="377" customFormat="false" ht="15" hidden="false" customHeight="false" outlineLevel="0" collapsed="false">
      <c r="A377" s="138" t="str">
        <f aca="false">Estacas!A377</f>
        <v>375+0,00</v>
      </c>
      <c r="B377" s="138" t="str">
        <f aca="false">Estacas!A378</f>
        <v>376+0,00</v>
      </c>
      <c r="C377" s="144" t="n">
        <f aca="false">Estacas!C378-Estacas!C377</f>
        <v>20</v>
      </c>
      <c r="D377" s="138" t="s">
        <v>1574</v>
      </c>
      <c r="E377" s="138" t="s">
        <v>1566</v>
      </c>
      <c r="F377" s="141" t="n">
        <f aca="false">Estacas!F377</f>
        <v>11</v>
      </c>
      <c r="G377" s="141" t="n">
        <f aca="false">Estacas!F378</f>
        <v>11</v>
      </c>
      <c r="H377" s="141" t="n">
        <f aca="false">C377*(Estacas!K377+Estacas!K378)/2</f>
        <v>11.05</v>
      </c>
      <c r="I377" s="141" t="n">
        <f aca="false">H377*Parâmetros!$C$14</f>
        <v>26.52</v>
      </c>
      <c r="J377" s="141" t="n">
        <f aca="false">C377*(Estacas!L377+Estacas!L378)/2</f>
        <v>36.352</v>
      </c>
      <c r="K377" s="141" t="n">
        <f aca="false">C377*(Estacas!M377+Estacas!M378)/2</f>
        <v>47.68</v>
      </c>
      <c r="L377" s="141" t="n">
        <f aca="false">C377*(Estacas!N377+Estacas!N378)/2</f>
        <v>75.72</v>
      </c>
      <c r="M377" s="141" t="n">
        <f aca="false">C377*(Estacas!O377+Estacas!O378)/2</f>
        <v>224</v>
      </c>
      <c r="N377" s="141" t="n">
        <f aca="false">C377*(Estacas!O377+Estacas!O378)/2</f>
        <v>224</v>
      </c>
      <c r="O377" s="141" t="n">
        <f aca="false">C377*(Estacas!P377+Estacas!P378)/2</f>
        <v>258.4</v>
      </c>
      <c r="P377" s="141" t="n">
        <f aca="false">R377*Parâmetros!$C$11</f>
        <v>0</v>
      </c>
      <c r="Q377" s="141" t="n">
        <f aca="false">R377*Parâmetros!$C$12</f>
        <v>0</v>
      </c>
      <c r="R377" s="141" t="n">
        <f aca="false">C377*(Estacas!Q377+Estacas!Q378)/2</f>
        <v>0</v>
      </c>
      <c r="S377" s="141" t="n">
        <f aca="false">IF(LEFT(E377,3)="T09",C377*Parâmetros!$D$13*Parâmetros!$C$13,0)</f>
        <v>0</v>
      </c>
    </row>
    <row r="378" customFormat="false" ht="15" hidden="false" customHeight="false" outlineLevel="0" collapsed="false">
      <c r="A378" s="138" t="str">
        <f aca="false">Estacas!A378</f>
        <v>376+0,00</v>
      </c>
      <c r="B378" s="138" t="str">
        <f aca="false">Estacas!A379</f>
        <v>377+0,00</v>
      </c>
      <c r="C378" s="144" t="n">
        <f aca="false">Estacas!C379-Estacas!C378</f>
        <v>20</v>
      </c>
      <c r="D378" s="138" t="s">
        <v>1574</v>
      </c>
      <c r="E378" s="138" t="s">
        <v>1566</v>
      </c>
      <c r="F378" s="141" t="n">
        <f aca="false">Estacas!F378</f>
        <v>11</v>
      </c>
      <c r="G378" s="141" t="n">
        <f aca="false">Estacas!F379</f>
        <v>11</v>
      </c>
      <c r="H378" s="141" t="n">
        <f aca="false">C378*(Estacas!K378+Estacas!K379)/2</f>
        <v>11.05</v>
      </c>
      <c r="I378" s="141" t="n">
        <f aca="false">H378*Parâmetros!$C$14</f>
        <v>26.52</v>
      </c>
      <c r="J378" s="141" t="n">
        <f aca="false">C378*(Estacas!L378+Estacas!L379)/2</f>
        <v>36.352</v>
      </c>
      <c r="K378" s="141" t="n">
        <f aca="false">C378*(Estacas!M378+Estacas!M379)/2</f>
        <v>47.68</v>
      </c>
      <c r="L378" s="141" t="n">
        <f aca="false">C378*(Estacas!N378+Estacas!N379)/2</f>
        <v>75.72</v>
      </c>
      <c r="M378" s="141" t="n">
        <f aca="false">C378*(Estacas!O378+Estacas!O379)/2</f>
        <v>224</v>
      </c>
      <c r="N378" s="141" t="n">
        <f aca="false">C378*(Estacas!O378+Estacas!O379)/2</f>
        <v>224</v>
      </c>
      <c r="O378" s="141" t="n">
        <f aca="false">C378*(Estacas!P378+Estacas!P379)/2</f>
        <v>258.4</v>
      </c>
      <c r="P378" s="141" t="n">
        <f aca="false">R378*Parâmetros!$C$11</f>
        <v>0</v>
      </c>
      <c r="Q378" s="141" t="n">
        <f aca="false">R378*Parâmetros!$C$12</f>
        <v>0</v>
      </c>
      <c r="R378" s="141" t="n">
        <f aca="false">C378*(Estacas!Q378+Estacas!Q379)/2</f>
        <v>0</v>
      </c>
      <c r="S378" s="141" t="n">
        <f aca="false">IF(LEFT(E378,3)="T09",C378*Parâmetros!$D$13*Parâmetros!$C$13,0)</f>
        <v>0</v>
      </c>
    </row>
    <row r="379" customFormat="false" ht="15" hidden="false" customHeight="false" outlineLevel="0" collapsed="false">
      <c r="A379" s="138" t="str">
        <f aca="false">Estacas!A379</f>
        <v>377+0,00</v>
      </c>
      <c r="B379" s="138" t="str">
        <f aca="false">Estacas!A380</f>
        <v>378+0,00</v>
      </c>
      <c r="C379" s="144" t="n">
        <f aca="false">Estacas!C380-Estacas!C379</f>
        <v>20</v>
      </c>
      <c r="D379" s="138" t="s">
        <v>1574</v>
      </c>
      <c r="E379" s="138" t="s">
        <v>1566</v>
      </c>
      <c r="F379" s="141" t="n">
        <f aca="false">Estacas!F379</f>
        <v>11</v>
      </c>
      <c r="G379" s="141" t="n">
        <f aca="false">Estacas!F380</f>
        <v>11</v>
      </c>
      <c r="H379" s="141" t="n">
        <f aca="false">C379*(Estacas!K379+Estacas!K380)/2</f>
        <v>11.05</v>
      </c>
      <c r="I379" s="141" t="n">
        <f aca="false">H379*Parâmetros!$C$14</f>
        <v>26.52</v>
      </c>
      <c r="J379" s="141" t="n">
        <f aca="false">C379*(Estacas!L379+Estacas!L380)/2</f>
        <v>36.352</v>
      </c>
      <c r="K379" s="141" t="n">
        <f aca="false">C379*(Estacas!M379+Estacas!M380)/2</f>
        <v>47.68</v>
      </c>
      <c r="L379" s="141" t="n">
        <f aca="false">C379*(Estacas!N379+Estacas!N380)/2</f>
        <v>75.72</v>
      </c>
      <c r="M379" s="141" t="n">
        <f aca="false">C379*(Estacas!O379+Estacas!O380)/2</f>
        <v>224</v>
      </c>
      <c r="N379" s="141" t="n">
        <f aca="false">C379*(Estacas!O379+Estacas!O380)/2</f>
        <v>224</v>
      </c>
      <c r="O379" s="141" t="n">
        <f aca="false">C379*(Estacas!P379+Estacas!P380)/2</f>
        <v>258.4</v>
      </c>
      <c r="P379" s="141" t="n">
        <f aca="false">R379*Parâmetros!$C$11</f>
        <v>0</v>
      </c>
      <c r="Q379" s="141" t="n">
        <f aca="false">R379*Parâmetros!$C$12</f>
        <v>0</v>
      </c>
      <c r="R379" s="141" t="n">
        <f aca="false">C379*(Estacas!Q379+Estacas!Q380)/2</f>
        <v>0</v>
      </c>
      <c r="S379" s="141" t="n">
        <f aca="false">IF(LEFT(E379,3)="T09",C379*Parâmetros!$D$13*Parâmetros!$C$13,0)</f>
        <v>0</v>
      </c>
    </row>
    <row r="380" customFormat="false" ht="15" hidden="false" customHeight="false" outlineLevel="0" collapsed="false">
      <c r="A380" s="138" t="str">
        <f aca="false">Estacas!A380</f>
        <v>378+0,00</v>
      </c>
      <c r="B380" s="138" t="str">
        <f aca="false">Estacas!A381</f>
        <v>379+0,00</v>
      </c>
      <c r="C380" s="144" t="n">
        <f aca="false">Estacas!C381-Estacas!C380</f>
        <v>20</v>
      </c>
      <c r="D380" s="138" t="s">
        <v>1574</v>
      </c>
      <c r="E380" s="138" t="s">
        <v>1566</v>
      </c>
      <c r="F380" s="141" t="n">
        <f aca="false">Estacas!F380</f>
        <v>11</v>
      </c>
      <c r="G380" s="141" t="n">
        <f aca="false">Estacas!F381</f>
        <v>11</v>
      </c>
      <c r="H380" s="141" t="n">
        <f aca="false">C380*(Estacas!K380+Estacas!K381)/2</f>
        <v>11.05</v>
      </c>
      <c r="I380" s="141" t="n">
        <f aca="false">H380*Parâmetros!$C$14</f>
        <v>26.52</v>
      </c>
      <c r="J380" s="141" t="n">
        <f aca="false">C380*(Estacas!L380+Estacas!L381)/2</f>
        <v>36.352</v>
      </c>
      <c r="K380" s="141" t="n">
        <f aca="false">C380*(Estacas!M380+Estacas!M381)/2</f>
        <v>47.68</v>
      </c>
      <c r="L380" s="141" t="n">
        <f aca="false">C380*(Estacas!N380+Estacas!N381)/2</f>
        <v>75.72</v>
      </c>
      <c r="M380" s="141" t="n">
        <f aca="false">C380*(Estacas!O380+Estacas!O381)/2</f>
        <v>224</v>
      </c>
      <c r="N380" s="141" t="n">
        <f aca="false">C380*(Estacas!O380+Estacas!O381)/2</f>
        <v>224</v>
      </c>
      <c r="O380" s="141" t="n">
        <f aca="false">C380*(Estacas!P380+Estacas!P381)/2</f>
        <v>258.4</v>
      </c>
      <c r="P380" s="141" t="n">
        <f aca="false">R380*Parâmetros!$C$11</f>
        <v>0</v>
      </c>
      <c r="Q380" s="141" t="n">
        <f aca="false">R380*Parâmetros!$C$12</f>
        <v>0</v>
      </c>
      <c r="R380" s="141" t="n">
        <f aca="false">C380*(Estacas!Q380+Estacas!Q381)/2</f>
        <v>0</v>
      </c>
      <c r="S380" s="141" t="n">
        <f aca="false">IF(LEFT(E380,3)="T09",C380*Parâmetros!$D$13*Parâmetros!$C$13,0)</f>
        <v>0</v>
      </c>
    </row>
    <row r="381" customFormat="false" ht="15" hidden="false" customHeight="false" outlineLevel="0" collapsed="false">
      <c r="A381" s="138" t="str">
        <f aca="false">Estacas!A381</f>
        <v>379+0,00</v>
      </c>
      <c r="B381" s="138" t="str">
        <f aca="false">Estacas!A382</f>
        <v>380+0,00</v>
      </c>
      <c r="C381" s="144" t="n">
        <f aca="false">Estacas!C382-Estacas!C381</f>
        <v>20</v>
      </c>
      <c r="D381" s="138" t="s">
        <v>1574</v>
      </c>
      <c r="E381" s="138" t="s">
        <v>1566</v>
      </c>
      <c r="F381" s="141" t="n">
        <f aca="false">Estacas!F381</f>
        <v>11</v>
      </c>
      <c r="G381" s="141" t="n">
        <f aca="false">Estacas!F382</f>
        <v>11</v>
      </c>
      <c r="H381" s="141" t="n">
        <f aca="false">C381*(Estacas!K381+Estacas!K382)/2</f>
        <v>11.05</v>
      </c>
      <c r="I381" s="141" t="n">
        <f aca="false">H381*Parâmetros!$C$14</f>
        <v>26.52</v>
      </c>
      <c r="J381" s="141" t="n">
        <f aca="false">C381*(Estacas!L381+Estacas!L382)/2</f>
        <v>36.352</v>
      </c>
      <c r="K381" s="141" t="n">
        <f aca="false">C381*(Estacas!M381+Estacas!M382)/2</f>
        <v>47.68</v>
      </c>
      <c r="L381" s="141" t="n">
        <f aca="false">C381*(Estacas!N381+Estacas!N382)/2</f>
        <v>75.72</v>
      </c>
      <c r="M381" s="141" t="n">
        <f aca="false">C381*(Estacas!O381+Estacas!O382)/2</f>
        <v>224</v>
      </c>
      <c r="N381" s="141" t="n">
        <f aca="false">C381*(Estacas!O381+Estacas!O382)/2</f>
        <v>224</v>
      </c>
      <c r="O381" s="141" t="n">
        <f aca="false">C381*(Estacas!P381+Estacas!P382)/2</f>
        <v>258.4</v>
      </c>
      <c r="P381" s="141" t="n">
        <f aca="false">R381*Parâmetros!$C$11</f>
        <v>0</v>
      </c>
      <c r="Q381" s="141" t="n">
        <f aca="false">R381*Parâmetros!$C$12</f>
        <v>0</v>
      </c>
      <c r="R381" s="141" t="n">
        <f aca="false">C381*(Estacas!Q381+Estacas!Q382)/2</f>
        <v>0</v>
      </c>
      <c r="S381" s="141" t="n">
        <f aca="false">IF(LEFT(E381,3)="T09",C381*Parâmetros!$D$13*Parâmetros!$C$13,0)</f>
        <v>0</v>
      </c>
    </row>
    <row r="382" customFormat="false" ht="15" hidden="false" customHeight="false" outlineLevel="0" collapsed="false">
      <c r="A382" s="138" t="str">
        <f aca="false">Estacas!A382</f>
        <v>380+0,00</v>
      </c>
      <c r="B382" s="138" t="str">
        <f aca="false">Estacas!A383</f>
        <v>381+0,00</v>
      </c>
      <c r="C382" s="144" t="n">
        <f aca="false">Estacas!C383-Estacas!C382</f>
        <v>20</v>
      </c>
      <c r="D382" s="138" t="s">
        <v>1574</v>
      </c>
      <c r="E382" s="138" t="s">
        <v>1566</v>
      </c>
      <c r="F382" s="141" t="n">
        <f aca="false">Estacas!F382</f>
        <v>11</v>
      </c>
      <c r="G382" s="141" t="n">
        <f aca="false">Estacas!F383</f>
        <v>11</v>
      </c>
      <c r="H382" s="141" t="n">
        <f aca="false">C382*(Estacas!K382+Estacas!K383)/2</f>
        <v>11.05</v>
      </c>
      <c r="I382" s="141" t="n">
        <f aca="false">H382*Parâmetros!$C$14</f>
        <v>26.52</v>
      </c>
      <c r="J382" s="141" t="n">
        <f aca="false">C382*(Estacas!L382+Estacas!L383)/2</f>
        <v>36.352</v>
      </c>
      <c r="K382" s="141" t="n">
        <f aca="false">C382*(Estacas!M382+Estacas!M383)/2</f>
        <v>47.68</v>
      </c>
      <c r="L382" s="141" t="n">
        <f aca="false">C382*(Estacas!N382+Estacas!N383)/2</f>
        <v>75.72</v>
      </c>
      <c r="M382" s="141" t="n">
        <f aca="false">C382*(Estacas!O382+Estacas!O383)/2</f>
        <v>224</v>
      </c>
      <c r="N382" s="141" t="n">
        <f aca="false">C382*(Estacas!O382+Estacas!O383)/2</f>
        <v>224</v>
      </c>
      <c r="O382" s="141" t="n">
        <f aca="false">C382*(Estacas!P382+Estacas!P383)/2</f>
        <v>258.4</v>
      </c>
      <c r="P382" s="141" t="n">
        <f aca="false">R382*Parâmetros!$C$11</f>
        <v>0</v>
      </c>
      <c r="Q382" s="141" t="n">
        <f aca="false">R382*Parâmetros!$C$12</f>
        <v>0</v>
      </c>
      <c r="R382" s="141" t="n">
        <f aca="false">C382*(Estacas!Q382+Estacas!Q383)/2</f>
        <v>0</v>
      </c>
      <c r="S382" s="141" t="n">
        <f aca="false">IF(LEFT(E382,3)="T09",C382*Parâmetros!$D$13*Parâmetros!$C$13,0)</f>
        <v>0</v>
      </c>
    </row>
    <row r="383" customFormat="false" ht="15" hidden="false" customHeight="false" outlineLevel="0" collapsed="false">
      <c r="A383" s="138" t="str">
        <f aca="false">Estacas!A383</f>
        <v>381+0,00</v>
      </c>
      <c r="B383" s="138" t="str">
        <f aca="false">Estacas!A384</f>
        <v>382+0,00</v>
      </c>
      <c r="C383" s="144" t="n">
        <f aca="false">Estacas!C384-Estacas!C383</f>
        <v>20</v>
      </c>
      <c r="D383" s="138" t="s">
        <v>1574</v>
      </c>
      <c r="E383" s="138" t="s">
        <v>1566</v>
      </c>
      <c r="F383" s="141" t="n">
        <f aca="false">Estacas!F383</f>
        <v>11</v>
      </c>
      <c r="G383" s="141" t="n">
        <f aca="false">Estacas!F384</f>
        <v>11</v>
      </c>
      <c r="H383" s="141" t="n">
        <f aca="false">C383*(Estacas!K383+Estacas!K384)/2</f>
        <v>11.05</v>
      </c>
      <c r="I383" s="141" t="n">
        <f aca="false">H383*Parâmetros!$C$14</f>
        <v>26.52</v>
      </c>
      <c r="J383" s="141" t="n">
        <f aca="false">C383*(Estacas!L383+Estacas!L384)/2</f>
        <v>36.352</v>
      </c>
      <c r="K383" s="141" t="n">
        <f aca="false">C383*(Estacas!M383+Estacas!M384)/2</f>
        <v>47.68</v>
      </c>
      <c r="L383" s="141" t="n">
        <f aca="false">C383*(Estacas!N383+Estacas!N384)/2</f>
        <v>75.72</v>
      </c>
      <c r="M383" s="141" t="n">
        <f aca="false">C383*(Estacas!O383+Estacas!O384)/2</f>
        <v>224</v>
      </c>
      <c r="N383" s="141" t="n">
        <f aca="false">C383*(Estacas!O383+Estacas!O384)/2</f>
        <v>224</v>
      </c>
      <c r="O383" s="141" t="n">
        <f aca="false">C383*(Estacas!P383+Estacas!P384)/2</f>
        <v>258.4</v>
      </c>
      <c r="P383" s="141" t="n">
        <f aca="false">R383*Parâmetros!$C$11</f>
        <v>0</v>
      </c>
      <c r="Q383" s="141" t="n">
        <f aca="false">R383*Parâmetros!$C$12</f>
        <v>0</v>
      </c>
      <c r="R383" s="141" t="n">
        <f aca="false">C383*(Estacas!Q383+Estacas!Q384)/2</f>
        <v>0</v>
      </c>
      <c r="S383" s="141" t="n">
        <f aca="false">IF(LEFT(E383,3)="T09",C383*Parâmetros!$D$13*Parâmetros!$C$13,0)</f>
        <v>0</v>
      </c>
    </row>
    <row r="384" customFormat="false" ht="15" hidden="false" customHeight="false" outlineLevel="0" collapsed="false">
      <c r="A384" s="138" t="str">
        <f aca="false">Estacas!A384</f>
        <v>382+0,00</v>
      </c>
      <c r="B384" s="138" t="str">
        <f aca="false">Estacas!A385</f>
        <v>383+0,00</v>
      </c>
      <c r="C384" s="144" t="n">
        <f aca="false">Estacas!C385-Estacas!C384</f>
        <v>20</v>
      </c>
      <c r="D384" s="138" t="s">
        <v>1574</v>
      </c>
      <c r="E384" s="138" t="s">
        <v>1566</v>
      </c>
      <c r="F384" s="141" t="n">
        <f aca="false">Estacas!F384</f>
        <v>11</v>
      </c>
      <c r="G384" s="141" t="n">
        <f aca="false">Estacas!F385</f>
        <v>11</v>
      </c>
      <c r="H384" s="141" t="n">
        <f aca="false">C384*(Estacas!K384+Estacas!K385)/2</f>
        <v>11.05</v>
      </c>
      <c r="I384" s="141" t="n">
        <f aca="false">H384*Parâmetros!$C$14</f>
        <v>26.52</v>
      </c>
      <c r="J384" s="141" t="n">
        <f aca="false">C384*(Estacas!L384+Estacas!L385)/2</f>
        <v>36.352</v>
      </c>
      <c r="K384" s="141" t="n">
        <f aca="false">C384*(Estacas!M384+Estacas!M385)/2</f>
        <v>47.68</v>
      </c>
      <c r="L384" s="141" t="n">
        <f aca="false">C384*(Estacas!N384+Estacas!N385)/2</f>
        <v>75.72</v>
      </c>
      <c r="M384" s="141" t="n">
        <f aca="false">C384*(Estacas!O384+Estacas!O385)/2</f>
        <v>224</v>
      </c>
      <c r="N384" s="141" t="n">
        <f aca="false">C384*(Estacas!O384+Estacas!O385)/2</f>
        <v>224</v>
      </c>
      <c r="O384" s="141" t="n">
        <f aca="false">C384*(Estacas!P384+Estacas!P385)/2</f>
        <v>258.4</v>
      </c>
      <c r="P384" s="141" t="n">
        <f aca="false">R384*Parâmetros!$C$11</f>
        <v>0</v>
      </c>
      <c r="Q384" s="141" t="n">
        <f aca="false">R384*Parâmetros!$C$12</f>
        <v>0</v>
      </c>
      <c r="R384" s="141" t="n">
        <f aca="false">C384*(Estacas!Q384+Estacas!Q385)/2</f>
        <v>0</v>
      </c>
      <c r="S384" s="141" t="n">
        <f aca="false">IF(LEFT(E384,3)="T09",C384*Parâmetros!$D$13*Parâmetros!$C$13,0)</f>
        <v>0</v>
      </c>
    </row>
    <row r="385" customFormat="false" ht="15" hidden="false" customHeight="false" outlineLevel="0" collapsed="false">
      <c r="A385" s="138" t="str">
        <f aca="false">Estacas!A385</f>
        <v>383+0,00</v>
      </c>
      <c r="B385" s="138" t="str">
        <f aca="false">Estacas!A386</f>
        <v>384+0,00</v>
      </c>
      <c r="C385" s="144" t="n">
        <f aca="false">Estacas!C386-Estacas!C385</f>
        <v>20</v>
      </c>
      <c r="D385" s="138" t="s">
        <v>1574</v>
      </c>
      <c r="E385" s="138" t="s">
        <v>1566</v>
      </c>
      <c r="F385" s="141" t="n">
        <f aca="false">Estacas!F385</f>
        <v>11</v>
      </c>
      <c r="G385" s="141" t="n">
        <f aca="false">Estacas!F386</f>
        <v>11</v>
      </c>
      <c r="H385" s="141" t="n">
        <f aca="false">C385*(Estacas!K385+Estacas!K386)/2</f>
        <v>11.05</v>
      </c>
      <c r="I385" s="141" t="n">
        <f aca="false">H385*Parâmetros!$C$14</f>
        <v>26.52</v>
      </c>
      <c r="J385" s="141" t="n">
        <f aca="false">C385*(Estacas!L385+Estacas!L386)/2</f>
        <v>36.352</v>
      </c>
      <c r="K385" s="141" t="n">
        <f aca="false">C385*(Estacas!M385+Estacas!M386)/2</f>
        <v>47.68</v>
      </c>
      <c r="L385" s="141" t="n">
        <f aca="false">C385*(Estacas!N385+Estacas!N386)/2</f>
        <v>75.72</v>
      </c>
      <c r="M385" s="141" t="n">
        <f aca="false">C385*(Estacas!O385+Estacas!O386)/2</f>
        <v>224</v>
      </c>
      <c r="N385" s="141" t="n">
        <f aca="false">C385*(Estacas!O385+Estacas!O386)/2</f>
        <v>224</v>
      </c>
      <c r="O385" s="141" t="n">
        <f aca="false">C385*(Estacas!P385+Estacas!P386)/2</f>
        <v>258.4</v>
      </c>
      <c r="P385" s="141" t="n">
        <f aca="false">R385*Parâmetros!$C$11</f>
        <v>0</v>
      </c>
      <c r="Q385" s="141" t="n">
        <f aca="false">R385*Parâmetros!$C$12</f>
        <v>0</v>
      </c>
      <c r="R385" s="141" t="n">
        <f aca="false">C385*(Estacas!Q385+Estacas!Q386)/2</f>
        <v>0</v>
      </c>
      <c r="S385" s="141" t="n">
        <f aca="false">IF(LEFT(E385,3)="T09",C385*Parâmetros!$D$13*Parâmetros!$C$13,0)</f>
        <v>0</v>
      </c>
    </row>
    <row r="386" customFormat="false" ht="15" hidden="false" customHeight="false" outlineLevel="0" collapsed="false">
      <c r="A386" s="138" t="str">
        <f aca="false">Estacas!A386</f>
        <v>384+0,00</v>
      </c>
      <c r="B386" s="138" t="str">
        <f aca="false">Estacas!A387</f>
        <v>385+0,00</v>
      </c>
      <c r="C386" s="144" t="n">
        <f aca="false">Estacas!C387-Estacas!C386</f>
        <v>20</v>
      </c>
      <c r="D386" s="138" t="s">
        <v>1574</v>
      </c>
      <c r="E386" s="138" t="s">
        <v>1566</v>
      </c>
      <c r="F386" s="141" t="n">
        <f aca="false">Estacas!F386</f>
        <v>11</v>
      </c>
      <c r="G386" s="141" t="n">
        <f aca="false">Estacas!F387</f>
        <v>11</v>
      </c>
      <c r="H386" s="141" t="n">
        <f aca="false">C386*(Estacas!K386+Estacas!K387)/2</f>
        <v>11.05</v>
      </c>
      <c r="I386" s="141" t="n">
        <f aca="false">H386*Parâmetros!$C$14</f>
        <v>26.52</v>
      </c>
      <c r="J386" s="141" t="n">
        <f aca="false">C386*(Estacas!L386+Estacas!L387)/2</f>
        <v>36.352</v>
      </c>
      <c r="K386" s="141" t="n">
        <f aca="false">C386*(Estacas!M386+Estacas!M387)/2</f>
        <v>47.68</v>
      </c>
      <c r="L386" s="141" t="n">
        <f aca="false">C386*(Estacas!N386+Estacas!N387)/2</f>
        <v>75.72</v>
      </c>
      <c r="M386" s="141" t="n">
        <f aca="false">C386*(Estacas!O386+Estacas!O387)/2</f>
        <v>224</v>
      </c>
      <c r="N386" s="141" t="n">
        <f aca="false">C386*(Estacas!O386+Estacas!O387)/2</f>
        <v>224</v>
      </c>
      <c r="O386" s="141" t="n">
        <f aca="false">C386*(Estacas!P386+Estacas!P387)/2</f>
        <v>258.4</v>
      </c>
      <c r="P386" s="141" t="n">
        <f aca="false">R386*Parâmetros!$C$11</f>
        <v>0</v>
      </c>
      <c r="Q386" s="141" t="n">
        <f aca="false">R386*Parâmetros!$C$12</f>
        <v>0</v>
      </c>
      <c r="R386" s="141" t="n">
        <f aca="false">C386*(Estacas!Q386+Estacas!Q387)/2</f>
        <v>0</v>
      </c>
      <c r="S386" s="141" t="n">
        <f aca="false">IF(LEFT(E386,3)="T09",C386*Parâmetros!$D$13*Parâmetros!$C$13,0)</f>
        <v>0</v>
      </c>
    </row>
    <row r="387" customFormat="false" ht="15" hidden="false" customHeight="false" outlineLevel="0" collapsed="false">
      <c r="A387" s="138" t="str">
        <f aca="false">Estacas!A387</f>
        <v>385+0,00</v>
      </c>
      <c r="B387" s="138" t="str">
        <f aca="false">Estacas!A388</f>
        <v>386+0,00</v>
      </c>
      <c r="C387" s="144" t="n">
        <f aca="false">Estacas!C388-Estacas!C387</f>
        <v>20</v>
      </c>
      <c r="D387" s="138" t="s">
        <v>1574</v>
      </c>
      <c r="E387" s="138" t="s">
        <v>1566</v>
      </c>
      <c r="F387" s="141" t="n">
        <f aca="false">Estacas!F387</f>
        <v>11</v>
      </c>
      <c r="G387" s="141" t="n">
        <f aca="false">Estacas!F388</f>
        <v>11</v>
      </c>
      <c r="H387" s="141" t="n">
        <f aca="false">C387*(Estacas!K387+Estacas!K388)/2</f>
        <v>11.05</v>
      </c>
      <c r="I387" s="141" t="n">
        <f aca="false">H387*Parâmetros!$C$14</f>
        <v>26.52</v>
      </c>
      <c r="J387" s="141" t="n">
        <f aca="false">C387*(Estacas!L387+Estacas!L388)/2</f>
        <v>36.352</v>
      </c>
      <c r="K387" s="141" t="n">
        <f aca="false">C387*(Estacas!M387+Estacas!M388)/2</f>
        <v>47.68</v>
      </c>
      <c r="L387" s="141" t="n">
        <f aca="false">C387*(Estacas!N387+Estacas!N388)/2</f>
        <v>75.72</v>
      </c>
      <c r="M387" s="141" t="n">
        <f aca="false">C387*(Estacas!O387+Estacas!O388)/2</f>
        <v>224</v>
      </c>
      <c r="N387" s="141" t="n">
        <f aca="false">C387*(Estacas!O387+Estacas!O388)/2</f>
        <v>224</v>
      </c>
      <c r="O387" s="141" t="n">
        <f aca="false">C387*(Estacas!P387+Estacas!P388)/2</f>
        <v>258.4</v>
      </c>
      <c r="P387" s="141" t="n">
        <f aca="false">R387*Parâmetros!$C$11</f>
        <v>0</v>
      </c>
      <c r="Q387" s="141" t="n">
        <f aca="false">R387*Parâmetros!$C$12</f>
        <v>0</v>
      </c>
      <c r="R387" s="141" t="n">
        <f aca="false">C387*(Estacas!Q387+Estacas!Q388)/2</f>
        <v>0</v>
      </c>
      <c r="S387" s="141" t="n">
        <f aca="false">IF(LEFT(E387,3)="T09",C387*Parâmetros!$D$13*Parâmetros!$C$13,0)</f>
        <v>0</v>
      </c>
    </row>
    <row r="388" customFormat="false" ht="15" hidden="false" customHeight="false" outlineLevel="0" collapsed="false">
      <c r="A388" s="138" t="str">
        <f aca="false">Estacas!A388</f>
        <v>386+0,00</v>
      </c>
      <c r="B388" s="138" t="str">
        <f aca="false">Estacas!A389</f>
        <v>387+0,00</v>
      </c>
      <c r="C388" s="144" t="n">
        <f aca="false">Estacas!C389-Estacas!C388</f>
        <v>20</v>
      </c>
      <c r="D388" s="138" t="s">
        <v>1574</v>
      </c>
      <c r="E388" s="138" t="s">
        <v>1566</v>
      </c>
      <c r="F388" s="141" t="n">
        <f aca="false">Estacas!F388</f>
        <v>11</v>
      </c>
      <c r="G388" s="141" t="n">
        <f aca="false">Estacas!F389</f>
        <v>11</v>
      </c>
      <c r="H388" s="141" t="n">
        <f aca="false">C388*(Estacas!K388+Estacas!K389)/2</f>
        <v>11.05</v>
      </c>
      <c r="I388" s="141" t="n">
        <f aca="false">H388*Parâmetros!$C$14</f>
        <v>26.52</v>
      </c>
      <c r="J388" s="141" t="n">
        <f aca="false">C388*(Estacas!L388+Estacas!L389)/2</f>
        <v>36.352</v>
      </c>
      <c r="K388" s="141" t="n">
        <f aca="false">C388*(Estacas!M388+Estacas!M389)/2</f>
        <v>47.68</v>
      </c>
      <c r="L388" s="141" t="n">
        <f aca="false">C388*(Estacas!N388+Estacas!N389)/2</f>
        <v>75.72</v>
      </c>
      <c r="M388" s="141" t="n">
        <f aca="false">C388*(Estacas!O388+Estacas!O389)/2</f>
        <v>224</v>
      </c>
      <c r="N388" s="141" t="n">
        <f aca="false">C388*(Estacas!O388+Estacas!O389)/2</f>
        <v>224</v>
      </c>
      <c r="O388" s="141" t="n">
        <f aca="false">C388*(Estacas!P388+Estacas!P389)/2</f>
        <v>258.4</v>
      </c>
      <c r="P388" s="141" t="n">
        <f aca="false">R388*Parâmetros!$C$11</f>
        <v>0</v>
      </c>
      <c r="Q388" s="141" t="n">
        <f aca="false">R388*Parâmetros!$C$12</f>
        <v>0</v>
      </c>
      <c r="R388" s="141" t="n">
        <f aca="false">C388*(Estacas!Q388+Estacas!Q389)/2</f>
        <v>0</v>
      </c>
      <c r="S388" s="141" t="n">
        <f aca="false">IF(LEFT(E388,3)="T09",C388*Parâmetros!$D$13*Parâmetros!$C$13,0)</f>
        <v>0</v>
      </c>
    </row>
    <row r="389" customFormat="false" ht="15" hidden="false" customHeight="false" outlineLevel="0" collapsed="false">
      <c r="A389" s="138" t="str">
        <f aca="false">Estacas!A389</f>
        <v>387+0,00</v>
      </c>
      <c r="B389" s="138" t="str">
        <f aca="false">Estacas!A390</f>
        <v>388+0,00</v>
      </c>
      <c r="C389" s="144" t="n">
        <f aca="false">Estacas!C390-Estacas!C389</f>
        <v>20</v>
      </c>
      <c r="D389" s="138" t="s">
        <v>1574</v>
      </c>
      <c r="E389" s="138" t="s">
        <v>1566</v>
      </c>
      <c r="F389" s="141" t="n">
        <f aca="false">Estacas!F389</f>
        <v>11</v>
      </c>
      <c r="G389" s="141" t="n">
        <f aca="false">Estacas!F390</f>
        <v>11</v>
      </c>
      <c r="H389" s="141" t="n">
        <f aca="false">C389*(Estacas!K389+Estacas!K390)/2</f>
        <v>11.05</v>
      </c>
      <c r="I389" s="141" t="n">
        <f aca="false">H389*Parâmetros!$C$14</f>
        <v>26.52</v>
      </c>
      <c r="J389" s="141" t="n">
        <f aca="false">C389*(Estacas!L389+Estacas!L390)/2</f>
        <v>36.352</v>
      </c>
      <c r="K389" s="141" t="n">
        <f aca="false">C389*(Estacas!M389+Estacas!M390)/2</f>
        <v>47.68</v>
      </c>
      <c r="L389" s="141" t="n">
        <f aca="false">C389*(Estacas!N389+Estacas!N390)/2</f>
        <v>75.72</v>
      </c>
      <c r="M389" s="141" t="n">
        <f aca="false">C389*(Estacas!O389+Estacas!O390)/2</f>
        <v>224</v>
      </c>
      <c r="N389" s="141" t="n">
        <f aca="false">C389*(Estacas!O389+Estacas!O390)/2</f>
        <v>224</v>
      </c>
      <c r="O389" s="141" t="n">
        <f aca="false">C389*(Estacas!P389+Estacas!P390)/2</f>
        <v>258.4</v>
      </c>
      <c r="P389" s="141" t="n">
        <f aca="false">R389*Parâmetros!$C$11</f>
        <v>0</v>
      </c>
      <c r="Q389" s="141" t="n">
        <f aca="false">R389*Parâmetros!$C$12</f>
        <v>0</v>
      </c>
      <c r="R389" s="141" t="n">
        <f aca="false">C389*(Estacas!Q389+Estacas!Q390)/2</f>
        <v>0</v>
      </c>
      <c r="S389" s="141" t="n">
        <f aca="false">IF(LEFT(E389,3)="T09",C389*Parâmetros!$D$13*Parâmetros!$C$13,0)</f>
        <v>0</v>
      </c>
    </row>
    <row r="390" customFormat="false" ht="15" hidden="false" customHeight="false" outlineLevel="0" collapsed="false">
      <c r="A390" s="138" t="str">
        <f aca="false">Estacas!A390</f>
        <v>388+0,00</v>
      </c>
      <c r="B390" s="138" t="str">
        <f aca="false">Estacas!A391</f>
        <v>389+0,00</v>
      </c>
      <c r="C390" s="144" t="n">
        <f aca="false">Estacas!C391-Estacas!C390</f>
        <v>20</v>
      </c>
      <c r="D390" s="138" t="s">
        <v>1574</v>
      </c>
      <c r="E390" s="138" t="s">
        <v>1566</v>
      </c>
      <c r="F390" s="141" t="n">
        <f aca="false">Estacas!F390</f>
        <v>11</v>
      </c>
      <c r="G390" s="141" t="n">
        <f aca="false">Estacas!F391</f>
        <v>11</v>
      </c>
      <c r="H390" s="141" t="n">
        <f aca="false">C390*(Estacas!K390+Estacas!K391)/2</f>
        <v>11.05</v>
      </c>
      <c r="I390" s="141" t="n">
        <f aca="false">H390*Parâmetros!$C$14</f>
        <v>26.52</v>
      </c>
      <c r="J390" s="141" t="n">
        <f aca="false">C390*(Estacas!L390+Estacas!L391)/2</f>
        <v>36.352</v>
      </c>
      <c r="K390" s="141" t="n">
        <f aca="false">C390*(Estacas!M390+Estacas!M391)/2</f>
        <v>47.68</v>
      </c>
      <c r="L390" s="141" t="n">
        <f aca="false">C390*(Estacas!N390+Estacas!N391)/2</f>
        <v>75.72</v>
      </c>
      <c r="M390" s="141" t="n">
        <f aca="false">C390*(Estacas!O390+Estacas!O391)/2</f>
        <v>224</v>
      </c>
      <c r="N390" s="141" t="n">
        <f aca="false">C390*(Estacas!O390+Estacas!O391)/2</f>
        <v>224</v>
      </c>
      <c r="O390" s="141" t="n">
        <f aca="false">C390*(Estacas!P390+Estacas!P391)/2</f>
        <v>258.4</v>
      </c>
      <c r="P390" s="141" t="n">
        <f aca="false">R390*Parâmetros!$C$11</f>
        <v>0</v>
      </c>
      <c r="Q390" s="141" t="n">
        <f aca="false">R390*Parâmetros!$C$12</f>
        <v>0</v>
      </c>
      <c r="R390" s="141" t="n">
        <f aca="false">C390*(Estacas!Q390+Estacas!Q391)/2</f>
        <v>0</v>
      </c>
      <c r="S390" s="141" t="n">
        <f aca="false">IF(LEFT(E390,3)="T09",C390*Parâmetros!$D$13*Parâmetros!$C$13,0)</f>
        <v>0</v>
      </c>
    </row>
    <row r="391" customFormat="false" ht="15" hidden="false" customHeight="false" outlineLevel="0" collapsed="false">
      <c r="A391" s="138" t="str">
        <f aca="false">Estacas!A391</f>
        <v>389+0,00</v>
      </c>
      <c r="B391" s="138" t="str">
        <f aca="false">Estacas!A392</f>
        <v>390+0,00</v>
      </c>
      <c r="C391" s="144" t="n">
        <f aca="false">Estacas!C392-Estacas!C391</f>
        <v>20</v>
      </c>
      <c r="D391" s="138" t="s">
        <v>1574</v>
      </c>
      <c r="E391" s="138" t="s">
        <v>1566</v>
      </c>
      <c r="F391" s="141" t="n">
        <f aca="false">Estacas!F391</f>
        <v>11</v>
      </c>
      <c r="G391" s="141" t="n">
        <f aca="false">Estacas!F392</f>
        <v>11</v>
      </c>
      <c r="H391" s="141" t="n">
        <f aca="false">C391*(Estacas!K391+Estacas!K392)/2</f>
        <v>11.05</v>
      </c>
      <c r="I391" s="141" t="n">
        <f aca="false">H391*Parâmetros!$C$14</f>
        <v>26.52</v>
      </c>
      <c r="J391" s="141" t="n">
        <f aca="false">C391*(Estacas!L391+Estacas!L392)/2</f>
        <v>36.352</v>
      </c>
      <c r="K391" s="141" t="n">
        <f aca="false">C391*(Estacas!M391+Estacas!M392)/2</f>
        <v>47.68</v>
      </c>
      <c r="L391" s="141" t="n">
        <f aca="false">C391*(Estacas!N391+Estacas!N392)/2</f>
        <v>75.72</v>
      </c>
      <c r="M391" s="141" t="n">
        <f aca="false">C391*(Estacas!O391+Estacas!O392)/2</f>
        <v>224</v>
      </c>
      <c r="N391" s="141" t="n">
        <f aca="false">C391*(Estacas!O391+Estacas!O392)/2</f>
        <v>224</v>
      </c>
      <c r="O391" s="141" t="n">
        <f aca="false">C391*(Estacas!P391+Estacas!P392)/2</f>
        <v>258.4</v>
      </c>
      <c r="P391" s="141" t="n">
        <f aca="false">R391*Parâmetros!$C$11</f>
        <v>0</v>
      </c>
      <c r="Q391" s="141" t="n">
        <f aca="false">R391*Parâmetros!$C$12</f>
        <v>0</v>
      </c>
      <c r="R391" s="141" t="n">
        <f aca="false">C391*(Estacas!Q391+Estacas!Q392)/2</f>
        <v>0</v>
      </c>
      <c r="S391" s="141" t="n">
        <f aca="false">IF(LEFT(E391,3)="T09",C391*Parâmetros!$D$13*Parâmetros!$C$13,0)</f>
        <v>0</v>
      </c>
    </row>
    <row r="392" customFormat="false" ht="15" hidden="false" customHeight="false" outlineLevel="0" collapsed="false">
      <c r="A392" s="138" t="str">
        <f aca="false">Estacas!A392</f>
        <v>390+0,00</v>
      </c>
      <c r="B392" s="138" t="str">
        <f aca="false">Estacas!A393</f>
        <v>391+0,00</v>
      </c>
      <c r="C392" s="144" t="n">
        <f aca="false">Estacas!C393-Estacas!C392</f>
        <v>20</v>
      </c>
      <c r="D392" s="138" t="s">
        <v>1574</v>
      </c>
      <c r="E392" s="138" t="s">
        <v>1566</v>
      </c>
      <c r="F392" s="141" t="n">
        <f aca="false">Estacas!F392</f>
        <v>11</v>
      </c>
      <c r="G392" s="141" t="n">
        <f aca="false">Estacas!F393</f>
        <v>10.9</v>
      </c>
      <c r="H392" s="141" t="n">
        <f aca="false">C392*(Estacas!K392+Estacas!K393)/2</f>
        <v>11</v>
      </c>
      <c r="I392" s="141" t="n">
        <f aca="false">H392*Parâmetros!$C$14</f>
        <v>26.4</v>
      </c>
      <c r="J392" s="141" t="n">
        <f aca="false">C392*(Estacas!L392+Estacas!L393)/2</f>
        <v>36.192</v>
      </c>
      <c r="K392" s="141" t="n">
        <f aca="false">C392*(Estacas!M392+Estacas!M393)/2</f>
        <v>47.48</v>
      </c>
      <c r="L392" s="141" t="n">
        <f aca="false">C392*(Estacas!N392+Estacas!N393)/2</f>
        <v>75.42</v>
      </c>
      <c r="M392" s="141" t="n">
        <f aca="false">C392*(Estacas!O392+Estacas!O393)/2</f>
        <v>223</v>
      </c>
      <c r="N392" s="141" t="n">
        <f aca="false">C392*(Estacas!O392+Estacas!O393)/2</f>
        <v>223</v>
      </c>
      <c r="O392" s="141" t="n">
        <f aca="false">C392*(Estacas!P392+Estacas!P393)/2</f>
        <v>257.4</v>
      </c>
      <c r="P392" s="141" t="n">
        <f aca="false">R392*Parâmetros!$C$11</f>
        <v>0</v>
      </c>
      <c r="Q392" s="141" t="n">
        <f aca="false">R392*Parâmetros!$C$12</f>
        <v>0</v>
      </c>
      <c r="R392" s="141" t="n">
        <f aca="false">C392*(Estacas!Q392+Estacas!Q393)/2</f>
        <v>0</v>
      </c>
      <c r="S392" s="141" t="n">
        <f aca="false">IF(LEFT(E392,3)="T09",C392*Parâmetros!$D$13*Parâmetros!$C$13,0)</f>
        <v>0</v>
      </c>
    </row>
    <row r="393" customFormat="false" ht="15" hidden="false" customHeight="false" outlineLevel="0" collapsed="false">
      <c r="A393" s="138" t="str">
        <f aca="false">Estacas!A393</f>
        <v>391+0,00</v>
      </c>
      <c r="B393" s="138" t="str">
        <f aca="false">Estacas!A394</f>
        <v>392+0,00</v>
      </c>
      <c r="C393" s="144" t="n">
        <f aca="false">Estacas!C394-Estacas!C393</f>
        <v>20</v>
      </c>
      <c r="D393" s="138" t="s">
        <v>1574</v>
      </c>
      <c r="E393" s="138" t="s">
        <v>1566</v>
      </c>
      <c r="F393" s="141" t="n">
        <f aca="false">Estacas!F393</f>
        <v>10.9</v>
      </c>
      <c r="G393" s="141" t="n">
        <f aca="false">Estacas!F394</f>
        <v>11.4</v>
      </c>
      <c r="H393" s="141" t="n">
        <f aca="false">C393*(Estacas!K393+Estacas!K394)/2</f>
        <v>11.2</v>
      </c>
      <c r="I393" s="141" t="n">
        <f aca="false">H393*Parâmetros!$C$14</f>
        <v>26.88</v>
      </c>
      <c r="J393" s="141" t="n">
        <f aca="false">C393*(Estacas!L393+Estacas!L394)/2</f>
        <v>36.832</v>
      </c>
      <c r="K393" s="141" t="n">
        <f aca="false">C393*(Estacas!M393+Estacas!M394)/2</f>
        <v>48.28</v>
      </c>
      <c r="L393" s="141" t="n">
        <f aca="false">C393*(Estacas!N393+Estacas!N394)/2</f>
        <v>76.62</v>
      </c>
      <c r="M393" s="141" t="n">
        <f aca="false">C393*(Estacas!O393+Estacas!O394)/2</f>
        <v>227</v>
      </c>
      <c r="N393" s="141" t="n">
        <f aca="false">C393*(Estacas!O393+Estacas!O394)/2</f>
        <v>227</v>
      </c>
      <c r="O393" s="141" t="n">
        <f aca="false">C393*(Estacas!P393+Estacas!P394)/2</f>
        <v>261.4</v>
      </c>
      <c r="P393" s="141" t="n">
        <f aca="false">R393*Parâmetros!$C$11</f>
        <v>0</v>
      </c>
      <c r="Q393" s="141" t="n">
        <f aca="false">R393*Parâmetros!$C$12</f>
        <v>0</v>
      </c>
      <c r="R393" s="141" t="n">
        <f aca="false">C393*(Estacas!Q393+Estacas!Q394)/2</f>
        <v>0</v>
      </c>
      <c r="S393" s="141" t="n">
        <f aca="false">IF(LEFT(E393,3)="T09",C393*Parâmetros!$D$13*Parâmetros!$C$13,0)</f>
        <v>0</v>
      </c>
    </row>
    <row r="394" customFormat="false" ht="15" hidden="false" customHeight="false" outlineLevel="0" collapsed="false">
      <c r="A394" s="138" t="str">
        <f aca="false">Estacas!A394</f>
        <v>392+0,00</v>
      </c>
      <c r="B394" s="138" t="str">
        <f aca="false">Estacas!A395</f>
        <v>392+10,00</v>
      </c>
      <c r="C394" s="144" t="n">
        <f aca="false">Estacas!C395-Estacas!C394</f>
        <v>10</v>
      </c>
      <c r="D394" s="138" t="s">
        <v>1574</v>
      </c>
      <c r="E394" s="138" t="s">
        <v>1566</v>
      </c>
      <c r="F394" s="141" t="n">
        <f aca="false">Estacas!F394</f>
        <v>11.4</v>
      </c>
      <c r="G394" s="141" t="n">
        <f aca="false">Estacas!F395</f>
        <v>12</v>
      </c>
      <c r="H394" s="141" t="n">
        <f aca="false">C394*(Estacas!K394+Estacas!K395)/2</f>
        <v>5.875</v>
      </c>
      <c r="I394" s="141" t="n">
        <f aca="false">H394*Parâmetros!$C$14</f>
        <v>14.1</v>
      </c>
      <c r="J394" s="141" t="n">
        <f aca="false">C394*(Estacas!L394+Estacas!L395)/2</f>
        <v>19.296</v>
      </c>
      <c r="K394" s="141" t="n">
        <f aca="false">C394*(Estacas!M394+Estacas!M395)/2</f>
        <v>25.24</v>
      </c>
      <c r="L394" s="141" t="n">
        <f aca="false">C394*(Estacas!N394+Estacas!N395)/2</f>
        <v>39.96</v>
      </c>
      <c r="M394" s="141" t="n">
        <f aca="false">C394*(Estacas!O394+Estacas!O395)/2</f>
        <v>119</v>
      </c>
      <c r="N394" s="141" t="n">
        <f aca="false">C394*(Estacas!O394+Estacas!O395)/2</f>
        <v>119</v>
      </c>
      <c r="O394" s="141" t="n">
        <f aca="false">C394*(Estacas!P394+Estacas!P395)/2</f>
        <v>136.2</v>
      </c>
      <c r="P394" s="141" t="n">
        <f aca="false">R394*Parâmetros!$C$11</f>
        <v>0</v>
      </c>
      <c r="Q394" s="141" t="n">
        <f aca="false">R394*Parâmetros!$C$12</f>
        <v>0</v>
      </c>
      <c r="R394" s="141" t="n">
        <f aca="false">C394*(Estacas!Q394+Estacas!Q395)/2</f>
        <v>0</v>
      </c>
      <c r="S394" s="141" t="n">
        <f aca="false">IF(LEFT(E394,3)="T09",C394*Parâmetros!$D$13*Parâmetros!$C$13,0)</f>
        <v>0</v>
      </c>
    </row>
    <row r="395" customFormat="false" ht="15" hidden="false" customHeight="false" outlineLevel="0" collapsed="false">
      <c r="A395" s="138" t="str">
        <f aca="false">Estacas!A395</f>
        <v>392+10,00</v>
      </c>
      <c r="B395" s="138" t="str">
        <f aca="false">Estacas!A396</f>
        <v>393+0,00</v>
      </c>
      <c r="C395" s="144" t="n">
        <f aca="false">Estacas!C396-Estacas!C395</f>
        <v>10</v>
      </c>
      <c r="D395" s="138" t="s">
        <v>1576</v>
      </c>
      <c r="E395" s="138" t="s">
        <v>1577</v>
      </c>
      <c r="F395" s="141" t="n">
        <f aca="false">Estacas!F395</f>
        <v>12</v>
      </c>
      <c r="G395" s="141" t="n">
        <f aca="false">Estacas!F396</f>
        <v>12.7</v>
      </c>
      <c r="H395" s="141" t="n">
        <f aca="false">C395*(Estacas!K395+Estacas!K396)/2</f>
        <v>6.2</v>
      </c>
      <c r="I395" s="141" t="n">
        <f aca="false">H395*Parâmetros!$C$14</f>
        <v>14.88</v>
      </c>
      <c r="J395" s="141" t="n">
        <f aca="false">C395*(Estacas!L395+Estacas!L396)/2</f>
        <v>20.336</v>
      </c>
      <c r="K395" s="141" t="n">
        <f aca="false">C395*(Estacas!M395+Estacas!M396)/2</f>
        <v>26.54</v>
      </c>
      <c r="L395" s="141" t="n">
        <f aca="false">C395*(Estacas!N395+Estacas!N396)/2</f>
        <v>41.91</v>
      </c>
      <c r="M395" s="141" t="n">
        <f aca="false">C395*(Estacas!O395+Estacas!O396)/2</f>
        <v>125.5</v>
      </c>
      <c r="N395" s="141" t="n">
        <f aca="false">C395*(Estacas!O395+Estacas!O396)/2</f>
        <v>125.5</v>
      </c>
      <c r="O395" s="141" t="n">
        <f aca="false">C395*(Estacas!P395+Estacas!P396)/2</f>
        <v>142.7</v>
      </c>
      <c r="P395" s="141" t="n">
        <f aca="false">R395*Parâmetros!$C$11</f>
        <v>0</v>
      </c>
      <c r="Q395" s="141" t="n">
        <f aca="false">R395*Parâmetros!$C$12</f>
        <v>0</v>
      </c>
      <c r="R395" s="141" t="n">
        <f aca="false">C395*(Estacas!Q395+Estacas!Q396)/2</f>
        <v>0</v>
      </c>
      <c r="S395" s="141" t="n">
        <f aca="false">IF(LEFT(E395,3)="T09",C395*Parâmetros!$D$13*Parâmetros!$C$13,0)</f>
        <v>0</v>
      </c>
    </row>
    <row r="396" customFormat="false" ht="15" hidden="false" customHeight="false" outlineLevel="0" collapsed="false">
      <c r="A396" s="138" t="str">
        <f aca="false">Estacas!A396</f>
        <v>393+0,00</v>
      </c>
      <c r="B396" s="138" t="str">
        <f aca="false">Estacas!A397</f>
        <v>394+0,00</v>
      </c>
      <c r="C396" s="144" t="n">
        <f aca="false">Estacas!C397-Estacas!C396</f>
        <v>20</v>
      </c>
      <c r="D396" s="138" t="s">
        <v>1576</v>
      </c>
      <c r="E396" s="138" t="s">
        <v>1577</v>
      </c>
      <c r="F396" s="141" t="n">
        <f aca="false">Estacas!F396</f>
        <v>12.7</v>
      </c>
      <c r="G396" s="141" t="n">
        <f aca="false">Estacas!F397</f>
        <v>13.5</v>
      </c>
      <c r="H396" s="141" t="n">
        <f aca="false">C396*(Estacas!K396+Estacas!K397)/2</f>
        <v>13.15</v>
      </c>
      <c r="I396" s="141" t="n">
        <f aca="false">H396*Parâmetros!$C$14</f>
        <v>31.56</v>
      </c>
      <c r="J396" s="141" t="n">
        <f aca="false">C396*(Estacas!L396+Estacas!L397)/2</f>
        <v>43.072</v>
      </c>
      <c r="K396" s="141" t="n">
        <f aca="false">C396*(Estacas!M396+Estacas!M397)/2</f>
        <v>56.08</v>
      </c>
      <c r="L396" s="141" t="n">
        <f aca="false">C396*(Estacas!N396+Estacas!N397)/2</f>
        <v>88.32</v>
      </c>
      <c r="M396" s="141" t="n">
        <f aca="false">C396*(Estacas!O396+Estacas!O397)/2</f>
        <v>266</v>
      </c>
      <c r="N396" s="141" t="n">
        <f aca="false">C396*(Estacas!O396+Estacas!O397)/2</f>
        <v>266</v>
      </c>
      <c r="O396" s="141" t="n">
        <f aca="false">C396*(Estacas!P396+Estacas!P397)/2</f>
        <v>300.4</v>
      </c>
      <c r="P396" s="141" t="n">
        <f aca="false">R396*Parâmetros!$C$11</f>
        <v>0</v>
      </c>
      <c r="Q396" s="141" t="n">
        <f aca="false">R396*Parâmetros!$C$12</f>
        <v>0</v>
      </c>
      <c r="R396" s="141" t="n">
        <f aca="false">C396*(Estacas!Q396+Estacas!Q397)/2</f>
        <v>0</v>
      </c>
      <c r="S396" s="141" t="n">
        <f aca="false">IF(LEFT(E396,3)="T09",C396*Parâmetros!$D$13*Parâmetros!$C$13,0)</f>
        <v>0</v>
      </c>
    </row>
    <row r="397" customFormat="false" ht="15" hidden="false" customHeight="false" outlineLevel="0" collapsed="false">
      <c r="A397" s="138" t="str">
        <f aca="false">Estacas!A397</f>
        <v>394+0,00</v>
      </c>
      <c r="B397" s="138" t="str">
        <f aca="false">Estacas!A398</f>
        <v>395+0,00</v>
      </c>
      <c r="C397" s="144" t="n">
        <f aca="false">Estacas!C398-Estacas!C397</f>
        <v>20</v>
      </c>
      <c r="D397" s="138" t="s">
        <v>1576</v>
      </c>
      <c r="E397" s="138" t="s">
        <v>1577</v>
      </c>
      <c r="F397" s="141" t="n">
        <f aca="false">Estacas!F397</f>
        <v>13.5</v>
      </c>
      <c r="G397" s="141" t="n">
        <f aca="false">Estacas!F398</f>
        <v>13.5</v>
      </c>
      <c r="H397" s="141" t="n">
        <f aca="false">C397*(Estacas!K397+Estacas!K398)/2</f>
        <v>13.55</v>
      </c>
      <c r="I397" s="141" t="n">
        <f aca="false">H397*Parâmetros!$C$14</f>
        <v>32.52</v>
      </c>
      <c r="J397" s="141" t="n">
        <f aca="false">C397*(Estacas!L397+Estacas!L398)/2</f>
        <v>44.352</v>
      </c>
      <c r="K397" s="141" t="n">
        <f aca="false">C397*(Estacas!M397+Estacas!M398)/2</f>
        <v>57.68</v>
      </c>
      <c r="L397" s="141" t="n">
        <f aca="false">C397*(Estacas!N397+Estacas!N398)/2</f>
        <v>90.72</v>
      </c>
      <c r="M397" s="141" t="n">
        <f aca="false">C397*(Estacas!O397+Estacas!O398)/2</f>
        <v>274</v>
      </c>
      <c r="N397" s="141" t="n">
        <f aca="false">C397*(Estacas!O397+Estacas!O398)/2</f>
        <v>274</v>
      </c>
      <c r="O397" s="141" t="n">
        <f aca="false">C397*(Estacas!P397+Estacas!P398)/2</f>
        <v>308.4</v>
      </c>
      <c r="P397" s="141" t="n">
        <f aca="false">R397*Parâmetros!$C$11</f>
        <v>0</v>
      </c>
      <c r="Q397" s="141" t="n">
        <f aca="false">R397*Parâmetros!$C$12</f>
        <v>0</v>
      </c>
      <c r="R397" s="141" t="n">
        <f aca="false">C397*(Estacas!Q397+Estacas!Q398)/2</f>
        <v>0</v>
      </c>
      <c r="S397" s="141" t="n">
        <f aca="false">IF(LEFT(E397,3)="T09",C397*Parâmetros!$D$13*Parâmetros!$C$13,0)</f>
        <v>0</v>
      </c>
    </row>
    <row r="398" customFormat="false" ht="15" hidden="false" customHeight="false" outlineLevel="0" collapsed="false">
      <c r="A398" s="138" t="str">
        <f aca="false">Estacas!A398</f>
        <v>395+0,00</v>
      </c>
      <c r="B398" s="138" t="str">
        <f aca="false">Estacas!A399</f>
        <v>396+0,00</v>
      </c>
      <c r="C398" s="144" t="n">
        <f aca="false">Estacas!C399-Estacas!C398</f>
        <v>20</v>
      </c>
      <c r="D398" s="138" t="s">
        <v>1576</v>
      </c>
      <c r="E398" s="138" t="s">
        <v>1577</v>
      </c>
      <c r="F398" s="141" t="n">
        <f aca="false">Estacas!F398</f>
        <v>13.5</v>
      </c>
      <c r="G398" s="141" t="n">
        <f aca="false">Estacas!F399</f>
        <v>13.5</v>
      </c>
      <c r="H398" s="141" t="n">
        <f aca="false">C398*(Estacas!K398+Estacas!K399)/2</f>
        <v>13.55</v>
      </c>
      <c r="I398" s="141" t="n">
        <f aca="false">H398*Parâmetros!$C$14</f>
        <v>32.52</v>
      </c>
      <c r="J398" s="141" t="n">
        <f aca="false">C398*(Estacas!L398+Estacas!L399)/2</f>
        <v>44.352</v>
      </c>
      <c r="K398" s="141" t="n">
        <f aca="false">C398*(Estacas!M398+Estacas!M399)/2</f>
        <v>57.68</v>
      </c>
      <c r="L398" s="141" t="n">
        <f aca="false">C398*(Estacas!N398+Estacas!N399)/2</f>
        <v>90.72</v>
      </c>
      <c r="M398" s="141" t="n">
        <f aca="false">C398*(Estacas!O398+Estacas!O399)/2</f>
        <v>274</v>
      </c>
      <c r="N398" s="141" t="n">
        <f aca="false">C398*(Estacas!O398+Estacas!O399)/2</f>
        <v>274</v>
      </c>
      <c r="O398" s="141" t="n">
        <f aca="false">C398*(Estacas!P398+Estacas!P399)/2</f>
        <v>308.4</v>
      </c>
      <c r="P398" s="141" t="n">
        <f aca="false">R398*Parâmetros!$C$11</f>
        <v>0</v>
      </c>
      <c r="Q398" s="141" t="n">
        <f aca="false">R398*Parâmetros!$C$12</f>
        <v>0</v>
      </c>
      <c r="R398" s="141" t="n">
        <f aca="false">C398*(Estacas!Q398+Estacas!Q399)/2</f>
        <v>0</v>
      </c>
      <c r="S398" s="141" t="n">
        <f aca="false">IF(LEFT(E398,3)="T09",C398*Parâmetros!$D$13*Parâmetros!$C$13,0)</f>
        <v>0</v>
      </c>
    </row>
    <row r="399" customFormat="false" ht="15" hidden="false" customHeight="false" outlineLevel="0" collapsed="false">
      <c r="A399" s="138" t="str">
        <f aca="false">Estacas!A399</f>
        <v>396+0,00</v>
      </c>
      <c r="B399" s="138" t="str">
        <f aca="false">Estacas!A400</f>
        <v>397+0,00</v>
      </c>
      <c r="C399" s="144" t="n">
        <f aca="false">Estacas!C400-Estacas!C399</f>
        <v>20</v>
      </c>
      <c r="D399" s="138" t="s">
        <v>1576</v>
      </c>
      <c r="E399" s="138" t="s">
        <v>1577</v>
      </c>
      <c r="F399" s="141" t="n">
        <f aca="false">Estacas!F399</f>
        <v>13.5</v>
      </c>
      <c r="G399" s="141" t="n">
        <f aca="false">Estacas!F400</f>
        <v>14</v>
      </c>
      <c r="H399" s="141" t="n">
        <f aca="false">C399*(Estacas!K399+Estacas!K400)/2</f>
        <v>13.8</v>
      </c>
      <c r="I399" s="141" t="n">
        <f aca="false">H399*Parâmetros!$C$14</f>
        <v>33.12</v>
      </c>
      <c r="J399" s="141" t="n">
        <f aca="false">C399*(Estacas!L399+Estacas!L400)/2</f>
        <v>45.152</v>
      </c>
      <c r="K399" s="141" t="n">
        <f aca="false">C399*(Estacas!M399+Estacas!M400)/2</f>
        <v>58.68</v>
      </c>
      <c r="L399" s="141" t="n">
        <f aca="false">C399*(Estacas!N399+Estacas!N400)/2</f>
        <v>92.22</v>
      </c>
      <c r="M399" s="141" t="n">
        <f aca="false">C399*(Estacas!O399+Estacas!O400)/2</f>
        <v>279</v>
      </c>
      <c r="N399" s="141" t="n">
        <f aca="false">C399*(Estacas!O399+Estacas!O400)/2</f>
        <v>279</v>
      </c>
      <c r="O399" s="141" t="n">
        <f aca="false">C399*(Estacas!P399+Estacas!P400)/2</f>
        <v>313.4</v>
      </c>
      <c r="P399" s="141" t="n">
        <f aca="false">R399*Parâmetros!$C$11</f>
        <v>0</v>
      </c>
      <c r="Q399" s="141" t="n">
        <f aca="false">R399*Parâmetros!$C$12</f>
        <v>0</v>
      </c>
      <c r="R399" s="141" t="n">
        <f aca="false">C399*(Estacas!Q399+Estacas!Q400)/2</f>
        <v>0</v>
      </c>
      <c r="S399" s="141" t="n">
        <f aca="false">IF(LEFT(E399,3)="T09",C399*Parâmetros!$D$13*Parâmetros!$C$13,0)</f>
        <v>0</v>
      </c>
    </row>
    <row r="400" customFormat="false" ht="15" hidden="false" customHeight="false" outlineLevel="0" collapsed="false">
      <c r="A400" s="138" t="str">
        <f aca="false">Estacas!A400</f>
        <v>397+0,00</v>
      </c>
      <c r="B400" s="138" t="str">
        <f aca="false">Estacas!A401</f>
        <v>398+0,00</v>
      </c>
      <c r="C400" s="144" t="n">
        <f aca="false">Estacas!C401-Estacas!C400</f>
        <v>20</v>
      </c>
      <c r="D400" s="138" t="s">
        <v>1576</v>
      </c>
      <c r="E400" s="138" t="s">
        <v>1577</v>
      </c>
      <c r="F400" s="141" t="n">
        <f aca="false">Estacas!F400</f>
        <v>14</v>
      </c>
      <c r="G400" s="141" t="n">
        <f aca="false">Estacas!F401</f>
        <v>13.8</v>
      </c>
      <c r="H400" s="141" t="n">
        <f aca="false">C400*(Estacas!K400+Estacas!K401)/2</f>
        <v>13.95</v>
      </c>
      <c r="I400" s="141" t="n">
        <f aca="false">H400*Parâmetros!$C$14</f>
        <v>33.48</v>
      </c>
      <c r="J400" s="141" t="n">
        <f aca="false">C400*(Estacas!L400+Estacas!L401)/2</f>
        <v>45.632</v>
      </c>
      <c r="K400" s="141" t="n">
        <f aca="false">C400*(Estacas!M400+Estacas!M401)/2</f>
        <v>59.28</v>
      </c>
      <c r="L400" s="141" t="n">
        <f aca="false">C400*(Estacas!N400+Estacas!N401)/2</f>
        <v>93.12</v>
      </c>
      <c r="M400" s="141" t="n">
        <f aca="false">C400*(Estacas!O400+Estacas!O401)/2</f>
        <v>282</v>
      </c>
      <c r="N400" s="141" t="n">
        <f aca="false">C400*(Estacas!O400+Estacas!O401)/2</f>
        <v>282</v>
      </c>
      <c r="O400" s="141" t="n">
        <f aca="false">C400*(Estacas!P400+Estacas!P401)/2</f>
        <v>316.4</v>
      </c>
      <c r="P400" s="141" t="n">
        <f aca="false">R400*Parâmetros!$C$11</f>
        <v>0</v>
      </c>
      <c r="Q400" s="141" t="n">
        <f aca="false">R400*Parâmetros!$C$12</f>
        <v>0</v>
      </c>
      <c r="R400" s="141" t="n">
        <f aca="false">C400*(Estacas!Q400+Estacas!Q401)/2</f>
        <v>0</v>
      </c>
      <c r="S400" s="141" t="n">
        <f aca="false">IF(LEFT(E400,3)="T09",C400*Parâmetros!$D$13*Parâmetros!$C$13,0)</f>
        <v>0</v>
      </c>
    </row>
    <row r="401" customFormat="false" ht="15" hidden="false" customHeight="false" outlineLevel="0" collapsed="false">
      <c r="A401" s="138" t="str">
        <f aca="false">Estacas!A401</f>
        <v>398+0,00</v>
      </c>
      <c r="B401" s="138" t="str">
        <f aca="false">Estacas!A402</f>
        <v>399+0,00</v>
      </c>
      <c r="C401" s="144" t="n">
        <f aca="false">Estacas!C402-Estacas!C401</f>
        <v>20</v>
      </c>
      <c r="D401" s="138" t="s">
        <v>1576</v>
      </c>
      <c r="E401" s="138" t="s">
        <v>1577</v>
      </c>
      <c r="F401" s="141" t="n">
        <f aca="false">Estacas!F401</f>
        <v>13.8</v>
      </c>
      <c r="G401" s="141" t="n">
        <f aca="false">Estacas!F402</f>
        <v>13.5</v>
      </c>
      <c r="H401" s="141" t="n">
        <f aca="false">C401*(Estacas!K401+Estacas!K402)/2</f>
        <v>13.7</v>
      </c>
      <c r="I401" s="141" t="n">
        <f aca="false">H401*Parâmetros!$C$14</f>
        <v>32.88</v>
      </c>
      <c r="J401" s="141" t="n">
        <f aca="false">C401*(Estacas!L401+Estacas!L402)/2</f>
        <v>44.832</v>
      </c>
      <c r="K401" s="141" t="n">
        <f aca="false">C401*(Estacas!M401+Estacas!M402)/2</f>
        <v>58.28</v>
      </c>
      <c r="L401" s="141" t="n">
        <f aca="false">C401*(Estacas!N401+Estacas!N402)/2</f>
        <v>91.62</v>
      </c>
      <c r="M401" s="141" t="n">
        <f aca="false">C401*(Estacas!O401+Estacas!O402)/2</f>
        <v>277</v>
      </c>
      <c r="N401" s="141" t="n">
        <f aca="false">C401*(Estacas!O401+Estacas!O402)/2</f>
        <v>277</v>
      </c>
      <c r="O401" s="141" t="n">
        <f aca="false">C401*(Estacas!P401+Estacas!P402)/2</f>
        <v>311.4</v>
      </c>
      <c r="P401" s="141" t="n">
        <f aca="false">R401*Parâmetros!$C$11</f>
        <v>0</v>
      </c>
      <c r="Q401" s="141" t="n">
        <f aca="false">R401*Parâmetros!$C$12</f>
        <v>0</v>
      </c>
      <c r="R401" s="141" t="n">
        <f aca="false">C401*(Estacas!Q401+Estacas!Q402)/2</f>
        <v>0</v>
      </c>
      <c r="S401" s="141" t="n">
        <f aca="false">IF(LEFT(E401,3)="T09",C401*Parâmetros!$D$13*Parâmetros!$C$13,0)</f>
        <v>0</v>
      </c>
    </row>
    <row r="402" customFormat="false" ht="15" hidden="false" customHeight="false" outlineLevel="0" collapsed="false">
      <c r="A402" s="138" t="str">
        <f aca="false">Estacas!A402</f>
        <v>399+0,00</v>
      </c>
      <c r="B402" s="138" t="str">
        <f aca="false">Estacas!A403</f>
        <v>400+0,00</v>
      </c>
      <c r="C402" s="144" t="n">
        <f aca="false">Estacas!C403-Estacas!C402</f>
        <v>20</v>
      </c>
      <c r="D402" s="138" t="s">
        <v>1576</v>
      </c>
      <c r="E402" s="138" t="s">
        <v>1577</v>
      </c>
      <c r="F402" s="141" t="n">
        <f aca="false">Estacas!F402</f>
        <v>13.5</v>
      </c>
      <c r="G402" s="141" t="n">
        <f aca="false">Estacas!F403</f>
        <v>12.8</v>
      </c>
      <c r="H402" s="141" t="n">
        <f aca="false">C402*(Estacas!K402+Estacas!K403)/2</f>
        <v>13.2</v>
      </c>
      <c r="I402" s="141" t="n">
        <f aca="false">H402*Parâmetros!$C$14</f>
        <v>31.68</v>
      </c>
      <c r="J402" s="141" t="n">
        <f aca="false">C402*(Estacas!L402+Estacas!L403)/2</f>
        <v>43.232</v>
      </c>
      <c r="K402" s="141" t="n">
        <f aca="false">C402*(Estacas!M402+Estacas!M403)/2</f>
        <v>56.28</v>
      </c>
      <c r="L402" s="141" t="n">
        <f aca="false">C402*(Estacas!N402+Estacas!N403)/2</f>
        <v>88.62</v>
      </c>
      <c r="M402" s="141" t="n">
        <f aca="false">C402*(Estacas!O402+Estacas!O403)/2</f>
        <v>267</v>
      </c>
      <c r="N402" s="141" t="n">
        <f aca="false">C402*(Estacas!O402+Estacas!O403)/2</f>
        <v>267</v>
      </c>
      <c r="O402" s="141" t="n">
        <f aca="false">C402*(Estacas!P402+Estacas!P403)/2</f>
        <v>301.4</v>
      </c>
      <c r="P402" s="141" t="n">
        <f aca="false">R402*Parâmetros!$C$11</f>
        <v>0</v>
      </c>
      <c r="Q402" s="141" t="n">
        <f aca="false">R402*Parâmetros!$C$12</f>
        <v>0</v>
      </c>
      <c r="R402" s="141" t="n">
        <f aca="false">C402*(Estacas!Q402+Estacas!Q403)/2</f>
        <v>0</v>
      </c>
      <c r="S402" s="141" t="n">
        <f aca="false">IF(LEFT(E402,3)="T09",C402*Parâmetros!$D$13*Parâmetros!$C$13,0)</f>
        <v>0</v>
      </c>
    </row>
    <row r="403" customFormat="false" ht="15" hidden="false" customHeight="false" outlineLevel="0" collapsed="false">
      <c r="A403" s="138" t="str">
        <f aca="false">Estacas!A403</f>
        <v>400+0,00</v>
      </c>
      <c r="B403" s="138" t="str">
        <f aca="false">Estacas!A404</f>
        <v>401+0,00</v>
      </c>
      <c r="C403" s="144" t="n">
        <f aca="false">Estacas!C404-Estacas!C403</f>
        <v>20</v>
      </c>
      <c r="D403" s="138" t="s">
        <v>1576</v>
      </c>
      <c r="E403" s="138" t="s">
        <v>1577</v>
      </c>
      <c r="F403" s="141" t="n">
        <f aca="false">Estacas!F403</f>
        <v>12.8</v>
      </c>
      <c r="G403" s="141" t="n">
        <f aca="false">Estacas!F404</f>
        <v>11.5</v>
      </c>
      <c r="H403" s="141" t="n">
        <f aca="false">C403*(Estacas!K403+Estacas!K404)/2</f>
        <v>12.2</v>
      </c>
      <c r="I403" s="141" t="n">
        <f aca="false">H403*Parâmetros!$C$14</f>
        <v>29.28</v>
      </c>
      <c r="J403" s="141" t="n">
        <f aca="false">C403*(Estacas!L403+Estacas!L404)/2</f>
        <v>40.032</v>
      </c>
      <c r="K403" s="141" t="n">
        <f aca="false">C403*(Estacas!M403+Estacas!M404)/2</f>
        <v>52.28</v>
      </c>
      <c r="L403" s="141" t="n">
        <f aca="false">C403*(Estacas!N403+Estacas!N404)/2</f>
        <v>82.62</v>
      </c>
      <c r="M403" s="141" t="n">
        <f aca="false">C403*(Estacas!O403+Estacas!O404)/2</f>
        <v>247</v>
      </c>
      <c r="N403" s="141" t="n">
        <f aca="false">C403*(Estacas!O403+Estacas!O404)/2</f>
        <v>247</v>
      </c>
      <c r="O403" s="141" t="n">
        <f aca="false">C403*(Estacas!P403+Estacas!P404)/2</f>
        <v>281.4</v>
      </c>
      <c r="P403" s="141" t="n">
        <f aca="false">R403*Parâmetros!$C$11</f>
        <v>0</v>
      </c>
      <c r="Q403" s="141" t="n">
        <f aca="false">R403*Parâmetros!$C$12</f>
        <v>0</v>
      </c>
      <c r="R403" s="141" t="n">
        <f aca="false">C403*(Estacas!Q403+Estacas!Q404)/2</f>
        <v>0</v>
      </c>
      <c r="S403" s="141" t="n">
        <f aca="false">IF(LEFT(E403,3)="T09",C403*Parâmetros!$D$13*Parâmetros!$C$13,0)</f>
        <v>0</v>
      </c>
    </row>
    <row r="404" customFormat="false" ht="15" hidden="false" customHeight="false" outlineLevel="0" collapsed="false">
      <c r="A404" s="138" t="str">
        <f aca="false">Estacas!A404</f>
        <v>401+0,00</v>
      </c>
      <c r="B404" s="138" t="str">
        <f aca="false">Estacas!A405</f>
        <v>402+0,00</v>
      </c>
      <c r="C404" s="144" t="n">
        <f aca="false">Estacas!C405-Estacas!C404</f>
        <v>20</v>
      </c>
      <c r="D404" s="138" t="s">
        <v>1576</v>
      </c>
      <c r="E404" s="138" t="s">
        <v>1577</v>
      </c>
      <c r="F404" s="141" t="n">
        <f aca="false">Estacas!F404</f>
        <v>11.5</v>
      </c>
      <c r="G404" s="141" t="n">
        <f aca="false">Estacas!F405</f>
        <v>11</v>
      </c>
      <c r="H404" s="141" t="n">
        <f aca="false">C404*(Estacas!K404+Estacas!K405)/2</f>
        <v>11.3</v>
      </c>
      <c r="I404" s="141" t="n">
        <f aca="false">H404*Parâmetros!$C$14</f>
        <v>27.12</v>
      </c>
      <c r="J404" s="141" t="n">
        <f aca="false">C404*(Estacas!L404+Estacas!L405)/2</f>
        <v>37.152</v>
      </c>
      <c r="K404" s="141" t="n">
        <f aca="false">C404*(Estacas!M404+Estacas!M405)/2</f>
        <v>48.68</v>
      </c>
      <c r="L404" s="141" t="n">
        <f aca="false">C404*(Estacas!N404+Estacas!N405)/2</f>
        <v>77.22</v>
      </c>
      <c r="M404" s="141" t="n">
        <f aca="false">C404*(Estacas!O404+Estacas!O405)/2</f>
        <v>229</v>
      </c>
      <c r="N404" s="141" t="n">
        <f aca="false">C404*(Estacas!O404+Estacas!O405)/2</f>
        <v>229</v>
      </c>
      <c r="O404" s="141" t="n">
        <f aca="false">C404*(Estacas!P404+Estacas!P405)/2</f>
        <v>263.4</v>
      </c>
      <c r="P404" s="141" t="n">
        <f aca="false">R404*Parâmetros!$C$11</f>
        <v>0</v>
      </c>
      <c r="Q404" s="141" t="n">
        <f aca="false">R404*Parâmetros!$C$12</f>
        <v>0</v>
      </c>
      <c r="R404" s="141" t="n">
        <f aca="false">C404*(Estacas!Q404+Estacas!Q405)/2</f>
        <v>0</v>
      </c>
      <c r="S404" s="141" t="n">
        <f aca="false">IF(LEFT(E404,3)="T09",C404*Parâmetros!$D$13*Parâmetros!$C$13,0)</f>
        <v>0</v>
      </c>
    </row>
    <row r="405" customFormat="false" ht="15" hidden="false" customHeight="false" outlineLevel="0" collapsed="false">
      <c r="A405" s="138" t="str">
        <f aca="false">Estacas!A405</f>
        <v>402+0,00</v>
      </c>
      <c r="B405" s="138" t="str">
        <f aca="false">Estacas!A406</f>
        <v>403+0,00</v>
      </c>
      <c r="C405" s="144" t="n">
        <f aca="false">Estacas!C406-Estacas!C405</f>
        <v>20</v>
      </c>
      <c r="D405" s="138" t="s">
        <v>1580</v>
      </c>
      <c r="E405" s="138" t="s">
        <v>1566</v>
      </c>
      <c r="F405" s="141" t="n">
        <f aca="false">Estacas!F405</f>
        <v>11</v>
      </c>
      <c r="G405" s="141" t="n">
        <f aca="false">Estacas!F406</f>
        <v>11</v>
      </c>
      <c r="H405" s="141" t="n">
        <f aca="false">C405*(Estacas!K405+Estacas!K406)/2</f>
        <v>11.05</v>
      </c>
      <c r="I405" s="141" t="n">
        <f aca="false">H405*Parâmetros!$C$14</f>
        <v>26.52</v>
      </c>
      <c r="J405" s="141" t="n">
        <f aca="false">C405*(Estacas!L405+Estacas!L406)/2</f>
        <v>36.352</v>
      </c>
      <c r="K405" s="141" t="n">
        <f aca="false">C405*(Estacas!M405+Estacas!M406)/2</f>
        <v>47.68</v>
      </c>
      <c r="L405" s="141" t="n">
        <f aca="false">C405*(Estacas!N405+Estacas!N406)/2</f>
        <v>75.72</v>
      </c>
      <c r="M405" s="141" t="n">
        <f aca="false">C405*(Estacas!O405+Estacas!O406)/2</f>
        <v>224</v>
      </c>
      <c r="N405" s="141" t="n">
        <f aca="false">C405*(Estacas!O405+Estacas!O406)/2</f>
        <v>224</v>
      </c>
      <c r="O405" s="141" t="n">
        <f aca="false">C405*(Estacas!P405+Estacas!P406)/2</f>
        <v>258.4</v>
      </c>
      <c r="P405" s="141" t="n">
        <f aca="false">R405*Parâmetros!$C$11</f>
        <v>0</v>
      </c>
      <c r="Q405" s="141" t="n">
        <f aca="false">R405*Parâmetros!$C$12</f>
        <v>0</v>
      </c>
      <c r="R405" s="141" t="n">
        <f aca="false">C405*(Estacas!Q405+Estacas!Q406)/2</f>
        <v>0</v>
      </c>
      <c r="S405" s="141" t="n">
        <f aca="false">IF(LEFT(E405,3)="T09",C405*Parâmetros!$D$13*Parâmetros!$C$13,0)</f>
        <v>0</v>
      </c>
    </row>
    <row r="406" customFormat="false" ht="15" hidden="false" customHeight="false" outlineLevel="0" collapsed="false">
      <c r="A406" s="138" t="str">
        <f aca="false">Estacas!A406</f>
        <v>403+0,00</v>
      </c>
      <c r="B406" s="138" t="str">
        <f aca="false">Estacas!A407</f>
        <v>404+0,00</v>
      </c>
      <c r="C406" s="144" t="n">
        <f aca="false">Estacas!C407-Estacas!C406</f>
        <v>20</v>
      </c>
      <c r="D406" s="138" t="s">
        <v>1580</v>
      </c>
      <c r="E406" s="138" t="s">
        <v>1566</v>
      </c>
      <c r="F406" s="141" t="n">
        <f aca="false">Estacas!F406</f>
        <v>11</v>
      </c>
      <c r="G406" s="141" t="n">
        <f aca="false">Estacas!F407</f>
        <v>11</v>
      </c>
      <c r="H406" s="141" t="n">
        <f aca="false">C406*(Estacas!K406+Estacas!K407)/2</f>
        <v>11.05</v>
      </c>
      <c r="I406" s="141" t="n">
        <f aca="false">H406*Parâmetros!$C$14</f>
        <v>26.52</v>
      </c>
      <c r="J406" s="141" t="n">
        <f aca="false">C406*(Estacas!L406+Estacas!L407)/2</f>
        <v>36.352</v>
      </c>
      <c r="K406" s="141" t="n">
        <f aca="false">C406*(Estacas!M406+Estacas!M407)/2</f>
        <v>47.68</v>
      </c>
      <c r="L406" s="141" t="n">
        <f aca="false">C406*(Estacas!N406+Estacas!N407)/2</f>
        <v>75.72</v>
      </c>
      <c r="M406" s="141" t="n">
        <f aca="false">C406*(Estacas!O406+Estacas!O407)/2</f>
        <v>224</v>
      </c>
      <c r="N406" s="141" t="n">
        <f aca="false">C406*(Estacas!O406+Estacas!O407)/2</f>
        <v>224</v>
      </c>
      <c r="O406" s="141" t="n">
        <f aca="false">C406*(Estacas!P406+Estacas!P407)/2</f>
        <v>258.4</v>
      </c>
      <c r="P406" s="141" t="n">
        <f aca="false">R406*Parâmetros!$C$11</f>
        <v>0</v>
      </c>
      <c r="Q406" s="141" t="n">
        <f aca="false">R406*Parâmetros!$C$12</f>
        <v>0</v>
      </c>
      <c r="R406" s="141" t="n">
        <f aca="false">C406*(Estacas!Q406+Estacas!Q407)/2</f>
        <v>0</v>
      </c>
      <c r="S406" s="141" t="n">
        <f aca="false">IF(LEFT(E406,3)="T09",C406*Parâmetros!$D$13*Parâmetros!$C$13,0)</f>
        <v>0</v>
      </c>
    </row>
    <row r="407" customFormat="false" ht="15" hidden="false" customHeight="false" outlineLevel="0" collapsed="false">
      <c r="A407" s="138" t="str">
        <f aca="false">Estacas!A407</f>
        <v>404+0,00</v>
      </c>
      <c r="B407" s="138" t="str">
        <f aca="false">Estacas!A408</f>
        <v>405+0,00</v>
      </c>
      <c r="C407" s="144" t="n">
        <f aca="false">Estacas!C408-Estacas!C407</f>
        <v>20</v>
      </c>
      <c r="D407" s="138" t="s">
        <v>1580</v>
      </c>
      <c r="E407" s="138" t="s">
        <v>1566</v>
      </c>
      <c r="F407" s="141" t="n">
        <f aca="false">Estacas!F407</f>
        <v>11</v>
      </c>
      <c r="G407" s="141" t="n">
        <f aca="false">Estacas!F408</f>
        <v>11</v>
      </c>
      <c r="H407" s="141" t="n">
        <f aca="false">C407*(Estacas!K407+Estacas!K408)/2</f>
        <v>11.05</v>
      </c>
      <c r="I407" s="141" t="n">
        <f aca="false">H407*Parâmetros!$C$14</f>
        <v>26.52</v>
      </c>
      <c r="J407" s="141" t="n">
        <f aca="false">C407*(Estacas!L407+Estacas!L408)/2</f>
        <v>36.352</v>
      </c>
      <c r="K407" s="141" t="n">
        <f aca="false">C407*(Estacas!M407+Estacas!M408)/2</f>
        <v>47.68</v>
      </c>
      <c r="L407" s="141" t="n">
        <f aca="false">C407*(Estacas!N407+Estacas!N408)/2</f>
        <v>75.72</v>
      </c>
      <c r="M407" s="141" t="n">
        <f aca="false">C407*(Estacas!O407+Estacas!O408)/2</f>
        <v>224</v>
      </c>
      <c r="N407" s="141" t="n">
        <f aca="false">C407*(Estacas!O407+Estacas!O408)/2</f>
        <v>224</v>
      </c>
      <c r="O407" s="141" t="n">
        <f aca="false">C407*(Estacas!P407+Estacas!P408)/2</f>
        <v>258.4</v>
      </c>
      <c r="P407" s="141" t="n">
        <f aca="false">R407*Parâmetros!$C$11</f>
        <v>0</v>
      </c>
      <c r="Q407" s="141" t="n">
        <f aca="false">R407*Parâmetros!$C$12</f>
        <v>0</v>
      </c>
      <c r="R407" s="141" t="n">
        <f aca="false">C407*(Estacas!Q407+Estacas!Q408)/2</f>
        <v>0</v>
      </c>
      <c r="S407" s="141" t="n">
        <f aca="false">IF(LEFT(E407,3)="T09",C407*Parâmetros!$D$13*Parâmetros!$C$13,0)</f>
        <v>0</v>
      </c>
    </row>
    <row r="408" customFormat="false" ht="15" hidden="false" customHeight="false" outlineLevel="0" collapsed="false">
      <c r="A408" s="138" t="str">
        <f aca="false">Estacas!A408</f>
        <v>405+0,00</v>
      </c>
      <c r="B408" s="138" t="str">
        <f aca="false">Estacas!A409</f>
        <v>406+0,00</v>
      </c>
      <c r="C408" s="144" t="n">
        <f aca="false">Estacas!C409-Estacas!C408</f>
        <v>20</v>
      </c>
      <c r="D408" s="138" t="s">
        <v>1580</v>
      </c>
      <c r="E408" s="138" t="s">
        <v>1566</v>
      </c>
      <c r="F408" s="141" t="n">
        <f aca="false">Estacas!F408</f>
        <v>11</v>
      </c>
      <c r="G408" s="141" t="n">
        <f aca="false">Estacas!F409</f>
        <v>11</v>
      </c>
      <c r="H408" s="141" t="n">
        <f aca="false">C408*(Estacas!K408+Estacas!K409)/2</f>
        <v>11.05</v>
      </c>
      <c r="I408" s="141" t="n">
        <f aca="false">H408*Parâmetros!$C$14</f>
        <v>26.52</v>
      </c>
      <c r="J408" s="141" t="n">
        <f aca="false">C408*(Estacas!L408+Estacas!L409)/2</f>
        <v>36.352</v>
      </c>
      <c r="K408" s="141" t="n">
        <f aca="false">C408*(Estacas!M408+Estacas!M409)/2</f>
        <v>47.68</v>
      </c>
      <c r="L408" s="141" t="n">
        <f aca="false">C408*(Estacas!N408+Estacas!N409)/2</f>
        <v>75.72</v>
      </c>
      <c r="M408" s="141" t="n">
        <f aca="false">C408*(Estacas!O408+Estacas!O409)/2</f>
        <v>224</v>
      </c>
      <c r="N408" s="141" t="n">
        <f aca="false">C408*(Estacas!O408+Estacas!O409)/2</f>
        <v>224</v>
      </c>
      <c r="O408" s="141" t="n">
        <f aca="false">C408*(Estacas!P408+Estacas!P409)/2</f>
        <v>258.4</v>
      </c>
      <c r="P408" s="141" t="n">
        <f aca="false">R408*Parâmetros!$C$11</f>
        <v>0</v>
      </c>
      <c r="Q408" s="141" t="n">
        <f aca="false">R408*Parâmetros!$C$12</f>
        <v>0</v>
      </c>
      <c r="R408" s="141" t="n">
        <f aca="false">C408*(Estacas!Q408+Estacas!Q409)/2</f>
        <v>0</v>
      </c>
      <c r="S408" s="141" t="n">
        <f aca="false">IF(LEFT(E408,3)="T09",C408*Parâmetros!$D$13*Parâmetros!$C$13,0)</f>
        <v>0</v>
      </c>
    </row>
    <row r="409" customFormat="false" ht="15" hidden="false" customHeight="false" outlineLevel="0" collapsed="false">
      <c r="A409" s="138" t="str">
        <f aca="false">Estacas!A409</f>
        <v>406+0,00</v>
      </c>
      <c r="B409" s="138" t="str">
        <f aca="false">Estacas!A410</f>
        <v>407+0,00</v>
      </c>
      <c r="C409" s="144" t="n">
        <f aca="false">Estacas!C410-Estacas!C409</f>
        <v>20</v>
      </c>
      <c r="D409" s="138" t="s">
        <v>1580</v>
      </c>
      <c r="E409" s="138" t="s">
        <v>1566</v>
      </c>
      <c r="F409" s="141" t="n">
        <f aca="false">Estacas!F409</f>
        <v>11</v>
      </c>
      <c r="G409" s="141" t="n">
        <f aca="false">Estacas!F410</f>
        <v>11</v>
      </c>
      <c r="H409" s="141" t="n">
        <f aca="false">C409*(Estacas!K409+Estacas!K410)/2</f>
        <v>11.05</v>
      </c>
      <c r="I409" s="141" t="n">
        <f aca="false">H409*Parâmetros!$C$14</f>
        <v>26.52</v>
      </c>
      <c r="J409" s="141" t="n">
        <f aca="false">C409*(Estacas!L409+Estacas!L410)/2</f>
        <v>36.352</v>
      </c>
      <c r="K409" s="141" t="n">
        <f aca="false">C409*(Estacas!M409+Estacas!M410)/2</f>
        <v>47.68</v>
      </c>
      <c r="L409" s="141" t="n">
        <f aca="false">C409*(Estacas!N409+Estacas!N410)/2</f>
        <v>75.72</v>
      </c>
      <c r="M409" s="141" t="n">
        <f aca="false">C409*(Estacas!O409+Estacas!O410)/2</f>
        <v>224</v>
      </c>
      <c r="N409" s="141" t="n">
        <f aca="false">C409*(Estacas!O409+Estacas!O410)/2</f>
        <v>224</v>
      </c>
      <c r="O409" s="141" t="n">
        <f aca="false">C409*(Estacas!P409+Estacas!P410)/2</f>
        <v>258.4</v>
      </c>
      <c r="P409" s="141" t="n">
        <f aca="false">R409*Parâmetros!$C$11</f>
        <v>0</v>
      </c>
      <c r="Q409" s="141" t="n">
        <f aca="false">R409*Parâmetros!$C$12</f>
        <v>0</v>
      </c>
      <c r="R409" s="141" t="n">
        <f aca="false">C409*(Estacas!Q409+Estacas!Q410)/2</f>
        <v>0</v>
      </c>
      <c r="S409" s="141" t="n">
        <f aca="false">IF(LEFT(E409,3)="T09",C409*Parâmetros!$D$13*Parâmetros!$C$13,0)</f>
        <v>0</v>
      </c>
    </row>
    <row r="410" customFormat="false" ht="15" hidden="false" customHeight="false" outlineLevel="0" collapsed="false">
      <c r="A410" s="138" t="str">
        <f aca="false">Estacas!A410</f>
        <v>407+0,00</v>
      </c>
      <c r="B410" s="138" t="str">
        <f aca="false">Estacas!A411</f>
        <v>408+0,00</v>
      </c>
      <c r="C410" s="144" t="n">
        <f aca="false">Estacas!C411-Estacas!C410</f>
        <v>20</v>
      </c>
      <c r="D410" s="138" t="s">
        <v>1580</v>
      </c>
      <c r="E410" s="138" t="s">
        <v>1566</v>
      </c>
      <c r="F410" s="141" t="n">
        <f aca="false">Estacas!F410</f>
        <v>11</v>
      </c>
      <c r="G410" s="141" t="n">
        <f aca="false">Estacas!F411</f>
        <v>11</v>
      </c>
      <c r="H410" s="141" t="n">
        <f aca="false">C410*(Estacas!K410+Estacas!K411)/2</f>
        <v>11.05</v>
      </c>
      <c r="I410" s="141" t="n">
        <f aca="false">H410*Parâmetros!$C$14</f>
        <v>26.52</v>
      </c>
      <c r="J410" s="141" t="n">
        <f aca="false">C410*(Estacas!L410+Estacas!L411)/2</f>
        <v>36.352</v>
      </c>
      <c r="K410" s="141" t="n">
        <f aca="false">C410*(Estacas!M410+Estacas!M411)/2</f>
        <v>47.68</v>
      </c>
      <c r="L410" s="141" t="n">
        <f aca="false">C410*(Estacas!N410+Estacas!N411)/2</f>
        <v>75.72</v>
      </c>
      <c r="M410" s="141" t="n">
        <f aca="false">C410*(Estacas!O410+Estacas!O411)/2</f>
        <v>224</v>
      </c>
      <c r="N410" s="141" t="n">
        <f aca="false">C410*(Estacas!O410+Estacas!O411)/2</f>
        <v>224</v>
      </c>
      <c r="O410" s="141" t="n">
        <f aca="false">C410*(Estacas!P410+Estacas!P411)/2</f>
        <v>258.4</v>
      </c>
      <c r="P410" s="141" t="n">
        <f aca="false">R410*Parâmetros!$C$11</f>
        <v>0</v>
      </c>
      <c r="Q410" s="141" t="n">
        <f aca="false">R410*Parâmetros!$C$12</f>
        <v>0</v>
      </c>
      <c r="R410" s="141" t="n">
        <f aca="false">C410*(Estacas!Q410+Estacas!Q411)/2</f>
        <v>0</v>
      </c>
      <c r="S410" s="141" t="n">
        <f aca="false">IF(LEFT(E410,3)="T09",C410*Parâmetros!$D$13*Parâmetros!$C$13,0)</f>
        <v>0</v>
      </c>
    </row>
    <row r="411" customFormat="false" ht="15" hidden="false" customHeight="false" outlineLevel="0" collapsed="false">
      <c r="A411" s="138" t="str">
        <f aca="false">Estacas!A411</f>
        <v>408+0,00</v>
      </c>
      <c r="B411" s="138" t="str">
        <f aca="false">Estacas!A412</f>
        <v>409+0,00</v>
      </c>
      <c r="C411" s="144" t="n">
        <f aca="false">Estacas!C412-Estacas!C411</f>
        <v>20</v>
      </c>
      <c r="D411" s="138" t="s">
        <v>1580</v>
      </c>
      <c r="E411" s="138" t="s">
        <v>1566</v>
      </c>
      <c r="F411" s="141" t="n">
        <f aca="false">Estacas!F411</f>
        <v>11</v>
      </c>
      <c r="G411" s="141" t="n">
        <f aca="false">Estacas!F412</f>
        <v>11</v>
      </c>
      <c r="H411" s="141" t="n">
        <f aca="false">C411*(Estacas!K411+Estacas!K412)/2</f>
        <v>11.05</v>
      </c>
      <c r="I411" s="141" t="n">
        <f aca="false">H411*Parâmetros!$C$14</f>
        <v>26.52</v>
      </c>
      <c r="J411" s="141" t="n">
        <f aca="false">C411*(Estacas!L411+Estacas!L412)/2</f>
        <v>36.352</v>
      </c>
      <c r="K411" s="141" t="n">
        <f aca="false">C411*(Estacas!M411+Estacas!M412)/2</f>
        <v>47.68</v>
      </c>
      <c r="L411" s="141" t="n">
        <f aca="false">C411*(Estacas!N411+Estacas!N412)/2</f>
        <v>75.72</v>
      </c>
      <c r="M411" s="141" t="n">
        <f aca="false">C411*(Estacas!O411+Estacas!O412)/2</f>
        <v>224</v>
      </c>
      <c r="N411" s="141" t="n">
        <f aca="false">C411*(Estacas!O411+Estacas!O412)/2</f>
        <v>224</v>
      </c>
      <c r="O411" s="141" t="n">
        <f aca="false">C411*(Estacas!P411+Estacas!P412)/2</f>
        <v>258.4</v>
      </c>
      <c r="P411" s="141" t="n">
        <f aca="false">R411*Parâmetros!$C$11</f>
        <v>0</v>
      </c>
      <c r="Q411" s="141" t="n">
        <f aca="false">R411*Parâmetros!$C$12</f>
        <v>0</v>
      </c>
      <c r="R411" s="141" t="n">
        <f aca="false">C411*(Estacas!Q411+Estacas!Q412)/2</f>
        <v>0</v>
      </c>
      <c r="S411" s="141" t="n">
        <f aca="false">IF(LEFT(E411,3)="T09",C411*Parâmetros!$D$13*Parâmetros!$C$13,0)</f>
        <v>0</v>
      </c>
    </row>
    <row r="412" customFormat="false" ht="15" hidden="false" customHeight="false" outlineLevel="0" collapsed="false">
      <c r="A412" s="138" t="str">
        <f aca="false">Estacas!A412</f>
        <v>409+0,00</v>
      </c>
      <c r="B412" s="138" t="str">
        <f aca="false">Estacas!A413</f>
        <v>410+0,00</v>
      </c>
      <c r="C412" s="144" t="n">
        <f aca="false">Estacas!C413-Estacas!C412</f>
        <v>20</v>
      </c>
      <c r="D412" s="138" t="s">
        <v>1580</v>
      </c>
      <c r="E412" s="138" t="s">
        <v>1566</v>
      </c>
      <c r="F412" s="141" t="n">
        <f aca="false">Estacas!F412</f>
        <v>11</v>
      </c>
      <c r="G412" s="141" t="n">
        <f aca="false">Estacas!F413</f>
        <v>11</v>
      </c>
      <c r="H412" s="141" t="n">
        <f aca="false">C412*(Estacas!K412+Estacas!K413)/2</f>
        <v>11.05</v>
      </c>
      <c r="I412" s="141" t="n">
        <f aca="false">H412*Parâmetros!$C$14</f>
        <v>26.52</v>
      </c>
      <c r="J412" s="141" t="n">
        <f aca="false">C412*(Estacas!L412+Estacas!L413)/2</f>
        <v>36.352</v>
      </c>
      <c r="K412" s="141" t="n">
        <f aca="false">C412*(Estacas!M412+Estacas!M413)/2</f>
        <v>47.68</v>
      </c>
      <c r="L412" s="141" t="n">
        <f aca="false">C412*(Estacas!N412+Estacas!N413)/2</f>
        <v>75.72</v>
      </c>
      <c r="M412" s="141" t="n">
        <f aca="false">C412*(Estacas!O412+Estacas!O413)/2</f>
        <v>224</v>
      </c>
      <c r="N412" s="141" t="n">
        <f aca="false">C412*(Estacas!O412+Estacas!O413)/2</f>
        <v>224</v>
      </c>
      <c r="O412" s="141" t="n">
        <f aca="false">C412*(Estacas!P412+Estacas!P413)/2</f>
        <v>258.4</v>
      </c>
      <c r="P412" s="141" t="n">
        <f aca="false">R412*Parâmetros!$C$11</f>
        <v>0</v>
      </c>
      <c r="Q412" s="141" t="n">
        <f aca="false">R412*Parâmetros!$C$12</f>
        <v>0</v>
      </c>
      <c r="R412" s="141" t="n">
        <f aca="false">C412*(Estacas!Q412+Estacas!Q413)/2</f>
        <v>0</v>
      </c>
      <c r="S412" s="141" t="n">
        <f aca="false">IF(LEFT(E412,3)="T09",C412*Parâmetros!$D$13*Parâmetros!$C$13,0)</f>
        <v>0</v>
      </c>
    </row>
    <row r="413" customFormat="false" ht="15" hidden="false" customHeight="false" outlineLevel="0" collapsed="false">
      <c r="A413" s="138" t="str">
        <f aca="false">Estacas!A413</f>
        <v>410+0,00</v>
      </c>
      <c r="B413" s="138" t="str">
        <f aca="false">Estacas!A414</f>
        <v>411+0,00</v>
      </c>
      <c r="C413" s="144" t="n">
        <f aca="false">Estacas!C414-Estacas!C413</f>
        <v>20</v>
      </c>
      <c r="D413" s="138" t="s">
        <v>1580</v>
      </c>
      <c r="E413" s="138" t="s">
        <v>1566</v>
      </c>
      <c r="F413" s="141" t="n">
        <f aca="false">Estacas!F413</f>
        <v>11</v>
      </c>
      <c r="G413" s="141" t="n">
        <f aca="false">Estacas!F414</f>
        <v>13</v>
      </c>
      <c r="H413" s="141" t="n">
        <f aca="false">C413*(Estacas!K413+Estacas!K414)/2</f>
        <v>12.05</v>
      </c>
      <c r="I413" s="141" t="n">
        <f aca="false">H413*Parâmetros!$C$14</f>
        <v>28.92</v>
      </c>
      <c r="J413" s="141" t="n">
        <f aca="false">C413*(Estacas!L413+Estacas!L414)/2</f>
        <v>39.552</v>
      </c>
      <c r="K413" s="141" t="n">
        <f aca="false">C413*(Estacas!M413+Estacas!M414)/2</f>
        <v>51.68</v>
      </c>
      <c r="L413" s="141" t="n">
        <f aca="false">C413*(Estacas!N413+Estacas!N414)/2</f>
        <v>81.72</v>
      </c>
      <c r="M413" s="141" t="n">
        <f aca="false">C413*(Estacas!O413+Estacas!O414)/2</f>
        <v>244</v>
      </c>
      <c r="N413" s="141" t="n">
        <f aca="false">C413*(Estacas!O413+Estacas!O414)/2</f>
        <v>244</v>
      </c>
      <c r="O413" s="141" t="n">
        <f aca="false">C413*(Estacas!P413+Estacas!P414)/2</f>
        <v>278.4</v>
      </c>
      <c r="P413" s="141" t="n">
        <f aca="false">R413*Parâmetros!$C$11</f>
        <v>0</v>
      </c>
      <c r="Q413" s="141" t="n">
        <f aca="false">R413*Parâmetros!$C$12</f>
        <v>0</v>
      </c>
      <c r="R413" s="141" t="n">
        <f aca="false">C413*(Estacas!Q413+Estacas!Q414)/2</f>
        <v>0</v>
      </c>
      <c r="S413" s="141" t="n">
        <f aca="false">IF(LEFT(E413,3)="T09",C413*Parâmetros!$D$13*Parâmetros!$C$13,0)</f>
        <v>0</v>
      </c>
    </row>
    <row r="414" customFormat="false" ht="15" hidden="false" customHeight="false" outlineLevel="0" collapsed="false">
      <c r="A414" s="138" t="str">
        <f aca="false">Estacas!A414</f>
        <v>411+0,00</v>
      </c>
      <c r="B414" s="138" t="str">
        <f aca="false">Estacas!A415</f>
        <v>412+0,00</v>
      </c>
      <c r="C414" s="144" t="n">
        <f aca="false">Estacas!C415-Estacas!C414</f>
        <v>20</v>
      </c>
      <c r="D414" s="138" t="s">
        <v>1580</v>
      </c>
      <c r="E414" s="138" t="s">
        <v>1566</v>
      </c>
      <c r="F414" s="141" t="n">
        <f aca="false">Estacas!F414</f>
        <v>13</v>
      </c>
      <c r="G414" s="141" t="n">
        <f aca="false">Estacas!F415</f>
        <v>11</v>
      </c>
      <c r="H414" s="141" t="n">
        <f aca="false">C414*(Estacas!K414+Estacas!K415)/2</f>
        <v>12.05</v>
      </c>
      <c r="I414" s="141" t="n">
        <f aca="false">H414*Parâmetros!$C$14</f>
        <v>28.92</v>
      </c>
      <c r="J414" s="141" t="n">
        <f aca="false">C414*(Estacas!L414+Estacas!L415)/2</f>
        <v>39.552</v>
      </c>
      <c r="K414" s="141" t="n">
        <f aca="false">C414*(Estacas!M414+Estacas!M415)/2</f>
        <v>51.68</v>
      </c>
      <c r="L414" s="141" t="n">
        <f aca="false">C414*(Estacas!N414+Estacas!N415)/2</f>
        <v>81.72</v>
      </c>
      <c r="M414" s="141" t="n">
        <f aca="false">C414*(Estacas!O414+Estacas!O415)/2</f>
        <v>244</v>
      </c>
      <c r="N414" s="141" t="n">
        <f aca="false">C414*(Estacas!O414+Estacas!O415)/2</f>
        <v>244</v>
      </c>
      <c r="O414" s="141" t="n">
        <f aca="false">C414*(Estacas!P414+Estacas!P415)/2</f>
        <v>278.4</v>
      </c>
      <c r="P414" s="141" t="n">
        <f aca="false">R414*Parâmetros!$C$11</f>
        <v>0</v>
      </c>
      <c r="Q414" s="141" t="n">
        <f aca="false">R414*Parâmetros!$C$12</f>
        <v>0</v>
      </c>
      <c r="R414" s="141" t="n">
        <f aca="false">C414*(Estacas!Q414+Estacas!Q415)/2</f>
        <v>0</v>
      </c>
      <c r="S414" s="141" t="n">
        <f aca="false">IF(LEFT(E414,3)="T09",C414*Parâmetros!$D$13*Parâmetros!$C$13,0)</f>
        <v>0</v>
      </c>
    </row>
    <row r="415" customFormat="false" ht="15" hidden="false" customHeight="false" outlineLevel="0" collapsed="false">
      <c r="A415" s="138" t="str">
        <f aca="false">Estacas!A415</f>
        <v>412+0,00</v>
      </c>
      <c r="B415" s="138" t="str">
        <f aca="false">Estacas!A416</f>
        <v>413+0,00</v>
      </c>
      <c r="C415" s="144" t="n">
        <f aca="false">Estacas!C416-Estacas!C415</f>
        <v>20</v>
      </c>
      <c r="D415" s="138" t="s">
        <v>1580</v>
      </c>
      <c r="E415" s="138" t="s">
        <v>1566</v>
      </c>
      <c r="F415" s="141" t="n">
        <f aca="false">Estacas!F415</f>
        <v>11</v>
      </c>
      <c r="G415" s="141" t="n">
        <f aca="false">Estacas!F416</f>
        <v>11.6</v>
      </c>
      <c r="H415" s="141" t="n">
        <f aca="false">C415*(Estacas!K415+Estacas!K416)/2</f>
        <v>11.35</v>
      </c>
      <c r="I415" s="141" t="n">
        <f aca="false">H415*Parâmetros!$C$14</f>
        <v>27.24</v>
      </c>
      <c r="J415" s="141" t="n">
        <f aca="false">C415*(Estacas!L415+Estacas!L416)/2</f>
        <v>37.312</v>
      </c>
      <c r="K415" s="141" t="n">
        <f aca="false">C415*(Estacas!M415+Estacas!M416)/2</f>
        <v>48.88</v>
      </c>
      <c r="L415" s="141" t="n">
        <f aca="false">C415*(Estacas!N415+Estacas!N416)/2</f>
        <v>77.52</v>
      </c>
      <c r="M415" s="141" t="n">
        <f aca="false">C415*(Estacas!O415+Estacas!O416)/2</f>
        <v>230</v>
      </c>
      <c r="N415" s="141" t="n">
        <f aca="false">C415*(Estacas!O415+Estacas!O416)/2</f>
        <v>230</v>
      </c>
      <c r="O415" s="141" t="n">
        <f aca="false">C415*(Estacas!P415+Estacas!P416)/2</f>
        <v>264.4</v>
      </c>
      <c r="P415" s="141" t="n">
        <f aca="false">R415*Parâmetros!$C$11</f>
        <v>0</v>
      </c>
      <c r="Q415" s="141" t="n">
        <f aca="false">R415*Parâmetros!$C$12</f>
        <v>0</v>
      </c>
      <c r="R415" s="141" t="n">
        <f aca="false">C415*(Estacas!Q415+Estacas!Q416)/2</f>
        <v>0</v>
      </c>
      <c r="S415" s="141" t="n">
        <f aca="false">IF(LEFT(E415,3)="T09",C415*Parâmetros!$D$13*Parâmetros!$C$13,0)</f>
        <v>0</v>
      </c>
    </row>
    <row r="416" customFormat="false" ht="15" hidden="false" customHeight="false" outlineLevel="0" collapsed="false">
      <c r="A416" s="138" t="str">
        <f aca="false">Estacas!A416</f>
        <v>413+0,00</v>
      </c>
      <c r="B416" s="138" t="str">
        <f aca="false">Estacas!A417</f>
        <v>414+0,00</v>
      </c>
      <c r="C416" s="144" t="n">
        <f aca="false">Estacas!C417-Estacas!C416</f>
        <v>20</v>
      </c>
      <c r="D416" s="138" t="s">
        <v>1580</v>
      </c>
      <c r="E416" s="138" t="s">
        <v>1566</v>
      </c>
      <c r="F416" s="141" t="n">
        <f aca="false">Estacas!F416</f>
        <v>11.6</v>
      </c>
      <c r="G416" s="141" t="n">
        <f aca="false">Estacas!F417</f>
        <v>11.3</v>
      </c>
      <c r="H416" s="141" t="n">
        <f aca="false">C416*(Estacas!K416+Estacas!K417)/2</f>
        <v>11.5</v>
      </c>
      <c r="I416" s="141" t="n">
        <f aca="false">H416*Parâmetros!$C$14</f>
        <v>27.6</v>
      </c>
      <c r="J416" s="141" t="n">
        <f aca="false">C416*(Estacas!L416+Estacas!L417)/2</f>
        <v>37.792</v>
      </c>
      <c r="K416" s="141" t="n">
        <f aca="false">C416*(Estacas!M416+Estacas!M417)/2</f>
        <v>49.48</v>
      </c>
      <c r="L416" s="141" t="n">
        <f aca="false">C416*(Estacas!N416+Estacas!N417)/2</f>
        <v>78.42</v>
      </c>
      <c r="M416" s="141" t="n">
        <f aca="false">C416*(Estacas!O416+Estacas!O417)/2</f>
        <v>233</v>
      </c>
      <c r="N416" s="141" t="n">
        <f aca="false">C416*(Estacas!O416+Estacas!O417)/2</f>
        <v>233</v>
      </c>
      <c r="O416" s="141" t="n">
        <f aca="false">C416*(Estacas!P416+Estacas!P417)/2</f>
        <v>267.4</v>
      </c>
      <c r="P416" s="141" t="n">
        <f aca="false">R416*Parâmetros!$C$11</f>
        <v>0</v>
      </c>
      <c r="Q416" s="141" t="n">
        <f aca="false">R416*Parâmetros!$C$12</f>
        <v>0</v>
      </c>
      <c r="R416" s="141" t="n">
        <f aca="false">C416*(Estacas!Q416+Estacas!Q417)/2</f>
        <v>0</v>
      </c>
      <c r="S416" s="141" t="n">
        <f aca="false">IF(LEFT(E416,3)="T09",C416*Parâmetros!$D$13*Parâmetros!$C$13,0)</f>
        <v>0</v>
      </c>
    </row>
    <row r="417" customFormat="false" ht="15" hidden="false" customHeight="false" outlineLevel="0" collapsed="false">
      <c r="A417" s="138" t="str">
        <f aca="false">Estacas!A417</f>
        <v>414+0,00</v>
      </c>
      <c r="B417" s="138" t="str">
        <f aca="false">Estacas!A418</f>
        <v>415+0,00</v>
      </c>
      <c r="C417" s="144" t="n">
        <f aca="false">Estacas!C418-Estacas!C417</f>
        <v>20</v>
      </c>
      <c r="D417" s="138" t="s">
        <v>1580</v>
      </c>
      <c r="E417" s="138" t="s">
        <v>1566</v>
      </c>
      <c r="F417" s="141" t="n">
        <f aca="false">Estacas!F417</f>
        <v>11.3</v>
      </c>
      <c r="G417" s="141" t="n">
        <f aca="false">Estacas!F418</f>
        <v>11</v>
      </c>
      <c r="H417" s="141" t="n">
        <f aca="false">C417*(Estacas!K417+Estacas!K418)/2</f>
        <v>11.2</v>
      </c>
      <c r="I417" s="141" t="n">
        <f aca="false">H417*Parâmetros!$C$14</f>
        <v>26.88</v>
      </c>
      <c r="J417" s="141" t="n">
        <f aca="false">C417*(Estacas!L417+Estacas!L418)/2</f>
        <v>36.832</v>
      </c>
      <c r="K417" s="141" t="n">
        <f aca="false">C417*(Estacas!M417+Estacas!M418)/2</f>
        <v>48.28</v>
      </c>
      <c r="L417" s="141" t="n">
        <f aca="false">C417*(Estacas!N417+Estacas!N418)/2</f>
        <v>76.62</v>
      </c>
      <c r="M417" s="141" t="n">
        <f aca="false">C417*(Estacas!O417+Estacas!O418)/2</f>
        <v>227</v>
      </c>
      <c r="N417" s="141" t="n">
        <f aca="false">C417*(Estacas!O417+Estacas!O418)/2</f>
        <v>227</v>
      </c>
      <c r="O417" s="141" t="n">
        <f aca="false">C417*(Estacas!P417+Estacas!P418)/2</f>
        <v>261.4</v>
      </c>
      <c r="P417" s="141" t="n">
        <f aca="false">R417*Parâmetros!$C$11</f>
        <v>0</v>
      </c>
      <c r="Q417" s="141" t="n">
        <f aca="false">R417*Parâmetros!$C$12</f>
        <v>0</v>
      </c>
      <c r="R417" s="141" t="n">
        <f aca="false">C417*(Estacas!Q417+Estacas!Q418)/2</f>
        <v>0</v>
      </c>
      <c r="S417" s="141" t="n">
        <f aca="false">IF(LEFT(E417,3)="T09",C417*Parâmetros!$D$13*Parâmetros!$C$13,0)</f>
        <v>0</v>
      </c>
    </row>
    <row r="418" customFormat="false" ht="15" hidden="false" customHeight="false" outlineLevel="0" collapsed="false">
      <c r="A418" s="138" t="str">
        <f aca="false">Estacas!A418</f>
        <v>415+0,00</v>
      </c>
      <c r="B418" s="138" t="str">
        <f aca="false">Estacas!A419</f>
        <v>416+0,00</v>
      </c>
      <c r="C418" s="144" t="n">
        <f aca="false">Estacas!C419-Estacas!C418</f>
        <v>20</v>
      </c>
      <c r="D418" s="138" t="s">
        <v>1580</v>
      </c>
      <c r="E418" s="138" t="s">
        <v>1566</v>
      </c>
      <c r="F418" s="141" t="n">
        <f aca="false">Estacas!F418</f>
        <v>11</v>
      </c>
      <c r="G418" s="141" t="n">
        <f aca="false">Estacas!F419</f>
        <v>11.5</v>
      </c>
      <c r="H418" s="141" t="n">
        <f aca="false">C418*(Estacas!K418+Estacas!K419)/2</f>
        <v>11.3</v>
      </c>
      <c r="I418" s="141" t="n">
        <f aca="false">H418*Parâmetros!$C$14</f>
        <v>27.12</v>
      </c>
      <c r="J418" s="141" t="n">
        <f aca="false">C418*(Estacas!L418+Estacas!L419)/2</f>
        <v>37.152</v>
      </c>
      <c r="K418" s="141" t="n">
        <f aca="false">C418*(Estacas!M418+Estacas!M419)/2</f>
        <v>48.68</v>
      </c>
      <c r="L418" s="141" t="n">
        <f aca="false">C418*(Estacas!N418+Estacas!N419)/2</f>
        <v>77.22</v>
      </c>
      <c r="M418" s="141" t="n">
        <f aca="false">C418*(Estacas!O418+Estacas!O419)/2</f>
        <v>229</v>
      </c>
      <c r="N418" s="141" t="n">
        <f aca="false">C418*(Estacas!O418+Estacas!O419)/2</f>
        <v>229</v>
      </c>
      <c r="O418" s="141" t="n">
        <f aca="false">C418*(Estacas!P418+Estacas!P419)/2</f>
        <v>263.4</v>
      </c>
      <c r="P418" s="141" t="n">
        <f aca="false">R418*Parâmetros!$C$11</f>
        <v>0</v>
      </c>
      <c r="Q418" s="141" t="n">
        <f aca="false">R418*Parâmetros!$C$12</f>
        <v>0</v>
      </c>
      <c r="R418" s="141" t="n">
        <f aca="false">C418*(Estacas!Q418+Estacas!Q419)/2</f>
        <v>0</v>
      </c>
      <c r="S418" s="141" t="n">
        <f aca="false">IF(LEFT(E418,3)="T09",C418*Parâmetros!$D$13*Parâmetros!$C$13,0)</f>
        <v>0</v>
      </c>
    </row>
    <row r="419" customFormat="false" ht="15" hidden="false" customHeight="false" outlineLevel="0" collapsed="false">
      <c r="A419" s="138" t="str">
        <f aca="false">Estacas!A419</f>
        <v>416+0,00</v>
      </c>
      <c r="B419" s="138" t="str">
        <f aca="false">Estacas!A420</f>
        <v>417+0,00</v>
      </c>
      <c r="C419" s="144" t="n">
        <f aca="false">Estacas!C420-Estacas!C419</f>
        <v>20</v>
      </c>
      <c r="D419" s="138" t="s">
        <v>1580</v>
      </c>
      <c r="E419" s="138" t="s">
        <v>1566</v>
      </c>
      <c r="F419" s="141" t="n">
        <f aca="false">Estacas!F419</f>
        <v>11.5</v>
      </c>
      <c r="G419" s="141" t="n">
        <f aca="false">Estacas!F420</f>
        <v>13.1</v>
      </c>
      <c r="H419" s="141" t="n">
        <f aca="false">C419*(Estacas!K419+Estacas!K420)/2</f>
        <v>12.35</v>
      </c>
      <c r="I419" s="141" t="n">
        <f aca="false">H419*Parâmetros!$C$14</f>
        <v>29.64</v>
      </c>
      <c r="J419" s="141" t="n">
        <f aca="false">C419*(Estacas!L419+Estacas!L420)/2</f>
        <v>40.512</v>
      </c>
      <c r="K419" s="141" t="n">
        <f aca="false">C419*(Estacas!M419+Estacas!M420)/2</f>
        <v>52.88</v>
      </c>
      <c r="L419" s="141" t="n">
        <f aca="false">C419*(Estacas!N419+Estacas!N420)/2</f>
        <v>83.52</v>
      </c>
      <c r="M419" s="141" t="n">
        <f aca="false">C419*(Estacas!O419+Estacas!O420)/2</f>
        <v>250</v>
      </c>
      <c r="N419" s="141" t="n">
        <f aca="false">C419*(Estacas!O419+Estacas!O420)/2</f>
        <v>250</v>
      </c>
      <c r="O419" s="141" t="n">
        <f aca="false">C419*(Estacas!P419+Estacas!P420)/2</f>
        <v>284.4</v>
      </c>
      <c r="P419" s="141" t="n">
        <f aca="false">R419*Parâmetros!$C$11</f>
        <v>0</v>
      </c>
      <c r="Q419" s="141" t="n">
        <f aca="false">R419*Parâmetros!$C$12</f>
        <v>0</v>
      </c>
      <c r="R419" s="141" t="n">
        <f aca="false">C419*(Estacas!Q419+Estacas!Q420)/2</f>
        <v>0</v>
      </c>
      <c r="S419" s="141" t="n">
        <f aca="false">IF(LEFT(E419,3)="T09",C419*Parâmetros!$D$13*Parâmetros!$C$13,0)</f>
        <v>0</v>
      </c>
    </row>
    <row r="420" customFormat="false" ht="15" hidden="false" customHeight="false" outlineLevel="0" collapsed="false">
      <c r="A420" s="138" t="str">
        <f aca="false">Estacas!A420</f>
        <v>417+0,00</v>
      </c>
      <c r="B420" s="138" t="str">
        <f aca="false">Estacas!A421</f>
        <v>418+0,00</v>
      </c>
      <c r="C420" s="144" t="n">
        <f aca="false">Estacas!C421-Estacas!C420</f>
        <v>20</v>
      </c>
      <c r="D420" s="138" t="s">
        <v>1580</v>
      </c>
      <c r="E420" s="138" t="s">
        <v>1566</v>
      </c>
      <c r="F420" s="141" t="n">
        <f aca="false">Estacas!F420</f>
        <v>13.1</v>
      </c>
      <c r="G420" s="141" t="n">
        <f aca="false">Estacas!F421</f>
        <v>14</v>
      </c>
      <c r="H420" s="141" t="n">
        <f aca="false">C420*(Estacas!K420+Estacas!K421)/2</f>
        <v>13.6</v>
      </c>
      <c r="I420" s="141" t="n">
        <f aca="false">H420*Parâmetros!$C$14</f>
        <v>32.64</v>
      </c>
      <c r="J420" s="141" t="n">
        <f aca="false">C420*(Estacas!L420+Estacas!L421)/2</f>
        <v>44.512</v>
      </c>
      <c r="K420" s="141" t="n">
        <f aca="false">C420*(Estacas!M420+Estacas!M421)/2</f>
        <v>57.88</v>
      </c>
      <c r="L420" s="141" t="n">
        <f aca="false">C420*(Estacas!N420+Estacas!N421)/2</f>
        <v>91.02</v>
      </c>
      <c r="M420" s="141" t="n">
        <f aca="false">C420*(Estacas!O420+Estacas!O421)/2</f>
        <v>275</v>
      </c>
      <c r="N420" s="141" t="n">
        <f aca="false">C420*(Estacas!O420+Estacas!O421)/2</f>
        <v>275</v>
      </c>
      <c r="O420" s="141" t="n">
        <f aca="false">C420*(Estacas!P420+Estacas!P421)/2</f>
        <v>309.4</v>
      </c>
      <c r="P420" s="141" t="n">
        <f aca="false">R420*Parâmetros!$C$11</f>
        <v>0</v>
      </c>
      <c r="Q420" s="141" t="n">
        <f aca="false">R420*Parâmetros!$C$12</f>
        <v>0</v>
      </c>
      <c r="R420" s="141" t="n">
        <f aca="false">C420*(Estacas!Q420+Estacas!Q421)/2</f>
        <v>0</v>
      </c>
      <c r="S420" s="141" t="n">
        <f aca="false">IF(LEFT(E420,3)="T09",C420*Parâmetros!$D$13*Parâmetros!$C$13,0)</f>
        <v>0</v>
      </c>
    </row>
    <row r="421" customFormat="false" ht="15" hidden="false" customHeight="false" outlineLevel="0" collapsed="false">
      <c r="A421" s="138" t="str">
        <f aca="false">Estacas!A421</f>
        <v>418+0,00</v>
      </c>
      <c r="B421" s="138" t="str">
        <f aca="false">Estacas!A422</f>
        <v>419+0,00</v>
      </c>
      <c r="C421" s="144" t="n">
        <f aca="false">Estacas!C422-Estacas!C421</f>
        <v>20</v>
      </c>
      <c r="D421" s="138" t="s">
        <v>1580</v>
      </c>
      <c r="E421" s="138" t="s">
        <v>1566</v>
      </c>
      <c r="F421" s="141" t="n">
        <f aca="false">Estacas!F421</f>
        <v>14</v>
      </c>
      <c r="G421" s="141" t="n">
        <f aca="false">Estacas!F422</f>
        <v>13.2</v>
      </c>
      <c r="H421" s="141" t="n">
        <f aca="false">C421*(Estacas!K421+Estacas!K422)/2</f>
        <v>13.65</v>
      </c>
      <c r="I421" s="141" t="n">
        <f aca="false">H421*Parâmetros!$C$14</f>
        <v>32.76</v>
      </c>
      <c r="J421" s="141" t="n">
        <f aca="false">C421*(Estacas!L421+Estacas!L422)/2</f>
        <v>44.672</v>
      </c>
      <c r="K421" s="141" t="n">
        <f aca="false">C421*(Estacas!M421+Estacas!M422)/2</f>
        <v>58.08</v>
      </c>
      <c r="L421" s="141" t="n">
        <f aca="false">C421*(Estacas!N421+Estacas!N422)/2</f>
        <v>91.32</v>
      </c>
      <c r="M421" s="141" t="n">
        <f aca="false">C421*(Estacas!O421+Estacas!O422)/2</f>
        <v>276</v>
      </c>
      <c r="N421" s="141" t="n">
        <f aca="false">C421*(Estacas!O421+Estacas!O422)/2</f>
        <v>276</v>
      </c>
      <c r="O421" s="141" t="n">
        <f aca="false">C421*(Estacas!P421+Estacas!P422)/2</f>
        <v>310.4</v>
      </c>
      <c r="P421" s="141" t="n">
        <f aca="false">R421*Parâmetros!$C$11</f>
        <v>0</v>
      </c>
      <c r="Q421" s="141" t="n">
        <f aca="false">R421*Parâmetros!$C$12</f>
        <v>0</v>
      </c>
      <c r="R421" s="141" t="n">
        <f aca="false">C421*(Estacas!Q421+Estacas!Q422)/2</f>
        <v>0</v>
      </c>
      <c r="S421" s="141" t="n">
        <f aca="false">IF(LEFT(E421,3)="T09",C421*Parâmetros!$D$13*Parâmetros!$C$13,0)</f>
        <v>0</v>
      </c>
    </row>
    <row r="422" customFormat="false" ht="15" hidden="false" customHeight="false" outlineLevel="0" collapsed="false">
      <c r="A422" s="138" t="str">
        <f aca="false">Estacas!A422</f>
        <v>419+0,00</v>
      </c>
      <c r="B422" s="138" t="str">
        <f aca="false">Estacas!A423</f>
        <v>420+0,00</v>
      </c>
      <c r="C422" s="144" t="n">
        <f aca="false">Estacas!C423-Estacas!C422</f>
        <v>20</v>
      </c>
      <c r="D422" s="138" t="s">
        <v>1580</v>
      </c>
      <c r="E422" s="138" t="s">
        <v>1566</v>
      </c>
      <c r="F422" s="141" t="n">
        <f aca="false">Estacas!F422</f>
        <v>13.2</v>
      </c>
      <c r="G422" s="141" t="n">
        <f aca="false">Estacas!F423</f>
        <v>12.4</v>
      </c>
      <c r="H422" s="141" t="n">
        <f aca="false">C422*(Estacas!K422+Estacas!K423)/2</f>
        <v>12.85</v>
      </c>
      <c r="I422" s="141" t="n">
        <f aca="false">H422*Parâmetros!$C$14</f>
        <v>30.84</v>
      </c>
      <c r="J422" s="141" t="n">
        <f aca="false">C422*(Estacas!L422+Estacas!L423)/2</f>
        <v>42.112</v>
      </c>
      <c r="K422" s="141" t="n">
        <f aca="false">C422*(Estacas!M422+Estacas!M423)/2</f>
        <v>54.88</v>
      </c>
      <c r="L422" s="141" t="n">
        <f aca="false">C422*(Estacas!N422+Estacas!N423)/2</f>
        <v>86.52</v>
      </c>
      <c r="M422" s="141" t="n">
        <f aca="false">C422*(Estacas!O422+Estacas!O423)/2</f>
        <v>260</v>
      </c>
      <c r="N422" s="141" t="n">
        <f aca="false">C422*(Estacas!O422+Estacas!O423)/2</f>
        <v>260</v>
      </c>
      <c r="O422" s="141" t="n">
        <f aca="false">C422*(Estacas!P422+Estacas!P423)/2</f>
        <v>294.4</v>
      </c>
      <c r="P422" s="141" t="n">
        <f aca="false">R422*Parâmetros!$C$11</f>
        <v>0</v>
      </c>
      <c r="Q422" s="141" t="n">
        <f aca="false">R422*Parâmetros!$C$12</f>
        <v>0</v>
      </c>
      <c r="R422" s="141" t="n">
        <f aca="false">C422*(Estacas!Q422+Estacas!Q423)/2</f>
        <v>0</v>
      </c>
      <c r="S422" s="141" t="n">
        <f aca="false">IF(LEFT(E422,3)="T09",C422*Parâmetros!$D$13*Parâmetros!$C$13,0)</f>
        <v>0</v>
      </c>
    </row>
    <row r="423" customFormat="false" ht="15" hidden="false" customHeight="false" outlineLevel="0" collapsed="false">
      <c r="A423" s="138" t="str">
        <f aca="false">Estacas!A423</f>
        <v>420+0,00</v>
      </c>
      <c r="B423" s="138" t="str">
        <f aca="false">Estacas!A424</f>
        <v>421+0,00</v>
      </c>
      <c r="C423" s="144" t="n">
        <f aca="false">Estacas!C424-Estacas!C423</f>
        <v>20</v>
      </c>
      <c r="D423" s="138" t="s">
        <v>1580</v>
      </c>
      <c r="E423" s="138" t="s">
        <v>1566</v>
      </c>
      <c r="F423" s="141" t="n">
        <f aca="false">Estacas!F423</f>
        <v>12.4</v>
      </c>
      <c r="G423" s="141" t="n">
        <f aca="false">Estacas!F424</f>
        <v>11</v>
      </c>
      <c r="H423" s="141" t="n">
        <f aca="false">C423*(Estacas!K423+Estacas!K424)/2</f>
        <v>11.75</v>
      </c>
      <c r="I423" s="141" t="n">
        <f aca="false">H423*Parâmetros!$C$14</f>
        <v>28.2</v>
      </c>
      <c r="J423" s="141" t="n">
        <f aca="false">C423*(Estacas!L423+Estacas!L424)/2</f>
        <v>38.592</v>
      </c>
      <c r="K423" s="141" t="n">
        <f aca="false">C423*(Estacas!M423+Estacas!M424)/2</f>
        <v>50.48</v>
      </c>
      <c r="L423" s="141" t="n">
        <f aca="false">C423*(Estacas!N423+Estacas!N424)/2</f>
        <v>79.92</v>
      </c>
      <c r="M423" s="141" t="n">
        <f aca="false">C423*(Estacas!O423+Estacas!O424)/2</f>
        <v>238</v>
      </c>
      <c r="N423" s="141" t="n">
        <f aca="false">C423*(Estacas!O423+Estacas!O424)/2</f>
        <v>238</v>
      </c>
      <c r="O423" s="141" t="n">
        <f aca="false">C423*(Estacas!P423+Estacas!P424)/2</f>
        <v>272.4</v>
      </c>
      <c r="P423" s="141" t="n">
        <f aca="false">R423*Parâmetros!$C$11</f>
        <v>0</v>
      </c>
      <c r="Q423" s="141" t="n">
        <f aca="false">R423*Parâmetros!$C$12</f>
        <v>0</v>
      </c>
      <c r="R423" s="141" t="n">
        <f aca="false">C423*(Estacas!Q423+Estacas!Q424)/2</f>
        <v>0</v>
      </c>
      <c r="S423" s="141" t="n">
        <f aca="false">IF(LEFT(E423,3)="T09",C423*Parâmetros!$D$13*Parâmetros!$C$13,0)</f>
        <v>0</v>
      </c>
    </row>
    <row r="424" customFormat="false" ht="15" hidden="false" customHeight="false" outlineLevel="0" collapsed="false">
      <c r="A424" s="138" t="str">
        <f aca="false">Estacas!A424</f>
        <v>421+0,00</v>
      </c>
      <c r="B424" s="138" t="str">
        <f aca="false">Estacas!A425</f>
        <v>422+0,00</v>
      </c>
      <c r="C424" s="144" t="n">
        <f aca="false">Estacas!C425-Estacas!C424</f>
        <v>20</v>
      </c>
      <c r="D424" s="138" t="s">
        <v>1580</v>
      </c>
      <c r="E424" s="138" t="s">
        <v>1566</v>
      </c>
      <c r="F424" s="141" t="n">
        <f aca="false">Estacas!F424</f>
        <v>11</v>
      </c>
      <c r="G424" s="141" t="n">
        <f aca="false">Estacas!F425</f>
        <v>11</v>
      </c>
      <c r="H424" s="141" t="n">
        <f aca="false">C424*(Estacas!K424+Estacas!K425)/2</f>
        <v>11.05</v>
      </c>
      <c r="I424" s="141" t="n">
        <f aca="false">H424*Parâmetros!$C$14</f>
        <v>26.52</v>
      </c>
      <c r="J424" s="141" t="n">
        <f aca="false">C424*(Estacas!L424+Estacas!L425)/2</f>
        <v>36.352</v>
      </c>
      <c r="K424" s="141" t="n">
        <f aca="false">C424*(Estacas!M424+Estacas!M425)/2</f>
        <v>47.68</v>
      </c>
      <c r="L424" s="141" t="n">
        <f aca="false">C424*(Estacas!N424+Estacas!N425)/2</f>
        <v>75.72</v>
      </c>
      <c r="M424" s="141" t="n">
        <f aca="false">C424*(Estacas!O424+Estacas!O425)/2</f>
        <v>224</v>
      </c>
      <c r="N424" s="141" t="n">
        <f aca="false">C424*(Estacas!O424+Estacas!O425)/2</f>
        <v>224</v>
      </c>
      <c r="O424" s="141" t="n">
        <f aca="false">C424*(Estacas!P424+Estacas!P425)/2</f>
        <v>258.4</v>
      </c>
      <c r="P424" s="141" t="n">
        <f aca="false">R424*Parâmetros!$C$11</f>
        <v>0</v>
      </c>
      <c r="Q424" s="141" t="n">
        <f aca="false">R424*Parâmetros!$C$12</f>
        <v>0</v>
      </c>
      <c r="R424" s="141" t="n">
        <f aca="false">C424*(Estacas!Q424+Estacas!Q425)/2</f>
        <v>0</v>
      </c>
      <c r="S424" s="141" t="n">
        <f aca="false">IF(LEFT(E424,3)="T09",C424*Parâmetros!$D$13*Parâmetros!$C$13,0)</f>
        <v>0</v>
      </c>
    </row>
    <row r="425" customFormat="false" ht="15" hidden="false" customHeight="false" outlineLevel="0" collapsed="false">
      <c r="A425" s="138" t="str">
        <f aca="false">Estacas!A425</f>
        <v>422+0,00</v>
      </c>
      <c r="B425" s="138" t="str">
        <f aca="false">Estacas!A426</f>
        <v>423+0,00</v>
      </c>
      <c r="C425" s="144" t="n">
        <f aca="false">Estacas!C426-Estacas!C425</f>
        <v>20</v>
      </c>
      <c r="D425" s="138" t="s">
        <v>1580</v>
      </c>
      <c r="E425" s="138" t="s">
        <v>1566</v>
      </c>
      <c r="F425" s="141" t="n">
        <f aca="false">Estacas!F425</f>
        <v>11</v>
      </c>
      <c r="G425" s="141" t="n">
        <f aca="false">Estacas!F426</f>
        <v>11</v>
      </c>
      <c r="H425" s="141" t="n">
        <f aca="false">C425*(Estacas!K425+Estacas!K426)/2</f>
        <v>11.05</v>
      </c>
      <c r="I425" s="141" t="n">
        <f aca="false">H425*Parâmetros!$C$14</f>
        <v>26.52</v>
      </c>
      <c r="J425" s="141" t="n">
        <f aca="false">C425*(Estacas!L425+Estacas!L426)/2</f>
        <v>36.352</v>
      </c>
      <c r="K425" s="141" t="n">
        <f aca="false">C425*(Estacas!M425+Estacas!M426)/2</f>
        <v>47.68</v>
      </c>
      <c r="L425" s="141" t="n">
        <f aca="false">C425*(Estacas!N425+Estacas!N426)/2</f>
        <v>75.72</v>
      </c>
      <c r="M425" s="141" t="n">
        <f aca="false">C425*(Estacas!O425+Estacas!O426)/2</f>
        <v>224</v>
      </c>
      <c r="N425" s="141" t="n">
        <f aca="false">C425*(Estacas!O425+Estacas!O426)/2</f>
        <v>224</v>
      </c>
      <c r="O425" s="141" t="n">
        <f aca="false">C425*(Estacas!P425+Estacas!P426)/2</f>
        <v>258.4</v>
      </c>
      <c r="P425" s="141" t="n">
        <f aca="false">R425*Parâmetros!$C$11</f>
        <v>0</v>
      </c>
      <c r="Q425" s="141" t="n">
        <f aca="false">R425*Parâmetros!$C$12</f>
        <v>0</v>
      </c>
      <c r="R425" s="141" t="n">
        <f aca="false">C425*(Estacas!Q425+Estacas!Q426)/2</f>
        <v>0</v>
      </c>
      <c r="S425" s="141" t="n">
        <f aca="false">IF(LEFT(E425,3)="T09",C425*Parâmetros!$D$13*Parâmetros!$C$13,0)</f>
        <v>0</v>
      </c>
    </row>
    <row r="426" customFormat="false" ht="15" hidden="false" customHeight="false" outlineLevel="0" collapsed="false">
      <c r="A426" s="138" t="str">
        <f aca="false">Estacas!A426</f>
        <v>423+0,00</v>
      </c>
      <c r="B426" s="138" t="str">
        <f aca="false">Estacas!A427</f>
        <v>424+0,00</v>
      </c>
      <c r="C426" s="144" t="n">
        <f aca="false">Estacas!C427-Estacas!C426</f>
        <v>20</v>
      </c>
      <c r="D426" s="138" t="s">
        <v>1580</v>
      </c>
      <c r="E426" s="138" t="s">
        <v>1566</v>
      </c>
      <c r="F426" s="141" t="n">
        <f aca="false">Estacas!F426</f>
        <v>11</v>
      </c>
      <c r="G426" s="141" t="n">
        <f aca="false">Estacas!F427</f>
        <v>11.9</v>
      </c>
      <c r="H426" s="141" t="n">
        <f aca="false">C426*(Estacas!K426+Estacas!K427)/2</f>
        <v>11.5</v>
      </c>
      <c r="I426" s="141" t="n">
        <f aca="false">H426*Parâmetros!$C$14</f>
        <v>27.6</v>
      </c>
      <c r="J426" s="141" t="n">
        <f aca="false">C426*(Estacas!L426+Estacas!L427)/2</f>
        <v>37.792</v>
      </c>
      <c r="K426" s="141" t="n">
        <f aca="false">C426*(Estacas!M426+Estacas!M427)/2</f>
        <v>49.48</v>
      </c>
      <c r="L426" s="141" t="n">
        <f aca="false">C426*(Estacas!N426+Estacas!N427)/2</f>
        <v>78.42</v>
      </c>
      <c r="M426" s="141" t="n">
        <f aca="false">C426*(Estacas!O426+Estacas!O427)/2</f>
        <v>233</v>
      </c>
      <c r="N426" s="141" t="n">
        <f aca="false">C426*(Estacas!O426+Estacas!O427)/2</f>
        <v>233</v>
      </c>
      <c r="O426" s="141" t="n">
        <f aca="false">C426*(Estacas!P426+Estacas!P427)/2</f>
        <v>267.4</v>
      </c>
      <c r="P426" s="141" t="n">
        <f aca="false">R426*Parâmetros!$C$11</f>
        <v>0</v>
      </c>
      <c r="Q426" s="141" t="n">
        <f aca="false">R426*Parâmetros!$C$12</f>
        <v>0</v>
      </c>
      <c r="R426" s="141" t="n">
        <f aca="false">C426*(Estacas!Q426+Estacas!Q427)/2</f>
        <v>0</v>
      </c>
      <c r="S426" s="141" t="n">
        <f aca="false">IF(LEFT(E426,3)="T09",C426*Parâmetros!$D$13*Parâmetros!$C$13,0)</f>
        <v>0</v>
      </c>
    </row>
    <row r="427" customFormat="false" ht="15" hidden="false" customHeight="false" outlineLevel="0" collapsed="false">
      <c r="A427" s="138" t="str">
        <f aca="false">Estacas!A427</f>
        <v>424+0,00</v>
      </c>
      <c r="B427" s="138" t="str">
        <f aca="false">Estacas!A428</f>
        <v>425+0,00</v>
      </c>
      <c r="C427" s="144" t="n">
        <f aca="false">Estacas!C428-Estacas!C427</f>
        <v>20</v>
      </c>
      <c r="D427" s="138" t="s">
        <v>1580</v>
      </c>
      <c r="E427" s="138" t="s">
        <v>1566</v>
      </c>
      <c r="F427" s="141" t="n">
        <f aca="false">Estacas!F427</f>
        <v>11.9</v>
      </c>
      <c r="G427" s="141" t="n">
        <f aca="false">Estacas!F428</f>
        <v>14</v>
      </c>
      <c r="H427" s="141" t="n">
        <f aca="false">C427*(Estacas!K427+Estacas!K428)/2</f>
        <v>13</v>
      </c>
      <c r="I427" s="141" t="n">
        <f aca="false">H427*Parâmetros!$C$14</f>
        <v>31.2</v>
      </c>
      <c r="J427" s="141" t="n">
        <f aca="false">C427*(Estacas!L427+Estacas!L428)/2</f>
        <v>42.592</v>
      </c>
      <c r="K427" s="141" t="n">
        <f aca="false">C427*(Estacas!M427+Estacas!M428)/2</f>
        <v>55.48</v>
      </c>
      <c r="L427" s="141" t="n">
        <f aca="false">C427*(Estacas!N427+Estacas!N428)/2</f>
        <v>87.42</v>
      </c>
      <c r="M427" s="141" t="n">
        <f aca="false">C427*(Estacas!O427+Estacas!O428)/2</f>
        <v>263</v>
      </c>
      <c r="N427" s="141" t="n">
        <f aca="false">C427*(Estacas!O427+Estacas!O428)/2</f>
        <v>263</v>
      </c>
      <c r="O427" s="141" t="n">
        <f aca="false">C427*(Estacas!P427+Estacas!P428)/2</f>
        <v>297.4</v>
      </c>
      <c r="P427" s="141" t="n">
        <f aca="false">R427*Parâmetros!$C$11</f>
        <v>0</v>
      </c>
      <c r="Q427" s="141" t="n">
        <f aca="false">R427*Parâmetros!$C$12</f>
        <v>0</v>
      </c>
      <c r="R427" s="141" t="n">
        <f aca="false">C427*(Estacas!Q427+Estacas!Q428)/2</f>
        <v>0</v>
      </c>
      <c r="S427" s="141" t="n">
        <f aca="false">IF(LEFT(E427,3)="T09",C427*Parâmetros!$D$13*Parâmetros!$C$13,0)</f>
        <v>0</v>
      </c>
    </row>
    <row r="428" customFormat="false" ht="15" hidden="false" customHeight="false" outlineLevel="0" collapsed="false">
      <c r="A428" s="138" t="str">
        <f aca="false">Estacas!A428</f>
        <v>425+0,00</v>
      </c>
      <c r="B428" s="138" t="str">
        <f aca="false">Estacas!A429</f>
        <v>426+0,00</v>
      </c>
      <c r="C428" s="144" t="n">
        <f aca="false">Estacas!C429-Estacas!C428</f>
        <v>20</v>
      </c>
      <c r="D428" s="138" t="s">
        <v>1580</v>
      </c>
      <c r="E428" s="138" t="s">
        <v>1566</v>
      </c>
      <c r="F428" s="141" t="n">
        <f aca="false">Estacas!F428</f>
        <v>14</v>
      </c>
      <c r="G428" s="141" t="n">
        <f aca="false">Estacas!F429</f>
        <v>14</v>
      </c>
      <c r="H428" s="141" t="n">
        <f aca="false">C428*(Estacas!K428+Estacas!K429)/2</f>
        <v>14.05</v>
      </c>
      <c r="I428" s="141" t="n">
        <f aca="false">H428*Parâmetros!$C$14</f>
        <v>33.72</v>
      </c>
      <c r="J428" s="141" t="n">
        <f aca="false">C428*(Estacas!L428+Estacas!L429)/2</f>
        <v>45.952</v>
      </c>
      <c r="K428" s="141" t="n">
        <f aca="false">C428*(Estacas!M428+Estacas!M429)/2</f>
        <v>59.68</v>
      </c>
      <c r="L428" s="141" t="n">
        <f aca="false">C428*(Estacas!N428+Estacas!N429)/2</f>
        <v>93.72</v>
      </c>
      <c r="M428" s="141" t="n">
        <f aca="false">C428*(Estacas!O428+Estacas!O429)/2</f>
        <v>284</v>
      </c>
      <c r="N428" s="141" t="n">
        <f aca="false">C428*(Estacas!O428+Estacas!O429)/2</f>
        <v>284</v>
      </c>
      <c r="O428" s="141" t="n">
        <f aca="false">C428*(Estacas!P428+Estacas!P429)/2</f>
        <v>318.4</v>
      </c>
      <c r="P428" s="141" t="n">
        <f aca="false">R428*Parâmetros!$C$11</f>
        <v>0</v>
      </c>
      <c r="Q428" s="141" t="n">
        <f aca="false">R428*Parâmetros!$C$12</f>
        <v>0</v>
      </c>
      <c r="R428" s="141" t="n">
        <f aca="false">C428*(Estacas!Q428+Estacas!Q429)/2</f>
        <v>0</v>
      </c>
      <c r="S428" s="141" t="n">
        <f aca="false">IF(LEFT(E428,3)="T09",C428*Parâmetros!$D$13*Parâmetros!$C$13,0)</f>
        <v>0</v>
      </c>
    </row>
    <row r="429" customFormat="false" ht="15" hidden="false" customHeight="false" outlineLevel="0" collapsed="false">
      <c r="A429" s="138" t="str">
        <f aca="false">Estacas!A429</f>
        <v>426+0,00</v>
      </c>
      <c r="B429" s="138" t="str">
        <f aca="false">Estacas!A430</f>
        <v>427+0,00</v>
      </c>
      <c r="C429" s="144" t="n">
        <f aca="false">Estacas!C430-Estacas!C429</f>
        <v>20</v>
      </c>
      <c r="D429" s="138" t="s">
        <v>1580</v>
      </c>
      <c r="E429" s="138" t="s">
        <v>1566</v>
      </c>
      <c r="F429" s="141" t="n">
        <f aca="false">Estacas!F429</f>
        <v>14</v>
      </c>
      <c r="G429" s="141" t="n">
        <f aca="false">Estacas!F430</f>
        <v>12.4</v>
      </c>
      <c r="H429" s="141" t="n">
        <f aca="false">C429*(Estacas!K429+Estacas!K430)/2</f>
        <v>13.25</v>
      </c>
      <c r="I429" s="141" t="n">
        <f aca="false">H429*Parâmetros!$C$14</f>
        <v>31.8</v>
      </c>
      <c r="J429" s="141" t="n">
        <f aca="false">C429*(Estacas!L429+Estacas!L430)/2</f>
        <v>43.392</v>
      </c>
      <c r="K429" s="141" t="n">
        <f aca="false">C429*(Estacas!M429+Estacas!M430)/2</f>
        <v>56.48</v>
      </c>
      <c r="L429" s="141" t="n">
        <f aca="false">C429*(Estacas!N429+Estacas!N430)/2</f>
        <v>88.92</v>
      </c>
      <c r="M429" s="141" t="n">
        <f aca="false">C429*(Estacas!O429+Estacas!O430)/2</f>
        <v>268</v>
      </c>
      <c r="N429" s="141" t="n">
        <f aca="false">C429*(Estacas!O429+Estacas!O430)/2</f>
        <v>268</v>
      </c>
      <c r="O429" s="141" t="n">
        <f aca="false">C429*(Estacas!P429+Estacas!P430)/2</f>
        <v>302.4</v>
      </c>
      <c r="P429" s="141" t="n">
        <f aca="false">R429*Parâmetros!$C$11</f>
        <v>0</v>
      </c>
      <c r="Q429" s="141" t="n">
        <f aca="false">R429*Parâmetros!$C$12</f>
        <v>0</v>
      </c>
      <c r="R429" s="141" t="n">
        <f aca="false">C429*(Estacas!Q429+Estacas!Q430)/2</f>
        <v>0</v>
      </c>
      <c r="S429" s="141" t="n">
        <f aca="false">IF(LEFT(E429,3)="T09",C429*Parâmetros!$D$13*Parâmetros!$C$13,0)</f>
        <v>0</v>
      </c>
    </row>
    <row r="430" customFormat="false" ht="15" hidden="false" customHeight="false" outlineLevel="0" collapsed="false">
      <c r="A430" s="138" t="str">
        <f aca="false">Estacas!A430</f>
        <v>427+0,00</v>
      </c>
      <c r="B430" s="138" t="str">
        <f aca="false">Estacas!A431</f>
        <v>428+0,00</v>
      </c>
      <c r="C430" s="144" t="n">
        <f aca="false">Estacas!C431-Estacas!C430</f>
        <v>20</v>
      </c>
      <c r="D430" s="138" t="s">
        <v>1580</v>
      </c>
      <c r="E430" s="138" t="s">
        <v>1566</v>
      </c>
      <c r="F430" s="141" t="n">
        <f aca="false">Estacas!F430</f>
        <v>12.4</v>
      </c>
      <c r="G430" s="141" t="n">
        <f aca="false">Estacas!F431</f>
        <v>11</v>
      </c>
      <c r="H430" s="141" t="n">
        <f aca="false">C430*(Estacas!K430+Estacas!K431)/2</f>
        <v>11.75</v>
      </c>
      <c r="I430" s="141" t="n">
        <f aca="false">H430*Parâmetros!$C$14</f>
        <v>28.2</v>
      </c>
      <c r="J430" s="141" t="n">
        <f aca="false">C430*(Estacas!L430+Estacas!L431)/2</f>
        <v>38.592</v>
      </c>
      <c r="K430" s="141" t="n">
        <f aca="false">C430*(Estacas!M430+Estacas!M431)/2</f>
        <v>50.48</v>
      </c>
      <c r="L430" s="141" t="n">
        <f aca="false">C430*(Estacas!N430+Estacas!N431)/2</f>
        <v>79.92</v>
      </c>
      <c r="M430" s="141" t="n">
        <f aca="false">C430*(Estacas!O430+Estacas!O431)/2</f>
        <v>238</v>
      </c>
      <c r="N430" s="141" t="n">
        <f aca="false">C430*(Estacas!O430+Estacas!O431)/2</f>
        <v>238</v>
      </c>
      <c r="O430" s="141" t="n">
        <f aca="false">C430*(Estacas!P430+Estacas!P431)/2</f>
        <v>272.4</v>
      </c>
      <c r="P430" s="141" t="n">
        <f aca="false">R430*Parâmetros!$C$11</f>
        <v>0</v>
      </c>
      <c r="Q430" s="141" t="n">
        <f aca="false">R430*Parâmetros!$C$12</f>
        <v>0</v>
      </c>
      <c r="R430" s="141" t="n">
        <f aca="false">C430*(Estacas!Q430+Estacas!Q431)/2</f>
        <v>0</v>
      </c>
      <c r="S430" s="141" t="n">
        <f aca="false">IF(LEFT(E430,3)="T09",C430*Parâmetros!$D$13*Parâmetros!$C$13,0)</f>
        <v>0</v>
      </c>
    </row>
    <row r="431" customFormat="false" ht="15" hidden="false" customHeight="false" outlineLevel="0" collapsed="false">
      <c r="A431" s="138" t="str">
        <f aca="false">Estacas!A431</f>
        <v>428+0,00</v>
      </c>
      <c r="B431" s="138" t="str">
        <f aca="false">Estacas!A432</f>
        <v>429+0,00</v>
      </c>
      <c r="C431" s="144" t="n">
        <f aca="false">Estacas!C432-Estacas!C431</f>
        <v>20</v>
      </c>
      <c r="D431" s="138" t="s">
        <v>1580</v>
      </c>
      <c r="E431" s="138" t="s">
        <v>1566</v>
      </c>
      <c r="F431" s="141" t="n">
        <f aca="false">Estacas!F431</f>
        <v>11</v>
      </c>
      <c r="G431" s="141" t="n">
        <f aca="false">Estacas!F432</f>
        <v>11</v>
      </c>
      <c r="H431" s="141" t="n">
        <f aca="false">C431*(Estacas!K431+Estacas!K432)/2</f>
        <v>11.05</v>
      </c>
      <c r="I431" s="141" t="n">
        <f aca="false">H431*Parâmetros!$C$14</f>
        <v>26.52</v>
      </c>
      <c r="J431" s="141" t="n">
        <f aca="false">C431*(Estacas!L431+Estacas!L432)/2</f>
        <v>36.352</v>
      </c>
      <c r="K431" s="141" t="n">
        <f aca="false">C431*(Estacas!M431+Estacas!M432)/2</f>
        <v>47.68</v>
      </c>
      <c r="L431" s="141" t="n">
        <f aca="false">C431*(Estacas!N431+Estacas!N432)/2</f>
        <v>75.72</v>
      </c>
      <c r="M431" s="141" t="n">
        <f aca="false">C431*(Estacas!O431+Estacas!O432)/2</f>
        <v>224</v>
      </c>
      <c r="N431" s="141" t="n">
        <f aca="false">C431*(Estacas!O431+Estacas!O432)/2</f>
        <v>224</v>
      </c>
      <c r="O431" s="141" t="n">
        <f aca="false">C431*(Estacas!P431+Estacas!P432)/2</f>
        <v>258.4</v>
      </c>
      <c r="P431" s="141" t="n">
        <f aca="false">R431*Parâmetros!$C$11</f>
        <v>0</v>
      </c>
      <c r="Q431" s="141" t="n">
        <f aca="false">R431*Parâmetros!$C$12</f>
        <v>0</v>
      </c>
      <c r="R431" s="141" t="n">
        <f aca="false">C431*(Estacas!Q431+Estacas!Q432)/2</f>
        <v>0</v>
      </c>
      <c r="S431" s="141" t="n">
        <f aca="false">IF(LEFT(E431,3)="T09",C431*Parâmetros!$D$13*Parâmetros!$C$13,0)</f>
        <v>0</v>
      </c>
    </row>
    <row r="432" customFormat="false" ht="15" hidden="false" customHeight="false" outlineLevel="0" collapsed="false">
      <c r="A432" s="138" t="str">
        <f aca="false">Estacas!A432</f>
        <v>429+0,00</v>
      </c>
      <c r="B432" s="138" t="str">
        <f aca="false">Estacas!A433</f>
        <v>430+0,00</v>
      </c>
      <c r="C432" s="144" t="n">
        <f aca="false">Estacas!C433-Estacas!C432</f>
        <v>20</v>
      </c>
      <c r="D432" s="138" t="s">
        <v>1580</v>
      </c>
      <c r="E432" s="138" t="s">
        <v>1566</v>
      </c>
      <c r="F432" s="141" t="n">
        <f aca="false">Estacas!F432</f>
        <v>11</v>
      </c>
      <c r="G432" s="141" t="n">
        <f aca="false">Estacas!F433</f>
        <v>11</v>
      </c>
      <c r="H432" s="141" t="n">
        <f aca="false">C432*(Estacas!K432+Estacas!K433)/2</f>
        <v>11.05</v>
      </c>
      <c r="I432" s="141" t="n">
        <f aca="false">H432*Parâmetros!$C$14</f>
        <v>26.52</v>
      </c>
      <c r="J432" s="141" t="n">
        <f aca="false">C432*(Estacas!L432+Estacas!L433)/2</f>
        <v>36.352</v>
      </c>
      <c r="K432" s="141" t="n">
        <f aca="false">C432*(Estacas!M432+Estacas!M433)/2</f>
        <v>47.68</v>
      </c>
      <c r="L432" s="141" t="n">
        <f aca="false">C432*(Estacas!N432+Estacas!N433)/2</f>
        <v>75.72</v>
      </c>
      <c r="M432" s="141" t="n">
        <f aca="false">C432*(Estacas!O432+Estacas!O433)/2</f>
        <v>224</v>
      </c>
      <c r="N432" s="141" t="n">
        <f aca="false">C432*(Estacas!O432+Estacas!O433)/2</f>
        <v>224</v>
      </c>
      <c r="O432" s="141" t="n">
        <f aca="false">C432*(Estacas!P432+Estacas!P433)/2</f>
        <v>258.4</v>
      </c>
      <c r="P432" s="141" t="n">
        <f aca="false">R432*Parâmetros!$C$11</f>
        <v>0</v>
      </c>
      <c r="Q432" s="141" t="n">
        <f aca="false">R432*Parâmetros!$C$12</f>
        <v>0</v>
      </c>
      <c r="R432" s="141" t="n">
        <f aca="false">C432*(Estacas!Q432+Estacas!Q433)/2</f>
        <v>0</v>
      </c>
      <c r="S432" s="141" t="n">
        <f aca="false">IF(LEFT(E432,3)="T09",C432*Parâmetros!$D$13*Parâmetros!$C$13,0)</f>
        <v>0</v>
      </c>
    </row>
    <row r="433" customFormat="false" ht="15" hidden="false" customHeight="false" outlineLevel="0" collapsed="false">
      <c r="A433" s="138" t="str">
        <f aca="false">Estacas!A433</f>
        <v>430+0,00</v>
      </c>
      <c r="B433" s="138" t="str">
        <f aca="false">Estacas!A434</f>
        <v>431+0,00</v>
      </c>
      <c r="C433" s="144" t="n">
        <f aca="false">Estacas!C434-Estacas!C433</f>
        <v>20</v>
      </c>
      <c r="D433" s="138" t="s">
        <v>1580</v>
      </c>
      <c r="E433" s="138" t="s">
        <v>1566</v>
      </c>
      <c r="F433" s="141" t="n">
        <f aca="false">Estacas!F433</f>
        <v>11</v>
      </c>
      <c r="G433" s="141" t="n">
        <f aca="false">Estacas!F434</f>
        <v>11</v>
      </c>
      <c r="H433" s="141" t="n">
        <f aca="false">C433*(Estacas!K433+Estacas!K434)/2</f>
        <v>11.05</v>
      </c>
      <c r="I433" s="141" t="n">
        <f aca="false">H433*Parâmetros!$C$14</f>
        <v>26.52</v>
      </c>
      <c r="J433" s="141" t="n">
        <f aca="false">C433*(Estacas!L433+Estacas!L434)/2</f>
        <v>36.352</v>
      </c>
      <c r="K433" s="141" t="n">
        <f aca="false">C433*(Estacas!M433+Estacas!M434)/2</f>
        <v>47.68</v>
      </c>
      <c r="L433" s="141" t="n">
        <f aca="false">C433*(Estacas!N433+Estacas!N434)/2</f>
        <v>75.72</v>
      </c>
      <c r="M433" s="141" t="n">
        <f aca="false">C433*(Estacas!O433+Estacas!O434)/2</f>
        <v>224</v>
      </c>
      <c r="N433" s="141" t="n">
        <f aca="false">C433*(Estacas!O433+Estacas!O434)/2</f>
        <v>224</v>
      </c>
      <c r="O433" s="141" t="n">
        <f aca="false">C433*(Estacas!P433+Estacas!P434)/2</f>
        <v>258.4</v>
      </c>
      <c r="P433" s="141" t="n">
        <f aca="false">R433*Parâmetros!$C$11</f>
        <v>0</v>
      </c>
      <c r="Q433" s="141" t="n">
        <f aca="false">R433*Parâmetros!$C$12</f>
        <v>0</v>
      </c>
      <c r="R433" s="141" t="n">
        <f aca="false">C433*(Estacas!Q433+Estacas!Q434)/2</f>
        <v>0</v>
      </c>
      <c r="S433" s="141" t="n">
        <f aca="false">IF(LEFT(E433,3)="T09",C433*Parâmetros!$D$13*Parâmetros!$C$13,0)</f>
        <v>0</v>
      </c>
    </row>
    <row r="434" customFormat="false" ht="15" hidden="false" customHeight="false" outlineLevel="0" collapsed="false">
      <c r="A434" s="138" t="str">
        <f aca="false">Estacas!A434</f>
        <v>431+0,00</v>
      </c>
      <c r="B434" s="138" t="str">
        <f aca="false">Estacas!A435</f>
        <v>432+0,00</v>
      </c>
      <c r="C434" s="144" t="n">
        <f aca="false">Estacas!C435-Estacas!C434</f>
        <v>20</v>
      </c>
      <c r="D434" s="138" t="s">
        <v>1580</v>
      </c>
      <c r="E434" s="138" t="s">
        <v>1566</v>
      </c>
      <c r="F434" s="141" t="n">
        <f aca="false">Estacas!F434</f>
        <v>11</v>
      </c>
      <c r="G434" s="141" t="n">
        <f aca="false">Estacas!F435</f>
        <v>11</v>
      </c>
      <c r="H434" s="141" t="n">
        <f aca="false">C434*(Estacas!K434+Estacas!K435)/2</f>
        <v>11.05</v>
      </c>
      <c r="I434" s="141" t="n">
        <f aca="false">H434*Parâmetros!$C$14</f>
        <v>26.52</v>
      </c>
      <c r="J434" s="141" t="n">
        <f aca="false">C434*(Estacas!L434+Estacas!L435)/2</f>
        <v>36.352</v>
      </c>
      <c r="K434" s="141" t="n">
        <f aca="false">C434*(Estacas!M434+Estacas!M435)/2</f>
        <v>47.68</v>
      </c>
      <c r="L434" s="141" t="n">
        <f aca="false">C434*(Estacas!N434+Estacas!N435)/2</f>
        <v>75.72</v>
      </c>
      <c r="M434" s="141" t="n">
        <f aca="false">C434*(Estacas!O434+Estacas!O435)/2</f>
        <v>224</v>
      </c>
      <c r="N434" s="141" t="n">
        <f aca="false">C434*(Estacas!O434+Estacas!O435)/2</f>
        <v>224</v>
      </c>
      <c r="O434" s="141" t="n">
        <f aca="false">C434*(Estacas!P434+Estacas!P435)/2</f>
        <v>258.4</v>
      </c>
      <c r="P434" s="141" t="n">
        <f aca="false">R434*Parâmetros!$C$11</f>
        <v>0</v>
      </c>
      <c r="Q434" s="141" t="n">
        <f aca="false">R434*Parâmetros!$C$12</f>
        <v>0</v>
      </c>
      <c r="R434" s="141" t="n">
        <f aca="false">C434*(Estacas!Q434+Estacas!Q435)/2</f>
        <v>0</v>
      </c>
      <c r="S434" s="141" t="n">
        <f aca="false">IF(LEFT(E434,3)="T09",C434*Parâmetros!$D$13*Parâmetros!$C$13,0)</f>
        <v>0</v>
      </c>
    </row>
    <row r="435" customFormat="false" ht="15" hidden="false" customHeight="false" outlineLevel="0" collapsed="false">
      <c r="A435" s="138" t="str">
        <f aca="false">Estacas!A435</f>
        <v>432+0,00</v>
      </c>
      <c r="B435" s="138" t="str">
        <f aca="false">Estacas!A436</f>
        <v>433+0,00</v>
      </c>
      <c r="C435" s="144" t="n">
        <f aca="false">Estacas!C436-Estacas!C435</f>
        <v>20</v>
      </c>
      <c r="D435" s="138" t="s">
        <v>1580</v>
      </c>
      <c r="E435" s="138" t="s">
        <v>1566</v>
      </c>
      <c r="F435" s="141" t="n">
        <f aca="false">Estacas!F435</f>
        <v>11</v>
      </c>
      <c r="G435" s="141" t="n">
        <f aca="false">Estacas!F436</f>
        <v>11</v>
      </c>
      <c r="H435" s="141" t="n">
        <f aca="false">C435*(Estacas!K435+Estacas!K436)/2</f>
        <v>11.05</v>
      </c>
      <c r="I435" s="141" t="n">
        <f aca="false">H435*Parâmetros!$C$14</f>
        <v>26.52</v>
      </c>
      <c r="J435" s="141" t="n">
        <f aca="false">C435*(Estacas!L435+Estacas!L436)/2</f>
        <v>36.352</v>
      </c>
      <c r="K435" s="141" t="n">
        <f aca="false">C435*(Estacas!M435+Estacas!M436)/2</f>
        <v>47.68</v>
      </c>
      <c r="L435" s="141" t="n">
        <f aca="false">C435*(Estacas!N435+Estacas!N436)/2</f>
        <v>75.72</v>
      </c>
      <c r="M435" s="141" t="n">
        <f aca="false">C435*(Estacas!O435+Estacas!O436)/2</f>
        <v>224</v>
      </c>
      <c r="N435" s="141" t="n">
        <f aca="false">C435*(Estacas!O435+Estacas!O436)/2</f>
        <v>224</v>
      </c>
      <c r="O435" s="141" t="n">
        <f aca="false">C435*(Estacas!P435+Estacas!P436)/2</f>
        <v>258.4</v>
      </c>
      <c r="P435" s="141" t="n">
        <f aca="false">R435*Parâmetros!$C$11</f>
        <v>0</v>
      </c>
      <c r="Q435" s="141" t="n">
        <f aca="false">R435*Parâmetros!$C$12</f>
        <v>0</v>
      </c>
      <c r="R435" s="141" t="n">
        <f aca="false">C435*(Estacas!Q435+Estacas!Q436)/2</f>
        <v>0</v>
      </c>
      <c r="S435" s="141" t="n">
        <f aca="false">IF(LEFT(E435,3)="T09",C435*Parâmetros!$D$13*Parâmetros!$C$13,0)</f>
        <v>0</v>
      </c>
    </row>
    <row r="436" customFormat="false" ht="15" hidden="false" customHeight="false" outlineLevel="0" collapsed="false">
      <c r="A436" s="138" t="str">
        <f aca="false">Estacas!A436</f>
        <v>433+0,00</v>
      </c>
      <c r="B436" s="138" t="str">
        <f aca="false">Estacas!A437</f>
        <v>434+0,00</v>
      </c>
      <c r="C436" s="144" t="n">
        <f aca="false">Estacas!C437-Estacas!C436</f>
        <v>20</v>
      </c>
      <c r="D436" s="138" t="s">
        <v>1580</v>
      </c>
      <c r="E436" s="138" t="s">
        <v>1566</v>
      </c>
      <c r="F436" s="141" t="n">
        <f aca="false">Estacas!F436</f>
        <v>11</v>
      </c>
      <c r="G436" s="141" t="n">
        <f aca="false">Estacas!F437</f>
        <v>11</v>
      </c>
      <c r="H436" s="141" t="n">
        <f aca="false">C436*(Estacas!K436+Estacas!K437)/2</f>
        <v>11.05</v>
      </c>
      <c r="I436" s="141" t="n">
        <f aca="false">H436*Parâmetros!$C$14</f>
        <v>26.52</v>
      </c>
      <c r="J436" s="141" t="n">
        <f aca="false">C436*(Estacas!L436+Estacas!L437)/2</f>
        <v>36.352</v>
      </c>
      <c r="K436" s="141" t="n">
        <f aca="false">C436*(Estacas!M436+Estacas!M437)/2</f>
        <v>47.68</v>
      </c>
      <c r="L436" s="141" t="n">
        <f aca="false">C436*(Estacas!N436+Estacas!N437)/2</f>
        <v>75.72</v>
      </c>
      <c r="M436" s="141" t="n">
        <f aca="false">C436*(Estacas!O436+Estacas!O437)/2</f>
        <v>224</v>
      </c>
      <c r="N436" s="141" t="n">
        <f aca="false">C436*(Estacas!O436+Estacas!O437)/2</f>
        <v>224</v>
      </c>
      <c r="O436" s="141" t="n">
        <f aca="false">C436*(Estacas!P436+Estacas!P437)/2</f>
        <v>258.4</v>
      </c>
      <c r="P436" s="141" t="n">
        <f aca="false">R436*Parâmetros!$C$11</f>
        <v>0</v>
      </c>
      <c r="Q436" s="141" t="n">
        <f aca="false">R436*Parâmetros!$C$12</f>
        <v>0</v>
      </c>
      <c r="R436" s="141" t="n">
        <f aca="false">C436*(Estacas!Q436+Estacas!Q437)/2</f>
        <v>0</v>
      </c>
      <c r="S436" s="141" t="n">
        <f aca="false">IF(LEFT(E436,3)="T09",C436*Parâmetros!$D$13*Parâmetros!$C$13,0)</f>
        <v>0</v>
      </c>
    </row>
    <row r="437" customFormat="false" ht="15" hidden="false" customHeight="false" outlineLevel="0" collapsed="false">
      <c r="A437" s="138" t="str">
        <f aca="false">Estacas!A437</f>
        <v>434+0,00</v>
      </c>
      <c r="B437" s="138" t="str">
        <f aca="false">Estacas!A438</f>
        <v>435+0,00</v>
      </c>
      <c r="C437" s="144" t="n">
        <f aca="false">Estacas!C438-Estacas!C437</f>
        <v>20</v>
      </c>
      <c r="D437" s="138" t="s">
        <v>1580</v>
      </c>
      <c r="E437" s="138" t="s">
        <v>1566</v>
      </c>
      <c r="F437" s="141" t="n">
        <f aca="false">Estacas!F437</f>
        <v>11</v>
      </c>
      <c r="G437" s="141" t="n">
        <f aca="false">Estacas!F438</f>
        <v>11</v>
      </c>
      <c r="H437" s="141" t="n">
        <f aca="false">C437*(Estacas!K437+Estacas!K438)/2</f>
        <v>11.05</v>
      </c>
      <c r="I437" s="141" t="n">
        <f aca="false">H437*Parâmetros!$C$14</f>
        <v>26.52</v>
      </c>
      <c r="J437" s="141" t="n">
        <f aca="false">C437*(Estacas!L437+Estacas!L438)/2</f>
        <v>36.352</v>
      </c>
      <c r="K437" s="141" t="n">
        <f aca="false">C437*(Estacas!M437+Estacas!M438)/2</f>
        <v>47.68</v>
      </c>
      <c r="L437" s="141" t="n">
        <f aca="false">C437*(Estacas!N437+Estacas!N438)/2</f>
        <v>75.72</v>
      </c>
      <c r="M437" s="141" t="n">
        <f aca="false">C437*(Estacas!O437+Estacas!O438)/2</f>
        <v>224</v>
      </c>
      <c r="N437" s="141" t="n">
        <f aca="false">C437*(Estacas!O437+Estacas!O438)/2</f>
        <v>224</v>
      </c>
      <c r="O437" s="141" t="n">
        <f aca="false">C437*(Estacas!P437+Estacas!P438)/2</f>
        <v>258.4</v>
      </c>
      <c r="P437" s="141" t="n">
        <f aca="false">R437*Parâmetros!$C$11</f>
        <v>0</v>
      </c>
      <c r="Q437" s="141" t="n">
        <f aca="false">R437*Parâmetros!$C$12</f>
        <v>0</v>
      </c>
      <c r="R437" s="141" t="n">
        <f aca="false">C437*(Estacas!Q437+Estacas!Q438)/2</f>
        <v>0</v>
      </c>
      <c r="S437" s="141" t="n">
        <f aca="false">IF(LEFT(E437,3)="T09",C437*Parâmetros!$D$13*Parâmetros!$C$13,0)</f>
        <v>0</v>
      </c>
    </row>
    <row r="438" customFormat="false" ht="15" hidden="false" customHeight="false" outlineLevel="0" collapsed="false">
      <c r="A438" s="138" t="str">
        <f aca="false">Estacas!A438</f>
        <v>435+0,00</v>
      </c>
      <c r="B438" s="138" t="str">
        <f aca="false">Estacas!A439</f>
        <v>436+0,00</v>
      </c>
      <c r="C438" s="144" t="n">
        <f aca="false">Estacas!C439-Estacas!C438</f>
        <v>20</v>
      </c>
      <c r="D438" s="138" t="s">
        <v>1580</v>
      </c>
      <c r="E438" s="138" t="s">
        <v>1566</v>
      </c>
      <c r="F438" s="141" t="n">
        <f aca="false">Estacas!F438</f>
        <v>11</v>
      </c>
      <c r="G438" s="141" t="n">
        <f aca="false">Estacas!F439</f>
        <v>11</v>
      </c>
      <c r="H438" s="141" t="n">
        <f aca="false">C438*(Estacas!K438+Estacas!K439)/2</f>
        <v>11.05</v>
      </c>
      <c r="I438" s="141" t="n">
        <f aca="false">H438*Parâmetros!$C$14</f>
        <v>26.52</v>
      </c>
      <c r="J438" s="141" t="n">
        <f aca="false">C438*(Estacas!L438+Estacas!L439)/2</f>
        <v>36.352</v>
      </c>
      <c r="K438" s="141" t="n">
        <f aca="false">C438*(Estacas!M438+Estacas!M439)/2</f>
        <v>47.68</v>
      </c>
      <c r="L438" s="141" t="n">
        <f aca="false">C438*(Estacas!N438+Estacas!N439)/2</f>
        <v>75.72</v>
      </c>
      <c r="M438" s="141" t="n">
        <f aca="false">C438*(Estacas!O438+Estacas!O439)/2</f>
        <v>224</v>
      </c>
      <c r="N438" s="141" t="n">
        <f aca="false">C438*(Estacas!O438+Estacas!O439)/2</f>
        <v>224</v>
      </c>
      <c r="O438" s="141" t="n">
        <f aca="false">C438*(Estacas!P438+Estacas!P439)/2</f>
        <v>258.4</v>
      </c>
      <c r="P438" s="141" t="n">
        <f aca="false">R438*Parâmetros!$C$11</f>
        <v>0</v>
      </c>
      <c r="Q438" s="141" t="n">
        <f aca="false">R438*Parâmetros!$C$12</f>
        <v>0</v>
      </c>
      <c r="R438" s="141" t="n">
        <f aca="false">C438*(Estacas!Q438+Estacas!Q439)/2</f>
        <v>0</v>
      </c>
      <c r="S438" s="141" t="n">
        <f aca="false">IF(LEFT(E438,3)="T09",C438*Parâmetros!$D$13*Parâmetros!$C$13,0)</f>
        <v>0</v>
      </c>
    </row>
    <row r="439" customFormat="false" ht="15" hidden="false" customHeight="false" outlineLevel="0" collapsed="false">
      <c r="A439" s="138" t="str">
        <f aca="false">Estacas!A439</f>
        <v>436+0,00</v>
      </c>
      <c r="B439" s="138" t="str">
        <f aca="false">Estacas!A440</f>
        <v>437+0,00</v>
      </c>
      <c r="C439" s="144" t="n">
        <f aca="false">Estacas!C440-Estacas!C439</f>
        <v>20</v>
      </c>
      <c r="D439" s="138" t="s">
        <v>1580</v>
      </c>
      <c r="E439" s="138" t="s">
        <v>1566</v>
      </c>
      <c r="F439" s="141" t="n">
        <f aca="false">Estacas!F439</f>
        <v>11</v>
      </c>
      <c r="G439" s="141" t="n">
        <f aca="false">Estacas!F440</f>
        <v>11</v>
      </c>
      <c r="H439" s="141" t="n">
        <f aca="false">C439*(Estacas!K439+Estacas!K440)/2</f>
        <v>11.05</v>
      </c>
      <c r="I439" s="141" t="n">
        <f aca="false">H439*Parâmetros!$C$14</f>
        <v>26.52</v>
      </c>
      <c r="J439" s="141" t="n">
        <f aca="false">C439*(Estacas!L439+Estacas!L440)/2</f>
        <v>36.352</v>
      </c>
      <c r="K439" s="141" t="n">
        <f aca="false">C439*(Estacas!M439+Estacas!M440)/2</f>
        <v>47.68</v>
      </c>
      <c r="L439" s="141" t="n">
        <f aca="false">C439*(Estacas!N439+Estacas!N440)/2</f>
        <v>75.72</v>
      </c>
      <c r="M439" s="141" t="n">
        <f aca="false">C439*(Estacas!O439+Estacas!O440)/2</f>
        <v>224</v>
      </c>
      <c r="N439" s="141" t="n">
        <f aca="false">C439*(Estacas!O439+Estacas!O440)/2</f>
        <v>224</v>
      </c>
      <c r="O439" s="141" t="n">
        <f aca="false">C439*(Estacas!P439+Estacas!P440)/2</f>
        <v>258.4</v>
      </c>
      <c r="P439" s="141" t="n">
        <f aca="false">R439*Parâmetros!$C$11</f>
        <v>0</v>
      </c>
      <c r="Q439" s="141" t="n">
        <f aca="false">R439*Parâmetros!$C$12</f>
        <v>0</v>
      </c>
      <c r="R439" s="141" t="n">
        <f aca="false">C439*(Estacas!Q439+Estacas!Q440)/2</f>
        <v>0</v>
      </c>
      <c r="S439" s="141" t="n">
        <f aca="false">IF(LEFT(E439,3)="T09",C439*Parâmetros!$D$13*Parâmetros!$C$13,0)</f>
        <v>0</v>
      </c>
    </row>
    <row r="440" customFormat="false" ht="15" hidden="false" customHeight="false" outlineLevel="0" collapsed="false">
      <c r="A440" s="138" t="str">
        <f aca="false">Estacas!A440</f>
        <v>437+0,00</v>
      </c>
      <c r="B440" s="138" t="str">
        <f aca="false">Estacas!A441</f>
        <v>438+0,00</v>
      </c>
      <c r="C440" s="144" t="n">
        <f aca="false">Estacas!C441-Estacas!C440</f>
        <v>20</v>
      </c>
      <c r="D440" s="138" t="s">
        <v>1580</v>
      </c>
      <c r="E440" s="138" t="s">
        <v>1566</v>
      </c>
      <c r="F440" s="141" t="n">
        <f aca="false">Estacas!F440</f>
        <v>11</v>
      </c>
      <c r="G440" s="141" t="n">
        <f aca="false">Estacas!F441</f>
        <v>11</v>
      </c>
      <c r="H440" s="141" t="n">
        <f aca="false">C440*(Estacas!K440+Estacas!K441)/2</f>
        <v>11.05</v>
      </c>
      <c r="I440" s="141" t="n">
        <f aca="false">H440*Parâmetros!$C$14</f>
        <v>26.52</v>
      </c>
      <c r="J440" s="141" t="n">
        <f aca="false">C440*(Estacas!L440+Estacas!L441)/2</f>
        <v>36.352</v>
      </c>
      <c r="K440" s="141" t="n">
        <f aca="false">C440*(Estacas!M440+Estacas!M441)/2</f>
        <v>47.68</v>
      </c>
      <c r="L440" s="141" t="n">
        <f aca="false">C440*(Estacas!N440+Estacas!N441)/2</f>
        <v>75.72</v>
      </c>
      <c r="M440" s="141" t="n">
        <f aca="false">C440*(Estacas!O440+Estacas!O441)/2</f>
        <v>224</v>
      </c>
      <c r="N440" s="141" t="n">
        <f aca="false">C440*(Estacas!O440+Estacas!O441)/2</f>
        <v>224</v>
      </c>
      <c r="O440" s="141" t="n">
        <f aca="false">C440*(Estacas!P440+Estacas!P441)/2</f>
        <v>258.4</v>
      </c>
      <c r="P440" s="141" t="n">
        <f aca="false">R440*Parâmetros!$C$11</f>
        <v>0</v>
      </c>
      <c r="Q440" s="141" t="n">
        <f aca="false">R440*Parâmetros!$C$12</f>
        <v>0</v>
      </c>
      <c r="R440" s="141" t="n">
        <f aca="false">C440*(Estacas!Q440+Estacas!Q441)/2</f>
        <v>0</v>
      </c>
      <c r="S440" s="141" t="n">
        <f aca="false">IF(LEFT(E440,3)="T09",C440*Parâmetros!$D$13*Parâmetros!$C$13,0)</f>
        <v>0</v>
      </c>
    </row>
    <row r="441" customFormat="false" ht="15" hidden="false" customHeight="false" outlineLevel="0" collapsed="false">
      <c r="A441" s="138" t="str">
        <f aca="false">Estacas!A441</f>
        <v>438+0,00</v>
      </c>
      <c r="B441" s="138" t="str">
        <f aca="false">Estacas!A442</f>
        <v>439+0,00</v>
      </c>
      <c r="C441" s="144" t="n">
        <f aca="false">Estacas!C442-Estacas!C441</f>
        <v>20</v>
      </c>
      <c r="D441" s="138" t="s">
        <v>1580</v>
      </c>
      <c r="E441" s="138" t="s">
        <v>1566</v>
      </c>
      <c r="F441" s="141" t="n">
        <f aca="false">Estacas!F441</f>
        <v>11</v>
      </c>
      <c r="G441" s="141" t="n">
        <f aca="false">Estacas!F442</f>
        <v>11</v>
      </c>
      <c r="H441" s="141" t="n">
        <f aca="false">C441*(Estacas!K441+Estacas!K442)/2</f>
        <v>11.05</v>
      </c>
      <c r="I441" s="141" t="n">
        <f aca="false">H441*Parâmetros!$C$14</f>
        <v>26.52</v>
      </c>
      <c r="J441" s="141" t="n">
        <f aca="false">C441*(Estacas!L441+Estacas!L442)/2</f>
        <v>36.352</v>
      </c>
      <c r="K441" s="141" t="n">
        <f aca="false">C441*(Estacas!M441+Estacas!M442)/2</f>
        <v>47.68</v>
      </c>
      <c r="L441" s="141" t="n">
        <f aca="false">C441*(Estacas!N441+Estacas!N442)/2</f>
        <v>75.72</v>
      </c>
      <c r="M441" s="141" t="n">
        <f aca="false">C441*(Estacas!O441+Estacas!O442)/2</f>
        <v>224</v>
      </c>
      <c r="N441" s="141" t="n">
        <f aca="false">C441*(Estacas!O441+Estacas!O442)/2</f>
        <v>224</v>
      </c>
      <c r="O441" s="141" t="n">
        <f aca="false">C441*(Estacas!P441+Estacas!P442)/2</f>
        <v>258.4</v>
      </c>
      <c r="P441" s="141" t="n">
        <f aca="false">R441*Parâmetros!$C$11</f>
        <v>0</v>
      </c>
      <c r="Q441" s="141" t="n">
        <f aca="false">R441*Parâmetros!$C$12</f>
        <v>0</v>
      </c>
      <c r="R441" s="141" t="n">
        <f aca="false">C441*(Estacas!Q441+Estacas!Q442)/2</f>
        <v>0</v>
      </c>
      <c r="S441" s="141" t="n">
        <f aca="false">IF(LEFT(E441,3)="T09",C441*Parâmetros!$D$13*Parâmetros!$C$13,0)</f>
        <v>0</v>
      </c>
    </row>
    <row r="442" customFormat="false" ht="15" hidden="false" customHeight="false" outlineLevel="0" collapsed="false">
      <c r="A442" s="138" t="str">
        <f aca="false">Estacas!A442</f>
        <v>439+0,00</v>
      </c>
      <c r="B442" s="138" t="str">
        <f aca="false">Estacas!A443</f>
        <v>440+0,00</v>
      </c>
      <c r="C442" s="144" t="n">
        <f aca="false">Estacas!C443-Estacas!C442</f>
        <v>20</v>
      </c>
      <c r="D442" s="138" t="s">
        <v>1580</v>
      </c>
      <c r="E442" s="138" t="s">
        <v>1566</v>
      </c>
      <c r="F442" s="141" t="n">
        <f aca="false">Estacas!F442</f>
        <v>11</v>
      </c>
      <c r="G442" s="141" t="n">
        <f aca="false">Estacas!F443</f>
        <v>11</v>
      </c>
      <c r="H442" s="141" t="n">
        <f aca="false">C442*(Estacas!K442+Estacas!K443)/2</f>
        <v>11.05</v>
      </c>
      <c r="I442" s="141" t="n">
        <f aca="false">H442*Parâmetros!$C$14</f>
        <v>26.52</v>
      </c>
      <c r="J442" s="141" t="n">
        <f aca="false">C442*(Estacas!L442+Estacas!L443)/2</f>
        <v>36.352</v>
      </c>
      <c r="K442" s="141" t="n">
        <f aca="false">C442*(Estacas!M442+Estacas!M443)/2</f>
        <v>47.68</v>
      </c>
      <c r="L442" s="141" t="n">
        <f aca="false">C442*(Estacas!N442+Estacas!N443)/2</f>
        <v>75.72</v>
      </c>
      <c r="M442" s="141" t="n">
        <f aca="false">C442*(Estacas!O442+Estacas!O443)/2</f>
        <v>224</v>
      </c>
      <c r="N442" s="141" t="n">
        <f aca="false">C442*(Estacas!O442+Estacas!O443)/2</f>
        <v>224</v>
      </c>
      <c r="O442" s="141" t="n">
        <f aca="false">C442*(Estacas!P442+Estacas!P443)/2</f>
        <v>258.4</v>
      </c>
      <c r="P442" s="141" t="n">
        <f aca="false">R442*Parâmetros!$C$11</f>
        <v>0</v>
      </c>
      <c r="Q442" s="141" t="n">
        <f aca="false">R442*Parâmetros!$C$12</f>
        <v>0</v>
      </c>
      <c r="R442" s="141" t="n">
        <f aca="false">C442*(Estacas!Q442+Estacas!Q443)/2</f>
        <v>0</v>
      </c>
      <c r="S442" s="141" t="n">
        <f aca="false">IF(LEFT(E442,3)="T09",C442*Parâmetros!$D$13*Parâmetros!$C$13,0)</f>
        <v>0</v>
      </c>
    </row>
    <row r="443" customFormat="false" ht="15" hidden="false" customHeight="false" outlineLevel="0" collapsed="false">
      <c r="A443" s="138" t="str">
        <f aca="false">Estacas!A443</f>
        <v>440+0,00</v>
      </c>
      <c r="B443" s="138" t="str">
        <f aca="false">Estacas!A444</f>
        <v>441+0,00</v>
      </c>
      <c r="C443" s="144" t="n">
        <f aca="false">Estacas!C444-Estacas!C443</f>
        <v>20</v>
      </c>
      <c r="D443" s="138" t="s">
        <v>1580</v>
      </c>
      <c r="E443" s="138" t="s">
        <v>1566</v>
      </c>
      <c r="F443" s="141" t="n">
        <f aca="false">Estacas!F443</f>
        <v>11</v>
      </c>
      <c r="G443" s="141" t="n">
        <f aca="false">Estacas!F444</f>
        <v>11</v>
      </c>
      <c r="H443" s="141" t="n">
        <f aca="false">C443*(Estacas!K443+Estacas!K444)/2</f>
        <v>11.05</v>
      </c>
      <c r="I443" s="141" t="n">
        <f aca="false">H443*Parâmetros!$C$14</f>
        <v>26.52</v>
      </c>
      <c r="J443" s="141" t="n">
        <f aca="false">C443*(Estacas!L443+Estacas!L444)/2</f>
        <v>36.352</v>
      </c>
      <c r="K443" s="141" t="n">
        <f aca="false">C443*(Estacas!M443+Estacas!M444)/2</f>
        <v>47.68</v>
      </c>
      <c r="L443" s="141" t="n">
        <f aca="false">C443*(Estacas!N443+Estacas!N444)/2</f>
        <v>75.72</v>
      </c>
      <c r="M443" s="141" t="n">
        <f aca="false">C443*(Estacas!O443+Estacas!O444)/2</f>
        <v>224</v>
      </c>
      <c r="N443" s="141" t="n">
        <f aca="false">C443*(Estacas!O443+Estacas!O444)/2</f>
        <v>224</v>
      </c>
      <c r="O443" s="141" t="n">
        <f aca="false">C443*(Estacas!P443+Estacas!P444)/2</f>
        <v>258.4</v>
      </c>
      <c r="P443" s="141" t="n">
        <f aca="false">R443*Parâmetros!$C$11</f>
        <v>0</v>
      </c>
      <c r="Q443" s="141" t="n">
        <f aca="false">R443*Parâmetros!$C$12</f>
        <v>0</v>
      </c>
      <c r="R443" s="141" t="n">
        <f aca="false">C443*(Estacas!Q443+Estacas!Q444)/2</f>
        <v>0</v>
      </c>
      <c r="S443" s="141" t="n">
        <f aca="false">IF(LEFT(E443,3)="T09",C443*Parâmetros!$D$13*Parâmetros!$C$13,0)</f>
        <v>0</v>
      </c>
    </row>
    <row r="444" customFormat="false" ht="15" hidden="false" customHeight="false" outlineLevel="0" collapsed="false">
      <c r="A444" s="138" t="str">
        <f aca="false">Estacas!A444</f>
        <v>441+0,00</v>
      </c>
      <c r="B444" s="138" t="str">
        <f aca="false">Estacas!A445</f>
        <v>442+0,00</v>
      </c>
      <c r="C444" s="144" t="n">
        <f aca="false">Estacas!C445-Estacas!C444</f>
        <v>20</v>
      </c>
      <c r="D444" s="138" t="s">
        <v>1580</v>
      </c>
      <c r="E444" s="138" t="s">
        <v>1566</v>
      </c>
      <c r="F444" s="141" t="n">
        <f aca="false">Estacas!F444</f>
        <v>11</v>
      </c>
      <c r="G444" s="141" t="n">
        <f aca="false">Estacas!F445</f>
        <v>11</v>
      </c>
      <c r="H444" s="141" t="n">
        <f aca="false">C444*(Estacas!K444+Estacas!K445)/2</f>
        <v>11.05</v>
      </c>
      <c r="I444" s="141" t="n">
        <f aca="false">H444*Parâmetros!$C$14</f>
        <v>26.52</v>
      </c>
      <c r="J444" s="141" t="n">
        <f aca="false">C444*(Estacas!L444+Estacas!L445)/2</f>
        <v>36.352</v>
      </c>
      <c r="K444" s="141" t="n">
        <f aca="false">C444*(Estacas!M444+Estacas!M445)/2</f>
        <v>47.68</v>
      </c>
      <c r="L444" s="141" t="n">
        <f aca="false">C444*(Estacas!N444+Estacas!N445)/2</f>
        <v>75.72</v>
      </c>
      <c r="M444" s="141" t="n">
        <f aca="false">C444*(Estacas!O444+Estacas!O445)/2</f>
        <v>224</v>
      </c>
      <c r="N444" s="141" t="n">
        <f aca="false">C444*(Estacas!O444+Estacas!O445)/2</f>
        <v>224</v>
      </c>
      <c r="O444" s="141" t="n">
        <f aca="false">C444*(Estacas!P444+Estacas!P445)/2</f>
        <v>258.4</v>
      </c>
      <c r="P444" s="141" t="n">
        <f aca="false">R444*Parâmetros!$C$11</f>
        <v>0</v>
      </c>
      <c r="Q444" s="141" t="n">
        <f aca="false">R444*Parâmetros!$C$12</f>
        <v>0</v>
      </c>
      <c r="R444" s="141" t="n">
        <f aca="false">C444*(Estacas!Q444+Estacas!Q445)/2</f>
        <v>0</v>
      </c>
      <c r="S444" s="141" t="n">
        <f aca="false">IF(LEFT(E444,3)="T09",C444*Parâmetros!$D$13*Parâmetros!$C$13,0)</f>
        <v>0</v>
      </c>
    </row>
    <row r="445" customFormat="false" ht="15" hidden="false" customHeight="false" outlineLevel="0" collapsed="false">
      <c r="A445" s="138" t="str">
        <f aca="false">Estacas!A445</f>
        <v>442+0,00</v>
      </c>
      <c r="B445" s="138" t="str">
        <f aca="false">Estacas!A446</f>
        <v>443+0,00</v>
      </c>
      <c r="C445" s="144" t="n">
        <f aca="false">Estacas!C446-Estacas!C445</f>
        <v>20</v>
      </c>
      <c r="D445" s="138" t="s">
        <v>1580</v>
      </c>
      <c r="E445" s="138" t="s">
        <v>1566</v>
      </c>
      <c r="F445" s="141" t="n">
        <f aca="false">Estacas!F445</f>
        <v>11</v>
      </c>
      <c r="G445" s="141" t="n">
        <f aca="false">Estacas!F446</f>
        <v>11</v>
      </c>
      <c r="H445" s="141" t="n">
        <f aca="false">C445*(Estacas!K445+Estacas!K446)/2</f>
        <v>11.05</v>
      </c>
      <c r="I445" s="141" t="n">
        <f aca="false">H445*Parâmetros!$C$14</f>
        <v>26.52</v>
      </c>
      <c r="J445" s="141" t="n">
        <f aca="false">C445*(Estacas!L445+Estacas!L446)/2</f>
        <v>36.352</v>
      </c>
      <c r="K445" s="141" t="n">
        <f aca="false">C445*(Estacas!M445+Estacas!M446)/2</f>
        <v>47.68</v>
      </c>
      <c r="L445" s="141" t="n">
        <f aca="false">C445*(Estacas!N445+Estacas!N446)/2</f>
        <v>75.72</v>
      </c>
      <c r="M445" s="141" t="n">
        <f aca="false">C445*(Estacas!O445+Estacas!O446)/2</f>
        <v>224</v>
      </c>
      <c r="N445" s="141" t="n">
        <f aca="false">C445*(Estacas!O445+Estacas!O446)/2</f>
        <v>224</v>
      </c>
      <c r="O445" s="141" t="n">
        <f aca="false">C445*(Estacas!P445+Estacas!P446)/2</f>
        <v>258.4</v>
      </c>
      <c r="P445" s="141" t="n">
        <f aca="false">R445*Parâmetros!$C$11</f>
        <v>0</v>
      </c>
      <c r="Q445" s="141" t="n">
        <f aca="false">R445*Parâmetros!$C$12</f>
        <v>0</v>
      </c>
      <c r="R445" s="141" t="n">
        <f aca="false">C445*(Estacas!Q445+Estacas!Q446)/2</f>
        <v>0</v>
      </c>
      <c r="S445" s="141" t="n">
        <f aca="false">IF(LEFT(E445,3)="T09",C445*Parâmetros!$D$13*Parâmetros!$C$13,0)</f>
        <v>0</v>
      </c>
    </row>
    <row r="446" customFormat="false" ht="15" hidden="false" customHeight="false" outlineLevel="0" collapsed="false">
      <c r="A446" s="138" t="str">
        <f aca="false">Estacas!A446</f>
        <v>443+0,00</v>
      </c>
      <c r="B446" s="138" t="str">
        <f aca="false">Estacas!A447</f>
        <v>444+0,00</v>
      </c>
      <c r="C446" s="144" t="n">
        <f aca="false">Estacas!C447-Estacas!C446</f>
        <v>20</v>
      </c>
      <c r="D446" s="138" t="s">
        <v>1580</v>
      </c>
      <c r="E446" s="138" t="s">
        <v>1566</v>
      </c>
      <c r="F446" s="141" t="n">
        <f aca="false">Estacas!F446</f>
        <v>11</v>
      </c>
      <c r="G446" s="141" t="n">
        <f aca="false">Estacas!F447</f>
        <v>11</v>
      </c>
      <c r="H446" s="141" t="n">
        <f aca="false">C446*(Estacas!K446+Estacas!K447)/2</f>
        <v>11.05</v>
      </c>
      <c r="I446" s="141" t="n">
        <f aca="false">H446*Parâmetros!$C$14</f>
        <v>26.52</v>
      </c>
      <c r="J446" s="141" t="n">
        <f aca="false">C446*(Estacas!L446+Estacas!L447)/2</f>
        <v>36.352</v>
      </c>
      <c r="K446" s="141" t="n">
        <f aca="false">C446*(Estacas!M446+Estacas!M447)/2</f>
        <v>47.68</v>
      </c>
      <c r="L446" s="141" t="n">
        <f aca="false">C446*(Estacas!N446+Estacas!N447)/2</f>
        <v>75.72</v>
      </c>
      <c r="M446" s="141" t="n">
        <f aca="false">C446*(Estacas!O446+Estacas!O447)/2</f>
        <v>224</v>
      </c>
      <c r="N446" s="141" t="n">
        <f aca="false">C446*(Estacas!O446+Estacas!O447)/2</f>
        <v>224</v>
      </c>
      <c r="O446" s="141" t="n">
        <f aca="false">C446*(Estacas!P446+Estacas!P447)/2</f>
        <v>258.4</v>
      </c>
      <c r="P446" s="141" t="n">
        <f aca="false">R446*Parâmetros!$C$11</f>
        <v>0</v>
      </c>
      <c r="Q446" s="141" t="n">
        <f aca="false">R446*Parâmetros!$C$12</f>
        <v>0</v>
      </c>
      <c r="R446" s="141" t="n">
        <f aca="false">C446*(Estacas!Q446+Estacas!Q447)/2</f>
        <v>0</v>
      </c>
      <c r="S446" s="141" t="n">
        <f aca="false">IF(LEFT(E446,3)="T09",C446*Parâmetros!$D$13*Parâmetros!$C$13,0)</f>
        <v>0</v>
      </c>
    </row>
    <row r="447" customFormat="false" ht="15" hidden="false" customHeight="false" outlineLevel="0" collapsed="false">
      <c r="A447" s="138" t="str">
        <f aca="false">Estacas!A447</f>
        <v>444+0,00</v>
      </c>
      <c r="B447" s="138" t="str">
        <f aca="false">Estacas!A448</f>
        <v>445+0,00</v>
      </c>
      <c r="C447" s="144" t="n">
        <f aca="false">Estacas!C448-Estacas!C447</f>
        <v>20</v>
      </c>
      <c r="D447" s="138" t="s">
        <v>1580</v>
      </c>
      <c r="E447" s="138" t="s">
        <v>1566</v>
      </c>
      <c r="F447" s="141" t="n">
        <f aca="false">Estacas!F447</f>
        <v>11</v>
      </c>
      <c r="G447" s="141" t="n">
        <f aca="false">Estacas!F448</f>
        <v>11.1</v>
      </c>
      <c r="H447" s="141" t="n">
        <f aca="false">C447*(Estacas!K447+Estacas!K448)/2</f>
        <v>11.1</v>
      </c>
      <c r="I447" s="141" t="n">
        <f aca="false">H447*Parâmetros!$C$14</f>
        <v>26.64</v>
      </c>
      <c r="J447" s="141" t="n">
        <f aca="false">C447*(Estacas!L447+Estacas!L448)/2</f>
        <v>36.512</v>
      </c>
      <c r="K447" s="141" t="n">
        <f aca="false">C447*(Estacas!M447+Estacas!M448)/2</f>
        <v>47.88</v>
      </c>
      <c r="L447" s="141" t="n">
        <f aca="false">C447*(Estacas!N447+Estacas!N448)/2</f>
        <v>76.02</v>
      </c>
      <c r="M447" s="141" t="n">
        <f aca="false">C447*(Estacas!O447+Estacas!O448)/2</f>
        <v>225</v>
      </c>
      <c r="N447" s="141" t="n">
        <f aca="false">C447*(Estacas!O447+Estacas!O448)/2</f>
        <v>225</v>
      </c>
      <c r="O447" s="141" t="n">
        <f aca="false">C447*(Estacas!P447+Estacas!P448)/2</f>
        <v>259.4</v>
      </c>
      <c r="P447" s="141" t="n">
        <f aca="false">R447*Parâmetros!$C$11</f>
        <v>0</v>
      </c>
      <c r="Q447" s="141" t="n">
        <f aca="false">R447*Parâmetros!$C$12</f>
        <v>0</v>
      </c>
      <c r="R447" s="141" t="n">
        <f aca="false">C447*(Estacas!Q447+Estacas!Q448)/2</f>
        <v>0</v>
      </c>
      <c r="S447" s="141" t="n">
        <f aca="false">IF(LEFT(E447,3)="T09",C447*Parâmetros!$D$13*Parâmetros!$C$13,0)</f>
        <v>0</v>
      </c>
    </row>
    <row r="448" customFormat="false" ht="15" hidden="false" customHeight="false" outlineLevel="0" collapsed="false">
      <c r="A448" s="138" t="str">
        <f aca="false">Estacas!A448</f>
        <v>445+0,00</v>
      </c>
      <c r="B448" s="138" t="str">
        <f aca="false">Estacas!A449</f>
        <v>446+0,00</v>
      </c>
      <c r="C448" s="144" t="n">
        <f aca="false">Estacas!C449-Estacas!C448</f>
        <v>20</v>
      </c>
      <c r="D448" s="138" t="s">
        <v>1580</v>
      </c>
      <c r="E448" s="138" t="s">
        <v>1566</v>
      </c>
      <c r="F448" s="141" t="n">
        <f aca="false">Estacas!F448</f>
        <v>11.1</v>
      </c>
      <c r="G448" s="141" t="n">
        <f aca="false">Estacas!F449</f>
        <v>11.3</v>
      </c>
      <c r="H448" s="141" t="n">
        <f aca="false">C448*(Estacas!K448+Estacas!K449)/2</f>
        <v>11.25</v>
      </c>
      <c r="I448" s="141" t="n">
        <f aca="false">H448*Parâmetros!$C$14</f>
        <v>27</v>
      </c>
      <c r="J448" s="141" t="n">
        <f aca="false">C448*(Estacas!L448+Estacas!L449)/2</f>
        <v>36.992</v>
      </c>
      <c r="K448" s="141" t="n">
        <f aca="false">C448*(Estacas!M448+Estacas!M449)/2</f>
        <v>48.48</v>
      </c>
      <c r="L448" s="141" t="n">
        <f aca="false">C448*(Estacas!N448+Estacas!N449)/2</f>
        <v>76.92</v>
      </c>
      <c r="M448" s="141" t="n">
        <f aca="false">C448*(Estacas!O448+Estacas!O449)/2</f>
        <v>228</v>
      </c>
      <c r="N448" s="141" t="n">
        <f aca="false">C448*(Estacas!O448+Estacas!O449)/2</f>
        <v>228</v>
      </c>
      <c r="O448" s="141" t="n">
        <f aca="false">C448*(Estacas!P448+Estacas!P449)/2</f>
        <v>262.4</v>
      </c>
      <c r="P448" s="141" t="n">
        <f aca="false">R448*Parâmetros!$C$11</f>
        <v>0</v>
      </c>
      <c r="Q448" s="141" t="n">
        <f aca="false">R448*Parâmetros!$C$12</f>
        <v>0</v>
      </c>
      <c r="R448" s="141" t="n">
        <f aca="false">C448*(Estacas!Q448+Estacas!Q449)/2</f>
        <v>0</v>
      </c>
      <c r="S448" s="141" t="n">
        <f aca="false">IF(LEFT(E448,3)="T09",C448*Parâmetros!$D$13*Parâmetros!$C$13,0)</f>
        <v>0</v>
      </c>
    </row>
    <row r="449" customFormat="false" ht="15" hidden="false" customHeight="false" outlineLevel="0" collapsed="false">
      <c r="A449" s="138" t="str">
        <f aca="false">Estacas!A449</f>
        <v>446+0,00</v>
      </c>
      <c r="B449" s="138" t="str">
        <f aca="false">Estacas!A450</f>
        <v>447+0,00</v>
      </c>
      <c r="C449" s="144" t="n">
        <f aca="false">Estacas!C450-Estacas!C449</f>
        <v>20</v>
      </c>
      <c r="D449" s="138" t="s">
        <v>1580</v>
      </c>
      <c r="E449" s="138" t="s">
        <v>1566</v>
      </c>
      <c r="F449" s="141" t="n">
        <f aca="false">Estacas!F449</f>
        <v>11.3</v>
      </c>
      <c r="G449" s="141" t="n">
        <f aca="false">Estacas!F450</f>
        <v>11.5</v>
      </c>
      <c r="H449" s="141" t="n">
        <f aca="false">C449*(Estacas!K449+Estacas!K450)/2</f>
        <v>11.45</v>
      </c>
      <c r="I449" s="141" t="n">
        <f aca="false">H449*Parâmetros!$C$14</f>
        <v>27.48</v>
      </c>
      <c r="J449" s="141" t="n">
        <f aca="false">C449*(Estacas!L449+Estacas!L450)/2</f>
        <v>37.632</v>
      </c>
      <c r="K449" s="141" t="n">
        <f aca="false">C449*(Estacas!M449+Estacas!M450)/2</f>
        <v>49.28</v>
      </c>
      <c r="L449" s="141" t="n">
        <f aca="false">C449*(Estacas!N449+Estacas!N450)/2</f>
        <v>78.12</v>
      </c>
      <c r="M449" s="141" t="n">
        <f aca="false">C449*(Estacas!O449+Estacas!O450)/2</f>
        <v>232</v>
      </c>
      <c r="N449" s="141" t="n">
        <f aca="false">C449*(Estacas!O449+Estacas!O450)/2</f>
        <v>232</v>
      </c>
      <c r="O449" s="141" t="n">
        <f aca="false">C449*(Estacas!P449+Estacas!P450)/2</f>
        <v>266.4</v>
      </c>
      <c r="P449" s="141" t="n">
        <f aca="false">R449*Parâmetros!$C$11</f>
        <v>0</v>
      </c>
      <c r="Q449" s="141" t="n">
        <f aca="false">R449*Parâmetros!$C$12</f>
        <v>0</v>
      </c>
      <c r="R449" s="141" t="n">
        <f aca="false">C449*(Estacas!Q449+Estacas!Q450)/2</f>
        <v>0</v>
      </c>
      <c r="S449" s="141" t="n">
        <f aca="false">IF(LEFT(E449,3)="T09",C449*Parâmetros!$D$13*Parâmetros!$C$13,0)</f>
        <v>0</v>
      </c>
    </row>
    <row r="450" customFormat="false" ht="15" hidden="false" customHeight="false" outlineLevel="0" collapsed="false">
      <c r="A450" s="138" t="str">
        <f aca="false">Estacas!A450</f>
        <v>447+0,00</v>
      </c>
      <c r="B450" s="138" t="str">
        <f aca="false">Estacas!A451</f>
        <v>448+0,00</v>
      </c>
      <c r="C450" s="144" t="n">
        <f aca="false">Estacas!C451-Estacas!C450</f>
        <v>20</v>
      </c>
      <c r="D450" s="138" t="s">
        <v>1580</v>
      </c>
      <c r="E450" s="138" t="s">
        <v>1566</v>
      </c>
      <c r="F450" s="141" t="n">
        <f aca="false">Estacas!F450</f>
        <v>11.5</v>
      </c>
      <c r="G450" s="141" t="n">
        <f aca="false">Estacas!F451</f>
        <v>11.6</v>
      </c>
      <c r="H450" s="141" t="n">
        <f aca="false">C450*(Estacas!K450+Estacas!K451)/2</f>
        <v>11.6</v>
      </c>
      <c r="I450" s="141" t="n">
        <f aca="false">H450*Parâmetros!$C$14</f>
        <v>27.84</v>
      </c>
      <c r="J450" s="141" t="n">
        <f aca="false">C450*(Estacas!L450+Estacas!L451)/2</f>
        <v>38.112</v>
      </c>
      <c r="K450" s="141" t="n">
        <f aca="false">C450*(Estacas!M450+Estacas!M451)/2</f>
        <v>49.88</v>
      </c>
      <c r="L450" s="141" t="n">
        <f aca="false">C450*(Estacas!N450+Estacas!N451)/2</f>
        <v>79.02</v>
      </c>
      <c r="M450" s="141" t="n">
        <f aca="false">C450*(Estacas!O450+Estacas!O451)/2</f>
        <v>235</v>
      </c>
      <c r="N450" s="141" t="n">
        <f aca="false">C450*(Estacas!O450+Estacas!O451)/2</f>
        <v>235</v>
      </c>
      <c r="O450" s="141" t="n">
        <f aca="false">C450*(Estacas!P450+Estacas!P451)/2</f>
        <v>269.4</v>
      </c>
      <c r="P450" s="141" t="n">
        <f aca="false">R450*Parâmetros!$C$11</f>
        <v>0</v>
      </c>
      <c r="Q450" s="141" t="n">
        <f aca="false">R450*Parâmetros!$C$12</f>
        <v>0</v>
      </c>
      <c r="R450" s="141" t="n">
        <f aca="false">C450*(Estacas!Q450+Estacas!Q451)/2</f>
        <v>0</v>
      </c>
      <c r="S450" s="141" t="n">
        <f aca="false">IF(LEFT(E450,3)="T09",C450*Parâmetros!$D$13*Parâmetros!$C$13,0)</f>
        <v>0</v>
      </c>
    </row>
    <row r="451" customFormat="false" ht="15" hidden="false" customHeight="false" outlineLevel="0" collapsed="false">
      <c r="A451" s="138" t="str">
        <f aca="false">Estacas!A451</f>
        <v>448+0,00</v>
      </c>
      <c r="B451" s="138" t="str">
        <f aca="false">Estacas!A452</f>
        <v>449+0,00</v>
      </c>
      <c r="C451" s="144" t="n">
        <f aca="false">Estacas!C452-Estacas!C451</f>
        <v>20</v>
      </c>
      <c r="D451" s="138" t="s">
        <v>1580</v>
      </c>
      <c r="E451" s="138" t="s">
        <v>1566</v>
      </c>
      <c r="F451" s="141" t="n">
        <f aca="false">Estacas!F451</f>
        <v>11.6</v>
      </c>
      <c r="G451" s="141" t="n">
        <f aca="false">Estacas!F452</f>
        <v>11.6</v>
      </c>
      <c r="H451" s="141" t="n">
        <f aca="false">C451*(Estacas!K451+Estacas!K452)/2</f>
        <v>11.65</v>
      </c>
      <c r="I451" s="141" t="n">
        <f aca="false">H451*Parâmetros!$C$14</f>
        <v>27.96</v>
      </c>
      <c r="J451" s="141" t="n">
        <f aca="false">C451*(Estacas!L451+Estacas!L452)/2</f>
        <v>38.272</v>
      </c>
      <c r="K451" s="141" t="n">
        <f aca="false">C451*(Estacas!M451+Estacas!M452)/2</f>
        <v>50.08</v>
      </c>
      <c r="L451" s="141" t="n">
        <f aca="false">C451*(Estacas!N451+Estacas!N452)/2</f>
        <v>79.32</v>
      </c>
      <c r="M451" s="141" t="n">
        <f aca="false">C451*(Estacas!O451+Estacas!O452)/2</f>
        <v>236</v>
      </c>
      <c r="N451" s="141" t="n">
        <f aca="false">C451*(Estacas!O451+Estacas!O452)/2</f>
        <v>236</v>
      </c>
      <c r="O451" s="141" t="n">
        <f aca="false">C451*(Estacas!P451+Estacas!P452)/2</f>
        <v>270.4</v>
      </c>
      <c r="P451" s="141" t="n">
        <f aca="false">R451*Parâmetros!$C$11</f>
        <v>0</v>
      </c>
      <c r="Q451" s="141" t="n">
        <f aca="false">R451*Parâmetros!$C$12</f>
        <v>0</v>
      </c>
      <c r="R451" s="141" t="n">
        <f aca="false">C451*(Estacas!Q451+Estacas!Q452)/2</f>
        <v>0</v>
      </c>
      <c r="S451" s="141" t="n">
        <f aca="false">IF(LEFT(E451,3)="T09",C451*Parâmetros!$D$13*Parâmetros!$C$13,0)</f>
        <v>0</v>
      </c>
    </row>
    <row r="452" customFormat="false" ht="15" hidden="false" customHeight="false" outlineLevel="0" collapsed="false">
      <c r="A452" s="138" t="str">
        <f aca="false">Estacas!A452</f>
        <v>449+0,00</v>
      </c>
      <c r="B452" s="138" t="str">
        <f aca="false">Estacas!A453</f>
        <v>450+0,00</v>
      </c>
      <c r="C452" s="144" t="n">
        <f aca="false">Estacas!C453-Estacas!C452</f>
        <v>20</v>
      </c>
      <c r="D452" s="138" t="s">
        <v>1580</v>
      </c>
      <c r="E452" s="138" t="s">
        <v>1566</v>
      </c>
      <c r="F452" s="141" t="n">
        <f aca="false">Estacas!F452</f>
        <v>11.6</v>
      </c>
      <c r="G452" s="141" t="n">
        <f aca="false">Estacas!F453</f>
        <v>11.6</v>
      </c>
      <c r="H452" s="141" t="n">
        <f aca="false">C452*(Estacas!K452+Estacas!K453)/2</f>
        <v>11.65</v>
      </c>
      <c r="I452" s="141" t="n">
        <f aca="false">H452*Parâmetros!$C$14</f>
        <v>27.96</v>
      </c>
      <c r="J452" s="141" t="n">
        <f aca="false">C452*(Estacas!L452+Estacas!L453)/2</f>
        <v>38.272</v>
      </c>
      <c r="K452" s="141" t="n">
        <f aca="false">C452*(Estacas!M452+Estacas!M453)/2</f>
        <v>50.08</v>
      </c>
      <c r="L452" s="141" t="n">
        <f aca="false">C452*(Estacas!N452+Estacas!N453)/2</f>
        <v>79.32</v>
      </c>
      <c r="M452" s="141" t="n">
        <f aca="false">C452*(Estacas!O452+Estacas!O453)/2</f>
        <v>236</v>
      </c>
      <c r="N452" s="141" t="n">
        <f aca="false">C452*(Estacas!O452+Estacas!O453)/2</f>
        <v>236</v>
      </c>
      <c r="O452" s="141" t="n">
        <f aca="false">C452*(Estacas!P452+Estacas!P453)/2</f>
        <v>270.4</v>
      </c>
      <c r="P452" s="141" t="n">
        <f aca="false">R452*Parâmetros!$C$11</f>
        <v>0</v>
      </c>
      <c r="Q452" s="141" t="n">
        <f aca="false">R452*Parâmetros!$C$12</f>
        <v>0</v>
      </c>
      <c r="R452" s="141" t="n">
        <f aca="false">C452*(Estacas!Q452+Estacas!Q453)/2</f>
        <v>0</v>
      </c>
      <c r="S452" s="141" t="n">
        <f aca="false">IF(LEFT(E452,3)="T09",C452*Parâmetros!$D$13*Parâmetros!$C$13,0)</f>
        <v>0</v>
      </c>
    </row>
    <row r="453" customFormat="false" ht="15" hidden="false" customHeight="false" outlineLevel="0" collapsed="false">
      <c r="A453" s="138" t="str">
        <f aca="false">Estacas!A453</f>
        <v>450+0,00</v>
      </c>
      <c r="B453" s="138" t="str">
        <f aca="false">Estacas!A454</f>
        <v>451+0,00</v>
      </c>
      <c r="C453" s="144" t="n">
        <f aca="false">Estacas!C454-Estacas!C453</f>
        <v>20</v>
      </c>
      <c r="D453" s="138" t="s">
        <v>1580</v>
      </c>
      <c r="E453" s="138" t="s">
        <v>1566</v>
      </c>
      <c r="F453" s="141" t="n">
        <f aca="false">Estacas!F453</f>
        <v>11.6</v>
      </c>
      <c r="G453" s="141" t="n">
        <f aca="false">Estacas!F454</f>
        <v>11.6</v>
      </c>
      <c r="H453" s="141" t="n">
        <f aca="false">C453*(Estacas!K453+Estacas!K454)/2</f>
        <v>11.65</v>
      </c>
      <c r="I453" s="141" t="n">
        <f aca="false">H453*Parâmetros!$C$14</f>
        <v>27.96</v>
      </c>
      <c r="J453" s="141" t="n">
        <f aca="false">C453*(Estacas!L453+Estacas!L454)/2</f>
        <v>38.272</v>
      </c>
      <c r="K453" s="141" t="n">
        <f aca="false">C453*(Estacas!M453+Estacas!M454)/2</f>
        <v>50.08</v>
      </c>
      <c r="L453" s="141" t="n">
        <f aca="false">C453*(Estacas!N453+Estacas!N454)/2</f>
        <v>79.32</v>
      </c>
      <c r="M453" s="141" t="n">
        <f aca="false">C453*(Estacas!O453+Estacas!O454)/2</f>
        <v>236</v>
      </c>
      <c r="N453" s="141" t="n">
        <f aca="false">C453*(Estacas!O453+Estacas!O454)/2</f>
        <v>236</v>
      </c>
      <c r="O453" s="141" t="n">
        <f aca="false">C453*(Estacas!P453+Estacas!P454)/2</f>
        <v>270.4</v>
      </c>
      <c r="P453" s="141" t="n">
        <f aca="false">R453*Parâmetros!$C$11</f>
        <v>0</v>
      </c>
      <c r="Q453" s="141" t="n">
        <f aca="false">R453*Parâmetros!$C$12</f>
        <v>0</v>
      </c>
      <c r="R453" s="141" t="n">
        <f aca="false">C453*(Estacas!Q453+Estacas!Q454)/2</f>
        <v>0</v>
      </c>
      <c r="S453" s="141" t="n">
        <f aca="false">IF(LEFT(E453,3)="T09",C453*Parâmetros!$D$13*Parâmetros!$C$13,0)</f>
        <v>0</v>
      </c>
    </row>
    <row r="454" customFormat="false" ht="15" hidden="false" customHeight="false" outlineLevel="0" collapsed="false">
      <c r="A454" s="138" t="str">
        <f aca="false">Estacas!A454</f>
        <v>451+0,00</v>
      </c>
      <c r="B454" s="138" t="str">
        <f aca="false">Estacas!A455</f>
        <v>452+0,00</v>
      </c>
      <c r="C454" s="144" t="n">
        <f aca="false">Estacas!C455-Estacas!C454</f>
        <v>20</v>
      </c>
      <c r="D454" s="138" t="s">
        <v>1580</v>
      </c>
      <c r="E454" s="138" t="s">
        <v>1566</v>
      </c>
      <c r="F454" s="141" t="n">
        <f aca="false">Estacas!F454</f>
        <v>11.6</v>
      </c>
      <c r="G454" s="141" t="n">
        <f aca="false">Estacas!F455</f>
        <v>11.6</v>
      </c>
      <c r="H454" s="141" t="n">
        <f aca="false">C454*(Estacas!K454+Estacas!K455)/2</f>
        <v>11.65</v>
      </c>
      <c r="I454" s="141" t="n">
        <f aca="false">H454*Parâmetros!$C$14</f>
        <v>27.96</v>
      </c>
      <c r="J454" s="141" t="n">
        <f aca="false">C454*(Estacas!L454+Estacas!L455)/2</f>
        <v>38.272</v>
      </c>
      <c r="K454" s="141" t="n">
        <f aca="false">C454*(Estacas!M454+Estacas!M455)/2</f>
        <v>50.08</v>
      </c>
      <c r="L454" s="141" t="n">
        <f aca="false">C454*(Estacas!N454+Estacas!N455)/2</f>
        <v>79.32</v>
      </c>
      <c r="M454" s="141" t="n">
        <f aca="false">C454*(Estacas!O454+Estacas!O455)/2</f>
        <v>236</v>
      </c>
      <c r="N454" s="141" t="n">
        <f aca="false">C454*(Estacas!O454+Estacas!O455)/2</f>
        <v>236</v>
      </c>
      <c r="O454" s="141" t="n">
        <f aca="false">C454*(Estacas!P454+Estacas!P455)/2</f>
        <v>270.4</v>
      </c>
      <c r="P454" s="141" t="n">
        <f aca="false">R454*Parâmetros!$C$11</f>
        <v>0</v>
      </c>
      <c r="Q454" s="141" t="n">
        <f aca="false">R454*Parâmetros!$C$12</f>
        <v>0</v>
      </c>
      <c r="R454" s="141" t="n">
        <f aca="false">C454*(Estacas!Q454+Estacas!Q455)/2</f>
        <v>0</v>
      </c>
      <c r="S454" s="141" t="n">
        <f aca="false">IF(LEFT(E454,3)="T09",C454*Parâmetros!$D$13*Parâmetros!$C$13,0)</f>
        <v>0</v>
      </c>
    </row>
    <row r="455" customFormat="false" ht="15" hidden="false" customHeight="false" outlineLevel="0" collapsed="false">
      <c r="A455" s="138" t="str">
        <f aca="false">Estacas!A455</f>
        <v>452+0,00</v>
      </c>
      <c r="B455" s="138" t="str">
        <f aca="false">Estacas!A456</f>
        <v>453+0,00</v>
      </c>
      <c r="C455" s="144" t="n">
        <f aca="false">Estacas!C456-Estacas!C455</f>
        <v>20</v>
      </c>
      <c r="D455" s="138" t="s">
        <v>1580</v>
      </c>
      <c r="E455" s="138" t="s">
        <v>1566</v>
      </c>
      <c r="F455" s="141" t="n">
        <f aca="false">Estacas!F455</f>
        <v>11.6</v>
      </c>
      <c r="G455" s="141" t="n">
        <f aca="false">Estacas!F456</f>
        <v>11.6</v>
      </c>
      <c r="H455" s="141" t="n">
        <f aca="false">C455*(Estacas!K455+Estacas!K456)/2</f>
        <v>11.65</v>
      </c>
      <c r="I455" s="141" t="n">
        <f aca="false">H455*Parâmetros!$C$14</f>
        <v>27.96</v>
      </c>
      <c r="J455" s="141" t="n">
        <f aca="false">C455*(Estacas!L455+Estacas!L456)/2</f>
        <v>38.272</v>
      </c>
      <c r="K455" s="141" t="n">
        <f aca="false">C455*(Estacas!M455+Estacas!M456)/2</f>
        <v>50.08</v>
      </c>
      <c r="L455" s="141" t="n">
        <f aca="false">C455*(Estacas!N455+Estacas!N456)/2</f>
        <v>79.32</v>
      </c>
      <c r="M455" s="141" t="n">
        <f aca="false">C455*(Estacas!O455+Estacas!O456)/2</f>
        <v>236</v>
      </c>
      <c r="N455" s="141" t="n">
        <f aca="false">C455*(Estacas!O455+Estacas!O456)/2</f>
        <v>236</v>
      </c>
      <c r="O455" s="141" t="n">
        <f aca="false">C455*(Estacas!P455+Estacas!P456)/2</f>
        <v>270.4</v>
      </c>
      <c r="P455" s="141" t="n">
        <f aca="false">R455*Parâmetros!$C$11</f>
        <v>0</v>
      </c>
      <c r="Q455" s="141" t="n">
        <f aca="false">R455*Parâmetros!$C$12</f>
        <v>0</v>
      </c>
      <c r="R455" s="141" t="n">
        <f aca="false">C455*(Estacas!Q455+Estacas!Q456)/2</f>
        <v>0</v>
      </c>
      <c r="S455" s="141" t="n">
        <f aca="false">IF(LEFT(E455,3)="T09",C455*Parâmetros!$D$13*Parâmetros!$C$13,0)</f>
        <v>0</v>
      </c>
    </row>
    <row r="456" customFormat="false" ht="15" hidden="false" customHeight="false" outlineLevel="0" collapsed="false">
      <c r="A456" s="138" t="str">
        <f aca="false">Estacas!A456</f>
        <v>453+0,00</v>
      </c>
      <c r="B456" s="138" t="str">
        <f aca="false">Estacas!A457</f>
        <v>454+0,00</v>
      </c>
      <c r="C456" s="144" t="n">
        <f aca="false">Estacas!C457-Estacas!C456</f>
        <v>20</v>
      </c>
      <c r="D456" s="138" t="s">
        <v>1580</v>
      </c>
      <c r="E456" s="138" t="s">
        <v>1566</v>
      </c>
      <c r="F456" s="141" t="n">
        <f aca="false">Estacas!F456</f>
        <v>11.6</v>
      </c>
      <c r="G456" s="141" t="n">
        <f aca="false">Estacas!F457</f>
        <v>11.6</v>
      </c>
      <c r="H456" s="141" t="n">
        <f aca="false">C456*(Estacas!K456+Estacas!K457)/2</f>
        <v>11.65</v>
      </c>
      <c r="I456" s="141" t="n">
        <f aca="false">H456*Parâmetros!$C$14</f>
        <v>27.96</v>
      </c>
      <c r="J456" s="141" t="n">
        <f aca="false">C456*(Estacas!L456+Estacas!L457)/2</f>
        <v>38.272</v>
      </c>
      <c r="K456" s="141" t="n">
        <f aca="false">C456*(Estacas!M456+Estacas!M457)/2</f>
        <v>50.08</v>
      </c>
      <c r="L456" s="141" t="n">
        <f aca="false">C456*(Estacas!N456+Estacas!N457)/2</f>
        <v>79.32</v>
      </c>
      <c r="M456" s="141" t="n">
        <f aca="false">C456*(Estacas!O456+Estacas!O457)/2</f>
        <v>236</v>
      </c>
      <c r="N456" s="141" t="n">
        <f aca="false">C456*(Estacas!O456+Estacas!O457)/2</f>
        <v>236</v>
      </c>
      <c r="O456" s="141" t="n">
        <f aca="false">C456*(Estacas!P456+Estacas!P457)/2</f>
        <v>270.4</v>
      </c>
      <c r="P456" s="141" t="n">
        <f aca="false">R456*Parâmetros!$C$11</f>
        <v>0</v>
      </c>
      <c r="Q456" s="141" t="n">
        <f aca="false">R456*Parâmetros!$C$12</f>
        <v>0</v>
      </c>
      <c r="R456" s="141" t="n">
        <f aca="false">C456*(Estacas!Q456+Estacas!Q457)/2</f>
        <v>0</v>
      </c>
      <c r="S456" s="141" t="n">
        <f aca="false">IF(LEFT(E456,3)="T09",C456*Parâmetros!$D$13*Parâmetros!$C$13,0)</f>
        <v>0</v>
      </c>
    </row>
    <row r="457" customFormat="false" ht="15" hidden="false" customHeight="false" outlineLevel="0" collapsed="false">
      <c r="A457" s="138" t="str">
        <f aca="false">Estacas!A457</f>
        <v>454+0,00</v>
      </c>
      <c r="B457" s="138" t="str">
        <f aca="false">Estacas!A458</f>
        <v>455+0,00</v>
      </c>
      <c r="C457" s="144" t="n">
        <f aca="false">Estacas!C458-Estacas!C457</f>
        <v>20</v>
      </c>
      <c r="D457" s="138" t="s">
        <v>1580</v>
      </c>
      <c r="E457" s="138" t="s">
        <v>1566</v>
      </c>
      <c r="F457" s="141" t="n">
        <f aca="false">Estacas!F457</f>
        <v>11.6</v>
      </c>
      <c r="G457" s="141" t="n">
        <f aca="false">Estacas!F458</f>
        <v>11.6</v>
      </c>
      <c r="H457" s="141" t="n">
        <f aca="false">C457*(Estacas!K457+Estacas!K458)/2</f>
        <v>11.65</v>
      </c>
      <c r="I457" s="141" t="n">
        <f aca="false">H457*Parâmetros!$C$14</f>
        <v>27.96</v>
      </c>
      <c r="J457" s="141" t="n">
        <f aca="false">C457*(Estacas!L457+Estacas!L458)/2</f>
        <v>38.272</v>
      </c>
      <c r="K457" s="141" t="n">
        <f aca="false">C457*(Estacas!M457+Estacas!M458)/2</f>
        <v>50.08</v>
      </c>
      <c r="L457" s="141" t="n">
        <f aca="false">C457*(Estacas!N457+Estacas!N458)/2</f>
        <v>79.32</v>
      </c>
      <c r="M457" s="141" t="n">
        <f aca="false">C457*(Estacas!O457+Estacas!O458)/2</f>
        <v>236</v>
      </c>
      <c r="N457" s="141" t="n">
        <f aca="false">C457*(Estacas!O457+Estacas!O458)/2</f>
        <v>236</v>
      </c>
      <c r="O457" s="141" t="n">
        <f aca="false">C457*(Estacas!P457+Estacas!P458)/2</f>
        <v>270.4</v>
      </c>
      <c r="P457" s="141" t="n">
        <f aca="false">R457*Parâmetros!$C$11</f>
        <v>0</v>
      </c>
      <c r="Q457" s="141" t="n">
        <f aca="false">R457*Parâmetros!$C$12</f>
        <v>0</v>
      </c>
      <c r="R457" s="141" t="n">
        <f aca="false">C457*(Estacas!Q457+Estacas!Q458)/2</f>
        <v>0</v>
      </c>
      <c r="S457" s="141" t="n">
        <f aca="false">IF(LEFT(E457,3)="T09",C457*Parâmetros!$D$13*Parâmetros!$C$13,0)</f>
        <v>0</v>
      </c>
    </row>
    <row r="458" customFormat="false" ht="15" hidden="false" customHeight="false" outlineLevel="0" collapsed="false">
      <c r="A458" s="138" t="str">
        <f aca="false">Estacas!A458</f>
        <v>455+0,00</v>
      </c>
      <c r="B458" s="138" t="str">
        <f aca="false">Estacas!A459</f>
        <v>456+0,00</v>
      </c>
      <c r="C458" s="144" t="n">
        <f aca="false">Estacas!C459-Estacas!C458</f>
        <v>20</v>
      </c>
      <c r="D458" s="138" t="s">
        <v>1580</v>
      </c>
      <c r="E458" s="138" t="s">
        <v>1566</v>
      </c>
      <c r="F458" s="141" t="n">
        <f aca="false">Estacas!F458</f>
        <v>11.6</v>
      </c>
      <c r="G458" s="141" t="n">
        <f aca="false">Estacas!F459</f>
        <v>11.6</v>
      </c>
      <c r="H458" s="141" t="n">
        <f aca="false">C458*(Estacas!K458+Estacas!K459)/2</f>
        <v>11.65</v>
      </c>
      <c r="I458" s="141" t="n">
        <f aca="false">H458*Parâmetros!$C$14</f>
        <v>27.96</v>
      </c>
      <c r="J458" s="141" t="n">
        <f aca="false">C458*(Estacas!L458+Estacas!L459)/2</f>
        <v>38.272</v>
      </c>
      <c r="K458" s="141" t="n">
        <f aca="false">C458*(Estacas!M458+Estacas!M459)/2</f>
        <v>50.08</v>
      </c>
      <c r="L458" s="141" t="n">
        <f aca="false">C458*(Estacas!N458+Estacas!N459)/2</f>
        <v>79.32</v>
      </c>
      <c r="M458" s="141" t="n">
        <f aca="false">C458*(Estacas!O458+Estacas!O459)/2</f>
        <v>236</v>
      </c>
      <c r="N458" s="141" t="n">
        <f aca="false">C458*(Estacas!O458+Estacas!O459)/2</f>
        <v>236</v>
      </c>
      <c r="O458" s="141" t="n">
        <f aca="false">C458*(Estacas!P458+Estacas!P459)/2</f>
        <v>270.4</v>
      </c>
      <c r="P458" s="141" t="n">
        <f aca="false">R458*Parâmetros!$C$11</f>
        <v>0</v>
      </c>
      <c r="Q458" s="141" t="n">
        <f aca="false">R458*Parâmetros!$C$12</f>
        <v>0</v>
      </c>
      <c r="R458" s="141" t="n">
        <f aca="false">C458*(Estacas!Q458+Estacas!Q459)/2</f>
        <v>0</v>
      </c>
      <c r="S458" s="141" t="n">
        <f aca="false">IF(LEFT(E458,3)="T09",C458*Parâmetros!$D$13*Parâmetros!$C$13,0)</f>
        <v>0</v>
      </c>
    </row>
    <row r="459" customFormat="false" ht="15" hidden="false" customHeight="false" outlineLevel="0" collapsed="false">
      <c r="A459" s="138" t="str">
        <f aca="false">Estacas!A459</f>
        <v>456+0,00</v>
      </c>
      <c r="B459" s="138" t="str">
        <f aca="false">Estacas!A460</f>
        <v>457+0,00</v>
      </c>
      <c r="C459" s="144" t="n">
        <f aca="false">Estacas!C460-Estacas!C459</f>
        <v>20</v>
      </c>
      <c r="D459" s="138" t="s">
        <v>1580</v>
      </c>
      <c r="E459" s="138" t="s">
        <v>1566</v>
      </c>
      <c r="F459" s="141" t="n">
        <f aca="false">Estacas!F459</f>
        <v>11.6</v>
      </c>
      <c r="G459" s="141" t="n">
        <f aca="false">Estacas!F460</f>
        <v>11.6</v>
      </c>
      <c r="H459" s="141" t="n">
        <f aca="false">C459*(Estacas!K459+Estacas!K460)/2</f>
        <v>11.65</v>
      </c>
      <c r="I459" s="141" t="n">
        <f aca="false">H459*Parâmetros!$C$14</f>
        <v>27.96</v>
      </c>
      <c r="J459" s="141" t="n">
        <f aca="false">C459*(Estacas!L459+Estacas!L460)/2</f>
        <v>38.272</v>
      </c>
      <c r="K459" s="141" t="n">
        <f aca="false">C459*(Estacas!M459+Estacas!M460)/2</f>
        <v>50.08</v>
      </c>
      <c r="L459" s="141" t="n">
        <f aca="false">C459*(Estacas!N459+Estacas!N460)/2</f>
        <v>79.32</v>
      </c>
      <c r="M459" s="141" t="n">
        <f aca="false">C459*(Estacas!O459+Estacas!O460)/2</f>
        <v>236</v>
      </c>
      <c r="N459" s="141" t="n">
        <f aca="false">C459*(Estacas!O459+Estacas!O460)/2</f>
        <v>236</v>
      </c>
      <c r="O459" s="141" t="n">
        <f aca="false">C459*(Estacas!P459+Estacas!P460)/2</f>
        <v>270.4</v>
      </c>
      <c r="P459" s="141" t="n">
        <f aca="false">R459*Parâmetros!$C$11</f>
        <v>0</v>
      </c>
      <c r="Q459" s="141" t="n">
        <f aca="false">R459*Parâmetros!$C$12</f>
        <v>0</v>
      </c>
      <c r="R459" s="141" t="n">
        <f aca="false">C459*(Estacas!Q459+Estacas!Q460)/2</f>
        <v>0</v>
      </c>
      <c r="S459" s="141" t="n">
        <f aca="false">IF(LEFT(E459,3)="T09",C459*Parâmetros!$D$13*Parâmetros!$C$13,0)</f>
        <v>0</v>
      </c>
    </row>
    <row r="460" customFormat="false" ht="15" hidden="false" customHeight="false" outlineLevel="0" collapsed="false">
      <c r="A460" s="138" t="str">
        <f aca="false">Estacas!A460</f>
        <v>457+0,00</v>
      </c>
      <c r="B460" s="138" t="str">
        <f aca="false">Estacas!A461</f>
        <v>458+0,00</v>
      </c>
      <c r="C460" s="144" t="n">
        <f aca="false">Estacas!C461-Estacas!C460</f>
        <v>20</v>
      </c>
      <c r="D460" s="138" t="s">
        <v>1580</v>
      </c>
      <c r="E460" s="138" t="s">
        <v>1566</v>
      </c>
      <c r="F460" s="141" t="n">
        <f aca="false">Estacas!F460</f>
        <v>11.6</v>
      </c>
      <c r="G460" s="141" t="n">
        <f aca="false">Estacas!F461</f>
        <v>11.6</v>
      </c>
      <c r="H460" s="141" t="n">
        <f aca="false">C460*(Estacas!K460+Estacas!K461)/2</f>
        <v>11.65</v>
      </c>
      <c r="I460" s="141" t="n">
        <f aca="false">H460*Parâmetros!$C$14</f>
        <v>27.96</v>
      </c>
      <c r="J460" s="141" t="n">
        <f aca="false">C460*(Estacas!L460+Estacas!L461)/2</f>
        <v>38.272</v>
      </c>
      <c r="K460" s="141" t="n">
        <f aca="false">C460*(Estacas!M460+Estacas!M461)/2</f>
        <v>50.08</v>
      </c>
      <c r="L460" s="141" t="n">
        <f aca="false">C460*(Estacas!N460+Estacas!N461)/2</f>
        <v>79.32</v>
      </c>
      <c r="M460" s="141" t="n">
        <f aca="false">C460*(Estacas!O460+Estacas!O461)/2</f>
        <v>236</v>
      </c>
      <c r="N460" s="141" t="n">
        <f aca="false">C460*(Estacas!O460+Estacas!O461)/2</f>
        <v>236</v>
      </c>
      <c r="O460" s="141" t="n">
        <f aca="false">C460*(Estacas!P460+Estacas!P461)/2</f>
        <v>270.4</v>
      </c>
      <c r="P460" s="141" t="n">
        <f aca="false">R460*Parâmetros!$C$11</f>
        <v>0</v>
      </c>
      <c r="Q460" s="141" t="n">
        <f aca="false">R460*Parâmetros!$C$12</f>
        <v>0</v>
      </c>
      <c r="R460" s="141" t="n">
        <f aca="false">C460*(Estacas!Q460+Estacas!Q461)/2</f>
        <v>0</v>
      </c>
      <c r="S460" s="141" t="n">
        <f aca="false">IF(LEFT(E460,3)="T09",C460*Parâmetros!$D$13*Parâmetros!$C$13,0)</f>
        <v>0</v>
      </c>
    </row>
    <row r="461" customFormat="false" ht="15" hidden="false" customHeight="false" outlineLevel="0" collapsed="false">
      <c r="A461" s="138" t="str">
        <f aca="false">Estacas!A461</f>
        <v>458+0,00</v>
      </c>
      <c r="B461" s="138" t="str">
        <f aca="false">Estacas!A462</f>
        <v>459+0,00</v>
      </c>
      <c r="C461" s="144" t="n">
        <f aca="false">Estacas!C462-Estacas!C461</f>
        <v>20</v>
      </c>
      <c r="D461" s="138" t="s">
        <v>1580</v>
      </c>
      <c r="E461" s="138" t="s">
        <v>1566</v>
      </c>
      <c r="F461" s="141" t="n">
        <f aca="false">Estacas!F461</f>
        <v>11.6</v>
      </c>
      <c r="G461" s="141" t="n">
        <f aca="false">Estacas!F462</f>
        <v>11.6</v>
      </c>
      <c r="H461" s="141" t="n">
        <f aca="false">C461*(Estacas!K461+Estacas!K462)/2</f>
        <v>11.65</v>
      </c>
      <c r="I461" s="141" t="n">
        <f aca="false">H461*Parâmetros!$C$14</f>
        <v>27.96</v>
      </c>
      <c r="J461" s="141" t="n">
        <f aca="false">C461*(Estacas!L461+Estacas!L462)/2</f>
        <v>38.272</v>
      </c>
      <c r="K461" s="141" t="n">
        <f aca="false">C461*(Estacas!M461+Estacas!M462)/2</f>
        <v>50.08</v>
      </c>
      <c r="L461" s="141" t="n">
        <f aca="false">C461*(Estacas!N461+Estacas!N462)/2</f>
        <v>79.32</v>
      </c>
      <c r="M461" s="141" t="n">
        <f aca="false">C461*(Estacas!O461+Estacas!O462)/2</f>
        <v>236</v>
      </c>
      <c r="N461" s="141" t="n">
        <f aca="false">C461*(Estacas!O461+Estacas!O462)/2</f>
        <v>236</v>
      </c>
      <c r="O461" s="141" t="n">
        <f aca="false">C461*(Estacas!P461+Estacas!P462)/2</f>
        <v>270.4</v>
      </c>
      <c r="P461" s="141" t="n">
        <f aca="false">R461*Parâmetros!$C$11</f>
        <v>0</v>
      </c>
      <c r="Q461" s="141" t="n">
        <f aca="false">R461*Parâmetros!$C$12</f>
        <v>0</v>
      </c>
      <c r="R461" s="141" t="n">
        <f aca="false">C461*(Estacas!Q461+Estacas!Q462)/2</f>
        <v>0</v>
      </c>
      <c r="S461" s="141" t="n">
        <f aca="false">IF(LEFT(E461,3)="T09",C461*Parâmetros!$D$13*Parâmetros!$C$13,0)</f>
        <v>0</v>
      </c>
    </row>
    <row r="462" customFormat="false" ht="15" hidden="false" customHeight="false" outlineLevel="0" collapsed="false">
      <c r="A462" s="138" t="str">
        <f aca="false">Estacas!A462</f>
        <v>459+0,00</v>
      </c>
      <c r="B462" s="138" t="str">
        <f aca="false">Estacas!A463</f>
        <v>460+0,00</v>
      </c>
      <c r="C462" s="144" t="n">
        <f aca="false">Estacas!C463-Estacas!C462</f>
        <v>20</v>
      </c>
      <c r="D462" s="138" t="s">
        <v>1580</v>
      </c>
      <c r="E462" s="138" t="s">
        <v>1566</v>
      </c>
      <c r="F462" s="141" t="n">
        <f aca="false">Estacas!F462</f>
        <v>11.6</v>
      </c>
      <c r="G462" s="141" t="n">
        <f aca="false">Estacas!F463</f>
        <v>11.6</v>
      </c>
      <c r="H462" s="141" t="n">
        <f aca="false">C462*(Estacas!K462+Estacas!K463)/2</f>
        <v>11.65</v>
      </c>
      <c r="I462" s="141" t="n">
        <f aca="false">H462*Parâmetros!$C$14</f>
        <v>27.96</v>
      </c>
      <c r="J462" s="141" t="n">
        <f aca="false">C462*(Estacas!L462+Estacas!L463)/2</f>
        <v>38.272</v>
      </c>
      <c r="K462" s="141" t="n">
        <f aca="false">C462*(Estacas!M462+Estacas!M463)/2</f>
        <v>50.08</v>
      </c>
      <c r="L462" s="141" t="n">
        <f aca="false">C462*(Estacas!N462+Estacas!N463)/2</f>
        <v>79.32</v>
      </c>
      <c r="M462" s="141" t="n">
        <f aca="false">C462*(Estacas!O462+Estacas!O463)/2</f>
        <v>236</v>
      </c>
      <c r="N462" s="141" t="n">
        <f aca="false">C462*(Estacas!O462+Estacas!O463)/2</f>
        <v>236</v>
      </c>
      <c r="O462" s="141" t="n">
        <f aca="false">C462*(Estacas!P462+Estacas!P463)/2</f>
        <v>270.4</v>
      </c>
      <c r="P462" s="141" t="n">
        <f aca="false">R462*Parâmetros!$C$11</f>
        <v>0</v>
      </c>
      <c r="Q462" s="141" t="n">
        <f aca="false">R462*Parâmetros!$C$12</f>
        <v>0</v>
      </c>
      <c r="R462" s="141" t="n">
        <f aca="false">C462*(Estacas!Q462+Estacas!Q463)/2</f>
        <v>0</v>
      </c>
      <c r="S462" s="141" t="n">
        <f aca="false">IF(LEFT(E462,3)="T09",C462*Parâmetros!$D$13*Parâmetros!$C$13,0)</f>
        <v>0</v>
      </c>
    </row>
    <row r="463" customFormat="false" ht="15" hidden="false" customHeight="false" outlineLevel="0" collapsed="false">
      <c r="A463" s="138" t="str">
        <f aca="false">Estacas!A463</f>
        <v>460+0,00</v>
      </c>
      <c r="B463" s="138" t="str">
        <f aca="false">Estacas!A464</f>
        <v>461+0,00</v>
      </c>
      <c r="C463" s="144" t="n">
        <f aca="false">Estacas!C464-Estacas!C463</f>
        <v>20</v>
      </c>
      <c r="D463" s="138" t="s">
        <v>1580</v>
      </c>
      <c r="E463" s="138" t="s">
        <v>1566</v>
      </c>
      <c r="F463" s="141" t="n">
        <f aca="false">Estacas!F463</f>
        <v>11.6</v>
      </c>
      <c r="G463" s="141" t="n">
        <f aca="false">Estacas!F464</f>
        <v>11.6</v>
      </c>
      <c r="H463" s="141" t="n">
        <f aca="false">C463*(Estacas!K463+Estacas!K464)/2</f>
        <v>11.65</v>
      </c>
      <c r="I463" s="141" t="n">
        <f aca="false">H463*Parâmetros!$C$14</f>
        <v>27.96</v>
      </c>
      <c r="J463" s="141" t="n">
        <f aca="false">C463*(Estacas!L463+Estacas!L464)/2</f>
        <v>38.272</v>
      </c>
      <c r="K463" s="141" t="n">
        <f aca="false">C463*(Estacas!M463+Estacas!M464)/2</f>
        <v>50.08</v>
      </c>
      <c r="L463" s="141" t="n">
        <f aca="false">C463*(Estacas!N463+Estacas!N464)/2</f>
        <v>79.32</v>
      </c>
      <c r="M463" s="141" t="n">
        <f aca="false">C463*(Estacas!O463+Estacas!O464)/2</f>
        <v>236</v>
      </c>
      <c r="N463" s="141" t="n">
        <f aca="false">C463*(Estacas!O463+Estacas!O464)/2</f>
        <v>236</v>
      </c>
      <c r="O463" s="141" t="n">
        <f aca="false">C463*(Estacas!P463+Estacas!P464)/2</f>
        <v>270.4</v>
      </c>
      <c r="P463" s="141" t="n">
        <f aca="false">R463*Parâmetros!$C$11</f>
        <v>0</v>
      </c>
      <c r="Q463" s="141" t="n">
        <f aca="false">R463*Parâmetros!$C$12</f>
        <v>0</v>
      </c>
      <c r="R463" s="141" t="n">
        <f aca="false">C463*(Estacas!Q463+Estacas!Q464)/2</f>
        <v>0</v>
      </c>
      <c r="S463" s="141" t="n">
        <f aca="false">IF(LEFT(E463,3)="T09",C463*Parâmetros!$D$13*Parâmetros!$C$13,0)</f>
        <v>0</v>
      </c>
    </row>
    <row r="464" customFormat="false" ht="15" hidden="false" customHeight="false" outlineLevel="0" collapsed="false">
      <c r="A464" s="138" t="str">
        <f aca="false">Estacas!A464</f>
        <v>461+0,00</v>
      </c>
      <c r="B464" s="138" t="str">
        <f aca="false">Estacas!A465</f>
        <v>462+0,00</v>
      </c>
      <c r="C464" s="144" t="n">
        <f aca="false">Estacas!C465-Estacas!C464</f>
        <v>20</v>
      </c>
      <c r="D464" s="138" t="s">
        <v>1580</v>
      </c>
      <c r="E464" s="138" t="s">
        <v>1566</v>
      </c>
      <c r="F464" s="141" t="n">
        <f aca="false">Estacas!F464</f>
        <v>11.6</v>
      </c>
      <c r="G464" s="141" t="n">
        <f aca="false">Estacas!F465</f>
        <v>11.6</v>
      </c>
      <c r="H464" s="141" t="n">
        <f aca="false">C464*(Estacas!K464+Estacas!K465)/2</f>
        <v>11.65</v>
      </c>
      <c r="I464" s="141" t="n">
        <f aca="false">H464*Parâmetros!$C$14</f>
        <v>27.96</v>
      </c>
      <c r="J464" s="141" t="n">
        <f aca="false">C464*(Estacas!L464+Estacas!L465)/2</f>
        <v>38.272</v>
      </c>
      <c r="K464" s="141" t="n">
        <f aca="false">C464*(Estacas!M464+Estacas!M465)/2</f>
        <v>50.08</v>
      </c>
      <c r="L464" s="141" t="n">
        <f aca="false">C464*(Estacas!N464+Estacas!N465)/2</f>
        <v>79.32</v>
      </c>
      <c r="M464" s="141" t="n">
        <f aca="false">C464*(Estacas!O464+Estacas!O465)/2</f>
        <v>236</v>
      </c>
      <c r="N464" s="141" t="n">
        <f aca="false">C464*(Estacas!O464+Estacas!O465)/2</f>
        <v>236</v>
      </c>
      <c r="O464" s="141" t="n">
        <f aca="false">C464*(Estacas!P464+Estacas!P465)/2</f>
        <v>270.4</v>
      </c>
      <c r="P464" s="141" t="n">
        <f aca="false">R464*Parâmetros!$C$11</f>
        <v>0</v>
      </c>
      <c r="Q464" s="141" t="n">
        <f aca="false">R464*Parâmetros!$C$12</f>
        <v>0</v>
      </c>
      <c r="R464" s="141" t="n">
        <f aca="false">C464*(Estacas!Q464+Estacas!Q465)/2</f>
        <v>0</v>
      </c>
      <c r="S464" s="141" t="n">
        <f aca="false">IF(LEFT(E464,3)="T09",C464*Parâmetros!$D$13*Parâmetros!$C$13,0)</f>
        <v>0</v>
      </c>
    </row>
    <row r="465" customFormat="false" ht="15" hidden="false" customHeight="false" outlineLevel="0" collapsed="false">
      <c r="A465" s="138" t="str">
        <f aca="false">Estacas!A465</f>
        <v>462+0,00</v>
      </c>
      <c r="B465" s="138" t="str">
        <f aca="false">Estacas!A466</f>
        <v>463+0,00</v>
      </c>
      <c r="C465" s="144" t="n">
        <f aca="false">Estacas!C466-Estacas!C465</f>
        <v>20</v>
      </c>
      <c r="D465" s="138" t="s">
        <v>1580</v>
      </c>
      <c r="E465" s="138" t="s">
        <v>1566</v>
      </c>
      <c r="F465" s="141" t="n">
        <f aca="false">Estacas!F465</f>
        <v>11.6</v>
      </c>
      <c r="G465" s="141" t="n">
        <f aca="false">Estacas!F466</f>
        <v>11.6</v>
      </c>
      <c r="H465" s="141" t="n">
        <f aca="false">C465*(Estacas!K465+Estacas!K466)/2</f>
        <v>11.65</v>
      </c>
      <c r="I465" s="141" t="n">
        <f aca="false">H465*Parâmetros!$C$14</f>
        <v>27.96</v>
      </c>
      <c r="J465" s="141" t="n">
        <f aca="false">C465*(Estacas!L465+Estacas!L466)/2</f>
        <v>38.272</v>
      </c>
      <c r="K465" s="141" t="n">
        <f aca="false">C465*(Estacas!M465+Estacas!M466)/2</f>
        <v>50.08</v>
      </c>
      <c r="L465" s="141" t="n">
        <f aca="false">C465*(Estacas!N465+Estacas!N466)/2</f>
        <v>79.32</v>
      </c>
      <c r="M465" s="141" t="n">
        <f aca="false">C465*(Estacas!O465+Estacas!O466)/2</f>
        <v>236</v>
      </c>
      <c r="N465" s="141" t="n">
        <f aca="false">C465*(Estacas!O465+Estacas!O466)/2</f>
        <v>236</v>
      </c>
      <c r="O465" s="141" t="n">
        <f aca="false">C465*(Estacas!P465+Estacas!P466)/2</f>
        <v>270.4</v>
      </c>
      <c r="P465" s="141" t="n">
        <f aca="false">R465*Parâmetros!$C$11</f>
        <v>0</v>
      </c>
      <c r="Q465" s="141" t="n">
        <f aca="false">R465*Parâmetros!$C$12</f>
        <v>0</v>
      </c>
      <c r="R465" s="141" t="n">
        <f aca="false">C465*(Estacas!Q465+Estacas!Q466)/2</f>
        <v>0</v>
      </c>
      <c r="S465" s="141" t="n">
        <f aca="false">IF(LEFT(E465,3)="T09",C465*Parâmetros!$D$13*Parâmetros!$C$13,0)</f>
        <v>0</v>
      </c>
    </row>
    <row r="466" customFormat="false" ht="15" hidden="false" customHeight="false" outlineLevel="0" collapsed="false">
      <c r="A466" s="138" t="str">
        <f aca="false">Estacas!A466</f>
        <v>463+0,00</v>
      </c>
      <c r="B466" s="138" t="str">
        <f aca="false">Estacas!A467</f>
        <v>464+0,00</v>
      </c>
      <c r="C466" s="144" t="n">
        <f aca="false">Estacas!C467-Estacas!C466</f>
        <v>20</v>
      </c>
      <c r="D466" s="138" t="s">
        <v>1580</v>
      </c>
      <c r="E466" s="138" t="s">
        <v>1566</v>
      </c>
      <c r="F466" s="141" t="n">
        <f aca="false">Estacas!F466</f>
        <v>11.6</v>
      </c>
      <c r="G466" s="141" t="n">
        <f aca="false">Estacas!F467</f>
        <v>11.6</v>
      </c>
      <c r="H466" s="141" t="n">
        <f aca="false">C466*(Estacas!K466+Estacas!K467)/2</f>
        <v>11.65</v>
      </c>
      <c r="I466" s="141" t="n">
        <f aca="false">H466*Parâmetros!$C$14</f>
        <v>27.96</v>
      </c>
      <c r="J466" s="141" t="n">
        <f aca="false">C466*(Estacas!L466+Estacas!L467)/2</f>
        <v>38.272</v>
      </c>
      <c r="K466" s="141" t="n">
        <f aca="false">C466*(Estacas!M466+Estacas!M467)/2</f>
        <v>50.08</v>
      </c>
      <c r="L466" s="141" t="n">
        <f aca="false">C466*(Estacas!N466+Estacas!N467)/2</f>
        <v>79.32</v>
      </c>
      <c r="M466" s="141" t="n">
        <f aca="false">C466*(Estacas!O466+Estacas!O467)/2</f>
        <v>236</v>
      </c>
      <c r="N466" s="141" t="n">
        <f aca="false">C466*(Estacas!O466+Estacas!O467)/2</f>
        <v>236</v>
      </c>
      <c r="O466" s="141" t="n">
        <f aca="false">C466*(Estacas!P466+Estacas!P467)/2</f>
        <v>270.4</v>
      </c>
      <c r="P466" s="141" t="n">
        <f aca="false">R466*Parâmetros!$C$11</f>
        <v>0</v>
      </c>
      <c r="Q466" s="141" t="n">
        <f aca="false">R466*Parâmetros!$C$12</f>
        <v>0</v>
      </c>
      <c r="R466" s="141" t="n">
        <f aca="false">C466*(Estacas!Q466+Estacas!Q467)/2</f>
        <v>0</v>
      </c>
      <c r="S466" s="141" t="n">
        <f aca="false">IF(LEFT(E466,3)="T09",C466*Parâmetros!$D$13*Parâmetros!$C$13,0)</f>
        <v>0</v>
      </c>
    </row>
    <row r="467" customFormat="false" ht="15" hidden="false" customHeight="false" outlineLevel="0" collapsed="false">
      <c r="A467" s="138" t="str">
        <f aca="false">Estacas!A467</f>
        <v>464+0,00</v>
      </c>
      <c r="B467" s="138" t="str">
        <f aca="false">Estacas!A468</f>
        <v>465+0,00</v>
      </c>
      <c r="C467" s="144" t="n">
        <f aca="false">Estacas!C468-Estacas!C467</f>
        <v>20</v>
      </c>
      <c r="D467" s="138" t="s">
        <v>1580</v>
      </c>
      <c r="E467" s="138" t="s">
        <v>1566</v>
      </c>
      <c r="F467" s="141" t="n">
        <f aca="false">Estacas!F467</f>
        <v>11.6</v>
      </c>
      <c r="G467" s="141" t="n">
        <f aca="false">Estacas!F468</f>
        <v>11.6</v>
      </c>
      <c r="H467" s="141" t="n">
        <f aca="false">C467*(Estacas!K467+Estacas!K468)/2</f>
        <v>11.65</v>
      </c>
      <c r="I467" s="141" t="n">
        <f aca="false">H467*Parâmetros!$C$14</f>
        <v>27.96</v>
      </c>
      <c r="J467" s="141" t="n">
        <f aca="false">C467*(Estacas!L467+Estacas!L468)/2</f>
        <v>38.272</v>
      </c>
      <c r="K467" s="141" t="n">
        <f aca="false">C467*(Estacas!M467+Estacas!M468)/2</f>
        <v>50.08</v>
      </c>
      <c r="L467" s="141" t="n">
        <f aca="false">C467*(Estacas!N467+Estacas!N468)/2</f>
        <v>79.32</v>
      </c>
      <c r="M467" s="141" t="n">
        <f aca="false">C467*(Estacas!O467+Estacas!O468)/2</f>
        <v>236</v>
      </c>
      <c r="N467" s="141" t="n">
        <f aca="false">C467*(Estacas!O467+Estacas!O468)/2</f>
        <v>236</v>
      </c>
      <c r="O467" s="141" t="n">
        <f aca="false">C467*(Estacas!P467+Estacas!P468)/2</f>
        <v>270.4</v>
      </c>
      <c r="P467" s="141" t="n">
        <f aca="false">R467*Parâmetros!$C$11</f>
        <v>0</v>
      </c>
      <c r="Q467" s="141" t="n">
        <f aca="false">R467*Parâmetros!$C$12</f>
        <v>0</v>
      </c>
      <c r="R467" s="141" t="n">
        <f aca="false">C467*(Estacas!Q467+Estacas!Q468)/2</f>
        <v>0</v>
      </c>
      <c r="S467" s="141" t="n">
        <f aca="false">IF(LEFT(E467,3)="T09",C467*Parâmetros!$D$13*Parâmetros!$C$13,0)</f>
        <v>0</v>
      </c>
    </row>
    <row r="468" customFormat="false" ht="15" hidden="false" customHeight="false" outlineLevel="0" collapsed="false">
      <c r="A468" s="138" t="str">
        <f aca="false">Estacas!A468</f>
        <v>465+0,00</v>
      </c>
      <c r="B468" s="138" t="str">
        <f aca="false">Estacas!A469</f>
        <v>466+0,00</v>
      </c>
      <c r="C468" s="144" t="n">
        <f aca="false">Estacas!C469-Estacas!C468</f>
        <v>20</v>
      </c>
      <c r="D468" s="138" t="s">
        <v>1580</v>
      </c>
      <c r="E468" s="138" t="s">
        <v>1566</v>
      </c>
      <c r="F468" s="141" t="n">
        <f aca="false">Estacas!F468</f>
        <v>11.6</v>
      </c>
      <c r="G468" s="141" t="n">
        <f aca="false">Estacas!F469</f>
        <v>11.6</v>
      </c>
      <c r="H468" s="141" t="n">
        <f aca="false">C468*(Estacas!K468+Estacas!K469)/2</f>
        <v>11.65</v>
      </c>
      <c r="I468" s="141" t="n">
        <f aca="false">H468*Parâmetros!$C$14</f>
        <v>27.96</v>
      </c>
      <c r="J468" s="141" t="n">
        <f aca="false">C468*(Estacas!L468+Estacas!L469)/2</f>
        <v>38.272</v>
      </c>
      <c r="K468" s="141" t="n">
        <f aca="false">C468*(Estacas!M468+Estacas!M469)/2</f>
        <v>50.08</v>
      </c>
      <c r="L468" s="141" t="n">
        <f aca="false">C468*(Estacas!N468+Estacas!N469)/2</f>
        <v>79.32</v>
      </c>
      <c r="M468" s="141" t="n">
        <f aca="false">C468*(Estacas!O468+Estacas!O469)/2</f>
        <v>236</v>
      </c>
      <c r="N468" s="141" t="n">
        <f aca="false">C468*(Estacas!O468+Estacas!O469)/2</f>
        <v>236</v>
      </c>
      <c r="O468" s="141" t="n">
        <f aca="false">C468*(Estacas!P468+Estacas!P469)/2</f>
        <v>270.4</v>
      </c>
      <c r="P468" s="141" t="n">
        <f aca="false">R468*Parâmetros!$C$11</f>
        <v>0</v>
      </c>
      <c r="Q468" s="141" t="n">
        <f aca="false">R468*Parâmetros!$C$12</f>
        <v>0</v>
      </c>
      <c r="R468" s="141" t="n">
        <f aca="false">C468*(Estacas!Q468+Estacas!Q469)/2</f>
        <v>0</v>
      </c>
      <c r="S468" s="141" t="n">
        <f aca="false">IF(LEFT(E468,3)="T09",C468*Parâmetros!$D$13*Parâmetros!$C$13,0)</f>
        <v>0</v>
      </c>
    </row>
    <row r="469" customFormat="false" ht="15" hidden="false" customHeight="false" outlineLevel="0" collapsed="false">
      <c r="A469" s="138" t="str">
        <f aca="false">Estacas!A469</f>
        <v>466+0,00</v>
      </c>
      <c r="B469" s="138" t="str">
        <f aca="false">Estacas!A470</f>
        <v>467+0,00</v>
      </c>
      <c r="C469" s="144" t="n">
        <f aca="false">Estacas!C470-Estacas!C469</f>
        <v>20</v>
      </c>
      <c r="D469" s="138" t="s">
        <v>1580</v>
      </c>
      <c r="E469" s="138" t="s">
        <v>1566</v>
      </c>
      <c r="F469" s="141" t="n">
        <f aca="false">Estacas!F469</f>
        <v>11.6</v>
      </c>
      <c r="G469" s="141" t="n">
        <f aca="false">Estacas!F470</f>
        <v>11.6</v>
      </c>
      <c r="H469" s="141" t="n">
        <f aca="false">C469*(Estacas!K469+Estacas!K470)/2</f>
        <v>11.65</v>
      </c>
      <c r="I469" s="141" t="n">
        <f aca="false">H469*Parâmetros!$C$14</f>
        <v>27.96</v>
      </c>
      <c r="J469" s="141" t="n">
        <f aca="false">C469*(Estacas!L469+Estacas!L470)/2</f>
        <v>38.272</v>
      </c>
      <c r="K469" s="141" t="n">
        <f aca="false">C469*(Estacas!M469+Estacas!M470)/2</f>
        <v>50.08</v>
      </c>
      <c r="L469" s="141" t="n">
        <f aca="false">C469*(Estacas!N469+Estacas!N470)/2</f>
        <v>79.32</v>
      </c>
      <c r="M469" s="141" t="n">
        <f aca="false">C469*(Estacas!O469+Estacas!O470)/2</f>
        <v>236</v>
      </c>
      <c r="N469" s="141" t="n">
        <f aca="false">C469*(Estacas!O469+Estacas!O470)/2</f>
        <v>236</v>
      </c>
      <c r="O469" s="141" t="n">
        <f aca="false">C469*(Estacas!P469+Estacas!P470)/2</f>
        <v>270.4</v>
      </c>
      <c r="P469" s="141" t="n">
        <f aca="false">R469*Parâmetros!$C$11</f>
        <v>0</v>
      </c>
      <c r="Q469" s="141" t="n">
        <f aca="false">R469*Parâmetros!$C$12</f>
        <v>0</v>
      </c>
      <c r="R469" s="141" t="n">
        <f aca="false">C469*(Estacas!Q469+Estacas!Q470)/2</f>
        <v>0</v>
      </c>
      <c r="S469" s="141" t="n">
        <f aca="false">IF(LEFT(E469,3)="T09",C469*Parâmetros!$D$13*Parâmetros!$C$13,0)</f>
        <v>0</v>
      </c>
    </row>
    <row r="470" customFormat="false" ht="15" hidden="false" customHeight="false" outlineLevel="0" collapsed="false">
      <c r="A470" s="138" t="str">
        <f aca="false">Estacas!A470</f>
        <v>467+0,00</v>
      </c>
      <c r="B470" s="138" t="str">
        <f aca="false">Estacas!A471</f>
        <v>468+0,00</v>
      </c>
      <c r="C470" s="144" t="n">
        <f aca="false">Estacas!C471-Estacas!C470</f>
        <v>20</v>
      </c>
      <c r="D470" s="138" t="s">
        <v>1580</v>
      </c>
      <c r="E470" s="138" t="s">
        <v>1566</v>
      </c>
      <c r="F470" s="141" t="n">
        <f aca="false">Estacas!F470</f>
        <v>11.6</v>
      </c>
      <c r="G470" s="141" t="n">
        <f aca="false">Estacas!F471</f>
        <v>11.6</v>
      </c>
      <c r="H470" s="141" t="n">
        <f aca="false">C470*(Estacas!K470+Estacas!K471)/2</f>
        <v>11.65</v>
      </c>
      <c r="I470" s="141" t="n">
        <f aca="false">H470*Parâmetros!$C$14</f>
        <v>27.96</v>
      </c>
      <c r="J470" s="141" t="n">
        <f aca="false">C470*(Estacas!L470+Estacas!L471)/2</f>
        <v>38.272</v>
      </c>
      <c r="K470" s="141" t="n">
        <f aca="false">C470*(Estacas!M470+Estacas!M471)/2</f>
        <v>50.08</v>
      </c>
      <c r="L470" s="141" t="n">
        <f aca="false">C470*(Estacas!N470+Estacas!N471)/2</f>
        <v>79.32</v>
      </c>
      <c r="M470" s="141" t="n">
        <f aca="false">C470*(Estacas!O470+Estacas!O471)/2</f>
        <v>236</v>
      </c>
      <c r="N470" s="141" t="n">
        <f aca="false">C470*(Estacas!O470+Estacas!O471)/2</f>
        <v>236</v>
      </c>
      <c r="O470" s="141" t="n">
        <f aca="false">C470*(Estacas!P470+Estacas!P471)/2</f>
        <v>270.4</v>
      </c>
      <c r="P470" s="141" t="n">
        <f aca="false">R470*Parâmetros!$C$11</f>
        <v>0</v>
      </c>
      <c r="Q470" s="141" t="n">
        <f aca="false">R470*Parâmetros!$C$12</f>
        <v>0</v>
      </c>
      <c r="R470" s="141" t="n">
        <f aca="false">C470*(Estacas!Q470+Estacas!Q471)/2</f>
        <v>0</v>
      </c>
      <c r="S470" s="141" t="n">
        <f aca="false">IF(LEFT(E470,3)="T09",C470*Parâmetros!$D$13*Parâmetros!$C$13,0)</f>
        <v>0</v>
      </c>
    </row>
    <row r="471" customFormat="false" ht="15" hidden="false" customHeight="false" outlineLevel="0" collapsed="false">
      <c r="A471" s="138" t="str">
        <f aca="false">Estacas!A471</f>
        <v>468+0,00</v>
      </c>
      <c r="B471" s="138" t="str">
        <f aca="false">Estacas!A472</f>
        <v>469+0,00</v>
      </c>
      <c r="C471" s="144" t="n">
        <f aca="false">Estacas!C472-Estacas!C471</f>
        <v>20</v>
      </c>
      <c r="D471" s="138" t="s">
        <v>1580</v>
      </c>
      <c r="E471" s="138" t="s">
        <v>1566</v>
      </c>
      <c r="F471" s="141" t="n">
        <f aca="false">Estacas!F471</f>
        <v>11.6</v>
      </c>
      <c r="G471" s="141" t="n">
        <f aca="false">Estacas!F472</f>
        <v>11.5</v>
      </c>
      <c r="H471" s="141" t="n">
        <f aca="false">C471*(Estacas!K471+Estacas!K472)/2</f>
        <v>11.6</v>
      </c>
      <c r="I471" s="141" t="n">
        <f aca="false">H471*Parâmetros!$C$14</f>
        <v>27.84</v>
      </c>
      <c r="J471" s="141" t="n">
        <f aca="false">C471*(Estacas!L471+Estacas!L472)/2</f>
        <v>38.112</v>
      </c>
      <c r="K471" s="141" t="n">
        <f aca="false">C471*(Estacas!M471+Estacas!M472)/2</f>
        <v>49.88</v>
      </c>
      <c r="L471" s="141" t="n">
        <f aca="false">C471*(Estacas!N471+Estacas!N472)/2</f>
        <v>79.02</v>
      </c>
      <c r="M471" s="141" t="n">
        <f aca="false">C471*(Estacas!O471+Estacas!O472)/2</f>
        <v>235</v>
      </c>
      <c r="N471" s="141" t="n">
        <f aca="false">C471*(Estacas!O471+Estacas!O472)/2</f>
        <v>235</v>
      </c>
      <c r="O471" s="141" t="n">
        <f aca="false">C471*(Estacas!P471+Estacas!P472)/2</f>
        <v>269.4</v>
      </c>
      <c r="P471" s="141" t="n">
        <f aca="false">R471*Parâmetros!$C$11</f>
        <v>0</v>
      </c>
      <c r="Q471" s="141" t="n">
        <f aca="false">R471*Parâmetros!$C$12</f>
        <v>0</v>
      </c>
      <c r="R471" s="141" t="n">
        <f aca="false">C471*(Estacas!Q471+Estacas!Q472)/2</f>
        <v>0</v>
      </c>
      <c r="S471" s="141" t="n">
        <f aca="false">IF(LEFT(E471,3)="T09",C471*Parâmetros!$D$13*Parâmetros!$C$13,0)</f>
        <v>0</v>
      </c>
    </row>
    <row r="472" customFormat="false" ht="15" hidden="false" customHeight="false" outlineLevel="0" collapsed="false">
      <c r="A472" s="138" t="str">
        <f aca="false">Estacas!A472</f>
        <v>469+0,00</v>
      </c>
      <c r="B472" s="138" t="str">
        <f aca="false">Estacas!A473</f>
        <v>470+0,00</v>
      </c>
      <c r="C472" s="144" t="n">
        <f aca="false">Estacas!C473-Estacas!C472</f>
        <v>20</v>
      </c>
      <c r="D472" s="138" t="s">
        <v>1580</v>
      </c>
      <c r="E472" s="138" t="s">
        <v>1566</v>
      </c>
      <c r="F472" s="141" t="n">
        <f aca="false">Estacas!F472</f>
        <v>11.5</v>
      </c>
      <c r="G472" s="141" t="n">
        <f aca="false">Estacas!F473</f>
        <v>12.3</v>
      </c>
      <c r="H472" s="141" t="n">
        <f aca="false">C472*(Estacas!K472+Estacas!K473)/2</f>
        <v>11.95</v>
      </c>
      <c r="I472" s="141" t="n">
        <f aca="false">H472*Parâmetros!$C$14</f>
        <v>28.68</v>
      </c>
      <c r="J472" s="141" t="n">
        <f aca="false">C472*(Estacas!L472+Estacas!L473)/2</f>
        <v>39.232</v>
      </c>
      <c r="K472" s="141" t="n">
        <f aca="false">C472*(Estacas!M472+Estacas!M473)/2</f>
        <v>51.28</v>
      </c>
      <c r="L472" s="141" t="n">
        <f aca="false">C472*(Estacas!N472+Estacas!N473)/2</f>
        <v>81.12</v>
      </c>
      <c r="M472" s="141" t="n">
        <f aca="false">C472*(Estacas!O472+Estacas!O473)/2</f>
        <v>242</v>
      </c>
      <c r="N472" s="141" t="n">
        <f aca="false">C472*(Estacas!O472+Estacas!O473)/2</f>
        <v>242</v>
      </c>
      <c r="O472" s="141" t="n">
        <f aca="false">C472*(Estacas!P472+Estacas!P473)/2</f>
        <v>276.4</v>
      </c>
      <c r="P472" s="141" t="n">
        <f aca="false">R472*Parâmetros!$C$11</f>
        <v>0</v>
      </c>
      <c r="Q472" s="141" t="n">
        <f aca="false">R472*Parâmetros!$C$12</f>
        <v>0</v>
      </c>
      <c r="R472" s="141" t="n">
        <f aca="false">C472*(Estacas!Q472+Estacas!Q473)/2</f>
        <v>0</v>
      </c>
      <c r="S472" s="141" t="n">
        <f aca="false">IF(LEFT(E472,3)="T09",C472*Parâmetros!$D$13*Parâmetros!$C$13,0)</f>
        <v>0</v>
      </c>
    </row>
    <row r="473" customFormat="false" ht="15" hidden="false" customHeight="false" outlineLevel="0" collapsed="false">
      <c r="A473" s="138" t="str">
        <f aca="false">Estacas!A473</f>
        <v>470+0,00</v>
      </c>
      <c r="B473" s="138" t="str">
        <f aca="false">Estacas!A474</f>
        <v>471+0,00</v>
      </c>
      <c r="C473" s="144" t="n">
        <f aca="false">Estacas!C474-Estacas!C473</f>
        <v>20</v>
      </c>
      <c r="D473" s="138" t="s">
        <v>1580</v>
      </c>
      <c r="E473" s="138" t="s">
        <v>1566</v>
      </c>
      <c r="F473" s="141" t="n">
        <f aca="false">Estacas!F473</f>
        <v>12.3</v>
      </c>
      <c r="G473" s="141" t="n">
        <f aca="false">Estacas!F474</f>
        <v>15.4</v>
      </c>
      <c r="H473" s="141" t="n">
        <f aca="false">C473*(Estacas!K473+Estacas!K474)/2</f>
        <v>13.9</v>
      </c>
      <c r="I473" s="141" t="n">
        <f aca="false">H473*Parâmetros!$C$14</f>
        <v>33.36</v>
      </c>
      <c r="J473" s="141" t="n">
        <f aca="false">C473*(Estacas!L473+Estacas!L474)/2</f>
        <v>45.472</v>
      </c>
      <c r="K473" s="141" t="n">
        <f aca="false">C473*(Estacas!M473+Estacas!M474)/2</f>
        <v>59.08</v>
      </c>
      <c r="L473" s="141" t="n">
        <f aca="false">C473*(Estacas!N473+Estacas!N474)/2</f>
        <v>92.82</v>
      </c>
      <c r="M473" s="141" t="n">
        <f aca="false">C473*(Estacas!O473+Estacas!O474)/2</f>
        <v>281</v>
      </c>
      <c r="N473" s="141" t="n">
        <f aca="false">C473*(Estacas!O473+Estacas!O474)/2</f>
        <v>281</v>
      </c>
      <c r="O473" s="141" t="n">
        <f aca="false">C473*(Estacas!P473+Estacas!P474)/2</f>
        <v>315.4</v>
      </c>
      <c r="P473" s="141" t="n">
        <f aca="false">R473*Parâmetros!$C$11</f>
        <v>0</v>
      </c>
      <c r="Q473" s="141" t="n">
        <f aca="false">R473*Parâmetros!$C$12</f>
        <v>0</v>
      </c>
      <c r="R473" s="141" t="n">
        <f aca="false">C473*(Estacas!Q473+Estacas!Q474)/2</f>
        <v>0</v>
      </c>
      <c r="S473" s="141" t="n">
        <f aca="false">IF(LEFT(E473,3)="T09",C473*Parâmetros!$D$13*Parâmetros!$C$13,0)</f>
        <v>0</v>
      </c>
    </row>
    <row r="474" customFormat="false" ht="15" hidden="false" customHeight="false" outlineLevel="0" collapsed="false">
      <c r="A474" s="138" t="str">
        <f aca="false">Estacas!A474</f>
        <v>471+0,00</v>
      </c>
      <c r="B474" s="138" t="str">
        <f aca="false">Estacas!A475</f>
        <v>472+0,00</v>
      </c>
      <c r="C474" s="144" t="n">
        <f aca="false">Estacas!C475-Estacas!C474</f>
        <v>20</v>
      </c>
      <c r="D474" s="138" t="s">
        <v>1580</v>
      </c>
      <c r="E474" s="138" t="s">
        <v>1566</v>
      </c>
      <c r="F474" s="141" t="n">
        <f aca="false">Estacas!F474</f>
        <v>15.4</v>
      </c>
      <c r="G474" s="141" t="n">
        <f aca="false">Estacas!F475</f>
        <v>17</v>
      </c>
      <c r="H474" s="141" t="n">
        <f aca="false">C474*(Estacas!K474+Estacas!K475)/2</f>
        <v>16.25</v>
      </c>
      <c r="I474" s="141" t="n">
        <f aca="false">H474*Parâmetros!$C$14</f>
        <v>39</v>
      </c>
      <c r="J474" s="141" t="n">
        <f aca="false">C474*(Estacas!L474+Estacas!L475)/2</f>
        <v>52.992</v>
      </c>
      <c r="K474" s="141" t="n">
        <f aca="false">C474*(Estacas!M474+Estacas!M475)/2</f>
        <v>68.48</v>
      </c>
      <c r="L474" s="141" t="n">
        <f aca="false">C474*(Estacas!N474+Estacas!N475)/2</f>
        <v>106.92</v>
      </c>
      <c r="M474" s="141" t="n">
        <f aca="false">C474*(Estacas!O474+Estacas!O475)/2</f>
        <v>328</v>
      </c>
      <c r="N474" s="141" t="n">
        <f aca="false">C474*(Estacas!O474+Estacas!O475)/2</f>
        <v>328</v>
      </c>
      <c r="O474" s="141" t="n">
        <f aca="false">C474*(Estacas!P474+Estacas!P475)/2</f>
        <v>362.4</v>
      </c>
      <c r="P474" s="141" t="n">
        <f aca="false">R474*Parâmetros!$C$11</f>
        <v>0</v>
      </c>
      <c r="Q474" s="141" t="n">
        <f aca="false">R474*Parâmetros!$C$12</f>
        <v>0</v>
      </c>
      <c r="R474" s="141" t="n">
        <f aca="false">C474*(Estacas!Q474+Estacas!Q475)/2</f>
        <v>0</v>
      </c>
      <c r="S474" s="141" t="n">
        <f aca="false">IF(LEFT(E474,3)="T09",C474*Parâmetros!$D$13*Parâmetros!$C$13,0)</f>
        <v>0</v>
      </c>
    </row>
    <row r="475" customFormat="false" ht="15" hidden="false" customHeight="false" outlineLevel="0" collapsed="false">
      <c r="A475" s="138" t="str">
        <f aca="false">Estacas!A475</f>
        <v>472+0,00</v>
      </c>
      <c r="B475" s="138" t="str">
        <f aca="false">Estacas!A476</f>
        <v>473+0,00</v>
      </c>
      <c r="C475" s="144" t="n">
        <f aca="false">Estacas!C476-Estacas!C475</f>
        <v>20</v>
      </c>
      <c r="D475" s="138" t="s">
        <v>1580</v>
      </c>
      <c r="E475" s="138" t="s">
        <v>1566</v>
      </c>
      <c r="F475" s="141" t="n">
        <f aca="false">Estacas!F475</f>
        <v>17</v>
      </c>
      <c r="G475" s="141" t="n">
        <f aca="false">Estacas!F476</f>
        <v>15.6</v>
      </c>
      <c r="H475" s="141" t="n">
        <f aca="false">C475*(Estacas!K475+Estacas!K476)/2</f>
        <v>16.35</v>
      </c>
      <c r="I475" s="141" t="n">
        <f aca="false">H475*Parâmetros!$C$14</f>
        <v>39.24</v>
      </c>
      <c r="J475" s="141" t="n">
        <f aca="false">C475*(Estacas!L475+Estacas!L476)/2</f>
        <v>53.312</v>
      </c>
      <c r="K475" s="141" t="n">
        <f aca="false">C475*(Estacas!M475+Estacas!M476)/2</f>
        <v>68.88</v>
      </c>
      <c r="L475" s="141" t="n">
        <f aca="false">C475*(Estacas!N475+Estacas!N476)/2</f>
        <v>107.52</v>
      </c>
      <c r="M475" s="141" t="n">
        <f aca="false">C475*(Estacas!O475+Estacas!O476)/2</f>
        <v>330</v>
      </c>
      <c r="N475" s="141" t="n">
        <f aca="false">C475*(Estacas!O475+Estacas!O476)/2</f>
        <v>330</v>
      </c>
      <c r="O475" s="141" t="n">
        <f aca="false">C475*(Estacas!P475+Estacas!P476)/2</f>
        <v>364.4</v>
      </c>
      <c r="P475" s="141" t="n">
        <f aca="false">R475*Parâmetros!$C$11</f>
        <v>0</v>
      </c>
      <c r="Q475" s="141" t="n">
        <f aca="false">R475*Parâmetros!$C$12</f>
        <v>0</v>
      </c>
      <c r="R475" s="141" t="n">
        <f aca="false">C475*(Estacas!Q475+Estacas!Q476)/2</f>
        <v>0</v>
      </c>
      <c r="S475" s="141" t="n">
        <f aca="false">IF(LEFT(E475,3)="T09",C475*Parâmetros!$D$13*Parâmetros!$C$13,0)</f>
        <v>0</v>
      </c>
    </row>
    <row r="476" customFormat="false" ht="15" hidden="false" customHeight="false" outlineLevel="0" collapsed="false">
      <c r="A476" s="138" t="str">
        <f aca="false">Estacas!A476</f>
        <v>473+0,00</v>
      </c>
      <c r="B476" s="138" t="str">
        <f aca="false">Estacas!A477</f>
        <v>474+0,00</v>
      </c>
      <c r="C476" s="144" t="n">
        <f aca="false">Estacas!C477-Estacas!C476</f>
        <v>20</v>
      </c>
      <c r="D476" s="138" t="s">
        <v>1580</v>
      </c>
      <c r="E476" s="138" t="s">
        <v>1566</v>
      </c>
      <c r="F476" s="141" t="n">
        <f aca="false">Estacas!F476</f>
        <v>15.6</v>
      </c>
      <c r="G476" s="141" t="n">
        <f aca="false">Estacas!F477</f>
        <v>12.4</v>
      </c>
      <c r="H476" s="141" t="n">
        <f aca="false">C476*(Estacas!K476+Estacas!K477)/2</f>
        <v>14.05</v>
      </c>
      <c r="I476" s="141" t="n">
        <f aca="false">H476*Parâmetros!$C$14</f>
        <v>33.72</v>
      </c>
      <c r="J476" s="141" t="n">
        <f aca="false">C476*(Estacas!L476+Estacas!L477)/2</f>
        <v>45.952</v>
      </c>
      <c r="K476" s="141" t="n">
        <f aca="false">C476*(Estacas!M476+Estacas!M477)/2</f>
        <v>59.68</v>
      </c>
      <c r="L476" s="141" t="n">
        <f aca="false">C476*(Estacas!N476+Estacas!N477)/2</f>
        <v>93.72</v>
      </c>
      <c r="M476" s="141" t="n">
        <f aca="false">C476*(Estacas!O476+Estacas!O477)/2</f>
        <v>284</v>
      </c>
      <c r="N476" s="141" t="n">
        <f aca="false">C476*(Estacas!O476+Estacas!O477)/2</f>
        <v>284</v>
      </c>
      <c r="O476" s="141" t="n">
        <f aca="false">C476*(Estacas!P476+Estacas!P477)/2</f>
        <v>318.4</v>
      </c>
      <c r="P476" s="141" t="n">
        <f aca="false">R476*Parâmetros!$C$11</f>
        <v>0</v>
      </c>
      <c r="Q476" s="141" t="n">
        <f aca="false">R476*Parâmetros!$C$12</f>
        <v>0</v>
      </c>
      <c r="R476" s="141" t="n">
        <f aca="false">C476*(Estacas!Q476+Estacas!Q477)/2</f>
        <v>0</v>
      </c>
      <c r="S476" s="141" t="n">
        <f aca="false">IF(LEFT(E476,3)="T09",C476*Parâmetros!$D$13*Parâmetros!$C$13,0)</f>
        <v>0</v>
      </c>
    </row>
    <row r="477" customFormat="false" ht="15" hidden="false" customHeight="false" outlineLevel="0" collapsed="false">
      <c r="A477" s="138" t="str">
        <f aca="false">Estacas!A477</f>
        <v>474+0,00</v>
      </c>
      <c r="B477" s="138" t="str">
        <f aca="false">Estacas!A478</f>
        <v>475+0,00</v>
      </c>
      <c r="C477" s="144" t="n">
        <f aca="false">Estacas!C478-Estacas!C477</f>
        <v>20</v>
      </c>
      <c r="D477" s="138" t="s">
        <v>1580</v>
      </c>
      <c r="E477" s="138" t="s">
        <v>1566</v>
      </c>
      <c r="F477" s="141" t="n">
        <f aca="false">Estacas!F477</f>
        <v>12.4</v>
      </c>
      <c r="G477" s="141" t="n">
        <f aca="false">Estacas!F478</f>
        <v>11</v>
      </c>
      <c r="H477" s="141" t="n">
        <f aca="false">C477*(Estacas!K477+Estacas!K478)/2</f>
        <v>11.75</v>
      </c>
      <c r="I477" s="141" t="n">
        <f aca="false">H477*Parâmetros!$C$14</f>
        <v>28.2</v>
      </c>
      <c r="J477" s="141" t="n">
        <f aca="false">C477*(Estacas!L477+Estacas!L478)/2</f>
        <v>38.592</v>
      </c>
      <c r="K477" s="141" t="n">
        <f aca="false">C477*(Estacas!M477+Estacas!M478)/2</f>
        <v>50.48</v>
      </c>
      <c r="L477" s="141" t="n">
        <f aca="false">C477*(Estacas!N477+Estacas!N478)/2</f>
        <v>79.92</v>
      </c>
      <c r="M477" s="141" t="n">
        <f aca="false">C477*(Estacas!O477+Estacas!O478)/2</f>
        <v>238</v>
      </c>
      <c r="N477" s="141" t="n">
        <f aca="false">C477*(Estacas!O477+Estacas!O478)/2</f>
        <v>238</v>
      </c>
      <c r="O477" s="141" t="n">
        <f aca="false">C477*(Estacas!P477+Estacas!P478)/2</f>
        <v>272.4</v>
      </c>
      <c r="P477" s="141" t="n">
        <f aca="false">R477*Parâmetros!$C$11</f>
        <v>0</v>
      </c>
      <c r="Q477" s="141" t="n">
        <f aca="false">R477*Parâmetros!$C$12</f>
        <v>0</v>
      </c>
      <c r="R477" s="141" t="n">
        <f aca="false">C477*(Estacas!Q477+Estacas!Q478)/2</f>
        <v>0</v>
      </c>
      <c r="S477" s="141" t="n">
        <f aca="false">IF(LEFT(E477,3)="T09",C477*Parâmetros!$D$13*Parâmetros!$C$13,0)</f>
        <v>0</v>
      </c>
    </row>
    <row r="478" customFormat="false" ht="15" hidden="false" customHeight="false" outlineLevel="0" collapsed="false">
      <c r="A478" s="138" t="str">
        <f aca="false">Estacas!A478</f>
        <v>475+0,00</v>
      </c>
      <c r="B478" s="138" t="str">
        <f aca="false">Estacas!A479</f>
        <v>476+0,00</v>
      </c>
      <c r="C478" s="144" t="n">
        <f aca="false">Estacas!C479-Estacas!C478</f>
        <v>20</v>
      </c>
      <c r="D478" s="138" t="s">
        <v>1580</v>
      </c>
      <c r="E478" s="138" t="s">
        <v>1566</v>
      </c>
      <c r="F478" s="141" t="n">
        <f aca="false">Estacas!F478</f>
        <v>11</v>
      </c>
      <c r="G478" s="141" t="n">
        <f aca="false">Estacas!F479</f>
        <v>11</v>
      </c>
      <c r="H478" s="141" t="n">
        <f aca="false">C478*(Estacas!K478+Estacas!K479)/2</f>
        <v>11.05</v>
      </c>
      <c r="I478" s="141" t="n">
        <f aca="false">H478*Parâmetros!$C$14</f>
        <v>26.52</v>
      </c>
      <c r="J478" s="141" t="n">
        <f aca="false">C478*(Estacas!L478+Estacas!L479)/2</f>
        <v>36.352</v>
      </c>
      <c r="K478" s="141" t="n">
        <f aca="false">C478*(Estacas!M478+Estacas!M479)/2</f>
        <v>47.68</v>
      </c>
      <c r="L478" s="141" t="n">
        <f aca="false">C478*(Estacas!N478+Estacas!N479)/2</f>
        <v>75.72</v>
      </c>
      <c r="M478" s="141" t="n">
        <f aca="false">C478*(Estacas!O478+Estacas!O479)/2</f>
        <v>224</v>
      </c>
      <c r="N478" s="141" t="n">
        <f aca="false">C478*(Estacas!O478+Estacas!O479)/2</f>
        <v>224</v>
      </c>
      <c r="O478" s="141" t="n">
        <f aca="false">C478*(Estacas!P478+Estacas!P479)/2</f>
        <v>258.4</v>
      </c>
      <c r="P478" s="141" t="n">
        <f aca="false">R478*Parâmetros!$C$11</f>
        <v>0</v>
      </c>
      <c r="Q478" s="141" t="n">
        <f aca="false">R478*Parâmetros!$C$12</f>
        <v>0</v>
      </c>
      <c r="R478" s="141" t="n">
        <f aca="false">C478*(Estacas!Q478+Estacas!Q479)/2</f>
        <v>0</v>
      </c>
      <c r="S478" s="141" t="n">
        <f aca="false">IF(LEFT(E478,3)="T09",C478*Parâmetros!$D$13*Parâmetros!$C$13,0)</f>
        <v>0</v>
      </c>
    </row>
    <row r="479" customFormat="false" ht="15" hidden="false" customHeight="false" outlineLevel="0" collapsed="false">
      <c r="A479" s="138" t="str">
        <f aca="false">Estacas!A479</f>
        <v>476+0,00</v>
      </c>
      <c r="B479" s="138" t="str">
        <f aca="false">Estacas!A480</f>
        <v>477+0,00</v>
      </c>
      <c r="C479" s="144" t="n">
        <f aca="false">Estacas!C480-Estacas!C479</f>
        <v>20</v>
      </c>
      <c r="D479" s="138" t="s">
        <v>1580</v>
      </c>
      <c r="E479" s="138" t="s">
        <v>1566</v>
      </c>
      <c r="F479" s="141" t="n">
        <f aca="false">Estacas!F479</f>
        <v>11</v>
      </c>
      <c r="G479" s="141" t="n">
        <f aca="false">Estacas!F480</f>
        <v>11.2</v>
      </c>
      <c r="H479" s="141" t="n">
        <f aca="false">C479*(Estacas!K479+Estacas!K480)/2</f>
        <v>11.15</v>
      </c>
      <c r="I479" s="141" t="n">
        <f aca="false">H479*Parâmetros!$C$14</f>
        <v>26.76</v>
      </c>
      <c r="J479" s="141" t="n">
        <f aca="false">C479*(Estacas!L479+Estacas!L480)/2</f>
        <v>36.672</v>
      </c>
      <c r="K479" s="141" t="n">
        <f aca="false">C479*(Estacas!M479+Estacas!M480)/2</f>
        <v>48.08</v>
      </c>
      <c r="L479" s="141" t="n">
        <f aca="false">C479*(Estacas!N479+Estacas!N480)/2</f>
        <v>76.32</v>
      </c>
      <c r="M479" s="141" t="n">
        <f aca="false">C479*(Estacas!O479+Estacas!O480)/2</f>
        <v>226</v>
      </c>
      <c r="N479" s="141" t="n">
        <f aca="false">C479*(Estacas!O479+Estacas!O480)/2</f>
        <v>226</v>
      </c>
      <c r="O479" s="141" t="n">
        <f aca="false">C479*(Estacas!P479+Estacas!P480)/2</f>
        <v>260.4</v>
      </c>
      <c r="P479" s="141" t="n">
        <f aca="false">R479*Parâmetros!$C$11</f>
        <v>0</v>
      </c>
      <c r="Q479" s="141" t="n">
        <f aca="false">R479*Parâmetros!$C$12</f>
        <v>0</v>
      </c>
      <c r="R479" s="141" t="n">
        <f aca="false">C479*(Estacas!Q479+Estacas!Q480)/2</f>
        <v>0</v>
      </c>
      <c r="S479" s="141" t="n">
        <f aca="false">IF(LEFT(E479,3)="T09",C479*Parâmetros!$D$13*Parâmetros!$C$13,0)</f>
        <v>0</v>
      </c>
    </row>
    <row r="480" customFormat="false" ht="15" hidden="false" customHeight="false" outlineLevel="0" collapsed="false">
      <c r="A480" s="138" t="str">
        <f aca="false">Estacas!A480</f>
        <v>477+0,00</v>
      </c>
      <c r="B480" s="138" t="str">
        <f aca="false">Estacas!A481</f>
        <v>478+0,00</v>
      </c>
      <c r="C480" s="144" t="n">
        <f aca="false">Estacas!C481-Estacas!C480</f>
        <v>20</v>
      </c>
      <c r="D480" s="138" t="s">
        <v>1580</v>
      </c>
      <c r="E480" s="138" t="s">
        <v>1566</v>
      </c>
      <c r="F480" s="141" t="n">
        <f aca="false">Estacas!F480</f>
        <v>11.2</v>
      </c>
      <c r="G480" s="141" t="n">
        <f aca="false">Estacas!F481</f>
        <v>11.4</v>
      </c>
      <c r="H480" s="141" t="n">
        <f aca="false">C480*(Estacas!K480+Estacas!K481)/2</f>
        <v>11.35</v>
      </c>
      <c r="I480" s="141" t="n">
        <f aca="false">H480*Parâmetros!$C$14</f>
        <v>27.24</v>
      </c>
      <c r="J480" s="141" t="n">
        <f aca="false">C480*(Estacas!L480+Estacas!L481)/2</f>
        <v>37.312</v>
      </c>
      <c r="K480" s="141" t="n">
        <f aca="false">C480*(Estacas!M480+Estacas!M481)/2</f>
        <v>48.88</v>
      </c>
      <c r="L480" s="141" t="n">
        <f aca="false">C480*(Estacas!N480+Estacas!N481)/2</f>
        <v>77.52</v>
      </c>
      <c r="M480" s="141" t="n">
        <f aca="false">C480*(Estacas!O480+Estacas!O481)/2</f>
        <v>230</v>
      </c>
      <c r="N480" s="141" t="n">
        <f aca="false">C480*(Estacas!O480+Estacas!O481)/2</f>
        <v>230</v>
      </c>
      <c r="O480" s="141" t="n">
        <f aca="false">C480*(Estacas!P480+Estacas!P481)/2</f>
        <v>264.4</v>
      </c>
      <c r="P480" s="141" t="n">
        <f aca="false">R480*Parâmetros!$C$11</f>
        <v>0</v>
      </c>
      <c r="Q480" s="141" t="n">
        <f aca="false">R480*Parâmetros!$C$12</f>
        <v>0</v>
      </c>
      <c r="R480" s="141" t="n">
        <f aca="false">C480*(Estacas!Q480+Estacas!Q481)/2</f>
        <v>0</v>
      </c>
      <c r="S480" s="141" t="n">
        <f aca="false">IF(LEFT(E480,3)="T09",C480*Parâmetros!$D$13*Parâmetros!$C$13,0)</f>
        <v>0</v>
      </c>
    </row>
    <row r="481" customFormat="false" ht="15" hidden="false" customHeight="false" outlineLevel="0" collapsed="false">
      <c r="A481" s="138" t="str">
        <f aca="false">Estacas!A481</f>
        <v>478+0,00</v>
      </c>
      <c r="B481" s="138" t="str">
        <f aca="false">Estacas!A482</f>
        <v>479+0,00</v>
      </c>
      <c r="C481" s="144" t="n">
        <f aca="false">Estacas!C482-Estacas!C481</f>
        <v>20</v>
      </c>
      <c r="D481" s="138" t="s">
        <v>1580</v>
      </c>
      <c r="E481" s="138" t="s">
        <v>1566</v>
      </c>
      <c r="F481" s="141" t="n">
        <f aca="false">Estacas!F481</f>
        <v>11.4</v>
      </c>
      <c r="G481" s="141" t="n">
        <f aca="false">Estacas!F482</f>
        <v>11.4</v>
      </c>
      <c r="H481" s="141" t="n">
        <f aca="false">C481*(Estacas!K481+Estacas!K482)/2</f>
        <v>11.45</v>
      </c>
      <c r="I481" s="141" t="n">
        <f aca="false">H481*Parâmetros!$C$14</f>
        <v>27.48</v>
      </c>
      <c r="J481" s="141" t="n">
        <f aca="false">C481*(Estacas!L481+Estacas!L482)/2</f>
        <v>37.632</v>
      </c>
      <c r="K481" s="141" t="n">
        <f aca="false">C481*(Estacas!M481+Estacas!M482)/2</f>
        <v>49.28</v>
      </c>
      <c r="L481" s="141" t="n">
        <f aca="false">C481*(Estacas!N481+Estacas!N482)/2</f>
        <v>78.12</v>
      </c>
      <c r="M481" s="141" t="n">
        <f aca="false">C481*(Estacas!O481+Estacas!O482)/2</f>
        <v>232</v>
      </c>
      <c r="N481" s="141" t="n">
        <f aca="false">C481*(Estacas!O481+Estacas!O482)/2</f>
        <v>232</v>
      </c>
      <c r="O481" s="141" t="n">
        <f aca="false">C481*(Estacas!P481+Estacas!P482)/2</f>
        <v>266.4</v>
      </c>
      <c r="P481" s="141" t="n">
        <f aca="false">R481*Parâmetros!$C$11</f>
        <v>0</v>
      </c>
      <c r="Q481" s="141" t="n">
        <f aca="false">R481*Parâmetros!$C$12</f>
        <v>0</v>
      </c>
      <c r="R481" s="141" t="n">
        <f aca="false">C481*(Estacas!Q481+Estacas!Q482)/2</f>
        <v>0</v>
      </c>
      <c r="S481" s="141" t="n">
        <f aca="false">IF(LEFT(E481,3)="T09",C481*Parâmetros!$D$13*Parâmetros!$C$13,0)</f>
        <v>0</v>
      </c>
    </row>
    <row r="482" customFormat="false" ht="15" hidden="false" customHeight="false" outlineLevel="0" collapsed="false">
      <c r="A482" s="138" t="str">
        <f aca="false">Estacas!A482</f>
        <v>479+0,00</v>
      </c>
      <c r="B482" s="138" t="str">
        <f aca="false">Estacas!A483</f>
        <v>480+0,00</v>
      </c>
      <c r="C482" s="144" t="n">
        <f aca="false">Estacas!C483-Estacas!C482</f>
        <v>20</v>
      </c>
      <c r="D482" s="138" t="s">
        <v>1580</v>
      </c>
      <c r="E482" s="138" t="s">
        <v>1566</v>
      </c>
      <c r="F482" s="141" t="n">
        <f aca="false">Estacas!F482</f>
        <v>11.4</v>
      </c>
      <c r="G482" s="141" t="n">
        <f aca="false">Estacas!F483</f>
        <v>11.4</v>
      </c>
      <c r="H482" s="141" t="n">
        <f aca="false">C482*(Estacas!K482+Estacas!K483)/2</f>
        <v>11.45</v>
      </c>
      <c r="I482" s="141" t="n">
        <f aca="false">H482*Parâmetros!$C$14</f>
        <v>27.48</v>
      </c>
      <c r="J482" s="141" t="n">
        <f aca="false">C482*(Estacas!L482+Estacas!L483)/2</f>
        <v>37.632</v>
      </c>
      <c r="K482" s="141" t="n">
        <f aca="false">C482*(Estacas!M482+Estacas!M483)/2</f>
        <v>49.28</v>
      </c>
      <c r="L482" s="141" t="n">
        <f aca="false">C482*(Estacas!N482+Estacas!N483)/2</f>
        <v>78.12</v>
      </c>
      <c r="M482" s="141" t="n">
        <f aca="false">C482*(Estacas!O482+Estacas!O483)/2</f>
        <v>232</v>
      </c>
      <c r="N482" s="141" t="n">
        <f aca="false">C482*(Estacas!O482+Estacas!O483)/2</f>
        <v>232</v>
      </c>
      <c r="O482" s="141" t="n">
        <f aca="false">C482*(Estacas!P482+Estacas!P483)/2</f>
        <v>266.4</v>
      </c>
      <c r="P482" s="141" t="n">
        <f aca="false">R482*Parâmetros!$C$11</f>
        <v>0</v>
      </c>
      <c r="Q482" s="141" t="n">
        <f aca="false">R482*Parâmetros!$C$12</f>
        <v>0</v>
      </c>
      <c r="R482" s="141" t="n">
        <f aca="false">C482*(Estacas!Q482+Estacas!Q483)/2</f>
        <v>0</v>
      </c>
      <c r="S482" s="141" t="n">
        <f aca="false">IF(LEFT(E482,3)="T09",C482*Parâmetros!$D$13*Parâmetros!$C$13,0)</f>
        <v>0</v>
      </c>
    </row>
    <row r="483" customFormat="false" ht="15" hidden="false" customHeight="false" outlineLevel="0" collapsed="false">
      <c r="A483" s="138" t="str">
        <f aca="false">Estacas!A483</f>
        <v>480+0,00</v>
      </c>
      <c r="B483" s="138" t="str">
        <f aca="false">Estacas!A484</f>
        <v>481+0,00</v>
      </c>
      <c r="C483" s="144" t="n">
        <f aca="false">Estacas!C484-Estacas!C483</f>
        <v>20</v>
      </c>
      <c r="D483" s="138" t="s">
        <v>1580</v>
      </c>
      <c r="E483" s="138" t="s">
        <v>1566</v>
      </c>
      <c r="F483" s="141" t="n">
        <f aca="false">Estacas!F483</f>
        <v>11.4</v>
      </c>
      <c r="G483" s="141" t="n">
        <f aca="false">Estacas!F484</f>
        <v>11.4</v>
      </c>
      <c r="H483" s="141" t="n">
        <f aca="false">C483*(Estacas!K483+Estacas!K484)/2</f>
        <v>11.45</v>
      </c>
      <c r="I483" s="141" t="n">
        <f aca="false">H483*Parâmetros!$C$14</f>
        <v>27.48</v>
      </c>
      <c r="J483" s="141" t="n">
        <f aca="false">C483*(Estacas!L483+Estacas!L484)/2</f>
        <v>37.632</v>
      </c>
      <c r="K483" s="141" t="n">
        <f aca="false">C483*(Estacas!M483+Estacas!M484)/2</f>
        <v>49.28</v>
      </c>
      <c r="L483" s="141" t="n">
        <f aca="false">C483*(Estacas!N483+Estacas!N484)/2</f>
        <v>78.12</v>
      </c>
      <c r="M483" s="141" t="n">
        <f aca="false">C483*(Estacas!O483+Estacas!O484)/2</f>
        <v>232</v>
      </c>
      <c r="N483" s="141" t="n">
        <f aca="false">C483*(Estacas!O483+Estacas!O484)/2</f>
        <v>232</v>
      </c>
      <c r="O483" s="141" t="n">
        <f aca="false">C483*(Estacas!P483+Estacas!P484)/2</f>
        <v>266.4</v>
      </c>
      <c r="P483" s="141" t="n">
        <f aca="false">R483*Parâmetros!$C$11</f>
        <v>0</v>
      </c>
      <c r="Q483" s="141" t="n">
        <f aca="false">R483*Parâmetros!$C$12</f>
        <v>0</v>
      </c>
      <c r="R483" s="141" t="n">
        <f aca="false">C483*(Estacas!Q483+Estacas!Q484)/2</f>
        <v>0</v>
      </c>
      <c r="S483" s="141" t="n">
        <f aca="false">IF(LEFT(E483,3)="T09",C483*Parâmetros!$D$13*Parâmetros!$C$13,0)</f>
        <v>0</v>
      </c>
    </row>
    <row r="484" customFormat="false" ht="15" hidden="false" customHeight="false" outlineLevel="0" collapsed="false">
      <c r="A484" s="138" t="str">
        <f aca="false">Estacas!A484</f>
        <v>481+0,00</v>
      </c>
      <c r="B484" s="138" t="str">
        <f aca="false">Estacas!A485</f>
        <v>482+0,00</v>
      </c>
      <c r="C484" s="144" t="n">
        <f aca="false">Estacas!C485-Estacas!C484</f>
        <v>20</v>
      </c>
      <c r="D484" s="138" t="s">
        <v>1580</v>
      </c>
      <c r="E484" s="138" t="s">
        <v>1566</v>
      </c>
      <c r="F484" s="141" t="n">
        <f aca="false">Estacas!F484</f>
        <v>11.4</v>
      </c>
      <c r="G484" s="141" t="n">
        <f aca="false">Estacas!F485</f>
        <v>11.4</v>
      </c>
      <c r="H484" s="141" t="n">
        <f aca="false">C484*(Estacas!K484+Estacas!K485)/2</f>
        <v>11.45</v>
      </c>
      <c r="I484" s="141" t="n">
        <f aca="false">H484*Parâmetros!$C$14</f>
        <v>27.48</v>
      </c>
      <c r="J484" s="141" t="n">
        <f aca="false">C484*(Estacas!L484+Estacas!L485)/2</f>
        <v>37.632</v>
      </c>
      <c r="K484" s="141" t="n">
        <f aca="false">C484*(Estacas!M484+Estacas!M485)/2</f>
        <v>49.28</v>
      </c>
      <c r="L484" s="141" t="n">
        <f aca="false">C484*(Estacas!N484+Estacas!N485)/2</f>
        <v>78.12</v>
      </c>
      <c r="M484" s="141" t="n">
        <f aca="false">C484*(Estacas!O484+Estacas!O485)/2</f>
        <v>232</v>
      </c>
      <c r="N484" s="141" t="n">
        <f aca="false">C484*(Estacas!O484+Estacas!O485)/2</f>
        <v>232</v>
      </c>
      <c r="O484" s="141" t="n">
        <f aca="false">C484*(Estacas!P484+Estacas!P485)/2</f>
        <v>266.4</v>
      </c>
      <c r="P484" s="141" t="n">
        <f aca="false">R484*Parâmetros!$C$11</f>
        <v>0</v>
      </c>
      <c r="Q484" s="141" t="n">
        <f aca="false">R484*Parâmetros!$C$12</f>
        <v>0</v>
      </c>
      <c r="R484" s="141" t="n">
        <f aca="false">C484*(Estacas!Q484+Estacas!Q485)/2</f>
        <v>0</v>
      </c>
      <c r="S484" s="141" t="n">
        <f aca="false">IF(LEFT(E484,3)="T09",C484*Parâmetros!$D$13*Parâmetros!$C$13,0)</f>
        <v>0</v>
      </c>
    </row>
    <row r="485" customFormat="false" ht="15" hidden="false" customHeight="false" outlineLevel="0" collapsed="false">
      <c r="A485" s="138" t="str">
        <f aca="false">Estacas!A485</f>
        <v>482+0,00</v>
      </c>
      <c r="B485" s="138" t="str">
        <f aca="false">Estacas!A486</f>
        <v>483+0,00</v>
      </c>
      <c r="C485" s="144" t="n">
        <f aca="false">Estacas!C486-Estacas!C485</f>
        <v>20</v>
      </c>
      <c r="D485" s="138" t="s">
        <v>1580</v>
      </c>
      <c r="E485" s="138" t="s">
        <v>1566</v>
      </c>
      <c r="F485" s="141" t="n">
        <f aca="false">Estacas!F485</f>
        <v>11.4</v>
      </c>
      <c r="G485" s="141" t="n">
        <f aca="false">Estacas!F486</f>
        <v>11.4</v>
      </c>
      <c r="H485" s="141" t="n">
        <f aca="false">C485*(Estacas!K485+Estacas!K486)/2</f>
        <v>11.45</v>
      </c>
      <c r="I485" s="141" t="n">
        <f aca="false">H485*Parâmetros!$C$14</f>
        <v>27.48</v>
      </c>
      <c r="J485" s="141" t="n">
        <f aca="false">C485*(Estacas!L485+Estacas!L486)/2</f>
        <v>37.632</v>
      </c>
      <c r="K485" s="141" t="n">
        <f aca="false">C485*(Estacas!M485+Estacas!M486)/2</f>
        <v>49.28</v>
      </c>
      <c r="L485" s="141" t="n">
        <f aca="false">C485*(Estacas!N485+Estacas!N486)/2</f>
        <v>78.12</v>
      </c>
      <c r="M485" s="141" t="n">
        <f aca="false">C485*(Estacas!O485+Estacas!O486)/2</f>
        <v>232</v>
      </c>
      <c r="N485" s="141" t="n">
        <f aca="false">C485*(Estacas!O485+Estacas!O486)/2</f>
        <v>232</v>
      </c>
      <c r="O485" s="141" t="n">
        <f aca="false">C485*(Estacas!P485+Estacas!P486)/2</f>
        <v>266.4</v>
      </c>
      <c r="P485" s="141" t="n">
        <f aca="false">R485*Parâmetros!$C$11</f>
        <v>0</v>
      </c>
      <c r="Q485" s="141" t="n">
        <f aca="false">R485*Parâmetros!$C$12</f>
        <v>0</v>
      </c>
      <c r="R485" s="141" t="n">
        <f aca="false">C485*(Estacas!Q485+Estacas!Q486)/2</f>
        <v>0</v>
      </c>
      <c r="S485" s="141" t="n">
        <f aca="false">IF(LEFT(E485,3)="T09",C485*Parâmetros!$D$13*Parâmetros!$C$13,0)</f>
        <v>0</v>
      </c>
    </row>
    <row r="486" customFormat="false" ht="15" hidden="false" customHeight="false" outlineLevel="0" collapsed="false">
      <c r="A486" s="138" t="str">
        <f aca="false">Estacas!A486</f>
        <v>483+0,00</v>
      </c>
      <c r="B486" s="138" t="str">
        <f aca="false">Estacas!A487</f>
        <v>484+0,00</v>
      </c>
      <c r="C486" s="144" t="n">
        <f aca="false">Estacas!C487-Estacas!C486</f>
        <v>20</v>
      </c>
      <c r="D486" s="138" t="s">
        <v>1580</v>
      </c>
      <c r="E486" s="138" t="s">
        <v>1566</v>
      </c>
      <c r="F486" s="141" t="n">
        <f aca="false">Estacas!F486</f>
        <v>11.4</v>
      </c>
      <c r="G486" s="141" t="n">
        <f aca="false">Estacas!F487</f>
        <v>11.3</v>
      </c>
      <c r="H486" s="141" t="n">
        <f aca="false">C486*(Estacas!K486+Estacas!K487)/2</f>
        <v>11.4</v>
      </c>
      <c r="I486" s="141" t="n">
        <f aca="false">H486*Parâmetros!$C$14</f>
        <v>27.36</v>
      </c>
      <c r="J486" s="141" t="n">
        <f aca="false">C486*(Estacas!L486+Estacas!L487)/2</f>
        <v>37.472</v>
      </c>
      <c r="K486" s="141" t="n">
        <f aca="false">C486*(Estacas!M486+Estacas!M487)/2</f>
        <v>49.08</v>
      </c>
      <c r="L486" s="141" t="n">
        <f aca="false">C486*(Estacas!N486+Estacas!N487)/2</f>
        <v>77.82</v>
      </c>
      <c r="M486" s="141" t="n">
        <f aca="false">C486*(Estacas!O486+Estacas!O487)/2</f>
        <v>231</v>
      </c>
      <c r="N486" s="141" t="n">
        <f aca="false">C486*(Estacas!O486+Estacas!O487)/2</f>
        <v>231</v>
      </c>
      <c r="O486" s="141" t="n">
        <f aca="false">C486*(Estacas!P486+Estacas!P487)/2</f>
        <v>265.4</v>
      </c>
      <c r="P486" s="141" t="n">
        <f aca="false">R486*Parâmetros!$C$11</f>
        <v>0</v>
      </c>
      <c r="Q486" s="141" t="n">
        <f aca="false">R486*Parâmetros!$C$12</f>
        <v>0</v>
      </c>
      <c r="R486" s="141" t="n">
        <f aca="false">C486*(Estacas!Q486+Estacas!Q487)/2</f>
        <v>0</v>
      </c>
      <c r="S486" s="141" t="n">
        <f aca="false">IF(LEFT(E486,3)="T09",C486*Parâmetros!$D$13*Parâmetros!$C$13,0)</f>
        <v>0</v>
      </c>
    </row>
    <row r="487" customFormat="false" ht="15" hidden="false" customHeight="false" outlineLevel="0" collapsed="false">
      <c r="A487" s="138" t="str">
        <f aca="false">Estacas!A487</f>
        <v>484+0,00</v>
      </c>
      <c r="B487" s="138" t="str">
        <f aca="false">Estacas!A488</f>
        <v>485+0,00</v>
      </c>
      <c r="C487" s="144" t="n">
        <f aca="false">Estacas!C488-Estacas!C487</f>
        <v>20</v>
      </c>
      <c r="D487" s="138" t="s">
        <v>1580</v>
      </c>
      <c r="E487" s="138" t="s">
        <v>1566</v>
      </c>
      <c r="F487" s="141" t="n">
        <f aca="false">Estacas!F487</f>
        <v>11.3</v>
      </c>
      <c r="G487" s="141" t="n">
        <f aca="false">Estacas!F488</f>
        <v>11.2</v>
      </c>
      <c r="H487" s="141" t="n">
        <f aca="false">C487*(Estacas!K487+Estacas!K488)/2</f>
        <v>11.3</v>
      </c>
      <c r="I487" s="141" t="n">
        <f aca="false">H487*Parâmetros!$C$14</f>
        <v>27.12</v>
      </c>
      <c r="J487" s="141" t="n">
        <f aca="false">C487*(Estacas!L487+Estacas!L488)/2</f>
        <v>37.152</v>
      </c>
      <c r="K487" s="141" t="n">
        <f aca="false">C487*(Estacas!M487+Estacas!M488)/2</f>
        <v>48.68</v>
      </c>
      <c r="L487" s="141" t="n">
        <f aca="false">C487*(Estacas!N487+Estacas!N488)/2</f>
        <v>77.22</v>
      </c>
      <c r="M487" s="141" t="n">
        <f aca="false">C487*(Estacas!O487+Estacas!O488)/2</f>
        <v>229</v>
      </c>
      <c r="N487" s="141" t="n">
        <f aca="false">C487*(Estacas!O487+Estacas!O488)/2</f>
        <v>229</v>
      </c>
      <c r="O487" s="141" t="n">
        <f aca="false">C487*(Estacas!P487+Estacas!P488)/2</f>
        <v>263.4</v>
      </c>
      <c r="P487" s="141" t="n">
        <f aca="false">R487*Parâmetros!$C$11</f>
        <v>0</v>
      </c>
      <c r="Q487" s="141" t="n">
        <f aca="false">R487*Parâmetros!$C$12</f>
        <v>0</v>
      </c>
      <c r="R487" s="141" t="n">
        <f aca="false">C487*(Estacas!Q487+Estacas!Q488)/2</f>
        <v>0</v>
      </c>
      <c r="S487" s="141" t="n">
        <f aca="false">IF(LEFT(E487,3)="T09",C487*Parâmetros!$D$13*Parâmetros!$C$13,0)</f>
        <v>0</v>
      </c>
    </row>
    <row r="488" customFormat="false" ht="15" hidden="false" customHeight="false" outlineLevel="0" collapsed="false">
      <c r="A488" s="138" t="str">
        <f aca="false">Estacas!A488</f>
        <v>485+0,00</v>
      </c>
      <c r="B488" s="138" t="str">
        <f aca="false">Estacas!A489</f>
        <v>486+0,00</v>
      </c>
      <c r="C488" s="144" t="n">
        <f aca="false">Estacas!C489-Estacas!C488</f>
        <v>20</v>
      </c>
      <c r="D488" s="138" t="s">
        <v>1580</v>
      </c>
      <c r="E488" s="138" t="s">
        <v>1566</v>
      </c>
      <c r="F488" s="141" t="n">
        <f aca="false">Estacas!F488</f>
        <v>11.2</v>
      </c>
      <c r="G488" s="141" t="n">
        <f aca="false">Estacas!F489</f>
        <v>11</v>
      </c>
      <c r="H488" s="141" t="n">
        <f aca="false">C488*(Estacas!K488+Estacas!K489)/2</f>
        <v>11.15</v>
      </c>
      <c r="I488" s="141" t="n">
        <f aca="false">H488*Parâmetros!$C$14</f>
        <v>26.76</v>
      </c>
      <c r="J488" s="141" t="n">
        <f aca="false">C488*(Estacas!L488+Estacas!L489)/2</f>
        <v>36.672</v>
      </c>
      <c r="K488" s="141" t="n">
        <f aca="false">C488*(Estacas!M488+Estacas!M489)/2</f>
        <v>48.08</v>
      </c>
      <c r="L488" s="141" t="n">
        <f aca="false">C488*(Estacas!N488+Estacas!N489)/2</f>
        <v>76.32</v>
      </c>
      <c r="M488" s="141" t="n">
        <f aca="false">C488*(Estacas!O488+Estacas!O489)/2</f>
        <v>226</v>
      </c>
      <c r="N488" s="141" t="n">
        <f aca="false">C488*(Estacas!O488+Estacas!O489)/2</f>
        <v>226</v>
      </c>
      <c r="O488" s="141" t="n">
        <f aca="false">C488*(Estacas!P488+Estacas!P489)/2</f>
        <v>260.4</v>
      </c>
      <c r="P488" s="141" t="n">
        <f aca="false">R488*Parâmetros!$C$11</f>
        <v>0</v>
      </c>
      <c r="Q488" s="141" t="n">
        <f aca="false">R488*Parâmetros!$C$12</f>
        <v>0</v>
      </c>
      <c r="R488" s="141" t="n">
        <f aca="false">C488*(Estacas!Q488+Estacas!Q489)/2</f>
        <v>0</v>
      </c>
      <c r="S488" s="141" t="n">
        <f aca="false">IF(LEFT(E488,3)="T09",C488*Parâmetros!$D$13*Parâmetros!$C$13,0)</f>
        <v>0</v>
      </c>
    </row>
    <row r="489" customFormat="false" ht="15" hidden="false" customHeight="false" outlineLevel="0" collapsed="false">
      <c r="A489" s="138" t="str">
        <f aca="false">Estacas!A489</f>
        <v>486+0,00</v>
      </c>
      <c r="B489" s="138" t="str">
        <f aca="false">Estacas!A490</f>
        <v>487+0,00</v>
      </c>
      <c r="C489" s="144" t="n">
        <f aca="false">Estacas!C490-Estacas!C489</f>
        <v>20</v>
      </c>
      <c r="D489" s="138" t="s">
        <v>1580</v>
      </c>
      <c r="E489" s="138" t="s">
        <v>1566</v>
      </c>
      <c r="F489" s="141" t="n">
        <f aca="false">Estacas!F489</f>
        <v>11</v>
      </c>
      <c r="G489" s="141" t="n">
        <f aca="false">Estacas!F490</f>
        <v>11</v>
      </c>
      <c r="H489" s="141" t="n">
        <f aca="false">C489*(Estacas!K489+Estacas!K490)/2</f>
        <v>11.05</v>
      </c>
      <c r="I489" s="141" t="n">
        <f aca="false">H489*Parâmetros!$C$14</f>
        <v>26.52</v>
      </c>
      <c r="J489" s="141" t="n">
        <f aca="false">C489*(Estacas!L489+Estacas!L490)/2</f>
        <v>36.352</v>
      </c>
      <c r="K489" s="141" t="n">
        <f aca="false">C489*(Estacas!M489+Estacas!M490)/2</f>
        <v>47.68</v>
      </c>
      <c r="L489" s="141" t="n">
        <f aca="false">C489*(Estacas!N489+Estacas!N490)/2</f>
        <v>75.72</v>
      </c>
      <c r="M489" s="141" t="n">
        <f aca="false">C489*(Estacas!O489+Estacas!O490)/2</f>
        <v>224</v>
      </c>
      <c r="N489" s="141" t="n">
        <f aca="false">C489*(Estacas!O489+Estacas!O490)/2</f>
        <v>224</v>
      </c>
      <c r="O489" s="141" t="n">
        <f aca="false">C489*(Estacas!P489+Estacas!P490)/2</f>
        <v>258.4</v>
      </c>
      <c r="P489" s="141" t="n">
        <f aca="false">R489*Parâmetros!$C$11</f>
        <v>0</v>
      </c>
      <c r="Q489" s="141" t="n">
        <f aca="false">R489*Parâmetros!$C$12</f>
        <v>0</v>
      </c>
      <c r="R489" s="141" t="n">
        <f aca="false">C489*(Estacas!Q489+Estacas!Q490)/2</f>
        <v>0</v>
      </c>
      <c r="S489" s="141" t="n">
        <f aca="false">IF(LEFT(E489,3)="T09",C489*Parâmetros!$D$13*Parâmetros!$C$13,0)</f>
        <v>0</v>
      </c>
    </row>
    <row r="490" customFormat="false" ht="15" hidden="false" customHeight="false" outlineLevel="0" collapsed="false">
      <c r="A490" s="138" t="str">
        <f aca="false">Estacas!A490</f>
        <v>487+0,00</v>
      </c>
      <c r="B490" s="138" t="str">
        <f aca="false">Estacas!A491</f>
        <v>487+10,00</v>
      </c>
      <c r="C490" s="144" t="n">
        <f aca="false">Estacas!C491-Estacas!C490</f>
        <v>10</v>
      </c>
      <c r="D490" s="138" t="s">
        <v>1580</v>
      </c>
      <c r="E490" s="138" t="s">
        <v>1566</v>
      </c>
      <c r="F490" s="141" t="n">
        <f aca="false">Estacas!F490</f>
        <v>11</v>
      </c>
      <c r="G490" s="141" t="n">
        <f aca="false">Estacas!F491</f>
        <v>11.6</v>
      </c>
      <c r="H490" s="141" t="n">
        <f aca="false">C490*(Estacas!K490+Estacas!K491)/2</f>
        <v>5.675</v>
      </c>
      <c r="I490" s="141" t="n">
        <f aca="false">H490*Parâmetros!$C$14</f>
        <v>13.62</v>
      </c>
      <c r="J490" s="141" t="n">
        <f aca="false">C490*(Estacas!L490+Estacas!L491)/2</f>
        <v>18.656</v>
      </c>
      <c r="K490" s="141" t="n">
        <f aca="false">C490*(Estacas!M490+Estacas!M491)/2</f>
        <v>24.44</v>
      </c>
      <c r="L490" s="141" t="n">
        <f aca="false">C490*(Estacas!N490+Estacas!N491)/2</f>
        <v>38.76</v>
      </c>
      <c r="M490" s="141" t="n">
        <f aca="false">C490*(Estacas!O490+Estacas!O491)/2</f>
        <v>115</v>
      </c>
      <c r="N490" s="141" t="n">
        <f aca="false">C490*(Estacas!O490+Estacas!O491)/2</f>
        <v>115</v>
      </c>
      <c r="O490" s="141" t="n">
        <f aca="false">C490*(Estacas!P490+Estacas!P491)/2</f>
        <v>132.2</v>
      </c>
      <c r="P490" s="141" t="n">
        <f aca="false">R490*Parâmetros!$C$11</f>
        <v>0</v>
      </c>
      <c r="Q490" s="141" t="n">
        <f aca="false">R490*Parâmetros!$C$12</f>
        <v>0</v>
      </c>
      <c r="R490" s="141" t="n">
        <f aca="false">C490*(Estacas!Q490+Estacas!Q491)/2</f>
        <v>0</v>
      </c>
      <c r="S490" s="141" t="n">
        <f aca="false">IF(LEFT(E490,3)="T09",C490*Parâmetros!$D$13*Parâmetros!$C$13,0)</f>
        <v>0</v>
      </c>
    </row>
    <row r="491" customFormat="false" ht="15" hidden="false" customHeight="false" outlineLevel="0" collapsed="false">
      <c r="A491" s="138" t="str">
        <f aca="false">Estacas!A491</f>
        <v>487+10,00</v>
      </c>
      <c r="B491" s="138" t="str">
        <f aca="false">Estacas!A492</f>
        <v>488+0,00</v>
      </c>
      <c r="C491" s="144" t="n">
        <f aca="false">Estacas!C492-Estacas!C491</f>
        <v>10</v>
      </c>
      <c r="D491" s="138" t="s">
        <v>1582</v>
      </c>
      <c r="E491" s="138" t="s">
        <v>1583</v>
      </c>
      <c r="F491" s="141" t="n">
        <f aca="false">Estacas!F491</f>
        <v>11.6</v>
      </c>
      <c r="G491" s="141" t="n">
        <f aca="false">Estacas!F492</f>
        <v>12.2</v>
      </c>
      <c r="H491" s="141" t="n">
        <f aca="false">C491*(Estacas!K491+Estacas!K492)/2</f>
        <v>5.975</v>
      </c>
      <c r="I491" s="141" t="n">
        <f aca="false">H491*Parâmetros!$C$14</f>
        <v>14.34</v>
      </c>
      <c r="J491" s="141" t="n">
        <f aca="false">C491*(Estacas!L491+Estacas!L492)/2</f>
        <v>19.616</v>
      </c>
      <c r="K491" s="141" t="n">
        <f aca="false">C491*(Estacas!M491+Estacas!M492)/2</f>
        <v>25.64</v>
      </c>
      <c r="L491" s="141" t="n">
        <f aca="false">C491*(Estacas!N491+Estacas!N492)/2</f>
        <v>40.56</v>
      </c>
      <c r="M491" s="141" t="n">
        <f aca="false">C491*(Estacas!O491+Estacas!O492)/2</f>
        <v>121</v>
      </c>
      <c r="N491" s="141" t="n">
        <f aca="false">C491*(Estacas!O491+Estacas!O492)/2</f>
        <v>121</v>
      </c>
      <c r="O491" s="141" t="n">
        <f aca="false">C491*(Estacas!P491+Estacas!P492)/2</f>
        <v>138.2</v>
      </c>
      <c r="P491" s="141" t="n">
        <f aca="false">R491*Parâmetros!$C$11</f>
        <v>0</v>
      </c>
      <c r="Q491" s="141" t="n">
        <f aca="false">R491*Parâmetros!$C$12</f>
        <v>0</v>
      </c>
      <c r="R491" s="141" t="n">
        <f aca="false">C491*(Estacas!Q491+Estacas!Q492)/2</f>
        <v>0</v>
      </c>
      <c r="S491" s="141" t="n">
        <f aca="false">IF(LEFT(E491,3)="T09",C491*Parâmetros!$D$13*Parâmetros!$C$13,0)</f>
        <v>0</v>
      </c>
    </row>
    <row r="492" customFormat="false" ht="15" hidden="false" customHeight="false" outlineLevel="0" collapsed="false">
      <c r="A492" s="138" t="str">
        <f aca="false">Estacas!A492</f>
        <v>488+0,00</v>
      </c>
      <c r="B492" s="138" t="str">
        <f aca="false">Estacas!A493</f>
        <v>489+0,00</v>
      </c>
      <c r="C492" s="144" t="n">
        <f aca="false">Estacas!C493-Estacas!C492</f>
        <v>20</v>
      </c>
      <c r="D492" s="138" t="s">
        <v>1582</v>
      </c>
      <c r="E492" s="138" t="s">
        <v>1583</v>
      </c>
      <c r="F492" s="141" t="n">
        <f aca="false">Estacas!F492</f>
        <v>12.2</v>
      </c>
      <c r="G492" s="141" t="n">
        <f aca="false">Estacas!F493</f>
        <v>14</v>
      </c>
      <c r="H492" s="141" t="n">
        <f aca="false">C492*(Estacas!K492+Estacas!K493)/2</f>
        <v>13.15</v>
      </c>
      <c r="I492" s="141" t="n">
        <f aca="false">H492*Parâmetros!$C$14</f>
        <v>31.56</v>
      </c>
      <c r="J492" s="141" t="n">
        <f aca="false">C492*(Estacas!L492+Estacas!L493)/2</f>
        <v>43.072</v>
      </c>
      <c r="K492" s="141" t="n">
        <f aca="false">C492*(Estacas!M492+Estacas!M493)/2</f>
        <v>56.08</v>
      </c>
      <c r="L492" s="141" t="n">
        <f aca="false">C492*(Estacas!N492+Estacas!N493)/2</f>
        <v>88.32</v>
      </c>
      <c r="M492" s="141" t="n">
        <f aca="false">C492*(Estacas!O492+Estacas!O493)/2</f>
        <v>266</v>
      </c>
      <c r="N492" s="141" t="n">
        <f aca="false">C492*(Estacas!O492+Estacas!O493)/2</f>
        <v>266</v>
      </c>
      <c r="O492" s="141" t="n">
        <f aca="false">C492*(Estacas!P492+Estacas!P493)/2</f>
        <v>300.4</v>
      </c>
      <c r="P492" s="141" t="n">
        <f aca="false">R492*Parâmetros!$C$11</f>
        <v>0</v>
      </c>
      <c r="Q492" s="141" t="n">
        <f aca="false">R492*Parâmetros!$C$12</f>
        <v>0</v>
      </c>
      <c r="R492" s="141" t="n">
        <f aca="false">C492*(Estacas!Q492+Estacas!Q493)/2</f>
        <v>0</v>
      </c>
      <c r="S492" s="141" t="n">
        <f aca="false">IF(LEFT(E492,3)="T09",C492*Parâmetros!$D$13*Parâmetros!$C$13,0)</f>
        <v>0</v>
      </c>
    </row>
    <row r="493" customFormat="false" ht="15" hidden="false" customHeight="false" outlineLevel="0" collapsed="false">
      <c r="A493" s="138" t="str">
        <f aca="false">Estacas!A493</f>
        <v>489+0,00</v>
      </c>
      <c r="B493" s="138" t="str">
        <f aca="false">Estacas!A494</f>
        <v>490+0,00</v>
      </c>
      <c r="C493" s="144" t="n">
        <f aca="false">Estacas!C494-Estacas!C493</f>
        <v>20</v>
      </c>
      <c r="D493" s="138" t="s">
        <v>1582</v>
      </c>
      <c r="E493" s="138" t="s">
        <v>1583</v>
      </c>
      <c r="F493" s="141" t="n">
        <f aca="false">Estacas!F493</f>
        <v>14</v>
      </c>
      <c r="G493" s="141" t="n">
        <f aca="false">Estacas!F494</f>
        <v>14.9</v>
      </c>
      <c r="H493" s="141" t="n">
        <f aca="false">C493*(Estacas!K493+Estacas!K494)/2</f>
        <v>14.5</v>
      </c>
      <c r="I493" s="141" t="n">
        <f aca="false">H493*Parâmetros!$C$14</f>
        <v>34.8</v>
      </c>
      <c r="J493" s="141" t="n">
        <f aca="false">C493*(Estacas!L493+Estacas!L494)/2</f>
        <v>47.392</v>
      </c>
      <c r="K493" s="141" t="n">
        <f aca="false">C493*(Estacas!M493+Estacas!M494)/2</f>
        <v>61.48</v>
      </c>
      <c r="L493" s="141" t="n">
        <f aca="false">C493*(Estacas!N493+Estacas!N494)/2</f>
        <v>96.42</v>
      </c>
      <c r="M493" s="141" t="n">
        <f aca="false">C493*(Estacas!O493+Estacas!O494)/2</f>
        <v>293</v>
      </c>
      <c r="N493" s="141" t="n">
        <f aca="false">C493*(Estacas!O493+Estacas!O494)/2</f>
        <v>293</v>
      </c>
      <c r="O493" s="141" t="n">
        <f aca="false">C493*(Estacas!P493+Estacas!P494)/2</f>
        <v>327.4</v>
      </c>
      <c r="P493" s="141" t="n">
        <f aca="false">R493*Parâmetros!$C$11</f>
        <v>0</v>
      </c>
      <c r="Q493" s="141" t="n">
        <f aca="false">R493*Parâmetros!$C$12</f>
        <v>0</v>
      </c>
      <c r="R493" s="141" t="n">
        <f aca="false">C493*(Estacas!Q493+Estacas!Q494)/2</f>
        <v>0</v>
      </c>
      <c r="S493" s="141" t="n">
        <f aca="false">IF(LEFT(E493,3)="T09",C493*Parâmetros!$D$13*Parâmetros!$C$13,0)</f>
        <v>0</v>
      </c>
    </row>
    <row r="494" customFormat="false" ht="15" hidden="false" customHeight="false" outlineLevel="0" collapsed="false">
      <c r="A494" s="138" t="str">
        <f aca="false">Estacas!A494</f>
        <v>490+0,00</v>
      </c>
      <c r="B494" s="138" t="str">
        <f aca="false">Estacas!A495</f>
        <v>491+0,00</v>
      </c>
      <c r="C494" s="144" t="n">
        <f aca="false">Estacas!C495-Estacas!C494</f>
        <v>20</v>
      </c>
      <c r="D494" s="138" t="s">
        <v>1582</v>
      </c>
      <c r="E494" s="138" t="s">
        <v>1583</v>
      </c>
      <c r="F494" s="141" t="n">
        <f aca="false">Estacas!F494</f>
        <v>14.9</v>
      </c>
      <c r="G494" s="141" t="n">
        <f aca="false">Estacas!F495</f>
        <v>15.2</v>
      </c>
      <c r="H494" s="141" t="n">
        <f aca="false">C494*(Estacas!K494+Estacas!K495)/2</f>
        <v>15.1</v>
      </c>
      <c r="I494" s="141" t="n">
        <f aca="false">H494*Parâmetros!$C$14</f>
        <v>36.24</v>
      </c>
      <c r="J494" s="141" t="n">
        <f aca="false">C494*(Estacas!L494+Estacas!L495)/2</f>
        <v>49.312</v>
      </c>
      <c r="K494" s="141" t="n">
        <f aca="false">C494*(Estacas!M494+Estacas!M495)/2</f>
        <v>63.88</v>
      </c>
      <c r="L494" s="141" t="n">
        <f aca="false">C494*(Estacas!N494+Estacas!N495)/2</f>
        <v>100.02</v>
      </c>
      <c r="M494" s="141" t="n">
        <f aca="false">C494*(Estacas!O494+Estacas!O495)/2</f>
        <v>305</v>
      </c>
      <c r="N494" s="141" t="n">
        <f aca="false">C494*(Estacas!O494+Estacas!O495)/2</f>
        <v>305</v>
      </c>
      <c r="O494" s="141" t="n">
        <f aca="false">C494*(Estacas!P494+Estacas!P495)/2</f>
        <v>339.4</v>
      </c>
      <c r="P494" s="141" t="n">
        <f aca="false">R494*Parâmetros!$C$11</f>
        <v>0</v>
      </c>
      <c r="Q494" s="141" t="n">
        <f aca="false">R494*Parâmetros!$C$12</f>
        <v>0</v>
      </c>
      <c r="R494" s="141" t="n">
        <f aca="false">C494*(Estacas!Q494+Estacas!Q495)/2</f>
        <v>0</v>
      </c>
      <c r="S494" s="141" t="n">
        <f aca="false">IF(LEFT(E494,3)="T09",C494*Parâmetros!$D$13*Parâmetros!$C$13,0)</f>
        <v>0</v>
      </c>
    </row>
    <row r="495" customFormat="false" ht="15" hidden="false" customHeight="false" outlineLevel="0" collapsed="false">
      <c r="A495" s="138" t="str">
        <f aca="false">Estacas!A495</f>
        <v>491+0,00</v>
      </c>
      <c r="B495" s="138" t="str">
        <f aca="false">Estacas!A496</f>
        <v>492+0,00</v>
      </c>
      <c r="C495" s="144" t="n">
        <f aca="false">Estacas!C496-Estacas!C495</f>
        <v>20</v>
      </c>
      <c r="D495" s="138" t="s">
        <v>1582</v>
      </c>
      <c r="E495" s="138" t="s">
        <v>1583</v>
      </c>
      <c r="F495" s="141" t="n">
        <f aca="false">Estacas!F495</f>
        <v>15.2</v>
      </c>
      <c r="G495" s="141" t="n">
        <f aca="false">Estacas!F496</f>
        <v>15.7</v>
      </c>
      <c r="H495" s="141" t="n">
        <f aca="false">C495*(Estacas!K495+Estacas!K496)/2</f>
        <v>15.5</v>
      </c>
      <c r="I495" s="141" t="n">
        <f aca="false">H495*Parâmetros!$C$14</f>
        <v>37.2</v>
      </c>
      <c r="J495" s="141" t="n">
        <f aca="false">C495*(Estacas!L495+Estacas!L496)/2</f>
        <v>50.592</v>
      </c>
      <c r="K495" s="141" t="n">
        <f aca="false">C495*(Estacas!M495+Estacas!M496)/2</f>
        <v>65.48</v>
      </c>
      <c r="L495" s="141" t="n">
        <f aca="false">C495*(Estacas!N495+Estacas!N496)/2</f>
        <v>102.42</v>
      </c>
      <c r="M495" s="141" t="n">
        <f aca="false">C495*(Estacas!O495+Estacas!O496)/2</f>
        <v>313</v>
      </c>
      <c r="N495" s="141" t="n">
        <f aca="false">C495*(Estacas!O495+Estacas!O496)/2</f>
        <v>313</v>
      </c>
      <c r="O495" s="141" t="n">
        <f aca="false">C495*(Estacas!P495+Estacas!P496)/2</f>
        <v>347.4</v>
      </c>
      <c r="P495" s="141" t="n">
        <f aca="false">R495*Parâmetros!$C$11</f>
        <v>0</v>
      </c>
      <c r="Q495" s="141" t="n">
        <f aca="false">R495*Parâmetros!$C$12</f>
        <v>0</v>
      </c>
      <c r="R495" s="141" t="n">
        <f aca="false">C495*(Estacas!Q495+Estacas!Q496)/2</f>
        <v>0</v>
      </c>
      <c r="S495" s="141" t="n">
        <f aca="false">IF(LEFT(E495,3)="T09",C495*Parâmetros!$D$13*Parâmetros!$C$13,0)</f>
        <v>0</v>
      </c>
    </row>
    <row r="496" customFormat="false" ht="15" hidden="false" customHeight="false" outlineLevel="0" collapsed="false">
      <c r="A496" s="138" t="str">
        <f aca="false">Estacas!A496</f>
        <v>492+0,00</v>
      </c>
      <c r="B496" s="138" t="str">
        <f aca="false">Estacas!A497</f>
        <v>493+0,00</v>
      </c>
      <c r="C496" s="144" t="n">
        <f aca="false">Estacas!C497-Estacas!C496</f>
        <v>20</v>
      </c>
      <c r="D496" s="138" t="s">
        <v>1586</v>
      </c>
      <c r="E496" s="138" t="s">
        <v>1587</v>
      </c>
      <c r="F496" s="141" t="n">
        <f aca="false">Estacas!F496</f>
        <v>15.7</v>
      </c>
      <c r="G496" s="141" t="n">
        <f aca="false">Estacas!F497</f>
        <v>16.7</v>
      </c>
      <c r="H496" s="141" t="n">
        <f aca="false">C496*(Estacas!K496+Estacas!K497)/2</f>
        <v>16.25</v>
      </c>
      <c r="I496" s="141" t="n">
        <f aca="false">H496*Parâmetros!$C$14</f>
        <v>39</v>
      </c>
      <c r="J496" s="141" t="n">
        <f aca="false">C496*(Estacas!L496+Estacas!L497)/2</f>
        <v>52.992</v>
      </c>
      <c r="K496" s="141" t="n">
        <f aca="false">C496*(Estacas!M496+Estacas!M497)/2</f>
        <v>68.48</v>
      </c>
      <c r="L496" s="141" t="n">
        <f aca="false">C496*(Estacas!N496+Estacas!N497)/2</f>
        <v>106.92</v>
      </c>
      <c r="M496" s="141" t="n">
        <f aca="false">C496*(Estacas!O496+Estacas!O497)/2</f>
        <v>328</v>
      </c>
      <c r="N496" s="141" t="n">
        <f aca="false">C496*(Estacas!O496+Estacas!O497)/2</f>
        <v>328</v>
      </c>
      <c r="O496" s="141" t="n">
        <f aca="false">C496*(Estacas!P496+Estacas!P497)/2</f>
        <v>362.4</v>
      </c>
      <c r="P496" s="141" t="n">
        <f aca="false">R496*Parâmetros!$C$11</f>
        <v>0</v>
      </c>
      <c r="Q496" s="141" t="n">
        <f aca="false">R496*Parâmetros!$C$12</f>
        <v>0</v>
      </c>
      <c r="R496" s="141" t="n">
        <f aca="false">C496*(Estacas!Q496+Estacas!Q497)/2</f>
        <v>0</v>
      </c>
      <c r="S496" s="141" t="n">
        <f aca="false">IF(LEFT(E496,3)="T09",C496*Parâmetros!$D$13*Parâmetros!$C$13,0)</f>
        <v>0</v>
      </c>
    </row>
    <row r="497" customFormat="false" ht="15" hidden="false" customHeight="false" outlineLevel="0" collapsed="false">
      <c r="A497" s="138" t="str">
        <f aca="false">Estacas!A497</f>
        <v>493+0,00</v>
      </c>
      <c r="B497" s="138" t="str">
        <f aca="false">Estacas!A498</f>
        <v>494+0,00</v>
      </c>
      <c r="C497" s="144" t="n">
        <f aca="false">Estacas!C498-Estacas!C497</f>
        <v>20</v>
      </c>
      <c r="D497" s="138" t="s">
        <v>1586</v>
      </c>
      <c r="E497" s="138" t="s">
        <v>1587</v>
      </c>
      <c r="F497" s="141" t="n">
        <f aca="false">Estacas!F497</f>
        <v>16.7</v>
      </c>
      <c r="G497" s="141" t="n">
        <f aca="false">Estacas!F498</f>
        <v>17</v>
      </c>
      <c r="H497" s="141" t="n">
        <f aca="false">C497*(Estacas!K497+Estacas!K498)/2</f>
        <v>16.9</v>
      </c>
      <c r="I497" s="141" t="n">
        <f aca="false">H497*Parâmetros!$C$14</f>
        <v>40.56</v>
      </c>
      <c r="J497" s="141" t="n">
        <f aca="false">C497*(Estacas!L497+Estacas!L498)/2</f>
        <v>55.072</v>
      </c>
      <c r="K497" s="141" t="n">
        <f aca="false">C497*(Estacas!M497+Estacas!M498)/2</f>
        <v>71.08</v>
      </c>
      <c r="L497" s="141" t="n">
        <f aca="false">C497*(Estacas!N497+Estacas!N498)/2</f>
        <v>110.82</v>
      </c>
      <c r="M497" s="141" t="n">
        <f aca="false">C497*(Estacas!O497+Estacas!O498)/2</f>
        <v>341</v>
      </c>
      <c r="N497" s="141" t="n">
        <f aca="false">C497*(Estacas!O497+Estacas!O498)/2</f>
        <v>341</v>
      </c>
      <c r="O497" s="141" t="n">
        <f aca="false">C497*(Estacas!P497+Estacas!P498)/2</f>
        <v>375.4</v>
      </c>
      <c r="P497" s="141" t="n">
        <f aca="false">R497*Parâmetros!$C$11</f>
        <v>0</v>
      </c>
      <c r="Q497" s="141" t="n">
        <f aca="false">R497*Parâmetros!$C$12</f>
        <v>0</v>
      </c>
      <c r="R497" s="141" t="n">
        <f aca="false">C497*(Estacas!Q497+Estacas!Q498)/2</f>
        <v>0</v>
      </c>
      <c r="S497" s="141" t="n">
        <f aca="false">IF(LEFT(E497,3)="T09",C497*Parâmetros!$D$13*Parâmetros!$C$13,0)</f>
        <v>0</v>
      </c>
    </row>
    <row r="498" customFormat="false" ht="15" hidden="false" customHeight="false" outlineLevel="0" collapsed="false">
      <c r="A498" s="138" t="str">
        <f aca="false">Estacas!A498</f>
        <v>494+0,00</v>
      </c>
      <c r="B498" s="138" t="str">
        <f aca="false">Estacas!A499</f>
        <v>495+0,00</v>
      </c>
      <c r="C498" s="144" t="n">
        <f aca="false">Estacas!C499-Estacas!C498</f>
        <v>20</v>
      </c>
      <c r="D498" s="138" t="s">
        <v>1586</v>
      </c>
      <c r="E498" s="138" t="s">
        <v>1587</v>
      </c>
      <c r="F498" s="141" t="n">
        <f aca="false">Estacas!F498</f>
        <v>17</v>
      </c>
      <c r="G498" s="141" t="n">
        <f aca="false">Estacas!F499</f>
        <v>15.8</v>
      </c>
      <c r="H498" s="141" t="n">
        <f aca="false">C498*(Estacas!K498+Estacas!K499)/2</f>
        <v>16.45</v>
      </c>
      <c r="I498" s="141" t="n">
        <f aca="false">H498*Parâmetros!$C$14</f>
        <v>39.48</v>
      </c>
      <c r="J498" s="141" t="n">
        <f aca="false">C498*(Estacas!L498+Estacas!L499)/2</f>
        <v>53.632</v>
      </c>
      <c r="K498" s="141" t="n">
        <f aca="false">C498*(Estacas!M498+Estacas!M499)/2</f>
        <v>69.28</v>
      </c>
      <c r="L498" s="141" t="n">
        <f aca="false">C498*(Estacas!N498+Estacas!N499)/2</f>
        <v>108.12</v>
      </c>
      <c r="M498" s="141" t="n">
        <f aca="false">C498*(Estacas!O498+Estacas!O499)/2</f>
        <v>332</v>
      </c>
      <c r="N498" s="141" t="n">
        <f aca="false">C498*(Estacas!O498+Estacas!O499)/2</f>
        <v>332</v>
      </c>
      <c r="O498" s="141" t="n">
        <f aca="false">C498*(Estacas!P498+Estacas!P499)/2</f>
        <v>366.4</v>
      </c>
      <c r="P498" s="141" t="n">
        <f aca="false">R498*Parâmetros!$C$11</f>
        <v>0</v>
      </c>
      <c r="Q498" s="141" t="n">
        <f aca="false">R498*Parâmetros!$C$12</f>
        <v>0</v>
      </c>
      <c r="R498" s="141" t="n">
        <f aca="false">C498*(Estacas!Q498+Estacas!Q499)/2</f>
        <v>0</v>
      </c>
      <c r="S498" s="141" t="n">
        <f aca="false">IF(LEFT(E498,3)="T09",C498*Parâmetros!$D$13*Parâmetros!$C$13,0)</f>
        <v>0</v>
      </c>
    </row>
    <row r="499" customFormat="false" ht="15" hidden="false" customHeight="false" outlineLevel="0" collapsed="false">
      <c r="A499" s="138" t="str">
        <f aca="false">Estacas!A499</f>
        <v>495+0,00</v>
      </c>
      <c r="B499" s="138" t="str">
        <f aca="false">Estacas!A500</f>
        <v>496+0,00</v>
      </c>
      <c r="C499" s="144" t="n">
        <f aca="false">Estacas!C500-Estacas!C499</f>
        <v>20</v>
      </c>
      <c r="D499" s="138" t="s">
        <v>1586</v>
      </c>
      <c r="E499" s="138" t="s">
        <v>1587</v>
      </c>
      <c r="F499" s="141" t="n">
        <f aca="false">Estacas!F499</f>
        <v>15.8</v>
      </c>
      <c r="G499" s="141" t="n">
        <f aca="false">Estacas!F500</f>
        <v>14.7</v>
      </c>
      <c r="H499" s="141" t="n">
        <f aca="false">C499*(Estacas!K499+Estacas!K500)/2</f>
        <v>15.3</v>
      </c>
      <c r="I499" s="141" t="n">
        <f aca="false">H499*Parâmetros!$C$14</f>
        <v>36.72</v>
      </c>
      <c r="J499" s="141" t="n">
        <f aca="false">C499*(Estacas!L499+Estacas!L500)/2</f>
        <v>49.952</v>
      </c>
      <c r="K499" s="141" t="n">
        <f aca="false">C499*(Estacas!M499+Estacas!M500)/2</f>
        <v>64.68</v>
      </c>
      <c r="L499" s="141" t="n">
        <f aca="false">C499*(Estacas!N499+Estacas!N500)/2</f>
        <v>101.22</v>
      </c>
      <c r="M499" s="141" t="n">
        <f aca="false">C499*(Estacas!O499+Estacas!O500)/2</f>
        <v>309</v>
      </c>
      <c r="N499" s="141" t="n">
        <f aca="false">C499*(Estacas!O499+Estacas!O500)/2</f>
        <v>309</v>
      </c>
      <c r="O499" s="141" t="n">
        <f aca="false">C499*(Estacas!P499+Estacas!P500)/2</f>
        <v>343.4</v>
      </c>
      <c r="P499" s="141" t="n">
        <f aca="false">R499*Parâmetros!$C$11</f>
        <v>0</v>
      </c>
      <c r="Q499" s="141" t="n">
        <f aca="false">R499*Parâmetros!$C$12</f>
        <v>0</v>
      </c>
      <c r="R499" s="141" t="n">
        <f aca="false">C499*(Estacas!Q499+Estacas!Q500)/2</f>
        <v>0</v>
      </c>
      <c r="S499" s="141" t="n">
        <f aca="false">IF(LEFT(E499,3)="T09",C499*Parâmetros!$D$13*Parâmetros!$C$13,0)</f>
        <v>0</v>
      </c>
    </row>
    <row r="500" customFormat="false" ht="15" hidden="false" customHeight="false" outlineLevel="0" collapsed="false">
      <c r="A500" s="138" t="str">
        <f aca="false">Estacas!A500</f>
        <v>496+0,00</v>
      </c>
      <c r="B500" s="138" t="str">
        <f aca="false">Estacas!A501</f>
        <v>497+0,00</v>
      </c>
      <c r="C500" s="144" t="n">
        <f aca="false">Estacas!C501-Estacas!C500</f>
        <v>20</v>
      </c>
      <c r="D500" s="138" t="s">
        <v>1590</v>
      </c>
      <c r="E500" s="138" t="s">
        <v>1591</v>
      </c>
      <c r="F500" s="141" t="n">
        <f aca="false">Estacas!F500</f>
        <v>14.7</v>
      </c>
      <c r="G500" s="141" t="n">
        <f aca="false">Estacas!F501</f>
        <v>13.5</v>
      </c>
      <c r="H500" s="141" t="n">
        <f aca="false">C500*(Estacas!K500+Estacas!K501)/2</f>
        <v>14.15</v>
      </c>
      <c r="I500" s="141" t="n">
        <f aca="false">H500*Parâmetros!$C$14</f>
        <v>33.96</v>
      </c>
      <c r="J500" s="141" t="n">
        <f aca="false">C500*(Estacas!L500+Estacas!L501)/2</f>
        <v>46.272</v>
      </c>
      <c r="K500" s="141" t="n">
        <f aca="false">C500*(Estacas!M500+Estacas!M501)/2</f>
        <v>60.08</v>
      </c>
      <c r="L500" s="141" t="n">
        <f aca="false">C500*(Estacas!N500+Estacas!N501)/2</f>
        <v>94.32</v>
      </c>
      <c r="M500" s="141" t="n">
        <f aca="false">C500*(Estacas!O500+Estacas!O501)/2</f>
        <v>286</v>
      </c>
      <c r="N500" s="141" t="n">
        <f aca="false">C500*(Estacas!O500+Estacas!O501)/2</f>
        <v>286</v>
      </c>
      <c r="O500" s="141" t="n">
        <f aca="false">C500*(Estacas!P500+Estacas!P501)/2</f>
        <v>320.4</v>
      </c>
      <c r="P500" s="141" t="n">
        <f aca="false">R500*Parâmetros!$C$11</f>
        <v>0</v>
      </c>
      <c r="Q500" s="141" t="n">
        <f aca="false">R500*Parâmetros!$C$12</f>
        <v>0</v>
      </c>
      <c r="R500" s="141" t="n">
        <f aca="false">C500*(Estacas!Q500+Estacas!Q501)/2</f>
        <v>0</v>
      </c>
      <c r="S500" s="141" t="n">
        <f aca="false">IF(LEFT(E500,3)="T09",C500*Parâmetros!$D$13*Parâmetros!$C$13,0)</f>
        <v>0</v>
      </c>
    </row>
    <row r="501" customFormat="false" ht="15" hidden="false" customHeight="false" outlineLevel="0" collapsed="false">
      <c r="A501" s="138" t="str">
        <f aca="false">Estacas!A501</f>
        <v>497+0,00</v>
      </c>
      <c r="B501" s="138" t="str">
        <f aca="false">Estacas!A502</f>
        <v>498+0,00</v>
      </c>
      <c r="C501" s="144" t="n">
        <f aca="false">Estacas!C502-Estacas!C501</f>
        <v>20</v>
      </c>
      <c r="D501" s="138" t="s">
        <v>1590</v>
      </c>
      <c r="E501" s="138" t="s">
        <v>1591</v>
      </c>
      <c r="F501" s="141" t="n">
        <f aca="false">Estacas!F501</f>
        <v>13.5</v>
      </c>
      <c r="G501" s="141" t="n">
        <f aca="false">Estacas!F502</f>
        <v>14.6</v>
      </c>
      <c r="H501" s="141" t="n">
        <f aca="false">C501*(Estacas!K501+Estacas!K502)/2</f>
        <v>14.1</v>
      </c>
      <c r="I501" s="141" t="n">
        <f aca="false">H501*Parâmetros!$C$14</f>
        <v>33.84</v>
      </c>
      <c r="J501" s="141" t="n">
        <f aca="false">C501*(Estacas!L501+Estacas!L502)/2</f>
        <v>46.112</v>
      </c>
      <c r="K501" s="141" t="n">
        <f aca="false">C501*(Estacas!M501+Estacas!M502)/2</f>
        <v>59.88</v>
      </c>
      <c r="L501" s="141" t="n">
        <f aca="false">C501*(Estacas!N501+Estacas!N502)/2</f>
        <v>94.02</v>
      </c>
      <c r="M501" s="141" t="n">
        <f aca="false">C501*(Estacas!O501+Estacas!O502)/2</f>
        <v>285</v>
      </c>
      <c r="N501" s="141" t="n">
        <f aca="false">C501*(Estacas!O501+Estacas!O502)/2</f>
        <v>285</v>
      </c>
      <c r="O501" s="141" t="n">
        <f aca="false">C501*(Estacas!P501+Estacas!P502)/2</f>
        <v>319.4</v>
      </c>
      <c r="P501" s="141" t="n">
        <f aca="false">R501*Parâmetros!$C$11</f>
        <v>0</v>
      </c>
      <c r="Q501" s="141" t="n">
        <f aca="false">R501*Parâmetros!$C$12</f>
        <v>0</v>
      </c>
      <c r="R501" s="141" t="n">
        <f aca="false">C501*(Estacas!Q501+Estacas!Q502)/2</f>
        <v>0</v>
      </c>
      <c r="S501" s="141" t="n">
        <f aca="false">IF(LEFT(E501,3)="T09",C501*Parâmetros!$D$13*Parâmetros!$C$13,0)</f>
        <v>0</v>
      </c>
    </row>
    <row r="502" customFormat="false" ht="15" hidden="false" customHeight="false" outlineLevel="0" collapsed="false">
      <c r="A502" s="138" t="str">
        <f aca="false">Estacas!A502</f>
        <v>498+0,00</v>
      </c>
      <c r="B502" s="138" t="str">
        <f aca="false">Estacas!A503</f>
        <v>499+0,00</v>
      </c>
      <c r="C502" s="144" t="n">
        <f aca="false">Estacas!C503-Estacas!C502</f>
        <v>20</v>
      </c>
      <c r="D502" s="138" t="s">
        <v>1590</v>
      </c>
      <c r="E502" s="138" t="s">
        <v>1591</v>
      </c>
      <c r="F502" s="141" t="n">
        <f aca="false">Estacas!F502</f>
        <v>14.6</v>
      </c>
      <c r="G502" s="141" t="n">
        <f aca="false">Estacas!F503</f>
        <v>15.8</v>
      </c>
      <c r="H502" s="141" t="n">
        <f aca="false">C502*(Estacas!K502+Estacas!K503)/2</f>
        <v>15.25</v>
      </c>
      <c r="I502" s="141" t="n">
        <f aca="false">H502*Parâmetros!$C$14</f>
        <v>36.6</v>
      </c>
      <c r="J502" s="141" t="n">
        <f aca="false">C502*(Estacas!L502+Estacas!L503)/2</f>
        <v>49.792</v>
      </c>
      <c r="K502" s="141" t="n">
        <f aca="false">C502*(Estacas!M502+Estacas!M503)/2</f>
        <v>64.48</v>
      </c>
      <c r="L502" s="141" t="n">
        <f aca="false">C502*(Estacas!N502+Estacas!N503)/2</f>
        <v>100.92</v>
      </c>
      <c r="M502" s="141" t="n">
        <f aca="false">C502*(Estacas!O502+Estacas!O503)/2</f>
        <v>308</v>
      </c>
      <c r="N502" s="141" t="n">
        <f aca="false">C502*(Estacas!O502+Estacas!O503)/2</f>
        <v>308</v>
      </c>
      <c r="O502" s="141" t="n">
        <f aca="false">C502*(Estacas!P502+Estacas!P503)/2</f>
        <v>342.4</v>
      </c>
      <c r="P502" s="141" t="n">
        <f aca="false">R502*Parâmetros!$C$11</f>
        <v>0</v>
      </c>
      <c r="Q502" s="141" t="n">
        <f aca="false">R502*Parâmetros!$C$12</f>
        <v>0</v>
      </c>
      <c r="R502" s="141" t="n">
        <f aca="false">C502*(Estacas!Q502+Estacas!Q503)/2</f>
        <v>0</v>
      </c>
      <c r="S502" s="141" t="n">
        <f aca="false">IF(LEFT(E502,3)="T09",C502*Parâmetros!$D$13*Parâmetros!$C$13,0)</f>
        <v>0</v>
      </c>
    </row>
    <row r="503" customFormat="false" ht="15" hidden="false" customHeight="false" outlineLevel="0" collapsed="false">
      <c r="A503" s="138" t="str">
        <f aca="false">Estacas!A503</f>
        <v>499+0,00</v>
      </c>
      <c r="B503" s="138" t="str">
        <f aca="false">Estacas!A504</f>
        <v>500+0,00</v>
      </c>
      <c r="C503" s="144" t="n">
        <f aca="false">Estacas!C504-Estacas!C503</f>
        <v>20</v>
      </c>
      <c r="D503" s="138" t="s">
        <v>1590</v>
      </c>
      <c r="E503" s="138" t="s">
        <v>1591</v>
      </c>
      <c r="F503" s="141" t="n">
        <f aca="false">Estacas!F503</f>
        <v>15.8</v>
      </c>
      <c r="G503" s="141" t="n">
        <f aca="false">Estacas!F504</f>
        <v>16</v>
      </c>
      <c r="H503" s="141" t="n">
        <f aca="false">C503*(Estacas!K503+Estacas!K504)/2</f>
        <v>15.95</v>
      </c>
      <c r="I503" s="141" t="n">
        <f aca="false">H503*Parâmetros!$C$14</f>
        <v>38.28</v>
      </c>
      <c r="J503" s="141" t="n">
        <f aca="false">C503*(Estacas!L503+Estacas!L504)/2</f>
        <v>52.032</v>
      </c>
      <c r="K503" s="141" t="n">
        <f aca="false">C503*(Estacas!M503+Estacas!M504)/2</f>
        <v>67.28</v>
      </c>
      <c r="L503" s="141" t="n">
        <f aca="false">C503*(Estacas!N503+Estacas!N504)/2</f>
        <v>105.12</v>
      </c>
      <c r="M503" s="141" t="n">
        <f aca="false">C503*(Estacas!O503+Estacas!O504)/2</f>
        <v>322</v>
      </c>
      <c r="N503" s="141" t="n">
        <f aca="false">C503*(Estacas!O503+Estacas!O504)/2</f>
        <v>322</v>
      </c>
      <c r="O503" s="141" t="n">
        <f aca="false">C503*(Estacas!P503+Estacas!P504)/2</f>
        <v>356.4</v>
      </c>
      <c r="P503" s="141" t="n">
        <f aca="false">R503*Parâmetros!$C$11</f>
        <v>0</v>
      </c>
      <c r="Q503" s="141" t="n">
        <f aca="false">R503*Parâmetros!$C$12</f>
        <v>0</v>
      </c>
      <c r="R503" s="141" t="n">
        <f aca="false">C503*(Estacas!Q503+Estacas!Q504)/2</f>
        <v>0</v>
      </c>
      <c r="S503" s="141" t="n">
        <f aca="false">IF(LEFT(E503,3)="T09",C503*Parâmetros!$D$13*Parâmetros!$C$13,0)</f>
        <v>0</v>
      </c>
    </row>
    <row r="504" customFormat="false" ht="15" hidden="false" customHeight="false" outlineLevel="0" collapsed="false">
      <c r="A504" s="138" t="str">
        <f aca="false">Estacas!A504</f>
        <v>500+0,00</v>
      </c>
      <c r="B504" s="138" t="str">
        <f aca="false">Estacas!A505</f>
        <v>501+0,00</v>
      </c>
      <c r="C504" s="144" t="n">
        <f aca="false">Estacas!C505-Estacas!C504</f>
        <v>20</v>
      </c>
      <c r="D504" s="138" t="s">
        <v>1590</v>
      </c>
      <c r="E504" s="138" t="s">
        <v>1591</v>
      </c>
      <c r="F504" s="141" t="n">
        <f aca="false">Estacas!F504</f>
        <v>16</v>
      </c>
      <c r="G504" s="141" t="n">
        <f aca="false">Estacas!F505</f>
        <v>15.5</v>
      </c>
      <c r="H504" s="141" t="n">
        <f aca="false">C504*(Estacas!K504+Estacas!K505)/2</f>
        <v>15.8</v>
      </c>
      <c r="I504" s="141" t="n">
        <f aca="false">H504*Parâmetros!$C$14</f>
        <v>37.92</v>
      </c>
      <c r="J504" s="141" t="n">
        <f aca="false">C504*(Estacas!L504+Estacas!L505)/2</f>
        <v>51.552</v>
      </c>
      <c r="K504" s="141" t="n">
        <f aca="false">C504*(Estacas!M504+Estacas!M505)/2</f>
        <v>66.68</v>
      </c>
      <c r="L504" s="141" t="n">
        <f aca="false">C504*(Estacas!N504+Estacas!N505)/2</f>
        <v>104.22</v>
      </c>
      <c r="M504" s="141" t="n">
        <f aca="false">C504*(Estacas!O504+Estacas!O505)/2</f>
        <v>319</v>
      </c>
      <c r="N504" s="141" t="n">
        <f aca="false">C504*(Estacas!O504+Estacas!O505)/2</f>
        <v>319</v>
      </c>
      <c r="O504" s="141" t="n">
        <f aca="false">C504*(Estacas!P504+Estacas!P505)/2</f>
        <v>353.4</v>
      </c>
      <c r="P504" s="141" t="n">
        <f aca="false">R504*Parâmetros!$C$11</f>
        <v>0</v>
      </c>
      <c r="Q504" s="141" t="n">
        <f aca="false">R504*Parâmetros!$C$12</f>
        <v>0</v>
      </c>
      <c r="R504" s="141" t="n">
        <f aca="false">C504*(Estacas!Q504+Estacas!Q505)/2</f>
        <v>0</v>
      </c>
      <c r="S504" s="141" t="n">
        <f aca="false">IF(LEFT(E504,3)="T09",C504*Parâmetros!$D$13*Parâmetros!$C$13,0)</f>
        <v>0</v>
      </c>
    </row>
    <row r="505" customFormat="false" ht="15" hidden="false" customHeight="false" outlineLevel="0" collapsed="false">
      <c r="A505" s="138" t="str">
        <f aca="false">Estacas!A505</f>
        <v>501+0,00</v>
      </c>
      <c r="B505" s="138" t="str">
        <f aca="false">Estacas!A506</f>
        <v>502+0,00</v>
      </c>
      <c r="C505" s="144" t="n">
        <f aca="false">Estacas!C506-Estacas!C505</f>
        <v>20</v>
      </c>
      <c r="D505" s="138" t="s">
        <v>1590</v>
      </c>
      <c r="E505" s="138" t="s">
        <v>1591</v>
      </c>
      <c r="F505" s="141" t="n">
        <f aca="false">Estacas!F505</f>
        <v>15.5</v>
      </c>
      <c r="G505" s="141" t="n">
        <f aca="false">Estacas!F506</f>
        <v>14.1</v>
      </c>
      <c r="H505" s="141" t="n">
        <f aca="false">C505*(Estacas!K505+Estacas!K506)/2</f>
        <v>14.85</v>
      </c>
      <c r="I505" s="141" t="n">
        <f aca="false">H505*Parâmetros!$C$14</f>
        <v>35.64</v>
      </c>
      <c r="J505" s="141" t="n">
        <f aca="false">C505*(Estacas!L505+Estacas!L506)/2</f>
        <v>48.512</v>
      </c>
      <c r="K505" s="141" t="n">
        <f aca="false">C505*(Estacas!M505+Estacas!M506)/2</f>
        <v>62.88</v>
      </c>
      <c r="L505" s="141" t="n">
        <f aca="false">C505*(Estacas!N505+Estacas!N506)/2</f>
        <v>98.52</v>
      </c>
      <c r="M505" s="141" t="n">
        <f aca="false">C505*(Estacas!O505+Estacas!O506)/2</f>
        <v>300</v>
      </c>
      <c r="N505" s="141" t="n">
        <f aca="false">C505*(Estacas!O505+Estacas!O506)/2</f>
        <v>300</v>
      </c>
      <c r="O505" s="141" t="n">
        <f aca="false">C505*(Estacas!P505+Estacas!P506)/2</f>
        <v>334.4</v>
      </c>
      <c r="P505" s="141" t="n">
        <f aca="false">R505*Parâmetros!$C$11</f>
        <v>0</v>
      </c>
      <c r="Q505" s="141" t="n">
        <f aca="false">R505*Parâmetros!$C$12</f>
        <v>0</v>
      </c>
      <c r="R505" s="141" t="n">
        <f aca="false">C505*(Estacas!Q505+Estacas!Q506)/2</f>
        <v>0</v>
      </c>
      <c r="S505" s="141" t="n">
        <f aca="false">IF(LEFT(E505,3)="T09",C505*Parâmetros!$D$13*Parâmetros!$C$13,0)</f>
        <v>0</v>
      </c>
    </row>
    <row r="506" customFormat="false" ht="15" hidden="false" customHeight="false" outlineLevel="0" collapsed="false">
      <c r="A506" s="138" t="str">
        <f aca="false">Estacas!A506</f>
        <v>502+0,00</v>
      </c>
      <c r="B506" s="138" t="str">
        <f aca="false">Estacas!A507</f>
        <v>503+0,00</v>
      </c>
      <c r="C506" s="144" t="n">
        <f aca="false">Estacas!C507-Estacas!C506</f>
        <v>20</v>
      </c>
      <c r="D506" s="138" t="s">
        <v>1590</v>
      </c>
      <c r="E506" s="138" t="s">
        <v>1591</v>
      </c>
      <c r="F506" s="141" t="n">
        <f aca="false">Estacas!F506</f>
        <v>14.1</v>
      </c>
      <c r="G506" s="141" t="n">
        <f aca="false">Estacas!F507</f>
        <v>13.5</v>
      </c>
      <c r="H506" s="141" t="n">
        <f aca="false">C506*(Estacas!K506+Estacas!K507)/2</f>
        <v>13.85</v>
      </c>
      <c r="I506" s="141" t="n">
        <f aca="false">H506*Parâmetros!$C$14</f>
        <v>33.24</v>
      </c>
      <c r="J506" s="141" t="n">
        <f aca="false">C506*(Estacas!L506+Estacas!L507)/2</f>
        <v>45.312</v>
      </c>
      <c r="K506" s="141" t="n">
        <f aca="false">C506*(Estacas!M506+Estacas!M507)/2</f>
        <v>58.88</v>
      </c>
      <c r="L506" s="141" t="n">
        <f aca="false">C506*(Estacas!N506+Estacas!N507)/2</f>
        <v>92.52</v>
      </c>
      <c r="M506" s="141" t="n">
        <f aca="false">C506*(Estacas!O506+Estacas!O507)/2</f>
        <v>280</v>
      </c>
      <c r="N506" s="141" t="n">
        <f aca="false">C506*(Estacas!O506+Estacas!O507)/2</f>
        <v>280</v>
      </c>
      <c r="O506" s="141" t="n">
        <f aca="false">C506*(Estacas!P506+Estacas!P507)/2</f>
        <v>314.4</v>
      </c>
      <c r="P506" s="141" t="n">
        <f aca="false">R506*Parâmetros!$C$11</f>
        <v>0</v>
      </c>
      <c r="Q506" s="141" t="n">
        <f aca="false">R506*Parâmetros!$C$12</f>
        <v>0</v>
      </c>
      <c r="R506" s="141" t="n">
        <f aca="false">C506*(Estacas!Q506+Estacas!Q507)/2</f>
        <v>0</v>
      </c>
      <c r="S506" s="141" t="n">
        <f aca="false">IF(LEFT(E506,3)="T09",C506*Parâmetros!$D$13*Parâmetros!$C$13,0)</f>
        <v>0</v>
      </c>
    </row>
    <row r="507" customFormat="false" ht="15" hidden="false" customHeight="false" outlineLevel="0" collapsed="false">
      <c r="A507" s="138" t="str">
        <f aca="false">Estacas!A507</f>
        <v>503+0,00</v>
      </c>
      <c r="B507" s="138" t="str">
        <f aca="false">Estacas!A508</f>
        <v>504+0,00</v>
      </c>
      <c r="C507" s="144" t="n">
        <f aca="false">Estacas!C508-Estacas!C507</f>
        <v>20</v>
      </c>
      <c r="D507" s="138" t="s">
        <v>1590</v>
      </c>
      <c r="E507" s="138" t="s">
        <v>1591</v>
      </c>
      <c r="F507" s="141" t="n">
        <f aca="false">Estacas!F507</f>
        <v>13.5</v>
      </c>
      <c r="G507" s="141" t="n">
        <f aca="false">Estacas!F508</f>
        <v>13.5</v>
      </c>
      <c r="H507" s="141" t="n">
        <f aca="false">C507*(Estacas!K507+Estacas!K508)/2</f>
        <v>13.55</v>
      </c>
      <c r="I507" s="141" t="n">
        <f aca="false">H507*Parâmetros!$C$14</f>
        <v>32.52</v>
      </c>
      <c r="J507" s="141" t="n">
        <f aca="false">C507*(Estacas!L507+Estacas!L508)/2</f>
        <v>44.352</v>
      </c>
      <c r="K507" s="141" t="n">
        <f aca="false">C507*(Estacas!M507+Estacas!M508)/2</f>
        <v>57.68</v>
      </c>
      <c r="L507" s="141" t="n">
        <f aca="false">C507*(Estacas!N507+Estacas!N508)/2</f>
        <v>90.72</v>
      </c>
      <c r="M507" s="141" t="n">
        <f aca="false">C507*(Estacas!O507+Estacas!O508)/2</f>
        <v>274</v>
      </c>
      <c r="N507" s="141" t="n">
        <f aca="false">C507*(Estacas!O507+Estacas!O508)/2</f>
        <v>274</v>
      </c>
      <c r="O507" s="141" t="n">
        <f aca="false">C507*(Estacas!P507+Estacas!P508)/2</f>
        <v>308.4</v>
      </c>
      <c r="P507" s="141" t="n">
        <f aca="false">R507*Parâmetros!$C$11</f>
        <v>0</v>
      </c>
      <c r="Q507" s="141" t="n">
        <f aca="false">R507*Parâmetros!$C$12</f>
        <v>0</v>
      </c>
      <c r="R507" s="141" t="n">
        <f aca="false">C507*(Estacas!Q507+Estacas!Q508)/2</f>
        <v>0</v>
      </c>
      <c r="S507" s="141" t="n">
        <f aca="false">IF(LEFT(E507,3)="T09",C507*Parâmetros!$D$13*Parâmetros!$C$13,0)</f>
        <v>0</v>
      </c>
    </row>
    <row r="508" customFormat="false" ht="15" hidden="false" customHeight="false" outlineLevel="0" collapsed="false">
      <c r="A508" s="138" t="str">
        <f aca="false">Estacas!A508</f>
        <v>504+0,00</v>
      </c>
      <c r="B508" s="138" t="str">
        <f aca="false">Estacas!A509</f>
        <v>505+0,00</v>
      </c>
      <c r="C508" s="144" t="n">
        <f aca="false">Estacas!C509-Estacas!C508</f>
        <v>20</v>
      </c>
      <c r="D508" s="138" t="s">
        <v>1590</v>
      </c>
      <c r="E508" s="138" t="s">
        <v>1591</v>
      </c>
      <c r="F508" s="141" t="n">
        <f aca="false">Estacas!F508</f>
        <v>13.5</v>
      </c>
      <c r="G508" s="141" t="n">
        <f aca="false">Estacas!F509</f>
        <v>13.5</v>
      </c>
      <c r="H508" s="141" t="n">
        <f aca="false">C508*(Estacas!K508+Estacas!K509)/2</f>
        <v>13.55</v>
      </c>
      <c r="I508" s="141" t="n">
        <f aca="false">H508*Parâmetros!$C$14</f>
        <v>32.52</v>
      </c>
      <c r="J508" s="141" t="n">
        <f aca="false">C508*(Estacas!L508+Estacas!L509)/2</f>
        <v>44.352</v>
      </c>
      <c r="K508" s="141" t="n">
        <f aca="false">C508*(Estacas!M508+Estacas!M509)/2</f>
        <v>57.68</v>
      </c>
      <c r="L508" s="141" t="n">
        <f aca="false">C508*(Estacas!N508+Estacas!N509)/2</f>
        <v>90.72</v>
      </c>
      <c r="M508" s="141" t="n">
        <f aca="false">C508*(Estacas!O508+Estacas!O509)/2</f>
        <v>274</v>
      </c>
      <c r="N508" s="141" t="n">
        <f aca="false">C508*(Estacas!O508+Estacas!O509)/2</f>
        <v>274</v>
      </c>
      <c r="O508" s="141" t="n">
        <f aca="false">C508*(Estacas!P508+Estacas!P509)/2</f>
        <v>308.4</v>
      </c>
      <c r="P508" s="141" t="n">
        <f aca="false">R508*Parâmetros!$C$11</f>
        <v>0</v>
      </c>
      <c r="Q508" s="141" t="n">
        <f aca="false">R508*Parâmetros!$C$12</f>
        <v>0</v>
      </c>
      <c r="R508" s="141" t="n">
        <f aca="false">C508*(Estacas!Q508+Estacas!Q509)/2</f>
        <v>0</v>
      </c>
      <c r="S508" s="141" t="n">
        <f aca="false">IF(LEFT(E508,3)="T09",C508*Parâmetros!$D$13*Parâmetros!$C$13,0)</f>
        <v>0</v>
      </c>
    </row>
    <row r="509" customFormat="false" ht="15" hidden="false" customHeight="false" outlineLevel="0" collapsed="false">
      <c r="A509" s="138" t="str">
        <f aca="false">Estacas!A509</f>
        <v>505+0,00</v>
      </c>
      <c r="B509" s="138" t="str">
        <f aca="false">Estacas!A510</f>
        <v>506+0,00</v>
      </c>
      <c r="C509" s="144" t="n">
        <f aca="false">Estacas!C510-Estacas!C509</f>
        <v>20</v>
      </c>
      <c r="D509" s="138" t="s">
        <v>1590</v>
      </c>
      <c r="E509" s="138" t="s">
        <v>1591</v>
      </c>
      <c r="F509" s="141" t="n">
        <f aca="false">Estacas!F509</f>
        <v>13.5</v>
      </c>
      <c r="G509" s="141" t="n">
        <f aca="false">Estacas!F510</f>
        <v>13.5</v>
      </c>
      <c r="H509" s="141" t="n">
        <f aca="false">C509*(Estacas!K509+Estacas!K510)/2</f>
        <v>13.55</v>
      </c>
      <c r="I509" s="141" t="n">
        <f aca="false">H509*Parâmetros!$C$14</f>
        <v>32.52</v>
      </c>
      <c r="J509" s="141" t="n">
        <f aca="false">C509*(Estacas!L509+Estacas!L510)/2</f>
        <v>44.352</v>
      </c>
      <c r="K509" s="141" t="n">
        <f aca="false">C509*(Estacas!M509+Estacas!M510)/2</f>
        <v>57.68</v>
      </c>
      <c r="L509" s="141" t="n">
        <f aca="false">C509*(Estacas!N509+Estacas!N510)/2</f>
        <v>90.72</v>
      </c>
      <c r="M509" s="141" t="n">
        <f aca="false">C509*(Estacas!O509+Estacas!O510)/2</f>
        <v>274</v>
      </c>
      <c r="N509" s="141" t="n">
        <f aca="false">C509*(Estacas!O509+Estacas!O510)/2</f>
        <v>274</v>
      </c>
      <c r="O509" s="141" t="n">
        <f aca="false">C509*(Estacas!P509+Estacas!P510)/2</f>
        <v>308.4</v>
      </c>
      <c r="P509" s="141" t="n">
        <f aca="false">R509*Parâmetros!$C$11</f>
        <v>0</v>
      </c>
      <c r="Q509" s="141" t="n">
        <f aca="false">R509*Parâmetros!$C$12</f>
        <v>0</v>
      </c>
      <c r="R509" s="141" t="n">
        <f aca="false">C509*(Estacas!Q509+Estacas!Q510)/2</f>
        <v>0</v>
      </c>
      <c r="S509" s="141" t="n">
        <f aca="false">IF(LEFT(E509,3)="T09",C509*Parâmetros!$D$13*Parâmetros!$C$13,0)</f>
        <v>0</v>
      </c>
    </row>
    <row r="510" customFormat="false" ht="15" hidden="false" customHeight="false" outlineLevel="0" collapsed="false">
      <c r="A510" s="138" t="str">
        <f aca="false">Estacas!A510</f>
        <v>506+0,00</v>
      </c>
      <c r="B510" s="138" t="str">
        <f aca="false">Estacas!A511</f>
        <v>507+0,00</v>
      </c>
      <c r="C510" s="144" t="n">
        <f aca="false">Estacas!C511-Estacas!C510</f>
        <v>20</v>
      </c>
      <c r="D510" s="138" t="s">
        <v>1590</v>
      </c>
      <c r="E510" s="138" t="s">
        <v>1591</v>
      </c>
      <c r="F510" s="141" t="n">
        <f aca="false">Estacas!F510</f>
        <v>13.5</v>
      </c>
      <c r="G510" s="141" t="n">
        <f aca="false">Estacas!F511</f>
        <v>13.5</v>
      </c>
      <c r="H510" s="141" t="n">
        <f aca="false">C510*(Estacas!K510+Estacas!K511)/2</f>
        <v>13.55</v>
      </c>
      <c r="I510" s="141" t="n">
        <f aca="false">H510*Parâmetros!$C$14</f>
        <v>32.52</v>
      </c>
      <c r="J510" s="141" t="n">
        <f aca="false">C510*(Estacas!L510+Estacas!L511)/2</f>
        <v>44.352</v>
      </c>
      <c r="K510" s="141" t="n">
        <f aca="false">C510*(Estacas!M510+Estacas!M511)/2</f>
        <v>57.68</v>
      </c>
      <c r="L510" s="141" t="n">
        <f aca="false">C510*(Estacas!N510+Estacas!N511)/2</f>
        <v>90.72</v>
      </c>
      <c r="M510" s="141" t="n">
        <f aca="false">C510*(Estacas!O510+Estacas!O511)/2</f>
        <v>274</v>
      </c>
      <c r="N510" s="141" t="n">
        <f aca="false">C510*(Estacas!O510+Estacas!O511)/2</f>
        <v>274</v>
      </c>
      <c r="O510" s="141" t="n">
        <f aca="false">C510*(Estacas!P510+Estacas!P511)/2</f>
        <v>308.4</v>
      </c>
      <c r="P510" s="141" t="n">
        <f aca="false">R510*Parâmetros!$C$11</f>
        <v>0</v>
      </c>
      <c r="Q510" s="141" t="n">
        <f aca="false">R510*Parâmetros!$C$12</f>
        <v>0</v>
      </c>
      <c r="R510" s="141" t="n">
        <f aca="false">C510*(Estacas!Q510+Estacas!Q511)/2</f>
        <v>0</v>
      </c>
      <c r="S510" s="141" t="n">
        <f aca="false">IF(LEFT(E510,3)="T09",C510*Parâmetros!$D$13*Parâmetros!$C$13,0)</f>
        <v>0</v>
      </c>
    </row>
    <row r="511" customFormat="false" ht="15" hidden="false" customHeight="false" outlineLevel="0" collapsed="false">
      <c r="A511" s="138" t="str">
        <f aca="false">Estacas!A511</f>
        <v>507+0,00</v>
      </c>
      <c r="B511" s="138" t="str">
        <f aca="false">Estacas!A512</f>
        <v>508+0,00</v>
      </c>
      <c r="C511" s="144" t="n">
        <f aca="false">Estacas!C512-Estacas!C511</f>
        <v>20</v>
      </c>
      <c r="D511" s="138" t="s">
        <v>1590</v>
      </c>
      <c r="E511" s="138" t="s">
        <v>1591</v>
      </c>
      <c r="F511" s="141" t="n">
        <f aca="false">Estacas!F511</f>
        <v>13.5</v>
      </c>
      <c r="G511" s="141" t="n">
        <f aca="false">Estacas!F512</f>
        <v>13.5</v>
      </c>
      <c r="H511" s="141" t="n">
        <f aca="false">C511*(Estacas!K511+Estacas!K512)/2</f>
        <v>13.55</v>
      </c>
      <c r="I511" s="141" t="n">
        <f aca="false">H511*Parâmetros!$C$14</f>
        <v>32.52</v>
      </c>
      <c r="J511" s="141" t="n">
        <f aca="false">C511*(Estacas!L511+Estacas!L512)/2</f>
        <v>44.352</v>
      </c>
      <c r="K511" s="141" t="n">
        <f aca="false">C511*(Estacas!M511+Estacas!M512)/2</f>
        <v>57.68</v>
      </c>
      <c r="L511" s="141" t="n">
        <f aca="false">C511*(Estacas!N511+Estacas!N512)/2</f>
        <v>90.72</v>
      </c>
      <c r="M511" s="141" t="n">
        <f aca="false">C511*(Estacas!O511+Estacas!O512)/2</f>
        <v>274</v>
      </c>
      <c r="N511" s="141" t="n">
        <f aca="false">C511*(Estacas!O511+Estacas!O512)/2</f>
        <v>274</v>
      </c>
      <c r="O511" s="141" t="n">
        <f aca="false">C511*(Estacas!P511+Estacas!P512)/2</f>
        <v>308.4</v>
      </c>
      <c r="P511" s="141" t="n">
        <f aca="false">R511*Parâmetros!$C$11</f>
        <v>0</v>
      </c>
      <c r="Q511" s="141" t="n">
        <f aca="false">R511*Parâmetros!$C$12</f>
        <v>0</v>
      </c>
      <c r="R511" s="141" t="n">
        <f aca="false">C511*(Estacas!Q511+Estacas!Q512)/2</f>
        <v>0</v>
      </c>
      <c r="S511" s="141" t="n">
        <f aca="false">IF(LEFT(E511,3)="T09",C511*Parâmetros!$D$13*Parâmetros!$C$13,0)</f>
        <v>0</v>
      </c>
    </row>
    <row r="512" customFormat="false" ht="15" hidden="false" customHeight="false" outlineLevel="0" collapsed="false">
      <c r="A512" s="138" t="str">
        <f aca="false">Estacas!A512</f>
        <v>508+0,00</v>
      </c>
      <c r="B512" s="138" t="str">
        <f aca="false">Estacas!A513</f>
        <v>509+0,00</v>
      </c>
      <c r="C512" s="144" t="n">
        <f aca="false">Estacas!C513-Estacas!C512</f>
        <v>20</v>
      </c>
      <c r="D512" s="138" t="s">
        <v>1590</v>
      </c>
      <c r="E512" s="138" t="s">
        <v>1591</v>
      </c>
      <c r="F512" s="141" t="n">
        <f aca="false">Estacas!F512</f>
        <v>13.5</v>
      </c>
      <c r="G512" s="141" t="n">
        <f aca="false">Estacas!F513</f>
        <v>13.6</v>
      </c>
      <c r="H512" s="141" t="n">
        <f aca="false">C512*(Estacas!K512+Estacas!K513)/2</f>
        <v>13.6</v>
      </c>
      <c r="I512" s="141" t="n">
        <f aca="false">H512*Parâmetros!$C$14</f>
        <v>32.64</v>
      </c>
      <c r="J512" s="141" t="n">
        <f aca="false">C512*(Estacas!L512+Estacas!L513)/2</f>
        <v>44.512</v>
      </c>
      <c r="K512" s="141" t="n">
        <f aca="false">C512*(Estacas!M512+Estacas!M513)/2</f>
        <v>57.88</v>
      </c>
      <c r="L512" s="141" t="n">
        <f aca="false">C512*(Estacas!N512+Estacas!N513)/2</f>
        <v>91.02</v>
      </c>
      <c r="M512" s="141" t="n">
        <f aca="false">C512*(Estacas!O512+Estacas!O513)/2</f>
        <v>275</v>
      </c>
      <c r="N512" s="141" t="n">
        <f aca="false">C512*(Estacas!O512+Estacas!O513)/2</f>
        <v>275</v>
      </c>
      <c r="O512" s="141" t="n">
        <f aca="false">C512*(Estacas!P512+Estacas!P513)/2</f>
        <v>309.4</v>
      </c>
      <c r="P512" s="141" t="n">
        <f aca="false">R512*Parâmetros!$C$11</f>
        <v>0</v>
      </c>
      <c r="Q512" s="141" t="n">
        <f aca="false">R512*Parâmetros!$C$12</f>
        <v>0</v>
      </c>
      <c r="R512" s="141" t="n">
        <f aca="false">C512*(Estacas!Q512+Estacas!Q513)/2</f>
        <v>0</v>
      </c>
      <c r="S512" s="141" t="n">
        <f aca="false">IF(LEFT(E512,3)="T09",C512*Parâmetros!$D$13*Parâmetros!$C$13,0)</f>
        <v>0</v>
      </c>
    </row>
    <row r="513" customFormat="false" ht="15" hidden="false" customHeight="false" outlineLevel="0" collapsed="false">
      <c r="A513" s="138" t="str">
        <f aca="false">Estacas!A513</f>
        <v>509+0,00</v>
      </c>
      <c r="B513" s="138" t="str">
        <f aca="false">Estacas!A514</f>
        <v>510+0,00</v>
      </c>
      <c r="C513" s="144" t="n">
        <f aca="false">Estacas!C514-Estacas!C513</f>
        <v>20</v>
      </c>
      <c r="D513" s="138" t="s">
        <v>1590</v>
      </c>
      <c r="E513" s="138" t="s">
        <v>1591</v>
      </c>
      <c r="F513" s="141" t="n">
        <f aca="false">Estacas!F513</f>
        <v>13.6</v>
      </c>
      <c r="G513" s="141" t="n">
        <f aca="false">Estacas!F514</f>
        <v>13.6</v>
      </c>
      <c r="H513" s="141" t="n">
        <f aca="false">C513*(Estacas!K513+Estacas!K514)/2</f>
        <v>13.65</v>
      </c>
      <c r="I513" s="141" t="n">
        <f aca="false">H513*Parâmetros!$C$14</f>
        <v>32.76</v>
      </c>
      <c r="J513" s="141" t="n">
        <f aca="false">C513*(Estacas!L513+Estacas!L514)/2</f>
        <v>44.672</v>
      </c>
      <c r="K513" s="141" t="n">
        <f aca="false">C513*(Estacas!M513+Estacas!M514)/2</f>
        <v>58.08</v>
      </c>
      <c r="L513" s="141" t="n">
        <f aca="false">C513*(Estacas!N513+Estacas!N514)/2</f>
        <v>91.32</v>
      </c>
      <c r="M513" s="141" t="n">
        <f aca="false">C513*(Estacas!O513+Estacas!O514)/2</f>
        <v>276</v>
      </c>
      <c r="N513" s="141" t="n">
        <f aca="false">C513*(Estacas!O513+Estacas!O514)/2</f>
        <v>276</v>
      </c>
      <c r="O513" s="141" t="n">
        <f aca="false">C513*(Estacas!P513+Estacas!P514)/2</f>
        <v>310.4</v>
      </c>
      <c r="P513" s="141" t="n">
        <f aca="false">R513*Parâmetros!$C$11</f>
        <v>0</v>
      </c>
      <c r="Q513" s="141" t="n">
        <f aca="false">R513*Parâmetros!$C$12</f>
        <v>0</v>
      </c>
      <c r="R513" s="141" t="n">
        <f aca="false">C513*(Estacas!Q513+Estacas!Q514)/2</f>
        <v>0</v>
      </c>
      <c r="S513" s="141" t="n">
        <f aca="false">IF(LEFT(E513,3)="T09",C513*Parâmetros!$D$13*Parâmetros!$C$13,0)</f>
        <v>0</v>
      </c>
    </row>
    <row r="514" customFormat="false" ht="15" hidden="false" customHeight="false" outlineLevel="0" collapsed="false">
      <c r="A514" s="138" t="str">
        <f aca="false">Estacas!A514</f>
        <v>510+0,00</v>
      </c>
      <c r="B514" s="138" t="str">
        <f aca="false">Estacas!A515</f>
        <v>511+0,00</v>
      </c>
      <c r="C514" s="144" t="n">
        <f aca="false">Estacas!C515-Estacas!C514</f>
        <v>20</v>
      </c>
      <c r="D514" s="138" t="s">
        <v>1590</v>
      </c>
      <c r="E514" s="138" t="s">
        <v>1591</v>
      </c>
      <c r="F514" s="141" t="n">
        <f aca="false">Estacas!F514</f>
        <v>13.6</v>
      </c>
      <c r="G514" s="141" t="n">
        <f aca="false">Estacas!F515</f>
        <v>13.5</v>
      </c>
      <c r="H514" s="141" t="n">
        <f aca="false">C514*(Estacas!K514+Estacas!K515)/2</f>
        <v>13.6</v>
      </c>
      <c r="I514" s="141" t="n">
        <f aca="false">H514*Parâmetros!$C$14</f>
        <v>32.64</v>
      </c>
      <c r="J514" s="141" t="n">
        <f aca="false">C514*(Estacas!L514+Estacas!L515)/2</f>
        <v>44.512</v>
      </c>
      <c r="K514" s="141" t="n">
        <f aca="false">C514*(Estacas!M514+Estacas!M515)/2</f>
        <v>57.88</v>
      </c>
      <c r="L514" s="141" t="n">
        <f aca="false">C514*(Estacas!N514+Estacas!N515)/2</f>
        <v>91.02</v>
      </c>
      <c r="M514" s="141" t="n">
        <f aca="false">C514*(Estacas!O514+Estacas!O515)/2</f>
        <v>275</v>
      </c>
      <c r="N514" s="141" t="n">
        <f aca="false">C514*(Estacas!O514+Estacas!O515)/2</f>
        <v>275</v>
      </c>
      <c r="O514" s="141" t="n">
        <f aca="false">C514*(Estacas!P514+Estacas!P515)/2</f>
        <v>309.4</v>
      </c>
      <c r="P514" s="141" t="n">
        <f aca="false">R514*Parâmetros!$C$11</f>
        <v>0</v>
      </c>
      <c r="Q514" s="141" t="n">
        <f aca="false">R514*Parâmetros!$C$12</f>
        <v>0</v>
      </c>
      <c r="R514" s="141" t="n">
        <f aca="false">C514*(Estacas!Q514+Estacas!Q515)/2</f>
        <v>0</v>
      </c>
      <c r="S514" s="141" t="n">
        <f aca="false">IF(LEFT(E514,3)="T09",C514*Parâmetros!$D$13*Parâmetros!$C$13,0)</f>
        <v>0</v>
      </c>
    </row>
    <row r="515" customFormat="false" ht="15" hidden="false" customHeight="false" outlineLevel="0" collapsed="false">
      <c r="A515" s="138" t="str">
        <f aca="false">Estacas!A515</f>
        <v>511+0,00</v>
      </c>
      <c r="B515" s="138" t="str">
        <f aca="false">Estacas!A516</f>
        <v>512+0,00</v>
      </c>
      <c r="C515" s="144" t="n">
        <f aca="false">Estacas!C516-Estacas!C515</f>
        <v>20</v>
      </c>
      <c r="D515" s="138" t="s">
        <v>1590</v>
      </c>
      <c r="E515" s="138" t="s">
        <v>1591</v>
      </c>
      <c r="F515" s="141" t="n">
        <f aca="false">Estacas!F515</f>
        <v>13.5</v>
      </c>
      <c r="G515" s="141" t="n">
        <f aca="false">Estacas!F516</f>
        <v>13.5</v>
      </c>
      <c r="H515" s="141" t="n">
        <f aca="false">C515*(Estacas!K515+Estacas!K516)/2</f>
        <v>13.55</v>
      </c>
      <c r="I515" s="141" t="n">
        <f aca="false">H515*Parâmetros!$C$14</f>
        <v>32.52</v>
      </c>
      <c r="J515" s="141" t="n">
        <f aca="false">C515*(Estacas!L515+Estacas!L516)/2</f>
        <v>44.352</v>
      </c>
      <c r="K515" s="141" t="n">
        <f aca="false">C515*(Estacas!M515+Estacas!M516)/2</f>
        <v>57.68</v>
      </c>
      <c r="L515" s="141" t="n">
        <f aca="false">C515*(Estacas!N515+Estacas!N516)/2</f>
        <v>90.72</v>
      </c>
      <c r="M515" s="141" t="n">
        <f aca="false">C515*(Estacas!O515+Estacas!O516)/2</f>
        <v>274</v>
      </c>
      <c r="N515" s="141" t="n">
        <f aca="false">C515*(Estacas!O515+Estacas!O516)/2</f>
        <v>274</v>
      </c>
      <c r="O515" s="141" t="n">
        <f aca="false">C515*(Estacas!P515+Estacas!P516)/2</f>
        <v>308.4</v>
      </c>
      <c r="P515" s="141" t="n">
        <f aca="false">R515*Parâmetros!$C$11</f>
        <v>0</v>
      </c>
      <c r="Q515" s="141" t="n">
        <f aca="false">R515*Parâmetros!$C$12</f>
        <v>0</v>
      </c>
      <c r="R515" s="141" t="n">
        <f aca="false">C515*(Estacas!Q515+Estacas!Q516)/2</f>
        <v>0</v>
      </c>
      <c r="S515" s="141" t="n">
        <f aca="false">IF(LEFT(E515,3)="T09",C515*Parâmetros!$D$13*Parâmetros!$C$13,0)</f>
        <v>0</v>
      </c>
    </row>
    <row r="516" customFormat="false" ht="15" hidden="false" customHeight="false" outlineLevel="0" collapsed="false">
      <c r="A516" s="138" t="str">
        <f aca="false">Estacas!A516</f>
        <v>512+0,00</v>
      </c>
      <c r="B516" s="138" t="str">
        <f aca="false">Estacas!A517</f>
        <v>513+0,00</v>
      </c>
      <c r="C516" s="144" t="n">
        <f aca="false">Estacas!C517-Estacas!C516</f>
        <v>20</v>
      </c>
      <c r="D516" s="138" t="s">
        <v>1590</v>
      </c>
      <c r="E516" s="138" t="s">
        <v>1591</v>
      </c>
      <c r="F516" s="141" t="n">
        <f aca="false">Estacas!F516</f>
        <v>13.5</v>
      </c>
      <c r="G516" s="141" t="n">
        <f aca="false">Estacas!F517</f>
        <v>13.5</v>
      </c>
      <c r="H516" s="141" t="n">
        <f aca="false">C516*(Estacas!K516+Estacas!K517)/2</f>
        <v>13.55</v>
      </c>
      <c r="I516" s="141" t="n">
        <f aca="false">H516*Parâmetros!$C$14</f>
        <v>32.52</v>
      </c>
      <c r="J516" s="141" t="n">
        <f aca="false">C516*(Estacas!L516+Estacas!L517)/2</f>
        <v>44.352</v>
      </c>
      <c r="K516" s="141" t="n">
        <f aca="false">C516*(Estacas!M516+Estacas!M517)/2</f>
        <v>57.68</v>
      </c>
      <c r="L516" s="141" t="n">
        <f aca="false">C516*(Estacas!N516+Estacas!N517)/2</f>
        <v>90.72</v>
      </c>
      <c r="M516" s="141" t="n">
        <f aca="false">C516*(Estacas!O516+Estacas!O517)/2</f>
        <v>274</v>
      </c>
      <c r="N516" s="141" t="n">
        <f aca="false">C516*(Estacas!O516+Estacas!O517)/2</f>
        <v>274</v>
      </c>
      <c r="O516" s="141" t="n">
        <f aca="false">C516*(Estacas!P516+Estacas!P517)/2</f>
        <v>308.4</v>
      </c>
      <c r="P516" s="141" t="n">
        <f aca="false">R516*Parâmetros!$C$11</f>
        <v>0</v>
      </c>
      <c r="Q516" s="141" t="n">
        <f aca="false">R516*Parâmetros!$C$12</f>
        <v>0</v>
      </c>
      <c r="R516" s="141" t="n">
        <f aca="false">C516*(Estacas!Q516+Estacas!Q517)/2</f>
        <v>0</v>
      </c>
      <c r="S516" s="141" t="n">
        <f aca="false">IF(LEFT(E516,3)="T09",C516*Parâmetros!$D$13*Parâmetros!$C$13,0)</f>
        <v>0</v>
      </c>
    </row>
    <row r="517" customFormat="false" ht="15" hidden="false" customHeight="false" outlineLevel="0" collapsed="false">
      <c r="A517" s="138" t="str">
        <f aca="false">Estacas!A517</f>
        <v>513+0,00</v>
      </c>
      <c r="B517" s="138" t="str">
        <f aca="false">Estacas!A518</f>
        <v>514+0,00</v>
      </c>
      <c r="C517" s="144" t="n">
        <f aca="false">Estacas!C518-Estacas!C517</f>
        <v>20</v>
      </c>
      <c r="D517" s="138" t="s">
        <v>1590</v>
      </c>
      <c r="E517" s="138" t="s">
        <v>1591</v>
      </c>
      <c r="F517" s="141" t="n">
        <f aca="false">Estacas!F517</f>
        <v>13.5</v>
      </c>
      <c r="G517" s="141" t="n">
        <f aca="false">Estacas!F518</f>
        <v>13</v>
      </c>
      <c r="H517" s="141" t="n">
        <f aca="false">C517*(Estacas!K517+Estacas!K518)/2</f>
        <v>13.3</v>
      </c>
      <c r="I517" s="141" t="n">
        <f aca="false">H517*Parâmetros!$C$14</f>
        <v>31.92</v>
      </c>
      <c r="J517" s="141" t="n">
        <f aca="false">C517*(Estacas!L517+Estacas!L518)/2</f>
        <v>43.552</v>
      </c>
      <c r="K517" s="141" t="n">
        <f aca="false">C517*(Estacas!M517+Estacas!M518)/2</f>
        <v>56.68</v>
      </c>
      <c r="L517" s="141" t="n">
        <f aca="false">C517*(Estacas!N517+Estacas!N518)/2</f>
        <v>89.22</v>
      </c>
      <c r="M517" s="141" t="n">
        <f aca="false">C517*(Estacas!O517+Estacas!O518)/2</f>
        <v>269</v>
      </c>
      <c r="N517" s="141" t="n">
        <f aca="false">C517*(Estacas!O517+Estacas!O518)/2</f>
        <v>269</v>
      </c>
      <c r="O517" s="141" t="n">
        <f aca="false">C517*(Estacas!P517+Estacas!P518)/2</f>
        <v>303.4</v>
      </c>
      <c r="P517" s="141" t="n">
        <f aca="false">R517*Parâmetros!$C$11</f>
        <v>0</v>
      </c>
      <c r="Q517" s="141" t="n">
        <f aca="false">R517*Parâmetros!$C$12</f>
        <v>0</v>
      </c>
      <c r="R517" s="141" t="n">
        <f aca="false">C517*(Estacas!Q517+Estacas!Q518)/2</f>
        <v>0</v>
      </c>
      <c r="S517" s="141" t="n">
        <f aca="false">IF(LEFT(E517,3)="T09",C517*Parâmetros!$D$13*Parâmetros!$C$13,0)</f>
        <v>0</v>
      </c>
    </row>
    <row r="518" customFormat="false" ht="15" hidden="false" customHeight="false" outlineLevel="0" collapsed="false">
      <c r="A518" s="138" t="str">
        <f aca="false">Estacas!A518</f>
        <v>514+0,00</v>
      </c>
      <c r="B518" s="138" t="str">
        <f aca="false">Estacas!A519</f>
        <v>515+0,00</v>
      </c>
      <c r="C518" s="144" t="n">
        <f aca="false">Estacas!C519-Estacas!C518</f>
        <v>20</v>
      </c>
      <c r="D518" s="138" t="s">
        <v>1590</v>
      </c>
      <c r="E518" s="138" t="s">
        <v>1591</v>
      </c>
      <c r="F518" s="141" t="n">
        <f aca="false">Estacas!F518</f>
        <v>13</v>
      </c>
      <c r="G518" s="141" t="n">
        <f aca="false">Estacas!F519</f>
        <v>11.6</v>
      </c>
      <c r="H518" s="141" t="n">
        <f aca="false">C518*(Estacas!K518+Estacas!K519)/2</f>
        <v>12.35</v>
      </c>
      <c r="I518" s="141" t="n">
        <f aca="false">H518*Parâmetros!$C$14</f>
        <v>29.64</v>
      </c>
      <c r="J518" s="141" t="n">
        <f aca="false">C518*(Estacas!L518+Estacas!L519)/2</f>
        <v>40.512</v>
      </c>
      <c r="K518" s="141" t="n">
        <f aca="false">C518*(Estacas!M518+Estacas!M519)/2</f>
        <v>52.88</v>
      </c>
      <c r="L518" s="141" t="n">
        <f aca="false">C518*(Estacas!N518+Estacas!N519)/2</f>
        <v>83.52</v>
      </c>
      <c r="M518" s="141" t="n">
        <f aca="false">C518*(Estacas!O518+Estacas!O519)/2</f>
        <v>250</v>
      </c>
      <c r="N518" s="141" t="n">
        <f aca="false">C518*(Estacas!O518+Estacas!O519)/2</f>
        <v>250</v>
      </c>
      <c r="O518" s="141" t="n">
        <f aca="false">C518*(Estacas!P518+Estacas!P519)/2</f>
        <v>284.4</v>
      </c>
      <c r="P518" s="141" t="n">
        <f aca="false">R518*Parâmetros!$C$11</f>
        <v>0</v>
      </c>
      <c r="Q518" s="141" t="n">
        <f aca="false">R518*Parâmetros!$C$12</f>
        <v>0</v>
      </c>
      <c r="R518" s="141" t="n">
        <f aca="false">C518*(Estacas!Q518+Estacas!Q519)/2</f>
        <v>0</v>
      </c>
      <c r="S518" s="141" t="n">
        <f aca="false">IF(LEFT(E518,3)="T09",C518*Parâmetros!$D$13*Parâmetros!$C$13,0)</f>
        <v>0</v>
      </c>
    </row>
    <row r="519" customFormat="false" ht="15" hidden="false" customHeight="false" outlineLevel="0" collapsed="false">
      <c r="A519" s="138" t="str">
        <f aca="false">Estacas!A519</f>
        <v>515+0,00</v>
      </c>
      <c r="B519" s="138" t="str">
        <f aca="false">Estacas!A520</f>
        <v>516+0,00</v>
      </c>
      <c r="C519" s="144" t="n">
        <f aca="false">Estacas!C520-Estacas!C519</f>
        <v>20</v>
      </c>
      <c r="D519" s="138" t="s">
        <v>1590</v>
      </c>
      <c r="E519" s="138" t="s">
        <v>1591</v>
      </c>
      <c r="F519" s="141" t="n">
        <f aca="false">Estacas!F519</f>
        <v>11.6</v>
      </c>
      <c r="G519" s="141" t="n">
        <f aca="false">Estacas!F520</f>
        <v>11</v>
      </c>
      <c r="H519" s="141" t="n">
        <f aca="false">C519*(Estacas!K519+Estacas!K520)/2</f>
        <v>11.35</v>
      </c>
      <c r="I519" s="141" t="n">
        <f aca="false">H519*Parâmetros!$C$14</f>
        <v>27.24</v>
      </c>
      <c r="J519" s="141" t="n">
        <f aca="false">C519*(Estacas!L519+Estacas!L520)/2</f>
        <v>37.312</v>
      </c>
      <c r="K519" s="141" t="n">
        <f aca="false">C519*(Estacas!M519+Estacas!M520)/2</f>
        <v>48.88</v>
      </c>
      <c r="L519" s="141" t="n">
        <f aca="false">C519*(Estacas!N519+Estacas!N520)/2</f>
        <v>77.52</v>
      </c>
      <c r="M519" s="141" t="n">
        <f aca="false">C519*(Estacas!O519+Estacas!O520)/2</f>
        <v>230</v>
      </c>
      <c r="N519" s="141" t="n">
        <f aca="false">C519*(Estacas!O519+Estacas!O520)/2</f>
        <v>230</v>
      </c>
      <c r="O519" s="141" t="n">
        <f aca="false">C519*(Estacas!P519+Estacas!P520)/2</f>
        <v>264.4</v>
      </c>
      <c r="P519" s="141" t="n">
        <f aca="false">R519*Parâmetros!$C$11</f>
        <v>0</v>
      </c>
      <c r="Q519" s="141" t="n">
        <f aca="false">R519*Parâmetros!$C$12</f>
        <v>0</v>
      </c>
      <c r="R519" s="141" t="n">
        <f aca="false">C519*(Estacas!Q519+Estacas!Q520)/2</f>
        <v>0</v>
      </c>
      <c r="S519" s="141" t="n">
        <f aca="false">IF(LEFT(E519,3)="T09",C519*Parâmetros!$D$13*Parâmetros!$C$13,0)</f>
        <v>0</v>
      </c>
    </row>
    <row r="520" customFormat="false" ht="15" hidden="false" customHeight="false" outlineLevel="0" collapsed="false">
      <c r="A520" s="138" t="str">
        <f aca="false">Estacas!A520</f>
        <v>516+0,00</v>
      </c>
      <c r="B520" s="138" t="str">
        <f aca="false">Estacas!A521</f>
        <v>516+10,00</v>
      </c>
      <c r="C520" s="144" t="n">
        <f aca="false">Estacas!C521-Estacas!C520</f>
        <v>10</v>
      </c>
      <c r="D520" s="138" t="s">
        <v>1590</v>
      </c>
      <c r="E520" s="138" t="s">
        <v>1591</v>
      </c>
      <c r="F520" s="141" t="n">
        <f aca="false">Estacas!F520</f>
        <v>11</v>
      </c>
      <c r="G520" s="141" t="n">
        <f aca="false">Estacas!F521</f>
        <v>11</v>
      </c>
      <c r="H520" s="141" t="n">
        <f aca="false">C520*(Estacas!K520+Estacas!K521)/2</f>
        <v>5.525</v>
      </c>
      <c r="I520" s="141" t="n">
        <f aca="false">H520*Parâmetros!$C$14</f>
        <v>13.26</v>
      </c>
      <c r="J520" s="141" t="n">
        <f aca="false">C520*(Estacas!L520+Estacas!L521)/2</f>
        <v>18.176</v>
      </c>
      <c r="K520" s="141" t="n">
        <f aca="false">C520*(Estacas!M520+Estacas!M521)/2</f>
        <v>23.84</v>
      </c>
      <c r="L520" s="141" t="n">
        <f aca="false">C520*(Estacas!N520+Estacas!N521)/2</f>
        <v>37.86</v>
      </c>
      <c r="M520" s="141" t="n">
        <f aca="false">C520*(Estacas!O520+Estacas!O521)/2</f>
        <v>112</v>
      </c>
      <c r="N520" s="141" t="n">
        <f aca="false">C520*(Estacas!O520+Estacas!O521)/2</f>
        <v>112</v>
      </c>
      <c r="O520" s="141" t="n">
        <f aca="false">C520*(Estacas!P520+Estacas!P521)/2</f>
        <v>129.2</v>
      </c>
      <c r="P520" s="141" t="n">
        <f aca="false">R520*Parâmetros!$C$11</f>
        <v>0</v>
      </c>
      <c r="Q520" s="141" t="n">
        <f aca="false">R520*Parâmetros!$C$12</f>
        <v>0</v>
      </c>
      <c r="R520" s="141" t="n">
        <f aca="false">C520*(Estacas!Q520+Estacas!Q521)/2</f>
        <v>0</v>
      </c>
      <c r="S520" s="141" t="n">
        <f aca="false">IF(LEFT(E520,3)="T09",C520*Parâmetros!$D$13*Parâmetros!$C$13,0)</f>
        <v>0</v>
      </c>
    </row>
    <row r="521" customFormat="false" ht="15" hidden="false" customHeight="false" outlineLevel="0" collapsed="false">
      <c r="A521" s="138" t="str">
        <f aca="false">Estacas!A521</f>
        <v>516+10,00</v>
      </c>
      <c r="B521" s="138" t="str">
        <f aca="false">Estacas!A522</f>
        <v>517+0,00</v>
      </c>
      <c r="C521" s="144" t="n">
        <f aca="false">Estacas!C522-Estacas!C521</f>
        <v>10</v>
      </c>
      <c r="D521" s="138" t="s">
        <v>1594</v>
      </c>
      <c r="E521" s="138" t="s">
        <v>1566</v>
      </c>
      <c r="F521" s="141" t="n">
        <f aca="false">Estacas!F521</f>
        <v>11</v>
      </c>
      <c r="G521" s="141" t="n">
        <f aca="false">Estacas!F522</f>
        <v>11</v>
      </c>
      <c r="H521" s="141" t="n">
        <f aca="false">C521*(Estacas!K521+Estacas!K522)/2</f>
        <v>5.525</v>
      </c>
      <c r="I521" s="141" t="n">
        <f aca="false">H521*Parâmetros!$C$14</f>
        <v>13.26</v>
      </c>
      <c r="J521" s="141" t="n">
        <f aca="false">C521*(Estacas!L521+Estacas!L522)/2</f>
        <v>18.176</v>
      </c>
      <c r="K521" s="141" t="n">
        <f aca="false">C521*(Estacas!M521+Estacas!M522)/2</f>
        <v>23.84</v>
      </c>
      <c r="L521" s="141" t="n">
        <f aca="false">C521*(Estacas!N521+Estacas!N522)/2</f>
        <v>37.86</v>
      </c>
      <c r="M521" s="141" t="n">
        <f aca="false">C521*(Estacas!O521+Estacas!O522)/2</f>
        <v>112</v>
      </c>
      <c r="N521" s="141" t="n">
        <f aca="false">C521*(Estacas!O521+Estacas!O522)/2</f>
        <v>112</v>
      </c>
      <c r="O521" s="141" t="n">
        <f aca="false">C521*(Estacas!P521+Estacas!P522)/2</f>
        <v>129.2</v>
      </c>
      <c r="P521" s="141" t="n">
        <f aca="false">R521*Parâmetros!$C$11</f>
        <v>0</v>
      </c>
      <c r="Q521" s="141" t="n">
        <f aca="false">R521*Parâmetros!$C$12</f>
        <v>0</v>
      </c>
      <c r="R521" s="141" t="n">
        <f aca="false">C521*(Estacas!Q521+Estacas!Q522)/2</f>
        <v>0</v>
      </c>
      <c r="S521" s="141" t="n">
        <f aca="false">IF(LEFT(E521,3)="T09",C521*Parâmetros!$D$13*Parâmetros!$C$13,0)</f>
        <v>0</v>
      </c>
    </row>
    <row r="522" customFormat="false" ht="15" hidden="false" customHeight="false" outlineLevel="0" collapsed="false">
      <c r="A522" s="138" t="str">
        <f aca="false">Estacas!A522</f>
        <v>517+0,00</v>
      </c>
      <c r="B522" s="138" t="str">
        <f aca="false">Estacas!A523</f>
        <v>518+0,00</v>
      </c>
      <c r="C522" s="144" t="n">
        <f aca="false">Estacas!C523-Estacas!C522</f>
        <v>20</v>
      </c>
      <c r="D522" s="138" t="s">
        <v>1594</v>
      </c>
      <c r="E522" s="138" t="s">
        <v>1566</v>
      </c>
      <c r="F522" s="141" t="n">
        <f aca="false">Estacas!F522</f>
        <v>11</v>
      </c>
      <c r="G522" s="141" t="n">
        <f aca="false">Estacas!F523</f>
        <v>11</v>
      </c>
      <c r="H522" s="141" t="n">
        <f aca="false">C522*(Estacas!K522+Estacas!K523)/2</f>
        <v>11.05</v>
      </c>
      <c r="I522" s="141" t="n">
        <f aca="false">H522*Parâmetros!$C$14</f>
        <v>26.52</v>
      </c>
      <c r="J522" s="141" t="n">
        <f aca="false">C522*(Estacas!L522+Estacas!L523)/2</f>
        <v>36.352</v>
      </c>
      <c r="K522" s="141" t="n">
        <f aca="false">C522*(Estacas!M522+Estacas!M523)/2</f>
        <v>47.68</v>
      </c>
      <c r="L522" s="141" t="n">
        <f aca="false">C522*(Estacas!N522+Estacas!N523)/2</f>
        <v>75.72</v>
      </c>
      <c r="M522" s="141" t="n">
        <f aca="false">C522*(Estacas!O522+Estacas!O523)/2</f>
        <v>224</v>
      </c>
      <c r="N522" s="141" t="n">
        <f aca="false">C522*(Estacas!O522+Estacas!O523)/2</f>
        <v>224</v>
      </c>
      <c r="O522" s="141" t="n">
        <f aca="false">C522*(Estacas!P522+Estacas!P523)/2</f>
        <v>258.4</v>
      </c>
      <c r="P522" s="141" t="n">
        <f aca="false">R522*Parâmetros!$C$11</f>
        <v>0</v>
      </c>
      <c r="Q522" s="141" t="n">
        <f aca="false">R522*Parâmetros!$C$12</f>
        <v>0</v>
      </c>
      <c r="R522" s="141" t="n">
        <f aca="false">C522*(Estacas!Q522+Estacas!Q523)/2</f>
        <v>0</v>
      </c>
      <c r="S522" s="141" t="n">
        <f aca="false">IF(LEFT(E522,3)="T09",C522*Parâmetros!$D$13*Parâmetros!$C$13,0)</f>
        <v>0</v>
      </c>
    </row>
    <row r="523" customFormat="false" ht="15" hidden="false" customHeight="false" outlineLevel="0" collapsed="false">
      <c r="A523" s="138" t="str">
        <f aca="false">Estacas!A523</f>
        <v>518+0,00</v>
      </c>
      <c r="B523" s="138" t="str">
        <f aca="false">Estacas!A524</f>
        <v>519+0,00</v>
      </c>
      <c r="C523" s="144" t="n">
        <f aca="false">Estacas!C524-Estacas!C523</f>
        <v>20</v>
      </c>
      <c r="D523" s="138" t="s">
        <v>1594</v>
      </c>
      <c r="E523" s="138" t="s">
        <v>1566</v>
      </c>
      <c r="F523" s="141" t="n">
        <f aca="false">Estacas!F523</f>
        <v>11</v>
      </c>
      <c r="G523" s="141" t="n">
        <f aca="false">Estacas!F524</f>
        <v>11</v>
      </c>
      <c r="H523" s="141" t="n">
        <f aca="false">C523*(Estacas!K523+Estacas!K524)/2</f>
        <v>11.05</v>
      </c>
      <c r="I523" s="141" t="n">
        <f aca="false">H523*Parâmetros!$C$14</f>
        <v>26.52</v>
      </c>
      <c r="J523" s="141" t="n">
        <f aca="false">C523*(Estacas!L523+Estacas!L524)/2</f>
        <v>36.352</v>
      </c>
      <c r="K523" s="141" t="n">
        <f aca="false">C523*(Estacas!M523+Estacas!M524)/2</f>
        <v>47.68</v>
      </c>
      <c r="L523" s="141" t="n">
        <f aca="false">C523*(Estacas!N523+Estacas!N524)/2</f>
        <v>75.72</v>
      </c>
      <c r="M523" s="141" t="n">
        <f aca="false">C523*(Estacas!O523+Estacas!O524)/2</f>
        <v>224</v>
      </c>
      <c r="N523" s="141" t="n">
        <f aca="false">C523*(Estacas!O523+Estacas!O524)/2</f>
        <v>224</v>
      </c>
      <c r="O523" s="141" t="n">
        <f aca="false">C523*(Estacas!P523+Estacas!P524)/2</f>
        <v>258.4</v>
      </c>
      <c r="P523" s="141" t="n">
        <f aca="false">R523*Parâmetros!$C$11</f>
        <v>0</v>
      </c>
      <c r="Q523" s="141" t="n">
        <f aca="false">R523*Parâmetros!$C$12</f>
        <v>0</v>
      </c>
      <c r="R523" s="141" t="n">
        <f aca="false">C523*(Estacas!Q523+Estacas!Q524)/2</f>
        <v>0</v>
      </c>
      <c r="S523" s="141" t="n">
        <f aca="false">IF(LEFT(E523,3)="T09",C523*Parâmetros!$D$13*Parâmetros!$C$13,0)</f>
        <v>0</v>
      </c>
    </row>
    <row r="524" customFormat="false" ht="15" hidden="false" customHeight="false" outlineLevel="0" collapsed="false">
      <c r="A524" s="138" t="str">
        <f aca="false">Estacas!A524</f>
        <v>519+0,00</v>
      </c>
      <c r="B524" s="138" t="str">
        <f aca="false">Estacas!A525</f>
        <v>520+0,00</v>
      </c>
      <c r="C524" s="144" t="n">
        <f aca="false">Estacas!C525-Estacas!C524</f>
        <v>20</v>
      </c>
      <c r="D524" s="138" t="s">
        <v>1594</v>
      </c>
      <c r="E524" s="138" t="s">
        <v>1566</v>
      </c>
      <c r="F524" s="141" t="n">
        <f aca="false">Estacas!F524</f>
        <v>11</v>
      </c>
      <c r="G524" s="141" t="n">
        <f aca="false">Estacas!F525</f>
        <v>11</v>
      </c>
      <c r="H524" s="141" t="n">
        <f aca="false">C524*(Estacas!K524+Estacas!K525)/2</f>
        <v>11.05</v>
      </c>
      <c r="I524" s="141" t="n">
        <f aca="false">H524*Parâmetros!$C$14</f>
        <v>26.52</v>
      </c>
      <c r="J524" s="141" t="n">
        <f aca="false">C524*(Estacas!L524+Estacas!L525)/2</f>
        <v>36.352</v>
      </c>
      <c r="K524" s="141" t="n">
        <f aca="false">C524*(Estacas!M524+Estacas!M525)/2</f>
        <v>47.68</v>
      </c>
      <c r="L524" s="141" t="n">
        <f aca="false">C524*(Estacas!N524+Estacas!N525)/2</f>
        <v>75.72</v>
      </c>
      <c r="M524" s="141" t="n">
        <f aca="false">C524*(Estacas!O524+Estacas!O525)/2</f>
        <v>224</v>
      </c>
      <c r="N524" s="141" t="n">
        <f aca="false">C524*(Estacas!O524+Estacas!O525)/2</f>
        <v>224</v>
      </c>
      <c r="O524" s="141" t="n">
        <f aca="false">C524*(Estacas!P524+Estacas!P525)/2</f>
        <v>258.4</v>
      </c>
      <c r="P524" s="141" t="n">
        <f aca="false">R524*Parâmetros!$C$11</f>
        <v>0</v>
      </c>
      <c r="Q524" s="141" t="n">
        <f aca="false">R524*Parâmetros!$C$12</f>
        <v>0</v>
      </c>
      <c r="R524" s="141" t="n">
        <f aca="false">C524*(Estacas!Q524+Estacas!Q525)/2</f>
        <v>0</v>
      </c>
      <c r="S524" s="141" t="n">
        <f aca="false">IF(LEFT(E524,3)="T09",C524*Parâmetros!$D$13*Parâmetros!$C$13,0)</f>
        <v>0</v>
      </c>
    </row>
    <row r="525" customFormat="false" ht="15" hidden="false" customHeight="false" outlineLevel="0" collapsed="false">
      <c r="A525" s="138" t="str">
        <f aca="false">Estacas!A525</f>
        <v>520+0,00</v>
      </c>
      <c r="B525" s="138" t="str">
        <f aca="false">Estacas!A526</f>
        <v>521+0,00</v>
      </c>
      <c r="C525" s="144" t="n">
        <f aca="false">Estacas!C526-Estacas!C525</f>
        <v>20</v>
      </c>
      <c r="D525" s="138" t="s">
        <v>1594</v>
      </c>
      <c r="E525" s="138" t="s">
        <v>1566</v>
      </c>
      <c r="F525" s="141" t="n">
        <f aca="false">Estacas!F525</f>
        <v>11</v>
      </c>
      <c r="G525" s="141" t="n">
        <f aca="false">Estacas!F526</f>
        <v>11.5</v>
      </c>
      <c r="H525" s="141" t="n">
        <f aca="false">C525*(Estacas!K525+Estacas!K526)/2</f>
        <v>11.3</v>
      </c>
      <c r="I525" s="141" t="n">
        <f aca="false">H525*Parâmetros!$C$14</f>
        <v>27.12</v>
      </c>
      <c r="J525" s="141" t="n">
        <f aca="false">C525*(Estacas!L525+Estacas!L526)/2</f>
        <v>37.152</v>
      </c>
      <c r="K525" s="141" t="n">
        <f aca="false">C525*(Estacas!M525+Estacas!M526)/2</f>
        <v>48.68</v>
      </c>
      <c r="L525" s="141" t="n">
        <f aca="false">C525*(Estacas!N525+Estacas!N526)/2</f>
        <v>77.22</v>
      </c>
      <c r="M525" s="141" t="n">
        <f aca="false">C525*(Estacas!O525+Estacas!O526)/2</f>
        <v>229</v>
      </c>
      <c r="N525" s="141" t="n">
        <f aca="false">C525*(Estacas!O525+Estacas!O526)/2</f>
        <v>229</v>
      </c>
      <c r="O525" s="141" t="n">
        <f aca="false">C525*(Estacas!P525+Estacas!P526)/2</f>
        <v>263.4</v>
      </c>
      <c r="P525" s="141" t="n">
        <f aca="false">R525*Parâmetros!$C$11</f>
        <v>0</v>
      </c>
      <c r="Q525" s="141" t="n">
        <f aca="false">R525*Parâmetros!$C$12</f>
        <v>0</v>
      </c>
      <c r="R525" s="141" t="n">
        <f aca="false">C525*(Estacas!Q525+Estacas!Q526)/2</f>
        <v>0</v>
      </c>
      <c r="S525" s="141" t="n">
        <f aca="false">IF(LEFT(E525,3)="T09",C525*Parâmetros!$D$13*Parâmetros!$C$13,0)</f>
        <v>0</v>
      </c>
    </row>
    <row r="526" customFormat="false" ht="15" hidden="false" customHeight="false" outlineLevel="0" collapsed="false">
      <c r="A526" s="138" t="str">
        <f aca="false">Estacas!A526</f>
        <v>521+0,00</v>
      </c>
      <c r="B526" s="138" t="str">
        <f aca="false">Estacas!A527</f>
        <v>522+0,00</v>
      </c>
      <c r="C526" s="144" t="n">
        <f aca="false">Estacas!C527-Estacas!C526</f>
        <v>20</v>
      </c>
      <c r="D526" s="138" t="s">
        <v>1594</v>
      </c>
      <c r="E526" s="138" t="s">
        <v>1566</v>
      </c>
      <c r="F526" s="141" t="n">
        <f aca="false">Estacas!F526</f>
        <v>11.5</v>
      </c>
      <c r="G526" s="141" t="n">
        <f aca="false">Estacas!F527</f>
        <v>13.1</v>
      </c>
      <c r="H526" s="141" t="n">
        <f aca="false">C526*(Estacas!K526+Estacas!K527)/2</f>
        <v>12.35</v>
      </c>
      <c r="I526" s="141" t="n">
        <f aca="false">H526*Parâmetros!$C$14</f>
        <v>29.64</v>
      </c>
      <c r="J526" s="141" t="n">
        <f aca="false">C526*(Estacas!L526+Estacas!L527)/2</f>
        <v>40.512</v>
      </c>
      <c r="K526" s="141" t="n">
        <f aca="false">C526*(Estacas!M526+Estacas!M527)/2</f>
        <v>52.88</v>
      </c>
      <c r="L526" s="141" t="n">
        <f aca="false">C526*(Estacas!N526+Estacas!N527)/2</f>
        <v>83.52</v>
      </c>
      <c r="M526" s="141" t="n">
        <f aca="false">C526*(Estacas!O526+Estacas!O527)/2</f>
        <v>250</v>
      </c>
      <c r="N526" s="141" t="n">
        <f aca="false">C526*(Estacas!O526+Estacas!O527)/2</f>
        <v>250</v>
      </c>
      <c r="O526" s="141" t="n">
        <f aca="false">C526*(Estacas!P526+Estacas!P527)/2</f>
        <v>284.4</v>
      </c>
      <c r="P526" s="141" t="n">
        <f aca="false">R526*Parâmetros!$C$11</f>
        <v>0</v>
      </c>
      <c r="Q526" s="141" t="n">
        <f aca="false">R526*Parâmetros!$C$12</f>
        <v>0</v>
      </c>
      <c r="R526" s="141" t="n">
        <f aca="false">C526*(Estacas!Q526+Estacas!Q527)/2</f>
        <v>0</v>
      </c>
      <c r="S526" s="141" t="n">
        <f aca="false">IF(LEFT(E526,3)="T09",C526*Parâmetros!$D$13*Parâmetros!$C$13,0)</f>
        <v>0</v>
      </c>
    </row>
    <row r="527" customFormat="false" ht="15" hidden="false" customHeight="false" outlineLevel="0" collapsed="false">
      <c r="A527" s="138" t="str">
        <f aca="false">Estacas!A527</f>
        <v>522+0,00</v>
      </c>
      <c r="B527" s="138" t="str">
        <f aca="false">Estacas!A528</f>
        <v>523+0,00</v>
      </c>
      <c r="C527" s="144" t="n">
        <f aca="false">Estacas!C528-Estacas!C527</f>
        <v>20</v>
      </c>
      <c r="D527" s="138" t="s">
        <v>1594</v>
      </c>
      <c r="E527" s="138" t="s">
        <v>1566</v>
      </c>
      <c r="F527" s="141" t="n">
        <f aca="false">Estacas!F527</f>
        <v>13.1</v>
      </c>
      <c r="G527" s="141" t="n">
        <f aca="false">Estacas!F528</f>
        <v>14</v>
      </c>
      <c r="H527" s="141" t="n">
        <f aca="false">C527*(Estacas!K527+Estacas!K528)/2</f>
        <v>13.6</v>
      </c>
      <c r="I527" s="141" t="n">
        <f aca="false">H527*Parâmetros!$C$14</f>
        <v>32.64</v>
      </c>
      <c r="J527" s="141" t="n">
        <f aca="false">C527*(Estacas!L527+Estacas!L528)/2</f>
        <v>44.512</v>
      </c>
      <c r="K527" s="141" t="n">
        <f aca="false">C527*(Estacas!M527+Estacas!M528)/2</f>
        <v>57.88</v>
      </c>
      <c r="L527" s="141" t="n">
        <f aca="false">C527*(Estacas!N527+Estacas!N528)/2</f>
        <v>91.02</v>
      </c>
      <c r="M527" s="141" t="n">
        <f aca="false">C527*(Estacas!O527+Estacas!O528)/2</f>
        <v>275</v>
      </c>
      <c r="N527" s="141" t="n">
        <f aca="false">C527*(Estacas!O527+Estacas!O528)/2</f>
        <v>275</v>
      </c>
      <c r="O527" s="141" t="n">
        <f aca="false">C527*(Estacas!P527+Estacas!P528)/2</f>
        <v>309.4</v>
      </c>
      <c r="P527" s="141" t="n">
        <f aca="false">R527*Parâmetros!$C$11</f>
        <v>0</v>
      </c>
      <c r="Q527" s="141" t="n">
        <f aca="false">R527*Parâmetros!$C$12</f>
        <v>0</v>
      </c>
      <c r="R527" s="141" t="n">
        <f aca="false">C527*(Estacas!Q527+Estacas!Q528)/2</f>
        <v>0</v>
      </c>
      <c r="S527" s="141" t="n">
        <f aca="false">IF(LEFT(E527,3)="T09",C527*Parâmetros!$D$13*Parâmetros!$C$13,0)</f>
        <v>0</v>
      </c>
    </row>
    <row r="528" customFormat="false" ht="15" hidden="false" customHeight="false" outlineLevel="0" collapsed="false">
      <c r="A528" s="138" t="str">
        <f aca="false">Estacas!A528</f>
        <v>523+0,00</v>
      </c>
      <c r="B528" s="138" t="str">
        <f aca="false">Estacas!A529</f>
        <v>524+0,00</v>
      </c>
      <c r="C528" s="144" t="n">
        <f aca="false">Estacas!C529-Estacas!C528</f>
        <v>20</v>
      </c>
      <c r="D528" s="138" t="s">
        <v>1594</v>
      </c>
      <c r="E528" s="138" t="s">
        <v>1566</v>
      </c>
      <c r="F528" s="141" t="n">
        <f aca="false">Estacas!F528</f>
        <v>14</v>
      </c>
      <c r="G528" s="141" t="n">
        <f aca="false">Estacas!F529</f>
        <v>13.3</v>
      </c>
      <c r="H528" s="141" t="n">
        <f aca="false">C528*(Estacas!K528+Estacas!K529)/2</f>
        <v>13.7</v>
      </c>
      <c r="I528" s="141" t="n">
        <f aca="false">H528*Parâmetros!$C$14</f>
        <v>32.88</v>
      </c>
      <c r="J528" s="141" t="n">
        <f aca="false">C528*(Estacas!L528+Estacas!L529)/2</f>
        <v>44.832</v>
      </c>
      <c r="K528" s="141" t="n">
        <f aca="false">C528*(Estacas!M528+Estacas!M529)/2</f>
        <v>58.28</v>
      </c>
      <c r="L528" s="141" t="n">
        <f aca="false">C528*(Estacas!N528+Estacas!N529)/2</f>
        <v>91.62</v>
      </c>
      <c r="M528" s="141" t="n">
        <f aca="false">C528*(Estacas!O528+Estacas!O529)/2</f>
        <v>277</v>
      </c>
      <c r="N528" s="141" t="n">
        <f aca="false">C528*(Estacas!O528+Estacas!O529)/2</f>
        <v>277</v>
      </c>
      <c r="O528" s="141" t="n">
        <f aca="false">C528*(Estacas!P528+Estacas!P529)/2</f>
        <v>311.4</v>
      </c>
      <c r="P528" s="141" t="n">
        <f aca="false">R528*Parâmetros!$C$11</f>
        <v>0</v>
      </c>
      <c r="Q528" s="141" t="n">
        <f aca="false">R528*Parâmetros!$C$12</f>
        <v>0</v>
      </c>
      <c r="R528" s="141" t="n">
        <f aca="false">C528*(Estacas!Q528+Estacas!Q529)/2</f>
        <v>0</v>
      </c>
      <c r="S528" s="141" t="n">
        <f aca="false">IF(LEFT(E528,3)="T09",C528*Parâmetros!$D$13*Parâmetros!$C$13,0)</f>
        <v>0</v>
      </c>
    </row>
    <row r="529" customFormat="false" ht="15" hidden="false" customHeight="false" outlineLevel="0" collapsed="false">
      <c r="A529" s="138" t="str">
        <f aca="false">Estacas!A529</f>
        <v>524+0,00</v>
      </c>
      <c r="B529" s="138" t="str">
        <f aca="false">Estacas!A530</f>
        <v>525+0,00</v>
      </c>
      <c r="C529" s="144" t="n">
        <f aca="false">Estacas!C530-Estacas!C529</f>
        <v>20</v>
      </c>
      <c r="D529" s="138" t="s">
        <v>1594</v>
      </c>
      <c r="E529" s="138" t="s">
        <v>1566</v>
      </c>
      <c r="F529" s="141" t="n">
        <f aca="false">Estacas!F529</f>
        <v>13.3</v>
      </c>
      <c r="G529" s="141" t="n">
        <f aca="false">Estacas!F530</f>
        <v>11.6</v>
      </c>
      <c r="H529" s="141" t="n">
        <f aca="false">C529*(Estacas!K529+Estacas!K530)/2</f>
        <v>12.5</v>
      </c>
      <c r="I529" s="141" t="n">
        <f aca="false">H529*Parâmetros!$C$14</f>
        <v>30</v>
      </c>
      <c r="J529" s="141" t="n">
        <f aca="false">C529*(Estacas!L529+Estacas!L530)/2</f>
        <v>40.992</v>
      </c>
      <c r="K529" s="141" t="n">
        <f aca="false">C529*(Estacas!M529+Estacas!M530)/2</f>
        <v>53.48</v>
      </c>
      <c r="L529" s="141" t="n">
        <f aca="false">C529*(Estacas!N529+Estacas!N530)/2</f>
        <v>84.42</v>
      </c>
      <c r="M529" s="141" t="n">
        <f aca="false">C529*(Estacas!O529+Estacas!O530)/2</f>
        <v>253</v>
      </c>
      <c r="N529" s="141" t="n">
        <f aca="false">C529*(Estacas!O529+Estacas!O530)/2</f>
        <v>253</v>
      </c>
      <c r="O529" s="141" t="n">
        <f aca="false">C529*(Estacas!P529+Estacas!P530)/2</f>
        <v>287.4</v>
      </c>
      <c r="P529" s="141" t="n">
        <f aca="false">R529*Parâmetros!$C$11</f>
        <v>0</v>
      </c>
      <c r="Q529" s="141" t="n">
        <f aca="false">R529*Parâmetros!$C$12</f>
        <v>0</v>
      </c>
      <c r="R529" s="141" t="n">
        <f aca="false">C529*(Estacas!Q529+Estacas!Q530)/2</f>
        <v>0</v>
      </c>
      <c r="S529" s="141" t="n">
        <f aca="false">IF(LEFT(E529,3)="T09",C529*Parâmetros!$D$13*Parâmetros!$C$13,0)</f>
        <v>0</v>
      </c>
    </row>
    <row r="530" customFormat="false" ht="15" hidden="false" customHeight="false" outlineLevel="0" collapsed="false">
      <c r="A530" s="138" t="str">
        <f aca="false">Estacas!A530</f>
        <v>525+0,00</v>
      </c>
      <c r="B530" s="138" t="str">
        <f aca="false">Estacas!A531</f>
        <v>526+0,00</v>
      </c>
      <c r="C530" s="144" t="n">
        <f aca="false">Estacas!C531-Estacas!C530</f>
        <v>20</v>
      </c>
      <c r="D530" s="138" t="s">
        <v>1594</v>
      </c>
      <c r="E530" s="138" t="s">
        <v>1566</v>
      </c>
      <c r="F530" s="141" t="n">
        <f aca="false">Estacas!F530</f>
        <v>11.6</v>
      </c>
      <c r="G530" s="141" t="n">
        <f aca="false">Estacas!F531</f>
        <v>11</v>
      </c>
      <c r="H530" s="141" t="n">
        <f aca="false">C530*(Estacas!K530+Estacas!K531)/2</f>
        <v>11.35</v>
      </c>
      <c r="I530" s="141" t="n">
        <f aca="false">H530*Parâmetros!$C$14</f>
        <v>27.24</v>
      </c>
      <c r="J530" s="141" t="n">
        <f aca="false">C530*(Estacas!L530+Estacas!L531)/2</f>
        <v>37.312</v>
      </c>
      <c r="K530" s="141" t="n">
        <f aca="false">C530*(Estacas!M530+Estacas!M531)/2</f>
        <v>48.88</v>
      </c>
      <c r="L530" s="141" t="n">
        <f aca="false">C530*(Estacas!N530+Estacas!N531)/2</f>
        <v>77.52</v>
      </c>
      <c r="M530" s="141" t="n">
        <f aca="false">C530*(Estacas!O530+Estacas!O531)/2</f>
        <v>230</v>
      </c>
      <c r="N530" s="141" t="n">
        <f aca="false">C530*(Estacas!O530+Estacas!O531)/2</f>
        <v>230</v>
      </c>
      <c r="O530" s="141" t="n">
        <f aca="false">C530*(Estacas!P530+Estacas!P531)/2</f>
        <v>264.4</v>
      </c>
      <c r="P530" s="141" t="n">
        <f aca="false">R530*Parâmetros!$C$11</f>
        <v>0</v>
      </c>
      <c r="Q530" s="141" t="n">
        <f aca="false">R530*Parâmetros!$C$12</f>
        <v>0</v>
      </c>
      <c r="R530" s="141" t="n">
        <f aca="false">C530*(Estacas!Q530+Estacas!Q531)/2</f>
        <v>0</v>
      </c>
      <c r="S530" s="141" t="n">
        <f aca="false">IF(LEFT(E530,3)="T09",C530*Parâmetros!$D$13*Parâmetros!$C$13,0)</f>
        <v>0</v>
      </c>
    </row>
    <row r="531" customFormat="false" ht="15" hidden="false" customHeight="false" outlineLevel="0" collapsed="false">
      <c r="A531" s="138" t="str">
        <f aca="false">Estacas!A531</f>
        <v>526+0,00</v>
      </c>
      <c r="B531" s="138" t="str">
        <f aca="false">Estacas!A532</f>
        <v>527+0,00</v>
      </c>
      <c r="C531" s="144" t="n">
        <f aca="false">Estacas!C532-Estacas!C531</f>
        <v>20</v>
      </c>
      <c r="D531" s="138" t="s">
        <v>1594</v>
      </c>
      <c r="E531" s="138" t="s">
        <v>1566</v>
      </c>
      <c r="F531" s="141" t="n">
        <f aca="false">Estacas!F531</f>
        <v>11</v>
      </c>
      <c r="G531" s="141" t="n">
        <f aca="false">Estacas!F532</f>
        <v>11</v>
      </c>
      <c r="H531" s="141" t="n">
        <f aca="false">C531*(Estacas!K531+Estacas!K532)/2</f>
        <v>11.05</v>
      </c>
      <c r="I531" s="141" t="n">
        <f aca="false">H531*Parâmetros!$C$14</f>
        <v>26.52</v>
      </c>
      <c r="J531" s="141" t="n">
        <f aca="false">C531*(Estacas!L531+Estacas!L532)/2</f>
        <v>36.352</v>
      </c>
      <c r="K531" s="141" t="n">
        <f aca="false">C531*(Estacas!M531+Estacas!M532)/2</f>
        <v>47.68</v>
      </c>
      <c r="L531" s="141" t="n">
        <f aca="false">C531*(Estacas!N531+Estacas!N532)/2</f>
        <v>75.72</v>
      </c>
      <c r="M531" s="141" t="n">
        <f aca="false">C531*(Estacas!O531+Estacas!O532)/2</f>
        <v>224</v>
      </c>
      <c r="N531" s="141" t="n">
        <f aca="false">C531*(Estacas!O531+Estacas!O532)/2</f>
        <v>224</v>
      </c>
      <c r="O531" s="141" t="n">
        <f aca="false">C531*(Estacas!P531+Estacas!P532)/2</f>
        <v>258.4</v>
      </c>
      <c r="P531" s="141" t="n">
        <f aca="false">R531*Parâmetros!$C$11</f>
        <v>0</v>
      </c>
      <c r="Q531" s="141" t="n">
        <f aca="false">R531*Parâmetros!$C$12</f>
        <v>0</v>
      </c>
      <c r="R531" s="141" t="n">
        <f aca="false">C531*(Estacas!Q531+Estacas!Q532)/2</f>
        <v>0</v>
      </c>
      <c r="S531" s="141" t="n">
        <f aca="false">IF(LEFT(E531,3)="T09",C531*Parâmetros!$D$13*Parâmetros!$C$13,0)</f>
        <v>0</v>
      </c>
    </row>
    <row r="532" customFormat="false" ht="15" hidden="false" customHeight="false" outlineLevel="0" collapsed="false">
      <c r="A532" s="138" t="str">
        <f aca="false">Estacas!A532</f>
        <v>527+0,00</v>
      </c>
      <c r="B532" s="138" t="str">
        <f aca="false">Estacas!A533</f>
        <v>528+0,00</v>
      </c>
      <c r="C532" s="144" t="n">
        <f aca="false">Estacas!C533-Estacas!C532</f>
        <v>20</v>
      </c>
      <c r="D532" s="138" t="s">
        <v>1594</v>
      </c>
      <c r="E532" s="138" t="s">
        <v>1566</v>
      </c>
      <c r="F532" s="141" t="n">
        <f aca="false">Estacas!F532</f>
        <v>11</v>
      </c>
      <c r="G532" s="141" t="n">
        <f aca="false">Estacas!F533</f>
        <v>11</v>
      </c>
      <c r="H532" s="141" t="n">
        <f aca="false">C532*(Estacas!K532+Estacas!K533)/2</f>
        <v>11.05</v>
      </c>
      <c r="I532" s="141" t="n">
        <f aca="false">H532*Parâmetros!$C$14</f>
        <v>26.52</v>
      </c>
      <c r="J532" s="141" t="n">
        <f aca="false">C532*(Estacas!L532+Estacas!L533)/2</f>
        <v>36.352</v>
      </c>
      <c r="K532" s="141" t="n">
        <f aca="false">C532*(Estacas!M532+Estacas!M533)/2</f>
        <v>47.68</v>
      </c>
      <c r="L532" s="141" t="n">
        <f aca="false">C532*(Estacas!N532+Estacas!N533)/2</f>
        <v>75.72</v>
      </c>
      <c r="M532" s="141" t="n">
        <f aca="false">C532*(Estacas!O532+Estacas!O533)/2</f>
        <v>224</v>
      </c>
      <c r="N532" s="141" t="n">
        <f aca="false">C532*(Estacas!O532+Estacas!O533)/2</f>
        <v>224</v>
      </c>
      <c r="O532" s="141" t="n">
        <f aca="false">C532*(Estacas!P532+Estacas!P533)/2</f>
        <v>258.4</v>
      </c>
      <c r="P532" s="141" t="n">
        <f aca="false">R532*Parâmetros!$C$11</f>
        <v>0</v>
      </c>
      <c r="Q532" s="141" t="n">
        <f aca="false">R532*Parâmetros!$C$12</f>
        <v>0</v>
      </c>
      <c r="R532" s="141" t="n">
        <f aca="false">C532*(Estacas!Q532+Estacas!Q533)/2</f>
        <v>0</v>
      </c>
      <c r="S532" s="141" t="n">
        <f aca="false">IF(LEFT(E532,3)="T09",C532*Parâmetros!$D$13*Parâmetros!$C$13,0)</f>
        <v>0</v>
      </c>
    </row>
    <row r="533" customFormat="false" ht="15" hidden="false" customHeight="false" outlineLevel="0" collapsed="false">
      <c r="A533" s="138" t="str">
        <f aca="false">Estacas!A533</f>
        <v>528+0,00</v>
      </c>
      <c r="B533" s="138" t="str">
        <f aca="false">Estacas!A534</f>
        <v>529+0,00</v>
      </c>
      <c r="C533" s="144" t="n">
        <f aca="false">Estacas!C534-Estacas!C533</f>
        <v>20</v>
      </c>
      <c r="D533" s="138" t="s">
        <v>1594</v>
      </c>
      <c r="E533" s="138" t="s">
        <v>1566</v>
      </c>
      <c r="F533" s="141" t="n">
        <f aca="false">Estacas!F533</f>
        <v>11</v>
      </c>
      <c r="G533" s="141" t="n">
        <f aca="false">Estacas!F534</f>
        <v>11</v>
      </c>
      <c r="H533" s="141" t="n">
        <f aca="false">C533*(Estacas!K533+Estacas!K534)/2</f>
        <v>11.05</v>
      </c>
      <c r="I533" s="141" t="n">
        <f aca="false">H533*Parâmetros!$C$14</f>
        <v>26.52</v>
      </c>
      <c r="J533" s="141" t="n">
        <f aca="false">C533*(Estacas!L533+Estacas!L534)/2</f>
        <v>36.352</v>
      </c>
      <c r="K533" s="141" t="n">
        <f aca="false">C533*(Estacas!M533+Estacas!M534)/2</f>
        <v>47.68</v>
      </c>
      <c r="L533" s="141" t="n">
        <f aca="false">C533*(Estacas!N533+Estacas!N534)/2</f>
        <v>75.72</v>
      </c>
      <c r="M533" s="141" t="n">
        <f aca="false">C533*(Estacas!O533+Estacas!O534)/2</f>
        <v>224</v>
      </c>
      <c r="N533" s="141" t="n">
        <f aca="false">C533*(Estacas!O533+Estacas!O534)/2</f>
        <v>224</v>
      </c>
      <c r="O533" s="141" t="n">
        <f aca="false">C533*(Estacas!P533+Estacas!P534)/2</f>
        <v>258.4</v>
      </c>
      <c r="P533" s="141" t="n">
        <f aca="false">R533*Parâmetros!$C$11</f>
        <v>0</v>
      </c>
      <c r="Q533" s="141" t="n">
        <f aca="false">R533*Parâmetros!$C$12</f>
        <v>0</v>
      </c>
      <c r="R533" s="141" t="n">
        <f aca="false">C533*(Estacas!Q533+Estacas!Q534)/2</f>
        <v>0</v>
      </c>
      <c r="S533" s="141" t="n">
        <f aca="false">IF(LEFT(E533,3)="T09",C533*Parâmetros!$D$13*Parâmetros!$C$13,0)</f>
        <v>0</v>
      </c>
    </row>
    <row r="534" customFormat="false" ht="15" hidden="false" customHeight="false" outlineLevel="0" collapsed="false">
      <c r="A534" s="138" t="str">
        <f aca="false">Estacas!A534</f>
        <v>529+0,00</v>
      </c>
      <c r="B534" s="138" t="str">
        <f aca="false">Estacas!A535</f>
        <v>530+0,00</v>
      </c>
      <c r="C534" s="144" t="n">
        <f aca="false">Estacas!C535-Estacas!C534</f>
        <v>20</v>
      </c>
      <c r="D534" s="138" t="s">
        <v>1594</v>
      </c>
      <c r="E534" s="138" t="s">
        <v>1566</v>
      </c>
      <c r="F534" s="141" t="n">
        <f aca="false">Estacas!F534</f>
        <v>11</v>
      </c>
      <c r="G534" s="141" t="n">
        <f aca="false">Estacas!F535</f>
        <v>11</v>
      </c>
      <c r="H534" s="141" t="n">
        <f aca="false">C534*(Estacas!K534+Estacas!K535)/2</f>
        <v>11.05</v>
      </c>
      <c r="I534" s="141" t="n">
        <f aca="false">H534*Parâmetros!$C$14</f>
        <v>26.52</v>
      </c>
      <c r="J534" s="141" t="n">
        <f aca="false">C534*(Estacas!L534+Estacas!L535)/2</f>
        <v>36.352</v>
      </c>
      <c r="K534" s="141" t="n">
        <f aca="false">C534*(Estacas!M534+Estacas!M535)/2</f>
        <v>47.68</v>
      </c>
      <c r="L534" s="141" t="n">
        <f aca="false">C534*(Estacas!N534+Estacas!N535)/2</f>
        <v>75.72</v>
      </c>
      <c r="M534" s="141" t="n">
        <f aca="false">C534*(Estacas!O534+Estacas!O535)/2</f>
        <v>224</v>
      </c>
      <c r="N534" s="141" t="n">
        <f aca="false">C534*(Estacas!O534+Estacas!O535)/2</f>
        <v>224</v>
      </c>
      <c r="O534" s="141" t="n">
        <f aca="false">C534*(Estacas!P534+Estacas!P535)/2</f>
        <v>258.4</v>
      </c>
      <c r="P534" s="141" t="n">
        <f aca="false">R534*Parâmetros!$C$11</f>
        <v>0</v>
      </c>
      <c r="Q534" s="141" t="n">
        <f aca="false">R534*Parâmetros!$C$12</f>
        <v>0</v>
      </c>
      <c r="R534" s="141" t="n">
        <f aca="false">C534*(Estacas!Q534+Estacas!Q535)/2</f>
        <v>0</v>
      </c>
      <c r="S534" s="141" t="n">
        <f aca="false">IF(LEFT(E534,3)="T09",C534*Parâmetros!$D$13*Parâmetros!$C$13,0)</f>
        <v>0</v>
      </c>
    </row>
    <row r="535" customFormat="false" ht="15" hidden="false" customHeight="false" outlineLevel="0" collapsed="false">
      <c r="A535" s="138" t="str">
        <f aca="false">Estacas!A535</f>
        <v>530+0,00</v>
      </c>
      <c r="B535" s="138" t="str">
        <f aca="false">Estacas!A536</f>
        <v>531+0,00</v>
      </c>
      <c r="C535" s="144" t="n">
        <f aca="false">Estacas!C536-Estacas!C535</f>
        <v>20</v>
      </c>
      <c r="D535" s="138" t="s">
        <v>1594</v>
      </c>
      <c r="E535" s="138" t="s">
        <v>1566</v>
      </c>
      <c r="F535" s="141" t="n">
        <f aca="false">Estacas!F535</f>
        <v>11</v>
      </c>
      <c r="G535" s="141" t="n">
        <f aca="false">Estacas!F536</f>
        <v>11</v>
      </c>
      <c r="H535" s="141" t="n">
        <f aca="false">C535*(Estacas!K535+Estacas!K536)/2</f>
        <v>11.05</v>
      </c>
      <c r="I535" s="141" t="n">
        <f aca="false">H535*Parâmetros!$C$14</f>
        <v>26.52</v>
      </c>
      <c r="J535" s="141" t="n">
        <f aca="false">C535*(Estacas!L535+Estacas!L536)/2</f>
        <v>36.352</v>
      </c>
      <c r="K535" s="141" t="n">
        <f aca="false">C535*(Estacas!M535+Estacas!M536)/2</f>
        <v>47.68</v>
      </c>
      <c r="L535" s="141" t="n">
        <f aca="false">C535*(Estacas!N535+Estacas!N536)/2</f>
        <v>75.72</v>
      </c>
      <c r="M535" s="141" t="n">
        <f aca="false">C535*(Estacas!O535+Estacas!O536)/2</f>
        <v>224</v>
      </c>
      <c r="N535" s="141" t="n">
        <f aca="false">C535*(Estacas!O535+Estacas!O536)/2</f>
        <v>224</v>
      </c>
      <c r="O535" s="141" t="n">
        <f aca="false">C535*(Estacas!P535+Estacas!P536)/2</f>
        <v>258.4</v>
      </c>
      <c r="P535" s="141" t="n">
        <f aca="false">R535*Parâmetros!$C$11</f>
        <v>0</v>
      </c>
      <c r="Q535" s="141" t="n">
        <f aca="false">R535*Parâmetros!$C$12</f>
        <v>0</v>
      </c>
      <c r="R535" s="141" t="n">
        <f aca="false">C535*(Estacas!Q535+Estacas!Q536)/2</f>
        <v>0</v>
      </c>
      <c r="S535" s="141" t="n">
        <f aca="false">IF(LEFT(E535,3)="T09",C535*Parâmetros!$D$13*Parâmetros!$C$13,0)</f>
        <v>0</v>
      </c>
    </row>
    <row r="536" customFormat="false" ht="15" hidden="false" customHeight="false" outlineLevel="0" collapsed="false">
      <c r="A536" s="138" t="str">
        <f aca="false">Estacas!A536</f>
        <v>531+0,00</v>
      </c>
      <c r="B536" s="138" t="str">
        <f aca="false">Estacas!A537</f>
        <v>532+0,00</v>
      </c>
      <c r="C536" s="144" t="n">
        <f aca="false">Estacas!C537-Estacas!C536</f>
        <v>20</v>
      </c>
      <c r="D536" s="138" t="s">
        <v>1594</v>
      </c>
      <c r="E536" s="138" t="s">
        <v>1566</v>
      </c>
      <c r="F536" s="141" t="n">
        <f aca="false">Estacas!F536</f>
        <v>11</v>
      </c>
      <c r="G536" s="141" t="n">
        <f aca="false">Estacas!F537</f>
        <v>11</v>
      </c>
      <c r="H536" s="141" t="n">
        <f aca="false">C536*(Estacas!K536+Estacas!K537)/2</f>
        <v>11.05</v>
      </c>
      <c r="I536" s="141" t="n">
        <f aca="false">H536*Parâmetros!$C$14</f>
        <v>26.52</v>
      </c>
      <c r="J536" s="141" t="n">
        <f aca="false">C536*(Estacas!L536+Estacas!L537)/2</f>
        <v>36.352</v>
      </c>
      <c r="K536" s="141" t="n">
        <f aca="false">C536*(Estacas!M536+Estacas!M537)/2</f>
        <v>47.68</v>
      </c>
      <c r="L536" s="141" t="n">
        <f aca="false">C536*(Estacas!N536+Estacas!N537)/2</f>
        <v>75.72</v>
      </c>
      <c r="M536" s="141" t="n">
        <f aca="false">C536*(Estacas!O536+Estacas!O537)/2</f>
        <v>224</v>
      </c>
      <c r="N536" s="141" t="n">
        <f aca="false">C536*(Estacas!O536+Estacas!O537)/2</f>
        <v>224</v>
      </c>
      <c r="O536" s="141" t="n">
        <f aca="false">C536*(Estacas!P536+Estacas!P537)/2</f>
        <v>258.4</v>
      </c>
      <c r="P536" s="141" t="n">
        <f aca="false">R536*Parâmetros!$C$11</f>
        <v>0</v>
      </c>
      <c r="Q536" s="141" t="n">
        <f aca="false">R536*Parâmetros!$C$12</f>
        <v>0</v>
      </c>
      <c r="R536" s="141" t="n">
        <f aca="false">C536*(Estacas!Q536+Estacas!Q537)/2</f>
        <v>0</v>
      </c>
      <c r="S536" s="141" t="n">
        <f aca="false">IF(LEFT(E536,3)="T09",C536*Parâmetros!$D$13*Parâmetros!$C$13,0)</f>
        <v>0</v>
      </c>
    </row>
    <row r="537" customFormat="false" ht="15" hidden="false" customHeight="false" outlineLevel="0" collapsed="false">
      <c r="A537" s="138" t="str">
        <f aca="false">Estacas!A537</f>
        <v>532+0,00</v>
      </c>
      <c r="B537" s="138" t="str">
        <f aca="false">Estacas!A538</f>
        <v>533+0,00</v>
      </c>
      <c r="C537" s="144" t="n">
        <f aca="false">Estacas!C538-Estacas!C537</f>
        <v>20</v>
      </c>
      <c r="D537" s="138" t="s">
        <v>1594</v>
      </c>
      <c r="E537" s="138" t="s">
        <v>1566</v>
      </c>
      <c r="F537" s="141" t="n">
        <f aca="false">Estacas!F537</f>
        <v>11</v>
      </c>
      <c r="G537" s="141" t="n">
        <f aca="false">Estacas!F538</f>
        <v>11</v>
      </c>
      <c r="H537" s="141" t="n">
        <f aca="false">C537*(Estacas!K537+Estacas!K538)/2</f>
        <v>11.05</v>
      </c>
      <c r="I537" s="141" t="n">
        <f aca="false">H537*Parâmetros!$C$14</f>
        <v>26.52</v>
      </c>
      <c r="J537" s="141" t="n">
        <f aca="false">C537*(Estacas!L537+Estacas!L538)/2</f>
        <v>36.352</v>
      </c>
      <c r="K537" s="141" t="n">
        <f aca="false">C537*(Estacas!M537+Estacas!M538)/2</f>
        <v>47.68</v>
      </c>
      <c r="L537" s="141" t="n">
        <f aca="false">C537*(Estacas!N537+Estacas!N538)/2</f>
        <v>75.72</v>
      </c>
      <c r="M537" s="141" t="n">
        <f aca="false">C537*(Estacas!O537+Estacas!O538)/2</f>
        <v>224</v>
      </c>
      <c r="N537" s="141" t="n">
        <f aca="false">C537*(Estacas!O537+Estacas!O538)/2</f>
        <v>224</v>
      </c>
      <c r="O537" s="141" t="n">
        <f aca="false">C537*(Estacas!P537+Estacas!P538)/2</f>
        <v>258.4</v>
      </c>
      <c r="P537" s="141" t="n">
        <f aca="false">R537*Parâmetros!$C$11</f>
        <v>0</v>
      </c>
      <c r="Q537" s="141" t="n">
        <f aca="false">R537*Parâmetros!$C$12</f>
        <v>0</v>
      </c>
      <c r="R537" s="141" t="n">
        <f aca="false">C537*(Estacas!Q537+Estacas!Q538)/2</f>
        <v>0</v>
      </c>
      <c r="S537" s="141" t="n">
        <f aca="false">IF(LEFT(E537,3)="T09",C537*Parâmetros!$D$13*Parâmetros!$C$13,0)</f>
        <v>0</v>
      </c>
    </row>
    <row r="538" customFormat="false" ht="15" hidden="false" customHeight="false" outlineLevel="0" collapsed="false">
      <c r="A538" s="138" t="str">
        <f aca="false">Estacas!A538</f>
        <v>533+0,00</v>
      </c>
      <c r="B538" s="138" t="str">
        <f aca="false">Estacas!A539</f>
        <v>534+0,00</v>
      </c>
      <c r="C538" s="144" t="n">
        <f aca="false">Estacas!C539-Estacas!C538</f>
        <v>20</v>
      </c>
      <c r="D538" s="138" t="s">
        <v>1594</v>
      </c>
      <c r="E538" s="138" t="s">
        <v>1566</v>
      </c>
      <c r="F538" s="141" t="n">
        <f aca="false">Estacas!F538</f>
        <v>11</v>
      </c>
      <c r="G538" s="141" t="n">
        <f aca="false">Estacas!F539</f>
        <v>11</v>
      </c>
      <c r="H538" s="141" t="n">
        <f aca="false">C538*(Estacas!K538+Estacas!K539)/2</f>
        <v>11.05</v>
      </c>
      <c r="I538" s="141" t="n">
        <f aca="false">H538*Parâmetros!$C$14</f>
        <v>26.52</v>
      </c>
      <c r="J538" s="141" t="n">
        <f aca="false">C538*(Estacas!L538+Estacas!L539)/2</f>
        <v>36.352</v>
      </c>
      <c r="K538" s="141" t="n">
        <f aca="false">C538*(Estacas!M538+Estacas!M539)/2</f>
        <v>47.68</v>
      </c>
      <c r="L538" s="141" t="n">
        <f aca="false">C538*(Estacas!N538+Estacas!N539)/2</f>
        <v>75.72</v>
      </c>
      <c r="M538" s="141" t="n">
        <f aca="false">C538*(Estacas!O538+Estacas!O539)/2</f>
        <v>224</v>
      </c>
      <c r="N538" s="141" t="n">
        <f aca="false">C538*(Estacas!O538+Estacas!O539)/2</f>
        <v>224</v>
      </c>
      <c r="O538" s="141" t="n">
        <f aca="false">C538*(Estacas!P538+Estacas!P539)/2</f>
        <v>258.4</v>
      </c>
      <c r="P538" s="141" t="n">
        <f aca="false">R538*Parâmetros!$C$11</f>
        <v>0</v>
      </c>
      <c r="Q538" s="141" t="n">
        <f aca="false">R538*Parâmetros!$C$12</f>
        <v>0</v>
      </c>
      <c r="R538" s="141" t="n">
        <f aca="false">C538*(Estacas!Q538+Estacas!Q539)/2</f>
        <v>0</v>
      </c>
      <c r="S538" s="141" t="n">
        <f aca="false">IF(LEFT(E538,3)="T09",C538*Parâmetros!$D$13*Parâmetros!$C$13,0)</f>
        <v>0</v>
      </c>
    </row>
    <row r="539" customFormat="false" ht="15" hidden="false" customHeight="false" outlineLevel="0" collapsed="false">
      <c r="A539" s="138" t="str">
        <f aca="false">Estacas!A539</f>
        <v>534+0,00</v>
      </c>
      <c r="B539" s="138" t="str">
        <f aca="false">Estacas!A540</f>
        <v>535+0,00</v>
      </c>
      <c r="C539" s="144" t="n">
        <f aca="false">Estacas!C540-Estacas!C539</f>
        <v>20</v>
      </c>
      <c r="D539" s="138" t="s">
        <v>1594</v>
      </c>
      <c r="E539" s="138" t="s">
        <v>1566</v>
      </c>
      <c r="F539" s="141" t="n">
        <f aca="false">Estacas!F539</f>
        <v>11</v>
      </c>
      <c r="G539" s="141" t="n">
        <f aca="false">Estacas!F540</f>
        <v>11</v>
      </c>
      <c r="H539" s="141" t="n">
        <f aca="false">C539*(Estacas!K539+Estacas!K540)/2</f>
        <v>11.05</v>
      </c>
      <c r="I539" s="141" t="n">
        <f aca="false">H539*Parâmetros!$C$14</f>
        <v>26.52</v>
      </c>
      <c r="J539" s="141" t="n">
        <f aca="false">C539*(Estacas!L539+Estacas!L540)/2</f>
        <v>36.352</v>
      </c>
      <c r="K539" s="141" t="n">
        <f aca="false">C539*(Estacas!M539+Estacas!M540)/2</f>
        <v>47.68</v>
      </c>
      <c r="L539" s="141" t="n">
        <f aca="false">C539*(Estacas!N539+Estacas!N540)/2</f>
        <v>75.72</v>
      </c>
      <c r="M539" s="141" t="n">
        <f aca="false">C539*(Estacas!O539+Estacas!O540)/2</f>
        <v>224</v>
      </c>
      <c r="N539" s="141" t="n">
        <f aca="false">C539*(Estacas!O539+Estacas!O540)/2</f>
        <v>224</v>
      </c>
      <c r="O539" s="141" t="n">
        <f aca="false">C539*(Estacas!P539+Estacas!P540)/2</f>
        <v>258.4</v>
      </c>
      <c r="P539" s="141" t="n">
        <f aca="false">R539*Parâmetros!$C$11</f>
        <v>0</v>
      </c>
      <c r="Q539" s="141" t="n">
        <f aca="false">R539*Parâmetros!$C$12</f>
        <v>0</v>
      </c>
      <c r="R539" s="141" t="n">
        <f aca="false">C539*(Estacas!Q539+Estacas!Q540)/2</f>
        <v>0</v>
      </c>
      <c r="S539" s="141" t="n">
        <f aca="false">IF(LEFT(E539,3)="T09",C539*Parâmetros!$D$13*Parâmetros!$C$13,0)</f>
        <v>0</v>
      </c>
    </row>
    <row r="540" customFormat="false" ht="15" hidden="false" customHeight="false" outlineLevel="0" collapsed="false">
      <c r="A540" s="138" t="str">
        <f aca="false">Estacas!A540</f>
        <v>535+0,00</v>
      </c>
      <c r="B540" s="138" t="str">
        <f aca="false">Estacas!A541</f>
        <v>536+0,00</v>
      </c>
      <c r="C540" s="144" t="n">
        <f aca="false">Estacas!C541-Estacas!C540</f>
        <v>20</v>
      </c>
      <c r="D540" s="138" t="s">
        <v>1594</v>
      </c>
      <c r="E540" s="138" t="s">
        <v>1566</v>
      </c>
      <c r="F540" s="141" t="n">
        <f aca="false">Estacas!F540</f>
        <v>11</v>
      </c>
      <c r="G540" s="141" t="n">
        <f aca="false">Estacas!F541</f>
        <v>11</v>
      </c>
      <c r="H540" s="141" t="n">
        <f aca="false">C540*(Estacas!K540+Estacas!K541)/2</f>
        <v>11.05</v>
      </c>
      <c r="I540" s="141" t="n">
        <f aca="false">H540*Parâmetros!$C$14</f>
        <v>26.52</v>
      </c>
      <c r="J540" s="141" t="n">
        <f aca="false">C540*(Estacas!L540+Estacas!L541)/2</f>
        <v>36.352</v>
      </c>
      <c r="K540" s="141" t="n">
        <f aca="false">C540*(Estacas!M540+Estacas!M541)/2</f>
        <v>47.68</v>
      </c>
      <c r="L540" s="141" t="n">
        <f aca="false">C540*(Estacas!N540+Estacas!N541)/2</f>
        <v>75.72</v>
      </c>
      <c r="M540" s="141" t="n">
        <f aca="false">C540*(Estacas!O540+Estacas!O541)/2</f>
        <v>224</v>
      </c>
      <c r="N540" s="141" t="n">
        <f aca="false">C540*(Estacas!O540+Estacas!O541)/2</f>
        <v>224</v>
      </c>
      <c r="O540" s="141" t="n">
        <f aca="false">C540*(Estacas!P540+Estacas!P541)/2</f>
        <v>258.4</v>
      </c>
      <c r="P540" s="141" t="n">
        <f aca="false">R540*Parâmetros!$C$11</f>
        <v>0</v>
      </c>
      <c r="Q540" s="141" t="n">
        <f aca="false">R540*Parâmetros!$C$12</f>
        <v>0</v>
      </c>
      <c r="R540" s="141" t="n">
        <f aca="false">C540*(Estacas!Q540+Estacas!Q541)/2</f>
        <v>0</v>
      </c>
      <c r="S540" s="141" t="n">
        <f aca="false">IF(LEFT(E540,3)="T09",C540*Parâmetros!$D$13*Parâmetros!$C$13,0)</f>
        <v>0</v>
      </c>
    </row>
    <row r="541" customFormat="false" ht="15" hidden="false" customHeight="false" outlineLevel="0" collapsed="false">
      <c r="A541" s="138" t="str">
        <f aca="false">Estacas!A541</f>
        <v>536+0,00</v>
      </c>
      <c r="B541" s="138" t="str">
        <f aca="false">Estacas!A542</f>
        <v>537+0,00</v>
      </c>
      <c r="C541" s="144" t="n">
        <f aca="false">Estacas!C542-Estacas!C541</f>
        <v>20</v>
      </c>
      <c r="D541" s="138" t="s">
        <v>1594</v>
      </c>
      <c r="E541" s="138" t="s">
        <v>1566</v>
      </c>
      <c r="F541" s="141" t="n">
        <f aca="false">Estacas!F541</f>
        <v>11</v>
      </c>
      <c r="G541" s="141" t="n">
        <f aca="false">Estacas!F542</f>
        <v>11</v>
      </c>
      <c r="H541" s="141" t="n">
        <f aca="false">C541*(Estacas!K541+Estacas!K542)/2</f>
        <v>11.05</v>
      </c>
      <c r="I541" s="141" t="n">
        <f aca="false">H541*Parâmetros!$C$14</f>
        <v>26.52</v>
      </c>
      <c r="J541" s="141" t="n">
        <f aca="false">C541*(Estacas!L541+Estacas!L542)/2</f>
        <v>36.352</v>
      </c>
      <c r="K541" s="141" t="n">
        <f aca="false">C541*(Estacas!M541+Estacas!M542)/2</f>
        <v>47.68</v>
      </c>
      <c r="L541" s="141" t="n">
        <f aca="false">C541*(Estacas!N541+Estacas!N542)/2</f>
        <v>75.72</v>
      </c>
      <c r="M541" s="141" t="n">
        <f aca="false">C541*(Estacas!O541+Estacas!O542)/2</f>
        <v>224</v>
      </c>
      <c r="N541" s="141" t="n">
        <f aca="false">C541*(Estacas!O541+Estacas!O542)/2</f>
        <v>224</v>
      </c>
      <c r="O541" s="141" t="n">
        <f aca="false">C541*(Estacas!P541+Estacas!P542)/2</f>
        <v>258.4</v>
      </c>
      <c r="P541" s="141" t="n">
        <f aca="false">R541*Parâmetros!$C$11</f>
        <v>0</v>
      </c>
      <c r="Q541" s="141" t="n">
        <f aca="false">R541*Parâmetros!$C$12</f>
        <v>0</v>
      </c>
      <c r="R541" s="141" t="n">
        <f aca="false">C541*(Estacas!Q541+Estacas!Q542)/2</f>
        <v>0</v>
      </c>
      <c r="S541" s="141" t="n">
        <f aca="false">IF(LEFT(E541,3)="T09",C541*Parâmetros!$D$13*Parâmetros!$C$13,0)</f>
        <v>0</v>
      </c>
    </row>
    <row r="542" customFormat="false" ht="15" hidden="false" customHeight="false" outlineLevel="0" collapsed="false">
      <c r="A542" s="138" t="str">
        <f aca="false">Estacas!A542</f>
        <v>537+0,00</v>
      </c>
      <c r="B542" s="138" t="str">
        <f aca="false">Estacas!A543</f>
        <v>538+0,00</v>
      </c>
      <c r="C542" s="144" t="n">
        <f aca="false">Estacas!C543-Estacas!C542</f>
        <v>20</v>
      </c>
      <c r="D542" s="138" t="s">
        <v>1594</v>
      </c>
      <c r="E542" s="138" t="s">
        <v>1566</v>
      </c>
      <c r="F542" s="141" t="n">
        <f aca="false">Estacas!F542</f>
        <v>11</v>
      </c>
      <c r="G542" s="141" t="n">
        <f aca="false">Estacas!F543</f>
        <v>11</v>
      </c>
      <c r="H542" s="141" t="n">
        <f aca="false">C542*(Estacas!K542+Estacas!K543)/2</f>
        <v>11.05</v>
      </c>
      <c r="I542" s="141" t="n">
        <f aca="false">H542*Parâmetros!$C$14</f>
        <v>26.52</v>
      </c>
      <c r="J542" s="141" t="n">
        <f aca="false">C542*(Estacas!L542+Estacas!L543)/2</f>
        <v>36.352</v>
      </c>
      <c r="K542" s="141" t="n">
        <f aca="false">C542*(Estacas!M542+Estacas!M543)/2</f>
        <v>47.68</v>
      </c>
      <c r="L542" s="141" t="n">
        <f aca="false">C542*(Estacas!N542+Estacas!N543)/2</f>
        <v>75.72</v>
      </c>
      <c r="M542" s="141" t="n">
        <f aca="false">C542*(Estacas!O542+Estacas!O543)/2</f>
        <v>224</v>
      </c>
      <c r="N542" s="141" t="n">
        <f aca="false">C542*(Estacas!O542+Estacas!O543)/2</f>
        <v>224</v>
      </c>
      <c r="O542" s="141" t="n">
        <f aca="false">C542*(Estacas!P542+Estacas!P543)/2</f>
        <v>258.4</v>
      </c>
      <c r="P542" s="141" t="n">
        <f aca="false">R542*Parâmetros!$C$11</f>
        <v>0</v>
      </c>
      <c r="Q542" s="141" t="n">
        <f aca="false">R542*Parâmetros!$C$12</f>
        <v>0</v>
      </c>
      <c r="R542" s="141" t="n">
        <f aca="false">C542*(Estacas!Q542+Estacas!Q543)/2</f>
        <v>0</v>
      </c>
      <c r="S542" s="141" t="n">
        <f aca="false">IF(LEFT(E542,3)="T09",C542*Parâmetros!$D$13*Parâmetros!$C$13,0)</f>
        <v>0</v>
      </c>
    </row>
    <row r="543" customFormat="false" ht="15" hidden="false" customHeight="false" outlineLevel="0" collapsed="false">
      <c r="A543" s="138" t="str">
        <f aca="false">Estacas!A543</f>
        <v>538+0,00</v>
      </c>
      <c r="B543" s="138" t="str">
        <f aca="false">Estacas!A544</f>
        <v>539+0,00</v>
      </c>
      <c r="C543" s="144" t="n">
        <f aca="false">Estacas!C544-Estacas!C543</f>
        <v>20</v>
      </c>
      <c r="D543" s="138" t="s">
        <v>1594</v>
      </c>
      <c r="E543" s="138" t="s">
        <v>1566</v>
      </c>
      <c r="F543" s="141" t="n">
        <f aca="false">Estacas!F543</f>
        <v>11</v>
      </c>
      <c r="G543" s="141" t="n">
        <f aca="false">Estacas!F544</f>
        <v>11</v>
      </c>
      <c r="H543" s="141" t="n">
        <f aca="false">C543*(Estacas!K543+Estacas!K544)/2</f>
        <v>11.05</v>
      </c>
      <c r="I543" s="141" t="n">
        <f aca="false">H543*Parâmetros!$C$14</f>
        <v>26.52</v>
      </c>
      <c r="J543" s="141" t="n">
        <f aca="false">C543*(Estacas!L543+Estacas!L544)/2</f>
        <v>36.352</v>
      </c>
      <c r="K543" s="141" t="n">
        <f aca="false">C543*(Estacas!M543+Estacas!M544)/2</f>
        <v>47.68</v>
      </c>
      <c r="L543" s="141" t="n">
        <f aca="false">C543*(Estacas!N543+Estacas!N544)/2</f>
        <v>75.72</v>
      </c>
      <c r="M543" s="141" t="n">
        <f aca="false">C543*(Estacas!O543+Estacas!O544)/2</f>
        <v>224</v>
      </c>
      <c r="N543" s="141" t="n">
        <f aca="false">C543*(Estacas!O543+Estacas!O544)/2</f>
        <v>224</v>
      </c>
      <c r="O543" s="141" t="n">
        <f aca="false">C543*(Estacas!P543+Estacas!P544)/2</f>
        <v>258.4</v>
      </c>
      <c r="P543" s="141" t="n">
        <f aca="false">R543*Parâmetros!$C$11</f>
        <v>0</v>
      </c>
      <c r="Q543" s="141" t="n">
        <f aca="false">R543*Parâmetros!$C$12</f>
        <v>0</v>
      </c>
      <c r="R543" s="141" t="n">
        <f aca="false">C543*(Estacas!Q543+Estacas!Q544)/2</f>
        <v>0</v>
      </c>
      <c r="S543" s="141" t="n">
        <f aca="false">IF(LEFT(E543,3)="T09",C543*Parâmetros!$D$13*Parâmetros!$C$13,0)</f>
        <v>0</v>
      </c>
    </row>
    <row r="544" customFormat="false" ht="15" hidden="false" customHeight="false" outlineLevel="0" collapsed="false">
      <c r="A544" s="138" t="str">
        <f aca="false">Estacas!A544</f>
        <v>539+0,00</v>
      </c>
      <c r="B544" s="138" t="str">
        <f aca="false">Estacas!A545</f>
        <v>540+0,00</v>
      </c>
      <c r="C544" s="144" t="n">
        <f aca="false">Estacas!C545-Estacas!C544</f>
        <v>20</v>
      </c>
      <c r="D544" s="138" t="s">
        <v>1594</v>
      </c>
      <c r="E544" s="138" t="s">
        <v>1566</v>
      </c>
      <c r="F544" s="141" t="n">
        <f aca="false">Estacas!F544</f>
        <v>11</v>
      </c>
      <c r="G544" s="141" t="n">
        <f aca="false">Estacas!F545</f>
        <v>11</v>
      </c>
      <c r="H544" s="141" t="n">
        <f aca="false">C544*(Estacas!K544+Estacas!K545)/2</f>
        <v>11.05</v>
      </c>
      <c r="I544" s="141" t="n">
        <f aca="false">H544*Parâmetros!$C$14</f>
        <v>26.52</v>
      </c>
      <c r="J544" s="141" t="n">
        <f aca="false">C544*(Estacas!L544+Estacas!L545)/2</f>
        <v>36.352</v>
      </c>
      <c r="K544" s="141" t="n">
        <f aca="false">C544*(Estacas!M544+Estacas!M545)/2</f>
        <v>47.68</v>
      </c>
      <c r="L544" s="141" t="n">
        <f aca="false">C544*(Estacas!N544+Estacas!N545)/2</f>
        <v>75.72</v>
      </c>
      <c r="M544" s="141" t="n">
        <f aca="false">C544*(Estacas!O544+Estacas!O545)/2</f>
        <v>224</v>
      </c>
      <c r="N544" s="141" t="n">
        <f aca="false">C544*(Estacas!O544+Estacas!O545)/2</f>
        <v>224</v>
      </c>
      <c r="O544" s="141" t="n">
        <f aca="false">C544*(Estacas!P544+Estacas!P545)/2</f>
        <v>258.4</v>
      </c>
      <c r="P544" s="141" t="n">
        <f aca="false">R544*Parâmetros!$C$11</f>
        <v>0</v>
      </c>
      <c r="Q544" s="141" t="n">
        <f aca="false">R544*Parâmetros!$C$12</f>
        <v>0</v>
      </c>
      <c r="R544" s="141" t="n">
        <f aca="false">C544*(Estacas!Q544+Estacas!Q545)/2</f>
        <v>0</v>
      </c>
      <c r="S544" s="141" t="n">
        <f aca="false">IF(LEFT(E544,3)="T09",C544*Parâmetros!$D$13*Parâmetros!$C$13,0)</f>
        <v>0</v>
      </c>
    </row>
    <row r="545" customFormat="false" ht="15" hidden="false" customHeight="false" outlineLevel="0" collapsed="false">
      <c r="A545" s="138" t="str">
        <f aca="false">Estacas!A545</f>
        <v>540+0,00</v>
      </c>
      <c r="B545" s="138" t="str">
        <f aca="false">Estacas!A546</f>
        <v>541+0,00</v>
      </c>
      <c r="C545" s="144" t="n">
        <f aca="false">Estacas!C546-Estacas!C545</f>
        <v>20</v>
      </c>
      <c r="D545" s="138" t="s">
        <v>1594</v>
      </c>
      <c r="E545" s="138" t="s">
        <v>1566</v>
      </c>
      <c r="F545" s="141" t="n">
        <f aca="false">Estacas!F545</f>
        <v>11</v>
      </c>
      <c r="G545" s="141" t="n">
        <f aca="false">Estacas!F546</f>
        <v>11</v>
      </c>
      <c r="H545" s="141" t="n">
        <f aca="false">C545*(Estacas!K545+Estacas!K546)/2</f>
        <v>11.05</v>
      </c>
      <c r="I545" s="141" t="n">
        <f aca="false">H545*Parâmetros!$C$14</f>
        <v>26.52</v>
      </c>
      <c r="J545" s="141" t="n">
        <f aca="false">C545*(Estacas!L545+Estacas!L546)/2</f>
        <v>36.352</v>
      </c>
      <c r="K545" s="141" t="n">
        <f aca="false">C545*(Estacas!M545+Estacas!M546)/2</f>
        <v>47.68</v>
      </c>
      <c r="L545" s="141" t="n">
        <f aca="false">C545*(Estacas!N545+Estacas!N546)/2</f>
        <v>75.72</v>
      </c>
      <c r="M545" s="141" t="n">
        <f aca="false">C545*(Estacas!O545+Estacas!O546)/2</f>
        <v>224</v>
      </c>
      <c r="N545" s="141" t="n">
        <f aca="false">C545*(Estacas!O545+Estacas!O546)/2</f>
        <v>224</v>
      </c>
      <c r="O545" s="141" t="n">
        <f aca="false">C545*(Estacas!P545+Estacas!P546)/2</f>
        <v>258.4</v>
      </c>
      <c r="P545" s="141" t="n">
        <f aca="false">R545*Parâmetros!$C$11</f>
        <v>0</v>
      </c>
      <c r="Q545" s="141" t="n">
        <f aca="false">R545*Parâmetros!$C$12</f>
        <v>0</v>
      </c>
      <c r="R545" s="141" t="n">
        <f aca="false">C545*(Estacas!Q545+Estacas!Q546)/2</f>
        <v>0</v>
      </c>
      <c r="S545" s="141" t="n">
        <f aca="false">IF(LEFT(E545,3)="T09",C545*Parâmetros!$D$13*Parâmetros!$C$13,0)</f>
        <v>0</v>
      </c>
    </row>
    <row r="546" customFormat="false" ht="15" hidden="false" customHeight="false" outlineLevel="0" collapsed="false">
      <c r="A546" s="138" t="str">
        <f aca="false">Estacas!A546</f>
        <v>541+0,00</v>
      </c>
      <c r="B546" s="138" t="str">
        <f aca="false">Estacas!A547</f>
        <v>542+0,00</v>
      </c>
      <c r="C546" s="144" t="n">
        <f aca="false">Estacas!C547-Estacas!C546</f>
        <v>20</v>
      </c>
      <c r="D546" s="138" t="s">
        <v>1594</v>
      </c>
      <c r="E546" s="138" t="s">
        <v>1566</v>
      </c>
      <c r="F546" s="141" t="n">
        <f aca="false">Estacas!F546</f>
        <v>11</v>
      </c>
      <c r="G546" s="141" t="n">
        <f aca="false">Estacas!F547</f>
        <v>11</v>
      </c>
      <c r="H546" s="141" t="n">
        <f aca="false">C546*(Estacas!K546+Estacas!K547)/2</f>
        <v>11.05</v>
      </c>
      <c r="I546" s="141" t="n">
        <f aca="false">H546*Parâmetros!$C$14</f>
        <v>26.52</v>
      </c>
      <c r="J546" s="141" t="n">
        <f aca="false">C546*(Estacas!L546+Estacas!L547)/2</f>
        <v>36.352</v>
      </c>
      <c r="K546" s="141" t="n">
        <f aca="false">C546*(Estacas!M546+Estacas!M547)/2</f>
        <v>47.68</v>
      </c>
      <c r="L546" s="141" t="n">
        <f aca="false">C546*(Estacas!N546+Estacas!N547)/2</f>
        <v>75.72</v>
      </c>
      <c r="M546" s="141" t="n">
        <f aca="false">C546*(Estacas!O546+Estacas!O547)/2</f>
        <v>224</v>
      </c>
      <c r="N546" s="141" t="n">
        <f aca="false">C546*(Estacas!O546+Estacas!O547)/2</f>
        <v>224</v>
      </c>
      <c r="O546" s="141" t="n">
        <f aca="false">C546*(Estacas!P546+Estacas!P547)/2</f>
        <v>258.4</v>
      </c>
      <c r="P546" s="141" t="n">
        <f aca="false">R546*Parâmetros!$C$11</f>
        <v>0</v>
      </c>
      <c r="Q546" s="141" t="n">
        <f aca="false">R546*Parâmetros!$C$12</f>
        <v>0</v>
      </c>
      <c r="R546" s="141" t="n">
        <f aca="false">C546*(Estacas!Q546+Estacas!Q547)/2</f>
        <v>0</v>
      </c>
      <c r="S546" s="141" t="n">
        <f aca="false">IF(LEFT(E546,3)="T09",C546*Parâmetros!$D$13*Parâmetros!$C$13,0)</f>
        <v>0</v>
      </c>
    </row>
    <row r="547" customFormat="false" ht="15" hidden="false" customHeight="false" outlineLevel="0" collapsed="false">
      <c r="A547" s="138" t="str">
        <f aca="false">Estacas!A547</f>
        <v>542+0,00</v>
      </c>
      <c r="B547" s="138" t="str">
        <f aca="false">Estacas!A548</f>
        <v>543+0,00</v>
      </c>
      <c r="C547" s="144" t="n">
        <f aca="false">Estacas!C548-Estacas!C547</f>
        <v>20</v>
      </c>
      <c r="D547" s="138" t="s">
        <v>1594</v>
      </c>
      <c r="E547" s="138" t="s">
        <v>1566</v>
      </c>
      <c r="F547" s="141" t="n">
        <f aca="false">Estacas!F547</f>
        <v>11</v>
      </c>
      <c r="G547" s="141" t="n">
        <f aca="false">Estacas!F548</f>
        <v>11</v>
      </c>
      <c r="H547" s="141" t="n">
        <f aca="false">C547*(Estacas!K547+Estacas!K548)/2</f>
        <v>11.05</v>
      </c>
      <c r="I547" s="141" t="n">
        <f aca="false">H547*Parâmetros!$C$14</f>
        <v>26.52</v>
      </c>
      <c r="J547" s="141" t="n">
        <f aca="false">C547*(Estacas!L547+Estacas!L548)/2</f>
        <v>36.352</v>
      </c>
      <c r="K547" s="141" t="n">
        <f aca="false">C547*(Estacas!M547+Estacas!M548)/2</f>
        <v>47.68</v>
      </c>
      <c r="L547" s="141" t="n">
        <f aca="false">C547*(Estacas!N547+Estacas!N548)/2</f>
        <v>75.72</v>
      </c>
      <c r="M547" s="141" t="n">
        <f aca="false">C547*(Estacas!O547+Estacas!O548)/2</f>
        <v>224</v>
      </c>
      <c r="N547" s="141" t="n">
        <f aca="false">C547*(Estacas!O547+Estacas!O548)/2</f>
        <v>224</v>
      </c>
      <c r="O547" s="141" t="n">
        <f aca="false">C547*(Estacas!P547+Estacas!P548)/2</f>
        <v>258.4</v>
      </c>
      <c r="P547" s="141" t="n">
        <f aca="false">R547*Parâmetros!$C$11</f>
        <v>0</v>
      </c>
      <c r="Q547" s="141" t="n">
        <f aca="false">R547*Parâmetros!$C$12</f>
        <v>0</v>
      </c>
      <c r="R547" s="141" t="n">
        <f aca="false">C547*(Estacas!Q547+Estacas!Q548)/2</f>
        <v>0</v>
      </c>
      <c r="S547" s="141" t="n">
        <f aca="false">IF(LEFT(E547,3)="T09",C547*Parâmetros!$D$13*Parâmetros!$C$13,0)</f>
        <v>0</v>
      </c>
    </row>
    <row r="548" customFormat="false" ht="15" hidden="false" customHeight="false" outlineLevel="0" collapsed="false">
      <c r="A548" s="138" t="str">
        <f aca="false">Estacas!A548</f>
        <v>543+0,00</v>
      </c>
      <c r="B548" s="138" t="str">
        <f aca="false">Estacas!A549</f>
        <v>544+0,00</v>
      </c>
      <c r="C548" s="144" t="n">
        <f aca="false">Estacas!C549-Estacas!C548</f>
        <v>20</v>
      </c>
      <c r="D548" s="138" t="s">
        <v>1594</v>
      </c>
      <c r="E548" s="138" t="s">
        <v>1566</v>
      </c>
      <c r="F548" s="141" t="n">
        <f aca="false">Estacas!F548</f>
        <v>11</v>
      </c>
      <c r="G548" s="141" t="n">
        <f aca="false">Estacas!F549</f>
        <v>11</v>
      </c>
      <c r="H548" s="141" t="n">
        <f aca="false">C548*(Estacas!K548+Estacas!K549)/2</f>
        <v>11.05</v>
      </c>
      <c r="I548" s="141" t="n">
        <f aca="false">H548*Parâmetros!$C$14</f>
        <v>26.52</v>
      </c>
      <c r="J548" s="141" t="n">
        <f aca="false">C548*(Estacas!L548+Estacas!L549)/2</f>
        <v>36.352</v>
      </c>
      <c r="K548" s="141" t="n">
        <f aca="false">C548*(Estacas!M548+Estacas!M549)/2</f>
        <v>47.68</v>
      </c>
      <c r="L548" s="141" t="n">
        <f aca="false">C548*(Estacas!N548+Estacas!N549)/2</f>
        <v>75.72</v>
      </c>
      <c r="M548" s="141" t="n">
        <f aca="false">C548*(Estacas!O548+Estacas!O549)/2</f>
        <v>224</v>
      </c>
      <c r="N548" s="141" t="n">
        <f aca="false">C548*(Estacas!O548+Estacas!O549)/2</f>
        <v>224</v>
      </c>
      <c r="O548" s="141" t="n">
        <f aca="false">C548*(Estacas!P548+Estacas!P549)/2</f>
        <v>258.4</v>
      </c>
      <c r="P548" s="141" t="n">
        <f aca="false">R548*Parâmetros!$C$11</f>
        <v>0</v>
      </c>
      <c r="Q548" s="141" t="n">
        <f aca="false">R548*Parâmetros!$C$12</f>
        <v>0</v>
      </c>
      <c r="R548" s="141" t="n">
        <f aca="false">C548*(Estacas!Q548+Estacas!Q549)/2</f>
        <v>0</v>
      </c>
      <c r="S548" s="141" t="n">
        <f aca="false">IF(LEFT(E548,3)="T09",C548*Parâmetros!$D$13*Parâmetros!$C$13,0)</f>
        <v>0</v>
      </c>
    </row>
    <row r="549" customFormat="false" ht="15" hidden="false" customHeight="false" outlineLevel="0" collapsed="false">
      <c r="A549" s="138" t="str">
        <f aca="false">Estacas!A549</f>
        <v>544+0,00</v>
      </c>
      <c r="B549" s="138" t="str">
        <f aca="false">Estacas!A550</f>
        <v>545+0,00</v>
      </c>
      <c r="C549" s="144" t="n">
        <f aca="false">Estacas!C550-Estacas!C549</f>
        <v>20</v>
      </c>
      <c r="D549" s="138" t="s">
        <v>1594</v>
      </c>
      <c r="E549" s="138" t="s">
        <v>1566</v>
      </c>
      <c r="F549" s="141" t="n">
        <f aca="false">Estacas!F549</f>
        <v>11</v>
      </c>
      <c r="G549" s="141" t="n">
        <f aca="false">Estacas!F550</f>
        <v>11</v>
      </c>
      <c r="H549" s="141" t="n">
        <f aca="false">C549*(Estacas!K549+Estacas!K550)/2</f>
        <v>11.05</v>
      </c>
      <c r="I549" s="141" t="n">
        <f aca="false">H549*Parâmetros!$C$14</f>
        <v>26.52</v>
      </c>
      <c r="J549" s="141" t="n">
        <f aca="false">C549*(Estacas!L549+Estacas!L550)/2</f>
        <v>36.352</v>
      </c>
      <c r="K549" s="141" t="n">
        <f aca="false">C549*(Estacas!M549+Estacas!M550)/2</f>
        <v>47.68</v>
      </c>
      <c r="L549" s="141" t="n">
        <f aca="false">C549*(Estacas!N549+Estacas!N550)/2</f>
        <v>75.72</v>
      </c>
      <c r="M549" s="141" t="n">
        <f aca="false">C549*(Estacas!O549+Estacas!O550)/2</f>
        <v>224</v>
      </c>
      <c r="N549" s="141" t="n">
        <f aca="false">C549*(Estacas!O549+Estacas!O550)/2</f>
        <v>224</v>
      </c>
      <c r="O549" s="141" t="n">
        <f aca="false">C549*(Estacas!P549+Estacas!P550)/2</f>
        <v>258.4</v>
      </c>
      <c r="P549" s="141" t="n">
        <f aca="false">R549*Parâmetros!$C$11</f>
        <v>0</v>
      </c>
      <c r="Q549" s="141" t="n">
        <f aca="false">R549*Parâmetros!$C$12</f>
        <v>0</v>
      </c>
      <c r="R549" s="141" t="n">
        <f aca="false">C549*(Estacas!Q549+Estacas!Q550)/2</f>
        <v>0</v>
      </c>
      <c r="S549" s="141" t="n">
        <f aca="false">IF(LEFT(E549,3)="T09",C549*Parâmetros!$D$13*Parâmetros!$C$13,0)</f>
        <v>0</v>
      </c>
    </row>
    <row r="550" customFormat="false" ht="15" hidden="false" customHeight="false" outlineLevel="0" collapsed="false">
      <c r="A550" s="138" t="str">
        <f aca="false">Estacas!A550</f>
        <v>545+0,00</v>
      </c>
      <c r="B550" s="138" t="str">
        <f aca="false">Estacas!A551</f>
        <v>546+0,00</v>
      </c>
      <c r="C550" s="144" t="n">
        <f aca="false">Estacas!C551-Estacas!C550</f>
        <v>20</v>
      </c>
      <c r="D550" s="138" t="s">
        <v>1594</v>
      </c>
      <c r="E550" s="138" t="s">
        <v>1566</v>
      </c>
      <c r="F550" s="141" t="n">
        <f aca="false">Estacas!F550</f>
        <v>11</v>
      </c>
      <c r="G550" s="141" t="n">
        <f aca="false">Estacas!F551</f>
        <v>11</v>
      </c>
      <c r="H550" s="141" t="n">
        <f aca="false">C550*(Estacas!K550+Estacas!K551)/2</f>
        <v>11.05</v>
      </c>
      <c r="I550" s="141" t="n">
        <f aca="false">H550*Parâmetros!$C$14</f>
        <v>26.52</v>
      </c>
      <c r="J550" s="141" t="n">
        <f aca="false">C550*(Estacas!L550+Estacas!L551)/2</f>
        <v>36.352</v>
      </c>
      <c r="K550" s="141" t="n">
        <f aca="false">C550*(Estacas!M550+Estacas!M551)/2</f>
        <v>47.68</v>
      </c>
      <c r="L550" s="141" t="n">
        <f aca="false">C550*(Estacas!N550+Estacas!N551)/2</f>
        <v>75.72</v>
      </c>
      <c r="M550" s="141" t="n">
        <f aca="false">C550*(Estacas!O550+Estacas!O551)/2</f>
        <v>224</v>
      </c>
      <c r="N550" s="141" t="n">
        <f aca="false">C550*(Estacas!O550+Estacas!O551)/2</f>
        <v>224</v>
      </c>
      <c r="O550" s="141" t="n">
        <f aca="false">C550*(Estacas!P550+Estacas!P551)/2</f>
        <v>258.4</v>
      </c>
      <c r="P550" s="141" t="n">
        <f aca="false">R550*Parâmetros!$C$11</f>
        <v>0</v>
      </c>
      <c r="Q550" s="141" t="n">
        <f aca="false">R550*Parâmetros!$C$12</f>
        <v>0</v>
      </c>
      <c r="R550" s="141" t="n">
        <f aca="false">C550*(Estacas!Q550+Estacas!Q551)/2</f>
        <v>0</v>
      </c>
      <c r="S550" s="141" t="n">
        <f aca="false">IF(LEFT(E550,3)="T09",C550*Parâmetros!$D$13*Parâmetros!$C$13,0)</f>
        <v>0</v>
      </c>
    </row>
    <row r="551" customFormat="false" ht="15" hidden="false" customHeight="false" outlineLevel="0" collapsed="false">
      <c r="A551" s="138" t="str">
        <f aca="false">Estacas!A551</f>
        <v>546+0,00</v>
      </c>
      <c r="B551" s="138" t="str">
        <f aca="false">Estacas!A552</f>
        <v>547+0,00</v>
      </c>
      <c r="C551" s="144" t="n">
        <f aca="false">Estacas!C552-Estacas!C551</f>
        <v>20</v>
      </c>
      <c r="D551" s="138" t="s">
        <v>1594</v>
      </c>
      <c r="E551" s="138" t="s">
        <v>1566</v>
      </c>
      <c r="F551" s="141" t="n">
        <f aca="false">Estacas!F551</f>
        <v>11</v>
      </c>
      <c r="G551" s="141" t="n">
        <f aca="false">Estacas!F552</f>
        <v>11</v>
      </c>
      <c r="H551" s="141" t="n">
        <f aca="false">C551*(Estacas!K551+Estacas!K552)/2</f>
        <v>11.05</v>
      </c>
      <c r="I551" s="141" t="n">
        <f aca="false">H551*Parâmetros!$C$14</f>
        <v>26.52</v>
      </c>
      <c r="J551" s="141" t="n">
        <f aca="false">C551*(Estacas!L551+Estacas!L552)/2</f>
        <v>36.352</v>
      </c>
      <c r="K551" s="141" t="n">
        <f aca="false">C551*(Estacas!M551+Estacas!M552)/2</f>
        <v>47.68</v>
      </c>
      <c r="L551" s="141" t="n">
        <f aca="false">C551*(Estacas!N551+Estacas!N552)/2</f>
        <v>75.72</v>
      </c>
      <c r="M551" s="141" t="n">
        <f aca="false">C551*(Estacas!O551+Estacas!O552)/2</f>
        <v>224</v>
      </c>
      <c r="N551" s="141" t="n">
        <f aca="false">C551*(Estacas!O551+Estacas!O552)/2</f>
        <v>224</v>
      </c>
      <c r="O551" s="141" t="n">
        <f aca="false">C551*(Estacas!P551+Estacas!P552)/2</f>
        <v>258.4</v>
      </c>
      <c r="P551" s="141" t="n">
        <f aca="false">R551*Parâmetros!$C$11</f>
        <v>0</v>
      </c>
      <c r="Q551" s="141" t="n">
        <f aca="false">R551*Parâmetros!$C$12</f>
        <v>0</v>
      </c>
      <c r="R551" s="141" t="n">
        <f aca="false">C551*(Estacas!Q551+Estacas!Q552)/2</f>
        <v>0</v>
      </c>
      <c r="S551" s="141" t="n">
        <f aca="false">IF(LEFT(E551,3)="T09",C551*Parâmetros!$D$13*Parâmetros!$C$13,0)</f>
        <v>0</v>
      </c>
    </row>
    <row r="552" customFormat="false" ht="15" hidden="false" customHeight="false" outlineLevel="0" collapsed="false">
      <c r="A552" s="138" t="str">
        <f aca="false">Estacas!A552</f>
        <v>547+0,00</v>
      </c>
      <c r="B552" s="138" t="str">
        <f aca="false">Estacas!A553</f>
        <v>548+0,00</v>
      </c>
      <c r="C552" s="144" t="n">
        <f aca="false">Estacas!C553-Estacas!C552</f>
        <v>20</v>
      </c>
      <c r="D552" s="138" t="s">
        <v>1594</v>
      </c>
      <c r="E552" s="138" t="s">
        <v>1566</v>
      </c>
      <c r="F552" s="141" t="n">
        <f aca="false">Estacas!F552</f>
        <v>11</v>
      </c>
      <c r="G552" s="141" t="n">
        <f aca="false">Estacas!F553</f>
        <v>11</v>
      </c>
      <c r="H552" s="141" t="n">
        <f aca="false">C552*(Estacas!K552+Estacas!K553)/2</f>
        <v>11.05</v>
      </c>
      <c r="I552" s="141" t="n">
        <f aca="false">H552*Parâmetros!$C$14</f>
        <v>26.52</v>
      </c>
      <c r="J552" s="141" t="n">
        <f aca="false">C552*(Estacas!L552+Estacas!L553)/2</f>
        <v>36.352</v>
      </c>
      <c r="K552" s="141" t="n">
        <f aca="false">C552*(Estacas!M552+Estacas!M553)/2</f>
        <v>47.68</v>
      </c>
      <c r="L552" s="141" t="n">
        <f aca="false">C552*(Estacas!N552+Estacas!N553)/2</f>
        <v>75.72</v>
      </c>
      <c r="M552" s="141" t="n">
        <f aca="false">C552*(Estacas!O552+Estacas!O553)/2</f>
        <v>224</v>
      </c>
      <c r="N552" s="141" t="n">
        <f aca="false">C552*(Estacas!O552+Estacas!O553)/2</f>
        <v>224</v>
      </c>
      <c r="O552" s="141" t="n">
        <f aca="false">C552*(Estacas!P552+Estacas!P553)/2</f>
        <v>258.4</v>
      </c>
      <c r="P552" s="141" t="n">
        <f aca="false">R552*Parâmetros!$C$11</f>
        <v>0</v>
      </c>
      <c r="Q552" s="141" t="n">
        <f aca="false">R552*Parâmetros!$C$12</f>
        <v>0</v>
      </c>
      <c r="R552" s="141" t="n">
        <f aca="false">C552*(Estacas!Q552+Estacas!Q553)/2</f>
        <v>0</v>
      </c>
      <c r="S552" s="141" t="n">
        <f aca="false">IF(LEFT(E552,3)="T09",C552*Parâmetros!$D$13*Parâmetros!$C$13,0)</f>
        <v>0</v>
      </c>
    </row>
    <row r="553" customFormat="false" ht="15" hidden="false" customHeight="false" outlineLevel="0" collapsed="false">
      <c r="A553" s="138" t="str">
        <f aca="false">Estacas!A553</f>
        <v>548+0,00</v>
      </c>
      <c r="B553" s="138" t="str">
        <f aca="false">Estacas!A554</f>
        <v>549+0,00</v>
      </c>
      <c r="C553" s="144" t="n">
        <f aca="false">Estacas!C554-Estacas!C553</f>
        <v>20</v>
      </c>
      <c r="D553" s="138" t="s">
        <v>1594</v>
      </c>
      <c r="E553" s="138" t="s">
        <v>1566</v>
      </c>
      <c r="F553" s="141" t="n">
        <f aca="false">Estacas!F553</f>
        <v>11</v>
      </c>
      <c r="G553" s="141" t="n">
        <f aca="false">Estacas!F554</f>
        <v>11</v>
      </c>
      <c r="H553" s="141" t="n">
        <f aca="false">C553*(Estacas!K553+Estacas!K554)/2</f>
        <v>11.05</v>
      </c>
      <c r="I553" s="141" t="n">
        <f aca="false">H553*Parâmetros!$C$14</f>
        <v>26.52</v>
      </c>
      <c r="J553" s="141" t="n">
        <f aca="false">C553*(Estacas!L553+Estacas!L554)/2</f>
        <v>36.352</v>
      </c>
      <c r="K553" s="141" t="n">
        <f aca="false">C553*(Estacas!M553+Estacas!M554)/2</f>
        <v>47.68</v>
      </c>
      <c r="L553" s="141" t="n">
        <f aca="false">C553*(Estacas!N553+Estacas!N554)/2</f>
        <v>75.72</v>
      </c>
      <c r="M553" s="141" t="n">
        <f aca="false">C553*(Estacas!O553+Estacas!O554)/2</f>
        <v>224</v>
      </c>
      <c r="N553" s="141" t="n">
        <f aca="false">C553*(Estacas!O553+Estacas!O554)/2</f>
        <v>224</v>
      </c>
      <c r="O553" s="141" t="n">
        <f aca="false">C553*(Estacas!P553+Estacas!P554)/2</f>
        <v>258.4</v>
      </c>
      <c r="P553" s="141" t="n">
        <f aca="false">R553*Parâmetros!$C$11</f>
        <v>0</v>
      </c>
      <c r="Q553" s="141" t="n">
        <f aca="false">R553*Parâmetros!$C$12</f>
        <v>0</v>
      </c>
      <c r="R553" s="141" t="n">
        <f aca="false">C553*(Estacas!Q553+Estacas!Q554)/2</f>
        <v>0</v>
      </c>
      <c r="S553" s="141" t="n">
        <f aca="false">IF(LEFT(E553,3)="T09",C553*Parâmetros!$D$13*Parâmetros!$C$13,0)</f>
        <v>0</v>
      </c>
    </row>
    <row r="554" customFormat="false" ht="15" hidden="false" customHeight="false" outlineLevel="0" collapsed="false">
      <c r="A554" s="138" t="str">
        <f aca="false">Estacas!A554</f>
        <v>549+0,00</v>
      </c>
      <c r="B554" s="138" t="str">
        <f aca="false">Estacas!A555</f>
        <v>550+0,00</v>
      </c>
      <c r="C554" s="144" t="n">
        <f aca="false">Estacas!C555-Estacas!C554</f>
        <v>20</v>
      </c>
      <c r="D554" s="138" t="s">
        <v>1594</v>
      </c>
      <c r="E554" s="138" t="s">
        <v>1566</v>
      </c>
      <c r="F554" s="141" t="n">
        <f aca="false">Estacas!F554</f>
        <v>11</v>
      </c>
      <c r="G554" s="141" t="n">
        <f aca="false">Estacas!F555</f>
        <v>11</v>
      </c>
      <c r="H554" s="141" t="n">
        <f aca="false">C554*(Estacas!K554+Estacas!K555)/2</f>
        <v>11.05</v>
      </c>
      <c r="I554" s="141" t="n">
        <f aca="false">H554*Parâmetros!$C$14</f>
        <v>26.52</v>
      </c>
      <c r="J554" s="141" t="n">
        <f aca="false">C554*(Estacas!L554+Estacas!L555)/2</f>
        <v>36.352</v>
      </c>
      <c r="K554" s="141" t="n">
        <f aca="false">C554*(Estacas!M554+Estacas!M555)/2</f>
        <v>47.68</v>
      </c>
      <c r="L554" s="141" t="n">
        <f aca="false">C554*(Estacas!N554+Estacas!N555)/2</f>
        <v>75.72</v>
      </c>
      <c r="M554" s="141" t="n">
        <f aca="false">C554*(Estacas!O554+Estacas!O555)/2</f>
        <v>224</v>
      </c>
      <c r="N554" s="141" t="n">
        <f aca="false">C554*(Estacas!O554+Estacas!O555)/2</f>
        <v>224</v>
      </c>
      <c r="O554" s="141" t="n">
        <f aca="false">C554*(Estacas!P554+Estacas!P555)/2</f>
        <v>258.4</v>
      </c>
      <c r="P554" s="141" t="n">
        <f aca="false">R554*Parâmetros!$C$11</f>
        <v>0</v>
      </c>
      <c r="Q554" s="141" t="n">
        <f aca="false">R554*Parâmetros!$C$12</f>
        <v>0</v>
      </c>
      <c r="R554" s="141" t="n">
        <f aca="false">C554*(Estacas!Q554+Estacas!Q555)/2</f>
        <v>0</v>
      </c>
      <c r="S554" s="141" t="n">
        <f aca="false">IF(LEFT(E554,3)="T09",C554*Parâmetros!$D$13*Parâmetros!$C$13,0)</f>
        <v>0</v>
      </c>
    </row>
    <row r="555" customFormat="false" ht="15" hidden="false" customHeight="false" outlineLevel="0" collapsed="false">
      <c r="A555" s="138" t="str">
        <f aca="false">Estacas!A555</f>
        <v>550+0,00</v>
      </c>
      <c r="B555" s="138" t="str">
        <f aca="false">Estacas!A556</f>
        <v>551+0,00</v>
      </c>
      <c r="C555" s="144" t="n">
        <f aca="false">Estacas!C556-Estacas!C555</f>
        <v>20</v>
      </c>
      <c r="D555" s="138" t="s">
        <v>1594</v>
      </c>
      <c r="E555" s="138" t="s">
        <v>1566</v>
      </c>
      <c r="F555" s="141" t="n">
        <f aca="false">Estacas!F555</f>
        <v>11</v>
      </c>
      <c r="G555" s="141" t="n">
        <f aca="false">Estacas!F556</f>
        <v>11</v>
      </c>
      <c r="H555" s="141" t="n">
        <f aca="false">C555*(Estacas!K555+Estacas!K556)/2</f>
        <v>11.05</v>
      </c>
      <c r="I555" s="141" t="n">
        <f aca="false">H555*Parâmetros!$C$14</f>
        <v>26.52</v>
      </c>
      <c r="J555" s="141" t="n">
        <f aca="false">C555*(Estacas!L555+Estacas!L556)/2</f>
        <v>36.352</v>
      </c>
      <c r="K555" s="141" t="n">
        <f aca="false">C555*(Estacas!M555+Estacas!M556)/2</f>
        <v>47.68</v>
      </c>
      <c r="L555" s="141" t="n">
        <f aca="false">C555*(Estacas!N555+Estacas!N556)/2</f>
        <v>75.72</v>
      </c>
      <c r="M555" s="141" t="n">
        <f aca="false">C555*(Estacas!O555+Estacas!O556)/2</f>
        <v>224</v>
      </c>
      <c r="N555" s="141" t="n">
        <f aca="false">C555*(Estacas!O555+Estacas!O556)/2</f>
        <v>224</v>
      </c>
      <c r="O555" s="141" t="n">
        <f aca="false">C555*(Estacas!P555+Estacas!P556)/2</f>
        <v>258.4</v>
      </c>
      <c r="P555" s="141" t="n">
        <f aca="false">R555*Parâmetros!$C$11</f>
        <v>0</v>
      </c>
      <c r="Q555" s="141" t="n">
        <f aca="false">R555*Parâmetros!$C$12</f>
        <v>0</v>
      </c>
      <c r="R555" s="141" t="n">
        <f aca="false">C555*(Estacas!Q555+Estacas!Q556)/2</f>
        <v>0</v>
      </c>
      <c r="S555" s="141" t="n">
        <f aca="false">IF(LEFT(E555,3)="T09",C555*Parâmetros!$D$13*Parâmetros!$C$13,0)</f>
        <v>0</v>
      </c>
    </row>
    <row r="556" customFormat="false" ht="15" hidden="false" customHeight="false" outlineLevel="0" collapsed="false">
      <c r="A556" s="138" t="str">
        <f aca="false">Estacas!A556</f>
        <v>551+0,00</v>
      </c>
      <c r="B556" s="138" t="str">
        <f aca="false">Estacas!A557</f>
        <v>552+0,00</v>
      </c>
      <c r="C556" s="144" t="n">
        <f aca="false">Estacas!C557-Estacas!C556</f>
        <v>20</v>
      </c>
      <c r="D556" s="138" t="s">
        <v>1594</v>
      </c>
      <c r="E556" s="138" t="s">
        <v>1566</v>
      </c>
      <c r="F556" s="141" t="n">
        <f aca="false">Estacas!F556</f>
        <v>11</v>
      </c>
      <c r="G556" s="141" t="n">
        <f aca="false">Estacas!F557</f>
        <v>11</v>
      </c>
      <c r="H556" s="141" t="n">
        <f aca="false">C556*(Estacas!K556+Estacas!K557)/2</f>
        <v>11.05</v>
      </c>
      <c r="I556" s="141" t="n">
        <f aca="false">H556*Parâmetros!$C$14</f>
        <v>26.52</v>
      </c>
      <c r="J556" s="141" t="n">
        <f aca="false">C556*(Estacas!L556+Estacas!L557)/2</f>
        <v>36.352</v>
      </c>
      <c r="K556" s="141" t="n">
        <f aca="false">C556*(Estacas!M556+Estacas!M557)/2</f>
        <v>47.68</v>
      </c>
      <c r="L556" s="141" t="n">
        <f aca="false">C556*(Estacas!N556+Estacas!N557)/2</f>
        <v>75.72</v>
      </c>
      <c r="M556" s="141" t="n">
        <f aca="false">C556*(Estacas!O556+Estacas!O557)/2</f>
        <v>224</v>
      </c>
      <c r="N556" s="141" t="n">
        <f aca="false">C556*(Estacas!O556+Estacas!O557)/2</f>
        <v>224</v>
      </c>
      <c r="O556" s="141" t="n">
        <f aca="false">C556*(Estacas!P556+Estacas!P557)/2</f>
        <v>258.4</v>
      </c>
      <c r="P556" s="141" t="n">
        <f aca="false">R556*Parâmetros!$C$11</f>
        <v>0</v>
      </c>
      <c r="Q556" s="141" t="n">
        <f aca="false">R556*Parâmetros!$C$12</f>
        <v>0</v>
      </c>
      <c r="R556" s="141" t="n">
        <f aca="false">C556*(Estacas!Q556+Estacas!Q557)/2</f>
        <v>0</v>
      </c>
      <c r="S556" s="141" t="n">
        <f aca="false">IF(LEFT(E556,3)="T09",C556*Parâmetros!$D$13*Parâmetros!$C$13,0)</f>
        <v>0</v>
      </c>
    </row>
    <row r="557" customFormat="false" ht="15" hidden="false" customHeight="false" outlineLevel="0" collapsed="false">
      <c r="A557" s="138" t="str">
        <f aca="false">Estacas!A557</f>
        <v>552+0,00</v>
      </c>
      <c r="B557" s="138" t="str">
        <f aca="false">Estacas!A558</f>
        <v>553+0,00</v>
      </c>
      <c r="C557" s="144" t="n">
        <f aca="false">Estacas!C558-Estacas!C557</f>
        <v>20</v>
      </c>
      <c r="D557" s="138" t="s">
        <v>1594</v>
      </c>
      <c r="E557" s="138" t="s">
        <v>1566</v>
      </c>
      <c r="F557" s="141" t="n">
        <f aca="false">Estacas!F557</f>
        <v>11</v>
      </c>
      <c r="G557" s="141" t="n">
        <f aca="false">Estacas!F558</f>
        <v>11</v>
      </c>
      <c r="H557" s="141" t="n">
        <f aca="false">C557*(Estacas!K557+Estacas!K558)/2</f>
        <v>11.05</v>
      </c>
      <c r="I557" s="141" t="n">
        <f aca="false">H557*Parâmetros!$C$14</f>
        <v>26.52</v>
      </c>
      <c r="J557" s="141" t="n">
        <f aca="false">C557*(Estacas!L557+Estacas!L558)/2</f>
        <v>36.352</v>
      </c>
      <c r="K557" s="141" t="n">
        <f aca="false">C557*(Estacas!M557+Estacas!M558)/2</f>
        <v>47.68</v>
      </c>
      <c r="L557" s="141" t="n">
        <f aca="false">C557*(Estacas!N557+Estacas!N558)/2</f>
        <v>75.72</v>
      </c>
      <c r="M557" s="141" t="n">
        <f aca="false">C557*(Estacas!O557+Estacas!O558)/2</f>
        <v>224</v>
      </c>
      <c r="N557" s="141" t="n">
        <f aca="false">C557*(Estacas!O557+Estacas!O558)/2</f>
        <v>224</v>
      </c>
      <c r="O557" s="141" t="n">
        <f aca="false">C557*(Estacas!P557+Estacas!P558)/2</f>
        <v>258.4</v>
      </c>
      <c r="P557" s="141" t="n">
        <f aca="false">R557*Parâmetros!$C$11</f>
        <v>0</v>
      </c>
      <c r="Q557" s="141" t="n">
        <f aca="false">R557*Parâmetros!$C$12</f>
        <v>0</v>
      </c>
      <c r="R557" s="141" t="n">
        <f aca="false">C557*(Estacas!Q557+Estacas!Q558)/2</f>
        <v>0</v>
      </c>
      <c r="S557" s="141" t="n">
        <f aca="false">IF(LEFT(E557,3)="T09",C557*Parâmetros!$D$13*Parâmetros!$C$13,0)</f>
        <v>0</v>
      </c>
    </row>
    <row r="558" customFormat="false" ht="15" hidden="false" customHeight="false" outlineLevel="0" collapsed="false">
      <c r="A558" s="138" t="str">
        <f aca="false">Estacas!A558</f>
        <v>553+0,00</v>
      </c>
      <c r="B558" s="138" t="str">
        <f aca="false">Estacas!A559</f>
        <v>554+0,00</v>
      </c>
      <c r="C558" s="144" t="n">
        <f aca="false">Estacas!C559-Estacas!C558</f>
        <v>20</v>
      </c>
      <c r="D558" s="138" t="s">
        <v>1594</v>
      </c>
      <c r="E558" s="138" t="s">
        <v>1566</v>
      </c>
      <c r="F558" s="141" t="n">
        <f aca="false">Estacas!F558</f>
        <v>11</v>
      </c>
      <c r="G558" s="141" t="n">
        <f aca="false">Estacas!F559</f>
        <v>11</v>
      </c>
      <c r="H558" s="141" t="n">
        <f aca="false">C558*(Estacas!K558+Estacas!K559)/2</f>
        <v>11.05</v>
      </c>
      <c r="I558" s="141" t="n">
        <f aca="false">H558*Parâmetros!$C$14</f>
        <v>26.52</v>
      </c>
      <c r="J558" s="141" t="n">
        <f aca="false">C558*(Estacas!L558+Estacas!L559)/2</f>
        <v>36.352</v>
      </c>
      <c r="K558" s="141" t="n">
        <f aca="false">C558*(Estacas!M558+Estacas!M559)/2</f>
        <v>47.68</v>
      </c>
      <c r="L558" s="141" t="n">
        <f aca="false">C558*(Estacas!N558+Estacas!N559)/2</f>
        <v>75.72</v>
      </c>
      <c r="M558" s="141" t="n">
        <f aca="false">C558*(Estacas!O558+Estacas!O559)/2</f>
        <v>224</v>
      </c>
      <c r="N558" s="141" t="n">
        <f aca="false">C558*(Estacas!O558+Estacas!O559)/2</f>
        <v>224</v>
      </c>
      <c r="O558" s="141" t="n">
        <f aca="false">C558*(Estacas!P558+Estacas!P559)/2</f>
        <v>258.4</v>
      </c>
      <c r="P558" s="141" t="n">
        <f aca="false">R558*Parâmetros!$C$11</f>
        <v>0</v>
      </c>
      <c r="Q558" s="141" t="n">
        <f aca="false">R558*Parâmetros!$C$12</f>
        <v>0</v>
      </c>
      <c r="R558" s="141" t="n">
        <f aca="false">C558*(Estacas!Q558+Estacas!Q559)/2</f>
        <v>0</v>
      </c>
      <c r="S558" s="141" t="n">
        <f aca="false">IF(LEFT(E558,3)="T09",C558*Parâmetros!$D$13*Parâmetros!$C$13,0)</f>
        <v>0</v>
      </c>
    </row>
    <row r="559" customFormat="false" ht="15" hidden="false" customHeight="false" outlineLevel="0" collapsed="false">
      <c r="A559" s="138" t="str">
        <f aca="false">Estacas!A559</f>
        <v>554+0,00</v>
      </c>
      <c r="B559" s="138" t="str">
        <f aca="false">Estacas!A560</f>
        <v>555+0,00</v>
      </c>
      <c r="C559" s="144" t="n">
        <f aca="false">Estacas!C560-Estacas!C559</f>
        <v>20</v>
      </c>
      <c r="D559" s="138" t="s">
        <v>1594</v>
      </c>
      <c r="E559" s="138" t="s">
        <v>1566</v>
      </c>
      <c r="F559" s="141" t="n">
        <f aca="false">Estacas!F559</f>
        <v>11</v>
      </c>
      <c r="G559" s="141" t="n">
        <f aca="false">Estacas!F560</f>
        <v>11</v>
      </c>
      <c r="H559" s="141" t="n">
        <f aca="false">C559*(Estacas!K559+Estacas!K560)/2</f>
        <v>11.05</v>
      </c>
      <c r="I559" s="141" t="n">
        <f aca="false">H559*Parâmetros!$C$14</f>
        <v>26.52</v>
      </c>
      <c r="J559" s="141" t="n">
        <f aca="false">C559*(Estacas!L559+Estacas!L560)/2</f>
        <v>36.352</v>
      </c>
      <c r="K559" s="141" t="n">
        <f aca="false">C559*(Estacas!M559+Estacas!M560)/2</f>
        <v>47.68</v>
      </c>
      <c r="L559" s="141" t="n">
        <f aca="false">C559*(Estacas!N559+Estacas!N560)/2</f>
        <v>75.72</v>
      </c>
      <c r="M559" s="141" t="n">
        <f aca="false">C559*(Estacas!O559+Estacas!O560)/2</f>
        <v>224</v>
      </c>
      <c r="N559" s="141" t="n">
        <f aca="false">C559*(Estacas!O559+Estacas!O560)/2</f>
        <v>224</v>
      </c>
      <c r="O559" s="141" t="n">
        <f aca="false">C559*(Estacas!P559+Estacas!P560)/2</f>
        <v>258.4</v>
      </c>
      <c r="P559" s="141" t="n">
        <f aca="false">R559*Parâmetros!$C$11</f>
        <v>0</v>
      </c>
      <c r="Q559" s="141" t="n">
        <f aca="false">R559*Parâmetros!$C$12</f>
        <v>0</v>
      </c>
      <c r="R559" s="141" t="n">
        <f aca="false">C559*(Estacas!Q559+Estacas!Q560)/2</f>
        <v>0</v>
      </c>
      <c r="S559" s="141" t="n">
        <f aca="false">IF(LEFT(E559,3)="T09",C559*Parâmetros!$D$13*Parâmetros!$C$13,0)</f>
        <v>0</v>
      </c>
    </row>
    <row r="560" customFormat="false" ht="15" hidden="false" customHeight="false" outlineLevel="0" collapsed="false">
      <c r="A560" s="138" t="str">
        <f aca="false">Estacas!A560</f>
        <v>555+0,00</v>
      </c>
      <c r="B560" s="138" t="str">
        <f aca="false">Estacas!A561</f>
        <v>556+0,00</v>
      </c>
      <c r="C560" s="144" t="n">
        <f aca="false">Estacas!C561-Estacas!C560</f>
        <v>20</v>
      </c>
      <c r="D560" s="138" t="s">
        <v>1594</v>
      </c>
      <c r="E560" s="138" t="s">
        <v>1566</v>
      </c>
      <c r="F560" s="141" t="n">
        <f aca="false">Estacas!F560</f>
        <v>11</v>
      </c>
      <c r="G560" s="141" t="n">
        <f aca="false">Estacas!F561</f>
        <v>11</v>
      </c>
      <c r="H560" s="141" t="n">
        <f aca="false">C560*(Estacas!K560+Estacas!K561)/2</f>
        <v>11.05</v>
      </c>
      <c r="I560" s="141" t="n">
        <f aca="false">H560*Parâmetros!$C$14</f>
        <v>26.52</v>
      </c>
      <c r="J560" s="141" t="n">
        <f aca="false">C560*(Estacas!L560+Estacas!L561)/2</f>
        <v>36.352</v>
      </c>
      <c r="K560" s="141" t="n">
        <f aca="false">C560*(Estacas!M560+Estacas!M561)/2</f>
        <v>47.68</v>
      </c>
      <c r="L560" s="141" t="n">
        <f aca="false">C560*(Estacas!N560+Estacas!N561)/2</f>
        <v>75.72</v>
      </c>
      <c r="M560" s="141" t="n">
        <f aca="false">C560*(Estacas!O560+Estacas!O561)/2</f>
        <v>224</v>
      </c>
      <c r="N560" s="141" t="n">
        <f aca="false">C560*(Estacas!O560+Estacas!O561)/2</f>
        <v>224</v>
      </c>
      <c r="O560" s="141" t="n">
        <f aca="false">C560*(Estacas!P560+Estacas!P561)/2</f>
        <v>258.4</v>
      </c>
      <c r="P560" s="141" t="n">
        <f aca="false">R560*Parâmetros!$C$11</f>
        <v>0</v>
      </c>
      <c r="Q560" s="141" t="n">
        <f aca="false">R560*Parâmetros!$C$12</f>
        <v>0</v>
      </c>
      <c r="R560" s="141" t="n">
        <f aca="false">C560*(Estacas!Q560+Estacas!Q561)/2</f>
        <v>0</v>
      </c>
      <c r="S560" s="141" t="n">
        <f aca="false">IF(LEFT(E560,3)="T09",C560*Parâmetros!$D$13*Parâmetros!$C$13,0)</f>
        <v>0</v>
      </c>
    </row>
    <row r="561" customFormat="false" ht="15" hidden="false" customHeight="false" outlineLevel="0" collapsed="false">
      <c r="A561" s="138" t="str">
        <f aca="false">Estacas!A561</f>
        <v>556+0,00</v>
      </c>
      <c r="B561" s="138" t="str">
        <f aca="false">Estacas!A562</f>
        <v>557+0,00</v>
      </c>
      <c r="C561" s="144" t="n">
        <f aca="false">Estacas!C562-Estacas!C561</f>
        <v>20</v>
      </c>
      <c r="D561" s="138" t="s">
        <v>1594</v>
      </c>
      <c r="E561" s="138" t="s">
        <v>1566</v>
      </c>
      <c r="F561" s="141" t="n">
        <f aca="false">Estacas!F561</f>
        <v>11</v>
      </c>
      <c r="G561" s="141" t="n">
        <f aca="false">Estacas!F562</f>
        <v>11</v>
      </c>
      <c r="H561" s="141" t="n">
        <f aca="false">C561*(Estacas!K561+Estacas!K562)/2</f>
        <v>11.05</v>
      </c>
      <c r="I561" s="141" t="n">
        <f aca="false">H561*Parâmetros!$C$14</f>
        <v>26.52</v>
      </c>
      <c r="J561" s="141" t="n">
        <f aca="false">C561*(Estacas!L561+Estacas!L562)/2</f>
        <v>36.352</v>
      </c>
      <c r="K561" s="141" t="n">
        <f aca="false">C561*(Estacas!M561+Estacas!M562)/2</f>
        <v>47.68</v>
      </c>
      <c r="L561" s="141" t="n">
        <f aca="false">C561*(Estacas!N561+Estacas!N562)/2</f>
        <v>75.72</v>
      </c>
      <c r="M561" s="141" t="n">
        <f aca="false">C561*(Estacas!O561+Estacas!O562)/2</f>
        <v>224</v>
      </c>
      <c r="N561" s="141" t="n">
        <f aca="false">C561*(Estacas!O561+Estacas!O562)/2</f>
        <v>224</v>
      </c>
      <c r="O561" s="141" t="n">
        <f aca="false">C561*(Estacas!P561+Estacas!P562)/2</f>
        <v>258.4</v>
      </c>
      <c r="P561" s="141" t="n">
        <f aca="false">R561*Parâmetros!$C$11</f>
        <v>0</v>
      </c>
      <c r="Q561" s="141" t="n">
        <f aca="false">R561*Parâmetros!$C$12</f>
        <v>0</v>
      </c>
      <c r="R561" s="141" t="n">
        <f aca="false">C561*(Estacas!Q561+Estacas!Q562)/2</f>
        <v>0</v>
      </c>
      <c r="S561" s="141" t="n">
        <f aca="false">IF(LEFT(E561,3)="T09",C561*Parâmetros!$D$13*Parâmetros!$C$13,0)</f>
        <v>0</v>
      </c>
    </row>
    <row r="562" customFormat="false" ht="15" hidden="false" customHeight="false" outlineLevel="0" collapsed="false">
      <c r="A562" s="138" t="str">
        <f aca="false">Estacas!A562</f>
        <v>557+0,00</v>
      </c>
      <c r="B562" s="138" t="str">
        <f aca="false">Estacas!A563</f>
        <v>558+0,00</v>
      </c>
      <c r="C562" s="144" t="n">
        <f aca="false">Estacas!C563-Estacas!C562</f>
        <v>20</v>
      </c>
      <c r="D562" s="138" t="s">
        <v>1594</v>
      </c>
      <c r="E562" s="138" t="s">
        <v>1566</v>
      </c>
      <c r="F562" s="141" t="n">
        <f aca="false">Estacas!F562</f>
        <v>11</v>
      </c>
      <c r="G562" s="141" t="n">
        <f aca="false">Estacas!F563</f>
        <v>11</v>
      </c>
      <c r="H562" s="141" t="n">
        <f aca="false">C562*(Estacas!K562+Estacas!K563)/2</f>
        <v>11.05</v>
      </c>
      <c r="I562" s="141" t="n">
        <f aca="false">H562*Parâmetros!$C$14</f>
        <v>26.52</v>
      </c>
      <c r="J562" s="141" t="n">
        <f aca="false">C562*(Estacas!L562+Estacas!L563)/2</f>
        <v>36.352</v>
      </c>
      <c r="K562" s="141" t="n">
        <f aca="false">C562*(Estacas!M562+Estacas!M563)/2</f>
        <v>47.68</v>
      </c>
      <c r="L562" s="141" t="n">
        <f aca="false">C562*(Estacas!N562+Estacas!N563)/2</f>
        <v>75.72</v>
      </c>
      <c r="M562" s="141" t="n">
        <f aca="false">C562*(Estacas!O562+Estacas!O563)/2</f>
        <v>224</v>
      </c>
      <c r="N562" s="141" t="n">
        <f aca="false">C562*(Estacas!O562+Estacas!O563)/2</f>
        <v>224</v>
      </c>
      <c r="O562" s="141" t="n">
        <f aca="false">C562*(Estacas!P562+Estacas!P563)/2</f>
        <v>258.4</v>
      </c>
      <c r="P562" s="141" t="n">
        <f aca="false">R562*Parâmetros!$C$11</f>
        <v>0</v>
      </c>
      <c r="Q562" s="141" t="n">
        <f aca="false">R562*Parâmetros!$C$12</f>
        <v>0</v>
      </c>
      <c r="R562" s="141" t="n">
        <f aca="false">C562*(Estacas!Q562+Estacas!Q563)/2</f>
        <v>0</v>
      </c>
      <c r="S562" s="141" t="n">
        <f aca="false">IF(LEFT(E562,3)="T09",C562*Parâmetros!$D$13*Parâmetros!$C$13,0)</f>
        <v>0</v>
      </c>
    </row>
    <row r="563" customFormat="false" ht="15" hidden="false" customHeight="false" outlineLevel="0" collapsed="false">
      <c r="A563" s="138" t="str">
        <f aca="false">Estacas!A563</f>
        <v>558+0,00</v>
      </c>
      <c r="B563" s="138" t="str">
        <f aca="false">Estacas!A564</f>
        <v>559+0,00</v>
      </c>
      <c r="C563" s="144" t="n">
        <f aca="false">Estacas!C564-Estacas!C563</f>
        <v>20</v>
      </c>
      <c r="D563" s="138" t="s">
        <v>1594</v>
      </c>
      <c r="E563" s="138" t="s">
        <v>1566</v>
      </c>
      <c r="F563" s="141" t="n">
        <f aca="false">Estacas!F563</f>
        <v>11</v>
      </c>
      <c r="G563" s="141" t="n">
        <f aca="false">Estacas!F564</f>
        <v>11</v>
      </c>
      <c r="H563" s="141" t="n">
        <f aca="false">C563*(Estacas!K563+Estacas!K564)/2</f>
        <v>11.05</v>
      </c>
      <c r="I563" s="141" t="n">
        <f aca="false">H563*Parâmetros!$C$14</f>
        <v>26.52</v>
      </c>
      <c r="J563" s="141" t="n">
        <f aca="false">C563*(Estacas!L563+Estacas!L564)/2</f>
        <v>36.352</v>
      </c>
      <c r="K563" s="141" t="n">
        <f aca="false">C563*(Estacas!M563+Estacas!M564)/2</f>
        <v>47.68</v>
      </c>
      <c r="L563" s="141" t="n">
        <f aca="false">C563*(Estacas!N563+Estacas!N564)/2</f>
        <v>75.72</v>
      </c>
      <c r="M563" s="141" t="n">
        <f aca="false">C563*(Estacas!O563+Estacas!O564)/2</f>
        <v>224</v>
      </c>
      <c r="N563" s="141" t="n">
        <f aca="false">C563*(Estacas!O563+Estacas!O564)/2</f>
        <v>224</v>
      </c>
      <c r="O563" s="141" t="n">
        <f aca="false">C563*(Estacas!P563+Estacas!P564)/2</f>
        <v>258.4</v>
      </c>
      <c r="P563" s="141" t="n">
        <f aca="false">R563*Parâmetros!$C$11</f>
        <v>0</v>
      </c>
      <c r="Q563" s="141" t="n">
        <f aca="false">R563*Parâmetros!$C$12</f>
        <v>0</v>
      </c>
      <c r="R563" s="141" t="n">
        <f aca="false">C563*(Estacas!Q563+Estacas!Q564)/2</f>
        <v>0</v>
      </c>
      <c r="S563" s="141" t="n">
        <f aca="false">IF(LEFT(E563,3)="T09",C563*Parâmetros!$D$13*Parâmetros!$C$13,0)</f>
        <v>0</v>
      </c>
    </row>
    <row r="564" customFormat="false" ht="15" hidden="false" customHeight="false" outlineLevel="0" collapsed="false">
      <c r="A564" s="138" t="str">
        <f aca="false">Estacas!A564</f>
        <v>559+0,00</v>
      </c>
      <c r="B564" s="138" t="str">
        <f aca="false">Estacas!A565</f>
        <v>560+0,00</v>
      </c>
      <c r="C564" s="144" t="n">
        <f aca="false">Estacas!C565-Estacas!C564</f>
        <v>20</v>
      </c>
      <c r="D564" s="138" t="s">
        <v>1594</v>
      </c>
      <c r="E564" s="138" t="s">
        <v>1566</v>
      </c>
      <c r="F564" s="141" t="n">
        <f aca="false">Estacas!F564</f>
        <v>11</v>
      </c>
      <c r="G564" s="141" t="n">
        <f aca="false">Estacas!F565</f>
        <v>11</v>
      </c>
      <c r="H564" s="141" t="n">
        <f aca="false">C564*(Estacas!K564+Estacas!K565)/2</f>
        <v>11.05</v>
      </c>
      <c r="I564" s="141" t="n">
        <f aca="false">H564*Parâmetros!$C$14</f>
        <v>26.52</v>
      </c>
      <c r="J564" s="141" t="n">
        <f aca="false">C564*(Estacas!L564+Estacas!L565)/2</f>
        <v>36.352</v>
      </c>
      <c r="K564" s="141" t="n">
        <f aca="false">C564*(Estacas!M564+Estacas!M565)/2</f>
        <v>47.68</v>
      </c>
      <c r="L564" s="141" t="n">
        <f aca="false">C564*(Estacas!N564+Estacas!N565)/2</f>
        <v>75.72</v>
      </c>
      <c r="M564" s="141" t="n">
        <f aca="false">C564*(Estacas!O564+Estacas!O565)/2</f>
        <v>224</v>
      </c>
      <c r="N564" s="141" t="n">
        <f aca="false">C564*(Estacas!O564+Estacas!O565)/2</f>
        <v>224</v>
      </c>
      <c r="O564" s="141" t="n">
        <f aca="false">C564*(Estacas!P564+Estacas!P565)/2</f>
        <v>258.4</v>
      </c>
      <c r="P564" s="141" t="n">
        <f aca="false">R564*Parâmetros!$C$11</f>
        <v>0</v>
      </c>
      <c r="Q564" s="141" t="n">
        <f aca="false">R564*Parâmetros!$C$12</f>
        <v>0</v>
      </c>
      <c r="R564" s="141" t="n">
        <f aca="false">C564*(Estacas!Q564+Estacas!Q565)/2</f>
        <v>0</v>
      </c>
      <c r="S564" s="141" t="n">
        <f aca="false">IF(LEFT(E564,3)="T09",C564*Parâmetros!$D$13*Parâmetros!$C$13,0)</f>
        <v>0</v>
      </c>
    </row>
    <row r="565" customFormat="false" ht="15" hidden="false" customHeight="false" outlineLevel="0" collapsed="false">
      <c r="A565" s="138" t="str">
        <f aca="false">Estacas!A565</f>
        <v>560+0,00</v>
      </c>
      <c r="B565" s="138" t="str">
        <f aca="false">Estacas!A566</f>
        <v>561+0,00</v>
      </c>
      <c r="C565" s="144" t="n">
        <f aca="false">Estacas!C566-Estacas!C565</f>
        <v>20</v>
      </c>
      <c r="D565" s="138" t="s">
        <v>1594</v>
      </c>
      <c r="E565" s="138" t="s">
        <v>1566</v>
      </c>
      <c r="F565" s="141" t="n">
        <f aca="false">Estacas!F565</f>
        <v>11</v>
      </c>
      <c r="G565" s="141" t="n">
        <f aca="false">Estacas!F566</f>
        <v>11</v>
      </c>
      <c r="H565" s="141" t="n">
        <f aca="false">C565*(Estacas!K565+Estacas!K566)/2</f>
        <v>11.05</v>
      </c>
      <c r="I565" s="141" t="n">
        <f aca="false">H565*Parâmetros!$C$14</f>
        <v>26.52</v>
      </c>
      <c r="J565" s="141" t="n">
        <f aca="false">C565*(Estacas!L565+Estacas!L566)/2</f>
        <v>36.352</v>
      </c>
      <c r="K565" s="141" t="n">
        <f aca="false">C565*(Estacas!M565+Estacas!M566)/2</f>
        <v>47.68</v>
      </c>
      <c r="L565" s="141" t="n">
        <f aca="false">C565*(Estacas!N565+Estacas!N566)/2</f>
        <v>75.72</v>
      </c>
      <c r="M565" s="141" t="n">
        <f aca="false">C565*(Estacas!O565+Estacas!O566)/2</f>
        <v>224</v>
      </c>
      <c r="N565" s="141" t="n">
        <f aca="false">C565*(Estacas!O565+Estacas!O566)/2</f>
        <v>224</v>
      </c>
      <c r="O565" s="141" t="n">
        <f aca="false">C565*(Estacas!P565+Estacas!P566)/2</f>
        <v>258.4</v>
      </c>
      <c r="P565" s="141" t="n">
        <f aca="false">R565*Parâmetros!$C$11</f>
        <v>0</v>
      </c>
      <c r="Q565" s="141" t="n">
        <f aca="false">R565*Parâmetros!$C$12</f>
        <v>0</v>
      </c>
      <c r="R565" s="141" t="n">
        <f aca="false">C565*(Estacas!Q565+Estacas!Q566)/2</f>
        <v>0</v>
      </c>
      <c r="S565" s="141" t="n">
        <f aca="false">IF(LEFT(E565,3)="T09",C565*Parâmetros!$D$13*Parâmetros!$C$13,0)</f>
        <v>0</v>
      </c>
    </row>
    <row r="566" customFormat="false" ht="15" hidden="false" customHeight="false" outlineLevel="0" collapsed="false">
      <c r="A566" s="138" t="str">
        <f aca="false">Estacas!A566</f>
        <v>561+0,00</v>
      </c>
      <c r="B566" s="138" t="str">
        <f aca="false">Estacas!A567</f>
        <v>562+0,00</v>
      </c>
      <c r="C566" s="144" t="n">
        <f aca="false">Estacas!C567-Estacas!C566</f>
        <v>20</v>
      </c>
      <c r="D566" s="138" t="s">
        <v>1594</v>
      </c>
      <c r="E566" s="138" t="s">
        <v>1566</v>
      </c>
      <c r="F566" s="141" t="n">
        <f aca="false">Estacas!F566</f>
        <v>11</v>
      </c>
      <c r="G566" s="141" t="n">
        <f aca="false">Estacas!F567</f>
        <v>11</v>
      </c>
      <c r="H566" s="141" t="n">
        <f aca="false">C566*(Estacas!K566+Estacas!K567)/2</f>
        <v>11.05</v>
      </c>
      <c r="I566" s="141" t="n">
        <f aca="false">H566*Parâmetros!$C$14</f>
        <v>26.52</v>
      </c>
      <c r="J566" s="141" t="n">
        <f aca="false">C566*(Estacas!L566+Estacas!L567)/2</f>
        <v>36.352</v>
      </c>
      <c r="K566" s="141" t="n">
        <f aca="false">C566*(Estacas!M566+Estacas!M567)/2</f>
        <v>47.68</v>
      </c>
      <c r="L566" s="141" t="n">
        <f aca="false">C566*(Estacas!N566+Estacas!N567)/2</f>
        <v>75.72</v>
      </c>
      <c r="M566" s="141" t="n">
        <f aca="false">C566*(Estacas!O566+Estacas!O567)/2</f>
        <v>224</v>
      </c>
      <c r="N566" s="141" t="n">
        <f aca="false">C566*(Estacas!O566+Estacas!O567)/2</f>
        <v>224</v>
      </c>
      <c r="O566" s="141" t="n">
        <f aca="false">C566*(Estacas!P566+Estacas!P567)/2</f>
        <v>258.4</v>
      </c>
      <c r="P566" s="141" t="n">
        <f aca="false">R566*Parâmetros!$C$11</f>
        <v>0</v>
      </c>
      <c r="Q566" s="141" t="n">
        <f aca="false">R566*Parâmetros!$C$12</f>
        <v>0</v>
      </c>
      <c r="R566" s="141" t="n">
        <f aca="false">C566*(Estacas!Q566+Estacas!Q567)/2</f>
        <v>0</v>
      </c>
      <c r="S566" s="141" t="n">
        <f aca="false">IF(LEFT(E566,3)="T09",C566*Parâmetros!$D$13*Parâmetros!$C$13,0)</f>
        <v>0</v>
      </c>
    </row>
    <row r="567" customFormat="false" ht="15" hidden="false" customHeight="false" outlineLevel="0" collapsed="false">
      <c r="A567" s="138" t="str">
        <f aca="false">Estacas!A567</f>
        <v>562+0,00</v>
      </c>
      <c r="B567" s="138" t="str">
        <f aca="false">Estacas!A568</f>
        <v>563+0,00</v>
      </c>
      <c r="C567" s="144" t="n">
        <f aca="false">Estacas!C568-Estacas!C567</f>
        <v>20</v>
      </c>
      <c r="D567" s="138" t="s">
        <v>1594</v>
      </c>
      <c r="E567" s="138" t="s">
        <v>1566</v>
      </c>
      <c r="F567" s="141" t="n">
        <f aca="false">Estacas!F567</f>
        <v>11</v>
      </c>
      <c r="G567" s="141" t="n">
        <f aca="false">Estacas!F568</f>
        <v>11</v>
      </c>
      <c r="H567" s="141" t="n">
        <f aca="false">C567*(Estacas!K567+Estacas!K568)/2</f>
        <v>11.05</v>
      </c>
      <c r="I567" s="141" t="n">
        <f aca="false">H567*Parâmetros!$C$14</f>
        <v>26.52</v>
      </c>
      <c r="J567" s="141" t="n">
        <f aca="false">C567*(Estacas!L567+Estacas!L568)/2</f>
        <v>36.352</v>
      </c>
      <c r="K567" s="141" t="n">
        <f aca="false">C567*(Estacas!M567+Estacas!M568)/2</f>
        <v>47.68</v>
      </c>
      <c r="L567" s="141" t="n">
        <f aca="false">C567*(Estacas!N567+Estacas!N568)/2</f>
        <v>75.72</v>
      </c>
      <c r="M567" s="141" t="n">
        <f aca="false">C567*(Estacas!O567+Estacas!O568)/2</f>
        <v>224</v>
      </c>
      <c r="N567" s="141" t="n">
        <f aca="false">C567*(Estacas!O567+Estacas!O568)/2</f>
        <v>224</v>
      </c>
      <c r="O567" s="141" t="n">
        <f aca="false">C567*(Estacas!P567+Estacas!P568)/2</f>
        <v>258.4</v>
      </c>
      <c r="P567" s="141" t="n">
        <f aca="false">R567*Parâmetros!$C$11</f>
        <v>0</v>
      </c>
      <c r="Q567" s="141" t="n">
        <f aca="false">R567*Parâmetros!$C$12</f>
        <v>0</v>
      </c>
      <c r="R567" s="141" t="n">
        <f aca="false">C567*(Estacas!Q567+Estacas!Q568)/2</f>
        <v>0</v>
      </c>
      <c r="S567" s="141" t="n">
        <f aca="false">IF(LEFT(E567,3)="T09",C567*Parâmetros!$D$13*Parâmetros!$C$13,0)</f>
        <v>0</v>
      </c>
    </row>
    <row r="568" customFormat="false" ht="15" hidden="false" customHeight="false" outlineLevel="0" collapsed="false">
      <c r="A568" s="138" t="str">
        <f aca="false">Estacas!A568</f>
        <v>563+0,00</v>
      </c>
      <c r="B568" s="138" t="str">
        <f aca="false">Estacas!A569</f>
        <v>564+0,00</v>
      </c>
      <c r="C568" s="144" t="n">
        <f aca="false">Estacas!C569-Estacas!C568</f>
        <v>20</v>
      </c>
      <c r="D568" s="138" t="s">
        <v>1594</v>
      </c>
      <c r="E568" s="138" t="s">
        <v>1566</v>
      </c>
      <c r="F568" s="141" t="n">
        <f aca="false">Estacas!F568</f>
        <v>11</v>
      </c>
      <c r="G568" s="141" t="n">
        <f aca="false">Estacas!F569</f>
        <v>11</v>
      </c>
      <c r="H568" s="141" t="n">
        <f aca="false">C568*(Estacas!K568+Estacas!K569)/2</f>
        <v>11.05</v>
      </c>
      <c r="I568" s="141" t="n">
        <f aca="false">H568*Parâmetros!$C$14</f>
        <v>26.52</v>
      </c>
      <c r="J568" s="141" t="n">
        <f aca="false">C568*(Estacas!L568+Estacas!L569)/2</f>
        <v>36.352</v>
      </c>
      <c r="K568" s="141" t="n">
        <f aca="false">C568*(Estacas!M568+Estacas!M569)/2</f>
        <v>47.68</v>
      </c>
      <c r="L568" s="141" t="n">
        <f aca="false">C568*(Estacas!N568+Estacas!N569)/2</f>
        <v>75.72</v>
      </c>
      <c r="M568" s="141" t="n">
        <f aca="false">C568*(Estacas!O568+Estacas!O569)/2</f>
        <v>224</v>
      </c>
      <c r="N568" s="141" t="n">
        <f aca="false">C568*(Estacas!O568+Estacas!O569)/2</f>
        <v>224</v>
      </c>
      <c r="O568" s="141" t="n">
        <f aca="false">C568*(Estacas!P568+Estacas!P569)/2</f>
        <v>258.4</v>
      </c>
      <c r="P568" s="141" t="n">
        <f aca="false">R568*Parâmetros!$C$11</f>
        <v>0</v>
      </c>
      <c r="Q568" s="141" t="n">
        <f aca="false">R568*Parâmetros!$C$12</f>
        <v>0</v>
      </c>
      <c r="R568" s="141" t="n">
        <f aca="false">C568*(Estacas!Q568+Estacas!Q569)/2</f>
        <v>0</v>
      </c>
      <c r="S568" s="141" t="n">
        <f aca="false">IF(LEFT(E568,3)="T09",C568*Parâmetros!$D$13*Parâmetros!$C$13,0)</f>
        <v>0</v>
      </c>
    </row>
    <row r="569" customFormat="false" ht="15" hidden="false" customHeight="false" outlineLevel="0" collapsed="false">
      <c r="A569" s="138" t="str">
        <f aca="false">Estacas!A569</f>
        <v>564+0,00</v>
      </c>
      <c r="B569" s="138" t="str">
        <f aca="false">Estacas!A570</f>
        <v>565+0,00</v>
      </c>
      <c r="C569" s="144" t="n">
        <f aca="false">Estacas!C570-Estacas!C569</f>
        <v>20</v>
      </c>
      <c r="D569" s="138" t="s">
        <v>1594</v>
      </c>
      <c r="E569" s="138" t="s">
        <v>1566</v>
      </c>
      <c r="F569" s="141" t="n">
        <f aca="false">Estacas!F569</f>
        <v>11</v>
      </c>
      <c r="G569" s="141" t="n">
        <f aca="false">Estacas!F570</f>
        <v>11</v>
      </c>
      <c r="H569" s="141" t="n">
        <f aca="false">C569*(Estacas!K569+Estacas!K570)/2</f>
        <v>11.05</v>
      </c>
      <c r="I569" s="141" t="n">
        <f aca="false">H569*Parâmetros!$C$14</f>
        <v>26.52</v>
      </c>
      <c r="J569" s="141" t="n">
        <f aca="false">C569*(Estacas!L569+Estacas!L570)/2</f>
        <v>36.352</v>
      </c>
      <c r="K569" s="141" t="n">
        <f aca="false">C569*(Estacas!M569+Estacas!M570)/2</f>
        <v>47.68</v>
      </c>
      <c r="L569" s="141" t="n">
        <f aca="false">C569*(Estacas!N569+Estacas!N570)/2</f>
        <v>75.72</v>
      </c>
      <c r="M569" s="141" t="n">
        <f aca="false">C569*(Estacas!O569+Estacas!O570)/2</f>
        <v>224</v>
      </c>
      <c r="N569" s="141" t="n">
        <f aca="false">C569*(Estacas!O569+Estacas!O570)/2</f>
        <v>224</v>
      </c>
      <c r="O569" s="141" t="n">
        <f aca="false">C569*(Estacas!P569+Estacas!P570)/2</f>
        <v>258.4</v>
      </c>
      <c r="P569" s="141" t="n">
        <f aca="false">R569*Parâmetros!$C$11</f>
        <v>0</v>
      </c>
      <c r="Q569" s="141" t="n">
        <f aca="false">R569*Parâmetros!$C$12</f>
        <v>0</v>
      </c>
      <c r="R569" s="141" t="n">
        <f aca="false">C569*(Estacas!Q569+Estacas!Q570)/2</f>
        <v>0</v>
      </c>
      <c r="S569" s="141" t="n">
        <f aca="false">IF(LEFT(E569,3)="T09",C569*Parâmetros!$D$13*Parâmetros!$C$13,0)</f>
        <v>0</v>
      </c>
    </row>
    <row r="570" customFormat="false" ht="15" hidden="false" customHeight="false" outlineLevel="0" collapsed="false">
      <c r="A570" s="138" t="str">
        <f aca="false">Estacas!A570</f>
        <v>565+0,00</v>
      </c>
      <c r="B570" s="138" t="str">
        <f aca="false">Estacas!A571</f>
        <v>566+0,00</v>
      </c>
      <c r="C570" s="144" t="n">
        <f aca="false">Estacas!C571-Estacas!C570</f>
        <v>20</v>
      </c>
      <c r="D570" s="138" t="s">
        <v>1594</v>
      </c>
      <c r="E570" s="138" t="s">
        <v>1566</v>
      </c>
      <c r="F570" s="141" t="n">
        <f aca="false">Estacas!F570</f>
        <v>11</v>
      </c>
      <c r="G570" s="141" t="n">
        <f aca="false">Estacas!F571</f>
        <v>11</v>
      </c>
      <c r="H570" s="141" t="n">
        <f aca="false">C570*(Estacas!K570+Estacas!K571)/2</f>
        <v>11.05</v>
      </c>
      <c r="I570" s="141" t="n">
        <f aca="false">H570*Parâmetros!$C$14</f>
        <v>26.52</v>
      </c>
      <c r="J570" s="141" t="n">
        <f aca="false">C570*(Estacas!L570+Estacas!L571)/2</f>
        <v>36.352</v>
      </c>
      <c r="K570" s="141" t="n">
        <f aca="false">C570*(Estacas!M570+Estacas!M571)/2</f>
        <v>47.68</v>
      </c>
      <c r="L570" s="141" t="n">
        <f aca="false">C570*(Estacas!N570+Estacas!N571)/2</f>
        <v>75.72</v>
      </c>
      <c r="M570" s="141" t="n">
        <f aca="false">C570*(Estacas!O570+Estacas!O571)/2</f>
        <v>224</v>
      </c>
      <c r="N570" s="141" t="n">
        <f aca="false">C570*(Estacas!O570+Estacas!O571)/2</f>
        <v>224</v>
      </c>
      <c r="O570" s="141" t="n">
        <f aca="false">C570*(Estacas!P570+Estacas!P571)/2</f>
        <v>258.4</v>
      </c>
      <c r="P570" s="141" t="n">
        <f aca="false">R570*Parâmetros!$C$11</f>
        <v>0</v>
      </c>
      <c r="Q570" s="141" t="n">
        <f aca="false">R570*Parâmetros!$C$12</f>
        <v>0</v>
      </c>
      <c r="R570" s="141" t="n">
        <f aca="false">C570*(Estacas!Q570+Estacas!Q571)/2</f>
        <v>0</v>
      </c>
      <c r="S570" s="141" t="n">
        <f aca="false">IF(LEFT(E570,3)="T09",C570*Parâmetros!$D$13*Parâmetros!$C$13,0)</f>
        <v>0</v>
      </c>
    </row>
    <row r="571" customFormat="false" ht="15" hidden="false" customHeight="false" outlineLevel="0" collapsed="false">
      <c r="A571" s="138" t="str">
        <f aca="false">Estacas!A571</f>
        <v>566+0,00</v>
      </c>
      <c r="B571" s="138" t="str">
        <f aca="false">Estacas!A572</f>
        <v>567+0,00</v>
      </c>
      <c r="C571" s="144" t="n">
        <f aca="false">Estacas!C572-Estacas!C571</f>
        <v>20</v>
      </c>
      <c r="D571" s="138" t="s">
        <v>1594</v>
      </c>
      <c r="E571" s="138" t="s">
        <v>1566</v>
      </c>
      <c r="F571" s="141" t="n">
        <f aca="false">Estacas!F571</f>
        <v>11</v>
      </c>
      <c r="G571" s="141" t="n">
        <f aca="false">Estacas!F572</f>
        <v>11</v>
      </c>
      <c r="H571" s="141" t="n">
        <f aca="false">C571*(Estacas!K571+Estacas!K572)/2</f>
        <v>11.05</v>
      </c>
      <c r="I571" s="141" t="n">
        <f aca="false">H571*Parâmetros!$C$14</f>
        <v>26.52</v>
      </c>
      <c r="J571" s="141" t="n">
        <f aca="false">C571*(Estacas!L571+Estacas!L572)/2</f>
        <v>36.352</v>
      </c>
      <c r="K571" s="141" t="n">
        <f aca="false">C571*(Estacas!M571+Estacas!M572)/2</f>
        <v>47.68</v>
      </c>
      <c r="L571" s="141" t="n">
        <f aca="false">C571*(Estacas!N571+Estacas!N572)/2</f>
        <v>75.72</v>
      </c>
      <c r="M571" s="141" t="n">
        <f aca="false">C571*(Estacas!O571+Estacas!O572)/2</f>
        <v>224</v>
      </c>
      <c r="N571" s="141" t="n">
        <f aca="false">C571*(Estacas!O571+Estacas!O572)/2</f>
        <v>224</v>
      </c>
      <c r="O571" s="141" t="n">
        <f aca="false">C571*(Estacas!P571+Estacas!P572)/2</f>
        <v>258.4</v>
      </c>
      <c r="P571" s="141" t="n">
        <f aca="false">R571*Parâmetros!$C$11</f>
        <v>0</v>
      </c>
      <c r="Q571" s="141" t="n">
        <f aca="false">R571*Parâmetros!$C$12</f>
        <v>0</v>
      </c>
      <c r="R571" s="141" t="n">
        <f aca="false">C571*(Estacas!Q571+Estacas!Q572)/2</f>
        <v>0</v>
      </c>
      <c r="S571" s="141" t="n">
        <f aca="false">IF(LEFT(E571,3)="T09",C571*Parâmetros!$D$13*Parâmetros!$C$13,0)</f>
        <v>0</v>
      </c>
    </row>
    <row r="572" customFormat="false" ht="15" hidden="false" customHeight="false" outlineLevel="0" collapsed="false">
      <c r="A572" s="138" t="str">
        <f aca="false">Estacas!A572</f>
        <v>567+0,00</v>
      </c>
      <c r="B572" s="138" t="str">
        <f aca="false">Estacas!A573</f>
        <v>568+0,00</v>
      </c>
      <c r="C572" s="144" t="n">
        <f aca="false">Estacas!C573-Estacas!C572</f>
        <v>20</v>
      </c>
      <c r="D572" s="138" t="s">
        <v>1594</v>
      </c>
      <c r="E572" s="138" t="s">
        <v>1566</v>
      </c>
      <c r="F572" s="141" t="n">
        <f aca="false">Estacas!F572</f>
        <v>11</v>
      </c>
      <c r="G572" s="141" t="n">
        <f aca="false">Estacas!F573</f>
        <v>11</v>
      </c>
      <c r="H572" s="141" t="n">
        <f aca="false">C572*(Estacas!K572+Estacas!K573)/2</f>
        <v>11.05</v>
      </c>
      <c r="I572" s="141" t="n">
        <f aca="false">H572*Parâmetros!$C$14</f>
        <v>26.52</v>
      </c>
      <c r="J572" s="141" t="n">
        <f aca="false">C572*(Estacas!L572+Estacas!L573)/2</f>
        <v>36.352</v>
      </c>
      <c r="K572" s="141" t="n">
        <f aca="false">C572*(Estacas!M572+Estacas!M573)/2</f>
        <v>47.68</v>
      </c>
      <c r="L572" s="141" t="n">
        <f aca="false">C572*(Estacas!N572+Estacas!N573)/2</f>
        <v>75.72</v>
      </c>
      <c r="M572" s="141" t="n">
        <f aca="false">C572*(Estacas!O572+Estacas!O573)/2</f>
        <v>224</v>
      </c>
      <c r="N572" s="141" t="n">
        <f aca="false">C572*(Estacas!O572+Estacas!O573)/2</f>
        <v>224</v>
      </c>
      <c r="O572" s="141" t="n">
        <f aca="false">C572*(Estacas!P572+Estacas!P573)/2</f>
        <v>258.4</v>
      </c>
      <c r="P572" s="141" t="n">
        <f aca="false">R572*Parâmetros!$C$11</f>
        <v>0</v>
      </c>
      <c r="Q572" s="141" t="n">
        <f aca="false">R572*Parâmetros!$C$12</f>
        <v>0</v>
      </c>
      <c r="R572" s="141" t="n">
        <f aca="false">C572*(Estacas!Q572+Estacas!Q573)/2</f>
        <v>0</v>
      </c>
      <c r="S572" s="141" t="n">
        <f aca="false">IF(LEFT(E572,3)="T09",C572*Parâmetros!$D$13*Parâmetros!$C$13,0)</f>
        <v>0</v>
      </c>
    </row>
    <row r="573" customFormat="false" ht="15" hidden="false" customHeight="false" outlineLevel="0" collapsed="false">
      <c r="A573" s="138" t="str">
        <f aca="false">Estacas!A573</f>
        <v>568+0,00</v>
      </c>
      <c r="B573" s="138" t="str">
        <f aca="false">Estacas!A574</f>
        <v>569+0,00</v>
      </c>
      <c r="C573" s="144" t="n">
        <f aca="false">Estacas!C574-Estacas!C573</f>
        <v>20</v>
      </c>
      <c r="D573" s="138" t="s">
        <v>1594</v>
      </c>
      <c r="E573" s="138" t="s">
        <v>1566</v>
      </c>
      <c r="F573" s="141" t="n">
        <f aca="false">Estacas!F573</f>
        <v>11</v>
      </c>
      <c r="G573" s="141" t="n">
        <f aca="false">Estacas!F574</f>
        <v>11</v>
      </c>
      <c r="H573" s="141" t="n">
        <f aca="false">C573*(Estacas!K573+Estacas!K574)/2</f>
        <v>11.05</v>
      </c>
      <c r="I573" s="141" t="n">
        <f aca="false">H573*Parâmetros!$C$14</f>
        <v>26.52</v>
      </c>
      <c r="J573" s="141" t="n">
        <f aca="false">C573*(Estacas!L573+Estacas!L574)/2</f>
        <v>36.352</v>
      </c>
      <c r="K573" s="141" t="n">
        <f aca="false">C573*(Estacas!M573+Estacas!M574)/2</f>
        <v>47.68</v>
      </c>
      <c r="L573" s="141" t="n">
        <f aca="false">C573*(Estacas!N573+Estacas!N574)/2</f>
        <v>75.72</v>
      </c>
      <c r="M573" s="141" t="n">
        <f aca="false">C573*(Estacas!O573+Estacas!O574)/2</f>
        <v>224</v>
      </c>
      <c r="N573" s="141" t="n">
        <f aca="false">C573*(Estacas!O573+Estacas!O574)/2</f>
        <v>224</v>
      </c>
      <c r="O573" s="141" t="n">
        <f aca="false">C573*(Estacas!P573+Estacas!P574)/2</f>
        <v>258.4</v>
      </c>
      <c r="P573" s="141" t="n">
        <f aca="false">R573*Parâmetros!$C$11</f>
        <v>0</v>
      </c>
      <c r="Q573" s="141" t="n">
        <f aca="false">R573*Parâmetros!$C$12</f>
        <v>0</v>
      </c>
      <c r="R573" s="141" t="n">
        <f aca="false">C573*(Estacas!Q573+Estacas!Q574)/2</f>
        <v>0</v>
      </c>
      <c r="S573" s="141" t="n">
        <f aca="false">IF(LEFT(E573,3)="T09",C573*Parâmetros!$D$13*Parâmetros!$C$13,0)</f>
        <v>0</v>
      </c>
    </row>
    <row r="574" customFormat="false" ht="15" hidden="false" customHeight="false" outlineLevel="0" collapsed="false">
      <c r="A574" s="138" t="str">
        <f aca="false">Estacas!A574</f>
        <v>569+0,00</v>
      </c>
      <c r="B574" s="138" t="str">
        <f aca="false">Estacas!A575</f>
        <v>570+0,00</v>
      </c>
      <c r="C574" s="144" t="n">
        <f aca="false">Estacas!C575-Estacas!C574</f>
        <v>20</v>
      </c>
      <c r="D574" s="138" t="s">
        <v>1594</v>
      </c>
      <c r="E574" s="138" t="s">
        <v>1566</v>
      </c>
      <c r="F574" s="141" t="n">
        <f aca="false">Estacas!F574</f>
        <v>11</v>
      </c>
      <c r="G574" s="141" t="n">
        <f aca="false">Estacas!F575</f>
        <v>11</v>
      </c>
      <c r="H574" s="141" t="n">
        <f aca="false">C574*(Estacas!K574+Estacas!K575)/2</f>
        <v>11.05</v>
      </c>
      <c r="I574" s="141" t="n">
        <f aca="false">H574*Parâmetros!$C$14</f>
        <v>26.52</v>
      </c>
      <c r="J574" s="141" t="n">
        <f aca="false">C574*(Estacas!L574+Estacas!L575)/2</f>
        <v>36.352</v>
      </c>
      <c r="K574" s="141" t="n">
        <f aca="false">C574*(Estacas!M574+Estacas!M575)/2</f>
        <v>47.68</v>
      </c>
      <c r="L574" s="141" t="n">
        <f aca="false">C574*(Estacas!N574+Estacas!N575)/2</f>
        <v>75.72</v>
      </c>
      <c r="M574" s="141" t="n">
        <f aca="false">C574*(Estacas!O574+Estacas!O575)/2</f>
        <v>224</v>
      </c>
      <c r="N574" s="141" t="n">
        <f aca="false">C574*(Estacas!O574+Estacas!O575)/2</f>
        <v>224</v>
      </c>
      <c r="O574" s="141" t="n">
        <f aca="false">C574*(Estacas!P574+Estacas!P575)/2</f>
        <v>258.4</v>
      </c>
      <c r="P574" s="141" t="n">
        <f aca="false">R574*Parâmetros!$C$11</f>
        <v>0</v>
      </c>
      <c r="Q574" s="141" t="n">
        <f aca="false">R574*Parâmetros!$C$12</f>
        <v>0</v>
      </c>
      <c r="R574" s="141" t="n">
        <f aca="false">C574*(Estacas!Q574+Estacas!Q575)/2</f>
        <v>0</v>
      </c>
      <c r="S574" s="141" t="n">
        <f aca="false">IF(LEFT(E574,3)="T09",C574*Parâmetros!$D$13*Parâmetros!$C$13,0)</f>
        <v>0</v>
      </c>
    </row>
    <row r="575" customFormat="false" ht="15" hidden="false" customHeight="false" outlineLevel="0" collapsed="false">
      <c r="A575" s="138" t="str">
        <f aca="false">Estacas!A575</f>
        <v>570+0,00</v>
      </c>
      <c r="B575" s="138" t="str">
        <f aca="false">Estacas!A576</f>
        <v>571+0,00</v>
      </c>
      <c r="C575" s="144" t="n">
        <f aca="false">Estacas!C576-Estacas!C575</f>
        <v>20</v>
      </c>
      <c r="D575" s="138" t="s">
        <v>1594</v>
      </c>
      <c r="E575" s="138" t="s">
        <v>1566</v>
      </c>
      <c r="F575" s="141" t="n">
        <f aca="false">Estacas!F575</f>
        <v>11</v>
      </c>
      <c r="G575" s="141" t="n">
        <f aca="false">Estacas!F576</f>
        <v>11</v>
      </c>
      <c r="H575" s="141" t="n">
        <f aca="false">C575*(Estacas!K575+Estacas!K576)/2</f>
        <v>11.05</v>
      </c>
      <c r="I575" s="141" t="n">
        <f aca="false">H575*Parâmetros!$C$14</f>
        <v>26.52</v>
      </c>
      <c r="J575" s="141" t="n">
        <f aca="false">C575*(Estacas!L575+Estacas!L576)/2</f>
        <v>36.352</v>
      </c>
      <c r="K575" s="141" t="n">
        <f aca="false">C575*(Estacas!M575+Estacas!M576)/2</f>
        <v>47.68</v>
      </c>
      <c r="L575" s="141" t="n">
        <f aca="false">C575*(Estacas!N575+Estacas!N576)/2</f>
        <v>75.72</v>
      </c>
      <c r="M575" s="141" t="n">
        <f aca="false">C575*(Estacas!O575+Estacas!O576)/2</f>
        <v>224</v>
      </c>
      <c r="N575" s="141" t="n">
        <f aca="false">C575*(Estacas!O575+Estacas!O576)/2</f>
        <v>224</v>
      </c>
      <c r="O575" s="141" t="n">
        <f aca="false">C575*(Estacas!P575+Estacas!P576)/2</f>
        <v>258.4</v>
      </c>
      <c r="P575" s="141" t="n">
        <f aca="false">R575*Parâmetros!$C$11</f>
        <v>0</v>
      </c>
      <c r="Q575" s="141" t="n">
        <f aca="false">R575*Parâmetros!$C$12</f>
        <v>0</v>
      </c>
      <c r="R575" s="141" t="n">
        <f aca="false">C575*(Estacas!Q575+Estacas!Q576)/2</f>
        <v>0</v>
      </c>
      <c r="S575" s="141" t="n">
        <f aca="false">IF(LEFT(E575,3)="T09",C575*Parâmetros!$D$13*Parâmetros!$C$13,0)</f>
        <v>0</v>
      </c>
    </row>
    <row r="576" customFormat="false" ht="15" hidden="false" customHeight="false" outlineLevel="0" collapsed="false">
      <c r="A576" s="138" t="str">
        <f aca="false">Estacas!A576</f>
        <v>571+0,00</v>
      </c>
      <c r="B576" s="138" t="str">
        <f aca="false">Estacas!A577</f>
        <v>572+0,00</v>
      </c>
      <c r="C576" s="144" t="n">
        <f aca="false">Estacas!C577-Estacas!C576</f>
        <v>20</v>
      </c>
      <c r="D576" s="138" t="s">
        <v>1594</v>
      </c>
      <c r="E576" s="138" t="s">
        <v>1566</v>
      </c>
      <c r="F576" s="141" t="n">
        <f aca="false">Estacas!F576</f>
        <v>11</v>
      </c>
      <c r="G576" s="141" t="n">
        <f aca="false">Estacas!F577</f>
        <v>11</v>
      </c>
      <c r="H576" s="141" t="n">
        <f aca="false">C576*(Estacas!K576+Estacas!K577)/2</f>
        <v>11.05</v>
      </c>
      <c r="I576" s="141" t="n">
        <f aca="false">H576*Parâmetros!$C$14</f>
        <v>26.52</v>
      </c>
      <c r="J576" s="141" t="n">
        <f aca="false">C576*(Estacas!L576+Estacas!L577)/2</f>
        <v>36.352</v>
      </c>
      <c r="K576" s="141" t="n">
        <f aca="false">C576*(Estacas!M576+Estacas!M577)/2</f>
        <v>47.68</v>
      </c>
      <c r="L576" s="141" t="n">
        <f aca="false">C576*(Estacas!N576+Estacas!N577)/2</f>
        <v>75.72</v>
      </c>
      <c r="M576" s="141" t="n">
        <f aca="false">C576*(Estacas!O576+Estacas!O577)/2</f>
        <v>224</v>
      </c>
      <c r="N576" s="141" t="n">
        <f aca="false">C576*(Estacas!O576+Estacas!O577)/2</f>
        <v>224</v>
      </c>
      <c r="O576" s="141" t="n">
        <f aca="false">C576*(Estacas!P576+Estacas!P577)/2</f>
        <v>258.4</v>
      </c>
      <c r="P576" s="141" t="n">
        <f aca="false">R576*Parâmetros!$C$11</f>
        <v>0</v>
      </c>
      <c r="Q576" s="141" t="n">
        <f aca="false">R576*Parâmetros!$C$12</f>
        <v>0</v>
      </c>
      <c r="R576" s="141" t="n">
        <f aca="false">C576*(Estacas!Q576+Estacas!Q577)/2</f>
        <v>0</v>
      </c>
      <c r="S576" s="141" t="n">
        <f aca="false">IF(LEFT(E576,3)="T09",C576*Parâmetros!$D$13*Parâmetros!$C$13,0)</f>
        <v>0</v>
      </c>
    </row>
    <row r="577" customFormat="false" ht="15" hidden="false" customHeight="false" outlineLevel="0" collapsed="false">
      <c r="A577" s="138" t="str">
        <f aca="false">Estacas!A577</f>
        <v>572+0,00</v>
      </c>
      <c r="B577" s="138" t="str">
        <f aca="false">Estacas!A578</f>
        <v>573+0,00</v>
      </c>
      <c r="C577" s="144" t="n">
        <f aca="false">Estacas!C578-Estacas!C577</f>
        <v>20</v>
      </c>
      <c r="D577" s="138" t="s">
        <v>1594</v>
      </c>
      <c r="E577" s="138" t="s">
        <v>1566</v>
      </c>
      <c r="F577" s="141" t="n">
        <f aca="false">Estacas!F577</f>
        <v>11</v>
      </c>
      <c r="G577" s="141" t="n">
        <f aca="false">Estacas!F578</f>
        <v>11</v>
      </c>
      <c r="H577" s="141" t="n">
        <f aca="false">C577*(Estacas!K577+Estacas!K578)/2</f>
        <v>11.05</v>
      </c>
      <c r="I577" s="141" t="n">
        <f aca="false">H577*Parâmetros!$C$14</f>
        <v>26.52</v>
      </c>
      <c r="J577" s="141" t="n">
        <f aca="false">C577*(Estacas!L577+Estacas!L578)/2</f>
        <v>36.352</v>
      </c>
      <c r="K577" s="141" t="n">
        <f aca="false">C577*(Estacas!M577+Estacas!M578)/2</f>
        <v>47.68</v>
      </c>
      <c r="L577" s="141" t="n">
        <f aca="false">C577*(Estacas!N577+Estacas!N578)/2</f>
        <v>75.72</v>
      </c>
      <c r="M577" s="141" t="n">
        <f aca="false">C577*(Estacas!O577+Estacas!O578)/2</f>
        <v>224</v>
      </c>
      <c r="N577" s="141" t="n">
        <f aca="false">C577*(Estacas!O577+Estacas!O578)/2</f>
        <v>224</v>
      </c>
      <c r="O577" s="141" t="n">
        <f aca="false">C577*(Estacas!P577+Estacas!P578)/2</f>
        <v>258.4</v>
      </c>
      <c r="P577" s="141" t="n">
        <f aca="false">R577*Parâmetros!$C$11</f>
        <v>0</v>
      </c>
      <c r="Q577" s="141" t="n">
        <f aca="false">R577*Parâmetros!$C$12</f>
        <v>0</v>
      </c>
      <c r="R577" s="141" t="n">
        <f aca="false">C577*(Estacas!Q577+Estacas!Q578)/2</f>
        <v>0</v>
      </c>
      <c r="S577" s="141" t="n">
        <f aca="false">IF(LEFT(E577,3)="T09",C577*Parâmetros!$D$13*Parâmetros!$C$13,0)</f>
        <v>0</v>
      </c>
    </row>
    <row r="578" customFormat="false" ht="15" hidden="false" customHeight="false" outlineLevel="0" collapsed="false">
      <c r="A578" s="138" t="str">
        <f aca="false">Estacas!A578</f>
        <v>573+0,00</v>
      </c>
      <c r="B578" s="138" t="str">
        <f aca="false">Estacas!A579</f>
        <v>574+0,00</v>
      </c>
      <c r="C578" s="144" t="n">
        <f aca="false">Estacas!C579-Estacas!C578</f>
        <v>20</v>
      </c>
      <c r="D578" s="138" t="s">
        <v>1594</v>
      </c>
      <c r="E578" s="138" t="s">
        <v>1566</v>
      </c>
      <c r="F578" s="141" t="n">
        <f aca="false">Estacas!F578</f>
        <v>11</v>
      </c>
      <c r="G578" s="141" t="n">
        <f aca="false">Estacas!F579</f>
        <v>11</v>
      </c>
      <c r="H578" s="141" t="n">
        <f aca="false">C578*(Estacas!K578+Estacas!K579)/2</f>
        <v>11.05</v>
      </c>
      <c r="I578" s="141" t="n">
        <f aca="false">H578*Parâmetros!$C$14</f>
        <v>26.52</v>
      </c>
      <c r="J578" s="141" t="n">
        <f aca="false">C578*(Estacas!L578+Estacas!L579)/2</f>
        <v>36.352</v>
      </c>
      <c r="K578" s="141" t="n">
        <f aca="false">C578*(Estacas!M578+Estacas!M579)/2</f>
        <v>47.68</v>
      </c>
      <c r="L578" s="141" t="n">
        <f aca="false">C578*(Estacas!N578+Estacas!N579)/2</f>
        <v>75.72</v>
      </c>
      <c r="M578" s="141" t="n">
        <f aca="false">C578*(Estacas!O578+Estacas!O579)/2</f>
        <v>224</v>
      </c>
      <c r="N578" s="141" t="n">
        <f aca="false">C578*(Estacas!O578+Estacas!O579)/2</f>
        <v>224</v>
      </c>
      <c r="O578" s="141" t="n">
        <f aca="false">C578*(Estacas!P578+Estacas!P579)/2</f>
        <v>258.4</v>
      </c>
      <c r="P578" s="141" t="n">
        <f aca="false">R578*Parâmetros!$C$11</f>
        <v>0</v>
      </c>
      <c r="Q578" s="141" t="n">
        <f aca="false">R578*Parâmetros!$C$12</f>
        <v>0</v>
      </c>
      <c r="R578" s="141" t="n">
        <f aca="false">C578*(Estacas!Q578+Estacas!Q579)/2</f>
        <v>0</v>
      </c>
      <c r="S578" s="141" t="n">
        <f aca="false">IF(LEFT(E578,3)="T09",C578*Parâmetros!$D$13*Parâmetros!$C$13,0)</f>
        <v>0</v>
      </c>
    </row>
    <row r="579" customFormat="false" ht="15" hidden="false" customHeight="false" outlineLevel="0" collapsed="false">
      <c r="A579" s="138" t="str">
        <f aca="false">Estacas!A579</f>
        <v>574+0,00</v>
      </c>
      <c r="B579" s="138" t="str">
        <f aca="false">Estacas!A580</f>
        <v>575+0,00</v>
      </c>
      <c r="C579" s="144" t="n">
        <f aca="false">Estacas!C580-Estacas!C579</f>
        <v>20</v>
      </c>
      <c r="D579" s="138" t="s">
        <v>1594</v>
      </c>
      <c r="E579" s="138" t="s">
        <v>1566</v>
      </c>
      <c r="F579" s="141" t="n">
        <f aca="false">Estacas!F579</f>
        <v>11</v>
      </c>
      <c r="G579" s="141" t="n">
        <f aca="false">Estacas!F580</f>
        <v>11</v>
      </c>
      <c r="H579" s="141" t="n">
        <f aca="false">C579*(Estacas!K579+Estacas!K580)/2</f>
        <v>11.05</v>
      </c>
      <c r="I579" s="141" t="n">
        <f aca="false">H579*Parâmetros!$C$14</f>
        <v>26.52</v>
      </c>
      <c r="J579" s="141" t="n">
        <f aca="false">C579*(Estacas!L579+Estacas!L580)/2</f>
        <v>36.352</v>
      </c>
      <c r="K579" s="141" t="n">
        <f aca="false">C579*(Estacas!M579+Estacas!M580)/2</f>
        <v>47.68</v>
      </c>
      <c r="L579" s="141" t="n">
        <f aca="false">C579*(Estacas!N579+Estacas!N580)/2</f>
        <v>75.72</v>
      </c>
      <c r="M579" s="141" t="n">
        <f aca="false">C579*(Estacas!O579+Estacas!O580)/2</f>
        <v>224</v>
      </c>
      <c r="N579" s="141" t="n">
        <f aca="false">C579*(Estacas!O579+Estacas!O580)/2</f>
        <v>224</v>
      </c>
      <c r="O579" s="141" t="n">
        <f aca="false">C579*(Estacas!P579+Estacas!P580)/2</f>
        <v>258.4</v>
      </c>
      <c r="P579" s="141" t="n">
        <f aca="false">R579*Parâmetros!$C$11</f>
        <v>0</v>
      </c>
      <c r="Q579" s="141" t="n">
        <f aca="false">R579*Parâmetros!$C$12</f>
        <v>0</v>
      </c>
      <c r="R579" s="141" t="n">
        <f aca="false">C579*(Estacas!Q579+Estacas!Q580)/2</f>
        <v>0</v>
      </c>
      <c r="S579" s="141" t="n">
        <f aca="false">IF(LEFT(E579,3)="T09",C579*Parâmetros!$D$13*Parâmetros!$C$13,0)</f>
        <v>0</v>
      </c>
    </row>
    <row r="580" customFormat="false" ht="15" hidden="false" customHeight="false" outlineLevel="0" collapsed="false">
      <c r="A580" s="138" t="str">
        <f aca="false">Estacas!A580</f>
        <v>575+0,00</v>
      </c>
      <c r="B580" s="138" t="str">
        <f aca="false">Estacas!A581</f>
        <v>576+0,00</v>
      </c>
      <c r="C580" s="144" t="n">
        <f aca="false">Estacas!C581-Estacas!C580</f>
        <v>20</v>
      </c>
      <c r="D580" s="138" t="s">
        <v>1594</v>
      </c>
      <c r="E580" s="138" t="s">
        <v>1566</v>
      </c>
      <c r="F580" s="141" t="n">
        <f aca="false">Estacas!F580</f>
        <v>11</v>
      </c>
      <c r="G580" s="141" t="n">
        <f aca="false">Estacas!F581</f>
        <v>11</v>
      </c>
      <c r="H580" s="141" t="n">
        <f aca="false">C580*(Estacas!K580+Estacas!K581)/2</f>
        <v>11.05</v>
      </c>
      <c r="I580" s="141" t="n">
        <f aca="false">H580*Parâmetros!$C$14</f>
        <v>26.52</v>
      </c>
      <c r="J580" s="141" t="n">
        <f aca="false">C580*(Estacas!L580+Estacas!L581)/2</f>
        <v>36.352</v>
      </c>
      <c r="K580" s="141" t="n">
        <f aca="false">C580*(Estacas!M580+Estacas!M581)/2</f>
        <v>47.68</v>
      </c>
      <c r="L580" s="141" t="n">
        <f aca="false">C580*(Estacas!N580+Estacas!N581)/2</f>
        <v>75.72</v>
      </c>
      <c r="M580" s="141" t="n">
        <f aca="false">C580*(Estacas!O580+Estacas!O581)/2</f>
        <v>224</v>
      </c>
      <c r="N580" s="141" t="n">
        <f aca="false">C580*(Estacas!O580+Estacas!O581)/2</f>
        <v>224</v>
      </c>
      <c r="O580" s="141" t="n">
        <f aca="false">C580*(Estacas!P580+Estacas!P581)/2</f>
        <v>258.4</v>
      </c>
      <c r="P580" s="141" t="n">
        <f aca="false">R580*Parâmetros!$C$11</f>
        <v>0</v>
      </c>
      <c r="Q580" s="141" t="n">
        <f aca="false">R580*Parâmetros!$C$12</f>
        <v>0</v>
      </c>
      <c r="R580" s="141" t="n">
        <f aca="false">C580*(Estacas!Q580+Estacas!Q581)/2</f>
        <v>0</v>
      </c>
      <c r="S580" s="141" t="n">
        <f aca="false">IF(LEFT(E580,3)="T09",C580*Parâmetros!$D$13*Parâmetros!$C$13,0)</f>
        <v>0</v>
      </c>
    </row>
    <row r="581" customFormat="false" ht="15" hidden="false" customHeight="false" outlineLevel="0" collapsed="false">
      <c r="A581" s="138" t="str">
        <f aca="false">Estacas!A581</f>
        <v>576+0,00</v>
      </c>
      <c r="B581" s="138" t="str">
        <f aca="false">Estacas!A582</f>
        <v>577+0,00</v>
      </c>
      <c r="C581" s="144" t="n">
        <f aca="false">Estacas!C582-Estacas!C581</f>
        <v>20</v>
      </c>
      <c r="D581" s="138" t="s">
        <v>1594</v>
      </c>
      <c r="E581" s="138" t="s">
        <v>1566</v>
      </c>
      <c r="F581" s="141" t="n">
        <f aca="false">Estacas!F581</f>
        <v>11</v>
      </c>
      <c r="G581" s="141" t="n">
        <f aca="false">Estacas!F582</f>
        <v>11</v>
      </c>
      <c r="H581" s="141" t="n">
        <f aca="false">C581*(Estacas!K581+Estacas!K582)/2</f>
        <v>11.05</v>
      </c>
      <c r="I581" s="141" t="n">
        <f aca="false">H581*Parâmetros!$C$14</f>
        <v>26.52</v>
      </c>
      <c r="J581" s="141" t="n">
        <f aca="false">C581*(Estacas!L581+Estacas!L582)/2</f>
        <v>36.352</v>
      </c>
      <c r="K581" s="141" t="n">
        <f aca="false">C581*(Estacas!M581+Estacas!M582)/2</f>
        <v>47.68</v>
      </c>
      <c r="L581" s="141" t="n">
        <f aca="false">C581*(Estacas!N581+Estacas!N582)/2</f>
        <v>75.72</v>
      </c>
      <c r="M581" s="141" t="n">
        <f aca="false">C581*(Estacas!O581+Estacas!O582)/2</f>
        <v>224</v>
      </c>
      <c r="N581" s="141" t="n">
        <f aca="false">C581*(Estacas!O581+Estacas!O582)/2</f>
        <v>224</v>
      </c>
      <c r="O581" s="141" t="n">
        <f aca="false">C581*(Estacas!P581+Estacas!P582)/2</f>
        <v>258.4</v>
      </c>
      <c r="P581" s="141" t="n">
        <f aca="false">R581*Parâmetros!$C$11</f>
        <v>0</v>
      </c>
      <c r="Q581" s="141" t="n">
        <f aca="false">R581*Parâmetros!$C$12</f>
        <v>0</v>
      </c>
      <c r="R581" s="141" t="n">
        <f aca="false">C581*(Estacas!Q581+Estacas!Q582)/2</f>
        <v>0</v>
      </c>
      <c r="S581" s="141" t="n">
        <f aca="false">IF(LEFT(E581,3)="T09",C581*Parâmetros!$D$13*Parâmetros!$C$13,0)</f>
        <v>0</v>
      </c>
    </row>
    <row r="582" customFormat="false" ht="15" hidden="false" customHeight="false" outlineLevel="0" collapsed="false">
      <c r="A582" s="138" t="str">
        <f aca="false">Estacas!A582</f>
        <v>577+0,00</v>
      </c>
      <c r="B582" s="138" t="str">
        <f aca="false">Estacas!A583</f>
        <v>578+0,00</v>
      </c>
      <c r="C582" s="144" t="n">
        <f aca="false">Estacas!C583-Estacas!C582</f>
        <v>20</v>
      </c>
      <c r="D582" s="138" t="s">
        <v>1594</v>
      </c>
      <c r="E582" s="138" t="s">
        <v>1566</v>
      </c>
      <c r="F582" s="141" t="n">
        <f aca="false">Estacas!F582</f>
        <v>11</v>
      </c>
      <c r="G582" s="141" t="n">
        <f aca="false">Estacas!F583</f>
        <v>11</v>
      </c>
      <c r="H582" s="141" t="n">
        <f aca="false">C582*(Estacas!K582+Estacas!K583)/2</f>
        <v>11.05</v>
      </c>
      <c r="I582" s="141" t="n">
        <f aca="false">H582*Parâmetros!$C$14</f>
        <v>26.52</v>
      </c>
      <c r="J582" s="141" t="n">
        <f aca="false">C582*(Estacas!L582+Estacas!L583)/2</f>
        <v>36.352</v>
      </c>
      <c r="K582" s="141" t="n">
        <f aca="false">C582*(Estacas!M582+Estacas!M583)/2</f>
        <v>47.68</v>
      </c>
      <c r="L582" s="141" t="n">
        <f aca="false">C582*(Estacas!N582+Estacas!N583)/2</f>
        <v>75.72</v>
      </c>
      <c r="M582" s="141" t="n">
        <f aca="false">C582*(Estacas!O582+Estacas!O583)/2</f>
        <v>224</v>
      </c>
      <c r="N582" s="141" t="n">
        <f aca="false">C582*(Estacas!O582+Estacas!O583)/2</f>
        <v>224</v>
      </c>
      <c r="O582" s="141" t="n">
        <f aca="false">C582*(Estacas!P582+Estacas!P583)/2</f>
        <v>258.4</v>
      </c>
      <c r="P582" s="141" t="n">
        <f aca="false">R582*Parâmetros!$C$11</f>
        <v>0</v>
      </c>
      <c r="Q582" s="141" t="n">
        <f aca="false">R582*Parâmetros!$C$12</f>
        <v>0</v>
      </c>
      <c r="R582" s="141" t="n">
        <f aca="false">C582*(Estacas!Q582+Estacas!Q583)/2</f>
        <v>0</v>
      </c>
      <c r="S582" s="141" t="n">
        <f aca="false">IF(LEFT(E582,3)="T09",C582*Parâmetros!$D$13*Parâmetros!$C$13,0)</f>
        <v>0</v>
      </c>
    </row>
    <row r="583" customFormat="false" ht="15" hidden="false" customHeight="false" outlineLevel="0" collapsed="false">
      <c r="A583" s="138" t="str">
        <f aca="false">Estacas!A583</f>
        <v>578+0,00</v>
      </c>
      <c r="B583" s="138" t="str">
        <f aca="false">Estacas!A584</f>
        <v>579+0,00</v>
      </c>
      <c r="C583" s="144" t="n">
        <f aca="false">Estacas!C584-Estacas!C583</f>
        <v>20</v>
      </c>
      <c r="D583" s="138" t="s">
        <v>1594</v>
      </c>
      <c r="E583" s="138" t="s">
        <v>1566</v>
      </c>
      <c r="F583" s="141" t="n">
        <f aca="false">Estacas!F583</f>
        <v>11</v>
      </c>
      <c r="G583" s="141" t="n">
        <f aca="false">Estacas!F584</f>
        <v>11</v>
      </c>
      <c r="H583" s="141" t="n">
        <f aca="false">C583*(Estacas!K583+Estacas!K584)/2</f>
        <v>11.05</v>
      </c>
      <c r="I583" s="141" t="n">
        <f aca="false">H583*Parâmetros!$C$14</f>
        <v>26.52</v>
      </c>
      <c r="J583" s="141" t="n">
        <f aca="false">C583*(Estacas!L583+Estacas!L584)/2</f>
        <v>36.352</v>
      </c>
      <c r="K583" s="141" t="n">
        <f aca="false">C583*(Estacas!M583+Estacas!M584)/2</f>
        <v>47.68</v>
      </c>
      <c r="L583" s="141" t="n">
        <f aca="false">C583*(Estacas!N583+Estacas!N584)/2</f>
        <v>75.72</v>
      </c>
      <c r="M583" s="141" t="n">
        <f aca="false">C583*(Estacas!O583+Estacas!O584)/2</f>
        <v>224</v>
      </c>
      <c r="N583" s="141" t="n">
        <f aca="false">C583*(Estacas!O583+Estacas!O584)/2</f>
        <v>224</v>
      </c>
      <c r="O583" s="141" t="n">
        <f aca="false">C583*(Estacas!P583+Estacas!P584)/2</f>
        <v>258.4</v>
      </c>
      <c r="P583" s="141" t="n">
        <f aca="false">R583*Parâmetros!$C$11</f>
        <v>0</v>
      </c>
      <c r="Q583" s="141" t="n">
        <f aca="false">R583*Parâmetros!$C$12</f>
        <v>0</v>
      </c>
      <c r="R583" s="141" t="n">
        <f aca="false">C583*(Estacas!Q583+Estacas!Q584)/2</f>
        <v>0</v>
      </c>
      <c r="S583" s="141" t="n">
        <f aca="false">IF(LEFT(E583,3)="T09",C583*Parâmetros!$D$13*Parâmetros!$C$13,0)</f>
        <v>0</v>
      </c>
    </row>
    <row r="584" customFormat="false" ht="15" hidden="false" customHeight="false" outlineLevel="0" collapsed="false">
      <c r="A584" s="138" t="str">
        <f aca="false">Estacas!A584</f>
        <v>579+0,00</v>
      </c>
      <c r="B584" s="138" t="str">
        <f aca="false">Estacas!A585</f>
        <v>580+0,00</v>
      </c>
      <c r="C584" s="144" t="n">
        <f aca="false">Estacas!C585-Estacas!C584</f>
        <v>20</v>
      </c>
      <c r="D584" s="138" t="s">
        <v>1594</v>
      </c>
      <c r="E584" s="138" t="s">
        <v>1566</v>
      </c>
      <c r="F584" s="141" t="n">
        <f aca="false">Estacas!F584</f>
        <v>11</v>
      </c>
      <c r="G584" s="141" t="n">
        <f aca="false">Estacas!F585</f>
        <v>11</v>
      </c>
      <c r="H584" s="141" t="n">
        <f aca="false">C584*(Estacas!K584+Estacas!K585)/2</f>
        <v>11.05</v>
      </c>
      <c r="I584" s="141" t="n">
        <f aca="false">H584*Parâmetros!$C$14</f>
        <v>26.52</v>
      </c>
      <c r="J584" s="141" t="n">
        <f aca="false">C584*(Estacas!L584+Estacas!L585)/2</f>
        <v>36.352</v>
      </c>
      <c r="K584" s="141" t="n">
        <f aca="false">C584*(Estacas!M584+Estacas!M585)/2</f>
        <v>47.68</v>
      </c>
      <c r="L584" s="141" t="n">
        <f aca="false">C584*(Estacas!N584+Estacas!N585)/2</f>
        <v>75.72</v>
      </c>
      <c r="M584" s="141" t="n">
        <f aca="false">C584*(Estacas!O584+Estacas!O585)/2</f>
        <v>224</v>
      </c>
      <c r="N584" s="141" t="n">
        <f aca="false">C584*(Estacas!O584+Estacas!O585)/2</f>
        <v>224</v>
      </c>
      <c r="O584" s="141" t="n">
        <f aca="false">C584*(Estacas!P584+Estacas!P585)/2</f>
        <v>258.4</v>
      </c>
      <c r="P584" s="141" t="n">
        <f aca="false">R584*Parâmetros!$C$11</f>
        <v>0</v>
      </c>
      <c r="Q584" s="141" t="n">
        <f aca="false">R584*Parâmetros!$C$12</f>
        <v>0</v>
      </c>
      <c r="R584" s="141" t="n">
        <f aca="false">C584*(Estacas!Q584+Estacas!Q585)/2</f>
        <v>0</v>
      </c>
      <c r="S584" s="141" t="n">
        <f aca="false">IF(LEFT(E584,3)="T09",C584*Parâmetros!$D$13*Parâmetros!$C$13,0)</f>
        <v>0</v>
      </c>
    </row>
    <row r="585" customFormat="false" ht="15" hidden="false" customHeight="false" outlineLevel="0" collapsed="false">
      <c r="A585" s="138" t="str">
        <f aca="false">Estacas!A585</f>
        <v>580+0,00</v>
      </c>
      <c r="B585" s="138" t="str">
        <f aca="false">Estacas!A586</f>
        <v>581+0,00</v>
      </c>
      <c r="C585" s="144" t="n">
        <f aca="false">Estacas!C586-Estacas!C585</f>
        <v>20</v>
      </c>
      <c r="D585" s="138" t="s">
        <v>1594</v>
      </c>
      <c r="E585" s="138" t="s">
        <v>1566</v>
      </c>
      <c r="F585" s="141" t="n">
        <f aca="false">Estacas!F585</f>
        <v>11</v>
      </c>
      <c r="G585" s="141" t="n">
        <f aca="false">Estacas!F586</f>
        <v>11</v>
      </c>
      <c r="H585" s="141" t="n">
        <f aca="false">C585*(Estacas!K585+Estacas!K586)/2</f>
        <v>11.05</v>
      </c>
      <c r="I585" s="141" t="n">
        <f aca="false">H585*Parâmetros!$C$14</f>
        <v>26.52</v>
      </c>
      <c r="J585" s="141" t="n">
        <f aca="false">C585*(Estacas!L585+Estacas!L586)/2</f>
        <v>36.352</v>
      </c>
      <c r="K585" s="141" t="n">
        <f aca="false">C585*(Estacas!M585+Estacas!M586)/2</f>
        <v>47.68</v>
      </c>
      <c r="L585" s="141" t="n">
        <f aca="false">C585*(Estacas!N585+Estacas!N586)/2</f>
        <v>75.72</v>
      </c>
      <c r="M585" s="141" t="n">
        <f aca="false">C585*(Estacas!O585+Estacas!O586)/2</f>
        <v>224</v>
      </c>
      <c r="N585" s="141" t="n">
        <f aca="false">C585*(Estacas!O585+Estacas!O586)/2</f>
        <v>224</v>
      </c>
      <c r="O585" s="141" t="n">
        <f aca="false">C585*(Estacas!P585+Estacas!P586)/2</f>
        <v>258.4</v>
      </c>
      <c r="P585" s="141" t="n">
        <f aca="false">R585*Parâmetros!$C$11</f>
        <v>0</v>
      </c>
      <c r="Q585" s="141" t="n">
        <f aca="false">R585*Parâmetros!$C$12</f>
        <v>0</v>
      </c>
      <c r="R585" s="141" t="n">
        <f aca="false">C585*(Estacas!Q585+Estacas!Q586)/2</f>
        <v>0</v>
      </c>
      <c r="S585" s="141" t="n">
        <f aca="false">IF(LEFT(E585,3)="T09",C585*Parâmetros!$D$13*Parâmetros!$C$13,0)</f>
        <v>0</v>
      </c>
    </row>
    <row r="586" customFormat="false" ht="15" hidden="false" customHeight="false" outlineLevel="0" collapsed="false">
      <c r="A586" s="138" t="str">
        <f aca="false">Estacas!A586</f>
        <v>581+0,00</v>
      </c>
      <c r="B586" s="138" t="str">
        <f aca="false">Estacas!A587</f>
        <v>582+0,00</v>
      </c>
      <c r="C586" s="144" t="n">
        <f aca="false">Estacas!C587-Estacas!C586</f>
        <v>20</v>
      </c>
      <c r="D586" s="138" t="s">
        <v>1594</v>
      </c>
      <c r="E586" s="138" t="s">
        <v>1566</v>
      </c>
      <c r="F586" s="141" t="n">
        <f aca="false">Estacas!F586</f>
        <v>11</v>
      </c>
      <c r="G586" s="141" t="n">
        <f aca="false">Estacas!F587</f>
        <v>11</v>
      </c>
      <c r="H586" s="141" t="n">
        <f aca="false">C586*(Estacas!K586+Estacas!K587)/2</f>
        <v>11.05</v>
      </c>
      <c r="I586" s="141" t="n">
        <f aca="false">H586*Parâmetros!$C$14</f>
        <v>26.52</v>
      </c>
      <c r="J586" s="141" t="n">
        <f aca="false">C586*(Estacas!L586+Estacas!L587)/2</f>
        <v>36.352</v>
      </c>
      <c r="K586" s="141" t="n">
        <f aca="false">C586*(Estacas!M586+Estacas!M587)/2</f>
        <v>47.68</v>
      </c>
      <c r="L586" s="141" t="n">
        <f aca="false">C586*(Estacas!N586+Estacas!N587)/2</f>
        <v>75.72</v>
      </c>
      <c r="M586" s="141" t="n">
        <f aca="false">C586*(Estacas!O586+Estacas!O587)/2</f>
        <v>224</v>
      </c>
      <c r="N586" s="141" t="n">
        <f aca="false">C586*(Estacas!O586+Estacas!O587)/2</f>
        <v>224</v>
      </c>
      <c r="O586" s="141" t="n">
        <f aca="false">C586*(Estacas!P586+Estacas!P587)/2</f>
        <v>258.4</v>
      </c>
      <c r="P586" s="141" t="n">
        <f aca="false">R586*Parâmetros!$C$11</f>
        <v>0</v>
      </c>
      <c r="Q586" s="141" t="n">
        <f aca="false">R586*Parâmetros!$C$12</f>
        <v>0</v>
      </c>
      <c r="R586" s="141" t="n">
        <f aca="false">C586*(Estacas!Q586+Estacas!Q587)/2</f>
        <v>0</v>
      </c>
      <c r="S586" s="141" t="n">
        <f aca="false">IF(LEFT(E586,3)="T09",C586*Parâmetros!$D$13*Parâmetros!$C$13,0)</f>
        <v>0</v>
      </c>
    </row>
    <row r="587" customFormat="false" ht="15" hidden="false" customHeight="false" outlineLevel="0" collapsed="false">
      <c r="A587" s="138" t="str">
        <f aca="false">Estacas!A587</f>
        <v>582+0,00</v>
      </c>
      <c r="B587" s="138" t="str">
        <f aca="false">Estacas!A588</f>
        <v>583+0,00</v>
      </c>
      <c r="C587" s="144" t="n">
        <f aca="false">Estacas!C588-Estacas!C587</f>
        <v>20</v>
      </c>
      <c r="D587" s="138" t="s">
        <v>1594</v>
      </c>
      <c r="E587" s="138" t="s">
        <v>1566</v>
      </c>
      <c r="F587" s="141" t="n">
        <f aca="false">Estacas!F587</f>
        <v>11</v>
      </c>
      <c r="G587" s="141" t="n">
        <f aca="false">Estacas!F588</f>
        <v>11</v>
      </c>
      <c r="H587" s="141" t="n">
        <f aca="false">C587*(Estacas!K587+Estacas!K588)/2</f>
        <v>11.05</v>
      </c>
      <c r="I587" s="141" t="n">
        <f aca="false">H587*Parâmetros!$C$14</f>
        <v>26.52</v>
      </c>
      <c r="J587" s="141" t="n">
        <f aca="false">C587*(Estacas!L587+Estacas!L588)/2</f>
        <v>36.352</v>
      </c>
      <c r="K587" s="141" t="n">
        <f aca="false">C587*(Estacas!M587+Estacas!M588)/2</f>
        <v>47.68</v>
      </c>
      <c r="L587" s="141" t="n">
        <f aca="false">C587*(Estacas!N587+Estacas!N588)/2</f>
        <v>75.72</v>
      </c>
      <c r="M587" s="141" t="n">
        <f aca="false">C587*(Estacas!O587+Estacas!O588)/2</f>
        <v>224</v>
      </c>
      <c r="N587" s="141" t="n">
        <f aca="false">C587*(Estacas!O587+Estacas!O588)/2</f>
        <v>224</v>
      </c>
      <c r="O587" s="141" t="n">
        <f aca="false">C587*(Estacas!P587+Estacas!P588)/2</f>
        <v>258.4</v>
      </c>
      <c r="P587" s="141" t="n">
        <f aca="false">R587*Parâmetros!$C$11</f>
        <v>0</v>
      </c>
      <c r="Q587" s="141" t="n">
        <f aca="false">R587*Parâmetros!$C$12</f>
        <v>0</v>
      </c>
      <c r="R587" s="141" t="n">
        <f aca="false">C587*(Estacas!Q587+Estacas!Q588)/2</f>
        <v>0</v>
      </c>
      <c r="S587" s="141" t="n">
        <f aca="false">IF(LEFT(E587,3)="T09",C587*Parâmetros!$D$13*Parâmetros!$C$13,0)</f>
        <v>0</v>
      </c>
    </row>
    <row r="588" customFormat="false" ht="15" hidden="false" customHeight="false" outlineLevel="0" collapsed="false">
      <c r="A588" s="138" t="str">
        <f aca="false">Estacas!A588</f>
        <v>583+0,00</v>
      </c>
      <c r="B588" s="138" t="str">
        <f aca="false">Estacas!A589</f>
        <v>584+0,00</v>
      </c>
      <c r="C588" s="144" t="n">
        <f aca="false">Estacas!C589-Estacas!C588</f>
        <v>20</v>
      </c>
      <c r="D588" s="138" t="s">
        <v>1594</v>
      </c>
      <c r="E588" s="138" t="s">
        <v>1566</v>
      </c>
      <c r="F588" s="141" t="n">
        <f aca="false">Estacas!F588</f>
        <v>11</v>
      </c>
      <c r="G588" s="141" t="n">
        <f aca="false">Estacas!F589</f>
        <v>11</v>
      </c>
      <c r="H588" s="141" t="n">
        <f aca="false">C588*(Estacas!K588+Estacas!K589)/2</f>
        <v>11.05</v>
      </c>
      <c r="I588" s="141" t="n">
        <f aca="false">H588*Parâmetros!$C$14</f>
        <v>26.52</v>
      </c>
      <c r="J588" s="141" t="n">
        <f aca="false">C588*(Estacas!L588+Estacas!L589)/2</f>
        <v>36.352</v>
      </c>
      <c r="K588" s="141" t="n">
        <f aca="false">C588*(Estacas!M588+Estacas!M589)/2</f>
        <v>47.68</v>
      </c>
      <c r="L588" s="141" t="n">
        <f aca="false">C588*(Estacas!N588+Estacas!N589)/2</f>
        <v>75.72</v>
      </c>
      <c r="M588" s="141" t="n">
        <f aca="false">C588*(Estacas!O588+Estacas!O589)/2</f>
        <v>224</v>
      </c>
      <c r="N588" s="141" t="n">
        <f aca="false">C588*(Estacas!O588+Estacas!O589)/2</f>
        <v>224</v>
      </c>
      <c r="O588" s="141" t="n">
        <f aca="false">C588*(Estacas!P588+Estacas!P589)/2</f>
        <v>258.4</v>
      </c>
      <c r="P588" s="141" t="n">
        <f aca="false">R588*Parâmetros!$C$11</f>
        <v>0</v>
      </c>
      <c r="Q588" s="141" t="n">
        <f aca="false">R588*Parâmetros!$C$12</f>
        <v>0</v>
      </c>
      <c r="R588" s="141" t="n">
        <f aca="false">C588*(Estacas!Q588+Estacas!Q589)/2</f>
        <v>0</v>
      </c>
      <c r="S588" s="141" t="n">
        <f aca="false">IF(LEFT(E588,3)="T09",C588*Parâmetros!$D$13*Parâmetros!$C$13,0)</f>
        <v>0</v>
      </c>
    </row>
    <row r="589" customFormat="false" ht="15" hidden="false" customHeight="false" outlineLevel="0" collapsed="false">
      <c r="A589" s="138" t="str">
        <f aca="false">Estacas!A589</f>
        <v>584+0,00</v>
      </c>
      <c r="B589" s="138" t="str">
        <f aca="false">Estacas!A590</f>
        <v>585+0,00</v>
      </c>
      <c r="C589" s="144" t="n">
        <f aca="false">Estacas!C590-Estacas!C589</f>
        <v>20</v>
      </c>
      <c r="D589" s="138" t="s">
        <v>1594</v>
      </c>
      <c r="E589" s="138" t="s">
        <v>1566</v>
      </c>
      <c r="F589" s="141" t="n">
        <f aca="false">Estacas!F589</f>
        <v>11</v>
      </c>
      <c r="G589" s="141" t="n">
        <f aca="false">Estacas!F590</f>
        <v>11</v>
      </c>
      <c r="H589" s="141" t="n">
        <f aca="false">C589*(Estacas!K589+Estacas!K590)/2</f>
        <v>11.05</v>
      </c>
      <c r="I589" s="141" t="n">
        <f aca="false">H589*Parâmetros!$C$14</f>
        <v>26.52</v>
      </c>
      <c r="J589" s="141" t="n">
        <f aca="false">C589*(Estacas!L589+Estacas!L590)/2</f>
        <v>36.352</v>
      </c>
      <c r="K589" s="141" t="n">
        <f aca="false">C589*(Estacas!M589+Estacas!M590)/2</f>
        <v>47.68</v>
      </c>
      <c r="L589" s="141" t="n">
        <f aca="false">C589*(Estacas!N589+Estacas!N590)/2</f>
        <v>75.72</v>
      </c>
      <c r="M589" s="141" t="n">
        <f aca="false">C589*(Estacas!O589+Estacas!O590)/2</f>
        <v>224</v>
      </c>
      <c r="N589" s="141" t="n">
        <f aca="false">C589*(Estacas!O589+Estacas!O590)/2</f>
        <v>224</v>
      </c>
      <c r="O589" s="141" t="n">
        <f aca="false">C589*(Estacas!P589+Estacas!P590)/2</f>
        <v>258.4</v>
      </c>
      <c r="P589" s="141" t="n">
        <f aca="false">R589*Parâmetros!$C$11</f>
        <v>0</v>
      </c>
      <c r="Q589" s="141" t="n">
        <f aca="false">R589*Parâmetros!$C$12</f>
        <v>0</v>
      </c>
      <c r="R589" s="141" t="n">
        <f aca="false">C589*(Estacas!Q589+Estacas!Q590)/2</f>
        <v>0</v>
      </c>
      <c r="S589" s="141" t="n">
        <f aca="false">IF(LEFT(E589,3)="T09",C589*Parâmetros!$D$13*Parâmetros!$C$13,0)</f>
        <v>0</v>
      </c>
    </row>
    <row r="590" customFormat="false" ht="15" hidden="false" customHeight="false" outlineLevel="0" collapsed="false">
      <c r="A590" s="138" t="str">
        <f aca="false">Estacas!A590</f>
        <v>585+0,00</v>
      </c>
      <c r="B590" s="138" t="str">
        <f aca="false">Estacas!A591</f>
        <v>586+0,00</v>
      </c>
      <c r="C590" s="144" t="n">
        <f aca="false">Estacas!C591-Estacas!C590</f>
        <v>20</v>
      </c>
      <c r="D590" s="138" t="s">
        <v>1594</v>
      </c>
      <c r="E590" s="138" t="s">
        <v>1566</v>
      </c>
      <c r="F590" s="141" t="n">
        <f aca="false">Estacas!F590</f>
        <v>11</v>
      </c>
      <c r="G590" s="141" t="n">
        <f aca="false">Estacas!F591</f>
        <v>11</v>
      </c>
      <c r="H590" s="141" t="n">
        <f aca="false">C590*(Estacas!K590+Estacas!K591)/2</f>
        <v>11.05</v>
      </c>
      <c r="I590" s="141" t="n">
        <f aca="false">H590*Parâmetros!$C$14</f>
        <v>26.52</v>
      </c>
      <c r="J590" s="141" t="n">
        <f aca="false">C590*(Estacas!L590+Estacas!L591)/2</f>
        <v>36.352</v>
      </c>
      <c r="K590" s="141" t="n">
        <f aca="false">C590*(Estacas!M590+Estacas!M591)/2</f>
        <v>47.68</v>
      </c>
      <c r="L590" s="141" t="n">
        <f aca="false">C590*(Estacas!N590+Estacas!N591)/2</f>
        <v>75.72</v>
      </c>
      <c r="M590" s="141" t="n">
        <f aca="false">C590*(Estacas!O590+Estacas!O591)/2</f>
        <v>224</v>
      </c>
      <c r="N590" s="141" t="n">
        <f aca="false">C590*(Estacas!O590+Estacas!O591)/2</f>
        <v>224</v>
      </c>
      <c r="O590" s="141" t="n">
        <f aca="false">C590*(Estacas!P590+Estacas!P591)/2</f>
        <v>258.4</v>
      </c>
      <c r="P590" s="141" t="n">
        <f aca="false">R590*Parâmetros!$C$11</f>
        <v>0</v>
      </c>
      <c r="Q590" s="141" t="n">
        <f aca="false">R590*Parâmetros!$C$12</f>
        <v>0</v>
      </c>
      <c r="R590" s="141" t="n">
        <f aca="false">C590*(Estacas!Q590+Estacas!Q591)/2</f>
        <v>0</v>
      </c>
      <c r="S590" s="141" t="n">
        <f aca="false">IF(LEFT(E590,3)="T09",C590*Parâmetros!$D$13*Parâmetros!$C$13,0)</f>
        <v>0</v>
      </c>
    </row>
    <row r="591" customFormat="false" ht="15" hidden="false" customHeight="false" outlineLevel="0" collapsed="false">
      <c r="A591" s="138" t="str">
        <f aca="false">Estacas!A591</f>
        <v>586+0,00</v>
      </c>
      <c r="B591" s="138" t="str">
        <f aca="false">Estacas!A592</f>
        <v>587+0,00</v>
      </c>
      <c r="C591" s="144" t="n">
        <f aca="false">Estacas!C592-Estacas!C591</f>
        <v>20</v>
      </c>
      <c r="D591" s="138" t="s">
        <v>1594</v>
      </c>
      <c r="E591" s="138" t="s">
        <v>1566</v>
      </c>
      <c r="F591" s="141" t="n">
        <f aca="false">Estacas!F591</f>
        <v>11</v>
      </c>
      <c r="G591" s="141" t="n">
        <f aca="false">Estacas!F592</f>
        <v>11</v>
      </c>
      <c r="H591" s="141" t="n">
        <f aca="false">C591*(Estacas!K591+Estacas!K592)/2</f>
        <v>11.05</v>
      </c>
      <c r="I591" s="141" t="n">
        <f aca="false">H591*Parâmetros!$C$14</f>
        <v>26.52</v>
      </c>
      <c r="J591" s="141" t="n">
        <f aca="false">C591*(Estacas!L591+Estacas!L592)/2</f>
        <v>36.352</v>
      </c>
      <c r="K591" s="141" t="n">
        <f aca="false">C591*(Estacas!M591+Estacas!M592)/2</f>
        <v>47.68</v>
      </c>
      <c r="L591" s="141" t="n">
        <f aca="false">C591*(Estacas!N591+Estacas!N592)/2</f>
        <v>75.72</v>
      </c>
      <c r="M591" s="141" t="n">
        <f aca="false">C591*(Estacas!O591+Estacas!O592)/2</f>
        <v>224</v>
      </c>
      <c r="N591" s="141" t="n">
        <f aca="false">C591*(Estacas!O591+Estacas!O592)/2</f>
        <v>224</v>
      </c>
      <c r="O591" s="141" t="n">
        <f aca="false">C591*(Estacas!P591+Estacas!P592)/2</f>
        <v>258.4</v>
      </c>
      <c r="P591" s="141" t="n">
        <f aca="false">R591*Parâmetros!$C$11</f>
        <v>0</v>
      </c>
      <c r="Q591" s="141" t="n">
        <f aca="false">R591*Parâmetros!$C$12</f>
        <v>0</v>
      </c>
      <c r="R591" s="141" t="n">
        <f aca="false">C591*(Estacas!Q591+Estacas!Q592)/2</f>
        <v>0</v>
      </c>
      <c r="S591" s="141" t="n">
        <f aca="false">IF(LEFT(E591,3)="T09",C591*Parâmetros!$D$13*Parâmetros!$C$13,0)</f>
        <v>0</v>
      </c>
    </row>
    <row r="592" customFormat="false" ht="15" hidden="false" customHeight="false" outlineLevel="0" collapsed="false">
      <c r="A592" s="138" t="str">
        <f aca="false">Estacas!A592</f>
        <v>587+0,00</v>
      </c>
      <c r="B592" s="138" t="str">
        <f aca="false">Estacas!A593</f>
        <v>588+0,00</v>
      </c>
      <c r="C592" s="144" t="n">
        <f aca="false">Estacas!C593-Estacas!C592</f>
        <v>20</v>
      </c>
      <c r="D592" s="138" t="s">
        <v>1594</v>
      </c>
      <c r="E592" s="138" t="s">
        <v>1566</v>
      </c>
      <c r="F592" s="141" t="n">
        <f aca="false">Estacas!F592</f>
        <v>11</v>
      </c>
      <c r="G592" s="141" t="n">
        <f aca="false">Estacas!F593</f>
        <v>11</v>
      </c>
      <c r="H592" s="141" t="n">
        <f aca="false">C592*(Estacas!K592+Estacas!K593)/2</f>
        <v>11.05</v>
      </c>
      <c r="I592" s="141" t="n">
        <f aca="false">H592*Parâmetros!$C$14</f>
        <v>26.52</v>
      </c>
      <c r="J592" s="141" t="n">
        <f aca="false">C592*(Estacas!L592+Estacas!L593)/2</f>
        <v>36.352</v>
      </c>
      <c r="K592" s="141" t="n">
        <f aca="false">C592*(Estacas!M592+Estacas!M593)/2</f>
        <v>47.68</v>
      </c>
      <c r="L592" s="141" t="n">
        <f aca="false">C592*(Estacas!N592+Estacas!N593)/2</f>
        <v>75.72</v>
      </c>
      <c r="M592" s="141" t="n">
        <f aca="false">C592*(Estacas!O592+Estacas!O593)/2</f>
        <v>224</v>
      </c>
      <c r="N592" s="141" t="n">
        <f aca="false">C592*(Estacas!O592+Estacas!O593)/2</f>
        <v>224</v>
      </c>
      <c r="O592" s="141" t="n">
        <f aca="false">C592*(Estacas!P592+Estacas!P593)/2</f>
        <v>258.4</v>
      </c>
      <c r="P592" s="141" t="n">
        <f aca="false">R592*Parâmetros!$C$11</f>
        <v>0</v>
      </c>
      <c r="Q592" s="141" t="n">
        <f aca="false">R592*Parâmetros!$C$12</f>
        <v>0</v>
      </c>
      <c r="R592" s="141" t="n">
        <f aca="false">C592*(Estacas!Q592+Estacas!Q593)/2</f>
        <v>0</v>
      </c>
      <c r="S592" s="141" t="n">
        <f aca="false">IF(LEFT(E592,3)="T09",C592*Parâmetros!$D$13*Parâmetros!$C$13,0)</f>
        <v>0</v>
      </c>
    </row>
    <row r="593" customFormat="false" ht="15" hidden="false" customHeight="false" outlineLevel="0" collapsed="false">
      <c r="A593" s="138" t="str">
        <f aca="false">Estacas!A593</f>
        <v>588+0,00</v>
      </c>
      <c r="B593" s="138" t="str">
        <f aca="false">Estacas!A594</f>
        <v>589+0,00</v>
      </c>
      <c r="C593" s="144" t="n">
        <f aca="false">Estacas!C594-Estacas!C593</f>
        <v>20</v>
      </c>
      <c r="D593" s="138" t="s">
        <v>1594</v>
      </c>
      <c r="E593" s="138" t="s">
        <v>1566</v>
      </c>
      <c r="F593" s="141" t="n">
        <f aca="false">Estacas!F593</f>
        <v>11</v>
      </c>
      <c r="G593" s="141" t="n">
        <f aca="false">Estacas!F594</f>
        <v>11</v>
      </c>
      <c r="H593" s="141" t="n">
        <f aca="false">C593*(Estacas!K593+Estacas!K594)/2</f>
        <v>11.05</v>
      </c>
      <c r="I593" s="141" t="n">
        <f aca="false">H593*Parâmetros!$C$14</f>
        <v>26.52</v>
      </c>
      <c r="J593" s="141" t="n">
        <f aca="false">C593*(Estacas!L593+Estacas!L594)/2</f>
        <v>36.352</v>
      </c>
      <c r="K593" s="141" t="n">
        <f aca="false">C593*(Estacas!M593+Estacas!M594)/2</f>
        <v>47.68</v>
      </c>
      <c r="L593" s="141" t="n">
        <f aca="false">C593*(Estacas!N593+Estacas!N594)/2</f>
        <v>75.72</v>
      </c>
      <c r="M593" s="141" t="n">
        <f aca="false">C593*(Estacas!O593+Estacas!O594)/2</f>
        <v>224</v>
      </c>
      <c r="N593" s="141" t="n">
        <f aca="false">C593*(Estacas!O593+Estacas!O594)/2</f>
        <v>224</v>
      </c>
      <c r="O593" s="141" t="n">
        <f aca="false">C593*(Estacas!P593+Estacas!P594)/2</f>
        <v>258.4</v>
      </c>
      <c r="P593" s="141" t="n">
        <f aca="false">R593*Parâmetros!$C$11</f>
        <v>0</v>
      </c>
      <c r="Q593" s="141" t="n">
        <f aca="false">R593*Parâmetros!$C$12</f>
        <v>0</v>
      </c>
      <c r="R593" s="141" t="n">
        <f aca="false">C593*(Estacas!Q593+Estacas!Q594)/2</f>
        <v>0</v>
      </c>
      <c r="S593" s="141" t="n">
        <f aca="false">IF(LEFT(E593,3)="T09",C593*Parâmetros!$D$13*Parâmetros!$C$13,0)</f>
        <v>0</v>
      </c>
    </row>
    <row r="594" customFormat="false" ht="15" hidden="false" customHeight="false" outlineLevel="0" collapsed="false">
      <c r="A594" s="138" t="str">
        <f aca="false">Estacas!A594</f>
        <v>589+0,00</v>
      </c>
      <c r="B594" s="138" t="str">
        <f aca="false">Estacas!A595</f>
        <v>590+0,00</v>
      </c>
      <c r="C594" s="144" t="n">
        <f aca="false">Estacas!C595-Estacas!C594</f>
        <v>20</v>
      </c>
      <c r="D594" s="138" t="s">
        <v>1594</v>
      </c>
      <c r="E594" s="138" t="s">
        <v>1566</v>
      </c>
      <c r="F594" s="141" t="n">
        <f aca="false">Estacas!F594</f>
        <v>11</v>
      </c>
      <c r="G594" s="141" t="n">
        <f aca="false">Estacas!F595</f>
        <v>11</v>
      </c>
      <c r="H594" s="141" t="n">
        <f aca="false">C594*(Estacas!K594+Estacas!K595)/2</f>
        <v>11.05</v>
      </c>
      <c r="I594" s="141" t="n">
        <f aca="false">H594*Parâmetros!$C$14</f>
        <v>26.52</v>
      </c>
      <c r="J594" s="141" t="n">
        <f aca="false">C594*(Estacas!L594+Estacas!L595)/2</f>
        <v>36.352</v>
      </c>
      <c r="K594" s="141" t="n">
        <f aca="false">C594*(Estacas!M594+Estacas!M595)/2</f>
        <v>47.68</v>
      </c>
      <c r="L594" s="141" t="n">
        <f aca="false">C594*(Estacas!N594+Estacas!N595)/2</f>
        <v>75.72</v>
      </c>
      <c r="M594" s="141" t="n">
        <f aca="false">C594*(Estacas!O594+Estacas!O595)/2</f>
        <v>224</v>
      </c>
      <c r="N594" s="141" t="n">
        <f aca="false">C594*(Estacas!O594+Estacas!O595)/2</f>
        <v>224</v>
      </c>
      <c r="O594" s="141" t="n">
        <f aca="false">C594*(Estacas!P594+Estacas!P595)/2</f>
        <v>258.4</v>
      </c>
      <c r="P594" s="141" t="n">
        <f aca="false">R594*Parâmetros!$C$11</f>
        <v>0</v>
      </c>
      <c r="Q594" s="141" t="n">
        <f aca="false">R594*Parâmetros!$C$12</f>
        <v>0</v>
      </c>
      <c r="R594" s="141" t="n">
        <f aca="false">C594*(Estacas!Q594+Estacas!Q595)/2</f>
        <v>0</v>
      </c>
      <c r="S594" s="141" t="n">
        <f aca="false">IF(LEFT(E594,3)="T09",C594*Parâmetros!$D$13*Parâmetros!$C$13,0)</f>
        <v>0</v>
      </c>
    </row>
    <row r="595" customFormat="false" ht="15" hidden="false" customHeight="false" outlineLevel="0" collapsed="false">
      <c r="A595" s="138" t="str">
        <f aca="false">Estacas!A595</f>
        <v>590+0,00</v>
      </c>
      <c r="B595" s="138" t="str">
        <f aca="false">Estacas!A596</f>
        <v>591+0,00</v>
      </c>
      <c r="C595" s="144" t="n">
        <f aca="false">Estacas!C596-Estacas!C595</f>
        <v>20</v>
      </c>
      <c r="D595" s="138" t="s">
        <v>1594</v>
      </c>
      <c r="E595" s="138" t="s">
        <v>1566</v>
      </c>
      <c r="F595" s="141" t="n">
        <f aca="false">Estacas!F595</f>
        <v>11</v>
      </c>
      <c r="G595" s="141" t="n">
        <f aca="false">Estacas!F596</f>
        <v>11.8</v>
      </c>
      <c r="H595" s="141" t="n">
        <f aca="false">C595*(Estacas!K595+Estacas!K596)/2</f>
        <v>11.45</v>
      </c>
      <c r="I595" s="141" t="n">
        <f aca="false">H595*Parâmetros!$C$14</f>
        <v>27.48</v>
      </c>
      <c r="J595" s="141" t="n">
        <f aca="false">C595*(Estacas!L595+Estacas!L596)/2</f>
        <v>37.632</v>
      </c>
      <c r="K595" s="141" t="n">
        <f aca="false">C595*(Estacas!M595+Estacas!M596)/2</f>
        <v>49.28</v>
      </c>
      <c r="L595" s="141" t="n">
        <f aca="false">C595*(Estacas!N595+Estacas!N596)/2</f>
        <v>78.12</v>
      </c>
      <c r="M595" s="141" t="n">
        <f aca="false">C595*(Estacas!O595+Estacas!O596)/2</f>
        <v>232</v>
      </c>
      <c r="N595" s="141" t="n">
        <f aca="false">C595*(Estacas!O595+Estacas!O596)/2</f>
        <v>232</v>
      </c>
      <c r="O595" s="141" t="n">
        <f aca="false">C595*(Estacas!P595+Estacas!P596)/2</f>
        <v>266.4</v>
      </c>
      <c r="P595" s="141" t="n">
        <f aca="false">R595*Parâmetros!$C$11</f>
        <v>0</v>
      </c>
      <c r="Q595" s="141" t="n">
        <f aca="false">R595*Parâmetros!$C$12</f>
        <v>0</v>
      </c>
      <c r="R595" s="141" t="n">
        <f aca="false">C595*(Estacas!Q595+Estacas!Q596)/2</f>
        <v>0</v>
      </c>
      <c r="S595" s="141" t="n">
        <f aca="false">IF(LEFT(E595,3)="T09",C595*Parâmetros!$D$13*Parâmetros!$C$13,0)</f>
        <v>0</v>
      </c>
    </row>
    <row r="596" customFormat="false" ht="15" hidden="false" customHeight="false" outlineLevel="0" collapsed="false">
      <c r="A596" s="138" t="str">
        <f aca="false">Estacas!A596</f>
        <v>591+0,00</v>
      </c>
      <c r="B596" s="138" t="str">
        <f aca="false">Estacas!A597</f>
        <v>592+0,00</v>
      </c>
      <c r="C596" s="144" t="n">
        <f aca="false">Estacas!C597-Estacas!C596</f>
        <v>20</v>
      </c>
      <c r="D596" s="138" t="s">
        <v>1594</v>
      </c>
      <c r="E596" s="138" t="s">
        <v>1566</v>
      </c>
      <c r="F596" s="141" t="n">
        <f aca="false">Estacas!F596</f>
        <v>11.8</v>
      </c>
      <c r="G596" s="141" t="n">
        <f aca="false">Estacas!F597</f>
        <v>11</v>
      </c>
      <c r="H596" s="141" t="n">
        <f aca="false">C596*(Estacas!K596+Estacas!K597)/2</f>
        <v>11.45</v>
      </c>
      <c r="I596" s="141" t="n">
        <f aca="false">H596*Parâmetros!$C$14</f>
        <v>27.48</v>
      </c>
      <c r="J596" s="141" t="n">
        <f aca="false">C596*(Estacas!L596+Estacas!L597)/2</f>
        <v>37.632</v>
      </c>
      <c r="K596" s="141" t="n">
        <f aca="false">C596*(Estacas!M596+Estacas!M597)/2</f>
        <v>49.28</v>
      </c>
      <c r="L596" s="141" t="n">
        <f aca="false">C596*(Estacas!N596+Estacas!N597)/2</f>
        <v>78.12</v>
      </c>
      <c r="M596" s="141" t="n">
        <f aca="false">C596*(Estacas!O596+Estacas!O597)/2</f>
        <v>232</v>
      </c>
      <c r="N596" s="141" t="n">
        <f aca="false">C596*(Estacas!O596+Estacas!O597)/2</f>
        <v>232</v>
      </c>
      <c r="O596" s="141" t="n">
        <f aca="false">C596*(Estacas!P596+Estacas!P597)/2</f>
        <v>266.4</v>
      </c>
      <c r="P596" s="141" t="n">
        <f aca="false">R596*Parâmetros!$C$11</f>
        <v>0</v>
      </c>
      <c r="Q596" s="141" t="n">
        <f aca="false">R596*Parâmetros!$C$12</f>
        <v>0</v>
      </c>
      <c r="R596" s="141" t="n">
        <f aca="false">C596*(Estacas!Q596+Estacas!Q597)/2</f>
        <v>0</v>
      </c>
      <c r="S596" s="141" t="n">
        <f aca="false">IF(LEFT(E596,3)="T09",C596*Parâmetros!$D$13*Parâmetros!$C$13,0)</f>
        <v>0</v>
      </c>
    </row>
    <row r="597" customFormat="false" ht="15" hidden="false" customHeight="false" outlineLevel="0" collapsed="false">
      <c r="A597" s="138" t="str">
        <f aca="false">Estacas!A597</f>
        <v>592+0,00</v>
      </c>
      <c r="B597" s="138" t="str">
        <f aca="false">Estacas!A598</f>
        <v>593+0,00</v>
      </c>
      <c r="C597" s="144" t="n">
        <f aca="false">Estacas!C598-Estacas!C597</f>
        <v>20</v>
      </c>
      <c r="D597" s="138" t="s">
        <v>1594</v>
      </c>
      <c r="E597" s="138" t="s">
        <v>1566</v>
      </c>
      <c r="F597" s="141" t="n">
        <f aca="false">Estacas!F597</f>
        <v>11</v>
      </c>
      <c r="G597" s="141" t="n">
        <f aca="false">Estacas!F598</f>
        <v>11</v>
      </c>
      <c r="H597" s="141" t="n">
        <f aca="false">C597*(Estacas!K597+Estacas!K598)/2</f>
        <v>11.05</v>
      </c>
      <c r="I597" s="141" t="n">
        <f aca="false">H597*Parâmetros!$C$14</f>
        <v>26.52</v>
      </c>
      <c r="J597" s="141" t="n">
        <f aca="false">C597*(Estacas!L597+Estacas!L598)/2</f>
        <v>36.352</v>
      </c>
      <c r="K597" s="141" t="n">
        <f aca="false">C597*(Estacas!M597+Estacas!M598)/2</f>
        <v>47.68</v>
      </c>
      <c r="L597" s="141" t="n">
        <f aca="false">C597*(Estacas!N597+Estacas!N598)/2</f>
        <v>75.72</v>
      </c>
      <c r="M597" s="141" t="n">
        <f aca="false">C597*(Estacas!O597+Estacas!O598)/2</f>
        <v>224</v>
      </c>
      <c r="N597" s="141" t="n">
        <f aca="false">C597*(Estacas!O597+Estacas!O598)/2</f>
        <v>224</v>
      </c>
      <c r="O597" s="141" t="n">
        <f aca="false">C597*(Estacas!P597+Estacas!P598)/2</f>
        <v>258.4</v>
      </c>
      <c r="P597" s="141" t="n">
        <f aca="false">R597*Parâmetros!$C$11</f>
        <v>0</v>
      </c>
      <c r="Q597" s="141" t="n">
        <f aca="false">R597*Parâmetros!$C$12</f>
        <v>0</v>
      </c>
      <c r="R597" s="141" t="n">
        <f aca="false">C597*(Estacas!Q597+Estacas!Q598)/2</f>
        <v>0</v>
      </c>
      <c r="S597" s="141" t="n">
        <f aca="false">IF(LEFT(E597,3)="T09",C597*Parâmetros!$D$13*Parâmetros!$C$13,0)</f>
        <v>0</v>
      </c>
    </row>
    <row r="598" customFormat="false" ht="15" hidden="false" customHeight="false" outlineLevel="0" collapsed="false">
      <c r="A598" s="138" t="str">
        <f aca="false">Estacas!A598</f>
        <v>593+0,00</v>
      </c>
      <c r="B598" s="138" t="str">
        <f aca="false">Estacas!A599</f>
        <v>594+0,00</v>
      </c>
      <c r="C598" s="144" t="n">
        <f aca="false">Estacas!C599-Estacas!C598</f>
        <v>20</v>
      </c>
      <c r="D598" s="138" t="s">
        <v>1594</v>
      </c>
      <c r="E598" s="138" t="s">
        <v>1566</v>
      </c>
      <c r="F598" s="141" t="n">
        <f aca="false">Estacas!F598</f>
        <v>11</v>
      </c>
      <c r="G598" s="141" t="n">
        <f aca="false">Estacas!F599</f>
        <v>11</v>
      </c>
      <c r="H598" s="141" t="n">
        <f aca="false">C598*(Estacas!K598+Estacas!K599)/2</f>
        <v>11.05</v>
      </c>
      <c r="I598" s="141" t="n">
        <f aca="false">H598*Parâmetros!$C$14</f>
        <v>26.52</v>
      </c>
      <c r="J598" s="141" t="n">
        <f aca="false">C598*(Estacas!L598+Estacas!L599)/2</f>
        <v>36.352</v>
      </c>
      <c r="K598" s="141" t="n">
        <f aca="false">C598*(Estacas!M598+Estacas!M599)/2</f>
        <v>47.68</v>
      </c>
      <c r="L598" s="141" t="n">
        <f aca="false">C598*(Estacas!N598+Estacas!N599)/2</f>
        <v>75.72</v>
      </c>
      <c r="M598" s="141" t="n">
        <f aca="false">C598*(Estacas!O598+Estacas!O599)/2</f>
        <v>224</v>
      </c>
      <c r="N598" s="141" t="n">
        <f aca="false">C598*(Estacas!O598+Estacas!O599)/2</f>
        <v>224</v>
      </c>
      <c r="O598" s="141" t="n">
        <f aca="false">C598*(Estacas!P598+Estacas!P599)/2</f>
        <v>258.4</v>
      </c>
      <c r="P598" s="141" t="n">
        <f aca="false">R598*Parâmetros!$C$11</f>
        <v>0</v>
      </c>
      <c r="Q598" s="141" t="n">
        <f aca="false">R598*Parâmetros!$C$12</f>
        <v>0</v>
      </c>
      <c r="R598" s="141" t="n">
        <f aca="false">C598*(Estacas!Q598+Estacas!Q599)/2</f>
        <v>0</v>
      </c>
      <c r="S598" s="141" t="n">
        <f aca="false">IF(LEFT(E598,3)="T09",C598*Parâmetros!$D$13*Parâmetros!$C$13,0)</f>
        <v>0</v>
      </c>
    </row>
    <row r="599" customFormat="false" ht="15" hidden="false" customHeight="false" outlineLevel="0" collapsed="false">
      <c r="A599" s="138" t="str">
        <f aca="false">Estacas!A599</f>
        <v>594+0,00</v>
      </c>
      <c r="B599" s="138" t="str">
        <f aca="false">Estacas!A600</f>
        <v>595+0,00</v>
      </c>
      <c r="C599" s="144" t="n">
        <f aca="false">Estacas!C600-Estacas!C599</f>
        <v>20</v>
      </c>
      <c r="D599" s="138" t="s">
        <v>1594</v>
      </c>
      <c r="E599" s="138" t="s">
        <v>1566</v>
      </c>
      <c r="F599" s="141" t="n">
        <f aca="false">Estacas!F599</f>
        <v>11</v>
      </c>
      <c r="G599" s="141" t="n">
        <f aca="false">Estacas!F600</f>
        <v>11</v>
      </c>
      <c r="H599" s="141" t="n">
        <f aca="false">C599*(Estacas!K599+Estacas!K600)/2</f>
        <v>11.05</v>
      </c>
      <c r="I599" s="141" t="n">
        <f aca="false">H599*Parâmetros!$C$14</f>
        <v>26.52</v>
      </c>
      <c r="J599" s="141" t="n">
        <f aca="false">C599*(Estacas!L599+Estacas!L600)/2</f>
        <v>36.352</v>
      </c>
      <c r="K599" s="141" t="n">
        <f aca="false">C599*(Estacas!M599+Estacas!M600)/2</f>
        <v>47.68</v>
      </c>
      <c r="L599" s="141" t="n">
        <f aca="false">C599*(Estacas!N599+Estacas!N600)/2</f>
        <v>75.72</v>
      </c>
      <c r="M599" s="141" t="n">
        <f aca="false">C599*(Estacas!O599+Estacas!O600)/2</f>
        <v>224</v>
      </c>
      <c r="N599" s="141" t="n">
        <f aca="false">C599*(Estacas!O599+Estacas!O600)/2</f>
        <v>224</v>
      </c>
      <c r="O599" s="141" t="n">
        <f aca="false">C599*(Estacas!P599+Estacas!P600)/2</f>
        <v>258.4</v>
      </c>
      <c r="P599" s="141" t="n">
        <f aca="false">R599*Parâmetros!$C$11</f>
        <v>0</v>
      </c>
      <c r="Q599" s="141" t="n">
        <f aca="false">R599*Parâmetros!$C$12</f>
        <v>0</v>
      </c>
      <c r="R599" s="141" t="n">
        <f aca="false">C599*(Estacas!Q599+Estacas!Q600)/2</f>
        <v>0</v>
      </c>
      <c r="S599" s="141" t="n">
        <f aca="false">IF(LEFT(E599,3)="T09",C599*Parâmetros!$D$13*Parâmetros!$C$13,0)</f>
        <v>0</v>
      </c>
    </row>
    <row r="600" customFormat="false" ht="15" hidden="false" customHeight="false" outlineLevel="0" collapsed="false">
      <c r="A600" s="138" t="str">
        <f aca="false">Estacas!A600</f>
        <v>595+0,00</v>
      </c>
      <c r="B600" s="138" t="str">
        <f aca="false">Estacas!A601</f>
        <v>596+0,00</v>
      </c>
      <c r="C600" s="144" t="n">
        <f aca="false">Estacas!C601-Estacas!C600</f>
        <v>20</v>
      </c>
      <c r="D600" s="138" t="s">
        <v>1594</v>
      </c>
      <c r="E600" s="138" t="s">
        <v>1566</v>
      </c>
      <c r="F600" s="141" t="n">
        <f aca="false">Estacas!F600</f>
        <v>11</v>
      </c>
      <c r="G600" s="141" t="n">
        <f aca="false">Estacas!F601</f>
        <v>11</v>
      </c>
      <c r="H600" s="141" t="n">
        <f aca="false">C600*(Estacas!K600+Estacas!K601)/2</f>
        <v>11.05</v>
      </c>
      <c r="I600" s="141" t="n">
        <f aca="false">H600*Parâmetros!$C$14</f>
        <v>26.52</v>
      </c>
      <c r="J600" s="141" t="n">
        <f aca="false">C600*(Estacas!L600+Estacas!L601)/2</f>
        <v>36.352</v>
      </c>
      <c r="K600" s="141" t="n">
        <f aca="false">C600*(Estacas!M600+Estacas!M601)/2</f>
        <v>47.68</v>
      </c>
      <c r="L600" s="141" t="n">
        <f aca="false">C600*(Estacas!N600+Estacas!N601)/2</f>
        <v>75.72</v>
      </c>
      <c r="M600" s="141" t="n">
        <f aca="false">C600*(Estacas!O600+Estacas!O601)/2</f>
        <v>224</v>
      </c>
      <c r="N600" s="141" t="n">
        <f aca="false">C600*(Estacas!O600+Estacas!O601)/2</f>
        <v>224</v>
      </c>
      <c r="O600" s="141" t="n">
        <f aca="false">C600*(Estacas!P600+Estacas!P601)/2</f>
        <v>258.4</v>
      </c>
      <c r="P600" s="141" t="n">
        <f aca="false">R600*Parâmetros!$C$11</f>
        <v>0</v>
      </c>
      <c r="Q600" s="141" t="n">
        <f aca="false">R600*Parâmetros!$C$12</f>
        <v>0</v>
      </c>
      <c r="R600" s="141" t="n">
        <f aca="false">C600*(Estacas!Q600+Estacas!Q601)/2</f>
        <v>0</v>
      </c>
      <c r="S600" s="141" t="n">
        <f aca="false">IF(LEFT(E600,3)="T09",C600*Parâmetros!$D$13*Parâmetros!$C$13,0)</f>
        <v>0</v>
      </c>
    </row>
    <row r="601" customFormat="false" ht="15" hidden="false" customHeight="false" outlineLevel="0" collapsed="false">
      <c r="A601" s="138" t="str">
        <f aca="false">Estacas!A601</f>
        <v>596+0,00</v>
      </c>
      <c r="B601" s="138" t="str">
        <f aca="false">Estacas!A602</f>
        <v>597+0,00</v>
      </c>
      <c r="C601" s="144" t="n">
        <f aca="false">Estacas!C602-Estacas!C601</f>
        <v>20</v>
      </c>
      <c r="D601" s="138" t="s">
        <v>1594</v>
      </c>
      <c r="E601" s="138" t="s">
        <v>1566</v>
      </c>
      <c r="F601" s="141" t="n">
        <f aca="false">Estacas!F601</f>
        <v>11</v>
      </c>
      <c r="G601" s="141" t="n">
        <f aca="false">Estacas!F602</f>
        <v>11</v>
      </c>
      <c r="H601" s="141" t="n">
        <f aca="false">C601*(Estacas!K601+Estacas!K602)/2</f>
        <v>11.05</v>
      </c>
      <c r="I601" s="141" t="n">
        <f aca="false">H601*Parâmetros!$C$14</f>
        <v>26.52</v>
      </c>
      <c r="J601" s="141" t="n">
        <f aca="false">C601*(Estacas!L601+Estacas!L602)/2</f>
        <v>36.352</v>
      </c>
      <c r="K601" s="141" t="n">
        <f aca="false">C601*(Estacas!M601+Estacas!M602)/2</f>
        <v>47.68</v>
      </c>
      <c r="L601" s="141" t="n">
        <f aca="false">C601*(Estacas!N601+Estacas!N602)/2</f>
        <v>75.72</v>
      </c>
      <c r="M601" s="141" t="n">
        <f aca="false">C601*(Estacas!O601+Estacas!O602)/2</f>
        <v>224</v>
      </c>
      <c r="N601" s="141" t="n">
        <f aca="false">C601*(Estacas!O601+Estacas!O602)/2</f>
        <v>224</v>
      </c>
      <c r="O601" s="141" t="n">
        <f aca="false">C601*(Estacas!P601+Estacas!P602)/2</f>
        <v>258.4</v>
      </c>
      <c r="P601" s="141" t="n">
        <f aca="false">R601*Parâmetros!$C$11</f>
        <v>0</v>
      </c>
      <c r="Q601" s="141" t="n">
        <f aca="false">R601*Parâmetros!$C$12</f>
        <v>0</v>
      </c>
      <c r="R601" s="141" t="n">
        <f aca="false">C601*(Estacas!Q601+Estacas!Q602)/2</f>
        <v>0</v>
      </c>
      <c r="S601" s="141" t="n">
        <f aca="false">IF(LEFT(E601,3)="T09",C601*Parâmetros!$D$13*Parâmetros!$C$13,0)</f>
        <v>0</v>
      </c>
    </row>
    <row r="602" customFormat="false" ht="15" hidden="false" customHeight="false" outlineLevel="0" collapsed="false">
      <c r="A602" s="138" t="str">
        <f aca="false">Estacas!A602</f>
        <v>597+0,00</v>
      </c>
      <c r="B602" s="138" t="str">
        <f aca="false">Estacas!A603</f>
        <v>598+0,00</v>
      </c>
      <c r="C602" s="144" t="n">
        <f aca="false">Estacas!C603-Estacas!C602</f>
        <v>20</v>
      </c>
      <c r="D602" s="138" t="s">
        <v>1594</v>
      </c>
      <c r="E602" s="138" t="s">
        <v>1566</v>
      </c>
      <c r="F602" s="141" t="n">
        <f aca="false">Estacas!F602</f>
        <v>11</v>
      </c>
      <c r="G602" s="141" t="n">
        <f aca="false">Estacas!F603</f>
        <v>11</v>
      </c>
      <c r="H602" s="141" t="n">
        <f aca="false">C602*(Estacas!K602+Estacas!K603)/2</f>
        <v>11.05</v>
      </c>
      <c r="I602" s="141" t="n">
        <f aca="false">H602*Parâmetros!$C$14</f>
        <v>26.52</v>
      </c>
      <c r="J602" s="141" t="n">
        <f aca="false">C602*(Estacas!L602+Estacas!L603)/2</f>
        <v>36.352</v>
      </c>
      <c r="K602" s="141" t="n">
        <f aca="false">C602*(Estacas!M602+Estacas!M603)/2</f>
        <v>47.68</v>
      </c>
      <c r="L602" s="141" t="n">
        <f aca="false">C602*(Estacas!N602+Estacas!N603)/2</f>
        <v>75.72</v>
      </c>
      <c r="M602" s="141" t="n">
        <f aca="false">C602*(Estacas!O602+Estacas!O603)/2</f>
        <v>224</v>
      </c>
      <c r="N602" s="141" t="n">
        <f aca="false">C602*(Estacas!O602+Estacas!O603)/2</f>
        <v>224</v>
      </c>
      <c r="O602" s="141" t="n">
        <f aca="false">C602*(Estacas!P602+Estacas!P603)/2</f>
        <v>258.4</v>
      </c>
      <c r="P602" s="141" t="n">
        <f aca="false">R602*Parâmetros!$C$11</f>
        <v>0</v>
      </c>
      <c r="Q602" s="141" t="n">
        <f aca="false">R602*Parâmetros!$C$12</f>
        <v>0</v>
      </c>
      <c r="R602" s="141" t="n">
        <f aca="false">C602*(Estacas!Q602+Estacas!Q603)/2</f>
        <v>0</v>
      </c>
      <c r="S602" s="141" t="n">
        <f aca="false">IF(LEFT(E602,3)="T09",C602*Parâmetros!$D$13*Parâmetros!$C$13,0)</f>
        <v>0</v>
      </c>
    </row>
    <row r="603" customFormat="false" ht="15" hidden="false" customHeight="false" outlineLevel="0" collapsed="false">
      <c r="A603" s="138" t="str">
        <f aca="false">Estacas!A603</f>
        <v>598+0,00</v>
      </c>
      <c r="B603" s="138" t="str">
        <f aca="false">Estacas!A604</f>
        <v>599+0,00</v>
      </c>
      <c r="C603" s="144" t="n">
        <f aca="false">Estacas!C604-Estacas!C603</f>
        <v>20</v>
      </c>
      <c r="D603" s="138" t="s">
        <v>1596</v>
      </c>
      <c r="E603" s="138" t="s">
        <v>1597</v>
      </c>
      <c r="F603" s="141" t="n">
        <f aca="false">Estacas!F603</f>
        <v>11</v>
      </c>
      <c r="G603" s="141" t="n">
        <f aca="false">Estacas!F604</f>
        <v>11</v>
      </c>
      <c r="H603" s="141" t="n">
        <f aca="false">C603*(Estacas!K603+Estacas!K604)/2</f>
        <v>11.05</v>
      </c>
      <c r="I603" s="141" t="n">
        <f aca="false">H603*Parâmetros!$C$14</f>
        <v>26.52</v>
      </c>
      <c r="J603" s="141" t="n">
        <f aca="false">C603*(Estacas!L603+Estacas!L604)/2</f>
        <v>36.352</v>
      </c>
      <c r="K603" s="141" t="n">
        <f aca="false">C603*(Estacas!M603+Estacas!M604)/2</f>
        <v>47.68</v>
      </c>
      <c r="L603" s="141" t="n">
        <f aca="false">C603*(Estacas!N603+Estacas!N604)/2</f>
        <v>75.72</v>
      </c>
      <c r="M603" s="141" t="n">
        <f aca="false">C603*(Estacas!O603+Estacas!O604)/2</f>
        <v>224</v>
      </c>
      <c r="N603" s="141" t="n">
        <f aca="false">C603*(Estacas!O603+Estacas!O604)/2</f>
        <v>224</v>
      </c>
      <c r="O603" s="141" t="n">
        <f aca="false">C603*(Estacas!P603+Estacas!P604)/2</f>
        <v>258.4</v>
      </c>
      <c r="P603" s="141" t="n">
        <f aca="false">R603*Parâmetros!$C$11</f>
        <v>1.8</v>
      </c>
      <c r="Q603" s="141" t="n">
        <f aca="false">R603*Parâmetros!$C$12</f>
        <v>1.5</v>
      </c>
      <c r="R603" s="141" t="n">
        <f aca="false">C603*(Estacas!Q603+Estacas!Q604)/2</f>
        <v>30</v>
      </c>
      <c r="S603" s="141" t="n">
        <f aca="false">IF(LEFT(E603,3)="T09",C603*Parâmetros!$D$13*Parâmetros!$C$13,0)</f>
        <v>0</v>
      </c>
    </row>
    <row r="604" customFormat="false" ht="15" hidden="false" customHeight="false" outlineLevel="0" collapsed="false">
      <c r="A604" s="138" t="str">
        <f aca="false">Estacas!A604</f>
        <v>599+0,00</v>
      </c>
      <c r="B604" s="138" t="str">
        <f aca="false">Estacas!A605</f>
        <v>600+0,00</v>
      </c>
      <c r="C604" s="144" t="n">
        <f aca="false">Estacas!C605-Estacas!C604</f>
        <v>20</v>
      </c>
      <c r="D604" s="138" t="s">
        <v>1596</v>
      </c>
      <c r="E604" s="138" t="s">
        <v>1597</v>
      </c>
      <c r="F604" s="141" t="n">
        <f aca="false">Estacas!F604</f>
        <v>11</v>
      </c>
      <c r="G604" s="141" t="n">
        <f aca="false">Estacas!F605</f>
        <v>11</v>
      </c>
      <c r="H604" s="141" t="n">
        <f aca="false">C604*(Estacas!K604+Estacas!K605)/2</f>
        <v>11.05</v>
      </c>
      <c r="I604" s="141" t="n">
        <f aca="false">H604*Parâmetros!$C$14</f>
        <v>26.52</v>
      </c>
      <c r="J604" s="141" t="n">
        <f aca="false">C604*(Estacas!L604+Estacas!L605)/2</f>
        <v>36.352</v>
      </c>
      <c r="K604" s="141" t="n">
        <f aca="false">C604*(Estacas!M604+Estacas!M605)/2</f>
        <v>47.68</v>
      </c>
      <c r="L604" s="141" t="n">
        <f aca="false">C604*(Estacas!N604+Estacas!N605)/2</f>
        <v>75.72</v>
      </c>
      <c r="M604" s="141" t="n">
        <f aca="false">C604*(Estacas!O604+Estacas!O605)/2</f>
        <v>224</v>
      </c>
      <c r="N604" s="141" t="n">
        <f aca="false">C604*(Estacas!O604+Estacas!O605)/2</f>
        <v>224</v>
      </c>
      <c r="O604" s="141" t="n">
        <f aca="false">C604*(Estacas!P604+Estacas!P605)/2</f>
        <v>258.4</v>
      </c>
      <c r="P604" s="141" t="n">
        <f aca="false">R604*Parâmetros!$C$11</f>
        <v>3.6</v>
      </c>
      <c r="Q604" s="141" t="n">
        <f aca="false">R604*Parâmetros!$C$12</f>
        <v>3</v>
      </c>
      <c r="R604" s="141" t="n">
        <f aca="false">C604*(Estacas!Q604+Estacas!Q605)/2</f>
        <v>60</v>
      </c>
      <c r="S604" s="141" t="n">
        <f aca="false">IF(LEFT(E604,3)="T09",C604*Parâmetros!$D$13*Parâmetros!$C$13,0)</f>
        <v>0</v>
      </c>
    </row>
    <row r="605" customFormat="false" ht="15" hidden="false" customHeight="false" outlineLevel="0" collapsed="false">
      <c r="A605" s="138" t="str">
        <f aca="false">Estacas!A605</f>
        <v>600+0,00</v>
      </c>
      <c r="B605" s="138" t="str">
        <f aca="false">Estacas!A606</f>
        <v>601+0,00</v>
      </c>
      <c r="C605" s="144" t="n">
        <f aca="false">Estacas!C606-Estacas!C605</f>
        <v>20</v>
      </c>
      <c r="D605" s="138" t="s">
        <v>1596</v>
      </c>
      <c r="E605" s="138" t="s">
        <v>1597</v>
      </c>
      <c r="F605" s="141" t="n">
        <f aca="false">Estacas!F605</f>
        <v>11</v>
      </c>
      <c r="G605" s="141" t="n">
        <f aca="false">Estacas!F606</f>
        <v>11</v>
      </c>
      <c r="H605" s="141" t="n">
        <f aca="false">C605*(Estacas!K605+Estacas!K606)/2</f>
        <v>11.05</v>
      </c>
      <c r="I605" s="141" t="n">
        <f aca="false">H605*Parâmetros!$C$14</f>
        <v>26.52</v>
      </c>
      <c r="J605" s="141" t="n">
        <f aca="false">C605*(Estacas!L605+Estacas!L606)/2</f>
        <v>36.352</v>
      </c>
      <c r="K605" s="141" t="n">
        <f aca="false">C605*(Estacas!M605+Estacas!M606)/2</f>
        <v>47.68</v>
      </c>
      <c r="L605" s="141" t="n">
        <f aca="false">C605*(Estacas!N605+Estacas!N606)/2</f>
        <v>75.72</v>
      </c>
      <c r="M605" s="141" t="n">
        <f aca="false">C605*(Estacas!O605+Estacas!O606)/2</f>
        <v>224</v>
      </c>
      <c r="N605" s="141" t="n">
        <f aca="false">C605*(Estacas!O605+Estacas!O606)/2</f>
        <v>224</v>
      </c>
      <c r="O605" s="141" t="n">
        <f aca="false">C605*(Estacas!P605+Estacas!P606)/2</f>
        <v>258.4</v>
      </c>
      <c r="P605" s="141" t="n">
        <f aca="false">R605*Parâmetros!$C$11</f>
        <v>3.6</v>
      </c>
      <c r="Q605" s="141" t="n">
        <f aca="false">R605*Parâmetros!$C$12</f>
        <v>3</v>
      </c>
      <c r="R605" s="141" t="n">
        <f aca="false">C605*(Estacas!Q605+Estacas!Q606)/2</f>
        <v>60</v>
      </c>
      <c r="S605" s="141" t="n">
        <f aca="false">IF(LEFT(E605,3)="T09",C605*Parâmetros!$D$13*Parâmetros!$C$13,0)</f>
        <v>0</v>
      </c>
    </row>
    <row r="606" customFormat="false" ht="15" hidden="false" customHeight="false" outlineLevel="0" collapsed="false">
      <c r="A606" s="138" t="str">
        <f aca="false">Estacas!A606</f>
        <v>601+0,00</v>
      </c>
      <c r="B606" s="138" t="str">
        <f aca="false">Estacas!A607</f>
        <v>602+0,00</v>
      </c>
      <c r="C606" s="144" t="n">
        <f aca="false">Estacas!C607-Estacas!C606</f>
        <v>20</v>
      </c>
      <c r="D606" s="138" t="s">
        <v>1596</v>
      </c>
      <c r="E606" s="138" t="s">
        <v>1597</v>
      </c>
      <c r="F606" s="141" t="n">
        <f aca="false">Estacas!F606</f>
        <v>11</v>
      </c>
      <c r="G606" s="141" t="n">
        <f aca="false">Estacas!F607</f>
        <v>11</v>
      </c>
      <c r="H606" s="141" t="n">
        <f aca="false">C606*(Estacas!K606+Estacas!K607)/2</f>
        <v>11.05</v>
      </c>
      <c r="I606" s="141" t="n">
        <f aca="false">H606*Parâmetros!$C$14</f>
        <v>26.52</v>
      </c>
      <c r="J606" s="141" t="n">
        <f aca="false">C606*(Estacas!L606+Estacas!L607)/2</f>
        <v>36.352</v>
      </c>
      <c r="K606" s="141" t="n">
        <f aca="false">C606*(Estacas!M606+Estacas!M607)/2</f>
        <v>47.68</v>
      </c>
      <c r="L606" s="141" t="n">
        <f aca="false">C606*(Estacas!N606+Estacas!N607)/2</f>
        <v>75.72</v>
      </c>
      <c r="M606" s="141" t="n">
        <f aca="false">C606*(Estacas!O606+Estacas!O607)/2</f>
        <v>224</v>
      </c>
      <c r="N606" s="141" t="n">
        <f aca="false">C606*(Estacas!O606+Estacas!O607)/2</f>
        <v>224</v>
      </c>
      <c r="O606" s="141" t="n">
        <f aca="false">C606*(Estacas!P606+Estacas!P607)/2</f>
        <v>258.4</v>
      </c>
      <c r="P606" s="141" t="n">
        <f aca="false">R606*Parâmetros!$C$11</f>
        <v>4.5</v>
      </c>
      <c r="Q606" s="141" t="n">
        <f aca="false">R606*Parâmetros!$C$12</f>
        <v>3.75</v>
      </c>
      <c r="R606" s="141" t="n">
        <f aca="false">C606*(Estacas!Q606+Estacas!Q607)/2</f>
        <v>75</v>
      </c>
      <c r="S606" s="141" t="n">
        <f aca="false">IF(LEFT(E606,3)="T09",C606*Parâmetros!$D$13*Parâmetros!$C$13,0)</f>
        <v>0</v>
      </c>
    </row>
    <row r="607" customFormat="false" ht="15" hidden="false" customHeight="false" outlineLevel="0" collapsed="false">
      <c r="A607" s="138" t="str">
        <f aca="false">Estacas!A607</f>
        <v>602+0,00</v>
      </c>
      <c r="B607" s="138" t="str">
        <f aca="false">Estacas!A608</f>
        <v>603+0,00</v>
      </c>
      <c r="C607" s="144" t="n">
        <f aca="false">Estacas!C608-Estacas!C607</f>
        <v>20</v>
      </c>
      <c r="D607" s="138" t="s">
        <v>1600</v>
      </c>
      <c r="E607" s="138" t="s">
        <v>1601</v>
      </c>
      <c r="F607" s="141" t="n">
        <f aca="false">Estacas!F607</f>
        <v>11</v>
      </c>
      <c r="G607" s="141" t="n">
        <f aca="false">Estacas!F608</f>
        <v>11</v>
      </c>
      <c r="H607" s="141" t="n">
        <f aca="false">C607*(Estacas!K607+Estacas!K608)/2</f>
        <v>11.05</v>
      </c>
      <c r="I607" s="141" t="n">
        <f aca="false">H607*Parâmetros!$C$14</f>
        <v>26.52</v>
      </c>
      <c r="J607" s="141" t="n">
        <f aca="false">C607*(Estacas!L607+Estacas!L608)/2</f>
        <v>36.352</v>
      </c>
      <c r="K607" s="141" t="n">
        <f aca="false">C607*(Estacas!M607+Estacas!M608)/2</f>
        <v>47.68</v>
      </c>
      <c r="L607" s="141" t="n">
        <f aca="false">C607*(Estacas!N607+Estacas!N608)/2</f>
        <v>75.72</v>
      </c>
      <c r="M607" s="141" t="n">
        <f aca="false">C607*(Estacas!O607+Estacas!O608)/2</f>
        <v>224</v>
      </c>
      <c r="N607" s="141" t="n">
        <f aca="false">C607*(Estacas!O607+Estacas!O608)/2</f>
        <v>224</v>
      </c>
      <c r="O607" s="141" t="n">
        <f aca="false">C607*(Estacas!P607+Estacas!P608)/2</f>
        <v>258.4</v>
      </c>
      <c r="P607" s="141" t="n">
        <f aca="false">R607*Parâmetros!$C$11</f>
        <v>6.3</v>
      </c>
      <c r="Q607" s="141" t="n">
        <f aca="false">R607*Parâmetros!$C$12</f>
        <v>5.25</v>
      </c>
      <c r="R607" s="141" t="n">
        <f aca="false">C607*(Estacas!Q607+Estacas!Q608)/2</f>
        <v>105</v>
      </c>
      <c r="S607" s="141" t="n">
        <f aca="false">IF(LEFT(E607,3)="T09",C607*Parâmetros!$D$13*Parâmetros!$C$13,0)</f>
        <v>0</v>
      </c>
    </row>
    <row r="608" customFormat="false" ht="15" hidden="false" customHeight="false" outlineLevel="0" collapsed="false">
      <c r="A608" s="138" t="str">
        <f aca="false">Estacas!A608</f>
        <v>603+0,00</v>
      </c>
      <c r="B608" s="138" t="str">
        <f aca="false">Estacas!A609</f>
        <v>604+0,00</v>
      </c>
      <c r="C608" s="144" t="n">
        <f aca="false">Estacas!C609-Estacas!C608</f>
        <v>20</v>
      </c>
      <c r="D608" s="138" t="s">
        <v>1600</v>
      </c>
      <c r="E608" s="138" t="s">
        <v>1601</v>
      </c>
      <c r="F608" s="141" t="n">
        <f aca="false">Estacas!F608</f>
        <v>11</v>
      </c>
      <c r="G608" s="141" t="n">
        <f aca="false">Estacas!F609</f>
        <v>11</v>
      </c>
      <c r="H608" s="141" t="n">
        <f aca="false">C608*(Estacas!K608+Estacas!K609)/2</f>
        <v>11.05</v>
      </c>
      <c r="I608" s="141" t="n">
        <f aca="false">H608*Parâmetros!$C$14</f>
        <v>26.52</v>
      </c>
      <c r="J608" s="141" t="n">
        <f aca="false">C608*(Estacas!L608+Estacas!L609)/2</f>
        <v>36.352</v>
      </c>
      <c r="K608" s="141" t="n">
        <f aca="false">C608*(Estacas!M608+Estacas!M609)/2</f>
        <v>47.68</v>
      </c>
      <c r="L608" s="141" t="n">
        <f aca="false">C608*(Estacas!N608+Estacas!N609)/2</f>
        <v>75.72</v>
      </c>
      <c r="M608" s="141" t="n">
        <f aca="false">C608*(Estacas!O608+Estacas!O609)/2</f>
        <v>224</v>
      </c>
      <c r="N608" s="141" t="n">
        <f aca="false">C608*(Estacas!O608+Estacas!O609)/2</f>
        <v>224</v>
      </c>
      <c r="O608" s="141" t="n">
        <f aca="false">C608*(Estacas!P608+Estacas!P609)/2</f>
        <v>258.4</v>
      </c>
      <c r="P608" s="141" t="n">
        <f aca="false">R608*Parâmetros!$C$11</f>
        <v>7.2</v>
      </c>
      <c r="Q608" s="141" t="n">
        <f aca="false">R608*Parâmetros!$C$12</f>
        <v>6</v>
      </c>
      <c r="R608" s="141" t="n">
        <f aca="false">C608*(Estacas!Q608+Estacas!Q609)/2</f>
        <v>120</v>
      </c>
      <c r="S608" s="141" t="n">
        <f aca="false">IF(LEFT(E608,3)="T09",C608*Parâmetros!$D$13*Parâmetros!$C$13,0)</f>
        <v>0</v>
      </c>
    </row>
    <row r="609" customFormat="false" ht="15" hidden="false" customHeight="false" outlineLevel="0" collapsed="false">
      <c r="A609" s="138" t="str">
        <f aca="false">Estacas!A609</f>
        <v>604+0,00</v>
      </c>
      <c r="B609" s="138" t="str">
        <f aca="false">Estacas!A610</f>
        <v>605+0,00</v>
      </c>
      <c r="C609" s="144" t="n">
        <f aca="false">Estacas!C610-Estacas!C609</f>
        <v>20</v>
      </c>
      <c r="D609" s="138" t="s">
        <v>1600</v>
      </c>
      <c r="E609" s="138" t="s">
        <v>1601</v>
      </c>
      <c r="F609" s="141" t="n">
        <f aca="false">Estacas!F609</f>
        <v>11</v>
      </c>
      <c r="G609" s="141" t="n">
        <f aca="false">Estacas!F610</f>
        <v>11</v>
      </c>
      <c r="H609" s="141" t="n">
        <f aca="false">C609*(Estacas!K609+Estacas!K610)/2</f>
        <v>11.05</v>
      </c>
      <c r="I609" s="141" t="n">
        <f aca="false">H609*Parâmetros!$C$14</f>
        <v>26.52</v>
      </c>
      <c r="J609" s="141" t="n">
        <f aca="false">C609*(Estacas!L609+Estacas!L610)/2</f>
        <v>36.352</v>
      </c>
      <c r="K609" s="141" t="n">
        <f aca="false">C609*(Estacas!M609+Estacas!M610)/2</f>
        <v>47.68</v>
      </c>
      <c r="L609" s="141" t="n">
        <f aca="false">C609*(Estacas!N609+Estacas!N610)/2</f>
        <v>75.72</v>
      </c>
      <c r="M609" s="141" t="n">
        <f aca="false">C609*(Estacas!O609+Estacas!O610)/2</f>
        <v>224</v>
      </c>
      <c r="N609" s="141" t="n">
        <f aca="false">C609*(Estacas!O609+Estacas!O610)/2</f>
        <v>224</v>
      </c>
      <c r="O609" s="141" t="n">
        <f aca="false">C609*(Estacas!P609+Estacas!P610)/2</f>
        <v>258.4</v>
      </c>
      <c r="P609" s="141" t="n">
        <f aca="false">R609*Parâmetros!$C$11</f>
        <v>7.2</v>
      </c>
      <c r="Q609" s="141" t="n">
        <f aca="false">R609*Parâmetros!$C$12</f>
        <v>6</v>
      </c>
      <c r="R609" s="141" t="n">
        <f aca="false">C609*(Estacas!Q609+Estacas!Q610)/2</f>
        <v>120</v>
      </c>
      <c r="S609" s="141" t="n">
        <f aca="false">IF(LEFT(E609,3)="T09",C609*Parâmetros!$D$13*Parâmetros!$C$13,0)</f>
        <v>0</v>
      </c>
    </row>
    <row r="610" customFormat="false" ht="15" hidden="false" customHeight="false" outlineLevel="0" collapsed="false">
      <c r="A610" s="138" t="str">
        <f aca="false">Estacas!A610</f>
        <v>605+0,00</v>
      </c>
      <c r="B610" s="138" t="str">
        <f aca="false">Estacas!A611</f>
        <v>606+0,00</v>
      </c>
      <c r="C610" s="144" t="n">
        <f aca="false">Estacas!C611-Estacas!C610</f>
        <v>20</v>
      </c>
      <c r="D610" s="138" t="s">
        <v>1600</v>
      </c>
      <c r="E610" s="138" t="s">
        <v>1601</v>
      </c>
      <c r="F610" s="141" t="n">
        <f aca="false">Estacas!F610</f>
        <v>11</v>
      </c>
      <c r="G610" s="141" t="n">
        <f aca="false">Estacas!F611</f>
        <v>11</v>
      </c>
      <c r="H610" s="141" t="n">
        <f aca="false">C610*(Estacas!K610+Estacas!K611)/2</f>
        <v>11.05</v>
      </c>
      <c r="I610" s="141" t="n">
        <f aca="false">H610*Parâmetros!$C$14</f>
        <v>26.52</v>
      </c>
      <c r="J610" s="141" t="n">
        <f aca="false">C610*(Estacas!L610+Estacas!L611)/2</f>
        <v>36.352</v>
      </c>
      <c r="K610" s="141" t="n">
        <f aca="false">C610*(Estacas!M610+Estacas!M611)/2</f>
        <v>47.68</v>
      </c>
      <c r="L610" s="141" t="n">
        <f aca="false">C610*(Estacas!N610+Estacas!N611)/2</f>
        <v>75.72</v>
      </c>
      <c r="M610" s="141" t="n">
        <f aca="false">C610*(Estacas!O610+Estacas!O611)/2</f>
        <v>224</v>
      </c>
      <c r="N610" s="141" t="n">
        <f aca="false">C610*(Estacas!O610+Estacas!O611)/2</f>
        <v>224</v>
      </c>
      <c r="O610" s="141" t="n">
        <f aca="false">C610*(Estacas!P610+Estacas!P611)/2</f>
        <v>258.4</v>
      </c>
      <c r="P610" s="141" t="n">
        <f aca="false">R610*Parâmetros!$C$11</f>
        <v>7.2</v>
      </c>
      <c r="Q610" s="141" t="n">
        <f aca="false">R610*Parâmetros!$C$12</f>
        <v>6</v>
      </c>
      <c r="R610" s="141" t="n">
        <f aca="false">C610*(Estacas!Q610+Estacas!Q611)/2</f>
        <v>120</v>
      </c>
      <c r="S610" s="141" t="n">
        <f aca="false">IF(LEFT(E610,3)="T09",C610*Parâmetros!$D$13*Parâmetros!$C$13,0)</f>
        <v>0</v>
      </c>
    </row>
    <row r="611" customFormat="false" ht="15" hidden="false" customHeight="false" outlineLevel="0" collapsed="false">
      <c r="A611" s="138" t="str">
        <f aca="false">Estacas!A611</f>
        <v>606+0,00</v>
      </c>
      <c r="B611" s="138" t="str">
        <f aca="false">Estacas!A612</f>
        <v>607+0,00</v>
      </c>
      <c r="C611" s="144" t="n">
        <f aca="false">Estacas!C612-Estacas!C611</f>
        <v>20</v>
      </c>
      <c r="D611" s="138" t="s">
        <v>1600</v>
      </c>
      <c r="E611" s="138" t="s">
        <v>1601</v>
      </c>
      <c r="F611" s="141" t="n">
        <f aca="false">Estacas!F611</f>
        <v>11</v>
      </c>
      <c r="G611" s="141" t="n">
        <f aca="false">Estacas!F612</f>
        <v>11</v>
      </c>
      <c r="H611" s="141" t="n">
        <f aca="false">C611*(Estacas!K611+Estacas!K612)/2</f>
        <v>11.05</v>
      </c>
      <c r="I611" s="141" t="n">
        <f aca="false">H611*Parâmetros!$C$14</f>
        <v>26.52</v>
      </c>
      <c r="J611" s="141" t="n">
        <f aca="false">C611*(Estacas!L611+Estacas!L612)/2</f>
        <v>36.352</v>
      </c>
      <c r="K611" s="141" t="n">
        <f aca="false">C611*(Estacas!M611+Estacas!M612)/2</f>
        <v>47.68</v>
      </c>
      <c r="L611" s="141" t="n">
        <f aca="false">C611*(Estacas!N611+Estacas!N612)/2</f>
        <v>75.72</v>
      </c>
      <c r="M611" s="141" t="n">
        <f aca="false">C611*(Estacas!O611+Estacas!O612)/2</f>
        <v>224</v>
      </c>
      <c r="N611" s="141" t="n">
        <f aca="false">C611*(Estacas!O611+Estacas!O612)/2</f>
        <v>224</v>
      </c>
      <c r="O611" s="141" t="n">
        <f aca="false">C611*(Estacas!P611+Estacas!P612)/2</f>
        <v>258.4</v>
      </c>
      <c r="P611" s="141" t="n">
        <f aca="false">R611*Parâmetros!$C$11</f>
        <v>7.2</v>
      </c>
      <c r="Q611" s="141" t="n">
        <f aca="false">R611*Parâmetros!$C$12</f>
        <v>6</v>
      </c>
      <c r="R611" s="141" t="n">
        <f aca="false">C611*(Estacas!Q611+Estacas!Q612)/2</f>
        <v>120</v>
      </c>
      <c r="S611" s="141" t="n">
        <f aca="false">IF(LEFT(E611,3)="T09",C611*Parâmetros!$D$13*Parâmetros!$C$13,0)</f>
        <v>0</v>
      </c>
    </row>
    <row r="612" customFormat="false" ht="15" hidden="false" customHeight="false" outlineLevel="0" collapsed="false">
      <c r="A612" s="138" t="str">
        <f aca="false">Estacas!A612</f>
        <v>607+0,00</v>
      </c>
      <c r="B612" s="138" t="str">
        <f aca="false">Estacas!A613</f>
        <v>608+0,00</v>
      </c>
      <c r="C612" s="144" t="n">
        <f aca="false">Estacas!C613-Estacas!C612</f>
        <v>20</v>
      </c>
      <c r="D612" s="138" t="s">
        <v>1600</v>
      </c>
      <c r="E612" s="138" t="s">
        <v>1601</v>
      </c>
      <c r="F612" s="141" t="n">
        <f aca="false">Estacas!F612</f>
        <v>11</v>
      </c>
      <c r="G612" s="141" t="n">
        <f aca="false">Estacas!F613</f>
        <v>11</v>
      </c>
      <c r="H612" s="141" t="n">
        <f aca="false">C612*(Estacas!K612+Estacas!K613)/2</f>
        <v>11.05</v>
      </c>
      <c r="I612" s="141" t="n">
        <f aca="false">H612*Parâmetros!$C$14</f>
        <v>26.52</v>
      </c>
      <c r="J612" s="141" t="n">
        <f aca="false">C612*(Estacas!L612+Estacas!L613)/2</f>
        <v>36.352</v>
      </c>
      <c r="K612" s="141" t="n">
        <f aca="false">C612*(Estacas!M612+Estacas!M613)/2</f>
        <v>47.68</v>
      </c>
      <c r="L612" s="141" t="n">
        <f aca="false">C612*(Estacas!N612+Estacas!N613)/2</f>
        <v>75.72</v>
      </c>
      <c r="M612" s="141" t="n">
        <f aca="false">C612*(Estacas!O612+Estacas!O613)/2</f>
        <v>224</v>
      </c>
      <c r="N612" s="141" t="n">
        <f aca="false">C612*(Estacas!O612+Estacas!O613)/2</f>
        <v>224</v>
      </c>
      <c r="O612" s="141" t="n">
        <f aca="false">C612*(Estacas!P612+Estacas!P613)/2</f>
        <v>258.4</v>
      </c>
      <c r="P612" s="141" t="n">
        <f aca="false">R612*Parâmetros!$C$11</f>
        <v>7.2</v>
      </c>
      <c r="Q612" s="141" t="n">
        <f aca="false">R612*Parâmetros!$C$12</f>
        <v>6</v>
      </c>
      <c r="R612" s="141" t="n">
        <f aca="false">C612*(Estacas!Q612+Estacas!Q613)/2</f>
        <v>120</v>
      </c>
      <c r="S612" s="141" t="n">
        <f aca="false">IF(LEFT(E612,3)="T09",C612*Parâmetros!$D$13*Parâmetros!$C$13,0)</f>
        <v>0</v>
      </c>
    </row>
    <row r="613" customFormat="false" ht="15" hidden="false" customHeight="false" outlineLevel="0" collapsed="false">
      <c r="A613" s="138" t="str">
        <f aca="false">Estacas!A613</f>
        <v>608+0,00</v>
      </c>
      <c r="B613" s="138" t="str">
        <f aca="false">Estacas!A614</f>
        <v>609+0,00</v>
      </c>
      <c r="C613" s="144" t="n">
        <f aca="false">Estacas!C614-Estacas!C613</f>
        <v>20</v>
      </c>
      <c r="D613" s="138" t="s">
        <v>1600</v>
      </c>
      <c r="E613" s="138" t="s">
        <v>1601</v>
      </c>
      <c r="F613" s="141" t="n">
        <f aca="false">Estacas!F613</f>
        <v>11</v>
      </c>
      <c r="G613" s="141" t="n">
        <f aca="false">Estacas!F614</f>
        <v>9.5</v>
      </c>
      <c r="H613" s="141" t="n">
        <f aca="false">C613*(Estacas!K613+Estacas!K614)/2</f>
        <v>10.3</v>
      </c>
      <c r="I613" s="141" t="n">
        <f aca="false">H613*Parâmetros!$C$14</f>
        <v>24.72</v>
      </c>
      <c r="J613" s="141" t="n">
        <f aca="false">C613*(Estacas!L613+Estacas!L614)/2</f>
        <v>33.952</v>
      </c>
      <c r="K613" s="141" t="n">
        <f aca="false">C613*(Estacas!M613+Estacas!M614)/2</f>
        <v>44.68</v>
      </c>
      <c r="L613" s="141" t="n">
        <f aca="false">C613*(Estacas!N613+Estacas!N614)/2</f>
        <v>71.22</v>
      </c>
      <c r="M613" s="141" t="n">
        <f aca="false">C613*(Estacas!O613+Estacas!O614)/2</f>
        <v>209</v>
      </c>
      <c r="N613" s="141" t="n">
        <f aca="false">C613*(Estacas!O613+Estacas!O614)/2</f>
        <v>209</v>
      </c>
      <c r="O613" s="141" t="n">
        <f aca="false">C613*(Estacas!P613+Estacas!P614)/2</f>
        <v>243.4</v>
      </c>
      <c r="P613" s="141" t="n">
        <f aca="false">R613*Parâmetros!$C$11</f>
        <v>6.6</v>
      </c>
      <c r="Q613" s="141" t="n">
        <f aca="false">R613*Parâmetros!$C$12</f>
        <v>5.5</v>
      </c>
      <c r="R613" s="141" t="n">
        <f aca="false">C613*(Estacas!Q613+Estacas!Q614)/2</f>
        <v>110</v>
      </c>
      <c r="S613" s="141" t="n">
        <f aca="false">IF(LEFT(E613,3)="T09",C613*Parâmetros!$D$13*Parâmetros!$C$13,0)</f>
        <v>0</v>
      </c>
    </row>
    <row r="614" customFormat="false" ht="15" hidden="false" customHeight="false" outlineLevel="0" collapsed="false">
      <c r="A614" s="138" t="str">
        <f aca="false">Estacas!A614</f>
        <v>609+0,00</v>
      </c>
      <c r="B614" s="138" t="str">
        <f aca="false">Estacas!A615</f>
        <v>610+0,00</v>
      </c>
      <c r="C614" s="144" t="n">
        <f aca="false">Estacas!C615-Estacas!C614</f>
        <v>20</v>
      </c>
      <c r="D614" s="138" t="s">
        <v>1600</v>
      </c>
      <c r="E614" s="138" t="s">
        <v>1601</v>
      </c>
      <c r="F614" s="141" t="n">
        <f aca="false">Estacas!F614</f>
        <v>9.5</v>
      </c>
      <c r="G614" s="141" t="n">
        <f aca="false">Estacas!F615</f>
        <v>9.5</v>
      </c>
      <c r="H614" s="141" t="n">
        <f aca="false">C614*(Estacas!K614+Estacas!K615)/2</f>
        <v>9.55</v>
      </c>
      <c r="I614" s="141" t="n">
        <f aca="false">H614*Parâmetros!$C$14</f>
        <v>22.92</v>
      </c>
      <c r="J614" s="141" t="n">
        <f aca="false">C614*(Estacas!L614+Estacas!L615)/2</f>
        <v>31.552</v>
      </c>
      <c r="K614" s="141" t="n">
        <f aca="false">C614*(Estacas!M614+Estacas!M615)/2</f>
        <v>41.68</v>
      </c>
      <c r="L614" s="141" t="n">
        <f aca="false">C614*(Estacas!N614+Estacas!N615)/2</f>
        <v>66.72</v>
      </c>
      <c r="M614" s="141" t="n">
        <f aca="false">C614*(Estacas!O614+Estacas!O615)/2</f>
        <v>194</v>
      </c>
      <c r="N614" s="141" t="n">
        <f aca="false">C614*(Estacas!O614+Estacas!O615)/2</f>
        <v>194</v>
      </c>
      <c r="O614" s="141" t="n">
        <f aca="false">C614*(Estacas!P614+Estacas!P615)/2</f>
        <v>228.4</v>
      </c>
      <c r="P614" s="141" t="n">
        <f aca="false">R614*Parâmetros!$C$11</f>
        <v>6</v>
      </c>
      <c r="Q614" s="141" t="n">
        <f aca="false">R614*Parâmetros!$C$12</f>
        <v>5</v>
      </c>
      <c r="R614" s="141" t="n">
        <f aca="false">C614*(Estacas!Q614+Estacas!Q615)/2</f>
        <v>100</v>
      </c>
      <c r="S614" s="141" t="n">
        <f aca="false">IF(LEFT(E614,3)="T09",C614*Parâmetros!$D$13*Parâmetros!$C$13,0)</f>
        <v>0</v>
      </c>
    </row>
    <row r="615" customFormat="false" ht="15" hidden="false" customHeight="false" outlineLevel="0" collapsed="false">
      <c r="A615" s="138" t="str">
        <f aca="false">Estacas!A615</f>
        <v>610+0,00</v>
      </c>
      <c r="B615" s="138" t="str">
        <f aca="false">Estacas!A616</f>
        <v>611+0,00</v>
      </c>
      <c r="C615" s="144" t="n">
        <f aca="false">Estacas!C616-Estacas!C615</f>
        <v>20</v>
      </c>
      <c r="D615" s="138" t="s">
        <v>1600</v>
      </c>
      <c r="E615" s="138" t="s">
        <v>1601</v>
      </c>
      <c r="F615" s="141" t="n">
        <f aca="false">Estacas!F615</f>
        <v>9.5</v>
      </c>
      <c r="G615" s="141" t="n">
        <f aca="false">Estacas!F616</f>
        <v>11</v>
      </c>
      <c r="H615" s="141" t="n">
        <f aca="false">C615*(Estacas!K615+Estacas!K616)/2</f>
        <v>10.3</v>
      </c>
      <c r="I615" s="141" t="n">
        <f aca="false">H615*Parâmetros!$C$14</f>
        <v>24.72</v>
      </c>
      <c r="J615" s="141" t="n">
        <f aca="false">C615*(Estacas!L615+Estacas!L616)/2</f>
        <v>33.952</v>
      </c>
      <c r="K615" s="141" t="n">
        <f aca="false">C615*(Estacas!M615+Estacas!M616)/2</f>
        <v>44.68</v>
      </c>
      <c r="L615" s="141" t="n">
        <f aca="false">C615*(Estacas!N615+Estacas!N616)/2</f>
        <v>71.22</v>
      </c>
      <c r="M615" s="141" t="n">
        <f aca="false">C615*(Estacas!O615+Estacas!O616)/2</f>
        <v>209</v>
      </c>
      <c r="N615" s="141" t="n">
        <f aca="false">C615*(Estacas!O615+Estacas!O616)/2</f>
        <v>209</v>
      </c>
      <c r="O615" s="141" t="n">
        <f aca="false">C615*(Estacas!P615+Estacas!P616)/2</f>
        <v>243.4</v>
      </c>
      <c r="P615" s="141" t="n">
        <f aca="false">R615*Parâmetros!$C$11</f>
        <v>6</v>
      </c>
      <c r="Q615" s="141" t="n">
        <f aca="false">R615*Parâmetros!$C$12</f>
        <v>5</v>
      </c>
      <c r="R615" s="141" t="n">
        <f aca="false">C615*(Estacas!Q615+Estacas!Q616)/2</f>
        <v>100</v>
      </c>
      <c r="S615" s="141" t="n">
        <f aca="false">IF(LEFT(E615,3)="T09",C615*Parâmetros!$D$13*Parâmetros!$C$13,0)</f>
        <v>0</v>
      </c>
    </row>
    <row r="616" customFormat="false" ht="15" hidden="false" customHeight="false" outlineLevel="0" collapsed="false">
      <c r="A616" s="138" t="str">
        <f aca="false">Estacas!A616</f>
        <v>611+0,00</v>
      </c>
      <c r="B616" s="138" t="str">
        <f aca="false">Estacas!A617</f>
        <v>612+0,00</v>
      </c>
      <c r="C616" s="144" t="n">
        <f aca="false">Estacas!C617-Estacas!C616</f>
        <v>20</v>
      </c>
      <c r="D616" s="138" t="s">
        <v>1600</v>
      </c>
      <c r="E616" s="138" t="s">
        <v>1601</v>
      </c>
      <c r="F616" s="141" t="n">
        <f aca="false">Estacas!F616</f>
        <v>11</v>
      </c>
      <c r="G616" s="141" t="n">
        <f aca="false">Estacas!F617</f>
        <v>11</v>
      </c>
      <c r="H616" s="141" t="n">
        <f aca="false">C616*(Estacas!K616+Estacas!K617)/2</f>
        <v>11.05</v>
      </c>
      <c r="I616" s="141" t="n">
        <f aca="false">H616*Parâmetros!$C$14</f>
        <v>26.52</v>
      </c>
      <c r="J616" s="141" t="n">
        <f aca="false">C616*(Estacas!L616+Estacas!L617)/2</f>
        <v>36.352</v>
      </c>
      <c r="K616" s="141" t="n">
        <f aca="false">C616*(Estacas!M616+Estacas!M617)/2</f>
        <v>47.68</v>
      </c>
      <c r="L616" s="141" t="n">
        <f aca="false">C616*(Estacas!N616+Estacas!N617)/2</f>
        <v>75.72</v>
      </c>
      <c r="M616" s="141" t="n">
        <f aca="false">C616*(Estacas!O616+Estacas!O617)/2</f>
        <v>224</v>
      </c>
      <c r="N616" s="141" t="n">
        <f aca="false">C616*(Estacas!O616+Estacas!O617)/2</f>
        <v>224</v>
      </c>
      <c r="O616" s="141" t="n">
        <f aca="false">C616*(Estacas!P616+Estacas!P617)/2</f>
        <v>258.4</v>
      </c>
      <c r="P616" s="141" t="n">
        <f aca="false">R616*Parâmetros!$C$11</f>
        <v>6</v>
      </c>
      <c r="Q616" s="141" t="n">
        <f aca="false">R616*Parâmetros!$C$12</f>
        <v>5</v>
      </c>
      <c r="R616" s="141" t="n">
        <f aca="false">C616*(Estacas!Q616+Estacas!Q617)/2</f>
        <v>100</v>
      </c>
      <c r="S616" s="141" t="n">
        <f aca="false">IF(LEFT(E616,3)="T09",C616*Parâmetros!$D$13*Parâmetros!$C$13,0)</f>
        <v>0</v>
      </c>
    </row>
    <row r="617" customFormat="false" ht="15" hidden="false" customHeight="false" outlineLevel="0" collapsed="false">
      <c r="A617" s="138" t="str">
        <f aca="false">Estacas!A617</f>
        <v>612+0,00</v>
      </c>
      <c r="B617" s="138" t="str">
        <f aca="false">Estacas!A618</f>
        <v>613+0,00</v>
      </c>
      <c r="C617" s="144" t="n">
        <f aca="false">Estacas!C618-Estacas!C617</f>
        <v>20</v>
      </c>
      <c r="D617" s="138" t="s">
        <v>1600</v>
      </c>
      <c r="E617" s="138" t="s">
        <v>1601</v>
      </c>
      <c r="F617" s="141" t="n">
        <f aca="false">Estacas!F617</f>
        <v>11</v>
      </c>
      <c r="G617" s="141" t="n">
        <f aca="false">Estacas!F618</f>
        <v>11</v>
      </c>
      <c r="H617" s="141" t="n">
        <f aca="false">C617*(Estacas!K617+Estacas!K618)/2</f>
        <v>11.05</v>
      </c>
      <c r="I617" s="141" t="n">
        <f aca="false">H617*Parâmetros!$C$14</f>
        <v>26.52</v>
      </c>
      <c r="J617" s="141" t="n">
        <f aca="false">C617*(Estacas!L617+Estacas!L618)/2</f>
        <v>36.352</v>
      </c>
      <c r="K617" s="141" t="n">
        <f aca="false">C617*(Estacas!M617+Estacas!M618)/2</f>
        <v>47.68</v>
      </c>
      <c r="L617" s="141" t="n">
        <f aca="false">C617*(Estacas!N617+Estacas!N618)/2</f>
        <v>75.72</v>
      </c>
      <c r="M617" s="141" t="n">
        <f aca="false">C617*(Estacas!O617+Estacas!O618)/2</f>
        <v>224</v>
      </c>
      <c r="N617" s="141" t="n">
        <f aca="false">C617*(Estacas!O617+Estacas!O618)/2</f>
        <v>224</v>
      </c>
      <c r="O617" s="141" t="n">
        <f aca="false">C617*(Estacas!P617+Estacas!P618)/2</f>
        <v>258.4</v>
      </c>
      <c r="P617" s="141" t="n">
        <f aca="false">R617*Parâmetros!$C$11</f>
        <v>6</v>
      </c>
      <c r="Q617" s="141" t="n">
        <f aca="false">R617*Parâmetros!$C$12</f>
        <v>5</v>
      </c>
      <c r="R617" s="141" t="n">
        <f aca="false">C617*(Estacas!Q617+Estacas!Q618)/2</f>
        <v>100</v>
      </c>
      <c r="S617" s="141" t="n">
        <f aca="false">IF(LEFT(E617,3)="T09",C617*Parâmetros!$D$13*Parâmetros!$C$13,0)</f>
        <v>0</v>
      </c>
    </row>
    <row r="618" customFormat="false" ht="15" hidden="false" customHeight="false" outlineLevel="0" collapsed="false">
      <c r="A618" s="138" t="str">
        <f aca="false">Estacas!A618</f>
        <v>613+0,00</v>
      </c>
      <c r="B618" s="138" t="str">
        <f aca="false">Estacas!A619</f>
        <v>614+0,00</v>
      </c>
      <c r="C618" s="144" t="n">
        <f aca="false">Estacas!C619-Estacas!C618</f>
        <v>20</v>
      </c>
      <c r="D618" s="138" t="s">
        <v>1600</v>
      </c>
      <c r="E618" s="138" t="s">
        <v>1601</v>
      </c>
      <c r="F618" s="141" t="n">
        <f aca="false">Estacas!F618</f>
        <v>11</v>
      </c>
      <c r="G618" s="141" t="n">
        <f aca="false">Estacas!F619</f>
        <v>11</v>
      </c>
      <c r="H618" s="141" t="n">
        <f aca="false">C618*(Estacas!K618+Estacas!K619)/2</f>
        <v>11.05</v>
      </c>
      <c r="I618" s="141" t="n">
        <f aca="false">H618*Parâmetros!$C$14</f>
        <v>26.52</v>
      </c>
      <c r="J618" s="141" t="n">
        <f aca="false">C618*(Estacas!L618+Estacas!L619)/2</f>
        <v>36.352</v>
      </c>
      <c r="K618" s="141" t="n">
        <f aca="false">C618*(Estacas!M618+Estacas!M619)/2</f>
        <v>47.68</v>
      </c>
      <c r="L618" s="141" t="n">
        <f aca="false">C618*(Estacas!N618+Estacas!N619)/2</f>
        <v>75.72</v>
      </c>
      <c r="M618" s="141" t="n">
        <f aca="false">C618*(Estacas!O618+Estacas!O619)/2</f>
        <v>224</v>
      </c>
      <c r="N618" s="141" t="n">
        <f aca="false">C618*(Estacas!O618+Estacas!O619)/2</f>
        <v>224</v>
      </c>
      <c r="O618" s="141" t="n">
        <f aca="false">C618*(Estacas!P618+Estacas!P619)/2</f>
        <v>258.4</v>
      </c>
      <c r="P618" s="141" t="n">
        <f aca="false">R618*Parâmetros!$C$11</f>
        <v>6</v>
      </c>
      <c r="Q618" s="141" t="n">
        <f aca="false">R618*Parâmetros!$C$12</f>
        <v>5</v>
      </c>
      <c r="R618" s="141" t="n">
        <f aca="false">C618*(Estacas!Q618+Estacas!Q619)/2</f>
        <v>100</v>
      </c>
      <c r="S618" s="141" t="n">
        <f aca="false">IF(LEFT(E618,3)="T09",C618*Parâmetros!$D$13*Parâmetros!$C$13,0)</f>
        <v>0</v>
      </c>
    </row>
    <row r="619" customFormat="false" ht="15" hidden="false" customHeight="false" outlineLevel="0" collapsed="false">
      <c r="A619" s="138" t="str">
        <f aca="false">Estacas!A619</f>
        <v>614+0,00</v>
      </c>
      <c r="B619" s="138" t="str">
        <f aca="false">Estacas!A620</f>
        <v>615+0,00</v>
      </c>
      <c r="C619" s="144" t="n">
        <f aca="false">Estacas!C620-Estacas!C619</f>
        <v>20</v>
      </c>
      <c r="D619" s="138" t="s">
        <v>1600</v>
      </c>
      <c r="E619" s="138" t="s">
        <v>1601</v>
      </c>
      <c r="F619" s="141" t="n">
        <f aca="false">Estacas!F619</f>
        <v>11</v>
      </c>
      <c r="G619" s="141" t="n">
        <f aca="false">Estacas!F620</f>
        <v>9.5</v>
      </c>
      <c r="H619" s="141" t="n">
        <f aca="false">C619*(Estacas!K619+Estacas!K620)/2</f>
        <v>10.3</v>
      </c>
      <c r="I619" s="141" t="n">
        <f aca="false">H619*Parâmetros!$C$14</f>
        <v>24.72</v>
      </c>
      <c r="J619" s="141" t="n">
        <f aca="false">C619*(Estacas!L619+Estacas!L620)/2</f>
        <v>33.952</v>
      </c>
      <c r="K619" s="141" t="n">
        <f aca="false">C619*(Estacas!M619+Estacas!M620)/2</f>
        <v>44.68</v>
      </c>
      <c r="L619" s="141" t="n">
        <f aca="false">C619*(Estacas!N619+Estacas!N620)/2</f>
        <v>71.22</v>
      </c>
      <c r="M619" s="141" t="n">
        <f aca="false">C619*(Estacas!O619+Estacas!O620)/2</f>
        <v>209</v>
      </c>
      <c r="N619" s="141" t="n">
        <f aca="false">C619*(Estacas!O619+Estacas!O620)/2</f>
        <v>209</v>
      </c>
      <c r="O619" s="141" t="n">
        <f aca="false">C619*(Estacas!P619+Estacas!P620)/2</f>
        <v>243.4</v>
      </c>
      <c r="P619" s="141" t="n">
        <f aca="false">R619*Parâmetros!$C$11</f>
        <v>6</v>
      </c>
      <c r="Q619" s="141" t="n">
        <f aca="false">R619*Parâmetros!$C$12</f>
        <v>5</v>
      </c>
      <c r="R619" s="141" t="n">
        <f aca="false">C619*(Estacas!Q619+Estacas!Q620)/2</f>
        <v>100</v>
      </c>
      <c r="S619" s="141" t="n">
        <f aca="false">IF(LEFT(E619,3)="T09",C619*Parâmetros!$D$13*Parâmetros!$C$13,0)</f>
        <v>0</v>
      </c>
    </row>
    <row r="620" customFormat="false" ht="15" hidden="false" customHeight="false" outlineLevel="0" collapsed="false">
      <c r="A620" s="138" t="str">
        <f aca="false">Estacas!A620</f>
        <v>615+0,00</v>
      </c>
      <c r="B620" s="138" t="str">
        <f aca="false">Estacas!A621</f>
        <v>616+0,00</v>
      </c>
      <c r="C620" s="144" t="n">
        <f aca="false">Estacas!C621-Estacas!C620</f>
        <v>20</v>
      </c>
      <c r="D620" s="138" t="s">
        <v>1600</v>
      </c>
      <c r="E620" s="138" t="s">
        <v>1601</v>
      </c>
      <c r="F620" s="141" t="n">
        <f aca="false">Estacas!F620</f>
        <v>9.5</v>
      </c>
      <c r="G620" s="141" t="n">
        <f aca="false">Estacas!F621</f>
        <v>9.5</v>
      </c>
      <c r="H620" s="141" t="n">
        <f aca="false">C620*(Estacas!K620+Estacas!K621)/2</f>
        <v>9.55</v>
      </c>
      <c r="I620" s="141" t="n">
        <f aca="false">H620*Parâmetros!$C$14</f>
        <v>22.92</v>
      </c>
      <c r="J620" s="141" t="n">
        <f aca="false">C620*(Estacas!L620+Estacas!L621)/2</f>
        <v>31.552</v>
      </c>
      <c r="K620" s="141" t="n">
        <f aca="false">C620*(Estacas!M620+Estacas!M621)/2</f>
        <v>41.68</v>
      </c>
      <c r="L620" s="141" t="n">
        <f aca="false">C620*(Estacas!N620+Estacas!N621)/2</f>
        <v>66.72</v>
      </c>
      <c r="M620" s="141" t="n">
        <f aca="false">C620*(Estacas!O620+Estacas!O621)/2</f>
        <v>194</v>
      </c>
      <c r="N620" s="141" t="n">
        <f aca="false">C620*(Estacas!O620+Estacas!O621)/2</f>
        <v>194</v>
      </c>
      <c r="O620" s="141" t="n">
        <f aca="false">C620*(Estacas!P620+Estacas!P621)/2</f>
        <v>228.4</v>
      </c>
      <c r="P620" s="141" t="n">
        <f aca="false">R620*Parâmetros!$C$11</f>
        <v>6</v>
      </c>
      <c r="Q620" s="141" t="n">
        <f aca="false">R620*Parâmetros!$C$12</f>
        <v>5</v>
      </c>
      <c r="R620" s="141" t="n">
        <f aca="false">C620*(Estacas!Q620+Estacas!Q621)/2</f>
        <v>100</v>
      </c>
      <c r="S620" s="141" t="n">
        <f aca="false">IF(LEFT(E620,3)="T09",C620*Parâmetros!$D$13*Parâmetros!$C$13,0)</f>
        <v>0</v>
      </c>
    </row>
    <row r="621" customFormat="false" ht="15" hidden="false" customHeight="false" outlineLevel="0" collapsed="false">
      <c r="A621" s="138" t="str">
        <f aca="false">Estacas!A621</f>
        <v>616+0,00</v>
      </c>
      <c r="B621" s="138" t="str">
        <f aca="false">Estacas!A622</f>
        <v>617+0,00</v>
      </c>
      <c r="C621" s="144" t="n">
        <f aca="false">Estacas!C622-Estacas!C621</f>
        <v>20</v>
      </c>
      <c r="D621" s="138" t="s">
        <v>1600</v>
      </c>
      <c r="E621" s="138" t="s">
        <v>1601</v>
      </c>
      <c r="F621" s="141" t="n">
        <f aca="false">Estacas!F621</f>
        <v>9.5</v>
      </c>
      <c r="G621" s="141" t="n">
        <f aca="false">Estacas!F622</f>
        <v>9.5</v>
      </c>
      <c r="H621" s="141" t="n">
        <f aca="false">C621*(Estacas!K621+Estacas!K622)/2</f>
        <v>9.55</v>
      </c>
      <c r="I621" s="141" t="n">
        <f aca="false">H621*Parâmetros!$C$14</f>
        <v>22.92</v>
      </c>
      <c r="J621" s="141" t="n">
        <f aca="false">C621*(Estacas!L621+Estacas!L622)/2</f>
        <v>31.552</v>
      </c>
      <c r="K621" s="141" t="n">
        <f aca="false">C621*(Estacas!M621+Estacas!M622)/2</f>
        <v>41.68</v>
      </c>
      <c r="L621" s="141" t="n">
        <f aca="false">C621*(Estacas!N621+Estacas!N622)/2</f>
        <v>66.72</v>
      </c>
      <c r="M621" s="141" t="n">
        <f aca="false">C621*(Estacas!O621+Estacas!O622)/2</f>
        <v>194</v>
      </c>
      <c r="N621" s="141" t="n">
        <f aca="false">C621*(Estacas!O621+Estacas!O622)/2</f>
        <v>194</v>
      </c>
      <c r="O621" s="141" t="n">
        <f aca="false">C621*(Estacas!P621+Estacas!P622)/2</f>
        <v>228.4</v>
      </c>
      <c r="P621" s="141" t="n">
        <f aca="false">R621*Parâmetros!$C$11</f>
        <v>6</v>
      </c>
      <c r="Q621" s="141" t="n">
        <f aca="false">R621*Parâmetros!$C$12</f>
        <v>5</v>
      </c>
      <c r="R621" s="141" t="n">
        <f aca="false">C621*(Estacas!Q621+Estacas!Q622)/2</f>
        <v>100</v>
      </c>
      <c r="S621" s="141" t="n">
        <f aca="false">IF(LEFT(E621,3)="T09",C621*Parâmetros!$D$13*Parâmetros!$C$13,0)</f>
        <v>0</v>
      </c>
    </row>
    <row r="622" customFormat="false" ht="15" hidden="false" customHeight="false" outlineLevel="0" collapsed="false">
      <c r="A622" s="138" t="str">
        <f aca="false">Estacas!A622</f>
        <v>617+0,00</v>
      </c>
      <c r="B622" s="138" t="str">
        <f aca="false">Estacas!A623</f>
        <v>618+0,00</v>
      </c>
      <c r="C622" s="144" t="n">
        <f aca="false">Estacas!C623-Estacas!C622</f>
        <v>20</v>
      </c>
      <c r="D622" s="138" t="s">
        <v>1600</v>
      </c>
      <c r="E622" s="138" t="s">
        <v>1601</v>
      </c>
      <c r="F622" s="141" t="n">
        <f aca="false">Estacas!F622</f>
        <v>9.5</v>
      </c>
      <c r="G622" s="141" t="n">
        <f aca="false">Estacas!F623</f>
        <v>9.5</v>
      </c>
      <c r="H622" s="141" t="n">
        <f aca="false">C622*(Estacas!K622+Estacas!K623)/2</f>
        <v>9.55</v>
      </c>
      <c r="I622" s="141" t="n">
        <f aca="false">H622*Parâmetros!$C$14</f>
        <v>22.92</v>
      </c>
      <c r="J622" s="141" t="n">
        <f aca="false">C622*(Estacas!L622+Estacas!L623)/2</f>
        <v>31.552</v>
      </c>
      <c r="K622" s="141" t="n">
        <f aca="false">C622*(Estacas!M622+Estacas!M623)/2</f>
        <v>41.68</v>
      </c>
      <c r="L622" s="141" t="n">
        <f aca="false">C622*(Estacas!N622+Estacas!N623)/2</f>
        <v>66.72</v>
      </c>
      <c r="M622" s="141" t="n">
        <f aca="false">C622*(Estacas!O622+Estacas!O623)/2</f>
        <v>194</v>
      </c>
      <c r="N622" s="141" t="n">
        <f aca="false">C622*(Estacas!O622+Estacas!O623)/2</f>
        <v>194</v>
      </c>
      <c r="O622" s="141" t="n">
        <f aca="false">C622*(Estacas!P622+Estacas!P623)/2</f>
        <v>228.4</v>
      </c>
      <c r="P622" s="141" t="n">
        <f aca="false">R622*Parâmetros!$C$11</f>
        <v>6</v>
      </c>
      <c r="Q622" s="141" t="n">
        <f aca="false">R622*Parâmetros!$C$12</f>
        <v>5</v>
      </c>
      <c r="R622" s="141" t="n">
        <f aca="false">C622*(Estacas!Q622+Estacas!Q623)/2</f>
        <v>100</v>
      </c>
      <c r="S622" s="141" t="n">
        <f aca="false">IF(LEFT(E622,3)="T09",C622*Parâmetros!$D$13*Parâmetros!$C$13,0)</f>
        <v>0</v>
      </c>
    </row>
    <row r="623" customFormat="false" ht="15" hidden="false" customHeight="false" outlineLevel="0" collapsed="false">
      <c r="A623" s="138" t="str">
        <f aca="false">Estacas!A623</f>
        <v>618+0,00</v>
      </c>
      <c r="B623" s="138" t="str">
        <f aca="false">Estacas!A624</f>
        <v>619+0,00</v>
      </c>
      <c r="C623" s="144" t="n">
        <f aca="false">Estacas!C624-Estacas!C623</f>
        <v>20</v>
      </c>
      <c r="D623" s="138" t="s">
        <v>1600</v>
      </c>
      <c r="E623" s="138" t="s">
        <v>1601</v>
      </c>
      <c r="F623" s="141" t="n">
        <f aca="false">Estacas!F623</f>
        <v>9.5</v>
      </c>
      <c r="G623" s="141" t="n">
        <f aca="false">Estacas!F624</f>
        <v>9.5</v>
      </c>
      <c r="H623" s="141" t="n">
        <f aca="false">C623*(Estacas!K623+Estacas!K624)/2</f>
        <v>9.55</v>
      </c>
      <c r="I623" s="141" t="n">
        <f aca="false">H623*Parâmetros!$C$14</f>
        <v>22.92</v>
      </c>
      <c r="J623" s="141" t="n">
        <f aca="false">C623*(Estacas!L623+Estacas!L624)/2</f>
        <v>31.552</v>
      </c>
      <c r="K623" s="141" t="n">
        <f aca="false">C623*(Estacas!M623+Estacas!M624)/2</f>
        <v>41.68</v>
      </c>
      <c r="L623" s="141" t="n">
        <f aca="false">C623*(Estacas!N623+Estacas!N624)/2</f>
        <v>66.72</v>
      </c>
      <c r="M623" s="141" t="n">
        <f aca="false">C623*(Estacas!O623+Estacas!O624)/2</f>
        <v>194</v>
      </c>
      <c r="N623" s="141" t="n">
        <f aca="false">C623*(Estacas!O623+Estacas!O624)/2</f>
        <v>194</v>
      </c>
      <c r="O623" s="141" t="n">
        <f aca="false">C623*(Estacas!P623+Estacas!P624)/2</f>
        <v>228.4</v>
      </c>
      <c r="P623" s="141" t="n">
        <f aca="false">R623*Parâmetros!$C$11</f>
        <v>6</v>
      </c>
      <c r="Q623" s="141" t="n">
        <f aca="false">R623*Parâmetros!$C$12</f>
        <v>5</v>
      </c>
      <c r="R623" s="141" t="n">
        <f aca="false">C623*(Estacas!Q623+Estacas!Q624)/2</f>
        <v>100</v>
      </c>
      <c r="S623" s="141" t="n">
        <f aca="false">IF(LEFT(E623,3)="T09",C623*Parâmetros!$D$13*Parâmetros!$C$13,0)</f>
        <v>0</v>
      </c>
    </row>
    <row r="624" customFormat="false" ht="15" hidden="false" customHeight="false" outlineLevel="0" collapsed="false">
      <c r="A624" s="138" t="str">
        <f aca="false">Estacas!A624</f>
        <v>619+0,00</v>
      </c>
      <c r="B624" s="138" t="str">
        <f aca="false">Estacas!A625</f>
        <v>620+0,00</v>
      </c>
      <c r="C624" s="144" t="n">
        <f aca="false">Estacas!C625-Estacas!C624</f>
        <v>20</v>
      </c>
      <c r="D624" s="138" t="s">
        <v>1600</v>
      </c>
      <c r="E624" s="138" t="s">
        <v>1601</v>
      </c>
      <c r="F624" s="141" t="n">
        <f aca="false">Estacas!F624</f>
        <v>9.5</v>
      </c>
      <c r="G624" s="141" t="n">
        <f aca="false">Estacas!F625</f>
        <v>9.5</v>
      </c>
      <c r="H624" s="141" t="n">
        <f aca="false">C624*(Estacas!K624+Estacas!K625)/2</f>
        <v>9.55</v>
      </c>
      <c r="I624" s="141" t="n">
        <f aca="false">H624*Parâmetros!$C$14</f>
        <v>22.92</v>
      </c>
      <c r="J624" s="141" t="n">
        <f aca="false">C624*(Estacas!L624+Estacas!L625)/2</f>
        <v>31.552</v>
      </c>
      <c r="K624" s="141" t="n">
        <f aca="false">C624*(Estacas!M624+Estacas!M625)/2</f>
        <v>41.68</v>
      </c>
      <c r="L624" s="141" t="n">
        <f aca="false">C624*(Estacas!N624+Estacas!N625)/2</f>
        <v>66.72</v>
      </c>
      <c r="M624" s="141" t="n">
        <f aca="false">C624*(Estacas!O624+Estacas!O625)/2</f>
        <v>194</v>
      </c>
      <c r="N624" s="141" t="n">
        <f aca="false">C624*(Estacas!O624+Estacas!O625)/2</f>
        <v>194</v>
      </c>
      <c r="O624" s="141" t="n">
        <f aca="false">C624*(Estacas!P624+Estacas!P625)/2</f>
        <v>228.4</v>
      </c>
      <c r="P624" s="141" t="n">
        <f aca="false">R624*Parâmetros!$C$11</f>
        <v>6</v>
      </c>
      <c r="Q624" s="141" t="n">
        <f aca="false">R624*Parâmetros!$C$12</f>
        <v>5</v>
      </c>
      <c r="R624" s="141" t="n">
        <f aca="false">C624*(Estacas!Q624+Estacas!Q625)/2</f>
        <v>100</v>
      </c>
      <c r="S624" s="141" t="n">
        <f aca="false">IF(LEFT(E624,3)="T09",C624*Parâmetros!$D$13*Parâmetros!$C$13,0)</f>
        <v>0</v>
      </c>
    </row>
    <row r="625" customFormat="false" ht="15" hidden="false" customHeight="false" outlineLevel="0" collapsed="false">
      <c r="A625" s="138" t="str">
        <f aca="false">Estacas!A625</f>
        <v>620+0,00</v>
      </c>
      <c r="B625" s="138" t="str">
        <f aca="false">Estacas!A626</f>
        <v>621+0,00</v>
      </c>
      <c r="C625" s="144" t="n">
        <f aca="false">Estacas!C626-Estacas!C625</f>
        <v>20</v>
      </c>
      <c r="D625" s="138" t="s">
        <v>1600</v>
      </c>
      <c r="E625" s="138" t="s">
        <v>1601</v>
      </c>
      <c r="F625" s="141" t="n">
        <f aca="false">Estacas!F625</f>
        <v>9.5</v>
      </c>
      <c r="G625" s="141" t="n">
        <f aca="false">Estacas!F626</f>
        <v>8.6</v>
      </c>
      <c r="H625" s="141" t="n">
        <f aca="false">C625*(Estacas!K625+Estacas!K626)/2</f>
        <v>9.1</v>
      </c>
      <c r="I625" s="141" t="n">
        <f aca="false">H625*Parâmetros!$C$14</f>
        <v>21.84</v>
      </c>
      <c r="J625" s="141" t="n">
        <f aca="false">C625*(Estacas!L625+Estacas!L626)/2</f>
        <v>30.112</v>
      </c>
      <c r="K625" s="141" t="n">
        <f aca="false">C625*(Estacas!M625+Estacas!M626)/2</f>
        <v>39.88</v>
      </c>
      <c r="L625" s="141" t="n">
        <f aca="false">C625*(Estacas!N625+Estacas!N626)/2</f>
        <v>64.02</v>
      </c>
      <c r="M625" s="141" t="n">
        <f aca="false">C625*(Estacas!O625+Estacas!O626)/2</f>
        <v>185</v>
      </c>
      <c r="N625" s="141" t="n">
        <f aca="false">C625*(Estacas!O625+Estacas!O626)/2</f>
        <v>185</v>
      </c>
      <c r="O625" s="141" t="n">
        <f aca="false">C625*(Estacas!P625+Estacas!P626)/2</f>
        <v>219.4</v>
      </c>
      <c r="P625" s="141" t="n">
        <f aca="false">R625*Parâmetros!$C$11</f>
        <v>5.94</v>
      </c>
      <c r="Q625" s="141" t="n">
        <f aca="false">R625*Parâmetros!$C$12</f>
        <v>4.95</v>
      </c>
      <c r="R625" s="141" t="n">
        <f aca="false">C625*(Estacas!Q625+Estacas!Q626)/2</f>
        <v>99</v>
      </c>
      <c r="S625" s="141" t="n">
        <f aca="false">IF(LEFT(E625,3)="T09",C625*Parâmetros!$D$13*Parâmetros!$C$13,0)</f>
        <v>0</v>
      </c>
    </row>
    <row r="626" customFormat="false" ht="15" hidden="false" customHeight="false" outlineLevel="0" collapsed="false">
      <c r="A626" s="138" t="str">
        <f aca="false">Estacas!A626</f>
        <v>621+0,00</v>
      </c>
      <c r="B626" s="138" t="str">
        <f aca="false">Estacas!A627</f>
        <v>622+0,00</v>
      </c>
      <c r="C626" s="144" t="n">
        <f aca="false">Estacas!C627-Estacas!C626</f>
        <v>20</v>
      </c>
      <c r="D626" s="138" t="s">
        <v>1600</v>
      </c>
      <c r="E626" s="138" t="s">
        <v>1601</v>
      </c>
      <c r="F626" s="141" t="n">
        <f aca="false">Estacas!F626</f>
        <v>8.6</v>
      </c>
      <c r="G626" s="141" t="n">
        <f aca="false">Estacas!F627</f>
        <v>8</v>
      </c>
      <c r="H626" s="141" t="n">
        <f aca="false">C626*(Estacas!K626+Estacas!K627)/2</f>
        <v>8.35</v>
      </c>
      <c r="I626" s="141" t="n">
        <f aca="false">H626*Parâmetros!$C$14</f>
        <v>20.04</v>
      </c>
      <c r="J626" s="141" t="n">
        <f aca="false">C626*(Estacas!L626+Estacas!L627)/2</f>
        <v>27.712</v>
      </c>
      <c r="K626" s="141" t="n">
        <f aca="false">C626*(Estacas!M626+Estacas!M627)/2</f>
        <v>36.88</v>
      </c>
      <c r="L626" s="141" t="n">
        <f aca="false">C626*(Estacas!N626+Estacas!N627)/2</f>
        <v>59.52</v>
      </c>
      <c r="M626" s="141" t="n">
        <f aca="false">C626*(Estacas!O626+Estacas!O627)/2</f>
        <v>170</v>
      </c>
      <c r="N626" s="141" t="n">
        <f aca="false">C626*(Estacas!O626+Estacas!O627)/2</f>
        <v>170</v>
      </c>
      <c r="O626" s="141" t="n">
        <f aca="false">C626*(Estacas!P626+Estacas!P627)/2</f>
        <v>204.4</v>
      </c>
      <c r="P626" s="141" t="n">
        <f aca="false">R626*Parâmetros!$C$11</f>
        <v>5.94</v>
      </c>
      <c r="Q626" s="141" t="n">
        <f aca="false">R626*Parâmetros!$C$12</f>
        <v>4.95</v>
      </c>
      <c r="R626" s="141" t="n">
        <f aca="false">C626*(Estacas!Q626+Estacas!Q627)/2</f>
        <v>99</v>
      </c>
      <c r="S626" s="141" t="n">
        <f aca="false">IF(LEFT(E626,3)="T09",C626*Parâmetros!$D$13*Parâmetros!$C$13,0)</f>
        <v>0</v>
      </c>
    </row>
    <row r="627" customFormat="false" ht="15" hidden="false" customHeight="false" outlineLevel="0" collapsed="false">
      <c r="A627" s="138" t="str">
        <f aca="false">Estacas!A627</f>
        <v>622+0,00</v>
      </c>
      <c r="B627" s="138" t="str">
        <f aca="false">Estacas!A628</f>
        <v>623+0,00</v>
      </c>
      <c r="C627" s="144" t="n">
        <f aca="false">Estacas!C628-Estacas!C627</f>
        <v>20</v>
      </c>
      <c r="D627" s="138" t="s">
        <v>1600</v>
      </c>
      <c r="E627" s="138" t="s">
        <v>1601</v>
      </c>
      <c r="F627" s="141" t="n">
        <f aca="false">Estacas!F627</f>
        <v>8</v>
      </c>
      <c r="G627" s="141" t="n">
        <f aca="false">Estacas!F628</f>
        <v>8.8</v>
      </c>
      <c r="H627" s="141" t="n">
        <f aca="false">C627*(Estacas!K627+Estacas!K628)/2</f>
        <v>8.45</v>
      </c>
      <c r="I627" s="141" t="n">
        <f aca="false">H627*Parâmetros!$C$14</f>
        <v>20.28</v>
      </c>
      <c r="J627" s="141" t="n">
        <f aca="false">C627*(Estacas!L627+Estacas!L628)/2</f>
        <v>28.032</v>
      </c>
      <c r="K627" s="141" t="n">
        <f aca="false">C627*(Estacas!M627+Estacas!M628)/2</f>
        <v>37.28</v>
      </c>
      <c r="L627" s="141" t="n">
        <f aca="false">C627*(Estacas!N627+Estacas!N628)/2</f>
        <v>60.12</v>
      </c>
      <c r="M627" s="141" t="n">
        <f aca="false">C627*(Estacas!O627+Estacas!O628)/2</f>
        <v>172</v>
      </c>
      <c r="N627" s="141" t="n">
        <f aca="false">C627*(Estacas!O627+Estacas!O628)/2</f>
        <v>172</v>
      </c>
      <c r="O627" s="141" t="n">
        <f aca="false">C627*(Estacas!P627+Estacas!P628)/2</f>
        <v>206.4</v>
      </c>
      <c r="P627" s="141" t="n">
        <f aca="false">R627*Parâmetros!$C$11</f>
        <v>6</v>
      </c>
      <c r="Q627" s="141" t="n">
        <f aca="false">R627*Parâmetros!$C$12</f>
        <v>5</v>
      </c>
      <c r="R627" s="141" t="n">
        <f aca="false">C627*(Estacas!Q627+Estacas!Q628)/2</f>
        <v>100</v>
      </c>
      <c r="S627" s="141" t="n">
        <f aca="false">IF(LEFT(E627,3)="T09",C627*Parâmetros!$D$13*Parâmetros!$C$13,0)</f>
        <v>0</v>
      </c>
    </row>
    <row r="628" customFormat="false" ht="15" hidden="false" customHeight="false" outlineLevel="0" collapsed="false">
      <c r="A628" s="138" t="str">
        <f aca="false">Estacas!A628</f>
        <v>623+0,00</v>
      </c>
      <c r="B628" s="138" t="str">
        <f aca="false">Estacas!A629</f>
        <v>623+10,00</v>
      </c>
      <c r="C628" s="144" t="n">
        <f aca="false">Estacas!C629-Estacas!C628</f>
        <v>10</v>
      </c>
      <c r="D628" s="138" t="s">
        <v>1600</v>
      </c>
      <c r="E628" s="138" t="s">
        <v>1601</v>
      </c>
      <c r="F628" s="141" t="n">
        <f aca="false">Estacas!F628</f>
        <v>8.8</v>
      </c>
      <c r="G628" s="141" t="n">
        <f aca="false">Estacas!F629</f>
        <v>9.2</v>
      </c>
      <c r="H628" s="141" t="n">
        <f aca="false">C628*(Estacas!K628+Estacas!K629)/2</f>
        <v>4.525</v>
      </c>
      <c r="I628" s="141" t="n">
        <f aca="false">H628*Parâmetros!$C$14</f>
        <v>10.86</v>
      </c>
      <c r="J628" s="141" t="n">
        <f aca="false">C628*(Estacas!L628+Estacas!L629)/2</f>
        <v>14.976</v>
      </c>
      <c r="K628" s="141" t="n">
        <f aca="false">C628*(Estacas!M628+Estacas!M629)/2</f>
        <v>19.84</v>
      </c>
      <c r="L628" s="141" t="n">
        <f aca="false">C628*(Estacas!N628+Estacas!N629)/2</f>
        <v>31.86</v>
      </c>
      <c r="M628" s="141" t="n">
        <f aca="false">C628*(Estacas!O628+Estacas!O629)/2</f>
        <v>92</v>
      </c>
      <c r="N628" s="141" t="n">
        <f aca="false">C628*(Estacas!O628+Estacas!O629)/2</f>
        <v>92</v>
      </c>
      <c r="O628" s="141" t="n">
        <f aca="false">C628*(Estacas!P628+Estacas!P629)/2</f>
        <v>109.2</v>
      </c>
      <c r="P628" s="141" t="n">
        <f aca="false">R628*Parâmetros!$C$11</f>
        <v>3</v>
      </c>
      <c r="Q628" s="141" t="n">
        <f aca="false">R628*Parâmetros!$C$12</f>
        <v>2.5</v>
      </c>
      <c r="R628" s="141" t="n">
        <f aca="false">C628*(Estacas!Q628+Estacas!Q629)/2</f>
        <v>50</v>
      </c>
      <c r="S628" s="141" t="n">
        <f aca="false">IF(LEFT(E628,3)="T09",C628*Parâmetros!$D$13*Parâmetros!$C$13,0)</f>
        <v>0</v>
      </c>
    </row>
    <row r="629" customFormat="false" ht="15" hidden="false" customHeight="false" outlineLevel="0" collapsed="false">
      <c r="A629" s="138" t="str">
        <f aca="false">Estacas!A629</f>
        <v>623+10,00</v>
      </c>
      <c r="B629" s="138" t="str">
        <f aca="false">Estacas!A630</f>
        <v>624+0,00</v>
      </c>
      <c r="C629" s="144" t="n">
        <f aca="false">Estacas!C630-Estacas!C629</f>
        <v>10</v>
      </c>
      <c r="D629" s="138" t="s">
        <v>1604</v>
      </c>
      <c r="E629" s="138" t="s">
        <v>1605</v>
      </c>
      <c r="F629" s="141" t="n">
        <f aca="false">Estacas!F629</f>
        <v>9.2</v>
      </c>
      <c r="G629" s="141" t="n">
        <f aca="false">Estacas!F630</f>
        <v>9.5</v>
      </c>
      <c r="H629" s="141" t="n">
        <f aca="false">C629*(Estacas!K629+Estacas!K630)/2</f>
        <v>4.7</v>
      </c>
      <c r="I629" s="141" t="n">
        <f aca="false">H629*Parâmetros!$C$14</f>
        <v>11.28</v>
      </c>
      <c r="J629" s="141" t="n">
        <f aca="false">C629*(Estacas!L629+Estacas!L630)/2</f>
        <v>15.536</v>
      </c>
      <c r="K629" s="141" t="n">
        <f aca="false">C629*(Estacas!M629+Estacas!M630)/2</f>
        <v>20.54</v>
      </c>
      <c r="L629" s="141" t="n">
        <f aca="false">C629*(Estacas!N629+Estacas!N630)/2</f>
        <v>32.91</v>
      </c>
      <c r="M629" s="141" t="n">
        <f aca="false">C629*(Estacas!O629+Estacas!O630)/2</f>
        <v>95.5</v>
      </c>
      <c r="N629" s="141" t="n">
        <f aca="false">C629*(Estacas!O629+Estacas!O630)/2</f>
        <v>95.5</v>
      </c>
      <c r="O629" s="141" t="n">
        <f aca="false">C629*(Estacas!P629+Estacas!P630)/2</f>
        <v>112.7</v>
      </c>
      <c r="P629" s="141" t="n">
        <f aca="false">R629*Parâmetros!$C$11</f>
        <v>3</v>
      </c>
      <c r="Q629" s="141" t="n">
        <f aca="false">R629*Parâmetros!$C$12</f>
        <v>2.5</v>
      </c>
      <c r="R629" s="141" t="n">
        <f aca="false">C629*(Estacas!Q629+Estacas!Q630)/2</f>
        <v>50</v>
      </c>
      <c r="S629" s="141" t="n">
        <f aca="false">IF(LEFT(E629,3)="T09",C629*Parâmetros!$D$13*Parâmetros!$C$13,0)</f>
        <v>26.65</v>
      </c>
    </row>
    <row r="630" customFormat="false" ht="15" hidden="false" customHeight="false" outlineLevel="0" collapsed="false">
      <c r="A630" s="138" t="str">
        <f aca="false">Estacas!A630</f>
        <v>624+0,00</v>
      </c>
      <c r="B630" s="138" t="str">
        <f aca="false">Estacas!A631</f>
        <v>625+0,00</v>
      </c>
      <c r="C630" s="144" t="n">
        <f aca="false">Estacas!C631-Estacas!C630</f>
        <v>20</v>
      </c>
      <c r="D630" s="138" t="s">
        <v>1604</v>
      </c>
      <c r="E630" s="138" t="s">
        <v>1605</v>
      </c>
      <c r="F630" s="141" t="n">
        <f aca="false">Estacas!F630</f>
        <v>9.5</v>
      </c>
      <c r="G630" s="141" t="n">
        <f aca="false">Estacas!F631</f>
        <v>9.5</v>
      </c>
      <c r="H630" s="141" t="n">
        <f aca="false">C630*(Estacas!K630+Estacas!K631)/2</f>
        <v>9.55</v>
      </c>
      <c r="I630" s="141" t="n">
        <f aca="false">H630*Parâmetros!$C$14</f>
        <v>22.92</v>
      </c>
      <c r="J630" s="141" t="n">
        <f aca="false">C630*(Estacas!L630+Estacas!L631)/2</f>
        <v>31.552</v>
      </c>
      <c r="K630" s="141" t="n">
        <f aca="false">C630*(Estacas!M630+Estacas!M631)/2</f>
        <v>41.68</v>
      </c>
      <c r="L630" s="141" t="n">
        <f aca="false">C630*(Estacas!N630+Estacas!N631)/2</f>
        <v>66.72</v>
      </c>
      <c r="M630" s="141" t="n">
        <f aca="false">C630*(Estacas!O630+Estacas!O631)/2</f>
        <v>194</v>
      </c>
      <c r="N630" s="141" t="n">
        <f aca="false">C630*(Estacas!O630+Estacas!O631)/2</f>
        <v>194</v>
      </c>
      <c r="O630" s="141" t="n">
        <f aca="false">C630*(Estacas!P630+Estacas!P631)/2</f>
        <v>228.4</v>
      </c>
      <c r="P630" s="141" t="n">
        <f aca="false">R630*Parâmetros!$C$11</f>
        <v>6</v>
      </c>
      <c r="Q630" s="141" t="n">
        <f aca="false">R630*Parâmetros!$C$12</f>
        <v>5</v>
      </c>
      <c r="R630" s="141" t="n">
        <f aca="false">C630*(Estacas!Q630+Estacas!Q631)/2</f>
        <v>100</v>
      </c>
      <c r="S630" s="141" t="n">
        <f aca="false">IF(LEFT(E630,3)="T09",C630*Parâmetros!$D$13*Parâmetros!$C$13,0)</f>
        <v>53.3</v>
      </c>
    </row>
    <row r="631" customFormat="false" ht="15" hidden="false" customHeight="false" outlineLevel="0" collapsed="false">
      <c r="A631" s="138" t="str">
        <f aca="false">Estacas!A631</f>
        <v>625+0,00</v>
      </c>
      <c r="B631" s="138" t="str">
        <f aca="false">Estacas!A632</f>
        <v>626+0,00</v>
      </c>
      <c r="C631" s="144" t="n">
        <f aca="false">Estacas!C632-Estacas!C631</f>
        <v>20</v>
      </c>
      <c r="D631" s="138" t="s">
        <v>1604</v>
      </c>
      <c r="E631" s="138" t="s">
        <v>1605</v>
      </c>
      <c r="F631" s="141" t="n">
        <f aca="false">Estacas!F631</f>
        <v>9.5</v>
      </c>
      <c r="G631" s="141" t="n">
        <f aca="false">Estacas!F632</f>
        <v>9.5</v>
      </c>
      <c r="H631" s="141" t="n">
        <f aca="false">C631*(Estacas!K631+Estacas!K632)/2</f>
        <v>9.55</v>
      </c>
      <c r="I631" s="141" t="n">
        <f aca="false">H631*Parâmetros!$C$14</f>
        <v>22.92</v>
      </c>
      <c r="J631" s="141" t="n">
        <f aca="false">C631*(Estacas!L631+Estacas!L632)/2</f>
        <v>31.552</v>
      </c>
      <c r="K631" s="141" t="n">
        <f aca="false">C631*(Estacas!M631+Estacas!M632)/2</f>
        <v>41.68</v>
      </c>
      <c r="L631" s="141" t="n">
        <f aca="false">C631*(Estacas!N631+Estacas!N632)/2</f>
        <v>66.72</v>
      </c>
      <c r="M631" s="141" t="n">
        <f aca="false">C631*(Estacas!O631+Estacas!O632)/2</f>
        <v>194</v>
      </c>
      <c r="N631" s="141" t="n">
        <f aca="false">C631*(Estacas!O631+Estacas!O632)/2</f>
        <v>194</v>
      </c>
      <c r="O631" s="141" t="n">
        <f aca="false">C631*(Estacas!P631+Estacas!P632)/2</f>
        <v>228.4</v>
      </c>
      <c r="P631" s="141" t="n">
        <f aca="false">R631*Parâmetros!$C$11</f>
        <v>6</v>
      </c>
      <c r="Q631" s="141" t="n">
        <f aca="false">R631*Parâmetros!$C$12</f>
        <v>5</v>
      </c>
      <c r="R631" s="141" t="n">
        <f aca="false">C631*(Estacas!Q631+Estacas!Q632)/2</f>
        <v>100</v>
      </c>
      <c r="S631" s="141" t="n">
        <f aca="false">IF(LEFT(E631,3)="T09",C631*Parâmetros!$D$13*Parâmetros!$C$13,0)</f>
        <v>53.3</v>
      </c>
    </row>
    <row r="632" customFormat="false" ht="15" hidden="false" customHeight="false" outlineLevel="0" collapsed="false">
      <c r="A632" s="138" t="str">
        <f aca="false">Estacas!A632</f>
        <v>626+0,00</v>
      </c>
      <c r="B632" s="138" t="str">
        <f aca="false">Estacas!A633</f>
        <v>627+0,00</v>
      </c>
      <c r="C632" s="144" t="n">
        <f aca="false">Estacas!C633-Estacas!C632</f>
        <v>20</v>
      </c>
      <c r="D632" s="138" t="s">
        <v>1604</v>
      </c>
      <c r="E632" s="138" t="s">
        <v>1605</v>
      </c>
      <c r="F632" s="141" t="n">
        <f aca="false">Estacas!F632</f>
        <v>9.5</v>
      </c>
      <c r="G632" s="141" t="n">
        <f aca="false">Estacas!F633</f>
        <v>9.5</v>
      </c>
      <c r="H632" s="141" t="n">
        <f aca="false">C632*(Estacas!K632+Estacas!K633)/2</f>
        <v>9.55</v>
      </c>
      <c r="I632" s="141" t="n">
        <f aca="false">H632*Parâmetros!$C$14</f>
        <v>22.92</v>
      </c>
      <c r="J632" s="141" t="n">
        <f aca="false">C632*(Estacas!L632+Estacas!L633)/2</f>
        <v>31.552</v>
      </c>
      <c r="K632" s="141" t="n">
        <f aca="false">C632*(Estacas!M632+Estacas!M633)/2</f>
        <v>41.68</v>
      </c>
      <c r="L632" s="141" t="n">
        <f aca="false">C632*(Estacas!N632+Estacas!N633)/2</f>
        <v>66.72</v>
      </c>
      <c r="M632" s="141" t="n">
        <f aca="false">C632*(Estacas!O632+Estacas!O633)/2</f>
        <v>194</v>
      </c>
      <c r="N632" s="141" t="n">
        <f aca="false">C632*(Estacas!O632+Estacas!O633)/2</f>
        <v>194</v>
      </c>
      <c r="O632" s="141" t="n">
        <f aca="false">C632*(Estacas!P632+Estacas!P633)/2</f>
        <v>228.4</v>
      </c>
      <c r="P632" s="141" t="n">
        <f aca="false">R632*Parâmetros!$C$11</f>
        <v>6</v>
      </c>
      <c r="Q632" s="141" t="n">
        <f aca="false">R632*Parâmetros!$C$12</f>
        <v>5</v>
      </c>
      <c r="R632" s="141" t="n">
        <f aca="false">C632*(Estacas!Q632+Estacas!Q633)/2</f>
        <v>100</v>
      </c>
      <c r="S632" s="141" t="n">
        <f aca="false">IF(LEFT(E632,3)="T09",C632*Parâmetros!$D$13*Parâmetros!$C$13,0)</f>
        <v>53.3</v>
      </c>
    </row>
    <row r="633" customFormat="false" ht="15" hidden="false" customHeight="false" outlineLevel="0" collapsed="false">
      <c r="A633" s="138" t="str">
        <f aca="false">Estacas!A633</f>
        <v>627+0,00</v>
      </c>
      <c r="B633" s="138" t="str">
        <f aca="false">Estacas!A634</f>
        <v>628+0,00</v>
      </c>
      <c r="C633" s="144" t="n">
        <f aca="false">Estacas!C634-Estacas!C633</f>
        <v>20</v>
      </c>
      <c r="D633" s="138" t="s">
        <v>1604</v>
      </c>
      <c r="E633" s="138" t="s">
        <v>1605</v>
      </c>
      <c r="F633" s="141" t="n">
        <f aca="false">Estacas!F633</f>
        <v>9.5</v>
      </c>
      <c r="G633" s="141" t="n">
        <f aca="false">Estacas!F634</f>
        <v>9.5</v>
      </c>
      <c r="H633" s="141" t="n">
        <f aca="false">C633*(Estacas!K633+Estacas!K634)/2</f>
        <v>9.55</v>
      </c>
      <c r="I633" s="141" t="n">
        <f aca="false">H633*Parâmetros!$C$14</f>
        <v>22.92</v>
      </c>
      <c r="J633" s="141" t="n">
        <f aca="false">C633*(Estacas!L633+Estacas!L634)/2</f>
        <v>31.552</v>
      </c>
      <c r="K633" s="141" t="n">
        <f aca="false">C633*(Estacas!M633+Estacas!M634)/2</f>
        <v>41.68</v>
      </c>
      <c r="L633" s="141" t="n">
        <f aca="false">C633*(Estacas!N633+Estacas!N634)/2</f>
        <v>66.72</v>
      </c>
      <c r="M633" s="141" t="n">
        <f aca="false">C633*(Estacas!O633+Estacas!O634)/2</f>
        <v>194</v>
      </c>
      <c r="N633" s="141" t="n">
        <f aca="false">C633*(Estacas!O633+Estacas!O634)/2</f>
        <v>194</v>
      </c>
      <c r="O633" s="141" t="n">
        <f aca="false">C633*(Estacas!P633+Estacas!P634)/2</f>
        <v>228.4</v>
      </c>
      <c r="P633" s="141" t="n">
        <f aca="false">R633*Parâmetros!$C$11</f>
        <v>6</v>
      </c>
      <c r="Q633" s="141" t="n">
        <f aca="false">R633*Parâmetros!$C$12</f>
        <v>5</v>
      </c>
      <c r="R633" s="141" t="n">
        <f aca="false">C633*(Estacas!Q633+Estacas!Q634)/2</f>
        <v>100</v>
      </c>
      <c r="S633" s="141" t="n">
        <f aca="false">IF(LEFT(E633,3)="T09",C633*Parâmetros!$D$13*Parâmetros!$C$13,0)</f>
        <v>53.3</v>
      </c>
    </row>
    <row r="634" customFormat="false" ht="15" hidden="false" customHeight="false" outlineLevel="0" collapsed="false">
      <c r="A634" s="138" t="str">
        <f aca="false">Estacas!A634</f>
        <v>628+0,00</v>
      </c>
      <c r="B634" s="138" t="str">
        <f aca="false">Estacas!A635</f>
        <v>629+0,00</v>
      </c>
      <c r="C634" s="144" t="n">
        <f aca="false">Estacas!C635-Estacas!C634</f>
        <v>20</v>
      </c>
      <c r="D634" s="138" t="s">
        <v>1604</v>
      </c>
      <c r="E634" s="138" t="s">
        <v>1605</v>
      </c>
      <c r="F634" s="141" t="n">
        <f aca="false">Estacas!F634</f>
        <v>9.5</v>
      </c>
      <c r="G634" s="141" t="n">
        <f aca="false">Estacas!F635</f>
        <v>9.5</v>
      </c>
      <c r="H634" s="141" t="n">
        <f aca="false">C634*(Estacas!K634+Estacas!K635)/2</f>
        <v>9.55</v>
      </c>
      <c r="I634" s="141" t="n">
        <f aca="false">H634*Parâmetros!$C$14</f>
        <v>22.92</v>
      </c>
      <c r="J634" s="141" t="n">
        <f aca="false">C634*(Estacas!L634+Estacas!L635)/2</f>
        <v>31.552</v>
      </c>
      <c r="K634" s="141" t="n">
        <f aca="false">C634*(Estacas!M634+Estacas!M635)/2</f>
        <v>41.68</v>
      </c>
      <c r="L634" s="141" t="n">
        <f aca="false">C634*(Estacas!N634+Estacas!N635)/2</f>
        <v>66.72</v>
      </c>
      <c r="M634" s="141" t="n">
        <f aca="false">C634*(Estacas!O634+Estacas!O635)/2</f>
        <v>194</v>
      </c>
      <c r="N634" s="141" t="n">
        <f aca="false">C634*(Estacas!O634+Estacas!O635)/2</f>
        <v>194</v>
      </c>
      <c r="O634" s="141" t="n">
        <f aca="false">C634*(Estacas!P634+Estacas!P635)/2</f>
        <v>228.4</v>
      </c>
      <c r="P634" s="141" t="n">
        <f aca="false">R634*Parâmetros!$C$11</f>
        <v>6</v>
      </c>
      <c r="Q634" s="141" t="n">
        <f aca="false">R634*Parâmetros!$C$12</f>
        <v>5</v>
      </c>
      <c r="R634" s="141" t="n">
        <f aca="false">C634*(Estacas!Q634+Estacas!Q635)/2</f>
        <v>100</v>
      </c>
      <c r="S634" s="141" t="n">
        <f aca="false">IF(LEFT(E634,3)="T09",C634*Parâmetros!$D$13*Parâmetros!$C$13,0)</f>
        <v>53.3</v>
      </c>
    </row>
    <row r="635" customFormat="false" ht="15" hidden="false" customHeight="false" outlineLevel="0" collapsed="false">
      <c r="A635" s="138" t="str">
        <f aca="false">Estacas!A635</f>
        <v>629+0,00</v>
      </c>
      <c r="B635" s="138" t="str">
        <f aca="false">Estacas!A636</f>
        <v>630+0,00</v>
      </c>
      <c r="C635" s="144" t="n">
        <f aca="false">Estacas!C636-Estacas!C635</f>
        <v>20</v>
      </c>
      <c r="D635" s="138" t="s">
        <v>1604</v>
      </c>
      <c r="E635" s="138" t="s">
        <v>1605</v>
      </c>
      <c r="F635" s="141" t="n">
        <f aca="false">Estacas!F635</f>
        <v>9.5</v>
      </c>
      <c r="G635" s="141" t="n">
        <f aca="false">Estacas!F636</f>
        <v>9.5</v>
      </c>
      <c r="H635" s="141" t="n">
        <f aca="false">C635*(Estacas!K635+Estacas!K636)/2</f>
        <v>9.55</v>
      </c>
      <c r="I635" s="141" t="n">
        <f aca="false">H635*Parâmetros!$C$14</f>
        <v>22.92</v>
      </c>
      <c r="J635" s="141" t="n">
        <f aca="false">C635*(Estacas!L635+Estacas!L636)/2</f>
        <v>31.552</v>
      </c>
      <c r="K635" s="141" t="n">
        <f aca="false">C635*(Estacas!M635+Estacas!M636)/2</f>
        <v>41.68</v>
      </c>
      <c r="L635" s="141" t="n">
        <f aca="false">C635*(Estacas!N635+Estacas!N636)/2</f>
        <v>66.72</v>
      </c>
      <c r="M635" s="141" t="n">
        <f aca="false">C635*(Estacas!O635+Estacas!O636)/2</f>
        <v>194</v>
      </c>
      <c r="N635" s="141" t="n">
        <f aca="false">C635*(Estacas!O635+Estacas!O636)/2</f>
        <v>194</v>
      </c>
      <c r="O635" s="141" t="n">
        <f aca="false">C635*(Estacas!P635+Estacas!P636)/2</f>
        <v>228.4</v>
      </c>
      <c r="P635" s="141" t="n">
        <f aca="false">R635*Parâmetros!$C$11</f>
        <v>6</v>
      </c>
      <c r="Q635" s="141" t="n">
        <f aca="false">R635*Parâmetros!$C$12</f>
        <v>5</v>
      </c>
      <c r="R635" s="141" t="n">
        <f aca="false">C635*(Estacas!Q635+Estacas!Q636)/2</f>
        <v>100</v>
      </c>
      <c r="S635" s="141" t="n">
        <f aca="false">IF(LEFT(E635,3)="T09",C635*Parâmetros!$D$13*Parâmetros!$C$13,0)</f>
        <v>53.3</v>
      </c>
    </row>
    <row r="636" customFormat="false" ht="15" hidden="false" customHeight="false" outlineLevel="0" collapsed="false">
      <c r="A636" s="138" t="str">
        <f aca="false">Estacas!A636</f>
        <v>630+0,00</v>
      </c>
      <c r="B636" s="138" t="str">
        <f aca="false">Estacas!A637</f>
        <v>631+0,00</v>
      </c>
      <c r="C636" s="144" t="n">
        <f aca="false">Estacas!C637-Estacas!C636</f>
        <v>20</v>
      </c>
      <c r="D636" s="138" t="s">
        <v>1604</v>
      </c>
      <c r="E636" s="138" t="s">
        <v>1605</v>
      </c>
      <c r="F636" s="141" t="n">
        <f aca="false">Estacas!F636</f>
        <v>9.5</v>
      </c>
      <c r="G636" s="141" t="n">
        <f aca="false">Estacas!F637</f>
        <v>9.5</v>
      </c>
      <c r="H636" s="141" t="n">
        <f aca="false">C636*(Estacas!K636+Estacas!K637)/2</f>
        <v>9.55</v>
      </c>
      <c r="I636" s="141" t="n">
        <f aca="false">H636*Parâmetros!$C$14</f>
        <v>22.92</v>
      </c>
      <c r="J636" s="141" t="n">
        <f aca="false">C636*(Estacas!L636+Estacas!L637)/2</f>
        <v>31.552</v>
      </c>
      <c r="K636" s="141" t="n">
        <f aca="false">C636*(Estacas!M636+Estacas!M637)/2</f>
        <v>41.68</v>
      </c>
      <c r="L636" s="141" t="n">
        <f aca="false">C636*(Estacas!N636+Estacas!N637)/2</f>
        <v>66.72</v>
      </c>
      <c r="M636" s="141" t="n">
        <f aca="false">C636*(Estacas!O636+Estacas!O637)/2</f>
        <v>194</v>
      </c>
      <c r="N636" s="141" t="n">
        <f aca="false">C636*(Estacas!O636+Estacas!O637)/2</f>
        <v>194</v>
      </c>
      <c r="O636" s="141" t="n">
        <f aca="false">C636*(Estacas!P636+Estacas!P637)/2</f>
        <v>228.4</v>
      </c>
      <c r="P636" s="141" t="n">
        <f aca="false">R636*Parâmetros!$C$11</f>
        <v>6</v>
      </c>
      <c r="Q636" s="141" t="n">
        <f aca="false">R636*Parâmetros!$C$12</f>
        <v>5</v>
      </c>
      <c r="R636" s="141" t="n">
        <f aca="false">C636*(Estacas!Q636+Estacas!Q637)/2</f>
        <v>100</v>
      </c>
      <c r="S636" s="141" t="n">
        <f aca="false">IF(LEFT(E636,3)="T09",C636*Parâmetros!$D$13*Parâmetros!$C$13,0)</f>
        <v>53.3</v>
      </c>
    </row>
    <row r="637" customFormat="false" ht="15" hidden="false" customHeight="false" outlineLevel="0" collapsed="false">
      <c r="A637" s="138" t="str">
        <f aca="false">Estacas!A637</f>
        <v>631+0,00</v>
      </c>
      <c r="B637" s="138" t="str">
        <f aca="false">Estacas!A638</f>
        <v>632+0,00</v>
      </c>
      <c r="C637" s="144" t="n">
        <f aca="false">Estacas!C638-Estacas!C637</f>
        <v>20</v>
      </c>
      <c r="D637" s="138" t="s">
        <v>1604</v>
      </c>
      <c r="E637" s="138" t="s">
        <v>1605</v>
      </c>
      <c r="F637" s="141" t="n">
        <f aca="false">Estacas!F637</f>
        <v>9.5</v>
      </c>
      <c r="G637" s="141" t="n">
        <f aca="false">Estacas!F638</f>
        <v>9.5</v>
      </c>
      <c r="H637" s="141" t="n">
        <f aca="false">C637*(Estacas!K637+Estacas!K638)/2</f>
        <v>9.55</v>
      </c>
      <c r="I637" s="141" t="n">
        <f aca="false">H637*Parâmetros!$C$14</f>
        <v>22.92</v>
      </c>
      <c r="J637" s="141" t="n">
        <f aca="false">C637*(Estacas!L637+Estacas!L638)/2</f>
        <v>31.552</v>
      </c>
      <c r="K637" s="141" t="n">
        <f aca="false">C637*(Estacas!M637+Estacas!M638)/2</f>
        <v>41.68</v>
      </c>
      <c r="L637" s="141" t="n">
        <f aca="false">C637*(Estacas!N637+Estacas!N638)/2</f>
        <v>66.72</v>
      </c>
      <c r="M637" s="141" t="n">
        <f aca="false">C637*(Estacas!O637+Estacas!O638)/2</f>
        <v>194</v>
      </c>
      <c r="N637" s="141" t="n">
        <f aca="false">C637*(Estacas!O637+Estacas!O638)/2</f>
        <v>194</v>
      </c>
      <c r="O637" s="141" t="n">
        <f aca="false">C637*(Estacas!P637+Estacas!P638)/2</f>
        <v>228.4</v>
      </c>
      <c r="P637" s="141" t="n">
        <f aca="false">R637*Parâmetros!$C$11</f>
        <v>6</v>
      </c>
      <c r="Q637" s="141" t="n">
        <f aca="false">R637*Parâmetros!$C$12</f>
        <v>5</v>
      </c>
      <c r="R637" s="141" t="n">
        <f aca="false">C637*(Estacas!Q637+Estacas!Q638)/2</f>
        <v>100</v>
      </c>
      <c r="S637" s="141" t="n">
        <f aca="false">IF(LEFT(E637,3)="T09",C637*Parâmetros!$D$13*Parâmetros!$C$13,0)</f>
        <v>53.3</v>
      </c>
    </row>
    <row r="638" customFormat="false" ht="15" hidden="false" customHeight="false" outlineLevel="0" collapsed="false">
      <c r="A638" s="138" t="str">
        <f aca="false">Estacas!A638</f>
        <v>632+0,00</v>
      </c>
      <c r="B638" s="138" t="str">
        <f aca="false">Estacas!A639</f>
        <v>633+0,00</v>
      </c>
      <c r="C638" s="144" t="n">
        <f aca="false">Estacas!C639-Estacas!C638</f>
        <v>20</v>
      </c>
      <c r="D638" s="138" t="s">
        <v>1604</v>
      </c>
      <c r="E638" s="138" t="s">
        <v>1605</v>
      </c>
      <c r="F638" s="141" t="n">
        <f aca="false">Estacas!F638</f>
        <v>9.5</v>
      </c>
      <c r="G638" s="141" t="n">
        <f aca="false">Estacas!F639</f>
        <v>10</v>
      </c>
      <c r="H638" s="141" t="n">
        <f aca="false">C638*(Estacas!K638+Estacas!K639)/2</f>
        <v>9.8</v>
      </c>
      <c r="I638" s="141" t="n">
        <f aca="false">H638*Parâmetros!$C$14</f>
        <v>23.52</v>
      </c>
      <c r="J638" s="141" t="n">
        <f aca="false">C638*(Estacas!L638+Estacas!L639)/2</f>
        <v>32.352</v>
      </c>
      <c r="K638" s="141" t="n">
        <f aca="false">C638*(Estacas!M638+Estacas!M639)/2</f>
        <v>42.68</v>
      </c>
      <c r="L638" s="141" t="n">
        <f aca="false">C638*(Estacas!N638+Estacas!N639)/2</f>
        <v>68.22</v>
      </c>
      <c r="M638" s="141" t="n">
        <f aca="false">C638*(Estacas!O638+Estacas!O639)/2</f>
        <v>199</v>
      </c>
      <c r="N638" s="141" t="n">
        <f aca="false">C638*(Estacas!O638+Estacas!O639)/2</f>
        <v>199</v>
      </c>
      <c r="O638" s="141" t="n">
        <f aca="false">C638*(Estacas!P638+Estacas!P639)/2</f>
        <v>233.4</v>
      </c>
      <c r="P638" s="141" t="n">
        <f aca="false">R638*Parâmetros!$C$11</f>
        <v>5.58</v>
      </c>
      <c r="Q638" s="141" t="n">
        <f aca="false">R638*Parâmetros!$C$12</f>
        <v>4.65</v>
      </c>
      <c r="R638" s="141" t="n">
        <f aca="false">C638*(Estacas!Q638+Estacas!Q639)/2</f>
        <v>93</v>
      </c>
      <c r="S638" s="141" t="n">
        <f aca="false">IF(LEFT(E638,3)="T09",C638*Parâmetros!$D$13*Parâmetros!$C$13,0)</f>
        <v>53.3</v>
      </c>
    </row>
    <row r="639" customFormat="false" ht="15" hidden="false" customHeight="false" outlineLevel="0" collapsed="false">
      <c r="A639" s="138" t="str">
        <f aca="false">Estacas!A639</f>
        <v>633+0,00</v>
      </c>
      <c r="B639" s="138" t="str">
        <f aca="false">Estacas!A640</f>
        <v>634+0,00</v>
      </c>
      <c r="C639" s="144" t="n">
        <f aca="false">Estacas!C640-Estacas!C639</f>
        <v>20</v>
      </c>
      <c r="D639" s="138" t="s">
        <v>1604</v>
      </c>
      <c r="E639" s="138" t="s">
        <v>1605</v>
      </c>
      <c r="F639" s="141" t="n">
        <f aca="false">Estacas!F639</f>
        <v>10</v>
      </c>
      <c r="G639" s="141" t="n">
        <f aca="false">Estacas!F640</f>
        <v>10.5</v>
      </c>
      <c r="H639" s="141" t="n">
        <f aca="false">C639*(Estacas!K639+Estacas!K640)/2</f>
        <v>10.3</v>
      </c>
      <c r="I639" s="141" t="n">
        <f aca="false">H639*Parâmetros!$C$14</f>
        <v>24.72</v>
      </c>
      <c r="J639" s="141" t="n">
        <f aca="false">C639*(Estacas!L639+Estacas!L640)/2</f>
        <v>33.952</v>
      </c>
      <c r="K639" s="141" t="n">
        <f aca="false">C639*(Estacas!M639+Estacas!M640)/2</f>
        <v>44.68</v>
      </c>
      <c r="L639" s="141" t="n">
        <f aca="false">C639*(Estacas!N639+Estacas!N640)/2</f>
        <v>71.22</v>
      </c>
      <c r="M639" s="141" t="n">
        <f aca="false">C639*(Estacas!O639+Estacas!O640)/2</f>
        <v>209</v>
      </c>
      <c r="N639" s="141" t="n">
        <f aca="false">C639*(Estacas!O639+Estacas!O640)/2</f>
        <v>209</v>
      </c>
      <c r="O639" s="141" t="n">
        <f aca="false">C639*(Estacas!P639+Estacas!P640)/2</f>
        <v>243.4</v>
      </c>
      <c r="P639" s="141" t="n">
        <f aca="false">R639*Parâmetros!$C$11</f>
        <v>4.8</v>
      </c>
      <c r="Q639" s="141" t="n">
        <f aca="false">R639*Parâmetros!$C$12</f>
        <v>4</v>
      </c>
      <c r="R639" s="141" t="n">
        <f aca="false">C639*(Estacas!Q639+Estacas!Q640)/2</f>
        <v>80</v>
      </c>
      <c r="S639" s="141" t="n">
        <f aca="false">IF(LEFT(E639,3)="T09",C639*Parâmetros!$D$13*Parâmetros!$C$13,0)</f>
        <v>53.3</v>
      </c>
    </row>
    <row r="640" customFormat="false" ht="15" hidden="false" customHeight="false" outlineLevel="0" collapsed="false">
      <c r="A640" s="138" t="str">
        <f aca="false">Estacas!A640</f>
        <v>634+0,00</v>
      </c>
      <c r="B640" s="138" t="str">
        <f aca="false">Estacas!A641</f>
        <v>635+0,00</v>
      </c>
      <c r="C640" s="144" t="n">
        <f aca="false">Estacas!C641-Estacas!C640</f>
        <v>20</v>
      </c>
      <c r="D640" s="138" t="s">
        <v>1604</v>
      </c>
      <c r="E640" s="138" t="s">
        <v>1605</v>
      </c>
      <c r="F640" s="141" t="n">
        <f aca="false">Estacas!F640</f>
        <v>10.5</v>
      </c>
      <c r="G640" s="141" t="n">
        <f aca="false">Estacas!F641</f>
        <v>11</v>
      </c>
      <c r="H640" s="141" t="n">
        <f aca="false">C640*(Estacas!K640+Estacas!K641)/2</f>
        <v>10.8</v>
      </c>
      <c r="I640" s="141" t="n">
        <f aca="false">H640*Parâmetros!$C$14</f>
        <v>25.92</v>
      </c>
      <c r="J640" s="141" t="n">
        <f aca="false">C640*(Estacas!L640+Estacas!L641)/2</f>
        <v>35.552</v>
      </c>
      <c r="K640" s="141" t="n">
        <f aca="false">C640*(Estacas!M640+Estacas!M641)/2</f>
        <v>46.68</v>
      </c>
      <c r="L640" s="141" t="n">
        <f aca="false">C640*(Estacas!N640+Estacas!N641)/2</f>
        <v>74.22</v>
      </c>
      <c r="M640" s="141" t="n">
        <f aca="false">C640*(Estacas!O640+Estacas!O641)/2</f>
        <v>219</v>
      </c>
      <c r="N640" s="141" t="n">
        <f aca="false">C640*(Estacas!O640+Estacas!O641)/2</f>
        <v>219</v>
      </c>
      <c r="O640" s="141" t="n">
        <f aca="false">C640*(Estacas!P640+Estacas!P641)/2</f>
        <v>253.4</v>
      </c>
      <c r="P640" s="141" t="n">
        <f aca="false">R640*Parâmetros!$C$11</f>
        <v>4.02</v>
      </c>
      <c r="Q640" s="141" t="n">
        <f aca="false">R640*Parâmetros!$C$12</f>
        <v>3.35</v>
      </c>
      <c r="R640" s="141" t="n">
        <f aca="false">C640*(Estacas!Q640+Estacas!Q641)/2</f>
        <v>67</v>
      </c>
      <c r="S640" s="141" t="n">
        <f aca="false">IF(LEFT(E640,3)="T09",C640*Parâmetros!$D$13*Parâmetros!$C$13,0)</f>
        <v>53.3</v>
      </c>
    </row>
    <row r="641" customFormat="false" ht="15" hidden="false" customHeight="false" outlineLevel="0" collapsed="false">
      <c r="A641" s="138" t="str">
        <f aca="false">Estacas!A641</f>
        <v>635+0,00</v>
      </c>
      <c r="B641" s="138" t="str">
        <f aca="false">Estacas!A642</f>
        <v>636+0,00</v>
      </c>
      <c r="C641" s="144" t="n">
        <f aca="false">Estacas!C642-Estacas!C641</f>
        <v>20</v>
      </c>
      <c r="D641" s="138" t="s">
        <v>1604</v>
      </c>
      <c r="E641" s="138" t="s">
        <v>1605</v>
      </c>
      <c r="F641" s="141" t="n">
        <f aca="false">Estacas!F641</f>
        <v>11</v>
      </c>
      <c r="G641" s="141" t="n">
        <f aca="false">Estacas!F642</f>
        <v>11</v>
      </c>
      <c r="H641" s="141" t="n">
        <f aca="false">C641*(Estacas!K641+Estacas!K642)/2</f>
        <v>11.05</v>
      </c>
      <c r="I641" s="141" t="n">
        <f aca="false">H641*Parâmetros!$C$14</f>
        <v>26.52</v>
      </c>
      <c r="J641" s="141" t="n">
        <f aca="false">C641*(Estacas!L641+Estacas!L642)/2</f>
        <v>36.352</v>
      </c>
      <c r="K641" s="141" t="n">
        <f aca="false">C641*(Estacas!M641+Estacas!M642)/2</f>
        <v>47.68</v>
      </c>
      <c r="L641" s="141" t="n">
        <f aca="false">C641*(Estacas!N641+Estacas!N642)/2</f>
        <v>75.72</v>
      </c>
      <c r="M641" s="141" t="n">
        <f aca="false">C641*(Estacas!O641+Estacas!O642)/2</f>
        <v>224</v>
      </c>
      <c r="N641" s="141" t="n">
        <f aca="false">C641*(Estacas!O641+Estacas!O642)/2</f>
        <v>224</v>
      </c>
      <c r="O641" s="141" t="n">
        <f aca="false">C641*(Estacas!P641+Estacas!P642)/2</f>
        <v>258.4</v>
      </c>
      <c r="P641" s="141" t="n">
        <f aca="false">R641*Parâmetros!$C$11</f>
        <v>5.4</v>
      </c>
      <c r="Q641" s="141" t="n">
        <f aca="false">R641*Parâmetros!$C$12</f>
        <v>4.5</v>
      </c>
      <c r="R641" s="141" t="n">
        <f aca="false">C641*(Estacas!Q641+Estacas!Q642)/2</f>
        <v>90</v>
      </c>
      <c r="S641" s="141" t="n">
        <f aca="false">IF(LEFT(E641,3)="T09",C641*Parâmetros!$D$13*Parâmetros!$C$13,0)</f>
        <v>53.3</v>
      </c>
    </row>
    <row r="642" customFormat="false" ht="15" hidden="false" customHeight="false" outlineLevel="0" collapsed="false">
      <c r="A642" s="138" t="str">
        <f aca="false">Estacas!A642</f>
        <v>636+0,00</v>
      </c>
      <c r="B642" s="138" t="str">
        <f aca="false">Estacas!A643</f>
        <v>637+0,00</v>
      </c>
      <c r="C642" s="144" t="n">
        <f aca="false">Estacas!C643-Estacas!C642</f>
        <v>20</v>
      </c>
      <c r="D642" s="138" t="s">
        <v>1604</v>
      </c>
      <c r="E642" s="138" t="s">
        <v>1605</v>
      </c>
      <c r="F642" s="141" t="n">
        <f aca="false">Estacas!F642</f>
        <v>11</v>
      </c>
      <c r="G642" s="141" t="n">
        <f aca="false">Estacas!F643</f>
        <v>11</v>
      </c>
      <c r="H642" s="141" t="n">
        <f aca="false">C642*(Estacas!K642+Estacas!K643)/2</f>
        <v>11.05</v>
      </c>
      <c r="I642" s="141" t="n">
        <f aca="false">H642*Parâmetros!$C$14</f>
        <v>26.52</v>
      </c>
      <c r="J642" s="141" t="n">
        <f aca="false">C642*(Estacas!L642+Estacas!L643)/2</f>
        <v>36.352</v>
      </c>
      <c r="K642" s="141" t="n">
        <f aca="false">C642*(Estacas!M642+Estacas!M643)/2</f>
        <v>47.68</v>
      </c>
      <c r="L642" s="141" t="n">
        <f aca="false">C642*(Estacas!N642+Estacas!N643)/2</f>
        <v>75.72</v>
      </c>
      <c r="M642" s="141" t="n">
        <f aca="false">C642*(Estacas!O642+Estacas!O643)/2</f>
        <v>224</v>
      </c>
      <c r="N642" s="141" t="n">
        <f aca="false">C642*(Estacas!O642+Estacas!O643)/2</f>
        <v>224</v>
      </c>
      <c r="O642" s="141" t="n">
        <f aca="false">C642*(Estacas!P642+Estacas!P643)/2</f>
        <v>258.4</v>
      </c>
      <c r="P642" s="141" t="n">
        <f aca="false">R642*Parâmetros!$C$11</f>
        <v>7.2</v>
      </c>
      <c r="Q642" s="141" t="n">
        <f aca="false">R642*Parâmetros!$C$12</f>
        <v>6</v>
      </c>
      <c r="R642" s="141" t="n">
        <f aca="false">C642*(Estacas!Q642+Estacas!Q643)/2</f>
        <v>120</v>
      </c>
      <c r="S642" s="141" t="n">
        <f aca="false">IF(LEFT(E642,3)="T09",C642*Parâmetros!$D$13*Parâmetros!$C$13,0)</f>
        <v>53.3</v>
      </c>
    </row>
    <row r="643" customFormat="false" ht="15" hidden="false" customHeight="false" outlineLevel="0" collapsed="false">
      <c r="A643" s="138" t="str">
        <f aca="false">Estacas!A643</f>
        <v>637+0,00</v>
      </c>
      <c r="B643" s="138" t="str">
        <f aca="false">Estacas!A644</f>
        <v>638+0,00</v>
      </c>
      <c r="C643" s="144" t="n">
        <f aca="false">Estacas!C644-Estacas!C643</f>
        <v>20</v>
      </c>
      <c r="D643" s="138" t="s">
        <v>1604</v>
      </c>
      <c r="E643" s="138" t="s">
        <v>1605</v>
      </c>
      <c r="F643" s="141" t="n">
        <f aca="false">Estacas!F643</f>
        <v>11</v>
      </c>
      <c r="G643" s="141" t="n">
        <f aca="false">Estacas!F644</f>
        <v>11</v>
      </c>
      <c r="H643" s="141" t="n">
        <f aca="false">C643*(Estacas!K643+Estacas!K644)/2</f>
        <v>11.05</v>
      </c>
      <c r="I643" s="141" t="n">
        <f aca="false">H643*Parâmetros!$C$14</f>
        <v>26.52</v>
      </c>
      <c r="J643" s="141" t="n">
        <f aca="false">C643*(Estacas!L643+Estacas!L644)/2</f>
        <v>36.352</v>
      </c>
      <c r="K643" s="141" t="n">
        <f aca="false">C643*(Estacas!M643+Estacas!M644)/2</f>
        <v>47.68</v>
      </c>
      <c r="L643" s="141" t="n">
        <f aca="false">C643*(Estacas!N643+Estacas!N644)/2</f>
        <v>75.72</v>
      </c>
      <c r="M643" s="141" t="n">
        <f aca="false">C643*(Estacas!O643+Estacas!O644)/2</f>
        <v>224</v>
      </c>
      <c r="N643" s="141" t="n">
        <f aca="false">C643*(Estacas!O643+Estacas!O644)/2</f>
        <v>224</v>
      </c>
      <c r="O643" s="141" t="n">
        <f aca="false">C643*(Estacas!P643+Estacas!P644)/2</f>
        <v>258.4</v>
      </c>
      <c r="P643" s="141" t="n">
        <f aca="false">R643*Parâmetros!$C$11</f>
        <v>7.2</v>
      </c>
      <c r="Q643" s="141" t="n">
        <f aca="false">R643*Parâmetros!$C$12</f>
        <v>6</v>
      </c>
      <c r="R643" s="141" t="n">
        <f aca="false">C643*(Estacas!Q643+Estacas!Q644)/2</f>
        <v>120</v>
      </c>
      <c r="S643" s="141" t="n">
        <f aca="false">IF(LEFT(E643,3)="T09",C643*Parâmetros!$D$13*Parâmetros!$C$13,0)</f>
        <v>53.3</v>
      </c>
    </row>
    <row r="644" customFormat="false" ht="15" hidden="false" customHeight="false" outlineLevel="0" collapsed="false">
      <c r="A644" s="138" t="str">
        <f aca="false">Estacas!A644</f>
        <v>638+0,00</v>
      </c>
      <c r="B644" s="138" t="str">
        <f aca="false">Estacas!A645</f>
        <v>639+0,00</v>
      </c>
      <c r="C644" s="144" t="n">
        <f aca="false">Estacas!C645-Estacas!C644</f>
        <v>20</v>
      </c>
      <c r="D644" s="138" t="s">
        <v>1604</v>
      </c>
      <c r="E644" s="138" t="s">
        <v>1605</v>
      </c>
      <c r="F644" s="141" t="n">
        <f aca="false">Estacas!F644</f>
        <v>11</v>
      </c>
      <c r="G644" s="141" t="n">
        <f aca="false">Estacas!F645</f>
        <v>11</v>
      </c>
      <c r="H644" s="141" t="n">
        <f aca="false">C644*(Estacas!K644+Estacas!K645)/2</f>
        <v>11.05</v>
      </c>
      <c r="I644" s="141" t="n">
        <f aca="false">H644*Parâmetros!$C$14</f>
        <v>26.52</v>
      </c>
      <c r="J644" s="141" t="n">
        <f aca="false">C644*(Estacas!L644+Estacas!L645)/2</f>
        <v>36.352</v>
      </c>
      <c r="K644" s="141" t="n">
        <f aca="false">C644*(Estacas!M644+Estacas!M645)/2</f>
        <v>47.68</v>
      </c>
      <c r="L644" s="141" t="n">
        <f aca="false">C644*(Estacas!N644+Estacas!N645)/2</f>
        <v>75.72</v>
      </c>
      <c r="M644" s="141" t="n">
        <f aca="false">C644*(Estacas!O644+Estacas!O645)/2</f>
        <v>224</v>
      </c>
      <c r="N644" s="141" t="n">
        <f aca="false">C644*(Estacas!O644+Estacas!O645)/2</f>
        <v>224</v>
      </c>
      <c r="O644" s="141" t="n">
        <f aca="false">C644*(Estacas!P644+Estacas!P645)/2</f>
        <v>258.4</v>
      </c>
      <c r="P644" s="141" t="n">
        <f aca="false">R644*Parâmetros!$C$11</f>
        <v>7.2</v>
      </c>
      <c r="Q644" s="141" t="n">
        <f aca="false">R644*Parâmetros!$C$12</f>
        <v>6</v>
      </c>
      <c r="R644" s="141" t="n">
        <f aca="false">C644*(Estacas!Q644+Estacas!Q645)/2</f>
        <v>120</v>
      </c>
      <c r="S644" s="141" t="n">
        <f aca="false">IF(LEFT(E644,3)="T09",C644*Parâmetros!$D$13*Parâmetros!$C$13,0)</f>
        <v>53.3</v>
      </c>
    </row>
    <row r="645" customFormat="false" ht="15" hidden="false" customHeight="false" outlineLevel="0" collapsed="false">
      <c r="A645" s="138" t="str">
        <f aca="false">Estacas!A645</f>
        <v>639+0,00</v>
      </c>
      <c r="B645" s="138" t="str">
        <f aca="false">Estacas!A646</f>
        <v>640+0,00</v>
      </c>
      <c r="C645" s="144" t="n">
        <f aca="false">Estacas!C646-Estacas!C645</f>
        <v>20</v>
      </c>
      <c r="D645" s="138" t="s">
        <v>1604</v>
      </c>
      <c r="E645" s="138" t="s">
        <v>1605</v>
      </c>
      <c r="F645" s="141" t="n">
        <f aca="false">Estacas!F645</f>
        <v>11</v>
      </c>
      <c r="G645" s="141" t="n">
        <f aca="false">Estacas!F646</f>
        <v>11</v>
      </c>
      <c r="H645" s="141" t="n">
        <f aca="false">C645*(Estacas!K645+Estacas!K646)/2</f>
        <v>11.05</v>
      </c>
      <c r="I645" s="141" t="n">
        <f aca="false">H645*Parâmetros!$C$14</f>
        <v>26.52</v>
      </c>
      <c r="J645" s="141" t="n">
        <f aca="false">C645*(Estacas!L645+Estacas!L646)/2</f>
        <v>36.352</v>
      </c>
      <c r="K645" s="141" t="n">
        <f aca="false">C645*(Estacas!M645+Estacas!M646)/2</f>
        <v>47.68</v>
      </c>
      <c r="L645" s="141" t="n">
        <f aca="false">C645*(Estacas!N645+Estacas!N646)/2</f>
        <v>75.72</v>
      </c>
      <c r="M645" s="141" t="n">
        <f aca="false">C645*(Estacas!O645+Estacas!O646)/2</f>
        <v>224</v>
      </c>
      <c r="N645" s="141" t="n">
        <f aca="false">C645*(Estacas!O645+Estacas!O646)/2</f>
        <v>224</v>
      </c>
      <c r="O645" s="141" t="n">
        <f aca="false">C645*(Estacas!P645+Estacas!P646)/2</f>
        <v>258.4</v>
      </c>
      <c r="P645" s="141" t="n">
        <f aca="false">R645*Parâmetros!$C$11</f>
        <v>7.2</v>
      </c>
      <c r="Q645" s="141" t="n">
        <f aca="false">R645*Parâmetros!$C$12</f>
        <v>6</v>
      </c>
      <c r="R645" s="141" t="n">
        <f aca="false">C645*(Estacas!Q645+Estacas!Q646)/2</f>
        <v>120</v>
      </c>
      <c r="S645" s="141" t="n">
        <f aca="false">IF(LEFT(E645,3)="T09",C645*Parâmetros!$D$13*Parâmetros!$C$13,0)</f>
        <v>53.3</v>
      </c>
    </row>
    <row r="646" customFormat="false" ht="15" hidden="false" customHeight="false" outlineLevel="0" collapsed="false">
      <c r="A646" s="138" t="str">
        <f aca="false">Estacas!A646</f>
        <v>640+0,00</v>
      </c>
      <c r="B646" s="138" t="str">
        <f aca="false">Estacas!A647</f>
        <v>641+0,00</v>
      </c>
      <c r="C646" s="144" t="n">
        <f aca="false">Estacas!C647-Estacas!C646</f>
        <v>20</v>
      </c>
      <c r="D646" s="138" t="s">
        <v>1604</v>
      </c>
      <c r="E646" s="138" t="s">
        <v>1605</v>
      </c>
      <c r="F646" s="141" t="n">
        <f aca="false">Estacas!F646</f>
        <v>11</v>
      </c>
      <c r="G646" s="141" t="n">
        <f aca="false">Estacas!F647</f>
        <v>11</v>
      </c>
      <c r="H646" s="141" t="n">
        <f aca="false">C646*(Estacas!K646+Estacas!K647)/2</f>
        <v>11.05</v>
      </c>
      <c r="I646" s="141" t="n">
        <f aca="false">H646*Parâmetros!$C$14</f>
        <v>26.52</v>
      </c>
      <c r="J646" s="141" t="n">
        <f aca="false">C646*(Estacas!L646+Estacas!L647)/2</f>
        <v>36.352</v>
      </c>
      <c r="K646" s="141" t="n">
        <f aca="false">C646*(Estacas!M646+Estacas!M647)/2</f>
        <v>47.68</v>
      </c>
      <c r="L646" s="141" t="n">
        <f aca="false">C646*(Estacas!N646+Estacas!N647)/2</f>
        <v>75.72</v>
      </c>
      <c r="M646" s="141" t="n">
        <f aca="false">C646*(Estacas!O646+Estacas!O647)/2</f>
        <v>224</v>
      </c>
      <c r="N646" s="141" t="n">
        <f aca="false">C646*(Estacas!O646+Estacas!O647)/2</f>
        <v>224</v>
      </c>
      <c r="O646" s="141" t="n">
        <f aca="false">C646*(Estacas!P646+Estacas!P647)/2</f>
        <v>258.4</v>
      </c>
      <c r="P646" s="141" t="n">
        <f aca="false">R646*Parâmetros!$C$11</f>
        <v>7.2</v>
      </c>
      <c r="Q646" s="141" t="n">
        <f aca="false">R646*Parâmetros!$C$12</f>
        <v>6</v>
      </c>
      <c r="R646" s="141" t="n">
        <f aca="false">C646*(Estacas!Q646+Estacas!Q647)/2</f>
        <v>120</v>
      </c>
      <c r="S646" s="141" t="n">
        <f aca="false">IF(LEFT(E646,3)="T09",C646*Parâmetros!$D$13*Parâmetros!$C$13,0)</f>
        <v>53.3</v>
      </c>
    </row>
    <row r="647" customFormat="false" ht="15" hidden="false" customHeight="false" outlineLevel="0" collapsed="false">
      <c r="A647" s="138" t="str">
        <f aca="false">Estacas!A647</f>
        <v>641+0,00</v>
      </c>
      <c r="B647" s="138" t="str">
        <f aca="false">Estacas!A648</f>
        <v>642+0,00</v>
      </c>
      <c r="C647" s="144" t="n">
        <f aca="false">Estacas!C648-Estacas!C647</f>
        <v>20</v>
      </c>
      <c r="D647" s="138" t="s">
        <v>1604</v>
      </c>
      <c r="E647" s="138" t="s">
        <v>1605</v>
      </c>
      <c r="F647" s="141" t="n">
        <f aca="false">Estacas!F647</f>
        <v>11</v>
      </c>
      <c r="G647" s="141" t="n">
        <f aca="false">Estacas!F648</f>
        <v>11</v>
      </c>
      <c r="H647" s="141" t="n">
        <f aca="false">C647*(Estacas!K647+Estacas!K648)/2</f>
        <v>11.05</v>
      </c>
      <c r="I647" s="141" t="n">
        <f aca="false">H647*Parâmetros!$C$14</f>
        <v>26.52</v>
      </c>
      <c r="J647" s="141" t="n">
        <f aca="false">C647*(Estacas!L647+Estacas!L648)/2</f>
        <v>36.352</v>
      </c>
      <c r="K647" s="141" t="n">
        <f aca="false">C647*(Estacas!M647+Estacas!M648)/2</f>
        <v>47.68</v>
      </c>
      <c r="L647" s="141" t="n">
        <f aca="false">C647*(Estacas!N647+Estacas!N648)/2</f>
        <v>75.72</v>
      </c>
      <c r="M647" s="141" t="n">
        <f aca="false">C647*(Estacas!O647+Estacas!O648)/2</f>
        <v>224</v>
      </c>
      <c r="N647" s="141" t="n">
        <f aca="false">C647*(Estacas!O647+Estacas!O648)/2</f>
        <v>224</v>
      </c>
      <c r="O647" s="141" t="n">
        <f aca="false">C647*(Estacas!P647+Estacas!P648)/2</f>
        <v>258.4</v>
      </c>
      <c r="P647" s="141" t="n">
        <f aca="false">R647*Parâmetros!$C$11</f>
        <v>7.2</v>
      </c>
      <c r="Q647" s="141" t="n">
        <f aca="false">R647*Parâmetros!$C$12</f>
        <v>6</v>
      </c>
      <c r="R647" s="141" t="n">
        <f aca="false">C647*(Estacas!Q647+Estacas!Q648)/2</f>
        <v>120</v>
      </c>
      <c r="S647" s="141" t="n">
        <f aca="false">IF(LEFT(E647,3)="T09",C647*Parâmetros!$D$13*Parâmetros!$C$13,0)</f>
        <v>53.3</v>
      </c>
    </row>
    <row r="648" customFormat="false" ht="15" hidden="false" customHeight="false" outlineLevel="0" collapsed="false">
      <c r="A648" s="138" t="str">
        <f aca="false">Estacas!A648</f>
        <v>642+0,00</v>
      </c>
      <c r="B648" s="138" t="str">
        <f aca="false">Estacas!A649</f>
        <v>642+10,00</v>
      </c>
      <c r="C648" s="144" t="n">
        <f aca="false">Estacas!C649-Estacas!C648</f>
        <v>10</v>
      </c>
      <c r="D648" s="138" t="s">
        <v>1608</v>
      </c>
      <c r="E648" s="138" t="s">
        <v>1609</v>
      </c>
      <c r="F648" s="141" t="n">
        <f aca="false">Estacas!F648</f>
        <v>11</v>
      </c>
      <c r="G648" s="141" t="n">
        <f aca="false">Estacas!F649</f>
        <v>11</v>
      </c>
      <c r="H648" s="141" t="n">
        <f aca="false">C648*(Estacas!K648+Estacas!K649)/2</f>
        <v>5.525</v>
      </c>
      <c r="I648" s="141" t="n">
        <f aca="false">H648*Parâmetros!$C$14</f>
        <v>13.26</v>
      </c>
      <c r="J648" s="141" t="n">
        <f aca="false">C648*(Estacas!L648+Estacas!L649)/2</f>
        <v>18.176</v>
      </c>
      <c r="K648" s="141" t="n">
        <f aca="false">C648*(Estacas!M648+Estacas!M649)/2</f>
        <v>23.84</v>
      </c>
      <c r="L648" s="141" t="n">
        <f aca="false">C648*(Estacas!N648+Estacas!N649)/2</f>
        <v>37.86</v>
      </c>
      <c r="M648" s="141" t="n">
        <f aca="false">C648*(Estacas!O648+Estacas!O649)/2</f>
        <v>112</v>
      </c>
      <c r="N648" s="141" t="n">
        <f aca="false">C648*(Estacas!O648+Estacas!O649)/2</f>
        <v>112</v>
      </c>
      <c r="O648" s="141" t="n">
        <f aca="false">C648*(Estacas!P648+Estacas!P649)/2</f>
        <v>129.2</v>
      </c>
      <c r="P648" s="141" t="n">
        <f aca="false">R648*Parâmetros!$C$11</f>
        <v>3.6</v>
      </c>
      <c r="Q648" s="141" t="n">
        <f aca="false">R648*Parâmetros!$C$12</f>
        <v>3</v>
      </c>
      <c r="R648" s="141" t="n">
        <f aca="false">C648*(Estacas!Q648+Estacas!Q649)/2</f>
        <v>60</v>
      </c>
      <c r="S648" s="141" t="n">
        <f aca="false">IF(LEFT(E648,3)="T09",C648*Parâmetros!$D$13*Parâmetros!$C$13,0)</f>
        <v>26.65</v>
      </c>
    </row>
    <row r="649" customFormat="false" ht="15" hidden="false" customHeight="false" outlineLevel="0" collapsed="false">
      <c r="A649" s="138" t="str">
        <f aca="false">Estacas!A649</f>
        <v>642+10,00</v>
      </c>
      <c r="B649" s="138" t="str">
        <f aca="false">Estacas!A650</f>
        <v>642+15,817</v>
      </c>
      <c r="C649" s="144" t="n">
        <f aca="false">Estacas!C650-Estacas!C649</f>
        <v>5.8169999999991</v>
      </c>
      <c r="D649" s="138" t="s">
        <v>1608</v>
      </c>
      <c r="E649" s="138" t="s">
        <v>1609</v>
      </c>
      <c r="F649" s="141" t="n">
        <f aca="false">Estacas!F649</f>
        <v>11</v>
      </c>
      <c r="G649" s="141" t="n">
        <f aca="false">Estacas!F650</f>
        <v>11</v>
      </c>
      <c r="H649" s="141" t="n">
        <f aca="false">C649*(Estacas!K649+Estacas!K650)/2</f>
        <v>3.2138924999995</v>
      </c>
      <c r="I649" s="141" t="n">
        <f aca="false">H649*Parâmetros!$C$14</f>
        <v>7.71334199999881</v>
      </c>
      <c r="J649" s="141" t="n">
        <f aca="false">C649*(Estacas!L649+Estacas!L650)/2</f>
        <v>10.5729791999984</v>
      </c>
      <c r="K649" s="141" t="n">
        <f aca="false">C649*(Estacas!M649+Estacas!M650)/2</f>
        <v>13.8677279999978</v>
      </c>
      <c r="L649" s="141" t="n">
        <f aca="false">C649*(Estacas!N649+Estacas!N650)/2</f>
        <v>22.0231619999966</v>
      </c>
      <c r="M649" s="141" t="n">
        <f aca="false">C649*(Estacas!O649+Estacas!O650)/2</f>
        <v>65.1503999999899</v>
      </c>
      <c r="N649" s="141" t="n">
        <f aca="false">C649*(Estacas!O649+Estacas!O650)/2</f>
        <v>65.1503999999899</v>
      </c>
      <c r="O649" s="141" t="n">
        <f aca="false">C649*(Estacas!P649+Estacas!P650)/2</f>
        <v>75.1556399999883</v>
      </c>
      <c r="P649" s="141" t="n">
        <f aca="false">R649*Parâmetros!$C$11</f>
        <v>2.09411999999968</v>
      </c>
      <c r="Q649" s="141" t="n">
        <f aca="false">R649*Parâmetros!$C$12</f>
        <v>1.74509999999973</v>
      </c>
      <c r="R649" s="141" t="n">
        <f aca="false">C649*(Estacas!Q649+Estacas!Q650)/2</f>
        <v>34.9019999999946</v>
      </c>
      <c r="S649" s="141" t="n">
        <f aca="false">IF(LEFT(E649,3)="T09",C649*Parâmetros!$D$13*Parâmetros!$C$13,0)</f>
        <v>15.5023049999976</v>
      </c>
    </row>
  </sheetData>
  <autoFilter ref="A1:S6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60"/>
  </cols>
  <sheetData>
    <row r="1" customFormat="false" ht="48" hidden="false" customHeight="true" outlineLevel="0" collapsed="false">
      <c r="A1" s="133" t="s">
        <v>1551</v>
      </c>
      <c r="B1" s="133" t="s">
        <v>2321</v>
      </c>
      <c r="C1" s="133" t="s">
        <v>14</v>
      </c>
      <c r="D1" s="133" t="s">
        <v>17</v>
      </c>
      <c r="E1" s="133" t="s">
        <v>1552</v>
      </c>
      <c r="F1" s="133" t="s">
        <v>2322</v>
      </c>
    </row>
    <row r="2" customFormat="false" ht="15" hidden="false" customHeight="false" outlineLevel="0" collapsed="false">
      <c r="A2" s="150" t="s">
        <v>1566</v>
      </c>
      <c r="B2" s="150" t="s">
        <v>2323</v>
      </c>
      <c r="C2" s="150" t="s">
        <v>2324</v>
      </c>
      <c r="D2" s="150" t="s">
        <v>2325</v>
      </c>
      <c r="E2" s="150" t="n">
        <v>6380</v>
      </c>
      <c r="F2" s="150" t="s">
        <v>2326</v>
      </c>
    </row>
    <row r="3" customFormat="false" ht="15" hidden="false" customHeight="false" outlineLevel="0" collapsed="false">
      <c r="A3" s="150" t="s">
        <v>1566</v>
      </c>
      <c r="B3" s="150"/>
      <c r="C3" s="150" t="s">
        <v>2327</v>
      </c>
      <c r="D3" s="150" t="s">
        <v>2328</v>
      </c>
      <c r="E3" s="150" t="n">
        <v>1210</v>
      </c>
      <c r="F3" s="150"/>
    </row>
    <row r="4" customFormat="false" ht="15" hidden="false" customHeight="false" outlineLevel="0" collapsed="false">
      <c r="A4" s="150" t="s">
        <v>1566</v>
      </c>
      <c r="B4" s="150"/>
      <c r="C4" s="150" t="s">
        <v>2329</v>
      </c>
      <c r="D4" s="150" t="s">
        <v>2330</v>
      </c>
      <c r="E4" s="150" t="n">
        <v>1710</v>
      </c>
      <c r="F4" s="150"/>
    </row>
    <row r="5" customFormat="false" ht="15" hidden="false" customHeight="false" outlineLevel="0" collapsed="false">
      <c r="A5" s="150" t="s">
        <v>1566</v>
      </c>
      <c r="B5" s="150"/>
      <c r="C5" s="150" t="s">
        <v>2331</v>
      </c>
      <c r="D5" s="150" t="s">
        <v>2332</v>
      </c>
      <c r="E5" s="150" t="n">
        <v>1630</v>
      </c>
      <c r="F5" s="150"/>
    </row>
    <row r="6" customFormat="false" ht="15" hidden="false" customHeight="false" outlineLevel="0" collapsed="false">
      <c r="A6" s="150" t="s">
        <v>1571</v>
      </c>
      <c r="B6" s="150" t="s">
        <v>2333</v>
      </c>
      <c r="C6" s="150" t="s">
        <v>2325</v>
      </c>
      <c r="D6" s="150" t="s">
        <v>2327</v>
      </c>
      <c r="E6" s="150" t="n">
        <v>260</v>
      </c>
      <c r="F6" s="150" t="s">
        <v>2334</v>
      </c>
    </row>
    <row r="7" customFormat="false" ht="15" hidden="false" customHeight="false" outlineLevel="0" collapsed="false">
      <c r="A7" s="150" t="s">
        <v>1583</v>
      </c>
      <c r="B7" s="150" t="s">
        <v>2335</v>
      </c>
      <c r="C7" s="150" t="s">
        <v>2330</v>
      </c>
      <c r="D7" s="150" t="s">
        <v>2336</v>
      </c>
      <c r="E7" s="150" t="n">
        <v>90</v>
      </c>
      <c r="F7" s="150" t="s">
        <v>2337</v>
      </c>
    </row>
    <row r="8" customFormat="false" ht="15" hidden="false" customHeight="false" outlineLevel="0" collapsed="false">
      <c r="A8" s="150" t="s">
        <v>1587</v>
      </c>
      <c r="B8" s="150" t="s">
        <v>2338</v>
      </c>
      <c r="C8" s="150" t="s">
        <v>2336</v>
      </c>
      <c r="D8" s="150" t="s">
        <v>2339</v>
      </c>
      <c r="E8" s="150" t="n">
        <v>80</v>
      </c>
      <c r="F8" s="150" t="s">
        <v>2340</v>
      </c>
    </row>
    <row r="9" customFormat="false" ht="15" hidden="false" customHeight="false" outlineLevel="0" collapsed="false">
      <c r="A9" s="150" t="s">
        <v>2341</v>
      </c>
      <c r="B9" s="150" t="s">
        <v>2342</v>
      </c>
      <c r="C9" s="150" t="s">
        <v>2343</v>
      </c>
      <c r="D9" s="150" t="s">
        <v>2344</v>
      </c>
      <c r="E9" s="150" t="n">
        <v>82</v>
      </c>
      <c r="F9" s="150" t="s">
        <v>2345</v>
      </c>
    </row>
    <row r="10" customFormat="false" ht="15" hidden="false" customHeight="false" outlineLevel="0" collapsed="false">
      <c r="A10" s="150" t="s">
        <v>1591</v>
      </c>
      <c r="B10" s="150" t="s">
        <v>2346</v>
      </c>
      <c r="C10" s="150" t="s">
        <v>2339</v>
      </c>
      <c r="D10" s="150" t="s">
        <v>2331</v>
      </c>
      <c r="E10" s="150" t="n">
        <v>410</v>
      </c>
      <c r="F10" s="150" t="s">
        <v>2347</v>
      </c>
    </row>
    <row r="11" customFormat="false" ht="15" hidden="false" customHeight="false" outlineLevel="0" collapsed="false">
      <c r="A11" s="150" t="s">
        <v>1597</v>
      </c>
      <c r="B11" s="150" t="s">
        <v>2348</v>
      </c>
      <c r="C11" s="150" t="s">
        <v>2332</v>
      </c>
      <c r="D11" s="150" t="s">
        <v>2349</v>
      </c>
      <c r="E11" s="150" t="n">
        <v>80</v>
      </c>
      <c r="F11" s="150" t="s">
        <v>2350</v>
      </c>
    </row>
    <row r="12" customFormat="false" ht="15" hidden="false" customHeight="false" outlineLevel="0" collapsed="false">
      <c r="A12" s="150" t="s">
        <v>1601</v>
      </c>
      <c r="B12" s="150" t="s">
        <v>2351</v>
      </c>
      <c r="C12" s="150" t="s">
        <v>2349</v>
      </c>
      <c r="D12" s="150" t="s">
        <v>2352</v>
      </c>
      <c r="E12" s="150" t="n">
        <v>430</v>
      </c>
      <c r="F12" s="150" t="s">
        <v>2353</v>
      </c>
    </row>
    <row r="13" customFormat="false" ht="15" hidden="false" customHeight="false" outlineLevel="0" collapsed="false">
      <c r="A13" s="150" t="s">
        <v>1605</v>
      </c>
      <c r="B13" s="150" t="s">
        <v>2354</v>
      </c>
      <c r="C13" s="150" t="s">
        <v>2352</v>
      </c>
      <c r="D13" s="150" t="s">
        <v>2355</v>
      </c>
      <c r="E13" s="150" t="n">
        <v>390</v>
      </c>
      <c r="F13" s="150" t="s">
        <v>2356</v>
      </c>
    </row>
    <row r="14" customFormat="false" ht="74.6" hidden="false" customHeight="false" outlineLevel="0" collapsed="false">
      <c r="A14" s="150" t="s">
        <v>2357</v>
      </c>
      <c r="B14" s="150" t="s">
        <v>2358</v>
      </c>
      <c r="C14" s="150" t="s">
        <v>2359</v>
      </c>
      <c r="D14" s="150"/>
      <c r="E14" s="150"/>
      <c r="F14" s="150" t="s">
        <v>2360</v>
      </c>
    </row>
    <row r="15" customFormat="false" ht="53.7" hidden="false" customHeight="false" outlineLevel="0" collapsed="false">
      <c r="A15" s="150" t="s">
        <v>2361</v>
      </c>
      <c r="B15" s="150" t="s">
        <v>2362</v>
      </c>
      <c r="C15" s="150" t="s">
        <v>2363</v>
      </c>
      <c r="D15" s="150"/>
      <c r="E15" s="150"/>
      <c r="F15" s="150" t="s">
        <v>2364</v>
      </c>
    </row>
    <row r="17" customFormat="false" ht="15" hidden="false" customHeight="false" outlineLevel="0" collapsed="false">
      <c r="A17" s="142" t="s">
        <v>2365</v>
      </c>
    </row>
    <row r="18" customFormat="false" ht="15" hidden="false" customHeight="false" outlineLevel="0" collapsed="false">
      <c r="A18" s="138" t="s">
        <v>2366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9"/>
    <col collapsed="false" customWidth="true" hidden="false" outlineLevel="0" max="5" min="5" style="0" width="24"/>
    <col collapsed="false" customWidth="true" hidden="false" outlineLevel="0" max="6" min="6" style="0" width="32"/>
    <col collapsed="false" customWidth="true" hidden="false" outlineLevel="0" max="8" min="7" style="0" width="9"/>
    <col collapsed="false" customWidth="true" hidden="false" outlineLevel="0" max="12" min="9" style="0" width="10"/>
    <col collapsed="false" customWidth="true" hidden="false" outlineLevel="0" max="13" min="13" style="0" width="34"/>
  </cols>
  <sheetData>
    <row r="1" customFormat="false" ht="48" hidden="false" customHeight="true" outlineLevel="0" collapsed="false">
      <c r="A1" s="133" t="s">
        <v>14</v>
      </c>
      <c r="B1" s="133" t="s">
        <v>17</v>
      </c>
      <c r="C1" s="133" t="s">
        <v>2367</v>
      </c>
      <c r="D1" s="133" t="s">
        <v>2368</v>
      </c>
      <c r="E1" s="133" t="s">
        <v>2369</v>
      </c>
      <c r="F1" s="133" t="s">
        <v>1367</v>
      </c>
      <c r="G1" s="133" t="s">
        <v>2370</v>
      </c>
      <c r="H1" s="133" t="s">
        <v>2371</v>
      </c>
      <c r="I1" s="133" t="s">
        <v>2372</v>
      </c>
      <c r="J1" s="133" t="s">
        <v>2373</v>
      </c>
      <c r="K1" s="133" t="s">
        <v>2374</v>
      </c>
      <c r="L1" s="133" t="s">
        <v>2375</v>
      </c>
      <c r="M1" s="133" t="s">
        <v>2376</v>
      </c>
    </row>
    <row r="2" customFormat="false" ht="15" hidden="false" customHeight="false" outlineLevel="0" collapsed="false">
      <c r="A2" s="138" t="s">
        <v>2377</v>
      </c>
      <c r="B2" s="138" t="s">
        <v>2378</v>
      </c>
      <c r="C2" s="138" t="n">
        <v>0.4335</v>
      </c>
      <c r="D2" s="138" t="n">
        <v>3.649</v>
      </c>
      <c r="E2" s="138" t="s">
        <v>2379</v>
      </c>
      <c r="F2" s="138" t="s">
        <v>2380</v>
      </c>
      <c r="G2" s="138" t="s">
        <v>60</v>
      </c>
      <c r="H2" s="141" t="n">
        <v>64.31</v>
      </c>
      <c r="I2" s="141"/>
      <c r="J2" s="141"/>
      <c r="K2" s="141"/>
      <c r="L2" s="141"/>
      <c r="M2" s="138" t="s">
        <v>2381</v>
      </c>
    </row>
    <row r="3" customFormat="false" ht="15" hidden="false" customHeight="false" outlineLevel="0" collapsed="false">
      <c r="A3" s="138" t="s">
        <v>2377</v>
      </c>
      <c r="B3" s="138" t="s">
        <v>2382</v>
      </c>
      <c r="C3" s="138" t="n">
        <v>0.4335</v>
      </c>
      <c r="D3" s="138" t="n">
        <v>3.613</v>
      </c>
      <c r="E3" s="138" t="s">
        <v>2379</v>
      </c>
      <c r="F3" s="138" t="s">
        <v>2380</v>
      </c>
      <c r="G3" s="138" t="s">
        <v>59</v>
      </c>
      <c r="H3" s="141" t="n">
        <v>63.59</v>
      </c>
      <c r="I3" s="141"/>
      <c r="J3" s="141"/>
      <c r="K3" s="141"/>
      <c r="L3" s="141"/>
      <c r="M3" s="138" t="s">
        <v>2381</v>
      </c>
    </row>
    <row r="4" customFormat="false" ht="15" hidden="false" customHeight="false" outlineLevel="0" collapsed="false">
      <c r="A4" s="138" t="s">
        <v>2383</v>
      </c>
      <c r="B4" s="138" t="s">
        <v>2384</v>
      </c>
      <c r="C4" s="138" t="n">
        <v>1.3715</v>
      </c>
      <c r="D4" s="138" t="n">
        <v>3.506</v>
      </c>
      <c r="E4" s="138" t="s">
        <v>2385</v>
      </c>
      <c r="F4" s="138" t="s">
        <v>2386</v>
      </c>
      <c r="G4" s="138" t="s">
        <v>60</v>
      </c>
      <c r="H4" s="141" t="n">
        <v>220</v>
      </c>
      <c r="I4" s="141"/>
      <c r="J4" s="141"/>
      <c r="K4" s="141"/>
      <c r="L4" s="141"/>
      <c r="M4" s="138" t="s">
        <v>2387</v>
      </c>
    </row>
    <row r="5" customFormat="false" ht="15" hidden="false" customHeight="false" outlineLevel="0" collapsed="false">
      <c r="A5" s="138" t="s">
        <v>2384</v>
      </c>
      <c r="B5" s="138" t="s">
        <v>2388</v>
      </c>
      <c r="C5" s="138" t="n">
        <v>3.506</v>
      </c>
      <c r="D5" s="138" t="n">
        <v>3.609</v>
      </c>
      <c r="E5" s="138" t="s">
        <v>2389</v>
      </c>
      <c r="F5" s="138" t="s">
        <v>2390</v>
      </c>
      <c r="G5" s="138" t="s">
        <v>60</v>
      </c>
      <c r="H5" s="141" t="n">
        <v>5</v>
      </c>
      <c r="I5" s="141"/>
      <c r="J5" s="141"/>
      <c r="K5" s="141"/>
      <c r="L5" s="141"/>
      <c r="M5" s="138" t="s">
        <v>2387</v>
      </c>
    </row>
    <row r="6" customFormat="false" ht="15" hidden="false" customHeight="false" outlineLevel="0" collapsed="false">
      <c r="A6" s="138" t="s">
        <v>2391</v>
      </c>
      <c r="B6" s="138" t="s">
        <v>2392</v>
      </c>
      <c r="C6" s="138" t="n">
        <v>4.0055</v>
      </c>
      <c r="D6" s="138" t="n">
        <v>4.5</v>
      </c>
      <c r="E6" s="138" t="s">
        <v>2389</v>
      </c>
      <c r="F6" s="138" t="s">
        <v>2390</v>
      </c>
      <c r="G6" s="138" t="s">
        <v>60</v>
      </c>
      <c r="H6" s="141" t="n">
        <v>12</v>
      </c>
      <c r="I6" s="141"/>
      <c r="J6" s="141"/>
      <c r="K6" s="141"/>
      <c r="L6" s="141"/>
      <c r="M6" s="138" t="s">
        <v>2387</v>
      </c>
    </row>
    <row r="7" customFormat="false" ht="15" hidden="false" customHeight="false" outlineLevel="0" collapsed="false">
      <c r="A7" s="138" t="s">
        <v>2393</v>
      </c>
      <c r="B7" s="138" t="s">
        <v>2394</v>
      </c>
      <c r="C7" s="138" t="n">
        <v>4.194</v>
      </c>
      <c r="D7" s="138" t="n">
        <v>7.1795</v>
      </c>
      <c r="E7" s="138" t="s">
        <v>2395</v>
      </c>
      <c r="F7" s="138" t="s">
        <v>2396</v>
      </c>
      <c r="G7" s="138" t="s">
        <v>59</v>
      </c>
      <c r="H7" s="141" t="n">
        <v>60</v>
      </c>
      <c r="I7" s="141"/>
      <c r="J7" s="141"/>
      <c r="K7" s="141"/>
      <c r="L7" s="141"/>
      <c r="M7" s="138" t="s">
        <v>2387</v>
      </c>
    </row>
    <row r="8" customFormat="false" ht="15" hidden="false" customHeight="false" outlineLevel="0" collapsed="false">
      <c r="A8" s="138" t="s">
        <v>2397</v>
      </c>
      <c r="B8" s="138" t="s">
        <v>2398</v>
      </c>
      <c r="C8" s="138" t="n">
        <v>4.2155</v>
      </c>
      <c r="D8" s="138" t="n">
        <v>14.768</v>
      </c>
      <c r="E8" s="138" t="s">
        <v>2399</v>
      </c>
      <c r="F8" s="138" t="s">
        <v>2400</v>
      </c>
      <c r="G8" s="138" t="s">
        <v>60</v>
      </c>
      <c r="H8" s="141" t="n">
        <v>211.05</v>
      </c>
      <c r="I8" s="141"/>
      <c r="J8" s="141"/>
      <c r="K8" s="141"/>
      <c r="L8" s="141"/>
      <c r="M8" s="138" t="s">
        <v>2381</v>
      </c>
    </row>
    <row r="9" customFormat="false" ht="15" hidden="false" customHeight="false" outlineLevel="0" collapsed="false">
      <c r="A9" s="138" t="s">
        <v>2401</v>
      </c>
      <c r="B9" s="138" t="s">
        <v>2402</v>
      </c>
      <c r="C9" s="138" t="n">
        <v>4.332</v>
      </c>
      <c r="D9" s="138" t="n">
        <v>15.4795</v>
      </c>
      <c r="E9" s="138" t="s">
        <v>2399</v>
      </c>
      <c r="F9" s="138" t="s">
        <v>2400</v>
      </c>
      <c r="G9" s="138" t="s">
        <v>59</v>
      </c>
      <c r="H9" s="141" t="n">
        <v>222.95</v>
      </c>
      <c r="I9" s="141"/>
      <c r="J9" s="141"/>
      <c r="K9" s="141"/>
      <c r="L9" s="141"/>
      <c r="M9" s="138" t="s">
        <v>2381</v>
      </c>
    </row>
    <row r="10" customFormat="false" ht="15" hidden="false" customHeight="false" outlineLevel="0" collapsed="false">
      <c r="A10" s="138" t="s">
        <v>2392</v>
      </c>
      <c r="B10" s="138" t="s">
        <v>2398</v>
      </c>
      <c r="C10" s="138" t="n">
        <v>4.5</v>
      </c>
      <c r="D10" s="138" t="n">
        <v>14.768</v>
      </c>
      <c r="E10" s="138" t="s">
        <v>2385</v>
      </c>
      <c r="F10" s="138" t="s">
        <v>2386</v>
      </c>
      <c r="G10" s="138" t="s">
        <v>60</v>
      </c>
      <c r="H10" s="141" t="n">
        <v>206</v>
      </c>
      <c r="I10" s="141"/>
      <c r="J10" s="141"/>
      <c r="K10" s="141"/>
      <c r="L10" s="141"/>
      <c r="M10" s="138" t="s">
        <v>2387</v>
      </c>
    </row>
    <row r="11" customFormat="false" ht="15" hidden="false" customHeight="false" outlineLevel="0" collapsed="false">
      <c r="A11" s="138" t="s">
        <v>2394</v>
      </c>
      <c r="B11" s="138" t="s">
        <v>2402</v>
      </c>
      <c r="C11" s="138" t="n">
        <v>7.1795</v>
      </c>
      <c r="D11" s="138" t="n">
        <v>15.4795</v>
      </c>
      <c r="E11" s="138" t="s">
        <v>2385</v>
      </c>
      <c r="F11" s="138" t="s">
        <v>2386</v>
      </c>
      <c r="G11" s="138" t="s">
        <v>59</v>
      </c>
      <c r="H11" s="141" t="n">
        <v>166</v>
      </c>
      <c r="I11" s="141"/>
      <c r="J11" s="141"/>
      <c r="K11" s="141"/>
      <c r="L11" s="141"/>
      <c r="M11" s="138" t="s">
        <v>2387</v>
      </c>
    </row>
    <row r="12" customFormat="false" ht="15" hidden="false" customHeight="false" outlineLevel="0" collapsed="false">
      <c r="A12" s="138" t="s">
        <v>2403</v>
      </c>
      <c r="B12" s="138" t="s">
        <v>2404</v>
      </c>
      <c r="C12" s="138" t="n">
        <v>12.472</v>
      </c>
      <c r="D12" s="138" t="n">
        <v>15.861</v>
      </c>
      <c r="E12" s="138" t="s">
        <v>2405</v>
      </c>
      <c r="F12" s="138" t="s">
        <v>2406</v>
      </c>
      <c r="G12" s="138" t="s">
        <v>60</v>
      </c>
      <c r="H12" s="141" t="n">
        <v>68</v>
      </c>
      <c r="I12" s="141"/>
      <c r="J12" s="141"/>
      <c r="K12" s="141"/>
      <c r="L12" s="141"/>
      <c r="M12" s="138" t="s">
        <v>2387</v>
      </c>
    </row>
    <row r="13" customFormat="false" ht="15" hidden="false" customHeight="false" outlineLevel="0" collapsed="false">
      <c r="A13" s="138" t="s">
        <v>2407</v>
      </c>
      <c r="B13" s="138" t="s">
        <v>2408</v>
      </c>
      <c r="C13" s="138" t="n">
        <v>15.983</v>
      </c>
      <c r="D13" s="138" t="n">
        <v>16.678</v>
      </c>
      <c r="E13" s="138" t="s">
        <v>2389</v>
      </c>
      <c r="F13" s="138" t="s">
        <v>2390</v>
      </c>
      <c r="G13" s="138" t="s">
        <v>59</v>
      </c>
      <c r="H13" s="141" t="n">
        <v>14</v>
      </c>
      <c r="I13" s="141"/>
      <c r="J13" s="141"/>
      <c r="K13" s="141"/>
      <c r="L13" s="141"/>
      <c r="M13" s="138" t="s">
        <v>2387</v>
      </c>
    </row>
    <row r="14" customFormat="false" ht="15" hidden="false" customHeight="false" outlineLevel="0" collapsed="false">
      <c r="A14" s="138" t="s">
        <v>2409</v>
      </c>
      <c r="B14" s="138" t="s">
        <v>2410</v>
      </c>
      <c r="C14" s="138" t="n">
        <v>16.054</v>
      </c>
      <c r="D14" s="138" t="n">
        <v>19.06</v>
      </c>
      <c r="E14" s="138" t="s">
        <v>2395</v>
      </c>
      <c r="F14" s="138" t="s">
        <v>2396</v>
      </c>
      <c r="G14" s="138" t="s">
        <v>60</v>
      </c>
      <c r="H14" s="141" t="n">
        <v>61</v>
      </c>
      <c r="I14" s="141"/>
      <c r="J14" s="141"/>
      <c r="K14" s="141"/>
      <c r="L14" s="141"/>
      <c r="M14" s="138" t="s">
        <v>2387</v>
      </c>
    </row>
    <row r="15" customFormat="false" ht="15" hidden="false" customHeight="false" outlineLevel="0" collapsed="false">
      <c r="A15" s="138" t="s">
        <v>2411</v>
      </c>
      <c r="B15" s="138" t="s">
        <v>2412</v>
      </c>
      <c r="C15" s="138" t="n">
        <v>16.117</v>
      </c>
      <c r="D15" s="138" t="n">
        <v>28.132</v>
      </c>
      <c r="E15" s="138" t="s">
        <v>2399</v>
      </c>
      <c r="F15" s="138" t="s">
        <v>2400</v>
      </c>
      <c r="G15" s="138" t="s">
        <v>59</v>
      </c>
      <c r="H15" s="141" t="n">
        <v>240.3</v>
      </c>
      <c r="I15" s="141"/>
      <c r="J15" s="141"/>
      <c r="K15" s="141"/>
      <c r="L15" s="141"/>
      <c r="M15" s="138" t="s">
        <v>2381</v>
      </c>
    </row>
    <row r="16" customFormat="false" ht="15" hidden="false" customHeight="false" outlineLevel="0" collapsed="false">
      <c r="A16" s="138" t="s">
        <v>2408</v>
      </c>
      <c r="B16" s="138" t="s">
        <v>2413</v>
      </c>
      <c r="C16" s="138" t="n">
        <v>16.678</v>
      </c>
      <c r="D16" s="138" t="n">
        <v>28.035</v>
      </c>
      <c r="E16" s="138" t="s">
        <v>2385</v>
      </c>
      <c r="F16" s="138" t="s">
        <v>2386</v>
      </c>
      <c r="G16" s="138" t="s">
        <v>59</v>
      </c>
      <c r="H16" s="141" t="n">
        <v>227</v>
      </c>
      <c r="I16" s="141"/>
      <c r="J16" s="141"/>
      <c r="K16" s="141"/>
      <c r="L16" s="141"/>
      <c r="M16" s="138" t="s">
        <v>2387</v>
      </c>
    </row>
    <row r="17" customFormat="false" ht="15" hidden="false" customHeight="false" outlineLevel="0" collapsed="false">
      <c r="A17" s="138" t="s">
        <v>2414</v>
      </c>
      <c r="B17" s="138" t="s">
        <v>2412</v>
      </c>
      <c r="C17" s="138" t="n">
        <v>18.264</v>
      </c>
      <c r="D17" s="138" t="n">
        <v>28.132</v>
      </c>
      <c r="E17" s="138" t="s">
        <v>2399</v>
      </c>
      <c r="F17" s="138" t="s">
        <v>2400</v>
      </c>
      <c r="G17" s="138" t="s">
        <v>60</v>
      </c>
      <c r="H17" s="141" t="n">
        <v>197.36</v>
      </c>
      <c r="I17" s="141"/>
      <c r="J17" s="141"/>
      <c r="K17" s="141"/>
      <c r="L17" s="141"/>
      <c r="M17" s="138" t="s">
        <v>2381</v>
      </c>
    </row>
    <row r="18" customFormat="false" ht="15" hidden="false" customHeight="false" outlineLevel="0" collapsed="false">
      <c r="A18" s="138" t="s">
        <v>2410</v>
      </c>
      <c r="B18" s="138" t="s">
        <v>2415</v>
      </c>
      <c r="C18" s="138" t="n">
        <v>19.06</v>
      </c>
      <c r="D18" s="138" t="n">
        <v>28.0185</v>
      </c>
      <c r="E18" s="138" t="s">
        <v>2385</v>
      </c>
      <c r="F18" s="138" t="s">
        <v>2386</v>
      </c>
      <c r="G18" s="138" t="s">
        <v>60</v>
      </c>
      <c r="H18" s="141" t="n">
        <v>180</v>
      </c>
      <c r="I18" s="141"/>
      <c r="J18" s="141"/>
      <c r="K18" s="141"/>
      <c r="L18" s="141"/>
      <c r="M18" s="138" t="s">
        <v>2387</v>
      </c>
    </row>
    <row r="19" customFormat="false" ht="15" hidden="false" customHeight="false" outlineLevel="0" collapsed="false">
      <c r="A19" s="138" t="s">
        <v>2416</v>
      </c>
      <c r="B19" s="138" t="s">
        <v>2417</v>
      </c>
      <c r="C19" s="138" t="n">
        <v>26.891</v>
      </c>
      <c r="D19" s="138" t="n">
        <v>31.4545</v>
      </c>
      <c r="E19" s="138" t="s">
        <v>2405</v>
      </c>
      <c r="F19" s="138" t="s">
        <v>2406</v>
      </c>
      <c r="G19" s="138" t="s">
        <v>60</v>
      </c>
      <c r="H19" s="141" t="n">
        <v>92</v>
      </c>
      <c r="I19" s="141"/>
      <c r="J19" s="141"/>
      <c r="K19" s="141"/>
      <c r="L19" s="141"/>
      <c r="M19" s="138" t="s">
        <v>2387</v>
      </c>
    </row>
    <row r="20" customFormat="false" ht="15" hidden="false" customHeight="false" outlineLevel="0" collapsed="false">
      <c r="A20" s="138" t="s">
        <v>2415</v>
      </c>
      <c r="B20" s="138" t="s">
        <v>2418</v>
      </c>
      <c r="C20" s="138" t="n">
        <v>28.0185</v>
      </c>
      <c r="D20" s="138" t="n">
        <v>36.742</v>
      </c>
      <c r="E20" s="138" t="s">
        <v>2385</v>
      </c>
      <c r="F20" s="138" t="s">
        <v>2386</v>
      </c>
      <c r="G20" s="138" t="s">
        <v>60</v>
      </c>
      <c r="H20" s="141" t="n">
        <v>175</v>
      </c>
      <c r="I20" s="141"/>
      <c r="J20" s="141"/>
      <c r="K20" s="141"/>
      <c r="L20" s="141"/>
      <c r="M20" s="138" t="s">
        <v>2387</v>
      </c>
    </row>
    <row r="21" customFormat="false" ht="15" hidden="false" customHeight="false" outlineLevel="0" collapsed="false">
      <c r="A21" s="138" t="s">
        <v>2413</v>
      </c>
      <c r="B21" s="138" t="s">
        <v>2419</v>
      </c>
      <c r="C21" s="138" t="n">
        <v>28.035</v>
      </c>
      <c r="D21" s="138" t="n">
        <v>29.727</v>
      </c>
      <c r="E21" s="138" t="s">
        <v>2385</v>
      </c>
      <c r="F21" s="138" t="s">
        <v>2386</v>
      </c>
      <c r="G21" s="138" t="s">
        <v>59</v>
      </c>
      <c r="H21" s="141" t="n">
        <v>34</v>
      </c>
      <c r="I21" s="141"/>
      <c r="J21" s="141"/>
      <c r="K21" s="141"/>
      <c r="L21" s="141"/>
      <c r="M21" s="138" t="s">
        <v>2387</v>
      </c>
    </row>
    <row r="22" customFormat="false" ht="15" hidden="false" customHeight="false" outlineLevel="0" collapsed="false">
      <c r="A22" s="138" t="s">
        <v>2412</v>
      </c>
      <c r="B22" s="138" t="s">
        <v>2420</v>
      </c>
      <c r="C22" s="138" t="n">
        <v>28.132</v>
      </c>
      <c r="D22" s="138" t="n">
        <v>38.038</v>
      </c>
      <c r="E22" s="138" t="s">
        <v>2399</v>
      </c>
      <c r="F22" s="138" t="s">
        <v>2400</v>
      </c>
      <c r="G22" s="138" t="s">
        <v>60</v>
      </c>
      <c r="H22" s="141" t="n">
        <v>198.12</v>
      </c>
      <c r="I22" s="141"/>
      <c r="J22" s="141"/>
      <c r="K22" s="141"/>
      <c r="L22" s="141"/>
      <c r="M22" s="138" t="s">
        <v>2381</v>
      </c>
    </row>
    <row r="23" customFormat="false" ht="15" hidden="false" customHeight="false" outlineLevel="0" collapsed="false">
      <c r="A23" s="138" t="s">
        <v>2412</v>
      </c>
      <c r="B23" s="138" t="s">
        <v>2421</v>
      </c>
      <c r="C23" s="138" t="n">
        <v>28.132</v>
      </c>
      <c r="D23" s="138" t="n">
        <v>30.4515</v>
      </c>
      <c r="E23" s="138" t="s">
        <v>2399</v>
      </c>
      <c r="F23" s="138" t="s">
        <v>2400</v>
      </c>
      <c r="G23" s="138" t="s">
        <v>59</v>
      </c>
      <c r="H23" s="141" t="n">
        <v>46.39</v>
      </c>
      <c r="I23" s="141"/>
      <c r="J23" s="141"/>
      <c r="K23" s="141"/>
      <c r="L23" s="141"/>
      <c r="M23" s="138" t="s">
        <v>2381</v>
      </c>
    </row>
    <row r="24" customFormat="false" ht="15" hidden="false" customHeight="false" outlineLevel="0" collapsed="false">
      <c r="A24" s="138" t="s">
        <v>2419</v>
      </c>
      <c r="B24" s="138" t="s">
        <v>2422</v>
      </c>
      <c r="C24" s="138" t="n">
        <v>29.727</v>
      </c>
      <c r="D24" s="138" t="n">
        <v>29.961</v>
      </c>
      <c r="E24" s="138" t="s">
        <v>2389</v>
      </c>
      <c r="F24" s="138" t="s">
        <v>2390</v>
      </c>
      <c r="G24" s="138" t="s">
        <v>59</v>
      </c>
      <c r="H24" s="141" t="n">
        <v>6</v>
      </c>
      <c r="I24" s="141"/>
      <c r="J24" s="141"/>
      <c r="K24" s="141"/>
      <c r="L24" s="141"/>
      <c r="M24" s="138" t="s">
        <v>2387</v>
      </c>
    </row>
    <row r="25" customFormat="false" ht="15" hidden="false" customHeight="false" outlineLevel="0" collapsed="false">
      <c r="A25" s="138" t="s">
        <v>2417</v>
      </c>
      <c r="B25" s="138" t="s">
        <v>2423</v>
      </c>
      <c r="C25" s="138" t="n">
        <v>31.4545</v>
      </c>
      <c r="D25" s="138" t="n">
        <v>33.501</v>
      </c>
      <c r="E25" s="138" t="s">
        <v>2405</v>
      </c>
      <c r="F25" s="138" t="s">
        <v>2406</v>
      </c>
      <c r="G25" s="138" t="s">
        <v>60</v>
      </c>
      <c r="H25" s="141" t="n">
        <v>41</v>
      </c>
      <c r="I25" s="141"/>
      <c r="J25" s="141"/>
      <c r="K25" s="141"/>
      <c r="L25" s="141"/>
      <c r="M25" s="138" t="s">
        <v>2387</v>
      </c>
    </row>
    <row r="26" customFormat="false" ht="15" hidden="false" customHeight="false" outlineLevel="0" collapsed="false">
      <c r="A26" s="138" t="s">
        <v>2424</v>
      </c>
      <c r="B26" s="138" t="s">
        <v>2425</v>
      </c>
      <c r="C26" s="138" t="n">
        <v>32.3</v>
      </c>
      <c r="D26" s="138" t="n">
        <v>35.2</v>
      </c>
      <c r="E26" s="138" t="s">
        <v>2385</v>
      </c>
      <c r="F26" s="138" t="s">
        <v>2386</v>
      </c>
      <c r="G26" s="138" t="s">
        <v>59</v>
      </c>
      <c r="H26" s="141" t="n">
        <v>58</v>
      </c>
      <c r="I26" s="141"/>
      <c r="J26" s="141"/>
      <c r="K26" s="141"/>
      <c r="L26" s="141"/>
      <c r="M26" s="138" t="s">
        <v>2387</v>
      </c>
    </row>
    <row r="27" customFormat="false" ht="15" hidden="false" customHeight="false" outlineLevel="0" collapsed="false">
      <c r="A27" s="138" t="s">
        <v>2423</v>
      </c>
      <c r="B27" s="138" t="s">
        <v>2426</v>
      </c>
      <c r="C27" s="138" t="n">
        <v>33.501</v>
      </c>
      <c r="D27" s="138" t="n">
        <v>37.127</v>
      </c>
      <c r="E27" s="138" t="s">
        <v>2405</v>
      </c>
      <c r="F27" s="138" t="s">
        <v>2406</v>
      </c>
      <c r="G27" s="138" t="s">
        <v>60</v>
      </c>
      <c r="H27" s="141" t="n">
        <v>73</v>
      </c>
      <c r="I27" s="141"/>
      <c r="J27" s="141"/>
      <c r="K27" s="141"/>
      <c r="L27" s="141"/>
      <c r="M27" s="138" t="s">
        <v>2387</v>
      </c>
    </row>
    <row r="28" customFormat="false" ht="15" hidden="false" customHeight="false" outlineLevel="0" collapsed="false">
      <c r="A28" s="138" t="s">
        <v>2425</v>
      </c>
      <c r="B28" s="138" t="s">
        <v>2427</v>
      </c>
      <c r="C28" s="138" t="n">
        <v>35.2</v>
      </c>
      <c r="D28" s="138" t="n">
        <v>35.4345</v>
      </c>
      <c r="E28" s="138" t="s">
        <v>2389</v>
      </c>
      <c r="F28" s="138" t="s">
        <v>2390</v>
      </c>
      <c r="G28" s="138" t="s">
        <v>59</v>
      </c>
      <c r="H28" s="141" t="n">
        <v>6</v>
      </c>
      <c r="I28" s="141"/>
      <c r="J28" s="141"/>
      <c r="K28" s="141"/>
      <c r="L28" s="141"/>
      <c r="M28" s="138" t="s">
        <v>2387</v>
      </c>
    </row>
    <row r="29" customFormat="false" ht="15" hidden="false" customHeight="false" outlineLevel="0" collapsed="false">
      <c r="A29" s="138" t="s">
        <v>2428</v>
      </c>
      <c r="B29" s="138" t="s">
        <v>2429</v>
      </c>
      <c r="C29" s="138" t="n">
        <v>35.25</v>
      </c>
      <c r="D29" s="138" t="n">
        <v>37.652</v>
      </c>
      <c r="E29" s="138" t="s">
        <v>2379</v>
      </c>
      <c r="F29" s="138" t="s">
        <v>2380</v>
      </c>
      <c r="G29" s="138" t="s">
        <v>59</v>
      </c>
      <c r="H29" s="141" t="n">
        <v>48.04</v>
      </c>
      <c r="I29" s="141"/>
      <c r="J29" s="141"/>
      <c r="K29" s="141"/>
      <c r="L29" s="141"/>
      <c r="M29" s="138" t="s">
        <v>2381</v>
      </c>
    </row>
    <row r="30" customFormat="false" ht="15" hidden="false" customHeight="false" outlineLevel="0" collapsed="false">
      <c r="A30" s="138" t="s">
        <v>2418</v>
      </c>
      <c r="B30" s="138" t="s">
        <v>2430</v>
      </c>
      <c r="C30" s="138" t="n">
        <v>36.742</v>
      </c>
      <c r="D30" s="138" t="n">
        <v>38.603</v>
      </c>
      <c r="E30" s="138" t="s">
        <v>2395</v>
      </c>
      <c r="F30" s="138" t="s">
        <v>2396</v>
      </c>
      <c r="G30" s="138" t="s">
        <v>60</v>
      </c>
      <c r="H30" s="141" t="n">
        <v>38</v>
      </c>
      <c r="I30" s="141"/>
      <c r="J30" s="141"/>
      <c r="K30" s="141"/>
      <c r="L30" s="141"/>
      <c r="M30" s="138" t="s">
        <v>2387</v>
      </c>
    </row>
    <row r="31" customFormat="false" ht="15" hidden="false" customHeight="false" outlineLevel="0" collapsed="false">
      <c r="A31" s="138" t="s">
        <v>2431</v>
      </c>
      <c r="B31" s="138" t="s">
        <v>2432</v>
      </c>
      <c r="C31" s="138" t="n">
        <v>38.05</v>
      </c>
      <c r="D31" s="138" t="n">
        <v>38.2</v>
      </c>
      <c r="E31" s="138" t="s">
        <v>2433</v>
      </c>
      <c r="F31" s="138" t="s">
        <v>2434</v>
      </c>
      <c r="G31" s="138" t="s">
        <v>59</v>
      </c>
      <c r="H31" s="141" t="n">
        <v>3</v>
      </c>
      <c r="I31" s="141"/>
      <c r="J31" s="141"/>
      <c r="K31" s="141"/>
      <c r="L31" s="141"/>
      <c r="M31" s="138" t="s">
        <v>2387</v>
      </c>
    </row>
    <row r="32" customFormat="false" ht="15" hidden="false" customHeight="false" outlineLevel="0" collapsed="false">
      <c r="A32" s="138" t="s">
        <v>2432</v>
      </c>
      <c r="B32" s="138" t="s">
        <v>2435</v>
      </c>
      <c r="C32" s="138" t="n">
        <v>38.2</v>
      </c>
      <c r="D32" s="138" t="n">
        <v>39.15</v>
      </c>
      <c r="E32" s="138" t="s">
        <v>2433</v>
      </c>
      <c r="F32" s="138" t="s">
        <v>2434</v>
      </c>
      <c r="G32" s="138" t="s">
        <v>59</v>
      </c>
      <c r="H32" s="141" t="n">
        <v>19</v>
      </c>
      <c r="I32" s="141"/>
      <c r="J32" s="141"/>
      <c r="K32" s="141"/>
      <c r="L32" s="141"/>
      <c r="M32" s="138" t="s">
        <v>2387</v>
      </c>
    </row>
    <row r="33" customFormat="false" ht="15" hidden="false" customHeight="false" outlineLevel="0" collapsed="false">
      <c r="A33" s="138" t="s">
        <v>2436</v>
      </c>
      <c r="B33" s="138" t="s">
        <v>2437</v>
      </c>
      <c r="C33" s="138" t="n">
        <v>38.231</v>
      </c>
      <c r="D33" s="138" t="n">
        <v>41.052</v>
      </c>
      <c r="E33" s="138" t="s">
        <v>2395</v>
      </c>
      <c r="F33" s="138" t="s">
        <v>2396</v>
      </c>
      <c r="G33" s="138" t="s">
        <v>59</v>
      </c>
      <c r="H33" s="141" t="n">
        <v>57</v>
      </c>
      <c r="I33" s="141"/>
      <c r="J33" s="141"/>
      <c r="K33" s="141"/>
      <c r="L33" s="141"/>
      <c r="M33" s="138" t="s">
        <v>2387</v>
      </c>
    </row>
    <row r="34" customFormat="false" ht="15" hidden="false" customHeight="false" outlineLevel="0" collapsed="false">
      <c r="A34" s="138" t="s">
        <v>2438</v>
      </c>
      <c r="B34" s="138" t="s">
        <v>2439</v>
      </c>
      <c r="C34" s="138" t="n">
        <v>38.8595</v>
      </c>
      <c r="D34" s="138" t="n">
        <v>44.8425</v>
      </c>
      <c r="E34" s="138" t="s">
        <v>2399</v>
      </c>
      <c r="F34" s="138" t="s">
        <v>2400</v>
      </c>
      <c r="G34" s="138" t="s">
        <v>59</v>
      </c>
      <c r="H34" s="141" t="n">
        <v>119.66</v>
      </c>
      <c r="I34" s="141"/>
      <c r="J34" s="141"/>
      <c r="K34" s="141"/>
      <c r="L34" s="141"/>
      <c r="M34" s="138" t="s">
        <v>2381</v>
      </c>
    </row>
    <row r="35" customFormat="false" ht="15" hidden="false" customHeight="false" outlineLevel="0" collapsed="false">
      <c r="A35" s="138" t="s">
        <v>1681</v>
      </c>
      <c r="B35" s="138" t="s">
        <v>2440</v>
      </c>
      <c r="C35" s="138" t="n">
        <v>39</v>
      </c>
      <c r="D35" s="138" t="n">
        <v>40.25</v>
      </c>
      <c r="E35" s="138" t="s">
        <v>2379</v>
      </c>
      <c r="F35" s="138" t="s">
        <v>2380</v>
      </c>
      <c r="G35" s="138" t="s">
        <v>60</v>
      </c>
      <c r="H35" s="141" t="n">
        <v>25</v>
      </c>
      <c r="I35" s="141"/>
      <c r="J35" s="141"/>
      <c r="K35" s="141"/>
      <c r="L35" s="141"/>
      <c r="M35" s="138" t="s">
        <v>2381</v>
      </c>
    </row>
    <row r="36" customFormat="false" ht="15" hidden="false" customHeight="false" outlineLevel="0" collapsed="false">
      <c r="A36" s="138" t="s">
        <v>2441</v>
      </c>
      <c r="B36" s="138" t="s">
        <v>2439</v>
      </c>
      <c r="C36" s="138" t="n">
        <v>40.612</v>
      </c>
      <c r="D36" s="138" t="n">
        <v>44.8425</v>
      </c>
      <c r="E36" s="138" t="s">
        <v>2399</v>
      </c>
      <c r="F36" s="138" t="s">
        <v>2400</v>
      </c>
      <c r="G36" s="138" t="s">
        <v>60</v>
      </c>
      <c r="H36" s="141" t="n">
        <v>84.61</v>
      </c>
      <c r="I36" s="141"/>
      <c r="J36" s="141"/>
      <c r="K36" s="141"/>
      <c r="L36" s="141"/>
      <c r="M36" s="138" t="s">
        <v>2381</v>
      </c>
    </row>
    <row r="37" customFormat="false" ht="15" hidden="false" customHeight="false" outlineLevel="0" collapsed="false">
      <c r="A37" s="138" t="s">
        <v>2437</v>
      </c>
      <c r="B37" s="138" t="s">
        <v>2442</v>
      </c>
      <c r="C37" s="138" t="n">
        <v>41.052</v>
      </c>
      <c r="D37" s="138" t="n">
        <v>44.902</v>
      </c>
      <c r="E37" s="138" t="s">
        <v>2385</v>
      </c>
      <c r="F37" s="138" t="s">
        <v>2386</v>
      </c>
      <c r="G37" s="138" t="s">
        <v>59</v>
      </c>
      <c r="H37" s="141" t="n">
        <v>77</v>
      </c>
      <c r="I37" s="141"/>
      <c r="J37" s="141"/>
      <c r="K37" s="141"/>
      <c r="L37" s="141"/>
      <c r="M37" s="138" t="s">
        <v>2387</v>
      </c>
    </row>
    <row r="38" customFormat="false" ht="15" hidden="false" customHeight="false" outlineLevel="0" collapsed="false">
      <c r="A38" s="138" t="s">
        <v>2443</v>
      </c>
      <c r="B38" s="138" t="s">
        <v>2444</v>
      </c>
      <c r="C38" s="138" t="n">
        <v>41.2775</v>
      </c>
      <c r="D38" s="138" t="n">
        <v>41.7885</v>
      </c>
      <c r="E38" s="138" t="s">
        <v>2385</v>
      </c>
      <c r="F38" s="138" t="s">
        <v>2386</v>
      </c>
      <c r="G38" s="138" t="s">
        <v>60</v>
      </c>
      <c r="H38" s="141" t="n">
        <v>17</v>
      </c>
      <c r="I38" s="141"/>
      <c r="J38" s="141"/>
      <c r="K38" s="141"/>
      <c r="L38" s="141"/>
      <c r="M38" s="138" t="s">
        <v>2387</v>
      </c>
    </row>
    <row r="39" customFormat="false" ht="15" hidden="false" customHeight="false" outlineLevel="0" collapsed="false">
      <c r="A39" s="138" t="s">
        <v>2445</v>
      </c>
      <c r="B39" s="138" t="s">
        <v>2446</v>
      </c>
      <c r="C39" s="138" t="n">
        <v>41.383</v>
      </c>
      <c r="D39" s="138" t="n">
        <v>41.829</v>
      </c>
      <c r="E39" s="138" t="s">
        <v>2405</v>
      </c>
      <c r="F39" s="138" t="s">
        <v>2406</v>
      </c>
      <c r="G39" s="138" t="s">
        <v>60</v>
      </c>
      <c r="H39" s="141" t="n">
        <v>16</v>
      </c>
      <c r="I39" s="141"/>
      <c r="J39" s="141"/>
      <c r="K39" s="141"/>
      <c r="L39" s="141"/>
      <c r="M39" s="138" t="s">
        <v>2387</v>
      </c>
    </row>
    <row r="40" customFormat="false" ht="15" hidden="false" customHeight="false" outlineLevel="0" collapsed="false">
      <c r="A40" s="138" t="s">
        <v>2444</v>
      </c>
      <c r="B40" s="138" t="s">
        <v>2447</v>
      </c>
      <c r="C40" s="138" t="n">
        <v>41.7885</v>
      </c>
      <c r="D40" s="138" t="n">
        <v>44.8665</v>
      </c>
      <c r="E40" s="138" t="s">
        <v>2385</v>
      </c>
      <c r="F40" s="138" t="s">
        <v>2386</v>
      </c>
      <c r="G40" s="138" t="s">
        <v>60</v>
      </c>
      <c r="H40" s="141" t="n">
        <v>68</v>
      </c>
      <c r="I40" s="141"/>
      <c r="J40" s="141"/>
      <c r="K40" s="141"/>
      <c r="L40" s="141"/>
      <c r="M40" s="138" t="s">
        <v>2387</v>
      </c>
    </row>
    <row r="41" customFormat="false" ht="15" hidden="false" customHeight="false" outlineLevel="0" collapsed="false">
      <c r="A41" s="138" t="s">
        <v>2446</v>
      </c>
      <c r="B41" s="138" t="s">
        <v>2448</v>
      </c>
      <c r="C41" s="138" t="n">
        <v>41.829</v>
      </c>
      <c r="D41" s="138" t="n">
        <v>44.066</v>
      </c>
      <c r="E41" s="138" t="s">
        <v>2405</v>
      </c>
      <c r="F41" s="138" t="s">
        <v>2406</v>
      </c>
      <c r="G41" s="138" t="s">
        <v>60</v>
      </c>
      <c r="H41" s="141" t="n">
        <v>48</v>
      </c>
      <c r="I41" s="141"/>
      <c r="J41" s="141"/>
      <c r="K41" s="141"/>
      <c r="L41" s="141"/>
      <c r="M41" s="138" t="s">
        <v>2387</v>
      </c>
    </row>
    <row r="42" customFormat="false" ht="15" hidden="false" customHeight="false" outlineLevel="0" collapsed="false">
      <c r="A42" s="138" t="s">
        <v>2439</v>
      </c>
      <c r="B42" s="138" t="s">
        <v>2449</v>
      </c>
      <c r="C42" s="138" t="n">
        <v>44.8425</v>
      </c>
      <c r="D42" s="138" t="n">
        <v>50.6815</v>
      </c>
      <c r="E42" s="138" t="s">
        <v>2399</v>
      </c>
      <c r="F42" s="138" t="s">
        <v>2400</v>
      </c>
      <c r="G42" s="138" t="s">
        <v>59</v>
      </c>
      <c r="H42" s="141" t="n">
        <v>116.78</v>
      </c>
      <c r="I42" s="141"/>
      <c r="J42" s="141"/>
      <c r="K42" s="141"/>
      <c r="L42" s="141"/>
      <c r="M42" s="138" t="s">
        <v>2381</v>
      </c>
    </row>
    <row r="43" customFormat="false" ht="15" hidden="false" customHeight="false" outlineLevel="0" collapsed="false">
      <c r="A43" s="138" t="s">
        <v>2439</v>
      </c>
      <c r="B43" s="138" t="s">
        <v>2450</v>
      </c>
      <c r="C43" s="138" t="n">
        <v>44.8425</v>
      </c>
      <c r="D43" s="138" t="n">
        <v>53.232</v>
      </c>
      <c r="E43" s="138" t="s">
        <v>2399</v>
      </c>
      <c r="F43" s="138" t="s">
        <v>2400</v>
      </c>
      <c r="G43" s="138" t="s">
        <v>60</v>
      </c>
      <c r="H43" s="141" t="n">
        <v>167.79</v>
      </c>
      <c r="I43" s="141"/>
      <c r="J43" s="141"/>
      <c r="K43" s="141"/>
      <c r="L43" s="141"/>
      <c r="M43" s="138" t="s">
        <v>2381</v>
      </c>
    </row>
    <row r="44" customFormat="false" ht="15" hidden="false" customHeight="false" outlineLevel="0" collapsed="false">
      <c r="A44" s="138" t="s">
        <v>2447</v>
      </c>
      <c r="B44" s="138" t="s">
        <v>2451</v>
      </c>
      <c r="C44" s="138" t="n">
        <v>44.8665</v>
      </c>
      <c r="D44" s="138" t="n">
        <v>51.4665</v>
      </c>
      <c r="E44" s="138" t="s">
        <v>2385</v>
      </c>
      <c r="F44" s="138" t="s">
        <v>2386</v>
      </c>
      <c r="G44" s="138" t="s">
        <v>60</v>
      </c>
      <c r="H44" s="141" t="n">
        <v>132</v>
      </c>
      <c r="I44" s="141"/>
      <c r="J44" s="141"/>
      <c r="K44" s="141"/>
      <c r="L44" s="141"/>
      <c r="M44" s="138" t="s">
        <v>2387</v>
      </c>
    </row>
    <row r="45" customFormat="false" ht="15" hidden="false" customHeight="false" outlineLevel="0" collapsed="false">
      <c r="A45" s="138" t="s">
        <v>2442</v>
      </c>
      <c r="B45" s="138" t="s">
        <v>2452</v>
      </c>
      <c r="C45" s="138" t="n">
        <v>44.902</v>
      </c>
      <c r="D45" s="138" t="n">
        <v>49.102</v>
      </c>
      <c r="E45" s="138" t="s">
        <v>2385</v>
      </c>
      <c r="F45" s="138" t="s">
        <v>2386</v>
      </c>
      <c r="G45" s="138" t="s">
        <v>59</v>
      </c>
      <c r="H45" s="141" t="n">
        <v>84</v>
      </c>
      <c r="I45" s="141"/>
      <c r="J45" s="141"/>
      <c r="K45" s="141"/>
      <c r="L45" s="141"/>
      <c r="M45" s="138" t="s">
        <v>2387</v>
      </c>
    </row>
    <row r="46" customFormat="false" ht="15" hidden="false" customHeight="false" outlineLevel="0" collapsed="false">
      <c r="A46" s="138" t="s">
        <v>2452</v>
      </c>
      <c r="B46" s="138" t="s">
        <v>2453</v>
      </c>
      <c r="C46" s="138" t="n">
        <v>49.102</v>
      </c>
      <c r="D46" s="138" t="n">
        <v>50.0515</v>
      </c>
      <c r="E46" s="138" t="s">
        <v>2454</v>
      </c>
      <c r="F46" s="138" t="s">
        <v>2455</v>
      </c>
      <c r="G46" s="138" t="s">
        <v>59</v>
      </c>
      <c r="H46" s="141" t="n">
        <v>19</v>
      </c>
      <c r="I46" s="141"/>
      <c r="J46" s="141"/>
      <c r="K46" s="141"/>
      <c r="L46" s="141"/>
      <c r="M46" s="138" t="s">
        <v>2456</v>
      </c>
    </row>
    <row r="47" customFormat="false" ht="15" hidden="false" customHeight="false" outlineLevel="0" collapsed="false">
      <c r="A47" s="138" t="s">
        <v>2453</v>
      </c>
      <c r="B47" s="138" t="s">
        <v>2457</v>
      </c>
      <c r="C47" s="138" t="n">
        <v>50.0515</v>
      </c>
      <c r="D47" s="138" t="n">
        <v>50.2835</v>
      </c>
      <c r="E47" s="138" t="s">
        <v>2389</v>
      </c>
      <c r="F47" s="138" t="s">
        <v>2390</v>
      </c>
      <c r="G47" s="138" t="s">
        <v>59</v>
      </c>
      <c r="H47" s="141" t="n">
        <v>6</v>
      </c>
      <c r="I47" s="141"/>
      <c r="J47" s="141"/>
      <c r="K47" s="141"/>
      <c r="L47" s="141"/>
      <c r="M47" s="138" t="s">
        <v>2387</v>
      </c>
    </row>
    <row r="48" customFormat="false" ht="15" hidden="false" customHeight="false" outlineLevel="0" collapsed="false">
      <c r="A48" s="138" t="s">
        <v>2451</v>
      </c>
      <c r="B48" s="138" t="s">
        <v>2458</v>
      </c>
      <c r="C48" s="138" t="n">
        <v>51.4665</v>
      </c>
      <c r="D48" s="138" t="n">
        <v>60.062</v>
      </c>
      <c r="E48" s="138" t="s">
        <v>2395</v>
      </c>
      <c r="F48" s="138" t="s">
        <v>2396</v>
      </c>
      <c r="G48" s="138" t="s">
        <v>60</v>
      </c>
      <c r="H48" s="141" t="n">
        <v>172</v>
      </c>
      <c r="I48" s="141"/>
      <c r="J48" s="141"/>
      <c r="K48" s="141"/>
      <c r="L48" s="141"/>
      <c r="M48" s="138" t="s">
        <v>2387</v>
      </c>
    </row>
    <row r="49" customFormat="false" ht="15" hidden="false" customHeight="false" outlineLevel="0" collapsed="false">
      <c r="A49" s="138" t="s">
        <v>2459</v>
      </c>
      <c r="B49" s="138" t="s">
        <v>2460</v>
      </c>
      <c r="C49" s="138" t="n">
        <v>54.6285</v>
      </c>
      <c r="D49" s="138" t="n">
        <v>64.7785</v>
      </c>
      <c r="E49" s="138" t="s">
        <v>2433</v>
      </c>
      <c r="F49" s="138" t="s">
        <v>2434</v>
      </c>
      <c r="G49" s="138" t="s">
        <v>59</v>
      </c>
      <c r="H49" s="141" t="n">
        <v>203</v>
      </c>
      <c r="I49" s="141"/>
      <c r="J49" s="141"/>
      <c r="K49" s="141"/>
      <c r="L49" s="141"/>
      <c r="M49" s="138" t="s">
        <v>2387</v>
      </c>
    </row>
    <row r="50" customFormat="false" ht="15" hidden="false" customHeight="false" outlineLevel="0" collapsed="false">
      <c r="A50" s="138" t="s">
        <v>2458</v>
      </c>
      <c r="B50" s="138" t="s">
        <v>2461</v>
      </c>
      <c r="C50" s="138" t="n">
        <v>60.062</v>
      </c>
      <c r="D50" s="138" t="n">
        <v>61.608</v>
      </c>
      <c r="E50" s="138" t="s">
        <v>2462</v>
      </c>
      <c r="F50" s="138" t="s">
        <v>2396</v>
      </c>
      <c r="G50" s="138" t="s">
        <v>60</v>
      </c>
      <c r="H50" s="141" t="n">
        <v>31</v>
      </c>
      <c r="I50" s="141"/>
      <c r="J50" s="141"/>
      <c r="K50" s="141"/>
      <c r="L50" s="141"/>
      <c r="M50" s="138" t="s">
        <v>2387</v>
      </c>
    </row>
    <row r="51" customFormat="false" ht="15" hidden="false" customHeight="false" outlineLevel="0" collapsed="false">
      <c r="A51" s="138" t="s">
        <v>2461</v>
      </c>
      <c r="B51" s="138" t="s">
        <v>2463</v>
      </c>
      <c r="C51" s="138" t="n">
        <v>61.608</v>
      </c>
      <c r="D51" s="138" t="n">
        <v>63.4525</v>
      </c>
      <c r="E51" s="138" t="s">
        <v>2464</v>
      </c>
      <c r="F51" s="138" t="s">
        <v>2406</v>
      </c>
      <c r="G51" s="138" t="s">
        <v>60</v>
      </c>
      <c r="H51" s="141" t="n">
        <v>37</v>
      </c>
      <c r="I51" s="141"/>
      <c r="J51" s="141"/>
      <c r="K51" s="141"/>
      <c r="L51" s="141"/>
      <c r="M51" s="138" t="s">
        <v>2387</v>
      </c>
    </row>
    <row r="52" customFormat="false" ht="15" hidden="false" customHeight="false" outlineLevel="0" collapsed="false">
      <c r="A52" s="138" t="s">
        <v>2465</v>
      </c>
      <c r="B52" s="138" t="s">
        <v>2466</v>
      </c>
      <c r="C52" s="138" t="n">
        <v>61.75</v>
      </c>
      <c r="D52" s="138" t="n">
        <v>63.964</v>
      </c>
      <c r="E52" s="138" t="s">
        <v>2379</v>
      </c>
      <c r="F52" s="138" t="s">
        <v>2380</v>
      </c>
      <c r="G52" s="138" t="s">
        <v>59</v>
      </c>
      <c r="H52" s="141" t="n">
        <v>44.28</v>
      </c>
      <c r="I52" s="141"/>
      <c r="J52" s="141"/>
      <c r="K52" s="141"/>
      <c r="L52" s="141"/>
      <c r="M52" s="138" t="s">
        <v>2381</v>
      </c>
    </row>
    <row r="53" customFormat="false" ht="15" hidden="false" customHeight="false" outlineLevel="0" collapsed="false">
      <c r="A53" s="138" t="s">
        <v>2465</v>
      </c>
      <c r="B53" s="138" t="s">
        <v>2467</v>
      </c>
      <c r="C53" s="138" t="n">
        <v>61.75</v>
      </c>
      <c r="D53" s="138" t="n">
        <v>64.129</v>
      </c>
      <c r="E53" s="138" t="s">
        <v>2379</v>
      </c>
      <c r="F53" s="138" t="s">
        <v>2380</v>
      </c>
      <c r="G53" s="138" t="s">
        <v>60</v>
      </c>
      <c r="H53" s="141" t="n">
        <v>47.58</v>
      </c>
      <c r="I53" s="141"/>
      <c r="J53" s="141"/>
      <c r="K53" s="141"/>
      <c r="L53" s="141"/>
      <c r="M53" s="138" t="s">
        <v>2381</v>
      </c>
    </row>
    <row r="54" customFormat="false" ht="15" hidden="false" customHeight="false" outlineLevel="0" collapsed="false">
      <c r="A54" s="138" t="s">
        <v>2463</v>
      </c>
      <c r="B54" s="138" t="s">
        <v>2468</v>
      </c>
      <c r="C54" s="138" t="n">
        <v>63.4525</v>
      </c>
      <c r="D54" s="138" t="n">
        <v>65.3955</v>
      </c>
      <c r="E54" s="138" t="s">
        <v>2462</v>
      </c>
      <c r="F54" s="138" t="s">
        <v>2396</v>
      </c>
      <c r="G54" s="138" t="s">
        <v>60</v>
      </c>
      <c r="H54" s="141" t="n">
        <v>39</v>
      </c>
      <c r="I54" s="141"/>
      <c r="J54" s="141"/>
      <c r="K54" s="141"/>
      <c r="L54" s="141"/>
      <c r="M54" s="138" t="s">
        <v>2387</v>
      </c>
    </row>
    <row r="55" customFormat="false" ht="15" hidden="false" customHeight="false" outlineLevel="0" collapsed="false">
      <c r="A55" s="138" t="s">
        <v>2460</v>
      </c>
      <c r="B55" s="138" t="s">
        <v>2469</v>
      </c>
      <c r="C55" s="138" t="n">
        <v>64.7785</v>
      </c>
      <c r="D55" s="138" t="n">
        <v>66.0285</v>
      </c>
      <c r="E55" s="138" t="s">
        <v>2433</v>
      </c>
      <c r="F55" s="138" t="s">
        <v>2434</v>
      </c>
      <c r="G55" s="138" t="s">
        <v>59</v>
      </c>
      <c r="H55" s="141" t="n">
        <v>25</v>
      </c>
      <c r="I55" s="141"/>
      <c r="J55" s="141"/>
      <c r="K55" s="141"/>
      <c r="L55" s="141"/>
      <c r="M55" s="138" t="s">
        <v>2387</v>
      </c>
    </row>
    <row r="56" customFormat="false" ht="15" hidden="false" customHeight="false" outlineLevel="0" collapsed="false">
      <c r="A56" s="138" t="s">
        <v>2470</v>
      </c>
      <c r="B56" s="138" t="s">
        <v>2471</v>
      </c>
      <c r="C56" s="138" t="n">
        <v>64.9265</v>
      </c>
      <c r="D56" s="138" t="n">
        <v>66.6265</v>
      </c>
      <c r="E56" s="138" t="s">
        <v>2433</v>
      </c>
      <c r="F56" s="138" t="s">
        <v>2434</v>
      </c>
      <c r="G56" s="138" t="s">
        <v>60</v>
      </c>
      <c r="H56" s="141" t="n">
        <v>35</v>
      </c>
      <c r="I56" s="141"/>
      <c r="J56" s="141"/>
      <c r="K56" s="141"/>
      <c r="L56" s="141"/>
      <c r="M56" s="138" t="s">
        <v>2387</v>
      </c>
    </row>
    <row r="57" customFormat="false" ht="15" hidden="false" customHeight="false" outlineLevel="0" collapsed="false">
      <c r="A57" s="138" t="s">
        <v>2472</v>
      </c>
      <c r="B57" s="138" t="s">
        <v>2473</v>
      </c>
      <c r="C57" s="138" t="n">
        <v>65.2405</v>
      </c>
      <c r="D57" s="138" t="n">
        <v>67.0635</v>
      </c>
      <c r="E57" s="138" t="s">
        <v>2395</v>
      </c>
      <c r="F57" s="138" t="s">
        <v>2396</v>
      </c>
      <c r="G57" s="138" t="s">
        <v>59</v>
      </c>
      <c r="H57" s="141" t="n">
        <v>37</v>
      </c>
      <c r="I57" s="141"/>
      <c r="J57" s="141"/>
      <c r="K57" s="141"/>
      <c r="L57" s="141"/>
      <c r="M57" s="138" t="s">
        <v>2387</v>
      </c>
    </row>
    <row r="58" customFormat="false" ht="15" hidden="false" customHeight="false" outlineLevel="0" collapsed="false">
      <c r="A58" s="138" t="s">
        <v>2474</v>
      </c>
      <c r="B58" s="138" t="s">
        <v>2475</v>
      </c>
      <c r="C58" s="138" t="n">
        <v>65.738</v>
      </c>
      <c r="D58" s="138" t="n">
        <v>67.516</v>
      </c>
      <c r="E58" s="138" t="s">
        <v>2395</v>
      </c>
      <c r="F58" s="138" t="s">
        <v>2396</v>
      </c>
      <c r="G58" s="138" t="s">
        <v>60</v>
      </c>
      <c r="H58" s="141" t="n">
        <v>36</v>
      </c>
      <c r="I58" s="141"/>
      <c r="J58" s="141"/>
      <c r="K58" s="141"/>
      <c r="L58" s="141"/>
      <c r="M58" s="138" t="s">
        <v>2387</v>
      </c>
    </row>
    <row r="59" customFormat="false" ht="15" hidden="false" customHeight="false" outlineLevel="0" collapsed="false">
      <c r="A59" s="138" t="s">
        <v>2476</v>
      </c>
      <c r="B59" s="138" t="s">
        <v>2477</v>
      </c>
      <c r="C59" s="138" t="n">
        <v>66.25</v>
      </c>
      <c r="D59" s="138" t="n">
        <v>78.829</v>
      </c>
      <c r="E59" s="138" t="s">
        <v>2399</v>
      </c>
      <c r="F59" s="138" t="s">
        <v>2400</v>
      </c>
      <c r="G59" s="138" t="s">
        <v>59</v>
      </c>
      <c r="H59" s="141" t="n">
        <v>251.58</v>
      </c>
      <c r="I59" s="141"/>
      <c r="J59" s="141"/>
      <c r="K59" s="141"/>
      <c r="L59" s="141"/>
      <c r="M59" s="138" t="s">
        <v>2381</v>
      </c>
    </row>
    <row r="60" customFormat="false" ht="15" hidden="false" customHeight="false" outlineLevel="0" collapsed="false">
      <c r="A60" s="138" t="s">
        <v>2478</v>
      </c>
      <c r="B60" s="138" t="s">
        <v>2477</v>
      </c>
      <c r="C60" s="138" t="n">
        <v>66.331</v>
      </c>
      <c r="D60" s="138" t="n">
        <v>78.829</v>
      </c>
      <c r="E60" s="138" t="s">
        <v>2399</v>
      </c>
      <c r="F60" s="138" t="s">
        <v>2400</v>
      </c>
      <c r="G60" s="138" t="s">
        <v>60</v>
      </c>
      <c r="H60" s="141" t="n">
        <v>249.96</v>
      </c>
      <c r="I60" s="141"/>
      <c r="J60" s="141"/>
      <c r="K60" s="141"/>
      <c r="L60" s="141"/>
      <c r="M60" s="138" t="s">
        <v>2381</v>
      </c>
    </row>
    <row r="61" customFormat="false" ht="15" hidden="false" customHeight="false" outlineLevel="0" collapsed="false">
      <c r="A61" s="138" t="s">
        <v>2473</v>
      </c>
      <c r="B61" s="138" t="s">
        <v>2479</v>
      </c>
      <c r="C61" s="138" t="n">
        <v>67.0635</v>
      </c>
      <c r="D61" s="138" t="n">
        <v>79.4635</v>
      </c>
      <c r="E61" s="138" t="s">
        <v>2385</v>
      </c>
      <c r="F61" s="138" t="s">
        <v>2386</v>
      </c>
      <c r="G61" s="138" t="s">
        <v>59</v>
      </c>
      <c r="H61" s="141" t="n">
        <v>248</v>
      </c>
      <c r="I61" s="141"/>
      <c r="J61" s="141"/>
      <c r="K61" s="141"/>
      <c r="L61" s="141"/>
      <c r="M61" s="138" t="s">
        <v>2387</v>
      </c>
    </row>
    <row r="62" customFormat="false" ht="15" hidden="false" customHeight="false" outlineLevel="0" collapsed="false">
      <c r="A62" s="138" t="s">
        <v>2475</v>
      </c>
      <c r="B62" s="138" t="s">
        <v>2480</v>
      </c>
      <c r="C62" s="138" t="n">
        <v>67.516</v>
      </c>
      <c r="D62" s="138" t="n">
        <v>78.744</v>
      </c>
      <c r="E62" s="138" t="s">
        <v>2385</v>
      </c>
      <c r="F62" s="138" t="s">
        <v>2386</v>
      </c>
      <c r="G62" s="138" t="s">
        <v>60</v>
      </c>
      <c r="H62" s="141" t="n">
        <v>225</v>
      </c>
      <c r="I62" s="141"/>
      <c r="J62" s="141"/>
      <c r="K62" s="141"/>
      <c r="L62" s="141"/>
      <c r="M62" s="138" t="s">
        <v>2387</v>
      </c>
    </row>
    <row r="63" customFormat="false" ht="15" hidden="false" customHeight="false" outlineLevel="0" collapsed="false">
      <c r="A63" s="138" t="s">
        <v>2481</v>
      </c>
      <c r="B63" s="138" t="s">
        <v>2482</v>
      </c>
      <c r="C63" s="138" t="n">
        <v>84.8</v>
      </c>
      <c r="D63" s="138" t="n">
        <v>95.441</v>
      </c>
      <c r="E63" s="138" t="s">
        <v>2385</v>
      </c>
      <c r="F63" s="138" t="s">
        <v>2386</v>
      </c>
      <c r="G63" s="138" t="s">
        <v>60</v>
      </c>
      <c r="H63" s="141" t="n">
        <v>213</v>
      </c>
      <c r="I63" s="141"/>
      <c r="J63" s="141"/>
      <c r="K63" s="141"/>
      <c r="L63" s="141"/>
      <c r="M63" s="138" t="s">
        <v>2387</v>
      </c>
    </row>
    <row r="64" customFormat="false" ht="15" hidden="false" customHeight="false" outlineLevel="0" collapsed="false">
      <c r="A64" s="138" t="s">
        <v>2483</v>
      </c>
      <c r="B64" s="138" t="s">
        <v>2484</v>
      </c>
      <c r="C64" s="138" t="n">
        <v>85.05</v>
      </c>
      <c r="D64" s="138" t="n">
        <v>104.514</v>
      </c>
      <c r="E64" s="138" t="s">
        <v>2385</v>
      </c>
      <c r="F64" s="138" t="s">
        <v>2386</v>
      </c>
      <c r="G64" s="138" t="s">
        <v>59</v>
      </c>
      <c r="H64" s="141" t="n">
        <v>391</v>
      </c>
      <c r="I64" s="141"/>
      <c r="J64" s="141"/>
      <c r="K64" s="141"/>
      <c r="L64" s="141"/>
      <c r="M64" s="138" t="s">
        <v>2387</v>
      </c>
    </row>
    <row r="65" customFormat="false" ht="15" hidden="false" customHeight="false" outlineLevel="0" collapsed="false">
      <c r="A65" s="138" t="s">
        <v>2485</v>
      </c>
      <c r="B65" s="138" t="s">
        <v>2486</v>
      </c>
      <c r="C65" s="138" t="n">
        <v>86.441</v>
      </c>
      <c r="D65" s="138" t="n">
        <v>105.481</v>
      </c>
      <c r="E65" s="138" t="s">
        <v>2399</v>
      </c>
      <c r="F65" s="138" t="s">
        <v>2400</v>
      </c>
      <c r="G65" s="138" t="s">
        <v>60</v>
      </c>
      <c r="H65" s="141" t="n">
        <v>380.8</v>
      </c>
      <c r="I65" s="141"/>
      <c r="J65" s="141"/>
      <c r="K65" s="141"/>
      <c r="L65" s="141"/>
      <c r="M65" s="138" t="s">
        <v>2381</v>
      </c>
    </row>
    <row r="66" customFormat="false" ht="15" hidden="false" customHeight="false" outlineLevel="0" collapsed="false">
      <c r="A66" s="138" t="s">
        <v>2487</v>
      </c>
      <c r="B66" s="138" t="s">
        <v>2488</v>
      </c>
      <c r="C66" s="138" t="n">
        <v>86.65</v>
      </c>
      <c r="D66" s="138" t="n">
        <v>105.486</v>
      </c>
      <c r="E66" s="138" t="s">
        <v>2399</v>
      </c>
      <c r="F66" s="138" t="s">
        <v>2400</v>
      </c>
      <c r="G66" s="138" t="s">
        <v>59</v>
      </c>
      <c r="H66" s="141" t="n">
        <v>376.72</v>
      </c>
      <c r="I66" s="141"/>
      <c r="J66" s="141"/>
      <c r="K66" s="141"/>
      <c r="L66" s="141"/>
      <c r="M66" s="138" t="s">
        <v>2381</v>
      </c>
    </row>
    <row r="67" customFormat="false" ht="15" hidden="false" customHeight="false" outlineLevel="0" collapsed="false">
      <c r="A67" s="138" t="s">
        <v>2489</v>
      </c>
      <c r="B67" s="138" t="s">
        <v>2490</v>
      </c>
      <c r="C67" s="138" t="n">
        <v>88.068</v>
      </c>
      <c r="D67" s="138" t="n">
        <v>95.3945</v>
      </c>
      <c r="E67" s="138" t="s">
        <v>2405</v>
      </c>
      <c r="F67" s="138" t="s">
        <v>2406</v>
      </c>
      <c r="G67" s="138" t="s">
        <v>60</v>
      </c>
      <c r="H67" s="141" t="n">
        <v>148</v>
      </c>
      <c r="I67" s="141"/>
      <c r="J67" s="141"/>
      <c r="K67" s="141"/>
      <c r="L67" s="141"/>
      <c r="M67" s="138" t="s">
        <v>2387</v>
      </c>
    </row>
    <row r="68" customFormat="false" ht="15" hidden="false" customHeight="false" outlineLevel="0" collapsed="false">
      <c r="A68" s="138" t="s">
        <v>2490</v>
      </c>
      <c r="B68" s="138" t="s">
        <v>2491</v>
      </c>
      <c r="C68" s="138" t="n">
        <v>95.3945</v>
      </c>
      <c r="D68" s="138" t="n">
        <v>95.4165</v>
      </c>
      <c r="E68" s="138" t="s">
        <v>2405</v>
      </c>
      <c r="F68" s="138" t="s">
        <v>2406</v>
      </c>
      <c r="G68" s="138" t="s">
        <v>60</v>
      </c>
      <c r="H68" s="141" t="n">
        <v>22</v>
      </c>
      <c r="I68" s="141"/>
      <c r="J68" s="141"/>
      <c r="K68" s="141"/>
      <c r="L68" s="141"/>
      <c r="M68" s="138" t="s">
        <v>2387</v>
      </c>
    </row>
    <row r="69" customFormat="false" ht="15" hidden="false" customHeight="false" outlineLevel="0" collapsed="false">
      <c r="A69" s="138" t="s">
        <v>2482</v>
      </c>
      <c r="B69" s="138" t="s">
        <v>2492</v>
      </c>
      <c r="C69" s="138" t="n">
        <v>95.441</v>
      </c>
      <c r="D69" s="138" t="n">
        <v>95.573</v>
      </c>
      <c r="E69" s="138" t="s">
        <v>2385</v>
      </c>
      <c r="F69" s="138" t="s">
        <v>2386</v>
      </c>
      <c r="G69" s="138" t="s">
        <v>60</v>
      </c>
      <c r="H69" s="141" t="n">
        <v>32</v>
      </c>
      <c r="I69" s="141"/>
      <c r="J69" s="141"/>
      <c r="K69" s="141"/>
      <c r="L69" s="141"/>
      <c r="M69" s="138" t="s">
        <v>2387</v>
      </c>
    </row>
    <row r="70" customFormat="false" ht="15" hidden="false" customHeight="false" outlineLevel="0" collapsed="false">
      <c r="A70" s="138" t="s">
        <v>2482</v>
      </c>
      <c r="B70" s="138" t="s">
        <v>2493</v>
      </c>
      <c r="C70" s="138" t="n">
        <v>95.441</v>
      </c>
      <c r="D70" s="138" t="n">
        <v>96.291</v>
      </c>
      <c r="E70" s="138" t="s">
        <v>2454</v>
      </c>
      <c r="F70" s="138" t="s">
        <v>2455</v>
      </c>
      <c r="G70" s="138" t="s">
        <v>60</v>
      </c>
      <c r="H70" s="141" t="n">
        <v>17</v>
      </c>
      <c r="I70" s="141"/>
      <c r="J70" s="141"/>
      <c r="K70" s="141"/>
      <c r="L70" s="141"/>
      <c r="M70" s="138" t="s">
        <v>2456</v>
      </c>
    </row>
    <row r="71" customFormat="false" ht="15" hidden="false" customHeight="false" outlineLevel="0" collapsed="false">
      <c r="A71" s="138" t="s">
        <v>2494</v>
      </c>
      <c r="B71" s="138" t="s">
        <v>2493</v>
      </c>
      <c r="C71" s="138" t="n">
        <v>96.0295</v>
      </c>
      <c r="D71" s="138" t="n">
        <v>96.291</v>
      </c>
      <c r="E71" s="138" t="s">
        <v>2385</v>
      </c>
      <c r="F71" s="138" t="s">
        <v>2386</v>
      </c>
      <c r="G71" s="138" t="s">
        <v>60</v>
      </c>
      <c r="H71" s="141" t="n">
        <v>33</v>
      </c>
      <c r="I71" s="141"/>
      <c r="J71" s="141"/>
      <c r="K71" s="141"/>
      <c r="L71" s="141"/>
      <c r="M71" s="138" t="s">
        <v>2387</v>
      </c>
    </row>
    <row r="72" customFormat="false" ht="15" hidden="false" customHeight="false" outlineLevel="0" collapsed="false">
      <c r="A72" s="138" t="s">
        <v>2493</v>
      </c>
      <c r="B72" s="138" t="s">
        <v>2495</v>
      </c>
      <c r="C72" s="138" t="n">
        <v>96.291</v>
      </c>
      <c r="D72" s="138" t="n">
        <v>104.834</v>
      </c>
      <c r="E72" s="138" t="s">
        <v>2385</v>
      </c>
      <c r="F72" s="138" t="s">
        <v>2386</v>
      </c>
      <c r="G72" s="138" t="s">
        <v>60</v>
      </c>
      <c r="H72" s="141" t="n">
        <v>171</v>
      </c>
      <c r="I72" s="141"/>
      <c r="J72" s="141"/>
      <c r="K72" s="141"/>
      <c r="L72" s="141"/>
      <c r="M72" s="138" t="s">
        <v>2387</v>
      </c>
    </row>
    <row r="73" customFormat="false" ht="15" hidden="false" customHeight="false" outlineLevel="0" collapsed="false">
      <c r="A73" s="138" t="s">
        <v>2484</v>
      </c>
      <c r="B73" s="138" t="s">
        <v>2496</v>
      </c>
      <c r="C73" s="138" t="n">
        <v>104.514</v>
      </c>
      <c r="D73" s="138" t="n">
        <v>104.7905</v>
      </c>
      <c r="E73" s="138" t="s">
        <v>2389</v>
      </c>
      <c r="F73" s="138" t="s">
        <v>2390</v>
      </c>
      <c r="G73" s="138" t="s">
        <v>59</v>
      </c>
      <c r="H73" s="141" t="n">
        <v>6</v>
      </c>
      <c r="I73" s="141"/>
      <c r="J73" s="141"/>
      <c r="K73" s="141"/>
      <c r="L73" s="141"/>
      <c r="M73" s="138" t="s">
        <v>2387</v>
      </c>
    </row>
    <row r="74" customFormat="false" ht="15" hidden="false" customHeight="false" outlineLevel="0" collapsed="false">
      <c r="A74" s="138" t="s">
        <v>2495</v>
      </c>
      <c r="B74" s="138" t="s">
        <v>2497</v>
      </c>
      <c r="C74" s="138" t="n">
        <v>104.834</v>
      </c>
      <c r="D74" s="138" t="n">
        <v>105.0655</v>
      </c>
      <c r="E74" s="138" t="s">
        <v>2389</v>
      </c>
      <c r="F74" s="138" t="s">
        <v>2390</v>
      </c>
      <c r="G74" s="138" t="s">
        <v>60</v>
      </c>
      <c r="H74" s="141" t="n">
        <v>6</v>
      </c>
      <c r="I74" s="141"/>
      <c r="J74" s="141"/>
      <c r="K74" s="141"/>
      <c r="L74" s="141"/>
      <c r="M74" s="138" t="s">
        <v>2387</v>
      </c>
    </row>
    <row r="75" customFormat="false" ht="15" hidden="false" customHeight="false" outlineLevel="0" collapsed="false">
      <c r="A75" s="138" t="s">
        <v>2498</v>
      </c>
      <c r="B75" s="138" t="s">
        <v>2499</v>
      </c>
      <c r="C75" s="138" t="n">
        <v>109.78</v>
      </c>
      <c r="D75" s="138" t="n">
        <v>112.676</v>
      </c>
      <c r="E75" s="138" t="s">
        <v>2395</v>
      </c>
      <c r="F75" s="138" t="s">
        <v>2396</v>
      </c>
      <c r="G75" s="138" t="s">
        <v>60</v>
      </c>
      <c r="H75" s="141" t="n">
        <v>58</v>
      </c>
      <c r="I75" s="141"/>
      <c r="J75" s="141"/>
      <c r="K75" s="141"/>
      <c r="L75" s="141"/>
      <c r="M75" s="138" t="s">
        <v>2387</v>
      </c>
    </row>
    <row r="76" customFormat="false" ht="15" hidden="false" customHeight="false" outlineLevel="0" collapsed="false">
      <c r="A76" s="138" t="s">
        <v>2500</v>
      </c>
      <c r="B76" s="138" t="s">
        <v>2501</v>
      </c>
      <c r="C76" s="138" t="n">
        <v>111.75</v>
      </c>
      <c r="D76" s="138" t="n">
        <v>114.15</v>
      </c>
      <c r="E76" s="138" t="s">
        <v>2379</v>
      </c>
      <c r="F76" s="138" t="s">
        <v>2380</v>
      </c>
      <c r="G76" s="138" t="s">
        <v>59</v>
      </c>
      <c r="H76" s="141" t="n">
        <v>48</v>
      </c>
      <c r="I76" s="141"/>
      <c r="J76" s="141"/>
      <c r="K76" s="141"/>
      <c r="L76" s="141"/>
      <c r="M76" s="138" t="s">
        <v>2381</v>
      </c>
    </row>
    <row r="77" customFormat="false" ht="15" hidden="false" customHeight="false" outlineLevel="0" collapsed="false">
      <c r="A77" s="138" t="s">
        <v>2500</v>
      </c>
      <c r="B77" s="138" t="s">
        <v>2502</v>
      </c>
      <c r="C77" s="138" t="n">
        <v>111.75</v>
      </c>
      <c r="D77" s="138" t="n">
        <v>114.142</v>
      </c>
      <c r="E77" s="138" t="s">
        <v>2379</v>
      </c>
      <c r="F77" s="138" t="s">
        <v>2380</v>
      </c>
      <c r="G77" s="138" t="s">
        <v>60</v>
      </c>
      <c r="H77" s="141" t="n">
        <v>47.84</v>
      </c>
      <c r="I77" s="141"/>
      <c r="J77" s="141"/>
      <c r="K77" s="141"/>
      <c r="L77" s="141"/>
      <c r="M77" s="138" t="s">
        <v>2381</v>
      </c>
    </row>
    <row r="78" customFormat="false" ht="15" hidden="false" customHeight="false" outlineLevel="0" collapsed="false">
      <c r="A78" s="138" t="s">
        <v>2503</v>
      </c>
      <c r="B78" s="138" t="s">
        <v>2504</v>
      </c>
      <c r="C78" s="138" t="n">
        <v>112.9725</v>
      </c>
      <c r="D78" s="138" t="n">
        <v>117.0215</v>
      </c>
      <c r="E78" s="138" t="s">
        <v>2395</v>
      </c>
      <c r="F78" s="138" t="s">
        <v>2396</v>
      </c>
      <c r="G78" s="138" t="s">
        <v>60</v>
      </c>
      <c r="H78" s="141" t="n">
        <v>82</v>
      </c>
      <c r="I78" s="141"/>
      <c r="J78" s="141"/>
      <c r="K78" s="141"/>
      <c r="L78" s="141"/>
      <c r="M78" s="138" t="s">
        <v>2387</v>
      </c>
    </row>
    <row r="79" customFormat="false" ht="15" hidden="false" customHeight="false" outlineLevel="0" collapsed="false">
      <c r="A79" s="138" t="s">
        <v>2505</v>
      </c>
      <c r="B79" s="138" t="s">
        <v>2506</v>
      </c>
      <c r="C79" s="138" t="n">
        <v>114.727</v>
      </c>
      <c r="D79" s="138" t="n">
        <v>116.2195</v>
      </c>
      <c r="E79" s="138" t="s">
        <v>2379</v>
      </c>
      <c r="F79" s="138" t="s">
        <v>2380</v>
      </c>
      <c r="G79" s="138" t="s">
        <v>59</v>
      </c>
      <c r="H79" s="141" t="n">
        <v>29.85</v>
      </c>
      <c r="I79" s="141"/>
      <c r="J79" s="141"/>
      <c r="K79" s="141"/>
      <c r="L79" s="141"/>
      <c r="M79" s="138" t="s">
        <v>2381</v>
      </c>
    </row>
    <row r="80" customFormat="false" ht="15" hidden="false" customHeight="false" outlineLevel="0" collapsed="false">
      <c r="A80" s="138" t="s">
        <v>2507</v>
      </c>
      <c r="B80" s="138" t="s">
        <v>2508</v>
      </c>
      <c r="C80" s="138" t="n">
        <v>114.761</v>
      </c>
      <c r="D80" s="138" t="n">
        <v>116.25</v>
      </c>
      <c r="E80" s="138" t="s">
        <v>2379</v>
      </c>
      <c r="F80" s="138" t="s">
        <v>2380</v>
      </c>
      <c r="G80" s="138" t="s">
        <v>60</v>
      </c>
      <c r="H80" s="141" t="n">
        <v>29.78</v>
      </c>
      <c r="I80" s="141"/>
      <c r="J80" s="141"/>
      <c r="K80" s="141"/>
      <c r="L80" s="141"/>
      <c r="M80" s="138" t="s">
        <v>2381</v>
      </c>
    </row>
    <row r="81" customFormat="false" ht="15" hidden="false" customHeight="false" outlineLevel="0" collapsed="false">
      <c r="A81" s="138" t="s">
        <v>2509</v>
      </c>
      <c r="B81" s="138" t="s">
        <v>2510</v>
      </c>
      <c r="C81" s="138" t="n">
        <v>116.177</v>
      </c>
      <c r="D81" s="138" t="n">
        <v>122.14</v>
      </c>
      <c r="E81" s="138" t="s">
        <v>2399</v>
      </c>
      <c r="F81" s="138" t="s">
        <v>2400</v>
      </c>
      <c r="G81" s="138" t="s">
        <v>60</v>
      </c>
      <c r="H81" s="141" t="n">
        <v>119.26</v>
      </c>
      <c r="I81" s="141"/>
      <c r="J81" s="141"/>
      <c r="K81" s="141"/>
      <c r="L81" s="141"/>
      <c r="M81" s="138" t="s">
        <v>2381</v>
      </c>
    </row>
    <row r="82" customFormat="false" ht="15" hidden="false" customHeight="false" outlineLevel="0" collapsed="false">
      <c r="A82" s="138" t="s">
        <v>2511</v>
      </c>
      <c r="B82" s="138" t="s">
        <v>2512</v>
      </c>
      <c r="C82" s="138" t="n">
        <v>116.352</v>
      </c>
      <c r="D82" s="138" t="n">
        <v>122.131</v>
      </c>
      <c r="E82" s="138" t="s">
        <v>2399</v>
      </c>
      <c r="F82" s="138" t="s">
        <v>2400</v>
      </c>
      <c r="G82" s="138" t="s">
        <v>59</v>
      </c>
      <c r="H82" s="141" t="n">
        <v>115.58</v>
      </c>
      <c r="I82" s="141"/>
      <c r="J82" s="141"/>
      <c r="K82" s="141"/>
      <c r="L82" s="141"/>
      <c r="M82" s="138" t="s">
        <v>2381</v>
      </c>
    </row>
    <row r="83" customFormat="false" ht="15" hidden="false" customHeight="false" outlineLevel="0" collapsed="false">
      <c r="A83" s="138" t="s">
        <v>2513</v>
      </c>
      <c r="B83" s="138" t="s">
        <v>2514</v>
      </c>
      <c r="C83" s="138" t="n">
        <v>116.7685</v>
      </c>
      <c r="D83" s="138" t="n">
        <v>120.411</v>
      </c>
      <c r="E83" s="138" t="s">
        <v>2405</v>
      </c>
      <c r="F83" s="138" t="s">
        <v>2406</v>
      </c>
      <c r="G83" s="138" t="s">
        <v>60</v>
      </c>
      <c r="H83" s="141" t="n">
        <v>74</v>
      </c>
      <c r="I83" s="141"/>
      <c r="J83" s="141"/>
      <c r="K83" s="141"/>
      <c r="L83" s="141"/>
      <c r="M83" s="138" t="s">
        <v>2387</v>
      </c>
    </row>
    <row r="84" customFormat="false" ht="15" hidden="false" customHeight="false" outlineLevel="0" collapsed="false">
      <c r="A84" s="138" t="s">
        <v>2504</v>
      </c>
      <c r="B84" s="138" t="s">
        <v>2515</v>
      </c>
      <c r="C84" s="138" t="n">
        <v>117.0215</v>
      </c>
      <c r="D84" s="138" t="n">
        <v>122.78</v>
      </c>
      <c r="E84" s="138" t="s">
        <v>2385</v>
      </c>
      <c r="F84" s="138" t="s">
        <v>2386</v>
      </c>
      <c r="G84" s="138" t="s">
        <v>60</v>
      </c>
      <c r="H84" s="141" t="n">
        <v>126</v>
      </c>
      <c r="I84" s="141"/>
      <c r="J84" s="141"/>
      <c r="K84" s="141"/>
      <c r="L84" s="141"/>
      <c r="M84" s="138" t="s">
        <v>2387</v>
      </c>
    </row>
    <row r="85" customFormat="false" ht="15" hidden="false" customHeight="false" outlineLevel="0" collapsed="false">
      <c r="A85" s="138" t="s">
        <v>2516</v>
      </c>
      <c r="B85" s="138" t="s">
        <v>2517</v>
      </c>
      <c r="C85" s="138" t="n">
        <v>117.7155</v>
      </c>
      <c r="D85" s="138" t="n">
        <v>118.0445</v>
      </c>
      <c r="E85" s="138" t="s">
        <v>2389</v>
      </c>
      <c r="F85" s="138" t="s">
        <v>2390</v>
      </c>
      <c r="G85" s="138" t="s">
        <v>59</v>
      </c>
      <c r="H85" s="141" t="n">
        <v>7</v>
      </c>
      <c r="I85" s="141"/>
      <c r="J85" s="141"/>
      <c r="K85" s="141"/>
      <c r="L85" s="141"/>
      <c r="M85" s="138" t="s">
        <v>2387</v>
      </c>
    </row>
    <row r="86" customFormat="false" ht="15" hidden="false" customHeight="false" outlineLevel="0" collapsed="false">
      <c r="A86" s="138" t="s">
        <v>2517</v>
      </c>
      <c r="B86" s="138" t="s">
        <v>2518</v>
      </c>
      <c r="C86" s="138" t="n">
        <v>118.0445</v>
      </c>
      <c r="D86" s="138" t="n">
        <v>121.7085</v>
      </c>
      <c r="E86" s="138" t="s">
        <v>2385</v>
      </c>
      <c r="F86" s="138" t="s">
        <v>2386</v>
      </c>
      <c r="G86" s="138" t="s">
        <v>59</v>
      </c>
      <c r="H86" s="141" t="n">
        <v>99</v>
      </c>
      <c r="I86" s="141"/>
      <c r="J86" s="141"/>
      <c r="K86" s="141"/>
      <c r="L86" s="141"/>
      <c r="M86" s="138" t="s">
        <v>2387</v>
      </c>
    </row>
    <row r="87" customFormat="false" ht="15" hidden="false" customHeight="false" outlineLevel="0" collapsed="false">
      <c r="A87" s="138" t="s">
        <v>2519</v>
      </c>
      <c r="B87" s="138" t="s">
        <v>2520</v>
      </c>
      <c r="C87" s="138" t="n">
        <v>119.6615</v>
      </c>
      <c r="D87" s="138" t="n">
        <v>120.3385</v>
      </c>
      <c r="E87" s="138" t="s">
        <v>2521</v>
      </c>
      <c r="F87" s="138" t="s">
        <v>2522</v>
      </c>
      <c r="G87" s="138" t="s">
        <v>60</v>
      </c>
      <c r="H87" s="141" t="n">
        <v>13.5</v>
      </c>
      <c r="I87" s="141"/>
      <c r="J87" s="141"/>
      <c r="K87" s="141"/>
      <c r="L87" s="141"/>
      <c r="M87" s="138" t="s">
        <v>2523</v>
      </c>
    </row>
    <row r="88" customFormat="false" ht="15" hidden="false" customHeight="false" outlineLevel="0" collapsed="false">
      <c r="A88" s="138" t="s">
        <v>2514</v>
      </c>
      <c r="B88" s="138" t="s">
        <v>2524</v>
      </c>
      <c r="C88" s="138" t="n">
        <v>120.411</v>
      </c>
      <c r="D88" s="138" t="n">
        <v>122.789</v>
      </c>
      <c r="E88" s="138" t="s">
        <v>2405</v>
      </c>
      <c r="F88" s="138" t="s">
        <v>2406</v>
      </c>
      <c r="G88" s="138" t="s">
        <v>60</v>
      </c>
      <c r="H88" s="141" t="n">
        <v>50</v>
      </c>
      <c r="I88" s="141"/>
      <c r="J88" s="141"/>
      <c r="K88" s="141"/>
      <c r="L88" s="141"/>
      <c r="M88" s="138" t="s">
        <v>2387</v>
      </c>
    </row>
    <row r="89" customFormat="false" ht="15" hidden="false" customHeight="false" outlineLevel="0" collapsed="false">
      <c r="A89" s="138" t="s">
        <v>2525</v>
      </c>
      <c r="B89" s="138" t="s">
        <v>2526</v>
      </c>
      <c r="C89" s="138" t="n">
        <v>122.0335</v>
      </c>
      <c r="D89" s="138" t="n">
        <v>123.0825</v>
      </c>
      <c r="E89" s="138" t="s">
        <v>2385</v>
      </c>
      <c r="F89" s="138" t="s">
        <v>2386</v>
      </c>
      <c r="G89" s="138" t="s">
        <v>59</v>
      </c>
      <c r="H89" s="141" t="n">
        <v>24</v>
      </c>
      <c r="I89" s="141"/>
      <c r="J89" s="141"/>
      <c r="K89" s="141"/>
      <c r="L89" s="141"/>
      <c r="M89" s="138" t="s">
        <v>2387</v>
      </c>
    </row>
    <row r="90" customFormat="false" ht="15" hidden="false" customHeight="false" outlineLevel="0" collapsed="false">
      <c r="A90" s="138" t="s">
        <v>2526</v>
      </c>
      <c r="B90" s="138" t="s">
        <v>2527</v>
      </c>
      <c r="C90" s="138" t="n">
        <v>123.0825</v>
      </c>
      <c r="D90" s="138" t="n">
        <v>123.2315</v>
      </c>
      <c r="E90" s="138" t="s">
        <v>2389</v>
      </c>
      <c r="F90" s="138" t="s">
        <v>2390</v>
      </c>
      <c r="G90" s="138" t="s">
        <v>59</v>
      </c>
      <c r="H90" s="141" t="n">
        <v>3</v>
      </c>
      <c r="I90" s="141"/>
      <c r="J90" s="141"/>
      <c r="K90" s="141"/>
      <c r="L90" s="141"/>
      <c r="M90" s="138" t="s">
        <v>2387</v>
      </c>
    </row>
    <row r="91" customFormat="false" ht="15" hidden="false" customHeight="false" outlineLevel="0" collapsed="false">
      <c r="A91" s="138" t="s">
        <v>2528</v>
      </c>
      <c r="B91" s="138" t="s">
        <v>2529</v>
      </c>
      <c r="C91" s="138" t="n">
        <v>123.1515</v>
      </c>
      <c r="D91" s="138" t="n">
        <v>124.0465</v>
      </c>
      <c r="E91" s="138" t="s">
        <v>2385</v>
      </c>
      <c r="F91" s="138" t="s">
        <v>2386</v>
      </c>
      <c r="G91" s="138" t="s">
        <v>60</v>
      </c>
      <c r="H91" s="141" t="n">
        <v>24</v>
      </c>
      <c r="I91" s="141"/>
      <c r="J91" s="141"/>
      <c r="K91" s="141"/>
      <c r="L91" s="141"/>
      <c r="M91" s="138" t="s">
        <v>2387</v>
      </c>
    </row>
    <row r="92" customFormat="false" ht="15" hidden="false" customHeight="false" outlineLevel="0" collapsed="false">
      <c r="A92" s="138" t="s">
        <v>2529</v>
      </c>
      <c r="B92" s="138" t="s">
        <v>2530</v>
      </c>
      <c r="C92" s="138" t="n">
        <v>124.0465</v>
      </c>
      <c r="D92" s="138" t="n">
        <v>126.8275</v>
      </c>
      <c r="E92" s="138" t="s">
        <v>2395</v>
      </c>
      <c r="F92" s="138" t="s">
        <v>2396</v>
      </c>
      <c r="G92" s="138" t="s">
        <v>60</v>
      </c>
      <c r="H92" s="141" t="n">
        <v>56</v>
      </c>
      <c r="I92" s="141"/>
      <c r="J92" s="141"/>
      <c r="K92" s="141"/>
      <c r="L92" s="141"/>
      <c r="M92" s="138" t="s">
        <v>2387</v>
      </c>
    </row>
    <row r="93" customFormat="false" ht="15" hidden="false" customHeight="false" outlineLevel="0" collapsed="false">
      <c r="A93" s="138" t="s">
        <v>2531</v>
      </c>
      <c r="B93" s="138" t="s">
        <v>2532</v>
      </c>
      <c r="C93" s="138" t="n">
        <v>124.3</v>
      </c>
      <c r="D93" s="138" t="n">
        <v>128.545</v>
      </c>
      <c r="E93" s="138" t="s">
        <v>2433</v>
      </c>
      <c r="F93" s="138" t="s">
        <v>2434</v>
      </c>
      <c r="G93" s="138" t="s">
        <v>59</v>
      </c>
      <c r="H93" s="141" t="n">
        <v>85</v>
      </c>
      <c r="I93" s="141"/>
      <c r="J93" s="141"/>
      <c r="K93" s="141"/>
      <c r="L93" s="141"/>
      <c r="M93" s="138" t="s">
        <v>2387</v>
      </c>
    </row>
    <row r="94" customFormat="false" ht="15" hidden="false" customHeight="false" outlineLevel="0" collapsed="false">
      <c r="A94" s="138" t="s">
        <v>2533</v>
      </c>
      <c r="B94" s="138" t="s">
        <v>2534</v>
      </c>
      <c r="C94" s="138" t="n">
        <v>127.139</v>
      </c>
      <c r="D94" s="138" t="n">
        <v>131.47</v>
      </c>
      <c r="E94" s="138" t="s">
        <v>2405</v>
      </c>
      <c r="F94" s="138" t="s">
        <v>2406</v>
      </c>
      <c r="G94" s="138" t="s">
        <v>60</v>
      </c>
      <c r="H94" s="141" t="n">
        <v>87</v>
      </c>
      <c r="I94" s="141"/>
      <c r="J94" s="141"/>
      <c r="K94" s="141"/>
      <c r="L94" s="141"/>
      <c r="M94" s="138" t="s">
        <v>2387</v>
      </c>
    </row>
    <row r="95" customFormat="false" ht="15" hidden="false" customHeight="false" outlineLevel="0" collapsed="false">
      <c r="A95" s="138" t="s">
        <v>2535</v>
      </c>
      <c r="B95" s="138" t="s">
        <v>2536</v>
      </c>
      <c r="C95" s="138" t="n">
        <v>127.8</v>
      </c>
      <c r="D95" s="138" t="n">
        <v>136.643</v>
      </c>
      <c r="E95" s="138" t="s">
        <v>2385</v>
      </c>
      <c r="F95" s="138" t="s">
        <v>2386</v>
      </c>
      <c r="G95" s="138" t="s">
        <v>60</v>
      </c>
      <c r="H95" s="141" t="n">
        <v>177</v>
      </c>
      <c r="I95" s="141"/>
      <c r="J95" s="141"/>
      <c r="K95" s="141"/>
      <c r="L95" s="141"/>
      <c r="M95" s="138" t="s">
        <v>2387</v>
      </c>
    </row>
    <row r="96" customFormat="false" ht="15" hidden="false" customHeight="false" outlineLevel="0" collapsed="false">
      <c r="A96" s="138" t="s">
        <v>2537</v>
      </c>
      <c r="B96" s="138" t="s">
        <v>2538</v>
      </c>
      <c r="C96" s="138" t="n">
        <v>128.55</v>
      </c>
      <c r="D96" s="138" t="n">
        <v>135.75</v>
      </c>
      <c r="E96" s="138" t="s">
        <v>2385</v>
      </c>
      <c r="F96" s="138" t="s">
        <v>2386</v>
      </c>
      <c r="G96" s="138" t="s">
        <v>59</v>
      </c>
      <c r="H96" s="141" t="n">
        <v>144</v>
      </c>
      <c r="I96" s="141"/>
      <c r="J96" s="141"/>
      <c r="K96" s="141"/>
      <c r="L96" s="141"/>
      <c r="M96" s="138" t="s">
        <v>2387</v>
      </c>
    </row>
    <row r="97" customFormat="false" ht="15" hidden="false" customHeight="false" outlineLevel="0" collapsed="false">
      <c r="A97" s="138" t="s">
        <v>2539</v>
      </c>
      <c r="B97" s="138" t="s">
        <v>2540</v>
      </c>
      <c r="C97" s="138" t="n">
        <v>128.8</v>
      </c>
      <c r="D97" s="138" t="n">
        <v>137.3825</v>
      </c>
      <c r="E97" s="138" t="s">
        <v>2399</v>
      </c>
      <c r="F97" s="138" t="s">
        <v>2400</v>
      </c>
      <c r="G97" s="138" t="s">
        <v>60</v>
      </c>
      <c r="H97" s="141" t="n">
        <v>171.65</v>
      </c>
      <c r="I97" s="141"/>
      <c r="J97" s="141"/>
      <c r="K97" s="141"/>
      <c r="L97" s="141"/>
      <c r="M97" s="138" t="s">
        <v>2381</v>
      </c>
    </row>
    <row r="98" customFormat="false" ht="15" hidden="false" customHeight="false" outlineLevel="0" collapsed="false">
      <c r="A98" s="138" t="s">
        <v>2541</v>
      </c>
      <c r="B98" s="138" t="s">
        <v>2542</v>
      </c>
      <c r="C98" s="138" t="n">
        <v>130.05</v>
      </c>
      <c r="D98" s="138" t="n">
        <v>136.9155</v>
      </c>
      <c r="E98" s="138" t="s">
        <v>2399</v>
      </c>
      <c r="F98" s="138" t="s">
        <v>2400</v>
      </c>
      <c r="G98" s="138" t="s">
        <v>59</v>
      </c>
      <c r="H98" s="141" t="n">
        <v>137.31</v>
      </c>
      <c r="I98" s="141"/>
      <c r="J98" s="141"/>
      <c r="K98" s="141"/>
      <c r="L98" s="141"/>
      <c r="M98" s="138" t="s">
        <v>2381</v>
      </c>
    </row>
    <row r="99" customFormat="false" ht="15" hidden="false" customHeight="false" outlineLevel="0" collapsed="false">
      <c r="A99" s="138" t="s">
        <v>2534</v>
      </c>
      <c r="B99" s="138" t="s">
        <v>2536</v>
      </c>
      <c r="C99" s="138" t="n">
        <v>131.47</v>
      </c>
      <c r="D99" s="138" t="n">
        <v>136.643</v>
      </c>
      <c r="E99" s="138" t="s">
        <v>2405</v>
      </c>
      <c r="F99" s="138" t="s">
        <v>2406</v>
      </c>
      <c r="G99" s="138" t="s">
        <v>60</v>
      </c>
      <c r="H99" s="141" t="n">
        <v>105</v>
      </c>
      <c r="I99" s="141"/>
      <c r="J99" s="141"/>
      <c r="K99" s="141"/>
      <c r="L99" s="141"/>
      <c r="M99" s="138" t="s">
        <v>2387</v>
      </c>
    </row>
    <row r="100" customFormat="false" ht="15" hidden="false" customHeight="false" outlineLevel="0" collapsed="false">
      <c r="A100" s="138" t="s">
        <v>2538</v>
      </c>
      <c r="B100" s="138" t="s">
        <v>2543</v>
      </c>
      <c r="C100" s="138" t="n">
        <v>135.75</v>
      </c>
      <c r="D100" s="138" t="n">
        <v>138.6275</v>
      </c>
      <c r="E100" s="138" t="s">
        <v>2395</v>
      </c>
      <c r="F100" s="138" t="s">
        <v>2396</v>
      </c>
      <c r="G100" s="138" t="s">
        <v>59</v>
      </c>
      <c r="H100" s="141" t="n">
        <v>58</v>
      </c>
      <c r="I100" s="141"/>
      <c r="J100" s="141"/>
      <c r="K100" s="141"/>
      <c r="L100" s="141"/>
      <c r="M100" s="138" t="s">
        <v>2387</v>
      </c>
    </row>
    <row r="101" customFormat="false" ht="15" hidden="false" customHeight="false" outlineLevel="0" collapsed="false">
      <c r="A101" s="138" t="s">
        <v>2536</v>
      </c>
      <c r="B101" s="138" t="s">
        <v>2544</v>
      </c>
      <c r="C101" s="138" t="n">
        <v>136.643</v>
      </c>
      <c r="D101" s="138" t="n">
        <v>138.4545</v>
      </c>
      <c r="E101" s="138" t="s">
        <v>2395</v>
      </c>
      <c r="F101" s="138" t="s">
        <v>2396</v>
      </c>
      <c r="G101" s="138" t="s">
        <v>60</v>
      </c>
      <c r="H101" s="141" t="n">
        <v>37</v>
      </c>
      <c r="I101" s="141"/>
      <c r="J101" s="141"/>
      <c r="K101" s="141"/>
      <c r="L101" s="141"/>
      <c r="M101" s="138" t="s">
        <v>2387</v>
      </c>
    </row>
    <row r="102" customFormat="false" ht="15" hidden="false" customHeight="false" outlineLevel="0" collapsed="false">
      <c r="A102" s="138" t="s">
        <v>2545</v>
      </c>
      <c r="B102" s="138" t="s">
        <v>2546</v>
      </c>
      <c r="C102" s="138" t="n">
        <v>138.35</v>
      </c>
      <c r="D102" s="138" t="n">
        <v>141.05</v>
      </c>
      <c r="E102" s="138" t="s">
        <v>2433</v>
      </c>
      <c r="F102" s="138" t="s">
        <v>2434</v>
      </c>
      <c r="G102" s="138" t="s">
        <v>59</v>
      </c>
      <c r="H102" s="141" t="n">
        <v>55</v>
      </c>
      <c r="I102" s="141"/>
      <c r="J102" s="141"/>
      <c r="K102" s="141"/>
      <c r="L102" s="141"/>
      <c r="M102" s="138" t="s">
        <v>2387</v>
      </c>
    </row>
    <row r="103" customFormat="false" ht="15" hidden="false" customHeight="false" outlineLevel="0" collapsed="false">
      <c r="A103" s="138" t="s">
        <v>2547</v>
      </c>
      <c r="B103" s="138" t="s">
        <v>2548</v>
      </c>
      <c r="C103" s="138" t="n">
        <v>138.712</v>
      </c>
      <c r="D103" s="138" t="n">
        <v>139.8575</v>
      </c>
      <c r="E103" s="138" t="s">
        <v>2395</v>
      </c>
      <c r="F103" s="138" t="s">
        <v>2396</v>
      </c>
      <c r="G103" s="138" t="s">
        <v>60</v>
      </c>
      <c r="H103" s="141" t="n">
        <v>23</v>
      </c>
      <c r="I103" s="141"/>
      <c r="J103" s="141"/>
      <c r="K103" s="141"/>
      <c r="L103" s="141"/>
      <c r="M103" s="138" t="s">
        <v>2387</v>
      </c>
    </row>
    <row r="104" customFormat="false" ht="15" hidden="false" customHeight="false" outlineLevel="0" collapsed="false">
      <c r="A104" s="138" t="s">
        <v>2548</v>
      </c>
      <c r="B104" s="138" t="s">
        <v>2549</v>
      </c>
      <c r="C104" s="138" t="n">
        <v>139.8575</v>
      </c>
      <c r="D104" s="138" t="n">
        <v>144.501</v>
      </c>
      <c r="E104" s="138" t="s">
        <v>2405</v>
      </c>
      <c r="F104" s="138" t="s">
        <v>2406</v>
      </c>
      <c r="G104" s="138" t="s">
        <v>60</v>
      </c>
      <c r="H104" s="141" t="n">
        <v>93</v>
      </c>
      <c r="I104" s="141"/>
      <c r="J104" s="141"/>
      <c r="K104" s="141"/>
      <c r="L104" s="141"/>
      <c r="M104" s="138" t="s">
        <v>2387</v>
      </c>
    </row>
    <row r="105" customFormat="false" ht="15" hidden="false" customHeight="false" outlineLevel="0" collapsed="false">
      <c r="A105" s="138" t="s">
        <v>2550</v>
      </c>
      <c r="B105" s="138" t="s">
        <v>2551</v>
      </c>
      <c r="C105" s="138" t="n">
        <v>140.05</v>
      </c>
      <c r="D105" s="138" t="n">
        <v>154.093</v>
      </c>
      <c r="E105" s="138" t="s">
        <v>2385</v>
      </c>
      <c r="F105" s="138" t="s">
        <v>2386</v>
      </c>
      <c r="G105" s="138" t="s">
        <v>60</v>
      </c>
      <c r="H105" s="141" t="n">
        <v>281</v>
      </c>
      <c r="I105" s="141"/>
      <c r="J105" s="141"/>
      <c r="K105" s="141"/>
      <c r="L105" s="141"/>
      <c r="M105" s="138" t="s">
        <v>2387</v>
      </c>
    </row>
    <row r="106" customFormat="false" ht="15" hidden="false" customHeight="false" outlineLevel="0" collapsed="false">
      <c r="A106" s="138" t="s">
        <v>2552</v>
      </c>
      <c r="B106" s="138" t="s">
        <v>2553</v>
      </c>
      <c r="C106" s="138" t="n">
        <v>141.039</v>
      </c>
      <c r="D106" s="138" t="n">
        <v>158.418</v>
      </c>
      <c r="E106" s="138" t="s">
        <v>2399</v>
      </c>
      <c r="F106" s="138" t="s">
        <v>2400</v>
      </c>
      <c r="G106" s="138" t="s">
        <v>60</v>
      </c>
      <c r="H106" s="141" t="n">
        <v>347.58</v>
      </c>
      <c r="I106" s="141"/>
      <c r="J106" s="141"/>
      <c r="K106" s="141"/>
      <c r="L106" s="141"/>
      <c r="M106" s="138" t="s">
        <v>2381</v>
      </c>
    </row>
    <row r="107" customFormat="false" ht="15" hidden="false" customHeight="false" outlineLevel="0" collapsed="false">
      <c r="A107" s="138" t="s">
        <v>2546</v>
      </c>
      <c r="B107" s="138" t="s">
        <v>2554</v>
      </c>
      <c r="C107" s="138" t="n">
        <v>141.05</v>
      </c>
      <c r="D107" s="138" t="n">
        <v>155.2935</v>
      </c>
      <c r="E107" s="138" t="s">
        <v>2385</v>
      </c>
      <c r="F107" s="138" t="s">
        <v>2386</v>
      </c>
      <c r="G107" s="138" t="s">
        <v>59</v>
      </c>
      <c r="H107" s="141" t="n">
        <v>285</v>
      </c>
      <c r="I107" s="141"/>
      <c r="J107" s="141"/>
      <c r="K107" s="141"/>
      <c r="L107" s="141"/>
      <c r="M107" s="138" t="s">
        <v>2387</v>
      </c>
    </row>
    <row r="108" customFormat="false" ht="15" hidden="false" customHeight="false" outlineLevel="0" collapsed="false">
      <c r="A108" s="138" t="s">
        <v>2549</v>
      </c>
      <c r="B108" s="138" t="s">
        <v>2555</v>
      </c>
      <c r="C108" s="138" t="n">
        <v>144.501</v>
      </c>
      <c r="D108" s="138" t="n">
        <v>153.827</v>
      </c>
      <c r="E108" s="138" t="s">
        <v>2405</v>
      </c>
      <c r="F108" s="138" t="s">
        <v>2406</v>
      </c>
      <c r="G108" s="138" t="s">
        <v>60</v>
      </c>
      <c r="H108" s="141" t="n">
        <v>190</v>
      </c>
      <c r="I108" s="141"/>
      <c r="J108" s="141"/>
      <c r="K108" s="141"/>
      <c r="L108" s="141"/>
      <c r="M108" s="138" t="s">
        <v>2387</v>
      </c>
    </row>
    <row r="109" customFormat="false" ht="15" hidden="false" customHeight="false" outlineLevel="0" collapsed="false">
      <c r="A109" s="138" t="s">
        <v>2556</v>
      </c>
      <c r="B109" s="138" t="s">
        <v>2557</v>
      </c>
      <c r="C109" s="138" t="n">
        <v>149.65</v>
      </c>
      <c r="D109" s="138" t="n">
        <v>158.421</v>
      </c>
      <c r="E109" s="138" t="s">
        <v>2399</v>
      </c>
      <c r="F109" s="138" t="s">
        <v>2400</v>
      </c>
      <c r="G109" s="138" t="s">
        <v>59</v>
      </c>
      <c r="H109" s="141" t="n">
        <v>175.42</v>
      </c>
      <c r="I109" s="141"/>
      <c r="J109" s="141"/>
      <c r="K109" s="141"/>
      <c r="L109" s="141"/>
      <c r="M109" s="138" t="s">
        <v>2381</v>
      </c>
    </row>
    <row r="110" customFormat="false" ht="15" hidden="false" customHeight="false" outlineLevel="0" collapsed="false">
      <c r="A110" s="138" t="s">
        <v>2558</v>
      </c>
      <c r="B110" s="138" t="s">
        <v>2555</v>
      </c>
      <c r="C110" s="138" t="n">
        <v>153.5595</v>
      </c>
      <c r="D110" s="138" t="n">
        <v>153.827</v>
      </c>
      <c r="E110" s="138" t="s">
        <v>2405</v>
      </c>
      <c r="F110" s="138" t="s">
        <v>2406</v>
      </c>
      <c r="G110" s="138" t="s">
        <v>60</v>
      </c>
      <c r="H110" s="141" t="n">
        <v>18</v>
      </c>
      <c r="I110" s="141"/>
      <c r="J110" s="141"/>
      <c r="K110" s="141"/>
      <c r="L110" s="141"/>
      <c r="M110" s="138" t="s">
        <v>2387</v>
      </c>
    </row>
    <row r="111" customFormat="false" ht="15" hidden="false" customHeight="false" outlineLevel="0" collapsed="false">
      <c r="A111" s="138" t="s">
        <v>2559</v>
      </c>
      <c r="B111" s="138" t="s">
        <v>2560</v>
      </c>
      <c r="C111" s="138" t="n">
        <v>153.669</v>
      </c>
      <c r="D111" s="138" t="n">
        <v>153.99</v>
      </c>
      <c r="E111" s="138" t="s">
        <v>2385</v>
      </c>
      <c r="F111" s="138" t="s">
        <v>2386</v>
      </c>
      <c r="G111" s="138" t="s">
        <v>60</v>
      </c>
      <c r="H111" s="141" t="n">
        <v>26</v>
      </c>
      <c r="I111" s="141"/>
      <c r="J111" s="141"/>
      <c r="K111" s="141"/>
      <c r="L111" s="141"/>
      <c r="M111" s="138" t="s">
        <v>2387</v>
      </c>
    </row>
    <row r="112" customFormat="false" ht="15" hidden="false" customHeight="false" outlineLevel="0" collapsed="false">
      <c r="A112" s="138" t="s">
        <v>2551</v>
      </c>
      <c r="B112" s="138" t="s">
        <v>2561</v>
      </c>
      <c r="C112" s="138" t="n">
        <v>154.093</v>
      </c>
      <c r="D112" s="138" t="n">
        <v>154.843</v>
      </c>
      <c r="E112" s="138" t="s">
        <v>2454</v>
      </c>
      <c r="F112" s="138" t="s">
        <v>2455</v>
      </c>
      <c r="G112" s="138" t="s">
        <v>60</v>
      </c>
      <c r="H112" s="141" t="n">
        <v>15</v>
      </c>
      <c r="I112" s="141"/>
      <c r="J112" s="141"/>
      <c r="K112" s="141"/>
      <c r="L112" s="141"/>
      <c r="M112" s="138" t="s">
        <v>2456</v>
      </c>
    </row>
    <row r="113" customFormat="false" ht="15" hidden="false" customHeight="false" outlineLevel="0" collapsed="false">
      <c r="A113" s="138" t="s">
        <v>2562</v>
      </c>
      <c r="B113" s="138" t="s">
        <v>2561</v>
      </c>
      <c r="C113" s="138" t="n">
        <v>154.1165</v>
      </c>
      <c r="D113" s="138" t="n">
        <v>154.843</v>
      </c>
      <c r="E113" s="138" t="s">
        <v>2385</v>
      </c>
      <c r="F113" s="138" t="s">
        <v>2386</v>
      </c>
      <c r="G113" s="138" t="s">
        <v>60</v>
      </c>
      <c r="H113" s="141" t="n">
        <v>33</v>
      </c>
      <c r="I113" s="141"/>
      <c r="J113" s="141"/>
      <c r="K113" s="141"/>
      <c r="L113" s="141"/>
      <c r="M113" s="138" t="s">
        <v>2387</v>
      </c>
    </row>
    <row r="114" customFormat="false" ht="15" hidden="false" customHeight="false" outlineLevel="0" collapsed="false">
      <c r="A114" s="138" t="s">
        <v>2561</v>
      </c>
      <c r="B114" s="138" t="s">
        <v>2563</v>
      </c>
      <c r="C114" s="138" t="n">
        <v>154.843</v>
      </c>
      <c r="D114" s="138" t="n">
        <v>155.335</v>
      </c>
      <c r="E114" s="138" t="s">
        <v>2385</v>
      </c>
      <c r="F114" s="138" t="s">
        <v>2386</v>
      </c>
      <c r="G114" s="138" t="s">
        <v>60</v>
      </c>
      <c r="H114" s="141" t="n">
        <v>10</v>
      </c>
      <c r="I114" s="141"/>
      <c r="J114" s="141"/>
      <c r="K114" s="141"/>
      <c r="L114" s="141"/>
      <c r="M114" s="138" t="s">
        <v>2387</v>
      </c>
    </row>
    <row r="115" customFormat="false" ht="15" hidden="false" customHeight="false" outlineLevel="0" collapsed="false">
      <c r="A115" s="138" t="s">
        <v>2554</v>
      </c>
      <c r="B115" s="138" t="s">
        <v>2564</v>
      </c>
      <c r="C115" s="138" t="n">
        <v>155.2935</v>
      </c>
      <c r="D115" s="138" t="n">
        <v>155.4665</v>
      </c>
      <c r="E115" s="138" t="s">
        <v>2389</v>
      </c>
      <c r="F115" s="138" t="s">
        <v>2390</v>
      </c>
      <c r="G115" s="138" t="s">
        <v>59</v>
      </c>
      <c r="H115" s="141" t="n">
        <v>4</v>
      </c>
      <c r="I115" s="141"/>
      <c r="J115" s="141"/>
      <c r="K115" s="141"/>
      <c r="L115" s="141"/>
      <c r="M115" s="138" t="s">
        <v>2387</v>
      </c>
    </row>
    <row r="116" customFormat="false" ht="15" hidden="false" customHeight="false" outlineLevel="0" collapsed="false">
      <c r="A116" s="138" t="s">
        <v>2563</v>
      </c>
      <c r="B116" s="138" t="s">
        <v>2565</v>
      </c>
      <c r="C116" s="138" t="n">
        <v>155.335</v>
      </c>
      <c r="D116" s="138" t="n">
        <v>156.8</v>
      </c>
      <c r="E116" s="138" t="s">
        <v>2462</v>
      </c>
      <c r="F116" s="138" t="s">
        <v>2396</v>
      </c>
      <c r="G116" s="138" t="s">
        <v>60</v>
      </c>
      <c r="H116" s="141" t="n">
        <v>30</v>
      </c>
      <c r="I116" s="141"/>
      <c r="J116" s="141"/>
      <c r="K116" s="141"/>
      <c r="L116" s="141"/>
      <c r="M116" s="138" t="s">
        <v>2387</v>
      </c>
    </row>
    <row r="117" customFormat="false" ht="15" hidden="false" customHeight="false" outlineLevel="0" collapsed="false">
      <c r="A117" s="138" t="s">
        <v>2566</v>
      </c>
      <c r="B117" s="138" t="s">
        <v>2567</v>
      </c>
      <c r="C117" s="138" t="n">
        <v>156.525</v>
      </c>
      <c r="D117" s="138" t="n">
        <v>159.1215</v>
      </c>
      <c r="E117" s="138" t="s">
        <v>2433</v>
      </c>
      <c r="F117" s="138" t="s">
        <v>2434</v>
      </c>
      <c r="G117" s="138" t="s">
        <v>60</v>
      </c>
      <c r="H117" s="141" t="n">
        <v>53</v>
      </c>
      <c r="I117" s="141"/>
      <c r="J117" s="141"/>
      <c r="K117" s="141"/>
      <c r="L117" s="141"/>
      <c r="M117" s="138" t="s">
        <v>2387</v>
      </c>
    </row>
    <row r="118" customFormat="false" ht="15" hidden="false" customHeight="false" outlineLevel="0" collapsed="false">
      <c r="A118" s="138" t="s">
        <v>2568</v>
      </c>
      <c r="B118" s="138" t="s">
        <v>2569</v>
      </c>
      <c r="C118" s="138" t="n">
        <v>159.1035</v>
      </c>
      <c r="D118" s="138" t="n">
        <v>161.205</v>
      </c>
      <c r="E118" s="138" t="s">
        <v>2433</v>
      </c>
      <c r="F118" s="138" t="s">
        <v>2434</v>
      </c>
      <c r="G118" s="138" t="s">
        <v>59</v>
      </c>
      <c r="H118" s="141" t="n">
        <v>43</v>
      </c>
      <c r="I118" s="141"/>
      <c r="J118" s="141"/>
      <c r="K118" s="141"/>
      <c r="L118" s="141"/>
      <c r="M118" s="138" t="s">
        <v>2387</v>
      </c>
    </row>
    <row r="119" customFormat="false" ht="15" hidden="false" customHeight="false" outlineLevel="0" collapsed="false">
      <c r="A119" s="138" t="s">
        <v>2567</v>
      </c>
      <c r="B119" s="138" t="s">
        <v>2570</v>
      </c>
      <c r="C119" s="138" t="n">
        <v>159.1215</v>
      </c>
      <c r="D119" s="138" t="n">
        <v>161.2205</v>
      </c>
      <c r="E119" s="138" t="s">
        <v>2433</v>
      </c>
      <c r="F119" s="138" t="s">
        <v>2434</v>
      </c>
      <c r="G119" s="138" t="s">
        <v>60</v>
      </c>
      <c r="H119" s="141" t="n">
        <v>42</v>
      </c>
      <c r="I119" s="141"/>
      <c r="J119" s="141"/>
      <c r="K119" s="141"/>
      <c r="L119" s="141"/>
      <c r="M119" s="138" t="s">
        <v>2387</v>
      </c>
    </row>
    <row r="120" customFormat="false" ht="15" hidden="false" customHeight="false" outlineLevel="0" collapsed="false">
      <c r="A120" s="138" t="s">
        <v>2571</v>
      </c>
      <c r="B120" s="138" t="s">
        <v>2572</v>
      </c>
      <c r="C120" s="138" t="n">
        <v>160.4535</v>
      </c>
      <c r="D120" s="138" t="n">
        <v>163.3225</v>
      </c>
      <c r="E120" s="138" t="s">
        <v>2395</v>
      </c>
      <c r="F120" s="138" t="s">
        <v>2396</v>
      </c>
      <c r="G120" s="138" t="s">
        <v>60</v>
      </c>
      <c r="H120" s="141" t="n">
        <v>53</v>
      </c>
      <c r="I120" s="141"/>
      <c r="J120" s="141"/>
      <c r="K120" s="141"/>
      <c r="L120" s="141"/>
      <c r="M120" s="138" t="s">
        <v>2387</v>
      </c>
    </row>
    <row r="121" customFormat="false" ht="15" hidden="false" customHeight="false" outlineLevel="0" collapsed="false">
      <c r="A121" s="138" t="s">
        <v>2573</v>
      </c>
      <c r="B121" s="138" t="s">
        <v>2574</v>
      </c>
      <c r="C121" s="138" t="n">
        <v>161.47</v>
      </c>
      <c r="D121" s="138" t="n">
        <v>163.497</v>
      </c>
      <c r="E121" s="138" t="s">
        <v>2395</v>
      </c>
      <c r="F121" s="138" t="s">
        <v>2396</v>
      </c>
      <c r="G121" s="138" t="s">
        <v>59</v>
      </c>
      <c r="H121" s="141" t="n">
        <v>42</v>
      </c>
      <c r="I121" s="141"/>
      <c r="J121" s="141"/>
      <c r="K121" s="141"/>
      <c r="L121" s="141"/>
      <c r="M121" s="138" t="s">
        <v>2387</v>
      </c>
    </row>
    <row r="122" customFormat="false" ht="15" hidden="false" customHeight="false" outlineLevel="0" collapsed="false">
      <c r="A122" s="138" t="s">
        <v>2575</v>
      </c>
      <c r="B122" s="138" t="s">
        <v>2576</v>
      </c>
      <c r="C122" s="138" t="n">
        <v>161.5055</v>
      </c>
      <c r="D122" s="138" t="n">
        <v>163.907</v>
      </c>
      <c r="E122" s="138" t="s">
        <v>2379</v>
      </c>
      <c r="F122" s="138" t="s">
        <v>2380</v>
      </c>
      <c r="G122" s="138" t="s">
        <v>60</v>
      </c>
      <c r="H122" s="141" t="n">
        <v>48.03</v>
      </c>
      <c r="I122" s="141"/>
      <c r="J122" s="141"/>
      <c r="K122" s="141"/>
      <c r="L122" s="141"/>
      <c r="M122" s="138" t="s">
        <v>2381</v>
      </c>
    </row>
    <row r="123" customFormat="false" ht="15" hidden="false" customHeight="false" outlineLevel="0" collapsed="false">
      <c r="A123" s="138" t="s">
        <v>2577</v>
      </c>
      <c r="B123" s="138" t="s">
        <v>2578</v>
      </c>
      <c r="C123" s="138" t="n">
        <v>162.7855</v>
      </c>
      <c r="D123" s="138" t="n">
        <v>186.4</v>
      </c>
      <c r="E123" s="138" t="s">
        <v>2399</v>
      </c>
      <c r="F123" s="138" t="s">
        <v>2400</v>
      </c>
      <c r="G123" s="138" t="s">
        <v>59</v>
      </c>
      <c r="H123" s="141" t="n">
        <v>472.29</v>
      </c>
      <c r="I123" s="141"/>
      <c r="J123" s="141"/>
      <c r="K123" s="141"/>
      <c r="L123" s="141"/>
      <c r="M123" s="138" t="s">
        <v>2381</v>
      </c>
    </row>
    <row r="124" customFormat="false" ht="15" hidden="false" customHeight="false" outlineLevel="0" collapsed="false">
      <c r="A124" s="138" t="s">
        <v>2572</v>
      </c>
      <c r="B124" s="138" t="s">
        <v>2579</v>
      </c>
      <c r="C124" s="138" t="n">
        <v>163.3225</v>
      </c>
      <c r="D124" s="138" t="n">
        <v>167.955</v>
      </c>
      <c r="E124" s="138" t="s">
        <v>2385</v>
      </c>
      <c r="F124" s="138" t="s">
        <v>2386</v>
      </c>
      <c r="G124" s="138" t="s">
        <v>60</v>
      </c>
      <c r="H124" s="141" t="n">
        <v>92</v>
      </c>
      <c r="I124" s="141"/>
      <c r="J124" s="141"/>
      <c r="K124" s="141"/>
      <c r="L124" s="141"/>
      <c r="M124" s="138" t="s">
        <v>2387</v>
      </c>
    </row>
    <row r="125" customFormat="false" ht="15" hidden="false" customHeight="false" outlineLevel="0" collapsed="false">
      <c r="A125" s="138" t="s">
        <v>2580</v>
      </c>
      <c r="B125" s="138" t="s">
        <v>2581</v>
      </c>
      <c r="C125" s="138" t="n">
        <v>163.3325</v>
      </c>
      <c r="D125" s="138" t="n">
        <v>165.56</v>
      </c>
      <c r="E125" s="138" t="s">
        <v>2405</v>
      </c>
      <c r="F125" s="138" t="s">
        <v>2406</v>
      </c>
      <c r="G125" s="138" t="s">
        <v>59</v>
      </c>
      <c r="H125" s="141" t="n">
        <v>48</v>
      </c>
      <c r="I125" s="141"/>
      <c r="J125" s="141"/>
      <c r="K125" s="141"/>
      <c r="L125" s="141"/>
      <c r="M125" s="138" t="s">
        <v>2387</v>
      </c>
    </row>
    <row r="126" customFormat="false" ht="15" hidden="false" customHeight="false" outlineLevel="0" collapsed="false">
      <c r="A126" s="138" t="s">
        <v>2574</v>
      </c>
      <c r="B126" s="138" t="s">
        <v>2582</v>
      </c>
      <c r="C126" s="138" t="n">
        <v>163.497</v>
      </c>
      <c r="D126" s="138" t="n">
        <v>169.952</v>
      </c>
      <c r="E126" s="138" t="s">
        <v>2385</v>
      </c>
      <c r="F126" s="138" t="s">
        <v>2386</v>
      </c>
      <c r="G126" s="138" t="s">
        <v>59</v>
      </c>
      <c r="H126" s="141" t="n">
        <v>131</v>
      </c>
      <c r="I126" s="141"/>
      <c r="J126" s="141"/>
      <c r="K126" s="141"/>
      <c r="L126" s="141"/>
      <c r="M126" s="138" t="s">
        <v>2387</v>
      </c>
    </row>
    <row r="127" customFormat="false" ht="15" hidden="false" customHeight="false" outlineLevel="0" collapsed="false">
      <c r="A127" s="138" t="s">
        <v>2581</v>
      </c>
      <c r="B127" s="138" t="s">
        <v>2583</v>
      </c>
      <c r="C127" s="138" t="n">
        <v>165.56</v>
      </c>
      <c r="D127" s="138" t="n">
        <v>170.326</v>
      </c>
      <c r="E127" s="138" t="s">
        <v>2405</v>
      </c>
      <c r="F127" s="138" t="s">
        <v>2406</v>
      </c>
      <c r="G127" s="138" t="s">
        <v>59</v>
      </c>
      <c r="H127" s="141" t="n">
        <v>98</v>
      </c>
      <c r="I127" s="141"/>
      <c r="J127" s="141"/>
      <c r="K127" s="141"/>
      <c r="L127" s="141"/>
      <c r="M127" s="138" t="s">
        <v>2387</v>
      </c>
    </row>
    <row r="128" customFormat="false" ht="15" hidden="false" customHeight="false" outlineLevel="0" collapsed="false">
      <c r="A128" s="138" t="s">
        <v>2584</v>
      </c>
      <c r="B128" s="138" t="s">
        <v>2585</v>
      </c>
      <c r="C128" s="138" t="n">
        <v>169.2065</v>
      </c>
      <c r="D128" s="138" t="n">
        <v>186.4085</v>
      </c>
      <c r="E128" s="138" t="s">
        <v>2399</v>
      </c>
      <c r="F128" s="138" t="s">
        <v>2400</v>
      </c>
      <c r="G128" s="138" t="s">
        <v>60</v>
      </c>
      <c r="H128" s="141" t="n">
        <v>344.04</v>
      </c>
      <c r="I128" s="141"/>
      <c r="J128" s="141"/>
      <c r="K128" s="141"/>
      <c r="L128" s="141"/>
      <c r="M128" s="138" t="s">
        <v>2381</v>
      </c>
    </row>
    <row r="129" customFormat="false" ht="15" hidden="false" customHeight="false" outlineLevel="0" collapsed="false">
      <c r="A129" s="138" t="s">
        <v>2586</v>
      </c>
      <c r="B129" s="138" t="s">
        <v>2587</v>
      </c>
      <c r="C129" s="138" t="n">
        <v>169.47</v>
      </c>
      <c r="D129" s="138" t="n">
        <v>170.824</v>
      </c>
      <c r="E129" s="138" t="s">
        <v>2395</v>
      </c>
      <c r="F129" s="138" t="s">
        <v>2396</v>
      </c>
      <c r="G129" s="138" t="s">
        <v>60</v>
      </c>
      <c r="H129" s="141" t="n">
        <v>28</v>
      </c>
      <c r="I129" s="141"/>
      <c r="J129" s="141"/>
      <c r="K129" s="141"/>
      <c r="L129" s="141"/>
      <c r="M129" s="138" t="s">
        <v>2387</v>
      </c>
    </row>
    <row r="130" customFormat="false" ht="15" hidden="false" customHeight="false" outlineLevel="0" collapsed="false">
      <c r="A130" s="138" t="s">
        <v>2588</v>
      </c>
      <c r="B130" s="138" t="s">
        <v>2587</v>
      </c>
      <c r="C130" s="138" t="n">
        <v>169.8765</v>
      </c>
      <c r="D130" s="138" t="n">
        <v>170.824</v>
      </c>
      <c r="E130" s="138" t="s">
        <v>2521</v>
      </c>
      <c r="F130" s="138" t="s">
        <v>2522</v>
      </c>
      <c r="G130" s="138" t="s">
        <v>60</v>
      </c>
      <c r="H130" s="141" t="n">
        <v>15</v>
      </c>
      <c r="I130" s="141"/>
      <c r="J130" s="141"/>
      <c r="K130" s="141"/>
      <c r="L130" s="141"/>
      <c r="M130" s="138" t="s">
        <v>2523</v>
      </c>
    </row>
    <row r="131" customFormat="false" ht="15" hidden="false" customHeight="false" outlineLevel="0" collapsed="false">
      <c r="A131" s="138" t="s">
        <v>2589</v>
      </c>
      <c r="B131" s="138" t="s">
        <v>2590</v>
      </c>
      <c r="C131" s="138" t="n">
        <v>170.433</v>
      </c>
      <c r="D131" s="138" t="n">
        <v>178.7605</v>
      </c>
      <c r="E131" s="138" t="s">
        <v>2385</v>
      </c>
      <c r="F131" s="138" t="s">
        <v>2386</v>
      </c>
      <c r="G131" s="138" t="s">
        <v>59</v>
      </c>
      <c r="H131" s="141" t="n">
        <v>168</v>
      </c>
      <c r="I131" s="141"/>
      <c r="J131" s="141"/>
      <c r="K131" s="141"/>
      <c r="L131" s="141"/>
      <c r="M131" s="138" t="s">
        <v>2387</v>
      </c>
    </row>
    <row r="132" customFormat="false" ht="15" hidden="false" customHeight="false" outlineLevel="0" collapsed="false">
      <c r="A132" s="138" t="s">
        <v>2587</v>
      </c>
      <c r="B132" s="138" t="s">
        <v>2591</v>
      </c>
      <c r="C132" s="138" t="n">
        <v>170.824</v>
      </c>
      <c r="D132" s="138" t="n">
        <v>171.173</v>
      </c>
      <c r="E132" s="138" t="s">
        <v>2454</v>
      </c>
      <c r="F132" s="138" t="s">
        <v>2455</v>
      </c>
      <c r="G132" s="138" t="s">
        <v>60</v>
      </c>
      <c r="H132" s="141" t="n">
        <v>7</v>
      </c>
      <c r="I132" s="141"/>
      <c r="J132" s="141"/>
      <c r="K132" s="141"/>
      <c r="L132" s="141"/>
      <c r="M132" s="138" t="s">
        <v>2456</v>
      </c>
    </row>
    <row r="133" customFormat="false" ht="15" hidden="false" customHeight="false" outlineLevel="0" collapsed="false">
      <c r="A133" s="138" t="s">
        <v>2591</v>
      </c>
      <c r="B133" s="138" t="s">
        <v>2592</v>
      </c>
      <c r="C133" s="138" t="n">
        <v>171.173</v>
      </c>
      <c r="D133" s="138" t="n">
        <v>186.7975</v>
      </c>
      <c r="E133" s="138" t="s">
        <v>2385</v>
      </c>
      <c r="F133" s="138" t="s">
        <v>2386</v>
      </c>
      <c r="G133" s="138" t="s">
        <v>60</v>
      </c>
      <c r="H133" s="141" t="n">
        <v>313</v>
      </c>
      <c r="I133" s="141"/>
      <c r="J133" s="141"/>
      <c r="K133" s="141"/>
      <c r="L133" s="141"/>
      <c r="M133" s="138" t="s">
        <v>2387</v>
      </c>
    </row>
    <row r="134" customFormat="false" ht="15" hidden="false" customHeight="false" outlineLevel="0" collapsed="false">
      <c r="A134" s="138" t="s">
        <v>2590</v>
      </c>
      <c r="B134" s="138" t="s">
        <v>2593</v>
      </c>
      <c r="C134" s="138" t="n">
        <v>178.7605</v>
      </c>
      <c r="D134" s="138" t="n">
        <v>179.0605</v>
      </c>
      <c r="E134" s="138" t="s">
        <v>2454</v>
      </c>
      <c r="F134" s="138" t="s">
        <v>2455</v>
      </c>
      <c r="G134" s="138" t="s">
        <v>59</v>
      </c>
      <c r="H134" s="141" t="n">
        <v>6</v>
      </c>
      <c r="I134" s="141"/>
      <c r="J134" s="141"/>
      <c r="K134" s="141"/>
      <c r="L134" s="141"/>
      <c r="M134" s="138" t="s">
        <v>2456</v>
      </c>
    </row>
    <row r="135" customFormat="false" ht="15" hidden="false" customHeight="false" outlineLevel="0" collapsed="false">
      <c r="A135" s="138" t="s">
        <v>2593</v>
      </c>
      <c r="B135" s="138" t="s">
        <v>2594</v>
      </c>
      <c r="C135" s="138" t="n">
        <v>179.0605</v>
      </c>
      <c r="D135" s="138" t="n">
        <v>186.4895</v>
      </c>
      <c r="E135" s="138" t="s">
        <v>2385</v>
      </c>
      <c r="F135" s="138" t="s">
        <v>2386</v>
      </c>
      <c r="G135" s="138" t="s">
        <v>59</v>
      </c>
      <c r="H135" s="141" t="n">
        <v>149</v>
      </c>
      <c r="I135" s="141"/>
      <c r="J135" s="141"/>
      <c r="K135" s="141"/>
      <c r="L135" s="141"/>
      <c r="M135" s="138" t="s">
        <v>2387</v>
      </c>
    </row>
    <row r="136" customFormat="false" ht="15" hidden="false" customHeight="false" outlineLevel="0" collapsed="false">
      <c r="A136" s="138" t="s">
        <v>2578</v>
      </c>
      <c r="B136" s="138" t="s">
        <v>2595</v>
      </c>
      <c r="C136" s="138" t="n">
        <v>186.4</v>
      </c>
      <c r="D136" s="138" t="n">
        <v>200.262</v>
      </c>
      <c r="E136" s="138" t="s">
        <v>2399</v>
      </c>
      <c r="F136" s="138" t="s">
        <v>2400</v>
      </c>
      <c r="G136" s="138" t="s">
        <v>59</v>
      </c>
      <c r="H136" s="141" t="n">
        <v>277.24</v>
      </c>
      <c r="I136" s="141"/>
      <c r="J136" s="141"/>
      <c r="K136" s="141"/>
      <c r="L136" s="141"/>
      <c r="M136" s="138" t="s">
        <v>2381</v>
      </c>
    </row>
    <row r="137" customFormat="false" ht="15" hidden="false" customHeight="false" outlineLevel="0" collapsed="false">
      <c r="A137" s="138" t="s">
        <v>2594</v>
      </c>
      <c r="B137" s="138" t="s">
        <v>2596</v>
      </c>
      <c r="C137" s="138" t="n">
        <v>186.4895</v>
      </c>
      <c r="D137" s="138" t="n">
        <v>195.363</v>
      </c>
      <c r="E137" s="138" t="s">
        <v>2385</v>
      </c>
      <c r="F137" s="138" t="s">
        <v>2386</v>
      </c>
      <c r="G137" s="138" t="s">
        <v>59</v>
      </c>
      <c r="H137" s="141" t="n">
        <v>175</v>
      </c>
      <c r="I137" s="141"/>
      <c r="J137" s="141"/>
      <c r="K137" s="141"/>
      <c r="L137" s="141"/>
      <c r="M137" s="138" t="s">
        <v>2387</v>
      </c>
    </row>
    <row r="138" customFormat="false" ht="15" hidden="false" customHeight="false" outlineLevel="0" collapsed="false">
      <c r="A138" s="138" t="s">
        <v>2592</v>
      </c>
      <c r="B138" s="138" t="s">
        <v>2597</v>
      </c>
      <c r="C138" s="138" t="n">
        <v>186.7975</v>
      </c>
      <c r="D138" s="138" t="n">
        <v>196.784</v>
      </c>
      <c r="E138" s="138" t="s">
        <v>2385</v>
      </c>
      <c r="F138" s="138" t="s">
        <v>2386</v>
      </c>
      <c r="G138" s="138" t="s">
        <v>60</v>
      </c>
      <c r="H138" s="141" t="n">
        <v>203</v>
      </c>
      <c r="I138" s="141"/>
      <c r="J138" s="141"/>
      <c r="K138" s="141"/>
      <c r="L138" s="141"/>
      <c r="M138" s="138" t="s">
        <v>2387</v>
      </c>
    </row>
    <row r="139" customFormat="false" ht="15" hidden="false" customHeight="false" outlineLevel="0" collapsed="false">
      <c r="A139" s="138" t="s">
        <v>2598</v>
      </c>
      <c r="B139" s="138" t="s">
        <v>2599</v>
      </c>
      <c r="C139" s="138" t="n">
        <v>188.858</v>
      </c>
      <c r="D139" s="138" t="n">
        <v>195.3365</v>
      </c>
      <c r="E139" s="138" t="s">
        <v>2405</v>
      </c>
      <c r="F139" s="138" t="s">
        <v>2406</v>
      </c>
      <c r="G139" s="138" t="s">
        <v>59</v>
      </c>
      <c r="H139" s="141" t="n">
        <v>126</v>
      </c>
      <c r="I139" s="141"/>
      <c r="J139" s="141"/>
      <c r="K139" s="141"/>
      <c r="L139" s="141"/>
      <c r="M139" s="138" t="s">
        <v>2387</v>
      </c>
    </row>
    <row r="140" customFormat="false" ht="15" hidden="false" customHeight="false" outlineLevel="0" collapsed="false">
      <c r="A140" s="138" t="s">
        <v>2599</v>
      </c>
      <c r="B140" s="138" t="s">
        <v>2600</v>
      </c>
      <c r="C140" s="138" t="n">
        <v>195.3365</v>
      </c>
      <c r="D140" s="138" t="n">
        <v>195.7435</v>
      </c>
      <c r="E140" s="138" t="s">
        <v>2454</v>
      </c>
      <c r="F140" s="138" t="s">
        <v>2455</v>
      </c>
      <c r="G140" s="138" t="s">
        <v>59</v>
      </c>
      <c r="H140" s="141" t="n">
        <v>8</v>
      </c>
      <c r="I140" s="141"/>
      <c r="J140" s="141"/>
      <c r="K140" s="141"/>
      <c r="L140" s="141"/>
      <c r="M140" s="138" t="s">
        <v>2456</v>
      </c>
    </row>
    <row r="141" customFormat="false" ht="15" hidden="false" customHeight="false" outlineLevel="0" collapsed="false">
      <c r="A141" s="138" t="s">
        <v>2596</v>
      </c>
      <c r="B141" s="138" t="s">
        <v>2601</v>
      </c>
      <c r="C141" s="138" t="n">
        <v>195.363</v>
      </c>
      <c r="D141" s="138" t="n">
        <v>195.7695</v>
      </c>
      <c r="E141" s="138" t="s">
        <v>2454</v>
      </c>
      <c r="F141" s="138" t="s">
        <v>2455</v>
      </c>
      <c r="G141" s="138" t="s">
        <v>59</v>
      </c>
      <c r="H141" s="141" t="n">
        <v>8</v>
      </c>
      <c r="I141" s="141"/>
      <c r="J141" s="141"/>
      <c r="K141" s="141"/>
      <c r="L141" s="141"/>
      <c r="M141" s="138" t="s">
        <v>2456</v>
      </c>
    </row>
    <row r="142" customFormat="false" ht="15" hidden="false" customHeight="false" outlineLevel="0" collapsed="false">
      <c r="A142" s="138" t="s">
        <v>2600</v>
      </c>
      <c r="B142" s="138" t="s">
        <v>2602</v>
      </c>
      <c r="C142" s="138" t="n">
        <v>195.7435</v>
      </c>
      <c r="D142" s="138" t="n">
        <v>195.872</v>
      </c>
      <c r="E142" s="138" t="s">
        <v>2405</v>
      </c>
      <c r="F142" s="138" t="s">
        <v>2406</v>
      </c>
      <c r="G142" s="138" t="s">
        <v>59</v>
      </c>
      <c r="H142" s="141" t="n">
        <v>4</v>
      </c>
      <c r="I142" s="141"/>
      <c r="J142" s="141"/>
      <c r="K142" s="141"/>
      <c r="L142" s="141"/>
      <c r="M142" s="138" t="s">
        <v>2387</v>
      </c>
    </row>
    <row r="143" customFormat="false" ht="15" hidden="false" customHeight="false" outlineLevel="0" collapsed="false">
      <c r="A143" s="138" t="s">
        <v>2601</v>
      </c>
      <c r="B143" s="138" t="s">
        <v>2603</v>
      </c>
      <c r="C143" s="138" t="n">
        <v>195.7695</v>
      </c>
      <c r="D143" s="138" t="n">
        <v>199.536</v>
      </c>
      <c r="E143" s="138" t="s">
        <v>2604</v>
      </c>
      <c r="F143" s="138" t="s">
        <v>2386</v>
      </c>
      <c r="G143" s="138" t="s">
        <v>59</v>
      </c>
      <c r="H143" s="141" t="n">
        <v>75</v>
      </c>
      <c r="I143" s="141"/>
      <c r="J143" s="141"/>
      <c r="K143" s="141"/>
      <c r="L143" s="141"/>
      <c r="M143" s="138" t="s">
        <v>2387</v>
      </c>
    </row>
    <row r="144" customFormat="false" ht="15" hidden="false" customHeight="false" outlineLevel="0" collapsed="false">
      <c r="A144" s="138" t="s">
        <v>2605</v>
      </c>
      <c r="B144" s="138" t="s">
        <v>2606</v>
      </c>
      <c r="C144" s="138" t="n">
        <v>196.069</v>
      </c>
      <c r="D144" s="138" t="n">
        <v>199.6665</v>
      </c>
      <c r="E144" s="138" t="s">
        <v>2405</v>
      </c>
      <c r="F144" s="138" t="s">
        <v>2406</v>
      </c>
      <c r="G144" s="138" t="s">
        <v>59</v>
      </c>
      <c r="H144" s="141" t="n">
        <v>72</v>
      </c>
      <c r="I144" s="141"/>
      <c r="J144" s="141"/>
      <c r="K144" s="141"/>
      <c r="L144" s="141"/>
      <c r="M144" s="138" t="s">
        <v>2387</v>
      </c>
    </row>
    <row r="145" customFormat="false" ht="15" hidden="false" customHeight="false" outlineLevel="0" collapsed="false">
      <c r="A145" s="138" t="s">
        <v>2597</v>
      </c>
      <c r="B145" s="138" t="s">
        <v>2607</v>
      </c>
      <c r="C145" s="138" t="n">
        <v>196.784</v>
      </c>
      <c r="D145" s="138" t="n">
        <v>200.521</v>
      </c>
      <c r="E145" s="138" t="s">
        <v>2395</v>
      </c>
      <c r="F145" s="138" t="s">
        <v>2396</v>
      </c>
      <c r="G145" s="138" t="s">
        <v>60</v>
      </c>
      <c r="H145" s="141" t="n">
        <v>75</v>
      </c>
      <c r="I145" s="141"/>
      <c r="J145" s="141"/>
      <c r="K145" s="141"/>
      <c r="L145" s="141"/>
      <c r="M145" s="138" t="s">
        <v>2387</v>
      </c>
    </row>
    <row r="146" customFormat="false" ht="15" hidden="false" customHeight="false" outlineLevel="0" collapsed="false">
      <c r="A146" s="138" t="s">
        <v>2603</v>
      </c>
      <c r="B146" s="138" t="s">
        <v>2608</v>
      </c>
      <c r="C146" s="138" t="n">
        <v>199.536</v>
      </c>
      <c r="D146" s="138" t="n">
        <v>200.402</v>
      </c>
      <c r="E146" s="138" t="s">
        <v>2462</v>
      </c>
      <c r="F146" s="138" t="s">
        <v>2396</v>
      </c>
      <c r="G146" s="138" t="s">
        <v>59</v>
      </c>
      <c r="H146" s="141" t="n">
        <v>18</v>
      </c>
      <c r="I146" s="141"/>
      <c r="J146" s="141"/>
      <c r="K146" s="141"/>
      <c r="L146" s="141"/>
      <c r="M146" s="138" t="s">
        <v>2387</v>
      </c>
    </row>
    <row r="147" customFormat="false" ht="15" hidden="false" customHeight="false" outlineLevel="0" collapsed="false">
      <c r="A147" s="138" t="s">
        <v>2609</v>
      </c>
      <c r="B147" s="138" t="s">
        <v>2610</v>
      </c>
      <c r="C147" s="138" t="n">
        <v>201.1905</v>
      </c>
      <c r="D147" s="138" t="n">
        <v>204.658</v>
      </c>
      <c r="E147" s="138" t="s">
        <v>2433</v>
      </c>
      <c r="F147" s="138" t="s">
        <v>2434</v>
      </c>
      <c r="G147" s="138" t="s">
        <v>60</v>
      </c>
      <c r="H147" s="141" t="n">
        <v>71</v>
      </c>
      <c r="I147" s="141"/>
      <c r="J147" s="141"/>
      <c r="K147" s="141"/>
      <c r="L147" s="141"/>
      <c r="M147" s="138" t="s">
        <v>2387</v>
      </c>
    </row>
    <row r="148" customFormat="false" ht="15" hidden="false" customHeight="false" outlineLevel="0" collapsed="false">
      <c r="A148" s="138" t="s">
        <v>2611</v>
      </c>
      <c r="B148" s="138" t="s">
        <v>2612</v>
      </c>
      <c r="C148" s="138" t="n">
        <v>202.3</v>
      </c>
      <c r="D148" s="138" t="n">
        <v>206.55</v>
      </c>
      <c r="E148" s="138" t="s">
        <v>2385</v>
      </c>
      <c r="F148" s="138" t="s">
        <v>2386</v>
      </c>
      <c r="G148" s="138" t="s">
        <v>59</v>
      </c>
      <c r="H148" s="141" t="n">
        <v>86</v>
      </c>
      <c r="I148" s="141"/>
      <c r="J148" s="141"/>
      <c r="K148" s="141"/>
      <c r="L148" s="141"/>
      <c r="M148" s="138" t="s">
        <v>2387</v>
      </c>
    </row>
    <row r="149" customFormat="false" ht="15" hidden="false" customHeight="false" outlineLevel="0" collapsed="false">
      <c r="A149" s="138" t="s">
        <v>2613</v>
      </c>
      <c r="B149" s="138" t="s">
        <v>2614</v>
      </c>
      <c r="C149" s="138" t="n">
        <v>206.4905</v>
      </c>
      <c r="D149" s="138" t="n">
        <v>234.74</v>
      </c>
      <c r="E149" s="138" t="s">
        <v>2399</v>
      </c>
      <c r="F149" s="138" t="s">
        <v>2400</v>
      </c>
      <c r="G149" s="138" t="s">
        <v>60</v>
      </c>
      <c r="H149" s="141" t="n">
        <v>564.99</v>
      </c>
      <c r="I149" s="141"/>
      <c r="J149" s="141"/>
      <c r="K149" s="141"/>
      <c r="L149" s="141"/>
      <c r="M149" s="138" t="s">
        <v>2381</v>
      </c>
    </row>
    <row r="150" customFormat="false" ht="15" hidden="false" customHeight="false" outlineLevel="0" collapsed="false">
      <c r="A150" s="138" t="s">
        <v>2612</v>
      </c>
      <c r="B150" s="138" t="s">
        <v>2615</v>
      </c>
      <c r="C150" s="138" t="n">
        <v>206.55</v>
      </c>
      <c r="D150" s="138" t="n">
        <v>207.6545</v>
      </c>
      <c r="E150" s="138" t="s">
        <v>2385</v>
      </c>
      <c r="F150" s="138" t="s">
        <v>2386</v>
      </c>
      <c r="G150" s="138" t="s">
        <v>59</v>
      </c>
      <c r="H150" s="141" t="n">
        <v>27</v>
      </c>
      <c r="I150" s="141"/>
      <c r="J150" s="141"/>
      <c r="K150" s="141"/>
      <c r="L150" s="141"/>
      <c r="M150" s="138" t="s">
        <v>2387</v>
      </c>
    </row>
    <row r="151" customFormat="false" ht="15" hidden="false" customHeight="false" outlineLevel="0" collapsed="false">
      <c r="A151" s="138" t="s">
        <v>2612</v>
      </c>
      <c r="B151" s="138" t="s">
        <v>2616</v>
      </c>
      <c r="C151" s="138" t="n">
        <v>206.55</v>
      </c>
      <c r="D151" s="138" t="n">
        <v>207.4185</v>
      </c>
      <c r="E151" s="138" t="s">
        <v>2454</v>
      </c>
      <c r="F151" s="138" t="s">
        <v>2455</v>
      </c>
      <c r="G151" s="138" t="s">
        <v>59</v>
      </c>
      <c r="H151" s="141" t="n">
        <v>18</v>
      </c>
      <c r="I151" s="141"/>
      <c r="J151" s="141"/>
      <c r="K151" s="141"/>
      <c r="L151" s="141"/>
      <c r="M151" s="138" t="s">
        <v>2456</v>
      </c>
    </row>
    <row r="152" customFormat="false" ht="15" hidden="false" customHeight="false" outlineLevel="0" collapsed="false">
      <c r="A152" s="138" t="s">
        <v>2617</v>
      </c>
      <c r="B152" s="138" t="s">
        <v>2618</v>
      </c>
      <c r="C152" s="138" t="n">
        <v>206.6215</v>
      </c>
      <c r="D152" s="138" t="n">
        <v>226.46</v>
      </c>
      <c r="E152" s="138" t="s">
        <v>2385</v>
      </c>
      <c r="F152" s="138" t="s">
        <v>2386</v>
      </c>
      <c r="G152" s="138" t="s">
        <v>60</v>
      </c>
      <c r="H152" s="141" t="n">
        <v>397</v>
      </c>
      <c r="I152" s="141"/>
      <c r="J152" s="141"/>
      <c r="K152" s="141"/>
      <c r="L152" s="141"/>
      <c r="M152" s="138" t="s">
        <v>2387</v>
      </c>
    </row>
    <row r="153" customFormat="false" ht="15" hidden="false" customHeight="false" outlineLevel="0" collapsed="false">
      <c r="A153" s="138" t="s">
        <v>2619</v>
      </c>
      <c r="B153" s="138" t="s">
        <v>2620</v>
      </c>
      <c r="C153" s="138" t="n">
        <v>207.5695</v>
      </c>
      <c r="D153" s="138" t="n">
        <v>234.467</v>
      </c>
      <c r="E153" s="138" t="s">
        <v>2399</v>
      </c>
      <c r="F153" s="138" t="s">
        <v>2400</v>
      </c>
      <c r="G153" s="138" t="s">
        <v>59</v>
      </c>
      <c r="H153" s="141" t="n">
        <v>537.95</v>
      </c>
      <c r="I153" s="141"/>
      <c r="J153" s="141"/>
      <c r="K153" s="141"/>
      <c r="L153" s="141"/>
      <c r="M153" s="138" t="s">
        <v>2381</v>
      </c>
    </row>
    <row r="154" customFormat="false" ht="15" hidden="false" customHeight="false" outlineLevel="0" collapsed="false">
      <c r="A154" s="138" t="s">
        <v>2621</v>
      </c>
      <c r="B154" s="138" t="s">
        <v>2622</v>
      </c>
      <c r="C154" s="138" t="n">
        <v>207.9305</v>
      </c>
      <c r="D154" s="138" t="n">
        <v>232.2425</v>
      </c>
      <c r="E154" s="138" t="s">
        <v>2385</v>
      </c>
      <c r="F154" s="138" t="s">
        <v>2386</v>
      </c>
      <c r="G154" s="138" t="s">
        <v>59</v>
      </c>
      <c r="H154" s="141" t="n">
        <v>513</v>
      </c>
      <c r="I154" s="141"/>
      <c r="J154" s="141"/>
      <c r="K154" s="141"/>
      <c r="L154" s="141"/>
      <c r="M154" s="138" t="s">
        <v>2387</v>
      </c>
    </row>
    <row r="155" customFormat="false" ht="15" hidden="false" customHeight="false" outlineLevel="0" collapsed="false">
      <c r="A155" s="138" t="s">
        <v>2623</v>
      </c>
      <c r="B155" s="138" t="s">
        <v>2624</v>
      </c>
      <c r="C155" s="138" t="n">
        <v>210.1615</v>
      </c>
      <c r="D155" s="138" t="n">
        <v>210.909</v>
      </c>
      <c r="E155" s="138" t="s">
        <v>2521</v>
      </c>
      <c r="F155" s="138" t="s">
        <v>2522</v>
      </c>
      <c r="G155" s="138" t="s">
        <v>59</v>
      </c>
      <c r="H155" s="141" t="n">
        <v>15</v>
      </c>
      <c r="I155" s="141"/>
      <c r="J155" s="141"/>
      <c r="K155" s="141"/>
      <c r="L155" s="141"/>
      <c r="M155" s="138" t="s">
        <v>2523</v>
      </c>
    </row>
    <row r="156" customFormat="false" ht="15" hidden="false" customHeight="false" outlineLevel="0" collapsed="false">
      <c r="A156" s="138" t="s">
        <v>2625</v>
      </c>
      <c r="B156" s="138" t="s">
        <v>2626</v>
      </c>
      <c r="C156" s="138" t="n">
        <v>213.5505</v>
      </c>
      <c r="D156" s="138" t="n">
        <v>226.3475</v>
      </c>
      <c r="E156" s="138" t="s">
        <v>2405</v>
      </c>
      <c r="F156" s="138" t="s">
        <v>2406</v>
      </c>
      <c r="G156" s="138" t="s">
        <v>60</v>
      </c>
      <c r="H156" s="141" t="n">
        <v>256</v>
      </c>
      <c r="I156" s="141"/>
      <c r="J156" s="141"/>
      <c r="K156" s="141"/>
      <c r="L156" s="141"/>
      <c r="M156" s="138" t="s">
        <v>2387</v>
      </c>
    </row>
    <row r="157" customFormat="false" ht="15" hidden="false" customHeight="false" outlineLevel="0" collapsed="false">
      <c r="A157" s="138" t="s">
        <v>2618</v>
      </c>
      <c r="B157" s="138" t="s">
        <v>2627</v>
      </c>
      <c r="C157" s="138" t="n">
        <v>226.46</v>
      </c>
      <c r="D157" s="138" t="n">
        <v>227.21</v>
      </c>
      <c r="E157" s="138" t="s">
        <v>2454</v>
      </c>
      <c r="F157" s="138" t="s">
        <v>2455</v>
      </c>
      <c r="G157" s="138" t="s">
        <v>60</v>
      </c>
      <c r="H157" s="141" t="n">
        <v>15</v>
      </c>
      <c r="I157" s="141"/>
      <c r="J157" s="141"/>
      <c r="K157" s="141"/>
      <c r="L157" s="141"/>
      <c r="M157" s="138" t="s">
        <v>2456</v>
      </c>
    </row>
    <row r="158" customFormat="false" ht="15" hidden="false" customHeight="false" outlineLevel="0" collapsed="false">
      <c r="A158" s="138" t="s">
        <v>2627</v>
      </c>
      <c r="B158" s="138" t="s">
        <v>2628</v>
      </c>
      <c r="C158" s="138" t="n">
        <v>227.21</v>
      </c>
      <c r="D158" s="138" t="n">
        <v>230.46</v>
      </c>
      <c r="E158" s="138" t="s">
        <v>2604</v>
      </c>
      <c r="F158" s="138" t="s">
        <v>2386</v>
      </c>
      <c r="G158" s="138" t="s">
        <v>60</v>
      </c>
      <c r="H158" s="141" t="n">
        <v>65</v>
      </c>
      <c r="I158" s="141"/>
      <c r="J158" s="141"/>
      <c r="K158" s="141"/>
      <c r="L158" s="141"/>
      <c r="M158" s="138" t="s">
        <v>2387</v>
      </c>
    </row>
    <row r="159" customFormat="false" ht="15" hidden="false" customHeight="false" outlineLevel="0" collapsed="false">
      <c r="A159" s="138" t="s">
        <v>2628</v>
      </c>
      <c r="B159" s="138" t="s">
        <v>2629</v>
      </c>
      <c r="C159" s="138" t="n">
        <v>230.46</v>
      </c>
      <c r="D159" s="138" t="n">
        <v>230.86</v>
      </c>
      <c r="E159" s="138" t="s">
        <v>2454</v>
      </c>
      <c r="F159" s="138" t="s">
        <v>2455</v>
      </c>
      <c r="G159" s="138" t="s">
        <v>60</v>
      </c>
      <c r="H159" s="141" t="n">
        <v>8</v>
      </c>
      <c r="I159" s="141"/>
      <c r="J159" s="141"/>
      <c r="K159" s="141"/>
      <c r="L159" s="141"/>
      <c r="M159" s="138" t="s">
        <v>2456</v>
      </c>
    </row>
    <row r="160" customFormat="false" ht="15" hidden="false" customHeight="false" outlineLevel="0" collapsed="false">
      <c r="A160" s="138" t="s">
        <v>2629</v>
      </c>
      <c r="B160" s="138" t="s">
        <v>2630</v>
      </c>
      <c r="C160" s="138" t="n">
        <v>230.86</v>
      </c>
      <c r="D160" s="138" t="n">
        <v>232.46</v>
      </c>
      <c r="E160" s="138" t="s">
        <v>2604</v>
      </c>
      <c r="F160" s="138" t="s">
        <v>2386</v>
      </c>
      <c r="G160" s="138" t="s">
        <v>60</v>
      </c>
      <c r="H160" s="141" t="n">
        <v>32</v>
      </c>
      <c r="I160" s="141"/>
      <c r="J160" s="141"/>
      <c r="K160" s="141"/>
      <c r="L160" s="141"/>
      <c r="M160" s="138" t="s">
        <v>2387</v>
      </c>
    </row>
    <row r="161" customFormat="false" ht="15" hidden="false" customHeight="false" outlineLevel="0" collapsed="false">
      <c r="A161" s="138" t="s">
        <v>2622</v>
      </c>
      <c r="B161" s="138" t="s">
        <v>2631</v>
      </c>
      <c r="C161" s="138" t="n">
        <v>232.2425</v>
      </c>
      <c r="D161" s="138" t="n">
        <v>235.139</v>
      </c>
      <c r="E161" s="138" t="s">
        <v>2395</v>
      </c>
      <c r="F161" s="138" t="s">
        <v>2396</v>
      </c>
      <c r="G161" s="138" t="s">
        <v>59</v>
      </c>
      <c r="H161" s="141" t="n">
        <v>60</v>
      </c>
      <c r="I161" s="141"/>
      <c r="J161" s="141"/>
      <c r="K161" s="141"/>
      <c r="L161" s="141"/>
      <c r="M161" s="138" t="s">
        <v>2387</v>
      </c>
    </row>
    <row r="162" customFormat="false" ht="15" hidden="false" customHeight="false" outlineLevel="0" collapsed="false">
      <c r="A162" s="138" t="s">
        <v>2630</v>
      </c>
      <c r="B162" s="138" t="s">
        <v>2632</v>
      </c>
      <c r="C162" s="138" t="n">
        <v>232.46</v>
      </c>
      <c r="D162" s="138" t="n">
        <v>232.81</v>
      </c>
      <c r="E162" s="138" t="s">
        <v>2454</v>
      </c>
      <c r="F162" s="138" t="s">
        <v>2455</v>
      </c>
      <c r="G162" s="138" t="s">
        <v>60</v>
      </c>
      <c r="H162" s="141" t="n">
        <v>7</v>
      </c>
      <c r="I162" s="141"/>
      <c r="J162" s="141"/>
      <c r="K162" s="141"/>
      <c r="L162" s="141"/>
      <c r="M162" s="138" t="s">
        <v>2456</v>
      </c>
    </row>
    <row r="163" customFormat="false" ht="15" hidden="false" customHeight="false" outlineLevel="0" collapsed="false">
      <c r="A163" s="138" t="s">
        <v>2632</v>
      </c>
      <c r="B163" s="138" t="s">
        <v>2633</v>
      </c>
      <c r="C163" s="138" t="n">
        <v>232.81</v>
      </c>
      <c r="D163" s="138" t="n">
        <v>234.0585</v>
      </c>
      <c r="E163" s="138" t="s">
        <v>2604</v>
      </c>
      <c r="F163" s="138" t="s">
        <v>2386</v>
      </c>
      <c r="G163" s="138" t="s">
        <v>60</v>
      </c>
      <c r="H163" s="141" t="n">
        <v>25</v>
      </c>
      <c r="I163" s="141"/>
      <c r="J163" s="141"/>
      <c r="K163" s="141"/>
      <c r="L163" s="141"/>
      <c r="M163" s="138" t="s">
        <v>2387</v>
      </c>
    </row>
    <row r="164" customFormat="false" ht="15" hidden="false" customHeight="false" outlineLevel="0" collapsed="false">
      <c r="A164" s="138" t="s">
        <v>2633</v>
      </c>
      <c r="B164" s="138" t="s">
        <v>2634</v>
      </c>
      <c r="C164" s="138" t="n">
        <v>234.0585</v>
      </c>
      <c r="D164" s="138" t="n">
        <v>235.4245</v>
      </c>
      <c r="E164" s="138" t="s">
        <v>2462</v>
      </c>
      <c r="F164" s="138" t="s">
        <v>2396</v>
      </c>
      <c r="G164" s="138" t="s">
        <v>60</v>
      </c>
      <c r="H164" s="141" t="n">
        <v>29</v>
      </c>
      <c r="I164" s="141"/>
      <c r="J164" s="141"/>
      <c r="K164" s="141"/>
      <c r="L164" s="141"/>
      <c r="M164" s="138" t="s">
        <v>2387</v>
      </c>
    </row>
    <row r="165" customFormat="false" ht="15" hidden="false" customHeight="false" outlineLevel="0" collapsed="false">
      <c r="A165" s="138" t="s">
        <v>2635</v>
      </c>
      <c r="B165" s="138" t="s">
        <v>2636</v>
      </c>
      <c r="C165" s="138" t="n">
        <v>234.945</v>
      </c>
      <c r="D165" s="138" t="n">
        <v>235.295</v>
      </c>
      <c r="E165" s="138" t="s">
        <v>2433</v>
      </c>
      <c r="F165" s="138" t="s">
        <v>2434</v>
      </c>
      <c r="G165" s="138" t="s">
        <v>59</v>
      </c>
      <c r="H165" s="141" t="n">
        <v>7</v>
      </c>
      <c r="I165" s="141"/>
      <c r="J165" s="141"/>
      <c r="K165" s="141"/>
      <c r="L165" s="141"/>
      <c r="M165" s="138" t="s">
        <v>2387</v>
      </c>
    </row>
    <row r="166" customFormat="false" ht="15" hidden="false" customHeight="false" outlineLevel="0" collapsed="false">
      <c r="A166" s="138" t="s">
        <v>2637</v>
      </c>
      <c r="B166" s="138" t="s">
        <v>2638</v>
      </c>
      <c r="C166" s="138" t="n">
        <v>234.9975</v>
      </c>
      <c r="D166" s="138" t="n">
        <v>235.2975</v>
      </c>
      <c r="E166" s="138" t="s">
        <v>2433</v>
      </c>
      <c r="F166" s="138" t="s">
        <v>2434</v>
      </c>
      <c r="G166" s="138" t="s">
        <v>60</v>
      </c>
      <c r="H166" s="141" t="n">
        <v>7</v>
      </c>
      <c r="I166" s="141"/>
      <c r="J166" s="141"/>
      <c r="K166" s="141"/>
      <c r="L166" s="141"/>
      <c r="M166" s="138" t="s">
        <v>2387</v>
      </c>
    </row>
    <row r="167" customFormat="false" ht="15" hidden="false" customHeight="false" outlineLevel="0" collapsed="false">
      <c r="A167" s="138" t="s">
        <v>2639</v>
      </c>
      <c r="B167" s="138" t="s">
        <v>2640</v>
      </c>
      <c r="C167" s="138" t="n">
        <v>237.038</v>
      </c>
      <c r="D167" s="138" t="n">
        <v>239.4095</v>
      </c>
      <c r="E167" s="138" t="s">
        <v>2395</v>
      </c>
      <c r="F167" s="138" t="s">
        <v>2396</v>
      </c>
      <c r="G167" s="138" t="s">
        <v>59</v>
      </c>
      <c r="H167" s="141" t="n">
        <v>48</v>
      </c>
      <c r="I167" s="141"/>
      <c r="J167" s="141"/>
      <c r="K167" s="141"/>
      <c r="L167" s="141"/>
      <c r="M167" s="138" t="s">
        <v>2387</v>
      </c>
    </row>
    <row r="168" customFormat="false" ht="15" hidden="false" customHeight="false" outlineLevel="0" collapsed="false">
      <c r="A168" s="138" t="s">
        <v>2641</v>
      </c>
      <c r="B168" s="138" t="s">
        <v>2642</v>
      </c>
      <c r="C168" s="138" t="n">
        <v>237.241</v>
      </c>
      <c r="D168" s="138" t="n">
        <v>238.741</v>
      </c>
      <c r="E168" s="138" t="s">
        <v>2433</v>
      </c>
      <c r="F168" s="138" t="s">
        <v>2434</v>
      </c>
      <c r="G168" s="138" t="s">
        <v>59</v>
      </c>
      <c r="H168" s="141" t="n">
        <v>30</v>
      </c>
      <c r="I168" s="141"/>
      <c r="J168" s="141"/>
      <c r="K168" s="141"/>
      <c r="L168" s="141"/>
      <c r="M168" s="138" t="s">
        <v>2387</v>
      </c>
    </row>
    <row r="169" customFormat="false" ht="15" hidden="false" customHeight="false" outlineLevel="0" collapsed="false">
      <c r="A169" s="138" t="s">
        <v>2643</v>
      </c>
      <c r="B169" s="138" t="s">
        <v>2644</v>
      </c>
      <c r="C169" s="138" t="n">
        <v>237.25</v>
      </c>
      <c r="D169" s="138" t="n">
        <v>238.95</v>
      </c>
      <c r="E169" s="138" t="s">
        <v>2433</v>
      </c>
      <c r="F169" s="138" t="s">
        <v>2434</v>
      </c>
      <c r="G169" s="138" t="s">
        <v>60</v>
      </c>
      <c r="H169" s="141" t="n">
        <v>34</v>
      </c>
      <c r="I169" s="141"/>
      <c r="J169" s="141"/>
      <c r="K169" s="141"/>
      <c r="L169" s="141"/>
      <c r="M169" s="138" t="s">
        <v>2387</v>
      </c>
    </row>
    <row r="170" customFormat="false" ht="15" hidden="false" customHeight="false" outlineLevel="0" collapsed="false">
      <c r="A170" s="138" t="s">
        <v>2645</v>
      </c>
      <c r="B170" s="138" t="s">
        <v>2646</v>
      </c>
      <c r="C170" s="138" t="n">
        <v>239.029</v>
      </c>
      <c r="D170" s="138" t="n">
        <v>241.25</v>
      </c>
      <c r="E170" s="138" t="s">
        <v>2379</v>
      </c>
      <c r="F170" s="138" t="s">
        <v>2380</v>
      </c>
      <c r="G170" s="138" t="s">
        <v>60</v>
      </c>
      <c r="H170" s="141" t="n">
        <v>44.42</v>
      </c>
      <c r="I170" s="141"/>
      <c r="J170" s="141"/>
      <c r="K170" s="141"/>
      <c r="L170" s="141"/>
      <c r="M170" s="138" t="s">
        <v>2381</v>
      </c>
    </row>
    <row r="171" customFormat="false" ht="15" hidden="false" customHeight="false" outlineLevel="0" collapsed="false">
      <c r="A171" s="138" t="s">
        <v>2647</v>
      </c>
      <c r="B171" s="138" t="s">
        <v>2648</v>
      </c>
      <c r="C171" s="138" t="n">
        <v>239.0705</v>
      </c>
      <c r="D171" s="138" t="n">
        <v>245.237</v>
      </c>
      <c r="E171" s="138" t="s">
        <v>2399</v>
      </c>
      <c r="F171" s="138" t="s">
        <v>2400</v>
      </c>
      <c r="G171" s="138" t="s">
        <v>59</v>
      </c>
      <c r="H171" s="141" t="n">
        <v>123.33</v>
      </c>
      <c r="I171" s="141"/>
      <c r="J171" s="141"/>
      <c r="K171" s="141"/>
      <c r="L171" s="141"/>
      <c r="M171" s="138" t="s">
        <v>2381</v>
      </c>
    </row>
    <row r="172" customFormat="false" ht="15" hidden="false" customHeight="false" outlineLevel="0" collapsed="false">
      <c r="A172" s="138" t="s">
        <v>2640</v>
      </c>
      <c r="B172" s="138" t="s">
        <v>2649</v>
      </c>
      <c r="C172" s="138" t="n">
        <v>239.4095</v>
      </c>
      <c r="D172" s="138" t="n">
        <v>246.758</v>
      </c>
      <c r="E172" s="138" t="s">
        <v>2604</v>
      </c>
      <c r="F172" s="138" t="s">
        <v>2386</v>
      </c>
      <c r="G172" s="138" t="s">
        <v>59</v>
      </c>
      <c r="H172" s="141" t="n">
        <v>147</v>
      </c>
      <c r="I172" s="141"/>
      <c r="J172" s="141"/>
      <c r="K172" s="141"/>
      <c r="L172" s="141"/>
      <c r="M172" s="138" t="s">
        <v>2387</v>
      </c>
    </row>
    <row r="173" customFormat="false" ht="15" hidden="false" customHeight="false" outlineLevel="0" collapsed="false">
      <c r="A173" s="138" t="s">
        <v>2640</v>
      </c>
      <c r="B173" s="138" t="s">
        <v>2650</v>
      </c>
      <c r="C173" s="138" t="n">
        <v>239.4095</v>
      </c>
      <c r="D173" s="138" t="n">
        <v>245.4955</v>
      </c>
      <c r="E173" s="138" t="s">
        <v>2405</v>
      </c>
      <c r="F173" s="138" t="s">
        <v>2406</v>
      </c>
      <c r="G173" s="138" t="s">
        <v>59</v>
      </c>
      <c r="H173" s="141" t="n">
        <v>122</v>
      </c>
      <c r="I173" s="141"/>
      <c r="J173" s="141"/>
      <c r="K173" s="141"/>
      <c r="L173" s="141"/>
      <c r="M173" s="138" t="s">
        <v>2387</v>
      </c>
    </row>
    <row r="174" customFormat="false" ht="15" hidden="false" customHeight="false" outlineLevel="0" collapsed="false">
      <c r="A174" s="138" t="s">
        <v>2651</v>
      </c>
      <c r="B174" s="138" t="s">
        <v>2652</v>
      </c>
      <c r="C174" s="138" t="n">
        <v>240.0685</v>
      </c>
      <c r="D174" s="138" t="n">
        <v>240.243</v>
      </c>
      <c r="E174" s="138" t="s">
        <v>2389</v>
      </c>
      <c r="F174" s="138" t="s">
        <v>2390</v>
      </c>
      <c r="G174" s="138" t="s">
        <v>60</v>
      </c>
      <c r="H174" s="141" t="n">
        <v>4</v>
      </c>
      <c r="I174" s="141"/>
      <c r="J174" s="141"/>
      <c r="K174" s="141"/>
      <c r="L174" s="141"/>
      <c r="M174" s="138" t="s">
        <v>2387</v>
      </c>
    </row>
    <row r="175" customFormat="false" ht="15" hidden="false" customHeight="false" outlineLevel="0" collapsed="false">
      <c r="A175" s="138" t="s">
        <v>2652</v>
      </c>
      <c r="B175" s="138" t="s">
        <v>2653</v>
      </c>
      <c r="C175" s="138" t="n">
        <v>240.243</v>
      </c>
      <c r="D175" s="138" t="n">
        <v>245.493</v>
      </c>
      <c r="E175" s="138" t="s">
        <v>2385</v>
      </c>
      <c r="F175" s="138" t="s">
        <v>2386</v>
      </c>
      <c r="G175" s="138" t="s">
        <v>60</v>
      </c>
      <c r="H175" s="141" t="n">
        <v>105</v>
      </c>
      <c r="I175" s="141"/>
      <c r="J175" s="141"/>
      <c r="K175" s="141"/>
      <c r="L175" s="141"/>
      <c r="M175" s="138" t="s">
        <v>2387</v>
      </c>
    </row>
    <row r="176" customFormat="false" ht="15" hidden="false" customHeight="false" outlineLevel="0" collapsed="false">
      <c r="A176" s="138" t="s">
        <v>2650</v>
      </c>
      <c r="B176" s="138" t="s">
        <v>2649</v>
      </c>
      <c r="C176" s="138" t="n">
        <v>245.4955</v>
      </c>
      <c r="D176" s="138" t="n">
        <v>246.758</v>
      </c>
      <c r="E176" s="138" t="s">
        <v>2405</v>
      </c>
      <c r="F176" s="138" t="s">
        <v>2406</v>
      </c>
      <c r="G176" s="138" t="s">
        <v>59</v>
      </c>
      <c r="H176" s="141" t="n">
        <v>25</v>
      </c>
      <c r="I176" s="141"/>
      <c r="J176" s="141"/>
      <c r="K176" s="141"/>
      <c r="L176" s="141"/>
      <c r="M176" s="138" t="s">
        <v>2387</v>
      </c>
    </row>
    <row r="177" customFormat="false" ht="15" hidden="false" customHeight="false" outlineLevel="0" collapsed="false">
      <c r="A177" s="138" t="s">
        <v>2649</v>
      </c>
      <c r="B177" s="138" t="s">
        <v>2654</v>
      </c>
      <c r="C177" s="138" t="n">
        <v>246.758</v>
      </c>
      <c r="D177" s="138" t="n">
        <v>254.7565</v>
      </c>
      <c r="E177" s="138" t="s">
        <v>2395</v>
      </c>
      <c r="F177" s="138" t="s">
        <v>2396</v>
      </c>
      <c r="G177" s="138" t="s">
        <v>59</v>
      </c>
      <c r="H177" s="141" t="n">
        <v>160</v>
      </c>
      <c r="I177" s="141"/>
      <c r="J177" s="141"/>
      <c r="K177" s="141"/>
      <c r="L177" s="141"/>
      <c r="M177" s="138" t="s">
        <v>2387</v>
      </c>
    </row>
    <row r="178" customFormat="false" ht="15" hidden="false" customHeight="false" outlineLevel="0" collapsed="false">
      <c r="A178" s="138" t="s">
        <v>2654</v>
      </c>
      <c r="B178" s="138" t="s">
        <v>2655</v>
      </c>
      <c r="C178" s="138" t="n">
        <v>254.7565</v>
      </c>
      <c r="D178" s="138" t="n">
        <v>257.455</v>
      </c>
      <c r="E178" s="138" t="s">
        <v>2385</v>
      </c>
      <c r="F178" s="138" t="s">
        <v>2386</v>
      </c>
      <c r="G178" s="138" t="s">
        <v>59</v>
      </c>
      <c r="H178" s="141" t="n">
        <v>54</v>
      </c>
      <c r="I178" s="141"/>
      <c r="J178" s="141"/>
      <c r="K178" s="141"/>
      <c r="L178" s="141"/>
      <c r="M178" s="138" t="s">
        <v>2387</v>
      </c>
    </row>
    <row r="179" customFormat="false" ht="15" hidden="false" customHeight="false" outlineLevel="0" collapsed="false">
      <c r="A179" s="138" t="s">
        <v>2656</v>
      </c>
      <c r="B179" s="138" t="s">
        <v>2657</v>
      </c>
      <c r="C179" s="138" t="n">
        <v>255.16</v>
      </c>
      <c r="D179" s="138" t="n">
        <v>255.84</v>
      </c>
      <c r="E179" s="138" t="s">
        <v>2521</v>
      </c>
      <c r="F179" s="138" t="s">
        <v>2522</v>
      </c>
      <c r="G179" s="138" t="s">
        <v>60</v>
      </c>
      <c r="H179" s="141" t="n">
        <v>15</v>
      </c>
      <c r="I179" s="141"/>
      <c r="J179" s="141"/>
      <c r="K179" s="141"/>
      <c r="L179" s="141"/>
      <c r="M179" s="138" t="s">
        <v>2523</v>
      </c>
    </row>
    <row r="180" customFormat="false" ht="15" hidden="false" customHeight="false" outlineLevel="0" collapsed="false">
      <c r="A180" s="138" t="s">
        <v>2658</v>
      </c>
      <c r="B180" s="138" t="s">
        <v>2659</v>
      </c>
      <c r="C180" s="138" t="n">
        <v>255.568</v>
      </c>
      <c r="D180" s="138" t="n">
        <v>255.865</v>
      </c>
      <c r="E180" s="138" t="s">
        <v>2389</v>
      </c>
      <c r="F180" s="138" t="s">
        <v>2390</v>
      </c>
      <c r="G180" s="138" t="s">
        <v>60</v>
      </c>
      <c r="H180" s="141" t="n">
        <v>7</v>
      </c>
      <c r="I180" s="141"/>
      <c r="J180" s="141"/>
      <c r="K180" s="141"/>
      <c r="L180" s="141"/>
      <c r="M180" s="138" t="s">
        <v>2387</v>
      </c>
    </row>
    <row r="181" customFormat="false" ht="15" hidden="false" customHeight="false" outlineLevel="0" collapsed="false">
      <c r="A181" s="138" t="s">
        <v>2659</v>
      </c>
      <c r="B181" s="138" t="s">
        <v>2660</v>
      </c>
      <c r="C181" s="138" t="n">
        <v>255.865</v>
      </c>
      <c r="D181" s="138" t="n">
        <v>259.743</v>
      </c>
      <c r="E181" s="138" t="s">
        <v>2385</v>
      </c>
      <c r="F181" s="138" t="s">
        <v>2386</v>
      </c>
      <c r="G181" s="138" t="s">
        <v>60</v>
      </c>
      <c r="H181" s="141" t="n">
        <v>90</v>
      </c>
      <c r="I181" s="141"/>
      <c r="J181" s="141"/>
      <c r="K181" s="141"/>
      <c r="L181" s="141"/>
      <c r="M181" s="138" t="s">
        <v>2387</v>
      </c>
    </row>
    <row r="182" customFormat="false" ht="15" hidden="false" customHeight="false" outlineLevel="0" collapsed="false">
      <c r="A182" s="138" t="s">
        <v>2661</v>
      </c>
      <c r="B182" s="138" t="s">
        <v>2662</v>
      </c>
      <c r="C182" s="138" t="n">
        <v>259.934</v>
      </c>
      <c r="D182" s="138" t="n">
        <v>260.127</v>
      </c>
      <c r="E182" s="138" t="s">
        <v>2385</v>
      </c>
      <c r="F182" s="138" t="s">
        <v>2386</v>
      </c>
      <c r="G182" s="138" t="s">
        <v>60</v>
      </c>
      <c r="H182" s="141" t="n">
        <v>21</v>
      </c>
      <c r="I182" s="141"/>
      <c r="J182" s="141"/>
      <c r="K182" s="141"/>
      <c r="L182" s="141"/>
      <c r="M182" s="138" t="s">
        <v>2387</v>
      </c>
    </row>
    <row r="183" customFormat="false" ht="15" hidden="false" customHeight="false" outlineLevel="0" collapsed="false">
      <c r="A183" s="138" t="s">
        <v>2663</v>
      </c>
      <c r="B183" s="138" t="s">
        <v>2664</v>
      </c>
      <c r="C183" s="138" t="n">
        <v>260.031</v>
      </c>
      <c r="D183" s="138" t="n">
        <v>262.7465</v>
      </c>
      <c r="E183" s="138" t="s">
        <v>2379</v>
      </c>
      <c r="F183" s="138" t="s">
        <v>2380</v>
      </c>
      <c r="G183" s="138" t="s">
        <v>60</v>
      </c>
      <c r="H183" s="141" t="n">
        <v>54.31</v>
      </c>
      <c r="I183" s="141"/>
      <c r="J183" s="141"/>
      <c r="K183" s="141"/>
      <c r="L183" s="141"/>
      <c r="M183" s="138" t="s">
        <v>2381</v>
      </c>
    </row>
    <row r="184" customFormat="false" ht="15" hidden="false" customHeight="false" outlineLevel="0" collapsed="false">
      <c r="A184" s="138" t="s">
        <v>2665</v>
      </c>
      <c r="B184" s="138" t="s">
        <v>2666</v>
      </c>
      <c r="C184" s="138" t="n">
        <v>260.135</v>
      </c>
      <c r="D184" s="138" t="n">
        <v>263.4615</v>
      </c>
      <c r="E184" s="138" t="s">
        <v>2395</v>
      </c>
      <c r="F184" s="138" t="s">
        <v>2396</v>
      </c>
      <c r="G184" s="138" t="s">
        <v>60</v>
      </c>
      <c r="H184" s="141" t="n">
        <v>67</v>
      </c>
      <c r="I184" s="141"/>
      <c r="J184" s="141"/>
      <c r="K184" s="141"/>
      <c r="L184" s="141"/>
      <c r="M184" s="138" t="s">
        <v>2387</v>
      </c>
    </row>
    <row r="185" customFormat="false" ht="15" hidden="false" customHeight="false" outlineLevel="0" collapsed="false">
      <c r="A185" s="138" t="s">
        <v>2667</v>
      </c>
      <c r="B185" s="138" t="s">
        <v>2668</v>
      </c>
      <c r="C185" s="138" t="n">
        <v>260.294</v>
      </c>
      <c r="D185" s="138" t="n">
        <v>262.754</v>
      </c>
      <c r="E185" s="138" t="s">
        <v>2379</v>
      </c>
      <c r="F185" s="138" t="s">
        <v>2380</v>
      </c>
      <c r="G185" s="138" t="s">
        <v>59</v>
      </c>
      <c r="H185" s="141" t="n">
        <v>49.2</v>
      </c>
      <c r="I185" s="141"/>
      <c r="J185" s="141"/>
      <c r="K185" s="141"/>
      <c r="L185" s="141"/>
      <c r="M185" s="138" t="s">
        <v>2381</v>
      </c>
    </row>
    <row r="186" customFormat="false" ht="15" hidden="false" customHeight="false" outlineLevel="0" collapsed="false">
      <c r="A186" s="138" t="s">
        <v>2666</v>
      </c>
      <c r="B186" s="138" t="s">
        <v>2669</v>
      </c>
      <c r="C186" s="138" t="n">
        <v>263.4615</v>
      </c>
      <c r="D186" s="138" t="n">
        <v>266.8615</v>
      </c>
      <c r="E186" s="138" t="s">
        <v>2670</v>
      </c>
      <c r="F186" s="138" t="s">
        <v>2386</v>
      </c>
      <c r="G186" s="138" t="s">
        <v>60</v>
      </c>
      <c r="H186" s="141" t="n">
        <v>68</v>
      </c>
      <c r="I186" s="141"/>
      <c r="J186" s="141"/>
      <c r="K186" s="141"/>
      <c r="L186" s="141"/>
      <c r="M186" s="138" t="s">
        <v>2387</v>
      </c>
    </row>
    <row r="187" customFormat="false" ht="15" hidden="false" customHeight="false" outlineLevel="0" collapsed="false">
      <c r="A187" s="138" t="s">
        <v>2671</v>
      </c>
      <c r="B187" s="138" t="s">
        <v>2672</v>
      </c>
      <c r="C187" s="138" t="n">
        <v>263.471</v>
      </c>
      <c r="D187" s="138" t="n">
        <v>263.7375</v>
      </c>
      <c r="E187" s="138" t="s">
        <v>2389</v>
      </c>
      <c r="F187" s="138" t="s">
        <v>2390</v>
      </c>
      <c r="G187" s="138" t="s">
        <v>59</v>
      </c>
      <c r="H187" s="141" t="n">
        <v>6</v>
      </c>
      <c r="I187" s="141"/>
      <c r="J187" s="141"/>
      <c r="K187" s="141"/>
      <c r="L187" s="141"/>
      <c r="M187" s="138" t="s">
        <v>2387</v>
      </c>
    </row>
    <row r="188" customFormat="false" ht="15" hidden="false" customHeight="false" outlineLevel="0" collapsed="false">
      <c r="A188" s="138" t="s">
        <v>2672</v>
      </c>
      <c r="B188" s="138" t="s">
        <v>2673</v>
      </c>
      <c r="C188" s="138" t="n">
        <v>263.7375</v>
      </c>
      <c r="D188" s="138" t="n">
        <v>266.3875</v>
      </c>
      <c r="E188" s="138" t="s">
        <v>2670</v>
      </c>
      <c r="F188" s="138" t="s">
        <v>2386</v>
      </c>
      <c r="G188" s="138" t="s">
        <v>59</v>
      </c>
      <c r="H188" s="141" t="n">
        <v>53</v>
      </c>
      <c r="I188" s="141"/>
      <c r="J188" s="141"/>
      <c r="K188" s="141"/>
      <c r="L188" s="141"/>
      <c r="M188" s="138" t="s">
        <v>2387</v>
      </c>
    </row>
    <row r="189" customFormat="false" ht="15" hidden="false" customHeight="false" outlineLevel="0" collapsed="false">
      <c r="A189" s="138" t="s">
        <v>2674</v>
      </c>
      <c r="B189" s="138" t="s">
        <v>2675</v>
      </c>
      <c r="C189" s="138" t="n">
        <v>268.346</v>
      </c>
      <c r="D189" s="138" t="n">
        <v>270.596</v>
      </c>
      <c r="E189" s="138" t="s">
        <v>2433</v>
      </c>
      <c r="F189" s="138" t="s">
        <v>2434</v>
      </c>
      <c r="G189" s="138" t="s">
        <v>59</v>
      </c>
      <c r="H189" s="141" t="n">
        <v>45</v>
      </c>
      <c r="I189" s="141"/>
      <c r="J189" s="141"/>
      <c r="K189" s="141"/>
      <c r="L189" s="141"/>
      <c r="M189" s="138" t="s">
        <v>2387</v>
      </c>
    </row>
    <row r="190" customFormat="false" ht="15" hidden="false" customHeight="false" outlineLevel="0" collapsed="false">
      <c r="A190" s="138" t="s">
        <v>2676</v>
      </c>
      <c r="B190" s="138" t="s">
        <v>2677</v>
      </c>
      <c r="C190" s="138" t="n">
        <v>268.917</v>
      </c>
      <c r="D190" s="138" t="n">
        <v>273.51</v>
      </c>
      <c r="E190" s="138" t="s">
        <v>2395</v>
      </c>
      <c r="F190" s="138" t="s">
        <v>2396</v>
      </c>
      <c r="G190" s="138" t="s">
        <v>60</v>
      </c>
      <c r="H190" s="141" t="n">
        <v>92</v>
      </c>
      <c r="I190" s="141"/>
      <c r="J190" s="141"/>
      <c r="K190" s="141"/>
      <c r="L190" s="141"/>
      <c r="M190" s="138" t="s">
        <v>2387</v>
      </c>
    </row>
    <row r="191" customFormat="false" ht="15" hidden="false" customHeight="false" outlineLevel="0" collapsed="false">
      <c r="A191" s="138" t="s">
        <v>2678</v>
      </c>
      <c r="B191" s="138" t="s">
        <v>2679</v>
      </c>
      <c r="C191" s="138" t="n">
        <v>268.9295</v>
      </c>
      <c r="D191" s="138" t="n">
        <v>273.7805</v>
      </c>
      <c r="E191" s="138" t="s">
        <v>2395</v>
      </c>
      <c r="F191" s="138" t="s">
        <v>2396</v>
      </c>
      <c r="G191" s="138" t="s">
        <v>59</v>
      </c>
      <c r="H191" s="141" t="n">
        <v>98</v>
      </c>
      <c r="I191" s="141"/>
      <c r="J191" s="141"/>
      <c r="K191" s="141"/>
      <c r="L191" s="141"/>
      <c r="M191" s="138" t="s">
        <v>2387</v>
      </c>
    </row>
    <row r="192" customFormat="false" ht="15" hidden="false" customHeight="false" outlineLevel="0" collapsed="false">
      <c r="A192" s="138" t="s">
        <v>2680</v>
      </c>
      <c r="B192" s="138" t="s">
        <v>2681</v>
      </c>
      <c r="C192" s="138" t="n">
        <v>272.5725</v>
      </c>
      <c r="D192" s="138" t="n">
        <v>279.0135</v>
      </c>
      <c r="E192" s="138" t="s">
        <v>2682</v>
      </c>
      <c r="F192" s="138" t="s">
        <v>2683</v>
      </c>
      <c r="G192" s="138" t="s">
        <v>60</v>
      </c>
      <c r="H192" s="141" t="n">
        <v>128.82</v>
      </c>
      <c r="I192" s="141"/>
      <c r="J192" s="141"/>
      <c r="K192" s="141"/>
      <c r="L192" s="141"/>
      <c r="M192" s="138" t="s">
        <v>2381</v>
      </c>
    </row>
    <row r="193" customFormat="false" ht="15" hidden="false" customHeight="false" outlineLevel="0" collapsed="false">
      <c r="A193" s="138" t="s">
        <v>2684</v>
      </c>
      <c r="B193" s="138" t="s">
        <v>2685</v>
      </c>
      <c r="C193" s="138" t="n">
        <v>272.9315</v>
      </c>
      <c r="D193" s="138" t="n">
        <v>308.1195</v>
      </c>
      <c r="E193" s="138" t="s">
        <v>2682</v>
      </c>
      <c r="F193" s="138" t="s">
        <v>2683</v>
      </c>
      <c r="G193" s="138" t="s">
        <v>59</v>
      </c>
      <c r="H193" s="141" t="n">
        <v>703.76</v>
      </c>
      <c r="I193" s="141"/>
      <c r="J193" s="141"/>
      <c r="K193" s="141"/>
      <c r="L193" s="141"/>
      <c r="M193" s="138" t="s">
        <v>2381</v>
      </c>
    </row>
    <row r="194" customFormat="false" ht="15" hidden="false" customHeight="false" outlineLevel="0" collapsed="false">
      <c r="A194" s="138" t="s">
        <v>2677</v>
      </c>
      <c r="B194" s="138" t="s">
        <v>2686</v>
      </c>
      <c r="C194" s="138" t="n">
        <v>273.51</v>
      </c>
      <c r="D194" s="138" t="n">
        <v>279.055</v>
      </c>
      <c r="E194" s="138" t="s">
        <v>2670</v>
      </c>
      <c r="F194" s="138" t="s">
        <v>2386</v>
      </c>
      <c r="G194" s="138" t="s">
        <v>60</v>
      </c>
      <c r="H194" s="141" t="n">
        <v>111</v>
      </c>
      <c r="I194" s="141"/>
      <c r="J194" s="141"/>
      <c r="K194" s="141"/>
      <c r="L194" s="141"/>
      <c r="M194" s="138" t="s">
        <v>2387</v>
      </c>
    </row>
    <row r="195" customFormat="false" ht="15" hidden="false" customHeight="false" outlineLevel="0" collapsed="false">
      <c r="A195" s="138" t="s">
        <v>2679</v>
      </c>
      <c r="B195" s="138" t="s">
        <v>2687</v>
      </c>
      <c r="C195" s="138" t="n">
        <v>273.7805</v>
      </c>
      <c r="D195" s="138" t="n">
        <v>275.9755</v>
      </c>
      <c r="E195" s="138" t="s">
        <v>2385</v>
      </c>
      <c r="F195" s="138" t="s">
        <v>2386</v>
      </c>
      <c r="G195" s="138" t="s">
        <v>59</v>
      </c>
      <c r="H195" s="141" t="n">
        <v>44</v>
      </c>
      <c r="I195" s="141"/>
      <c r="J195" s="141"/>
      <c r="K195" s="141"/>
      <c r="L195" s="141"/>
      <c r="M195" s="138" t="s">
        <v>2387</v>
      </c>
    </row>
    <row r="196" customFormat="false" ht="15" hidden="false" customHeight="false" outlineLevel="0" collapsed="false">
      <c r="A196" s="138" t="s">
        <v>2687</v>
      </c>
      <c r="B196" s="138" t="s">
        <v>2688</v>
      </c>
      <c r="C196" s="138" t="n">
        <v>275.9755</v>
      </c>
      <c r="D196" s="138" t="n">
        <v>279.0755</v>
      </c>
      <c r="E196" s="138" t="s">
        <v>2670</v>
      </c>
      <c r="F196" s="138" t="s">
        <v>2386</v>
      </c>
      <c r="G196" s="138" t="s">
        <v>59</v>
      </c>
      <c r="H196" s="141" t="n">
        <v>62</v>
      </c>
      <c r="I196" s="141"/>
      <c r="J196" s="141"/>
      <c r="K196" s="141"/>
      <c r="L196" s="141"/>
      <c r="M196" s="138" t="s">
        <v>2387</v>
      </c>
    </row>
    <row r="197" customFormat="false" ht="15" hidden="false" customHeight="false" outlineLevel="0" collapsed="false">
      <c r="A197" s="138" t="s">
        <v>2681</v>
      </c>
      <c r="B197" s="138" t="s">
        <v>2689</v>
      </c>
      <c r="C197" s="138" t="n">
        <v>279.0135</v>
      </c>
      <c r="D197" s="138" t="n">
        <v>305.5755</v>
      </c>
      <c r="E197" s="138" t="s">
        <v>2682</v>
      </c>
      <c r="F197" s="138" t="s">
        <v>2683</v>
      </c>
      <c r="G197" s="138" t="s">
        <v>60</v>
      </c>
      <c r="H197" s="141" t="n">
        <v>531.24</v>
      </c>
      <c r="I197" s="141"/>
      <c r="J197" s="141"/>
      <c r="K197" s="141"/>
      <c r="L197" s="141"/>
      <c r="M197" s="138" t="s">
        <v>2381</v>
      </c>
    </row>
    <row r="198" customFormat="false" ht="15" hidden="false" customHeight="false" outlineLevel="0" collapsed="false">
      <c r="A198" s="138" t="s">
        <v>2686</v>
      </c>
      <c r="B198" s="138" t="s">
        <v>2690</v>
      </c>
      <c r="C198" s="138" t="n">
        <v>279.055</v>
      </c>
      <c r="D198" s="138" t="n">
        <v>304.5475</v>
      </c>
      <c r="E198" s="138" t="s">
        <v>2670</v>
      </c>
      <c r="F198" s="138" t="s">
        <v>2386</v>
      </c>
      <c r="G198" s="138" t="s">
        <v>60</v>
      </c>
      <c r="H198" s="141" t="n">
        <v>510</v>
      </c>
      <c r="I198" s="141"/>
      <c r="J198" s="141"/>
      <c r="K198" s="141"/>
      <c r="L198" s="141"/>
      <c r="M198" s="138" t="s">
        <v>2387</v>
      </c>
    </row>
    <row r="199" customFormat="false" ht="15" hidden="false" customHeight="false" outlineLevel="0" collapsed="false">
      <c r="A199" s="138" t="s">
        <v>2688</v>
      </c>
      <c r="B199" s="138" t="s">
        <v>2691</v>
      </c>
      <c r="C199" s="138" t="n">
        <v>279.0755</v>
      </c>
      <c r="D199" s="138" t="n">
        <v>301.9205</v>
      </c>
      <c r="E199" s="138" t="s">
        <v>2670</v>
      </c>
      <c r="F199" s="138" t="s">
        <v>2386</v>
      </c>
      <c r="G199" s="138" t="s">
        <v>59</v>
      </c>
      <c r="H199" s="141" t="n">
        <v>457</v>
      </c>
      <c r="I199" s="141"/>
      <c r="J199" s="141"/>
      <c r="K199" s="141"/>
      <c r="L199" s="141"/>
      <c r="M199" s="138" t="s">
        <v>2387</v>
      </c>
    </row>
    <row r="200" customFormat="false" ht="15" hidden="false" customHeight="false" outlineLevel="0" collapsed="false">
      <c r="A200" s="138" t="s">
        <v>2692</v>
      </c>
      <c r="B200" s="138" t="s">
        <v>2693</v>
      </c>
      <c r="C200" s="138" t="n">
        <v>284.7615</v>
      </c>
      <c r="D200" s="138" t="n">
        <v>305.7205</v>
      </c>
      <c r="E200" s="138" t="s">
        <v>2405</v>
      </c>
      <c r="F200" s="138" t="s">
        <v>2406</v>
      </c>
      <c r="G200" s="138" t="s">
        <v>60</v>
      </c>
      <c r="H200" s="141" t="n">
        <v>420</v>
      </c>
      <c r="I200" s="141"/>
      <c r="J200" s="141"/>
      <c r="K200" s="141"/>
      <c r="L200" s="141"/>
      <c r="M200" s="138" t="s">
        <v>2387</v>
      </c>
    </row>
    <row r="201" customFormat="false" ht="15" hidden="false" customHeight="false" outlineLevel="0" collapsed="false">
      <c r="A201" s="138" t="s">
        <v>2691</v>
      </c>
      <c r="B201" s="138" t="s">
        <v>2694</v>
      </c>
      <c r="C201" s="138" t="n">
        <v>301.9205</v>
      </c>
      <c r="D201" s="138" t="n">
        <v>307.3205</v>
      </c>
      <c r="E201" s="138" t="s">
        <v>2385</v>
      </c>
      <c r="F201" s="138" t="s">
        <v>2386</v>
      </c>
      <c r="G201" s="138" t="s">
        <v>59</v>
      </c>
      <c r="H201" s="141" t="n">
        <v>108</v>
      </c>
      <c r="I201" s="141"/>
      <c r="J201" s="141"/>
      <c r="K201" s="141"/>
      <c r="L201" s="141"/>
      <c r="M201" s="138" t="s">
        <v>2387</v>
      </c>
    </row>
    <row r="202" customFormat="false" ht="15" hidden="false" customHeight="false" outlineLevel="0" collapsed="false">
      <c r="A202" s="138" t="s">
        <v>2690</v>
      </c>
      <c r="B202" s="138" t="s">
        <v>2695</v>
      </c>
      <c r="C202" s="138" t="n">
        <v>304.5475</v>
      </c>
      <c r="D202" s="138" t="n">
        <v>311.6095</v>
      </c>
      <c r="E202" s="138" t="s">
        <v>2395</v>
      </c>
      <c r="F202" s="138" t="s">
        <v>2396</v>
      </c>
      <c r="G202" s="138" t="s">
        <v>60</v>
      </c>
      <c r="H202" s="141" t="n">
        <v>141</v>
      </c>
      <c r="I202" s="141"/>
      <c r="J202" s="141"/>
      <c r="K202" s="141"/>
      <c r="L202" s="141"/>
      <c r="M202" s="138" t="s">
        <v>2696</v>
      </c>
    </row>
    <row r="203" customFormat="false" ht="15" hidden="false" customHeight="false" outlineLevel="0" collapsed="false">
      <c r="A203" s="138" t="s">
        <v>2694</v>
      </c>
      <c r="B203" s="138" t="s">
        <v>2697</v>
      </c>
      <c r="C203" s="138" t="n">
        <v>307.3205</v>
      </c>
      <c r="D203" s="138" t="n">
        <v>311.925</v>
      </c>
      <c r="E203" s="138" t="s">
        <v>2395</v>
      </c>
      <c r="F203" s="138" t="s">
        <v>2396</v>
      </c>
      <c r="G203" s="138" t="s">
        <v>59</v>
      </c>
      <c r="H203" s="141" t="n">
        <v>92</v>
      </c>
      <c r="I203" s="141"/>
      <c r="J203" s="141"/>
      <c r="K203" s="141"/>
      <c r="L203" s="141"/>
      <c r="M203" s="138" t="s">
        <v>2387</v>
      </c>
    </row>
    <row r="204" customFormat="false" ht="15" hidden="false" customHeight="false" outlineLevel="0" collapsed="false">
      <c r="A204" s="138" t="s">
        <v>2698</v>
      </c>
      <c r="B204" s="138" t="s">
        <v>2699</v>
      </c>
      <c r="C204" s="138" t="n">
        <v>316.7315</v>
      </c>
      <c r="D204" s="138" t="n">
        <v>321.054</v>
      </c>
      <c r="E204" s="138" t="s">
        <v>2379</v>
      </c>
      <c r="F204" s="138" t="s">
        <v>2380</v>
      </c>
      <c r="G204" s="138" t="s">
        <v>60</v>
      </c>
      <c r="H204" s="141" t="n">
        <v>86.45</v>
      </c>
      <c r="I204" s="141"/>
      <c r="J204" s="141"/>
      <c r="K204" s="141"/>
      <c r="L204" s="141"/>
      <c r="M204" s="138" t="s">
        <v>2381</v>
      </c>
    </row>
    <row r="205" customFormat="false" ht="15" hidden="false" customHeight="false" outlineLevel="0" collapsed="false">
      <c r="A205" s="138" t="s">
        <v>2700</v>
      </c>
      <c r="B205" s="138" t="s">
        <v>2701</v>
      </c>
      <c r="C205" s="138" t="n">
        <v>316.759</v>
      </c>
      <c r="D205" s="138" t="n">
        <v>321.2975</v>
      </c>
      <c r="E205" s="138" t="s">
        <v>2379</v>
      </c>
      <c r="F205" s="138" t="s">
        <v>2380</v>
      </c>
      <c r="G205" s="138" t="s">
        <v>59</v>
      </c>
      <c r="H205" s="141" t="n">
        <v>90.77</v>
      </c>
      <c r="I205" s="141"/>
      <c r="J205" s="141"/>
      <c r="K205" s="141"/>
      <c r="L205" s="141"/>
      <c r="M205" s="138" t="s">
        <v>2381</v>
      </c>
    </row>
    <row r="206" customFormat="false" ht="15" hidden="false" customHeight="false" outlineLevel="0" collapsed="false">
      <c r="A206" s="138" t="s">
        <v>2702</v>
      </c>
      <c r="B206" s="138" t="s">
        <v>2703</v>
      </c>
      <c r="C206" s="138" t="n">
        <v>323.442</v>
      </c>
      <c r="D206" s="138" t="n">
        <v>334.251</v>
      </c>
      <c r="E206" s="138" t="s">
        <v>2704</v>
      </c>
      <c r="F206" s="138" t="s">
        <v>2396</v>
      </c>
      <c r="G206" s="138" t="s">
        <v>60</v>
      </c>
      <c r="H206" s="141" t="n">
        <v>215</v>
      </c>
      <c r="I206" s="141"/>
      <c r="J206" s="141"/>
      <c r="K206" s="141"/>
      <c r="L206" s="141"/>
      <c r="M206" s="138" t="s">
        <v>2696</v>
      </c>
    </row>
    <row r="207" customFormat="false" ht="15" hidden="false" customHeight="false" outlineLevel="0" collapsed="false">
      <c r="A207" s="138" t="s">
        <v>2705</v>
      </c>
      <c r="B207" s="138" t="s">
        <v>2706</v>
      </c>
      <c r="C207" s="138" t="n">
        <v>323.772</v>
      </c>
      <c r="D207" s="138" t="n">
        <v>326.2445</v>
      </c>
      <c r="E207" s="138" t="s">
        <v>2379</v>
      </c>
      <c r="F207" s="138" t="s">
        <v>2380</v>
      </c>
      <c r="G207" s="138" t="s">
        <v>60</v>
      </c>
      <c r="H207" s="141" t="n">
        <v>49.45</v>
      </c>
      <c r="I207" s="141"/>
      <c r="J207" s="141"/>
      <c r="K207" s="141"/>
      <c r="L207" s="141"/>
      <c r="M207" s="138" t="s">
        <v>2381</v>
      </c>
    </row>
    <row r="208" customFormat="false" ht="15" hidden="false" customHeight="false" outlineLevel="0" collapsed="false">
      <c r="A208" s="138" t="s">
        <v>2707</v>
      </c>
      <c r="B208" s="138" t="s">
        <v>2708</v>
      </c>
      <c r="C208" s="138" t="n">
        <v>323.8145</v>
      </c>
      <c r="D208" s="138" t="n">
        <v>325.09</v>
      </c>
      <c r="E208" s="138" t="s">
        <v>2379</v>
      </c>
      <c r="F208" s="138" t="s">
        <v>2380</v>
      </c>
      <c r="G208" s="138" t="s">
        <v>59</v>
      </c>
      <c r="H208" s="141" t="n">
        <v>25.51</v>
      </c>
      <c r="I208" s="141"/>
      <c r="J208" s="141"/>
      <c r="K208" s="141"/>
      <c r="L208" s="141"/>
      <c r="M208" s="138" t="s">
        <v>2381</v>
      </c>
    </row>
    <row r="209" customFormat="false" ht="15" hidden="false" customHeight="false" outlineLevel="0" collapsed="false">
      <c r="A209" s="138" t="s">
        <v>2709</v>
      </c>
      <c r="B209" s="138" t="s">
        <v>2710</v>
      </c>
      <c r="C209" s="138" t="n">
        <v>324.1955</v>
      </c>
      <c r="D209" s="138" t="n">
        <v>327.217</v>
      </c>
      <c r="E209" s="138" t="s">
        <v>2433</v>
      </c>
      <c r="F209" s="138" t="s">
        <v>2434</v>
      </c>
      <c r="G209" s="138" t="s">
        <v>59</v>
      </c>
      <c r="H209" s="141" t="n">
        <v>80</v>
      </c>
      <c r="I209" s="141"/>
      <c r="J209" s="141"/>
      <c r="K209" s="141"/>
      <c r="L209" s="141"/>
      <c r="M209" s="138" t="s">
        <v>2696</v>
      </c>
    </row>
    <row r="210" customFormat="false" ht="15" hidden="false" customHeight="false" outlineLevel="0" collapsed="false">
      <c r="A210" s="138" t="s">
        <v>2711</v>
      </c>
      <c r="B210" s="138" t="s">
        <v>2712</v>
      </c>
      <c r="C210" s="138" t="n">
        <v>325.5655</v>
      </c>
      <c r="D210" s="138" t="n">
        <v>334.105</v>
      </c>
      <c r="E210" s="138" t="s">
        <v>2395</v>
      </c>
      <c r="F210" s="138" t="s">
        <v>2396</v>
      </c>
      <c r="G210" s="138" t="s">
        <v>59</v>
      </c>
      <c r="H210" s="141" t="n">
        <v>195</v>
      </c>
      <c r="I210" s="141"/>
      <c r="J210" s="141"/>
      <c r="K210" s="141"/>
      <c r="L210" s="141"/>
      <c r="M210" s="138" t="s">
        <v>2696</v>
      </c>
    </row>
    <row r="211" customFormat="false" ht="15" hidden="false" customHeight="false" outlineLevel="0" collapsed="false">
      <c r="A211" s="138" t="s">
        <v>2713</v>
      </c>
      <c r="B211" s="138" t="s">
        <v>2714</v>
      </c>
      <c r="C211" s="138" t="n">
        <v>333.3075</v>
      </c>
      <c r="D211" s="138" t="n">
        <v>345.2525</v>
      </c>
      <c r="E211" s="138" t="s">
        <v>2682</v>
      </c>
      <c r="F211" s="138" t="s">
        <v>2683</v>
      </c>
      <c r="G211" s="138" t="s">
        <v>60</v>
      </c>
      <c r="H211" s="141" t="n">
        <v>238.9</v>
      </c>
      <c r="I211" s="141"/>
      <c r="J211" s="141"/>
      <c r="K211" s="141"/>
      <c r="L211" s="141"/>
      <c r="M211" s="138" t="s">
        <v>2381</v>
      </c>
    </row>
    <row r="212" customFormat="false" ht="15" hidden="false" customHeight="false" outlineLevel="0" collapsed="false">
      <c r="A212" s="138" t="s">
        <v>2712</v>
      </c>
      <c r="B212" s="138" t="s">
        <v>2715</v>
      </c>
      <c r="C212" s="138" t="n">
        <v>334.105</v>
      </c>
      <c r="D212" s="138" t="n">
        <v>342.029</v>
      </c>
      <c r="E212" s="138" t="s">
        <v>2385</v>
      </c>
      <c r="F212" s="138" t="s">
        <v>2386</v>
      </c>
      <c r="G212" s="138" t="s">
        <v>59</v>
      </c>
      <c r="H212" s="141" t="n">
        <v>159</v>
      </c>
      <c r="I212" s="141"/>
      <c r="J212" s="141"/>
      <c r="K212" s="141"/>
      <c r="L212" s="141"/>
      <c r="M212" s="138" t="s">
        <v>2696</v>
      </c>
    </row>
    <row r="213" customFormat="false" ht="15" hidden="false" customHeight="false" outlineLevel="0" collapsed="false">
      <c r="A213" s="138" t="s">
        <v>2703</v>
      </c>
      <c r="B213" s="138" t="s">
        <v>2716</v>
      </c>
      <c r="C213" s="138" t="n">
        <v>334.251</v>
      </c>
      <c r="D213" s="138" t="n">
        <v>339.762</v>
      </c>
      <c r="E213" s="138" t="s">
        <v>2604</v>
      </c>
      <c r="F213" s="138" t="s">
        <v>2386</v>
      </c>
      <c r="G213" s="138" t="s">
        <v>60</v>
      </c>
      <c r="H213" s="141" t="n">
        <v>110</v>
      </c>
      <c r="I213" s="141"/>
      <c r="J213" s="141"/>
      <c r="K213" s="141"/>
      <c r="L213" s="141"/>
      <c r="M213" s="138" t="s">
        <v>2696</v>
      </c>
    </row>
    <row r="214" customFormat="false" ht="15" hidden="false" customHeight="false" outlineLevel="0" collapsed="false">
      <c r="A214" s="138" t="s">
        <v>2717</v>
      </c>
      <c r="B214" s="138" t="s">
        <v>2718</v>
      </c>
      <c r="C214" s="138" t="n">
        <v>334.301</v>
      </c>
      <c r="D214" s="138" t="n">
        <v>339.406</v>
      </c>
      <c r="E214" s="138" t="s">
        <v>2405</v>
      </c>
      <c r="F214" s="138" t="s">
        <v>2406</v>
      </c>
      <c r="G214" s="138" t="s">
        <v>60</v>
      </c>
      <c r="H214" s="141" t="n">
        <v>103</v>
      </c>
      <c r="I214" s="141"/>
      <c r="J214" s="141"/>
      <c r="K214" s="141"/>
      <c r="L214" s="141"/>
      <c r="M214" s="138" t="s">
        <v>2696</v>
      </c>
    </row>
    <row r="215" customFormat="false" ht="15" hidden="false" customHeight="false" outlineLevel="0" collapsed="false">
      <c r="A215" s="138" t="s">
        <v>2716</v>
      </c>
      <c r="B215" s="138" t="s">
        <v>2719</v>
      </c>
      <c r="C215" s="138" t="n">
        <v>339.762</v>
      </c>
      <c r="D215" s="138" t="n">
        <v>340.462</v>
      </c>
      <c r="E215" s="138" t="s">
        <v>2454</v>
      </c>
      <c r="F215" s="138" t="s">
        <v>2455</v>
      </c>
      <c r="G215" s="138" t="s">
        <v>60</v>
      </c>
      <c r="H215" s="141" t="n">
        <v>14</v>
      </c>
      <c r="I215" s="141"/>
      <c r="J215" s="141"/>
      <c r="K215" s="141"/>
      <c r="L215" s="141"/>
      <c r="M215" s="138" t="s">
        <v>2456</v>
      </c>
    </row>
    <row r="216" customFormat="false" ht="15" hidden="false" customHeight="false" outlineLevel="0" collapsed="false">
      <c r="A216" s="138" t="s">
        <v>2720</v>
      </c>
      <c r="B216" s="138" t="s">
        <v>2721</v>
      </c>
      <c r="C216" s="138" t="n">
        <v>339.827</v>
      </c>
      <c r="D216" s="138" t="n">
        <v>339.843</v>
      </c>
      <c r="E216" s="138" t="s">
        <v>2385</v>
      </c>
      <c r="F216" s="138" t="s">
        <v>2386</v>
      </c>
      <c r="G216" s="138" t="s">
        <v>60</v>
      </c>
      <c r="H216" s="141" t="n">
        <v>28</v>
      </c>
      <c r="I216" s="141"/>
      <c r="J216" s="141"/>
      <c r="K216" s="141"/>
      <c r="L216" s="141"/>
      <c r="M216" s="138" t="s">
        <v>2696</v>
      </c>
    </row>
    <row r="217" customFormat="false" ht="15" hidden="false" customHeight="false" outlineLevel="0" collapsed="false">
      <c r="A217" s="138" t="s">
        <v>2722</v>
      </c>
      <c r="B217" s="138" t="s">
        <v>2723</v>
      </c>
      <c r="C217" s="138" t="n">
        <v>340.198</v>
      </c>
      <c r="D217" s="138" t="n">
        <v>340.352</v>
      </c>
      <c r="E217" s="138" t="s">
        <v>2385</v>
      </c>
      <c r="F217" s="138" t="s">
        <v>2386</v>
      </c>
      <c r="G217" s="138" t="s">
        <v>60</v>
      </c>
      <c r="H217" s="141" t="n">
        <v>26</v>
      </c>
      <c r="I217" s="141"/>
      <c r="J217" s="141"/>
      <c r="K217" s="141"/>
      <c r="L217" s="141"/>
      <c r="M217" s="138" t="s">
        <v>2696</v>
      </c>
    </row>
    <row r="218" customFormat="false" ht="15" hidden="false" customHeight="false" outlineLevel="0" collapsed="false">
      <c r="A218" s="138" t="s">
        <v>2724</v>
      </c>
      <c r="B218" s="138" t="s">
        <v>2725</v>
      </c>
      <c r="C218" s="138" t="n">
        <v>340.389</v>
      </c>
      <c r="D218" s="138" t="n">
        <v>340.6955</v>
      </c>
      <c r="E218" s="138" t="s">
        <v>2405</v>
      </c>
      <c r="F218" s="138" t="s">
        <v>2406</v>
      </c>
      <c r="G218" s="138" t="s">
        <v>60</v>
      </c>
      <c r="H218" s="141" t="n">
        <v>21</v>
      </c>
      <c r="I218" s="141"/>
      <c r="J218" s="141"/>
      <c r="K218" s="141"/>
      <c r="L218" s="141"/>
      <c r="M218" s="138" t="s">
        <v>2696</v>
      </c>
    </row>
    <row r="219" customFormat="false" ht="15" hidden="false" customHeight="false" outlineLevel="0" collapsed="false">
      <c r="A219" s="138" t="s">
        <v>2719</v>
      </c>
      <c r="B219" s="138" t="s">
        <v>2726</v>
      </c>
      <c r="C219" s="138" t="n">
        <v>340.462</v>
      </c>
      <c r="D219" s="138" t="n">
        <v>345.855</v>
      </c>
      <c r="E219" s="138" t="s">
        <v>2670</v>
      </c>
      <c r="F219" s="138" t="s">
        <v>2386</v>
      </c>
      <c r="G219" s="138" t="s">
        <v>60</v>
      </c>
      <c r="H219" s="141" t="n">
        <v>108</v>
      </c>
      <c r="I219" s="141"/>
      <c r="J219" s="141"/>
      <c r="K219" s="141"/>
      <c r="L219" s="141"/>
      <c r="M219" s="138" t="s">
        <v>2696</v>
      </c>
    </row>
    <row r="220" customFormat="false" ht="15" hidden="false" customHeight="false" outlineLevel="0" collapsed="false">
      <c r="A220" s="138" t="s">
        <v>2725</v>
      </c>
      <c r="B220" s="138" t="s">
        <v>2727</v>
      </c>
      <c r="C220" s="138" t="n">
        <v>340.6955</v>
      </c>
      <c r="D220" s="138" t="n">
        <v>342.5385</v>
      </c>
      <c r="E220" s="138" t="s">
        <v>2464</v>
      </c>
      <c r="F220" s="138" t="s">
        <v>2406</v>
      </c>
      <c r="G220" s="138" t="s">
        <v>60</v>
      </c>
      <c r="H220" s="141" t="n">
        <v>37</v>
      </c>
      <c r="I220" s="141"/>
      <c r="J220" s="141"/>
      <c r="K220" s="141"/>
      <c r="L220" s="141"/>
      <c r="M220" s="138" t="s">
        <v>2696</v>
      </c>
    </row>
    <row r="221" customFormat="false" ht="15" hidden="false" customHeight="false" outlineLevel="0" collapsed="false">
      <c r="A221" s="138" t="s">
        <v>2715</v>
      </c>
      <c r="B221" s="138" t="s">
        <v>2728</v>
      </c>
      <c r="C221" s="138" t="n">
        <v>342.029</v>
      </c>
      <c r="D221" s="138" t="n">
        <v>346.08</v>
      </c>
      <c r="E221" s="138" t="s">
        <v>2670</v>
      </c>
      <c r="F221" s="138" t="s">
        <v>2386</v>
      </c>
      <c r="G221" s="138" t="s">
        <v>59</v>
      </c>
      <c r="H221" s="141" t="n">
        <v>81</v>
      </c>
      <c r="I221" s="141"/>
      <c r="J221" s="141"/>
      <c r="K221" s="141"/>
      <c r="L221" s="141"/>
      <c r="M221" s="138" t="s">
        <v>2696</v>
      </c>
    </row>
    <row r="222" customFormat="false" ht="15" hidden="false" customHeight="false" outlineLevel="0" collapsed="false">
      <c r="A222" s="138" t="s">
        <v>2727</v>
      </c>
      <c r="B222" s="138" t="s">
        <v>2729</v>
      </c>
      <c r="C222" s="138" t="n">
        <v>342.5385</v>
      </c>
      <c r="D222" s="138" t="n">
        <v>348.6835</v>
      </c>
      <c r="E222" s="138" t="s">
        <v>2405</v>
      </c>
      <c r="F222" s="138" t="s">
        <v>2406</v>
      </c>
      <c r="G222" s="138" t="s">
        <v>60</v>
      </c>
      <c r="H222" s="141" t="n">
        <v>124</v>
      </c>
      <c r="I222" s="141"/>
      <c r="J222" s="141"/>
      <c r="K222" s="141"/>
      <c r="L222" s="141"/>
      <c r="M222" s="138" t="s">
        <v>2696</v>
      </c>
    </row>
    <row r="223" customFormat="false" ht="15" hidden="false" customHeight="false" outlineLevel="0" collapsed="false">
      <c r="A223" s="138" t="s">
        <v>2730</v>
      </c>
      <c r="B223" s="138" t="s">
        <v>2731</v>
      </c>
      <c r="C223" s="138" t="n">
        <v>345.252</v>
      </c>
      <c r="D223" s="138" t="n">
        <v>356.88</v>
      </c>
      <c r="E223" s="138" t="s">
        <v>2399</v>
      </c>
      <c r="F223" s="138" t="s">
        <v>2400</v>
      </c>
      <c r="G223" s="138" t="s">
        <v>60</v>
      </c>
      <c r="H223" s="141" t="n">
        <v>232.56</v>
      </c>
      <c r="I223" s="141"/>
      <c r="J223" s="141"/>
      <c r="K223" s="141"/>
      <c r="L223" s="141"/>
      <c r="M223" s="138" t="s">
        <v>2381</v>
      </c>
    </row>
    <row r="224" customFormat="false" ht="15" hidden="false" customHeight="false" outlineLevel="0" collapsed="false">
      <c r="A224" s="138" t="s">
        <v>2726</v>
      </c>
      <c r="B224" s="138" t="s">
        <v>2732</v>
      </c>
      <c r="C224" s="138" t="n">
        <v>345.855</v>
      </c>
      <c r="D224" s="138" t="n">
        <v>349.115</v>
      </c>
      <c r="E224" s="138" t="s">
        <v>2385</v>
      </c>
      <c r="F224" s="138" t="s">
        <v>2386</v>
      </c>
      <c r="G224" s="138" t="s">
        <v>60</v>
      </c>
      <c r="H224" s="141" t="n">
        <v>67</v>
      </c>
      <c r="I224" s="141"/>
      <c r="J224" s="141"/>
      <c r="K224" s="141"/>
      <c r="L224" s="141"/>
      <c r="M224" s="138" t="s">
        <v>2696</v>
      </c>
    </row>
    <row r="225" customFormat="false" ht="15" hidden="false" customHeight="false" outlineLevel="0" collapsed="false">
      <c r="A225" s="138" t="s">
        <v>2728</v>
      </c>
      <c r="B225" s="138" t="s">
        <v>2733</v>
      </c>
      <c r="C225" s="138" t="n">
        <v>346.08</v>
      </c>
      <c r="D225" s="138" t="n">
        <v>353.983</v>
      </c>
      <c r="E225" s="138" t="s">
        <v>2385</v>
      </c>
      <c r="F225" s="138" t="s">
        <v>2386</v>
      </c>
      <c r="G225" s="138" t="s">
        <v>59</v>
      </c>
      <c r="H225" s="141" t="n">
        <v>156</v>
      </c>
      <c r="I225" s="141"/>
      <c r="J225" s="141"/>
      <c r="K225" s="141"/>
      <c r="L225" s="141"/>
      <c r="M225" s="138" t="s">
        <v>2696</v>
      </c>
    </row>
    <row r="226" customFormat="false" ht="15" hidden="false" customHeight="false" outlineLevel="0" collapsed="false">
      <c r="A226" s="138" t="s">
        <v>2732</v>
      </c>
      <c r="B226" s="138" t="s">
        <v>2734</v>
      </c>
      <c r="C226" s="138" t="n">
        <v>349.115</v>
      </c>
      <c r="D226" s="138" t="n">
        <v>350.778</v>
      </c>
      <c r="E226" s="138" t="s">
        <v>2385</v>
      </c>
      <c r="F226" s="138" t="s">
        <v>2386</v>
      </c>
      <c r="G226" s="138" t="s">
        <v>60</v>
      </c>
      <c r="H226" s="141" t="n">
        <v>45</v>
      </c>
      <c r="I226" s="141"/>
      <c r="J226" s="141"/>
      <c r="K226" s="141"/>
      <c r="L226" s="141"/>
      <c r="M226" s="138" t="s">
        <v>2696</v>
      </c>
    </row>
    <row r="227" customFormat="false" ht="15" hidden="false" customHeight="false" outlineLevel="0" collapsed="false">
      <c r="A227" s="138" t="s">
        <v>2732</v>
      </c>
      <c r="B227" s="138" t="s">
        <v>2735</v>
      </c>
      <c r="C227" s="138" t="n">
        <v>349.115</v>
      </c>
      <c r="D227" s="138" t="n">
        <v>349.8895</v>
      </c>
      <c r="E227" s="138" t="s">
        <v>2454</v>
      </c>
      <c r="F227" s="138" t="s">
        <v>2455</v>
      </c>
      <c r="G227" s="138" t="s">
        <v>60</v>
      </c>
      <c r="H227" s="141" t="n">
        <v>16</v>
      </c>
      <c r="I227" s="141"/>
      <c r="J227" s="141"/>
      <c r="K227" s="141"/>
      <c r="L227" s="141"/>
      <c r="M227" s="138" t="s">
        <v>2456</v>
      </c>
    </row>
    <row r="228" customFormat="false" ht="15" hidden="false" customHeight="false" outlineLevel="0" collapsed="false">
      <c r="A228" s="138" t="s">
        <v>2735</v>
      </c>
      <c r="B228" s="138" t="s">
        <v>2731</v>
      </c>
      <c r="C228" s="138" t="n">
        <v>349.8895</v>
      </c>
      <c r="D228" s="138" t="n">
        <v>356.88</v>
      </c>
      <c r="E228" s="138" t="s">
        <v>2385</v>
      </c>
      <c r="F228" s="138" t="s">
        <v>2386</v>
      </c>
      <c r="G228" s="138" t="s">
        <v>60</v>
      </c>
      <c r="H228" s="141" t="n">
        <v>143</v>
      </c>
      <c r="I228" s="141"/>
      <c r="J228" s="141"/>
      <c r="K228" s="141"/>
      <c r="L228" s="141"/>
      <c r="M228" s="138" t="s">
        <v>2696</v>
      </c>
    </row>
    <row r="229" customFormat="false" ht="15" hidden="false" customHeight="false" outlineLevel="0" collapsed="false">
      <c r="A229" s="138" t="s">
        <v>2735</v>
      </c>
      <c r="B229" s="138" t="s">
        <v>2736</v>
      </c>
      <c r="C229" s="138" t="n">
        <v>349.8895</v>
      </c>
      <c r="D229" s="138" t="n">
        <v>351.014</v>
      </c>
      <c r="E229" s="138" t="s">
        <v>2385</v>
      </c>
      <c r="F229" s="138" t="s">
        <v>2386</v>
      </c>
      <c r="G229" s="138" t="s">
        <v>60</v>
      </c>
      <c r="H229" s="141" t="n">
        <v>35</v>
      </c>
      <c r="I229" s="141"/>
      <c r="J229" s="141"/>
      <c r="K229" s="141"/>
      <c r="L229" s="141"/>
      <c r="M229" s="138" t="s">
        <v>2696</v>
      </c>
    </row>
    <row r="230" customFormat="false" ht="15" hidden="false" customHeight="false" outlineLevel="0" collapsed="false">
      <c r="A230" s="138" t="s">
        <v>2737</v>
      </c>
      <c r="B230" s="138" t="s">
        <v>2738</v>
      </c>
      <c r="C230" s="138" t="n">
        <v>350.076</v>
      </c>
      <c r="D230" s="138" t="n">
        <v>354.478</v>
      </c>
      <c r="E230" s="138" t="s">
        <v>2405</v>
      </c>
      <c r="F230" s="138" t="s">
        <v>2406</v>
      </c>
      <c r="G230" s="138" t="s">
        <v>60</v>
      </c>
      <c r="H230" s="141" t="n">
        <v>91</v>
      </c>
      <c r="I230" s="141"/>
      <c r="J230" s="141"/>
      <c r="K230" s="141"/>
      <c r="L230" s="141"/>
      <c r="M230" s="138" t="s">
        <v>2696</v>
      </c>
    </row>
    <row r="231" customFormat="false" ht="15" hidden="false" customHeight="false" outlineLevel="0" collapsed="false">
      <c r="A231" s="138" t="s">
        <v>2738</v>
      </c>
      <c r="B231" s="138" t="s">
        <v>2739</v>
      </c>
      <c r="C231" s="138" t="n">
        <v>354.478</v>
      </c>
      <c r="D231" s="138" t="n">
        <v>357.14</v>
      </c>
      <c r="E231" s="138" t="s">
        <v>2405</v>
      </c>
      <c r="F231" s="138" t="s">
        <v>2406</v>
      </c>
      <c r="G231" s="138" t="s">
        <v>60</v>
      </c>
      <c r="H231" s="141" t="n">
        <v>55</v>
      </c>
      <c r="I231" s="141"/>
      <c r="J231" s="141"/>
      <c r="K231" s="141"/>
      <c r="L231" s="141"/>
      <c r="M231" s="138" t="s">
        <v>2696</v>
      </c>
    </row>
    <row r="232" customFormat="false" ht="15" hidden="false" customHeight="false" outlineLevel="0" collapsed="false">
      <c r="A232" s="138" t="s">
        <v>2739</v>
      </c>
      <c r="B232" s="138" t="s">
        <v>2740</v>
      </c>
      <c r="C232" s="138" t="n">
        <v>357.14</v>
      </c>
      <c r="D232" s="138" t="n">
        <v>359.4135</v>
      </c>
      <c r="E232" s="138" t="s">
        <v>2395</v>
      </c>
      <c r="F232" s="138" t="s">
        <v>2396</v>
      </c>
      <c r="G232" s="138" t="s">
        <v>60</v>
      </c>
      <c r="H232" s="141" t="n">
        <v>46</v>
      </c>
      <c r="I232" s="141"/>
      <c r="J232" s="141"/>
      <c r="K232" s="141"/>
      <c r="L232" s="141"/>
      <c r="M232" s="138" t="s">
        <v>2696</v>
      </c>
    </row>
    <row r="233" customFormat="false" ht="15" hidden="false" customHeight="false" outlineLevel="0" collapsed="false">
      <c r="A233" s="138" t="s">
        <v>2741</v>
      </c>
      <c r="B233" s="138" t="s">
        <v>2742</v>
      </c>
      <c r="C233" s="138" t="n">
        <v>358.2515</v>
      </c>
      <c r="D233" s="138" t="n">
        <v>365.542</v>
      </c>
      <c r="E233" s="138" t="s">
        <v>2682</v>
      </c>
      <c r="F233" s="138" t="s">
        <v>2683</v>
      </c>
      <c r="G233" s="138" t="s">
        <v>59</v>
      </c>
      <c r="H233" s="141" t="n">
        <v>145.81</v>
      </c>
      <c r="I233" s="141"/>
      <c r="J233" s="141"/>
      <c r="K233" s="141"/>
      <c r="L233" s="141"/>
      <c r="M233" s="138" t="s">
        <v>2381</v>
      </c>
    </row>
    <row r="234" customFormat="false" ht="15" hidden="false" customHeight="false" outlineLevel="0" collapsed="false">
      <c r="A234" s="138" t="s">
        <v>2743</v>
      </c>
      <c r="B234" s="138" t="s">
        <v>2744</v>
      </c>
      <c r="C234" s="138" t="n">
        <v>358.428</v>
      </c>
      <c r="D234" s="138" t="n">
        <v>365.5395</v>
      </c>
      <c r="E234" s="138" t="s">
        <v>2682</v>
      </c>
      <c r="F234" s="138" t="s">
        <v>2683</v>
      </c>
      <c r="G234" s="138" t="s">
        <v>60</v>
      </c>
      <c r="H234" s="141" t="n">
        <v>142.23</v>
      </c>
      <c r="I234" s="141"/>
      <c r="J234" s="141"/>
      <c r="K234" s="141"/>
      <c r="L234" s="141"/>
      <c r="M234" s="138" t="s">
        <v>2381</v>
      </c>
    </row>
    <row r="235" customFormat="false" ht="15" hidden="false" customHeight="false" outlineLevel="0" collapsed="false">
      <c r="A235" s="138" t="s">
        <v>2745</v>
      </c>
      <c r="B235" s="138" t="s">
        <v>2746</v>
      </c>
      <c r="C235" s="138" t="n">
        <v>358.76</v>
      </c>
      <c r="D235" s="138" t="n">
        <v>359.5985</v>
      </c>
      <c r="E235" s="138" t="s">
        <v>2454</v>
      </c>
      <c r="F235" s="138" t="s">
        <v>2455</v>
      </c>
      <c r="G235" s="138" t="s">
        <v>59</v>
      </c>
      <c r="H235" s="141" t="n">
        <v>17</v>
      </c>
      <c r="I235" s="141"/>
      <c r="J235" s="141"/>
      <c r="K235" s="141"/>
      <c r="L235" s="141"/>
      <c r="M235" s="138" t="s">
        <v>2456</v>
      </c>
    </row>
    <row r="236" customFormat="false" ht="15" hidden="false" customHeight="false" outlineLevel="0" collapsed="false">
      <c r="A236" s="138" t="s">
        <v>2747</v>
      </c>
      <c r="B236" s="138" t="s">
        <v>2748</v>
      </c>
      <c r="C236" s="138" t="n">
        <v>359.353</v>
      </c>
      <c r="D236" s="138" t="n">
        <v>364.972</v>
      </c>
      <c r="E236" s="138" t="s">
        <v>2405</v>
      </c>
      <c r="F236" s="138" t="s">
        <v>2406</v>
      </c>
      <c r="G236" s="138" t="s">
        <v>60</v>
      </c>
      <c r="H236" s="141" t="n">
        <v>115</v>
      </c>
      <c r="I236" s="141"/>
      <c r="J236" s="141"/>
      <c r="K236" s="141"/>
      <c r="L236" s="141"/>
      <c r="M236" s="138" t="s">
        <v>2696</v>
      </c>
    </row>
    <row r="237" customFormat="false" ht="15" hidden="false" customHeight="false" outlineLevel="0" collapsed="false">
      <c r="A237" s="138" t="s">
        <v>2740</v>
      </c>
      <c r="B237" s="138" t="s">
        <v>2749</v>
      </c>
      <c r="C237" s="138" t="n">
        <v>359.4135</v>
      </c>
      <c r="D237" s="138" t="n">
        <v>363.009</v>
      </c>
      <c r="E237" s="138" t="s">
        <v>2385</v>
      </c>
      <c r="F237" s="138" t="s">
        <v>2386</v>
      </c>
      <c r="G237" s="138" t="s">
        <v>60</v>
      </c>
      <c r="H237" s="141" t="n">
        <v>72</v>
      </c>
      <c r="I237" s="141"/>
      <c r="J237" s="141"/>
      <c r="K237" s="141"/>
      <c r="L237" s="141"/>
      <c r="M237" s="138" t="s">
        <v>2696</v>
      </c>
    </row>
    <row r="238" customFormat="false" ht="15" hidden="false" customHeight="false" outlineLevel="0" collapsed="false">
      <c r="A238" s="138" t="s">
        <v>2746</v>
      </c>
      <c r="B238" s="138" t="s">
        <v>2750</v>
      </c>
      <c r="C238" s="138" t="n">
        <v>359.5985</v>
      </c>
      <c r="D238" s="138" t="n">
        <v>363.8145</v>
      </c>
      <c r="E238" s="138" t="s">
        <v>2385</v>
      </c>
      <c r="F238" s="138" t="s">
        <v>2386</v>
      </c>
      <c r="G238" s="138" t="s">
        <v>59</v>
      </c>
      <c r="H238" s="141" t="n">
        <v>85</v>
      </c>
      <c r="I238" s="141"/>
      <c r="J238" s="141"/>
      <c r="K238" s="141"/>
      <c r="L238" s="141"/>
      <c r="M238" s="138" t="s">
        <v>2696</v>
      </c>
    </row>
    <row r="239" customFormat="false" ht="15" hidden="false" customHeight="false" outlineLevel="0" collapsed="false">
      <c r="A239" s="138" t="s">
        <v>2751</v>
      </c>
      <c r="B239" s="138" t="s">
        <v>2752</v>
      </c>
      <c r="C239" s="138" t="n">
        <v>359.613</v>
      </c>
      <c r="D239" s="138" t="n">
        <v>365.5385</v>
      </c>
      <c r="E239" s="138" t="s">
        <v>2405</v>
      </c>
      <c r="F239" s="138" t="s">
        <v>2406</v>
      </c>
      <c r="G239" s="138" t="s">
        <v>59</v>
      </c>
      <c r="H239" s="141" t="n">
        <v>119</v>
      </c>
      <c r="I239" s="141"/>
      <c r="J239" s="141"/>
      <c r="K239" s="141"/>
      <c r="L239" s="141"/>
      <c r="M239" s="138" t="s">
        <v>2696</v>
      </c>
    </row>
    <row r="240" customFormat="false" ht="15" hidden="false" customHeight="false" outlineLevel="0" collapsed="false">
      <c r="A240" s="138" t="s">
        <v>2753</v>
      </c>
      <c r="B240" s="138" t="s">
        <v>2754</v>
      </c>
      <c r="C240" s="138" t="n">
        <v>362.334</v>
      </c>
      <c r="D240" s="138" t="n">
        <v>363.0875</v>
      </c>
      <c r="E240" s="138" t="s">
        <v>2521</v>
      </c>
      <c r="F240" s="138" t="s">
        <v>2522</v>
      </c>
      <c r="G240" s="138" t="s">
        <v>59</v>
      </c>
      <c r="H240" s="141" t="n">
        <v>15</v>
      </c>
      <c r="I240" s="141"/>
      <c r="J240" s="141"/>
      <c r="K240" s="141"/>
      <c r="L240" s="141"/>
      <c r="M240" s="138" t="s">
        <v>2523</v>
      </c>
    </row>
    <row r="241" customFormat="false" ht="15" hidden="false" customHeight="false" outlineLevel="0" collapsed="false">
      <c r="A241" s="138" t="s">
        <v>2749</v>
      </c>
      <c r="B241" s="138" t="s">
        <v>2755</v>
      </c>
      <c r="C241" s="138" t="n">
        <v>363.009</v>
      </c>
      <c r="D241" s="138" t="n">
        <v>365.5495</v>
      </c>
      <c r="E241" s="138" t="s">
        <v>2670</v>
      </c>
      <c r="F241" s="138" t="s">
        <v>2386</v>
      </c>
      <c r="G241" s="138" t="s">
        <v>60</v>
      </c>
      <c r="H241" s="141" t="n">
        <v>51</v>
      </c>
      <c r="I241" s="141"/>
      <c r="J241" s="141"/>
      <c r="K241" s="141"/>
      <c r="L241" s="141"/>
      <c r="M241" s="138" t="s">
        <v>2696</v>
      </c>
    </row>
    <row r="242" customFormat="false" ht="15" hidden="false" customHeight="false" outlineLevel="0" collapsed="false">
      <c r="A242" s="138" t="s">
        <v>2750</v>
      </c>
      <c r="B242" s="138" t="s">
        <v>2756</v>
      </c>
      <c r="C242" s="138" t="n">
        <v>363.8145</v>
      </c>
      <c r="D242" s="138" t="n">
        <v>365.2665</v>
      </c>
      <c r="E242" s="138" t="s">
        <v>2670</v>
      </c>
      <c r="F242" s="138" t="s">
        <v>2386</v>
      </c>
      <c r="G242" s="138" t="s">
        <v>59</v>
      </c>
      <c r="H242" s="141" t="n">
        <v>29</v>
      </c>
      <c r="I242" s="141"/>
      <c r="J242" s="141"/>
      <c r="K242" s="141"/>
      <c r="L242" s="141"/>
      <c r="M242" s="138" t="s">
        <v>2696</v>
      </c>
    </row>
    <row r="243" customFormat="false" ht="15" hidden="false" customHeight="false" outlineLevel="0" collapsed="false">
      <c r="A243" s="138" t="s">
        <v>2756</v>
      </c>
      <c r="B243" s="138" t="s">
        <v>2757</v>
      </c>
      <c r="C243" s="138" t="n">
        <v>365.2665</v>
      </c>
      <c r="D243" s="138" t="n">
        <v>367.0735</v>
      </c>
      <c r="E243" s="138" t="s">
        <v>2670</v>
      </c>
      <c r="F243" s="138" t="s">
        <v>2386</v>
      </c>
      <c r="G243" s="138" t="s">
        <v>59</v>
      </c>
      <c r="H243" s="141" t="n">
        <v>36</v>
      </c>
      <c r="I243" s="141"/>
      <c r="J243" s="141"/>
      <c r="K243" s="141"/>
      <c r="L243" s="141"/>
      <c r="M243" s="138" t="s">
        <v>2696</v>
      </c>
    </row>
    <row r="244" customFormat="false" ht="15" hidden="false" customHeight="false" outlineLevel="0" collapsed="false">
      <c r="A244" s="138" t="s">
        <v>2752</v>
      </c>
      <c r="B244" s="138" t="s">
        <v>2758</v>
      </c>
      <c r="C244" s="138" t="n">
        <v>365.5385</v>
      </c>
      <c r="D244" s="138" t="n">
        <v>371.973</v>
      </c>
      <c r="E244" s="138" t="s">
        <v>2405</v>
      </c>
      <c r="F244" s="138" t="s">
        <v>2406</v>
      </c>
      <c r="G244" s="138" t="s">
        <v>59</v>
      </c>
      <c r="H244" s="141" t="n">
        <v>130</v>
      </c>
      <c r="I244" s="141"/>
      <c r="J244" s="141"/>
      <c r="K244" s="141"/>
      <c r="L244" s="141"/>
      <c r="M244" s="138" t="s">
        <v>2696</v>
      </c>
    </row>
    <row r="245" customFormat="false" ht="15" hidden="false" customHeight="false" outlineLevel="0" collapsed="false">
      <c r="A245" s="138" t="s">
        <v>2744</v>
      </c>
      <c r="B245" s="138" t="s">
        <v>2759</v>
      </c>
      <c r="C245" s="138" t="n">
        <v>365.5395</v>
      </c>
      <c r="D245" s="138" t="n">
        <v>376.974</v>
      </c>
      <c r="E245" s="138" t="s">
        <v>2682</v>
      </c>
      <c r="F245" s="138" t="s">
        <v>2683</v>
      </c>
      <c r="G245" s="138" t="s">
        <v>60</v>
      </c>
      <c r="H245" s="141" t="n">
        <v>228.69</v>
      </c>
      <c r="I245" s="141"/>
      <c r="J245" s="141"/>
      <c r="K245" s="141"/>
      <c r="L245" s="141"/>
      <c r="M245" s="138" t="s">
        <v>2381</v>
      </c>
    </row>
    <row r="246" customFormat="false" ht="15" hidden="false" customHeight="false" outlineLevel="0" collapsed="false">
      <c r="A246" s="138" t="s">
        <v>2742</v>
      </c>
      <c r="B246" s="138" t="s">
        <v>2760</v>
      </c>
      <c r="C246" s="138" t="n">
        <v>365.542</v>
      </c>
      <c r="D246" s="138" t="n">
        <v>373.675</v>
      </c>
      <c r="E246" s="138" t="s">
        <v>2682</v>
      </c>
      <c r="F246" s="138" t="s">
        <v>2683</v>
      </c>
      <c r="G246" s="138" t="s">
        <v>59</v>
      </c>
      <c r="H246" s="141" t="n">
        <v>162.66</v>
      </c>
      <c r="I246" s="141"/>
      <c r="J246" s="141"/>
      <c r="K246" s="141"/>
      <c r="L246" s="141"/>
      <c r="M246" s="138" t="s">
        <v>2381</v>
      </c>
    </row>
    <row r="247" customFormat="false" ht="15" hidden="false" customHeight="false" outlineLevel="0" collapsed="false">
      <c r="A247" s="138" t="s">
        <v>2755</v>
      </c>
      <c r="B247" s="138" t="s">
        <v>2761</v>
      </c>
      <c r="C247" s="138" t="n">
        <v>365.5495</v>
      </c>
      <c r="D247" s="138" t="n">
        <v>366.0475</v>
      </c>
      <c r="E247" s="138" t="s">
        <v>2670</v>
      </c>
      <c r="F247" s="138" t="s">
        <v>2386</v>
      </c>
      <c r="G247" s="138" t="s">
        <v>60</v>
      </c>
      <c r="H247" s="141" t="n">
        <v>10</v>
      </c>
      <c r="I247" s="141"/>
      <c r="J247" s="141"/>
      <c r="K247" s="141"/>
      <c r="L247" s="141"/>
      <c r="M247" s="138" t="s">
        <v>2696</v>
      </c>
    </row>
    <row r="248" customFormat="false" ht="15" hidden="false" customHeight="false" outlineLevel="0" collapsed="false">
      <c r="A248" s="138" t="s">
        <v>2761</v>
      </c>
      <c r="B248" s="138" t="s">
        <v>2762</v>
      </c>
      <c r="C248" s="138" t="n">
        <v>366.0475</v>
      </c>
      <c r="D248" s="138" t="n">
        <v>372.0375</v>
      </c>
      <c r="E248" s="138" t="s">
        <v>2385</v>
      </c>
      <c r="F248" s="138" t="s">
        <v>2386</v>
      </c>
      <c r="G248" s="138" t="s">
        <v>60</v>
      </c>
      <c r="H248" s="141" t="n">
        <v>120</v>
      </c>
      <c r="I248" s="141"/>
      <c r="J248" s="141"/>
      <c r="K248" s="141"/>
      <c r="L248" s="141"/>
      <c r="M248" s="138" t="s">
        <v>2696</v>
      </c>
    </row>
    <row r="249" customFormat="false" ht="15" hidden="false" customHeight="false" outlineLevel="0" collapsed="false">
      <c r="A249" s="138" t="s">
        <v>2757</v>
      </c>
      <c r="B249" s="138" t="s">
        <v>2763</v>
      </c>
      <c r="C249" s="138" t="n">
        <v>367.0735</v>
      </c>
      <c r="D249" s="138" t="n">
        <v>371.9295</v>
      </c>
      <c r="E249" s="138" t="s">
        <v>2385</v>
      </c>
      <c r="F249" s="138" t="s">
        <v>2386</v>
      </c>
      <c r="G249" s="138" t="s">
        <v>59</v>
      </c>
      <c r="H249" s="141" t="n">
        <v>97</v>
      </c>
      <c r="I249" s="141"/>
      <c r="J249" s="141"/>
      <c r="K249" s="141"/>
      <c r="L249" s="141"/>
      <c r="M249" s="138" t="s">
        <v>2696</v>
      </c>
    </row>
    <row r="250" customFormat="false" ht="15" hidden="false" customHeight="false" outlineLevel="0" collapsed="false">
      <c r="A250" s="138" t="s">
        <v>2763</v>
      </c>
      <c r="B250" s="138" t="s">
        <v>2764</v>
      </c>
      <c r="C250" s="138" t="n">
        <v>371.9295</v>
      </c>
      <c r="D250" s="138" t="n">
        <v>377.0285</v>
      </c>
      <c r="E250" s="138" t="s">
        <v>2395</v>
      </c>
      <c r="F250" s="138" t="s">
        <v>2396</v>
      </c>
      <c r="G250" s="138" t="s">
        <v>59</v>
      </c>
      <c r="H250" s="141" t="n">
        <v>98</v>
      </c>
      <c r="I250" s="141"/>
      <c r="J250" s="141"/>
      <c r="K250" s="141"/>
      <c r="L250" s="141"/>
      <c r="M250" s="138" t="s">
        <v>2696</v>
      </c>
    </row>
    <row r="251" customFormat="false" ht="15" hidden="false" customHeight="false" outlineLevel="0" collapsed="false">
      <c r="A251" s="138" t="s">
        <v>2762</v>
      </c>
      <c r="B251" s="138" t="s">
        <v>2765</v>
      </c>
      <c r="C251" s="138" t="n">
        <v>372.0375</v>
      </c>
      <c r="D251" s="138" t="n">
        <v>377.155</v>
      </c>
      <c r="E251" s="138" t="s">
        <v>2395</v>
      </c>
      <c r="F251" s="138" t="s">
        <v>2396</v>
      </c>
      <c r="G251" s="138" t="s">
        <v>60</v>
      </c>
      <c r="H251" s="141" t="n">
        <v>103</v>
      </c>
      <c r="I251" s="141"/>
      <c r="J251" s="141"/>
      <c r="K251" s="141"/>
      <c r="L251" s="141"/>
      <c r="M251" s="138" t="s">
        <v>2696</v>
      </c>
    </row>
    <row r="252" customFormat="false" ht="15" hidden="false" customHeight="false" outlineLevel="0" collapsed="false">
      <c r="A252" s="138" t="s">
        <v>2766</v>
      </c>
      <c r="B252" s="138" t="s">
        <v>2767</v>
      </c>
      <c r="C252" s="138" t="n">
        <v>377.005</v>
      </c>
      <c r="D252" s="138" t="n">
        <v>379.077</v>
      </c>
      <c r="E252" s="138" t="s">
        <v>2395</v>
      </c>
      <c r="F252" s="138" t="s">
        <v>2396</v>
      </c>
      <c r="G252" s="138" t="s">
        <v>59</v>
      </c>
      <c r="H252" s="141" t="n">
        <v>42</v>
      </c>
      <c r="I252" s="141"/>
      <c r="J252" s="141"/>
      <c r="K252" s="141"/>
      <c r="L252" s="141"/>
      <c r="M252" s="138" t="s">
        <v>2696</v>
      </c>
    </row>
    <row r="253" customFormat="false" ht="15" hidden="false" customHeight="false" outlineLevel="0" collapsed="false">
      <c r="A253" s="138" t="s">
        <v>2768</v>
      </c>
      <c r="B253" s="138" t="s">
        <v>2769</v>
      </c>
      <c r="C253" s="138" t="n">
        <v>379.05</v>
      </c>
      <c r="D253" s="138" t="n">
        <v>407.027</v>
      </c>
      <c r="E253" s="138" t="s">
        <v>2385</v>
      </c>
      <c r="F253" s="138" t="s">
        <v>2386</v>
      </c>
      <c r="G253" s="138" t="s">
        <v>59</v>
      </c>
      <c r="H253" s="141" t="n">
        <v>560</v>
      </c>
      <c r="I253" s="141"/>
      <c r="J253" s="141"/>
      <c r="K253" s="141"/>
      <c r="L253" s="141"/>
      <c r="M253" s="138" t="s">
        <v>2696</v>
      </c>
    </row>
    <row r="254" customFormat="false" ht="15" hidden="false" customHeight="false" outlineLevel="0" collapsed="false">
      <c r="A254" s="138" t="s">
        <v>2767</v>
      </c>
      <c r="B254" s="138" t="s">
        <v>2770</v>
      </c>
      <c r="C254" s="138" t="n">
        <v>379.077</v>
      </c>
      <c r="D254" s="138" t="n">
        <v>383.4355</v>
      </c>
      <c r="E254" s="138" t="s">
        <v>2405</v>
      </c>
      <c r="F254" s="138" t="s">
        <v>2406</v>
      </c>
      <c r="G254" s="138" t="s">
        <v>59</v>
      </c>
      <c r="H254" s="141" t="n">
        <v>88</v>
      </c>
      <c r="I254" s="141"/>
      <c r="J254" s="141"/>
      <c r="K254" s="141"/>
      <c r="L254" s="141"/>
      <c r="M254" s="138" t="s">
        <v>2696</v>
      </c>
    </row>
    <row r="255" customFormat="false" ht="15" hidden="false" customHeight="false" outlineLevel="0" collapsed="false">
      <c r="A255" s="138" t="s">
        <v>2771</v>
      </c>
      <c r="B255" s="138" t="s">
        <v>2772</v>
      </c>
      <c r="C255" s="138" t="n">
        <v>380.05</v>
      </c>
      <c r="D255" s="138" t="n">
        <v>396.8805</v>
      </c>
      <c r="E255" s="138" t="s">
        <v>2385</v>
      </c>
      <c r="F255" s="138" t="s">
        <v>2386</v>
      </c>
      <c r="G255" s="138" t="s">
        <v>60</v>
      </c>
      <c r="H255" s="141" t="n">
        <v>338</v>
      </c>
      <c r="I255" s="141"/>
      <c r="J255" s="141"/>
      <c r="K255" s="141"/>
      <c r="L255" s="141"/>
      <c r="M255" s="138" t="s">
        <v>2696</v>
      </c>
    </row>
    <row r="256" customFormat="false" ht="15" hidden="false" customHeight="false" outlineLevel="0" collapsed="false">
      <c r="A256" s="138" t="s">
        <v>2773</v>
      </c>
      <c r="B256" s="138" t="s">
        <v>2774</v>
      </c>
      <c r="C256" s="138" t="n">
        <v>380.175</v>
      </c>
      <c r="D256" s="138" t="n">
        <v>409.326</v>
      </c>
      <c r="E256" s="138" t="s">
        <v>2399</v>
      </c>
      <c r="F256" s="138" t="s">
        <v>2400</v>
      </c>
      <c r="G256" s="138" t="s">
        <v>59</v>
      </c>
      <c r="H256" s="141" t="n">
        <v>583.02</v>
      </c>
      <c r="I256" s="141"/>
      <c r="J256" s="141"/>
      <c r="K256" s="141"/>
      <c r="L256" s="141"/>
      <c r="M256" s="138" t="s">
        <v>2381</v>
      </c>
    </row>
    <row r="257" customFormat="false" ht="15" hidden="false" customHeight="false" outlineLevel="0" collapsed="false">
      <c r="A257" s="138" t="s">
        <v>2775</v>
      </c>
      <c r="B257" s="138" t="s">
        <v>2776</v>
      </c>
      <c r="C257" s="138" t="n">
        <v>382.251</v>
      </c>
      <c r="D257" s="138" t="n">
        <v>407.8635</v>
      </c>
      <c r="E257" s="138" t="s">
        <v>2399</v>
      </c>
      <c r="F257" s="138" t="s">
        <v>2400</v>
      </c>
      <c r="G257" s="138" t="s">
        <v>60</v>
      </c>
      <c r="H257" s="141" t="n">
        <v>512.25</v>
      </c>
      <c r="I257" s="141"/>
      <c r="J257" s="141"/>
      <c r="K257" s="141"/>
      <c r="L257" s="141"/>
      <c r="M257" s="138" t="s">
        <v>2381</v>
      </c>
    </row>
    <row r="258" customFormat="false" ht="15" hidden="false" customHeight="false" outlineLevel="0" collapsed="false">
      <c r="A258" s="138" t="s">
        <v>2770</v>
      </c>
      <c r="B258" s="138" t="s">
        <v>2777</v>
      </c>
      <c r="C258" s="138" t="n">
        <v>383.4355</v>
      </c>
      <c r="D258" s="138" t="n">
        <v>398.764</v>
      </c>
      <c r="E258" s="138" t="s">
        <v>2405</v>
      </c>
      <c r="F258" s="138" t="s">
        <v>2406</v>
      </c>
      <c r="G258" s="138" t="s">
        <v>59</v>
      </c>
      <c r="H258" s="141" t="n">
        <v>307</v>
      </c>
      <c r="I258" s="141"/>
      <c r="J258" s="141"/>
      <c r="K258" s="141"/>
      <c r="L258" s="141"/>
      <c r="M258" s="138" t="s">
        <v>2696</v>
      </c>
    </row>
    <row r="259" customFormat="false" ht="15" hidden="false" customHeight="false" outlineLevel="0" collapsed="false">
      <c r="A259" s="138" t="s">
        <v>2778</v>
      </c>
      <c r="B259" s="138" t="s">
        <v>2779</v>
      </c>
      <c r="C259" s="138" t="n">
        <v>385.487</v>
      </c>
      <c r="D259" s="138" t="n">
        <v>396.6315</v>
      </c>
      <c r="E259" s="138" t="s">
        <v>2405</v>
      </c>
      <c r="F259" s="138" t="s">
        <v>2406</v>
      </c>
      <c r="G259" s="138" t="s">
        <v>60</v>
      </c>
      <c r="H259" s="141" t="n">
        <v>223</v>
      </c>
      <c r="I259" s="141"/>
      <c r="J259" s="141"/>
      <c r="K259" s="141"/>
      <c r="L259" s="141"/>
      <c r="M259" s="138" t="s">
        <v>2696</v>
      </c>
    </row>
    <row r="260" customFormat="false" ht="15" hidden="false" customHeight="false" outlineLevel="0" collapsed="false">
      <c r="A260" s="138" t="s">
        <v>2780</v>
      </c>
      <c r="B260" s="138" t="s">
        <v>2772</v>
      </c>
      <c r="C260" s="138" t="n">
        <v>396.5805</v>
      </c>
      <c r="D260" s="138" t="n">
        <v>396.8805</v>
      </c>
      <c r="E260" s="138" t="s">
        <v>2385</v>
      </c>
      <c r="F260" s="138" t="s">
        <v>2386</v>
      </c>
      <c r="G260" s="138" t="s">
        <v>60</v>
      </c>
      <c r="H260" s="141" t="n">
        <v>13</v>
      </c>
      <c r="I260" s="141"/>
      <c r="J260" s="141"/>
      <c r="K260" s="141"/>
      <c r="L260" s="141"/>
      <c r="M260" s="138" t="s">
        <v>2696</v>
      </c>
    </row>
    <row r="261" customFormat="false" ht="15" hidden="false" customHeight="false" outlineLevel="0" collapsed="false">
      <c r="A261" s="138" t="s">
        <v>2772</v>
      </c>
      <c r="B261" s="138" t="s">
        <v>2781</v>
      </c>
      <c r="C261" s="138" t="n">
        <v>396.8805</v>
      </c>
      <c r="D261" s="138" t="n">
        <v>398.127</v>
      </c>
      <c r="E261" s="138" t="s">
        <v>2454</v>
      </c>
      <c r="F261" s="138" t="s">
        <v>2455</v>
      </c>
      <c r="G261" s="138" t="s">
        <v>60</v>
      </c>
      <c r="H261" s="141" t="n">
        <v>25</v>
      </c>
      <c r="I261" s="141"/>
      <c r="J261" s="141"/>
      <c r="K261" s="141"/>
      <c r="L261" s="141"/>
      <c r="M261" s="138" t="s">
        <v>2456</v>
      </c>
    </row>
    <row r="262" customFormat="false" ht="15" hidden="false" customHeight="false" outlineLevel="0" collapsed="false">
      <c r="A262" s="138" t="s">
        <v>2782</v>
      </c>
      <c r="B262" s="138" t="s">
        <v>2781</v>
      </c>
      <c r="C262" s="138" t="n">
        <v>396.9535</v>
      </c>
      <c r="D262" s="138" t="n">
        <v>398.127</v>
      </c>
      <c r="E262" s="138" t="s">
        <v>2385</v>
      </c>
      <c r="F262" s="138" t="s">
        <v>2386</v>
      </c>
      <c r="G262" s="138" t="s">
        <v>60</v>
      </c>
      <c r="H262" s="141" t="n">
        <v>29</v>
      </c>
      <c r="I262" s="141"/>
      <c r="J262" s="141"/>
      <c r="K262" s="141"/>
      <c r="L262" s="141"/>
      <c r="M262" s="138" t="s">
        <v>2696</v>
      </c>
    </row>
    <row r="263" customFormat="false" ht="15" hidden="false" customHeight="false" outlineLevel="0" collapsed="false">
      <c r="A263" s="138" t="s">
        <v>2781</v>
      </c>
      <c r="B263" s="138" t="s">
        <v>2783</v>
      </c>
      <c r="C263" s="138" t="n">
        <v>398.127</v>
      </c>
      <c r="D263" s="138" t="n">
        <v>405.969</v>
      </c>
      <c r="E263" s="138" t="s">
        <v>2604</v>
      </c>
      <c r="F263" s="138" t="s">
        <v>2386</v>
      </c>
      <c r="G263" s="138" t="s">
        <v>60</v>
      </c>
      <c r="H263" s="141" t="n">
        <v>158</v>
      </c>
      <c r="I263" s="141"/>
      <c r="J263" s="141"/>
      <c r="K263" s="141"/>
      <c r="L263" s="141"/>
      <c r="M263" s="138" t="s">
        <v>2696</v>
      </c>
    </row>
    <row r="264" customFormat="false" ht="15" hidden="false" customHeight="false" outlineLevel="0" collapsed="false">
      <c r="A264" s="138" t="s">
        <v>2777</v>
      </c>
      <c r="B264" s="138" t="s">
        <v>2784</v>
      </c>
      <c r="C264" s="138" t="n">
        <v>398.764</v>
      </c>
      <c r="D264" s="138" t="n">
        <v>407.3775</v>
      </c>
      <c r="E264" s="138" t="s">
        <v>2785</v>
      </c>
      <c r="F264" s="138" t="s">
        <v>2406</v>
      </c>
      <c r="G264" s="138" t="s">
        <v>59</v>
      </c>
      <c r="H264" s="141" t="n">
        <v>173</v>
      </c>
      <c r="I264" s="141"/>
      <c r="J264" s="141"/>
      <c r="K264" s="141"/>
      <c r="L264" s="141"/>
      <c r="M264" s="138" t="s">
        <v>2696</v>
      </c>
    </row>
    <row r="265" customFormat="false" ht="15" hidden="false" customHeight="false" outlineLevel="0" collapsed="false">
      <c r="A265" s="138" t="s">
        <v>2783</v>
      </c>
      <c r="B265" s="138" t="s">
        <v>2786</v>
      </c>
      <c r="C265" s="138" t="n">
        <v>405.969</v>
      </c>
      <c r="D265" s="138" t="n">
        <v>412.7675</v>
      </c>
      <c r="E265" s="138" t="s">
        <v>2704</v>
      </c>
      <c r="F265" s="138" t="s">
        <v>2396</v>
      </c>
      <c r="G265" s="138" t="s">
        <v>60</v>
      </c>
      <c r="H265" s="141" t="n">
        <v>136</v>
      </c>
      <c r="I265" s="141"/>
      <c r="J265" s="141"/>
      <c r="K265" s="141"/>
      <c r="L265" s="141"/>
      <c r="M265" s="138" t="s">
        <v>2696</v>
      </c>
    </row>
    <row r="266" customFormat="false" ht="15" hidden="false" customHeight="false" outlineLevel="0" collapsed="false">
      <c r="A266" s="138" t="s">
        <v>2769</v>
      </c>
      <c r="B266" s="138" t="s">
        <v>2787</v>
      </c>
      <c r="C266" s="138" t="n">
        <v>407.027</v>
      </c>
      <c r="D266" s="138" t="n">
        <v>410.473</v>
      </c>
      <c r="E266" s="138" t="s">
        <v>2704</v>
      </c>
      <c r="F266" s="138" t="s">
        <v>2396</v>
      </c>
      <c r="G266" s="138" t="s">
        <v>59</v>
      </c>
      <c r="H266" s="141" t="n">
        <v>69</v>
      </c>
      <c r="I266" s="141"/>
      <c r="J266" s="141"/>
      <c r="K266" s="141"/>
      <c r="L266" s="141"/>
      <c r="M266" s="138" t="s">
        <v>2696</v>
      </c>
    </row>
    <row r="267" customFormat="false" ht="15" hidden="false" customHeight="false" outlineLevel="0" collapsed="false">
      <c r="A267" s="138" t="s">
        <v>2788</v>
      </c>
      <c r="B267" s="138" t="s">
        <v>2789</v>
      </c>
      <c r="C267" s="138" t="n">
        <v>410.421</v>
      </c>
      <c r="D267" s="138" t="n">
        <v>411.076</v>
      </c>
      <c r="E267" s="138" t="s">
        <v>2454</v>
      </c>
      <c r="F267" s="138" t="s">
        <v>2455</v>
      </c>
      <c r="G267" s="138" t="s">
        <v>59</v>
      </c>
      <c r="H267" s="141" t="n">
        <v>13</v>
      </c>
      <c r="I267" s="141"/>
      <c r="J267" s="141"/>
      <c r="K267" s="141"/>
      <c r="L267" s="141"/>
      <c r="M267" s="138" t="s">
        <v>2456</v>
      </c>
    </row>
    <row r="268" customFormat="false" ht="15" hidden="false" customHeight="false" outlineLevel="0" collapsed="false">
      <c r="A268" s="138" t="s">
        <v>2790</v>
      </c>
      <c r="B268" s="138" t="s">
        <v>2791</v>
      </c>
      <c r="C268" s="138" t="n">
        <v>411.1225</v>
      </c>
      <c r="D268" s="138" t="n">
        <v>412.8205</v>
      </c>
      <c r="E268" s="138" t="s">
        <v>2704</v>
      </c>
      <c r="F268" s="138" t="s">
        <v>2396</v>
      </c>
      <c r="G268" s="138" t="s">
        <v>59</v>
      </c>
      <c r="H268" s="141" t="n">
        <v>35</v>
      </c>
      <c r="I268" s="141"/>
      <c r="J268" s="141"/>
      <c r="K268" s="141"/>
      <c r="L268" s="141"/>
      <c r="M268" s="138" t="s">
        <v>2696</v>
      </c>
    </row>
    <row r="269" customFormat="false" ht="15" hidden="false" customHeight="false" outlineLevel="0" collapsed="false">
      <c r="A269" s="138" t="s">
        <v>2792</v>
      </c>
      <c r="B269" s="138" t="s">
        <v>2793</v>
      </c>
      <c r="C269" s="138" t="n">
        <v>413.965</v>
      </c>
      <c r="D269" s="138" t="n">
        <v>415.5045</v>
      </c>
      <c r="E269" s="138" t="s">
        <v>2385</v>
      </c>
      <c r="F269" s="138" t="s">
        <v>2386</v>
      </c>
      <c r="G269" s="138" t="s">
        <v>59</v>
      </c>
      <c r="H269" s="141" t="n">
        <v>32</v>
      </c>
      <c r="I269" s="141"/>
      <c r="J269" s="141"/>
      <c r="K269" s="141"/>
      <c r="L269" s="141"/>
      <c r="M269" s="138" t="s">
        <v>2696</v>
      </c>
    </row>
    <row r="270" customFormat="false" ht="15" hidden="false" customHeight="false" outlineLevel="0" collapsed="false">
      <c r="A270" s="138" t="s">
        <v>2794</v>
      </c>
      <c r="B270" s="138" t="s">
        <v>2795</v>
      </c>
      <c r="C270" s="138" t="n">
        <v>414.0005</v>
      </c>
      <c r="D270" s="138" t="n">
        <v>416.996</v>
      </c>
      <c r="E270" s="138" t="s">
        <v>2385</v>
      </c>
      <c r="F270" s="138" t="s">
        <v>2386</v>
      </c>
      <c r="G270" s="138" t="s">
        <v>60</v>
      </c>
      <c r="H270" s="141" t="n">
        <v>60</v>
      </c>
      <c r="I270" s="141"/>
      <c r="J270" s="141"/>
      <c r="K270" s="141"/>
      <c r="L270" s="141"/>
      <c r="M270" s="138" t="s">
        <v>2696</v>
      </c>
    </row>
    <row r="271" customFormat="false" ht="15" hidden="false" customHeight="false" outlineLevel="0" collapsed="false">
      <c r="A271" s="138" t="s">
        <v>2796</v>
      </c>
      <c r="B271" s="138" t="s">
        <v>2797</v>
      </c>
      <c r="C271" s="138" t="n">
        <v>414.036</v>
      </c>
      <c r="D271" s="138" t="n">
        <v>418.27</v>
      </c>
      <c r="E271" s="138" t="s">
        <v>2405</v>
      </c>
      <c r="F271" s="138" t="s">
        <v>2406</v>
      </c>
      <c r="G271" s="138" t="s">
        <v>59</v>
      </c>
      <c r="H271" s="141" t="n">
        <v>84</v>
      </c>
      <c r="I271" s="141"/>
      <c r="J271" s="141"/>
      <c r="K271" s="141"/>
      <c r="L271" s="141"/>
      <c r="M271" s="138" t="s">
        <v>2696</v>
      </c>
    </row>
    <row r="272" customFormat="false" ht="15" hidden="false" customHeight="false" outlineLevel="0" collapsed="false">
      <c r="A272" s="138" t="s">
        <v>2798</v>
      </c>
      <c r="B272" s="138" t="s">
        <v>2799</v>
      </c>
      <c r="C272" s="138" t="n">
        <v>414.7355</v>
      </c>
      <c r="D272" s="138" t="n">
        <v>424.1875</v>
      </c>
      <c r="E272" s="138" t="s">
        <v>2682</v>
      </c>
      <c r="F272" s="138" t="s">
        <v>2683</v>
      </c>
      <c r="G272" s="138" t="s">
        <v>59</v>
      </c>
      <c r="H272" s="141" t="n">
        <v>189.04</v>
      </c>
      <c r="I272" s="141"/>
      <c r="J272" s="141"/>
      <c r="K272" s="141"/>
      <c r="L272" s="141"/>
      <c r="M272" s="138" t="s">
        <v>2381</v>
      </c>
    </row>
    <row r="273" customFormat="false" ht="15" hidden="false" customHeight="false" outlineLevel="0" collapsed="false">
      <c r="A273" s="138" t="s">
        <v>2793</v>
      </c>
      <c r="B273" s="138" t="s">
        <v>2800</v>
      </c>
      <c r="C273" s="138" t="n">
        <v>415.5045</v>
      </c>
      <c r="D273" s="138" t="n">
        <v>418.373</v>
      </c>
      <c r="E273" s="138" t="s">
        <v>2670</v>
      </c>
      <c r="F273" s="138" t="s">
        <v>2386</v>
      </c>
      <c r="G273" s="138" t="s">
        <v>59</v>
      </c>
      <c r="H273" s="141" t="n">
        <v>57</v>
      </c>
      <c r="I273" s="141"/>
      <c r="J273" s="141"/>
      <c r="K273" s="141"/>
      <c r="L273" s="141"/>
      <c r="M273" s="138" t="s">
        <v>2696</v>
      </c>
    </row>
    <row r="274" customFormat="false" ht="15" hidden="false" customHeight="false" outlineLevel="0" collapsed="false">
      <c r="A274" s="138" t="s">
        <v>2795</v>
      </c>
      <c r="B274" s="138" t="s">
        <v>2801</v>
      </c>
      <c r="C274" s="138" t="n">
        <v>416.996</v>
      </c>
      <c r="D274" s="138" t="n">
        <v>420.0815</v>
      </c>
      <c r="E274" s="138" t="s">
        <v>2670</v>
      </c>
      <c r="F274" s="138" t="s">
        <v>2386</v>
      </c>
      <c r="G274" s="138" t="s">
        <v>60</v>
      </c>
      <c r="H274" s="141" t="n">
        <v>62</v>
      </c>
      <c r="I274" s="141"/>
      <c r="J274" s="141"/>
      <c r="K274" s="141"/>
      <c r="L274" s="141"/>
      <c r="M274" s="138" t="s">
        <v>2696</v>
      </c>
    </row>
    <row r="275" customFormat="false" ht="15" hidden="false" customHeight="false" outlineLevel="0" collapsed="false">
      <c r="A275" s="138" t="s">
        <v>2802</v>
      </c>
      <c r="B275" s="138" t="s">
        <v>2803</v>
      </c>
      <c r="C275" s="138" t="n">
        <v>417.0045</v>
      </c>
      <c r="D275" s="138" t="n">
        <v>424.13</v>
      </c>
      <c r="E275" s="138" t="s">
        <v>2682</v>
      </c>
      <c r="F275" s="138" t="s">
        <v>2683</v>
      </c>
      <c r="G275" s="138" t="s">
        <v>60</v>
      </c>
      <c r="H275" s="141" t="n">
        <v>142.51</v>
      </c>
      <c r="I275" s="141"/>
      <c r="J275" s="141"/>
      <c r="K275" s="141"/>
      <c r="L275" s="141"/>
      <c r="M275" s="138" t="s">
        <v>2381</v>
      </c>
    </row>
    <row r="276" customFormat="false" ht="15" hidden="false" customHeight="false" outlineLevel="0" collapsed="false">
      <c r="A276" s="138" t="s">
        <v>2804</v>
      </c>
      <c r="B276" s="138" t="s">
        <v>2805</v>
      </c>
      <c r="C276" s="138" t="n">
        <v>417.7345</v>
      </c>
      <c r="D276" s="138" t="n">
        <v>418.4945</v>
      </c>
      <c r="E276" s="138" t="s">
        <v>2521</v>
      </c>
      <c r="F276" s="138" t="s">
        <v>2522</v>
      </c>
      <c r="G276" s="138" t="s">
        <v>60</v>
      </c>
      <c r="H276" s="141" t="n">
        <v>15</v>
      </c>
      <c r="I276" s="141"/>
      <c r="J276" s="141"/>
      <c r="K276" s="141"/>
      <c r="L276" s="141"/>
      <c r="M276" s="138" t="s">
        <v>2523</v>
      </c>
    </row>
    <row r="277" customFormat="false" ht="15" hidden="false" customHeight="false" outlineLevel="0" collapsed="false">
      <c r="A277" s="138" t="s">
        <v>2800</v>
      </c>
      <c r="B277" s="138" t="s">
        <v>2806</v>
      </c>
      <c r="C277" s="138" t="n">
        <v>418.373</v>
      </c>
      <c r="D277" s="138" t="n">
        <v>419.045</v>
      </c>
      <c r="E277" s="138" t="s">
        <v>2385</v>
      </c>
      <c r="F277" s="138" t="s">
        <v>2386</v>
      </c>
      <c r="G277" s="138" t="s">
        <v>59</v>
      </c>
      <c r="H277" s="141" t="n">
        <v>26</v>
      </c>
      <c r="I277" s="141"/>
      <c r="J277" s="141"/>
      <c r="K277" s="141"/>
      <c r="L277" s="141"/>
      <c r="M277" s="138" t="s">
        <v>2696</v>
      </c>
    </row>
    <row r="278" customFormat="false" ht="15" hidden="false" customHeight="false" outlineLevel="0" collapsed="false">
      <c r="A278" s="138" t="s">
        <v>2800</v>
      </c>
      <c r="B278" s="138" t="s">
        <v>2807</v>
      </c>
      <c r="C278" s="138" t="n">
        <v>418.373</v>
      </c>
      <c r="D278" s="138" t="n">
        <v>419.0905</v>
      </c>
      <c r="E278" s="138" t="s">
        <v>2454</v>
      </c>
      <c r="F278" s="138" t="s">
        <v>2455</v>
      </c>
      <c r="G278" s="138" t="s">
        <v>59</v>
      </c>
      <c r="H278" s="141" t="n">
        <v>15</v>
      </c>
      <c r="I278" s="141"/>
      <c r="J278" s="141"/>
      <c r="K278" s="141"/>
      <c r="L278" s="141"/>
      <c r="M278" s="138" t="s">
        <v>2456</v>
      </c>
    </row>
    <row r="279" customFormat="false" ht="15" hidden="false" customHeight="false" outlineLevel="0" collapsed="false">
      <c r="A279" s="138" t="s">
        <v>2808</v>
      </c>
      <c r="B279" s="138" t="s">
        <v>2809</v>
      </c>
      <c r="C279" s="138" t="n">
        <v>419.351</v>
      </c>
      <c r="D279" s="138" t="n">
        <v>421.5275</v>
      </c>
      <c r="E279" s="138" t="s">
        <v>2385</v>
      </c>
      <c r="F279" s="138" t="s">
        <v>2386</v>
      </c>
      <c r="G279" s="138" t="s">
        <v>59</v>
      </c>
      <c r="H279" s="141" t="n">
        <v>71</v>
      </c>
      <c r="I279" s="141"/>
      <c r="J279" s="141"/>
      <c r="K279" s="141"/>
      <c r="L279" s="141"/>
      <c r="M279" s="138" t="s">
        <v>2696</v>
      </c>
    </row>
    <row r="280" customFormat="false" ht="15" hidden="false" customHeight="false" outlineLevel="0" collapsed="false">
      <c r="A280" s="138" t="s">
        <v>2801</v>
      </c>
      <c r="B280" s="138" t="s">
        <v>2810</v>
      </c>
      <c r="C280" s="138" t="n">
        <v>420.0815</v>
      </c>
      <c r="D280" s="138" t="n">
        <v>421.351</v>
      </c>
      <c r="E280" s="138" t="s">
        <v>2385</v>
      </c>
      <c r="F280" s="138" t="s">
        <v>2386</v>
      </c>
      <c r="G280" s="138" t="s">
        <v>60</v>
      </c>
      <c r="H280" s="141" t="n">
        <v>25</v>
      </c>
      <c r="I280" s="141"/>
      <c r="J280" s="141"/>
      <c r="K280" s="141"/>
      <c r="L280" s="141"/>
      <c r="M280" s="138" t="s">
        <v>2696</v>
      </c>
    </row>
    <row r="281" customFormat="false" ht="15" hidden="false" customHeight="false" outlineLevel="0" collapsed="false">
      <c r="A281" s="138" t="s">
        <v>2810</v>
      </c>
      <c r="B281" s="138" t="s">
        <v>2811</v>
      </c>
      <c r="C281" s="138" t="n">
        <v>421.351</v>
      </c>
      <c r="D281" s="138" t="n">
        <v>425.202</v>
      </c>
      <c r="E281" s="138" t="s">
        <v>2395</v>
      </c>
      <c r="F281" s="138" t="s">
        <v>2396</v>
      </c>
      <c r="G281" s="138" t="s">
        <v>60</v>
      </c>
      <c r="H281" s="141" t="n">
        <v>76</v>
      </c>
      <c r="I281" s="141"/>
      <c r="J281" s="141"/>
      <c r="K281" s="141"/>
      <c r="L281" s="141"/>
      <c r="M281" s="138" t="s">
        <v>2696</v>
      </c>
    </row>
    <row r="282" customFormat="false" ht="15" hidden="false" customHeight="false" outlineLevel="0" collapsed="false">
      <c r="A282" s="138" t="s">
        <v>2809</v>
      </c>
      <c r="B282" s="138" t="s">
        <v>2812</v>
      </c>
      <c r="C282" s="138" t="n">
        <v>421.5275</v>
      </c>
      <c r="D282" s="138" t="n">
        <v>421.7585</v>
      </c>
      <c r="E282" s="138" t="s">
        <v>2389</v>
      </c>
      <c r="F282" s="138" t="s">
        <v>2390</v>
      </c>
      <c r="G282" s="138" t="s">
        <v>59</v>
      </c>
      <c r="H282" s="141" t="n">
        <v>5</v>
      </c>
      <c r="I282" s="141"/>
      <c r="J282" s="141"/>
      <c r="K282" s="141"/>
      <c r="L282" s="141"/>
      <c r="M282" s="138" t="s">
        <v>2696</v>
      </c>
    </row>
    <row r="283" customFormat="false" ht="15" hidden="false" customHeight="false" outlineLevel="0" collapsed="false">
      <c r="A283" s="138" t="s">
        <v>2813</v>
      </c>
      <c r="B283" s="138" t="s">
        <v>2814</v>
      </c>
      <c r="C283" s="138" t="n">
        <v>424.7885</v>
      </c>
      <c r="D283" s="138" t="n">
        <v>427.2505</v>
      </c>
      <c r="E283" s="138" t="s">
        <v>2379</v>
      </c>
      <c r="F283" s="138" t="s">
        <v>2380</v>
      </c>
      <c r="G283" s="138" t="s">
        <v>60</v>
      </c>
      <c r="H283" s="141" t="n">
        <v>49.24</v>
      </c>
      <c r="I283" s="141"/>
      <c r="J283" s="141"/>
      <c r="K283" s="141"/>
      <c r="L283" s="141"/>
      <c r="M283" s="138" t="s">
        <v>2381</v>
      </c>
    </row>
    <row r="284" customFormat="false" ht="15" hidden="false" customHeight="false" outlineLevel="0" collapsed="false">
      <c r="A284" s="138" t="s">
        <v>2811</v>
      </c>
      <c r="B284" s="138" t="s">
        <v>2815</v>
      </c>
      <c r="C284" s="138" t="n">
        <v>425.202</v>
      </c>
      <c r="D284" s="138" t="n">
        <v>429.968</v>
      </c>
      <c r="E284" s="138" t="s">
        <v>2462</v>
      </c>
      <c r="F284" s="138" t="s">
        <v>2396</v>
      </c>
      <c r="G284" s="138" t="s">
        <v>60</v>
      </c>
      <c r="H284" s="141" t="n">
        <v>96</v>
      </c>
      <c r="I284" s="141"/>
      <c r="J284" s="141"/>
      <c r="K284" s="141"/>
      <c r="L284" s="141"/>
      <c r="M284" s="138" t="s">
        <v>2696</v>
      </c>
    </row>
    <row r="285" customFormat="false" ht="15" hidden="false" customHeight="false" outlineLevel="0" collapsed="false">
      <c r="A285" s="138" t="s">
        <v>2816</v>
      </c>
      <c r="B285" s="138" t="s">
        <v>2817</v>
      </c>
      <c r="C285" s="138" t="n">
        <v>428.5915</v>
      </c>
      <c r="D285" s="138" t="n">
        <v>437.7415</v>
      </c>
      <c r="E285" s="138" t="s">
        <v>2433</v>
      </c>
      <c r="F285" s="138" t="s">
        <v>2434</v>
      </c>
      <c r="G285" s="138" t="s">
        <v>59</v>
      </c>
      <c r="H285" s="141" t="n">
        <v>183</v>
      </c>
      <c r="I285" s="141"/>
      <c r="J285" s="141"/>
      <c r="K285" s="141"/>
      <c r="L285" s="141"/>
      <c r="M285" s="138" t="s">
        <v>2696</v>
      </c>
    </row>
    <row r="286" customFormat="false" ht="15" hidden="false" customHeight="false" outlineLevel="0" collapsed="false">
      <c r="A286" s="138" t="s">
        <v>2816</v>
      </c>
      <c r="B286" s="138" t="s">
        <v>2818</v>
      </c>
      <c r="C286" s="138" t="n">
        <v>428.5915</v>
      </c>
      <c r="D286" s="138" t="n">
        <v>434.8415</v>
      </c>
      <c r="E286" s="138" t="s">
        <v>2433</v>
      </c>
      <c r="F286" s="138" t="s">
        <v>2434</v>
      </c>
      <c r="G286" s="138" t="s">
        <v>60</v>
      </c>
      <c r="H286" s="141" t="n">
        <v>125</v>
      </c>
      <c r="I286" s="141"/>
      <c r="J286" s="141"/>
      <c r="K286" s="141"/>
      <c r="L286" s="141"/>
      <c r="M286" s="138" t="s">
        <v>2696</v>
      </c>
    </row>
    <row r="287" customFormat="false" ht="15" hidden="false" customHeight="false" outlineLevel="0" collapsed="false">
      <c r="A287" s="138" t="s">
        <v>2819</v>
      </c>
      <c r="B287" s="138" t="s">
        <v>2820</v>
      </c>
      <c r="C287" s="138" t="n">
        <v>433.0475</v>
      </c>
      <c r="D287" s="138" t="n">
        <v>439.882</v>
      </c>
      <c r="E287" s="138" t="s">
        <v>2704</v>
      </c>
      <c r="F287" s="138" t="s">
        <v>2396</v>
      </c>
      <c r="G287" s="138" t="s">
        <v>59</v>
      </c>
      <c r="H287" s="141" t="n">
        <v>138</v>
      </c>
      <c r="I287" s="141"/>
      <c r="J287" s="141"/>
      <c r="K287" s="141"/>
      <c r="L287" s="141"/>
      <c r="M287" s="138" t="s">
        <v>2696</v>
      </c>
    </row>
    <row r="288" customFormat="false" ht="15" hidden="false" customHeight="false" outlineLevel="0" collapsed="false">
      <c r="A288" s="138" t="s">
        <v>2818</v>
      </c>
      <c r="B288" s="138" t="s">
        <v>2821</v>
      </c>
      <c r="C288" s="138" t="n">
        <v>434.8415</v>
      </c>
      <c r="D288" s="138" t="n">
        <v>444.263</v>
      </c>
      <c r="E288" s="138" t="s">
        <v>2433</v>
      </c>
      <c r="F288" s="138" t="s">
        <v>2434</v>
      </c>
      <c r="G288" s="138" t="s">
        <v>60</v>
      </c>
      <c r="H288" s="141" t="n">
        <v>187</v>
      </c>
      <c r="I288" s="141"/>
      <c r="J288" s="141"/>
      <c r="K288" s="141"/>
      <c r="L288" s="141"/>
      <c r="M288" s="138" t="s">
        <v>2696</v>
      </c>
    </row>
    <row r="289" customFormat="false" ht="15" hidden="false" customHeight="false" outlineLevel="0" collapsed="false">
      <c r="A289" s="138" t="s">
        <v>2822</v>
      </c>
      <c r="B289" s="138" t="s">
        <v>2823</v>
      </c>
      <c r="C289" s="138" t="n">
        <v>435.0215</v>
      </c>
      <c r="D289" s="138" t="n">
        <v>439.7585</v>
      </c>
      <c r="E289" s="138" t="s">
        <v>2824</v>
      </c>
      <c r="F289" s="138" t="s">
        <v>2390</v>
      </c>
      <c r="G289" s="138" t="s">
        <v>60</v>
      </c>
      <c r="H289" s="141" t="n">
        <v>95</v>
      </c>
      <c r="I289" s="141"/>
      <c r="J289" s="141"/>
      <c r="K289" s="141"/>
      <c r="L289" s="141"/>
      <c r="M289" s="138" t="s">
        <v>2696</v>
      </c>
    </row>
    <row r="290" customFormat="false" ht="15" hidden="false" customHeight="false" outlineLevel="0" collapsed="false">
      <c r="A290" s="138" t="s">
        <v>2825</v>
      </c>
      <c r="B290" s="138" t="s">
        <v>2826</v>
      </c>
      <c r="C290" s="138" t="n">
        <v>440.82</v>
      </c>
      <c r="D290" s="138" t="n">
        <v>441.2925</v>
      </c>
      <c r="E290" s="138" t="s">
        <v>2824</v>
      </c>
      <c r="F290" s="138" t="s">
        <v>2390</v>
      </c>
      <c r="G290" s="138" t="s">
        <v>60</v>
      </c>
      <c r="H290" s="141" t="n">
        <v>9</v>
      </c>
      <c r="I290" s="141"/>
      <c r="J290" s="141"/>
      <c r="K290" s="141"/>
      <c r="L290" s="141"/>
      <c r="M290" s="138" t="s">
        <v>2696</v>
      </c>
    </row>
    <row r="291" customFormat="false" ht="15" hidden="false" customHeight="false" outlineLevel="0" collapsed="false">
      <c r="A291" s="138" t="s">
        <v>2826</v>
      </c>
      <c r="B291" s="138" t="s">
        <v>2827</v>
      </c>
      <c r="C291" s="138" t="n">
        <v>441.2925</v>
      </c>
      <c r="D291" s="138" t="n">
        <v>442.079</v>
      </c>
      <c r="E291" s="138" t="s">
        <v>2824</v>
      </c>
      <c r="F291" s="138" t="s">
        <v>2390</v>
      </c>
      <c r="G291" s="138" t="s">
        <v>60</v>
      </c>
      <c r="H291" s="141" t="n">
        <v>18</v>
      </c>
      <c r="I291" s="141"/>
      <c r="J291" s="141"/>
      <c r="K291" s="141"/>
      <c r="L291" s="141"/>
      <c r="M291" s="138" t="s">
        <v>2696</v>
      </c>
    </row>
    <row r="292" customFormat="false" ht="15" hidden="false" customHeight="false" outlineLevel="0" collapsed="false">
      <c r="A292" s="138" t="s">
        <v>2828</v>
      </c>
      <c r="B292" s="138" t="s">
        <v>2829</v>
      </c>
      <c r="C292" s="138" t="n">
        <v>441.785</v>
      </c>
      <c r="D292" s="138" t="n">
        <v>447.346</v>
      </c>
      <c r="E292" s="138" t="s">
        <v>2704</v>
      </c>
      <c r="F292" s="138" t="s">
        <v>2396</v>
      </c>
      <c r="G292" s="138" t="s">
        <v>59</v>
      </c>
      <c r="H292" s="141" t="n">
        <v>117</v>
      </c>
      <c r="I292" s="141"/>
      <c r="J292" s="141"/>
      <c r="K292" s="141"/>
      <c r="L292" s="141"/>
      <c r="M292" s="138" t="s">
        <v>2696</v>
      </c>
    </row>
    <row r="293" customFormat="false" ht="15" hidden="false" customHeight="false" outlineLevel="0" collapsed="false">
      <c r="A293" s="138" t="s">
        <v>2830</v>
      </c>
      <c r="B293" s="138" t="s">
        <v>2831</v>
      </c>
      <c r="C293" s="138" t="n">
        <v>442.259</v>
      </c>
      <c r="D293" s="138" t="n">
        <v>454.492</v>
      </c>
      <c r="E293" s="138" t="s">
        <v>2395</v>
      </c>
      <c r="F293" s="138" t="s">
        <v>2396</v>
      </c>
      <c r="G293" s="138" t="s">
        <v>60</v>
      </c>
      <c r="H293" s="141" t="n">
        <v>253</v>
      </c>
      <c r="I293" s="141"/>
      <c r="J293" s="141"/>
      <c r="K293" s="141"/>
      <c r="L293" s="141"/>
      <c r="M293" s="138" t="s">
        <v>2696</v>
      </c>
    </row>
    <row r="294" customFormat="false" ht="15" hidden="false" customHeight="false" outlineLevel="0" collapsed="false">
      <c r="A294" s="138" t="s">
        <v>2832</v>
      </c>
      <c r="B294" s="138" t="s">
        <v>2833</v>
      </c>
      <c r="C294" s="138" t="n">
        <v>444.339</v>
      </c>
      <c r="D294" s="138" t="n">
        <v>447.227</v>
      </c>
      <c r="E294" s="138" t="s">
        <v>2433</v>
      </c>
      <c r="F294" s="138" t="s">
        <v>2434</v>
      </c>
      <c r="G294" s="138" t="s">
        <v>59</v>
      </c>
      <c r="H294" s="141" t="n">
        <v>57</v>
      </c>
      <c r="I294" s="141"/>
      <c r="J294" s="141"/>
      <c r="K294" s="141"/>
      <c r="L294" s="141"/>
      <c r="M294" s="138" t="s">
        <v>2696</v>
      </c>
    </row>
    <row r="295" customFormat="false" ht="15" hidden="false" customHeight="false" outlineLevel="0" collapsed="false">
      <c r="A295" s="138" t="s">
        <v>2834</v>
      </c>
      <c r="B295" s="138" t="s">
        <v>2835</v>
      </c>
      <c r="C295" s="138" t="n">
        <v>446.5195</v>
      </c>
      <c r="D295" s="138" t="n">
        <v>455.255</v>
      </c>
      <c r="E295" s="138" t="s">
        <v>2399</v>
      </c>
      <c r="F295" s="138" t="s">
        <v>2400</v>
      </c>
      <c r="G295" s="138" t="s">
        <v>59</v>
      </c>
      <c r="H295" s="141" t="n">
        <v>174.71</v>
      </c>
      <c r="I295" s="141"/>
      <c r="J295" s="141"/>
      <c r="K295" s="141"/>
      <c r="L295" s="141"/>
      <c r="M295" s="138" t="s">
        <v>2381</v>
      </c>
    </row>
    <row r="296" customFormat="false" ht="15" hidden="false" customHeight="false" outlineLevel="0" collapsed="false">
      <c r="A296" s="138" t="s">
        <v>2836</v>
      </c>
      <c r="B296" s="138" t="s">
        <v>2837</v>
      </c>
      <c r="C296" s="138" t="n">
        <v>447.0545</v>
      </c>
      <c r="D296" s="138" t="n">
        <v>457.6315</v>
      </c>
      <c r="E296" s="138" t="s">
        <v>2464</v>
      </c>
      <c r="F296" s="138" t="s">
        <v>2406</v>
      </c>
      <c r="G296" s="138" t="s">
        <v>59</v>
      </c>
      <c r="H296" s="141" t="n">
        <v>199</v>
      </c>
      <c r="I296" s="141"/>
      <c r="J296" s="141"/>
      <c r="K296" s="141"/>
      <c r="L296" s="141"/>
      <c r="M296" s="138" t="s">
        <v>2696</v>
      </c>
    </row>
    <row r="297" customFormat="false" ht="15" hidden="false" customHeight="false" outlineLevel="0" collapsed="false">
      <c r="A297" s="138" t="s">
        <v>2829</v>
      </c>
      <c r="B297" s="138" t="s">
        <v>2838</v>
      </c>
      <c r="C297" s="138" t="n">
        <v>447.346</v>
      </c>
      <c r="D297" s="138" t="n">
        <v>455.2865</v>
      </c>
      <c r="E297" s="138" t="s">
        <v>2604</v>
      </c>
      <c r="F297" s="138" t="s">
        <v>2386</v>
      </c>
      <c r="G297" s="138" t="s">
        <v>59</v>
      </c>
      <c r="H297" s="141" t="n">
        <v>153</v>
      </c>
      <c r="I297" s="141"/>
      <c r="J297" s="141"/>
      <c r="K297" s="141"/>
      <c r="L297" s="141"/>
      <c r="M297" s="138" t="s">
        <v>2696</v>
      </c>
    </row>
    <row r="298" customFormat="false" ht="15" hidden="false" customHeight="false" outlineLevel="0" collapsed="false">
      <c r="A298" s="138" t="s">
        <v>2839</v>
      </c>
      <c r="B298" s="138" t="s">
        <v>2840</v>
      </c>
      <c r="C298" s="138" t="n">
        <v>453.2885</v>
      </c>
      <c r="D298" s="138" t="n">
        <v>457.0005</v>
      </c>
      <c r="E298" s="138" t="s">
        <v>2399</v>
      </c>
      <c r="F298" s="138" t="s">
        <v>2400</v>
      </c>
      <c r="G298" s="138" t="s">
        <v>60</v>
      </c>
      <c r="H298" s="141" t="n">
        <v>74.24</v>
      </c>
      <c r="I298" s="141"/>
      <c r="J298" s="141"/>
      <c r="K298" s="141"/>
      <c r="L298" s="141"/>
      <c r="M298" s="138" t="s">
        <v>2381</v>
      </c>
    </row>
    <row r="299" customFormat="false" ht="15" hidden="false" customHeight="false" outlineLevel="0" collapsed="false">
      <c r="A299" s="138" t="s">
        <v>2831</v>
      </c>
      <c r="B299" s="138" t="s">
        <v>2841</v>
      </c>
      <c r="C299" s="138" t="n">
        <v>454.492</v>
      </c>
      <c r="D299" s="138" t="n">
        <v>454.69</v>
      </c>
      <c r="E299" s="138" t="s">
        <v>2385</v>
      </c>
      <c r="F299" s="138" t="s">
        <v>2386</v>
      </c>
      <c r="G299" s="138" t="s">
        <v>60</v>
      </c>
      <c r="H299" s="141" t="n">
        <v>18</v>
      </c>
      <c r="I299" s="141"/>
      <c r="J299" s="141"/>
      <c r="K299" s="141"/>
      <c r="L299" s="141"/>
      <c r="M299" s="138" t="s">
        <v>2696</v>
      </c>
    </row>
    <row r="300" customFormat="false" ht="15" hidden="false" customHeight="false" outlineLevel="0" collapsed="false">
      <c r="A300" s="138" t="s">
        <v>2831</v>
      </c>
      <c r="B300" s="138" t="s">
        <v>2842</v>
      </c>
      <c r="C300" s="138" t="n">
        <v>454.492</v>
      </c>
      <c r="D300" s="138" t="n">
        <v>455.1175</v>
      </c>
      <c r="E300" s="138" t="s">
        <v>2454</v>
      </c>
      <c r="F300" s="138" t="s">
        <v>2455</v>
      </c>
      <c r="G300" s="138" t="s">
        <v>60</v>
      </c>
      <c r="H300" s="141" t="n">
        <v>13</v>
      </c>
      <c r="I300" s="141"/>
      <c r="J300" s="141"/>
      <c r="K300" s="141"/>
      <c r="L300" s="141"/>
      <c r="M300" s="138" t="s">
        <v>2456</v>
      </c>
    </row>
    <row r="301" customFormat="false" ht="15" hidden="false" customHeight="false" outlineLevel="0" collapsed="false">
      <c r="A301" s="138" t="s">
        <v>2843</v>
      </c>
      <c r="B301" s="138" t="s">
        <v>2842</v>
      </c>
      <c r="C301" s="138" t="n">
        <v>455.051</v>
      </c>
      <c r="D301" s="138" t="n">
        <v>455.1175</v>
      </c>
      <c r="E301" s="138" t="s">
        <v>2385</v>
      </c>
      <c r="F301" s="138" t="s">
        <v>2386</v>
      </c>
      <c r="G301" s="138" t="s">
        <v>60</v>
      </c>
      <c r="H301" s="141" t="n">
        <v>18</v>
      </c>
      <c r="I301" s="141"/>
      <c r="J301" s="141"/>
      <c r="K301" s="141"/>
      <c r="L301" s="141"/>
      <c r="M301" s="138" t="s">
        <v>2696</v>
      </c>
    </row>
    <row r="302" customFormat="false" ht="15" hidden="false" customHeight="false" outlineLevel="0" collapsed="false">
      <c r="A302" s="138" t="s">
        <v>2842</v>
      </c>
      <c r="B302" s="138" t="s">
        <v>2844</v>
      </c>
      <c r="C302" s="138" t="n">
        <v>455.1175</v>
      </c>
      <c r="D302" s="138" t="n">
        <v>459.2655</v>
      </c>
      <c r="E302" s="138" t="s">
        <v>2385</v>
      </c>
      <c r="F302" s="138" t="s">
        <v>2386</v>
      </c>
      <c r="G302" s="138" t="s">
        <v>60</v>
      </c>
      <c r="H302" s="141" t="n">
        <v>86</v>
      </c>
      <c r="I302" s="141"/>
      <c r="J302" s="141"/>
      <c r="K302" s="141"/>
      <c r="L302" s="141"/>
      <c r="M302" s="138" t="s">
        <v>2696</v>
      </c>
    </row>
    <row r="303" customFormat="false" ht="15" hidden="false" customHeight="false" outlineLevel="0" collapsed="false">
      <c r="A303" s="138" t="s">
        <v>2845</v>
      </c>
      <c r="B303" s="138" t="s">
        <v>2846</v>
      </c>
      <c r="C303" s="138" t="n">
        <v>455.2165</v>
      </c>
      <c r="D303" s="138" t="n">
        <v>463.1745</v>
      </c>
      <c r="E303" s="138" t="s">
        <v>2682</v>
      </c>
      <c r="F303" s="138" t="s">
        <v>2683</v>
      </c>
      <c r="G303" s="138" t="s">
        <v>59</v>
      </c>
      <c r="H303" s="141" t="n">
        <v>159.16</v>
      </c>
      <c r="I303" s="141"/>
      <c r="J303" s="141"/>
      <c r="K303" s="141"/>
      <c r="L303" s="141"/>
      <c r="M303" s="138" t="s">
        <v>2381</v>
      </c>
    </row>
    <row r="304" customFormat="false" ht="15" hidden="false" customHeight="false" outlineLevel="0" collapsed="false">
      <c r="A304" s="138" t="s">
        <v>2838</v>
      </c>
      <c r="B304" s="138" t="s">
        <v>2847</v>
      </c>
      <c r="C304" s="138" t="n">
        <v>455.2865</v>
      </c>
      <c r="D304" s="138" t="n">
        <v>464.892</v>
      </c>
      <c r="E304" s="138" t="s">
        <v>2670</v>
      </c>
      <c r="F304" s="138" t="s">
        <v>2386</v>
      </c>
      <c r="G304" s="138" t="s">
        <v>59</v>
      </c>
      <c r="H304" s="141" t="n">
        <v>188</v>
      </c>
      <c r="I304" s="141"/>
      <c r="J304" s="141"/>
      <c r="K304" s="141"/>
      <c r="L304" s="141"/>
      <c r="M304" s="138" t="s">
        <v>2696</v>
      </c>
    </row>
    <row r="305" customFormat="false" ht="15" hidden="false" customHeight="false" outlineLevel="0" collapsed="false">
      <c r="A305" s="138" t="s">
        <v>2122</v>
      </c>
      <c r="B305" s="138" t="s">
        <v>2848</v>
      </c>
      <c r="C305" s="138" t="n">
        <v>457</v>
      </c>
      <c r="D305" s="138" t="n">
        <v>461.4725</v>
      </c>
      <c r="E305" s="138" t="s">
        <v>2682</v>
      </c>
      <c r="F305" s="138" t="s">
        <v>2683</v>
      </c>
      <c r="G305" s="138" t="s">
        <v>60</v>
      </c>
      <c r="H305" s="141" t="n">
        <v>89.45</v>
      </c>
      <c r="I305" s="141"/>
      <c r="J305" s="141"/>
      <c r="K305" s="141"/>
      <c r="L305" s="141"/>
      <c r="M305" s="138" t="s">
        <v>2381</v>
      </c>
    </row>
    <row r="306" customFormat="false" ht="15" hidden="false" customHeight="false" outlineLevel="0" collapsed="false">
      <c r="A306" s="138" t="s">
        <v>2837</v>
      </c>
      <c r="B306" s="138" t="s">
        <v>2849</v>
      </c>
      <c r="C306" s="138" t="n">
        <v>457.6315</v>
      </c>
      <c r="D306" s="138" t="n">
        <v>461.635</v>
      </c>
      <c r="E306" s="138" t="s">
        <v>2405</v>
      </c>
      <c r="F306" s="138" t="s">
        <v>2406</v>
      </c>
      <c r="G306" s="138" t="s">
        <v>59</v>
      </c>
      <c r="H306" s="141" t="n">
        <v>74</v>
      </c>
      <c r="I306" s="141"/>
      <c r="J306" s="141"/>
      <c r="K306" s="141"/>
      <c r="L306" s="141"/>
      <c r="M306" s="138" t="s">
        <v>2696</v>
      </c>
    </row>
    <row r="307" customFormat="false" ht="15" hidden="false" customHeight="false" outlineLevel="0" collapsed="false">
      <c r="A307" s="138" t="s">
        <v>2844</v>
      </c>
      <c r="B307" s="138" t="s">
        <v>2850</v>
      </c>
      <c r="C307" s="138" t="n">
        <v>459.2655</v>
      </c>
      <c r="D307" s="138" t="n">
        <v>459.276</v>
      </c>
      <c r="E307" s="138" t="s">
        <v>2385</v>
      </c>
      <c r="F307" s="138" t="s">
        <v>2386</v>
      </c>
      <c r="G307" s="138" t="s">
        <v>60</v>
      </c>
      <c r="H307" s="141" t="n">
        <v>18</v>
      </c>
      <c r="I307" s="141"/>
      <c r="J307" s="141"/>
      <c r="K307" s="141"/>
      <c r="L307" s="141"/>
      <c r="M307" s="138" t="s">
        <v>2696</v>
      </c>
    </row>
    <row r="308" customFormat="false" ht="15" hidden="false" customHeight="false" outlineLevel="0" collapsed="false">
      <c r="A308" s="138" t="s">
        <v>2844</v>
      </c>
      <c r="B308" s="138" t="s">
        <v>2851</v>
      </c>
      <c r="C308" s="138" t="n">
        <v>459.2655</v>
      </c>
      <c r="D308" s="138" t="n">
        <v>459.8445</v>
      </c>
      <c r="E308" s="138" t="s">
        <v>2454</v>
      </c>
      <c r="F308" s="138" t="s">
        <v>2455</v>
      </c>
      <c r="G308" s="138" t="s">
        <v>60</v>
      </c>
      <c r="H308" s="141" t="n">
        <v>12</v>
      </c>
      <c r="I308" s="141"/>
      <c r="J308" s="141"/>
      <c r="K308" s="141"/>
      <c r="L308" s="141"/>
      <c r="M308" s="138" t="s">
        <v>2456</v>
      </c>
    </row>
    <row r="309" customFormat="false" ht="15" hidden="false" customHeight="false" outlineLevel="0" collapsed="false">
      <c r="A309" s="138" t="s">
        <v>2852</v>
      </c>
      <c r="B309" s="138" t="s">
        <v>2851</v>
      </c>
      <c r="C309" s="138" t="n">
        <v>459.643</v>
      </c>
      <c r="D309" s="138" t="n">
        <v>459.8445</v>
      </c>
      <c r="E309" s="138" t="s">
        <v>2385</v>
      </c>
      <c r="F309" s="138" t="s">
        <v>2386</v>
      </c>
      <c r="G309" s="138" t="s">
        <v>60</v>
      </c>
      <c r="H309" s="141" t="n">
        <v>18</v>
      </c>
      <c r="I309" s="141"/>
      <c r="J309" s="141"/>
      <c r="K309" s="141"/>
      <c r="L309" s="141"/>
      <c r="M309" s="138" t="s">
        <v>2696</v>
      </c>
    </row>
    <row r="310" customFormat="false" ht="15" hidden="false" customHeight="false" outlineLevel="0" collapsed="false">
      <c r="A310" s="138" t="s">
        <v>2851</v>
      </c>
      <c r="B310" s="138" t="s">
        <v>2853</v>
      </c>
      <c r="C310" s="138" t="n">
        <v>459.8445</v>
      </c>
      <c r="D310" s="138" t="n">
        <v>462.0335</v>
      </c>
      <c r="E310" s="138" t="s">
        <v>2670</v>
      </c>
      <c r="F310" s="138" t="s">
        <v>2386</v>
      </c>
      <c r="G310" s="138" t="s">
        <v>60</v>
      </c>
      <c r="H310" s="141" t="n">
        <v>45</v>
      </c>
      <c r="I310" s="141"/>
      <c r="J310" s="141"/>
      <c r="K310" s="141"/>
      <c r="L310" s="141"/>
      <c r="M310" s="138" t="s">
        <v>2696</v>
      </c>
    </row>
    <row r="311" customFormat="false" ht="15" hidden="false" customHeight="false" outlineLevel="0" collapsed="false">
      <c r="A311" s="138" t="s">
        <v>2854</v>
      </c>
      <c r="B311" s="138" t="s">
        <v>2855</v>
      </c>
      <c r="C311" s="138" t="n">
        <v>461.575</v>
      </c>
      <c r="D311" s="138" t="n">
        <v>462.3425</v>
      </c>
      <c r="E311" s="138" t="s">
        <v>2521</v>
      </c>
      <c r="F311" s="138" t="s">
        <v>2522</v>
      </c>
      <c r="G311" s="138" t="s">
        <v>59</v>
      </c>
      <c r="H311" s="141" t="n">
        <v>15</v>
      </c>
      <c r="I311" s="141"/>
      <c r="J311" s="141"/>
      <c r="K311" s="141"/>
      <c r="L311" s="141"/>
      <c r="M311" s="138" t="s">
        <v>2523</v>
      </c>
    </row>
    <row r="312" customFormat="false" ht="15" hidden="false" customHeight="false" outlineLevel="0" collapsed="false">
      <c r="A312" s="138" t="s">
        <v>2853</v>
      </c>
      <c r="B312" s="138" t="s">
        <v>2856</v>
      </c>
      <c r="C312" s="138" t="n">
        <v>462.0335</v>
      </c>
      <c r="D312" s="138" t="n">
        <v>464.124</v>
      </c>
      <c r="E312" s="138" t="s">
        <v>2385</v>
      </c>
      <c r="F312" s="138" t="s">
        <v>2386</v>
      </c>
      <c r="G312" s="138" t="s">
        <v>60</v>
      </c>
      <c r="H312" s="141" t="n">
        <v>42</v>
      </c>
      <c r="I312" s="141"/>
      <c r="J312" s="141"/>
      <c r="K312" s="141"/>
      <c r="L312" s="141"/>
      <c r="M312" s="138" t="s">
        <v>2696</v>
      </c>
    </row>
    <row r="313" customFormat="false" ht="15" hidden="false" customHeight="false" outlineLevel="0" collapsed="false">
      <c r="A313" s="138" t="s">
        <v>2846</v>
      </c>
      <c r="B313" s="138" t="s">
        <v>2857</v>
      </c>
      <c r="C313" s="138" t="n">
        <v>463.1745</v>
      </c>
      <c r="D313" s="138" t="n">
        <v>467.699</v>
      </c>
      <c r="E313" s="138" t="s">
        <v>2399</v>
      </c>
      <c r="F313" s="138" t="s">
        <v>2400</v>
      </c>
      <c r="G313" s="138" t="s">
        <v>59</v>
      </c>
      <c r="H313" s="141" t="n">
        <v>90.49</v>
      </c>
      <c r="I313" s="141"/>
      <c r="J313" s="141"/>
      <c r="K313" s="141"/>
      <c r="L313" s="141"/>
      <c r="M313" s="138" t="s">
        <v>2381</v>
      </c>
    </row>
    <row r="314" customFormat="false" ht="15" hidden="false" customHeight="false" outlineLevel="0" collapsed="false">
      <c r="A314" s="138" t="s">
        <v>2858</v>
      </c>
      <c r="B314" s="138" t="s">
        <v>2859</v>
      </c>
      <c r="C314" s="138" t="n">
        <v>464.284</v>
      </c>
      <c r="D314" s="138" t="n">
        <v>465.4685</v>
      </c>
      <c r="E314" s="138" t="s">
        <v>2385</v>
      </c>
      <c r="F314" s="138" t="s">
        <v>2386</v>
      </c>
      <c r="G314" s="138" t="s">
        <v>59</v>
      </c>
      <c r="H314" s="141" t="n">
        <v>25</v>
      </c>
      <c r="I314" s="141"/>
      <c r="J314" s="141"/>
      <c r="K314" s="141"/>
      <c r="L314" s="141"/>
      <c r="M314" s="138" t="s">
        <v>2696</v>
      </c>
    </row>
    <row r="315" customFormat="false" ht="15" hidden="false" customHeight="false" outlineLevel="0" collapsed="false">
      <c r="A315" s="138" t="s">
        <v>2847</v>
      </c>
      <c r="B315" s="138" t="s">
        <v>2859</v>
      </c>
      <c r="C315" s="138" t="n">
        <v>464.892</v>
      </c>
      <c r="D315" s="138" t="n">
        <v>465.4685</v>
      </c>
      <c r="E315" s="138" t="s">
        <v>2454</v>
      </c>
      <c r="F315" s="138" t="s">
        <v>2455</v>
      </c>
      <c r="G315" s="138" t="s">
        <v>59</v>
      </c>
      <c r="H315" s="141" t="n">
        <v>13</v>
      </c>
      <c r="I315" s="141"/>
      <c r="J315" s="141"/>
      <c r="K315" s="141"/>
      <c r="L315" s="141"/>
      <c r="M315" s="138" t="s">
        <v>2456</v>
      </c>
    </row>
    <row r="316" customFormat="false" ht="15" hidden="false" customHeight="false" outlineLevel="0" collapsed="false">
      <c r="A316" s="138" t="s">
        <v>2859</v>
      </c>
      <c r="B316" s="138" t="s">
        <v>2860</v>
      </c>
      <c r="C316" s="138" t="n">
        <v>465.4685</v>
      </c>
      <c r="D316" s="138" t="n">
        <v>467.769</v>
      </c>
      <c r="E316" s="138" t="s">
        <v>2385</v>
      </c>
      <c r="F316" s="138" t="s">
        <v>2386</v>
      </c>
      <c r="G316" s="138" t="s">
        <v>59</v>
      </c>
      <c r="H316" s="141" t="n">
        <v>48</v>
      </c>
      <c r="I316" s="141"/>
      <c r="J316" s="141"/>
      <c r="K316" s="141"/>
      <c r="L316" s="141"/>
      <c r="M316" s="138" t="s">
        <v>2696</v>
      </c>
    </row>
    <row r="317" customFormat="false" ht="15" hidden="false" customHeight="false" outlineLevel="0" collapsed="false">
      <c r="A317" s="138" t="s">
        <v>2861</v>
      </c>
      <c r="B317" s="138" t="s">
        <v>2862</v>
      </c>
      <c r="C317" s="138" t="n">
        <v>467.8365</v>
      </c>
      <c r="D317" s="138" t="n">
        <v>468.96</v>
      </c>
      <c r="E317" s="138" t="s">
        <v>2395</v>
      </c>
      <c r="F317" s="138" t="s">
        <v>2396</v>
      </c>
      <c r="G317" s="138" t="s">
        <v>59</v>
      </c>
      <c r="H317" s="141" t="n">
        <v>24</v>
      </c>
      <c r="I317" s="141"/>
      <c r="J317" s="141"/>
      <c r="K317" s="141"/>
      <c r="L317" s="141"/>
      <c r="M317" s="138" t="s">
        <v>2696</v>
      </c>
    </row>
    <row r="318" customFormat="false" ht="15" hidden="false" customHeight="false" outlineLevel="0" collapsed="false">
      <c r="A318" s="138" t="s">
        <v>2863</v>
      </c>
      <c r="B318" s="138" t="s">
        <v>2864</v>
      </c>
      <c r="C318" s="138" t="n">
        <v>469.04</v>
      </c>
      <c r="D318" s="138" t="n">
        <v>471.9395</v>
      </c>
      <c r="E318" s="138" t="s">
        <v>2462</v>
      </c>
      <c r="F318" s="138" t="s">
        <v>2396</v>
      </c>
      <c r="G318" s="138" t="s">
        <v>59</v>
      </c>
      <c r="H318" s="141" t="n">
        <v>58</v>
      </c>
      <c r="I318" s="141"/>
      <c r="J318" s="141"/>
      <c r="K318" s="141"/>
      <c r="L318" s="141"/>
      <c r="M318" s="138" t="s">
        <v>2696</v>
      </c>
    </row>
    <row r="319" customFormat="false" ht="15" hidden="false" customHeight="false" outlineLevel="0" collapsed="false">
      <c r="A319" s="138" t="s">
        <v>2865</v>
      </c>
      <c r="B319" s="138" t="s">
        <v>2866</v>
      </c>
      <c r="C319" s="138" t="n">
        <v>470.932</v>
      </c>
      <c r="D319" s="138" t="n">
        <v>473.853</v>
      </c>
      <c r="E319" s="138" t="s">
        <v>2399</v>
      </c>
      <c r="F319" s="138" t="s">
        <v>2400</v>
      </c>
      <c r="G319" s="138" t="s">
        <v>59</v>
      </c>
      <c r="H319" s="141" t="n">
        <v>58.42</v>
      </c>
      <c r="I319" s="141"/>
      <c r="J319" s="141"/>
      <c r="K319" s="141"/>
      <c r="L319" s="141"/>
      <c r="M319" s="138" t="s">
        <v>2381</v>
      </c>
    </row>
    <row r="320" customFormat="false" ht="15" hidden="false" customHeight="false" outlineLevel="0" collapsed="false">
      <c r="A320" s="138" t="s">
        <v>2864</v>
      </c>
      <c r="B320" s="138" t="s">
        <v>2867</v>
      </c>
      <c r="C320" s="138" t="n">
        <v>471.9395</v>
      </c>
      <c r="D320" s="138" t="n">
        <v>475.4865</v>
      </c>
      <c r="E320" s="138" t="s">
        <v>2604</v>
      </c>
      <c r="F320" s="138" t="s">
        <v>2386</v>
      </c>
      <c r="G320" s="138" t="s">
        <v>59</v>
      </c>
      <c r="H320" s="141" t="n">
        <v>71</v>
      </c>
      <c r="I320" s="141"/>
      <c r="J320" s="141"/>
      <c r="K320" s="141"/>
      <c r="L320" s="141"/>
      <c r="M320" s="138" t="s">
        <v>2696</v>
      </c>
    </row>
    <row r="321" customFormat="false" ht="15" hidden="false" customHeight="false" outlineLevel="0" collapsed="false">
      <c r="A321" s="138" t="s">
        <v>2868</v>
      </c>
      <c r="B321" s="138" t="s">
        <v>2869</v>
      </c>
      <c r="C321" s="138" t="n">
        <v>474.248</v>
      </c>
      <c r="D321" s="138" t="n">
        <v>474.6545</v>
      </c>
      <c r="E321" s="138" t="s">
        <v>2385</v>
      </c>
      <c r="F321" s="138" t="s">
        <v>2386</v>
      </c>
      <c r="G321" s="138" t="s">
        <v>59</v>
      </c>
      <c r="H321" s="141" t="n">
        <v>11</v>
      </c>
      <c r="I321" s="141"/>
      <c r="J321" s="141"/>
      <c r="K321" s="141"/>
      <c r="L321" s="141"/>
      <c r="M321" s="138" t="s">
        <v>2696</v>
      </c>
    </row>
    <row r="322" customFormat="false" ht="15" hidden="false" customHeight="false" outlineLevel="0" collapsed="false">
      <c r="A322" s="138" t="s">
        <v>2869</v>
      </c>
      <c r="B322" s="138" t="s">
        <v>2870</v>
      </c>
      <c r="C322" s="138" t="n">
        <v>474.6545</v>
      </c>
      <c r="D322" s="138" t="n">
        <v>476.138</v>
      </c>
      <c r="E322" s="138" t="s">
        <v>2385</v>
      </c>
      <c r="F322" s="138" t="s">
        <v>2386</v>
      </c>
      <c r="G322" s="138" t="s">
        <v>59</v>
      </c>
      <c r="H322" s="141" t="n">
        <v>30</v>
      </c>
      <c r="I322" s="141"/>
      <c r="J322" s="141"/>
      <c r="K322" s="141"/>
      <c r="L322" s="141"/>
      <c r="M322" s="138" t="s">
        <v>2696</v>
      </c>
    </row>
    <row r="323" customFormat="false" ht="15" hidden="false" customHeight="false" outlineLevel="0" collapsed="false">
      <c r="A323" s="138" t="s">
        <v>2867</v>
      </c>
      <c r="B323" s="138" t="s">
        <v>2871</v>
      </c>
      <c r="C323" s="138" t="n">
        <v>475.4865</v>
      </c>
      <c r="D323" s="138" t="n">
        <v>476.884</v>
      </c>
      <c r="E323" s="138" t="s">
        <v>2454</v>
      </c>
      <c r="F323" s="138" t="s">
        <v>2455</v>
      </c>
      <c r="G323" s="138" t="s">
        <v>59</v>
      </c>
      <c r="H323" s="141" t="n">
        <v>28</v>
      </c>
      <c r="I323" s="141"/>
      <c r="J323" s="141"/>
      <c r="K323" s="141"/>
      <c r="L323" s="141"/>
      <c r="M323" s="138" t="s">
        <v>2456</v>
      </c>
    </row>
    <row r="324" customFormat="false" ht="15" hidden="false" customHeight="false" outlineLevel="0" collapsed="false">
      <c r="A324" s="138" t="s">
        <v>2872</v>
      </c>
      <c r="B324" s="138" t="s">
        <v>2871</v>
      </c>
      <c r="C324" s="138" t="n">
        <v>476.5235</v>
      </c>
      <c r="D324" s="138" t="n">
        <v>476.884</v>
      </c>
      <c r="E324" s="138" t="s">
        <v>2395</v>
      </c>
      <c r="F324" s="138" t="s">
        <v>2396</v>
      </c>
      <c r="G324" s="138" t="s">
        <v>59</v>
      </c>
      <c r="H324" s="141" t="n">
        <v>8</v>
      </c>
      <c r="I324" s="141"/>
      <c r="J324" s="141"/>
      <c r="K324" s="141"/>
      <c r="L324" s="141"/>
      <c r="M324" s="138" t="s">
        <v>2696</v>
      </c>
    </row>
    <row r="325" customFormat="false" ht="15" hidden="false" customHeight="false" outlineLevel="0" collapsed="false">
      <c r="A325" s="138" t="s">
        <v>2871</v>
      </c>
      <c r="B325" s="138" t="s">
        <v>2873</v>
      </c>
      <c r="C325" s="138" t="n">
        <v>476.884</v>
      </c>
      <c r="D325" s="138" t="n">
        <v>480.9715</v>
      </c>
      <c r="E325" s="138" t="s">
        <v>2395</v>
      </c>
      <c r="F325" s="138" t="s">
        <v>2396</v>
      </c>
      <c r="G325" s="138" t="s">
        <v>59</v>
      </c>
      <c r="H325" s="141" t="n">
        <v>84</v>
      </c>
      <c r="I325" s="141"/>
      <c r="J325" s="141"/>
      <c r="K325" s="141"/>
      <c r="L325" s="141"/>
      <c r="M325" s="138" t="s">
        <v>2696</v>
      </c>
    </row>
    <row r="326" customFormat="false" ht="15" hidden="false" customHeight="false" outlineLevel="0" collapsed="false">
      <c r="A326" s="138" t="s">
        <v>2874</v>
      </c>
      <c r="B326" s="138" t="s">
        <v>2875</v>
      </c>
      <c r="C326" s="138" t="n">
        <v>477.311</v>
      </c>
      <c r="D326" s="138" t="n">
        <v>480.69</v>
      </c>
      <c r="E326" s="138" t="s">
        <v>2395</v>
      </c>
      <c r="F326" s="138" t="s">
        <v>2396</v>
      </c>
      <c r="G326" s="138" t="s">
        <v>60</v>
      </c>
      <c r="H326" s="141" t="n">
        <v>66</v>
      </c>
      <c r="I326" s="141"/>
      <c r="J326" s="141"/>
      <c r="K326" s="141"/>
      <c r="L326" s="141"/>
      <c r="M326" s="138" t="s">
        <v>2696</v>
      </c>
    </row>
    <row r="327" customFormat="false" ht="15" hidden="false" customHeight="false" outlineLevel="0" collapsed="false">
      <c r="A327" s="138" t="s">
        <v>2876</v>
      </c>
      <c r="B327" s="138" t="s">
        <v>2877</v>
      </c>
      <c r="C327" s="138" t="n">
        <v>479.3565</v>
      </c>
      <c r="D327" s="138" t="n">
        <v>484.8605</v>
      </c>
      <c r="E327" s="138" t="s">
        <v>2399</v>
      </c>
      <c r="F327" s="138" t="s">
        <v>2400</v>
      </c>
      <c r="G327" s="138" t="s">
        <v>59</v>
      </c>
      <c r="H327" s="141" t="n">
        <v>110.08</v>
      </c>
      <c r="I327" s="141"/>
      <c r="J327" s="141"/>
      <c r="K327" s="141"/>
      <c r="L327" s="141"/>
      <c r="M327" s="138" t="s">
        <v>2381</v>
      </c>
    </row>
    <row r="328" customFormat="false" ht="15" hidden="false" customHeight="false" outlineLevel="0" collapsed="false">
      <c r="A328" s="138" t="s">
        <v>2878</v>
      </c>
      <c r="B328" s="138" t="s">
        <v>2879</v>
      </c>
      <c r="C328" s="138" t="n">
        <v>479.371</v>
      </c>
      <c r="D328" s="138" t="n">
        <v>486.3335</v>
      </c>
      <c r="E328" s="138" t="s">
        <v>2399</v>
      </c>
      <c r="F328" s="138" t="s">
        <v>2400</v>
      </c>
      <c r="G328" s="138" t="s">
        <v>60</v>
      </c>
      <c r="H328" s="141" t="n">
        <v>139.25</v>
      </c>
      <c r="I328" s="141"/>
      <c r="J328" s="141"/>
      <c r="K328" s="141"/>
      <c r="L328" s="141"/>
      <c r="M328" s="138" t="s">
        <v>2381</v>
      </c>
    </row>
    <row r="329" customFormat="false" ht="15" hidden="false" customHeight="false" outlineLevel="0" collapsed="false">
      <c r="A329" s="138" t="s">
        <v>2875</v>
      </c>
      <c r="B329" s="138" t="s">
        <v>2880</v>
      </c>
      <c r="C329" s="138" t="n">
        <v>480.69</v>
      </c>
      <c r="D329" s="138" t="n">
        <v>484.118</v>
      </c>
      <c r="E329" s="138" t="s">
        <v>2385</v>
      </c>
      <c r="F329" s="138" t="s">
        <v>2386</v>
      </c>
      <c r="G329" s="138" t="s">
        <v>60</v>
      </c>
      <c r="H329" s="141" t="n">
        <v>77</v>
      </c>
      <c r="I329" s="141"/>
      <c r="J329" s="141"/>
      <c r="K329" s="141"/>
      <c r="L329" s="141"/>
      <c r="M329" s="138" t="s">
        <v>2696</v>
      </c>
    </row>
    <row r="330" customFormat="false" ht="15" hidden="false" customHeight="false" outlineLevel="0" collapsed="false">
      <c r="A330" s="138" t="s">
        <v>2873</v>
      </c>
      <c r="B330" s="138" t="s">
        <v>2881</v>
      </c>
      <c r="C330" s="138" t="n">
        <v>480.9715</v>
      </c>
      <c r="D330" s="138" t="n">
        <v>486.24</v>
      </c>
      <c r="E330" s="138" t="s">
        <v>2385</v>
      </c>
      <c r="F330" s="138" t="s">
        <v>2386</v>
      </c>
      <c r="G330" s="138" t="s">
        <v>59</v>
      </c>
      <c r="H330" s="141" t="n">
        <v>108</v>
      </c>
      <c r="I330" s="141"/>
      <c r="J330" s="141"/>
      <c r="K330" s="141"/>
      <c r="L330" s="141"/>
      <c r="M330" s="138" t="s">
        <v>2696</v>
      </c>
    </row>
    <row r="331" customFormat="false" ht="15" hidden="false" customHeight="false" outlineLevel="0" collapsed="false">
      <c r="A331" s="138" t="s">
        <v>2882</v>
      </c>
      <c r="B331" s="138" t="s">
        <v>2883</v>
      </c>
      <c r="C331" s="138" t="n">
        <v>483.8675</v>
      </c>
      <c r="D331" s="138" t="n">
        <v>484.4835</v>
      </c>
      <c r="E331" s="138" t="s">
        <v>2454</v>
      </c>
      <c r="F331" s="138" t="s">
        <v>2455</v>
      </c>
      <c r="G331" s="138" t="s">
        <v>60</v>
      </c>
      <c r="H331" s="141" t="n">
        <v>12</v>
      </c>
      <c r="I331" s="141"/>
      <c r="J331" s="141"/>
      <c r="K331" s="141"/>
      <c r="L331" s="141"/>
      <c r="M331" s="138" t="s">
        <v>2456</v>
      </c>
    </row>
    <row r="332" customFormat="false" ht="15" hidden="false" customHeight="false" outlineLevel="0" collapsed="false">
      <c r="A332" s="138" t="s">
        <v>2883</v>
      </c>
      <c r="B332" s="138" t="s">
        <v>2884</v>
      </c>
      <c r="C332" s="138" t="n">
        <v>484.4835</v>
      </c>
      <c r="D332" s="138" t="n">
        <v>484.5345</v>
      </c>
      <c r="E332" s="138" t="s">
        <v>2385</v>
      </c>
      <c r="F332" s="138" t="s">
        <v>2386</v>
      </c>
      <c r="G332" s="138" t="s">
        <v>60</v>
      </c>
      <c r="H332" s="141" t="n">
        <v>12</v>
      </c>
      <c r="I332" s="141"/>
      <c r="J332" s="141"/>
      <c r="K332" s="141"/>
      <c r="L332" s="141"/>
      <c r="M332" s="138" t="s">
        <v>2696</v>
      </c>
    </row>
    <row r="333" customFormat="false" ht="15" hidden="false" customHeight="false" outlineLevel="0" collapsed="false">
      <c r="A333" s="138" t="s">
        <v>2883</v>
      </c>
      <c r="B333" s="138" t="s">
        <v>2885</v>
      </c>
      <c r="C333" s="138" t="n">
        <v>484.4835</v>
      </c>
      <c r="D333" s="138" t="n">
        <v>487.575</v>
      </c>
      <c r="E333" s="138" t="s">
        <v>2385</v>
      </c>
      <c r="F333" s="138" t="s">
        <v>2386</v>
      </c>
      <c r="G333" s="138" t="s">
        <v>60</v>
      </c>
      <c r="H333" s="141" t="n">
        <v>62</v>
      </c>
      <c r="I333" s="141"/>
      <c r="J333" s="141"/>
      <c r="K333" s="141"/>
      <c r="L333" s="141"/>
      <c r="M333" s="138" t="s">
        <v>2696</v>
      </c>
    </row>
    <row r="334" customFormat="false" ht="15" hidden="false" customHeight="false" outlineLevel="0" collapsed="false">
      <c r="A334" s="138" t="s">
        <v>2886</v>
      </c>
      <c r="B334" s="138" t="s">
        <v>2887</v>
      </c>
      <c r="C334" s="138" t="n">
        <v>484.821</v>
      </c>
      <c r="D334" s="138" t="n">
        <v>487.465</v>
      </c>
      <c r="E334" s="138" t="s">
        <v>2405</v>
      </c>
      <c r="F334" s="138" t="s">
        <v>2406</v>
      </c>
      <c r="G334" s="138" t="s">
        <v>60</v>
      </c>
      <c r="H334" s="141" t="n">
        <v>53</v>
      </c>
      <c r="I334" s="141"/>
      <c r="J334" s="141"/>
      <c r="K334" s="141"/>
      <c r="L334" s="141"/>
      <c r="M334" s="138" t="s">
        <v>2696</v>
      </c>
    </row>
    <row r="335" customFormat="false" ht="15" hidden="false" customHeight="false" outlineLevel="0" collapsed="false">
      <c r="A335" s="138" t="s">
        <v>2881</v>
      </c>
      <c r="B335" s="138" t="s">
        <v>2888</v>
      </c>
      <c r="C335" s="138" t="n">
        <v>486.24</v>
      </c>
      <c r="D335" s="138" t="n">
        <v>487.61</v>
      </c>
      <c r="E335" s="138" t="s">
        <v>2395</v>
      </c>
      <c r="F335" s="138" t="s">
        <v>2396</v>
      </c>
      <c r="G335" s="138" t="s">
        <v>59</v>
      </c>
      <c r="H335" s="141" t="n">
        <v>29</v>
      </c>
      <c r="I335" s="141"/>
      <c r="J335" s="141"/>
      <c r="K335" s="141"/>
      <c r="L335" s="141"/>
      <c r="M335" s="138" t="s">
        <v>2696</v>
      </c>
    </row>
    <row r="336" customFormat="false" ht="15" hidden="false" customHeight="false" outlineLevel="0" collapsed="false">
      <c r="A336" s="138" t="s">
        <v>2889</v>
      </c>
      <c r="B336" s="138" t="s">
        <v>2890</v>
      </c>
      <c r="C336" s="138" t="n">
        <v>486.911</v>
      </c>
      <c r="D336" s="138" t="n">
        <v>491.8025</v>
      </c>
      <c r="E336" s="138" t="s">
        <v>2433</v>
      </c>
      <c r="F336" s="138" t="s">
        <v>2434</v>
      </c>
      <c r="G336" s="138" t="s">
        <v>59</v>
      </c>
      <c r="H336" s="141" t="n">
        <v>96</v>
      </c>
      <c r="I336" s="141"/>
      <c r="J336" s="141"/>
      <c r="K336" s="141"/>
      <c r="L336" s="141"/>
      <c r="M336" s="138" t="s">
        <v>2696</v>
      </c>
    </row>
    <row r="337" customFormat="false" ht="15" hidden="false" customHeight="false" outlineLevel="0" collapsed="false">
      <c r="A337" s="138" t="s">
        <v>2891</v>
      </c>
      <c r="B337" s="138" t="s">
        <v>2892</v>
      </c>
      <c r="C337" s="138" t="n">
        <v>487.6535</v>
      </c>
      <c r="D337" s="138" t="n">
        <v>492.3875</v>
      </c>
      <c r="E337" s="138" t="s">
        <v>2395</v>
      </c>
      <c r="F337" s="138" t="s">
        <v>2396</v>
      </c>
      <c r="G337" s="138" t="s">
        <v>60</v>
      </c>
      <c r="H337" s="141" t="n">
        <v>99</v>
      </c>
      <c r="I337" s="141"/>
      <c r="J337" s="141"/>
      <c r="K337" s="141"/>
      <c r="L337" s="141"/>
      <c r="M337" s="138" t="s">
        <v>2696</v>
      </c>
    </row>
    <row r="338" customFormat="false" ht="15" hidden="false" customHeight="false" outlineLevel="0" collapsed="false">
      <c r="A338" s="138" t="s">
        <v>2890</v>
      </c>
      <c r="B338" s="138" t="s">
        <v>2893</v>
      </c>
      <c r="C338" s="138" t="n">
        <v>491.8025</v>
      </c>
      <c r="D338" s="138" t="n">
        <v>495.053</v>
      </c>
      <c r="E338" s="138" t="s">
        <v>2433</v>
      </c>
      <c r="F338" s="138" t="s">
        <v>2434</v>
      </c>
      <c r="G338" s="138" t="s">
        <v>59</v>
      </c>
      <c r="H338" s="141" t="n">
        <v>64</v>
      </c>
      <c r="I338" s="141"/>
      <c r="J338" s="141"/>
      <c r="K338" s="141"/>
      <c r="L338" s="141"/>
      <c r="M338" s="138" t="s">
        <v>2696</v>
      </c>
    </row>
    <row r="339" customFormat="false" ht="15" hidden="false" customHeight="false" outlineLevel="0" collapsed="false">
      <c r="A339" s="138" t="s">
        <v>2892</v>
      </c>
      <c r="B339" s="138" t="s">
        <v>2894</v>
      </c>
      <c r="C339" s="138" t="n">
        <v>492.3875</v>
      </c>
      <c r="D339" s="138" t="n">
        <v>493.4735</v>
      </c>
      <c r="E339" s="138" t="s">
        <v>2395</v>
      </c>
      <c r="F339" s="138" t="s">
        <v>2396</v>
      </c>
      <c r="G339" s="138" t="s">
        <v>60</v>
      </c>
      <c r="H339" s="141" t="n">
        <v>23</v>
      </c>
      <c r="I339" s="141"/>
      <c r="J339" s="141"/>
      <c r="K339" s="141"/>
      <c r="L339" s="141"/>
      <c r="M339" s="138" t="s">
        <v>2696</v>
      </c>
    </row>
    <row r="340" customFormat="false" ht="15" hidden="false" customHeight="false" outlineLevel="0" collapsed="false">
      <c r="A340" s="138" t="s">
        <v>2895</v>
      </c>
      <c r="B340" s="138" t="s">
        <v>2896</v>
      </c>
      <c r="C340" s="138" t="n">
        <v>493.554</v>
      </c>
      <c r="D340" s="138" t="n">
        <v>494.791</v>
      </c>
      <c r="E340" s="138" t="s">
        <v>2385</v>
      </c>
      <c r="F340" s="138" t="s">
        <v>2386</v>
      </c>
      <c r="G340" s="138" t="s">
        <v>60</v>
      </c>
      <c r="H340" s="141" t="n">
        <v>30</v>
      </c>
      <c r="I340" s="141"/>
      <c r="J340" s="141"/>
      <c r="K340" s="141"/>
      <c r="L340" s="141"/>
      <c r="M340" s="138" t="s">
        <v>2696</v>
      </c>
    </row>
    <row r="341" customFormat="false" ht="15" hidden="false" customHeight="false" outlineLevel="0" collapsed="false">
      <c r="A341" s="138" t="s">
        <v>2893</v>
      </c>
      <c r="B341" s="138" t="s">
        <v>2897</v>
      </c>
      <c r="C341" s="138" t="n">
        <v>495.053</v>
      </c>
      <c r="D341" s="138" t="n">
        <v>496.4955</v>
      </c>
      <c r="E341" s="138" t="s">
        <v>2433</v>
      </c>
      <c r="F341" s="138" t="s">
        <v>2434</v>
      </c>
      <c r="G341" s="138" t="s">
        <v>59</v>
      </c>
      <c r="H341" s="141" t="n">
        <v>29</v>
      </c>
      <c r="I341" s="141"/>
      <c r="J341" s="141"/>
      <c r="K341" s="141"/>
      <c r="L341" s="141"/>
      <c r="M341" s="138" t="s">
        <v>2696</v>
      </c>
    </row>
    <row r="342" customFormat="false" ht="15" hidden="false" customHeight="false" outlineLevel="0" collapsed="false">
      <c r="A342" s="138" t="s">
        <v>2898</v>
      </c>
      <c r="B342" s="138" t="s">
        <v>2899</v>
      </c>
      <c r="C342" s="138" t="n">
        <v>495.5825</v>
      </c>
      <c r="D342" s="138" t="n">
        <v>498.0325</v>
      </c>
      <c r="E342" s="138" t="s">
        <v>2385</v>
      </c>
      <c r="F342" s="138" t="s">
        <v>2386</v>
      </c>
      <c r="G342" s="138" t="s">
        <v>60</v>
      </c>
      <c r="H342" s="141" t="n">
        <v>54</v>
      </c>
      <c r="I342" s="141"/>
      <c r="J342" s="141"/>
      <c r="K342" s="141"/>
      <c r="L342" s="141"/>
      <c r="M342" s="138" t="s">
        <v>2696</v>
      </c>
    </row>
    <row r="343" customFormat="false" ht="15" hidden="false" customHeight="false" outlineLevel="0" collapsed="false">
      <c r="A343" s="138" t="s">
        <v>2899</v>
      </c>
      <c r="B343" s="138" t="s">
        <v>2900</v>
      </c>
      <c r="C343" s="138" t="n">
        <v>498.0325</v>
      </c>
      <c r="D343" s="138" t="n">
        <v>498.794</v>
      </c>
      <c r="E343" s="138" t="s">
        <v>2454</v>
      </c>
      <c r="F343" s="138" t="s">
        <v>2455</v>
      </c>
      <c r="G343" s="138" t="s">
        <v>60</v>
      </c>
      <c r="H343" s="141" t="n">
        <v>15</v>
      </c>
      <c r="I343" s="141"/>
      <c r="J343" s="141"/>
      <c r="K343" s="141"/>
      <c r="L343" s="141"/>
      <c r="M343" s="138" t="s">
        <v>2456</v>
      </c>
    </row>
    <row r="344" customFormat="false" ht="15" hidden="false" customHeight="false" outlineLevel="0" collapsed="false">
      <c r="A344" s="138" t="s">
        <v>2900</v>
      </c>
      <c r="B344" s="138" t="s">
        <v>2901</v>
      </c>
      <c r="C344" s="138" t="n">
        <v>498.794</v>
      </c>
      <c r="D344" s="138" t="n">
        <v>509.754</v>
      </c>
      <c r="E344" s="138" t="s">
        <v>2604</v>
      </c>
      <c r="F344" s="138" t="s">
        <v>2386</v>
      </c>
      <c r="G344" s="138" t="s">
        <v>60</v>
      </c>
      <c r="H344" s="141" t="n">
        <v>216</v>
      </c>
      <c r="I344" s="141"/>
      <c r="J344" s="141"/>
      <c r="K344" s="141"/>
      <c r="L344" s="141"/>
      <c r="M344" s="138" t="s">
        <v>2696</v>
      </c>
    </row>
    <row r="345" customFormat="false" ht="15" hidden="false" customHeight="false" outlineLevel="0" collapsed="false">
      <c r="A345" s="138" t="s">
        <v>2902</v>
      </c>
      <c r="B345" s="138" t="s">
        <v>2903</v>
      </c>
      <c r="C345" s="138" t="n">
        <v>499.449</v>
      </c>
      <c r="D345" s="138" t="n">
        <v>509.1725</v>
      </c>
      <c r="E345" s="138" t="s">
        <v>2385</v>
      </c>
      <c r="F345" s="138" t="s">
        <v>2386</v>
      </c>
      <c r="G345" s="138" t="s">
        <v>59</v>
      </c>
      <c r="H345" s="141" t="n">
        <v>198</v>
      </c>
      <c r="I345" s="141"/>
      <c r="J345" s="141"/>
      <c r="K345" s="141"/>
      <c r="L345" s="141"/>
      <c r="M345" s="138" t="s">
        <v>2696</v>
      </c>
    </row>
    <row r="346" customFormat="false" ht="15" hidden="false" customHeight="false" outlineLevel="0" collapsed="false">
      <c r="A346" s="138" t="s">
        <v>2904</v>
      </c>
      <c r="B346" s="138" t="s">
        <v>2905</v>
      </c>
      <c r="C346" s="138" t="n">
        <v>499.475</v>
      </c>
      <c r="D346" s="138" t="n">
        <v>500.239</v>
      </c>
      <c r="E346" s="138" t="s">
        <v>2521</v>
      </c>
      <c r="F346" s="138" t="s">
        <v>2522</v>
      </c>
      <c r="G346" s="138" t="s">
        <v>60</v>
      </c>
      <c r="H346" s="141" t="n">
        <v>15</v>
      </c>
      <c r="I346" s="141"/>
      <c r="J346" s="141"/>
      <c r="K346" s="141"/>
      <c r="L346" s="141"/>
      <c r="M346" s="138" t="s">
        <v>2523</v>
      </c>
    </row>
    <row r="347" customFormat="false" ht="15" hidden="false" customHeight="false" outlineLevel="0" collapsed="false">
      <c r="A347" s="138" t="s">
        <v>2906</v>
      </c>
      <c r="B347" s="138" t="s">
        <v>2907</v>
      </c>
      <c r="C347" s="138" t="n">
        <v>499.8675</v>
      </c>
      <c r="D347" s="138" t="n">
        <v>512.8805</v>
      </c>
      <c r="E347" s="138" t="s">
        <v>2399</v>
      </c>
      <c r="F347" s="138" t="s">
        <v>2400</v>
      </c>
      <c r="G347" s="138" t="s">
        <v>59</v>
      </c>
      <c r="H347" s="141" t="n">
        <v>260.26</v>
      </c>
      <c r="I347" s="141"/>
      <c r="J347" s="141"/>
      <c r="K347" s="141"/>
      <c r="L347" s="141"/>
      <c r="M347" s="138" t="s">
        <v>2381</v>
      </c>
    </row>
    <row r="348" customFormat="false" ht="15" hidden="false" customHeight="false" outlineLevel="0" collapsed="false">
      <c r="A348" s="138" t="s">
        <v>2908</v>
      </c>
      <c r="B348" s="138" t="s">
        <v>2909</v>
      </c>
      <c r="C348" s="138" t="n">
        <v>500.237</v>
      </c>
      <c r="D348" s="138" t="n">
        <v>518.0445</v>
      </c>
      <c r="E348" s="138" t="s">
        <v>2399</v>
      </c>
      <c r="F348" s="138" t="s">
        <v>2400</v>
      </c>
      <c r="G348" s="138" t="s">
        <v>60</v>
      </c>
      <c r="H348" s="141" t="n">
        <v>356.15</v>
      </c>
      <c r="I348" s="141"/>
      <c r="J348" s="141"/>
      <c r="K348" s="141"/>
      <c r="L348" s="141"/>
      <c r="M348" s="138" t="s">
        <v>2381</v>
      </c>
    </row>
    <row r="349" customFormat="false" ht="15" hidden="false" customHeight="false" outlineLevel="0" collapsed="false">
      <c r="A349" s="138" t="s">
        <v>2910</v>
      </c>
      <c r="B349" s="138" t="s">
        <v>2911</v>
      </c>
      <c r="C349" s="138" t="n">
        <v>504.312</v>
      </c>
      <c r="D349" s="138" t="n">
        <v>507.4135</v>
      </c>
      <c r="E349" s="138" t="s">
        <v>2405</v>
      </c>
      <c r="F349" s="138" t="s">
        <v>2406</v>
      </c>
      <c r="G349" s="138" t="s">
        <v>59</v>
      </c>
      <c r="H349" s="141" t="n">
        <v>64</v>
      </c>
      <c r="I349" s="141"/>
      <c r="J349" s="141"/>
      <c r="K349" s="141"/>
      <c r="L349" s="141"/>
      <c r="M349" s="138" t="s">
        <v>2696</v>
      </c>
    </row>
    <row r="350" customFormat="false" ht="15" hidden="false" customHeight="false" outlineLevel="0" collapsed="false">
      <c r="A350" s="138" t="s">
        <v>2912</v>
      </c>
      <c r="B350" s="138" t="s">
        <v>2903</v>
      </c>
      <c r="C350" s="138" t="n">
        <v>508.8815</v>
      </c>
      <c r="D350" s="138" t="n">
        <v>509.1725</v>
      </c>
      <c r="E350" s="138" t="s">
        <v>2385</v>
      </c>
      <c r="F350" s="138" t="s">
        <v>2386</v>
      </c>
      <c r="G350" s="138" t="s">
        <v>59</v>
      </c>
      <c r="H350" s="141" t="n">
        <v>12</v>
      </c>
      <c r="I350" s="141"/>
      <c r="J350" s="141"/>
      <c r="K350" s="141"/>
      <c r="L350" s="141"/>
      <c r="M350" s="138" t="s">
        <v>2696</v>
      </c>
    </row>
    <row r="351" customFormat="false" ht="15" hidden="false" customHeight="false" outlineLevel="0" collapsed="false">
      <c r="A351" s="138" t="s">
        <v>2903</v>
      </c>
      <c r="B351" s="138" t="s">
        <v>2913</v>
      </c>
      <c r="C351" s="138" t="n">
        <v>509.1725</v>
      </c>
      <c r="D351" s="138" t="n">
        <v>509.9095</v>
      </c>
      <c r="E351" s="138" t="s">
        <v>2454</v>
      </c>
      <c r="F351" s="138" t="s">
        <v>2455</v>
      </c>
      <c r="G351" s="138" t="s">
        <v>59</v>
      </c>
      <c r="H351" s="141" t="n">
        <v>15</v>
      </c>
      <c r="I351" s="141"/>
      <c r="J351" s="141"/>
      <c r="K351" s="141"/>
      <c r="L351" s="141"/>
      <c r="M351" s="138" t="s">
        <v>2456</v>
      </c>
    </row>
    <row r="352" customFormat="false" ht="15" hidden="false" customHeight="false" outlineLevel="0" collapsed="false">
      <c r="A352" s="138" t="s">
        <v>2914</v>
      </c>
      <c r="B352" s="138" t="s">
        <v>2915</v>
      </c>
      <c r="C352" s="138" t="n">
        <v>509.3755</v>
      </c>
      <c r="D352" s="138" t="n">
        <v>510.1445</v>
      </c>
      <c r="E352" s="138" t="s">
        <v>2385</v>
      </c>
      <c r="F352" s="138" t="s">
        <v>2386</v>
      </c>
      <c r="G352" s="138" t="s">
        <v>59</v>
      </c>
      <c r="H352" s="141" t="n">
        <v>24</v>
      </c>
      <c r="I352" s="141"/>
      <c r="J352" s="141"/>
      <c r="K352" s="141"/>
      <c r="L352" s="141"/>
      <c r="M352" s="138" t="s">
        <v>2696</v>
      </c>
    </row>
    <row r="353" customFormat="false" ht="15" hidden="false" customHeight="false" outlineLevel="0" collapsed="false">
      <c r="A353" s="138" t="s">
        <v>2901</v>
      </c>
      <c r="B353" s="138" t="s">
        <v>2916</v>
      </c>
      <c r="C353" s="138" t="n">
        <v>509.754</v>
      </c>
      <c r="D353" s="138" t="n">
        <v>510.2105</v>
      </c>
      <c r="E353" s="138" t="s">
        <v>2454</v>
      </c>
      <c r="F353" s="138" t="s">
        <v>2455</v>
      </c>
      <c r="G353" s="138" t="s">
        <v>60</v>
      </c>
      <c r="H353" s="141" t="n">
        <v>9</v>
      </c>
      <c r="I353" s="141"/>
      <c r="J353" s="141"/>
      <c r="K353" s="141"/>
      <c r="L353" s="141"/>
      <c r="M353" s="138" t="s">
        <v>2456</v>
      </c>
    </row>
    <row r="354" customFormat="false" ht="15" hidden="false" customHeight="false" outlineLevel="0" collapsed="false">
      <c r="A354" s="138" t="s">
        <v>2913</v>
      </c>
      <c r="B354" s="138" t="s">
        <v>2917</v>
      </c>
      <c r="C354" s="138" t="n">
        <v>509.9095</v>
      </c>
      <c r="D354" s="138" t="n">
        <v>511.6775</v>
      </c>
      <c r="E354" s="138" t="s">
        <v>2385</v>
      </c>
      <c r="F354" s="138" t="s">
        <v>2386</v>
      </c>
      <c r="G354" s="138" t="s">
        <v>59</v>
      </c>
      <c r="H354" s="141" t="n">
        <v>36</v>
      </c>
      <c r="I354" s="141"/>
      <c r="J354" s="141"/>
      <c r="K354" s="141"/>
      <c r="L354" s="141"/>
      <c r="M354" s="138" t="s">
        <v>2696</v>
      </c>
    </row>
    <row r="355" customFormat="false" ht="15" hidden="false" customHeight="false" outlineLevel="0" collapsed="false">
      <c r="A355" s="138" t="s">
        <v>2916</v>
      </c>
      <c r="B355" s="138" t="s">
        <v>2918</v>
      </c>
      <c r="C355" s="138" t="n">
        <v>510.2105</v>
      </c>
      <c r="D355" s="138" t="n">
        <v>518.0685</v>
      </c>
      <c r="E355" s="138" t="s">
        <v>2604</v>
      </c>
      <c r="F355" s="138" t="s">
        <v>2386</v>
      </c>
      <c r="G355" s="138" t="s">
        <v>60</v>
      </c>
      <c r="H355" s="141" t="n">
        <v>156</v>
      </c>
      <c r="I355" s="141"/>
      <c r="J355" s="141"/>
      <c r="K355" s="141"/>
      <c r="L355" s="141"/>
      <c r="M355" s="138" t="s">
        <v>2696</v>
      </c>
    </row>
    <row r="356" customFormat="false" ht="15" hidden="false" customHeight="false" outlineLevel="0" collapsed="false">
      <c r="A356" s="138" t="s">
        <v>2919</v>
      </c>
      <c r="B356" s="138" t="s">
        <v>2920</v>
      </c>
      <c r="C356" s="138" t="n">
        <v>510.3425</v>
      </c>
      <c r="D356" s="138" t="n">
        <v>518.068</v>
      </c>
      <c r="E356" s="138" t="s">
        <v>2405</v>
      </c>
      <c r="F356" s="138" t="s">
        <v>2406</v>
      </c>
      <c r="G356" s="138" t="s">
        <v>60</v>
      </c>
      <c r="H356" s="141" t="n">
        <v>153</v>
      </c>
      <c r="I356" s="141"/>
      <c r="J356" s="141"/>
      <c r="K356" s="141"/>
      <c r="L356" s="141"/>
      <c r="M356" s="138" t="s">
        <v>2696</v>
      </c>
    </row>
    <row r="357" customFormat="false" ht="15" hidden="false" customHeight="false" outlineLevel="0" collapsed="false">
      <c r="A357" s="138" t="s">
        <v>2917</v>
      </c>
      <c r="B357" s="138" t="s">
        <v>2921</v>
      </c>
      <c r="C357" s="138" t="n">
        <v>511.6775</v>
      </c>
      <c r="D357" s="138" t="n">
        <v>511.9095</v>
      </c>
      <c r="E357" s="138" t="s">
        <v>2389</v>
      </c>
      <c r="F357" s="138" t="s">
        <v>2390</v>
      </c>
      <c r="G357" s="138" t="s">
        <v>59</v>
      </c>
      <c r="H357" s="141" t="n">
        <v>5</v>
      </c>
      <c r="I357" s="141"/>
      <c r="J357" s="141"/>
      <c r="K357" s="141"/>
      <c r="L357" s="141"/>
      <c r="M357" s="138" t="s">
        <v>2696</v>
      </c>
    </row>
    <row r="358" customFormat="false" ht="15" hidden="false" customHeight="false" outlineLevel="0" collapsed="false">
      <c r="A358" s="138" t="s">
        <v>2920</v>
      </c>
      <c r="B358" s="138" t="s">
        <v>2922</v>
      </c>
      <c r="C358" s="138" t="n">
        <v>518.068</v>
      </c>
      <c r="D358" s="138" t="n">
        <v>521.0505</v>
      </c>
      <c r="E358" s="138" t="s">
        <v>2405</v>
      </c>
      <c r="F358" s="138" t="s">
        <v>2406</v>
      </c>
      <c r="G358" s="138" t="s">
        <v>60</v>
      </c>
      <c r="H358" s="141" t="n">
        <v>60</v>
      </c>
      <c r="I358" s="141"/>
      <c r="J358" s="141"/>
      <c r="K358" s="141"/>
      <c r="L358" s="141"/>
      <c r="M358" s="138" t="s">
        <v>2696</v>
      </c>
    </row>
    <row r="359" customFormat="false" ht="15" hidden="false" customHeight="false" outlineLevel="0" collapsed="false">
      <c r="A359" s="138" t="s">
        <v>2918</v>
      </c>
      <c r="B359" s="138" t="s">
        <v>2923</v>
      </c>
      <c r="C359" s="138" t="n">
        <v>518.0685</v>
      </c>
      <c r="D359" s="138" t="n">
        <v>523.4185</v>
      </c>
      <c r="E359" s="138" t="s">
        <v>2385</v>
      </c>
      <c r="F359" s="138" t="s">
        <v>2386</v>
      </c>
      <c r="G359" s="138" t="s">
        <v>60</v>
      </c>
      <c r="H359" s="141" t="n">
        <v>107</v>
      </c>
      <c r="I359" s="141"/>
      <c r="J359" s="141"/>
      <c r="K359" s="141"/>
      <c r="L359" s="141"/>
      <c r="M359" s="138" t="s">
        <v>2696</v>
      </c>
    </row>
    <row r="360" customFormat="false" ht="15" hidden="false" customHeight="false" outlineLevel="0" collapsed="false">
      <c r="A360" s="138" t="s">
        <v>2924</v>
      </c>
      <c r="B360" s="138" t="s">
        <v>2925</v>
      </c>
      <c r="C360" s="138" t="n">
        <v>518.407</v>
      </c>
      <c r="D360" s="138" t="n">
        <v>525.852</v>
      </c>
      <c r="E360" s="138" t="s">
        <v>2399</v>
      </c>
      <c r="F360" s="138" t="s">
        <v>2400</v>
      </c>
      <c r="G360" s="138" t="s">
        <v>60</v>
      </c>
      <c r="H360" s="141" t="n">
        <v>148.9</v>
      </c>
      <c r="I360" s="141"/>
      <c r="J360" s="141"/>
      <c r="K360" s="141"/>
      <c r="L360" s="141"/>
      <c r="M360" s="138" t="s">
        <v>2381</v>
      </c>
    </row>
    <row r="361" customFormat="false" ht="15" hidden="false" customHeight="false" outlineLevel="0" collapsed="false">
      <c r="A361" s="138" t="s">
        <v>2926</v>
      </c>
      <c r="B361" s="138" t="s">
        <v>2927</v>
      </c>
      <c r="C361" s="138" t="n">
        <v>518.4215</v>
      </c>
      <c r="D361" s="138" t="n">
        <v>527.3505</v>
      </c>
      <c r="E361" s="138" t="s">
        <v>2399</v>
      </c>
      <c r="F361" s="138" t="s">
        <v>2400</v>
      </c>
      <c r="G361" s="138" t="s">
        <v>59</v>
      </c>
      <c r="H361" s="141" t="n">
        <v>178.58</v>
      </c>
      <c r="I361" s="141"/>
      <c r="J361" s="141"/>
      <c r="K361" s="141"/>
      <c r="L361" s="141"/>
      <c r="M361" s="138" t="s">
        <v>2381</v>
      </c>
    </row>
    <row r="362" customFormat="false" ht="15" hidden="false" customHeight="false" outlineLevel="0" collapsed="false">
      <c r="A362" s="138" t="s">
        <v>2928</v>
      </c>
      <c r="B362" s="138" t="s">
        <v>2929</v>
      </c>
      <c r="C362" s="138" t="n">
        <v>519.05</v>
      </c>
      <c r="D362" s="138" t="n">
        <v>527.3895</v>
      </c>
      <c r="E362" s="138" t="s">
        <v>2385</v>
      </c>
      <c r="F362" s="138" t="s">
        <v>2386</v>
      </c>
      <c r="G362" s="138" t="s">
        <v>59</v>
      </c>
      <c r="H362" s="141" t="n">
        <v>167</v>
      </c>
      <c r="I362" s="141"/>
      <c r="J362" s="141"/>
      <c r="K362" s="141"/>
      <c r="L362" s="141"/>
      <c r="M362" s="138" t="s">
        <v>2696</v>
      </c>
    </row>
    <row r="363" customFormat="false" ht="15" hidden="false" customHeight="false" outlineLevel="0" collapsed="false">
      <c r="A363" s="138" t="s">
        <v>2922</v>
      </c>
      <c r="B363" s="138" t="s">
        <v>2930</v>
      </c>
      <c r="C363" s="138" t="n">
        <v>521.0505</v>
      </c>
      <c r="D363" s="138" t="n">
        <v>523.3855</v>
      </c>
      <c r="E363" s="138" t="s">
        <v>2405</v>
      </c>
      <c r="F363" s="138" t="s">
        <v>2406</v>
      </c>
      <c r="G363" s="138" t="s">
        <v>60</v>
      </c>
      <c r="H363" s="141" t="n">
        <v>47</v>
      </c>
      <c r="I363" s="141"/>
      <c r="J363" s="141"/>
      <c r="K363" s="141"/>
      <c r="L363" s="141"/>
      <c r="M363" s="138" t="s">
        <v>2696</v>
      </c>
    </row>
    <row r="364" customFormat="false" ht="15" hidden="false" customHeight="false" outlineLevel="0" collapsed="false">
      <c r="A364" s="138" t="s">
        <v>2923</v>
      </c>
      <c r="B364" s="138" t="s">
        <v>2931</v>
      </c>
      <c r="C364" s="138" t="n">
        <v>523.4185</v>
      </c>
      <c r="D364" s="138" t="n">
        <v>524.2685</v>
      </c>
      <c r="E364" s="138" t="s">
        <v>2454</v>
      </c>
      <c r="F364" s="138" t="s">
        <v>2455</v>
      </c>
      <c r="G364" s="138" t="s">
        <v>60</v>
      </c>
      <c r="H364" s="141" t="n">
        <v>17</v>
      </c>
      <c r="I364" s="141"/>
      <c r="J364" s="141"/>
      <c r="K364" s="141"/>
      <c r="L364" s="141"/>
      <c r="M364" s="138" t="s">
        <v>2456</v>
      </c>
    </row>
    <row r="365" customFormat="false" ht="15" hidden="false" customHeight="false" outlineLevel="0" collapsed="false">
      <c r="A365" s="138" t="s">
        <v>2932</v>
      </c>
      <c r="B365" s="138" t="s">
        <v>2933</v>
      </c>
      <c r="C365" s="138" t="n">
        <v>523.551</v>
      </c>
      <c r="D365" s="138" t="n">
        <v>527.376</v>
      </c>
      <c r="E365" s="138" t="s">
        <v>2405</v>
      </c>
      <c r="F365" s="138" t="s">
        <v>2406</v>
      </c>
      <c r="G365" s="138" t="s">
        <v>59</v>
      </c>
      <c r="H365" s="141" t="n">
        <v>77</v>
      </c>
      <c r="I365" s="141"/>
      <c r="J365" s="141"/>
      <c r="K365" s="141"/>
      <c r="L365" s="141"/>
      <c r="M365" s="138" t="s">
        <v>2696</v>
      </c>
    </row>
    <row r="366" customFormat="false" ht="15" hidden="false" customHeight="false" outlineLevel="0" collapsed="false">
      <c r="A366" s="138" t="s">
        <v>2931</v>
      </c>
      <c r="B366" s="138" t="s">
        <v>2934</v>
      </c>
      <c r="C366" s="138" t="n">
        <v>524.2685</v>
      </c>
      <c r="D366" s="138" t="n">
        <v>524.8685</v>
      </c>
      <c r="E366" s="138" t="s">
        <v>2385</v>
      </c>
      <c r="F366" s="138" t="s">
        <v>2386</v>
      </c>
      <c r="G366" s="138" t="s">
        <v>60</v>
      </c>
      <c r="H366" s="141" t="n">
        <v>12</v>
      </c>
      <c r="I366" s="141"/>
      <c r="J366" s="141"/>
      <c r="K366" s="141"/>
      <c r="L366" s="141"/>
      <c r="M366" s="138" t="s">
        <v>2696</v>
      </c>
    </row>
    <row r="367" customFormat="false" ht="15" hidden="false" customHeight="false" outlineLevel="0" collapsed="false">
      <c r="A367" s="138" t="s">
        <v>2934</v>
      </c>
      <c r="B367" s="138" t="s">
        <v>2935</v>
      </c>
      <c r="C367" s="138" t="n">
        <v>524.8685</v>
      </c>
      <c r="D367" s="138" t="n">
        <v>526.1895</v>
      </c>
      <c r="E367" s="138" t="s">
        <v>2462</v>
      </c>
      <c r="F367" s="138" t="s">
        <v>2396</v>
      </c>
      <c r="G367" s="138" t="s">
        <v>60</v>
      </c>
      <c r="H367" s="141" t="n">
        <v>29</v>
      </c>
      <c r="I367" s="141"/>
      <c r="J367" s="141"/>
      <c r="K367" s="141"/>
      <c r="L367" s="141"/>
      <c r="M367" s="138" t="s">
        <v>2696</v>
      </c>
    </row>
    <row r="368" customFormat="false" ht="15" hidden="false" customHeight="false" outlineLevel="0" collapsed="false">
      <c r="A368" s="138" t="s">
        <v>2933</v>
      </c>
      <c r="B368" s="138" t="s">
        <v>2936</v>
      </c>
      <c r="C368" s="138" t="n">
        <v>527.376</v>
      </c>
      <c r="D368" s="138" t="n">
        <v>531.3115</v>
      </c>
      <c r="E368" s="138" t="s">
        <v>2405</v>
      </c>
      <c r="F368" s="138" t="s">
        <v>2406</v>
      </c>
      <c r="G368" s="138" t="s">
        <v>59</v>
      </c>
      <c r="H368" s="141" t="n">
        <v>79</v>
      </c>
      <c r="I368" s="141"/>
      <c r="J368" s="141"/>
      <c r="K368" s="141"/>
      <c r="L368" s="141"/>
      <c r="M368" s="138" t="s">
        <v>2696</v>
      </c>
    </row>
    <row r="369" customFormat="false" ht="15" hidden="false" customHeight="false" outlineLevel="0" collapsed="false">
      <c r="A369" s="138" t="s">
        <v>2929</v>
      </c>
      <c r="B369" s="138" t="s">
        <v>2937</v>
      </c>
      <c r="C369" s="138" t="n">
        <v>527.3895</v>
      </c>
      <c r="D369" s="138" t="n">
        <v>531.0865</v>
      </c>
      <c r="E369" s="138" t="s">
        <v>2385</v>
      </c>
      <c r="F369" s="138" t="s">
        <v>2386</v>
      </c>
      <c r="G369" s="138" t="s">
        <v>59</v>
      </c>
      <c r="H369" s="141" t="n">
        <v>74</v>
      </c>
      <c r="I369" s="141"/>
      <c r="J369" s="141"/>
      <c r="K369" s="141"/>
      <c r="L369" s="141"/>
      <c r="M369" s="138" t="s">
        <v>2696</v>
      </c>
    </row>
    <row r="370" customFormat="false" ht="15" hidden="false" customHeight="false" outlineLevel="0" collapsed="false">
      <c r="A370" s="138" t="s">
        <v>2938</v>
      </c>
      <c r="B370" s="138" t="s">
        <v>2939</v>
      </c>
      <c r="C370" s="138" t="n">
        <v>527.4305</v>
      </c>
      <c r="D370" s="138" t="n">
        <v>531.049</v>
      </c>
      <c r="E370" s="138" t="s">
        <v>2399</v>
      </c>
      <c r="F370" s="138" t="s">
        <v>2400</v>
      </c>
      <c r="G370" s="138" t="s">
        <v>59</v>
      </c>
      <c r="H370" s="141" t="n">
        <v>72.37</v>
      </c>
      <c r="I370" s="141"/>
      <c r="J370" s="141"/>
      <c r="K370" s="141"/>
      <c r="L370" s="141"/>
      <c r="M370" s="138" t="s">
        <v>2381</v>
      </c>
    </row>
    <row r="371" customFormat="false" ht="15" hidden="false" customHeight="false" outlineLevel="0" collapsed="false">
      <c r="A371" s="138" t="s">
        <v>2940</v>
      </c>
      <c r="B371" s="138" t="s">
        <v>2941</v>
      </c>
      <c r="C371" s="138" t="n">
        <v>529.507</v>
      </c>
      <c r="D371" s="138" t="n">
        <v>529.641</v>
      </c>
      <c r="E371" s="138" t="s">
        <v>2389</v>
      </c>
      <c r="F371" s="138" t="s">
        <v>2390</v>
      </c>
      <c r="G371" s="138" t="s">
        <v>60</v>
      </c>
      <c r="H371" s="141" t="n">
        <v>3</v>
      </c>
      <c r="I371" s="141"/>
      <c r="J371" s="141"/>
      <c r="K371" s="141"/>
      <c r="L371" s="141"/>
      <c r="M371" s="138" t="s">
        <v>2696</v>
      </c>
    </row>
    <row r="372" customFormat="false" ht="15" hidden="false" customHeight="false" outlineLevel="0" collapsed="false">
      <c r="A372" s="138" t="s">
        <v>2941</v>
      </c>
      <c r="B372" s="138" t="s">
        <v>2942</v>
      </c>
      <c r="C372" s="138" t="n">
        <v>529.641</v>
      </c>
      <c r="D372" s="138" t="n">
        <v>531.091</v>
      </c>
      <c r="E372" s="138" t="s">
        <v>2385</v>
      </c>
      <c r="F372" s="138" t="s">
        <v>2386</v>
      </c>
      <c r="G372" s="138" t="s">
        <v>60</v>
      </c>
      <c r="H372" s="141" t="n">
        <v>29</v>
      </c>
      <c r="I372" s="141"/>
      <c r="J372" s="141"/>
      <c r="K372" s="141"/>
      <c r="L372" s="141"/>
      <c r="M372" s="138" t="s">
        <v>2696</v>
      </c>
    </row>
    <row r="373" customFormat="false" ht="15" hidden="false" customHeight="false" outlineLevel="0" collapsed="false">
      <c r="A373" s="138" t="s">
        <v>2939</v>
      </c>
      <c r="B373" s="138" t="s">
        <v>2943</v>
      </c>
      <c r="C373" s="138" t="n">
        <v>531.049</v>
      </c>
      <c r="D373" s="138" t="n">
        <v>558.444</v>
      </c>
      <c r="E373" s="138" t="s">
        <v>2399</v>
      </c>
      <c r="F373" s="138" t="s">
        <v>2400</v>
      </c>
      <c r="G373" s="138" t="s">
        <v>59</v>
      </c>
      <c r="H373" s="141" t="n">
        <v>547.9</v>
      </c>
      <c r="I373" s="141"/>
      <c r="J373" s="141"/>
      <c r="K373" s="141"/>
      <c r="L373" s="141"/>
      <c r="M373" s="138" t="s">
        <v>2381</v>
      </c>
    </row>
    <row r="374" customFormat="false" ht="15" hidden="false" customHeight="false" outlineLevel="0" collapsed="false">
      <c r="A374" s="138" t="s">
        <v>2937</v>
      </c>
      <c r="B374" s="138" t="s">
        <v>2944</v>
      </c>
      <c r="C374" s="138" t="n">
        <v>531.0865</v>
      </c>
      <c r="D374" s="138" t="n">
        <v>536.8315</v>
      </c>
      <c r="E374" s="138" t="s">
        <v>2385</v>
      </c>
      <c r="F374" s="138" t="s">
        <v>2386</v>
      </c>
      <c r="G374" s="138" t="s">
        <v>59</v>
      </c>
      <c r="H374" s="141" t="n">
        <v>115</v>
      </c>
      <c r="I374" s="141"/>
      <c r="J374" s="141"/>
      <c r="K374" s="141"/>
      <c r="L374" s="141"/>
      <c r="M374" s="138" t="s">
        <v>2696</v>
      </c>
    </row>
    <row r="375" customFormat="false" ht="15" hidden="false" customHeight="false" outlineLevel="0" collapsed="false">
      <c r="A375" s="138" t="s">
        <v>2942</v>
      </c>
      <c r="B375" s="138" t="s">
        <v>2945</v>
      </c>
      <c r="C375" s="138" t="n">
        <v>531.091</v>
      </c>
      <c r="D375" s="138" t="n">
        <v>554.0815</v>
      </c>
      <c r="E375" s="138" t="s">
        <v>2385</v>
      </c>
      <c r="F375" s="138" t="s">
        <v>2386</v>
      </c>
      <c r="G375" s="138" t="s">
        <v>60</v>
      </c>
      <c r="H375" s="141" t="n">
        <v>460</v>
      </c>
      <c r="I375" s="141"/>
      <c r="J375" s="141"/>
      <c r="K375" s="141"/>
      <c r="L375" s="141"/>
      <c r="M375" s="138" t="s">
        <v>2696</v>
      </c>
    </row>
    <row r="376" customFormat="false" ht="15" hidden="false" customHeight="false" outlineLevel="0" collapsed="false">
      <c r="A376" s="138" t="s">
        <v>2936</v>
      </c>
      <c r="B376" s="138" t="s">
        <v>2946</v>
      </c>
      <c r="C376" s="138" t="n">
        <v>531.3115</v>
      </c>
      <c r="D376" s="138" t="n">
        <v>536.602</v>
      </c>
      <c r="E376" s="138" t="s">
        <v>2405</v>
      </c>
      <c r="F376" s="138" t="s">
        <v>2406</v>
      </c>
      <c r="G376" s="138" t="s">
        <v>59</v>
      </c>
      <c r="H376" s="141" t="n">
        <v>106</v>
      </c>
      <c r="I376" s="141"/>
      <c r="J376" s="141"/>
      <c r="K376" s="141"/>
      <c r="L376" s="141"/>
      <c r="M376" s="138" t="s">
        <v>2696</v>
      </c>
    </row>
    <row r="377" customFormat="false" ht="15" hidden="false" customHeight="false" outlineLevel="0" collapsed="false">
      <c r="A377" s="138" t="s">
        <v>2947</v>
      </c>
      <c r="B377" s="138" t="s">
        <v>2948</v>
      </c>
      <c r="C377" s="138" t="n">
        <v>536.2405</v>
      </c>
      <c r="D377" s="138" t="n">
        <v>558.713</v>
      </c>
      <c r="E377" s="138" t="s">
        <v>2399</v>
      </c>
      <c r="F377" s="138" t="s">
        <v>2400</v>
      </c>
      <c r="G377" s="138" t="s">
        <v>60</v>
      </c>
      <c r="H377" s="141" t="n">
        <v>449.45</v>
      </c>
      <c r="I377" s="141"/>
      <c r="J377" s="141"/>
      <c r="K377" s="141"/>
      <c r="L377" s="141"/>
      <c r="M377" s="138" t="s">
        <v>2381</v>
      </c>
    </row>
    <row r="378" customFormat="false" ht="15" hidden="false" customHeight="false" outlineLevel="0" collapsed="false">
      <c r="A378" s="138" t="s">
        <v>2944</v>
      </c>
      <c r="B378" s="138" t="s">
        <v>2949</v>
      </c>
      <c r="C378" s="138" t="n">
        <v>536.8315</v>
      </c>
      <c r="D378" s="138" t="n">
        <v>537.4815</v>
      </c>
      <c r="E378" s="138" t="s">
        <v>2454</v>
      </c>
      <c r="F378" s="138" t="s">
        <v>2455</v>
      </c>
      <c r="G378" s="138" t="s">
        <v>59</v>
      </c>
      <c r="H378" s="141" t="n">
        <v>13</v>
      </c>
      <c r="I378" s="141"/>
      <c r="J378" s="141"/>
      <c r="K378" s="141"/>
      <c r="L378" s="141"/>
      <c r="M378" s="138" t="s">
        <v>2456</v>
      </c>
    </row>
    <row r="379" customFormat="false" ht="15" hidden="false" customHeight="false" outlineLevel="0" collapsed="false">
      <c r="A379" s="138" t="s">
        <v>2950</v>
      </c>
      <c r="B379" s="138" t="s">
        <v>2951</v>
      </c>
      <c r="C379" s="138" t="n">
        <v>537.1485</v>
      </c>
      <c r="D379" s="138" t="n">
        <v>544.237</v>
      </c>
      <c r="E379" s="138" t="s">
        <v>2405</v>
      </c>
      <c r="F379" s="138" t="s">
        <v>2406</v>
      </c>
      <c r="G379" s="138" t="s">
        <v>60</v>
      </c>
      <c r="H379" s="141" t="n">
        <v>142</v>
      </c>
      <c r="I379" s="141"/>
      <c r="J379" s="141"/>
      <c r="K379" s="141"/>
      <c r="L379" s="141"/>
      <c r="M379" s="138" t="s">
        <v>2696</v>
      </c>
    </row>
    <row r="380" customFormat="false" ht="15" hidden="false" customHeight="false" outlineLevel="0" collapsed="false">
      <c r="A380" s="138" t="s">
        <v>2949</v>
      </c>
      <c r="B380" s="138" t="s">
        <v>2952</v>
      </c>
      <c r="C380" s="138" t="n">
        <v>537.4815</v>
      </c>
      <c r="D380" s="138" t="n">
        <v>556.437</v>
      </c>
      <c r="E380" s="138" t="s">
        <v>2385</v>
      </c>
      <c r="F380" s="138" t="s">
        <v>2386</v>
      </c>
      <c r="G380" s="138" t="s">
        <v>59</v>
      </c>
      <c r="H380" s="141" t="n">
        <v>379</v>
      </c>
      <c r="I380" s="141"/>
      <c r="J380" s="141"/>
      <c r="K380" s="141"/>
      <c r="L380" s="141"/>
      <c r="M380" s="138" t="s">
        <v>2696</v>
      </c>
    </row>
    <row r="381" customFormat="false" ht="15" hidden="false" customHeight="false" outlineLevel="0" collapsed="false">
      <c r="A381" s="138" t="s">
        <v>2951</v>
      </c>
      <c r="B381" s="138" t="s">
        <v>2953</v>
      </c>
      <c r="C381" s="138" t="n">
        <v>544.237</v>
      </c>
      <c r="D381" s="138" t="n">
        <v>544.6245</v>
      </c>
      <c r="E381" s="138" t="s">
        <v>2405</v>
      </c>
      <c r="F381" s="138" t="s">
        <v>2406</v>
      </c>
      <c r="G381" s="138" t="s">
        <v>60</v>
      </c>
      <c r="H381" s="141" t="n">
        <v>8</v>
      </c>
      <c r="I381" s="141"/>
      <c r="J381" s="141"/>
      <c r="K381" s="141"/>
      <c r="L381" s="141"/>
      <c r="M381" s="138" t="s">
        <v>2696</v>
      </c>
    </row>
    <row r="382" customFormat="false" ht="15" hidden="false" customHeight="false" outlineLevel="0" collapsed="false">
      <c r="A382" s="138" t="s">
        <v>2953</v>
      </c>
      <c r="B382" s="138" t="s">
        <v>2954</v>
      </c>
      <c r="C382" s="138" t="n">
        <v>544.6245</v>
      </c>
      <c r="D382" s="138" t="n">
        <v>554.074</v>
      </c>
      <c r="E382" s="138" t="s">
        <v>2405</v>
      </c>
      <c r="F382" s="138" t="s">
        <v>2406</v>
      </c>
      <c r="G382" s="138" t="s">
        <v>60</v>
      </c>
      <c r="H382" s="141" t="n">
        <v>190</v>
      </c>
      <c r="I382" s="141"/>
      <c r="J382" s="141"/>
      <c r="K382" s="141"/>
      <c r="L382" s="141"/>
      <c r="M382" s="138" t="s">
        <v>2696</v>
      </c>
    </row>
    <row r="383" customFormat="false" ht="15" hidden="false" customHeight="false" outlineLevel="0" collapsed="false">
      <c r="A383" s="138" t="s">
        <v>2954</v>
      </c>
      <c r="B383" s="138" t="s">
        <v>2955</v>
      </c>
      <c r="C383" s="138" t="n">
        <v>554.074</v>
      </c>
      <c r="D383" s="138" t="n">
        <v>555.084</v>
      </c>
      <c r="E383" s="138" t="s">
        <v>2405</v>
      </c>
      <c r="F383" s="138" t="s">
        <v>2406</v>
      </c>
      <c r="G383" s="138" t="s">
        <v>60</v>
      </c>
      <c r="H383" s="141" t="n">
        <v>21</v>
      </c>
      <c r="I383" s="141"/>
      <c r="J383" s="141"/>
      <c r="K383" s="141"/>
      <c r="L383" s="141"/>
      <c r="M383" s="138" t="s">
        <v>2696</v>
      </c>
    </row>
    <row r="384" customFormat="false" ht="15" hidden="false" customHeight="false" outlineLevel="0" collapsed="false">
      <c r="A384" s="138" t="s">
        <v>2945</v>
      </c>
      <c r="B384" s="138" t="s">
        <v>2956</v>
      </c>
      <c r="C384" s="138" t="n">
        <v>554.0815</v>
      </c>
      <c r="D384" s="138" t="n">
        <v>557.3315</v>
      </c>
      <c r="E384" s="138" t="s">
        <v>2604</v>
      </c>
      <c r="F384" s="138" t="s">
        <v>2386</v>
      </c>
      <c r="G384" s="138" t="s">
        <v>60</v>
      </c>
      <c r="H384" s="141" t="n">
        <v>65</v>
      </c>
      <c r="I384" s="141"/>
      <c r="J384" s="141"/>
      <c r="K384" s="141"/>
      <c r="L384" s="141"/>
      <c r="M384" s="138" t="s">
        <v>2696</v>
      </c>
    </row>
    <row r="385" customFormat="false" ht="15" hidden="false" customHeight="false" outlineLevel="0" collapsed="false">
      <c r="A385" s="138" t="s">
        <v>2955</v>
      </c>
      <c r="B385" s="138" t="s">
        <v>2957</v>
      </c>
      <c r="C385" s="138" t="n">
        <v>555.084</v>
      </c>
      <c r="D385" s="138" t="n">
        <v>557.5355</v>
      </c>
      <c r="E385" s="138" t="s">
        <v>2405</v>
      </c>
      <c r="F385" s="138" t="s">
        <v>2406</v>
      </c>
      <c r="G385" s="138" t="s">
        <v>60</v>
      </c>
      <c r="H385" s="141" t="n">
        <v>50</v>
      </c>
      <c r="I385" s="141"/>
      <c r="J385" s="141"/>
      <c r="K385" s="141"/>
      <c r="L385" s="141"/>
      <c r="M385" s="138" t="s">
        <v>2696</v>
      </c>
    </row>
    <row r="386" customFormat="false" ht="15" hidden="false" customHeight="false" outlineLevel="0" collapsed="false">
      <c r="A386" s="138" t="s">
        <v>2952</v>
      </c>
      <c r="B386" s="138" t="s">
        <v>2958</v>
      </c>
      <c r="C386" s="138" t="n">
        <v>556.437</v>
      </c>
      <c r="D386" s="138" t="n">
        <v>560.5835</v>
      </c>
      <c r="E386" s="138" t="s">
        <v>2395</v>
      </c>
      <c r="F386" s="138" t="s">
        <v>2396</v>
      </c>
      <c r="G386" s="138" t="s">
        <v>59</v>
      </c>
      <c r="H386" s="141" t="n">
        <v>83</v>
      </c>
      <c r="I386" s="141"/>
      <c r="J386" s="141"/>
      <c r="K386" s="141"/>
      <c r="L386" s="141"/>
      <c r="M386" s="138" t="s">
        <v>2696</v>
      </c>
    </row>
    <row r="387" customFormat="false" ht="15" hidden="false" customHeight="false" outlineLevel="0" collapsed="false">
      <c r="A387" s="138" t="s">
        <v>2956</v>
      </c>
      <c r="B387" s="138" t="s">
        <v>2959</v>
      </c>
      <c r="C387" s="138" t="n">
        <v>557.3315</v>
      </c>
      <c r="D387" s="138" t="n">
        <v>560.4145</v>
      </c>
      <c r="E387" s="138" t="s">
        <v>2462</v>
      </c>
      <c r="F387" s="138" t="s">
        <v>2396</v>
      </c>
      <c r="G387" s="138" t="s">
        <v>60</v>
      </c>
      <c r="H387" s="141" t="n">
        <v>62</v>
      </c>
      <c r="I387" s="141"/>
      <c r="J387" s="141"/>
      <c r="K387" s="141"/>
      <c r="L387" s="141"/>
      <c r="M387" s="138" t="s">
        <v>2696</v>
      </c>
    </row>
    <row r="388" customFormat="false" ht="15" hidden="false" customHeight="false" outlineLevel="0" collapsed="false">
      <c r="A388" s="138" t="s">
        <v>2959</v>
      </c>
      <c r="B388" s="138" t="s">
        <v>2960</v>
      </c>
      <c r="C388" s="138" t="n">
        <v>560.4145</v>
      </c>
      <c r="D388" s="138" t="n">
        <v>560.879</v>
      </c>
      <c r="E388" s="138" t="s">
        <v>2395</v>
      </c>
      <c r="F388" s="138" t="s">
        <v>2396</v>
      </c>
      <c r="G388" s="138" t="s">
        <v>60</v>
      </c>
      <c r="H388" s="141" t="n">
        <v>14</v>
      </c>
      <c r="I388" s="141"/>
      <c r="J388" s="141"/>
      <c r="K388" s="141"/>
      <c r="L388" s="141"/>
      <c r="M388" s="138" t="s">
        <v>2696</v>
      </c>
    </row>
    <row r="389" customFormat="false" ht="15" hidden="false" customHeight="false" outlineLevel="0" collapsed="false">
      <c r="A389" s="138" t="s">
        <v>2961</v>
      </c>
      <c r="B389" s="138" t="s">
        <v>2236</v>
      </c>
      <c r="C389" s="138" t="n">
        <v>561.744</v>
      </c>
      <c r="D389" s="138" t="n">
        <v>564</v>
      </c>
      <c r="E389" s="138" t="s">
        <v>2379</v>
      </c>
      <c r="F389" s="138" t="s">
        <v>2380</v>
      </c>
      <c r="G389" s="138" t="s">
        <v>60</v>
      </c>
      <c r="H389" s="141" t="n">
        <v>45.12</v>
      </c>
      <c r="I389" s="141"/>
      <c r="J389" s="141"/>
      <c r="K389" s="141"/>
      <c r="L389" s="141"/>
      <c r="M389" s="138" t="s">
        <v>2381</v>
      </c>
    </row>
    <row r="390" customFormat="false" ht="15" hidden="false" customHeight="false" outlineLevel="0" collapsed="false">
      <c r="A390" s="138" t="s">
        <v>2962</v>
      </c>
      <c r="B390" s="138" t="s">
        <v>2963</v>
      </c>
      <c r="C390" s="138" t="n">
        <v>561.755</v>
      </c>
      <c r="D390" s="138" t="n">
        <v>564.068</v>
      </c>
      <c r="E390" s="138" t="s">
        <v>2379</v>
      </c>
      <c r="F390" s="138" t="s">
        <v>2380</v>
      </c>
      <c r="G390" s="138" t="s">
        <v>59</v>
      </c>
      <c r="H390" s="141" t="n">
        <v>46.26</v>
      </c>
      <c r="I390" s="141"/>
      <c r="J390" s="141"/>
      <c r="K390" s="141"/>
      <c r="L390" s="141"/>
      <c r="M390" s="138" t="s">
        <v>2381</v>
      </c>
    </row>
    <row r="391" customFormat="false" ht="15" hidden="false" customHeight="false" outlineLevel="0" collapsed="false">
      <c r="A391" s="138" t="s">
        <v>2964</v>
      </c>
      <c r="B391" s="138" t="s">
        <v>2965</v>
      </c>
      <c r="C391" s="138" t="n">
        <v>564.218</v>
      </c>
      <c r="D391" s="138" t="n">
        <v>568.268</v>
      </c>
      <c r="E391" s="138" t="s">
        <v>2433</v>
      </c>
      <c r="F391" s="138" t="s">
        <v>2434</v>
      </c>
      <c r="G391" s="138" t="s">
        <v>59</v>
      </c>
      <c r="H391" s="141" t="n">
        <v>81</v>
      </c>
      <c r="I391" s="141"/>
      <c r="J391" s="141"/>
      <c r="K391" s="141"/>
      <c r="L391" s="141"/>
      <c r="M391" s="138" t="s">
        <v>2696</v>
      </c>
    </row>
    <row r="392" customFormat="false" ht="15" hidden="false" customHeight="false" outlineLevel="0" collapsed="false">
      <c r="A392" s="138" t="s">
        <v>2966</v>
      </c>
      <c r="B392" s="138" t="s">
        <v>2967</v>
      </c>
      <c r="C392" s="138" t="n">
        <v>568.9265</v>
      </c>
      <c r="D392" s="138" t="n">
        <v>571.7855</v>
      </c>
      <c r="E392" s="138" t="s">
        <v>2395</v>
      </c>
      <c r="F392" s="138" t="s">
        <v>2396</v>
      </c>
      <c r="G392" s="138" t="s">
        <v>59</v>
      </c>
      <c r="H392" s="141" t="n">
        <v>59</v>
      </c>
      <c r="I392" s="141"/>
      <c r="J392" s="141"/>
      <c r="K392" s="141"/>
      <c r="L392" s="141"/>
      <c r="M392" s="138" t="s">
        <v>2696</v>
      </c>
    </row>
    <row r="393" customFormat="false" ht="15" hidden="false" customHeight="false" outlineLevel="0" collapsed="false">
      <c r="A393" s="138" t="s">
        <v>2968</v>
      </c>
      <c r="B393" s="138" t="s">
        <v>2969</v>
      </c>
      <c r="C393" s="138" t="n">
        <v>569.8475</v>
      </c>
      <c r="D393" s="138" t="n">
        <v>571.917</v>
      </c>
      <c r="E393" s="138" t="s">
        <v>2395</v>
      </c>
      <c r="F393" s="138" t="s">
        <v>2396</v>
      </c>
      <c r="G393" s="138" t="s">
        <v>60</v>
      </c>
      <c r="H393" s="141" t="n">
        <v>42</v>
      </c>
      <c r="I393" s="141"/>
      <c r="J393" s="141"/>
      <c r="K393" s="141"/>
      <c r="L393" s="141"/>
      <c r="M393" s="138" t="s">
        <v>2696</v>
      </c>
    </row>
    <row r="394" customFormat="false" ht="15" hidden="false" customHeight="false" outlineLevel="0" collapsed="false">
      <c r="A394" s="138" t="s">
        <v>2967</v>
      </c>
      <c r="B394" s="138" t="s">
        <v>2970</v>
      </c>
      <c r="C394" s="138" t="n">
        <v>571.7855</v>
      </c>
      <c r="D394" s="138" t="n">
        <v>572.385</v>
      </c>
      <c r="E394" s="138" t="s">
        <v>2454</v>
      </c>
      <c r="F394" s="138" t="s">
        <v>2455</v>
      </c>
      <c r="G394" s="138" t="s">
        <v>59</v>
      </c>
      <c r="H394" s="141" t="n">
        <v>12</v>
      </c>
      <c r="I394" s="141"/>
      <c r="J394" s="141"/>
      <c r="K394" s="141"/>
      <c r="L394" s="141"/>
      <c r="M394" s="138" t="s">
        <v>2456</v>
      </c>
    </row>
    <row r="395" customFormat="false" ht="15" hidden="false" customHeight="false" outlineLevel="0" collapsed="false">
      <c r="A395" s="138" t="s">
        <v>2970</v>
      </c>
      <c r="B395" s="138" t="s">
        <v>2971</v>
      </c>
      <c r="C395" s="138" t="n">
        <v>572.385</v>
      </c>
      <c r="D395" s="138" t="n">
        <v>573.185</v>
      </c>
      <c r="E395" s="138" t="s">
        <v>2395</v>
      </c>
      <c r="F395" s="138" t="s">
        <v>2396</v>
      </c>
      <c r="G395" s="138" t="s">
        <v>59</v>
      </c>
      <c r="H395" s="141" t="n">
        <v>16</v>
      </c>
      <c r="I395" s="141"/>
      <c r="J395" s="141"/>
      <c r="K395" s="141"/>
      <c r="L395" s="141"/>
      <c r="M395" s="138" t="s">
        <v>2696</v>
      </c>
    </row>
    <row r="396" customFormat="false" ht="15" hidden="false" customHeight="false" outlineLevel="0" collapsed="false">
      <c r="A396" s="138" t="s">
        <v>2972</v>
      </c>
      <c r="B396" s="138" t="s">
        <v>2973</v>
      </c>
      <c r="C396" s="138" t="n">
        <v>576.244</v>
      </c>
      <c r="D396" s="138" t="n">
        <v>579.608</v>
      </c>
      <c r="E396" s="138" t="s">
        <v>2379</v>
      </c>
      <c r="F396" s="138" t="s">
        <v>2380</v>
      </c>
      <c r="G396" s="138" t="s">
        <v>59</v>
      </c>
      <c r="H396" s="141" t="n">
        <v>67.28</v>
      </c>
      <c r="I396" s="141"/>
      <c r="J396" s="141"/>
      <c r="K396" s="141"/>
      <c r="L396" s="141"/>
      <c r="M396" s="138" t="s">
        <v>2381</v>
      </c>
    </row>
    <row r="397" customFormat="false" ht="15" hidden="false" customHeight="false" outlineLevel="0" collapsed="false">
      <c r="A397" s="138" t="s">
        <v>2974</v>
      </c>
      <c r="B397" s="138" t="s">
        <v>2975</v>
      </c>
      <c r="C397" s="138" t="n">
        <v>576.247</v>
      </c>
      <c r="D397" s="138" t="n">
        <v>579.6085</v>
      </c>
      <c r="E397" s="138" t="s">
        <v>2379</v>
      </c>
      <c r="F397" s="138" t="s">
        <v>2380</v>
      </c>
      <c r="G397" s="138" t="s">
        <v>60</v>
      </c>
      <c r="H397" s="141" t="n">
        <v>67.23</v>
      </c>
      <c r="I397" s="141"/>
      <c r="J397" s="141"/>
      <c r="K397" s="141"/>
      <c r="L397" s="141"/>
      <c r="M397" s="138" t="s">
        <v>2381</v>
      </c>
    </row>
    <row r="398" customFormat="false" ht="15" hidden="false" customHeight="false" outlineLevel="0" collapsed="false">
      <c r="A398" s="138" t="s">
        <v>2976</v>
      </c>
      <c r="B398" s="138" t="s">
        <v>2977</v>
      </c>
      <c r="C398" s="138" t="n">
        <v>580.208</v>
      </c>
      <c r="D398" s="138" t="n">
        <v>581.697</v>
      </c>
      <c r="E398" s="138" t="s">
        <v>2462</v>
      </c>
      <c r="F398" s="138" t="s">
        <v>2396</v>
      </c>
      <c r="G398" s="138" t="s">
        <v>59</v>
      </c>
      <c r="H398" s="141" t="n">
        <v>31</v>
      </c>
      <c r="I398" s="141"/>
      <c r="J398" s="141"/>
      <c r="K398" s="141"/>
      <c r="L398" s="141"/>
      <c r="M398" s="138" t="s">
        <v>2696</v>
      </c>
    </row>
    <row r="399" customFormat="false" ht="15" hidden="false" customHeight="false" outlineLevel="0" collapsed="false">
      <c r="A399" s="138" t="s">
        <v>2977</v>
      </c>
      <c r="B399" s="138" t="s">
        <v>2978</v>
      </c>
      <c r="C399" s="138" t="n">
        <v>581.697</v>
      </c>
      <c r="D399" s="138" t="n">
        <v>582.3955</v>
      </c>
      <c r="E399" s="138" t="s">
        <v>2454</v>
      </c>
      <c r="F399" s="138" t="s">
        <v>2455</v>
      </c>
      <c r="G399" s="138" t="s">
        <v>59</v>
      </c>
      <c r="H399" s="141" t="n">
        <v>14</v>
      </c>
      <c r="I399" s="141"/>
      <c r="J399" s="141"/>
      <c r="K399" s="141"/>
      <c r="L399" s="141"/>
      <c r="M399" s="138" t="s">
        <v>2456</v>
      </c>
    </row>
    <row r="400" customFormat="false" ht="15" hidden="false" customHeight="false" outlineLevel="0" collapsed="false">
      <c r="A400" s="138" t="s">
        <v>2978</v>
      </c>
      <c r="B400" s="138" t="s">
        <v>2979</v>
      </c>
      <c r="C400" s="138" t="n">
        <v>582.3955</v>
      </c>
      <c r="D400" s="138" t="n">
        <v>584.643</v>
      </c>
      <c r="E400" s="138" t="s">
        <v>2395</v>
      </c>
      <c r="F400" s="138" t="s">
        <v>2396</v>
      </c>
      <c r="G400" s="138" t="s">
        <v>59</v>
      </c>
      <c r="H400" s="141" t="n">
        <v>45</v>
      </c>
      <c r="I400" s="141"/>
      <c r="J400" s="141"/>
      <c r="K400" s="141"/>
      <c r="L400" s="141"/>
      <c r="M400" s="138" t="s">
        <v>2696</v>
      </c>
    </row>
    <row r="401" customFormat="false" ht="15" hidden="false" customHeight="false" outlineLevel="0" collapsed="false">
      <c r="A401" s="138" t="s">
        <v>2980</v>
      </c>
      <c r="B401" s="138" t="s">
        <v>2981</v>
      </c>
      <c r="C401" s="138" t="n">
        <v>584.5295</v>
      </c>
      <c r="D401" s="138" t="n">
        <v>590.664</v>
      </c>
      <c r="E401" s="138" t="s">
        <v>2385</v>
      </c>
      <c r="F401" s="138" t="s">
        <v>2386</v>
      </c>
      <c r="G401" s="138" t="s">
        <v>60</v>
      </c>
      <c r="H401" s="141" t="n">
        <v>122</v>
      </c>
      <c r="I401" s="141"/>
      <c r="J401" s="141"/>
      <c r="K401" s="141"/>
      <c r="L401" s="141"/>
      <c r="M401" s="138" t="s">
        <v>2696</v>
      </c>
    </row>
    <row r="402" customFormat="false" ht="15" hidden="false" customHeight="false" outlineLevel="0" collapsed="false">
      <c r="A402" s="138" t="s">
        <v>2982</v>
      </c>
      <c r="B402" s="138" t="s">
        <v>2983</v>
      </c>
      <c r="C402" s="138" t="n">
        <v>584.95</v>
      </c>
      <c r="D402" s="138" t="n">
        <v>590.6635</v>
      </c>
      <c r="E402" s="138" t="s">
        <v>2385</v>
      </c>
      <c r="F402" s="138" t="s">
        <v>2386</v>
      </c>
      <c r="G402" s="138" t="s">
        <v>59</v>
      </c>
      <c r="H402" s="141" t="n">
        <v>115</v>
      </c>
      <c r="I402" s="141"/>
      <c r="J402" s="141"/>
      <c r="K402" s="141"/>
      <c r="L402" s="141"/>
      <c r="M402" s="138" t="s">
        <v>2696</v>
      </c>
    </row>
    <row r="403" customFormat="false" ht="15" hidden="false" customHeight="false" outlineLevel="0" collapsed="false">
      <c r="A403" s="138" t="s">
        <v>2983</v>
      </c>
      <c r="B403" s="138" t="s">
        <v>2984</v>
      </c>
      <c r="C403" s="138" t="n">
        <v>590.6635</v>
      </c>
      <c r="D403" s="138" t="n">
        <v>590.809</v>
      </c>
      <c r="E403" s="138" t="s">
        <v>2389</v>
      </c>
      <c r="F403" s="138" t="s">
        <v>2390</v>
      </c>
      <c r="G403" s="138" t="s">
        <v>59</v>
      </c>
      <c r="H403" s="141" t="n">
        <v>3</v>
      </c>
      <c r="I403" s="141"/>
      <c r="J403" s="141"/>
      <c r="K403" s="141"/>
      <c r="L403" s="141"/>
      <c r="M403" s="138" t="s">
        <v>2696</v>
      </c>
    </row>
    <row r="404" customFormat="false" ht="15" hidden="false" customHeight="false" outlineLevel="0" collapsed="false">
      <c r="A404" s="138" t="s">
        <v>2981</v>
      </c>
      <c r="B404" s="138" t="s">
        <v>2985</v>
      </c>
      <c r="C404" s="138" t="n">
        <v>590.664</v>
      </c>
      <c r="D404" s="138" t="n">
        <v>591.0385</v>
      </c>
      <c r="E404" s="138" t="s">
        <v>2395</v>
      </c>
      <c r="F404" s="138" t="s">
        <v>2396</v>
      </c>
      <c r="G404" s="138" t="s">
        <v>60</v>
      </c>
      <c r="H404" s="141" t="n">
        <v>8</v>
      </c>
      <c r="I404" s="141"/>
      <c r="J404" s="141"/>
      <c r="K404" s="141"/>
      <c r="L404" s="141"/>
      <c r="M404" s="138" t="s">
        <v>2696</v>
      </c>
    </row>
    <row r="405" customFormat="false" ht="15" hidden="false" customHeight="false" outlineLevel="0" collapsed="false">
      <c r="A405" s="138" t="s">
        <v>2985</v>
      </c>
      <c r="B405" s="138" t="s">
        <v>2986</v>
      </c>
      <c r="C405" s="138" t="n">
        <v>591.0385</v>
      </c>
      <c r="D405" s="138" t="n">
        <v>591.461</v>
      </c>
      <c r="E405" s="138" t="s">
        <v>2454</v>
      </c>
      <c r="F405" s="138" t="s">
        <v>2455</v>
      </c>
      <c r="G405" s="138" t="s">
        <v>60</v>
      </c>
      <c r="H405" s="141" t="n">
        <v>10</v>
      </c>
      <c r="I405" s="141"/>
      <c r="J405" s="141"/>
      <c r="K405" s="141"/>
      <c r="L405" s="141"/>
      <c r="M405" s="138" t="s">
        <v>2456</v>
      </c>
    </row>
    <row r="406" customFormat="false" ht="15" hidden="false" customHeight="false" outlineLevel="0" collapsed="false">
      <c r="A406" s="138" t="s">
        <v>2987</v>
      </c>
      <c r="B406" s="138" t="s">
        <v>2988</v>
      </c>
      <c r="C406" s="138" t="n">
        <v>593.0505</v>
      </c>
      <c r="D406" s="138" t="n">
        <v>597.705</v>
      </c>
      <c r="E406" s="138" t="s">
        <v>2385</v>
      </c>
      <c r="F406" s="138" t="s">
        <v>2386</v>
      </c>
      <c r="G406" s="138" t="s">
        <v>60</v>
      </c>
      <c r="H406" s="141" t="n">
        <v>93</v>
      </c>
      <c r="I406" s="141"/>
      <c r="J406" s="141"/>
      <c r="K406" s="141"/>
      <c r="L406" s="141"/>
      <c r="M406" s="138" t="s">
        <v>2696</v>
      </c>
    </row>
    <row r="407" customFormat="false" ht="15" hidden="false" customHeight="false" outlineLevel="0" collapsed="false">
      <c r="A407" s="138" t="s">
        <v>2989</v>
      </c>
      <c r="B407" s="138" t="s">
        <v>2990</v>
      </c>
      <c r="C407" s="138" t="n">
        <v>593.2995</v>
      </c>
      <c r="D407" s="138" t="n">
        <v>597.6965</v>
      </c>
      <c r="E407" s="138" t="s">
        <v>2385</v>
      </c>
      <c r="F407" s="138" t="s">
        <v>2386</v>
      </c>
      <c r="G407" s="138" t="s">
        <v>59</v>
      </c>
      <c r="H407" s="141" t="n">
        <v>88</v>
      </c>
      <c r="I407" s="141"/>
      <c r="J407" s="141"/>
      <c r="K407" s="141"/>
      <c r="L407" s="141"/>
      <c r="M407" s="138" t="s">
        <v>2696</v>
      </c>
    </row>
    <row r="408" customFormat="false" ht="15" hidden="false" customHeight="false" outlineLevel="0" collapsed="false">
      <c r="A408" s="138" t="s">
        <v>2991</v>
      </c>
      <c r="B408" s="138" t="s">
        <v>2992</v>
      </c>
      <c r="C408" s="138" t="n">
        <v>597.2455</v>
      </c>
      <c r="D408" s="138" t="n">
        <v>601.5525</v>
      </c>
      <c r="E408" s="138" t="s">
        <v>2379</v>
      </c>
      <c r="F408" s="138" t="s">
        <v>2380</v>
      </c>
      <c r="G408" s="138" t="s">
        <v>59</v>
      </c>
      <c r="H408" s="141" t="n">
        <v>86.14</v>
      </c>
      <c r="I408" s="141"/>
      <c r="J408" s="141"/>
      <c r="K408" s="141"/>
      <c r="L408" s="141"/>
      <c r="M408" s="138" t="s">
        <v>2381</v>
      </c>
    </row>
    <row r="409" customFormat="false" ht="15" hidden="false" customHeight="false" outlineLevel="0" collapsed="false">
      <c r="A409" s="138" t="s">
        <v>2993</v>
      </c>
      <c r="B409" s="138" t="s">
        <v>2994</v>
      </c>
      <c r="C409" s="138" t="n">
        <v>597.2525</v>
      </c>
      <c r="D409" s="138" t="n">
        <v>601.371</v>
      </c>
      <c r="E409" s="138" t="s">
        <v>2379</v>
      </c>
      <c r="F409" s="138" t="s">
        <v>2380</v>
      </c>
      <c r="G409" s="138" t="s">
        <v>60</v>
      </c>
      <c r="H409" s="141" t="n">
        <v>82.37</v>
      </c>
      <c r="I409" s="141"/>
      <c r="J409" s="141"/>
      <c r="K409" s="141"/>
      <c r="L409" s="141"/>
      <c r="M409" s="138" t="s">
        <v>2381</v>
      </c>
    </row>
    <row r="410" customFormat="false" ht="15" hidden="false" customHeight="false" outlineLevel="0" collapsed="false">
      <c r="A410" s="138" t="s">
        <v>2995</v>
      </c>
      <c r="B410" s="138" t="s">
        <v>2996</v>
      </c>
      <c r="C410" s="138" t="n">
        <v>597.7365</v>
      </c>
      <c r="D410" s="138" t="n">
        <v>597.737</v>
      </c>
      <c r="E410" s="138" t="s">
        <v>2997</v>
      </c>
      <c r="F410" s="138" t="s">
        <v>2998</v>
      </c>
      <c r="G410" s="138" t="s">
        <v>2999</v>
      </c>
      <c r="H410" s="141" t="n">
        <v>15.01</v>
      </c>
      <c r="I410" s="141" t="n">
        <v>69.75</v>
      </c>
      <c r="J410" s="141" t="n">
        <v>54.75</v>
      </c>
      <c r="K410" s="141" t="n">
        <v>10.29</v>
      </c>
      <c r="L410" s="141" t="n">
        <v>0</v>
      </c>
      <c r="M410" s="138" t="s">
        <v>3000</v>
      </c>
    </row>
    <row r="411" customFormat="false" ht="15" hidden="false" customHeight="false" outlineLevel="0" collapsed="false">
      <c r="A411" s="138" t="s">
        <v>3001</v>
      </c>
      <c r="B411" s="138" t="s">
        <v>3002</v>
      </c>
      <c r="C411" s="138" t="n">
        <v>597.7715</v>
      </c>
      <c r="D411" s="138" t="n">
        <v>601.3785</v>
      </c>
      <c r="E411" s="138" t="s">
        <v>2997</v>
      </c>
      <c r="F411" s="138" t="s">
        <v>2998</v>
      </c>
      <c r="G411" s="138" t="s">
        <v>60</v>
      </c>
      <c r="H411" s="141" t="n">
        <v>72.22</v>
      </c>
      <c r="I411" s="141" t="n">
        <v>270.41</v>
      </c>
      <c r="J411" s="141" t="n">
        <v>263.5</v>
      </c>
      <c r="K411" s="141" t="n">
        <v>0</v>
      </c>
      <c r="L411" s="141" t="n">
        <v>0</v>
      </c>
      <c r="M411" s="138" t="s">
        <v>3003</v>
      </c>
    </row>
    <row r="412" customFormat="false" ht="15" hidden="false" customHeight="false" outlineLevel="0" collapsed="false">
      <c r="A412" s="138" t="s">
        <v>3004</v>
      </c>
      <c r="B412" s="138" t="s">
        <v>3005</v>
      </c>
      <c r="C412" s="138" t="n">
        <v>598.865</v>
      </c>
      <c r="D412" s="138" t="n">
        <v>599.445</v>
      </c>
      <c r="E412" s="138" t="s">
        <v>3006</v>
      </c>
      <c r="F412" s="138" t="s">
        <v>2522</v>
      </c>
      <c r="G412" s="138" t="s">
        <v>60</v>
      </c>
      <c r="H412" s="141" t="n">
        <v>12</v>
      </c>
      <c r="I412" s="141"/>
      <c r="J412" s="141"/>
      <c r="K412" s="141"/>
      <c r="L412" s="141"/>
      <c r="M412" s="138" t="s">
        <v>2523</v>
      </c>
    </row>
    <row r="413" customFormat="false" ht="15" hidden="false" customHeight="false" outlineLevel="0" collapsed="false">
      <c r="A413" s="138" t="s">
        <v>3007</v>
      </c>
      <c r="B413" s="138" t="s">
        <v>3008</v>
      </c>
      <c r="C413" s="138" t="n">
        <v>599.55</v>
      </c>
      <c r="D413" s="138" t="n">
        <v>601.5745</v>
      </c>
      <c r="E413" s="138" t="s">
        <v>2385</v>
      </c>
      <c r="F413" s="138" t="s">
        <v>2386</v>
      </c>
      <c r="G413" s="138" t="s">
        <v>59</v>
      </c>
      <c r="H413" s="141" t="n">
        <v>42</v>
      </c>
      <c r="I413" s="141"/>
      <c r="J413" s="141"/>
      <c r="K413" s="141"/>
      <c r="L413" s="141"/>
      <c r="M413" s="138" t="s">
        <v>2696</v>
      </c>
    </row>
    <row r="414" customFormat="false" ht="15" hidden="false" customHeight="false" outlineLevel="0" collapsed="false">
      <c r="A414" s="138" t="s">
        <v>3009</v>
      </c>
      <c r="B414" s="138" t="s">
        <v>3010</v>
      </c>
      <c r="C414" s="138" t="n">
        <v>601.4115</v>
      </c>
      <c r="D414" s="138" t="n">
        <v>601.6015</v>
      </c>
      <c r="E414" s="138" t="s">
        <v>3011</v>
      </c>
      <c r="F414" s="138" t="s">
        <v>2998</v>
      </c>
      <c r="G414" s="138" t="s">
        <v>2999</v>
      </c>
      <c r="H414" s="141" t="n">
        <v>18.4</v>
      </c>
      <c r="I414" s="141" t="n">
        <v>101.74</v>
      </c>
      <c r="J414" s="141" t="n">
        <v>122.06</v>
      </c>
      <c r="K414" s="141" t="n">
        <v>0</v>
      </c>
      <c r="L414" s="141" t="n">
        <v>0</v>
      </c>
      <c r="M414" s="138" t="s">
        <v>3003</v>
      </c>
    </row>
    <row r="415" customFormat="false" ht="15" hidden="false" customHeight="false" outlineLevel="0" collapsed="false">
      <c r="A415" s="138" t="s">
        <v>3012</v>
      </c>
      <c r="B415" s="138" t="s">
        <v>3013</v>
      </c>
      <c r="C415" s="138" t="n">
        <v>601.433</v>
      </c>
      <c r="D415" s="138" t="n">
        <v>604.6315</v>
      </c>
      <c r="E415" s="138" t="s">
        <v>3011</v>
      </c>
      <c r="F415" s="138" t="s">
        <v>2998</v>
      </c>
      <c r="G415" s="138" t="s">
        <v>60</v>
      </c>
      <c r="H415" s="141" t="n">
        <v>64.14</v>
      </c>
      <c r="I415" s="141" t="n">
        <v>277.07</v>
      </c>
      <c r="J415" s="141" t="n">
        <v>425.5</v>
      </c>
      <c r="K415" s="141" t="n">
        <v>0</v>
      </c>
      <c r="L415" s="141" t="n">
        <v>0</v>
      </c>
      <c r="M415" s="138" t="s">
        <v>3003</v>
      </c>
    </row>
    <row r="416" customFormat="false" ht="15" hidden="false" customHeight="false" outlineLevel="0" collapsed="false">
      <c r="A416" s="138" t="s">
        <v>3014</v>
      </c>
      <c r="B416" s="138" t="s">
        <v>3015</v>
      </c>
      <c r="C416" s="138" t="n">
        <v>602.0225</v>
      </c>
      <c r="D416" s="138" t="n">
        <v>604.659</v>
      </c>
      <c r="E416" s="138" t="s">
        <v>2521</v>
      </c>
      <c r="F416" s="138" t="s">
        <v>2522</v>
      </c>
      <c r="G416" s="138" t="s">
        <v>60</v>
      </c>
      <c r="H416" s="141" t="n">
        <v>53</v>
      </c>
      <c r="I416" s="141"/>
      <c r="J416" s="141"/>
      <c r="K416" s="141"/>
      <c r="L416" s="141"/>
      <c r="M416" s="138" t="s">
        <v>3016</v>
      </c>
    </row>
    <row r="417" customFormat="false" ht="15" hidden="false" customHeight="false" outlineLevel="0" collapsed="false">
      <c r="A417" s="138" t="s">
        <v>3014</v>
      </c>
      <c r="B417" s="138" t="s">
        <v>3015</v>
      </c>
      <c r="C417" s="138" t="n">
        <v>602.0225</v>
      </c>
      <c r="D417" s="138" t="n">
        <v>604.659</v>
      </c>
      <c r="E417" s="138" t="s">
        <v>2521</v>
      </c>
      <c r="F417" s="138" t="s">
        <v>2522</v>
      </c>
      <c r="G417" s="138" t="s">
        <v>59</v>
      </c>
      <c r="H417" s="141" t="n">
        <v>53</v>
      </c>
      <c r="I417" s="141"/>
      <c r="J417" s="141"/>
      <c r="K417" s="141"/>
      <c r="L417" s="141"/>
      <c r="M417" s="138" t="s">
        <v>3017</v>
      </c>
    </row>
    <row r="418" customFormat="false" ht="15" hidden="false" customHeight="false" outlineLevel="0" collapsed="false">
      <c r="A418" s="138" t="s">
        <v>3018</v>
      </c>
      <c r="B418" s="138" t="s">
        <v>3019</v>
      </c>
      <c r="C418" s="138" t="n">
        <v>602.357</v>
      </c>
      <c r="D418" s="138" t="n">
        <v>607.9105</v>
      </c>
      <c r="E418" s="138" t="s">
        <v>2395</v>
      </c>
      <c r="F418" s="138" t="s">
        <v>2396</v>
      </c>
      <c r="G418" s="138" t="s">
        <v>59</v>
      </c>
      <c r="H418" s="141" t="n">
        <v>111</v>
      </c>
      <c r="I418" s="141"/>
      <c r="J418" s="141"/>
      <c r="K418" s="141"/>
      <c r="L418" s="141"/>
      <c r="M418" s="138" t="s">
        <v>2696</v>
      </c>
    </row>
    <row r="419" customFormat="false" ht="15" hidden="false" customHeight="false" outlineLevel="0" collapsed="false">
      <c r="A419" s="138" t="s">
        <v>3015</v>
      </c>
      <c r="B419" s="138" t="s">
        <v>3020</v>
      </c>
      <c r="C419" s="138" t="n">
        <v>604.659</v>
      </c>
      <c r="D419" s="138" t="n">
        <v>607.973</v>
      </c>
      <c r="E419" s="138" t="s">
        <v>2521</v>
      </c>
      <c r="F419" s="138" t="s">
        <v>2522</v>
      </c>
      <c r="G419" s="138" t="s">
        <v>60</v>
      </c>
      <c r="H419" s="141" t="n">
        <v>66</v>
      </c>
      <c r="I419" s="141"/>
      <c r="J419" s="141"/>
      <c r="K419" s="141"/>
      <c r="L419" s="141"/>
      <c r="M419" s="138" t="s">
        <v>3016</v>
      </c>
    </row>
    <row r="420" customFormat="false" ht="15" hidden="false" customHeight="false" outlineLevel="0" collapsed="false">
      <c r="A420" s="138" t="s">
        <v>3015</v>
      </c>
      <c r="B420" s="138" t="s">
        <v>3020</v>
      </c>
      <c r="C420" s="138" t="n">
        <v>604.659</v>
      </c>
      <c r="D420" s="138" t="n">
        <v>607.973</v>
      </c>
      <c r="E420" s="138" t="s">
        <v>2521</v>
      </c>
      <c r="F420" s="138" t="s">
        <v>2522</v>
      </c>
      <c r="G420" s="138" t="s">
        <v>59</v>
      </c>
      <c r="H420" s="141" t="n">
        <v>66</v>
      </c>
      <c r="I420" s="141"/>
      <c r="J420" s="141"/>
      <c r="K420" s="141"/>
      <c r="L420" s="141"/>
      <c r="M420" s="138" t="s">
        <v>3017</v>
      </c>
    </row>
    <row r="421" customFormat="false" ht="15" hidden="false" customHeight="false" outlineLevel="0" collapsed="false">
      <c r="A421" s="138" t="s">
        <v>3015</v>
      </c>
      <c r="B421" s="138" t="s">
        <v>3021</v>
      </c>
      <c r="C421" s="138" t="n">
        <v>604.659</v>
      </c>
      <c r="D421" s="138" t="n">
        <v>604.6595</v>
      </c>
      <c r="E421" s="138" t="s">
        <v>2997</v>
      </c>
      <c r="F421" s="138" t="s">
        <v>2998</v>
      </c>
      <c r="G421" s="138" t="s">
        <v>2999</v>
      </c>
      <c r="H421" s="141" t="n">
        <v>10.52</v>
      </c>
      <c r="I421" s="141" t="n">
        <v>9.76</v>
      </c>
      <c r="J421" s="141" t="n">
        <v>38.38</v>
      </c>
      <c r="K421" s="141" t="n">
        <v>0</v>
      </c>
      <c r="L421" s="141" t="n">
        <v>0</v>
      </c>
      <c r="M421" s="138" t="s">
        <v>3000</v>
      </c>
    </row>
    <row r="422" customFormat="false" ht="15" hidden="false" customHeight="false" outlineLevel="0" collapsed="false">
      <c r="A422" s="138" t="s">
        <v>3022</v>
      </c>
      <c r="B422" s="138" t="s">
        <v>3023</v>
      </c>
      <c r="C422" s="138" t="n">
        <v>604.6865</v>
      </c>
      <c r="D422" s="138" t="n">
        <v>608.0315</v>
      </c>
      <c r="E422" s="138" t="s">
        <v>3011</v>
      </c>
      <c r="F422" s="138" t="s">
        <v>2998</v>
      </c>
      <c r="G422" s="138" t="s">
        <v>60</v>
      </c>
      <c r="H422" s="141" t="n">
        <v>66.9</v>
      </c>
      <c r="I422" s="141" t="n">
        <v>61.6</v>
      </c>
      <c r="J422" s="141" t="n">
        <v>443.83</v>
      </c>
      <c r="K422" s="141" t="n">
        <v>0</v>
      </c>
      <c r="L422" s="141" t="n">
        <v>0</v>
      </c>
      <c r="M422" s="138" t="s">
        <v>3003</v>
      </c>
    </row>
    <row r="423" customFormat="false" ht="15" hidden="false" customHeight="false" outlineLevel="0" collapsed="false">
      <c r="A423" s="138" t="s">
        <v>3024</v>
      </c>
      <c r="B423" s="138" t="s">
        <v>3025</v>
      </c>
      <c r="C423" s="138" t="n">
        <v>604.695</v>
      </c>
      <c r="D423" s="138" t="n">
        <v>604.995</v>
      </c>
      <c r="E423" s="138" t="s">
        <v>3006</v>
      </c>
      <c r="F423" s="138" t="s">
        <v>2522</v>
      </c>
      <c r="G423" s="138" t="s">
        <v>60</v>
      </c>
      <c r="H423" s="141" t="n">
        <v>7</v>
      </c>
      <c r="I423" s="141"/>
      <c r="J423" s="141"/>
      <c r="K423" s="141"/>
      <c r="L423" s="141"/>
      <c r="M423" s="138" t="s">
        <v>2523</v>
      </c>
    </row>
    <row r="424" customFormat="false" ht="15" hidden="false" customHeight="false" outlineLevel="0" collapsed="false">
      <c r="A424" s="138" t="s">
        <v>3020</v>
      </c>
      <c r="B424" s="138" t="s">
        <v>3026</v>
      </c>
      <c r="C424" s="138" t="n">
        <v>607.973</v>
      </c>
      <c r="D424" s="138" t="n">
        <v>608.9175</v>
      </c>
      <c r="E424" s="138" t="s">
        <v>2521</v>
      </c>
      <c r="F424" s="138" t="s">
        <v>2522</v>
      </c>
      <c r="G424" s="138" t="s">
        <v>60</v>
      </c>
      <c r="H424" s="141" t="n">
        <v>19</v>
      </c>
      <c r="I424" s="141"/>
      <c r="J424" s="141"/>
      <c r="K424" s="141"/>
      <c r="L424" s="141"/>
      <c r="M424" s="138" t="s">
        <v>3016</v>
      </c>
    </row>
    <row r="425" customFormat="false" ht="15" hidden="false" customHeight="false" outlineLevel="0" collapsed="false">
      <c r="A425" s="138" t="s">
        <v>3020</v>
      </c>
      <c r="B425" s="138" t="s">
        <v>3026</v>
      </c>
      <c r="C425" s="138" t="n">
        <v>607.973</v>
      </c>
      <c r="D425" s="138" t="n">
        <v>608.9175</v>
      </c>
      <c r="E425" s="138" t="s">
        <v>2521</v>
      </c>
      <c r="F425" s="138" t="s">
        <v>2522</v>
      </c>
      <c r="G425" s="138" t="s">
        <v>59</v>
      </c>
      <c r="H425" s="141" t="n">
        <v>19</v>
      </c>
      <c r="I425" s="141"/>
      <c r="J425" s="141"/>
      <c r="K425" s="141"/>
      <c r="L425" s="141"/>
      <c r="M425" s="138" t="s">
        <v>3017</v>
      </c>
    </row>
    <row r="426" customFormat="false" ht="15" hidden="false" customHeight="false" outlineLevel="0" collapsed="false">
      <c r="A426" s="138" t="s">
        <v>2280</v>
      </c>
      <c r="B426" s="138" t="s">
        <v>3027</v>
      </c>
      <c r="C426" s="138" t="n">
        <v>608</v>
      </c>
      <c r="D426" s="138" t="n">
        <v>608.055</v>
      </c>
      <c r="E426" s="138" t="s">
        <v>2997</v>
      </c>
      <c r="F426" s="138" t="s">
        <v>2998</v>
      </c>
      <c r="G426" s="138" t="s">
        <v>2999</v>
      </c>
      <c r="H426" s="141" t="n">
        <v>10.62</v>
      </c>
      <c r="I426" s="141" t="n">
        <v>0</v>
      </c>
      <c r="J426" s="141" t="n">
        <v>38.75</v>
      </c>
      <c r="K426" s="141" t="n">
        <v>0</v>
      </c>
      <c r="L426" s="141" t="n">
        <v>0</v>
      </c>
      <c r="M426" s="138" t="s">
        <v>3003</v>
      </c>
    </row>
    <row r="427" customFormat="false" ht="15" hidden="false" customHeight="false" outlineLevel="0" collapsed="false">
      <c r="A427" s="138" t="s">
        <v>3028</v>
      </c>
      <c r="B427" s="138" t="s">
        <v>3029</v>
      </c>
      <c r="C427" s="138" t="n">
        <v>608.059</v>
      </c>
      <c r="D427" s="138" t="n">
        <v>608.0595</v>
      </c>
      <c r="E427" s="138" t="s">
        <v>3011</v>
      </c>
      <c r="F427" s="138" t="s">
        <v>2998</v>
      </c>
      <c r="G427" s="138" t="s">
        <v>2999</v>
      </c>
      <c r="H427" s="141" t="n">
        <v>6.5</v>
      </c>
      <c r="I427" s="141" t="n">
        <v>0</v>
      </c>
      <c r="J427" s="141" t="n">
        <v>43.12</v>
      </c>
      <c r="K427" s="141" t="n">
        <v>0</v>
      </c>
      <c r="L427" s="141" t="n">
        <v>0</v>
      </c>
      <c r="M427" s="138" t="s">
        <v>3000</v>
      </c>
    </row>
    <row r="428" customFormat="false" ht="15" hidden="false" customHeight="false" outlineLevel="0" collapsed="false">
      <c r="A428" s="138" t="s">
        <v>3030</v>
      </c>
      <c r="B428" s="138" t="s">
        <v>3031</v>
      </c>
      <c r="C428" s="138" t="n">
        <v>608.375</v>
      </c>
      <c r="D428" s="138" t="n">
        <v>608.685</v>
      </c>
      <c r="E428" s="138" t="s">
        <v>3006</v>
      </c>
      <c r="F428" s="138" t="s">
        <v>2522</v>
      </c>
      <c r="G428" s="138" t="s">
        <v>59</v>
      </c>
      <c r="H428" s="141" t="n">
        <v>8</v>
      </c>
      <c r="I428" s="141"/>
      <c r="J428" s="141"/>
      <c r="K428" s="141"/>
      <c r="L428" s="141"/>
      <c r="M428" s="138" t="s">
        <v>2523</v>
      </c>
    </row>
    <row r="429" customFormat="false" ht="15" hidden="false" customHeight="false" outlineLevel="0" collapsed="false">
      <c r="A429" s="138" t="s">
        <v>3026</v>
      </c>
      <c r="B429" s="138" t="s">
        <v>3032</v>
      </c>
      <c r="C429" s="138" t="n">
        <v>608.9175</v>
      </c>
      <c r="D429" s="138" t="n">
        <v>611.459</v>
      </c>
      <c r="E429" s="138" t="s">
        <v>2521</v>
      </c>
      <c r="F429" s="138" t="s">
        <v>2522</v>
      </c>
      <c r="G429" s="138" t="s">
        <v>60</v>
      </c>
      <c r="H429" s="141" t="n">
        <v>51</v>
      </c>
      <c r="I429" s="141"/>
      <c r="J429" s="141"/>
      <c r="K429" s="141"/>
      <c r="L429" s="141"/>
      <c r="M429" s="138" t="s">
        <v>3016</v>
      </c>
    </row>
    <row r="430" customFormat="false" ht="15" hidden="false" customHeight="false" outlineLevel="0" collapsed="false">
      <c r="A430" s="138" t="s">
        <v>3026</v>
      </c>
      <c r="B430" s="138" t="s">
        <v>3032</v>
      </c>
      <c r="C430" s="138" t="n">
        <v>608.9175</v>
      </c>
      <c r="D430" s="138" t="n">
        <v>611.459</v>
      </c>
      <c r="E430" s="138" t="s">
        <v>2521</v>
      </c>
      <c r="F430" s="138" t="s">
        <v>2522</v>
      </c>
      <c r="G430" s="138" t="s">
        <v>59</v>
      </c>
      <c r="H430" s="141" t="n">
        <v>51</v>
      </c>
      <c r="I430" s="141"/>
      <c r="J430" s="141"/>
      <c r="K430" s="141"/>
      <c r="L430" s="141"/>
      <c r="M430" s="138" t="s">
        <v>3017</v>
      </c>
    </row>
    <row r="431" customFormat="false" ht="15" hidden="false" customHeight="false" outlineLevel="0" collapsed="false">
      <c r="A431" s="138" t="s">
        <v>3026</v>
      </c>
      <c r="B431" s="138" t="s">
        <v>3033</v>
      </c>
      <c r="C431" s="138" t="n">
        <v>608.9175</v>
      </c>
      <c r="D431" s="138" t="n">
        <v>608.918</v>
      </c>
      <c r="E431" s="138" t="s">
        <v>3034</v>
      </c>
      <c r="F431" s="138" t="s">
        <v>2998</v>
      </c>
      <c r="G431" s="138" t="s">
        <v>2999</v>
      </c>
      <c r="H431" s="141" t="n">
        <v>16.64</v>
      </c>
      <c r="I431" s="141" t="n">
        <v>2.7</v>
      </c>
      <c r="J431" s="141" t="n">
        <v>83.52</v>
      </c>
      <c r="K431" s="141" t="n">
        <v>0</v>
      </c>
      <c r="L431" s="141" t="n">
        <v>0</v>
      </c>
      <c r="M431" s="138" t="s">
        <v>3000</v>
      </c>
    </row>
    <row r="432" customFormat="false" ht="15" hidden="false" customHeight="false" outlineLevel="0" collapsed="false">
      <c r="A432" s="138" t="s">
        <v>3035</v>
      </c>
      <c r="B432" s="138" t="s">
        <v>3036</v>
      </c>
      <c r="C432" s="138" t="n">
        <v>608.945</v>
      </c>
      <c r="D432" s="138" t="n">
        <v>610.5355</v>
      </c>
      <c r="E432" s="138" t="s">
        <v>3034</v>
      </c>
      <c r="F432" s="138" t="s">
        <v>2998</v>
      </c>
      <c r="G432" s="138" t="s">
        <v>59</v>
      </c>
      <c r="H432" s="141" t="n">
        <v>31.88</v>
      </c>
      <c r="I432" s="141" t="n">
        <v>103.28</v>
      </c>
      <c r="J432" s="141" t="n">
        <v>88.26</v>
      </c>
      <c r="K432" s="141" t="n">
        <v>0</v>
      </c>
      <c r="L432" s="141" t="n">
        <v>95.63</v>
      </c>
      <c r="M432" s="138" t="s">
        <v>3003</v>
      </c>
    </row>
    <row r="433" customFormat="false" ht="15" hidden="false" customHeight="false" outlineLevel="0" collapsed="false">
      <c r="A433" s="138" t="s">
        <v>3037</v>
      </c>
      <c r="B433" s="138" t="s">
        <v>3038</v>
      </c>
      <c r="C433" s="138" t="n">
        <v>610.6155</v>
      </c>
      <c r="D433" s="138" t="n">
        <v>611.436</v>
      </c>
      <c r="E433" s="138" t="s">
        <v>3034</v>
      </c>
      <c r="F433" s="138" t="s">
        <v>2998</v>
      </c>
      <c r="G433" s="138" t="s">
        <v>59</v>
      </c>
      <c r="H433" s="141" t="n">
        <v>16.52</v>
      </c>
      <c r="I433" s="141" t="n">
        <v>53.53</v>
      </c>
      <c r="J433" s="141" t="n">
        <v>45.75</v>
      </c>
      <c r="K433" s="141" t="n">
        <v>0</v>
      </c>
      <c r="L433" s="141" t="n">
        <v>49.57</v>
      </c>
      <c r="M433" s="138" t="s">
        <v>3003</v>
      </c>
    </row>
    <row r="434" customFormat="false" ht="15" hidden="false" customHeight="false" outlineLevel="0" collapsed="false">
      <c r="A434" s="138" t="s">
        <v>3032</v>
      </c>
      <c r="B434" s="138" t="s">
        <v>3039</v>
      </c>
      <c r="C434" s="138" t="n">
        <v>611.459</v>
      </c>
      <c r="D434" s="138" t="n">
        <v>613.4535</v>
      </c>
      <c r="E434" s="138" t="s">
        <v>2521</v>
      </c>
      <c r="F434" s="138" t="s">
        <v>2522</v>
      </c>
      <c r="G434" s="138" t="s">
        <v>60</v>
      </c>
      <c r="H434" s="141" t="n">
        <v>40</v>
      </c>
      <c r="I434" s="141"/>
      <c r="J434" s="141"/>
      <c r="K434" s="141"/>
      <c r="L434" s="141"/>
      <c r="M434" s="138" t="s">
        <v>3016</v>
      </c>
    </row>
    <row r="435" customFormat="false" ht="15" hidden="false" customHeight="false" outlineLevel="0" collapsed="false">
      <c r="A435" s="138" t="s">
        <v>3032</v>
      </c>
      <c r="B435" s="138" t="s">
        <v>3039</v>
      </c>
      <c r="C435" s="138" t="n">
        <v>611.459</v>
      </c>
      <c r="D435" s="138" t="n">
        <v>613.4535</v>
      </c>
      <c r="E435" s="138" t="s">
        <v>2521</v>
      </c>
      <c r="F435" s="138" t="s">
        <v>2522</v>
      </c>
      <c r="G435" s="138" t="s">
        <v>59</v>
      </c>
      <c r="H435" s="141" t="n">
        <v>40</v>
      </c>
      <c r="I435" s="141"/>
      <c r="J435" s="141"/>
      <c r="K435" s="141"/>
      <c r="L435" s="141"/>
      <c r="M435" s="138" t="s">
        <v>3017</v>
      </c>
    </row>
    <row r="436" customFormat="false" ht="15" hidden="false" customHeight="false" outlineLevel="0" collapsed="false">
      <c r="A436" s="138" t="s">
        <v>3040</v>
      </c>
      <c r="B436" s="138" t="s">
        <v>3041</v>
      </c>
      <c r="C436" s="138" t="n">
        <v>611.4595</v>
      </c>
      <c r="D436" s="138" t="n">
        <v>611.46</v>
      </c>
      <c r="E436" s="138" t="s">
        <v>2997</v>
      </c>
      <c r="F436" s="138" t="s">
        <v>2998</v>
      </c>
      <c r="G436" s="138" t="s">
        <v>2999</v>
      </c>
      <c r="H436" s="141" t="n">
        <v>10.51</v>
      </c>
      <c r="I436" s="141" t="n">
        <v>15.9</v>
      </c>
      <c r="J436" s="141" t="n">
        <v>38.36</v>
      </c>
      <c r="K436" s="141" t="n">
        <v>0</v>
      </c>
      <c r="L436" s="141" t="n">
        <v>0</v>
      </c>
      <c r="M436" s="138" t="s">
        <v>3000</v>
      </c>
    </row>
    <row r="437" customFormat="false" ht="15" hidden="false" customHeight="false" outlineLevel="0" collapsed="false">
      <c r="A437" s="138" t="s">
        <v>3042</v>
      </c>
      <c r="B437" s="138" t="s">
        <v>3043</v>
      </c>
      <c r="C437" s="138" t="n">
        <v>611.491</v>
      </c>
      <c r="D437" s="138" t="n">
        <v>613.427</v>
      </c>
      <c r="E437" s="138" t="s">
        <v>3034</v>
      </c>
      <c r="F437" s="138" t="s">
        <v>2998</v>
      </c>
      <c r="G437" s="138" t="s">
        <v>59</v>
      </c>
      <c r="H437" s="141" t="n">
        <v>38.78</v>
      </c>
      <c r="I437" s="141" t="n">
        <v>108.88</v>
      </c>
      <c r="J437" s="141" t="n">
        <v>107.36</v>
      </c>
      <c r="K437" s="141" t="n">
        <v>0</v>
      </c>
      <c r="L437" s="141" t="n">
        <v>0</v>
      </c>
      <c r="M437" s="138" t="s">
        <v>3003</v>
      </c>
    </row>
    <row r="438" customFormat="false" ht="15" hidden="false" customHeight="false" outlineLevel="0" collapsed="false">
      <c r="A438" s="138" t="s">
        <v>3044</v>
      </c>
      <c r="B438" s="138" t="s">
        <v>3045</v>
      </c>
      <c r="C438" s="138" t="n">
        <v>612.25</v>
      </c>
      <c r="D438" s="138" t="n">
        <v>613.15</v>
      </c>
      <c r="E438" s="138" t="s">
        <v>3006</v>
      </c>
      <c r="F438" s="138" t="s">
        <v>2522</v>
      </c>
      <c r="G438" s="138" t="s">
        <v>59</v>
      </c>
      <c r="H438" s="141" t="n">
        <v>19</v>
      </c>
      <c r="I438" s="141"/>
      <c r="J438" s="141"/>
      <c r="K438" s="141"/>
      <c r="L438" s="141"/>
      <c r="M438" s="138" t="s">
        <v>2523</v>
      </c>
    </row>
    <row r="439" customFormat="false" ht="15" hidden="false" customHeight="false" outlineLevel="0" collapsed="false">
      <c r="A439" s="138" t="s">
        <v>3039</v>
      </c>
      <c r="B439" s="138" t="s">
        <v>3046</v>
      </c>
      <c r="C439" s="138" t="n">
        <v>613.4535</v>
      </c>
      <c r="D439" s="138" t="n">
        <v>615.5465</v>
      </c>
      <c r="E439" s="138" t="s">
        <v>2521</v>
      </c>
      <c r="F439" s="138" t="s">
        <v>2522</v>
      </c>
      <c r="G439" s="138" t="s">
        <v>60</v>
      </c>
      <c r="H439" s="141" t="n">
        <v>42</v>
      </c>
      <c r="I439" s="141"/>
      <c r="J439" s="141"/>
      <c r="K439" s="141"/>
      <c r="L439" s="141"/>
      <c r="M439" s="138" t="s">
        <v>3016</v>
      </c>
    </row>
    <row r="440" customFormat="false" ht="15" hidden="false" customHeight="false" outlineLevel="0" collapsed="false">
      <c r="A440" s="138" t="s">
        <v>3039</v>
      </c>
      <c r="B440" s="138" t="s">
        <v>3046</v>
      </c>
      <c r="C440" s="138" t="n">
        <v>613.4535</v>
      </c>
      <c r="D440" s="138" t="n">
        <v>615.5465</v>
      </c>
      <c r="E440" s="138" t="s">
        <v>2521</v>
      </c>
      <c r="F440" s="138" t="s">
        <v>2522</v>
      </c>
      <c r="G440" s="138" t="s">
        <v>59</v>
      </c>
      <c r="H440" s="141" t="n">
        <v>42</v>
      </c>
      <c r="I440" s="141"/>
      <c r="J440" s="141"/>
      <c r="K440" s="141"/>
      <c r="L440" s="141"/>
      <c r="M440" s="138" t="s">
        <v>3017</v>
      </c>
    </row>
    <row r="441" customFormat="false" ht="15" hidden="false" customHeight="false" outlineLevel="0" collapsed="false">
      <c r="A441" s="138" t="s">
        <v>3047</v>
      </c>
      <c r="B441" s="138" t="s">
        <v>3048</v>
      </c>
      <c r="C441" s="138" t="n">
        <v>614.125</v>
      </c>
      <c r="D441" s="138" t="n">
        <v>615.519</v>
      </c>
      <c r="E441" s="138" t="s">
        <v>2997</v>
      </c>
      <c r="F441" s="138" t="s">
        <v>2998</v>
      </c>
      <c r="G441" s="138" t="s">
        <v>60</v>
      </c>
      <c r="H441" s="141" t="n">
        <v>27.9</v>
      </c>
      <c r="I441" s="141" t="n">
        <v>2.05</v>
      </c>
      <c r="J441" s="141" t="n">
        <v>101.77</v>
      </c>
      <c r="K441" s="141" t="n">
        <v>0</v>
      </c>
      <c r="L441" s="141" t="n">
        <v>0</v>
      </c>
      <c r="M441" s="138" t="s">
        <v>3003</v>
      </c>
    </row>
    <row r="442" customFormat="false" ht="15" hidden="false" customHeight="false" outlineLevel="0" collapsed="false">
      <c r="A442" s="138" t="s">
        <v>3049</v>
      </c>
      <c r="B442" s="138" t="s">
        <v>3050</v>
      </c>
      <c r="C442" s="138" t="n">
        <v>614.333</v>
      </c>
      <c r="D442" s="138" t="n">
        <v>618.0865</v>
      </c>
      <c r="E442" s="138" t="s">
        <v>2399</v>
      </c>
      <c r="F442" s="138" t="s">
        <v>2400</v>
      </c>
      <c r="G442" s="138" t="s">
        <v>59</v>
      </c>
      <c r="H442" s="141" t="n">
        <v>75.07</v>
      </c>
      <c r="I442" s="141"/>
      <c r="J442" s="141"/>
      <c r="K442" s="141"/>
      <c r="L442" s="141"/>
      <c r="M442" s="138" t="s">
        <v>2381</v>
      </c>
    </row>
    <row r="443" customFormat="false" ht="15" hidden="false" customHeight="false" outlineLevel="0" collapsed="false">
      <c r="A443" s="138" t="s">
        <v>3051</v>
      </c>
      <c r="B443" s="138" t="s">
        <v>3052</v>
      </c>
      <c r="C443" s="138" t="n">
        <v>614.78</v>
      </c>
      <c r="D443" s="138" t="n">
        <v>615.03</v>
      </c>
      <c r="E443" s="138" t="s">
        <v>3006</v>
      </c>
      <c r="F443" s="138" t="s">
        <v>2522</v>
      </c>
      <c r="G443" s="138" t="s">
        <v>60</v>
      </c>
      <c r="H443" s="141" t="n">
        <v>6</v>
      </c>
      <c r="I443" s="141"/>
      <c r="J443" s="141"/>
      <c r="K443" s="141"/>
      <c r="L443" s="141"/>
      <c r="M443" s="138" t="s">
        <v>2523</v>
      </c>
    </row>
    <row r="444" customFormat="false" ht="15" hidden="false" customHeight="false" outlineLevel="0" collapsed="false">
      <c r="A444" s="138" t="s">
        <v>3053</v>
      </c>
      <c r="B444" s="138" t="s">
        <v>3054</v>
      </c>
      <c r="C444" s="138" t="n">
        <v>615.175</v>
      </c>
      <c r="D444" s="138" t="n">
        <v>618.085</v>
      </c>
      <c r="E444" s="138" t="s">
        <v>2379</v>
      </c>
      <c r="F444" s="138" t="s">
        <v>2380</v>
      </c>
      <c r="G444" s="138" t="s">
        <v>60</v>
      </c>
      <c r="H444" s="141" t="n">
        <v>58.2</v>
      </c>
      <c r="I444" s="141"/>
      <c r="J444" s="141"/>
      <c r="K444" s="141"/>
      <c r="L444" s="141"/>
      <c r="M444" s="138" t="s">
        <v>2381</v>
      </c>
    </row>
    <row r="445" customFormat="false" ht="15" hidden="false" customHeight="false" outlineLevel="0" collapsed="false">
      <c r="A445" s="138" t="s">
        <v>3046</v>
      </c>
      <c r="B445" s="138" t="s">
        <v>3055</v>
      </c>
      <c r="C445" s="138" t="n">
        <v>615.5465</v>
      </c>
      <c r="D445" s="138" t="n">
        <v>618.1465</v>
      </c>
      <c r="E445" s="138" t="s">
        <v>2521</v>
      </c>
      <c r="F445" s="138" t="s">
        <v>2522</v>
      </c>
      <c r="G445" s="138" t="s">
        <v>60</v>
      </c>
      <c r="H445" s="141" t="n">
        <v>52</v>
      </c>
      <c r="I445" s="141"/>
      <c r="J445" s="141"/>
      <c r="K445" s="141"/>
      <c r="L445" s="141"/>
      <c r="M445" s="138" t="s">
        <v>3016</v>
      </c>
    </row>
    <row r="446" customFormat="false" ht="15" hidden="false" customHeight="false" outlineLevel="0" collapsed="false">
      <c r="A446" s="138" t="s">
        <v>3046</v>
      </c>
      <c r="B446" s="138" t="s">
        <v>3055</v>
      </c>
      <c r="C446" s="138" t="n">
        <v>615.5465</v>
      </c>
      <c r="D446" s="138" t="n">
        <v>618.1465</v>
      </c>
      <c r="E446" s="138" t="s">
        <v>2521</v>
      </c>
      <c r="F446" s="138" t="s">
        <v>2522</v>
      </c>
      <c r="G446" s="138" t="s">
        <v>59</v>
      </c>
      <c r="H446" s="141" t="n">
        <v>52</v>
      </c>
      <c r="I446" s="141"/>
      <c r="J446" s="141"/>
      <c r="K446" s="141"/>
      <c r="L446" s="141"/>
      <c r="M446" s="138" t="s">
        <v>3017</v>
      </c>
    </row>
    <row r="447" customFormat="false" ht="15" hidden="false" customHeight="false" outlineLevel="0" collapsed="false">
      <c r="A447" s="138" t="s">
        <v>3046</v>
      </c>
      <c r="B447" s="138" t="s">
        <v>3056</v>
      </c>
      <c r="C447" s="138" t="n">
        <v>615.5465</v>
      </c>
      <c r="D447" s="138" t="n">
        <v>615.547</v>
      </c>
      <c r="E447" s="138" t="s">
        <v>2997</v>
      </c>
      <c r="F447" s="138" t="s">
        <v>2998</v>
      </c>
      <c r="G447" s="138" t="s">
        <v>2999</v>
      </c>
      <c r="H447" s="141" t="n">
        <v>10.08</v>
      </c>
      <c r="I447" s="141" t="n">
        <v>1.67</v>
      </c>
      <c r="J447" s="141" t="n">
        <v>36.76</v>
      </c>
      <c r="K447" s="141" t="n">
        <v>0</v>
      </c>
      <c r="L447" s="141" t="n">
        <v>0</v>
      </c>
      <c r="M447" s="138" t="s">
        <v>3000</v>
      </c>
    </row>
    <row r="448" customFormat="false" ht="15" hidden="false" customHeight="false" outlineLevel="0" collapsed="false">
      <c r="A448" s="138" t="s">
        <v>3057</v>
      </c>
      <c r="B448" s="138" t="s">
        <v>3058</v>
      </c>
      <c r="C448" s="138" t="n">
        <v>615.574</v>
      </c>
      <c r="D448" s="138" t="n">
        <v>616.819</v>
      </c>
      <c r="E448" s="138" t="s">
        <v>2997</v>
      </c>
      <c r="F448" s="138" t="s">
        <v>2998</v>
      </c>
      <c r="G448" s="138" t="s">
        <v>60</v>
      </c>
      <c r="H448" s="141" t="n">
        <v>24.9</v>
      </c>
      <c r="I448" s="141" t="n">
        <v>86.05</v>
      </c>
      <c r="J448" s="141" t="n">
        <v>51.94</v>
      </c>
      <c r="K448" s="141" t="n">
        <v>26.29</v>
      </c>
      <c r="L448" s="141" t="n">
        <v>89.64</v>
      </c>
      <c r="M448" s="138" t="s">
        <v>3003</v>
      </c>
    </row>
    <row r="449" customFormat="false" ht="15" hidden="false" customHeight="false" outlineLevel="0" collapsed="false">
      <c r="A449" s="138" t="s">
        <v>3059</v>
      </c>
      <c r="B449" s="138" t="s">
        <v>3060</v>
      </c>
      <c r="C449" s="138" t="n">
        <v>615.795</v>
      </c>
      <c r="D449" s="138" t="n">
        <v>615.945</v>
      </c>
      <c r="E449" s="138" t="s">
        <v>3006</v>
      </c>
      <c r="F449" s="138" t="s">
        <v>2522</v>
      </c>
      <c r="G449" s="138" t="s">
        <v>60</v>
      </c>
      <c r="H449" s="141" t="n">
        <v>4</v>
      </c>
      <c r="I449" s="141"/>
      <c r="J449" s="141"/>
      <c r="K449" s="141"/>
      <c r="L449" s="141"/>
      <c r="M449" s="138" t="s">
        <v>2523</v>
      </c>
    </row>
    <row r="450" customFormat="false" ht="15" hidden="false" customHeight="false" outlineLevel="0" collapsed="false">
      <c r="A450" s="138" t="s">
        <v>3061</v>
      </c>
      <c r="B450" s="138" t="s">
        <v>3062</v>
      </c>
      <c r="C450" s="138" t="n">
        <v>616.874</v>
      </c>
      <c r="D450" s="138" t="n">
        <v>618.118</v>
      </c>
      <c r="E450" s="138" t="s">
        <v>2997</v>
      </c>
      <c r="F450" s="138" t="s">
        <v>2998</v>
      </c>
      <c r="G450" s="138" t="s">
        <v>60</v>
      </c>
      <c r="H450" s="141" t="n">
        <v>24.89</v>
      </c>
      <c r="I450" s="141" t="n">
        <v>90.78</v>
      </c>
      <c r="J450" s="141" t="n">
        <v>51.91</v>
      </c>
      <c r="K450" s="141" t="n">
        <v>31.06</v>
      </c>
      <c r="L450" s="141" t="n">
        <v>94.56</v>
      </c>
      <c r="M450" s="138" t="s">
        <v>3003</v>
      </c>
    </row>
    <row r="451" customFormat="false" ht="15" hidden="false" customHeight="false" outlineLevel="0" collapsed="false">
      <c r="A451" s="138" t="s">
        <v>3063</v>
      </c>
      <c r="B451" s="138" t="s">
        <v>3064</v>
      </c>
      <c r="C451" s="138" t="n">
        <v>617.205</v>
      </c>
      <c r="D451" s="138" t="n">
        <v>617.98</v>
      </c>
      <c r="E451" s="138" t="s">
        <v>3006</v>
      </c>
      <c r="F451" s="138" t="s">
        <v>2522</v>
      </c>
      <c r="G451" s="138" t="s">
        <v>59</v>
      </c>
      <c r="H451" s="141" t="n">
        <v>11</v>
      </c>
      <c r="I451" s="141"/>
      <c r="J451" s="141"/>
      <c r="K451" s="141"/>
      <c r="L451" s="141"/>
      <c r="M451" s="138" t="s">
        <v>2523</v>
      </c>
    </row>
    <row r="452" customFormat="false" ht="15" hidden="false" customHeight="false" outlineLevel="0" collapsed="false">
      <c r="A452" s="138" t="s">
        <v>3055</v>
      </c>
      <c r="B452" s="138" t="s">
        <v>3065</v>
      </c>
      <c r="C452" s="138" t="n">
        <v>618.1465</v>
      </c>
      <c r="D452" s="138" t="n">
        <v>619.544</v>
      </c>
      <c r="E452" s="138" t="s">
        <v>2521</v>
      </c>
      <c r="F452" s="138" t="s">
        <v>2522</v>
      </c>
      <c r="G452" s="138" t="s">
        <v>60</v>
      </c>
      <c r="H452" s="141" t="n">
        <v>28</v>
      </c>
      <c r="I452" s="141"/>
      <c r="J452" s="141"/>
      <c r="K452" s="141"/>
      <c r="L452" s="141"/>
      <c r="M452" s="138" t="s">
        <v>3016</v>
      </c>
    </row>
    <row r="453" customFormat="false" ht="15" hidden="false" customHeight="false" outlineLevel="0" collapsed="false">
      <c r="A453" s="138" t="s">
        <v>3055</v>
      </c>
      <c r="B453" s="138" t="s">
        <v>3065</v>
      </c>
      <c r="C453" s="138" t="n">
        <v>618.1465</v>
      </c>
      <c r="D453" s="138" t="n">
        <v>619.544</v>
      </c>
      <c r="E453" s="138" t="s">
        <v>2521</v>
      </c>
      <c r="F453" s="138" t="s">
        <v>2522</v>
      </c>
      <c r="G453" s="138" t="s">
        <v>59</v>
      </c>
      <c r="H453" s="141" t="n">
        <v>28</v>
      </c>
      <c r="I453" s="141"/>
      <c r="J453" s="141"/>
      <c r="K453" s="141"/>
      <c r="L453" s="141"/>
      <c r="M453" s="138" t="s">
        <v>3017</v>
      </c>
    </row>
    <row r="454" customFormat="false" ht="15" hidden="false" customHeight="false" outlineLevel="0" collapsed="false">
      <c r="A454" s="138" t="s">
        <v>3066</v>
      </c>
      <c r="B454" s="138" t="s">
        <v>3067</v>
      </c>
      <c r="C454" s="138" t="n">
        <v>618.147</v>
      </c>
      <c r="D454" s="138" t="n">
        <v>618.1475</v>
      </c>
      <c r="E454" s="138" t="s">
        <v>3034</v>
      </c>
      <c r="F454" s="138" t="s">
        <v>2998</v>
      </c>
      <c r="G454" s="138" t="s">
        <v>2999</v>
      </c>
      <c r="H454" s="141" t="n">
        <v>9</v>
      </c>
      <c r="I454" s="141" t="n">
        <v>3.29</v>
      </c>
      <c r="J454" s="141" t="n">
        <v>45.17</v>
      </c>
      <c r="K454" s="141" t="n">
        <v>0</v>
      </c>
      <c r="L454" s="141" t="n">
        <v>0</v>
      </c>
      <c r="M454" s="138" t="s">
        <v>3000</v>
      </c>
    </row>
    <row r="455" customFormat="false" ht="15" hidden="false" customHeight="false" outlineLevel="0" collapsed="false">
      <c r="A455" s="138" t="s">
        <v>3068</v>
      </c>
      <c r="B455" s="138" t="s">
        <v>3069</v>
      </c>
      <c r="C455" s="138" t="n">
        <v>618.173</v>
      </c>
      <c r="D455" s="138" t="n">
        <v>619.5165</v>
      </c>
      <c r="E455" s="138" t="s">
        <v>3034</v>
      </c>
      <c r="F455" s="138" t="s">
        <v>2998</v>
      </c>
      <c r="G455" s="138" t="s">
        <v>60</v>
      </c>
      <c r="H455" s="141" t="n">
        <v>26.92</v>
      </c>
      <c r="I455" s="141" t="n">
        <v>98.84</v>
      </c>
      <c r="J455" s="141" t="n">
        <v>74.52</v>
      </c>
      <c r="K455" s="141" t="n">
        <v>11.63</v>
      </c>
      <c r="L455" s="141" t="n">
        <v>91.51</v>
      </c>
      <c r="M455" s="138" t="s">
        <v>3003</v>
      </c>
    </row>
    <row r="456" customFormat="false" ht="15" hidden="false" customHeight="false" outlineLevel="0" collapsed="false">
      <c r="A456" s="138" t="s">
        <v>3070</v>
      </c>
      <c r="B456" s="138" t="s">
        <v>3071</v>
      </c>
      <c r="C456" s="138" t="n">
        <v>618.2075</v>
      </c>
      <c r="D456" s="138" t="n">
        <v>620.8185</v>
      </c>
      <c r="E456" s="138" t="s">
        <v>2379</v>
      </c>
      <c r="F456" s="138" t="s">
        <v>2380</v>
      </c>
      <c r="G456" s="138" t="s">
        <v>60</v>
      </c>
      <c r="H456" s="141" t="n">
        <v>52.22</v>
      </c>
      <c r="I456" s="141"/>
      <c r="J456" s="141"/>
      <c r="K456" s="141"/>
      <c r="L456" s="141"/>
      <c r="M456" s="138" t="s">
        <v>2381</v>
      </c>
    </row>
    <row r="457" customFormat="false" ht="15" hidden="false" customHeight="false" outlineLevel="0" collapsed="false">
      <c r="A457" s="138" t="s">
        <v>3072</v>
      </c>
      <c r="B457" s="138" t="s">
        <v>3073</v>
      </c>
      <c r="C457" s="138" t="n">
        <v>618.208</v>
      </c>
      <c r="D457" s="138" t="n">
        <v>620.8295</v>
      </c>
      <c r="E457" s="138" t="s">
        <v>2399</v>
      </c>
      <c r="F457" s="138" t="s">
        <v>2400</v>
      </c>
      <c r="G457" s="138" t="s">
        <v>59</v>
      </c>
      <c r="H457" s="141" t="n">
        <v>52.43</v>
      </c>
      <c r="I457" s="141"/>
      <c r="J457" s="141"/>
      <c r="K457" s="141"/>
      <c r="L457" s="141"/>
      <c r="M457" s="138" t="s">
        <v>2381</v>
      </c>
    </row>
    <row r="458" customFormat="false" ht="15" hidden="false" customHeight="false" outlineLevel="0" collapsed="false">
      <c r="A458" s="138" t="s">
        <v>3074</v>
      </c>
      <c r="B458" s="138" t="s">
        <v>3075</v>
      </c>
      <c r="C458" s="138" t="n">
        <v>618.295</v>
      </c>
      <c r="D458" s="138" t="n">
        <v>620.6525</v>
      </c>
      <c r="E458" s="138" t="s">
        <v>2405</v>
      </c>
      <c r="F458" s="138" t="s">
        <v>2406</v>
      </c>
      <c r="G458" s="138" t="s">
        <v>59</v>
      </c>
      <c r="H458" s="141" t="n">
        <v>47</v>
      </c>
      <c r="I458" s="141"/>
      <c r="J458" s="141"/>
      <c r="K458" s="141"/>
      <c r="L458" s="141"/>
      <c r="M458" s="138" t="s">
        <v>2696</v>
      </c>
    </row>
    <row r="459" customFormat="false" ht="15" hidden="false" customHeight="false" outlineLevel="0" collapsed="false">
      <c r="A459" s="138" t="s">
        <v>3076</v>
      </c>
      <c r="B459" s="138" t="s">
        <v>3077</v>
      </c>
      <c r="C459" s="138" t="n">
        <v>618.99</v>
      </c>
      <c r="D459" s="138" t="n">
        <v>619.2</v>
      </c>
      <c r="E459" s="138" t="s">
        <v>3006</v>
      </c>
      <c r="F459" s="138" t="s">
        <v>2522</v>
      </c>
      <c r="G459" s="138" t="s">
        <v>60</v>
      </c>
      <c r="H459" s="141" t="n">
        <v>6</v>
      </c>
      <c r="I459" s="141"/>
      <c r="J459" s="141"/>
      <c r="K459" s="141"/>
      <c r="L459" s="141"/>
      <c r="M459" s="138" t="s">
        <v>2523</v>
      </c>
    </row>
    <row r="460" customFormat="false" ht="15" hidden="false" customHeight="false" outlineLevel="0" collapsed="false">
      <c r="A460" s="138" t="s">
        <v>3078</v>
      </c>
      <c r="B460" s="138" t="s">
        <v>3079</v>
      </c>
      <c r="C460" s="138" t="n">
        <v>619.535</v>
      </c>
      <c r="D460" s="138" t="n">
        <v>619.71</v>
      </c>
      <c r="E460" s="138" t="s">
        <v>3006</v>
      </c>
      <c r="F460" s="138" t="s">
        <v>2522</v>
      </c>
      <c r="G460" s="138" t="s">
        <v>60</v>
      </c>
      <c r="H460" s="141" t="n">
        <v>5</v>
      </c>
      <c r="I460" s="141"/>
      <c r="J460" s="141"/>
      <c r="K460" s="141"/>
      <c r="L460" s="141"/>
      <c r="M460" s="138" t="s">
        <v>2523</v>
      </c>
    </row>
    <row r="461" customFormat="false" ht="15" hidden="false" customHeight="false" outlineLevel="0" collapsed="false">
      <c r="A461" s="138" t="s">
        <v>3065</v>
      </c>
      <c r="B461" s="138" t="s">
        <v>3080</v>
      </c>
      <c r="C461" s="138" t="n">
        <v>619.544</v>
      </c>
      <c r="D461" s="138" t="n">
        <v>623.2715</v>
      </c>
      <c r="E461" s="138" t="s">
        <v>2521</v>
      </c>
      <c r="F461" s="138" t="s">
        <v>2522</v>
      </c>
      <c r="G461" s="138" t="s">
        <v>60</v>
      </c>
      <c r="H461" s="141" t="n">
        <v>75</v>
      </c>
      <c r="I461" s="141"/>
      <c r="J461" s="141"/>
      <c r="K461" s="141"/>
      <c r="L461" s="141"/>
      <c r="M461" s="138" t="s">
        <v>3016</v>
      </c>
    </row>
    <row r="462" customFormat="false" ht="15" hidden="false" customHeight="false" outlineLevel="0" collapsed="false">
      <c r="A462" s="138" t="s">
        <v>3065</v>
      </c>
      <c r="B462" s="138" t="s">
        <v>3080</v>
      </c>
      <c r="C462" s="138" t="n">
        <v>619.544</v>
      </c>
      <c r="D462" s="138" t="n">
        <v>623.2715</v>
      </c>
      <c r="E462" s="138" t="s">
        <v>2521</v>
      </c>
      <c r="F462" s="138" t="s">
        <v>2522</v>
      </c>
      <c r="G462" s="138" t="s">
        <v>59</v>
      </c>
      <c r="H462" s="141" t="n">
        <v>75</v>
      </c>
      <c r="I462" s="141"/>
      <c r="J462" s="141"/>
      <c r="K462" s="141"/>
      <c r="L462" s="141"/>
      <c r="M462" s="138" t="s">
        <v>3017</v>
      </c>
    </row>
    <row r="463" customFormat="false" ht="15" hidden="false" customHeight="false" outlineLevel="0" collapsed="false">
      <c r="A463" s="138" t="s">
        <v>3065</v>
      </c>
      <c r="B463" s="138" t="s">
        <v>3081</v>
      </c>
      <c r="C463" s="138" t="n">
        <v>619.544</v>
      </c>
      <c r="D463" s="138" t="n">
        <v>619.5445</v>
      </c>
      <c r="E463" s="138" t="s">
        <v>2997</v>
      </c>
      <c r="F463" s="138" t="s">
        <v>2998</v>
      </c>
      <c r="G463" s="138" t="s">
        <v>2999</v>
      </c>
      <c r="H463" s="141" t="n">
        <v>9.05</v>
      </c>
      <c r="I463" s="141" t="n">
        <v>2.25</v>
      </c>
      <c r="J463" s="141" t="n">
        <v>33</v>
      </c>
      <c r="K463" s="141" t="n">
        <v>0</v>
      </c>
      <c r="L463" s="141" t="n">
        <v>0</v>
      </c>
      <c r="M463" s="138" t="s">
        <v>3000</v>
      </c>
    </row>
    <row r="464" customFormat="false" ht="15" hidden="false" customHeight="false" outlineLevel="0" collapsed="false">
      <c r="A464" s="138" t="s">
        <v>3082</v>
      </c>
      <c r="B464" s="138" t="s">
        <v>3083</v>
      </c>
      <c r="C464" s="138" t="n">
        <v>619.5715</v>
      </c>
      <c r="D464" s="138" t="n">
        <v>620.9145</v>
      </c>
      <c r="E464" s="138" t="s">
        <v>3034</v>
      </c>
      <c r="F464" s="138" t="s">
        <v>2998</v>
      </c>
      <c r="G464" s="138" t="s">
        <v>60</v>
      </c>
      <c r="H464" s="141" t="n">
        <v>26.9</v>
      </c>
      <c r="I464" s="141" t="n">
        <v>110.41</v>
      </c>
      <c r="J464" s="141" t="n">
        <v>74.49</v>
      </c>
      <c r="K464" s="141" t="n">
        <v>23.25</v>
      </c>
      <c r="L464" s="141" t="n">
        <v>0</v>
      </c>
      <c r="M464" s="138" t="s">
        <v>3003</v>
      </c>
    </row>
    <row r="465" customFormat="false" ht="15" hidden="false" customHeight="false" outlineLevel="0" collapsed="false">
      <c r="A465" s="138" t="s">
        <v>3084</v>
      </c>
      <c r="B465" s="138" t="s">
        <v>3085</v>
      </c>
      <c r="C465" s="138" t="n">
        <v>620.61</v>
      </c>
      <c r="D465" s="138" t="n">
        <v>621.135</v>
      </c>
      <c r="E465" s="138" t="s">
        <v>3006</v>
      </c>
      <c r="F465" s="138" t="s">
        <v>2522</v>
      </c>
      <c r="G465" s="138" t="s">
        <v>59</v>
      </c>
      <c r="H465" s="141" t="n">
        <v>12</v>
      </c>
      <c r="I465" s="141"/>
      <c r="J465" s="141"/>
      <c r="K465" s="141"/>
      <c r="L465" s="141"/>
      <c r="M465" s="138" t="s">
        <v>2523</v>
      </c>
    </row>
    <row r="466" customFormat="false" ht="15" hidden="false" customHeight="false" outlineLevel="0" collapsed="false">
      <c r="A466" s="138" t="s">
        <v>3075</v>
      </c>
      <c r="B466" s="138" t="s">
        <v>3086</v>
      </c>
      <c r="C466" s="138" t="n">
        <v>620.6525</v>
      </c>
      <c r="D466" s="138" t="n">
        <v>621.151</v>
      </c>
      <c r="E466" s="138" t="s">
        <v>2454</v>
      </c>
      <c r="F466" s="138" t="s">
        <v>2455</v>
      </c>
      <c r="G466" s="138" t="s">
        <v>59</v>
      </c>
      <c r="H466" s="141" t="n">
        <v>10</v>
      </c>
      <c r="I466" s="141"/>
      <c r="J466" s="141"/>
      <c r="K466" s="141"/>
      <c r="L466" s="141"/>
      <c r="M466" s="138" t="s">
        <v>2456</v>
      </c>
    </row>
    <row r="467" customFormat="false" ht="15" hidden="false" customHeight="false" outlineLevel="0" collapsed="false">
      <c r="A467" s="138" t="s">
        <v>3087</v>
      </c>
      <c r="B467" s="138" t="s">
        <v>3088</v>
      </c>
      <c r="C467" s="138" t="n">
        <v>620.969</v>
      </c>
      <c r="D467" s="138" t="n">
        <v>623.2425</v>
      </c>
      <c r="E467" s="138" t="s">
        <v>3034</v>
      </c>
      <c r="F467" s="138" t="s">
        <v>2998</v>
      </c>
      <c r="G467" s="138" t="s">
        <v>60</v>
      </c>
      <c r="H467" s="141" t="n">
        <v>45.52</v>
      </c>
      <c r="I467" s="141" t="n">
        <v>186.81</v>
      </c>
      <c r="J467" s="141" t="n">
        <v>126.03</v>
      </c>
      <c r="K467" s="141" t="n">
        <v>39.33</v>
      </c>
      <c r="L467" s="141" t="n">
        <v>0</v>
      </c>
      <c r="M467" s="138" t="s">
        <v>3003</v>
      </c>
    </row>
    <row r="468" customFormat="false" ht="15" hidden="false" customHeight="false" outlineLevel="0" collapsed="false">
      <c r="A468" s="138" t="s">
        <v>3086</v>
      </c>
      <c r="B468" s="138" t="s">
        <v>3089</v>
      </c>
      <c r="C468" s="138" t="n">
        <v>621.151</v>
      </c>
      <c r="D468" s="138" t="n">
        <v>622.251</v>
      </c>
      <c r="E468" s="138" t="s">
        <v>2395</v>
      </c>
      <c r="F468" s="138" t="s">
        <v>2396</v>
      </c>
      <c r="G468" s="138" t="s">
        <v>59</v>
      </c>
      <c r="H468" s="141" t="n">
        <v>22</v>
      </c>
      <c r="I468" s="141"/>
      <c r="J468" s="141"/>
      <c r="K468" s="141"/>
      <c r="L468" s="141"/>
      <c r="M468" s="138" t="s">
        <v>2696</v>
      </c>
    </row>
    <row r="469" customFormat="false" ht="15" hidden="false" customHeight="false" outlineLevel="0" collapsed="false">
      <c r="A469" s="138" t="s">
        <v>3090</v>
      </c>
      <c r="B469" s="138" t="s">
        <v>3091</v>
      </c>
      <c r="C469" s="138" t="n">
        <v>621.24</v>
      </c>
      <c r="D469" s="138" t="n">
        <v>621.515</v>
      </c>
      <c r="E469" s="138" t="s">
        <v>3006</v>
      </c>
      <c r="F469" s="138" t="s">
        <v>2522</v>
      </c>
      <c r="G469" s="138" t="s">
        <v>60</v>
      </c>
      <c r="H469" s="141" t="n">
        <v>7</v>
      </c>
      <c r="I469" s="141"/>
      <c r="J469" s="141"/>
      <c r="K469" s="141"/>
      <c r="L469" s="141"/>
      <c r="M469" s="138" t="s">
        <v>2523</v>
      </c>
    </row>
    <row r="470" customFormat="false" ht="15" hidden="false" customHeight="false" outlineLevel="0" collapsed="false">
      <c r="A470" s="138" t="s">
        <v>3080</v>
      </c>
      <c r="B470" s="138" t="s">
        <v>3092</v>
      </c>
      <c r="C470" s="138" t="n">
        <v>623.2715</v>
      </c>
      <c r="D470" s="138" t="n">
        <v>624.674</v>
      </c>
      <c r="E470" s="138" t="s">
        <v>2521</v>
      </c>
      <c r="F470" s="138" t="s">
        <v>2522</v>
      </c>
      <c r="G470" s="138" t="s">
        <v>60</v>
      </c>
      <c r="H470" s="141" t="n">
        <v>28</v>
      </c>
      <c r="I470" s="141"/>
      <c r="J470" s="141"/>
      <c r="K470" s="141"/>
      <c r="L470" s="141"/>
      <c r="M470" s="138" t="s">
        <v>3016</v>
      </c>
    </row>
    <row r="471" customFormat="false" ht="15" hidden="false" customHeight="false" outlineLevel="0" collapsed="false">
      <c r="A471" s="138" t="s">
        <v>3080</v>
      </c>
      <c r="B471" s="138" t="s">
        <v>3092</v>
      </c>
      <c r="C471" s="138" t="n">
        <v>623.2715</v>
      </c>
      <c r="D471" s="138" t="n">
        <v>624.674</v>
      </c>
      <c r="E471" s="138" t="s">
        <v>2521</v>
      </c>
      <c r="F471" s="138" t="s">
        <v>2522</v>
      </c>
      <c r="G471" s="138" t="s">
        <v>59</v>
      </c>
      <c r="H471" s="141" t="n">
        <v>28</v>
      </c>
      <c r="I471" s="141"/>
      <c r="J471" s="141"/>
      <c r="K471" s="141"/>
      <c r="L471" s="141"/>
      <c r="M471" s="138" t="s">
        <v>3017</v>
      </c>
    </row>
    <row r="472" customFormat="false" ht="15" hidden="false" customHeight="false" outlineLevel="0" collapsed="false">
      <c r="A472" s="138" t="s">
        <v>3080</v>
      </c>
      <c r="B472" s="138" t="s">
        <v>3093</v>
      </c>
      <c r="C472" s="138" t="n">
        <v>623.2715</v>
      </c>
      <c r="D472" s="138" t="n">
        <v>623.272</v>
      </c>
      <c r="E472" s="138" t="s">
        <v>2997</v>
      </c>
      <c r="F472" s="138" t="s">
        <v>2998</v>
      </c>
      <c r="G472" s="138" t="s">
        <v>2999</v>
      </c>
      <c r="H472" s="141" t="n">
        <v>9.3</v>
      </c>
      <c r="I472" s="141" t="n">
        <v>1.67</v>
      </c>
      <c r="J472" s="141" t="n">
        <v>33.92</v>
      </c>
      <c r="K472" s="141" t="n">
        <v>0</v>
      </c>
      <c r="L472" s="141" t="n">
        <v>0</v>
      </c>
      <c r="M472" s="138" t="s">
        <v>3000</v>
      </c>
    </row>
    <row r="473" customFormat="false" ht="15" hidden="false" customHeight="false" outlineLevel="0" collapsed="false">
      <c r="A473" s="138" t="s">
        <v>3094</v>
      </c>
      <c r="B473" s="138" t="s">
        <v>3095</v>
      </c>
      <c r="C473" s="138" t="n">
        <v>623.278</v>
      </c>
      <c r="D473" s="138" t="n">
        <v>623.343</v>
      </c>
      <c r="E473" s="138" t="s">
        <v>3034</v>
      </c>
      <c r="F473" s="138" t="s">
        <v>2998</v>
      </c>
      <c r="G473" s="138" t="s">
        <v>60</v>
      </c>
      <c r="H473" s="141" t="n">
        <v>5.48</v>
      </c>
      <c r="I473" s="141" t="n">
        <v>6.05</v>
      </c>
      <c r="J473" s="141" t="n">
        <v>27.49</v>
      </c>
      <c r="K473" s="141" t="n">
        <v>6.05</v>
      </c>
      <c r="L473" s="141" t="n">
        <v>0</v>
      </c>
      <c r="M473" s="138" t="s">
        <v>3003</v>
      </c>
    </row>
    <row r="474" customFormat="false" ht="15" hidden="false" customHeight="false" outlineLevel="0" collapsed="false">
      <c r="A474" s="138" t="s">
        <v>3096</v>
      </c>
      <c r="B474" s="138" t="s">
        <v>3097</v>
      </c>
      <c r="C474" s="138" t="n">
        <v>624.1125</v>
      </c>
      <c r="D474" s="138" t="n">
        <v>624.6545</v>
      </c>
      <c r="E474" s="138" t="s">
        <v>3098</v>
      </c>
      <c r="F474" s="138" t="s">
        <v>2998</v>
      </c>
      <c r="G474" s="138" t="s">
        <v>60</v>
      </c>
      <c r="H474" s="141" t="n">
        <v>18.64</v>
      </c>
      <c r="I474" s="141" t="n">
        <v>181.22</v>
      </c>
      <c r="J474" s="141" t="n">
        <v>196.79</v>
      </c>
      <c r="K474" s="141" t="n">
        <v>0</v>
      </c>
      <c r="L474" s="141" t="n">
        <v>0</v>
      </c>
      <c r="M474" s="138" t="s">
        <v>3003</v>
      </c>
    </row>
    <row r="475" customFormat="false" ht="15" hidden="false" customHeight="false" outlineLevel="0" collapsed="false">
      <c r="A475" s="138" t="s">
        <v>3092</v>
      </c>
      <c r="B475" s="138" t="s">
        <v>3099</v>
      </c>
      <c r="C475" s="138" t="n">
        <v>624.674</v>
      </c>
      <c r="D475" s="138" t="n">
        <v>626.524</v>
      </c>
      <c r="E475" s="138" t="s">
        <v>2521</v>
      </c>
      <c r="F475" s="138" t="s">
        <v>2522</v>
      </c>
      <c r="G475" s="138" t="s">
        <v>60</v>
      </c>
      <c r="H475" s="141" t="n">
        <v>37</v>
      </c>
      <c r="I475" s="141"/>
      <c r="J475" s="141"/>
      <c r="K475" s="141"/>
      <c r="L475" s="141"/>
      <c r="M475" s="138" t="s">
        <v>3016</v>
      </c>
    </row>
    <row r="476" customFormat="false" ht="15" hidden="false" customHeight="false" outlineLevel="0" collapsed="false">
      <c r="A476" s="138" t="s">
        <v>3092</v>
      </c>
      <c r="B476" s="138" t="s">
        <v>3099</v>
      </c>
      <c r="C476" s="138" t="n">
        <v>624.674</v>
      </c>
      <c r="D476" s="138" t="n">
        <v>626.524</v>
      </c>
      <c r="E476" s="138" t="s">
        <v>2521</v>
      </c>
      <c r="F476" s="138" t="s">
        <v>2522</v>
      </c>
      <c r="G476" s="138" t="s">
        <v>59</v>
      </c>
      <c r="H476" s="141" t="n">
        <v>37</v>
      </c>
      <c r="I476" s="141"/>
      <c r="J476" s="141"/>
      <c r="K476" s="141"/>
      <c r="L476" s="141"/>
      <c r="M476" s="138" t="s">
        <v>3017</v>
      </c>
    </row>
    <row r="477" customFormat="false" ht="15" hidden="false" customHeight="false" outlineLevel="0" collapsed="false">
      <c r="A477" s="138" t="s">
        <v>3100</v>
      </c>
      <c r="B477" s="138" t="s">
        <v>3101</v>
      </c>
      <c r="C477" s="138" t="n">
        <v>624.7015</v>
      </c>
      <c r="D477" s="138" t="n">
        <v>626.4965</v>
      </c>
      <c r="E477" s="138" t="s">
        <v>3098</v>
      </c>
      <c r="F477" s="138" t="s">
        <v>2998</v>
      </c>
      <c r="G477" s="138" t="s">
        <v>60</v>
      </c>
      <c r="H477" s="141" t="n">
        <v>35.9</v>
      </c>
      <c r="I477" s="141" t="n">
        <v>184.81</v>
      </c>
      <c r="J477" s="141" t="n">
        <v>197.18</v>
      </c>
      <c r="K477" s="141" t="n">
        <v>0</v>
      </c>
      <c r="L477" s="141" t="n">
        <v>0</v>
      </c>
      <c r="M477" s="138" t="s">
        <v>3003</v>
      </c>
    </row>
    <row r="478" customFormat="false" ht="15" hidden="false" customHeight="false" outlineLevel="0" collapsed="false">
      <c r="A478" s="138" t="s">
        <v>3102</v>
      </c>
      <c r="B478" s="138" t="s">
        <v>3103</v>
      </c>
      <c r="C478" s="138" t="n">
        <v>625.2895</v>
      </c>
      <c r="D478" s="138" t="n">
        <v>627.4395</v>
      </c>
      <c r="E478" s="138" t="s">
        <v>2395</v>
      </c>
      <c r="F478" s="138" t="s">
        <v>2396</v>
      </c>
      <c r="G478" s="138" t="s">
        <v>59</v>
      </c>
      <c r="H478" s="141" t="n">
        <v>43</v>
      </c>
      <c r="I478" s="141"/>
      <c r="J478" s="141"/>
      <c r="K478" s="141"/>
      <c r="L478" s="141"/>
      <c r="M478" s="138" t="s">
        <v>2696</v>
      </c>
    </row>
    <row r="479" customFormat="false" ht="15" hidden="false" customHeight="false" outlineLevel="0" collapsed="false">
      <c r="A479" s="138" t="s">
        <v>3099</v>
      </c>
      <c r="B479" s="138" t="s">
        <v>3104</v>
      </c>
      <c r="C479" s="138" t="n">
        <v>626.524</v>
      </c>
      <c r="D479" s="138" t="n">
        <v>628.374</v>
      </c>
      <c r="E479" s="138" t="s">
        <v>2521</v>
      </c>
      <c r="F479" s="138" t="s">
        <v>2522</v>
      </c>
      <c r="G479" s="138" t="s">
        <v>60</v>
      </c>
      <c r="H479" s="141" t="n">
        <v>37</v>
      </c>
      <c r="I479" s="141"/>
      <c r="J479" s="141"/>
      <c r="K479" s="141"/>
      <c r="L479" s="141"/>
      <c r="M479" s="138" t="s">
        <v>3016</v>
      </c>
    </row>
    <row r="480" customFormat="false" ht="15" hidden="false" customHeight="false" outlineLevel="0" collapsed="false">
      <c r="A480" s="138" t="s">
        <v>3099</v>
      </c>
      <c r="B480" s="138" t="s">
        <v>3104</v>
      </c>
      <c r="C480" s="138" t="n">
        <v>626.524</v>
      </c>
      <c r="D480" s="138" t="n">
        <v>628.374</v>
      </c>
      <c r="E480" s="138" t="s">
        <v>2521</v>
      </c>
      <c r="F480" s="138" t="s">
        <v>2522</v>
      </c>
      <c r="G480" s="138" t="s">
        <v>59</v>
      </c>
      <c r="H480" s="141" t="n">
        <v>37</v>
      </c>
      <c r="I480" s="141"/>
      <c r="J480" s="141"/>
      <c r="K480" s="141"/>
      <c r="L480" s="141"/>
      <c r="M480" s="138" t="s">
        <v>3017</v>
      </c>
    </row>
    <row r="481" customFormat="false" ht="15" hidden="false" customHeight="false" outlineLevel="0" collapsed="false">
      <c r="A481" s="138" t="s">
        <v>3099</v>
      </c>
      <c r="B481" s="138" t="s">
        <v>3105</v>
      </c>
      <c r="C481" s="138" t="n">
        <v>626.524</v>
      </c>
      <c r="D481" s="138" t="n">
        <v>626.5245</v>
      </c>
      <c r="E481" s="138" t="s">
        <v>2997</v>
      </c>
      <c r="F481" s="138" t="s">
        <v>2998</v>
      </c>
      <c r="G481" s="138" t="s">
        <v>2999</v>
      </c>
      <c r="H481" s="141" t="n">
        <v>9</v>
      </c>
      <c r="I481" s="141" t="n">
        <v>19.59</v>
      </c>
      <c r="J481" s="141" t="n">
        <v>32.84</v>
      </c>
      <c r="K481" s="141" t="n">
        <v>0</v>
      </c>
      <c r="L481" s="141" t="n">
        <v>0</v>
      </c>
      <c r="M481" s="138" t="s">
        <v>3000</v>
      </c>
    </row>
    <row r="482" customFormat="false" ht="15" hidden="false" customHeight="false" outlineLevel="0" collapsed="false">
      <c r="A482" s="138" t="s">
        <v>3106</v>
      </c>
      <c r="B482" s="138" t="s">
        <v>3107</v>
      </c>
      <c r="C482" s="138" t="n">
        <v>626.5515</v>
      </c>
      <c r="D482" s="138" t="n">
        <v>628.3465</v>
      </c>
      <c r="E482" s="138" t="s">
        <v>3098</v>
      </c>
      <c r="F482" s="138" t="s">
        <v>2998</v>
      </c>
      <c r="G482" s="138" t="s">
        <v>60</v>
      </c>
      <c r="H482" s="141" t="n">
        <v>35.9</v>
      </c>
      <c r="I482" s="141" t="n">
        <v>205.35</v>
      </c>
      <c r="J482" s="141" t="n">
        <v>197.18</v>
      </c>
      <c r="K482" s="141" t="n">
        <v>0</v>
      </c>
      <c r="L482" s="141" t="n">
        <v>0</v>
      </c>
      <c r="M482" s="138" t="s">
        <v>3003</v>
      </c>
    </row>
    <row r="483" customFormat="false" ht="15" hidden="false" customHeight="false" outlineLevel="0" collapsed="false">
      <c r="A483" s="138" t="s">
        <v>3103</v>
      </c>
      <c r="B483" s="138" t="s">
        <v>3108</v>
      </c>
      <c r="C483" s="138" t="n">
        <v>627.4395</v>
      </c>
      <c r="D483" s="138" t="n">
        <v>627.689</v>
      </c>
      <c r="E483" s="138" t="s">
        <v>2454</v>
      </c>
      <c r="F483" s="138" t="s">
        <v>2455</v>
      </c>
      <c r="G483" s="138" t="s">
        <v>59</v>
      </c>
      <c r="H483" s="141" t="n">
        <v>5</v>
      </c>
      <c r="I483" s="141"/>
      <c r="J483" s="141"/>
      <c r="K483" s="141"/>
      <c r="L483" s="141"/>
      <c r="M483" s="138" t="s">
        <v>2456</v>
      </c>
    </row>
    <row r="484" customFormat="false" ht="15" hidden="false" customHeight="false" outlineLevel="0" collapsed="false">
      <c r="A484" s="138" t="s">
        <v>3108</v>
      </c>
      <c r="B484" s="138" t="s">
        <v>3109</v>
      </c>
      <c r="C484" s="138" t="n">
        <v>627.689</v>
      </c>
      <c r="D484" s="138" t="n">
        <v>630.689</v>
      </c>
      <c r="E484" s="138" t="s">
        <v>2395</v>
      </c>
      <c r="F484" s="138" t="s">
        <v>2396</v>
      </c>
      <c r="G484" s="138" t="s">
        <v>59</v>
      </c>
      <c r="H484" s="141" t="n">
        <v>60</v>
      </c>
      <c r="I484" s="141"/>
      <c r="J484" s="141"/>
      <c r="K484" s="141"/>
      <c r="L484" s="141"/>
      <c r="M484" s="138" t="s">
        <v>2696</v>
      </c>
    </row>
    <row r="485" customFormat="false" ht="15" hidden="false" customHeight="false" outlineLevel="0" collapsed="false">
      <c r="A485" s="138" t="s">
        <v>3104</v>
      </c>
      <c r="B485" s="138" t="s">
        <v>3110</v>
      </c>
      <c r="C485" s="138" t="n">
        <v>628.374</v>
      </c>
      <c r="D485" s="138" t="n">
        <v>630.224</v>
      </c>
      <c r="E485" s="138" t="s">
        <v>2521</v>
      </c>
      <c r="F485" s="138" t="s">
        <v>2522</v>
      </c>
      <c r="G485" s="138" t="s">
        <v>60</v>
      </c>
      <c r="H485" s="141" t="n">
        <v>37</v>
      </c>
      <c r="I485" s="141"/>
      <c r="J485" s="141"/>
      <c r="K485" s="141"/>
      <c r="L485" s="141"/>
      <c r="M485" s="138" t="s">
        <v>3016</v>
      </c>
    </row>
    <row r="486" customFormat="false" ht="15" hidden="false" customHeight="false" outlineLevel="0" collapsed="false">
      <c r="A486" s="138" t="s">
        <v>3104</v>
      </c>
      <c r="B486" s="138" t="s">
        <v>3110</v>
      </c>
      <c r="C486" s="138" t="n">
        <v>628.374</v>
      </c>
      <c r="D486" s="138" t="n">
        <v>630.224</v>
      </c>
      <c r="E486" s="138" t="s">
        <v>2521</v>
      </c>
      <c r="F486" s="138" t="s">
        <v>2522</v>
      </c>
      <c r="G486" s="138" t="s">
        <v>59</v>
      </c>
      <c r="H486" s="141" t="n">
        <v>37</v>
      </c>
      <c r="I486" s="141"/>
      <c r="J486" s="141"/>
      <c r="K486" s="141"/>
      <c r="L486" s="141"/>
      <c r="M486" s="138" t="s">
        <v>3017</v>
      </c>
    </row>
    <row r="487" customFormat="false" ht="15" hidden="false" customHeight="false" outlineLevel="0" collapsed="false">
      <c r="A487" s="138" t="s">
        <v>3111</v>
      </c>
      <c r="B487" s="138" t="s">
        <v>3112</v>
      </c>
      <c r="C487" s="138" t="n">
        <v>628.4015</v>
      </c>
      <c r="D487" s="138" t="n">
        <v>630.1965</v>
      </c>
      <c r="E487" s="138" t="s">
        <v>3098</v>
      </c>
      <c r="F487" s="138" t="s">
        <v>2998</v>
      </c>
      <c r="G487" s="138" t="s">
        <v>60</v>
      </c>
      <c r="H487" s="141" t="n">
        <v>35.9</v>
      </c>
      <c r="I487" s="141" t="n">
        <v>225.88</v>
      </c>
      <c r="J487" s="141" t="n">
        <v>197.18</v>
      </c>
      <c r="K487" s="141" t="n">
        <v>0</v>
      </c>
      <c r="L487" s="141" t="n">
        <v>0</v>
      </c>
      <c r="M487" s="138" t="s">
        <v>3003</v>
      </c>
    </row>
    <row r="488" customFormat="false" ht="15" hidden="false" customHeight="false" outlineLevel="0" collapsed="false">
      <c r="A488" s="138" t="s">
        <v>3113</v>
      </c>
      <c r="B488" s="138" t="s">
        <v>3114</v>
      </c>
      <c r="C488" s="138" t="n">
        <v>628.76</v>
      </c>
      <c r="D488" s="138" t="n">
        <v>628.94</v>
      </c>
      <c r="E488" s="138" t="s">
        <v>3006</v>
      </c>
      <c r="F488" s="138" t="s">
        <v>2522</v>
      </c>
      <c r="G488" s="138" t="s">
        <v>60</v>
      </c>
      <c r="H488" s="141" t="n">
        <v>5</v>
      </c>
      <c r="I488" s="141"/>
      <c r="J488" s="141"/>
      <c r="K488" s="141"/>
      <c r="L488" s="141"/>
      <c r="M488" s="138" t="s">
        <v>2523</v>
      </c>
    </row>
    <row r="489" customFormat="false" ht="15" hidden="false" customHeight="false" outlineLevel="0" collapsed="false">
      <c r="A489" s="138" t="s">
        <v>3115</v>
      </c>
      <c r="B489" s="138" t="s">
        <v>3116</v>
      </c>
      <c r="C489" s="138" t="n">
        <v>629.575</v>
      </c>
      <c r="D489" s="138" t="n">
        <v>629.745</v>
      </c>
      <c r="E489" s="138" t="s">
        <v>3006</v>
      </c>
      <c r="F489" s="138" t="s">
        <v>2522</v>
      </c>
      <c r="G489" s="138" t="s">
        <v>59</v>
      </c>
      <c r="H489" s="141" t="n">
        <v>5</v>
      </c>
      <c r="I489" s="141"/>
      <c r="J489" s="141"/>
      <c r="K489" s="141"/>
      <c r="L489" s="141"/>
      <c r="M489" s="138" t="s">
        <v>2523</v>
      </c>
    </row>
    <row r="490" customFormat="false" ht="15" hidden="false" customHeight="false" outlineLevel="0" collapsed="false">
      <c r="A490" s="138" t="s">
        <v>3110</v>
      </c>
      <c r="B490" s="138" t="s">
        <v>3117</v>
      </c>
      <c r="C490" s="138" t="n">
        <v>630.224</v>
      </c>
      <c r="D490" s="138" t="n">
        <v>632.074</v>
      </c>
      <c r="E490" s="138" t="s">
        <v>2521</v>
      </c>
      <c r="F490" s="138" t="s">
        <v>2522</v>
      </c>
      <c r="G490" s="138" t="s">
        <v>60</v>
      </c>
      <c r="H490" s="141" t="n">
        <v>37</v>
      </c>
      <c r="I490" s="141"/>
      <c r="J490" s="141"/>
      <c r="K490" s="141"/>
      <c r="L490" s="141"/>
      <c r="M490" s="138" t="s">
        <v>3016</v>
      </c>
    </row>
    <row r="491" customFormat="false" ht="15" hidden="false" customHeight="false" outlineLevel="0" collapsed="false">
      <c r="A491" s="138" t="s">
        <v>3110</v>
      </c>
      <c r="B491" s="138" t="s">
        <v>3117</v>
      </c>
      <c r="C491" s="138" t="n">
        <v>630.224</v>
      </c>
      <c r="D491" s="138" t="n">
        <v>632.074</v>
      </c>
      <c r="E491" s="138" t="s">
        <v>2521</v>
      </c>
      <c r="F491" s="138" t="s">
        <v>2522</v>
      </c>
      <c r="G491" s="138" t="s">
        <v>59</v>
      </c>
      <c r="H491" s="141" t="n">
        <v>37</v>
      </c>
      <c r="I491" s="141"/>
      <c r="J491" s="141"/>
      <c r="K491" s="141"/>
      <c r="L491" s="141"/>
      <c r="M491" s="138" t="s">
        <v>3017</v>
      </c>
    </row>
    <row r="492" customFormat="false" ht="15" hidden="false" customHeight="false" outlineLevel="0" collapsed="false">
      <c r="A492" s="138" t="s">
        <v>3110</v>
      </c>
      <c r="B492" s="138" t="s">
        <v>3118</v>
      </c>
      <c r="C492" s="138" t="n">
        <v>630.224</v>
      </c>
      <c r="D492" s="138" t="n">
        <v>630.2245</v>
      </c>
      <c r="E492" s="138" t="s">
        <v>2997</v>
      </c>
      <c r="F492" s="138" t="s">
        <v>2998</v>
      </c>
      <c r="G492" s="138" t="s">
        <v>2999</v>
      </c>
      <c r="H492" s="141" t="n">
        <v>9</v>
      </c>
      <c r="I492" s="141" t="n">
        <v>22.46</v>
      </c>
      <c r="J492" s="141" t="n">
        <v>18.77</v>
      </c>
      <c r="K492" s="141" t="n">
        <v>0.86</v>
      </c>
      <c r="L492" s="141" t="n">
        <v>23.4</v>
      </c>
      <c r="M492" s="138" t="s">
        <v>3000</v>
      </c>
    </row>
    <row r="493" customFormat="false" ht="15" hidden="false" customHeight="false" outlineLevel="0" collapsed="false">
      <c r="A493" s="138" t="s">
        <v>3119</v>
      </c>
      <c r="B493" s="138" t="s">
        <v>3120</v>
      </c>
      <c r="C493" s="138" t="n">
        <v>630.2515</v>
      </c>
      <c r="D493" s="138" t="n">
        <v>632.0475</v>
      </c>
      <c r="E493" s="138" t="s">
        <v>3121</v>
      </c>
      <c r="F493" s="138" t="s">
        <v>2998</v>
      </c>
      <c r="G493" s="138" t="s">
        <v>60</v>
      </c>
      <c r="H493" s="141" t="n">
        <v>35.92</v>
      </c>
      <c r="I493" s="141" t="n">
        <v>227.56</v>
      </c>
      <c r="J493" s="141" t="n">
        <v>161.43</v>
      </c>
      <c r="K493" s="141" t="n">
        <v>37.93</v>
      </c>
      <c r="L493" s="141" t="n">
        <v>0</v>
      </c>
      <c r="M493" s="138" t="s">
        <v>3003</v>
      </c>
    </row>
    <row r="494" customFormat="false" ht="15" hidden="false" customHeight="false" outlineLevel="0" collapsed="false">
      <c r="A494" s="138" t="s">
        <v>3122</v>
      </c>
      <c r="B494" s="138" t="s">
        <v>3123</v>
      </c>
      <c r="C494" s="138" t="n">
        <v>630.46</v>
      </c>
      <c r="D494" s="138" t="n">
        <v>630.705</v>
      </c>
      <c r="E494" s="138" t="s">
        <v>3006</v>
      </c>
      <c r="F494" s="138" t="s">
        <v>2522</v>
      </c>
      <c r="G494" s="138" t="s">
        <v>60</v>
      </c>
      <c r="H494" s="141" t="n">
        <v>6</v>
      </c>
      <c r="I494" s="141"/>
      <c r="J494" s="141"/>
      <c r="K494" s="141"/>
      <c r="L494" s="141"/>
      <c r="M494" s="138" t="s">
        <v>2523</v>
      </c>
    </row>
    <row r="495" customFormat="false" ht="15" hidden="false" customHeight="false" outlineLevel="0" collapsed="false">
      <c r="A495" s="138" t="s">
        <v>3124</v>
      </c>
      <c r="B495" s="138" t="s">
        <v>3125</v>
      </c>
      <c r="C495" s="138" t="n">
        <v>631.665</v>
      </c>
      <c r="D495" s="138" t="n">
        <v>631.955</v>
      </c>
      <c r="E495" s="138" t="s">
        <v>3006</v>
      </c>
      <c r="F495" s="138" t="s">
        <v>2522</v>
      </c>
      <c r="G495" s="138" t="s">
        <v>59</v>
      </c>
      <c r="H495" s="141" t="n">
        <v>7</v>
      </c>
      <c r="I495" s="141"/>
      <c r="J495" s="141"/>
      <c r="K495" s="141"/>
      <c r="L495" s="141"/>
      <c r="M495" s="138" t="s">
        <v>2523</v>
      </c>
    </row>
    <row r="496" customFormat="false" ht="15" hidden="false" customHeight="false" outlineLevel="0" collapsed="false">
      <c r="A496" s="138" t="s">
        <v>3117</v>
      </c>
      <c r="B496" s="138" t="s">
        <v>3126</v>
      </c>
      <c r="C496" s="138" t="n">
        <v>632.074</v>
      </c>
      <c r="D496" s="138" t="n">
        <v>634.7965</v>
      </c>
      <c r="E496" s="138" t="s">
        <v>2521</v>
      </c>
      <c r="F496" s="138" t="s">
        <v>2522</v>
      </c>
      <c r="G496" s="138" t="s">
        <v>60</v>
      </c>
      <c r="H496" s="141" t="n">
        <v>62</v>
      </c>
      <c r="I496" s="141"/>
      <c r="J496" s="141"/>
      <c r="K496" s="141"/>
      <c r="L496" s="141"/>
      <c r="M496" s="138" t="s">
        <v>3016</v>
      </c>
    </row>
    <row r="497" customFormat="false" ht="15" hidden="false" customHeight="false" outlineLevel="0" collapsed="false">
      <c r="A497" s="138" t="s">
        <v>3117</v>
      </c>
      <c r="B497" s="138" t="s">
        <v>3126</v>
      </c>
      <c r="C497" s="138" t="n">
        <v>632.074</v>
      </c>
      <c r="D497" s="138" t="n">
        <v>634.7965</v>
      </c>
      <c r="E497" s="138" t="s">
        <v>2521</v>
      </c>
      <c r="F497" s="138" t="s">
        <v>2522</v>
      </c>
      <c r="G497" s="138" t="s">
        <v>59</v>
      </c>
      <c r="H497" s="141" t="n">
        <v>54</v>
      </c>
      <c r="I497" s="141"/>
      <c r="J497" s="141"/>
      <c r="K497" s="141"/>
      <c r="L497" s="141"/>
      <c r="M497" s="138" t="s">
        <v>3017</v>
      </c>
    </row>
    <row r="498" customFormat="false" ht="15" hidden="false" customHeight="false" outlineLevel="0" collapsed="false">
      <c r="A498" s="138" t="s">
        <v>3127</v>
      </c>
      <c r="B498" s="138" t="s">
        <v>3128</v>
      </c>
      <c r="C498" s="138" t="n">
        <v>632.1025</v>
      </c>
      <c r="D498" s="138" t="n">
        <v>633.272</v>
      </c>
      <c r="E498" s="138" t="s">
        <v>3121</v>
      </c>
      <c r="F498" s="138" t="s">
        <v>2998</v>
      </c>
      <c r="G498" s="138" t="s">
        <v>60</v>
      </c>
      <c r="H498" s="141" t="n">
        <v>23.44</v>
      </c>
      <c r="I498" s="141" t="n">
        <v>148.48</v>
      </c>
      <c r="J498" s="141" t="n">
        <v>105.33</v>
      </c>
      <c r="K498" s="141" t="n">
        <v>24.75</v>
      </c>
      <c r="L498" s="141" t="n">
        <v>0</v>
      </c>
      <c r="M498" s="138" t="s">
        <v>3003</v>
      </c>
    </row>
    <row r="499" customFormat="false" ht="15" hidden="false" customHeight="false" outlineLevel="0" collapsed="false">
      <c r="A499" s="138" t="s">
        <v>3129</v>
      </c>
      <c r="B499" s="138" t="s">
        <v>3130</v>
      </c>
      <c r="C499" s="138" t="n">
        <v>632.44</v>
      </c>
      <c r="D499" s="138" t="n">
        <v>632.635</v>
      </c>
      <c r="E499" s="138" t="s">
        <v>3006</v>
      </c>
      <c r="F499" s="138" t="s">
        <v>2522</v>
      </c>
      <c r="G499" s="138" t="s">
        <v>59</v>
      </c>
      <c r="H499" s="141" t="n">
        <v>5</v>
      </c>
      <c r="I499" s="141"/>
      <c r="J499" s="141"/>
      <c r="K499" s="141"/>
      <c r="L499" s="141"/>
      <c r="M499" s="138" t="s">
        <v>2523</v>
      </c>
    </row>
    <row r="500" customFormat="false" ht="15" hidden="false" customHeight="false" outlineLevel="0" collapsed="false">
      <c r="A500" s="138" t="s">
        <v>3131</v>
      </c>
      <c r="B500" s="138" t="s">
        <v>3132</v>
      </c>
      <c r="C500" s="138" t="n">
        <v>633.3145</v>
      </c>
      <c r="D500" s="138" t="n">
        <v>633.3475</v>
      </c>
      <c r="E500" s="138" t="s">
        <v>2997</v>
      </c>
      <c r="F500" s="138" t="s">
        <v>2998</v>
      </c>
      <c r="G500" s="138" t="s">
        <v>60</v>
      </c>
      <c r="H500" s="141" t="n">
        <v>10.35</v>
      </c>
      <c r="I500" s="141" t="n">
        <v>43.33</v>
      </c>
      <c r="J500" s="141" t="n">
        <v>37.76</v>
      </c>
      <c r="K500" s="141" t="n">
        <v>2.31</v>
      </c>
      <c r="L500" s="141" t="n">
        <v>0</v>
      </c>
      <c r="M500" s="138" t="s">
        <v>3003</v>
      </c>
    </row>
    <row r="501" customFormat="false" ht="15" hidden="false" customHeight="false" outlineLevel="0" collapsed="false">
      <c r="A501" s="138" t="s">
        <v>3133</v>
      </c>
      <c r="B501" s="138" t="s">
        <v>3134</v>
      </c>
      <c r="C501" s="138" t="n">
        <v>633.3515</v>
      </c>
      <c r="D501" s="138" t="n">
        <v>634.586</v>
      </c>
      <c r="E501" s="138" t="s">
        <v>3121</v>
      </c>
      <c r="F501" s="138" t="s">
        <v>2998</v>
      </c>
      <c r="G501" s="138" t="s">
        <v>60</v>
      </c>
      <c r="H501" s="141" t="n">
        <v>24.74</v>
      </c>
      <c r="I501" s="141" t="n">
        <v>169.82</v>
      </c>
      <c r="J501" s="141" t="n">
        <v>111.2</v>
      </c>
      <c r="K501" s="141" t="n">
        <v>39.19</v>
      </c>
      <c r="L501" s="141" t="n">
        <v>0</v>
      </c>
      <c r="M501" s="138" t="s">
        <v>3003</v>
      </c>
    </row>
    <row r="502" customFormat="false" ht="15" hidden="false" customHeight="false" outlineLevel="0" collapsed="false">
      <c r="A502" s="138" t="s">
        <v>3135</v>
      </c>
      <c r="B502" s="138" t="s">
        <v>3136</v>
      </c>
      <c r="C502" s="138" t="n">
        <v>634.6135</v>
      </c>
      <c r="D502" s="138" t="n">
        <v>634.908</v>
      </c>
      <c r="E502" s="138" t="s">
        <v>2997</v>
      </c>
      <c r="F502" s="138" t="s">
        <v>2998</v>
      </c>
      <c r="G502" s="138" t="s">
        <v>60</v>
      </c>
      <c r="H502" s="141" t="n">
        <v>14.08</v>
      </c>
      <c r="I502" s="141" t="n">
        <v>40.54</v>
      </c>
      <c r="J502" s="141" t="n">
        <v>29.36</v>
      </c>
      <c r="K502" s="141" t="n">
        <v>6.76</v>
      </c>
      <c r="L502" s="141" t="n">
        <v>42.23</v>
      </c>
      <c r="M502" s="138" t="s">
        <v>3003</v>
      </c>
    </row>
    <row r="503" customFormat="false" ht="15" hidden="false" customHeight="false" outlineLevel="0" collapsed="false">
      <c r="A503" s="138" t="s">
        <v>3137</v>
      </c>
      <c r="B503" s="138" t="s">
        <v>3138</v>
      </c>
      <c r="C503" s="138" t="n">
        <v>634.641</v>
      </c>
      <c r="D503" s="138" t="n">
        <v>635.2295</v>
      </c>
      <c r="E503" s="138" t="s">
        <v>3121</v>
      </c>
      <c r="F503" s="138" t="s">
        <v>2998</v>
      </c>
      <c r="G503" s="138" t="s">
        <v>60</v>
      </c>
      <c r="H503" s="141" t="n">
        <v>11.76</v>
      </c>
      <c r="I503" s="141" t="n">
        <v>71.42</v>
      </c>
      <c r="J503" s="141" t="n">
        <v>52.87</v>
      </c>
      <c r="K503" s="141" t="n">
        <v>9.32</v>
      </c>
      <c r="L503" s="141" t="n">
        <v>54.11</v>
      </c>
      <c r="M503" s="138" t="s">
        <v>3003</v>
      </c>
    </row>
    <row r="504" customFormat="false" ht="15" hidden="false" customHeight="false" outlineLevel="0" collapsed="false">
      <c r="A504" s="138" t="s">
        <v>3139</v>
      </c>
      <c r="B504" s="138" t="s">
        <v>3140</v>
      </c>
      <c r="C504" s="138" t="n">
        <v>635.283</v>
      </c>
      <c r="D504" s="138" t="n">
        <v>635.8955</v>
      </c>
      <c r="E504" s="138" t="s">
        <v>2521</v>
      </c>
      <c r="F504" s="138" t="s">
        <v>2522</v>
      </c>
      <c r="G504" s="138" t="s">
        <v>60</v>
      </c>
      <c r="H504" s="141" t="n">
        <v>25</v>
      </c>
      <c r="I504" s="141"/>
      <c r="J504" s="141"/>
      <c r="K504" s="141"/>
      <c r="L504" s="141"/>
      <c r="M504" s="138" t="s">
        <v>3016</v>
      </c>
    </row>
    <row r="505" customFormat="false" ht="15" hidden="false" customHeight="false" outlineLevel="0" collapsed="false">
      <c r="A505" s="138" t="s">
        <v>3139</v>
      </c>
      <c r="B505" s="138" t="s">
        <v>3140</v>
      </c>
      <c r="C505" s="138" t="n">
        <v>635.283</v>
      </c>
      <c r="D505" s="138" t="n">
        <v>635.8955</v>
      </c>
      <c r="E505" s="138" t="s">
        <v>2521</v>
      </c>
      <c r="F505" s="138" t="s">
        <v>2522</v>
      </c>
      <c r="G505" s="138" t="s">
        <v>59</v>
      </c>
      <c r="H505" s="141" t="n">
        <v>12</v>
      </c>
      <c r="I505" s="141"/>
      <c r="J505" s="141"/>
      <c r="K505" s="141"/>
      <c r="L505" s="141"/>
      <c r="M505" s="138" t="s">
        <v>3017</v>
      </c>
    </row>
    <row r="506" customFormat="false" ht="15" hidden="false" customHeight="false" outlineLevel="0" collapsed="false">
      <c r="A506" s="138" t="s">
        <v>3141</v>
      </c>
      <c r="B506" s="138" t="s">
        <v>3142</v>
      </c>
      <c r="C506" s="138" t="n">
        <v>635.2845</v>
      </c>
      <c r="D506" s="138" t="n">
        <v>635.8685</v>
      </c>
      <c r="E506" s="138" t="s">
        <v>3011</v>
      </c>
      <c r="F506" s="138" t="s">
        <v>2998</v>
      </c>
      <c r="G506" s="138" t="s">
        <v>60</v>
      </c>
      <c r="H506" s="141" t="n">
        <v>11.78</v>
      </c>
      <c r="I506" s="141" t="n">
        <v>56.54</v>
      </c>
      <c r="J506" s="141" t="n">
        <v>42.07</v>
      </c>
      <c r="K506" s="141" t="n">
        <v>7.07</v>
      </c>
      <c r="L506" s="141" t="n">
        <v>47.12</v>
      </c>
      <c r="M506" s="138" t="s">
        <v>3003</v>
      </c>
    </row>
    <row r="507" customFormat="false" ht="15" hidden="false" customHeight="false" outlineLevel="0" collapsed="false">
      <c r="A507" s="138" t="s">
        <v>3143</v>
      </c>
      <c r="B507" s="138" t="s">
        <v>3144</v>
      </c>
      <c r="C507" s="138" t="n">
        <v>635.893</v>
      </c>
      <c r="D507" s="138" t="n">
        <v>635.8935</v>
      </c>
      <c r="E507" s="138" t="s">
        <v>3011</v>
      </c>
      <c r="F507" s="138" t="s">
        <v>2998</v>
      </c>
      <c r="G507" s="138" t="s">
        <v>2999</v>
      </c>
      <c r="H507" s="141" t="n">
        <v>3.78</v>
      </c>
      <c r="I507" s="141" t="n">
        <v>30.84</v>
      </c>
      <c r="J507" s="141" t="n">
        <v>25.04</v>
      </c>
      <c r="K507" s="141" t="n">
        <v>3.43</v>
      </c>
      <c r="L507" s="141" t="n">
        <v>0</v>
      </c>
      <c r="M507" s="138" t="s">
        <v>3000</v>
      </c>
    </row>
    <row r="508" customFormat="false" ht="15" hidden="false" customHeight="false" outlineLevel="0" collapsed="false">
      <c r="A508" s="138" t="s">
        <v>3140</v>
      </c>
      <c r="B508" s="138" t="s">
        <v>3145</v>
      </c>
      <c r="C508" s="138" t="n">
        <v>635.8955</v>
      </c>
      <c r="D508" s="138" t="n">
        <v>639.702</v>
      </c>
      <c r="E508" s="138" t="s">
        <v>2521</v>
      </c>
      <c r="F508" s="138" t="s">
        <v>2522</v>
      </c>
      <c r="G508" s="138" t="s">
        <v>60</v>
      </c>
      <c r="H508" s="141" t="n">
        <v>76</v>
      </c>
      <c r="I508" s="141"/>
      <c r="J508" s="141"/>
      <c r="K508" s="141"/>
      <c r="L508" s="141"/>
      <c r="M508" s="138" t="s">
        <v>3016</v>
      </c>
    </row>
    <row r="509" customFormat="false" ht="15" hidden="false" customHeight="false" outlineLevel="0" collapsed="false">
      <c r="A509" s="138" t="s">
        <v>3140</v>
      </c>
      <c r="B509" s="138" t="s">
        <v>3145</v>
      </c>
      <c r="C509" s="138" t="n">
        <v>635.8955</v>
      </c>
      <c r="D509" s="138" t="n">
        <v>639.702</v>
      </c>
      <c r="E509" s="138" t="s">
        <v>2521</v>
      </c>
      <c r="F509" s="138" t="s">
        <v>2522</v>
      </c>
      <c r="G509" s="138" t="s">
        <v>59</v>
      </c>
      <c r="H509" s="141" t="n">
        <v>76</v>
      </c>
      <c r="I509" s="141"/>
      <c r="J509" s="141"/>
      <c r="K509" s="141"/>
      <c r="L509" s="141"/>
      <c r="M509" s="138" t="s">
        <v>3017</v>
      </c>
    </row>
    <row r="510" customFormat="false" ht="15" hidden="false" customHeight="false" outlineLevel="0" collapsed="false">
      <c r="A510" s="138" t="s">
        <v>3146</v>
      </c>
      <c r="B510" s="138" t="s">
        <v>3147</v>
      </c>
      <c r="C510" s="138" t="n">
        <v>635.923</v>
      </c>
      <c r="D510" s="138" t="n">
        <v>639.6745</v>
      </c>
      <c r="E510" s="138" t="s">
        <v>2997</v>
      </c>
      <c r="F510" s="138" t="s">
        <v>2998</v>
      </c>
      <c r="G510" s="138" t="s">
        <v>60</v>
      </c>
      <c r="H510" s="141" t="n">
        <v>75.13</v>
      </c>
      <c r="I510" s="141" t="n">
        <v>219.37</v>
      </c>
      <c r="J510" s="141" t="n">
        <v>274.09</v>
      </c>
      <c r="K510" s="141" t="n">
        <v>0</v>
      </c>
      <c r="L510" s="141" t="n">
        <v>0</v>
      </c>
      <c r="M510" s="138" t="s">
        <v>3003</v>
      </c>
    </row>
    <row r="511" customFormat="false" ht="15" hidden="false" customHeight="false" outlineLevel="0" collapsed="false">
      <c r="A511" s="138" t="s">
        <v>3148</v>
      </c>
      <c r="B511" s="138" t="s">
        <v>3149</v>
      </c>
      <c r="C511" s="138" t="n">
        <v>635.9445</v>
      </c>
      <c r="D511" s="138" t="n">
        <v>638.085</v>
      </c>
      <c r="E511" s="138" t="s">
        <v>2785</v>
      </c>
      <c r="F511" s="138" t="s">
        <v>2406</v>
      </c>
      <c r="G511" s="138" t="s">
        <v>59</v>
      </c>
      <c r="H511" s="141" t="n">
        <v>43</v>
      </c>
      <c r="I511" s="141"/>
      <c r="J511" s="141"/>
      <c r="K511" s="141"/>
      <c r="L511" s="141"/>
      <c r="M511" s="138" t="s">
        <v>2696</v>
      </c>
    </row>
    <row r="512" customFormat="false" ht="15" hidden="false" customHeight="false" outlineLevel="0" collapsed="false">
      <c r="A512" s="138" t="s">
        <v>3149</v>
      </c>
      <c r="B512" s="138" t="s">
        <v>3150</v>
      </c>
      <c r="C512" s="138" t="n">
        <v>638.085</v>
      </c>
      <c r="D512" s="138" t="n">
        <v>642.734</v>
      </c>
      <c r="E512" s="138" t="s">
        <v>2464</v>
      </c>
      <c r="F512" s="138" t="s">
        <v>2406</v>
      </c>
      <c r="G512" s="138" t="s">
        <v>59</v>
      </c>
      <c r="H512" s="141" t="n">
        <v>93</v>
      </c>
      <c r="I512" s="141"/>
      <c r="J512" s="141"/>
      <c r="K512" s="141"/>
      <c r="L512" s="141"/>
      <c r="M512" s="138" t="s">
        <v>2696</v>
      </c>
    </row>
    <row r="513" customFormat="false" ht="15" hidden="false" customHeight="false" outlineLevel="0" collapsed="false">
      <c r="A513" s="138" t="s">
        <v>3145</v>
      </c>
      <c r="B513" s="138" t="s">
        <v>3151</v>
      </c>
      <c r="C513" s="138" t="n">
        <v>639.702</v>
      </c>
      <c r="D513" s="138" t="n">
        <v>642.79085</v>
      </c>
      <c r="E513" s="138" t="s">
        <v>2521</v>
      </c>
      <c r="F513" s="138" t="s">
        <v>2522</v>
      </c>
      <c r="G513" s="138" t="s">
        <v>60</v>
      </c>
      <c r="H513" s="141" t="n">
        <v>62</v>
      </c>
      <c r="I513" s="141"/>
      <c r="J513" s="141"/>
      <c r="K513" s="141"/>
      <c r="L513" s="141"/>
      <c r="M513" s="138" t="s">
        <v>3016</v>
      </c>
    </row>
    <row r="514" customFormat="false" ht="15" hidden="false" customHeight="false" outlineLevel="0" collapsed="false">
      <c r="A514" s="138" t="s">
        <v>3145</v>
      </c>
      <c r="B514" s="138" t="s">
        <v>3151</v>
      </c>
      <c r="C514" s="138" t="n">
        <v>639.702</v>
      </c>
      <c r="D514" s="138" t="n">
        <v>642.79085</v>
      </c>
      <c r="E514" s="138" t="s">
        <v>2521</v>
      </c>
      <c r="F514" s="138" t="s">
        <v>2522</v>
      </c>
      <c r="G514" s="138" t="s">
        <v>59</v>
      </c>
      <c r="H514" s="141" t="n">
        <v>62</v>
      </c>
      <c r="I514" s="141"/>
      <c r="J514" s="141"/>
      <c r="K514" s="141"/>
      <c r="L514" s="141"/>
      <c r="M514" s="138" t="s">
        <v>3017</v>
      </c>
    </row>
    <row r="515" customFormat="false" ht="15" hidden="false" customHeight="false" outlineLevel="0" collapsed="false">
      <c r="A515" s="138" t="s">
        <v>3145</v>
      </c>
      <c r="B515" s="138" t="s">
        <v>3152</v>
      </c>
      <c r="C515" s="138" t="n">
        <v>639.702</v>
      </c>
      <c r="D515" s="138" t="n">
        <v>639.7025</v>
      </c>
      <c r="E515" s="138" t="s">
        <v>2997</v>
      </c>
      <c r="F515" s="138" t="s">
        <v>2998</v>
      </c>
      <c r="G515" s="138" t="s">
        <v>2999</v>
      </c>
      <c r="H515" s="141" t="n">
        <v>10.5</v>
      </c>
      <c r="I515" s="141" t="n">
        <v>43.95</v>
      </c>
      <c r="J515" s="141" t="n">
        <v>38.31</v>
      </c>
      <c r="K515" s="141" t="n">
        <v>2.35</v>
      </c>
      <c r="L515" s="141" t="n">
        <v>0</v>
      </c>
      <c r="M515" s="138" t="s">
        <v>3000</v>
      </c>
    </row>
    <row r="516" customFormat="false" ht="15" hidden="false" customHeight="false" outlineLevel="0" collapsed="false">
      <c r="A516" s="138" t="s">
        <v>3153</v>
      </c>
      <c r="B516" s="138" t="s">
        <v>3154</v>
      </c>
      <c r="C516" s="138" t="n">
        <v>639.7295</v>
      </c>
      <c r="D516" s="138" t="n">
        <v>642.7635</v>
      </c>
      <c r="E516" s="138" t="s">
        <v>2997</v>
      </c>
      <c r="F516" s="138" t="s">
        <v>2998</v>
      </c>
      <c r="G516" s="138" t="s">
        <v>60</v>
      </c>
      <c r="H516" s="141" t="n">
        <v>60.68</v>
      </c>
      <c r="I516" s="141" t="n">
        <v>406.29</v>
      </c>
      <c r="J516" s="141" t="n">
        <v>221.37</v>
      </c>
      <c r="K516" s="141" t="n">
        <v>165.86</v>
      </c>
      <c r="L516" s="141" t="n">
        <v>0</v>
      </c>
      <c r="M516" s="138" t="s">
        <v>3003</v>
      </c>
    </row>
    <row r="517" customFormat="false" ht="15" hidden="false" customHeight="false" outlineLevel="0" collapsed="false">
      <c r="A517" s="138" t="s">
        <v>3155</v>
      </c>
      <c r="B517" s="138" t="s">
        <v>3156</v>
      </c>
      <c r="C517" s="138" t="n">
        <v>641.52</v>
      </c>
      <c r="D517" s="138" t="n">
        <v>641.77</v>
      </c>
      <c r="E517" s="138" t="s">
        <v>3006</v>
      </c>
      <c r="F517" s="138" t="s">
        <v>2522</v>
      </c>
      <c r="G517" s="138" t="s">
        <v>60</v>
      </c>
      <c r="H517" s="141" t="n">
        <v>5</v>
      </c>
      <c r="I517" s="141"/>
      <c r="J517" s="141"/>
      <c r="K517" s="141"/>
      <c r="L517" s="141"/>
      <c r="M517" s="138" t="s">
        <v>2523</v>
      </c>
    </row>
    <row r="518" customFormat="false" ht="15" hidden="false" customHeight="false" outlineLevel="0" collapsed="false">
      <c r="A518" s="138" t="s">
        <v>3157</v>
      </c>
      <c r="B518" s="138" t="s">
        <v>3151</v>
      </c>
      <c r="C518" s="138" t="n">
        <v>642.79035</v>
      </c>
      <c r="D518" s="138" t="n">
        <v>642.79085</v>
      </c>
      <c r="E518" s="138" t="s">
        <v>2997</v>
      </c>
      <c r="F518" s="138" t="s">
        <v>2998</v>
      </c>
      <c r="G518" s="138" t="s">
        <v>2999</v>
      </c>
      <c r="H518" s="141" t="n">
        <v>10.5</v>
      </c>
      <c r="I518" s="141" t="n">
        <v>43.95</v>
      </c>
      <c r="J518" s="141" t="n">
        <v>38.31</v>
      </c>
      <c r="K518" s="141" t="n">
        <v>2.35</v>
      </c>
      <c r="L518" s="141" t="n">
        <v>0</v>
      </c>
      <c r="M518" s="138" t="s">
        <v>3000</v>
      </c>
    </row>
  </sheetData>
  <autoFilter ref="A1:M5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14" min="8" style="0" width="10"/>
    <col collapsed="false" customWidth="true" hidden="false" outlineLevel="0" max="15" min="15" style="0" width="38"/>
  </cols>
  <sheetData>
    <row r="1" customFormat="false" ht="48" hidden="false" customHeight="true" outlineLevel="0" collapsed="false">
      <c r="A1" s="133" t="s">
        <v>9</v>
      </c>
      <c r="B1" s="133" t="s">
        <v>3158</v>
      </c>
      <c r="C1" s="133" t="s">
        <v>2369</v>
      </c>
      <c r="D1" s="133" t="s">
        <v>1367</v>
      </c>
      <c r="E1" s="133" t="s">
        <v>2370</v>
      </c>
      <c r="F1" s="133" t="s">
        <v>3159</v>
      </c>
      <c r="G1" s="133" t="s">
        <v>2371</v>
      </c>
      <c r="H1" s="133" t="s">
        <v>2372</v>
      </c>
      <c r="I1" s="133" t="s">
        <v>2373</v>
      </c>
      <c r="J1" s="133" t="s">
        <v>2374</v>
      </c>
      <c r="K1" s="133" t="s">
        <v>2375</v>
      </c>
      <c r="L1" s="133" t="s">
        <v>3160</v>
      </c>
      <c r="M1" s="133" t="s">
        <v>3161</v>
      </c>
      <c r="N1" s="133" t="s">
        <v>3162</v>
      </c>
      <c r="O1" s="133" t="s">
        <v>1328</v>
      </c>
    </row>
    <row r="2" customFormat="false" ht="15" hidden="false" customHeight="false" outlineLevel="0" collapsed="false">
      <c r="A2" s="138" t="s">
        <v>2377</v>
      </c>
      <c r="B2" s="138" t="n">
        <v>0.4335</v>
      </c>
      <c r="C2" s="138" t="s">
        <v>3163</v>
      </c>
      <c r="D2" s="138" t="s">
        <v>2380</v>
      </c>
      <c r="E2" s="138" t="s">
        <v>60</v>
      </c>
      <c r="F2" s="138" t="n">
        <v>1</v>
      </c>
      <c r="G2" s="141" t="n">
        <v>14.14</v>
      </c>
      <c r="H2" s="141"/>
      <c r="I2" s="141"/>
      <c r="J2" s="141"/>
      <c r="K2" s="141"/>
      <c r="L2" s="141"/>
      <c r="M2" s="141"/>
      <c r="N2" s="141"/>
      <c r="O2" s="138" t="s">
        <v>3164</v>
      </c>
    </row>
    <row r="3" customFormat="false" ht="15" hidden="false" customHeight="false" outlineLevel="0" collapsed="false">
      <c r="A3" s="138" t="s">
        <v>3165</v>
      </c>
      <c r="B3" s="138" t="n">
        <v>1.4335</v>
      </c>
      <c r="C3" s="138" t="s">
        <v>3163</v>
      </c>
      <c r="D3" s="138" t="s">
        <v>2380</v>
      </c>
      <c r="E3" s="138" t="s">
        <v>60</v>
      </c>
      <c r="F3" s="138" t="n">
        <v>1</v>
      </c>
      <c r="G3" s="141" t="n">
        <v>14.14</v>
      </c>
      <c r="H3" s="141"/>
      <c r="I3" s="141"/>
      <c r="J3" s="141"/>
      <c r="K3" s="141"/>
      <c r="L3" s="141"/>
      <c r="M3" s="141"/>
      <c r="N3" s="141"/>
      <c r="O3" s="138" t="s">
        <v>3164</v>
      </c>
    </row>
    <row r="4" customFormat="false" ht="15" hidden="false" customHeight="false" outlineLevel="0" collapsed="false">
      <c r="A4" s="138" t="s">
        <v>3166</v>
      </c>
      <c r="B4" s="138" t="n">
        <v>2.428</v>
      </c>
      <c r="C4" s="138" t="s">
        <v>3163</v>
      </c>
      <c r="D4" s="138" t="s">
        <v>2380</v>
      </c>
      <c r="E4" s="138" t="s">
        <v>60</v>
      </c>
      <c r="F4" s="138" t="n">
        <v>1</v>
      </c>
      <c r="G4" s="141" t="n">
        <v>14.14</v>
      </c>
      <c r="H4" s="141"/>
      <c r="I4" s="141"/>
      <c r="J4" s="141"/>
      <c r="K4" s="141"/>
      <c r="L4" s="141"/>
      <c r="M4" s="141"/>
      <c r="N4" s="141"/>
      <c r="O4" s="138" t="s">
        <v>3164</v>
      </c>
    </row>
    <row r="5" customFormat="false" ht="15" hidden="false" customHeight="false" outlineLevel="0" collapsed="false">
      <c r="A5" s="138" t="s">
        <v>3167</v>
      </c>
      <c r="B5" s="138" t="n">
        <v>2.939</v>
      </c>
      <c r="C5" s="138" t="s">
        <v>3163</v>
      </c>
      <c r="D5" s="138" t="s">
        <v>2380</v>
      </c>
      <c r="E5" s="138" t="s">
        <v>60</v>
      </c>
      <c r="F5" s="138" t="n">
        <v>1</v>
      </c>
      <c r="G5" s="141" t="n">
        <v>14.14</v>
      </c>
      <c r="H5" s="141"/>
      <c r="I5" s="141"/>
      <c r="J5" s="141"/>
      <c r="K5" s="141"/>
      <c r="L5" s="141"/>
      <c r="M5" s="141"/>
      <c r="N5" s="141"/>
      <c r="O5" s="138" t="s">
        <v>3164</v>
      </c>
    </row>
    <row r="6" customFormat="false" ht="15" hidden="false" customHeight="false" outlineLevel="0" collapsed="false">
      <c r="A6" s="138" t="s">
        <v>3168</v>
      </c>
      <c r="B6" s="138" t="n">
        <v>3.6045</v>
      </c>
      <c r="C6" s="138" t="s">
        <v>3169</v>
      </c>
      <c r="D6" s="138" t="s">
        <v>3170</v>
      </c>
      <c r="E6" s="138" t="s">
        <v>59</v>
      </c>
      <c r="F6" s="138" t="n">
        <v>1</v>
      </c>
      <c r="G6" s="141"/>
      <c r="H6" s="141"/>
      <c r="I6" s="141"/>
      <c r="J6" s="141"/>
      <c r="K6" s="141"/>
      <c r="L6" s="141"/>
      <c r="M6" s="141"/>
      <c r="N6" s="141"/>
      <c r="O6" s="138" t="s">
        <v>3171</v>
      </c>
    </row>
    <row r="7" customFormat="false" ht="15" hidden="false" customHeight="false" outlineLevel="0" collapsed="false">
      <c r="A7" s="138" t="s">
        <v>3172</v>
      </c>
      <c r="B7" s="138" t="n">
        <v>3.8325</v>
      </c>
      <c r="C7" s="138" t="s">
        <v>3173</v>
      </c>
      <c r="D7" s="138" t="s">
        <v>3174</v>
      </c>
      <c r="E7" s="138"/>
      <c r="F7" s="138" t="n">
        <v>1</v>
      </c>
      <c r="G7" s="141" t="n">
        <v>19.29</v>
      </c>
      <c r="H7" s="141" t="n">
        <v>412.58</v>
      </c>
      <c r="I7" s="141" t="n">
        <v>267.22</v>
      </c>
      <c r="J7" s="141" t="n">
        <v>122.63</v>
      </c>
      <c r="K7" s="141" t="n">
        <v>0</v>
      </c>
      <c r="L7" s="141"/>
      <c r="M7" s="141"/>
      <c r="N7" s="141"/>
      <c r="O7" s="138" t="s">
        <v>3175</v>
      </c>
    </row>
    <row r="8" customFormat="false" ht="15" hidden="false" customHeight="false" outlineLevel="0" collapsed="false">
      <c r="A8" s="138" t="s">
        <v>3172</v>
      </c>
      <c r="B8" s="138" t="n">
        <v>3.8325</v>
      </c>
      <c r="C8" s="138" t="s">
        <v>395</v>
      </c>
      <c r="D8" s="138" t="s">
        <v>3176</v>
      </c>
      <c r="E8" s="138" t="s">
        <v>59</v>
      </c>
      <c r="F8" s="138" t="n">
        <v>1</v>
      </c>
      <c r="G8" s="141"/>
      <c r="H8" s="141" t="n">
        <v>144.88</v>
      </c>
      <c r="I8" s="141"/>
      <c r="J8" s="141"/>
      <c r="K8" s="141"/>
      <c r="L8" s="141"/>
      <c r="M8" s="141" t="n">
        <v>119.05</v>
      </c>
      <c r="N8" s="141"/>
      <c r="O8" s="138" t="s">
        <v>3177</v>
      </c>
    </row>
    <row r="9" customFormat="false" ht="15" hidden="false" customHeight="false" outlineLevel="0" collapsed="false">
      <c r="A9" s="138" t="s">
        <v>3172</v>
      </c>
      <c r="B9" s="138" t="n">
        <v>3.8325</v>
      </c>
      <c r="C9" s="138" t="s">
        <v>391</v>
      </c>
      <c r="D9" s="138" t="s">
        <v>3178</v>
      </c>
      <c r="E9" s="138" t="s">
        <v>60</v>
      </c>
      <c r="F9" s="138" t="n">
        <v>1</v>
      </c>
      <c r="G9" s="141"/>
      <c r="H9" s="141" t="n">
        <v>101.69</v>
      </c>
      <c r="I9" s="141"/>
      <c r="J9" s="141"/>
      <c r="K9" s="141"/>
      <c r="L9" s="141" t="n">
        <v>19.13</v>
      </c>
      <c r="M9" s="141"/>
      <c r="N9" s="141" t="n">
        <v>9</v>
      </c>
      <c r="O9" s="138" t="s">
        <v>3179</v>
      </c>
    </row>
    <row r="10" customFormat="false" ht="15" hidden="false" customHeight="false" outlineLevel="0" collapsed="false">
      <c r="A10" s="138" t="s">
        <v>3180</v>
      </c>
      <c r="B10" s="138" t="n">
        <v>4.008</v>
      </c>
      <c r="C10" s="138" t="s">
        <v>3181</v>
      </c>
      <c r="D10" s="138" t="s">
        <v>3174</v>
      </c>
      <c r="E10" s="138" t="s">
        <v>59</v>
      </c>
      <c r="F10" s="138" t="n">
        <v>1</v>
      </c>
      <c r="G10" s="141"/>
      <c r="H10" s="141"/>
      <c r="I10" s="141"/>
      <c r="J10" s="141"/>
      <c r="K10" s="141"/>
      <c r="L10" s="141"/>
      <c r="M10" s="141"/>
      <c r="N10" s="141"/>
      <c r="O10" s="138" t="s">
        <v>3182</v>
      </c>
    </row>
    <row r="11" customFormat="false" ht="15" hidden="false" customHeight="false" outlineLevel="0" collapsed="false">
      <c r="A11" s="138" t="s">
        <v>2397</v>
      </c>
      <c r="B11" s="138" t="n">
        <v>4.2155</v>
      </c>
      <c r="C11" s="138" t="s">
        <v>3169</v>
      </c>
      <c r="D11" s="138" t="s">
        <v>3170</v>
      </c>
      <c r="E11" s="138" t="s">
        <v>60</v>
      </c>
      <c r="F11" s="138" t="n">
        <v>1</v>
      </c>
      <c r="G11" s="141"/>
      <c r="H11" s="141"/>
      <c r="I11" s="141"/>
      <c r="J11" s="141"/>
      <c r="K11" s="141"/>
      <c r="L11" s="141"/>
      <c r="M11" s="141"/>
      <c r="N11" s="141"/>
      <c r="O11" s="138" t="s">
        <v>3171</v>
      </c>
    </row>
    <row r="12" customFormat="false" ht="15" hidden="false" customHeight="false" outlineLevel="0" collapsed="false">
      <c r="A12" s="138" t="s">
        <v>2401</v>
      </c>
      <c r="B12" s="138" t="n">
        <v>4.332</v>
      </c>
      <c r="C12" s="138" t="s">
        <v>3169</v>
      </c>
      <c r="D12" s="138" t="s">
        <v>3170</v>
      </c>
      <c r="E12" s="138" t="s">
        <v>59</v>
      </c>
      <c r="F12" s="138" t="n">
        <v>1</v>
      </c>
      <c r="G12" s="141"/>
      <c r="H12" s="141"/>
      <c r="I12" s="141"/>
      <c r="J12" s="141"/>
      <c r="K12" s="141"/>
      <c r="L12" s="141"/>
      <c r="M12" s="141"/>
      <c r="N12" s="141"/>
      <c r="O12" s="138" t="s">
        <v>3171</v>
      </c>
    </row>
    <row r="13" customFormat="false" ht="15" hidden="false" customHeight="false" outlineLevel="0" collapsed="false">
      <c r="A13" s="138" t="s">
        <v>3183</v>
      </c>
      <c r="B13" s="138" t="n">
        <v>4.939</v>
      </c>
      <c r="C13" s="138" t="s">
        <v>3163</v>
      </c>
      <c r="D13" s="138" t="s">
        <v>2380</v>
      </c>
      <c r="E13" s="138" t="s">
        <v>60</v>
      </c>
      <c r="F13" s="138" t="n">
        <v>1</v>
      </c>
      <c r="G13" s="141" t="n">
        <v>14.14</v>
      </c>
      <c r="H13" s="141"/>
      <c r="I13" s="141"/>
      <c r="J13" s="141"/>
      <c r="K13" s="141"/>
      <c r="L13" s="141"/>
      <c r="M13" s="141"/>
      <c r="N13" s="141"/>
      <c r="O13" s="138" t="s">
        <v>3164</v>
      </c>
    </row>
    <row r="14" customFormat="false" ht="15" hidden="false" customHeight="false" outlineLevel="0" collapsed="false">
      <c r="A14" s="138" t="s">
        <v>3184</v>
      </c>
      <c r="B14" s="138" t="n">
        <v>5.939</v>
      </c>
      <c r="C14" s="138" t="s">
        <v>3163</v>
      </c>
      <c r="D14" s="138" t="s">
        <v>2380</v>
      </c>
      <c r="E14" s="138" t="s">
        <v>60</v>
      </c>
      <c r="F14" s="138" t="n">
        <v>1</v>
      </c>
      <c r="G14" s="141" t="n">
        <v>14.14</v>
      </c>
      <c r="H14" s="141"/>
      <c r="I14" s="141"/>
      <c r="J14" s="141"/>
      <c r="K14" s="141"/>
      <c r="L14" s="141"/>
      <c r="M14" s="141"/>
      <c r="N14" s="141"/>
      <c r="O14" s="138" t="s">
        <v>3164</v>
      </c>
    </row>
    <row r="15" customFormat="false" ht="15" hidden="false" customHeight="false" outlineLevel="0" collapsed="false">
      <c r="A15" s="138" t="s">
        <v>3185</v>
      </c>
      <c r="B15" s="138" t="n">
        <v>6.939</v>
      </c>
      <c r="C15" s="138" t="s">
        <v>3163</v>
      </c>
      <c r="D15" s="138" t="s">
        <v>2380</v>
      </c>
      <c r="E15" s="138" t="s">
        <v>60</v>
      </c>
      <c r="F15" s="138" t="n">
        <v>1</v>
      </c>
      <c r="G15" s="141" t="n">
        <v>14.14</v>
      </c>
      <c r="H15" s="141"/>
      <c r="I15" s="141"/>
      <c r="J15" s="141"/>
      <c r="K15" s="141"/>
      <c r="L15" s="141"/>
      <c r="M15" s="141"/>
      <c r="N15" s="141"/>
      <c r="O15" s="138" t="s">
        <v>3164</v>
      </c>
    </row>
    <row r="16" customFormat="false" ht="15" hidden="false" customHeight="false" outlineLevel="0" collapsed="false">
      <c r="A16" s="138" t="s">
        <v>3186</v>
      </c>
      <c r="B16" s="138" t="n">
        <v>15.902</v>
      </c>
      <c r="C16" s="138" t="s">
        <v>3187</v>
      </c>
      <c r="D16" s="138" t="s">
        <v>3174</v>
      </c>
      <c r="E16" s="138"/>
      <c r="F16" s="138" t="n">
        <v>1</v>
      </c>
      <c r="G16" s="141" t="n">
        <v>18.41</v>
      </c>
      <c r="H16" s="141" t="n">
        <v>250.78</v>
      </c>
      <c r="I16" s="141" t="n">
        <v>156.36</v>
      </c>
      <c r="J16" s="141" t="n">
        <v>79.96</v>
      </c>
      <c r="K16" s="141" t="n">
        <v>0</v>
      </c>
      <c r="L16" s="141"/>
      <c r="M16" s="141"/>
      <c r="N16" s="141"/>
      <c r="O16" s="138" t="s">
        <v>3175</v>
      </c>
    </row>
    <row r="17" customFormat="false" ht="15" hidden="false" customHeight="false" outlineLevel="0" collapsed="false">
      <c r="A17" s="138" t="s">
        <v>3188</v>
      </c>
      <c r="B17" s="138" t="n">
        <v>15.9575</v>
      </c>
      <c r="C17" s="138" t="s">
        <v>391</v>
      </c>
      <c r="D17" s="138" t="s">
        <v>3178</v>
      </c>
      <c r="E17" s="138" t="s">
        <v>60</v>
      </c>
      <c r="F17" s="138" t="n">
        <v>1</v>
      </c>
      <c r="G17" s="141"/>
      <c r="H17" s="141" t="n">
        <v>3.67</v>
      </c>
      <c r="I17" s="141"/>
      <c r="J17" s="141"/>
      <c r="K17" s="141"/>
      <c r="L17" s="141" t="n">
        <v>1.73</v>
      </c>
      <c r="M17" s="141"/>
      <c r="N17" s="141" t="n">
        <v>0</v>
      </c>
      <c r="O17" s="138" t="s">
        <v>3179</v>
      </c>
    </row>
    <row r="18" customFormat="false" ht="15" hidden="false" customHeight="false" outlineLevel="0" collapsed="false">
      <c r="A18" s="138" t="s">
        <v>3189</v>
      </c>
      <c r="B18" s="138" t="n">
        <v>15.9635</v>
      </c>
      <c r="C18" s="138" t="s">
        <v>3190</v>
      </c>
      <c r="D18" s="138" t="s">
        <v>3174</v>
      </c>
      <c r="E18" s="138" t="s">
        <v>59</v>
      </c>
      <c r="F18" s="138" t="n">
        <v>1</v>
      </c>
      <c r="G18" s="141"/>
      <c r="H18" s="141"/>
      <c r="I18" s="141"/>
      <c r="J18" s="141"/>
      <c r="K18" s="141"/>
      <c r="L18" s="141"/>
      <c r="M18" s="141"/>
      <c r="N18" s="141"/>
      <c r="O18" s="138" t="s">
        <v>3182</v>
      </c>
    </row>
    <row r="19" customFormat="false" ht="15" hidden="false" customHeight="false" outlineLevel="0" collapsed="false">
      <c r="A19" s="138" t="s">
        <v>2411</v>
      </c>
      <c r="B19" s="138" t="n">
        <v>16.117</v>
      </c>
      <c r="C19" s="138" t="s">
        <v>3169</v>
      </c>
      <c r="D19" s="138" t="s">
        <v>3170</v>
      </c>
      <c r="E19" s="138" t="s">
        <v>59</v>
      </c>
      <c r="F19" s="138" t="n">
        <v>1</v>
      </c>
      <c r="G19" s="141"/>
      <c r="H19" s="141"/>
      <c r="I19" s="141"/>
      <c r="J19" s="141"/>
      <c r="K19" s="141"/>
      <c r="L19" s="141"/>
      <c r="M19" s="141"/>
      <c r="N19" s="141"/>
      <c r="O19" s="138" t="s">
        <v>3171</v>
      </c>
    </row>
    <row r="20" customFormat="false" ht="15" hidden="false" customHeight="false" outlineLevel="0" collapsed="false">
      <c r="A20" s="138" t="s">
        <v>2414</v>
      </c>
      <c r="B20" s="138" t="n">
        <v>18.264</v>
      </c>
      <c r="C20" s="138" t="s">
        <v>3169</v>
      </c>
      <c r="D20" s="138" t="s">
        <v>3170</v>
      </c>
      <c r="E20" s="138" t="s">
        <v>60</v>
      </c>
      <c r="F20" s="138" t="n">
        <v>1</v>
      </c>
      <c r="G20" s="141"/>
      <c r="H20" s="141"/>
      <c r="I20" s="141"/>
      <c r="J20" s="141"/>
      <c r="K20" s="141"/>
      <c r="L20" s="141"/>
      <c r="M20" s="141"/>
      <c r="N20" s="141"/>
      <c r="O20" s="138" t="s">
        <v>3171</v>
      </c>
    </row>
    <row r="21" customFormat="false" ht="15" hidden="false" customHeight="false" outlineLevel="0" collapsed="false">
      <c r="A21" s="138" t="s">
        <v>3191</v>
      </c>
      <c r="B21" s="138" t="n">
        <v>19.198</v>
      </c>
      <c r="C21" s="138" t="s">
        <v>3163</v>
      </c>
      <c r="D21" s="138" t="s">
        <v>2380</v>
      </c>
      <c r="E21" s="138" t="s">
        <v>60</v>
      </c>
      <c r="F21" s="138" t="n">
        <v>1</v>
      </c>
      <c r="G21" s="141" t="n">
        <v>14.14</v>
      </c>
      <c r="H21" s="141"/>
      <c r="I21" s="141"/>
      <c r="J21" s="141"/>
      <c r="K21" s="141"/>
      <c r="L21" s="141"/>
      <c r="M21" s="141"/>
      <c r="N21" s="141"/>
      <c r="O21" s="138" t="s">
        <v>3164</v>
      </c>
    </row>
    <row r="22" customFormat="false" ht="15" hidden="false" customHeight="false" outlineLevel="0" collapsed="false">
      <c r="A22" s="138" t="s">
        <v>3192</v>
      </c>
      <c r="B22" s="138" t="n">
        <v>20.198</v>
      </c>
      <c r="C22" s="138" t="s">
        <v>3163</v>
      </c>
      <c r="D22" s="138" t="s">
        <v>2380</v>
      </c>
      <c r="E22" s="138" t="s">
        <v>60</v>
      </c>
      <c r="F22" s="138" t="n">
        <v>1</v>
      </c>
      <c r="G22" s="141" t="n">
        <v>14.14</v>
      </c>
      <c r="H22" s="141"/>
      <c r="I22" s="141"/>
      <c r="J22" s="141"/>
      <c r="K22" s="141"/>
      <c r="L22" s="141"/>
      <c r="M22" s="141"/>
      <c r="N22" s="141"/>
      <c r="O22" s="138" t="s">
        <v>3164</v>
      </c>
    </row>
    <row r="23" customFormat="false" ht="15" hidden="false" customHeight="false" outlineLevel="0" collapsed="false">
      <c r="A23" s="138" t="s">
        <v>3193</v>
      </c>
      <c r="B23" s="138" t="n">
        <v>21.194</v>
      </c>
      <c r="C23" s="138" t="s">
        <v>3163</v>
      </c>
      <c r="D23" s="138" t="s">
        <v>2380</v>
      </c>
      <c r="E23" s="138" t="s">
        <v>60</v>
      </c>
      <c r="F23" s="138" t="n">
        <v>1</v>
      </c>
      <c r="G23" s="141" t="n">
        <v>14.14</v>
      </c>
      <c r="H23" s="141"/>
      <c r="I23" s="141"/>
      <c r="J23" s="141"/>
      <c r="K23" s="141"/>
      <c r="L23" s="141"/>
      <c r="M23" s="141"/>
      <c r="N23" s="141"/>
      <c r="O23" s="138" t="s">
        <v>3164</v>
      </c>
    </row>
    <row r="24" customFormat="false" ht="15" hidden="false" customHeight="false" outlineLevel="0" collapsed="false">
      <c r="A24" s="138" t="s">
        <v>2422</v>
      </c>
      <c r="B24" s="138" t="n">
        <v>29.961</v>
      </c>
      <c r="C24" s="138" t="s">
        <v>3194</v>
      </c>
      <c r="D24" s="138" t="s">
        <v>3195</v>
      </c>
      <c r="E24" s="138" t="s">
        <v>59</v>
      </c>
      <c r="F24" s="138" t="n">
        <v>1</v>
      </c>
      <c r="G24" s="141"/>
      <c r="H24" s="141"/>
      <c r="I24" s="141"/>
      <c r="J24" s="141"/>
      <c r="K24" s="141"/>
      <c r="L24" s="141"/>
      <c r="M24" s="141"/>
      <c r="N24" s="141"/>
      <c r="O24" s="138" t="s">
        <v>3196</v>
      </c>
    </row>
    <row r="25" customFormat="false" ht="15" hidden="false" customHeight="false" outlineLevel="0" collapsed="false">
      <c r="A25" s="138" t="s">
        <v>3197</v>
      </c>
      <c r="B25" s="138" t="n">
        <v>30.437</v>
      </c>
      <c r="C25" s="138" t="s">
        <v>3169</v>
      </c>
      <c r="D25" s="138" t="s">
        <v>3170</v>
      </c>
      <c r="E25" s="138" t="s">
        <v>59</v>
      </c>
      <c r="F25" s="138" t="n">
        <v>1</v>
      </c>
      <c r="G25" s="141"/>
      <c r="H25" s="141"/>
      <c r="I25" s="141"/>
      <c r="J25" s="141"/>
      <c r="K25" s="141"/>
      <c r="L25" s="141"/>
      <c r="M25" s="141"/>
      <c r="N25" s="141"/>
      <c r="O25" s="138" t="s">
        <v>3171</v>
      </c>
    </row>
    <row r="26" customFormat="false" ht="15" hidden="false" customHeight="false" outlineLevel="0" collapsed="false">
      <c r="A26" s="138" t="s">
        <v>2417</v>
      </c>
      <c r="B26" s="138" t="n">
        <v>31.4545</v>
      </c>
      <c r="C26" s="138" t="s">
        <v>3198</v>
      </c>
      <c r="D26" s="138" t="s">
        <v>3199</v>
      </c>
      <c r="E26" s="138" t="s">
        <v>60</v>
      </c>
      <c r="F26" s="138" t="n">
        <v>1</v>
      </c>
      <c r="G26" s="141" t="n">
        <v>3</v>
      </c>
      <c r="H26" s="141"/>
      <c r="I26" s="141"/>
      <c r="J26" s="141"/>
      <c r="K26" s="141"/>
      <c r="L26" s="141"/>
      <c r="M26" s="141"/>
      <c r="N26" s="141"/>
      <c r="O26" s="138" t="s">
        <v>3200</v>
      </c>
    </row>
    <row r="27" customFormat="false" ht="15" hidden="false" customHeight="false" outlineLevel="0" collapsed="false">
      <c r="A27" s="138" t="s">
        <v>2428</v>
      </c>
      <c r="B27" s="138" t="n">
        <v>35.25</v>
      </c>
      <c r="C27" s="138" t="s">
        <v>3163</v>
      </c>
      <c r="D27" s="138" t="s">
        <v>2380</v>
      </c>
      <c r="E27" s="138" t="s">
        <v>59</v>
      </c>
      <c r="F27" s="138" t="n">
        <v>1</v>
      </c>
      <c r="G27" s="141" t="n">
        <v>14.14</v>
      </c>
      <c r="H27" s="141"/>
      <c r="I27" s="141"/>
      <c r="J27" s="141"/>
      <c r="K27" s="141"/>
      <c r="L27" s="141"/>
      <c r="M27" s="141"/>
      <c r="N27" s="141"/>
      <c r="O27" s="138" t="s">
        <v>3164</v>
      </c>
    </row>
    <row r="28" customFormat="false" ht="15" hidden="false" customHeight="false" outlineLevel="0" collapsed="false">
      <c r="A28" s="138" t="s">
        <v>2427</v>
      </c>
      <c r="B28" s="138" t="n">
        <v>35.4345</v>
      </c>
      <c r="C28" s="138" t="s">
        <v>3194</v>
      </c>
      <c r="D28" s="138" t="s">
        <v>3195</v>
      </c>
      <c r="E28" s="138" t="s">
        <v>59</v>
      </c>
      <c r="F28" s="138" t="n">
        <v>1</v>
      </c>
      <c r="G28" s="141"/>
      <c r="H28" s="141"/>
      <c r="I28" s="141"/>
      <c r="J28" s="141"/>
      <c r="K28" s="141"/>
      <c r="L28" s="141"/>
      <c r="M28" s="141"/>
      <c r="N28" s="141"/>
      <c r="O28" s="138" t="s">
        <v>3196</v>
      </c>
    </row>
    <row r="29" customFormat="false" ht="15" hidden="false" customHeight="false" outlineLevel="0" collapsed="false">
      <c r="A29" s="138" t="s">
        <v>3201</v>
      </c>
      <c r="B29" s="138" t="n">
        <v>36.25</v>
      </c>
      <c r="C29" s="138" t="s">
        <v>3163</v>
      </c>
      <c r="D29" s="138" t="s">
        <v>2380</v>
      </c>
      <c r="E29" s="138" t="s">
        <v>59</v>
      </c>
      <c r="F29" s="138" t="n">
        <v>1</v>
      </c>
      <c r="G29" s="141" t="n">
        <v>14.14</v>
      </c>
      <c r="H29" s="141"/>
      <c r="I29" s="141"/>
      <c r="J29" s="141"/>
      <c r="K29" s="141"/>
      <c r="L29" s="141"/>
      <c r="M29" s="141"/>
      <c r="N29" s="141"/>
      <c r="O29" s="138" t="s">
        <v>3164</v>
      </c>
    </row>
    <row r="30" customFormat="false" ht="15" hidden="false" customHeight="false" outlineLevel="0" collapsed="false">
      <c r="A30" s="138" t="s">
        <v>3202</v>
      </c>
      <c r="B30" s="138" t="n">
        <v>37.25</v>
      </c>
      <c r="C30" s="138" t="s">
        <v>3163</v>
      </c>
      <c r="D30" s="138" t="s">
        <v>2380</v>
      </c>
      <c r="E30" s="138" t="s">
        <v>59</v>
      </c>
      <c r="F30" s="138" t="n">
        <v>1</v>
      </c>
      <c r="G30" s="141" t="n">
        <v>14.14</v>
      </c>
      <c r="H30" s="141"/>
      <c r="I30" s="141"/>
      <c r="J30" s="141"/>
      <c r="K30" s="141"/>
      <c r="L30" s="141"/>
      <c r="M30" s="141"/>
      <c r="N30" s="141"/>
      <c r="O30" s="138" t="s">
        <v>3164</v>
      </c>
    </row>
    <row r="31" customFormat="false" ht="15" hidden="false" customHeight="false" outlineLevel="0" collapsed="false">
      <c r="A31" s="138" t="s">
        <v>3203</v>
      </c>
      <c r="B31" s="138" t="n">
        <v>37.642</v>
      </c>
      <c r="C31" s="138" t="s">
        <v>3169</v>
      </c>
      <c r="D31" s="138" t="s">
        <v>3170</v>
      </c>
      <c r="E31" s="138" t="s">
        <v>59</v>
      </c>
      <c r="F31" s="138" t="n">
        <v>1</v>
      </c>
      <c r="G31" s="141"/>
      <c r="H31" s="141"/>
      <c r="I31" s="141"/>
      <c r="J31" s="141"/>
      <c r="K31" s="141"/>
      <c r="L31" s="141"/>
      <c r="M31" s="141"/>
      <c r="N31" s="141"/>
      <c r="O31" s="138" t="s">
        <v>3171</v>
      </c>
    </row>
    <row r="32" customFormat="false" ht="15" hidden="false" customHeight="false" outlineLevel="0" collapsed="false">
      <c r="A32" s="138" t="s">
        <v>3204</v>
      </c>
      <c r="B32" s="138" t="n">
        <v>38.032</v>
      </c>
      <c r="C32" s="138" t="s">
        <v>3169</v>
      </c>
      <c r="D32" s="138" t="s">
        <v>3170</v>
      </c>
      <c r="E32" s="138" t="s">
        <v>60</v>
      </c>
      <c r="F32" s="138" t="n">
        <v>1</v>
      </c>
      <c r="G32" s="141"/>
      <c r="H32" s="141"/>
      <c r="I32" s="141"/>
      <c r="J32" s="141"/>
      <c r="K32" s="141"/>
      <c r="L32" s="141"/>
      <c r="M32" s="141"/>
      <c r="N32" s="141"/>
      <c r="O32" s="138" t="s">
        <v>3171</v>
      </c>
    </row>
    <row r="33" customFormat="false" ht="15" hidden="false" customHeight="false" outlineLevel="0" collapsed="false">
      <c r="A33" s="138" t="s">
        <v>3205</v>
      </c>
      <c r="B33" s="138" t="n">
        <v>38.158</v>
      </c>
      <c r="C33" s="138" t="s">
        <v>3187</v>
      </c>
      <c r="D33" s="138" t="s">
        <v>3174</v>
      </c>
      <c r="E33" s="138"/>
      <c r="F33" s="138" t="n">
        <v>1</v>
      </c>
      <c r="G33" s="141" t="n">
        <v>18.82</v>
      </c>
      <c r="H33" s="141" t="n">
        <v>143.46</v>
      </c>
      <c r="I33" s="141" t="n">
        <v>159.9</v>
      </c>
      <c r="J33" s="141" t="n">
        <v>0</v>
      </c>
      <c r="K33" s="141" t="n">
        <v>0</v>
      </c>
      <c r="L33" s="141"/>
      <c r="M33" s="141"/>
      <c r="N33" s="141"/>
      <c r="O33" s="138" t="s">
        <v>3175</v>
      </c>
    </row>
    <row r="34" customFormat="false" ht="15" hidden="false" customHeight="false" outlineLevel="0" collapsed="false">
      <c r="A34" s="138" t="s">
        <v>2432</v>
      </c>
      <c r="B34" s="138" t="n">
        <v>38.2</v>
      </c>
      <c r="C34" s="138" t="s">
        <v>3206</v>
      </c>
      <c r="D34" s="138" t="s">
        <v>3207</v>
      </c>
      <c r="E34" s="138" t="s">
        <v>59</v>
      </c>
      <c r="F34" s="138" t="n">
        <v>1</v>
      </c>
      <c r="G34" s="141"/>
      <c r="H34" s="141"/>
      <c r="I34" s="141"/>
      <c r="J34" s="141"/>
      <c r="K34" s="141"/>
      <c r="L34" s="141"/>
      <c r="M34" s="141"/>
      <c r="N34" s="141"/>
      <c r="O34" s="138" t="s">
        <v>3208</v>
      </c>
    </row>
    <row r="35" customFormat="false" ht="15" hidden="false" customHeight="false" outlineLevel="0" collapsed="false">
      <c r="A35" s="138" t="s">
        <v>2432</v>
      </c>
      <c r="B35" s="138" t="n">
        <v>38.2</v>
      </c>
      <c r="C35" s="138" t="s">
        <v>3209</v>
      </c>
      <c r="D35" s="138" t="s">
        <v>3199</v>
      </c>
      <c r="E35" s="138" t="s">
        <v>59</v>
      </c>
      <c r="F35" s="138" t="n">
        <v>1</v>
      </c>
      <c r="G35" s="141" t="n">
        <v>1.65</v>
      </c>
      <c r="H35" s="141"/>
      <c r="I35" s="141"/>
      <c r="J35" s="141"/>
      <c r="K35" s="141"/>
      <c r="L35" s="141"/>
      <c r="M35" s="141"/>
      <c r="N35" s="141"/>
      <c r="O35" s="138" t="s">
        <v>3200</v>
      </c>
    </row>
    <row r="36" customFormat="false" ht="15" hidden="false" customHeight="false" outlineLevel="0" collapsed="false">
      <c r="A36" s="138" t="s">
        <v>3210</v>
      </c>
      <c r="B36" s="138" t="n">
        <v>38.6055</v>
      </c>
      <c r="C36" s="138" t="s">
        <v>395</v>
      </c>
      <c r="D36" s="138" t="s">
        <v>3176</v>
      </c>
      <c r="E36" s="138" t="s">
        <v>59</v>
      </c>
      <c r="F36" s="138" t="n">
        <v>1</v>
      </c>
      <c r="G36" s="141"/>
      <c r="H36" s="141" t="n">
        <v>18.9</v>
      </c>
      <c r="I36" s="141"/>
      <c r="J36" s="141"/>
      <c r="K36" s="141"/>
      <c r="L36" s="141"/>
      <c r="M36" s="141" t="n">
        <v>43.56</v>
      </c>
      <c r="N36" s="141"/>
      <c r="O36" s="138" t="s">
        <v>3177</v>
      </c>
    </row>
    <row r="37" customFormat="false" ht="15" hidden="false" customHeight="false" outlineLevel="0" collapsed="false">
      <c r="A37" s="138" t="s">
        <v>3210</v>
      </c>
      <c r="B37" s="138" t="n">
        <v>38.6055</v>
      </c>
      <c r="C37" s="138" t="s">
        <v>391</v>
      </c>
      <c r="D37" s="138" t="s">
        <v>3178</v>
      </c>
      <c r="E37" s="138" t="s">
        <v>60</v>
      </c>
      <c r="F37" s="138" t="n">
        <v>1</v>
      </c>
      <c r="G37" s="141"/>
      <c r="H37" s="141" t="n">
        <v>18.32</v>
      </c>
      <c r="I37" s="141"/>
      <c r="J37" s="141"/>
      <c r="K37" s="141"/>
      <c r="L37" s="141" t="n">
        <v>3.99</v>
      </c>
      <c r="M37" s="141"/>
      <c r="N37" s="141" t="n">
        <v>2</v>
      </c>
      <c r="O37" s="138" t="s">
        <v>3179</v>
      </c>
    </row>
    <row r="38" customFormat="false" ht="15" hidden="false" customHeight="false" outlineLevel="0" collapsed="false">
      <c r="A38" s="138" t="s">
        <v>2438</v>
      </c>
      <c r="B38" s="138" t="n">
        <v>38.8595</v>
      </c>
      <c r="C38" s="138" t="s">
        <v>3169</v>
      </c>
      <c r="D38" s="138" t="s">
        <v>3170</v>
      </c>
      <c r="E38" s="138" t="s">
        <v>59</v>
      </c>
      <c r="F38" s="138" t="n">
        <v>1</v>
      </c>
      <c r="G38" s="141"/>
      <c r="H38" s="141"/>
      <c r="I38" s="141"/>
      <c r="J38" s="141"/>
      <c r="K38" s="141"/>
      <c r="L38" s="141"/>
      <c r="M38" s="141"/>
      <c r="N38" s="141"/>
      <c r="O38" s="138" t="s">
        <v>3171</v>
      </c>
    </row>
    <row r="39" customFormat="false" ht="15" hidden="false" customHeight="false" outlineLevel="0" collapsed="false">
      <c r="A39" s="138" t="s">
        <v>1681</v>
      </c>
      <c r="B39" s="138" t="n">
        <v>39</v>
      </c>
      <c r="C39" s="138" t="s">
        <v>3169</v>
      </c>
      <c r="D39" s="138" t="s">
        <v>3170</v>
      </c>
      <c r="E39" s="138" t="s">
        <v>60</v>
      </c>
      <c r="F39" s="138" t="n">
        <v>1</v>
      </c>
      <c r="G39" s="141"/>
      <c r="H39" s="141"/>
      <c r="I39" s="141"/>
      <c r="J39" s="141"/>
      <c r="K39" s="141"/>
      <c r="L39" s="141"/>
      <c r="M39" s="141"/>
      <c r="N39" s="141"/>
      <c r="O39" s="138" t="s">
        <v>3171</v>
      </c>
    </row>
    <row r="40" customFormat="false" ht="15" hidden="false" customHeight="false" outlineLevel="0" collapsed="false">
      <c r="A40" s="138" t="s">
        <v>3211</v>
      </c>
      <c r="B40" s="138" t="n">
        <v>39.25</v>
      </c>
      <c r="C40" s="138" t="s">
        <v>3163</v>
      </c>
      <c r="D40" s="138" t="s">
        <v>2380</v>
      </c>
      <c r="E40" s="138" t="s">
        <v>59</v>
      </c>
      <c r="F40" s="138" t="n">
        <v>1</v>
      </c>
      <c r="G40" s="141" t="n">
        <v>14.14</v>
      </c>
      <c r="H40" s="141"/>
      <c r="I40" s="141"/>
      <c r="J40" s="141"/>
      <c r="K40" s="141"/>
      <c r="L40" s="141"/>
      <c r="M40" s="141"/>
      <c r="N40" s="141"/>
      <c r="O40" s="138" t="s">
        <v>3164</v>
      </c>
    </row>
    <row r="41" customFormat="false" ht="15" hidden="false" customHeight="false" outlineLevel="0" collapsed="false">
      <c r="A41" s="138" t="s">
        <v>2440</v>
      </c>
      <c r="B41" s="138" t="n">
        <v>40.25</v>
      </c>
      <c r="C41" s="138" t="s">
        <v>3163</v>
      </c>
      <c r="D41" s="138" t="s">
        <v>2380</v>
      </c>
      <c r="E41" s="138" t="s">
        <v>60</v>
      </c>
      <c r="F41" s="138" t="n">
        <v>1</v>
      </c>
      <c r="G41" s="141" t="n">
        <v>14.14</v>
      </c>
      <c r="H41" s="141"/>
      <c r="I41" s="141"/>
      <c r="J41" s="141"/>
      <c r="K41" s="141"/>
      <c r="L41" s="141"/>
      <c r="M41" s="141"/>
      <c r="N41" s="141"/>
      <c r="O41" s="138" t="s">
        <v>3164</v>
      </c>
    </row>
    <row r="42" customFormat="false" ht="15" hidden="false" customHeight="false" outlineLevel="0" collapsed="false">
      <c r="A42" s="138" t="s">
        <v>2441</v>
      </c>
      <c r="B42" s="138" t="n">
        <v>40.612</v>
      </c>
      <c r="C42" s="138" t="s">
        <v>3169</v>
      </c>
      <c r="D42" s="138" t="s">
        <v>3170</v>
      </c>
      <c r="E42" s="138" t="s">
        <v>60</v>
      </c>
      <c r="F42" s="138" t="n">
        <v>1</v>
      </c>
      <c r="G42" s="141"/>
      <c r="H42" s="141"/>
      <c r="I42" s="141"/>
      <c r="J42" s="141"/>
      <c r="K42" s="141"/>
      <c r="L42" s="141"/>
      <c r="M42" s="141"/>
      <c r="N42" s="141"/>
      <c r="O42" s="138" t="s">
        <v>3171</v>
      </c>
    </row>
    <row r="43" customFormat="false" ht="15" hidden="false" customHeight="false" outlineLevel="0" collapsed="false">
      <c r="A43" s="138" t="s">
        <v>3212</v>
      </c>
      <c r="B43" s="138" t="n">
        <v>41.17</v>
      </c>
      <c r="C43" s="138" t="s">
        <v>3213</v>
      </c>
      <c r="D43" s="138" t="s">
        <v>3174</v>
      </c>
      <c r="E43" s="138"/>
      <c r="F43" s="138" t="n">
        <v>1</v>
      </c>
      <c r="G43" s="141" t="n">
        <v>10.74</v>
      </c>
      <c r="H43" s="141" t="n">
        <v>71.19</v>
      </c>
      <c r="I43" s="141" t="n">
        <v>71.28</v>
      </c>
      <c r="J43" s="141" t="n">
        <v>0</v>
      </c>
      <c r="K43" s="141" t="n">
        <v>0</v>
      </c>
      <c r="L43" s="141"/>
      <c r="M43" s="141"/>
      <c r="N43" s="141"/>
      <c r="O43" s="138" t="s">
        <v>3175</v>
      </c>
    </row>
    <row r="44" customFormat="false" ht="15" hidden="false" customHeight="false" outlineLevel="0" collapsed="false">
      <c r="A44" s="138" t="s">
        <v>3214</v>
      </c>
      <c r="B44" s="138" t="n">
        <v>41.687</v>
      </c>
      <c r="C44" s="138" t="s">
        <v>395</v>
      </c>
      <c r="D44" s="138" t="s">
        <v>3176</v>
      </c>
      <c r="E44" s="138" t="s">
        <v>60</v>
      </c>
      <c r="F44" s="138" t="n">
        <v>1</v>
      </c>
      <c r="G44" s="141"/>
      <c r="H44" s="141" t="n">
        <v>13.98</v>
      </c>
      <c r="I44" s="141"/>
      <c r="J44" s="141"/>
      <c r="K44" s="141"/>
      <c r="L44" s="141"/>
      <c r="M44" s="141" t="n">
        <v>32.81</v>
      </c>
      <c r="N44" s="141"/>
      <c r="O44" s="138" t="s">
        <v>3177</v>
      </c>
    </row>
    <row r="45" customFormat="false" ht="15" hidden="false" customHeight="false" outlineLevel="0" collapsed="false">
      <c r="A45" s="138" t="s">
        <v>2446</v>
      </c>
      <c r="B45" s="138" t="n">
        <v>41.829</v>
      </c>
      <c r="C45" s="138" t="s">
        <v>3198</v>
      </c>
      <c r="D45" s="138" t="s">
        <v>3199</v>
      </c>
      <c r="E45" s="138" t="s">
        <v>60</v>
      </c>
      <c r="F45" s="138" t="n">
        <v>1</v>
      </c>
      <c r="G45" s="141" t="n">
        <v>2.15</v>
      </c>
      <c r="H45" s="141"/>
      <c r="I45" s="141"/>
      <c r="J45" s="141"/>
      <c r="K45" s="141"/>
      <c r="L45" s="141"/>
      <c r="M45" s="141"/>
      <c r="N45" s="141"/>
      <c r="O45" s="138" t="s">
        <v>3200</v>
      </c>
    </row>
    <row r="46" customFormat="false" ht="15" hidden="false" customHeight="false" outlineLevel="0" collapsed="false">
      <c r="A46" s="138" t="s">
        <v>2457</v>
      </c>
      <c r="B46" s="138" t="n">
        <v>50.2835</v>
      </c>
      <c r="C46" s="138" t="s">
        <v>3194</v>
      </c>
      <c r="D46" s="138" t="s">
        <v>3195</v>
      </c>
      <c r="E46" s="138" t="s">
        <v>59</v>
      </c>
      <c r="F46" s="138" t="n">
        <v>1</v>
      </c>
      <c r="G46" s="141"/>
      <c r="H46" s="141"/>
      <c r="I46" s="141"/>
      <c r="J46" s="141"/>
      <c r="K46" s="141"/>
      <c r="L46" s="141"/>
      <c r="M46" s="141"/>
      <c r="N46" s="141"/>
      <c r="O46" s="138" t="s">
        <v>3196</v>
      </c>
    </row>
    <row r="47" customFormat="false" ht="15" hidden="false" customHeight="false" outlineLevel="0" collapsed="false">
      <c r="A47" s="138" t="s">
        <v>3215</v>
      </c>
      <c r="B47" s="138" t="n">
        <v>50.6665</v>
      </c>
      <c r="C47" s="138" t="s">
        <v>3169</v>
      </c>
      <c r="D47" s="138" t="s">
        <v>3170</v>
      </c>
      <c r="E47" s="138" t="s">
        <v>59</v>
      </c>
      <c r="F47" s="138" t="n">
        <v>1</v>
      </c>
      <c r="G47" s="141"/>
      <c r="H47" s="141"/>
      <c r="I47" s="141"/>
      <c r="J47" s="141"/>
      <c r="K47" s="141"/>
      <c r="L47" s="141"/>
      <c r="M47" s="141"/>
      <c r="N47" s="141"/>
      <c r="O47" s="138" t="s">
        <v>3171</v>
      </c>
    </row>
    <row r="48" customFormat="false" ht="15" hidden="false" customHeight="false" outlineLevel="0" collapsed="false">
      <c r="A48" s="138" t="s">
        <v>3216</v>
      </c>
      <c r="B48" s="138" t="n">
        <v>53.221</v>
      </c>
      <c r="C48" s="138" t="s">
        <v>3169</v>
      </c>
      <c r="D48" s="138" t="s">
        <v>3170</v>
      </c>
      <c r="E48" s="138" t="s">
        <v>60</v>
      </c>
      <c r="F48" s="138" t="n">
        <v>1</v>
      </c>
      <c r="G48" s="141"/>
      <c r="H48" s="141"/>
      <c r="I48" s="141"/>
      <c r="J48" s="141"/>
      <c r="K48" s="141"/>
      <c r="L48" s="141"/>
      <c r="M48" s="141"/>
      <c r="N48" s="141"/>
      <c r="O48" s="138" t="s">
        <v>3171</v>
      </c>
    </row>
    <row r="49" customFormat="false" ht="15" hidden="false" customHeight="false" outlineLevel="0" collapsed="false">
      <c r="A49" s="138" t="s">
        <v>2465</v>
      </c>
      <c r="B49" s="138" t="n">
        <v>61.75</v>
      </c>
      <c r="C49" s="138" t="s">
        <v>3163</v>
      </c>
      <c r="D49" s="138" t="s">
        <v>2380</v>
      </c>
      <c r="E49" s="138" t="s">
        <v>59</v>
      </c>
      <c r="F49" s="138" t="n">
        <v>1</v>
      </c>
      <c r="G49" s="141" t="n">
        <v>14.15</v>
      </c>
      <c r="H49" s="141"/>
      <c r="I49" s="141"/>
      <c r="J49" s="141"/>
      <c r="K49" s="141"/>
      <c r="L49" s="141"/>
      <c r="M49" s="141"/>
      <c r="N49" s="141"/>
      <c r="O49" s="138" t="s">
        <v>3164</v>
      </c>
    </row>
    <row r="50" customFormat="false" ht="15" hidden="false" customHeight="false" outlineLevel="0" collapsed="false">
      <c r="A50" s="138" t="s">
        <v>3217</v>
      </c>
      <c r="B50" s="138" t="n">
        <v>62.75</v>
      </c>
      <c r="C50" s="138" t="s">
        <v>3163</v>
      </c>
      <c r="D50" s="138" t="s">
        <v>2380</v>
      </c>
      <c r="E50" s="138" t="s">
        <v>59</v>
      </c>
      <c r="F50" s="138" t="n">
        <v>1</v>
      </c>
      <c r="G50" s="141" t="n">
        <v>14.14</v>
      </c>
      <c r="H50" s="141"/>
      <c r="I50" s="141"/>
      <c r="J50" s="141"/>
      <c r="K50" s="141"/>
      <c r="L50" s="141"/>
      <c r="M50" s="141"/>
      <c r="N50" s="141"/>
      <c r="O50" s="138" t="s">
        <v>3164</v>
      </c>
    </row>
    <row r="51" customFormat="false" ht="15" hidden="false" customHeight="false" outlineLevel="0" collapsed="false">
      <c r="A51" s="138" t="s">
        <v>3218</v>
      </c>
      <c r="B51" s="138" t="n">
        <v>63.745</v>
      </c>
      <c r="C51" s="138" t="s">
        <v>3163</v>
      </c>
      <c r="D51" s="138" t="s">
        <v>2380</v>
      </c>
      <c r="E51" s="138" t="s">
        <v>59</v>
      </c>
      <c r="F51" s="138" t="n">
        <v>1</v>
      </c>
      <c r="G51" s="141" t="n">
        <v>14.01</v>
      </c>
      <c r="H51" s="141"/>
      <c r="I51" s="141"/>
      <c r="J51" s="141"/>
      <c r="K51" s="141"/>
      <c r="L51" s="141"/>
      <c r="M51" s="141"/>
      <c r="N51" s="141"/>
      <c r="O51" s="138" t="s">
        <v>3164</v>
      </c>
    </row>
    <row r="52" customFormat="false" ht="15" hidden="false" customHeight="false" outlineLevel="0" collapsed="false">
      <c r="A52" s="138" t="s">
        <v>3219</v>
      </c>
      <c r="B52" s="138" t="n">
        <v>63.9525</v>
      </c>
      <c r="C52" s="138" t="s">
        <v>3169</v>
      </c>
      <c r="D52" s="138" t="s">
        <v>3170</v>
      </c>
      <c r="E52" s="138" t="s">
        <v>59</v>
      </c>
      <c r="F52" s="138" t="n">
        <v>1</v>
      </c>
      <c r="G52" s="141"/>
      <c r="H52" s="141"/>
      <c r="I52" s="141"/>
      <c r="J52" s="141"/>
      <c r="K52" s="141"/>
      <c r="L52" s="141"/>
      <c r="M52" s="141"/>
      <c r="N52" s="141"/>
      <c r="O52" s="138" t="s">
        <v>3171</v>
      </c>
    </row>
    <row r="53" customFormat="false" ht="15" hidden="false" customHeight="false" outlineLevel="0" collapsed="false">
      <c r="A53" s="138" t="s">
        <v>3220</v>
      </c>
      <c r="B53" s="138" t="n">
        <v>64.1145</v>
      </c>
      <c r="C53" s="138" t="s">
        <v>3169</v>
      </c>
      <c r="D53" s="138" t="s">
        <v>3170</v>
      </c>
      <c r="E53" s="138" t="s">
        <v>60</v>
      </c>
      <c r="F53" s="138" t="n">
        <v>1</v>
      </c>
      <c r="G53" s="141"/>
      <c r="H53" s="141"/>
      <c r="I53" s="141"/>
      <c r="J53" s="141"/>
      <c r="K53" s="141"/>
      <c r="L53" s="141"/>
      <c r="M53" s="141"/>
      <c r="N53" s="141"/>
      <c r="O53" s="138" t="s">
        <v>3171</v>
      </c>
    </row>
    <row r="54" customFormat="false" ht="15" hidden="false" customHeight="false" outlineLevel="0" collapsed="false">
      <c r="A54" s="138" t="s">
        <v>2460</v>
      </c>
      <c r="B54" s="138" t="n">
        <v>64.7785</v>
      </c>
      <c r="C54" s="138" t="s">
        <v>3206</v>
      </c>
      <c r="D54" s="138" t="s">
        <v>3207</v>
      </c>
      <c r="E54" s="138" t="s">
        <v>59</v>
      </c>
      <c r="F54" s="138" t="n">
        <v>1</v>
      </c>
      <c r="G54" s="141"/>
      <c r="H54" s="141"/>
      <c r="I54" s="141"/>
      <c r="J54" s="141"/>
      <c r="K54" s="141"/>
      <c r="L54" s="141"/>
      <c r="M54" s="141"/>
      <c r="N54" s="141"/>
      <c r="O54" s="138" t="s">
        <v>3208</v>
      </c>
    </row>
    <row r="55" customFormat="false" ht="15" hidden="false" customHeight="false" outlineLevel="0" collapsed="false">
      <c r="A55" s="138" t="s">
        <v>2460</v>
      </c>
      <c r="B55" s="138" t="n">
        <v>64.7785</v>
      </c>
      <c r="C55" s="138" t="s">
        <v>3209</v>
      </c>
      <c r="D55" s="138" t="s">
        <v>3199</v>
      </c>
      <c r="E55" s="138" t="s">
        <v>59</v>
      </c>
      <c r="F55" s="138" t="n">
        <v>1</v>
      </c>
      <c r="G55" s="141" t="n">
        <v>5.6</v>
      </c>
      <c r="H55" s="141"/>
      <c r="I55" s="141"/>
      <c r="J55" s="141"/>
      <c r="K55" s="141"/>
      <c r="L55" s="141"/>
      <c r="M55" s="141"/>
      <c r="N55" s="141"/>
      <c r="O55" s="138" t="s">
        <v>3200</v>
      </c>
    </row>
    <row r="56" customFormat="false" ht="15" hidden="false" customHeight="false" outlineLevel="0" collapsed="false">
      <c r="A56" s="138" t="s">
        <v>2460</v>
      </c>
      <c r="B56" s="138" t="n">
        <v>64.7785</v>
      </c>
      <c r="C56" s="138" t="s">
        <v>3221</v>
      </c>
      <c r="D56" s="138" t="s">
        <v>3195</v>
      </c>
      <c r="E56" s="138" t="s">
        <v>59</v>
      </c>
      <c r="F56" s="138" t="n">
        <v>1</v>
      </c>
      <c r="G56" s="141"/>
      <c r="H56" s="141"/>
      <c r="I56" s="141"/>
      <c r="J56" s="141"/>
      <c r="K56" s="141"/>
      <c r="L56" s="141"/>
      <c r="M56" s="141"/>
      <c r="N56" s="141"/>
      <c r="O56" s="138" t="s">
        <v>3196</v>
      </c>
    </row>
    <row r="57" customFormat="false" ht="15" hidden="false" customHeight="false" outlineLevel="0" collapsed="false">
      <c r="A57" s="138" t="s">
        <v>2470</v>
      </c>
      <c r="B57" s="138" t="n">
        <v>64.9265</v>
      </c>
      <c r="C57" s="138" t="s">
        <v>3222</v>
      </c>
      <c r="D57" s="138" t="s">
        <v>3207</v>
      </c>
      <c r="E57" s="138" t="s">
        <v>60</v>
      </c>
      <c r="F57" s="138" t="n">
        <v>1</v>
      </c>
      <c r="G57" s="141"/>
      <c r="H57" s="141"/>
      <c r="I57" s="141"/>
      <c r="J57" s="141"/>
      <c r="K57" s="141"/>
      <c r="L57" s="141"/>
      <c r="M57" s="141"/>
      <c r="N57" s="141"/>
      <c r="O57" s="138" t="s">
        <v>3208</v>
      </c>
    </row>
    <row r="58" customFormat="false" ht="15" hidden="false" customHeight="false" outlineLevel="0" collapsed="false">
      <c r="A58" s="138" t="s">
        <v>2470</v>
      </c>
      <c r="B58" s="138" t="n">
        <v>64.9265</v>
      </c>
      <c r="C58" s="138" t="s">
        <v>3209</v>
      </c>
      <c r="D58" s="138" t="s">
        <v>3199</v>
      </c>
      <c r="E58" s="138" t="s">
        <v>60</v>
      </c>
      <c r="F58" s="138" t="n">
        <v>1</v>
      </c>
      <c r="G58" s="141" t="n">
        <v>3.1</v>
      </c>
      <c r="H58" s="141"/>
      <c r="I58" s="141"/>
      <c r="J58" s="141"/>
      <c r="K58" s="141"/>
      <c r="L58" s="141"/>
      <c r="M58" s="141"/>
      <c r="N58" s="141"/>
      <c r="O58" s="138" t="s">
        <v>3200</v>
      </c>
    </row>
    <row r="59" customFormat="false" ht="15" hidden="false" customHeight="false" outlineLevel="0" collapsed="false">
      <c r="A59" s="138" t="s">
        <v>2470</v>
      </c>
      <c r="B59" s="138" t="n">
        <v>64.9265</v>
      </c>
      <c r="C59" s="138" t="s">
        <v>3221</v>
      </c>
      <c r="D59" s="138" t="s">
        <v>3195</v>
      </c>
      <c r="E59" s="138" t="s">
        <v>60</v>
      </c>
      <c r="F59" s="138" t="n">
        <v>1</v>
      </c>
      <c r="G59" s="141"/>
      <c r="H59" s="141"/>
      <c r="I59" s="141"/>
      <c r="J59" s="141"/>
      <c r="K59" s="141"/>
      <c r="L59" s="141"/>
      <c r="M59" s="141"/>
      <c r="N59" s="141"/>
      <c r="O59" s="138" t="s">
        <v>3196</v>
      </c>
    </row>
    <row r="60" customFormat="false" ht="15" hidden="false" customHeight="false" outlineLevel="0" collapsed="false">
      <c r="A60" s="138" t="s">
        <v>3223</v>
      </c>
      <c r="B60" s="138" t="n">
        <v>65.1885</v>
      </c>
      <c r="C60" s="138" t="s">
        <v>3224</v>
      </c>
      <c r="D60" s="138" t="s">
        <v>3174</v>
      </c>
      <c r="E60" s="138"/>
      <c r="F60" s="138" t="n">
        <v>1</v>
      </c>
      <c r="G60" s="141" t="n">
        <v>22.85</v>
      </c>
      <c r="H60" s="141" t="n">
        <v>413.95</v>
      </c>
      <c r="I60" s="141" t="n">
        <v>241.19</v>
      </c>
      <c r="J60" s="141" t="n">
        <v>151.22</v>
      </c>
      <c r="K60" s="141" t="n">
        <v>0</v>
      </c>
      <c r="L60" s="141"/>
      <c r="M60" s="141"/>
      <c r="N60" s="141"/>
      <c r="O60" s="138" t="s">
        <v>3175</v>
      </c>
    </row>
    <row r="61" customFormat="false" ht="15" hidden="false" customHeight="false" outlineLevel="0" collapsed="false">
      <c r="A61" s="138" t="s">
        <v>3225</v>
      </c>
      <c r="B61" s="138" t="n">
        <v>65.5395</v>
      </c>
      <c r="C61" s="138" t="s">
        <v>391</v>
      </c>
      <c r="D61" s="138" t="s">
        <v>3178</v>
      </c>
      <c r="E61" s="138" t="s">
        <v>60</v>
      </c>
      <c r="F61" s="138" t="n">
        <v>1</v>
      </c>
      <c r="G61" s="141"/>
      <c r="H61" s="141" t="n">
        <v>20.45</v>
      </c>
      <c r="I61" s="141"/>
      <c r="J61" s="141"/>
      <c r="K61" s="141"/>
      <c r="L61" s="141" t="n">
        <v>5.91</v>
      </c>
      <c r="M61" s="141"/>
      <c r="N61" s="141" t="n">
        <v>3</v>
      </c>
      <c r="O61" s="138" t="s">
        <v>3179</v>
      </c>
    </row>
    <row r="62" customFormat="false" ht="15" hidden="false" customHeight="false" outlineLevel="0" collapsed="false">
      <c r="A62" s="138" t="s">
        <v>2476</v>
      </c>
      <c r="B62" s="138" t="n">
        <v>66.25</v>
      </c>
      <c r="C62" s="138" t="s">
        <v>3169</v>
      </c>
      <c r="D62" s="138" t="s">
        <v>3170</v>
      </c>
      <c r="E62" s="138" t="s">
        <v>59</v>
      </c>
      <c r="F62" s="138" t="n">
        <v>1</v>
      </c>
      <c r="G62" s="141"/>
      <c r="H62" s="141"/>
      <c r="I62" s="141"/>
      <c r="J62" s="141"/>
      <c r="K62" s="141"/>
      <c r="L62" s="141"/>
      <c r="M62" s="141"/>
      <c r="N62" s="141"/>
      <c r="O62" s="138" t="s">
        <v>3171</v>
      </c>
    </row>
    <row r="63" customFormat="false" ht="15" hidden="false" customHeight="false" outlineLevel="0" collapsed="false">
      <c r="A63" s="138" t="s">
        <v>2478</v>
      </c>
      <c r="B63" s="138" t="n">
        <v>66.331</v>
      </c>
      <c r="C63" s="138" t="s">
        <v>3169</v>
      </c>
      <c r="D63" s="138" t="s">
        <v>3170</v>
      </c>
      <c r="E63" s="138" t="s">
        <v>60</v>
      </c>
      <c r="F63" s="138" t="n">
        <v>1</v>
      </c>
      <c r="G63" s="141"/>
      <c r="H63" s="141"/>
      <c r="I63" s="141"/>
      <c r="J63" s="141"/>
      <c r="K63" s="141"/>
      <c r="L63" s="141"/>
      <c r="M63" s="141"/>
      <c r="N63" s="141"/>
      <c r="O63" s="138" t="s">
        <v>3171</v>
      </c>
    </row>
    <row r="64" customFormat="false" ht="15" hidden="false" customHeight="false" outlineLevel="0" collapsed="false">
      <c r="A64" s="138" t="s">
        <v>3226</v>
      </c>
      <c r="B64" s="138" t="n">
        <v>66.7375</v>
      </c>
      <c r="C64" s="138" t="s">
        <v>3163</v>
      </c>
      <c r="D64" s="138" t="s">
        <v>2380</v>
      </c>
      <c r="E64" s="138" t="s">
        <v>60</v>
      </c>
      <c r="F64" s="138" t="n">
        <v>1</v>
      </c>
      <c r="G64" s="141" t="n">
        <v>14.15</v>
      </c>
      <c r="H64" s="141"/>
      <c r="I64" s="141"/>
      <c r="J64" s="141"/>
      <c r="K64" s="141"/>
      <c r="L64" s="141"/>
      <c r="M64" s="141"/>
      <c r="N64" s="141"/>
      <c r="O64" s="138" t="s">
        <v>3164</v>
      </c>
    </row>
    <row r="65" customFormat="false" ht="15" hidden="false" customHeight="false" outlineLevel="0" collapsed="false">
      <c r="A65" s="138" t="s">
        <v>3227</v>
      </c>
      <c r="B65" s="138" t="n">
        <v>67.7375</v>
      </c>
      <c r="C65" s="138" t="s">
        <v>3163</v>
      </c>
      <c r="D65" s="138" t="s">
        <v>2380</v>
      </c>
      <c r="E65" s="138" t="s">
        <v>60</v>
      </c>
      <c r="F65" s="138" t="n">
        <v>1</v>
      </c>
      <c r="G65" s="141" t="n">
        <v>14.15</v>
      </c>
      <c r="H65" s="141"/>
      <c r="I65" s="141"/>
      <c r="J65" s="141"/>
      <c r="K65" s="141"/>
      <c r="L65" s="141"/>
      <c r="M65" s="141"/>
      <c r="N65" s="141"/>
      <c r="O65" s="138" t="s">
        <v>3164</v>
      </c>
    </row>
    <row r="66" customFormat="false" ht="15" hidden="false" customHeight="false" outlineLevel="0" collapsed="false">
      <c r="A66" s="138" t="s">
        <v>3228</v>
      </c>
      <c r="B66" s="138" t="n">
        <v>68.7375</v>
      </c>
      <c r="C66" s="138" t="s">
        <v>3163</v>
      </c>
      <c r="D66" s="138" t="s">
        <v>2380</v>
      </c>
      <c r="E66" s="138" t="s">
        <v>60</v>
      </c>
      <c r="F66" s="138" t="n">
        <v>1</v>
      </c>
      <c r="G66" s="141" t="n">
        <v>14.15</v>
      </c>
      <c r="H66" s="141"/>
      <c r="I66" s="141"/>
      <c r="J66" s="141"/>
      <c r="K66" s="141"/>
      <c r="L66" s="141"/>
      <c r="M66" s="141"/>
      <c r="N66" s="141"/>
      <c r="O66" s="138" t="s">
        <v>3164</v>
      </c>
    </row>
    <row r="67" customFormat="false" ht="15" hidden="false" customHeight="false" outlineLevel="0" collapsed="false">
      <c r="A67" s="138" t="s">
        <v>2490</v>
      </c>
      <c r="B67" s="138" t="n">
        <v>95.3945</v>
      </c>
      <c r="C67" s="138" t="s">
        <v>3198</v>
      </c>
      <c r="D67" s="138" t="s">
        <v>3199</v>
      </c>
      <c r="E67" s="138" t="s">
        <v>60</v>
      </c>
      <c r="F67" s="138" t="n">
        <v>1</v>
      </c>
      <c r="G67" s="141" t="n">
        <v>5</v>
      </c>
      <c r="H67" s="141"/>
      <c r="I67" s="141"/>
      <c r="J67" s="141"/>
      <c r="K67" s="141"/>
      <c r="L67" s="141"/>
      <c r="M67" s="141"/>
      <c r="N67" s="141"/>
      <c r="O67" s="138" t="s">
        <v>3200</v>
      </c>
    </row>
    <row r="68" customFormat="false" ht="15" hidden="false" customHeight="false" outlineLevel="0" collapsed="false">
      <c r="A68" s="138" t="s">
        <v>3229</v>
      </c>
      <c r="B68" s="138" t="n">
        <v>102.838</v>
      </c>
      <c r="C68" s="138" t="s">
        <v>3163</v>
      </c>
      <c r="D68" s="138" t="s">
        <v>2380</v>
      </c>
      <c r="E68" s="138" t="s">
        <v>59</v>
      </c>
      <c r="F68" s="138" t="n">
        <v>1</v>
      </c>
      <c r="G68" s="141" t="n">
        <v>14.14</v>
      </c>
      <c r="H68" s="141"/>
      <c r="I68" s="141"/>
      <c r="J68" s="141"/>
      <c r="K68" s="141"/>
      <c r="L68" s="141"/>
      <c r="M68" s="141"/>
      <c r="N68" s="141"/>
      <c r="O68" s="138" t="s">
        <v>3164</v>
      </c>
    </row>
    <row r="69" customFormat="false" ht="15" hidden="false" customHeight="false" outlineLevel="0" collapsed="false">
      <c r="A69" s="138" t="s">
        <v>3230</v>
      </c>
      <c r="B69" s="138" t="n">
        <v>103.838</v>
      </c>
      <c r="C69" s="138" t="s">
        <v>3163</v>
      </c>
      <c r="D69" s="138" t="s">
        <v>2380</v>
      </c>
      <c r="E69" s="138" t="s">
        <v>59</v>
      </c>
      <c r="F69" s="138" t="n">
        <v>1</v>
      </c>
      <c r="G69" s="141" t="n">
        <v>14.14</v>
      </c>
      <c r="H69" s="141"/>
      <c r="I69" s="141"/>
      <c r="J69" s="141"/>
      <c r="K69" s="141"/>
      <c r="L69" s="141"/>
      <c r="M69" s="141"/>
      <c r="N69" s="141"/>
      <c r="O69" s="138" t="s">
        <v>3164</v>
      </c>
    </row>
    <row r="70" customFormat="false" ht="15" hidden="false" customHeight="false" outlineLevel="0" collapsed="false">
      <c r="A70" s="138" t="s">
        <v>2496</v>
      </c>
      <c r="B70" s="138" t="n">
        <v>104.7905</v>
      </c>
      <c r="C70" s="138" t="s">
        <v>3194</v>
      </c>
      <c r="D70" s="138" t="s">
        <v>3195</v>
      </c>
      <c r="E70" s="138" t="s">
        <v>59</v>
      </c>
      <c r="F70" s="138" t="n">
        <v>1</v>
      </c>
      <c r="G70" s="141"/>
      <c r="H70" s="141"/>
      <c r="I70" s="141"/>
      <c r="J70" s="141"/>
      <c r="K70" s="141"/>
      <c r="L70" s="141"/>
      <c r="M70" s="141"/>
      <c r="N70" s="141"/>
      <c r="O70" s="138" t="s">
        <v>3196</v>
      </c>
    </row>
    <row r="71" customFormat="false" ht="15" hidden="false" customHeight="false" outlineLevel="0" collapsed="false">
      <c r="A71" s="138" t="s">
        <v>3231</v>
      </c>
      <c r="B71" s="138" t="n">
        <v>104.838</v>
      </c>
      <c r="C71" s="138" t="s">
        <v>3163</v>
      </c>
      <c r="D71" s="138" t="s">
        <v>2380</v>
      </c>
      <c r="E71" s="138" t="s">
        <v>59</v>
      </c>
      <c r="F71" s="138" t="n">
        <v>1</v>
      </c>
      <c r="G71" s="141" t="n">
        <v>14.14</v>
      </c>
      <c r="H71" s="141"/>
      <c r="I71" s="141"/>
      <c r="J71" s="141"/>
      <c r="K71" s="141"/>
      <c r="L71" s="141"/>
      <c r="M71" s="141"/>
      <c r="N71" s="141"/>
      <c r="O71" s="138" t="s">
        <v>3164</v>
      </c>
    </row>
    <row r="72" customFormat="false" ht="15" hidden="false" customHeight="false" outlineLevel="0" collapsed="false">
      <c r="A72" s="138" t="s">
        <v>2497</v>
      </c>
      <c r="B72" s="138" t="n">
        <v>105.0655</v>
      </c>
      <c r="C72" s="138" t="s">
        <v>3194</v>
      </c>
      <c r="D72" s="138" t="s">
        <v>3195</v>
      </c>
      <c r="E72" s="138" t="s">
        <v>60</v>
      </c>
      <c r="F72" s="138" t="n">
        <v>1</v>
      </c>
      <c r="G72" s="141"/>
      <c r="H72" s="141"/>
      <c r="I72" s="141"/>
      <c r="J72" s="141"/>
      <c r="K72" s="141"/>
      <c r="L72" s="141"/>
      <c r="M72" s="141"/>
      <c r="N72" s="141"/>
      <c r="O72" s="138" t="s">
        <v>3196</v>
      </c>
    </row>
    <row r="73" customFormat="false" ht="15" hidden="false" customHeight="false" outlineLevel="0" collapsed="false">
      <c r="A73" s="138" t="s">
        <v>3232</v>
      </c>
      <c r="B73" s="138" t="n">
        <v>105.47</v>
      </c>
      <c r="C73" s="138" t="s">
        <v>3169</v>
      </c>
      <c r="D73" s="138" t="s">
        <v>3170</v>
      </c>
      <c r="E73" s="138" t="s">
        <v>60</v>
      </c>
      <c r="F73" s="138" t="n">
        <v>1</v>
      </c>
      <c r="G73" s="141"/>
      <c r="H73" s="141"/>
      <c r="I73" s="141"/>
      <c r="J73" s="141"/>
      <c r="K73" s="141"/>
      <c r="L73" s="141"/>
      <c r="M73" s="141"/>
      <c r="N73" s="141"/>
      <c r="O73" s="138" t="s">
        <v>3171</v>
      </c>
    </row>
    <row r="74" customFormat="false" ht="15" hidden="false" customHeight="false" outlineLevel="0" collapsed="false">
      <c r="A74" s="138" t="s">
        <v>3233</v>
      </c>
      <c r="B74" s="138" t="n">
        <v>105.4725</v>
      </c>
      <c r="C74" s="138" t="s">
        <v>3169</v>
      </c>
      <c r="D74" s="138" t="s">
        <v>3170</v>
      </c>
      <c r="E74" s="138" t="s">
        <v>59</v>
      </c>
      <c r="F74" s="138" t="n">
        <v>1</v>
      </c>
      <c r="G74" s="141"/>
      <c r="H74" s="141"/>
      <c r="I74" s="141"/>
      <c r="J74" s="141"/>
      <c r="K74" s="141"/>
      <c r="L74" s="141"/>
      <c r="M74" s="141"/>
      <c r="N74" s="141"/>
      <c r="O74" s="138" t="s">
        <v>3171</v>
      </c>
    </row>
    <row r="75" customFormat="false" ht="15" hidden="false" customHeight="false" outlineLevel="0" collapsed="false">
      <c r="A75" s="138" t="s">
        <v>2500</v>
      </c>
      <c r="B75" s="138" t="n">
        <v>111.75</v>
      </c>
      <c r="C75" s="138" t="s">
        <v>3163</v>
      </c>
      <c r="D75" s="138" t="s">
        <v>2380</v>
      </c>
      <c r="E75" s="138" t="s">
        <v>59</v>
      </c>
      <c r="F75" s="138" t="n">
        <v>1</v>
      </c>
      <c r="G75" s="141" t="n">
        <v>14.15</v>
      </c>
      <c r="H75" s="141"/>
      <c r="I75" s="141"/>
      <c r="J75" s="141"/>
      <c r="K75" s="141"/>
      <c r="L75" s="141"/>
      <c r="M75" s="141"/>
      <c r="N75" s="141"/>
      <c r="O75" s="138" t="s">
        <v>3164</v>
      </c>
    </row>
    <row r="76" customFormat="false" ht="15" hidden="false" customHeight="false" outlineLevel="0" collapsed="false">
      <c r="A76" s="138" t="s">
        <v>3234</v>
      </c>
      <c r="B76" s="138" t="n">
        <v>112.75</v>
      </c>
      <c r="C76" s="138" t="s">
        <v>3163</v>
      </c>
      <c r="D76" s="138" t="s">
        <v>2380</v>
      </c>
      <c r="E76" s="138" t="s">
        <v>59</v>
      </c>
      <c r="F76" s="138" t="n">
        <v>1</v>
      </c>
      <c r="G76" s="141" t="n">
        <v>14.14</v>
      </c>
      <c r="H76" s="141"/>
      <c r="I76" s="141"/>
      <c r="J76" s="141"/>
      <c r="K76" s="141"/>
      <c r="L76" s="141"/>
      <c r="M76" s="141"/>
      <c r="N76" s="141"/>
      <c r="O76" s="138" t="s">
        <v>3164</v>
      </c>
    </row>
    <row r="77" customFormat="false" ht="15" hidden="false" customHeight="false" outlineLevel="0" collapsed="false">
      <c r="A77" s="138" t="s">
        <v>3235</v>
      </c>
      <c r="B77" s="138" t="n">
        <v>112.872</v>
      </c>
      <c r="C77" s="138" t="s">
        <v>3224</v>
      </c>
      <c r="D77" s="138" t="s">
        <v>3174</v>
      </c>
      <c r="E77" s="138"/>
      <c r="F77" s="138" t="n">
        <v>1</v>
      </c>
      <c r="G77" s="141" t="n">
        <v>17.07</v>
      </c>
      <c r="H77" s="141" t="n">
        <v>60.98</v>
      </c>
      <c r="I77" s="141" t="n">
        <v>180.2</v>
      </c>
      <c r="J77" s="141" t="n">
        <v>0</v>
      </c>
      <c r="K77" s="141" t="n">
        <v>0</v>
      </c>
      <c r="L77" s="141"/>
      <c r="M77" s="141"/>
      <c r="N77" s="141"/>
      <c r="O77" s="138" t="s">
        <v>3175</v>
      </c>
    </row>
    <row r="78" customFormat="false" ht="15" hidden="false" customHeight="false" outlineLevel="0" collapsed="false">
      <c r="A78" s="138" t="s">
        <v>3235</v>
      </c>
      <c r="B78" s="138" t="n">
        <v>112.872</v>
      </c>
      <c r="C78" s="138" t="s">
        <v>394</v>
      </c>
      <c r="D78" s="138" t="s">
        <v>3176</v>
      </c>
      <c r="E78" s="138" t="s">
        <v>60</v>
      </c>
      <c r="F78" s="138" t="n">
        <v>1</v>
      </c>
      <c r="G78" s="141"/>
      <c r="H78" s="141" t="n">
        <v>17.1</v>
      </c>
      <c r="I78" s="141"/>
      <c r="J78" s="141"/>
      <c r="K78" s="141"/>
      <c r="L78" s="141" t="n">
        <v>2.95</v>
      </c>
      <c r="M78" s="141"/>
      <c r="N78" s="141"/>
      <c r="O78" s="138" t="s">
        <v>3177</v>
      </c>
    </row>
    <row r="79" customFormat="false" ht="15" hidden="false" customHeight="false" outlineLevel="0" collapsed="false">
      <c r="A79" s="138" t="s">
        <v>3235</v>
      </c>
      <c r="B79" s="138" t="n">
        <v>112.872</v>
      </c>
      <c r="C79" s="138" t="s">
        <v>395</v>
      </c>
      <c r="D79" s="138" t="s">
        <v>3176</v>
      </c>
      <c r="E79" s="138" t="s">
        <v>59</v>
      </c>
      <c r="F79" s="138" t="n">
        <v>1</v>
      </c>
      <c r="G79" s="141"/>
      <c r="H79" s="141" t="n">
        <v>25.71</v>
      </c>
      <c r="I79" s="141"/>
      <c r="J79" s="141"/>
      <c r="K79" s="141"/>
      <c r="L79" s="141"/>
      <c r="M79" s="141" t="n">
        <v>136.99</v>
      </c>
      <c r="N79" s="141"/>
      <c r="O79" s="138" t="s">
        <v>3177</v>
      </c>
    </row>
    <row r="80" customFormat="false" ht="15" hidden="false" customHeight="false" outlineLevel="0" collapsed="false">
      <c r="A80" s="138" t="s">
        <v>3236</v>
      </c>
      <c r="B80" s="138" t="n">
        <v>113.75</v>
      </c>
      <c r="C80" s="138" t="s">
        <v>3163</v>
      </c>
      <c r="D80" s="138" t="s">
        <v>2380</v>
      </c>
      <c r="E80" s="138" t="s">
        <v>59</v>
      </c>
      <c r="F80" s="138" t="n">
        <v>1</v>
      </c>
      <c r="G80" s="141" t="n">
        <v>14.14</v>
      </c>
      <c r="H80" s="141"/>
      <c r="I80" s="141"/>
      <c r="J80" s="141"/>
      <c r="K80" s="141"/>
      <c r="L80" s="141"/>
      <c r="M80" s="141"/>
      <c r="N80" s="141"/>
      <c r="O80" s="138" t="s">
        <v>3164</v>
      </c>
    </row>
    <row r="81" customFormat="false" ht="15" hidden="false" customHeight="false" outlineLevel="0" collapsed="false">
      <c r="A81" s="138" t="s">
        <v>3237</v>
      </c>
      <c r="B81" s="138" t="n">
        <v>114.1295</v>
      </c>
      <c r="C81" s="138" t="s">
        <v>3169</v>
      </c>
      <c r="D81" s="138" t="s">
        <v>3170</v>
      </c>
      <c r="E81" s="138" t="s">
        <v>60</v>
      </c>
      <c r="F81" s="138" t="n">
        <v>1</v>
      </c>
      <c r="G81" s="141"/>
      <c r="H81" s="141"/>
      <c r="I81" s="141"/>
      <c r="J81" s="141"/>
      <c r="K81" s="141"/>
      <c r="L81" s="141"/>
      <c r="M81" s="141"/>
      <c r="N81" s="141"/>
      <c r="O81" s="138" t="s">
        <v>3171</v>
      </c>
    </row>
    <row r="82" customFormat="false" ht="15" hidden="false" customHeight="false" outlineLevel="0" collapsed="false">
      <c r="A82" s="138" t="s">
        <v>3238</v>
      </c>
      <c r="B82" s="138" t="n">
        <v>114.136</v>
      </c>
      <c r="C82" s="138" t="s">
        <v>3169</v>
      </c>
      <c r="D82" s="138" t="s">
        <v>3170</v>
      </c>
      <c r="E82" s="138" t="s">
        <v>59</v>
      </c>
      <c r="F82" s="138" t="n">
        <v>1</v>
      </c>
      <c r="G82" s="141"/>
      <c r="H82" s="141"/>
      <c r="I82" s="141"/>
      <c r="J82" s="141"/>
      <c r="K82" s="141"/>
      <c r="L82" s="141"/>
      <c r="M82" s="141"/>
      <c r="N82" s="141"/>
      <c r="O82" s="138" t="s">
        <v>3171</v>
      </c>
    </row>
    <row r="83" customFormat="false" ht="15" hidden="false" customHeight="false" outlineLevel="0" collapsed="false">
      <c r="A83" s="138" t="s">
        <v>3239</v>
      </c>
      <c r="B83" s="138" t="n">
        <v>114.7265</v>
      </c>
      <c r="C83" s="138" t="s">
        <v>3169</v>
      </c>
      <c r="D83" s="138" t="s">
        <v>3170</v>
      </c>
      <c r="E83" s="138" t="s">
        <v>59</v>
      </c>
      <c r="F83" s="138" t="n">
        <v>1</v>
      </c>
      <c r="G83" s="141"/>
      <c r="H83" s="141"/>
      <c r="I83" s="141"/>
      <c r="J83" s="141"/>
      <c r="K83" s="141"/>
      <c r="L83" s="141"/>
      <c r="M83" s="141"/>
      <c r="N83" s="141"/>
      <c r="O83" s="138" t="s">
        <v>3171</v>
      </c>
    </row>
    <row r="84" customFormat="false" ht="15" hidden="false" customHeight="false" outlineLevel="0" collapsed="false">
      <c r="A84" s="138" t="s">
        <v>2507</v>
      </c>
      <c r="B84" s="138" t="n">
        <v>114.761</v>
      </c>
      <c r="C84" s="138" t="s">
        <v>3169</v>
      </c>
      <c r="D84" s="138" t="s">
        <v>3170</v>
      </c>
      <c r="E84" s="138" t="s">
        <v>60</v>
      </c>
      <c r="F84" s="138" t="n">
        <v>1</v>
      </c>
      <c r="G84" s="141"/>
      <c r="H84" s="141"/>
      <c r="I84" s="141"/>
      <c r="J84" s="141"/>
      <c r="K84" s="141"/>
      <c r="L84" s="141"/>
      <c r="M84" s="141"/>
      <c r="N84" s="141"/>
      <c r="O84" s="138" t="s">
        <v>3171</v>
      </c>
    </row>
    <row r="85" customFormat="false" ht="15" hidden="false" customHeight="false" outlineLevel="0" collapsed="false">
      <c r="A85" s="138" t="s">
        <v>3240</v>
      </c>
      <c r="B85" s="138" t="n">
        <v>115.25</v>
      </c>
      <c r="C85" s="138" t="s">
        <v>3163</v>
      </c>
      <c r="D85" s="138" t="s">
        <v>2380</v>
      </c>
      <c r="E85" s="138" t="s">
        <v>59</v>
      </c>
      <c r="F85" s="138" t="n">
        <v>1</v>
      </c>
      <c r="G85" s="141" t="n">
        <v>14.14</v>
      </c>
      <c r="H85" s="141"/>
      <c r="I85" s="141"/>
      <c r="J85" s="141"/>
      <c r="K85" s="141"/>
      <c r="L85" s="141"/>
      <c r="M85" s="141"/>
      <c r="N85" s="141"/>
      <c r="O85" s="138" t="s">
        <v>3164</v>
      </c>
    </row>
    <row r="86" customFormat="false" ht="15" hidden="false" customHeight="false" outlineLevel="0" collapsed="false">
      <c r="A86" s="138" t="s">
        <v>2509</v>
      </c>
      <c r="B86" s="138" t="n">
        <v>116.177</v>
      </c>
      <c r="C86" s="138" t="s">
        <v>3169</v>
      </c>
      <c r="D86" s="138" t="s">
        <v>3170</v>
      </c>
      <c r="E86" s="138" t="s">
        <v>60</v>
      </c>
      <c r="F86" s="138" t="n">
        <v>1</v>
      </c>
      <c r="G86" s="141"/>
      <c r="H86" s="141"/>
      <c r="I86" s="141"/>
      <c r="J86" s="141"/>
      <c r="K86" s="141"/>
      <c r="L86" s="141"/>
      <c r="M86" s="141"/>
      <c r="N86" s="141"/>
      <c r="O86" s="138" t="s">
        <v>3171</v>
      </c>
    </row>
    <row r="87" customFormat="false" ht="15" hidden="false" customHeight="false" outlineLevel="0" collapsed="false">
      <c r="A87" s="138" t="s">
        <v>2506</v>
      </c>
      <c r="B87" s="138" t="n">
        <v>116.2195</v>
      </c>
      <c r="C87" s="138" t="s">
        <v>3163</v>
      </c>
      <c r="D87" s="138" t="s">
        <v>2380</v>
      </c>
      <c r="E87" s="138" t="s">
        <v>59</v>
      </c>
      <c r="F87" s="138" t="n">
        <v>1</v>
      </c>
      <c r="G87" s="141" t="n">
        <v>15</v>
      </c>
      <c r="H87" s="141"/>
      <c r="I87" s="141"/>
      <c r="J87" s="141"/>
      <c r="K87" s="141"/>
      <c r="L87" s="141"/>
      <c r="M87" s="141"/>
      <c r="N87" s="141"/>
      <c r="O87" s="138" t="s">
        <v>3164</v>
      </c>
    </row>
    <row r="88" customFormat="false" ht="15" hidden="false" customHeight="false" outlineLevel="0" collapsed="false">
      <c r="A88" s="138" t="s">
        <v>2511</v>
      </c>
      <c r="B88" s="138" t="n">
        <v>116.352</v>
      </c>
      <c r="C88" s="138" t="s">
        <v>3169</v>
      </c>
      <c r="D88" s="138" t="s">
        <v>3170</v>
      </c>
      <c r="E88" s="138" t="s">
        <v>59</v>
      </c>
      <c r="F88" s="138" t="n">
        <v>1</v>
      </c>
      <c r="G88" s="141"/>
      <c r="H88" s="141"/>
      <c r="I88" s="141"/>
      <c r="J88" s="141"/>
      <c r="K88" s="141"/>
      <c r="L88" s="141"/>
      <c r="M88" s="141"/>
      <c r="N88" s="141"/>
      <c r="O88" s="138" t="s">
        <v>3171</v>
      </c>
    </row>
    <row r="89" customFormat="false" ht="15" hidden="false" customHeight="false" outlineLevel="0" collapsed="false">
      <c r="A89" s="138" t="s">
        <v>3241</v>
      </c>
      <c r="B89" s="138" t="n">
        <v>117.6035</v>
      </c>
      <c r="C89" s="138" t="s">
        <v>3181</v>
      </c>
      <c r="D89" s="138" t="s">
        <v>3174</v>
      </c>
      <c r="E89" s="138" t="s">
        <v>59</v>
      </c>
      <c r="F89" s="138" t="n">
        <v>1</v>
      </c>
      <c r="G89" s="141"/>
      <c r="H89" s="141"/>
      <c r="I89" s="141"/>
      <c r="J89" s="141"/>
      <c r="K89" s="141"/>
      <c r="L89" s="141"/>
      <c r="M89" s="141"/>
      <c r="N89" s="141"/>
      <c r="O89" s="138" t="s">
        <v>3242</v>
      </c>
    </row>
    <row r="90" customFormat="false" ht="15" hidden="false" customHeight="false" outlineLevel="0" collapsed="false">
      <c r="A90" s="138" t="s">
        <v>2516</v>
      </c>
      <c r="B90" s="138" t="n">
        <v>117.7155</v>
      </c>
      <c r="C90" s="138" t="s">
        <v>3194</v>
      </c>
      <c r="D90" s="138" t="s">
        <v>3195</v>
      </c>
      <c r="E90" s="138" t="s">
        <v>59</v>
      </c>
      <c r="F90" s="138" t="n">
        <v>1</v>
      </c>
      <c r="G90" s="141"/>
      <c r="H90" s="141"/>
      <c r="I90" s="141"/>
      <c r="J90" s="141"/>
      <c r="K90" s="141"/>
      <c r="L90" s="141"/>
      <c r="M90" s="141"/>
      <c r="N90" s="141"/>
      <c r="O90" s="138" t="s">
        <v>3196</v>
      </c>
    </row>
    <row r="91" customFormat="false" ht="15" hidden="false" customHeight="false" outlineLevel="0" collapsed="false">
      <c r="A91" s="138" t="s">
        <v>2519</v>
      </c>
      <c r="B91" s="138" t="n">
        <v>119.6615</v>
      </c>
      <c r="C91" s="138" t="s">
        <v>3222</v>
      </c>
      <c r="D91" s="138" t="s">
        <v>3207</v>
      </c>
      <c r="E91" s="138" t="s">
        <v>60</v>
      </c>
      <c r="F91" s="138" t="n">
        <v>1</v>
      </c>
      <c r="G91" s="141"/>
      <c r="H91" s="141"/>
      <c r="I91" s="141"/>
      <c r="J91" s="141"/>
      <c r="K91" s="141"/>
      <c r="L91" s="141"/>
      <c r="M91" s="141"/>
      <c r="N91" s="141"/>
      <c r="O91" s="138" t="s">
        <v>3208</v>
      </c>
    </row>
    <row r="92" customFormat="false" ht="15" hidden="false" customHeight="false" outlineLevel="0" collapsed="false">
      <c r="A92" s="138" t="s">
        <v>2519</v>
      </c>
      <c r="B92" s="138" t="n">
        <v>119.6615</v>
      </c>
      <c r="C92" s="138" t="s">
        <v>3243</v>
      </c>
      <c r="D92" s="138" t="s">
        <v>3244</v>
      </c>
      <c r="E92" s="138" t="s">
        <v>60</v>
      </c>
      <c r="F92" s="138" t="n">
        <v>1</v>
      </c>
      <c r="G92" s="141" t="n">
        <v>0.6</v>
      </c>
      <c r="H92" s="141"/>
      <c r="I92" s="141"/>
      <c r="J92" s="141"/>
      <c r="K92" s="141"/>
      <c r="L92" s="141"/>
      <c r="M92" s="141"/>
      <c r="N92" s="141"/>
      <c r="O92" s="138" t="s">
        <v>3245</v>
      </c>
    </row>
    <row r="93" customFormat="false" ht="15" hidden="false" customHeight="false" outlineLevel="0" collapsed="false">
      <c r="A93" s="138" t="s">
        <v>2524</v>
      </c>
      <c r="B93" s="138" t="n">
        <v>122.789</v>
      </c>
      <c r="C93" s="138" t="s">
        <v>3198</v>
      </c>
      <c r="D93" s="138" t="s">
        <v>3199</v>
      </c>
      <c r="E93" s="138" t="s">
        <v>60</v>
      </c>
      <c r="F93" s="138" t="n">
        <v>1</v>
      </c>
      <c r="G93" s="141" t="n">
        <v>2</v>
      </c>
      <c r="H93" s="141"/>
      <c r="I93" s="141"/>
      <c r="J93" s="141"/>
      <c r="K93" s="141"/>
      <c r="L93" s="141"/>
      <c r="M93" s="141"/>
      <c r="N93" s="141"/>
      <c r="O93" s="138" t="s">
        <v>3200</v>
      </c>
    </row>
    <row r="94" customFormat="false" ht="15" hidden="false" customHeight="false" outlineLevel="0" collapsed="false">
      <c r="A94" s="138" t="s">
        <v>2527</v>
      </c>
      <c r="B94" s="138" t="n">
        <v>123.2315</v>
      </c>
      <c r="C94" s="138" t="s">
        <v>3194</v>
      </c>
      <c r="D94" s="138" t="s">
        <v>3195</v>
      </c>
      <c r="E94" s="138" t="s">
        <v>59</v>
      </c>
      <c r="F94" s="138" t="n">
        <v>1</v>
      </c>
      <c r="G94" s="141"/>
      <c r="H94" s="141"/>
      <c r="I94" s="141"/>
      <c r="J94" s="141"/>
      <c r="K94" s="141"/>
      <c r="L94" s="141"/>
      <c r="M94" s="141"/>
      <c r="N94" s="141"/>
      <c r="O94" s="138" t="s">
        <v>3196</v>
      </c>
    </row>
    <row r="95" customFormat="false" ht="15" hidden="false" customHeight="false" outlineLevel="0" collapsed="false">
      <c r="A95" s="138" t="s">
        <v>3246</v>
      </c>
      <c r="B95" s="138" t="n">
        <v>127.029</v>
      </c>
      <c r="C95" s="138" t="s">
        <v>3187</v>
      </c>
      <c r="D95" s="138" t="s">
        <v>3174</v>
      </c>
      <c r="E95" s="138"/>
      <c r="F95" s="138" t="n">
        <v>1</v>
      </c>
      <c r="G95" s="141" t="n">
        <v>17.64</v>
      </c>
      <c r="H95" s="141" t="n">
        <v>94.85</v>
      </c>
      <c r="I95" s="141" t="n">
        <v>149.81</v>
      </c>
      <c r="J95" s="141" t="n">
        <v>0</v>
      </c>
      <c r="K95" s="141" t="n">
        <v>0</v>
      </c>
      <c r="L95" s="141"/>
      <c r="M95" s="141"/>
      <c r="N95" s="141"/>
      <c r="O95" s="138" t="s">
        <v>3175</v>
      </c>
    </row>
    <row r="96" customFormat="false" ht="15" hidden="false" customHeight="false" outlineLevel="0" collapsed="false">
      <c r="A96" s="138" t="s">
        <v>3247</v>
      </c>
      <c r="B96" s="138" t="n">
        <v>127.0625</v>
      </c>
      <c r="C96" s="138" t="s">
        <v>391</v>
      </c>
      <c r="D96" s="138" t="s">
        <v>3178</v>
      </c>
      <c r="E96" s="138" t="s">
        <v>60</v>
      </c>
      <c r="F96" s="138" t="n">
        <v>1</v>
      </c>
      <c r="G96" s="141"/>
      <c r="H96" s="141" t="n">
        <v>47.35</v>
      </c>
      <c r="I96" s="141"/>
      <c r="J96" s="141"/>
      <c r="K96" s="141"/>
      <c r="L96" s="141" t="n">
        <v>8.36</v>
      </c>
      <c r="M96" s="141"/>
      <c r="N96" s="141" t="n">
        <v>6</v>
      </c>
      <c r="O96" s="138" t="s">
        <v>3179</v>
      </c>
    </row>
    <row r="97" customFormat="false" ht="15" hidden="false" customHeight="false" outlineLevel="0" collapsed="false">
      <c r="A97" s="138" t="s">
        <v>3247</v>
      </c>
      <c r="B97" s="138" t="n">
        <v>127.0625</v>
      </c>
      <c r="C97" s="138" t="s">
        <v>3181</v>
      </c>
      <c r="D97" s="138" t="s">
        <v>3174</v>
      </c>
      <c r="E97" s="138"/>
      <c r="F97" s="138" t="n">
        <v>1</v>
      </c>
      <c r="G97" s="141"/>
      <c r="H97" s="141"/>
      <c r="I97" s="141"/>
      <c r="J97" s="141"/>
      <c r="K97" s="141"/>
      <c r="L97" s="141"/>
      <c r="M97" s="141"/>
      <c r="N97" s="141"/>
      <c r="O97" s="138" t="s">
        <v>3248</v>
      </c>
    </row>
    <row r="98" customFormat="false" ht="15" hidden="false" customHeight="false" outlineLevel="0" collapsed="false">
      <c r="A98" s="138" t="s">
        <v>3249</v>
      </c>
      <c r="B98" s="138" t="n">
        <v>134.7425</v>
      </c>
      <c r="C98" s="138" t="s">
        <v>3163</v>
      </c>
      <c r="D98" s="138" t="s">
        <v>2380</v>
      </c>
      <c r="E98" s="138" t="s">
        <v>59</v>
      </c>
      <c r="F98" s="138" t="n">
        <v>1</v>
      </c>
      <c r="G98" s="141" t="n">
        <v>13.96</v>
      </c>
      <c r="H98" s="141"/>
      <c r="I98" s="141"/>
      <c r="J98" s="141"/>
      <c r="K98" s="141"/>
      <c r="L98" s="141"/>
      <c r="M98" s="141"/>
      <c r="N98" s="141"/>
      <c r="O98" s="138" t="s">
        <v>3164</v>
      </c>
    </row>
    <row r="99" customFormat="false" ht="15" hidden="false" customHeight="false" outlineLevel="0" collapsed="false">
      <c r="A99" s="138" t="s">
        <v>3250</v>
      </c>
      <c r="B99" s="138" t="n">
        <v>135.7415</v>
      </c>
      <c r="C99" s="138" t="s">
        <v>3163</v>
      </c>
      <c r="D99" s="138" t="s">
        <v>2380</v>
      </c>
      <c r="E99" s="138" t="s">
        <v>59</v>
      </c>
      <c r="F99" s="138" t="n">
        <v>1</v>
      </c>
      <c r="G99" s="141" t="n">
        <v>13.92</v>
      </c>
      <c r="H99" s="141"/>
      <c r="I99" s="141"/>
      <c r="J99" s="141"/>
      <c r="K99" s="141"/>
      <c r="L99" s="141"/>
      <c r="M99" s="141"/>
      <c r="N99" s="141"/>
      <c r="O99" s="138" t="s">
        <v>3164</v>
      </c>
    </row>
    <row r="100" customFormat="false" ht="15" hidden="false" customHeight="false" outlineLevel="0" collapsed="false">
      <c r="A100" s="138" t="s">
        <v>3251</v>
      </c>
      <c r="B100" s="138" t="n">
        <v>136.74</v>
      </c>
      <c r="C100" s="138" t="s">
        <v>3163</v>
      </c>
      <c r="D100" s="138" t="s">
        <v>2380</v>
      </c>
      <c r="E100" s="138" t="s">
        <v>59</v>
      </c>
      <c r="F100" s="138" t="n">
        <v>1</v>
      </c>
      <c r="G100" s="141" t="n">
        <v>13.88</v>
      </c>
      <c r="H100" s="141"/>
      <c r="I100" s="141"/>
      <c r="J100" s="141"/>
      <c r="K100" s="141"/>
      <c r="L100" s="141"/>
      <c r="M100" s="141"/>
      <c r="N100" s="141"/>
      <c r="O100" s="138" t="s">
        <v>3164</v>
      </c>
    </row>
    <row r="101" customFormat="false" ht="15" hidden="false" customHeight="false" outlineLevel="0" collapsed="false">
      <c r="A101" s="138" t="s">
        <v>3252</v>
      </c>
      <c r="B101" s="138" t="n">
        <v>136.9025</v>
      </c>
      <c r="C101" s="138" t="s">
        <v>3169</v>
      </c>
      <c r="D101" s="138" t="s">
        <v>3170</v>
      </c>
      <c r="E101" s="138" t="s">
        <v>59</v>
      </c>
      <c r="F101" s="138" t="n">
        <v>1</v>
      </c>
      <c r="G101" s="141"/>
      <c r="H101" s="141"/>
      <c r="I101" s="141"/>
      <c r="J101" s="141"/>
      <c r="K101" s="141"/>
      <c r="L101" s="141"/>
      <c r="M101" s="141"/>
      <c r="N101" s="141"/>
      <c r="O101" s="138" t="s">
        <v>3171</v>
      </c>
    </row>
    <row r="102" customFormat="false" ht="15" hidden="false" customHeight="false" outlineLevel="0" collapsed="false">
      <c r="A102" s="138" t="s">
        <v>3253</v>
      </c>
      <c r="B102" s="138" t="n">
        <v>137.371</v>
      </c>
      <c r="C102" s="138" t="s">
        <v>3169</v>
      </c>
      <c r="D102" s="138" t="s">
        <v>3170</v>
      </c>
      <c r="E102" s="138" t="s">
        <v>60</v>
      </c>
      <c r="F102" s="138" t="n">
        <v>1</v>
      </c>
      <c r="G102" s="141"/>
      <c r="H102" s="141"/>
      <c r="I102" s="141"/>
      <c r="J102" s="141"/>
      <c r="K102" s="141"/>
      <c r="L102" s="141"/>
      <c r="M102" s="141"/>
      <c r="N102" s="141"/>
      <c r="O102" s="138" t="s">
        <v>3171</v>
      </c>
    </row>
    <row r="103" customFormat="false" ht="15" hidden="false" customHeight="false" outlineLevel="0" collapsed="false">
      <c r="A103" s="138" t="s">
        <v>3254</v>
      </c>
      <c r="B103" s="138" t="n">
        <v>138.6005</v>
      </c>
      <c r="C103" s="138" t="s">
        <v>3187</v>
      </c>
      <c r="D103" s="138" t="s">
        <v>3174</v>
      </c>
      <c r="E103" s="138"/>
      <c r="F103" s="138" t="n">
        <v>1</v>
      </c>
      <c r="G103" s="141" t="n">
        <v>17.81</v>
      </c>
      <c r="H103" s="141" t="n">
        <v>86.25</v>
      </c>
      <c r="I103" s="141" t="n">
        <v>151.28</v>
      </c>
      <c r="J103" s="141" t="n">
        <v>0</v>
      </c>
      <c r="K103" s="141" t="n">
        <v>0</v>
      </c>
      <c r="L103" s="141"/>
      <c r="M103" s="141"/>
      <c r="N103" s="141"/>
      <c r="O103" s="138" t="s">
        <v>3175</v>
      </c>
    </row>
    <row r="104" customFormat="false" ht="15" hidden="false" customHeight="false" outlineLevel="0" collapsed="false">
      <c r="A104" s="138" t="s">
        <v>3254</v>
      </c>
      <c r="B104" s="138" t="n">
        <v>138.6005</v>
      </c>
      <c r="C104" s="138" t="s">
        <v>391</v>
      </c>
      <c r="D104" s="138" t="s">
        <v>3178</v>
      </c>
      <c r="E104" s="138" t="s">
        <v>60</v>
      </c>
      <c r="F104" s="138" t="n">
        <v>1</v>
      </c>
      <c r="G104" s="141"/>
      <c r="H104" s="141" t="n">
        <v>19.05</v>
      </c>
      <c r="I104" s="141"/>
      <c r="J104" s="141"/>
      <c r="K104" s="141"/>
      <c r="L104" s="141" t="n">
        <v>4.39</v>
      </c>
      <c r="M104" s="141"/>
      <c r="N104" s="141" t="n">
        <v>4</v>
      </c>
      <c r="O104" s="138" t="s">
        <v>3179</v>
      </c>
    </row>
    <row r="105" customFormat="false" ht="15" hidden="false" customHeight="false" outlineLevel="0" collapsed="false">
      <c r="A105" s="138" t="s">
        <v>2546</v>
      </c>
      <c r="B105" s="138" t="n">
        <v>141.05</v>
      </c>
      <c r="C105" s="138" t="s">
        <v>3181</v>
      </c>
      <c r="D105" s="138" t="s">
        <v>3174</v>
      </c>
      <c r="E105" s="138" t="s">
        <v>59</v>
      </c>
      <c r="F105" s="138" t="n">
        <v>1</v>
      </c>
      <c r="G105" s="141"/>
      <c r="H105" s="141"/>
      <c r="I105" s="141"/>
      <c r="J105" s="141"/>
      <c r="K105" s="141"/>
      <c r="L105" s="141"/>
      <c r="M105" s="141"/>
      <c r="N105" s="141"/>
      <c r="O105" s="138" t="s">
        <v>3242</v>
      </c>
    </row>
    <row r="106" customFormat="false" ht="15" hidden="false" customHeight="false" outlineLevel="0" collapsed="false">
      <c r="A106" s="138" t="s">
        <v>2555</v>
      </c>
      <c r="B106" s="138" t="n">
        <v>153.827</v>
      </c>
      <c r="C106" s="138" t="s">
        <v>3198</v>
      </c>
      <c r="D106" s="138" t="s">
        <v>3199</v>
      </c>
      <c r="E106" s="138" t="s">
        <v>60</v>
      </c>
      <c r="F106" s="138" t="n">
        <v>1</v>
      </c>
      <c r="G106" s="141" t="n">
        <v>2.5</v>
      </c>
      <c r="H106" s="141"/>
      <c r="I106" s="141"/>
      <c r="J106" s="141"/>
      <c r="K106" s="141"/>
      <c r="L106" s="141"/>
      <c r="M106" s="141"/>
      <c r="N106" s="141"/>
      <c r="O106" s="138" t="s">
        <v>3200</v>
      </c>
    </row>
    <row r="107" customFormat="false" ht="15" hidden="false" customHeight="false" outlineLevel="0" collapsed="false">
      <c r="A107" s="138" t="s">
        <v>3255</v>
      </c>
      <c r="B107" s="138" t="n">
        <v>154.2455</v>
      </c>
      <c r="C107" s="138" t="s">
        <v>3163</v>
      </c>
      <c r="D107" s="138" t="s">
        <v>2380</v>
      </c>
      <c r="E107" s="138" t="s">
        <v>59</v>
      </c>
      <c r="F107" s="138" t="n">
        <v>1</v>
      </c>
      <c r="G107" s="141" t="n">
        <v>14.14</v>
      </c>
      <c r="H107" s="141"/>
      <c r="I107" s="141"/>
      <c r="J107" s="141"/>
      <c r="K107" s="141"/>
      <c r="L107" s="141"/>
      <c r="M107" s="141"/>
      <c r="N107" s="141"/>
      <c r="O107" s="138" t="s">
        <v>3164</v>
      </c>
    </row>
    <row r="108" customFormat="false" ht="15" hidden="false" customHeight="false" outlineLevel="0" collapsed="false">
      <c r="A108" s="138" t="s">
        <v>3256</v>
      </c>
      <c r="B108" s="138" t="n">
        <v>155.2455</v>
      </c>
      <c r="C108" s="138" t="s">
        <v>3163</v>
      </c>
      <c r="D108" s="138" t="s">
        <v>2380</v>
      </c>
      <c r="E108" s="138" t="s">
        <v>59</v>
      </c>
      <c r="F108" s="138" t="n">
        <v>1</v>
      </c>
      <c r="G108" s="141" t="n">
        <v>14.14</v>
      </c>
      <c r="H108" s="141"/>
      <c r="I108" s="141"/>
      <c r="J108" s="141"/>
      <c r="K108" s="141"/>
      <c r="L108" s="141"/>
      <c r="M108" s="141"/>
      <c r="N108" s="141"/>
      <c r="O108" s="138" t="s">
        <v>3164</v>
      </c>
    </row>
    <row r="109" customFormat="false" ht="15" hidden="false" customHeight="false" outlineLevel="0" collapsed="false">
      <c r="A109" s="138" t="s">
        <v>2564</v>
      </c>
      <c r="B109" s="138" t="n">
        <v>155.4665</v>
      </c>
      <c r="C109" s="138" t="s">
        <v>3194</v>
      </c>
      <c r="D109" s="138" t="s">
        <v>3195</v>
      </c>
      <c r="E109" s="138" t="s">
        <v>59</v>
      </c>
      <c r="F109" s="138" t="n">
        <v>1</v>
      </c>
      <c r="G109" s="141"/>
      <c r="H109" s="141"/>
      <c r="I109" s="141"/>
      <c r="J109" s="141"/>
      <c r="K109" s="141"/>
      <c r="L109" s="141"/>
      <c r="M109" s="141"/>
      <c r="N109" s="141"/>
      <c r="O109" s="138" t="s">
        <v>3196</v>
      </c>
    </row>
    <row r="110" customFormat="false" ht="15" hidden="false" customHeight="false" outlineLevel="0" collapsed="false">
      <c r="A110" s="138" t="s">
        <v>3257</v>
      </c>
      <c r="B110" s="138" t="n">
        <v>156.25</v>
      </c>
      <c r="C110" s="138" t="s">
        <v>3163</v>
      </c>
      <c r="D110" s="138" t="s">
        <v>2380</v>
      </c>
      <c r="E110" s="138" t="s">
        <v>59</v>
      </c>
      <c r="F110" s="138" t="n">
        <v>1</v>
      </c>
      <c r="G110" s="141" t="n">
        <v>14.15</v>
      </c>
      <c r="H110" s="141"/>
      <c r="I110" s="141"/>
      <c r="J110" s="141"/>
      <c r="K110" s="141"/>
      <c r="L110" s="141"/>
      <c r="M110" s="141"/>
      <c r="N110" s="141"/>
      <c r="O110" s="138" t="s">
        <v>3164</v>
      </c>
    </row>
    <row r="111" customFormat="false" ht="15" hidden="false" customHeight="false" outlineLevel="0" collapsed="false">
      <c r="A111" s="138" t="s">
        <v>2565</v>
      </c>
      <c r="B111" s="138" t="n">
        <v>156.8</v>
      </c>
      <c r="C111" s="138" t="s">
        <v>3258</v>
      </c>
      <c r="D111" s="138" t="s">
        <v>3195</v>
      </c>
      <c r="E111" s="138" t="s">
        <v>60</v>
      </c>
      <c r="F111" s="138" t="n">
        <v>1</v>
      </c>
      <c r="G111" s="141"/>
      <c r="H111" s="141"/>
      <c r="I111" s="141"/>
      <c r="J111" s="141"/>
      <c r="K111" s="141"/>
      <c r="L111" s="141"/>
      <c r="M111" s="141"/>
      <c r="N111" s="141"/>
      <c r="O111" s="138" t="s">
        <v>3196</v>
      </c>
    </row>
    <row r="112" customFormat="false" ht="15" hidden="false" customHeight="false" outlineLevel="0" collapsed="false">
      <c r="A112" s="138" t="s">
        <v>3259</v>
      </c>
      <c r="B112" s="138" t="n">
        <v>157.25</v>
      </c>
      <c r="C112" s="138" t="s">
        <v>3163</v>
      </c>
      <c r="D112" s="138" t="s">
        <v>2380</v>
      </c>
      <c r="E112" s="138" t="s">
        <v>59</v>
      </c>
      <c r="F112" s="138" t="n">
        <v>1</v>
      </c>
      <c r="G112" s="141" t="n">
        <v>14.14</v>
      </c>
      <c r="H112" s="141"/>
      <c r="I112" s="141"/>
      <c r="J112" s="141"/>
      <c r="K112" s="141"/>
      <c r="L112" s="141"/>
      <c r="M112" s="141"/>
      <c r="N112" s="141"/>
      <c r="O112" s="138" t="s">
        <v>3164</v>
      </c>
    </row>
    <row r="113" customFormat="false" ht="15" hidden="false" customHeight="false" outlineLevel="0" collapsed="false">
      <c r="A113" s="138" t="s">
        <v>3260</v>
      </c>
      <c r="B113" s="138" t="n">
        <v>158.2495</v>
      </c>
      <c r="C113" s="138" t="s">
        <v>3163</v>
      </c>
      <c r="D113" s="138" t="s">
        <v>2380</v>
      </c>
      <c r="E113" s="138" t="s">
        <v>59</v>
      </c>
      <c r="F113" s="138" t="n">
        <v>1</v>
      </c>
      <c r="G113" s="141" t="n">
        <v>14.14</v>
      </c>
      <c r="H113" s="141"/>
      <c r="I113" s="141"/>
      <c r="J113" s="141"/>
      <c r="K113" s="141"/>
      <c r="L113" s="141"/>
      <c r="M113" s="141"/>
      <c r="N113" s="141"/>
      <c r="O113" s="138" t="s">
        <v>3164</v>
      </c>
    </row>
    <row r="114" customFormat="false" ht="15" hidden="false" customHeight="false" outlineLevel="0" collapsed="false">
      <c r="A114" s="138" t="s">
        <v>3261</v>
      </c>
      <c r="B114" s="138" t="n">
        <v>158.4115</v>
      </c>
      <c r="C114" s="138" t="s">
        <v>3169</v>
      </c>
      <c r="D114" s="138" t="s">
        <v>3170</v>
      </c>
      <c r="E114" s="138" t="s">
        <v>60</v>
      </c>
      <c r="F114" s="138" t="n">
        <v>1</v>
      </c>
      <c r="G114" s="141"/>
      <c r="H114" s="141"/>
      <c r="I114" s="141"/>
      <c r="J114" s="141"/>
      <c r="K114" s="141"/>
      <c r="L114" s="141"/>
      <c r="M114" s="141"/>
      <c r="N114" s="141"/>
      <c r="O114" s="138" t="s">
        <v>3171</v>
      </c>
    </row>
    <row r="115" customFormat="false" ht="15" hidden="false" customHeight="false" outlineLevel="0" collapsed="false">
      <c r="A115" s="138" t="s">
        <v>3262</v>
      </c>
      <c r="B115" s="138" t="n">
        <v>158.415</v>
      </c>
      <c r="C115" s="138" t="s">
        <v>3169</v>
      </c>
      <c r="D115" s="138" t="s">
        <v>3170</v>
      </c>
      <c r="E115" s="138" t="s">
        <v>59</v>
      </c>
      <c r="F115" s="138" t="n">
        <v>1</v>
      </c>
      <c r="G115" s="141"/>
      <c r="H115" s="141"/>
      <c r="I115" s="141"/>
      <c r="J115" s="141"/>
      <c r="K115" s="141"/>
      <c r="L115" s="141"/>
      <c r="M115" s="141"/>
      <c r="N115" s="141"/>
      <c r="O115" s="138" t="s">
        <v>3171</v>
      </c>
    </row>
    <row r="116" customFormat="false" ht="15" hidden="false" customHeight="false" outlineLevel="0" collapsed="false">
      <c r="A116" s="138" t="s">
        <v>2568</v>
      </c>
      <c r="B116" s="138" t="n">
        <v>159.1035</v>
      </c>
      <c r="C116" s="138" t="s">
        <v>3222</v>
      </c>
      <c r="D116" s="138" t="s">
        <v>3207</v>
      </c>
      <c r="E116" s="138" t="s">
        <v>59</v>
      </c>
      <c r="F116" s="138" t="n">
        <v>1</v>
      </c>
      <c r="G116" s="141"/>
      <c r="H116" s="141"/>
      <c r="I116" s="141"/>
      <c r="J116" s="141"/>
      <c r="K116" s="141"/>
      <c r="L116" s="141"/>
      <c r="M116" s="141"/>
      <c r="N116" s="141"/>
      <c r="O116" s="138" t="s">
        <v>3208</v>
      </c>
    </row>
    <row r="117" customFormat="false" ht="15" hidden="false" customHeight="false" outlineLevel="0" collapsed="false">
      <c r="A117" s="138" t="s">
        <v>2568</v>
      </c>
      <c r="B117" s="138" t="n">
        <v>159.1035</v>
      </c>
      <c r="C117" s="138" t="s">
        <v>3209</v>
      </c>
      <c r="D117" s="138" t="s">
        <v>3199</v>
      </c>
      <c r="E117" s="138" t="s">
        <v>59</v>
      </c>
      <c r="F117" s="138" t="n">
        <v>1</v>
      </c>
      <c r="G117" s="141" t="n">
        <v>2.6</v>
      </c>
      <c r="H117" s="141"/>
      <c r="I117" s="141"/>
      <c r="J117" s="141"/>
      <c r="K117" s="141"/>
      <c r="L117" s="141"/>
      <c r="M117" s="141"/>
      <c r="N117" s="141"/>
      <c r="O117" s="138" t="s">
        <v>3200</v>
      </c>
    </row>
    <row r="118" customFormat="false" ht="15" hidden="false" customHeight="false" outlineLevel="0" collapsed="false">
      <c r="A118" s="138" t="s">
        <v>2568</v>
      </c>
      <c r="B118" s="138" t="n">
        <v>159.1035</v>
      </c>
      <c r="C118" s="138" t="s">
        <v>3221</v>
      </c>
      <c r="D118" s="138" t="s">
        <v>3195</v>
      </c>
      <c r="E118" s="138" t="s">
        <v>59</v>
      </c>
      <c r="F118" s="138" t="n">
        <v>1</v>
      </c>
      <c r="G118" s="141"/>
      <c r="H118" s="141"/>
      <c r="I118" s="141"/>
      <c r="J118" s="141"/>
      <c r="K118" s="141"/>
      <c r="L118" s="141"/>
      <c r="M118" s="141"/>
      <c r="N118" s="141"/>
      <c r="O118" s="138" t="s">
        <v>3196</v>
      </c>
    </row>
    <row r="119" customFormat="false" ht="15" hidden="false" customHeight="false" outlineLevel="0" collapsed="false">
      <c r="A119" s="138" t="s">
        <v>2567</v>
      </c>
      <c r="B119" s="138" t="n">
        <v>159.1215</v>
      </c>
      <c r="C119" s="138" t="s">
        <v>3206</v>
      </c>
      <c r="D119" s="138" t="s">
        <v>3207</v>
      </c>
      <c r="E119" s="138" t="s">
        <v>60</v>
      </c>
      <c r="F119" s="138" t="n">
        <v>1</v>
      </c>
      <c r="G119" s="141"/>
      <c r="H119" s="141"/>
      <c r="I119" s="141"/>
      <c r="J119" s="141"/>
      <c r="K119" s="141"/>
      <c r="L119" s="141"/>
      <c r="M119" s="141"/>
      <c r="N119" s="141"/>
      <c r="O119" s="138" t="s">
        <v>3208</v>
      </c>
    </row>
    <row r="120" customFormat="false" ht="15" hidden="false" customHeight="false" outlineLevel="0" collapsed="false">
      <c r="A120" s="138" t="s">
        <v>2567</v>
      </c>
      <c r="B120" s="138" t="n">
        <v>159.1215</v>
      </c>
      <c r="C120" s="138" t="s">
        <v>3209</v>
      </c>
      <c r="D120" s="138" t="s">
        <v>3199</v>
      </c>
      <c r="E120" s="138" t="s">
        <v>60</v>
      </c>
      <c r="F120" s="138" t="n">
        <v>1</v>
      </c>
      <c r="G120" s="141" t="n">
        <v>3.6</v>
      </c>
      <c r="H120" s="141"/>
      <c r="I120" s="141"/>
      <c r="J120" s="141"/>
      <c r="K120" s="141"/>
      <c r="L120" s="141"/>
      <c r="M120" s="141"/>
      <c r="N120" s="141"/>
      <c r="O120" s="138" t="s">
        <v>3200</v>
      </c>
    </row>
    <row r="121" customFormat="false" ht="15" hidden="false" customHeight="false" outlineLevel="0" collapsed="false">
      <c r="A121" s="138" t="s">
        <v>2567</v>
      </c>
      <c r="B121" s="138" t="n">
        <v>159.1215</v>
      </c>
      <c r="C121" s="138" t="s">
        <v>3221</v>
      </c>
      <c r="D121" s="138" t="s">
        <v>3195</v>
      </c>
      <c r="E121" s="138" t="s">
        <v>60</v>
      </c>
      <c r="F121" s="138" t="n">
        <v>1</v>
      </c>
      <c r="G121" s="141"/>
      <c r="H121" s="141"/>
      <c r="I121" s="141"/>
      <c r="J121" s="141"/>
      <c r="K121" s="141"/>
      <c r="L121" s="141"/>
      <c r="M121" s="141"/>
      <c r="N121" s="141"/>
      <c r="O121" s="138" t="s">
        <v>3196</v>
      </c>
    </row>
    <row r="122" customFormat="false" ht="15" hidden="false" customHeight="false" outlineLevel="0" collapsed="false">
      <c r="A122" s="138" t="s">
        <v>3263</v>
      </c>
      <c r="B122" s="138" t="n">
        <v>159.893</v>
      </c>
      <c r="C122" s="138" t="s">
        <v>3264</v>
      </c>
      <c r="D122" s="138" t="s">
        <v>3265</v>
      </c>
      <c r="E122" s="138" t="s">
        <v>59</v>
      </c>
      <c r="F122" s="138" t="n">
        <v>1</v>
      </c>
      <c r="G122" s="141"/>
      <c r="H122" s="141"/>
      <c r="I122" s="141"/>
      <c r="J122" s="141"/>
      <c r="K122" s="141"/>
      <c r="L122" s="141"/>
      <c r="M122" s="141"/>
      <c r="N122" s="141"/>
      <c r="O122" s="138" t="s">
        <v>3266</v>
      </c>
    </row>
    <row r="123" customFormat="false" ht="15" hidden="false" customHeight="false" outlineLevel="0" collapsed="false">
      <c r="A123" s="138" t="s">
        <v>3267</v>
      </c>
      <c r="B123" s="138" t="n">
        <v>160.372</v>
      </c>
      <c r="C123" s="138" t="s">
        <v>3268</v>
      </c>
      <c r="D123" s="138" t="s">
        <v>3269</v>
      </c>
      <c r="E123" s="138"/>
      <c r="F123" s="138" t="n">
        <v>1</v>
      </c>
      <c r="G123" s="141" t="n">
        <v>25.26</v>
      </c>
      <c r="H123" s="141" t="n">
        <v>1158.77</v>
      </c>
      <c r="I123" s="141" t="n">
        <v>1174.68</v>
      </c>
      <c r="J123" s="141" t="n">
        <v>0</v>
      </c>
      <c r="K123" s="141" t="n">
        <v>0</v>
      </c>
      <c r="L123" s="141"/>
      <c r="M123" s="141"/>
      <c r="N123" s="141"/>
      <c r="O123" s="138" t="s">
        <v>3175</v>
      </c>
    </row>
    <row r="124" customFormat="false" ht="15" hidden="false" customHeight="false" outlineLevel="0" collapsed="false">
      <c r="A124" s="138" t="s">
        <v>2575</v>
      </c>
      <c r="B124" s="138" t="n">
        <v>161.5055</v>
      </c>
      <c r="C124" s="138" t="s">
        <v>3169</v>
      </c>
      <c r="D124" s="138" t="s">
        <v>3170</v>
      </c>
      <c r="E124" s="138" t="s">
        <v>60</v>
      </c>
      <c r="F124" s="138" t="n">
        <v>1</v>
      </c>
      <c r="G124" s="141"/>
      <c r="H124" s="141"/>
      <c r="I124" s="141"/>
      <c r="J124" s="141"/>
      <c r="K124" s="141"/>
      <c r="L124" s="141"/>
      <c r="M124" s="141"/>
      <c r="N124" s="141"/>
      <c r="O124" s="138" t="s">
        <v>3171</v>
      </c>
    </row>
    <row r="125" customFormat="false" ht="15" hidden="false" customHeight="false" outlineLevel="0" collapsed="false">
      <c r="A125" s="138" t="s">
        <v>3270</v>
      </c>
      <c r="B125" s="138" t="n">
        <v>161.8965</v>
      </c>
      <c r="C125" s="138" t="s">
        <v>3163</v>
      </c>
      <c r="D125" s="138" t="s">
        <v>2380</v>
      </c>
      <c r="E125" s="138" t="s">
        <v>59</v>
      </c>
      <c r="F125" s="138" t="n">
        <v>1</v>
      </c>
      <c r="G125" s="141" t="n">
        <v>14.95</v>
      </c>
      <c r="H125" s="141"/>
      <c r="I125" s="141"/>
      <c r="J125" s="141"/>
      <c r="K125" s="141"/>
      <c r="L125" s="141"/>
      <c r="M125" s="141"/>
      <c r="N125" s="141"/>
      <c r="O125" s="138" t="s">
        <v>3164</v>
      </c>
    </row>
    <row r="126" customFormat="false" ht="15" hidden="false" customHeight="false" outlineLevel="0" collapsed="false">
      <c r="A126" s="138" t="s">
        <v>3271</v>
      </c>
      <c r="B126" s="138" t="n">
        <v>162.7865</v>
      </c>
      <c r="C126" s="138" t="s">
        <v>3169</v>
      </c>
      <c r="D126" s="138" t="s">
        <v>3170</v>
      </c>
      <c r="E126" s="138" t="s">
        <v>59</v>
      </c>
      <c r="F126" s="138" t="n">
        <v>1</v>
      </c>
      <c r="G126" s="141"/>
      <c r="H126" s="141"/>
      <c r="I126" s="141"/>
      <c r="J126" s="141"/>
      <c r="K126" s="141"/>
      <c r="L126" s="141"/>
      <c r="M126" s="141"/>
      <c r="N126" s="141"/>
      <c r="O126" s="138" t="s">
        <v>3171</v>
      </c>
    </row>
    <row r="127" customFormat="false" ht="15" hidden="false" customHeight="false" outlineLevel="0" collapsed="false">
      <c r="A127" s="138" t="s">
        <v>3272</v>
      </c>
      <c r="B127" s="138" t="n">
        <v>162.9135</v>
      </c>
      <c r="C127" s="138" t="s">
        <v>3163</v>
      </c>
      <c r="D127" s="138" t="s">
        <v>2380</v>
      </c>
      <c r="E127" s="138" t="s">
        <v>59</v>
      </c>
      <c r="F127" s="138" t="n">
        <v>1</v>
      </c>
      <c r="G127" s="141" t="n">
        <v>13.8</v>
      </c>
      <c r="H127" s="141"/>
      <c r="I127" s="141"/>
      <c r="J127" s="141"/>
      <c r="K127" s="141"/>
      <c r="L127" s="141"/>
      <c r="M127" s="141"/>
      <c r="N127" s="141"/>
      <c r="O127" s="138" t="s">
        <v>3164</v>
      </c>
    </row>
    <row r="128" customFormat="false" ht="15" hidden="false" customHeight="false" outlineLevel="0" collapsed="false">
      <c r="A128" s="138" t="s">
        <v>2576</v>
      </c>
      <c r="B128" s="138" t="n">
        <v>163.907</v>
      </c>
      <c r="C128" s="138" t="s">
        <v>3163</v>
      </c>
      <c r="D128" s="138" t="s">
        <v>2380</v>
      </c>
      <c r="E128" s="138" t="s">
        <v>59</v>
      </c>
      <c r="F128" s="138" t="n">
        <v>1</v>
      </c>
      <c r="G128" s="141" t="n">
        <v>13.99</v>
      </c>
      <c r="H128" s="141"/>
      <c r="I128" s="141"/>
      <c r="J128" s="141"/>
      <c r="K128" s="141"/>
      <c r="L128" s="141"/>
      <c r="M128" s="141"/>
      <c r="N128" s="141"/>
      <c r="O128" s="138" t="s">
        <v>3164</v>
      </c>
    </row>
    <row r="129" customFormat="false" ht="15" hidden="false" customHeight="false" outlineLevel="0" collapsed="false">
      <c r="A129" s="138" t="s">
        <v>3273</v>
      </c>
      <c r="B129" s="138" t="n">
        <v>169.206</v>
      </c>
      <c r="C129" s="138" t="s">
        <v>3169</v>
      </c>
      <c r="D129" s="138" t="s">
        <v>3170</v>
      </c>
      <c r="E129" s="138" t="s">
        <v>60</v>
      </c>
      <c r="F129" s="138" t="n">
        <v>1</v>
      </c>
      <c r="G129" s="141"/>
      <c r="H129" s="141"/>
      <c r="I129" s="141"/>
      <c r="J129" s="141"/>
      <c r="K129" s="141"/>
      <c r="L129" s="141"/>
      <c r="M129" s="141"/>
      <c r="N129" s="141"/>
      <c r="O129" s="138" t="s">
        <v>3171</v>
      </c>
    </row>
    <row r="130" customFormat="false" ht="15" hidden="false" customHeight="false" outlineLevel="0" collapsed="false">
      <c r="A130" s="138" t="s">
        <v>3274</v>
      </c>
      <c r="B130" s="138" t="n">
        <v>169.4365</v>
      </c>
      <c r="C130" s="138" t="s">
        <v>3187</v>
      </c>
      <c r="D130" s="138" t="s">
        <v>3174</v>
      </c>
      <c r="E130" s="138"/>
      <c r="F130" s="138" t="n">
        <v>1</v>
      </c>
      <c r="G130" s="141" t="n">
        <v>30.17</v>
      </c>
      <c r="H130" s="141" t="n">
        <v>314.85</v>
      </c>
      <c r="I130" s="141" t="n">
        <v>256.24</v>
      </c>
      <c r="J130" s="141" t="n">
        <v>34.92</v>
      </c>
      <c r="K130" s="141" t="n">
        <v>0</v>
      </c>
      <c r="L130" s="141"/>
      <c r="M130" s="141"/>
      <c r="N130" s="141"/>
      <c r="O130" s="138" t="s">
        <v>3175</v>
      </c>
    </row>
    <row r="131" customFormat="false" ht="15" hidden="false" customHeight="false" outlineLevel="0" collapsed="false">
      <c r="A131" s="138" t="s">
        <v>2588</v>
      </c>
      <c r="B131" s="138" t="n">
        <v>169.8765</v>
      </c>
      <c r="C131" s="138" t="s">
        <v>3222</v>
      </c>
      <c r="D131" s="138" t="s">
        <v>3207</v>
      </c>
      <c r="E131" s="138" t="s">
        <v>60</v>
      </c>
      <c r="F131" s="138" t="n">
        <v>1</v>
      </c>
      <c r="G131" s="141"/>
      <c r="H131" s="141"/>
      <c r="I131" s="141"/>
      <c r="J131" s="141"/>
      <c r="K131" s="141"/>
      <c r="L131" s="141"/>
      <c r="M131" s="141"/>
      <c r="N131" s="141"/>
      <c r="O131" s="138" t="s">
        <v>3208</v>
      </c>
    </row>
    <row r="132" customFormat="false" ht="15" hidden="false" customHeight="false" outlineLevel="0" collapsed="false">
      <c r="A132" s="138" t="s">
        <v>2588</v>
      </c>
      <c r="B132" s="138" t="n">
        <v>169.8765</v>
      </c>
      <c r="C132" s="138" t="s">
        <v>3243</v>
      </c>
      <c r="D132" s="138" t="s">
        <v>3244</v>
      </c>
      <c r="E132" s="138" t="s">
        <v>60</v>
      </c>
      <c r="F132" s="138" t="n">
        <v>1</v>
      </c>
      <c r="G132" s="141" t="n">
        <v>3.3</v>
      </c>
      <c r="H132" s="141"/>
      <c r="I132" s="141"/>
      <c r="J132" s="141"/>
      <c r="K132" s="141"/>
      <c r="L132" s="141"/>
      <c r="M132" s="141"/>
      <c r="N132" s="141"/>
      <c r="O132" s="138" t="s">
        <v>3245</v>
      </c>
    </row>
    <row r="133" customFormat="false" ht="15" hidden="false" customHeight="false" outlineLevel="0" collapsed="false">
      <c r="A133" s="138" t="s">
        <v>3275</v>
      </c>
      <c r="B133" s="138" t="n">
        <v>170.6345</v>
      </c>
      <c r="C133" s="138" t="s">
        <v>3163</v>
      </c>
      <c r="D133" s="138" t="s">
        <v>2380</v>
      </c>
      <c r="E133" s="138" t="s">
        <v>60</v>
      </c>
      <c r="F133" s="138" t="n">
        <v>1</v>
      </c>
      <c r="G133" s="141" t="n">
        <v>17.43</v>
      </c>
      <c r="H133" s="141"/>
      <c r="I133" s="141"/>
      <c r="J133" s="141"/>
      <c r="K133" s="141"/>
      <c r="L133" s="141"/>
      <c r="M133" s="141"/>
      <c r="N133" s="141"/>
      <c r="O133" s="138" t="s">
        <v>3164</v>
      </c>
    </row>
    <row r="134" customFormat="false" ht="15" hidden="false" customHeight="false" outlineLevel="0" collapsed="false">
      <c r="A134" s="138" t="s">
        <v>3276</v>
      </c>
      <c r="B134" s="138" t="n">
        <v>171.699</v>
      </c>
      <c r="C134" s="138" t="s">
        <v>3163</v>
      </c>
      <c r="D134" s="138" t="s">
        <v>2380</v>
      </c>
      <c r="E134" s="138" t="s">
        <v>60</v>
      </c>
      <c r="F134" s="138" t="n">
        <v>1</v>
      </c>
      <c r="G134" s="141" t="n">
        <v>16.52</v>
      </c>
      <c r="H134" s="141"/>
      <c r="I134" s="141"/>
      <c r="J134" s="141"/>
      <c r="K134" s="141"/>
      <c r="L134" s="141"/>
      <c r="M134" s="141"/>
      <c r="N134" s="141"/>
      <c r="O134" s="138" t="s">
        <v>3164</v>
      </c>
    </row>
    <row r="135" customFormat="false" ht="15" hidden="false" customHeight="false" outlineLevel="0" collapsed="false">
      <c r="A135" s="138" t="s">
        <v>3277</v>
      </c>
      <c r="B135" s="138" t="n">
        <v>172.4727</v>
      </c>
      <c r="C135" s="138" t="s">
        <v>3190</v>
      </c>
      <c r="D135" s="138" t="s">
        <v>3174</v>
      </c>
      <c r="E135" s="138" t="s">
        <v>59</v>
      </c>
      <c r="F135" s="138" t="n">
        <v>1</v>
      </c>
      <c r="G135" s="141"/>
      <c r="H135" s="141"/>
      <c r="I135" s="141"/>
      <c r="J135" s="141"/>
      <c r="K135" s="141"/>
      <c r="L135" s="141"/>
      <c r="M135" s="141"/>
      <c r="N135" s="141"/>
      <c r="O135" s="138" t="s">
        <v>3278</v>
      </c>
    </row>
    <row r="136" customFormat="false" ht="15" hidden="false" customHeight="false" outlineLevel="0" collapsed="false">
      <c r="A136" s="138" t="s">
        <v>3279</v>
      </c>
      <c r="B136" s="138" t="n">
        <v>172.6395</v>
      </c>
      <c r="C136" s="138" t="s">
        <v>3163</v>
      </c>
      <c r="D136" s="138" t="s">
        <v>2380</v>
      </c>
      <c r="E136" s="138" t="s">
        <v>60</v>
      </c>
      <c r="F136" s="138" t="n">
        <v>1</v>
      </c>
      <c r="G136" s="141" t="n">
        <v>17</v>
      </c>
      <c r="H136" s="141"/>
      <c r="I136" s="141"/>
      <c r="J136" s="141"/>
      <c r="K136" s="141"/>
      <c r="L136" s="141"/>
      <c r="M136" s="141"/>
      <c r="N136" s="141"/>
      <c r="O136" s="138" t="s">
        <v>3164</v>
      </c>
    </row>
    <row r="137" customFormat="false" ht="15" hidden="false" customHeight="false" outlineLevel="0" collapsed="false">
      <c r="A137" s="138" t="s">
        <v>3280</v>
      </c>
      <c r="B137" s="138" t="n">
        <v>194.7495</v>
      </c>
      <c r="C137" s="138" t="s">
        <v>3163</v>
      </c>
      <c r="D137" s="138" t="s">
        <v>2380</v>
      </c>
      <c r="E137" s="138" t="s">
        <v>59</v>
      </c>
      <c r="F137" s="138" t="n">
        <v>1</v>
      </c>
      <c r="G137" s="141" t="n">
        <v>13.94</v>
      </c>
      <c r="H137" s="141"/>
      <c r="I137" s="141"/>
      <c r="J137" s="141"/>
      <c r="K137" s="141"/>
      <c r="L137" s="141"/>
      <c r="M137" s="141"/>
      <c r="N137" s="141"/>
      <c r="O137" s="138" t="s">
        <v>3164</v>
      </c>
    </row>
    <row r="138" customFormat="false" ht="15" hidden="false" customHeight="false" outlineLevel="0" collapsed="false">
      <c r="A138" s="138" t="s">
        <v>3281</v>
      </c>
      <c r="B138" s="138" t="n">
        <v>195.7605</v>
      </c>
      <c r="C138" s="138" t="s">
        <v>3163</v>
      </c>
      <c r="D138" s="138" t="s">
        <v>2380</v>
      </c>
      <c r="E138" s="138" t="s">
        <v>59</v>
      </c>
      <c r="F138" s="138" t="n">
        <v>1</v>
      </c>
      <c r="G138" s="141" t="n">
        <v>14.2</v>
      </c>
      <c r="H138" s="141"/>
      <c r="I138" s="141"/>
      <c r="J138" s="141"/>
      <c r="K138" s="141"/>
      <c r="L138" s="141"/>
      <c r="M138" s="141"/>
      <c r="N138" s="141"/>
      <c r="O138" s="138" t="s">
        <v>3164</v>
      </c>
    </row>
    <row r="139" customFormat="false" ht="15" hidden="false" customHeight="false" outlineLevel="0" collapsed="false">
      <c r="A139" s="138" t="s">
        <v>3282</v>
      </c>
      <c r="B139" s="138" t="n">
        <v>196.7405</v>
      </c>
      <c r="C139" s="138" t="s">
        <v>3163</v>
      </c>
      <c r="D139" s="138" t="s">
        <v>2380</v>
      </c>
      <c r="E139" s="138" t="s">
        <v>59</v>
      </c>
      <c r="F139" s="138" t="n">
        <v>1</v>
      </c>
      <c r="G139" s="141" t="n">
        <v>14.4</v>
      </c>
      <c r="H139" s="141"/>
      <c r="I139" s="141"/>
      <c r="J139" s="141"/>
      <c r="K139" s="141"/>
      <c r="L139" s="141"/>
      <c r="M139" s="141"/>
      <c r="N139" s="141"/>
      <c r="O139" s="138" t="s">
        <v>3164</v>
      </c>
    </row>
    <row r="140" customFormat="false" ht="15" hidden="false" customHeight="false" outlineLevel="0" collapsed="false">
      <c r="A140" s="138" t="s">
        <v>3283</v>
      </c>
      <c r="B140" s="138" t="n">
        <v>200.247</v>
      </c>
      <c r="C140" s="138" t="s">
        <v>3169</v>
      </c>
      <c r="D140" s="138" t="s">
        <v>3170</v>
      </c>
      <c r="E140" s="138" t="s">
        <v>59</v>
      </c>
      <c r="F140" s="138" t="n">
        <v>1</v>
      </c>
      <c r="G140" s="141"/>
      <c r="H140" s="141"/>
      <c r="I140" s="141"/>
      <c r="J140" s="141"/>
      <c r="K140" s="141"/>
      <c r="L140" s="141"/>
      <c r="M140" s="141"/>
      <c r="N140" s="141"/>
      <c r="O140" s="138" t="s">
        <v>3171</v>
      </c>
    </row>
    <row r="141" customFormat="false" ht="15" hidden="false" customHeight="false" outlineLevel="0" collapsed="false">
      <c r="A141" s="138" t="s">
        <v>3284</v>
      </c>
      <c r="B141" s="138" t="n">
        <v>200.562</v>
      </c>
      <c r="C141" s="138" t="s">
        <v>3213</v>
      </c>
      <c r="D141" s="138" t="s">
        <v>3174</v>
      </c>
      <c r="E141" s="138"/>
      <c r="F141" s="138" t="n">
        <v>1</v>
      </c>
      <c r="G141" s="141" t="n">
        <v>17.43</v>
      </c>
      <c r="H141" s="141" t="n">
        <v>71.69</v>
      </c>
      <c r="I141" s="141" t="n">
        <v>115.62</v>
      </c>
      <c r="J141" s="141" t="n">
        <v>0</v>
      </c>
      <c r="K141" s="141" t="n">
        <v>0</v>
      </c>
      <c r="L141" s="141"/>
      <c r="M141" s="141"/>
      <c r="N141" s="141"/>
      <c r="O141" s="138" t="s">
        <v>3175</v>
      </c>
    </row>
    <row r="142" customFormat="false" ht="15" hidden="false" customHeight="false" outlineLevel="0" collapsed="false">
      <c r="A142" s="138" t="s">
        <v>3284</v>
      </c>
      <c r="B142" s="138" t="n">
        <v>200.562</v>
      </c>
      <c r="C142" s="138" t="s">
        <v>391</v>
      </c>
      <c r="D142" s="138" t="s">
        <v>3178</v>
      </c>
      <c r="E142" s="138" t="s">
        <v>59</v>
      </c>
      <c r="F142" s="138" t="n">
        <v>1</v>
      </c>
      <c r="G142" s="141"/>
      <c r="H142" s="141" t="n">
        <v>36.27</v>
      </c>
      <c r="I142" s="141"/>
      <c r="J142" s="141"/>
      <c r="K142" s="141"/>
      <c r="L142" s="141" t="n">
        <v>9.35</v>
      </c>
      <c r="M142" s="141"/>
      <c r="N142" s="141" t="n">
        <v>6</v>
      </c>
      <c r="O142" s="138" t="s">
        <v>3179</v>
      </c>
    </row>
    <row r="143" customFormat="false" ht="15" hidden="false" customHeight="false" outlineLevel="0" collapsed="false">
      <c r="A143" s="138" t="s">
        <v>2611</v>
      </c>
      <c r="B143" s="138" t="n">
        <v>202.3</v>
      </c>
      <c r="C143" s="138" t="s">
        <v>3181</v>
      </c>
      <c r="D143" s="138" t="s">
        <v>3174</v>
      </c>
      <c r="E143" s="138" t="s">
        <v>59</v>
      </c>
      <c r="F143" s="138" t="n">
        <v>1</v>
      </c>
      <c r="G143" s="141"/>
      <c r="H143" s="141"/>
      <c r="I143" s="141"/>
      <c r="J143" s="141"/>
      <c r="K143" s="141"/>
      <c r="L143" s="141"/>
      <c r="M143" s="141"/>
      <c r="N143" s="141"/>
      <c r="O143" s="138" t="s">
        <v>3285</v>
      </c>
    </row>
    <row r="144" customFormat="false" ht="15" hidden="false" customHeight="false" outlineLevel="0" collapsed="false">
      <c r="A144" s="138" t="s">
        <v>3286</v>
      </c>
      <c r="B144" s="138" t="n">
        <v>204.6905</v>
      </c>
      <c r="C144" s="138" t="s">
        <v>3287</v>
      </c>
      <c r="D144" s="138" t="s">
        <v>3195</v>
      </c>
      <c r="E144" s="138" t="s">
        <v>60</v>
      </c>
      <c r="F144" s="138" t="n">
        <v>1</v>
      </c>
      <c r="G144" s="141"/>
      <c r="H144" s="141"/>
      <c r="I144" s="141"/>
      <c r="J144" s="141"/>
      <c r="K144" s="141"/>
      <c r="L144" s="141"/>
      <c r="M144" s="141"/>
      <c r="N144" s="141"/>
      <c r="O144" s="138" t="s">
        <v>3196</v>
      </c>
    </row>
    <row r="145" customFormat="false" ht="15" hidden="false" customHeight="false" outlineLevel="0" collapsed="false">
      <c r="A145" s="138" t="s">
        <v>2624</v>
      </c>
      <c r="B145" s="138" t="n">
        <v>210.909</v>
      </c>
      <c r="C145" s="138" t="s">
        <v>3222</v>
      </c>
      <c r="D145" s="138" t="s">
        <v>3207</v>
      </c>
      <c r="E145" s="138" t="s">
        <v>59</v>
      </c>
      <c r="F145" s="138" t="n">
        <v>1</v>
      </c>
      <c r="G145" s="141"/>
      <c r="H145" s="141"/>
      <c r="I145" s="141"/>
      <c r="J145" s="141"/>
      <c r="K145" s="141"/>
      <c r="L145" s="141"/>
      <c r="M145" s="141"/>
      <c r="N145" s="141"/>
      <c r="O145" s="138" t="s">
        <v>3208</v>
      </c>
    </row>
    <row r="146" customFormat="false" ht="15" hidden="false" customHeight="false" outlineLevel="0" collapsed="false">
      <c r="A146" s="138" t="s">
        <v>2624</v>
      </c>
      <c r="B146" s="138" t="n">
        <v>210.909</v>
      </c>
      <c r="C146" s="138" t="s">
        <v>3243</v>
      </c>
      <c r="D146" s="138" t="s">
        <v>3244</v>
      </c>
      <c r="E146" s="138" t="s">
        <v>59</v>
      </c>
      <c r="F146" s="138" t="n">
        <v>1</v>
      </c>
      <c r="G146" s="141" t="n">
        <v>0.6</v>
      </c>
      <c r="H146" s="141"/>
      <c r="I146" s="141"/>
      <c r="J146" s="141"/>
      <c r="K146" s="141"/>
      <c r="L146" s="141"/>
      <c r="M146" s="141"/>
      <c r="N146" s="141"/>
      <c r="O146" s="138" t="s">
        <v>3245</v>
      </c>
    </row>
    <row r="147" customFormat="false" ht="15" hidden="false" customHeight="false" outlineLevel="0" collapsed="false">
      <c r="A147" s="138" t="s">
        <v>3288</v>
      </c>
      <c r="B147" s="138" t="n">
        <v>214.552</v>
      </c>
      <c r="C147" s="138" t="s">
        <v>3163</v>
      </c>
      <c r="D147" s="138" t="s">
        <v>2380</v>
      </c>
      <c r="E147" s="138" t="s">
        <v>60</v>
      </c>
      <c r="F147" s="138" t="n">
        <v>1</v>
      </c>
      <c r="G147" s="141" t="n">
        <v>13.67</v>
      </c>
      <c r="H147" s="141"/>
      <c r="I147" s="141"/>
      <c r="J147" s="141"/>
      <c r="K147" s="141"/>
      <c r="L147" s="141"/>
      <c r="M147" s="141"/>
      <c r="N147" s="141"/>
      <c r="O147" s="138" t="s">
        <v>3164</v>
      </c>
    </row>
    <row r="148" customFormat="false" ht="15" hidden="false" customHeight="false" outlineLevel="0" collapsed="false">
      <c r="A148" s="138" t="s">
        <v>3289</v>
      </c>
      <c r="B148" s="138" t="n">
        <v>215.7275</v>
      </c>
      <c r="C148" s="138" t="s">
        <v>3163</v>
      </c>
      <c r="D148" s="138" t="s">
        <v>2380</v>
      </c>
      <c r="E148" s="138" t="s">
        <v>60</v>
      </c>
      <c r="F148" s="138" t="n">
        <v>1</v>
      </c>
      <c r="G148" s="141" t="n">
        <v>13.69</v>
      </c>
      <c r="H148" s="141"/>
      <c r="I148" s="141"/>
      <c r="J148" s="141"/>
      <c r="K148" s="141"/>
      <c r="L148" s="141"/>
      <c r="M148" s="141"/>
      <c r="N148" s="141"/>
      <c r="O148" s="138" t="s">
        <v>3164</v>
      </c>
    </row>
    <row r="149" customFormat="false" ht="15" hidden="false" customHeight="false" outlineLevel="0" collapsed="false">
      <c r="A149" s="138" t="s">
        <v>3290</v>
      </c>
      <c r="B149" s="138" t="n">
        <v>216.728</v>
      </c>
      <c r="C149" s="138" t="s">
        <v>3163</v>
      </c>
      <c r="D149" s="138" t="s">
        <v>2380</v>
      </c>
      <c r="E149" s="138" t="s">
        <v>60</v>
      </c>
      <c r="F149" s="138" t="n">
        <v>1</v>
      </c>
      <c r="G149" s="141" t="n">
        <v>13.7</v>
      </c>
      <c r="H149" s="141"/>
      <c r="I149" s="141"/>
      <c r="J149" s="141"/>
      <c r="K149" s="141"/>
      <c r="L149" s="141"/>
      <c r="M149" s="141"/>
      <c r="N149" s="141"/>
      <c r="O149" s="138" t="s">
        <v>3164</v>
      </c>
    </row>
    <row r="150" customFormat="false" ht="15" hidden="false" customHeight="false" outlineLevel="0" collapsed="false">
      <c r="A150" s="138" t="s">
        <v>2626</v>
      </c>
      <c r="B150" s="138" t="n">
        <v>226.3475</v>
      </c>
      <c r="C150" s="138" t="s">
        <v>3198</v>
      </c>
      <c r="D150" s="138" t="s">
        <v>3199</v>
      </c>
      <c r="E150" s="138" t="s">
        <v>60</v>
      </c>
      <c r="F150" s="138" t="n">
        <v>1</v>
      </c>
      <c r="G150" s="141" t="n">
        <v>2.4</v>
      </c>
      <c r="H150" s="141"/>
      <c r="I150" s="141"/>
      <c r="J150" s="141"/>
      <c r="K150" s="141"/>
      <c r="L150" s="141"/>
      <c r="M150" s="141"/>
      <c r="N150" s="141"/>
      <c r="O150" s="138" t="s">
        <v>3200</v>
      </c>
    </row>
    <row r="151" customFormat="false" ht="15" hidden="false" customHeight="false" outlineLevel="0" collapsed="false">
      <c r="A151" s="138" t="s">
        <v>3291</v>
      </c>
      <c r="B151" s="138" t="n">
        <v>231.24</v>
      </c>
      <c r="C151" s="138" t="s">
        <v>3163</v>
      </c>
      <c r="D151" s="138" t="s">
        <v>2380</v>
      </c>
      <c r="E151" s="138" t="s">
        <v>59</v>
      </c>
      <c r="F151" s="138" t="n">
        <v>1</v>
      </c>
      <c r="G151" s="141" t="n">
        <v>14.22</v>
      </c>
      <c r="H151" s="141"/>
      <c r="I151" s="141"/>
      <c r="J151" s="141"/>
      <c r="K151" s="141"/>
      <c r="L151" s="141"/>
      <c r="M151" s="141"/>
      <c r="N151" s="141"/>
      <c r="O151" s="138" t="s">
        <v>3164</v>
      </c>
    </row>
    <row r="152" customFormat="false" ht="15" hidden="false" customHeight="false" outlineLevel="0" collapsed="false">
      <c r="A152" s="138" t="s">
        <v>3292</v>
      </c>
      <c r="B152" s="138" t="n">
        <v>232.2405</v>
      </c>
      <c r="C152" s="138" t="s">
        <v>3163</v>
      </c>
      <c r="D152" s="138" t="s">
        <v>2380</v>
      </c>
      <c r="E152" s="138" t="s">
        <v>59</v>
      </c>
      <c r="F152" s="138" t="n">
        <v>1</v>
      </c>
      <c r="G152" s="141" t="n">
        <v>14.23</v>
      </c>
      <c r="H152" s="141"/>
      <c r="I152" s="141"/>
      <c r="J152" s="141"/>
      <c r="K152" s="141"/>
      <c r="L152" s="141"/>
      <c r="M152" s="141"/>
      <c r="N152" s="141"/>
      <c r="O152" s="138" t="s">
        <v>3164</v>
      </c>
    </row>
    <row r="153" customFormat="false" ht="15" hidden="false" customHeight="false" outlineLevel="0" collapsed="false">
      <c r="A153" s="138" t="s">
        <v>3293</v>
      </c>
      <c r="B153" s="138" t="n">
        <v>233.2415</v>
      </c>
      <c r="C153" s="138" t="s">
        <v>3163</v>
      </c>
      <c r="D153" s="138" t="s">
        <v>2380</v>
      </c>
      <c r="E153" s="138" t="s">
        <v>59</v>
      </c>
      <c r="F153" s="138" t="n">
        <v>1</v>
      </c>
      <c r="G153" s="141" t="n">
        <v>14.25</v>
      </c>
      <c r="H153" s="141"/>
      <c r="I153" s="141"/>
      <c r="J153" s="141"/>
      <c r="K153" s="141"/>
      <c r="L153" s="141"/>
      <c r="M153" s="141"/>
      <c r="N153" s="141"/>
      <c r="O153" s="138" t="s">
        <v>3164</v>
      </c>
    </row>
    <row r="154" customFormat="false" ht="15" hidden="false" customHeight="false" outlineLevel="0" collapsed="false">
      <c r="A154" s="138" t="s">
        <v>3294</v>
      </c>
      <c r="B154" s="138" t="n">
        <v>234.242</v>
      </c>
      <c r="C154" s="138" t="s">
        <v>3163</v>
      </c>
      <c r="D154" s="138" t="s">
        <v>2380</v>
      </c>
      <c r="E154" s="138" t="s">
        <v>59</v>
      </c>
      <c r="F154" s="138" t="n">
        <v>1</v>
      </c>
      <c r="G154" s="141" t="n">
        <v>14.21</v>
      </c>
      <c r="H154" s="141"/>
      <c r="I154" s="141"/>
      <c r="J154" s="141"/>
      <c r="K154" s="141"/>
      <c r="L154" s="141"/>
      <c r="M154" s="141"/>
      <c r="N154" s="141"/>
      <c r="O154" s="138" t="s">
        <v>3164</v>
      </c>
    </row>
    <row r="155" customFormat="false" ht="15" hidden="false" customHeight="false" outlineLevel="0" collapsed="false">
      <c r="A155" s="138" t="s">
        <v>3295</v>
      </c>
      <c r="B155" s="138" t="n">
        <v>234.4535</v>
      </c>
      <c r="C155" s="138" t="s">
        <v>3169</v>
      </c>
      <c r="D155" s="138" t="s">
        <v>3170</v>
      </c>
      <c r="E155" s="138" t="s">
        <v>59</v>
      </c>
      <c r="F155" s="138" t="n">
        <v>1</v>
      </c>
      <c r="G155" s="141"/>
      <c r="H155" s="141"/>
      <c r="I155" s="141"/>
      <c r="J155" s="141"/>
      <c r="K155" s="141"/>
      <c r="L155" s="141"/>
      <c r="M155" s="141"/>
      <c r="N155" s="141"/>
      <c r="O155" s="138" t="s">
        <v>3171</v>
      </c>
    </row>
    <row r="156" customFormat="false" ht="15" hidden="false" customHeight="false" outlineLevel="0" collapsed="false">
      <c r="A156" s="138" t="s">
        <v>3296</v>
      </c>
      <c r="B156" s="138" t="n">
        <v>234.7275</v>
      </c>
      <c r="C156" s="138" t="s">
        <v>3169</v>
      </c>
      <c r="D156" s="138" t="s">
        <v>3170</v>
      </c>
      <c r="E156" s="138" t="s">
        <v>60</v>
      </c>
      <c r="F156" s="138" t="n">
        <v>1</v>
      </c>
      <c r="G156" s="141"/>
      <c r="H156" s="141"/>
      <c r="I156" s="141"/>
      <c r="J156" s="141"/>
      <c r="K156" s="141"/>
      <c r="L156" s="141"/>
      <c r="M156" s="141"/>
      <c r="N156" s="141"/>
      <c r="O156" s="138" t="s">
        <v>3171</v>
      </c>
    </row>
    <row r="157" customFormat="false" ht="15" hidden="false" customHeight="false" outlineLevel="0" collapsed="false">
      <c r="A157" s="138" t="s">
        <v>2635</v>
      </c>
      <c r="B157" s="138" t="n">
        <v>234.945</v>
      </c>
      <c r="C157" s="138" t="s">
        <v>3222</v>
      </c>
      <c r="D157" s="138" t="s">
        <v>3207</v>
      </c>
      <c r="E157" s="138" t="s">
        <v>59</v>
      </c>
      <c r="F157" s="138" t="n">
        <v>1</v>
      </c>
      <c r="G157" s="141"/>
      <c r="H157" s="141"/>
      <c r="I157" s="141"/>
      <c r="J157" s="141"/>
      <c r="K157" s="141"/>
      <c r="L157" s="141"/>
      <c r="M157" s="141"/>
      <c r="N157" s="141"/>
      <c r="O157" s="138" t="s">
        <v>3208</v>
      </c>
    </row>
    <row r="158" customFormat="false" ht="15" hidden="false" customHeight="false" outlineLevel="0" collapsed="false">
      <c r="A158" s="138" t="s">
        <v>2635</v>
      </c>
      <c r="B158" s="138" t="n">
        <v>234.945</v>
      </c>
      <c r="C158" s="138" t="s">
        <v>3209</v>
      </c>
      <c r="D158" s="138" t="s">
        <v>3199</v>
      </c>
      <c r="E158" s="138" t="s">
        <v>59</v>
      </c>
      <c r="F158" s="138" t="n">
        <v>1</v>
      </c>
      <c r="G158" s="141" t="n">
        <v>5.4</v>
      </c>
      <c r="H158" s="141"/>
      <c r="I158" s="141"/>
      <c r="J158" s="141"/>
      <c r="K158" s="141"/>
      <c r="L158" s="141"/>
      <c r="M158" s="141"/>
      <c r="N158" s="141"/>
      <c r="O158" s="138" t="s">
        <v>3200</v>
      </c>
    </row>
    <row r="159" customFormat="false" ht="15" hidden="false" customHeight="false" outlineLevel="0" collapsed="false">
      <c r="A159" s="138" t="s">
        <v>2637</v>
      </c>
      <c r="B159" s="138" t="n">
        <v>234.9975</v>
      </c>
      <c r="C159" s="138" t="s">
        <v>3222</v>
      </c>
      <c r="D159" s="138" t="s">
        <v>3207</v>
      </c>
      <c r="E159" s="138" t="s">
        <v>60</v>
      </c>
      <c r="F159" s="138" t="n">
        <v>1</v>
      </c>
      <c r="G159" s="141"/>
      <c r="H159" s="141"/>
      <c r="I159" s="141"/>
      <c r="J159" s="141"/>
      <c r="K159" s="141"/>
      <c r="L159" s="141"/>
      <c r="M159" s="141"/>
      <c r="N159" s="141"/>
      <c r="O159" s="138" t="s">
        <v>3208</v>
      </c>
    </row>
    <row r="160" customFormat="false" ht="15" hidden="false" customHeight="false" outlineLevel="0" collapsed="false">
      <c r="A160" s="138" t="s">
        <v>2637</v>
      </c>
      <c r="B160" s="138" t="n">
        <v>234.9975</v>
      </c>
      <c r="C160" s="138" t="s">
        <v>3209</v>
      </c>
      <c r="D160" s="138" t="s">
        <v>3199</v>
      </c>
      <c r="E160" s="138" t="s">
        <v>60</v>
      </c>
      <c r="F160" s="138" t="n">
        <v>1</v>
      </c>
      <c r="G160" s="141" t="n">
        <v>6.1</v>
      </c>
      <c r="H160" s="141"/>
      <c r="I160" s="141"/>
      <c r="J160" s="141"/>
      <c r="K160" s="141"/>
      <c r="L160" s="141"/>
      <c r="M160" s="141"/>
      <c r="N160" s="141"/>
      <c r="O160" s="138" t="s">
        <v>3200</v>
      </c>
    </row>
    <row r="161" customFormat="false" ht="15" hidden="false" customHeight="false" outlineLevel="0" collapsed="false">
      <c r="A161" s="138" t="s">
        <v>2631</v>
      </c>
      <c r="B161" s="138" t="n">
        <v>235.139</v>
      </c>
      <c r="C161" s="138" t="s">
        <v>3297</v>
      </c>
      <c r="D161" s="138" t="s">
        <v>3195</v>
      </c>
      <c r="E161" s="138" t="s">
        <v>59</v>
      </c>
      <c r="F161" s="138" t="n">
        <v>1</v>
      </c>
      <c r="G161" s="141"/>
      <c r="H161" s="141"/>
      <c r="I161" s="141"/>
      <c r="J161" s="141"/>
      <c r="K161" s="141"/>
      <c r="L161" s="141"/>
      <c r="M161" s="141"/>
      <c r="N161" s="141"/>
      <c r="O161" s="138" t="s">
        <v>3196</v>
      </c>
    </row>
    <row r="162" customFormat="false" ht="15" hidden="false" customHeight="false" outlineLevel="0" collapsed="false">
      <c r="A162" s="138" t="s">
        <v>2634</v>
      </c>
      <c r="B162" s="138" t="n">
        <v>235.4245</v>
      </c>
      <c r="C162" s="138" t="s">
        <v>3258</v>
      </c>
      <c r="D162" s="138" t="s">
        <v>3195</v>
      </c>
      <c r="E162" s="138" t="s">
        <v>60</v>
      </c>
      <c r="F162" s="138" t="n">
        <v>1</v>
      </c>
      <c r="G162" s="141"/>
      <c r="H162" s="141"/>
      <c r="I162" s="141"/>
      <c r="J162" s="141"/>
      <c r="K162" s="141"/>
      <c r="L162" s="141"/>
      <c r="M162" s="141"/>
      <c r="N162" s="141"/>
      <c r="O162" s="138" t="s">
        <v>3196</v>
      </c>
    </row>
    <row r="163" customFormat="false" ht="15" hidden="false" customHeight="false" outlineLevel="0" collapsed="false">
      <c r="A163" s="138" t="s">
        <v>2639</v>
      </c>
      <c r="B163" s="138" t="n">
        <v>237.038</v>
      </c>
      <c r="C163" s="138" t="s">
        <v>3297</v>
      </c>
      <c r="D163" s="138" t="s">
        <v>3195</v>
      </c>
      <c r="E163" s="138" t="s">
        <v>59</v>
      </c>
      <c r="F163" s="138" t="n">
        <v>1</v>
      </c>
      <c r="G163" s="141"/>
      <c r="H163" s="141"/>
      <c r="I163" s="141"/>
      <c r="J163" s="141"/>
      <c r="K163" s="141"/>
      <c r="L163" s="141"/>
      <c r="M163" s="141"/>
      <c r="N163" s="141"/>
      <c r="O163" s="138" t="s">
        <v>3196</v>
      </c>
    </row>
    <row r="164" customFormat="false" ht="15" hidden="false" customHeight="false" outlineLevel="0" collapsed="false">
      <c r="A164" s="138" t="s">
        <v>2641</v>
      </c>
      <c r="B164" s="138" t="n">
        <v>237.241</v>
      </c>
      <c r="C164" s="138" t="s">
        <v>3222</v>
      </c>
      <c r="D164" s="138" t="s">
        <v>3207</v>
      </c>
      <c r="E164" s="138" t="s">
        <v>59</v>
      </c>
      <c r="F164" s="138" t="n">
        <v>1</v>
      </c>
      <c r="G164" s="141"/>
      <c r="H164" s="141"/>
      <c r="I164" s="141"/>
      <c r="J164" s="141"/>
      <c r="K164" s="141"/>
      <c r="L164" s="141"/>
      <c r="M164" s="141"/>
      <c r="N164" s="141"/>
      <c r="O164" s="138" t="s">
        <v>3208</v>
      </c>
    </row>
    <row r="165" customFormat="false" ht="15" hidden="false" customHeight="false" outlineLevel="0" collapsed="false">
      <c r="A165" s="138" t="s">
        <v>2641</v>
      </c>
      <c r="B165" s="138" t="n">
        <v>237.241</v>
      </c>
      <c r="C165" s="138" t="s">
        <v>3209</v>
      </c>
      <c r="D165" s="138" t="s">
        <v>3199</v>
      </c>
      <c r="E165" s="138" t="s">
        <v>59</v>
      </c>
      <c r="F165" s="138" t="n">
        <v>1</v>
      </c>
      <c r="G165" s="141" t="n">
        <v>4.1</v>
      </c>
      <c r="H165" s="141"/>
      <c r="I165" s="141"/>
      <c r="J165" s="141"/>
      <c r="K165" s="141"/>
      <c r="L165" s="141"/>
      <c r="M165" s="141"/>
      <c r="N165" s="141"/>
      <c r="O165" s="138" t="s">
        <v>3200</v>
      </c>
    </row>
    <row r="166" customFormat="false" ht="15" hidden="false" customHeight="false" outlineLevel="0" collapsed="false">
      <c r="A166" s="138" t="s">
        <v>2643</v>
      </c>
      <c r="B166" s="138" t="n">
        <v>237.25</v>
      </c>
      <c r="C166" s="138" t="s">
        <v>3222</v>
      </c>
      <c r="D166" s="138" t="s">
        <v>3207</v>
      </c>
      <c r="E166" s="138" t="s">
        <v>60</v>
      </c>
      <c r="F166" s="138" t="n">
        <v>1</v>
      </c>
      <c r="G166" s="141"/>
      <c r="H166" s="141"/>
      <c r="I166" s="141"/>
      <c r="J166" s="141"/>
      <c r="K166" s="141"/>
      <c r="L166" s="141"/>
      <c r="M166" s="141"/>
      <c r="N166" s="141"/>
      <c r="O166" s="138" t="s">
        <v>3208</v>
      </c>
    </row>
    <row r="167" customFormat="false" ht="15" hidden="false" customHeight="false" outlineLevel="0" collapsed="false">
      <c r="A167" s="138" t="s">
        <v>2643</v>
      </c>
      <c r="B167" s="138" t="n">
        <v>237.25</v>
      </c>
      <c r="C167" s="138" t="s">
        <v>3209</v>
      </c>
      <c r="D167" s="138" t="s">
        <v>3199</v>
      </c>
      <c r="E167" s="138" t="s">
        <v>60</v>
      </c>
      <c r="F167" s="138" t="n">
        <v>1</v>
      </c>
      <c r="G167" s="141" t="n">
        <v>6.9</v>
      </c>
      <c r="H167" s="141"/>
      <c r="I167" s="141"/>
      <c r="J167" s="141"/>
      <c r="K167" s="141"/>
      <c r="L167" s="141"/>
      <c r="M167" s="141"/>
      <c r="N167" s="141"/>
      <c r="O167" s="138" t="s">
        <v>3200</v>
      </c>
    </row>
    <row r="168" customFormat="false" ht="15" hidden="false" customHeight="false" outlineLevel="0" collapsed="false">
      <c r="A168" s="138" t="s">
        <v>2643</v>
      </c>
      <c r="B168" s="138" t="n">
        <v>237.25</v>
      </c>
      <c r="C168" s="138" t="s">
        <v>3221</v>
      </c>
      <c r="D168" s="138" t="s">
        <v>3195</v>
      </c>
      <c r="E168" s="138" t="s">
        <v>60</v>
      </c>
      <c r="F168" s="138" t="n">
        <v>1</v>
      </c>
      <c r="G168" s="141"/>
      <c r="H168" s="141"/>
      <c r="I168" s="141"/>
      <c r="J168" s="141"/>
      <c r="K168" s="141"/>
      <c r="L168" s="141"/>
      <c r="M168" s="141"/>
      <c r="N168" s="141"/>
      <c r="O168" s="138" t="s">
        <v>3196</v>
      </c>
    </row>
    <row r="169" customFormat="false" ht="15" hidden="false" customHeight="false" outlineLevel="0" collapsed="false">
      <c r="A169" s="138" t="s">
        <v>2645</v>
      </c>
      <c r="B169" s="138" t="n">
        <v>239.029</v>
      </c>
      <c r="C169" s="138" t="s">
        <v>3169</v>
      </c>
      <c r="D169" s="138" t="s">
        <v>3170</v>
      </c>
      <c r="E169" s="138" t="s">
        <v>60</v>
      </c>
      <c r="F169" s="138" t="n">
        <v>1</v>
      </c>
      <c r="G169" s="141"/>
      <c r="H169" s="141"/>
      <c r="I169" s="141"/>
      <c r="J169" s="141"/>
      <c r="K169" s="141"/>
      <c r="L169" s="141"/>
      <c r="M169" s="141"/>
      <c r="N169" s="141"/>
      <c r="O169" s="138" t="s">
        <v>3171</v>
      </c>
    </row>
    <row r="170" customFormat="false" ht="15" hidden="false" customHeight="false" outlineLevel="0" collapsed="false">
      <c r="A170" s="138" t="s">
        <v>3298</v>
      </c>
      <c r="B170" s="138" t="n">
        <v>239.071</v>
      </c>
      <c r="C170" s="138" t="s">
        <v>3169</v>
      </c>
      <c r="D170" s="138" t="s">
        <v>3170</v>
      </c>
      <c r="E170" s="138" t="s">
        <v>59</v>
      </c>
      <c r="F170" s="138" t="n">
        <v>1</v>
      </c>
      <c r="G170" s="141"/>
      <c r="H170" s="141"/>
      <c r="I170" s="141"/>
      <c r="J170" s="141"/>
      <c r="K170" s="141"/>
      <c r="L170" s="141"/>
      <c r="M170" s="141"/>
      <c r="N170" s="141"/>
      <c r="O170" s="138" t="s">
        <v>3171</v>
      </c>
    </row>
    <row r="171" customFormat="false" ht="15" hidden="false" customHeight="false" outlineLevel="0" collapsed="false">
      <c r="A171" s="138" t="s">
        <v>3299</v>
      </c>
      <c r="B171" s="138" t="n">
        <v>239.2515</v>
      </c>
      <c r="C171" s="138" t="s">
        <v>3163</v>
      </c>
      <c r="D171" s="138" t="s">
        <v>2380</v>
      </c>
      <c r="E171" s="138" t="s">
        <v>59</v>
      </c>
      <c r="F171" s="138" t="n">
        <v>1</v>
      </c>
      <c r="G171" s="141" t="n">
        <v>13.91</v>
      </c>
      <c r="H171" s="141"/>
      <c r="I171" s="141"/>
      <c r="J171" s="141"/>
      <c r="K171" s="141"/>
      <c r="L171" s="141"/>
      <c r="M171" s="141"/>
      <c r="N171" s="141"/>
      <c r="O171" s="138" t="s">
        <v>3164</v>
      </c>
    </row>
    <row r="172" customFormat="false" ht="15" hidden="false" customHeight="false" outlineLevel="0" collapsed="false">
      <c r="A172" s="138" t="s">
        <v>2651</v>
      </c>
      <c r="B172" s="138" t="n">
        <v>240.0685</v>
      </c>
      <c r="C172" s="138" t="s">
        <v>3194</v>
      </c>
      <c r="D172" s="138" t="s">
        <v>3195</v>
      </c>
      <c r="E172" s="138" t="s">
        <v>60</v>
      </c>
      <c r="F172" s="138" t="n">
        <v>1</v>
      </c>
      <c r="G172" s="141"/>
      <c r="H172" s="141"/>
      <c r="I172" s="141"/>
      <c r="J172" s="141"/>
      <c r="K172" s="141"/>
      <c r="L172" s="141"/>
      <c r="M172" s="141"/>
      <c r="N172" s="141"/>
      <c r="O172" s="138" t="s">
        <v>3196</v>
      </c>
    </row>
    <row r="173" customFormat="false" ht="15" hidden="false" customHeight="false" outlineLevel="0" collapsed="false">
      <c r="A173" s="138" t="s">
        <v>3300</v>
      </c>
      <c r="B173" s="138" t="n">
        <v>240.248</v>
      </c>
      <c r="C173" s="138" t="s">
        <v>3163</v>
      </c>
      <c r="D173" s="138" t="s">
        <v>2380</v>
      </c>
      <c r="E173" s="138" t="s">
        <v>59</v>
      </c>
      <c r="F173" s="138" t="n">
        <v>1</v>
      </c>
      <c r="G173" s="141" t="n">
        <v>14.19</v>
      </c>
      <c r="H173" s="141"/>
      <c r="I173" s="141"/>
      <c r="J173" s="141"/>
      <c r="K173" s="141"/>
      <c r="L173" s="141"/>
      <c r="M173" s="141"/>
      <c r="N173" s="141"/>
      <c r="O173" s="138" t="s">
        <v>3164</v>
      </c>
    </row>
    <row r="174" customFormat="false" ht="15" hidden="false" customHeight="false" outlineLevel="0" collapsed="false">
      <c r="A174" s="138" t="s">
        <v>3301</v>
      </c>
      <c r="B174" s="138" t="n">
        <v>241.2485</v>
      </c>
      <c r="C174" s="138" t="s">
        <v>3163</v>
      </c>
      <c r="D174" s="138" t="s">
        <v>2380</v>
      </c>
      <c r="E174" s="138" t="s">
        <v>59</v>
      </c>
      <c r="F174" s="138" t="n">
        <v>1</v>
      </c>
      <c r="G174" s="141" t="n">
        <v>14.18</v>
      </c>
      <c r="H174" s="141"/>
      <c r="I174" s="141"/>
      <c r="J174" s="141"/>
      <c r="K174" s="141"/>
      <c r="L174" s="141"/>
      <c r="M174" s="141"/>
      <c r="N174" s="141"/>
      <c r="O174" s="138" t="s">
        <v>3164</v>
      </c>
    </row>
    <row r="175" customFormat="false" ht="15" hidden="false" customHeight="false" outlineLevel="0" collapsed="false">
      <c r="A175" s="138" t="s">
        <v>3302</v>
      </c>
      <c r="B175" s="138" t="n">
        <v>255.091</v>
      </c>
      <c r="C175" s="138" t="s">
        <v>3222</v>
      </c>
      <c r="D175" s="138" t="s">
        <v>3207</v>
      </c>
      <c r="E175" s="138" t="s">
        <v>60</v>
      </c>
      <c r="F175" s="138" t="n">
        <v>1</v>
      </c>
      <c r="G175" s="141"/>
      <c r="H175" s="141"/>
      <c r="I175" s="141"/>
      <c r="J175" s="141"/>
      <c r="K175" s="141"/>
      <c r="L175" s="141"/>
      <c r="M175" s="141"/>
      <c r="N175" s="141"/>
      <c r="O175" s="138" t="s">
        <v>3208</v>
      </c>
    </row>
    <row r="176" customFormat="false" ht="15" hidden="false" customHeight="false" outlineLevel="0" collapsed="false">
      <c r="A176" s="138" t="s">
        <v>3302</v>
      </c>
      <c r="B176" s="138" t="n">
        <v>255.091</v>
      </c>
      <c r="C176" s="138" t="s">
        <v>3243</v>
      </c>
      <c r="D176" s="138" t="s">
        <v>3244</v>
      </c>
      <c r="E176" s="138" t="s">
        <v>60</v>
      </c>
      <c r="F176" s="138" t="n">
        <v>1</v>
      </c>
      <c r="G176" s="141" t="n">
        <v>1.8</v>
      </c>
      <c r="H176" s="141"/>
      <c r="I176" s="141"/>
      <c r="J176" s="141"/>
      <c r="K176" s="141"/>
      <c r="L176" s="141"/>
      <c r="M176" s="141"/>
      <c r="N176" s="141"/>
      <c r="O176" s="138" t="s">
        <v>3245</v>
      </c>
    </row>
    <row r="177" customFormat="false" ht="15" hidden="false" customHeight="false" outlineLevel="0" collapsed="false">
      <c r="A177" s="138" t="s">
        <v>3302</v>
      </c>
      <c r="B177" s="138" t="n">
        <v>255.091</v>
      </c>
      <c r="C177" s="138" t="s">
        <v>3221</v>
      </c>
      <c r="D177" s="138" t="s">
        <v>3195</v>
      </c>
      <c r="E177" s="138" t="s">
        <v>60</v>
      </c>
      <c r="F177" s="138" t="n">
        <v>1</v>
      </c>
      <c r="G177" s="141"/>
      <c r="H177" s="141"/>
      <c r="I177" s="141"/>
      <c r="J177" s="141"/>
      <c r="K177" s="141"/>
      <c r="L177" s="141"/>
      <c r="M177" s="141"/>
      <c r="N177" s="141"/>
      <c r="O177" s="138" t="s">
        <v>3196</v>
      </c>
    </row>
    <row r="178" customFormat="false" ht="15" hidden="false" customHeight="false" outlineLevel="0" collapsed="false">
      <c r="A178" s="138" t="s">
        <v>2658</v>
      </c>
      <c r="B178" s="138" t="n">
        <v>255.568</v>
      </c>
      <c r="C178" s="138" t="s">
        <v>3194</v>
      </c>
      <c r="D178" s="138" t="s">
        <v>3195</v>
      </c>
      <c r="E178" s="138" t="s">
        <v>60</v>
      </c>
      <c r="F178" s="138" t="n">
        <v>1</v>
      </c>
      <c r="G178" s="141"/>
      <c r="H178" s="141"/>
      <c r="I178" s="141"/>
      <c r="J178" s="141"/>
      <c r="K178" s="141"/>
      <c r="L178" s="141"/>
      <c r="M178" s="141"/>
      <c r="N178" s="141"/>
      <c r="O178" s="138" t="s">
        <v>3196</v>
      </c>
    </row>
    <row r="179" customFormat="false" ht="15" hidden="false" customHeight="false" outlineLevel="0" collapsed="false">
      <c r="A179" s="138" t="s">
        <v>3303</v>
      </c>
      <c r="B179" s="138" t="n">
        <v>259.9915</v>
      </c>
      <c r="C179" s="138" t="s">
        <v>3213</v>
      </c>
      <c r="D179" s="138" t="s">
        <v>3174</v>
      </c>
      <c r="E179" s="138"/>
      <c r="F179" s="138" t="n">
        <v>1</v>
      </c>
      <c r="G179" s="141" t="n">
        <v>17.53</v>
      </c>
      <c r="H179" s="141" t="n">
        <v>87.85</v>
      </c>
      <c r="I179" s="141" t="n">
        <v>116.29</v>
      </c>
      <c r="J179" s="141" t="n">
        <v>0</v>
      </c>
      <c r="K179" s="141" t="n">
        <v>0</v>
      </c>
      <c r="L179" s="141"/>
      <c r="M179" s="141"/>
      <c r="N179" s="141"/>
      <c r="O179" s="138" t="s">
        <v>3175</v>
      </c>
    </row>
    <row r="180" customFormat="false" ht="15" hidden="false" customHeight="false" outlineLevel="0" collapsed="false">
      <c r="A180" s="138" t="s">
        <v>3304</v>
      </c>
      <c r="B180" s="138" t="n">
        <v>260.2935</v>
      </c>
      <c r="C180" s="138" t="s">
        <v>3169</v>
      </c>
      <c r="D180" s="138" t="s">
        <v>3170</v>
      </c>
      <c r="E180" s="138" t="s">
        <v>59</v>
      </c>
      <c r="F180" s="138" t="n">
        <v>1</v>
      </c>
      <c r="G180" s="141"/>
      <c r="H180" s="141"/>
      <c r="I180" s="141"/>
      <c r="J180" s="141"/>
      <c r="K180" s="141"/>
      <c r="L180" s="141"/>
      <c r="M180" s="141"/>
      <c r="N180" s="141"/>
      <c r="O180" s="138" t="s">
        <v>3171</v>
      </c>
    </row>
    <row r="181" customFormat="false" ht="15" hidden="false" customHeight="false" outlineLevel="0" collapsed="false">
      <c r="A181" s="138" t="s">
        <v>3305</v>
      </c>
      <c r="B181" s="138" t="n">
        <v>260.7465</v>
      </c>
      <c r="C181" s="138" t="s">
        <v>3163</v>
      </c>
      <c r="D181" s="138" t="s">
        <v>2380</v>
      </c>
      <c r="E181" s="138" t="s">
        <v>59</v>
      </c>
      <c r="F181" s="138" t="n">
        <v>1</v>
      </c>
      <c r="G181" s="141" t="n">
        <v>14.16</v>
      </c>
      <c r="H181" s="141"/>
      <c r="I181" s="141"/>
      <c r="J181" s="141"/>
      <c r="K181" s="141"/>
      <c r="L181" s="141"/>
      <c r="M181" s="141"/>
      <c r="N181" s="141"/>
      <c r="O181" s="138" t="s">
        <v>3164</v>
      </c>
    </row>
    <row r="182" customFormat="false" ht="15" hidden="false" customHeight="false" outlineLevel="0" collapsed="false">
      <c r="A182" s="138" t="s">
        <v>3306</v>
      </c>
      <c r="B182" s="138" t="n">
        <v>261.7545</v>
      </c>
      <c r="C182" s="138" t="s">
        <v>3163</v>
      </c>
      <c r="D182" s="138" t="s">
        <v>2380</v>
      </c>
      <c r="E182" s="138" t="s">
        <v>59</v>
      </c>
      <c r="F182" s="138" t="n">
        <v>1</v>
      </c>
      <c r="G182" s="141" t="n">
        <v>11.95</v>
      </c>
      <c r="H182" s="141"/>
      <c r="I182" s="141"/>
      <c r="J182" s="141"/>
      <c r="K182" s="141"/>
      <c r="L182" s="141"/>
      <c r="M182" s="141"/>
      <c r="N182" s="141"/>
      <c r="O182" s="138" t="s">
        <v>3164</v>
      </c>
    </row>
    <row r="183" customFormat="false" ht="15" hidden="false" customHeight="false" outlineLevel="0" collapsed="false">
      <c r="A183" s="138" t="s">
        <v>3307</v>
      </c>
      <c r="B183" s="138" t="n">
        <v>262.6437</v>
      </c>
      <c r="C183" s="138" t="s">
        <v>3190</v>
      </c>
      <c r="D183" s="138" t="s">
        <v>3174</v>
      </c>
      <c r="E183" s="138" t="s">
        <v>59</v>
      </c>
      <c r="F183" s="138" t="n">
        <v>1</v>
      </c>
      <c r="G183" s="141"/>
      <c r="H183" s="141"/>
      <c r="I183" s="141"/>
      <c r="J183" s="141"/>
      <c r="K183" s="141"/>
      <c r="L183" s="141"/>
      <c r="M183" s="141"/>
      <c r="N183" s="141"/>
      <c r="O183" s="138" t="s">
        <v>3308</v>
      </c>
    </row>
    <row r="184" customFormat="false" ht="15" hidden="false" customHeight="false" outlineLevel="0" collapsed="false">
      <c r="A184" s="138" t="s">
        <v>2664</v>
      </c>
      <c r="B184" s="138" t="n">
        <v>262.7465</v>
      </c>
      <c r="C184" s="138" t="s">
        <v>3163</v>
      </c>
      <c r="D184" s="138" t="s">
        <v>2380</v>
      </c>
      <c r="E184" s="138" t="s">
        <v>59</v>
      </c>
      <c r="F184" s="138" t="n">
        <v>1</v>
      </c>
      <c r="G184" s="141" t="n">
        <v>14.11</v>
      </c>
      <c r="H184" s="141"/>
      <c r="I184" s="141"/>
      <c r="J184" s="141"/>
      <c r="K184" s="141"/>
      <c r="L184" s="141"/>
      <c r="M184" s="141"/>
      <c r="N184" s="141"/>
      <c r="O184" s="138" t="s">
        <v>3164</v>
      </c>
    </row>
    <row r="185" customFormat="false" ht="15" hidden="false" customHeight="false" outlineLevel="0" collapsed="false">
      <c r="A185" s="138" t="s">
        <v>2671</v>
      </c>
      <c r="B185" s="138" t="n">
        <v>263.471</v>
      </c>
      <c r="C185" s="138" t="s">
        <v>3194</v>
      </c>
      <c r="D185" s="138" t="s">
        <v>3195</v>
      </c>
      <c r="E185" s="138" t="s">
        <v>59</v>
      </c>
      <c r="F185" s="138" t="n">
        <v>1</v>
      </c>
      <c r="G185" s="141"/>
      <c r="H185" s="141"/>
      <c r="I185" s="141"/>
      <c r="J185" s="141"/>
      <c r="K185" s="141"/>
      <c r="L185" s="141"/>
      <c r="M185" s="141"/>
      <c r="N185" s="141"/>
      <c r="O185" s="138" t="s">
        <v>3196</v>
      </c>
    </row>
    <row r="186" customFormat="false" ht="15" hidden="false" customHeight="false" outlineLevel="0" collapsed="false">
      <c r="A186" s="138" t="s">
        <v>2674</v>
      </c>
      <c r="B186" s="138" t="n">
        <v>268.346</v>
      </c>
      <c r="C186" s="138" t="s">
        <v>3222</v>
      </c>
      <c r="D186" s="138" t="s">
        <v>3207</v>
      </c>
      <c r="E186" s="138" t="s">
        <v>59</v>
      </c>
      <c r="F186" s="138" t="n">
        <v>1</v>
      </c>
      <c r="G186" s="141"/>
      <c r="H186" s="141"/>
      <c r="I186" s="141"/>
      <c r="J186" s="141"/>
      <c r="K186" s="141"/>
      <c r="L186" s="141"/>
      <c r="M186" s="141"/>
      <c r="N186" s="141"/>
      <c r="O186" s="138" t="s">
        <v>3208</v>
      </c>
    </row>
    <row r="187" customFormat="false" ht="15" hidden="false" customHeight="false" outlineLevel="0" collapsed="false">
      <c r="A187" s="138" t="s">
        <v>2674</v>
      </c>
      <c r="B187" s="138" t="n">
        <v>268.346</v>
      </c>
      <c r="C187" s="138" t="s">
        <v>3209</v>
      </c>
      <c r="D187" s="138" t="s">
        <v>3199</v>
      </c>
      <c r="E187" s="138" t="s">
        <v>59</v>
      </c>
      <c r="F187" s="138" t="n">
        <v>1</v>
      </c>
      <c r="G187" s="141" t="n">
        <v>5</v>
      </c>
      <c r="H187" s="141"/>
      <c r="I187" s="141"/>
      <c r="J187" s="141"/>
      <c r="K187" s="141"/>
      <c r="L187" s="141"/>
      <c r="M187" s="141"/>
      <c r="N187" s="141"/>
      <c r="O187" s="138" t="s">
        <v>3200</v>
      </c>
    </row>
    <row r="188" customFormat="false" ht="15" hidden="false" customHeight="false" outlineLevel="0" collapsed="false">
      <c r="A188" s="138" t="s">
        <v>2674</v>
      </c>
      <c r="B188" s="138" t="n">
        <v>268.346</v>
      </c>
      <c r="C188" s="138" t="s">
        <v>3221</v>
      </c>
      <c r="D188" s="138" t="s">
        <v>3195</v>
      </c>
      <c r="E188" s="138" t="s">
        <v>59</v>
      </c>
      <c r="F188" s="138" t="n">
        <v>1</v>
      </c>
      <c r="G188" s="141"/>
      <c r="H188" s="141"/>
      <c r="I188" s="141"/>
      <c r="J188" s="141"/>
      <c r="K188" s="141"/>
      <c r="L188" s="141"/>
      <c r="M188" s="141"/>
      <c r="N188" s="141"/>
      <c r="O188" s="138" t="s">
        <v>3196</v>
      </c>
    </row>
    <row r="189" customFormat="false" ht="15" hidden="false" customHeight="false" outlineLevel="0" collapsed="false">
      <c r="A189" s="138" t="s">
        <v>3309</v>
      </c>
      <c r="B189" s="138" t="n">
        <v>268.814</v>
      </c>
      <c r="C189" s="138" t="s">
        <v>3187</v>
      </c>
      <c r="D189" s="138" t="s">
        <v>3174</v>
      </c>
      <c r="E189" s="138"/>
      <c r="F189" s="138" t="n">
        <v>1</v>
      </c>
      <c r="G189" s="141" t="n">
        <v>19.57</v>
      </c>
      <c r="H189" s="141" t="n">
        <v>132.78</v>
      </c>
      <c r="I189" s="141" t="n">
        <v>166.26</v>
      </c>
      <c r="J189" s="141" t="n">
        <v>0</v>
      </c>
      <c r="K189" s="141" t="n">
        <v>0</v>
      </c>
      <c r="L189" s="141"/>
      <c r="M189" s="141"/>
      <c r="N189" s="141"/>
      <c r="O189" s="138" t="s">
        <v>3175</v>
      </c>
    </row>
    <row r="190" customFormat="false" ht="15" hidden="false" customHeight="false" outlineLevel="0" collapsed="false">
      <c r="A190" s="138" t="s">
        <v>3309</v>
      </c>
      <c r="B190" s="138" t="n">
        <v>268.814</v>
      </c>
      <c r="C190" s="138" t="s">
        <v>391</v>
      </c>
      <c r="D190" s="138" t="s">
        <v>3178</v>
      </c>
      <c r="E190" s="138" t="s">
        <v>60</v>
      </c>
      <c r="F190" s="138" t="n">
        <v>1</v>
      </c>
      <c r="G190" s="141"/>
      <c r="H190" s="141" t="n">
        <v>5.26</v>
      </c>
      <c r="I190" s="141"/>
      <c r="J190" s="141"/>
      <c r="K190" s="141"/>
      <c r="L190" s="141" t="n">
        <v>2.44</v>
      </c>
      <c r="M190" s="141"/>
      <c r="N190" s="141" t="n">
        <v>0</v>
      </c>
      <c r="O190" s="138" t="s">
        <v>3179</v>
      </c>
    </row>
    <row r="191" customFormat="false" ht="15" hidden="false" customHeight="false" outlineLevel="0" collapsed="false">
      <c r="A191" s="138" t="s">
        <v>3310</v>
      </c>
      <c r="B191" s="138" t="n">
        <v>272.572</v>
      </c>
      <c r="C191" s="138" t="s">
        <v>3169</v>
      </c>
      <c r="D191" s="138" t="s">
        <v>3170</v>
      </c>
      <c r="E191" s="138" t="s">
        <v>60</v>
      </c>
      <c r="F191" s="138" t="n">
        <v>1</v>
      </c>
      <c r="G191" s="141"/>
      <c r="H191" s="141"/>
      <c r="I191" s="141"/>
      <c r="J191" s="141"/>
      <c r="K191" s="141"/>
      <c r="L191" s="141"/>
      <c r="M191" s="141"/>
      <c r="N191" s="141"/>
      <c r="O191" s="138" t="s">
        <v>3171</v>
      </c>
    </row>
    <row r="192" customFormat="false" ht="15" hidden="false" customHeight="false" outlineLevel="0" collapsed="false">
      <c r="A192" s="138" t="s">
        <v>2684</v>
      </c>
      <c r="B192" s="138" t="n">
        <v>272.9315</v>
      </c>
      <c r="C192" s="138" t="s">
        <v>3169</v>
      </c>
      <c r="D192" s="138" t="s">
        <v>3170</v>
      </c>
      <c r="E192" s="138" t="s">
        <v>59</v>
      </c>
      <c r="F192" s="138" t="n">
        <v>1</v>
      </c>
      <c r="G192" s="141"/>
      <c r="H192" s="141"/>
      <c r="I192" s="141"/>
      <c r="J192" s="141"/>
      <c r="K192" s="141"/>
      <c r="L192" s="141"/>
      <c r="M192" s="141"/>
      <c r="N192" s="141"/>
      <c r="O192" s="138" t="s">
        <v>3171</v>
      </c>
    </row>
    <row r="193" customFormat="false" ht="15" hidden="false" customHeight="false" outlineLevel="0" collapsed="false">
      <c r="A193" s="138" t="s">
        <v>2677</v>
      </c>
      <c r="B193" s="138" t="n">
        <v>273.51</v>
      </c>
      <c r="C193" s="138" t="s">
        <v>3190</v>
      </c>
      <c r="D193" s="138" t="s">
        <v>3174</v>
      </c>
      <c r="E193" s="138" t="s">
        <v>60</v>
      </c>
      <c r="F193" s="138" t="n">
        <v>1</v>
      </c>
      <c r="G193" s="141"/>
      <c r="H193" s="141"/>
      <c r="I193" s="141"/>
      <c r="J193" s="141"/>
      <c r="K193" s="141"/>
      <c r="L193" s="141"/>
      <c r="M193" s="141"/>
      <c r="N193" s="141"/>
      <c r="O193" s="138" t="s">
        <v>3311</v>
      </c>
    </row>
    <row r="194" customFormat="false" ht="15" hidden="false" customHeight="false" outlineLevel="0" collapsed="false">
      <c r="A194" s="138" t="s">
        <v>3312</v>
      </c>
      <c r="B194" s="138" t="n">
        <v>302.7415</v>
      </c>
      <c r="C194" s="138" t="s">
        <v>3163</v>
      </c>
      <c r="D194" s="138" t="s">
        <v>2380</v>
      </c>
      <c r="E194" s="138" t="s">
        <v>59</v>
      </c>
      <c r="F194" s="138" t="n">
        <v>1</v>
      </c>
      <c r="G194" s="141" t="n">
        <v>14.15</v>
      </c>
      <c r="H194" s="141"/>
      <c r="I194" s="141"/>
      <c r="J194" s="141"/>
      <c r="K194" s="141"/>
      <c r="L194" s="141"/>
      <c r="M194" s="141"/>
      <c r="N194" s="141"/>
      <c r="O194" s="138" t="s">
        <v>3164</v>
      </c>
    </row>
    <row r="195" customFormat="false" ht="15" hidden="false" customHeight="false" outlineLevel="0" collapsed="false">
      <c r="A195" s="138" t="s">
        <v>3313</v>
      </c>
      <c r="B195" s="138" t="n">
        <v>303.7425</v>
      </c>
      <c r="C195" s="138" t="s">
        <v>3163</v>
      </c>
      <c r="D195" s="138" t="s">
        <v>2380</v>
      </c>
      <c r="E195" s="138" t="s">
        <v>59</v>
      </c>
      <c r="F195" s="138" t="n">
        <v>1</v>
      </c>
      <c r="G195" s="141" t="n">
        <v>14.15</v>
      </c>
      <c r="H195" s="141"/>
      <c r="I195" s="141"/>
      <c r="J195" s="141"/>
      <c r="K195" s="141"/>
      <c r="L195" s="141"/>
      <c r="M195" s="141"/>
      <c r="N195" s="141"/>
      <c r="O195" s="138" t="s">
        <v>3164</v>
      </c>
    </row>
    <row r="196" customFormat="false" ht="15" hidden="false" customHeight="false" outlineLevel="0" collapsed="false">
      <c r="A196" s="138" t="s">
        <v>3314</v>
      </c>
      <c r="B196" s="138" t="n">
        <v>304.739</v>
      </c>
      <c r="C196" s="138" t="s">
        <v>3163</v>
      </c>
      <c r="D196" s="138" t="s">
        <v>2380</v>
      </c>
      <c r="E196" s="138" t="s">
        <v>59</v>
      </c>
      <c r="F196" s="138" t="n">
        <v>1</v>
      </c>
      <c r="G196" s="141" t="n">
        <v>14.15</v>
      </c>
      <c r="H196" s="141"/>
      <c r="I196" s="141"/>
      <c r="J196" s="141"/>
      <c r="K196" s="141"/>
      <c r="L196" s="141"/>
      <c r="M196" s="141"/>
      <c r="N196" s="141"/>
      <c r="O196" s="138" t="s">
        <v>3164</v>
      </c>
    </row>
    <row r="197" customFormat="false" ht="15" hidden="false" customHeight="false" outlineLevel="0" collapsed="false">
      <c r="A197" s="138" t="s">
        <v>3315</v>
      </c>
      <c r="B197" s="138" t="n">
        <v>305.564</v>
      </c>
      <c r="C197" s="138" t="s">
        <v>3169</v>
      </c>
      <c r="D197" s="138" t="s">
        <v>3170</v>
      </c>
      <c r="E197" s="138" t="s">
        <v>60</v>
      </c>
      <c r="F197" s="138" t="n">
        <v>1</v>
      </c>
      <c r="G197" s="141"/>
      <c r="H197" s="141"/>
      <c r="I197" s="141"/>
      <c r="J197" s="141"/>
      <c r="K197" s="141"/>
      <c r="L197" s="141"/>
      <c r="M197" s="141"/>
      <c r="N197" s="141"/>
      <c r="O197" s="138" t="s">
        <v>3171</v>
      </c>
    </row>
    <row r="198" customFormat="false" ht="15" hidden="false" customHeight="false" outlineLevel="0" collapsed="false">
      <c r="A198" s="138" t="s">
        <v>3316</v>
      </c>
      <c r="B198" s="138" t="n">
        <v>308.106</v>
      </c>
      <c r="C198" s="138" t="s">
        <v>3169</v>
      </c>
      <c r="D198" s="138" t="s">
        <v>3170</v>
      </c>
      <c r="E198" s="138" t="s">
        <v>59</v>
      </c>
      <c r="F198" s="138" t="n">
        <v>1</v>
      </c>
      <c r="G198" s="141"/>
      <c r="H198" s="141"/>
      <c r="I198" s="141"/>
      <c r="J198" s="141"/>
      <c r="K198" s="141"/>
      <c r="L198" s="141"/>
      <c r="M198" s="141"/>
      <c r="N198" s="141"/>
      <c r="O198" s="138" t="s">
        <v>3171</v>
      </c>
    </row>
    <row r="199" customFormat="false" ht="15" hidden="false" customHeight="false" outlineLevel="0" collapsed="false">
      <c r="A199" s="138" t="s">
        <v>3317</v>
      </c>
      <c r="B199" s="138" t="n">
        <v>311.7565</v>
      </c>
      <c r="C199" s="138" t="s">
        <v>3213</v>
      </c>
      <c r="D199" s="138" t="s">
        <v>3174</v>
      </c>
      <c r="E199" s="138"/>
      <c r="F199" s="138" t="n">
        <v>1</v>
      </c>
      <c r="G199" s="141" t="n">
        <v>17.18</v>
      </c>
      <c r="H199" s="141" t="n">
        <v>19.24</v>
      </c>
      <c r="I199" s="141" t="n">
        <v>113.96</v>
      </c>
      <c r="J199" s="141" t="n">
        <v>0</v>
      </c>
      <c r="K199" s="141" t="n">
        <v>0</v>
      </c>
      <c r="L199" s="141"/>
      <c r="M199" s="141"/>
      <c r="N199" s="141"/>
      <c r="O199" s="138" t="s">
        <v>3175</v>
      </c>
    </row>
    <row r="200" customFormat="false" ht="15" hidden="false" customHeight="false" outlineLevel="0" collapsed="false">
      <c r="A200" s="138" t="s">
        <v>3318</v>
      </c>
      <c r="B200" s="138" t="n">
        <v>312.2</v>
      </c>
      <c r="C200" s="138" t="s">
        <v>391</v>
      </c>
      <c r="D200" s="138" t="s">
        <v>3178</v>
      </c>
      <c r="E200" s="138" t="s">
        <v>60</v>
      </c>
      <c r="F200" s="138" t="n">
        <v>1</v>
      </c>
      <c r="G200" s="141"/>
      <c r="H200" s="141" t="n">
        <v>11.07</v>
      </c>
      <c r="I200" s="141"/>
      <c r="J200" s="141"/>
      <c r="K200" s="141"/>
      <c r="L200" s="141" t="n">
        <v>3.7</v>
      </c>
      <c r="M200" s="141"/>
      <c r="N200" s="141" t="n">
        <v>2</v>
      </c>
      <c r="O200" s="138" t="s">
        <v>3179</v>
      </c>
    </row>
    <row r="201" customFormat="false" ht="15" hidden="false" customHeight="false" outlineLevel="0" collapsed="false">
      <c r="A201" s="138" t="s">
        <v>2698</v>
      </c>
      <c r="B201" s="138" t="n">
        <v>316.7315</v>
      </c>
      <c r="C201" s="138" t="s">
        <v>3163</v>
      </c>
      <c r="D201" s="138" t="s">
        <v>2380</v>
      </c>
      <c r="E201" s="138" t="s">
        <v>59</v>
      </c>
      <c r="F201" s="138" t="n">
        <v>1</v>
      </c>
      <c r="G201" s="141" t="n">
        <v>13.99</v>
      </c>
      <c r="H201" s="141"/>
      <c r="I201" s="141"/>
      <c r="J201" s="141"/>
      <c r="K201" s="141"/>
      <c r="L201" s="141"/>
      <c r="M201" s="141"/>
      <c r="N201" s="141"/>
      <c r="O201" s="138" t="s">
        <v>3164</v>
      </c>
    </row>
    <row r="202" customFormat="false" ht="15" hidden="false" customHeight="false" outlineLevel="0" collapsed="false">
      <c r="A202" s="138" t="s">
        <v>3319</v>
      </c>
      <c r="B202" s="138" t="n">
        <v>317.7435</v>
      </c>
      <c r="C202" s="138" t="s">
        <v>3163</v>
      </c>
      <c r="D202" s="138" t="s">
        <v>2380</v>
      </c>
      <c r="E202" s="138" t="s">
        <v>59</v>
      </c>
      <c r="F202" s="138" t="n">
        <v>1</v>
      </c>
      <c r="G202" s="141" t="n">
        <v>14.4</v>
      </c>
      <c r="H202" s="141"/>
      <c r="I202" s="141"/>
      <c r="J202" s="141"/>
      <c r="K202" s="141"/>
      <c r="L202" s="141"/>
      <c r="M202" s="141"/>
      <c r="N202" s="141"/>
      <c r="O202" s="138" t="s">
        <v>3164</v>
      </c>
    </row>
    <row r="203" customFormat="false" ht="15" hidden="false" customHeight="false" outlineLevel="0" collapsed="false">
      <c r="A203" s="138" t="s">
        <v>3320</v>
      </c>
      <c r="B203" s="138" t="n">
        <v>318.728</v>
      </c>
      <c r="C203" s="138" t="s">
        <v>3163</v>
      </c>
      <c r="D203" s="138" t="s">
        <v>2380</v>
      </c>
      <c r="E203" s="138" t="s">
        <v>59</v>
      </c>
      <c r="F203" s="138" t="n">
        <v>1</v>
      </c>
      <c r="G203" s="141" t="n">
        <v>15.56</v>
      </c>
      <c r="H203" s="141"/>
      <c r="I203" s="141"/>
      <c r="J203" s="141"/>
      <c r="K203" s="141"/>
      <c r="L203" s="141"/>
      <c r="M203" s="141"/>
      <c r="N203" s="141"/>
      <c r="O203" s="138" t="s">
        <v>3164</v>
      </c>
    </row>
    <row r="204" customFormat="false" ht="15" hidden="false" customHeight="false" outlineLevel="0" collapsed="false">
      <c r="A204" s="138" t="s">
        <v>3321</v>
      </c>
      <c r="B204" s="138" t="n">
        <v>319.735</v>
      </c>
      <c r="C204" s="138" t="s">
        <v>3163</v>
      </c>
      <c r="D204" s="138" t="s">
        <v>2380</v>
      </c>
      <c r="E204" s="138" t="s">
        <v>59</v>
      </c>
      <c r="F204" s="138" t="n">
        <v>1</v>
      </c>
      <c r="G204" s="141" t="n">
        <v>18.6</v>
      </c>
      <c r="H204" s="141"/>
      <c r="I204" s="141"/>
      <c r="J204" s="141"/>
      <c r="K204" s="141"/>
      <c r="L204" s="141"/>
      <c r="M204" s="141"/>
      <c r="N204" s="141"/>
      <c r="O204" s="138" t="s">
        <v>3164</v>
      </c>
    </row>
    <row r="205" customFormat="false" ht="15" hidden="false" customHeight="false" outlineLevel="0" collapsed="false">
      <c r="A205" s="138" t="s">
        <v>3322</v>
      </c>
      <c r="B205" s="138" t="n">
        <v>321.0425</v>
      </c>
      <c r="C205" s="138" t="s">
        <v>3169</v>
      </c>
      <c r="D205" s="138" t="s">
        <v>3170</v>
      </c>
      <c r="E205" s="138" t="s">
        <v>60</v>
      </c>
      <c r="F205" s="138" t="n">
        <v>1</v>
      </c>
      <c r="G205" s="141"/>
      <c r="H205" s="141"/>
      <c r="I205" s="141"/>
      <c r="J205" s="141"/>
      <c r="K205" s="141"/>
      <c r="L205" s="141"/>
      <c r="M205" s="141"/>
      <c r="N205" s="141"/>
      <c r="O205" s="138" t="s">
        <v>3171</v>
      </c>
    </row>
    <row r="206" customFormat="false" ht="15" hidden="false" customHeight="false" outlineLevel="0" collapsed="false">
      <c r="A206" s="138" t="s">
        <v>3323</v>
      </c>
      <c r="B206" s="138" t="n">
        <v>321.285</v>
      </c>
      <c r="C206" s="138" t="s">
        <v>3169</v>
      </c>
      <c r="D206" s="138" t="s">
        <v>3170</v>
      </c>
      <c r="E206" s="138" t="s">
        <v>59</v>
      </c>
      <c r="F206" s="138" t="n">
        <v>1</v>
      </c>
      <c r="G206" s="141"/>
      <c r="H206" s="141"/>
      <c r="I206" s="141"/>
      <c r="J206" s="141"/>
      <c r="K206" s="141"/>
      <c r="L206" s="141"/>
      <c r="M206" s="141"/>
      <c r="N206" s="141"/>
      <c r="O206" s="138" t="s">
        <v>3171</v>
      </c>
    </row>
    <row r="207" customFormat="false" ht="15" hidden="false" customHeight="false" outlineLevel="0" collapsed="false">
      <c r="A207" s="138" t="s">
        <v>3324</v>
      </c>
      <c r="B207" s="138" t="n">
        <v>323.1975</v>
      </c>
      <c r="C207" s="138" t="s">
        <v>3325</v>
      </c>
      <c r="D207" s="138" t="s">
        <v>3326</v>
      </c>
      <c r="E207" s="138"/>
      <c r="F207" s="138" t="n">
        <v>1</v>
      </c>
      <c r="G207" s="141" t="n">
        <v>23.22</v>
      </c>
      <c r="H207" s="141" t="n">
        <v>264.48</v>
      </c>
      <c r="I207" s="141" t="n">
        <v>538.47</v>
      </c>
      <c r="J207" s="141" t="n">
        <v>0</v>
      </c>
      <c r="K207" s="141" t="n">
        <v>0</v>
      </c>
      <c r="L207" s="141"/>
      <c r="M207" s="141"/>
      <c r="N207" s="141"/>
      <c r="O207" s="138" t="s">
        <v>3175</v>
      </c>
    </row>
    <row r="208" customFormat="false" ht="15" hidden="false" customHeight="false" outlineLevel="0" collapsed="false">
      <c r="A208" s="138" t="s">
        <v>3324</v>
      </c>
      <c r="B208" s="138" t="n">
        <v>323.1975</v>
      </c>
      <c r="C208" s="138" t="s">
        <v>391</v>
      </c>
      <c r="D208" s="138" t="s">
        <v>3178</v>
      </c>
      <c r="E208" s="138" t="s">
        <v>60</v>
      </c>
      <c r="F208" s="138" t="n">
        <v>1</v>
      </c>
      <c r="G208" s="141"/>
      <c r="H208" s="141" t="n">
        <v>72.84</v>
      </c>
      <c r="I208" s="141"/>
      <c r="J208" s="141"/>
      <c r="K208" s="141"/>
      <c r="L208" s="141" t="n">
        <v>9.32</v>
      </c>
      <c r="M208" s="141"/>
      <c r="N208" s="141" t="n">
        <v>12</v>
      </c>
      <c r="O208" s="138" t="s">
        <v>3179</v>
      </c>
    </row>
    <row r="209" customFormat="false" ht="15" hidden="false" customHeight="false" outlineLevel="0" collapsed="false">
      <c r="A209" s="138" t="s">
        <v>3327</v>
      </c>
      <c r="B209" s="138" t="n">
        <v>323.521</v>
      </c>
      <c r="C209" s="138" t="s">
        <v>3181</v>
      </c>
      <c r="D209" s="138" t="s">
        <v>3174</v>
      </c>
      <c r="E209" s="138" t="s">
        <v>60</v>
      </c>
      <c r="F209" s="138" t="n">
        <v>1</v>
      </c>
      <c r="G209" s="141"/>
      <c r="H209" s="141"/>
      <c r="I209" s="141"/>
      <c r="J209" s="141"/>
      <c r="K209" s="141"/>
      <c r="L209" s="141"/>
      <c r="M209" s="141"/>
      <c r="N209" s="141"/>
      <c r="O209" s="138" t="s">
        <v>3328</v>
      </c>
    </row>
    <row r="210" customFormat="false" ht="15" hidden="false" customHeight="false" outlineLevel="0" collapsed="false">
      <c r="A210" s="138" t="s">
        <v>2705</v>
      </c>
      <c r="B210" s="138" t="n">
        <v>323.772</v>
      </c>
      <c r="C210" s="138" t="s">
        <v>3169</v>
      </c>
      <c r="D210" s="138" t="s">
        <v>3170</v>
      </c>
      <c r="E210" s="138" t="s">
        <v>60</v>
      </c>
      <c r="F210" s="138" t="n">
        <v>1</v>
      </c>
      <c r="G210" s="141"/>
      <c r="H210" s="141"/>
      <c r="I210" s="141"/>
      <c r="J210" s="141"/>
      <c r="K210" s="141"/>
      <c r="L210" s="141"/>
      <c r="M210" s="141"/>
      <c r="N210" s="141"/>
      <c r="O210" s="138" t="s">
        <v>3171</v>
      </c>
    </row>
    <row r="211" customFormat="false" ht="15" hidden="false" customHeight="false" outlineLevel="0" collapsed="false">
      <c r="A211" s="138" t="s">
        <v>2707</v>
      </c>
      <c r="B211" s="138" t="n">
        <v>323.8145</v>
      </c>
      <c r="C211" s="138" t="s">
        <v>3169</v>
      </c>
      <c r="D211" s="138" t="s">
        <v>3170</v>
      </c>
      <c r="E211" s="138" t="s">
        <v>59</v>
      </c>
      <c r="F211" s="138" t="n">
        <v>1</v>
      </c>
      <c r="G211" s="141"/>
      <c r="H211" s="141"/>
      <c r="I211" s="141"/>
      <c r="J211" s="141"/>
      <c r="K211" s="141"/>
      <c r="L211" s="141"/>
      <c r="M211" s="141"/>
      <c r="N211" s="141"/>
      <c r="O211" s="138" t="s">
        <v>3171</v>
      </c>
    </row>
    <row r="212" customFormat="false" ht="15" hidden="false" customHeight="false" outlineLevel="0" collapsed="false">
      <c r="A212" s="138" t="s">
        <v>3329</v>
      </c>
      <c r="B212" s="138" t="n">
        <v>323.8685</v>
      </c>
      <c r="C212" s="138" t="s">
        <v>3330</v>
      </c>
      <c r="D212" s="138" t="s">
        <v>3174</v>
      </c>
      <c r="E212" s="138" t="s">
        <v>60</v>
      </c>
      <c r="F212" s="138" t="n">
        <v>1</v>
      </c>
      <c r="G212" s="141"/>
      <c r="H212" s="141"/>
      <c r="I212" s="141"/>
      <c r="J212" s="141"/>
      <c r="K212" s="141"/>
      <c r="L212" s="141"/>
      <c r="M212" s="141"/>
      <c r="N212" s="141"/>
      <c r="O212" s="138" t="s">
        <v>3328</v>
      </c>
    </row>
    <row r="213" customFormat="false" ht="15" hidden="false" customHeight="false" outlineLevel="0" collapsed="false">
      <c r="A213" s="138" t="s">
        <v>3331</v>
      </c>
      <c r="B213" s="138" t="n">
        <v>323.968</v>
      </c>
      <c r="C213" s="138" t="s">
        <v>3163</v>
      </c>
      <c r="D213" s="138" t="s">
        <v>2380</v>
      </c>
      <c r="E213" s="138" t="s">
        <v>60</v>
      </c>
      <c r="F213" s="138" t="n">
        <v>1</v>
      </c>
      <c r="G213" s="141" t="n">
        <v>22.99</v>
      </c>
      <c r="H213" s="141"/>
      <c r="I213" s="141"/>
      <c r="J213" s="141"/>
      <c r="K213" s="141"/>
      <c r="L213" s="141"/>
      <c r="M213" s="141"/>
      <c r="N213" s="141"/>
      <c r="O213" s="138" t="s">
        <v>3164</v>
      </c>
    </row>
    <row r="214" customFormat="false" ht="15" hidden="false" customHeight="false" outlineLevel="0" collapsed="false">
      <c r="A214" s="138" t="s">
        <v>2709</v>
      </c>
      <c r="B214" s="138" t="n">
        <v>324.1955</v>
      </c>
      <c r="C214" s="138" t="s">
        <v>3222</v>
      </c>
      <c r="D214" s="138" t="s">
        <v>3207</v>
      </c>
      <c r="E214" s="138" t="s">
        <v>59</v>
      </c>
      <c r="F214" s="138" t="n">
        <v>1</v>
      </c>
      <c r="G214" s="141"/>
      <c r="H214" s="141"/>
      <c r="I214" s="141"/>
      <c r="J214" s="141"/>
      <c r="K214" s="141"/>
      <c r="L214" s="141"/>
      <c r="M214" s="141"/>
      <c r="N214" s="141"/>
      <c r="O214" s="138" t="s">
        <v>3208</v>
      </c>
    </row>
    <row r="215" customFormat="false" ht="15" hidden="false" customHeight="false" outlineLevel="0" collapsed="false">
      <c r="A215" s="138" t="s">
        <v>2709</v>
      </c>
      <c r="B215" s="138" t="n">
        <v>324.1955</v>
      </c>
      <c r="C215" s="138" t="s">
        <v>3209</v>
      </c>
      <c r="D215" s="138" t="s">
        <v>3199</v>
      </c>
      <c r="E215" s="138" t="s">
        <v>59</v>
      </c>
      <c r="F215" s="138" t="n">
        <v>1</v>
      </c>
      <c r="G215" s="141" t="n">
        <v>2.1</v>
      </c>
      <c r="H215" s="141"/>
      <c r="I215" s="141"/>
      <c r="J215" s="141"/>
      <c r="K215" s="141"/>
      <c r="L215" s="141"/>
      <c r="M215" s="141"/>
      <c r="N215" s="141"/>
      <c r="O215" s="138" t="s">
        <v>3200</v>
      </c>
    </row>
    <row r="216" customFormat="false" ht="15" hidden="false" customHeight="false" outlineLevel="0" collapsed="false">
      <c r="A216" s="138" t="s">
        <v>2709</v>
      </c>
      <c r="B216" s="138" t="n">
        <v>324.1955</v>
      </c>
      <c r="C216" s="138" t="s">
        <v>3221</v>
      </c>
      <c r="D216" s="138" t="s">
        <v>3195</v>
      </c>
      <c r="E216" s="138" t="s">
        <v>59</v>
      </c>
      <c r="F216" s="138" t="n">
        <v>1</v>
      </c>
      <c r="G216" s="141"/>
      <c r="H216" s="141"/>
      <c r="I216" s="141"/>
      <c r="J216" s="141"/>
      <c r="K216" s="141"/>
      <c r="L216" s="141"/>
      <c r="M216" s="141"/>
      <c r="N216" s="141"/>
      <c r="O216" s="138" t="s">
        <v>3196</v>
      </c>
    </row>
    <row r="217" customFormat="false" ht="15" hidden="false" customHeight="false" outlineLevel="0" collapsed="false">
      <c r="A217" s="138" t="s">
        <v>3332</v>
      </c>
      <c r="B217" s="138" t="n">
        <v>325.0895</v>
      </c>
      <c r="C217" s="138" t="s">
        <v>3163</v>
      </c>
      <c r="D217" s="138" t="s">
        <v>2380</v>
      </c>
      <c r="E217" s="138" t="s">
        <v>60</v>
      </c>
      <c r="F217" s="138" t="n">
        <v>1</v>
      </c>
      <c r="G217" s="141" t="n">
        <v>18.65</v>
      </c>
      <c r="H217" s="141"/>
      <c r="I217" s="141"/>
      <c r="J217" s="141"/>
      <c r="K217" s="141"/>
      <c r="L217" s="141"/>
      <c r="M217" s="141"/>
      <c r="N217" s="141"/>
      <c r="O217" s="138" t="s">
        <v>3164</v>
      </c>
    </row>
    <row r="218" customFormat="false" ht="15" hidden="false" customHeight="false" outlineLevel="0" collapsed="false">
      <c r="A218" s="138" t="s">
        <v>2711</v>
      </c>
      <c r="B218" s="138" t="n">
        <v>325.5655</v>
      </c>
      <c r="C218" s="138" t="s">
        <v>3297</v>
      </c>
      <c r="D218" s="138" t="s">
        <v>3195</v>
      </c>
      <c r="E218" s="138" t="s">
        <v>59</v>
      </c>
      <c r="F218" s="138" t="n">
        <v>1</v>
      </c>
      <c r="G218" s="141"/>
      <c r="H218" s="141"/>
      <c r="I218" s="141"/>
      <c r="J218" s="141"/>
      <c r="K218" s="141"/>
      <c r="L218" s="141"/>
      <c r="M218" s="141"/>
      <c r="N218" s="141"/>
      <c r="O218" s="138" t="s">
        <v>3196</v>
      </c>
    </row>
    <row r="219" customFormat="false" ht="15" hidden="false" customHeight="false" outlineLevel="0" collapsed="false">
      <c r="A219" s="138" t="s">
        <v>2706</v>
      </c>
      <c r="B219" s="138" t="n">
        <v>326.2445</v>
      </c>
      <c r="C219" s="138" t="s">
        <v>3163</v>
      </c>
      <c r="D219" s="138" t="s">
        <v>2380</v>
      </c>
      <c r="E219" s="138" t="s">
        <v>60</v>
      </c>
      <c r="F219" s="138" t="n">
        <v>1</v>
      </c>
      <c r="G219" s="141" t="n">
        <v>18.63</v>
      </c>
      <c r="H219" s="141"/>
      <c r="I219" s="141"/>
      <c r="J219" s="141"/>
      <c r="K219" s="141"/>
      <c r="L219" s="141"/>
      <c r="M219" s="141"/>
      <c r="N219" s="141"/>
      <c r="O219" s="138" t="s">
        <v>3164</v>
      </c>
    </row>
    <row r="220" customFormat="false" ht="15" hidden="false" customHeight="false" outlineLevel="0" collapsed="false">
      <c r="A220" s="138" t="s">
        <v>2713</v>
      </c>
      <c r="B220" s="138" t="n">
        <v>333.3075</v>
      </c>
      <c r="C220" s="138" t="s">
        <v>3169</v>
      </c>
      <c r="D220" s="138" t="s">
        <v>3170</v>
      </c>
      <c r="E220" s="138" t="s">
        <v>60</v>
      </c>
      <c r="F220" s="138" t="n">
        <v>1</v>
      </c>
      <c r="G220" s="141"/>
      <c r="H220" s="141"/>
      <c r="I220" s="141"/>
      <c r="J220" s="141"/>
      <c r="K220" s="141"/>
      <c r="L220" s="141"/>
      <c r="M220" s="141"/>
      <c r="N220" s="141"/>
      <c r="O220" s="138" t="s">
        <v>3171</v>
      </c>
    </row>
    <row r="221" customFormat="false" ht="15" hidden="false" customHeight="false" outlineLevel="0" collapsed="false">
      <c r="A221" s="138" t="s">
        <v>3333</v>
      </c>
      <c r="B221" s="138" t="n">
        <v>334.7335</v>
      </c>
      <c r="C221" s="138" t="s">
        <v>3163</v>
      </c>
      <c r="D221" s="138" t="s">
        <v>2380</v>
      </c>
      <c r="E221" s="138" t="s">
        <v>60</v>
      </c>
      <c r="F221" s="138" t="n">
        <v>1</v>
      </c>
      <c r="G221" s="141" t="n">
        <v>14.76</v>
      </c>
      <c r="H221" s="141"/>
      <c r="I221" s="141"/>
      <c r="J221" s="141"/>
      <c r="K221" s="141"/>
      <c r="L221" s="141"/>
      <c r="M221" s="141"/>
      <c r="N221" s="141"/>
      <c r="O221" s="138" t="s">
        <v>3164</v>
      </c>
    </row>
    <row r="222" customFormat="false" ht="15" hidden="false" customHeight="false" outlineLevel="0" collapsed="false">
      <c r="A222" s="138" t="s">
        <v>3334</v>
      </c>
      <c r="B222" s="138" t="n">
        <v>335.729</v>
      </c>
      <c r="C222" s="138" t="s">
        <v>3163</v>
      </c>
      <c r="D222" s="138" t="s">
        <v>2380</v>
      </c>
      <c r="E222" s="138" t="s">
        <v>60</v>
      </c>
      <c r="F222" s="138" t="n">
        <v>1</v>
      </c>
      <c r="G222" s="141" t="n">
        <v>14.89</v>
      </c>
      <c r="H222" s="141"/>
      <c r="I222" s="141"/>
      <c r="J222" s="141"/>
      <c r="K222" s="141"/>
      <c r="L222" s="141"/>
      <c r="M222" s="141"/>
      <c r="N222" s="141"/>
      <c r="O222" s="138" t="s">
        <v>3164</v>
      </c>
    </row>
    <row r="223" customFormat="false" ht="15" hidden="false" customHeight="false" outlineLevel="0" collapsed="false">
      <c r="A223" s="138" t="s">
        <v>3335</v>
      </c>
      <c r="B223" s="138" t="n">
        <v>336.7425</v>
      </c>
      <c r="C223" s="138" t="s">
        <v>3163</v>
      </c>
      <c r="D223" s="138" t="s">
        <v>2380</v>
      </c>
      <c r="E223" s="138" t="s">
        <v>60</v>
      </c>
      <c r="F223" s="138" t="n">
        <v>1</v>
      </c>
      <c r="G223" s="141" t="n">
        <v>14.63</v>
      </c>
      <c r="H223" s="141"/>
      <c r="I223" s="141"/>
      <c r="J223" s="141"/>
      <c r="K223" s="141"/>
      <c r="L223" s="141"/>
      <c r="M223" s="141"/>
      <c r="N223" s="141"/>
      <c r="O223" s="138" t="s">
        <v>3164</v>
      </c>
    </row>
    <row r="224" customFormat="false" ht="15" hidden="false" customHeight="false" outlineLevel="0" collapsed="false">
      <c r="A224" s="138" t="s">
        <v>2725</v>
      </c>
      <c r="B224" s="138" t="n">
        <v>340.6955</v>
      </c>
      <c r="C224" s="138" t="s">
        <v>3336</v>
      </c>
      <c r="D224" s="138" t="s">
        <v>3199</v>
      </c>
      <c r="E224" s="138" t="s">
        <v>60</v>
      </c>
      <c r="F224" s="138" t="n">
        <v>1</v>
      </c>
      <c r="G224" s="141" t="n">
        <v>3.6</v>
      </c>
      <c r="H224" s="141"/>
      <c r="I224" s="141"/>
      <c r="J224" s="141"/>
      <c r="K224" s="141"/>
      <c r="L224" s="141"/>
      <c r="M224" s="141"/>
      <c r="N224" s="141"/>
      <c r="O224" s="138" t="s">
        <v>3200</v>
      </c>
    </row>
    <row r="225" customFormat="false" ht="15" hidden="false" customHeight="false" outlineLevel="0" collapsed="false">
      <c r="A225" s="138" t="s">
        <v>2737</v>
      </c>
      <c r="B225" s="138" t="n">
        <v>350.076</v>
      </c>
      <c r="C225" s="138" t="s">
        <v>3198</v>
      </c>
      <c r="D225" s="138" t="s">
        <v>3199</v>
      </c>
      <c r="E225" s="138" t="s">
        <v>60</v>
      </c>
      <c r="F225" s="138" t="n">
        <v>1</v>
      </c>
      <c r="G225" s="141" t="n">
        <v>3.6</v>
      </c>
      <c r="H225" s="141"/>
      <c r="I225" s="141"/>
      <c r="J225" s="141"/>
      <c r="K225" s="141"/>
      <c r="L225" s="141"/>
      <c r="M225" s="141"/>
      <c r="N225" s="141"/>
      <c r="O225" s="138" t="s">
        <v>3200</v>
      </c>
    </row>
    <row r="226" customFormat="false" ht="15" hidden="false" customHeight="false" outlineLevel="0" collapsed="false">
      <c r="A226" s="138" t="s">
        <v>3337</v>
      </c>
      <c r="B226" s="138" t="n">
        <v>357.0995</v>
      </c>
      <c r="C226" s="138" t="s">
        <v>3187</v>
      </c>
      <c r="D226" s="138" t="s">
        <v>3174</v>
      </c>
      <c r="E226" s="138"/>
      <c r="F226" s="138" t="n">
        <v>1</v>
      </c>
      <c r="G226" s="141" t="n">
        <v>18.29</v>
      </c>
      <c r="H226" s="141" t="n">
        <v>209.17</v>
      </c>
      <c r="I226" s="141" t="n">
        <v>155.39</v>
      </c>
      <c r="J226" s="141" t="n">
        <v>39.41</v>
      </c>
      <c r="K226" s="141" t="n">
        <v>0</v>
      </c>
      <c r="L226" s="141"/>
      <c r="M226" s="141"/>
      <c r="N226" s="141"/>
      <c r="O226" s="138" t="s">
        <v>3175</v>
      </c>
    </row>
    <row r="227" customFormat="false" ht="15" hidden="false" customHeight="false" outlineLevel="0" collapsed="false">
      <c r="A227" s="138" t="s">
        <v>3338</v>
      </c>
      <c r="B227" s="138" t="n">
        <v>358.251</v>
      </c>
      <c r="C227" s="138" t="s">
        <v>3169</v>
      </c>
      <c r="D227" s="138" t="s">
        <v>3170</v>
      </c>
      <c r="E227" s="138" t="s">
        <v>59</v>
      </c>
      <c r="F227" s="138" t="n">
        <v>1</v>
      </c>
      <c r="G227" s="141"/>
      <c r="H227" s="141"/>
      <c r="I227" s="141"/>
      <c r="J227" s="141"/>
      <c r="K227" s="141"/>
      <c r="L227" s="141"/>
      <c r="M227" s="141"/>
      <c r="N227" s="141"/>
      <c r="O227" s="138" t="s">
        <v>3171</v>
      </c>
    </row>
    <row r="228" customFormat="false" ht="15" hidden="false" customHeight="false" outlineLevel="0" collapsed="false">
      <c r="A228" s="138" t="s">
        <v>3339</v>
      </c>
      <c r="B228" s="138" t="n">
        <v>358.4275</v>
      </c>
      <c r="C228" s="138" t="s">
        <v>3169</v>
      </c>
      <c r="D228" s="138" t="s">
        <v>3170</v>
      </c>
      <c r="E228" s="138" t="s">
        <v>60</v>
      </c>
      <c r="F228" s="138" t="n">
        <v>1</v>
      </c>
      <c r="G228" s="141"/>
      <c r="H228" s="141"/>
      <c r="I228" s="141"/>
      <c r="J228" s="141"/>
      <c r="K228" s="141"/>
      <c r="L228" s="141"/>
      <c r="M228" s="141"/>
      <c r="N228" s="141"/>
      <c r="O228" s="138" t="s">
        <v>3171</v>
      </c>
    </row>
    <row r="229" customFormat="false" ht="15" hidden="false" customHeight="false" outlineLevel="0" collapsed="false">
      <c r="A229" s="138" t="s">
        <v>2745</v>
      </c>
      <c r="B229" s="138" t="n">
        <v>358.76</v>
      </c>
      <c r="C229" s="138" t="s">
        <v>3297</v>
      </c>
      <c r="D229" s="138" t="s">
        <v>3195</v>
      </c>
      <c r="E229" s="138" t="s">
        <v>59</v>
      </c>
      <c r="F229" s="138" t="n">
        <v>1</v>
      </c>
      <c r="G229" s="141"/>
      <c r="H229" s="141"/>
      <c r="I229" s="141"/>
      <c r="J229" s="141"/>
      <c r="K229" s="141"/>
      <c r="L229" s="141"/>
      <c r="M229" s="141"/>
      <c r="N229" s="141"/>
      <c r="O229" s="138" t="s">
        <v>3196</v>
      </c>
    </row>
    <row r="230" customFormat="false" ht="15" hidden="false" customHeight="false" outlineLevel="0" collapsed="false">
      <c r="A230" s="138" t="s">
        <v>2753</v>
      </c>
      <c r="B230" s="138" t="n">
        <v>362.334</v>
      </c>
      <c r="C230" s="138" t="s">
        <v>3222</v>
      </c>
      <c r="D230" s="138" t="s">
        <v>3207</v>
      </c>
      <c r="E230" s="138" t="s">
        <v>59</v>
      </c>
      <c r="F230" s="138" t="n">
        <v>1</v>
      </c>
      <c r="G230" s="141"/>
      <c r="H230" s="141"/>
      <c r="I230" s="141"/>
      <c r="J230" s="141"/>
      <c r="K230" s="141"/>
      <c r="L230" s="141"/>
      <c r="M230" s="141"/>
      <c r="N230" s="141"/>
      <c r="O230" s="138" t="s">
        <v>3208</v>
      </c>
    </row>
    <row r="231" customFormat="false" ht="15" hidden="false" customHeight="false" outlineLevel="0" collapsed="false">
      <c r="A231" s="138" t="s">
        <v>2753</v>
      </c>
      <c r="B231" s="138" t="n">
        <v>362.334</v>
      </c>
      <c r="C231" s="138" t="s">
        <v>3243</v>
      </c>
      <c r="D231" s="138" t="s">
        <v>3244</v>
      </c>
      <c r="E231" s="138" t="s">
        <v>59</v>
      </c>
      <c r="F231" s="138" t="n">
        <v>1</v>
      </c>
      <c r="G231" s="141" t="n">
        <v>0.6</v>
      </c>
      <c r="H231" s="141"/>
      <c r="I231" s="141"/>
      <c r="J231" s="141"/>
      <c r="K231" s="141"/>
      <c r="L231" s="141"/>
      <c r="M231" s="141"/>
      <c r="N231" s="141"/>
      <c r="O231" s="138" t="s">
        <v>3245</v>
      </c>
    </row>
    <row r="232" customFormat="false" ht="15" hidden="false" customHeight="false" outlineLevel="0" collapsed="false">
      <c r="A232" s="138" t="s">
        <v>3340</v>
      </c>
      <c r="B232" s="138" t="n">
        <v>373.659</v>
      </c>
      <c r="C232" s="138" t="s">
        <v>3169</v>
      </c>
      <c r="D232" s="138" t="s">
        <v>3170</v>
      </c>
      <c r="E232" s="138" t="s">
        <v>59</v>
      </c>
      <c r="F232" s="138" t="n">
        <v>1</v>
      </c>
      <c r="G232" s="141"/>
      <c r="H232" s="141"/>
      <c r="I232" s="141"/>
      <c r="J232" s="141"/>
      <c r="K232" s="141"/>
      <c r="L232" s="141"/>
      <c r="M232" s="141"/>
      <c r="N232" s="141"/>
      <c r="O232" s="138" t="s">
        <v>3171</v>
      </c>
    </row>
    <row r="233" customFormat="false" ht="15" hidden="false" customHeight="false" outlineLevel="0" collapsed="false">
      <c r="A233" s="138" t="s">
        <v>3341</v>
      </c>
      <c r="B233" s="138" t="n">
        <v>376.9635</v>
      </c>
      <c r="C233" s="138" t="s">
        <v>3169</v>
      </c>
      <c r="D233" s="138" t="s">
        <v>3170</v>
      </c>
      <c r="E233" s="138" t="s">
        <v>60</v>
      </c>
      <c r="F233" s="138" t="n">
        <v>1</v>
      </c>
      <c r="G233" s="141"/>
      <c r="H233" s="141"/>
      <c r="I233" s="141"/>
      <c r="J233" s="141"/>
      <c r="K233" s="141"/>
      <c r="L233" s="141"/>
      <c r="M233" s="141"/>
      <c r="N233" s="141"/>
      <c r="O233" s="138" t="s">
        <v>3171</v>
      </c>
    </row>
    <row r="234" customFormat="false" ht="15" hidden="false" customHeight="false" outlineLevel="0" collapsed="false">
      <c r="A234" s="138" t="s">
        <v>3342</v>
      </c>
      <c r="B234" s="138" t="n">
        <v>376.977</v>
      </c>
      <c r="C234" s="138" t="s">
        <v>395</v>
      </c>
      <c r="D234" s="138" t="s">
        <v>3176</v>
      </c>
      <c r="E234" s="138" t="s">
        <v>60</v>
      </c>
      <c r="F234" s="138" t="n">
        <v>1</v>
      </c>
      <c r="G234" s="141"/>
      <c r="H234" s="141" t="n">
        <v>8.92</v>
      </c>
      <c r="I234" s="141"/>
      <c r="J234" s="141"/>
      <c r="K234" s="141"/>
      <c r="L234" s="141"/>
      <c r="M234" s="141" t="n">
        <v>56.69</v>
      </c>
      <c r="N234" s="141"/>
      <c r="O234" s="138" t="s">
        <v>3177</v>
      </c>
    </row>
    <row r="235" customFormat="false" ht="15" hidden="false" customHeight="false" outlineLevel="0" collapsed="false">
      <c r="A235" s="138" t="s">
        <v>3342</v>
      </c>
      <c r="B235" s="138" t="n">
        <v>376.977</v>
      </c>
      <c r="C235" s="138" t="s">
        <v>391</v>
      </c>
      <c r="D235" s="138" t="s">
        <v>3178</v>
      </c>
      <c r="E235" s="138" t="s">
        <v>59</v>
      </c>
      <c r="F235" s="138" t="n">
        <v>1</v>
      </c>
      <c r="G235" s="141"/>
      <c r="H235" s="141" t="n">
        <v>8.2</v>
      </c>
      <c r="I235" s="141"/>
      <c r="J235" s="141"/>
      <c r="K235" s="141"/>
      <c r="L235" s="141" t="n">
        <v>2.97</v>
      </c>
      <c r="M235" s="141"/>
      <c r="N235" s="141" t="n">
        <v>1</v>
      </c>
      <c r="O235" s="138" t="s">
        <v>3179</v>
      </c>
    </row>
    <row r="236" customFormat="false" ht="15" hidden="false" customHeight="false" outlineLevel="0" collapsed="false">
      <c r="A236" s="138" t="s">
        <v>2038</v>
      </c>
      <c r="B236" s="138" t="n">
        <v>377</v>
      </c>
      <c r="C236" s="138" t="s">
        <v>3187</v>
      </c>
      <c r="D236" s="138" t="s">
        <v>3174</v>
      </c>
      <c r="E236" s="138"/>
      <c r="F236" s="138" t="n">
        <v>1</v>
      </c>
      <c r="G236" s="141" t="n">
        <v>17.08</v>
      </c>
      <c r="H236" s="141" t="n">
        <v>123.97</v>
      </c>
      <c r="I236" s="141" t="n">
        <v>145.1</v>
      </c>
      <c r="J236" s="141" t="n">
        <v>0</v>
      </c>
      <c r="K236" s="141" t="n">
        <v>0</v>
      </c>
      <c r="L236" s="141"/>
      <c r="M236" s="141"/>
      <c r="N236" s="141"/>
      <c r="O236" s="138" t="s">
        <v>3175</v>
      </c>
    </row>
    <row r="237" customFormat="false" ht="15" hidden="false" customHeight="false" outlineLevel="0" collapsed="false">
      <c r="A237" s="138" t="s">
        <v>2779</v>
      </c>
      <c r="B237" s="138" t="n">
        <v>396.6315</v>
      </c>
      <c r="C237" s="138" t="s">
        <v>3336</v>
      </c>
      <c r="D237" s="138" t="s">
        <v>3199</v>
      </c>
      <c r="E237" s="138" t="s">
        <v>60</v>
      </c>
      <c r="F237" s="138" t="n">
        <v>1</v>
      </c>
      <c r="G237" s="141" t="n">
        <v>3.4</v>
      </c>
      <c r="H237" s="141"/>
      <c r="I237" s="141"/>
      <c r="J237" s="141"/>
      <c r="K237" s="141"/>
      <c r="L237" s="141"/>
      <c r="M237" s="141"/>
      <c r="N237" s="141"/>
      <c r="O237" s="138" t="s">
        <v>3200</v>
      </c>
    </row>
    <row r="238" customFormat="false" ht="15" hidden="false" customHeight="false" outlineLevel="0" collapsed="false">
      <c r="A238" s="138" t="s">
        <v>3343</v>
      </c>
      <c r="B238" s="138" t="n">
        <v>404.2435</v>
      </c>
      <c r="C238" s="138" t="s">
        <v>3163</v>
      </c>
      <c r="D238" s="138" t="s">
        <v>2380</v>
      </c>
      <c r="E238" s="138" t="s">
        <v>59</v>
      </c>
      <c r="F238" s="138" t="n">
        <v>1</v>
      </c>
      <c r="G238" s="141" t="n">
        <v>13.94</v>
      </c>
      <c r="H238" s="141"/>
      <c r="I238" s="141"/>
      <c r="J238" s="141"/>
      <c r="K238" s="141"/>
      <c r="L238" s="141"/>
      <c r="M238" s="141"/>
      <c r="N238" s="141"/>
      <c r="O238" s="138" t="s">
        <v>3164</v>
      </c>
    </row>
    <row r="239" customFormat="false" ht="15" hidden="false" customHeight="false" outlineLevel="0" collapsed="false">
      <c r="A239" s="138" t="s">
        <v>3344</v>
      </c>
      <c r="B239" s="138" t="n">
        <v>405.2435</v>
      </c>
      <c r="C239" s="138" t="s">
        <v>3163</v>
      </c>
      <c r="D239" s="138" t="s">
        <v>2380</v>
      </c>
      <c r="E239" s="138" t="s">
        <v>59</v>
      </c>
      <c r="F239" s="138" t="n">
        <v>1</v>
      </c>
      <c r="G239" s="141" t="n">
        <v>14</v>
      </c>
      <c r="H239" s="141"/>
      <c r="I239" s="141"/>
      <c r="J239" s="141"/>
      <c r="K239" s="141"/>
      <c r="L239" s="141"/>
      <c r="M239" s="141"/>
      <c r="N239" s="141"/>
      <c r="O239" s="138" t="s">
        <v>3164</v>
      </c>
    </row>
    <row r="240" customFormat="false" ht="15" hidden="false" customHeight="false" outlineLevel="0" collapsed="false">
      <c r="A240" s="138" t="s">
        <v>3345</v>
      </c>
      <c r="B240" s="138" t="n">
        <v>406.2435</v>
      </c>
      <c r="C240" s="138" t="s">
        <v>3163</v>
      </c>
      <c r="D240" s="138" t="s">
        <v>2380</v>
      </c>
      <c r="E240" s="138" t="s">
        <v>59</v>
      </c>
      <c r="F240" s="138" t="n">
        <v>1</v>
      </c>
      <c r="G240" s="141" t="n">
        <v>14.06</v>
      </c>
      <c r="H240" s="141"/>
      <c r="I240" s="141"/>
      <c r="J240" s="141"/>
      <c r="K240" s="141"/>
      <c r="L240" s="141"/>
      <c r="M240" s="141"/>
      <c r="N240" s="141"/>
      <c r="O240" s="138" t="s">
        <v>3164</v>
      </c>
    </row>
    <row r="241" customFormat="false" ht="15" hidden="false" customHeight="false" outlineLevel="0" collapsed="false">
      <c r="A241" s="138" t="s">
        <v>3346</v>
      </c>
      <c r="B241" s="138" t="n">
        <v>407.8525</v>
      </c>
      <c r="C241" s="138" t="s">
        <v>3169</v>
      </c>
      <c r="D241" s="138" t="s">
        <v>3170</v>
      </c>
      <c r="E241" s="138" t="s">
        <v>60</v>
      </c>
      <c r="F241" s="138" t="n">
        <v>1</v>
      </c>
      <c r="G241" s="141"/>
      <c r="H241" s="141"/>
      <c r="I241" s="141"/>
      <c r="J241" s="141"/>
      <c r="K241" s="141"/>
      <c r="L241" s="141"/>
      <c r="M241" s="141"/>
      <c r="N241" s="141"/>
      <c r="O241" s="138" t="s">
        <v>3171</v>
      </c>
    </row>
    <row r="242" customFormat="false" ht="15" hidden="false" customHeight="false" outlineLevel="0" collapsed="false">
      <c r="A242" s="138" t="s">
        <v>3347</v>
      </c>
      <c r="B242" s="138" t="n">
        <v>409.3155</v>
      </c>
      <c r="C242" s="138" t="s">
        <v>3169</v>
      </c>
      <c r="D242" s="138" t="s">
        <v>3170</v>
      </c>
      <c r="E242" s="138" t="s">
        <v>59</v>
      </c>
      <c r="F242" s="138" t="n">
        <v>1</v>
      </c>
      <c r="G242" s="141"/>
      <c r="H242" s="141"/>
      <c r="I242" s="141"/>
      <c r="J242" s="141"/>
      <c r="K242" s="141"/>
      <c r="L242" s="141"/>
      <c r="M242" s="141"/>
      <c r="N242" s="141"/>
      <c r="O242" s="138" t="s">
        <v>3171</v>
      </c>
    </row>
    <row r="243" customFormat="false" ht="15" hidden="false" customHeight="false" outlineLevel="0" collapsed="false">
      <c r="A243" s="138" t="s">
        <v>3348</v>
      </c>
      <c r="B243" s="138" t="n">
        <v>412.8755</v>
      </c>
      <c r="C243" s="138" t="s">
        <v>3224</v>
      </c>
      <c r="D243" s="138" t="s">
        <v>3174</v>
      </c>
      <c r="E243" s="138"/>
      <c r="F243" s="138" t="n">
        <v>1</v>
      </c>
      <c r="G243" s="141" t="n">
        <v>17.41</v>
      </c>
      <c r="H243" s="141" t="n">
        <v>120.04</v>
      </c>
      <c r="I243" s="141" t="n">
        <v>183.75</v>
      </c>
      <c r="J243" s="141" t="n">
        <v>0</v>
      </c>
      <c r="K243" s="141" t="n">
        <v>0</v>
      </c>
      <c r="L243" s="141"/>
      <c r="M243" s="141"/>
      <c r="N243" s="141"/>
      <c r="O243" s="138" t="s">
        <v>3175</v>
      </c>
    </row>
    <row r="244" customFormat="false" ht="15" hidden="false" customHeight="false" outlineLevel="0" collapsed="false">
      <c r="A244" s="138" t="s">
        <v>3348</v>
      </c>
      <c r="B244" s="138" t="n">
        <v>412.8755</v>
      </c>
      <c r="C244" s="138" t="s">
        <v>395</v>
      </c>
      <c r="D244" s="138" t="s">
        <v>3176</v>
      </c>
      <c r="E244" s="138" t="s">
        <v>60</v>
      </c>
      <c r="F244" s="138" t="n">
        <v>1</v>
      </c>
      <c r="G244" s="141"/>
      <c r="H244" s="141" t="n">
        <v>39.25</v>
      </c>
      <c r="I244" s="141"/>
      <c r="J244" s="141"/>
      <c r="K244" s="141"/>
      <c r="L244" s="141"/>
      <c r="M244" s="141" t="n">
        <v>76.73</v>
      </c>
      <c r="N244" s="141"/>
      <c r="O244" s="138" t="s">
        <v>3177</v>
      </c>
    </row>
    <row r="245" customFormat="false" ht="15" hidden="false" customHeight="false" outlineLevel="0" collapsed="false">
      <c r="A245" s="138" t="s">
        <v>2797</v>
      </c>
      <c r="B245" s="138" t="n">
        <v>418.27</v>
      </c>
      <c r="C245" s="138" t="s">
        <v>3198</v>
      </c>
      <c r="D245" s="138" t="s">
        <v>3199</v>
      </c>
      <c r="E245" s="138" t="s">
        <v>59</v>
      </c>
      <c r="F245" s="138" t="n">
        <v>1</v>
      </c>
      <c r="G245" s="141" t="n">
        <v>2.1</v>
      </c>
      <c r="H245" s="141"/>
      <c r="I245" s="141"/>
      <c r="J245" s="141"/>
      <c r="K245" s="141"/>
      <c r="L245" s="141"/>
      <c r="M245" s="141"/>
      <c r="N245" s="141"/>
      <c r="O245" s="138" t="s">
        <v>3200</v>
      </c>
    </row>
    <row r="246" customFormat="false" ht="15" hidden="false" customHeight="false" outlineLevel="0" collapsed="false">
      <c r="A246" s="138" t="s">
        <v>2805</v>
      </c>
      <c r="B246" s="138" t="n">
        <v>418.4945</v>
      </c>
      <c r="C246" s="138" t="s">
        <v>3222</v>
      </c>
      <c r="D246" s="138" t="s">
        <v>3207</v>
      </c>
      <c r="E246" s="138" t="s">
        <v>60</v>
      </c>
      <c r="F246" s="138" t="n">
        <v>1</v>
      </c>
      <c r="G246" s="141"/>
      <c r="H246" s="141"/>
      <c r="I246" s="141"/>
      <c r="J246" s="141"/>
      <c r="K246" s="141"/>
      <c r="L246" s="141"/>
      <c r="M246" s="141"/>
      <c r="N246" s="141"/>
      <c r="O246" s="138" t="s">
        <v>3208</v>
      </c>
    </row>
    <row r="247" customFormat="false" ht="15" hidden="false" customHeight="false" outlineLevel="0" collapsed="false">
      <c r="A247" s="138" t="s">
        <v>2805</v>
      </c>
      <c r="B247" s="138" t="n">
        <v>418.4945</v>
      </c>
      <c r="C247" s="138" t="s">
        <v>3243</v>
      </c>
      <c r="D247" s="138" t="s">
        <v>3244</v>
      </c>
      <c r="E247" s="138" t="s">
        <v>60</v>
      </c>
      <c r="F247" s="138" t="n">
        <v>1</v>
      </c>
      <c r="G247" s="141" t="n">
        <v>0.8</v>
      </c>
      <c r="H247" s="141"/>
      <c r="I247" s="141"/>
      <c r="J247" s="141"/>
      <c r="K247" s="141"/>
      <c r="L247" s="141"/>
      <c r="M247" s="141"/>
      <c r="N247" s="141"/>
      <c r="O247" s="138" t="s">
        <v>3245</v>
      </c>
    </row>
    <row r="248" customFormat="false" ht="15" hidden="false" customHeight="false" outlineLevel="0" collapsed="false">
      <c r="A248" s="138" t="s">
        <v>3349</v>
      </c>
      <c r="B248" s="138" t="n">
        <v>421.298</v>
      </c>
      <c r="C248" s="138" t="s">
        <v>3163</v>
      </c>
      <c r="D248" s="138" t="s">
        <v>2380</v>
      </c>
      <c r="E248" s="138" t="s">
        <v>59</v>
      </c>
      <c r="F248" s="138" t="n">
        <v>1</v>
      </c>
      <c r="G248" s="141" t="n">
        <v>12.37</v>
      </c>
      <c r="H248" s="141"/>
      <c r="I248" s="141"/>
      <c r="J248" s="141"/>
      <c r="K248" s="141"/>
      <c r="L248" s="141"/>
      <c r="M248" s="141"/>
      <c r="N248" s="141"/>
      <c r="O248" s="138" t="s">
        <v>3164</v>
      </c>
    </row>
    <row r="249" customFormat="false" ht="15" hidden="false" customHeight="false" outlineLevel="0" collapsed="false">
      <c r="A249" s="138" t="s">
        <v>2812</v>
      </c>
      <c r="B249" s="138" t="n">
        <v>421.7585</v>
      </c>
      <c r="C249" s="138" t="s">
        <v>3194</v>
      </c>
      <c r="D249" s="138" t="s">
        <v>3195</v>
      </c>
      <c r="E249" s="138" t="s">
        <v>59</v>
      </c>
      <c r="F249" s="138" t="n">
        <v>1</v>
      </c>
      <c r="G249" s="141"/>
      <c r="H249" s="141"/>
      <c r="I249" s="141"/>
      <c r="J249" s="141"/>
      <c r="K249" s="141"/>
      <c r="L249" s="141"/>
      <c r="M249" s="141"/>
      <c r="N249" s="141"/>
      <c r="O249" s="138" t="s">
        <v>3196</v>
      </c>
    </row>
    <row r="250" customFormat="false" ht="15" hidden="false" customHeight="false" outlineLevel="0" collapsed="false">
      <c r="A250" s="138" t="s">
        <v>3350</v>
      </c>
      <c r="B250" s="138" t="n">
        <v>422.297</v>
      </c>
      <c r="C250" s="138" t="s">
        <v>3163</v>
      </c>
      <c r="D250" s="138" t="s">
        <v>2380</v>
      </c>
      <c r="E250" s="138" t="s">
        <v>59</v>
      </c>
      <c r="F250" s="138" t="n">
        <v>1</v>
      </c>
      <c r="G250" s="141" t="n">
        <v>13.02</v>
      </c>
      <c r="H250" s="141"/>
      <c r="I250" s="141"/>
      <c r="J250" s="141"/>
      <c r="K250" s="141"/>
      <c r="L250" s="141"/>
      <c r="M250" s="141"/>
      <c r="N250" s="141"/>
      <c r="O250" s="138" t="s">
        <v>3164</v>
      </c>
    </row>
    <row r="251" customFormat="false" ht="15" hidden="false" customHeight="false" outlineLevel="0" collapsed="false">
      <c r="A251" s="138" t="s">
        <v>3351</v>
      </c>
      <c r="B251" s="138" t="n">
        <v>423.249</v>
      </c>
      <c r="C251" s="138" t="s">
        <v>3163</v>
      </c>
      <c r="D251" s="138" t="s">
        <v>2380</v>
      </c>
      <c r="E251" s="138" t="s">
        <v>59</v>
      </c>
      <c r="F251" s="138" t="n">
        <v>1</v>
      </c>
      <c r="G251" s="141" t="n">
        <v>13.97</v>
      </c>
      <c r="H251" s="141"/>
      <c r="I251" s="141"/>
      <c r="J251" s="141"/>
      <c r="K251" s="141"/>
      <c r="L251" s="141"/>
      <c r="M251" s="141"/>
      <c r="N251" s="141"/>
      <c r="O251" s="138" t="s">
        <v>3164</v>
      </c>
    </row>
    <row r="252" customFormat="false" ht="15" hidden="false" customHeight="false" outlineLevel="0" collapsed="false">
      <c r="A252" s="138" t="s">
        <v>3352</v>
      </c>
      <c r="B252" s="138" t="n">
        <v>424.1155</v>
      </c>
      <c r="C252" s="138" t="s">
        <v>3169</v>
      </c>
      <c r="D252" s="138" t="s">
        <v>3170</v>
      </c>
      <c r="E252" s="138" t="s">
        <v>60</v>
      </c>
      <c r="F252" s="138" t="n">
        <v>1</v>
      </c>
      <c r="G252" s="141"/>
      <c r="H252" s="141"/>
      <c r="I252" s="141"/>
      <c r="J252" s="141"/>
      <c r="K252" s="141"/>
      <c r="L252" s="141"/>
      <c r="M252" s="141"/>
      <c r="N252" s="141"/>
      <c r="O252" s="138" t="s">
        <v>3171</v>
      </c>
    </row>
    <row r="253" customFormat="false" ht="15" hidden="false" customHeight="false" outlineLevel="0" collapsed="false">
      <c r="A253" s="138" t="s">
        <v>3353</v>
      </c>
      <c r="B253" s="138" t="n">
        <v>424.1715</v>
      </c>
      <c r="C253" s="138" t="s">
        <v>3169</v>
      </c>
      <c r="D253" s="138" t="s">
        <v>3170</v>
      </c>
      <c r="E253" s="138" t="s">
        <v>59</v>
      </c>
      <c r="F253" s="138" t="n">
        <v>1</v>
      </c>
      <c r="G253" s="141"/>
      <c r="H253" s="141"/>
      <c r="I253" s="141"/>
      <c r="J253" s="141"/>
      <c r="K253" s="141"/>
      <c r="L253" s="141"/>
      <c r="M253" s="141"/>
      <c r="N253" s="141"/>
      <c r="O253" s="138" t="s">
        <v>3171</v>
      </c>
    </row>
    <row r="254" customFormat="false" ht="15" hidden="false" customHeight="false" outlineLevel="0" collapsed="false">
      <c r="A254" s="138" t="s">
        <v>3354</v>
      </c>
      <c r="B254" s="138" t="n">
        <v>424.788</v>
      </c>
      <c r="C254" s="138" t="s">
        <v>3169</v>
      </c>
      <c r="D254" s="138" t="s">
        <v>3170</v>
      </c>
      <c r="E254" s="138" t="s">
        <v>60</v>
      </c>
      <c r="F254" s="138" t="n">
        <v>1</v>
      </c>
      <c r="G254" s="141"/>
      <c r="H254" s="141"/>
      <c r="I254" s="141"/>
      <c r="J254" s="141"/>
      <c r="K254" s="141"/>
      <c r="L254" s="141"/>
      <c r="M254" s="141"/>
      <c r="N254" s="141"/>
      <c r="O254" s="138" t="s">
        <v>3171</v>
      </c>
    </row>
    <row r="255" customFormat="false" ht="15" hidden="false" customHeight="false" outlineLevel="0" collapsed="false">
      <c r="A255" s="138" t="s">
        <v>3355</v>
      </c>
      <c r="B255" s="138" t="n">
        <v>425.2365</v>
      </c>
      <c r="C255" s="138" t="s">
        <v>3163</v>
      </c>
      <c r="D255" s="138" t="s">
        <v>2380</v>
      </c>
      <c r="E255" s="138" t="s">
        <v>60</v>
      </c>
      <c r="F255" s="138" t="n">
        <v>1</v>
      </c>
      <c r="G255" s="141" t="n">
        <v>18.95</v>
      </c>
      <c r="H255" s="141"/>
      <c r="I255" s="141"/>
      <c r="J255" s="141"/>
      <c r="K255" s="141"/>
      <c r="L255" s="141"/>
      <c r="M255" s="141"/>
      <c r="N255" s="141"/>
      <c r="O255" s="138" t="s">
        <v>3164</v>
      </c>
    </row>
    <row r="256" customFormat="false" ht="15" hidden="false" customHeight="false" outlineLevel="0" collapsed="false">
      <c r="A256" s="138" t="s">
        <v>3356</v>
      </c>
      <c r="B256" s="138" t="n">
        <v>426.253</v>
      </c>
      <c r="C256" s="138" t="s">
        <v>3163</v>
      </c>
      <c r="D256" s="138" t="s">
        <v>2380</v>
      </c>
      <c r="E256" s="138" t="s">
        <v>60</v>
      </c>
      <c r="F256" s="138" t="n">
        <v>1</v>
      </c>
      <c r="G256" s="141" t="n">
        <v>16.66</v>
      </c>
      <c r="H256" s="141"/>
      <c r="I256" s="141"/>
      <c r="J256" s="141"/>
      <c r="K256" s="141"/>
      <c r="L256" s="141"/>
      <c r="M256" s="141"/>
      <c r="N256" s="141"/>
      <c r="O256" s="138" t="s">
        <v>3164</v>
      </c>
    </row>
    <row r="257" customFormat="false" ht="15" hidden="false" customHeight="false" outlineLevel="0" collapsed="false">
      <c r="A257" s="138" t="s">
        <v>2814</v>
      </c>
      <c r="B257" s="138" t="n">
        <v>427.2505</v>
      </c>
      <c r="C257" s="138" t="s">
        <v>3163</v>
      </c>
      <c r="D257" s="138" t="s">
        <v>2380</v>
      </c>
      <c r="E257" s="138" t="s">
        <v>60</v>
      </c>
      <c r="F257" s="138" t="n">
        <v>1</v>
      </c>
      <c r="G257" s="141" t="n">
        <v>14.43</v>
      </c>
      <c r="H257" s="141"/>
      <c r="I257" s="141"/>
      <c r="J257" s="141"/>
      <c r="K257" s="141"/>
      <c r="L257" s="141"/>
      <c r="M257" s="141"/>
      <c r="N257" s="141"/>
      <c r="O257" s="138" t="s">
        <v>3164</v>
      </c>
    </row>
    <row r="258" customFormat="false" ht="15" hidden="false" customHeight="false" outlineLevel="0" collapsed="false">
      <c r="A258" s="138" t="s">
        <v>2816</v>
      </c>
      <c r="B258" s="138" t="n">
        <v>428.5915</v>
      </c>
      <c r="C258" s="138" t="s">
        <v>3222</v>
      </c>
      <c r="D258" s="138" t="s">
        <v>3207</v>
      </c>
      <c r="E258" s="138" t="s">
        <v>59</v>
      </c>
      <c r="F258" s="138" t="n">
        <v>1</v>
      </c>
      <c r="G258" s="141"/>
      <c r="H258" s="141"/>
      <c r="I258" s="141"/>
      <c r="J258" s="141"/>
      <c r="K258" s="141"/>
      <c r="L258" s="141"/>
      <c r="M258" s="141"/>
      <c r="N258" s="141"/>
      <c r="O258" s="138" t="s">
        <v>3208</v>
      </c>
    </row>
    <row r="259" customFormat="false" ht="15" hidden="false" customHeight="false" outlineLevel="0" collapsed="false">
      <c r="A259" s="138" t="s">
        <v>2816</v>
      </c>
      <c r="B259" s="138" t="n">
        <v>428.5915</v>
      </c>
      <c r="C259" s="138" t="s">
        <v>3222</v>
      </c>
      <c r="D259" s="138" t="s">
        <v>3207</v>
      </c>
      <c r="E259" s="138" t="s">
        <v>60</v>
      </c>
      <c r="F259" s="138" t="n">
        <v>1</v>
      </c>
      <c r="G259" s="141"/>
      <c r="H259" s="141"/>
      <c r="I259" s="141"/>
      <c r="J259" s="141"/>
      <c r="K259" s="141"/>
      <c r="L259" s="141"/>
      <c r="M259" s="141"/>
      <c r="N259" s="141"/>
      <c r="O259" s="138" t="s">
        <v>3208</v>
      </c>
    </row>
    <row r="260" customFormat="false" ht="15" hidden="false" customHeight="false" outlineLevel="0" collapsed="false">
      <c r="A260" s="138" t="s">
        <v>2816</v>
      </c>
      <c r="B260" s="138" t="n">
        <v>428.5915</v>
      </c>
      <c r="C260" s="138" t="s">
        <v>3209</v>
      </c>
      <c r="D260" s="138" t="s">
        <v>3199</v>
      </c>
      <c r="E260" s="138" t="s">
        <v>59</v>
      </c>
      <c r="F260" s="138" t="n">
        <v>1</v>
      </c>
      <c r="G260" s="141" t="n">
        <v>4.6</v>
      </c>
      <c r="H260" s="141"/>
      <c r="I260" s="141"/>
      <c r="J260" s="141"/>
      <c r="K260" s="141"/>
      <c r="L260" s="141"/>
      <c r="M260" s="141"/>
      <c r="N260" s="141"/>
      <c r="O260" s="138" t="s">
        <v>3200</v>
      </c>
    </row>
    <row r="261" customFormat="false" ht="15" hidden="false" customHeight="false" outlineLevel="0" collapsed="false">
      <c r="A261" s="138" t="s">
        <v>2816</v>
      </c>
      <c r="B261" s="138" t="n">
        <v>428.5915</v>
      </c>
      <c r="C261" s="138" t="s">
        <v>3209</v>
      </c>
      <c r="D261" s="138" t="s">
        <v>3199</v>
      </c>
      <c r="E261" s="138" t="s">
        <v>60</v>
      </c>
      <c r="F261" s="138" t="n">
        <v>1</v>
      </c>
      <c r="G261" s="141" t="n">
        <v>4.6</v>
      </c>
      <c r="H261" s="141"/>
      <c r="I261" s="141"/>
      <c r="J261" s="141"/>
      <c r="K261" s="141"/>
      <c r="L261" s="141"/>
      <c r="M261" s="141"/>
      <c r="N261" s="141"/>
      <c r="O261" s="138" t="s">
        <v>3200</v>
      </c>
    </row>
    <row r="262" customFormat="false" ht="15" hidden="false" customHeight="false" outlineLevel="0" collapsed="false">
      <c r="A262" s="138" t="s">
        <v>2816</v>
      </c>
      <c r="B262" s="138" t="n">
        <v>428.5915</v>
      </c>
      <c r="C262" s="138" t="s">
        <v>3221</v>
      </c>
      <c r="D262" s="138" t="s">
        <v>3195</v>
      </c>
      <c r="E262" s="138" t="s">
        <v>59</v>
      </c>
      <c r="F262" s="138" t="n">
        <v>1</v>
      </c>
      <c r="G262" s="141"/>
      <c r="H262" s="141"/>
      <c r="I262" s="141"/>
      <c r="J262" s="141"/>
      <c r="K262" s="141"/>
      <c r="L262" s="141"/>
      <c r="M262" s="141"/>
      <c r="N262" s="141"/>
      <c r="O262" s="138" t="s">
        <v>3196</v>
      </c>
    </row>
    <row r="263" customFormat="false" ht="15" hidden="false" customHeight="false" outlineLevel="0" collapsed="false">
      <c r="A263" s="138" t="s">
        <v>3357</v>
      </c>
      <c r="B263" s="138" t="n">
        <v>430.5505</v>
      </c>
      <c r="C263" s="138" t="s">
        <v>3358</v>
      </c>
      <c r="D263" s="138" t="s">
        <v>3359</v>
      </c>
      <c r="E263" s="138" t="s">
        <v>60</v>
      </c>
      <c r="F263" s="138" t="n">
        <v>1</v>
      </c>
      <c r="G263" s="141"/>
      <c r="H263" s="141"/>
      <c r="I263" s="141"/>
      <c r="J263" s="141"/>
      <c r="K263" s="141"/>
      <c r="L263" s="141"/>
      <c r="M263" s="141"/>
      <c r="N263" s="141"/>
      <c r="O263" s="138" t="s">
        <v>3360</v>
      </c>
    </row>
    <row r="264" customFormat="false" ht="15" hidden="false" customHeight="false" outlineLevel="0" collapsed="false">
      <c r="A264" s="138" t="s">
        <v>3361</v>
      </c>
      <c r="B264" s="138" t="n">
        <v>430.5825</v>
      </c>
      <c r="C264" s="138" t="s">
        <v>3362</v>
      </c>
      <c r="D264" s="138" t="s">
        <v>3269</v>
      </c>
      <c r="E264" s="138"/>
      <c r="F264" s="138" t="n">
        <v>1</v>
      </c>
      <c r="G264" s="141" t="n">
        <v>20.58</v>
      </c>
      <c r="H264" s="141" t="n">
        <v>586.35</v>
      </c>
      <c r="I264" s="141" t="n">
        <v>1300.4</v>
      </c>
      <c r="J264" s="141" t="n">
        <v>0</v>
      </c>
      <c r="K264" s="141" t="n">
        <v>0</v>
      </c>
      <c r="L264" s="141"/>
      <c r="M264" s="141"/>
      <c r="N264" s="141"/>
      <c r="O264" s="138" t="s">
        <v>3175</v>
      </c>
    </row>
    <row r="265" customFormat="false" ht="15" hidden="false" customHeight="false" outlineLevel="0" collapsed="false">
      <c r="A265" s="138" t="s">
        <v>2097</v>
      </c>
      <c r="B265" s="138" t="n">
        <v>433</v>
      </c>
      <c r="C265" s="138" t="s">
        <v>3363</v>
      </c>
      <c r="D265" s="138" t="s">
        <v>3326</v>
      </c>
      <c r="E265" s="138"/>
      <c r="F265" s="138" t="n">
        <v>1</v>
      </c>
      <c r="G265" s="141" t="n">
        <v>37.92</v>
      </c>
      <c r="H265" s="141" t="n">
        <v>650.4</v>
      </c>
      <c r="I265" s="141" t="n">
        <v>680.43</v>
      </c>
      <c r="J265" s="141" t="n">
        <v>0</v>
      </c>
      <c r="K265" s="141" t="n">
        <v>0</v>
      </c>
      <c r="L265" s="141"/>
      <c r="M265" s="141"/>
      <c r="N265" s="141"/>
      <c r="O265" s="138" t="s">
        <v>3175</v>
      </c>
    </row>
    <row r="266" customFormat="false" ht="15" hidden="false" customHeight="false" outlineLevel="0" collapsed="false">
      <c r="A266" s="138" t="s">
        <v>3364</v>
      </c>
      <c r="B266" s="138" t="n">
        <v>433.9535</v>
      </c>
      <c r="C266" s="138" t="s">
        <v>3365</v>
      </c>
      <c r="D266" s="138" t="s">
        <v>3265</v>
      </c>
      <c r="E266" s="138" t="s">
        <v>60</v>
      </c>
      <c r="F266" s="138" t="n">
        <v>1</v>
      </c>
      <c r="G266" s="141"/>
      <c r="H266" s="141"/>
      <c r="I266" s="141"/>
      <c r="J266" s="141"/>
      <c r="K266" s="141"/>
      <c r="L266" s="141"/>
      <c r="M266" s="141"/>
      <c r="N266" s="141"/>
      <c r="O266" s="138" t="s">
        <v>3360</v>
      </c>
    </row>
    <row r="267" customFormat="false" ht="15" hidden="false" customHeight="false" outlineLevel="0" collapsed="false">
      <c r="A267" s="138" t="s">
        <v>2818</v>
      </c>
      <c r="B267" s="138" t="n">
        <v>434.8415</v>
      </c>
      <c r="C267" s="138" t="s">
        <v>3222</v>
      </c>
      <c r="D267" s="138" t="s">
        <v>3207</v>
      </c>
      <c r="E267" s="138" t="s">
        <v>60</v>
      </c>
      <c r="F267" s="138" t="n">
        <v>1</v>
      </c>
      <c r="G267" s="141"/>
      <c r="H267" s="141"/>
      <c r="I267" s="141"/>
      <c r="J267" s="141"/>
      <c r="K267" s="141"/>
      <c r="L267" s="141"/>
      <c r="M267" s="141"/>
      <c r="N267" s="141"/>
      <c r="O267" s="138" t="s">
        <v>3208</v>
      </c>
    </row>
    <row r="268" customFormat="false" ht="15" hidden="false" customHeight="false" outlineLevel="0" collapsed="false">
      <c r="A268" s="138" t="s">
        <v>2818</v>
      </c>
      <c r="B268" s="138" t="n">
        <v>434.8415</v>
      </c>
      <c r="C268" s="138" t="s">
        <v>3209</v>
      </c>
      <c r="D268" s="138" t="s">
        <v>3199</v>
      </c>
      <c r="E268" s="138" t="s">
        <v>60</v>
      </c>
      <c r="F268" s="138" t="n">
        <v>1</v>
      </c>
      <c r="G268" s="141" t="n">
        <v>12</v>
      </c>
      <c r="H268" s="141"/>
      <c r="I268" s="141"/>
      <c r="J268" s="141"/>
      <c r="K268" s="141"/>
      <c r="L268" s="141"/>
      <c r="M268" s="141"/>
      <c r="N268" s="141"/>
      <c r="O268" s="138" t="s">
        <v>3200</v>
      </c>
    </row>
    <row r="269" customFormat="false" ht="15" hidden="false" customHeight="false" outlineLevel="0" collapsed="false">
      <c r="A269" s="138" t="s">
        <v>2818</v>
      </c>
      <c r="B269" s="138" t="n">
        <v>434.8415</v>
      </c>
      <c r="C269" s="138" t="s">
        <v>3221</v>
      </c>
      <c r="D269" s="138" t="s">
        <v>3195</v>
      </c>
      <c r="E269" s="138" t="s">
        <v>60</v>
      </c>
      <c r="F269" s="138" t="n">
        <v>1</v>
      </c>
      <c r="G269" s="141"/>
      <c r="H269" s="141"/>
      <c r="I269" s="141"/>
      <c r="J269" s="141"/>
      <c r="K269" s="141"/>
      <c r="L269" s="141"/>
      <c r="M269" s="141"/>
      <c r="N269" s="141"/>
      <c r="O269" s="138" t="s">
        <v>3196</v>
      </c>
    </row>
    <row r="270" customFormat="false" ht="15" hidden="false" customHeight="false" outlineLevel="0" collapsed="false">
      <c r="A270" s="138" t="s">
        <v>2822</v>
      </c>
      <c r="B270" s="138" t="n">
        <v>435.0215</v>
      </c>
      <c r="C270" s="138" t="s">
        <v>3287</v>
      </c>
      <c r="D270" s="138" t="s">
        <v>3195</v>
      </c>
      <c r="E270" s="138" t="s">
        <v>60</v>
      </c>
      <c r="F270" s="138" t="n">
        <v>1</v>
      </c>
      <c r="G270" s="141"/>
      <c r="H270" s="141"/>
      <c r="I270" s="141"/>
      <c r="J270" s="141"/>
      <c r="K270" s="141"/>
      <c r="L270" s="141"/>
      <c r="M270" s="141"/>
      <c r="N270" s="141"/>
      <c r="O270" s="138" t="s">
        <v>3196</v>
      </c>
    </row>
    <row r="271" customFormat="false" ht="15" hidden="false" customHeight="false" outlineLevel="0" collapsed="false">
      <c r="A271" s="138" t="s">
        <v>3366</v>
      </c>
      <c r="B271" s="138" t="n">
        <v>436.591</v>
      </c>
      <c r="C271" s="138" t="s">
        <v>3365</v>
      </c>
      <c r="D271" s="138" t="s">
        <v>3265</v>
      </c>
      <c r="E271" s="138" t="s">
        <v>59</v>
      </c>
      <c r="F271" s="138" t="n">
        <v>1</v>
      </c>
      <c r="G271" s="141"/>
      <c r="H271" s="141"/>
      <c r="I271" s="141"/>
      <c r="J271" s="141"/>
      <c r="K271" s="141"/>
      <c r="L271" s="141"/>
      <c r="M271" s="141"/>
      <c r="N271" s="141"/>
      <c r="O271" s="138" t="s">
        <v>3367</v>
      </c>
    </row>
    <row r="272" customFormat="false" ht="15" hidden="false" customHeight="false" outlineLevel="0" collapsed="false">
      <c r="A272" s="138" t="s">
        <v>2826</v>
      </c>
      <c r="B272" s="138" t="n">
        <v>441.2925</v>
      </c>
      <c r="C272" s="138" t="s">
        <v>3209</v>
      </c>
      <c r="D272" s="138" t="s">
        <v>3199</v>
      </c>
      <c r="E272" s="138" t="s">
        <v>60</v>
      </c>
      <c r="F272" s="138" t="n">
        <v>1</v>
      </c>
      <c r="G272" s="141" t="n">
        <v>6.1</v>
      </c>
      <c r="H272" s="141"/>
      <c r="I272" s="141"/>
      <c r="J272" s="141"/>
      <c r="K272" s="141"/>
      <c r="L272" s="141"/>
      <c r="M272" s="141"/>
      <c r="N272" s="141"/>
      <c r="O272" s="138" t="s">
        <v>3200</v>
      </c>
    </row>
    <row r="273" customFormat="false" ht="15" hidden="false" customHeight="false" outlineLevel="0" collapsed="false">
      <c r="A273" s="138" t="s">
        <v>2826</v>
      </c>
      <c r="B273" s="138" t="n">
        <v>441.2925</v>
      </c>
      <c r="C273" s="138" t="s">
        <v>3221</v>
      </c>
      <c r="D273" s="138" t="s">
        <v>3195</v>
      </c>
      <c r="E273" s="138" t="s">
        <v>60</v>
      </c>
      <c r="F273" s="138" t="n">
        <v>1</v>
      </c>
      <c r="G273" s="141"/>
      <c r="H273" s="141"/>
      <c r="I273" s="141"/>
      <c r="J273" s="141"/>
      <c r="K273" s="141"/>
      <c r="L273" s="141"/>
      <c r="M273" s="141"/>
      <c r="N273" s="141"/>
      <c r="O273" s="138" t="s">
        <v>3196</v>
      </c>
    </row>
    <row r="274" customFormat="false" ht="15" hidden="false" customHeight="false" outlineLevel="0" collapsed="false">
      <c r="A274" s="138" t="s">
        <v>3368</v>
      </c>
      <c r="B274" s="138" t="n">
        <v>441.5645</v>
      </c>
      <c r="C274" s="138" t="s">
        <v>3369</v>
      </c>
      <c r="D274" s="138" t="s">
        <v>3195</v>
      </c>
      <c r="E274" s="138" t="s">
        <v>59</v>
      </c>
      <c r="F274" s="138" t="n">
        <v>1</v>
      </c>
      <c r="G274" s="141"/>
      <c r="H274" s="141"/>
      <c r="I274" s="141"/>
      <c r="J274" s="141"/>
      <c r="K274" s="141"/>
      <c r="L274" s="141"/>
      <c r="M274" s="141"/>
      <c r="N274" s="141"/>
      <c r="O274" s="138" t="s">
        <v>3196</v>
      </c>
    </row>
    <row r="275" customFormat="false" ht="15" hidden="false" customHeight="false" outlineLevel="0" collapsed="false">
      <c r="A275" s="138" t="s">
        <v>2830</v>
      </c>
      <c r="B275" s="138" t="n">
        <v>442.259</v>
      </c>
      <c r="C275" s="138" t="s">
        <v>3258</v>
      </c>
      <c r="D275" s="138" t="s">
        <v>3195</v>
      </c>
      <c r="E275" s="138" t="s">
        <v>60</v>
      </c>
      <c r="F275" s="138" t="n">
        <v>1</v>
      </c>
      <c r="G275" s="141"/>
      <c r="H275" s="141"/>
      <c r="I275" s="141"/>
      <c r="J275" s="141"/>
      <c r="K275" s="141"/>
      <c r="L275" s="141"/>
      <c r="M275" s="141"/>
      <c r="N275" s="141"/>
      <c r="O275" s="138" t="s">
        <v>3196</v>
      </c>
    </row>
    <row r="276" customFormat="false" ht="15" hidden="false" customHeight="false" outlineLevel="0" collapsed="false">
      <c r="A276" s="138" t="s">
        <v>2832</v>
      </c>
      <c r="B276" s="138" t="n">
        <v>444.339</v>
      </c>
      <c r="C276" s="138" t="s">
        <v>3222</v>
      </c>
      <c r="D276" s="138" t="s">
        <v>3207</v>
      </c>
      <c r="E276" s="138" t="s">
        <v>59</v>
      </c>
      <c r="F276" s="138" t="n">
        <v>1</v>
      </c>
      <c r="G276" s="141"/>
      <c r="H276" s="141"/>
      <c r="I276" s="141"/>
      <c r="J276" s="141"/>
      <c r="K276" s="141"/>
      <c r="L276" s="141"/>
      <c r="M276" s="141"/>
      <c r="N276" s="141"/>
      <c r="O276" s="138" t="s">
        <v>3208</v>
      </c>
    </row>
    <row r="277" customFormat="false" ht="15" hidden="false" customHeight="false" outlineLevel="0" collapsed="false">
      <c r="A277" s="138" t="s">
        <v>2832</v>
      </c>
      <c r="B277" s="138" t="n">
        <v>444.339</v>
      </c>
      <c r="C277" s="138" t="s">
        <v>3209</v>
      </c>
      <c r="D277" s="138" t="s">
        <v>3199</v>
      </c>
      <c r="E277" s="138" t="s">
        <v>59</v>
      </c>
      <c r="F277" s="138" t="n">
        <v>1</v>
      </c>
      <c r="G277" s="141" t="n">
        <v>8.7</v>
      </c>
      <c r="H277" s="141"/>
      <c r="I277" s="141"/>
      <c r="J277" s="141"/>
      <c r="K277" s="141"/>
      <c r="L277" s="141"/>
      <c r="M277" s="141"/>
      <c r="N277" s="141"/>
      <c r="O277" s="138" t="s">
        <v>3200</v>
      </c>
    </row>
    <row r="278" customFormat="false" ht="15" hidden="false" customHeight="false" outlineLevel="0" collapsed="false">
      <c r="A278" s="138" t="s">
        <v>2834</v>
      </c>
      <c r="B278" s="138" t="n">
        <v>446.5195</v>
      </c>
      <c r="C278" s="138" t="s">
        <v>3169</v>
      </c>
      <c r="D278" s="138" t="s">
        <v>3170</v>
      </c>
      <c r="E278" s="138" t="s">
        <v>59</v>
      </c>
      <c r="F278" s="138" t="n">
        <v>1</v>
      </c>
      <c r="G278" s="141"/>
      <c r="H278" s="141"/>
      <c r="I278" s="141"/>
      <c r="J278" s="141"/>
      <c r="K278" s="141"/>
      <c r="L278" s="141"/>
      <c r="M278" s="141"/>
      <c r="N278" s="141"/>
      <c r="O278" s="138" t="s">
        <v>3171</v>
      </c>
    </row>
    <row r="279" customFormat="false" ht="15" hidden="false" customHeight="false" outlineLevel="0" collapsed="false">
      <c r="A279" s="138" t="s">
        <v>3370</v>
      </c>
      <c r="B279" s="138" t="n">
        <v>453.1715</v>
      </c>
      <c r="C279" s="138" t="s">
        <v>3163</v>
      </c>
      <c r="D279" s="138" t="s">
        <v>2380</v>
      </c>
      <c r="E279" s="138" t="s">
        <v>60</v>
      </c>
      <c r="F279" s="138" t="n">
        <v>1</v>
      </c>
      <c r="G279" s="141" t="n">
        <v>16.65</v>
      </c>
      <c r="H279" s="141"/>
      <c r="I279" s="141"/>
      <c r="J279" s="141"/>
      <c r="K279" s="141"/>
      <c r="L279" s="141"/>
      <c r="M279" s="141"/>
      <c r="N279" s="141"/>
      <c r="O279" s="138" t="s">
        <v>3164</v>
      </c>
    </row>
    <row r="280" customFormat="false" ht="15" hidden="false" customHeight="false" outlineLevel="0" collapsed="false">
      <c r="A280" s="138" t="s">
        <v>3371</v>
      </c>
      <c r="B280" s="138" t="n">
        <v>453.288</v>
      </c>
      <c r="C280" s="138" t="s">
        <v>3169</v>
      </c>
      <c r="D280" s="138" t="s">
        <v>3170</v>
      </c>
      <c r="E280" s="138" t="s">
        <v>60</v>
      </c>
      <c r="F280" s="138" t="n">
        <v>1</v>
      </c>
      <c r="G280" s="141"/>
      <c r="H280" s="141"/>
      <c r="I280" s="141"/>
      <c r="J280" s="141"/>
      <c r="K280" s="141"/>
      <c r="L280" s="141"/>
      <c r="M280" s="141"/>
      <c r="N280" s="141"/>
      <c r="O280" s="138" t="s">
        <v>3171</v>
      </c>
    </row>
    <row r="281" customFormat="false" ht="15" hidden="false" customHeight="false" outlineLevel="0" collapsed="false">
      <c r="A281" s="138" t="s">
        <v>3372</v>
      </c>
      <c r="B281" s="138" t="n">
        <v>454.2145</v>
      </c>
      <c r="C281" s="138" t="s">
        <v>3163</v>
      </c>
      <c r="D281" s="138" t="s">
        <v>2380</v>
      </c>
      <c r="E281" s="138" t="s">
        <v>60</v>
      </c>
      <c r="F281" s="138" t="n">
        <v>1</v>
      </c>
      <c r="G281" s="141" t="n">
        <v>15.23</v>
      </c>
      <c r="H281" s="141"/>
      <c r="I281" s="141"/>
      <c r="J281" s="141"/>
      <c r="K281" s="141"/>
      <c r="L281" s="141"/>
      <c r="M281" s="141"/>
      <c r="N281" s="141"/>
      <c r="O281" s="138" t="s">
        <v>3164</v>
      </c>
    </row>
    <row r="282" customFormat="false" ht="15" hidden="false" customHeight="false" outlineLevel="0" collapsed="false">
      <c r="A282" s="138" t="s">
        <v>3373</v>
      </c>
      <c r="B282" s="138" t="n">
        <v>455.2555</v>
      </c>
      <c r="C282" s="138" t="s">
        <v>3163</v>
      </c>
      <c r="D282" s="138" t="s">
        <v>2380</v>
      </c>
      <c r="E282" s="138" t="s">
        <v>60</v>
      </c>
      <c r="F282" s="138" t="n">
        <v>1</v>
      </c>
      <c r="G282" s="141" t="n">
        <v>13.91</v>
      </c>
      <c r="H282" s="141"/>
      <c r="I282" s="141"/>
      <c r="J282" s="141"/>
      <c r="K282" s="141"/>
      <c r="L282" s="141"/>
      <c r="M282" s="141"/>
      <c r="N282" s="141"/>
      <c r="O282" s="138" t="s">
        <v>3164</v>
      </c>
    </row>
    <row r="283" customFormat="false" ht="15" hidden="false" customHeight="false" outlineLevel="0" collapsed="false">
      <c r="A283" s="138" t="s">
        <v>2854</v>
      </c>
      <c r="B283" s="138" t="n">
        <v>461.575</v>
      </c>
      <c r="C283" s="138" t="s">
        <v>3222</v>
      </c>
      <c r="D283" s="138" t="s">
        <v>3207</v>
      </c>
      <c r="E283" s="138" t="s">
        <v>59</v>
      </c>
      <c r="F283" s="138" t="n">
        <v>1</v>
      </c>
      <c r="G283" s="141"/>
      <c r="H283" s="141"/>
      <c r="I283" s="141"/>
      <c r="J283" s="141"/>
      <c r="K283" s="141"/>
      <c r="L283" s="141"/>
      <c r="M283" s="141"/>
      <c r="N283" s="141"/>
      <c r="O283" s="138" t="s">
        <v>3208</v>
      </c>
    </row>
    <row r="284" customFormat="false" ht="15" hidden="false" customHeight="false" outlineLevel="0" collapsed="false">
      <c r="A284" s="138" t="s">
        <v>2854</v>
      </c>
      <c r="B284" s="138" t="n">
        <v>461.575</v>
      </c>
      <c r="C284" s="138" t="s">
        <v>3243</v>
      </c>
      <c r="D284" s="138" t="s">
        <v>3244</v>
      </c>
      <c r="E284" s="138" t="s">
        <v>59</v>
      </c>
      <c r="F284" s="138" t="n">
        <v>1</v>
      </c>
      <c r="G284" s="141" t="n">
        <v>0.8</v>
      </c>
      <c r="H284" s="141"/>
      <c r="I284" s="141"/>
      <c r="J284" s="141"/>
      <c r="K284" s="141"/>
      <c r="L284" s="141"/>
      <c r="M284" s="141"/>
      <c r="N284" s="141"/>
      <c r="O284" s="138" t="s">
        <v>3245</v>
      </c>
    </row>
    <row r="285" customFormat="false" ht="15" hidden="false" customHeight="false" outlineLevel="0" collapsed="false">
      <c r="A285" s="138" t="s">
        <v>3374</v>
      </c>
      <c r="B285" s="138" t="n">
        <v>466.8855</v>
      </c>
      <c r="C285" s="138" t="s">
        <v>3181</v>
      </c>
      <c r="D285" s="138" t="s">
        <v>3174</v>
      </c>
      <c r="E285" s="138" t="s">
        <v>60</v>
      </c>
      <c r="F285" s="138" t="n">
        <v>1</v>
      </c>
      <c r="G285" s="141"/>
      <c r="H285" s="141"/>
      <c r="I285" s="141"/>
      <c r="J285" s="141"/>
      <c r="K285" s="141"/>
      <c r="L285" s="141"/>
      <c r="M285" s="141"/>
      <c r="N285" s="141"/>
      <c r="O285" s="138" t="s">
        <v>3375</v>
      </c>
    </row>
    <row r="286" customFormat="false" ht="15" hidden="false" customHeight="false" outlineLevel="0" collapsed="false">
      <c r="A286" s="138" t="s">
        <v>2137</v>
      </c>
      <c r="B286" s="138" t="n">
        <v>469</v>
      </c>
      <c r="C286" s="138" t="s">
        <v>3187</v>
      </c>
      <c r="D286" s="138" t="s">
        <v>3174</v>
      </c>
      <c r="E286" s="138"/>
      <c r="F286" s="138" t="n">
        <v>1</v>
      </c>
      <c r="G286" s="141" t="n">
        <v>18.99</v>
      </c>
      <c r="H286" s="141" t="n">
        <v>92.33</v>
      </c>
      <c r="I286" s="141" t="n">
        <v>161.3</v>
      </c>
      <c r="J286" s="141" t="n">
        <v>0</v>
      </c>
      <c r="K286" s="141" t="n">
        <v>0</v>
      </c>
      <c r="L286" s="141"/>
      <c r="M286" s="141"/>
      <c r="N286" s="141"/>
      <c r="O286" s="138" t="s">
        <v>3175</v>
      </c>
    </row>
    <row r="287" customFormat="false" ht="15" hidden="false" customHeight="false" outlineLevel="0" collapsed="false">
      <c r="A287" s="138" t="s">
        <v>2865</v>
      </c>
      <c r="B287" s="138" t="n">
        <v>470.932</v>
      </c>
      <c r="C287" s="138" t="s">
        <v>3169</v>
      </c>
      <c r="D287" s="138" t="s">
        <v>3170</v>
      </c>
      <c r="E287" s="138" t="s">
        <v>59</v>
      </c>
      <c r="F287" s="138" t="n">
        <v>1</v>
      </c>
      <c r="G287" s="141"/>
      <c r="H287" s="141"/>
      <c r="I287" s="141"/>
      <c r="J287" s="141"/>
      <c r="K287" s="141"/>
      <c r="L287" s="141"/>
      <c r="M287" s="141"/>
      <c r="N287" s="141"/>
      <c r="O287" s="138" t="s">
        <v>3171</v>
      </c>
    </row>
    <row r="288" customFormat="false" ht="15" hidden="false" customHeight="false" outlineLevel="0" collapsed="false">
      <c r="A288" s="138" t="s">
        <v>3376</v>
      </c>
      <c r="B288" s="138" t="n">
        <v>474.616</v>
      </c>
      <c r="C288" s="138" t="s">
        <v>3377</v>
      </c>
      <c r="D288" s="138" t="s">
        <v>3174</v>
      </c>
      <c r="E288" s="138"/>
      <c r="F288" s="138" t="n">
        <v>1</v>
      </c>
      <c r="G288" s="141" t="n">
        <v>11.68</v>
      </c>
      <c r="H288" s="141" t="n">
        <v>50.33</v>
      </c>
      <c r="I288" s="141" t="n">
        <v>58.62</v>
      </c>
      <c r="J288" s="141" t="n">
        <v>0</v>
      </c>
      <c r="K288" s="141" t="n">
        <v>0</v>
      </c>
      <c r="L288" s="141"/>
      <c r="M288" s="141"/>
      <c r="N288" s="141"/>
      <c r="O288" s="138" t="s">
        <v>3175</v>
      </c>
    </row>
    <row r="289" customFormat="false" ht="15" hidden="false" customHeight="false" outlineLevel="0" collapsed="false">
      <c r="A289" s="138" t="s">
        <v>2874</v>
      </c>
      <c r="B289" s="138" t="n">
        <v>477.311</v>
      </c>
      <c r="C289" s="138" t="s">
        <v>3297</v>
      </c>
      <c r="D289" s="138" t="s">
        <v>3195</v>
      </c>
      <c r="E289" s="138" t="s">
        <v>60</v>
      </c>
      <c r="F289" s="138" t="n">
        <v>1</v>
      </c>
      <c r="G289" s="141"/>
      <c r="H289" s="141"/>
      <c r="I289" s="141"/>
      <c r="J289" s="141"/>
      <c r="K289" s="141"/>
      <c r="L289" s="141"/>
      <c r="M289" s="141"/>
      <c r="N289" s="141"/>
      <c r="O289" s="138" t="s">
        <v>3196</v>
      </c>
    </row>
    <row r="290" customFormat="false" ht="15" hidden="false" customHeight="false" outlineLevel="0" collapsed="false">
      <c r="A290" s="138" t="s">
        <v>2876</v>
      </c>
      <c r="B290" s="138" t="n">
        <v>479.3565</v>
      </c>
      <c r="C290" s="138" t="s">
        <v>3169</v>
      </c>
      <c r="D290" s="138" t="s">
        <v>3170</v>
      </c>
      <c r="E290" s="138" t="s">
        <v>59</v>
      </c>
      <c r="F290" s="138" t="n">
        <v>1</v>
      </c>
      <c r="G290" s="141"/>
      <c r="H290" s="141"/>
      <c r="I290" s="141"/>
      <c r="J290" s="141"/>
      <c r="K290" s="141"/>
      <c r="L290" s="141"/>
      <c r="M290" s="141"/>
      <c r="N290" s="141"/>
      <c r="O290" s="138" t="s">
        <v>3171</v>
      </c>
    </row>
    <row r="291" customFormat="false" ht="15" hidden="false" customHeight="false" outlineLevel="0" collapsed="false">
      <c r="A291" s="138" t="s">
        <v>3378</v>
      </c>
      <c r="B291" s="138" t="n">
        <v>479.3705</v>
      </c>
      <c r="C291" s="138" t="s">
        <v>3169</v>
      </c>
      <c r="D291" s="138" t="s">
        <v>3170</v>
      </c>
      <c r="E291" s="138" t="s">
        <v>60</v>
      </c>
      <c r="F291" s="138" t="n">
        <v>1</v>
      </c>
      <c r="G291" s="141"/>
      <c r="H291" s="141"/>
      <c r="I291" s="141"/>
      <c r="J291" s="141"/>
      <c r="K291" s="141"/>
      <c r="L291" s="141"/>
      <c r="M291" s="141"/>
      <c r="N291" s="141"/>
      <c r="O291" s="138" t="s">
        <v>3171</v>
      </c>
    </row>
    <row r="292" customFormat="false" ht="15" hidden="false" customHeight="false" outlineLevel="0" collapsed="false">
      <c r="A292" s="138" t="s">
        <v>2889</v>
      </c>
      <c r="B292" s="138" t="n">
        <v>486.911</v>
      </c>
      <c r="C292" s="138" t="s">
        <v>3222</v>
      </c>
      <c r="D292" s="138" t="s">
        <v>3207</v>
      </c>
      <c r="E292" s="138" t="s">
        <v>59</v>
      </c>
      <c r="F292" s="138" t="n">
        <v>1</v>
      </c>
      <c r="G292" s="141"/>
      <c r="H292" s="141"/>
      <c r="I292" s="141"/>
      <c r="J292" s="141"/>
      <c r="K292" s="141"/>
      <c r="L292" s="141"/>
      <c r="M292" s="141"/>
      <c r="N292" s="141"/>
      <c r="O292" s="138" t="s">
        <v>3208</v>
      </c>
    </row>
    <row r="293" customFormat="false" ht="15" hidden="false" customHeight="false" outlineLevel="0" collapsed="false">
      <c r="A293" s="138" t="s">
        <v>2889</v>
      </c>
      <c r="B293" s="138" t="n">
        <v>486.911</v>
      </c>
      <c r="C293" s="138" t="s">
        <v>3209</v>
      </c>
      <c r="D293" s="138" t="s">
        <v>3199</v>
      </c>
      <c r="E293" s="138" t="s">
        <v>59</v>
      </c>
      <c r="F293" s="138" t="n">
        <v>1</v>
      </c>
      <c r="G293" s="141" t="n">
        <v>4.6</v>
      </c>
      <c r="H293" s="141"/>
      <c r="I293" s="141"/>
      <c r="J293" s="141"/>
      <c r="K293" s="141"/>
      <c r="L293" s="141"/>
      <c r="M293" s="141"/>
      <c r="N293" s="141"/>
      <c r="O293" s="138" t="s">
        <v>3200</v>
      </c>
    </row>
    <row r="294" customFormat="false" ht="15" hidden="false" customHeight="false" outlineLevel="0" collapsed="false">
      <c r="A294" s="138" t="s">
        <v>3379</v>
      </c>
      <c r="B294" s="138" t="n">
        <v>487.563</v>
      </c>
      <c r="C294" s="138" t="s">
        <v>3181</v>
      </c>
      <c r="D294" s="138" t="s">
        <v>3174</v>
      </c>
      <c r="E294" s="138" t="s">
        <v>59</v>
      </c>
      <c r="F294" s="138" t="n">
        <v>1</v>
      </c>
      <c r="G294" s="141"/>
      <c r="H294" s="141"/>
      <c r="I294" s="141"/>
      <c r="J294" s="141"/>
      <c r="K294" s="141"/>
      <c r="L294" s="141"/>
      <c r="M294" s="141"/>
      <c r="N294" s="141"/>
      <c r="O294" s="138" t="s">
        <v>3380</v>
      </c>
    </row>
    <row r="295" customFormat="false" ht="15" hidden="false" customHeight="false" outlineLevel="0" collapsed="false">
      <c r="A295" s="138" t="s">
        <v>3381</v>
      </c>
      <c r="B295" s="138" t="n">
        <v>487.5705</v>
      </c>
      <c r="C295" s="138" t="s">
        <v>3213</v>
      </c>
      <c r="D295" s="138" t="s">
        <v>3174</v>
      </c>
      <c r="E295" s="138"/>
      <c r="F295" s="138" t="n">
        <v>1</v>
      </c>
      <c r="G295" s="141" t="n">
        <v>22.76</v>
      </c>
      <c r="H295" s="141" t="n">
        <v>246</v>
      </c>
      <c r="I295" s="141" t="n">
        <v>150.97</v>
      </c>
      <c r="J295" s="141" t="n">
        <v>80.73</v>
      </c>
      <c r="K295" s="141" t="n">
        <v>0</v>
      </c>
      <c r="L295" s="141"/>
      <c r="M295" s="141"/>
      <c r="N295" s="141"/>
      <c r="O295" s="138" t="s">
        <v>3175</v>
      </c>
    </row>
    <row r="296" customFormat="false" ht="15" hidden="false" customHeight="false" outlineLevel="0" collapsed="false">
      <c r="A296" s="138" t="s">
        <v>3381</v>
      </c>
      <c r="B296" s="138" t="n">
        <v>487.5705</v>
      </c>
      <c r="C296" s="138" t="s">
        <v>391</v>
      </c>
      <c r="D296" s="138" t="s">
        <v>3178</v>
      </c>
      <c r="E296" s="138" t="s">
        <v>60</v>
      </c>
      <c r="F296" s="138" t="n">
        <v>1</v>
      </c>
      <c r="G296" s="141"/>
      <c r="H296" s="141" t="n">
        <v>5.67</v>
      </c>
      <c r="I296" s="141"/>
      <c r="J296" s="141"/>
      <c r="K296" s="141"/>
      <c r="L296" s="141" t="n">
        <v>3.27</v>
      </c>
      <c r="M296" s="141"/>
      <c r="N296" s="141" t="n">
        <v>0</v>
      </c>
      <c r="O296" s="138" t="s">
        <v>3179</v>
      </c>
    </row>
    <row r="297" customFormat="false" ht="15" hidden="false" customHeight="false" outlineLevel="0" collapsed="false">
      <c r="A297" s="138" t="s">
        <v>3382</v>
      </c>
      <c r="B297" s="138" t="n">
        <v>490.976</v>
      </c>
      <c r="C297" s="138" t="s">
        <v>3221</v>
      </c>
      <c r="D297" s="138" t="s">
        <v>3195</v>
      </c>
      <c r="E297" s="138" t="s">
        <v>59</v>
      </c>
      <c r="F297" s="138" t="n">
        <v>1</v>
      </c>
      <c r="G297" s="141"/>
      <c r="H297" s="141"/>
      <c r="I297" s="141"/>
      <c r="J297" s="141"/>
      <c r="K297" s="141"/>
      <c r="L297" s="141"/>
      <c r="M297" s="141"/>
      <c r="N297" s="141"/>
      <c r="O297" s="138" t="s">
        <v>3196</v>
      </c>
    </row>
    <row r="298" customFormat="false" ht="15" hidden="false" customHeight="false" outlineLevel="0" collapsed="false">
      <c r="A298" s="138" t="s">
        <v>2890</v>
      </c>
      <c r="B298" s="138" t="n">
        <v>491.8025</v>
      </c>
      <c r="C298" s="138" t="s">
        <v>3222</v>
      </c>
      <c r="D298" s="138" t="s">
        <v>3207</v>
      </c>
      <c r="E298" s="138" t="s">
        <v>59</v>
      </c>
      <c r="F298" s="138" t="n">
        <v>1</v>
      </c>
      <c r="G298" s="141"/>
      <c r="H298" s="141"/>
      <c r="I298" s="141"/>
      <c r="J298" s="141"/>
      <c r="K298" s="141"/>
      <c r="L298" s="141"/>
      <c r="M298" s="141"/>
      <c r="N298" s="141"/>
      <c r="O298" s="138" t="s">
        <v>3208</v>
      </c>
    </row>
    <row r="299" customFormat="false" ht="15" hidden="false" customHeight="false" outlineLevel="0" collapsed="false">
      <c r="A299" s="138" t="s">
        <v>2890</v>
      </c>
      <c r="B299" s="138" t="n">
        <v>491.8025</v>
      </c>
      <c r="C299" s="138" t="s">
        <v>3209</v>
      </c>
      <c r="D299" s="138" t="s">
        <v>3199</v>
      </c>
      <c r="E299" s="138" t="s">
        <v>59</v>
      </c>
      <c r="F299" s="138" t="n">
        <v>1</v>
      </c>
      <c r="G299" s="141" t="n">
        <v>5.4</v>
      </c>
      <c r="H299" s="141"/>
      <c r="I299" s="141"/>
      <c r="J299" s="141"/>
      <c r="K299" s="141"/>
      <c r="L299" s="141"/>
      <c r="M299" s="141"/>
      <c r="N299" s="141"/>
      <c r="O299" s="138" t="s">
        <v>3200</v>
      </c>
    </row>
    <row r="300" customFormat="false" ht="15" hidden="false" customHeight="false" outlineLevel="0" collapsed="false">
      <c r="A300" s="138" t="s">
        <v>3383</v>
      </c>
      <c r="B300" s="138" t="n">
        <v>493.4785</v>
      </c>
      <c r="C300" s="138" t="s">
        <v>3213</v>
      </c>
      <c r="D300" s="138" t="s">
        <v>3174</v>
      </c>
      <c r="E300" s="138"/>
      <c r="F300" s="138" t="n">
        <v>1</v>
      </c>
      <c r="G300" s="141" t="n">
        <v>25</v>
      </c>
      <c r="H300" s="141" t="n">
        <v>157.52</v>
      </c>
      <c r="I300" s="141" t="n">
        <v>165.87</v>
      </c>
      <c r="J300" s="141" t="n">
        <v>0</v>
      </c>
      <c r="K300" s="141" t="n">
        <v>0</v>
      </c>
      <c r="L300" s="141"/>
      <c r="M300" s="141"/>
      <c r="N300" s="141"/>
      <c r="O300" s="138" t="s">
        <v>3175</v>
      </c>
    </row>
    <row r="301" customFormat="false" ht="15" hidden="false" customHeight="false" outlineLevel="0" collapsed="false">
      <c r="A301" s="138" t="s">
        <v>2893</v>
      </c>
      <c r="B301" s="138" t="n">
        <v>495.053</v>
      </c>
      <c r="C301" s="138" t="s">
        <v>3181</v>
      </c>
      <c r="D301" s="138" t="s">
        <v>3174</v>
      </c>
      <c r="E301" s="138" t="s">
        <v>59</v>
      </c>
      <c r="F301" s="138" t="n">
        <v>1</v>
      </c>
      <c r="G301" s="141"/>
      <c r="H301" s="141"/>
      <c r="I301" s="141"/>
      <c r="J301" s="141"/>
      <c r="K301" s="141"/>
      <c r="L301" s="141"/>
      <c r="M301" s="141"/>
      <c r="N301" s="141"/>
      <c r="O301" s="138" t="s">
        <v>3384</v>
      </c>
    </row>
    <row r="302" customFormat="false" ht="15" hidden="false" customHeight="false" outlineLevel="0" collapsed="false">
      <c r="A302" s="138" t="s">
        <v>2897</v>
      </c>
      <c r="B302" s="138" t="n">
        <v>496.4955</v>
      </c>
      <c r="C302" s="138" t="s">
        <v>3222</v>
      </c>
      <c r="D302" s="138" t="s">
        <v>3207</v>
      </c>
      <c r="E302" s="138" t="s">
        <v>59</v>
      </c>
      <c r="F302" s="138" t="n">
        <v>1</v>
      </c>
      <c r="G302" s="141"/>
      <c r="H302" s="141"/>
      <c r="I302" s="141"/>
      <c r="J302" s="141"/>
      <c r="K302" s="141"/>
      <c r="L302" s="141"/>
      <c r="M302" s="141"/>
      <c r="N302" s="141"/>
      <c r="O302" s="138" t="s">
        <v>3208</v>
      </c>
    </row>
    <row r="303" customFormat="false" ht="15" hidden="false" customHeight="false" outlineLevel="0" collapsed="false">
      <c r="A303" s="138" t="s">
        <v>2897</v>
      </c>
      <c r="B303" s="138" t="n">
        <v>496.4955</v>
      </c>
      <c r="C303" s="138" t="s">
        <v>3209</v>
      </c>
      <c r="D303" s="138" t="s">
        <v>3199</v>
      </c>
      <c r="E303" s="138" t="s">
        <v>59</v>
      </c>
      <c r="F303" s="138" t="n">
        <v>1</v>
      </c>
      <c r="G303" s="141" t="n">
        <v>8.6</v>
      </c>
      <c r="H303" s="141"/>
      <c r="I303" s="141"/>
      <c r="J303" s="141"/>
      <c r="K303" s="141"/>
      <c r="L303" s="141"/>
      <c r="M303" s="141"/>
      <c r="N303" s="141"/>
      <c r="O303" s="138" t="s">
        <v>3200</v>
      </c>
    </row>
    <row r="304" customFormat="false" ht="15" hidden="false" customHeight="false" outlineLevel="0" collapsed="false">
      <c r="A304" s="138" t="s">
        <v>2897</v>
      </c>
      <c r="B304" s="138" t="n">
        <v>496.4955</v>
      </c>
      <c r="C304" s="138" t="s">
        <v>3221</v>
      </c>
      <c r="D304" s="138" t="s">
        <v>3195</v>
      </c>
      <c r="E304" s="138" t="s">
        <v>59</v>
      </c>
      <c r="F304" s="138" t="n">
        <v>1</v>
      </c>
      <c r="G304" s="141"/>
      <c r="H304" s="141"/>
      <c r="I304" s="141"/>
      <c r="J304" s="141"/>
      <c r="K304" s="141"/>
      <c r="L304" s="141"/>
      <c r="M304" s="141"/>
      <c r="N304" s="141"/>
      <c r="O304" s="138" t="s">
        <v>3196</v>
      </c>
    </row>
    <row r="305" customFormat="false" ht="15" hidden="false" customHeight="false" outlineLevel="0" collapsed="false">
      <c r="A305" s="138" t="s">
        <v>2905</v>
      </c>
      <c r="B305" s="138" t="n">
        <v>500.239</v>
      </c>
      <c r="C305" s="138" t="s">
        <v>3222</v>
      </c>
      <c r="D305" s="138" t="s">
        <v>3207</v>
      </c>
      <c r="E305" s="138" t="s">
        <v>60</v>
      </c>
      <c r="F305" s="138" t="n">
        <v>1</v>
      </c>
      <c r="G305" s="141"/>
      <c r="H305" s="141"/>
      <c r="I305" s="141"/>
      <c r="J305" s="141"/>
      <c r="K305" s="141"/>
      <c r="L305" s="141"/>
      <c r="M305" s="141"/>
      <c r="N305" s="141"/>
      <c r="O305" s="138" t="s">
        <v>3208</v>
      </c>
    </row>
    <row r="306" customFormat="false" ht="15" hidden="false" customHeight="false" outlineLevel="0" collapsed="false">
      <c r="A306" s="138" t="s">
        <v>2905</v>
      </c>
      <c r="B306" s="138" t="n">
        <v>500.239</v>
      </c>
      <c r="C306" s="138" t="s">
        <v>3243</v>
      </c>
      <c r="D306" s="138" t="s">
        <v>3244</v>
      </c>
      <c r="E306" s="138" t="s">
        <v>60</v>
      </c>
      <c r="F306" s="138" t="n">
        <v>1</v>
      </c>
      <c r="G306" s="141" t="n">
        <v>0.6</v>
      </c>
      <c r="H306" s="141"/>
      <c r="I306" s="141"/>
      <c r="J306" s="141"/>
      <c r="K306" s="141"/>
      <c r="L306" s="141"/>
      <c r="M306" s="141"/>
      <c r="N306" s="141"/>
      <c r="O306" s="138" t="s">
        <v>3245</v>
      </c>
    </row>
    <row r="307" customFormat="false" ht="15" hidden="false" customHeight="false" outlineLevel="0" collapsed="false">
      <c r="A307" s="138" t="s">
        <v>2911</v>
      </c>
      <c r="B307" s="138" t="n">
        <v>507.4135</v>
      </c>
      <c r="C307" s="138" t="s">
        <v>3198</v>
      </c>
      <c r="D307" s="138" t="s">
        <v>3199</v>
      </c>
      <c r="E307" s="138" t="s">
        <v>59</v>
      </c>
      <c r="F307" s="138" t="n">
        <v>1</v>
      </c>
      <c r="G307" s="141" t="n">
        <v>6.2</v>
      </c>
      <c r="H307" s="141"/>
      <c r="I307" s="141"/>
      <c r="J307" s="141"/>
      <c r="K307" s="141"/>
      <c r="L307" s="141"/>
      <c r="M307" s="141"/>
      <c r="N307" s="141"/>
      <c r="O307" s="138" t="s">
        <v>3200</v>
      </c>
    </row>
    <row r="308" customFormat="false" ht="15" hidden="false" customHeight="false" outlineLevel="0" collapsed="false">
      <c r="A308" s="138" t="s">
        <v>3385</v>
      </c>
      <c r="B308" s="138" t="n">
        <v>509.841</v>
      </c>
      <c r="C308" s="138" t="s">
        <v>3163</v>
      </c>
      <c r="D308" s="138" t="s">
        <v>2380</v>
      </c>
      <c r="E308" s="138" t="s">
        <v>59</v>
      </c>
      <c r="F308" s="138" t="n">
        <v>1</v>
      </c>
      <c r="G308" s="141" t="n">
        <v>13.3</v>
      </c>
      <c r="H308" s="141"/>
      <c r="I308" s="141"/>
      <c r="J308" s="141"/>
      <c r="K308" s="141"/>
      <c r="L308" s="141"/>
      <c r="M308" s="141"/>
      <c r="N308" s="141"/>
      <c r="O308" s="138" t="s">
        <v>3164</v>
      </c>
    </row>
    <row r="309" customFormat="false" ht="15" hidden="false" customHeight="false" outlineLevel="0" collapsed="false">
      <c r="A309" s="138" t="s">
        <v>3386</v>
      </c>
      <c r="B309" s="138" t="n">
        <v>510.825</v>
      </c>
      <c r="C309" s="138" t="s">
        <v>3163</v>
      </c>
      <c r="D309" s="138" t="s">
        <v>2380</v>
      </c>
      <c r="E309" s="138" t="s">
        <v>59</v>
      </c>
      <c r="F309" s="138" t="n">
        <v>1</v>
      </c>
      <c r="G309" s="141" t="n">
        <v>13.77</v>
      </c>
      <c r="H309" s="141"/>
      <c r="I309" s="141"/>
      <c r="J309" s="141"/>
      <c r="K309" s="141"/>
      <c r="L309" s="141"/>
      <c r="M309" s="141"/>
      <c r="N309" s="141"/>
      <c r="O309" s="138" t="s">
        <v>3164</v>
      </c>
    </row>
    <row r="310" customFormat="false" ht="15" hidden="false" customHeight="false" outlineLevel="0" collapsed="false">
      <c r="A310" s="138" t="s">
        <v>2917</v>
      </c>
      <c r="B310" s="138" t="n">
        <v>511.6775</v>
      </c>
      <c r="C310" s="138" t="s">
        <v>3194</v>
      </c>
      <c r="D310" s="138" t="s">
        <v>3195</v>
      </c>
      <c r="E310" s="138" t="s">
        <v>59</v>
      </c>
      <c r="F310" s="138" t="n">
        <v>1</v>
      </c>
      <c r="G310" s="141"/>
      <c r="H310" s="141"/>
      <c r="I310" s="141"/>
      <c r="J310" s="141"/>
      <c r="K310" s="141"/>
      <c r="L310" s="141"/>
      <c r="M310" s="141"/>
      <c r="N310" s="141"/>
      <c r="O310" s="138" t="s">
        <v>3196</v>
      </c>
    </row>
    <row r="311" customFormat="false" ht="15" hidden="false" customHeight="false" outlineLevel="0" collapsed="false">
      <c r="A311" s="138" t="s">
        <v>3387</v>
      </c>
      <c r="B311" s="138" t="n">
        <v>511.8185</v>
      </c>
      <c r="C311" s="138" t="s">
        <v>3163</v>
      </c>
      <c r="D311" s="138" t="s">
        <v>2380</v>
      </c>
      <c r="E311" s="138" t="s">
        <v>59</v>
      </c>
      <c r="F311" s="138" t="n">
        <v>1</v>
      </c>
      <c r="G311" s="141" t="n">
        <v>13.36</v>
      </c>
      <c r="H311" s="141"/>
      <c r="I311" s="141"/>
      <c r="J311" s="141"/>
      <c r="K311" s="141"/>
      <c r="L311" s="141"/>
      <c r="M311" s="141"/>
      <c r="N311" s="141"/>
      <c r="O311" s="138" t="s">
        <v>3164</v>
      </c>
    </row>
    <row r="312" customFormat="false" ht="15" hidden="false" customHeight="false" outlineLevel="0" collapsed="false">
      <c r="A312" s="138" t="s">
        <v>3388</v>
      </c>
      <c r="B312" s="138" t="n">
        <v>512.8665</v>
      </c>
      <c r="C312" s="138" t="s">
        <v>3169</v>
      </c>
      <c r="D312" s="138" t="s">
        <v>3170</v>
      </c>
      <c r="E312" s="138" t="s">
        <v>59</v>
      </c>
      <c r="F312" s="138" t="n">
        <v>1</v>
      </c>
      <c r="G312" s="141"/>
      <c r="H312" s="141"/>
      <c r="I312" s="141"/>
      <c r="J312" s="141"/>
      <c r="K312" s="141"/>
      <c r="L312" s="141"/>
      <c r="M312" s="141"/>
      <c r="N312" s="141"/>
      <c r="O312" s="138" t="s">
        <v>3171</v>
      </c>
    </row>
    <row r="313" customFormat="false" ht="15" hidden="false" customHeight="false" outlineLevel="0" collapsed="false">
      <c r="A313" s="138" t="s">
        <v>2920</v>
      </c>
      <c r="B313" s="138" t="n">
        <v>518.068</v>
      </c>
      <c r="C313" s="138" t="s">
        <v>3389</v>
      </c>
      <c r="D313" s="138" t="s">
        <v>3199</v>
      </c>
      <c r="E313" s="138" t="s">
        <v>60</v>
      </c>
      <c r="F313" s="138" t="n">
        <v>1</v>
      </c>
      <c r="G313" s="141" t="n">
        <v>2</v>
      </c>
      <c r="H313" s="141"/>
      <c r="I313" s="141"/>
      <c r="J313" s="141"/>
      <c r="K313" s="141"/>
      <c r="L313" s="141"/>
      <c r="M313" s="141"/>
      <c r="N313" s="141"/>
      <c r="O313" s="138" t="s">
        <v>3200</v>
      </c>
    </row>
    <row r="314" customFormat="false" ht="15" hidden="false" customHeight="false" outlineLevel="0" collapsed="false">
      <c r="A314" s="138" t="s">
        <v>3390</v>
      </c>
      <c r="B314" s="138" t="n">
        <v>518.0755</v>
      </c>
      <c r="C314" s="138" t="s">
        <v>3187</v>
      </c>
      <c r="D314" s="138" t="s">
        <v>3174</v>
      </c>
      <c r="E314" s="138"/>
      <c r="F314" s="138" t="n">
        <v>1</v>
      </c>
      <c r="G314" s="141" t="n">
        <v>16.11</v>
      </c>
      <c r="H314" s="141" t="n">
        <v>172.7</v>
      </c>
      <c r="I314" s="141" t="n">
        <v>136.87</v>
      </c>
      <c r="J314" s="141" t="n">
        <v>23.18</v>
      </c>
      <c r="K314" s="141" t="n">
        <v>0</v>
      </c>
      <c r="L314" s="141"/>
      <c r="M314" s="141"/>
      <c r="N314" s="141"/>
      <c r="O314" s="138" t="s">
        <v>3175</v>
      </c>
    </row>
    <row r="315" customFormat="false" ht="15" hidden="false" customHeight="false" outlineLevel="0" collapsed="false">
      <c r="A315" s="138" t="s">
        <v>3390</v>
      </c>
      <c r="B315" s="138" t="n">
        <v>518.0755</v>
      </c>
      <c r="C315" s="138" t="s">
        <v>395</v>
      </c>
      <c r="D315" s="138" t="s">
        <v>3176</v>
      </c>
      <c r="E315" s="138" t="s">
        <v>59</v>
      </c>
      <c r="F315" s="138" t="n">
        <v>1</v>
      </c>
      <c r="G315" s="141"/>
      <c r="H315" s="141" t="n">
        <v>68.28</v>
      </c>
      <c r="I315" s="141"/>
      <c r="J315" s="141"/>
      <c r="K315" s="141"/>
      <c r="L315" s="141"/>
      <c r="M315" s="141" t="n">
        <v>42.76</v>
      </c>
      <c r="N315" s="141"/>
      <c r="O315" s="138" t="s">
        <v>3177</v>
      </c>
    </row>
    <row r="316" customFormat="false" ht="15" hidden="false" customHeight="false" outlineLevel="0" collapsed="false">
      <c r="A316" s="138" t="s">
        <v>2926</v>
      </c>
      <c r="B316" s="138" t="n">
        <v>518.4215</v>
      </c>
      <c r="C316" s="138" t="s">
        <v>3169</v>
      </c>
      <c r="D316" s="138" t="s">
        <v>3170</v>
      </c>
      <c r="E316" s="138" t="s">
        <v>59</v>
      </c>
      <c r="F316" s="138" t="n">
        <v>1</v>
      </c>
      <c r="G316" s="141"/>
      <c r="H316" s="141"/>
      <c r="I316" s="141"/>
      <c r="J316" s="141"/>
      <c r="K316" s="141"/>
      <c r="L316" s="141"/>
      <c r="M316" s="141"/>
      <c r="N316" s="141"/>
      <c r="O316" s="138" t="s">
        <v>3171</v>
      </c>
    </row>
    <row r="317" customFormat="false" ht="15" hidden="false" customHeight="false" outlineLevel="0" collapsed="false">
      <c r="A317" s="138" t="s">
        <v>2930</v>
      </c>
      <c r="B317" s="138" t="n">
        <v>523.3855</v>
      </c>
      <c r="C317" s="138" t="s">
        <v>3198</v>
      </c>
      <c r="D317" s="138" t="s">
        <v>3199</v>
      </c>
      <c r="E317" s="138" t="s">
        <v>60</v>
      </c>
      <c r="F317" s="138" t="n">
        <v>1</v>
      </c>
      <c r="G317" s="141" t="n">
        <v>3</v>
      </c>
      <c r="H317" s="141"/>
      <c r="I317" s="141"/>
      <c r="J317" s="141"/>
      <c r="K317" s="141"/>
      <c r="L317" s="141"/>
      <c r="M317" s="141"/>
      <c r="N317" s="141"/>
      <c r="O317" s="138" t="s">
        <v>3200</v>
      </c>
    </row>
    <row r="318" customFormat="false" ht="15" hidden="false" customHeight="false" outlineLevel="0" collapsed="false">
      <c r="A318" s="138" t="s">
        <v>3391</v>
      </c>
      <c r="B318" s="138" t="n">
        <v>524.7365</v>
      </c>
      <c r="C318" s="138" t="s">
        <v>3163</v>
      </c>
      <c r="D318" s="138" t="s">
        <v>2380</v>
      </c>
      <c r="E318" s="138" t="s">
        <v>59</v>
      </c>
      <c r="F318" s="138" t="n">
        <v>1</v>
      </c>
      <c r="G318" s="141" t="n">
        <v>15.24</v>
      </c>
      <c r="H318" s="141"/>
      <c r="I318" s="141"/>
      <c r="J318" s="141"/>
      <c r="K318" s="141"/>
      <c r="L318" s="141"/>
      <c r="M318" s="141"/>
      <c r="N318" s="141"/>
      <c r="O318" s="138" t="s">
        <v>3164</v>
      </c>
    </row>
    <row r="319" customFormat="false" ht="15" hidden="false" customHeight="false" outlineLevel="0" collapsed="false">
      <c r="A319" s="138" t="s">
        <v>3392</v>
      </c>
      <c r="B319" s="138" t="n">
        <v>525.708</v>
      </c>
      <c r="C319" s="138" t="s">
        <v>3163</v>
      </c>
      <c r="D319" s="138" t="s">
        <v>2380</v>
      </c>
      <c r="E319" s="138" t="s">
        <v>59</v>
      </c>
      <c r="F319" s="138" t="n">
        <v>1</v>
      </c>
      <c r="G319" s="141" t="n">
        <v>13.61</v>
      </c>
      <c r="H319" s="141"/>
      <c r="I319" s="141"/>
      <c r="J319" s="141"/>
      <c r="K319" s="141"/>
      <c r="L319" s="141"/>
      <c r="M319" s="141"/>
      <c r="N319" s="141"/>
      <c r="O319" s="138" t="s">
        <v>3164</v>
      </c>
    </row>
    <row r="320" customFormat="false" ht="15" hidden="false" customHeight="false" outlineLevel="0" collapsed="false">
      <c r="A320" s="138" t="s">
        <v>3393</v>
      </c>
      <c r="B320" s="138" t="n">
        <v>525.845</v>
      </c>
      <c r="C320" s="138" t="s">
        <v>3169</v>
      </c>
      <c r="D320" s="138" t="s">
        <v>3170</v>
      </c>
      <c r="E320" s="138" t="s">
        <v>60</v>
      </c>
      <c r="F320" s="138" t="n">
        <v>1</v>
      </c>
      <c r="G320" s="141"/>
      <c r="H320" s="141"/>
      <c r="I320" s="141"/>
      <c r="J320" s="141"/>
      <c r="K320" s="141"/>
      <c r="L320" s="141"/>
      <c r="M320" s="141"/>
      <c r="N320" s="141"/>
      <c r="O320" s="138" t="s">
        <v>3171</v>
      </c>
    </row>
    <row r="321" customFormat="false" ht="15" hidden="false" customHeight="false" outlineLevel="0" collapsed="false">
      <c r="A321" s="138" t="s">
        <v>3394</v>
      </c>
      <c r="B321" s="138" t="n">
        <v>526.011</v>
      </c>
      <c r="C321" s="138" t="s">
        <v>3187</v>
      </c>
      <c r="D321" s="138" t="s">
        <v>3174</v>
      </c>
      <c r="E321" s="138"/>
      <c r="F321" s="138" t="n">
        <v>1</v>
      </c>
      <c r="G321" s="141" t="n">
        <v>16.35</v>
      </c>
      <c r="H321" s="141" t="n">
        <v>226.65</v>
      </c>
      <c r="I321" s="141" t="n">
        <v>138.91</v>
      </c>
      <c r="J321" s="141" t="n">
        <v>74.9</v>
      </c>
      <c r="K321" s="141" t="n">
        <v>0</v>
      </c>
      <c r="L321" s="141"/>
      <c r="M321" s="141"/>
      <c r="N321" s="141"/>
      <c r="O321" s="138" t="s">
        <v>3175</v>
      </c>
    </row>
    <row r="322" customFormat="false" ht="15" hidden="false" customHeight="false" outlineLevel="0" collapsed="false">
      <c r="A322" s="138" t="s">
        <v>3395</v>
      </c>
      <c r="B322" s="138" t="n">
        <v>526.02</v>
      </c>
      <c r="C322" s="138" t="s">
        <v>3181</v>
      </c>
      <c r="D322" s="138" t="s">
        <v>3174</v>
      </c>
      <c r="E322" s="138"/>
      <c r="F322" s="138" t="n">
        <v>1</v>
      </c>
      <c r="G322" s="141"/>
      <c r="H322" s="141"/>
      <c r="I322" s="141"/>
      <c r="J322" s="141"/>
      <c r="K322" s="141"/>
      <c r="L322" s="141"/>
      <c r="M322" s="141"/>
      <c r="N322" s="141"/>
      <c r="O322" s="138" t="s">
        <v>3396</v>
      </c>
    </row>
    <row r="323" customFormat="false" ht="15" hidden="false" customHeight="false" outlineLevel="0" collapsed="false">
      <c r="A323" s="138" t="s">
        <v>3397</v>
      </c>
      <c r="B323" s="138" t="n">
        <v>526.0425</v>
      </c>
      <c r="C323" s="138" t="s">
        <v>3187</v>
      </c>
      <c r="D323" s="138" t="s">
        <v>3174</v>
      </c>
      <c r="E323" s="138"/>
      <c r="F323" s="138" t="n">
        <v>1</v>
      </c>
      <c r="G323" s="141" t="n">
        <v>26.43</v>
      </c>
      <c r="H323" s="141" t="n">
        <v>245.24</v>
      </c>
      <c r="I323" s="141" t="n">
        <v>224.49</v>
      </c>
      <c r="J323" s="141" t="n">
        <v>0</v>
      </c>
      <c r="K323" s="141" t="n">
        <v>0</v>
      </c>
      <c r="L323" s="141"/>
      <c r="M323" s="141"/>
      <c r="N323" s="141"/>
      <c r="O323" s="138" t="s">
        <v>3175</v>
      </c>
    </row>
    <row r="324" customFormat="false" ht="15" hidden="false" customHeight="false" outlineLevel="0" collapsed="false">
      <c r="A324" s="138" t="s">
        <v>2933</v>
      </c>
      <c r="B324" s="138" t="n">
        <v>527.376</v>
      </c>
      <c r="C324" s="138" t="s">
        <v>3198</v>
      </c>
      <c r="D324" s="138" t="s">
        <v>3199</v>
      </c>
      <c r="E324" s="138" t="s">
        <v>59</v>
      </c>
      <c r="F324" s="138" t="n">
        <v>1</v>
      </c>
      <c r="G324" s="141" t="n">
        <v>1.4</v>
      </c>
      <c r="H324" s="141"/>
      <c r="I324" s="141"/>
      <c r="J324" s="141"/>
      <c r="K324" s="141"/>
      <c r="L324" s="141"/>
      <c r="M324" s="141"/>
      <c r="N324" s="141"/>
      <c r="O324" s="138" t="s">
        <v>3200</v>
      </c>
    </row>
    <row r="325" customFormat="false" ht="15" hidden="false" customHeight="false" outlineLevel="0" collapsed="false">
      <c r="A325" s="138" t="s">
        <v>2940</v>
      </c>
      <c r="B325" s="138" t="n">
        <v>529.507</v>
      </c>
      <c r="C325" s="138" t="s">
        <v>3194</v>
      </c>
      <c r="D325" s="138" t="s">
        <v>3195</v>
      </c>
      <c r="E325" s="138" t="s">
        <v>60</v>
      </c>
      <c r="F325" s="138" t="n">
        <v>1</v>
      </c>
      <c r="G325" s="141"/>
      <c r="H325" s="141"/>
      <c r="I325" s="141"/>
      <c r="J325" s="141"/>
      <c r="K325" s="141"/>
      <c r="L325" s="141"/>
      <c r="M325" s="141"/>
      <c r="N325" s="141"/>
      <c r="O325" s="138" t="s">
        <v>3196</v>
      </c>
    </row>
    <row r="326" customFormat="false" ht="15" hidden="false" customHeight="false" outlineLevel="0" collapsed="false">
      <c r="A326" s="138" t="s">
        <v>2946</v>
      </c>
      <c r="B326" s="138" t="n">
        <v>536.602</v>
      </c>
      <c r="C326" s="138" t="s">
        <v>3198</v>
      </c>
      <c r="D326" s="138" t="s">
        <v>3199</v>
      </c>
      <c r="E326" s="138" t="s">
        <v>59</v>
      </c>
      <c r="F326" s="138" t="n">
        <v>1</v>
      </c>
      <c r="G326" s="141" t="n">
        <v>3.3</v>
      </c>
      <c r="H326" s="141"/>
      <c r="I326" s="141"/>
      <c r="J326" s="141"/>
      <c r="K326" s="141"/>
      <c r="L326" s="141"/>
      <c r="M326" s="141"/>
      <c r="N326" s="141"/>
      <c r="O326" s="138" t="s">
        <v>3200</v>
      </c>
    </row>
    <row r="327" customFormat="false" ht="15" hidden="false" customHeight="false" outlineLevel="0" collapsed="false">
      <c r="A327" s="138" t="s">
        <v>3398</v>
      </c>
      <c r="B327" s="138" t="n">
        <v>542.2425</v>
      </c>
      <c r="C327" s="138" t="s">
        <v>3163</v>
      </c>
      <c r="D327" s="138" t="s">
        <v>2380</v>
      </c>
      <c r="E327" s="138" t="s">
        <v>59</v>
      </c>
      <c r="F327" s="138" t="n">
        <v>1</v>
      </c>
      <c r="G327" s="141" t="n">
        <v>14.22</v>
      </c>
      <c r="H327" s="141"/>
      <c r="I327" s="141"/>
      <c r="J327" s="141"/>
      <c r="K327" s="141"/>
      <c r="L327" s="141"/>
      <c r="M327" s="141"/>
      <c r="N327" s="141"/>
      <c r="O327" s="138" t="s">
        <v>3164</v>
      </c>
    </row>
    <row r="328" customFormat="false" ht="15" hidden="false" customHeight="false" outlineLevel="0" collapsed="false">
      <c r="A328" s="138" t="s">
        <v>3399</v>
      </c>
      <c r="B328" s="138" t="n">
        <v>543.2385</v>
      </c>
      <c r="C328" s="138" t="s">
        <v>3163</v>
      </c>
      <c r="D328" s="138" t="s">
        <v>2380</v>
      </c>
      <c r="E328" s="138" t="s">
        <v>59</v>
      </c>
      <c r="F328" s="138" t="n">
        <v>1</v>
      </c>
      <c r="G328" s="141" t="n">
        <v>13.95</v>
      </c>
      <c r="H328" s="141"/>
      <c r="I328" s="141"/>
      <c r="J328" s="141"/>
      <c r="K328" s="141"/>
      <c r="L328" s="141"/>
      <c r="M328" s="141"/>
      <c r="N328" s="141"/>
      <c r="O328" s="138" t="s">
        <v>3164</v>
      </c>
    </row>
    <row r="329" customFormat="false" ht="15" hidden="false" customHeight="false" outlineLevel="0" collapsed="false">
      <c r="A329" s="138" t="s">
        <v>3400</v>
      </c>
      <c r="B329" s="138" t="n">
        <v>544.236</v>
      </c>
      <c r="C329" s="138" t="s">
        <v>3163</v>
      </c>
      <c r="D329" s="138" t="s">
        <v>2380</v>
      </c>
      <c r="E329" s="138" t="s">
        <v>59</v>
      </c>
      <c r="F329" s="138" t="n">
        <v>1</v>
      </c>
      <c r="G329" s="141" t="n">
        <v>14.22</v>
      </c>
      <c r="H329" s="141"/>
      <c r="I329" s="141"/>
      <c r="J329" s="141"/>
      <c r="K329" s="141"/>
      <c r="L329" s="141"/>
      <c r="M329" s="141"/>
      <c r="N329" s="141"/>
      <c r="O329" s="138" t="s">
        <v>3164</v>
      </c>
    </row>
    <row r="330" customFormat="false" ht="15" hidden="false" customHeight="false" outlineLevel="0" collapsed="false">
      <c r="A330" s="138" t="s">
        <v>2951</v>
      </c>
      <c r="B330" s="138" t="n">
        <v>544.237</v>
      </c>
      <c r="C330" s="138" t="s">
        <v>3198</v>
      </c>
      <c r="D330" s="138" t="s">
        <v>3199</v>
      </c>
      <c r="E330" s="138" t="s">
        <v>60</v>
      </c>
      <c r="F330" s="138" t="n">
        <v>1</v>
      </c>
      <c r="G330" s="141" t="n">
        <v>4.6</v>
      </c>
      <c r="H330" s="141"/>
      <c r="I330" s="141"/>
      <c r="J330" s="141"/>
      <c r="K330" s="141"/>
      <c r="L330" s="141"/>
      <c r="M330" s="141"/>
      <c r="N330" s="141"/>
      <c r="O330" s="138" t="s">
        <v>3200</v>
      </c>
    </row>
    <row r="331" customFormat="false" ht="15" hidden="false" customHeight="false" outlineLevel="0" collapsed="false">
      <c r="A331" s="138" t="s">
        <v>2954</v>
      </c>
      <c r="B331" s="138" t="n">
        <v>554.074</v>
      </c>
      <c r="C331" s="138" t="s">
        <v>3336</v>
      </c>
      <c r="D331" s="138" t="s">
        <v>3199</v>
      </c>
      <c r="E331" s="138" t="s">
        <v>60</v>
      </c>
      <c r="F331" s="138" t="n">
        <v>1</v>
      </c>
      <c r="G331" s="141" t="n">
        <v>3.6</v>
      </c>
      <c r="H331" s="141"/>
      <c r="I331" s="141"/>
      <c r="J331" s="141"/>
      <c r="K331" s="141"/>
      <c r="L331" s="141"/>
      <c r="M331" s="141"/>
      <c r="N331" s="141"/>
      <c r="O331" s="138" t="s">
        <v>3200</v>
      </c>
    </row>
    <row r="332" customFormat="false" ht="15" hidden="false" customHeight="false" outlineLevel="0" collapsed="false">
      <c r="A332" s="138" t="s">
        <v>3401</v>
      </c>
      <c r="B332" s="138" t="n">
        <v>554.75</v>
      </c>
      <c r="C332" s="138" t="s">
        <v>3163</v>
      </c>
      <c r="D332" s="138" t="s">
        <v>2380</v>
      </c>
      <c r="E332" s="138" t="s">
        <v>59</v>
      </c>
      <c r="F332" s="138" t="n">
        <v>1</v>
      </c>
      <c r="G332" s="141" t="n">
        <v>14.21</v>
      </c>
      <c r="H332" s="141"/>
      <c r="I332" s="141"/>
      <c r="J332" s="141"/>
      <c r="K332" s="141"/>
      <c r="L332" s="141"/>
      <c r="M332" s="141"/>
      <c r="N332" s="141"/>
      <c r="O332" s="138" t="s">
        <v>3164</v>
      </c>
    </row>
    <row r="333" customFormat="false" ht="15" hidden="false" customHeight="false" outlineLevel="0" collapsed="false">
      <c r="A333" s="138" t="s">
        <v>3402</v>
      </c>
      <c r="B333" s="138" t="n">
        <v>555.737</v>
      </c>
      <c r="C333" s="138" t="s">
        <v>3163</v>
      </c>
      <c r="D333" s="138" t="s">
        <v>2380</v>
      </c>
      <c r="E333" s="138" t="s">
        <v>59</v>
      </c>
      <c r="F333" s="138" t="n">
        <v>1</v>
      </c>
      <c r="G333" s="141" t="n">
        <v>14.01</v>
      </c>
      <c r="H333" s="141"/>
      <c r="I333" s="141"/>
      <c r="J333" s="141"/>
      <c r="K333" s="141"/>
      <c r="L333" s="141"/>
      <c r="M333" s="141"/>
      <c r="N333" s="141"/>
      <c r="O333" s="138" t="s">
        <v>3164</v>
      </c>
    </row>
    <row r="334" customFormat="false" ht="15" hidden="false" customHeight="false" outlineLevel="0" collapsed="false">
      <c r="A334" s="138" t="s">
        <v>3403</v>
      </c>
      <c r="B334" s="138" t="n">
        <v>556.728</v>
      </c>
      <c r="C334" s="138" t="s">
        <v>3163</v>
      </c>
      <c r="D334" s="138" t="s">
        <v>2380</v>
      </c>
      <c r="E334" s="138" t="s">
        <v>59</v>
      </c>
      <c r="F334" s="138" t="n">
        <v>1</v>
      </c>
      <c r="G334" s="141" t="n">
        <v>13.9</v>
      </c>
      <c r="H334" s="141"/>
      <c r="I334" s="141"/>
      <c r="J334" s="141"/>
      <c r="K334" s="141"/>
      <c r="L334" s="141"/>
      <c r="M334" s="141"/>
      <c r="N334" s="141"/>
      <c r="O334" s="138" t="s">
        <v>3164</v>
      </c>
    </row>
    <row r="335" customFormat="false" ht="15" hidden="false" customHeight="false" outlineLevel="0" collapsed="false">
      <c r="A335" s="138" t="s">
        <v>3404</v>
      </c>
      <c r="B335" s="138" t="n">
        <v>558.4305</v>
      </c>
      <c r="C335" s="138" t="s">
        <v>3169</v>
      </c>
      <c r="D335" s="138" t="s">
        <v>3170</v>
      </c>
      <c r="E335" s="138" t="s">
        <v>59</v>
      </c>
      <c r="F335" s="138" t="n">
        <v>1</v>
      </c>
      <c r="G335" s="141"/>
      <c r="H335" s="141"/>
      <c r="I335" s="141"/>
      <c r="J335" s="141"/>
      <c r="K335" s="141"/>
      <c r="L335" s="141"/>
      <c r="M335" s="141"/>
      <c r="N335" s="141"/>
      <c r="O335" s="138" t="s">
        <v>3171</v>
      </c>
    </row>
    <row r="336" customFormat="false" ht="15" hidden="false" customHeight="false" outlineLevel="0" collapsed="false">
      <c r="A336" s="138" t="s">
        <v>3405</v>
      </c>
      <c r="B336" s="138" t="n">
        <v>558.7015</v>
      </c>
      <c r="C336" s="138" t="s">
        <v>3169</v>
      </c>
      <c r="D336" s="138" t="s">
        <v>3170</v>
      </c>
      <c r="E336" s="138" t="s">
        <v>60</v>
      </c>
      <c r="F336" s="138" t="n">
        <v>1</v>
      </c>
      <c r="G336" s="141"/>
      <c r="H336" s="141"/>
      <c r="I336" s="141"/>
      <c r="J336" s="141"/>
      <c r="K336" s="141"/>
      <c r="L336" s="141"/>
      <c r="M336" s="141"/>
      <c r="N336" s="141"/>
      <c r="O336" s="138" t="s">
        <v>3171</v>
      </c>
    </row>
    <row r="337" customFormat="false" ht="15" hidden="false" customHeight="false" outlineLevel="0" collapsed="false">
      <c r="A337" s="138" t="s">
        <v>3406</v>
      </c>
      <c r="B337" s="138" t="n">
        <v>560.3785</v>
      </c>
      <c r="C337" s="138" t="s">
        <v>3213</v>
      </c>
      <c r="D337" s="138" t="s">
        <v>3174</v>
      </c>
      <c r="E337" s="138"/>
      <c r="F337" s="138" t="n">
        <v>1</v>
      </c>
      <c r="G337" s="141" t="n">
        <v>18.09</v>
      </c>
      <c r="H337" s="141" t="n">
        <v>0</v>
      </c>
      <c r="I337" s="141" t="n">
        <v>119.99</v>
      </c>
      <c r="J337" s="141" t="n">
        <v>0</v>
      </c>
      <c r="K337" s="141" t="n">
        <v>0</v>
      </c>
      <c r="L337" s="141"/>
      <c r="M337" s="141"/>
      <c r="N337" s="141"/>
      <c r="O337" s="138" t="s">
        <v>3175</v>
      </c>
    </row>
    <row r="338" customFormat="false" ht="15" hidden="false" customHeight="false" outlineLevel="0" collapsed="false">
      <c r="A338" s="138" t="s">
        <v>2961</v>
      </c>
      <c r="B338" s="138" t="n">
        <v>561.744</v>
      </c>
      <c r="C338" s="138" t="s">
        <v>3163</v>
      </c>
      <c r="D338" s="138" t="s">
        <v>2380</v>
      </c>
      <c r="E338" s="138" t="s">
        <v>59</v>
      </c>
      <c r="F338" s="138" t="n">
        <v>1</v>
      </c>
      <c r="G338" s="141" t="n">
        <v>14.1</v>
      </c>
      <c r="H338" s="141"/>
      <c r="I338" s="141"/>
      <c r="J338" s="141"/>
      <c r="K338" s="141"/>
      <c r="L338" s="141"/>
      <c r="M338" s="141"/>
      <c r="N338" s="141"/>
      <c r="O338" s="138" t="s">
        <v>3164</v>
      </c>
    </row>
    <row r="339" customFormat="false" ht="15" hidden="false" customHeight="false" outlineLevel="0" collapsed="false">
      <c r="A339" s="138" t="s">
        <v>3407</v>
      </c>
      <c r="B339" s="138" t="n">
        <v>562.7375</v>
      </c>
      <c r="C339" s="138" t="s">
        <v>3163</v>
      </c>
      <c r="D339" s="138" t="s">
        <v>2380</v>
      </c>
      <c r="E339" s="138" t="s">
        <v>60</v>
      </c>
      <c r="F339" s="138" t="n">
        <v>1</v>
      </c>
      <c r="G339" s="141" t="n">
        <v>13.84</v>
      </c>
      <c r="H339" s="141"/>
      <c r="I339" s="141"/>
      <c r="J339" s="141"/>
      <c r="K339" s="141"/>
      <c r="L339" s="141"/>
      <c r="M339" s="141"/>
      <c r="N339" s="141"/>
      <c r="O339" s="138" t="s">
        <v>3164</v>
      </c>
    </row>
    <row r="340" customFormat="false" ht="15" hidden="false" customHeight="false" outlineLevel="0" collapsed="false">
      <c r="A340" s="138" t="s">
        <v>3408</v>
      </c>
      <c r="B340" s="138" t="n">
        <v>563.751</v>
      </c>
      <c r="C340" s="138" t="s">
        <v>3163</v>
      </c>
      <c r="D340" s="138" t="s">
        <v>2380</v>
      </c>
      <c r="E340" s="138" t="s">
        <v>60</v>
      </c>
      <c r="F340" s="138" t="n">
        <v>1</v>
      </c>
      <c r="G340" s="141" t="n">
        <v>14.27</v>
      </c>
      <c r="H340" s="141"/>
      <c r="I340" s="141"/>
      <c r="J340" s="141"/>
      <c r="K340" s="141"/>
      <c r="L340" s="141"/>
      <c r="M340" s="141"/>
      <c r="N340" s="141"/>
      <c r="O340" s="138" t="s">
        <v>3164</v>
      </c>
    </row>
    <row r="341" customFormat="false" ht="15" hidden="false" customHeight="false" outlineLevel="0" collapsed="false">
      <c r="A341" s="138" t="s">
        <v>2236</v>
      </c>
      <c r="B341" s="138" t="n">
        <v>564</v>
      </c>
      <c r="C341" s="138" t="s">
        <v>3169</v>
      </c>
      <c r="D341" s="138" t="s">
        <v>3170</v>
      </c>
      <c r="E341" s="138" t="s">
        <v>60</v>
      </c>
      <c r="F341" s="138" t="n">
        <v>1</v>
      </c>
      <c r="G341" s="141"/>
      <c r="H341" s="141"/>
      <c r="I341" s="141"/>
      <c r="J341" s="141"/>
      <c r="K341" s="141"/>
      <c r="L341" s="141"/>
      <c r="M341" s="141"/>
      <c r="N341" s="141"/>
      <c r="O341" s="138" t="s">
        <v>3171</v>
      </c>
    </row>
    <row r="342" customFormat="false" ht="15" hidden="false" customHeight="false" outlineLevel="0" collapsed="false">
      <c r="A342" s="138" t="s">
        <v>3409</v>
      </c>
      <c r="B342" s="138" t="n">
        <v>564.0575</v>
      </c>
      <c r="C342" s="138" t="s">
        <v>3169</v>
      </c>
      <c r="D342" s="138" t="s">
        <v>3170</v>
      </c>
      <c r="E342" s="138" t="s">
        <v>59</v>
      </c>
      <c r="F342" s="138" t="n">
        <v>1</v>
      </c>
      <c r="G342" s="141"/>
      <c r="H342" s="141"/>
      <c r="I342" s="141"/>
      <c r="J342" s="141"/>
      <c r="K342" s="141"/>
      <c r="L342" s="141"/>
      <c r="M342" s="141"/>
      <c r="N342" s="141"/>
      <c r="O342" s="138" t="s">
        <v>3171</v>
      </c>
    </row>
    <row r="343" customFormat="false" ht="15" hidden="false" customHeight="false" outlineLevel="0" collapsed="false">
      <c r="A343" s="138" t="s">
        <v>2965</v>
      </c>
      <c r="B343" s="138" t="n">
        <v>568.268</v>
      </c>
      <c r="C343" s="138" t="s">
        <v>3222</v>
      </c>
      <c r="D343" s="138" t="s">
        <v>3207</v>
      </c>
      <c r="E343" s="138" t="s">
        <v>59</v>
      </c>
      <c r="F343" s="138" t="n">
        <v>1</v>
      </c>
      <c r="G343" s="141"/>
      <c r="H343" s="141"/>
      <c r="I343" s="141"/>
      <c r="J343" s="141"/>
      <c r="K343" s="141"/>
      <c r="L343" s="141"/>
      <c r="M343" s="141"/>
      <c r="N343" s="141"/>
      <c r="O343" s="138" t="s">
        <v>3208</v>
      </c>
    </row>
    <row r="344" customFormat="false" ht="15" hidden="false" customHeight="false" outlineLevel="0" collapsed="false">
      <c r="A344" s="138" t="s">
        <v>2965</v>
      </c>
      <c r="B344" s="138" t="n">
        <v>568.268</v>
      </c>
      <c r="C344" s="138" t="s">
        <v>3209</v>
      </c>
      <c r="D344" s="138" t="s">
        <v>3199</v>
      </c>
      <c r="E344" s="138" t="s">
        <v>59</v>
      </c>
      <c r="F344" s="138" t="n">
        <v>1</v>
      </c>
      <c r="G344" s="141" t="n">
        <v>4.5</v>
      </c>
      <c r="H344" s="141"/>
      <c r="I344" s="141"/>
      <c r="J344" s="141"/>
      <c r="K344" s="141"/>
      <c r="L344" s="141"/>
      <c r="M344" s="141"/>
      <c r="N344" s="141"/>
      <c r="O344" s="138" t="s">
        <v>3200</v>
      </c>
    </row>
    <row r="345" customFormat="false" ht="15" hidden="false" customHeight="false" outlineLevel="0" collapsed="false">
      <c r="A345" s="138" t="s">
        <v>2965</v>
      </c>
      <c r="B345" s="138" t="n">
        <v>568.268</v>
      </c>
      <c r="C345" s="138" t="s">
        <v>3221</v>
      </c>
      <c r="D345" s="138" t="s">
        <v>3195</v>
      </c>
      <c r="E345" s="138" t="s">
        <v>59</v>
      </c>
      <c r="F345" s="138" t="n">
        <v>1</v>
      </c>
      <c r="G345" s="141"/>
      <c r="H345" s="141"/>
      <c r="I345" s="141"/>
      <c r="J345" s="141"/>
      <c r="K345" s="141"/>
      <c r="L345" s="141"/>
      <c r="M345" s="141"/>
      <c r="N345" s="141"/>
      <c r="O345" s="138" t="s">
        <v>3196</v>
      </c>
    </row>
    <row r="346" customFormat="false" ht="15" hidden="false" customHeight="false" outlineLevel="0" collapsed="false">
      <c r="A346" s="138" t="s">
        <v>3410</v>
      </c>
      <c r="B346" s="138" t="n">
        <v>568.538</v>
      </c>
      <c r="C346" s="138" t="s">
        <v>3181</v>
      </c>
      <c r="D346" s="138" t="s">
        <v>3174</v>
      </c>
      <c r="E346" s="138" t="s">
        <v>60</v>
      </c>
      <c r="F346" s="138" t="n">
        <v>1</v>
      </c>
      <c r="G346" s="141"/>
      <c r="H346" s="141"/>
      <c r="I346" s="141"/>
      <c r="J346" s="141"/>
      <c r="K346" s="141"/>
      <c r="L346" s="141"/>
      <c r="M346" s="141"/>
      <c r="N346" s="141"/>
      <c r="O346" s="138" t="s">
        <v>3411</v>
      </c>
    </row>
    <row r="347" customFormat="false" ht="15" hidden="false" customHeight="false" outlineLevel="0" collapsed="false">
      <c r="A347" s="138" t="s">
        <v>3412</v>
      </c>
      <c r="B347" s="138" t="n">
        <v>568.714</v>
      </c>
      <c r="C347" s="138" t="s">
        <v>3325</v>
      </c>
      <c r="D347" s="138" t="s">
        <v>3326</v>
      </c>
      <c r="E347" s="138"/>
      <c r="F347" s="138" t="n">
        <v>1</v>
      </c>
      <c r="G347" s="141" t="n">
        <v>22.66</v>
      </c>
      <c r="H347" s="141" t="n">
        <v>194.28</v>
      </c>
      <c r="I347" s="141" t="n">
        <v>525.55</v>
      </c>
      <c r="J347" s="141" t="n">
        <v>0</v>
      </c>
      <c r="K347" s="141" t="n">
        <v>0</v>
      </c>
      <c r="L347" s="141"/>
      <c r="M347" s="141"/>
      <c r="N347" s="141"/>
      <c r="O347" s="138" t="s">
        <v>3175</v>
      </c>
    </row>
    <row r="348" customFormat="false" ht="15" hidden="false" customHeight="false" outlineLevel="0" collapsed="false">
      <c r="A348" s="138" t="s">
        <v>3412</v>
      </c>
      <c r="B348" s="138" t="n">
        <v>568.714</v>
      </c>
      <c r="C348" s="138" t="s">
        <v>395</v>
      </c>
      <c r="D348" s="138" t="s">
        <v>3176</v>
      </c>
      <c r="E348" s="138" t="s">
        <v>60</v>
      </c>
      <c r="F348" s="138" t="n">
        <v>1</v>
      </c>
      <c r="G348" s="141"/>
      <c r="H348" s="141" t="n">
        <v>164.04</v>
      </c>
      <c r="I348" s="141"/>
      <c r="J348" s="141"/>
      <c r="K348" s="141"/>
      <c r="L348" s="141"/>
      <c r="M348" s="141" t="n">
        <v>127.02</v>
      </c>
      <c r="N348" s="141"/>
      <c r="O348" s="138" t="s">
        <v>3177</v>
      </c>
    </row>
    <row r="349" customFormat="false" ht="15" hidden="false" customHeight="false" outlineLevel="0" collapsed="false">
      <c r="A349" s="138" t="s">
        <v>2966</v>
      </c>
      <c r="B349" s="138" t="n">
        <v>568.9265</v>
      </c>
      <c r="C349" s="138" t="s">
        <v>3297</v>
      </c>
      <c r="D349" s="138" t="s">
        <v>3195</v>
      </c>
      <c r="E349" s="138" t="s">
        <v>59</v>
      </c>
      <c r="F349" s="138" t="n">
        <v>1</v>
      </c>
      <c r="G349" s="141"/>
      <c r="H349" s="141"/>
      <c r="I349" s="141"/>
      <c r="J349" s="141"/>
      <c r="K349" s="141"/>
      <c r="L349" s="141"/>
      <c r="M349" s="141"/>
      <c r="N349" s="141"/>
      <c r="O349" s="138" t="s">
        <v>3196</v>
      </c>
    </row>
    <row r="350" customFormat="false" ht="15" hidden="false" customHeight="false" outlineLevel="0" collapsed="false">
      <c r="A350" s="138" t="s">
        <v>2972</v>
      </c>
      <c r="B350" s="138" t="n">
        <v>576.244</v>
      </c>
      <c r="C350" s="138" t="s">
        <v>3163</v>
      </c>
      <c r="D350" s="138" t="s">
        <v>2380</v>
      </c>
      <c r="E350" s="138" t="s">
        <v>59</v>
      </c>
      <c r="F350" s="138" t="n">
        <v>1</v>
      </c>
      <c r="G350" s="141" t="n">
        <v>14.01</v>
      </c>
      <c r="H350" s="141"/>
      <c r="I350" s="141"/>
      <c r="J350" s="141"/>
      <c r="K350" s="141"/>
      <c r="L350" s="141"/>
      <c r="M350" s="141"/>
      <c r="N350" s="141"/>
      <c r="O350" s="138" t="s">
        <v>3164</v>
      </c>
    </row>
    <row r="351" customFormat="false" ht="15" hidden="false" customHeight="false" outlineLevel="0" collapsed="false">
      <c r="A351" s="138" t="s">
        <v>3413</v>
      </c>
      <c r="B351" s="138" t="n">
        <v>577.241</v>
      </c>
      <c r="C351" s="138" t="s">
        <v>3163</v>
      </c>
      <c r="D351" s="138" t="s">
        <v>2380</v>
      </c>
      <c r="E351" s="138" t="s">
        <v>60</v>
      </c>
      <c r="F351" s="138" t="n">
        <v>1</v>
      </c>
      <c r="G351" s="141" t="n">
        <v>14.14</v>
      </c>
      <c r="H351" s="141"/>
      <c r="I351" s="141"/>
      <c r="J351" s="141"/>
      <c r="K351" s="141"/>
      <c r="L351" s="141"/>
      <c r="M351" s="141"/>
      <c r="N351" s="141"/>
      <c r="O351" s="138" t="s">
        <v>3164</v>
      </c>
    </row>
    <row r="352" customFormat="false" ht="15" hidden="false" customHeight="false" outlineLevel="0" collapsed="false">
      <c r="A352" s="138" t="s">
        <v>3414</v>
      </c>
      <c r="B352" s="138" t="n">
        <v>578.2475</v>
      </c>
      <c r="C352" s="138" t="s">
        <v>3163</v>
      </c>
      <c r="D352" s="138" t="s">
        <v>2380</v>
      </c>
      <c r="E352" s="138" t="s">
        <v>60</v>
      </c>
      <c r="F352" s="138" t="n">
        <v>1</v>
      </c>
      <c r="G352" s="141" t="n">
        <v>14.17</v>
      </c>
      <c r="H352" s="141"/>
      <c r="I352" s="141"/>
      <c r="J352" s="141"/>
      <c r="K352" s="141"/>
      <c r="L352" s="141"/>
      <c r="M352" s="141"/>
      <c r="N352" s="141"/>
      <c r="O352" s="138" t="s">
        <v>3164</v>
      </c>
    </row>
    <row r="353" customFormat="false" ht="15" hidden="false" customHeight="false" outlineLevel="0" collapsed="false">
      <c r="A353" s="138" t="s">
        <v>3415</v>
      </c>
      <c r="B353" s="138" t="n">
        <v>579.2435</v>
      </c>
      <c r="C353" s="138" t="s">
        <v>3163</v>
      </c>
      <c r="D353" s="138" t="s">
        <v>2380</v>
      </c>
      <c r="E353" s="138" t="s">
        <v>60</v>
      </c>
      <c r="F353" s="138" t="n">
        <v>1</v>
      </c>
      <c r="G353" s="141" t="n">
        <v>14.05</v>
      </c>
      <c r="H353" s="141"/>
      <c r="I353" s="141"/>
      <c r="J353" s="141"/>
      <c r="K353" s="141"/>
      <c r="L353" s="141"/>
      <c r="M353" s="141"/>
      <c r="N353" s="141"/>
      <c r="O353" s="138" t="s">
        <v>3164</v>
      </c>
    </row>
    <row r="354" customFormat="false" ht="15" hidden="false" customHeight="false" outlineLevel="0" collapsed="false">
      <c r="A354" s="138" t="s">
        <v>3416</v>
      </c>
      <c r="B354" s="138" t="n">
        <v>579.599</v>
      </c>
      <c r="C354" s="138" t="s">
        <v>3169</v>
      </c>
      <c r="D354" s="138" t="s">
        <v>3170</v>
      </c>
      <c r="E354" s="138" t="s">
        <v>59</v>
      </c>
      <c r="F354" s="138" t="n">
        <v>1</v>
      </c>
      <c r="G354" s="141"/>
      <c r="H354" s="141"/>
      <c r="I354" s="141"/>
      <c r="J354" s="141"/>
      <c r="K354" s="141"/>
      <c r="L354" s="141"/>
      <c r="M354" s="141"/>
      <c r="N354" s="141"/>
      <c r="O354" s="138" t="s">
        <v>3171</v>
      </c>
    </row>
    <row r="355" customFormat="false" ht="15" hidden="false" customHeight="false" outlineLevel="0" collapsed="false">
      <c r="A355" s="138" t="s">
        <v>3417</v>
      </c>
      <c r="B355" s="138" t="n">
        <v>579.6</v>
      </c>
      <c r="C355" s="138" t="s">
        <v>3169</v>
      </c>
      <c r="D355" s="138" t="s">
        <v>3170</v>
      </c>
      <c r="E355" s="138" t="s">
        <v>60</v>
      </c>
      <c r="F355" s="138" t="n">
        <v>1</v>
      </c>
      <c r="G355" s="141"/>
      <c r="H355" s="141"/>
      <c r="I355" s="141"/>
      <c r="J355" s="141"/>
      <c r="K355" s="141"/>
      <c r="L355" s="141"/>
      <c r="M355" s="141"/>
      <c r="N355" s="141"/>
      <c r="O355" s="138" t="s">
        <v>3171</v>
      </c>
    </row>
    <row r="356" customFormat="false" ht="15" hidden="false" customHeight="false" outlineLevel="0" collapsed="false">
      <c r="A356" s="138" t="s">
        <v>3418</v>
      </c>
      <c r="B356" s="138" t="n">
        <v>579.8445</v>
      </c>
      <c r="C356" s="138" t="s">
        <v>3181</v>
      </c>
      <c r="D356" s="138" t="s">
        <v>3174</v>
      </c>
      <c r="E356" s="138" t="s">
        <v>60</v>
      </c>
      <c r="F356" s="138" t="n">
        <v>1</v>
      </c>
      <c r="G356" s="141"/>
      <c r="H356" s="141"/>
      <c r="I356" s="141"/>
      <c r="J356" s="141"/>
      <c r="K356" s="141"/>
      <c r="L356" s="141"/>
      <c r="M356" s="141"/>
      <c r="N356" s="141"/>
      <c r="O356" s="138" t="s">
        <v>3411</v>
      </c>
    </row>
    <row r="357" customFormat="false" ht="15" hidden="false" customHeight="false" outlineLevel="0" collapsed="false">
      <c r="A357" s="138" t="s">
        <v>3419</v>
      </c>
      <c r="B357" s="138" t="n">
        <v>580.0575</v>
      </c>
      <c r="C357" s="138" t="s">
        <v>3173</v>
      </c>
      <c r="D357" s="138" t="s">
        <v>3174</v>
      </c>
      <c r="E357" s="138"/>
      <c r="F357" s="138" t="n">
        <v>1</v>
      </c>
      <c r="G357" s="141" t="n">
        <v>17.96</v>
      </c>
      <c r="H357" s="141" t="n">
        <v>99.46</v>
      </c>
      <c r="I357" s="141" t="n">
        <v>248.77</v>
      </c>
      <c r="J357" s="141" t="n">
        <v>0</v>
      </c>
      <c r="K357" s="141" t="n">
        <v>0</v>
      </c>
      <c r="L357" s="141"/>
      <c r="M357" s="141"/>
      <c r="N357" s="141"/>
      <c r="O357" s="138" t="s">
        <v>3175</v>
      </c>
    </row>
    <row r="358" customFormat="false" ht="15" hidden="false" customHeight="false" outlineLevel="0" collapsed="false">
      <c r="A358" s="138" t="s">
        <v>3419</v>
      </c>
      <c r="B358" s="138" t="n">
        <v>580.0575</v>
      </c>
      <c r="C358" s="138" t="s">
        <v>395</v>
      </c>
      <c r="D358" s="138" t="s">
        <v>3176</v>
      </c>
      <c r="E358" s="138" t="s">
        <v>60</v>
      </c>
      <c r="F358" s="138" t="n">
        <v>1</v>
      </c>
      <c r="G358" s="141"/>
      <c r="H358" s="141" t="n">
        <v>73.12</v>
      </c>
      <c r="I358" s="141"/>
      <c r="J358" s="141"/>
      <c r="K358" s="141"/>
      <c r="L358" s="141"/>
      <c r="M358" s="141" t="n">
        <v>71.64</v>
      </c>
      <c r="N358" s="141"/>
      <c r="O358" s="138" t="s">
        <v>3177</v>
      </c>
    </row>
    <row r="359" customFormat="false" ht="15" hidden="false" customHeight="false" outlineLevel="0" collapsed="false">
      <c r="A359" s="138" t="s">
        <v>3419</v>
      </c>
      <c r="B359" s="138" t="n">
        <v>580.0575</v>
      </c>
      <c r="C359" s="138" t="s">
        <v>391</v>
      </c>
      <c r="D359" s="138" t="s">
        <v>3178</v>
      </c>
      <c r="E359" s="138" t="s">
        <v>59</v>
      </c>
      <c r="F359" s="138" t="n">
        <v>1</v>
      </c>
      <c r="G359" s="141"/>
      <c r="H359" s="141" t="n">
        <v>84.05</v>
      </c>
      <c r="I359" s="141"/>
      <c r="J359" s="141"/>
      <c r="K359" s="141"/>
      <c r="L359" s="141" t="n">
        <v>16.44</v>
      </c>
      <c r="M359" s="141"/>
      <c r="N359" s="141" t="n">
        <v>9</v>
      </c>
      <c r="O359" s="138" t="s">
        <v>3179</v>
      </c>
    </row>
    <row r="360" customFormat="false" ht="15" hidden="false" customHeight="false" outlineLevel="0" collapsed="false">
      <c r="A360" s="138" t="s">
        <v>2984</v>
      </c>
      <c r="B360" s="138" t="n">
        <v>590.809</v>
      </c>
      <c r="C360" s="138" t="s">
        <v>3194</v>
      </c>
      <c r="D360" s="138" t="s">
        <v>3195</v>
      </c>
      <c r="E360" s="138" t="s">
        <v>59</v>
      </c>
      <c r="F360" s="138" t="n">
        <v>1</v>
      </c>
      <c r="G360" s="141"/>
      <c r="H360" s="141"/>
      <c r="I360" s="141"/>
      <c r="J360" s="141"/>
      <c r="K360" s="141"/>
      <c r="L360" s="141"/>
      <c r="M360" s="141"/>
      <c r="N360" s="141"/>
      <c r="O360" s="138" t="s">
        <v>3196</v>
      </c>
    </row>
    <row r="361" customFormat="false" ht="15" hidden="false" customHeight="false" outlineLevel="0" collapsed="false">
      <c r="A361" s="138" t="s">
        <v>2986</v>
      </c>
      <c r="B361" s="138" t="n">
        <v>591.461</v>
      </c>
      <c r="C361" s="138" t="s">
        <v>3297</v>
      </c>
      <c r="D361" s="138" t="s">
        <v>3195</v>
      </c>
      <c r="E361" s="138" t="s">
        <v>60</v>
      </c>
      <c r="F361" s="138" t="n">
        <v>1</v>
      </c>
      <c r="G361" s="141"/>
      <c r="H361" s="141"/>
      <c r="I361" s="141"/>
      <c r="J361" s="141"/>
      <c r="K361" s="141"/>
      <c r="L361" s="141"/>
      <c r="M361" s="141"/>
      <c r="N361" s="141"/>
      <c r="O361" s="138" t="s">
        <v>3196</v>
      </c>
    </row>
    <row r="362" customFormat="false" ht="15" hidden="false" customHeight="false" outlineLevel="0" collapsed="false">
      <c r="A362" s="138" t="s">
        <v>3420</v>
      </c>
      <c r="B362" s="138" t="n">
        <v>591.7715</v>
      </c>
      <c r="C362" s="138" t="s">
        <v>3181</v>
      </c>
      <c r="D362" s="138" t="s">
        <v>3174</v>
      </c>
      <c r="E362" s="138" t="s">
        <v>59</v>
      </c>
      <c r="F362" s="138" t="n">
        <v>1</v>
      </c>
      <c r="G362" s="141"/>
      <c r="H362" s="141"/>
      <c r="I362" s="141"/>
      <c r="J362" s="141"/>
      <c r="K362" s="141"/>
      <c r="L362" s="141"/>
      <c r="M362" s="141"/>
      <c r="N362" s="141"/>
      <c r="O362" s="138" t="s">
        <v>3421</v>
      </c>
    </row>
    <row r="363" customFormat="false" ht="15" hidden="false" customHeight="false" outlineLevel="0" collapsed="false">
      <c r="A363" s="138" t="s">
        <v>3422</v>
      </c>
      <c r="B363" s="138" t="n">
        <v>591.9405</v>
      </c>
      <c r="C363" s="138" t="s">
        <v>3423</v>
      </c>
      <c r="D363" s="138" t="s">
        <v>3326</v>
      </c>
      <c r="E363" s="138"/>
      <c r="F363" s="138" t="n">
        <v>1</v>
      </c>
      <c r="G363" s="141" t="n">
        <v>16.66</v>
      </c>
      <c r="H363" s="141" t="n">
        <v>203.16</v>
      </c>
      <c r="I363" s="141" t="n">
        <v>228.43</v>
      </c>
      <c r="J363" s="141" t="n">
        <v>0</v>
      </c>
      <c r="K363" s="141" t="n">
        <v>0</v>
      </c>
      <c r="L363" s="141"/>
      <c r="M363" s="141"/>
      <c r="N363" s="141"/>
      <c r="O363" s="138" t="s">
        <v>3175</v>
      </c>
    </row>
    <row r="364" customFormat="false" ht="15" hidden="false" customHeight="false" outlineLevel="0" collapsed="false">
      <c r="A364" s="138" t="s">
        <v>2265</v>
      </c>
      <c r="B364" s="138" t="n">
        <v>592</v>
      </c>
      <c r="C364" s="138" t="s">
        <v>393</v>
      </c>
      <c r="D364" s="138" t="s">
        <v>3176</v>
      </c>
      <c r="E364" s="138" t="s">
        <v>59</v>
      </c>
      <c r="F364" s="138" t="n">
        <v>1</v>
      </c>
      <c r="G364" s="141"/>
      <c r="H364" s="141" t="n">
        <v>118.86</v>
      </c>
      <c r="I364" s="141"/>
      <c r="J364" s="141"/>
      <c r="K364" s="141"/>
      <c r="L364" s="141"/>
      <c r="M364" s="141" t="n">
        <v>115.3</v>
      </c>
      <c r="N364" s="141"/>
      <c r="O364" s="138" t="s">
        <v>3177</v>
      </c>
    </row>
    <row r="365" customFormat="false" ht="15" hidden="false" customHeight="false" outlineLevel="0" collapsed="false">
      <c r="A365" s="138" t="s">
        <v>2265</v>
      </c>
      <c r="B365" s="138" t="n">
        <v>592</v>
      </c>
      <c r="C365" s="138" t="s">
        <v>395</v>
      </c>
      <c r="D365" s="138" t="s">
        <v>3176</v>
      </c>
      <c r="E365" s="138" t="s">
        <v>60</v>
      </c>
      <c r="F365" s="138" t="n">
        <v>1</v>
      </c>
      <c r="G365" s="141"/>
      <c r="H365" s="141" t="n">
        <v>77.6737</v>
      </c>
      <c r="I365" s="141"/>
      <c r="J365" s="141"/>
      <c r="K365" s="141"/>
      <c r="L365" s="141"/>
      <c r="M365" s="141" t="n">
        <v>75.3501385</v>
      </c>
      <c r="N365" s="141"/>
      <c r="O365" s="138" t="s">
        <v>3177</v>
      </c>
    </row>
    <row r="366" customFormat="false" ht="15" hidden="false" customHeight="false" outlineLevel="0" collapsed="false">
      <c r="A366" s="138" t="s">
        <v>2991</v>
      </c>
      <c r="B366" s="138" t="n">
        <v>597.2455</v>
      </c>
      <c r="C366" s="138" t="s">
        <v>3163</v>
      </c>
      <c r="D366" s="138" t="s">
        <v>2380</v>
      </c>
      <c r="E366" s="138" t="s">
        <v>59</v>
      </c>
      <c r="F366" s="138" t="n">
        <v>1</v>
      </c>
      <c r="G366" s="141" t="n">
        <v>14.1</v>
      </c>
      <c r="H366" s="141"/>
      <c r="I366" s="141"/>
      <c r="J366" s="141"/>
      <c r="K366" s="141"/>
      <c r="L366" s="141"/>
      <c r="M366" s="141"/>
      <c r="N366" s="141"/>
      <c r="O366" s="138" t="s">
        <v>3164</v>
      </c>
    </row>
    <row r="367" customFormat="false" ht="15" hidden="false" customHeight="false" outlineLevel="0" collapsed="false">
      <c r="A367" s="138" t="s">
        <v>2995</v>
      </c>
      <c r="B367" s="138" t="n">
        <v>597.7365</v>
      </c>
      <c r="C367" s="138" t="s">
        <v>3424</v>
      </c>
      <c r="D367" s="138" t="s">
        <v>3425</v>
      </c>
      <c r="E367" s="138"/>
      <c r="F367" s="138" t="n">
        <v>1</v>
      </c>
      <c r="G367" s="141"/>
      <c r="H367" s="141"/>
      <c r="I367" s="141"/>
      <c r="J367" s="141"/>
      <c r="K367" s="141"/>
      <c r="L367" s="141"/>
      <c r="M367" s="141"/>
      <c r="N367" s="141"/>
      <c r="O367" s="138" t="s">
        <v>3426</v>
      </c>
    </row>
    <row r="368" customFormat="false" ht="15" hidden="false" customHeight="false" outlineLevel="0" collapsed="false">
      <c r="A368" s="138" t="s">
        <v>3001</v>
      </c>
      <c r="B368" s="138" t="n">
        <v>597.7715</v>
      </c>
      <c r="C368" s="138" t="s">
        <v>3424</v>
      </c>
      <c r="D368" s="138" t="s">
        <v>3425</v>
      </c>
      <c r="E368" s="138"/>
      <c r="F368" s="138" t="n">
        <v>1</v>
      </c>
      <c r="G368" s="141"/>
      <c r="H368" s="141"/>
      <c r="I368" s="141"/>
      <c r="J368" s="141"/>
      <c r="K368" s="141"/>
      <c r="L368" s="141"/>
      <c r="M368" s="141"/>
      <c r="N368" s="141"/>
      <c r="O368" s="138" t="s">
        <v>3426</v>
      </c>
    </row>
    <row r="369" customFormat="false" ht="15" hidden="false" customHeight="false" outlineLevel="0" collapsed="false">
      <c r="A369" s="138" t="s">
        <v>3427</v>
      </c>
      <c r="B369" s="138" t="n">
        <v>598.237</v>
      </c>
      <c r="C369" s="138" t="s">
        <v>3163</v>
      </c>
      <c r="D369" s="138" t="s">
        <v>2380</v>
      </c>
      <c r="E369" s="138" t="s">
        <v>60</v>
      </c>
      <c r="F369" s="138" t="n">
        <v>1</v>
      </c>
      <c r="G369" s="141" t="n">
        <v>14.05</v>
      </c>
      <c r="H369" s="141"/>
      <c r="I369" s="141"/>
      <c r="J369" s="141"/>
      <c r="K369" s="141"/>
      <c r="L369" s="141"/>
      <c r="M369" s="141"/>
      <c r="N369" s="141"/>
      <c r="O369" s="138" t="s">
        <v>3164</v>
      </c>
    </row>
    <row r="370" customFormat="false" ht="15" hidden="false" customHeight="false" outlineLevel="0" collapsed="false">
      <c r="A370" s="138" t="s">
        <v>3428</v>
      </c>
      <c r="B370" s="138" t="n">
        <v>599.245</v>
      </c>
      <c r="C370" s="138" t="s">
        <v>3163</v>
      </c>
      <c r="D370" s="138" t="s">
        <v>2380</v>
      </c>
      <c r="E370" s="138" t="s">
        <v>60</v>
      </c>
      <c r="F370" s="138" t="n">
        <v>1</v>
      </c>
      <c r="G370" s="141" t="n">
        <v>14.12</v>
      </c>
      <c r="H370" s="141"/>
      <c r="I370" s="141"/>
      <c r="J370" s="141"/>
      <c r="K370" s="141"/>
      <c r="L370" s="141"/>
      <c r="M370" s="141"/>
      <c r="N370" s="141"/>
      <c r="O370" s="138" t="s">
        <v>3164</v>
      </c>
    </row>
    <row r="371" customFormat="false" ht="15" hidden="false" customHeight="false" outlineLevel="0" collapsed="false">
      <c r="A371" s="138" t="s">
        <v>3002</v>
      </c>
      <c r="B371" s="138" t="n">
        <v>601.3785</v>
      </c>
      <c r="C371" s="138" t="s">
        <v>3429</v>
      </c>
      <c r="D371" s="138" t="s">
        <v>3430</v>
      </c>
      <c r="E371" s="138"/>
      <c r="F371" s="138" t="n">
        <v>1</v>
      </c>
      <c r="G371" s="141"/>
      <c r="H371" s="141"/>
      <c r="I371" s="141"/>
      <c r="J371" s="141"/>
      <c r="K371" s="141"/>
      <c r="L371" s="141"/>
      <c r="M371" s="141"/>
      <c r="N371" s="141"/>
      <c r="O371" s="138" t="s">
        <v>3426</v>
      </c>
    </row>
    <row r="372" customFormat="false" ht="15" hidden="false" customHeight="false" outlineLevel="0" collapsed="false">
      <c r="A372" s="138" t="s">
        <v>3009</v>
      </c>
      <c r="B372" s="138" t="n">
        <v>601.4115</v>
      </c>
      <c r="C372" s="138" t="s">
        <v>3429</v>
      </c>
      <c r="D372" s="138" t="s">
        <v>3430</v>
      </c>
      <c r="E372" s="138"/>
      <c r="F372" s="138" t="n">
        <v>1</v>
      </c>
      <c r="G372" s="141"/>
      <c r="H372" s="141"/>
      <c r="I372" s="141"/>
      <c r="J372" s="141"/>
      <c r="K372" s="141"/>
      <c r="L372" s="141"/>
      <c r="M372" s="141"/>
      <c r="N372" s="141"/>
      <c r="O372" s="138" t="s">
        <v>3426</v>
      </c>
    </row>
    <row r="373" customFormat="false" ht="15" hidden="false" customHeight="false" outlineLevel="0" collapsed="false">
      <c r="A373" s="138" t="s">
        <v>3012</v>
      </c>
      <c r="B373" s="138" t="n">
        <v>601.433</v>
      </c>
      <c r="C373" s="138" t="s">
        <v>3429</v>
      </c>
      <c r="D373" s="138" t="s">
        <v>3430</v>
      </c>
      <c r="E373" s="138"/>
      <c r="F373" s="138" t="n">
        <v>1</v>
      </c>
      <c r="G373" s="141"/>
      <c r="H373" s="141"/>
      <c r="I373" s="141"/>
      <c r="J373" s="141"/>
      <c r="K373" s="141"/>
      <c r="L373" s="141"/>
      <c r="M373" s="141"/>
      <c r="N373" s="141"/>
      <c r="O373" s="138" t="s">
        <v>3426</v>
      </c>
    </row>
    <row r="374" customFormat="false" ht="15" hidden="false" customHeight="false" outlineLevel="0" collapsed="false">
      <c r="A374" s="138" t="s">
        <v>3010</v>
      </c>
      <c r="B374" s="138" t="n">
        <v>601.6015</v>
      </c>
      <c r="C374" s="138" t="s">
        <v>3424</v>
      </c>
      <c r="D374" s="138" t="s">
        <v>3425</v>
      </c>
      <c r="E374" s="138"/>
      <c r="F374" s="138" t="n">
        <v>1</v>
      </c>
      <c r="G374" s="141"/>
      <c r="H374" s="141"/>
      <c r="I374" s="141"/>
      <c r="J374" s="141"/>
      <c r="K374" s="141"/>
      <c r="L374" s="141"/>
      <c r="M374" s="141"/>
      <c r="N374" s="141"/>
      <c r="O374" s="138" t="s">
        <v>3426</v>
      </c>
    </row>
    <row r="375" customFormat="false" ht="15" hidden="false" customHeight="false" outlineLevel="0" collapsed="false">
      <c r="A375" s="138" t="s">
        <v>3013</v>
      </c>
      <c r="B375" s="138" t="n">
        <v>604.6315</v>
      </c>
      <c r="C375" s="138" t="s">
        <v>3429</v>
      </c>
      <c r="D375" s="138" t="s">
        <v>3430</v>
      </c>
      <c r="E375" s="138"/>
      <c r="F375" s="138" t="n">
        <v>1</v>
      </c>
      <c r="G375" s="141"/>
      <c r="H375" s="141"/>
      <c r="I375" s="141"/>
      <c r="J375" s="141"/>
      <c r="K375" s="141"/>
      <c r="L375" s="141"/>
      <c r="M375" s="141"/>
      <c r="N375" s="141"/>
      <c r="O375" s="138" t="s">
        <v>3426</v>
      </c>
    </row>
    <row r="376" customFormat="false" ht="15" hidden="false" customHeight="false" outlineLevel="0" collapsed="false">
      <c r="A376" s="138" t="s">
        <v>3015</v>
      </c>
      <c r="B376" s="138" t="n">
        <v>604.659</v>
      </c>
      <c r="C376" s="138" t="s">
        <v>3429</v>
      </c>
      <c r="D376" s="138" t="s">
        <v>3430</v>
      </c>
      <c r="E376" s="138"/>
      <c r="F376" s="138" t="n">
        <v>1</v>
      </c>
      <c r="G376" s="141"/>
      <c r="H376" s="141"/>
      <c r="I376" s="141"/>
      <c r="J376" s="141"/>
      <c r="K376" s="141"/>
      <c r="L376" s="141"/>
      <c r="M376" s="141"/>
      <c r="N376" s="141"/>
      <c r="O376" s="138" t="s">
        <v>3426</v>
      </c>
    </row>
    <row r="377" customFormat="false" ht="15" hidden="false" customHeight="false" outlineLevel="0" collapsed="false">
      <c r="A377" s="138" t="s">
        <v>3022</v>
      </c>
      <c r="B377" s="138" t="n">
        <v>604.6865</v>
      </c>
      <c r="C377" s="138" t="s">
        <v>3429</v>
      </c>
      <c r="D377" s="138" t="s">
        <v>3430</v>
      </c>
      <c r="E377" s="138"/>
      <c r="F377" s="138" t="n">
        <v>1</v>
      </c>
      <c r="G377" s="141"/>
      <c r="H377" s="141"/>
      <c r="I377" s="141"/>
      <c r="J377" s="141"/>
      <c r="K377" s="141"/>
      <c r="L377" s="141"/>
      <c r="M377" s="141"/>
      <c r="N377" s="141"/>
      <c r="O377" s="138" t="s">
        <v>3426</v>
      </c>
    </row>
    <row r="378" customFormat="false" ht="15" hidden="false" customHeight="false" outlineLevel="0" collapsed="false">
      <c r="A378" s="138" t="s">
        <v>2280</v>
      </c>
      <c r="B378" s="138" t="n">
        <v>608</v>
      </c>
      <c r="C378" s="138" t="s">
        <v>3429</v>
      </c>
      <c r="D378" s="138" t="s">
        <v>3430</v>
      </c>
      <c r="E378" s="138"/>
      <c r="F378" s="138" t="n">
        <v>1</v>
      </c>
      <c r="G378" s="141"/>
      <c r="H378" s="141"/>
      <c r="I378" s="141"/>
      <c r="J378" s="141"/>
      <c r="K378" s="141"/>
      <c r="L378" s="141"/>
      <c r="M378" s="141"/>
      <c r="N378" s="141"/>
      <c r="O378" s="138" t="s">
        <v>3426</v>
      </c>
    </row>
    <row r="379" customFormat="false" ht="15" hidden="false" customHeight="false" outlineLevel="0" collapsed="false">
      <c r="A379" s="138" t="s">
        <v>3023</v>
      </c>
      <c r="B379" s="138" t="n">
        <v>608.0315</v>
      </c>
      <c r="C379" s="138" t="s">
        <v>3429</v>
      </c>
      <c r="D379" s="138" t="s">
        <v>3430</v>
      </c>
      <c r="E379" s="138"/>
      <c r="F379" s="138" t="n">
        <v>1</v>
      </c>
      <c r="G379" s="141"/>
      <c r="H379" s="141"/>
      <c r="I379" s="141"/>
      <c r="J379" s="141"/>
      <c r="K379" s="141"/>
      <c r="L379" s="141"/>
      <c r="M379" s="141"/>
      <c r="N379" s="141"/>
      <c r="O379" s="138" t="s">
        <v>3426</v>
      </c>
    </row>
    <row r="380" customFormat="false" ht="15" hidden="false" customHeight="false" outlineLevel="0" collapsed="false">
      <c r="A380" s="138" t="s">
        <v>3027</v>
      </c>
      <c r="B380" s="138" t="n">
        <v>608.055</v>
      </c>
      <c r="C380" s="138" t="s">
        <v>3429</v>
      </c>
      <c r="D380" s="138" t="s">
        <v>3430</v>
      </c>
      <c r="E380" s="138"/>
      <c r="F380" s="138" t="n">
        <v>1</v>
      </c>
      <c r="G380" s="141"/>
      <c r="H380" s="141"/>
      <c r="I380" s="141"/>
      <c r="J380" s="141"/>
      <c r="K380" s="141"/>
      <c r="L380" s="141"/>
      <c r="M380" s="141"/>
      <c r="N380" s="141"/>
      <c r="O380" s="138" t="s">
        <v>3426</v>
      </c>
    </row>
    <row r="381" customFormat="false" ht="15" hidden="false" customHeight="false" outlineLevel="0" collapsed="false">
      <c r="A381" s="138" t="s">
        <v>3028</v>
      </c>
      <c r="B381" s="138" t="n">
        <v>608.059</v>
      </c>
      <c r="C381" s="138" t="s">
        <v>3429</v>
      </c>
      <c r="D381" s="138" t="s">
        <v>3430</v>
      </c>
      <c r="E381" s="138"/>
      <c r="F381" s="138" t="n">
        <v>1</v>
      </c>
      <c r="G381" s="141"/>
      <c r="H381" s="141"/>
      <c r="I381" s="141"/>
      <c r="J381" s="141"/>
      <c r="K381" s="141"/>
      <c r="L381" s="141"/>
      <c r="M381" s="141"/>
      <c r="N381" s="141"/>
      <c r="O381" s="138" t="s">
        <v>3426</v>
      </c>
    </row>
    <row r="382" customFormat="false" ht="15" hidden="false" customHeight="false" outlineLevel="0" collapsed="false">
      <c r="A382" s="138" t="s">
        <v>3431</v>
      </c>
      <c r="B382" s="138" t="n">
        <v>608.1305</v>
      </c>
      <c r="C382" s="138" t="s">
        <v>3432</v>
      </c>
      <c r="D382" s="138" t="s">
        <v>3265</v>
      </c>
      <c r="E382" s="138"/>
      <c r="F382" s="138" t="n">
        <v>1</v>
      </c>
      <c r="G382" s="141" t="n">
        <v>24.85</v>
      </c>
      <c r="H382" s="141" t="n">
        <v>304.82</v>
      </c>
      <c r="I382" s="141" t="n">
        <v>478.52</v>
      </c>
      <c r="J382" s="141" t="n">
        <v>0</v>
      </c>
      <c r="K382" s="141" t="n">
        <v>0</v>
      </c>
      <c r="L382" s="141"/>
      <c r="M382" s="141"/>
      <c r="N382" s="141"/>
      <c r="O382" s="138" t="s">
        <v>3175</v>
      </c>
    </row>
    <row r="383" customFormat="false" ht="15" hidden="false" customHeight="false" outlineLevel="0" collapsed="false">
      <c r="A383" s="138" t="s">
        <v>3431</v>
      </c>
      <c r="B383" s="138" t="n">
        <v>608.1305</v>
      </c>
      <c r="C383" s="138" t="s">
        <v>391</v>
      </c>
      <c r="D383" s="138" t="s">
        <v>3178</v>
      </c>
      <c r="E383" s="138" t="s">
        <v>59</v>
      </c>
      <c r="F383" s="138" t="n">
        <v>1</v>
      </c>
      <c r="G383" s="141"/>
      <c r="H383" s="141" t="n">
        <v>31.03</v>
      </c>
      <c r="I383" s="141"/>
      <c r="J383" s="141"/>
      <c r="K383" s="141"/>
      <c r="L383" s="141" t="n">
        <v>7</v>
      </c>
      <c r="M383" s="141"/>
      <c r="N383" s="141" t="n">
        <v>3</v>
      </c>
      <c r="O383" s="138" t="s">
        <v>3179</v>
      </c>
    </row>
    <row r="384" customFormat="false" ht="15" hidden="false" customHeight="false" outlineLevel="0" collapsed="false">
      <c r="A384" s="138" t="s">
        <v>3433</v>
      </c>
      <c r="B384" s="138" t="n">
        <v>608.184</v>
      </c>
      <c r="C384" s="138" t="s">
        <v>3181</v>
      </c>
      <c r="D384" s="138" t="s">
        <v>3174</v>
      </c>
      <c r="E384" s="138" t="s">
        <v>59</v>
      </c>
      <c r="F384" s="138" t="n">
        <v>1</v>
      </c>
      <c r="G384" s="141"/>
      <c r="H384" s="141"/>
      <c r="I384" s="141"/>
      <c r="J384" s="141"/>
      <c r="K384" s="141"/>
      <c r="L384" s="141"/>
      <c r="M384" s="141"/>
      <c r="N384" s="141"/>
      <c r="O384" s="138" t="s">
        <v>3421</v>
      </c>
    </row>
    <row r="385" customFormat="false" ht="15" hidden="false" customHeight="false" outlineLevel="0" collapsed="false">
      <c r="A385" s="138" t="s">
        <v>3026</v>
      </c>
      <c r="B385" s="138" t="n">
        <v>608.9175</v>
      </c>
      <c r="C385" s="138" t="s">
        <v>3429</v>
      </c>
      <c r="D385" s="138" t="s">
        <v>3430</v>
      </c>
      <c r="E385" s="138"/>
      <c r="F385" s="138" t="n">
        <v>1</v>
      </c>
      <c r="G385" s="141"/>
      <c r="H385" s="141"/>
      <c r="I385" s="141"/>
      <c r="J385" s="141"/>
      <c r="K385" s="141"/>
      <c r="L385" s="141"/>
      <c r="M385" s="141"/>
      <c r="N385" s="141"/>
      <c r="O385" s="138" t="s">
        <v>3426</v>
      </c>
    </row>
    <row r="386" customFormat="false" ht="15" hidden="false" customHeight="false" outlineLevel="0" collapsed="false">
      <c r="A386" s="138" t="s">
        <v>3035</v>
      </c>
      <c r="B386" s="138" t="n">
        <v>608.945</v>
      </c>
      <c r="C386" s="138" t="s">
        <v>3429</v>
      </c>
      <c r="D386" s="138" t="s">
        <v>3430</v>
      </c>
      <c r="E386" s="138"/>
      <c r="F386" s="138" t="n">
        <v>1</v>
      </c>
      <c r="G386" s="141"/>
      <c r="H386" s="141"/>
      <c r="I386" s="141"/>
      <c r="J386" s="141"/>
      <c r="K386" s="141"/>
      <c r="L386" s="141"/>
      <c r="M386" s="141"/>
      <c r="N386" s="141"/>
      <c r="O386" s="138" t="s">
        <v>3426</v>
      </c>
    </row>
    <row r="387" customFormat="false" ht="15" hidden="false" customHeight="false" outlineLevel="0" collapsed="false">
      <c r="A387" s="138" t="s">
        <v>3036</v>
      </c>
      <c r="B387" s="138" t="n">
        <v>610.5355</v>
      </c>
      <c r="C387" s="138" t="s">
        <v>3434</v>
      </c>
      <c r="D387" s="138" t="s">
        <v>3435</v>
      </c>
      <c r="E387" s="138"/>
      <c r="F387" s="138" t="n">
        <v>1</v>
      </c>
      <c r="G387" s="141"/>
      <c r="H387" s="141"/>
      <c r="I387" s="141"/>
      <c r="J387" s="141"/>
      <c r="K387" s="141"/>
      <c r="L387" s="141"/>
      <c r="M387" s="141"/>
      <c r="N387" s="141"/>
      <c r="O387" s="138" t="s">
        <v>3426</v>
      </c>
    </row>
    <row r="388" customFormat="false" ht="15" hidden="false" customHeight="false" outlineLevel="0" collapsed="false">
      <c r="A388" s="138" t="s">
        <v>3037</v>
      </c>
      <c r="B388" s="138" t="n">
        <v>610.6155</v>
      </c>
      <c r="C388" s="138" t="s">
        <v>3434</v>
      </c>
      <c r="D388" s="138" t="s">
        <v>3435</v>
      </c>
      <c r="E388" s="138"/>
      <c r="F388" s="138" t="n">
        <v>1</v>
      </c>
      <c r="G388" s="141"/>
      <c r="H388" s="141"/>
      <c r="I388" s="141"/>
      <c r="J388" s="141"/>
      <c r="K388" s="141"/>
      <c r="L388" s="141"/>
      <c r="M388" s="141"/>
      <c r="N388" s="141"/>
      <c r="O388" s="138" t="s">
        <v>3426</v>
      </c>
    </row>
    <row r="389" customFormat="false" ht="15" hidden="false" customHeight="false" outlineLevel="0" collapsed="false">
      <c r="A389" s="138" t="s">
        <v>3038</v>
      </c>
      <c r="B389" s="138" t="n">
        <v>611.436</v>
      </c>
      <c r="C389" s="138" t="s">
        <v>3429</v>
      </c>
      <c r="D389" s="138" t="s">
        <v>3430</v>
      </c>
      <c r="E389" s="138"/>
      <c r="F389" s="138" t="n">
        <v>1</v>
      </c>
      <c r="G389" s="141"/>
      <c r="H389" s="141"/>
      <c r="I389" s="141"/>
      <c r="J389" s="141"/>
      <c r="K389" s="141"/>
      <c r="L389" s="141"/>
      <c r="M389" s="141"/>
      <c r="N389" s="141"/>
      <c r="O389" s="138" t="s">
        <v>3426</v>
      </c>
    </row>
    <row r="390" customFormat="false" ht="15" hidden="false" customHeight="false" outlineLevel="0" collapsed="false">
      <c r="A390" s="138" t="s">
        <v>3040</v>
      </c>
      <c r="B390" s="138" t="n">
        <v>611.4595</v>
      </c>
      <c r="C390" s="138" t="s">
        <v>3429</v>
      </c>
      <c r="D390" s="138" t="s">
        <v>3430</v>
      </c>
      <c r="E390" s="138"/>
      <c r="F390" s="138" t="n">
        <v>1</v>
      </c>
      <c r="G390" s="141"/>
      <c r="H390" s="141"/>
      <c r="I390" s="141"/>
      <c r="J390" s="141"/>
      <c r="K390" s="141"/>
      <c r="L390" s="141"/>
      <c r="M390" s="141"/>
      <c r="N390" s="141"/>
      <c r="O390" s="138" t="s">
        <v>3426</v>
      </c>
    </row>
    <row r="391" customFormat="false" ht="15" hidden="false" customHeight="false" outlineLevel="0" collapsed="false">
      <c r="A391" s="138" t="s">
        <v>3436</v>
      </c>
      <c r="B391" s="138" t="n">
        <v>611.463</v>
      </c>
      <c r="C391" s="138" t="s">
        <v>3429</v>
      </c>
      <c r="D391" s="138" t="s">
        <v>3430</v>
      </c>
      <c r="E391" s="138"/>
      <c r="F391" s="138" t="n">
        <v>1</v>
      </c>
      <c r="G391" s="141"/>
      <c r="H391" s="141"/>
      <c r="I391" s="141"/>
      <c r="J391" s="141"/>
      <c r="K391" s="141"/>
      <c r="L391" s="141"/>
      <c r="M391" s="141"/>
      <c r="N391" s="141"/>
      <c r="O391" s="138" t="s">
        <v>3426</v>
      </c>
    </row>
    <row r="392" customFormat="false" ht="15" hidden="false" customHeight="false" outlineLevel="0" collapsed="false">
      <c r="A392" s="138" t="s">
        <v>3042</v>
      </c>
      <c r="B392" s="138" t="n">
        <v>611.491</v>
      </c>
      <c r="C392" s="138" t="s">
        <v>3429</v>
      </c>
      <c r="D392" s="138" t="s">
        <v>3430</v>
      </c>
      <c r="E392" s="138"/>
      <c r="F392" s="138" t="n">
        <v>1</v>
      </c>
      <c r="G392" s="141"/>
      <c r="H392" s="141"/>
      <c r="I392" s="141"/>
      <c r="J392" s="141"/>
      <c r="K392" s="141"/>
      <c r="L392" s="141"/>
      <c r="M392" s="141"/>
      <c r="N392" s="141"/>
      <c r="O392" s="138" t="s">
        <v>3426</v>
      </c>
    </row>
    <row r="393" customFormat="false" ht="15" hidden="false" customHeight="false" outlineLevel="0" collapsed="false">
      <c r="A393" s="138" t="s">
        <v>3043</v>
      </c>
      <c r="B393" s="138" t="n">
        <v>613.427</v>
      </c>
      <c r="C393" s="138" t="s">
        <v>3429</v>
      </c>
      <c r="D393" s="138" t="s">
        <v>3430</v>
      </c>
      <c r="E393" s="138"/>
      <c r="F393" s="138" t="n">
        <v>1</v>
      </c>
      <c r="G393" s="141"/>
      <c r="H393" s="141"/>
      <c r="I393" s="141"/>
      <c r="J393" s="141"/>
      <c r="K393" s="141"/>
      <c r="L393" s="141"/>
      <c r="M393" s="141"/>
      <c r="N393" s="141"/>
      <c r="O393" s="138" t="s">
        <v>3426</v>
      </c>
    </row>
    <row r="394" customFormat="false" ht="15" hidden="false" customHeight="false" outlineLevel="0" collapsed="false">
      <c r="A394" s="138" t="s">
        <v>3047</v>
      </c>
      <c r="B394" s="138" t="n">
        <v>614.125</v>
      </c>
      <c r="C394" s="138" t="s">
        <v>3429</v>
      </c>
      <c r="D394" s="138" t="s">
        <v>3430</v>
      </c>
      <c r="E394" s="138"/>
      <c r="F394" s="138" t="n">
        <v>1</v>
      </c>
      <c r="G394" s="141"/>
      <c r="H394" s="141"/>
      <c r="I394" s="141"/>
      <c r="J394" s="141"/>
      <c r="K394" s="141"/>
      <c r="L394" s="141"/>
      <c r="M394" s="141"/>
      <c r="N394" s="141"/>
      <c r="O394" s="138" t="s">
        <v>3426</v>
      </c>
    </row>
    <row r="395" customFormat="false" ht="15" hidden="false" customHeight="false" outlineLevel="0" collapsed="false">
      <c r="A395" s="138" t="s">
        <v>3053</v>
      </c>
      <c r="B395" s="138" t="n">
        <v>615.175</v>
      </c>
      <c r="C395" s="138" t="s">
        <v>3163</v>
      </c>
      <c r="D395" s="138" t="s">
        <v>2380</v>
      </c>
      <c r="E395" s="138" t="s">
        <v>59</v>
      </c>
      <c r="F395" s="138" t="n">
        <v>1</v>
      </c>
      <c r="G395" s="141" t="n">
        <v>12.15</v>
      </c>
      <c r="H395" s="141"/>
      <c r="I395" s="141"/>
      <c r="J395" s="141"/>
      <c r="K395" s="141"/>
      <c r="L395" s="141"/>
      <c r="M395" s="141"/>
      <c r="N395" s="141"/>
      <c r="O395" s="138" t="s">
        <v>3164</v>
      </c>
    </row>
    <row r="396" customFormat="false" ht="15" hidden="false" customHeight="false" outlineLevel="0" collapsed="false">
      <c r="A396" s="138" t="s">
        <v>3048</v>
      </c>
      <c r="B396" s="138" t="n">
        <v>615.519</v>
      </c>
      <c r="C396" s="138" t="s">
        <v>3429</v>
      </c>
      <c r="D396" s="138" t="s">
        <v>3430</v>
      </c>
      <c r="E396" s="138"/>
      <c r="F396" s="138" t="n">
        <v>1</v>
      </c>
      <c r="G396" s="141"/>
      <c r="H396" s="141"/>
      <c r="I396" s="141"/>
      <c r="J396" s="141"/>
      <c r="K396" s="141"/>
      <c r="L396" s="141"/>
      <c r="M396" s="141"/>
      <c r="N396" s="141"/>
      <c r="O396" s="138" t="s">
        <v>3426</v>
      </c>
    </row>
    <row r="397" customFormat="false" ht="15" hidden="false" customHeight="false" outlineLevel="0" collapsed="false">
      <c r="A397" s="138" t="s">
        <v>3046</v>
      </c>
      <c r="B397" s="138" t="n">
        <v>615.5465</v>
      </c>
      <c r="C397" s="138" t="s">
        <v>3429</v>
      </c>
      <c r="D397" s="138" t="s">
        <v>3430</v>
      </c>
      <c r="E397" s="138"/>
      <c r="F397" s="138" t="n">
        <v>1</v>
      </c>
      <c r="G397" s="141"/>
      <c r="H397" s="141"/>
      <c r="I397" s="141"/>
      <c r="J397" s="141"/>
      <c r="K397" s="141"/>
      <c r="L397" s="141"/>
      <c r="M397" s="141"/>
      <c r="N397" s="141"/>
      <c r="O397" s="138" t="s">
        <v>3426</v>
      </c>
    </row>
    <row r="398" customFormat="false" ht="15" hidden="false" customHeight="false" outlineLevel="0" collapsed="false">
      <c r="A398" s="138" t="s">
        <v>3057</v>
      </c>
      <c r="B398" s="138" t="n">
        <v>615.574</v>
      </c>
      <c r="C398" s="138" t="s">
        <v>3429</v>
      </c>
      <c r="D398" s="138" t="s">
        <v>3430</v>
      </c>
      <c r="E398" s="138"/>
      <c r="F398" s="138" t="n">
        <v>1</v>
      </c>
      <c r="G398" s="141"/>
      <c r="H398" s="141"/>
      <c r="I398" s="141"/>
      <c r="J398" s="141"/>
      <c r="K398" s="141"/>
      <c r="L398" s="141"/>
      <c r="M398" s="141"/>
      <c r="N398" s="141"/>
      <c r="O398" s="138" t="s">
        <v>3426</v>
      </c>
    </row>
    <row r="399" customFormat="false" ht="15" hidden="false" customHeight="false" outlineLevel="0" collapsed="false">
      <c r="A399" s="138" t="s">
        <v>3437</v>
      </c>
      <c r="B399" s="138" t="n">
        <v>616.175</v>
      </c>
      <c r="C399" s="138" t="s">
        <v>3163</v>
      </c>
      <c r="D399" s="138" t="s">
        <v>2380</v>
      </c>
      <c r="E399" s="138" t="s">
        <v>59</v>
      </c>
      <c r="F399" s="138" t="n">
        <v>1</v>
      </c>
      <c r="G399" s="141" t="n">
        <v>12.18</v>
      </c>
      <c r="H399" s="141"/>
      <c r="I399" s="141"/>
      <c r="J399" s="141"/>
      <c r="K399" s="141"/>
      <c r="L399" s="141"/>
      <c r="M399" s="141"/>
      <c r="N399" s="141"/>
      <c r="O399" s="138" t="s">
        <v>3164</v>
      </c>
    </row>
    <row r="400" customFormat="false" ht="15" hidden="false" customHeight="false" outlineLevel="0" collapsed="false">
      <c r="A400" s="138" t="s">
        <v>3058</v>
      </c>
      <c r="B400" s="138" t="n">
        <v>616.819</v>
      </c>
      <c r="C400" s="138" t="s">
        <v>3429</v>
      </c>
      <c r="D400" s="138" t="s">
        <v>3430</v>
      </c>
      <c r="E400" s="138"/>
      <c r="F400" s="138" t="n">
        <v>1</v>
      </c>
      <c r="G400" s="141"/>
      <c r="H400" s="141"/>
      <c r="I400" s="141"/>
      <c r="J400" s="141"/>
      <c r="K400" s="141"/>
      <c r="L400" s="141"/>
      <c r="M400" s="141"/>
      <c r="N400" s="141"/>
      <c r="O400" s="138" t="s">
        <v>3426</v>
      </c>
    </row>
    <row r="401" customFormat="false" ht="15" hidden="false" customHeight="false" outlineLevel="0" collapsed="false">
      <c r="A401" s="138" t="s">
        <v>3061</v>
      </c>
      <c r="B401" s="138" t="n">
        <v>616.874</v>
      </c>
      <c r="C401" s="138" t="s">
        <v>3429</v>
      </c>
      <c r="D401" s="138" t="s">
        <v>3430</v>
      </c>
      <c r="E401" s="138"/>
      <c r="F401" s="138" t="n">
        <v>1</v>
      </c>
      <c r="G401" s="141"/>
      <c r="H401" s="141"/>
      <c r="I401" s="141"/>
      <c r="J401" s="141"/>
      <c r="K401" s="141"/>
      <c r="L401" s="141"/>
      <c r="M401" s="141"/>
      <c r="N401" s="141"/>
      <c r="O401" s="138" t="s">
        <v>3426</v>
      </c>
    </row>
    <row r="402" customFormat="false" ht="15" hidden="false" customHeight="false" outlineLevel="0" collapsed="false">
      <c r="A402" s="138" t="s">
        <v>3438</v>
      </c>
      <c r="B402" s="138" t="n">
        <v>617.175</v>
      </c>
      <c r="C402" s="138" t="s">
        <v>3163</v>
      </c>
      <c r="D402" s="138" t="s">
        <v>2380</v>
      </c>
      <c r="E402" s="138" t="s">
        <v>59</v>
      </c>
      <c r="F402" s="138" t="n">
        <v>1</v>
      </c>
      <c r="G402" s="141" t="n">
        <v>11.9</v>
      </c>
      <c r="H402" s="141"/>
      <c r="I402" s="141"/>
      <c r="J402" s="141"/>
      <c r="K402" s="141"/>
      <c r="L402" s="141"/>
      <c r="M402" s="141"/>
      <c r="N402" s="141"/>
      <c r="O402" s="138" t="s">
        <v>3164</v>
      </c>
    </row>
    <row r="403" customFormat="false" ht="15" hidden="false" customHeight="false" outlineLevel="0" collapsed="false">
      <c r="A403" s="138" t="s">
        <v>3062</v>
      </c>
      <c r="B403" s="138" t="n">
        <v>618.118</v>
      </c>
      <c r="C403" s="138" t="s">
        <v>3439</v>
      </c>
      <c r="D403" s="138" t="s">
        <v>3440</v>
      </c>
      <c r="E403" s="138"/>
      <c r="F403" s="138" t="n">
        <v>1</v>
      </c>
      <c r="G403" s="141"/>
      <c r="H403" s="141"/>
      <c r="I403" s="141"/>
      <c r="J403" s="141"/>
      <c r="K403" s="141"/>
      <c r="L403" s="141"/>
      <c r="M403" s="141"/>
      <c r="N403" s="141"/>
      <c r="O403" s="138" t="s">
        <v>3426</v>
      </c>
    </row>
    <row r="404" customFormat="false" ht="15" hidden="false" customHeight="false" outlineLevel="0" collapsed="false">
      <c r="A404" s="138" t="s">
        <v>3441</v>
      </c>
      <c r="B404" s="138" t="n">
        <v>618.1455</v>
      </c>
      <c r="C404" s="138" t="s">
        <v>3439</v>
      </c>
      <c r="D404" s="138" t="s">
        <v>3440</v>
      </c>
      <c r="E404" s="138"/>
      <c r="F404" s="138" t="n">
        <v>1</v>
      </c>
      <c r="G404" s="141"/>
      <c r="H404" s="141"/>
      <c r="I404" s="141"/>
      <c r="J404" s="141"/>
      <c r="K404" s="141"/>
      <c r="L404" s="141"/>
      <c r="M404" s="141"/>
      <c r="N404" s="141"/>
      <c r="O404" s="138" t="s">
        <v>3426</v>
      </c>
    </row>
    <row r="405" customFormat="false" ht="15" hidden="false" customHeight="false" outlineLevel="0" collapsed="false">
      <c r="A405" s="138" t="s">
        <v>3066</v>
      </c>
      <c r="B405" s="138" t="n">
        <v>618.147</v>
      </c>
      <c r="C405" s="138" t="s">
        <v>3439</v>
      </c>
      <c r="D405" s="138" t="s">
        <v>3440</v>
      </c>
      <c r="E405" s="138"/>
      <c r="F405" s="138" t="n">
        <v>1</v>
      </c>
      <c r="G405" s="141"/>
      <c r="H405" s="141"/>
      <c r="I405" s="141"/>
      <c r="J405" s="141"/>
      <c r="K405" s="141"/>
      <c r="L405" s="141"/>
      <c r="M405" s="141"/>
      <c r="N405" s="141"/>
      <c r="O405" s="138" t="s">
        <v>3426</v>
      </c>
    </row>
    <row r="406" customFormat="false" ht="15" hidden="false" customHeight="false" outlineLevel="0" collapsed="false">
      <c r="A406" s="138" t="s">
        <v>3068</v>
      </c>
      <c r="B406" s="138" t="n">
        <v>618.173</v>
      </c>
      <c r="C406" s="138" t="s">
        <v>3439</v>
      </c>
      <c r="D406" s="138" t="s">
        <v>3440</v>
      </c>
      <c r="E406" s="138"/>
      <c r="F406" s="138" t="n">
        <v>1</v>
      </c>
      <c r="G406" s="141"/>
      <c r="H406" s="141"/>
      <c r="I406" s="141"/>
      <c r="J406" s="141"/>
      <c r="K406" s="141"/>
      <c r="L406" s="141"/>
      <c r="M406" s="141"/>
      <c r="N406" s="141"/>
      <c r="O406" s="138" t="s">
        <v>3426</v>
      </c>
    </row>
    <row r="407" customFormat="false" ht="15" hidden="false" customHeight="false" outlineLevel="0" collapsed="false">
      <c r="A407" s="138" t="s">
        <v>3442</v>
      </c>
      <c r="B407" s="138" t="n">
        <v>618.7485</v>
      </c>
      <c r="C407" s="138" t="s">
        <v>3163</v>
      </c>
      <c r="D407" s="138" t="s">
        <v>2380</v>
      </c>
      <c r="E407" s="138" t="s">
        <v>59</v>
      </c>
      <c r="F407" s="138" t="n">
        <v>1</v>
      </c>
      <c r="G407" s="141" t="n">
        <v>12.09</v>
      </c>
      <c r="H407" s="141"/>
      <c r="I407" s="141"/>
      <c r="J407" s="141"/>
      <c r="K407" s="141"/>
      <c r="L407" s="141"/>
      <c r="M407" s="141"/>
      <c r="N407" s="141"/>
      <c r="O407" s="138" t="s">
        <v>3164</v>
      </c>
    </row>
    <row r="408" customFormat="false" ht="15" hidden="false" customHeight="false" outlineLevel="0" collapsed="false">
      <c r="A408" s="138" t="s">
        <v>3069</v>
      </c>
      <c r="B408" s="138" t="n">
        <v>619.5165</v>
      </c>
      <c r="C408" s="138" t="s">
        <v>3429</v>
      </c>
      <c r="D408" s="138" t="s">
        <v>3430</v>
      </c>
      <c r="E408" s="138"/>
      <c r="F408" s="138" t="n">
        <v>1</v>
      </c>
      <c r="G408" s="141"/>
      <c r="H408" s="141"/>
      <c r="I408" s="141"/>
      <c r="J408" s="141"/>
      <c r="K408" s="141"/>
      <c r="L408" s="141"/>
      <c r="M408" s="141"/>
      <c r="N408" s="141"/>
      <c r="O408" s="138" t="s">
        <v>3426</v>
      </c>
    </row>
    <row r="409" customFormat="false" ht="15" hidden="false" customHeight="false" outlineLevel="0" collapsed="false">
      <c r="A409" s="138" t="s">
        <v>3065</v>
      </c>
      <c r="B409" s="138" t="n">
        <v>619.544</v>
      </c>
      <c r="C409" s="138" t="s">
        <v>3429</v>
      </c>
      <c r="D409" s="138" t="s">
        <v>3430</v>
      </c>
      <c r="E409" s="138"/>
      <c r="F409" s="138" t="n">
        <v>1</v>
      </c>
      <c r="G409" s="141"/>
      <c r="H409" s="141"/>
      <c r="I409" s="141"/>
      <c r="J409" s="141"/>
      <c r="K409" s="141"/>
      <c r="L409" s="141"/>
      <c r="M409" s="141"/>
      <c r="N409" s="141"/>
      <c r="O409" s="138" t="s">
        <v>3426</v>
      </c>
    </row>
    <row r="410" customFormat="false" ht="15" hidden="false" customHeight="false" outlineLevel="0" collapsed="false">
      <c r="A410" s="138" t="s">
        <v>3082</v>
      </c>
      <c r="B410" s="138" t="n">
        <v>619.5715</v>
      </c>
      <c r="C410" s="138" t="s">
        <v>3429</v>
      </c>
      <c r="D410" s="138" t="s">
        <v>3430</v>
      </c>
      <c r="E410" s="138"/>
      <c r="F410" s="138" t="n">
        <v>1</v>
      </c>
      <c r="G410" s="141"/>
      <c r="H410" s="141"/>
      <c r="I410" s="141"/>
      <c r="J410" s="141"/>
      <c r="K410" s="141"/>
      <c r="L410" s="141"/>
      <c r="M410" s="141"/>
      <c r="N410" s="141"/>
      <c r="O410" s="138" t="s">
        <v>3426</v>
      </c>
    </row>
    <row r="411" customFormat="false" ht="15" hidden="false" customHeight="false" outlineLevel="0" collapsed="false">
      <c r="A411" s="138" t="s">
        <v>3443</v>
      </c>
      <c r="B411" s="138" t="n">
        <v>619.748</v>
      </c>
      <c r="C411" s="138" t="s">
        <v>3163</v>
      </c>
      <c r="D411" s="138" t="s">
        <v>2380</v>
      </c>
      <c r="E411" s="138" t="s">
        <v>59</v>
      </c>
      <c r="F411" s="138" t="n">
        <v>1</v>
      </c>
      <c r="G411" s="141" t="n">
        <v>12.16</v>
      </c>
      <c r="H411" s="141"/>
      <c r="I411" s="141"/>
      <c r="J411" s="141"/>
      <c r="K411" s="141"/>
      <c r="L411" s="141"/>
      <c r="M411" s="141"/>
      <c r="N411" s="141"/>
      <c r="O411" s="138" t="s">
        <v>3164</v>
      </c>
    </row>
    <row r="412" customFormat="false" ht="15" hidden="false" customHeight="false" outlineLevel="0" collapsed="false">
      <c r="A412" s="138" t="s">
        <v>3444</v>
      </c>
      <c r="B412" s="138" t="n">
        <v>620.757</v>
      </c>
      <c r="C412" s="138" t="s">
        <v>3163</v>
      </c>
      <c r="D412" s="138" t="s">
        <v>2380</v>
      </c>
      <c r="E412" s="138" t="s">
        <v>59</v>
      </c>
      <c r="F412" s="138" t="n">
        <v>1</v>
      </c>
      <c r="G412" s="141" t="n">
        <v>11.98</v>
      </c>
      <c r="H412" s="141"/>
      <c r="I412" s="141"/>
      <c r="J412" s="141"/>
      <c r="K412" s="141"/>
      <c r="L412" s="141"/>
      <c r="M412" s="141"/>
      <c r="N412" s="141"/>
      <c r="O412" s="138" t="s">
        <v>3164</v>
      </c>
    </row>
    <row r="413" customFormat="false" ht="15" hidden="false" customHeight="false" outlineLevel="0" collapsed="false">
      <c r="A413" s="138" t="s">
        <v>3083</v>
      </c>
      <c r="B413" s="138" t="n">
        <v>620.9145</v>
      </c>
      <c r="C413" s="138" t="s">
        <v>3429</v>
      </c>
      <c r="D413" s="138" t="s">
        <v>3430</v>
      </c>
      <c r="E413" s="138"/>
      <c r="F413" s="138" t="n">
        <v>1</v>
      </c>
      <c r="G413" s="141"/>
      <c r="H413" s="141"/>
      <c r="I413" s="141"/>
      <c r="J413" s="141"/>
      <c r="K413" s="141"/>
      <c r="L413" s="141"/>
      <c r="M413" s="141"/>
      <c r="N413" s="141"/>
      <c r="O413" s="138" t="s">
        <v>3426</v>
      </c>
    </row>
    <row r="414" customFormat="false" ht="15" hidden="false" customHeight="false" outlineLevel="0" collapsed="false">
      <c r="A414" s="138" t="s">
        <v>3087</v>
      </c>
      <c r="B414" s="138" t="n">
        <v>620.969</v>
      </c>
      <c r="C414" s="138" t="s">
        <v>3429</v>
      </c>
      <c r="D414" s="138" t="s">
        <v>3430</v>
      </c>
      <c r="E414" s="138"/>
      <c r="F414" s="138" t="n">
        <v>1</v>
      </c>
      <c r="G414" s="141"/>
      <c r="H414" s="141"/>
      <c r="I414" s="141"/>
      <c r="J414" s="141"/>
      <c r="K414" s="141"/>
      <c r="L414" s="141"/>
      <c r="M414" s="141"/>
      <c r="N414" s="141"/>
      <c r="O414" s="138" t="s">
        <v>3426</v>
      </c>
    </row>
    <row r="415" customFormat="false" ht="15" hidden="false" customHeight="false" outlineLevel="0" collapsed="false">
      <c r="A415" s="138" t="s">
        <v>3088</v>
      </c>
      <c r="B415" s="138" t="n">
        <v>623.2425</v>
      </c>
      <c r="C415" s="138" t="s">
        <v>3429</v>
      </c>
      <c r="D415" s="138" t="s">
        <v>3430</v>
      </c>
      <c r="E415" s="138"/>
      <c r="F415" s="138" t="n">
        <v>1</v>
      </c>
      <c r="G415" s="141"/>
      <c r="H415" s="141"/>
      <c r="I415" s="141"/>
      <c r="J415" s="141"/>
      <c r="K415" s="141"/>
      <c r="L415" s="141"/>
      <c r="M415" s="141"/>
      <c r="N415" s="141"/>
      <c r="O415" s="138" t="s">
        <v>3426</v>
      </c>
    </row>
    <row r="416" customFormat="false" ht="15" hidden="false" customHeight="false" outlineLevel="0" collapsed="false">
      <c r="A416" s="138" t="s">
        <v>3080</v>
      </c>
      <c r="B416" s="138" t="n">
        <v>623.2715</v>
      </c>
      <c r="C416" s="138" t="s">
        <v>3429</v>
      </c>
      <c r="D416" s="138" t="s">
        <v>3430</v>
      </c>
      <c r="E416" s="138"/>
      <c r="F416" s="138" t="n">
        <v>1</v>
      </c>
      <c r="G416" s="141"/>
      <c r="H416" s="141"/>
      <c r="I416" s="141"/>
      <c r="J416" s="141"/>
      <c r="K416" s="141"/>
      <c r="L416" s="141"/>
      <c r="M416" s="141"/>
      <c r="N416" s="141"/>
      <c r="O416" s="138" t="s">
        <v>3426</v>
      </c>
    </row>
    <row r="417" customFormat="false" ht="15" hidden="false" customHeight="false" outlineLevel="0" collapsed="false">
      <c r="A417" s="138" t="s">
        <v>3094</v>
      </c>
      <c r="B417" s="138" t="n">
        <v>623.278</v>
      </c>
      <c r="C417" s="138" t="s">
        <v>3429</v>
      </c>
      <c r="D417" s="138" t="s">
        <v>3430</v>
      </c>
      <c r="E417" s="138"/>
      <c r="F417" s="138" t="n">
        <v>1</v>
      </c>
      <c r="G417" s="141"/>
      <c r="H417" s="141"/>
      <c r="I417" s="141"/>
      <c r="J417" s="141"/>
      <c r="K417" s="141"/>
      <c r="L417" s="141"/>
      <c r="M417" s="141"/>
      <c r="N417" s="141"/>
      <c r="O417" s="138" t="s">
        <v>3426</v>
      </c>
    </row>
    <row r="418" customFormat="false" ht="15" hidden="false" customHeight="false" outlineLevel="0" collapsed="false">
      <c r="A418" s="138" t="s">
        <v>3445</v>
      </c>
      <c r="B418" s="138" t="n">
        <v>623.297</v>
      </c>
      <c r="C418" s="138" t="s">
        <v>3181</v>
      </c>
      <c r="D418" s="138" t="s">
        <v>3174</v>
      </c>
      <c r="E418" s="138" t="s">
        <v>60</v>
      </c>
      <c r="F418" s="138" t="n">
        <v>1</v>
      </c>
      <c r="G418" s="141"/>
      <c r="H418" s="141"/>
      <c r="I418" s="141"/>
      <c r="J418" s="141"/>
      <c r="K418" s="141"/>
      <c r="L418" s="141"/>
      <c r="M418" s="141"/>
      <c r="N418" s="141"/>
      <c r="O418" s="138" t="s">
        <v>3446</v>
      </c>
    </row>
    <row r="419" customFormat="false" ht="15" hidden="false" customHeight="false" outlineLevel="0" collapsed="false">
      <c r="A419" s="138" t="s">
        <v>3447</v>
      </c>
      <c r="B419" s="138" t="n">
        <v>623.55</v>
      </c>
      <c r="C419" s="138" t="s">
        <v>3448</v>
      </c>
      <c r="D419" s="138" t="s">
        <v>3449</v>
      </c>
      <c r="E419" s="138"/>
      <c r="F419" s="138" t="n">
        <v>1</v>
      </c>
      <c r="G419" s="141" t="n">
        <v>18.84</v>
      </c>
      <c r="H419" s="141" t="n">
        <v>435.91</v>
      </c>
      <c r="I419" s="141" t="n">
        <v>464.78</v>
      </c>
      <c r="J419" s="141" t="n">
        <v>0</v>
      </c>
      <c r="K419" s="141" t="n">
        <v>0</v>
      </c>
      <c r="L419" s="141"/>
      <c r="M419" s="141"/>
      <c r="N419" s="141"/>
      <c r="O419" s="138" t="s">
        <v>3175</v>
      </c>
    </row>
    <row r="420" customFormat="false" ht="15" hidden="false" customHeight="false" outlineLevel="0" collapsed="false">
      <c r="A420" s="138" t="s">
        <v>3097</v>
      </c>
      <c r="B420" s="138" t="n">
        <v>624.6545</v>
      </c>
      <c r="C420" s="138" t="s">
        <v>3429</v>
      </c>
      <c r="D420" s="138" t="s">
        <v>3430</v>
      </c>
      <c r="E420" s="138"/>
      <c r="F420" s="138" t="n">
        <v>1</v>
      </c>
      <c r="G420" s="141"/>
      <c r="H420" s="141"/>
      <c r="I420" s="141"/>
      <c r="J420" s="141"/>
      <c r="K420" s="141"/>
      <c r="L420" s="141"/>
      <c r="M420" s="141"/>
      <c r="N420" s="141"/>
      <c r="O420" s="138" t="s">
        <v>3426</v>
      </c>
    </row>
    <row r="421" customFormat="false" ht="15" hidden="false" customHeight="false" outlineLevel="0" collapsed="false">
      <c r="A421" s="138" t="s">
        <v>3100</v>
      </c>
      <c r="B421" s="138" t="n">
        <v>624.7015</v>
      </c>
      <c r="C421" s="138" t="s">
        <v>3429</v>
      </c>
      <c r="D421" s="138" t="s">
        <v>3430</v>
      </c>
      <c r="E421" s="138"/>
      <c r="F421" s="138" t="n">
        <v>1</v>
      </c>
      <c r="G421" s="141"/>
      <c r="H421" s="141"/>
      <c r="I421" s="141"/>
      <c r="J421" s="141"/>
      <c r="K421" s="141"/>
      <c r="L421" s="141"/>
      <c r="M421" s="141"/>
      <c r="N421" s="141"/>
      <c r="O421" s="138" t="s">
        <v>3426</v>
      </c>
    </row>
    <row r="422" customFormat="false" ht="15" hidden="false" customHeight="false" outlineLevel="0" collapsed="false">
      <c r="A422" s="138" t="s">
        <v>3101</v>
      </c>
      <c r="B422" s="138" t="n">
        <v>626.4965</v>
      </c>
      <c r="C422" s="138" t="s">
        <v>3429</v>
      </c>
      <c r="D422" s="138" t="s">
        <v>3430</v>
      </c>
      <c r="E422" s="138"/>
      <c r="F422" s="138" t="n">
        <v>1</v>
      </c>
      <c r="G422" s="141"/>
      <c r="H422" s="141"/>
      <c r="I422" s="141"/>
      <c r="J422" s="141"/>
      <c r="K422" s="141"/>
      <c r="L422" s="141"/>
      <c r="M422" s="141"/>
      <c r="N422" s="141"/>
      <c r="O422" s="138" t="s">
        <v>3426</v>
      </c>
    </row>
    <row r="423" customFormat="false" ht="15" hidden="false" customHeight="false" outlineLevel="0" collapsed="false">
      <c r="A423" s="138" t="s">
        <v>3099</v>
      </c>
      <c r="B423" s="138" t="n">
        <v>626.524</v>
      </c>
      <c r="C423" s="138" t="s">
        <v>3429</v>
      </c>
      <c r="D423" s="138" t="s">
        <v>3430</v>
      </c>
      <c r="E423" s="138"/>
      <c r="F423" s="138" t="n">
        <v>1</v>
      </c>
      <c r="G423" s="141"/>
      <c r="H423" s="141"/>
      <c r="I423" s="141"/>
      <c r="J423" s="141"/>
      <c r="K423" s="141"/>
      <c r="L423" s="141"/>
      <c r="M423" s="141"/>
      <c r="N423" s="141"/>
      <c r="O423" s="138" t="s">
        <v>3426</v>
      </c>
    </row>
    <row r="424" customFormat="false" ht="15" hidden="false" customHeight="false" outlineLevel="0" collapsed="false">
      <c r="A424" s="138" t="s">
        <v>3106</v>
      </c>
      <c r="B424" s="138" t="n">
        <v>626.5515</v>
      </c>
      <c r="C424" s="138" t="s">
        <v>3429</v>
      </c>
      <c r="D424" s="138" t="s">
        <v>3430</v>
      </c>
      <c r="E424" s="138"/>
      <c r="F424" s="138" t="n">
        <v>1</v>
      </c>
      <c r="G424" s="141"/>
      <c r="H424" s="141"/>
      <c r="I424" s="141"/>
      <c r="J424" s="141"/>
      <c r="K424" s="141"/>
      <c r="L424" s="141"/>
      <c r="M424" s="141"/>
      <c r="N424" s="141"/>
      <c r="O424" s="138" t="s">
        <v>3426</v>
      </c>
    </row>
    <row r="425" customFormat="false" ht="15" hidden="false" customHeight="false" outlineLevel="0" collapsed="false">
      <c r="A425" s="138" t="s">
        <v>3107</v>
      </c>
      <c r="B425" s="138" t="n">
        <v>628.3465</v>
      </c>
      <c r="C425" s="138" t="s">
        <v>3429</v>
      </c>
      <c r="D425" s="138" t="s">
        <v>3430</v>
      </c>
      <c r="E425" s="138"/>
      <c r="F425" s="138" t="n">
        <v>1</v>
      </c>
      <c r="G425" s="141"/>
      <c r="H425" s="141"/>
      <c r="I425" s="141"/>
      <c r="J425" s="141"/>
      <c r="K425" s="141"/>
      <c r="L425" s="141"/>
      <c r="M425" s="141"/>
      <c r="N425" s="141"/>
      <c r="O425" s="138" t="s">
        <v>3426</v>
      </c>
    </row>
    <row r="426" customFormat="false" ht="15" hidden="false" customHeight="false" outlineLevel="0" collapsed="false">
      <c r="A426" s="138" t="s">
        <v>3111</v>
      </c>
      <c r="B426" s="138" t="n">
        <v>628.4015</v>
      </c>
      <c r="C426" s="138" t="s">
        <v>3429</v>
      </c>
      <c r="D426" s="138" t="s">
        <v>3430</v>
      </c>
      <c r="E426" s="138"/>
      <c r="F426" s="138" t="n">
        <v>1</v>
      </c>
      <c r="G426" s="141"/>
      <c r="H426" s="141"/>
      <c r="I426" s="141"/>
      <c r="J426" s="141"/>
      <c r="K426" s="141"/>
      <c r="L426" s="141"/>
      <c r="M426" s="141"/>
      <c r="N426" s="141"/>
      <c r="O426" s="138" t="s">
        <v>3426</v>
      </c>
    </row>
    <row r="427" customFormat="false" ht="15" hidden="false" customHeight="false" outlineLevel="0" collapsed="false">
      <c r="A427" s="138" t="s">
        <v>3112</v>
      </c>
      <c r="B427" s="138" t="n">
        <v>630.1965</v>
      </c>
      <c r="C427" s="138" t="s">
        <v>3429</v>
      </c>
      <c r="D427" s="138" t="s">
        <v>3430</v>
      </c>
      <c r="E427" s="138"/>
      <c r="F427" s="138" t="n">
        <v>1</v>
      </c>
      <c r="G427" s="141"/>
      <c r="H427" s="141"/>
      <c r="I427" s="141"/>
      <c r="J427" s="141"/>
      <c r="K427" s="141"/>
      <c r="L427" s="141"/>
      <c r="M427" s="141"/>
      <c r="N427" s="141"/>
      <c r="O427" s="138" t="s">
        <v>3426</v>
      </c>
    </row>
    <row r="428" customFormat="false" ht="15" hidden="false" customHeight="false" outlineLevel="0" collapsed="false">
      <c r="A428" s="138" t="s">
        <v>3110</v>
      </c>
      <c r="B428" s="138" t="n">
        <v>630.224</v>
      </c>
      <c r="C428" s="138" t="s">
        <v>3429</v>
      </c>
      <c r="D428" s="138" t="s">
        <v>3430</v>
      </c>
      <c r="E428" s="138"/>
      <c r="F428" s="138" t="n">
        <v>1</v>
      </c>
      <c r="G428" s="141"/>
      <c r="H428" s="141"/>
      <c r="I428" s="141"/>
      <c r="J428" s="141"/>
      <c r="K428" s="141"/>
      <c r="L428" s="141"/>
      <c r="M428" s="141"/>
      <c r="N428" s="141"/>
      <c r="O428" s="138" t="s">
        <v>3426</v>
      </c>
    </row>
    <row r="429" customFormat="false" ht="15" hidden="false" customHeight="false" outlineLevel="0" collapsed="false">
      <c r="A429" s="138" t="s">
        <v>3119</v>
      </c>
      <c r="B429" s="138" t="n">
        <v>630.2515</v>
      </c>
      <c r="C429" s="138" t="s">
        <v>3429</v>
      </c>
      <c r="D429" s="138" t="s">
        <v>3430</v>
      </c>
      <c r="E429" s="138"/>
      <c r="F429" s="138" t="n">
        <v>1</v>
      </c>
      <c r="G429" s="141"/>
      <c r="H429" s="141"/>
      <c r="I429" s="141"/>
      <c r="J429" s="141"/>
      <c r="K429" s="141"/>
      <c r="L429" s="141"/>
      <c r="M429" s="141"/>
      <c r="N429" s="141"/>
      <c r="O429" s="138" t="s">
        <v>3426</v>
      </c>
    </row>
    <row r="430" customFormat="false" ht="15" hidden="false" customHeight="false" outlineLevel="0" collapsed="false">
      <c r="A430" s="138" t="s">
        <v>3120</v>
      </c>
      <c r="B430" s="138" t="n">
        <v>632.0475</v>
      </c>
      <c r="C430" s="138" t="s">
        <v>3429</v>
      </c>
      <c r="D430" s="138" t="s">
        <v>3430</v>
      </c>
      <c r="E430" s="138"/>
      <c r="F430" s="138" t="n">
        <v>1</v>
      </c>
      <c r="G430" s="141"/>
      <c r="H430" s="141"/>
      <c r="I430" s="141"/>
      <c r="J430" s="141"/>
      <c r="K430" s="141"/>
      <c r="L430" s="141"/>
      <c r="M430" s="141"/>
      <c r="N430" s="141"/>
      <c r="O430" s="138" t="s">
        <v>3426</v>
      </c>
    </row>
    <row r="431" customFormat="false" ht="15" hidden="false" customHeight="false" outlineLevel="0" collapsed="false">
      <c r="A431" s="138" t="s">
        <v>3127</v>
      </c>
      <c r="B431" s="138" t="n">
        <v>632.1025</v>
      </c>
      <c r="C431" s="138" t="s">
        <v>3429</v>
      </c>
      <c r="D431" s="138" t="s">
        <v>3430</v>
      </c>
      <c r="E431" s="138"/>
      <c r="F431" s="138" t="n">
        <v>1</v>
      </c>
      <c r="G431" s="141"/>
      <c r="H431" s="141"/>
      <c r="I431" s="141"/>
      <c r="J431" s="141"/>
      <c r="K431" s="141"/>
      <c r="L431" s="141"/>
      <c r="M431" s="141"/>
      <c r="N431" s="141"/>
      <c r="O431" s="138" t="s">
        <v>3426</v>
      </c>
    </row>
    <row r="432" customFormat="false" ht="15" hidden="false" customHeight="false" outlineLevel="0" collapsed="false">
      <c r="A432" s="138" t="s">
        <v>3128</v>
      </c>
      <c r="B432" s="138" t="n">
        <v>633.272</v>
      </c>
      <c r="C432" s="138" t="s">
        <v>3434</v>
      </c>
      <c r="D432" s="138" t="s">
        <v>3435</v>
      </c>
      <c r="E432" s="138"/>
      <c r="F432" s="138" t="n">
        <v>1</v>
      </c>
      <c r="G432" s="141"/>
      <c r="H432" s="141"/>
      <c r="I432" s="141"/>
      <c r="J432" s="141"/>
      <c r="K432" s="141"/>
      <c r="L432" s="141"/>
      <c r="M432" s="141"/>
      <c r="N432" s="141"/>
      <c r="O432" s="138" t="s">
        <v>3426</v>
      </c>
    </row>
    <row r="433" customFormat="false" ht="15" hidden="false" customHeight="false" outlineLevel="0" collapsed="false">
      <c r="A433" s="138" t="s">
        <v>3131</v>
      </c>
      <c r="B433" s="138" t="n">
        <v>633.3145</v>
      </c>
      <c r="C433" s="138" t="s">
        <v>3434</v>
      </c>
      <c r="D433" s="138" t="s">
        <v>3435</v>
      </c>
      <c r="E433" s="138"/>
      <c r="F433" s="138" t="n">
        <v>1</v>
      </c>
      <c r="G433" s="141"/>
      <c r="H433" s="141"/>
      <c r="I433" s="141"/>
      <c r="J433" s="141"/>
      <c r="K433" s="141"/>
      <c r="L433" s="141"/>
      <c r="M433" s="141"/>
      <c r="N433" s="141"/>
      <c r="O433" s="138" t="s">
        <v>3426</v>
      </c>
    </row>
    <row r="434" customFormat="false" ht="15" hidden="false" customHeight="false" outlineLevel="0" collapsed="false">
      <c r="A434" s="138" t="s">
        <v>3132</v>
      </c>
      <c r="B434" s="138" t="n">
        <v>633.3475</v>
      </c>
      <c r="C434" s="138" t="s">
        <v>3429</v>
      </c>
      <c r="D434" s="138" t="s">
        <v>3430</v>
      </c>
      <c r="E434" s="138"/>
      <c r="F434" s="138" t="n">
        <v>1</v>
      </c>
      <c r="G434" s="141"/>
      <c r="H434" s="141"/>
      <c r="I434" s="141"/>
      <c r="J434" s="141"/>
      <c r="K434" s="141"/>
      <c r="L434" s="141"/>
      <c r="M434" s="141"/>
      <c r="N434" s="141"/>
      <c r="O434" s="138" t="s">
        <v>3426</v>
      </c>
    </row>
    <row r="435" customFormat="false" ht="15" hidden="false" customHeight="false" outlineLevel="0" collapsed="false">
      <c r="A435" s="138" t="s">
        <v>3133</v>
      </c>
      <c r="B435" s="138" t="n">
        <v>633.3515</v>
      </c>
      <c r="C435" s="138" t="s">
        <v>3434</v>
      </c>
      <c r="D435" s="138" t="s">
        <v>3435</v>
      </c>
      <c r="E435" s="138"/>
      <c r="F435" s="138" t="n">
        <v>1</v>
      </c>
      <c r="G435" s="141"/>
      <c r="H435" s="141"/>
      <c r="I435" s="141"/>
      <c r="J435" s="141"/>
      <c r="K435" s="141"/>
      <c r="L435" s="141"/>
      <c r="M435" s="141"/>
      <c r="N435" s="141"/>
      <c r="O435" s="138" t="s">
        <v>3426</v>
      </c>
    </row>
    <row r="436" customFormat="false" ht="15" hidden="false" customHeight="false" outlineLevel="0" collapsed="false">
      <c r="A436" s="138" t="s">
        <v>3134</v>
      </c>
      <c r="B436" s="138" t="n">
        <v>634.586</v>
      </c>
      <c r="C436" s="138" t="s">
        <v>3450</v>
      </c>
      <c r="D436" s="138" t="s">
        <v>3451</v>
      </c>
      <c r="E436" s="138"/>
      <c r="F436" s="138" t="n">
        <v>1</v>
      </c>
      <c r="G436" s="141"/>
      <c r="H436" s="141"/>
      <c r="I436" s="141"/>
      <c r="J436" s="141"/>
      <c r="K436" s="141"/>
      <c r="L436" s="141"/>
      <c r="M436" s="141"/>
      <c r="N436" s="141"/>
      <c r="O436" s="138" t="s">
        <v>3426</v>
      </c>
    </row>
    <row r="437" customFormat="false" ht="15" hidden="false" customHeight="false" outlineLevel="0" collapsed="false">
      <c r="A437" s="138" t="s">
        <v>3135</v>
      </c>
      <c r="B437" s="138" t="n">
        <v>634.6135</v>
      </c>
      <c r="C437" s="138" t="s">
        <v>3450</v>
      </c>
      <c r="D437" s="138" t="s">
        <v>3451</v>
      </c>
      <c r="E437" s="138"/>
      <c r="F437" s="138" t="n">
        <v>1</v>
      </c>
      <c r="G437" s="141"/>
      <c r="H437" s="141"/>
      <c r="I437" s="141"/>
      <c r="J437" s="141"/>
      <c r="K437" s="141"/>
      <c r="L437" s="141"/>
      <c r="M437" s="141"/>
      <c r="N437" s="141"/>
      <c r="O437" s="138" t="s">
        <v>3426</v>
      </c>
    </row>
    <row r="438" customFormat="false" ht="15" hidden="false" customHeight="false" outlineLevel="0" collapsed="false">
      <c r="A438" s="138" t="s">
        <v>3137</v>
      </c>
      <c r="B438" s="138" t="n">
        <v>634.641</v>
      </c>
      <c r="C438" s="138" t="s">
        <v>3450</v>
      </c>
      <c r="D438" s="138" t="s">
        <v>3451</v>
      </c>
      <c r="E438" s="138"/>
      <c r="F438" s="138" t="n">
        <v>1</v>
      </c>
      <c r="G438" s="141"/>
      <c r="H438" s="141"/>
      <c r="I438" s="141"/>
      <c r="J438" s="141"/>
      <c r="K438" s="141"/>
      <c r="L438" s="141"/>
      <c r="M438" s="141"/>
      <c r="N438" s="141"/>
      <c r="O438" s="138" t="s">
        <v>3426</v>
      </c>
    </row>
    <row r="439" customFormat="false" ht="15" hidden="false" customHeight="false" outlineLevel="0" collapsed="false">
      <c r="A439" s="138" t="s">
        <v>3136</v>
      </c>
      <c r="B439" s="138" t="n">
        <v>634.908</v>
      </c>
      <c r="C439" s="138" t="s">
        <v>3429</v>
      </c>
      <c r="D439" s="138" t="s">
        <v>3430</v>
      </c>
      <c r="E439" s="138"/>
      <c r="F439" s="138" t="n">
        <v>1</v>
      </c>
      <c r="G439" s="141"/>
      <c r="H439" s="141"/>
      <c r="I439" s="141"/>
      <c r="J439" s="141"/>
      <c r="K439" s="141"/>
      <c r="L439" s="141"/>
      <c r="M439" s="141"/>
      <c r="N439" s="141"/>
      <c r="O439" s="138" t="s">
        <v>3426</v>
      </c>
    </row>
    <row r="440" customFormat="false" ht="15" hidden="false" customHeight="false" outlineLevel="0" collapsed="false">
      <c r="A440" s="138" t="s">
        <v>3138</v>
      </c>
      <c r="B440" s="138" t="n">
        <v>635.2295</v>
      </c>
      <c r="C440" s="138" t="s">
        <v>3450</v>
      </c>
      <c r="D440" s="138" t="s">
        <v>3451</v>
      </c>
      <c r="E440" s="138"/>
      <c r="F440" s="138" t="n">
        <v>1</v>
      </c>
      <c r="G440" s="141"/>
      <c r="H440" s="141"/>
      <c r="I440" s="141"/>
      <c r="J440" s="141"/>
      <c r="K440" s="141"/>
      <c r="L440" s="141"/>
      <c r="M440" s="141"/>
      <c r="N440" s="141"/>
      <c r="O440" s="138" t="s">
        <v>3426</v>
      </c>
    </row>
    <row r="441" customFormat="false" ht="15" hidden="false" customHeight="false" outlineLevel="0" collapsed="false">
      <c r="A441" s="138" t="s">
        <v>3141</v>
      </c>
      <c r="B441" s="138" t="n">
        <v>635.2845</v>
      </c>
      <c r="C441" s="138" t="s">
        <v>3450</v>
      </c>
      <c r="D441" s="138" t="s">
        <v>3451</v>
      </c>
      <c r="E441" s="138"/>
      <c r="F441" s="138" t="n">
        <v>1</v>
      </c>
      <c r="G441" s="141"/>
      <c r="H441" s="141"/>
      <c r="I441" s="141"/>
      <c r="J441" s="141"/>
      <c r="K441" s="141"/>
      <c r="L441" s="141"/>
      <c r="M441" s="141"/>
      <c r="N441" s="141"/>
      <c r="O441" s="138" t="s">
        <v>3426</v>
      </c>
    </row>
    <row r="442" customFormat="false" ht="15" hidden="false" customHeight="false" outlineLevel="0" collapsed="false">
      <c r="A442" s="138" t="s">
        <v>3142</v>
      </c>
      <c r="B442" s="138" t="n">
        <v>635.8685</v>
      </c>
      <c r="C442" s="138" t="s">
        <v>3429</v>
      </c>
      <c r="D442" s="138" t="s">
        <v>3430</v>
      </c>
      <c r="E442" s="138"/>
      <c r="F442" s="138" t="n">
        <v>1</v>
      </c>
      <c r="G442" s="141"/>
      <c r="H442" s="141"/>
      <c r="I442" s="141"/>
      <c r="J442" s="141"/>
      <c r="K442" s="141"/>
      <c r="L442" s="141"/>
      <c r="M442" s="141"/>
      <c r="N442" s="141"/>
      <c r="O442" s="138" t="s">
        <v>3426</v>
      </c>
    </row>
    <row r="443" customFormat="false" ht="15" hidden="false" customHeight="false" outlineLevel="0" collapsed="false">
      <c r="A443" s="138" t="s">
        <v>3143</v>
      </c>
      <c r="B443" s="138" t="n">
        <v>635.893</v>
      </c>
      <c r="C443" s="138" t="s">
        <v>3424</v>
      </c>
      <c r="D443" s="138" t="s">
        <v>3425</v>
      </c>
      <c r="E443" s="138"/>
      <c r="F443" s="138" t="n">
        <v>1</v>
      </c>
      <c r="G443" s="141"/>
      <c r="H443" s="141"/>
      <c r="I443" s="141"/>
      <c r="J443" s="141"/>
      <c r="K443" s="141"/>
      <c r="L443" s="141"/>
      <c r="M443" s="141"/>
      <c r="N443" s="141"/>
      <c r="O443" s="138" t="s">
        <v>3426</v>
      </c>
    </row>
    <row r="444" customFormat="false" ht="15" hidden="false" customHeight="false" outlineLevel="0" collapsed="false">
      <c r="A444" s="138" t="s">
        <v>3140</v>
      </c>
      <c r="B444" s="138" t="n">
        <v>635.8955</v>
      </c>
      <c r="C444" s="138" t="s">
        <v>3429</v>
      </c>
      <c r="D444" s="138" t="s">
        <v>3430</v>
      </c>
      <c r="E444" s="138"/>
      <c r="F444" s="138" t="n">
        <v>1</v>
      </c>
      <c r="G444" s="141"/>
      <c r="H444" s="141"/>
      <c r="I444" s="141"/>
      <c r="J444" s="141"/>
      <c r="K444" s="141"/>
      <c r="L444" s="141"/>
      <c r="M444" s="141"/>
      <c r="N444" s="141"/>
      <c r="O444" s="138" t="s">
        <v>3426</v>
      </c>
    </row>
    <row r="445" customFormat="false" ht="15" hidden="false" customHeight="false" outlineLevel="0" collapsed="false">
      <c r="A445" s="138" t="s">
        <v>3146</v>
      </c>
      <c r="B445" s="138" t="n">
        <v>635.923</v>
      </c>
      <c r="C445" s="138" t="s">
        <v>3429</v>
      </c>
      <c r="D445" s="138" t="s">
        <v>3430</v>
      </c>
      <c r="E445" s="138"/>
      <c r="F445" s="138" t="n">
        <v>1</v>
      </c>
      <c r="G445" s="141"/>
      <c r="H445" s="141"/>
      <c r="I445" s="141"/>
      <c r="J445" s="141"/>
      <c r="K445" s="141"/>
      <c r="L445" s="141"/>
      <c r="M445" s="141"/>
      <c r="N445" s="141"/>
      <c r="O445" s="138" t="s">
        <v>3426</v>
      </c>
    </row>
    <row r="446" customFormat="false" ht="15" hidden="false" customHeight="false" outlineLevel="0" collapsed="false">
      <c r="A446" s="138" t="s">
        <v>3147</v>
      </c>
      <c r="B446" s="138" t="n">
        <v>639.6745</v>
      </c>
      <c r="C446" s="138" t="s">
        <v>3429</v>
      </c>
      <c r="D446" s="138" t="s">
        <v>3430</v>
      </c>
      <c r="E446" s="138"/>
      <c r="F446" s="138" t="n">
        <v>1</v>
      </c>
      <c r="G446" s="141"/>
      <c r="H446" s="141"/>
      <c r="I446" s="141"/>
      <c r="J446" s="141"/>
      <c r="K446" s="141"/>
      <c r="L446" s="141"/>
      <c r="M446" s="141"/>
      <c r="N446" s="141"/>
      <c r="O446" s="138" t="s">
        <v>3426</v>
      </c>
    </row>
    <row r="447" customFormat="false" ht="15" hidden="false" customHeight="false" outlineLevel="0" collapsed="false">
      <c r="A447" s="138" t="s">
        <v>3145</v>
      </c>
      <c r="B447" s="138" t="n">
        <v>639.702</v>
      </c>
      <c r="C447" s="138" t="s">
        <v>3429</v>
      </c>
      <c r="D447" s="138" t="s">
        <v>3430</v>
      </c>
      <c r="E447" s="138"/>
      <c r="F447" s="138" t="n">
        <v>1</v>
      </c>
      <c r="G447" s="141"/>
      <c r="H447" s="141"/>
      <c r="I447" s="141"/>
      <c r="J447" s="141"/>
      <c r="K447" s="141"/>
      <c r="L447" s="141"/>
      <c r="M447" s="141"/>
      <c r="N447" s="141"/>
      <c r="O447" s="138" t="s">
        <v>3426</v>
      </c>
    </row>
    <row r="448" customFormat="false" ht="15" hidden="false" customHeight="false" outlineLevel="0" collapsed="false">
      <c r="A448" s="138" t="s">
        <v>3153</v>
      </c>
      <c r="B448" s="138" t="n">
        <v>639.7295</v>
      </c>
      <c r="C448" s="138" t="s">
        <v>3429</v>
      </c>
      <c r="D448" s="138" t="s">
        <v>3430</v>
      </c>
      <c r="E448" s="138"/>
      <c r="F448" s="138" t="n">
        <v>1</v>
      </c>
      <c r="G448" s="141"/>
      <c r="H448" s="141"/>
      <c r="I448" s="141"/>
      <c r="J448" s="141"/>
      <c r="K448" s="141"/>
      <c r="L448" s="141"/>
      <c r="M448" s="141"/>
      <c r="N448" s="141"/>
      <c r="O448" s="138" t="s">
        <v>3426</v>
      </c>
    </row>
    <row r="449" customFormat="false" ht="15" hidden="false" customHeight="false" outlineLevel="0" collapsed="false">
      <c r="A449" s="138" t="s">
        <v>3154</v>
      </c>
      <c r="B449" s="138" t="n">
        <v>642.7635</v>
      </c>
      <c r="C449" s="138" t="s">
        <v>3429</v>
      </c>
      <c r="D449" s="138" t="s">
        <v>3430</v>
      </c>
      <c r="E449" s="138"/>
      <c r="F449" s="138" t="n">
        <v>1</v>
      </c>
      <c r="G449" s="141"/>
      <c r="H449" s="141"/>
      <c r="I449" s="141"/>
      <c r="J449" s="141"/>
      <c r="K449" s="141"/>
      <c r="L449" s="141"/>
      <c r="M449" s="141"/>
      <c r="N449" s="141"/>
      <c r="O449" s="138" t="s">
        <v>3426</v>
      </c>
    </row>
    <row r="450" customFormat="false" ht="15" hidden="false" customHeight="false" outlineLevel="0" collapsed="false">
      <c r="A450" s="138" t="s">
        <v>3151</v>
      </c>
      <c r="B450" s="138" t="n">
        <v>642.79085</v>
      </c>
      <c r="C450" s="138" t="s">
        <v>3429</v>
      </c>
      <c r="D450" s="138" t="s">
        <v>3430</v>
      </c>
      <c r="E450" s="138"/>
      <c r="F450" s="138" t="n">
        <v>1</v>
      </c>
      <c r="G450" s="141"/>
      <c r="H450" s="141"/>
      <c r="I450" s="141"/>
      <c r="J450" s="141"/>
      <c r="K450" s="141"/>
      <c r="L450" s="141"/>
      <c r="M450" s="141"/>
      <c r="N450" s="141"/>
      <c r="O450" s="138" t="s">
        <v>3426</v>
      </c>
    </row>
  </sheetData>
  <autoFilter ref="A1:O4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14"/>
  </cols>
  <sheetData>
    <row r="1" customFormat="false" ht="48" hidden="false" customHeight="true" outlineLevel="0" collapsed="false">
      <c r="A1" s="133" t="s">
        <v>3452</v>
      </c>
      <c r="B1" s="133" t="s">
        <v>57</v>
      </c>
      <c r="C1" s="133" t="s">
        <v>3453</v>
      </c>
      <c r="D1" s="133" t="s">
        <v>3454</v>
      </c>
      <c r="E1" s="133" t="s">
        <v>3455</v>
      </c>
      <c r="F1" s="133" t="s">
        <v>3456</v>
      </c>
    </row>
    <row r="2" customFormat="false" ht="15" hidden="false" customHeight="false" outlineLevel="0" collapsed="false">
      <c r="A2" s="138" t="s">
        <v>641</v>
      </c>
      <c r="B2" s="138" t="s">
        <v>3457</v>
      </c>
      <c r="C2" s="138" t="s">
        <v>73</v>
      </c>
      <c r="D2" s="151" t="n">
        <v>5332.68</v>
      </c>
      <c r="E2" s="138" t="s">
        <v>3458</v>
      </c>
      <c r="F2" s="152" t="n">
        <f aca="false">D2/12855.817</f>
        <v>0.414806775796513</v>
      </c>
    </row>
    <row r="3" customFormat="false" ht="15" hidden="false" customHeight="false" outlineLevel="0" collapsed="false">
      <c r="A3" s="138" t="s">
        <v>644</v>
      </c>
      <c r="B3" s="138" t="s">
        <v>3459</v>
      </c>
      <c r="C3" s="138" t="s">
        <v>73</v>
      </c>
      <c r="D3" s="151" t="n">
        <v>376.12</v>
      </c>
      <c r="E3" s="138" t="s">
        <v>3458</v>
      </c>
      <c r="F3" s="152" t="n">
        <f aca="false">D3/12855.817</f>
        <v>0.029256794803473</v>
      </c>
    </row>
    <row r="4" customFormat="false" ht="15" hidden="false" customHeight="false" outlineLevel="0" collapsed="false">
      <c r="A4" s="138" t="s">
        <v>646</v>
      </c>
      <c r="B4" s="138" t="s">
        <v>647</v>
      </c>
      <c r="C4" s="138" t="s">
        <v>80</v>
      </c>
      <c r="D4" s="151" t="n">
        <v>1008</v>
      </c>
      <c r="E4" s="138" t="s">
        <v>3458</v>
      </c>
      <c r="F4" s="152" t="n">
        <f aca="false">D4/12855.817</f>
        <v>0.0784080856160289</v>
      </c>
    </row>
    <row r="5" customFormat="false" ht="15" hidden="false" customHeight="false" outlineLevel="0" collapsed="false">
      <c r="A5" s="138" t="s">
        <v>648</v>
      </c>
      <c r="B5" s="138" t="s">
        <v>649</v>
      </c>
      <c r="C5" s="138" t="s">
        <v>80</v>
      </c>
      <c r="D5" s="151" t="n">
        <v>1019</v>
      </c>
      <c r="E5" s="138" t="s">
        <v>3458</v>
      </c>
      <c r="F5" s="152" t="n">
        <f aca="false">D5/12855.817</f>
        <v>0.0792637294074737</v>
      </c>
    </row>
    <row r="6" customFormat="false" ht="15" hidden="false" customHeight="false" outlineLevel="0" collapsed="false">
      <c r="A6" s="138" t="s">
        <v>650</v>
      </c>
      <c r="B6" s="138" t="s">
        <v>651</v>
      </c>
      <c r="C6" s="138" t="s">
        <v>80</v>
      </c>
      <c r="D6" s="151" t="n">
        <v>3036</v>
      </c>
      <c r="E6" s="138" t="s">
        <v>3458</v>
      </c>
      <c r="F6" s="152" t="n">
        <f aca="false">D6/12855.817</f>
        <v>0.236157686438754</v>
      </c>
    </row>
    <row r="7" customFormat="false" ht="15" hidden="false" customHeight="false" outlineLevel="0" collapsed="false">
      <c r="A7" s="138" t="s">
        <v>613</v>
      </c>
      <c r="B7" s="138" t="s">
        <v>3460</v>
      </c>
      <c r="C7" s="138" t="s">
        <v>73</v>
      </c>
      <c r="D7" s="151" t="n">
        <v>161.58</v>
      </c>
      <c r="E7" s="138" t="s">
        <v>3461</v>
      </c>
    </row>
    <row r="8" customFormat="false" ht="15" hidden="false" customHeight="false" outlineLevel="0" collapsed="false">
      <c r="A8" s="138" t="s">
        <v>618</v>
      </c>
      <c r="B8" s="138" t="s">
        <v>3462</v>
      </c>
      <c r="C8" s="138" t="s">
        <v>80</v>
      </c>
      <c r="D8" s="151" t="n">
        <v>45</v>
      </c>
      <c r="E8" s="138" t="s">
        <v>3463</v>
      </c>
    </row>
    <row r="9" customFormat="false" ht="15" hidden="false" customHeight="false" outlineLevel="0" collapsed="false">
      <c r="A9" s="138" t="s">
        <v>621</v>
      </c>
      <c r="B9" s="138" t="s">
        <v>3464</v>
      </c>
      <c r="C9" s="138" t="s">
        <v>80</v>
      </c>
      <c r="D9" s="151" t="n">
        <v>103</v>
      </c>
      <c r="E9" s="138" t="s">
        <v>3463</v>
      </c>
    </row>
    <row r="10" customFormat="false" ht="15" hidden="false" customHeight="false" outlineLevel="0" collapsed="false">
      <c r="A10" s="138" t="s">
        <v>623</v>
      </c>
      <c r="B10" s="138" t="s">
        <v>3465</v>
      </c>
      <c r="C10" s="138" t="s">
        <v>80</v>
      </c>
      <c r="D10" s="151" t="n">
        <v>11</v>
      </c>
      <c r="E10" s="138" t="s">
        <v>3463</v>
      </c>
    </row>
    <row r="11" customFormat="false" ht="15" hidden="false" customHeight="false" outlineLevel="0" collapsed="false">
      <c r="A11" s="138" t="s">
        <v>625</v>
      </c>
      <c r="B11" s="138" t="s">
        <v>3466</v>
      </c>
      <c r="C11" s="138" t="s">
        <v>80</v>
      </c>
      <c r="D11" s="151" t="n">
        <v>2</v>
      </c>
      <c r="E11" s="138" t="s">
        <v>3463</v>
      </c>
    </row>
    <row r="12" customFormat="false" ht="15" hidden="false" customHeight="false" outlineLevel="0" collapsed="false">
      <c r="A12" s="138" t="s">
        <v>627</v>
      </c>
      <c r="B12" s="138" t="s">
        <v>3467</v>
      </c>
      <c r="C12" s="138" t="s">
        <v>80</v>
      </c>
      <c r="D12" s="151" t="n">
        <v>1</v>
      </c>
      <c r="E12" s="138" t="s">
        <v>3463</v>
      </c>
    </row>
    <row r="13" customFormat="false" ht="15" hidden="false" customHeight="false" outlineLevel="0" collapsed="false">
      <c r="A13" s="138" t="s">
        <v>630</v>
      </c>
      <c r="B13" s="138" t="s">
        <v>3468</v>
      </c>
      <c r="C13" s="138" t="s">
        <v>80</v>
      </c>
      <c r="D13" s="151" t="n">
        <v>2</v>
      </c>
      <c r="E13" s="138" t="s">
        <v>3463</v>
      </c>
    </row>
    <row r="14" customFormat="false" ht="15" hidden="false" customHeight="false" outlineLevel="0" collapsed="false">
      <c r="A14" s="138" t="s">
        <v>3469</v>
      </c>
      <c r="B14" s="138" t="s">
        <v>633</v>
      </c>
      <c r="C14" s="138" t="s">
        <v>80</v>
      </c>
      <c r="D14" s="151" t="n">
        <v>5</v>
      </c>
      <c r="E14" s="138" t="s">
        <v>3463</v>
      </c>
    </row>
    <row r="15" customFormat="false" ht="15" hidden="false" customHeight="false" outlineLevel="0" collapsed="false">
      <c r="A15" s="138" t="s">
        <v>3469</v>
      </c>
      <c r="B15" s="138" t="s">
        <v>3470</v>
      </c>
      <c r="C15" s="138" t="s">
        <v>80</v>
      </c>
      <c r="D15" s="151" t="n">
        <v>1</v>
      </c>
      <c r="E15" s="138" t="s">
        <v>3463</v>
      </c>
    </row>
    <row r="16" customFormat="false" ht="15" hidden="false" customHeight="false" outlineLevel="0" collapsed="false">
      <c r="A16" s="138" t="s">
        <v>3469</v>
      </c>
      <c r="B16" s="138" t="s">
        <v>3471</v>
      </c>
      <c r="C16" s="138" t="s">
        <v>80</v>
      </c>
      <c r="D16" s="151" t="n">
        <v>1</v>
      </c>
      <c r="E16" s="138" t="s">
        <v>3463</v>
      </c>
    </row>
    <row r="17" customFormat="false" ht="15" hidden="false" customHeight="false" outlineLevel="0" collapsed="false">
      <c r="A17" s="138" t="s">
        <v>3472</v>
      </c>
      <c r="B17" s="138" t="s">
        <v>3473</v>
      </c>
      <c r="C17" s="138" t="s">
        <v>176</v>
      </c>
      <c r="D17" s="151" t="n">
        <v>64</v>
      </c>
      <c r="E17" s="138" t="s">
        <v>3463</v>
      </c>
    </row>
    <row r="18" customFormat="false" ht="15" hidden="false" customHeight="false" outlineLevel="0" collapsed="false">
      <c r="A18" s="138" t="s">
        <v>653</v>
      </c>
      <c r="B18" s="138" t="s">
        <v>1183</v>
      </c>
      <c r="C18" s="138" t="s">
        <v>176</v>
      </c>
      <c r="D18" s="151" t="n">
        <v>4735</v>
      </c>
      <c r="E18" s="138" t="s">
        <v>3474</v>
      </c>
    </row>
    <row r="19" customFormat="false" ht="15" hidden="false" customHeight="false" outlineLevel="0" collapsed="false">
      <c r="A19" s="138" t="s">
        <v>3469</v>
      </c>
      <c r="B19" s="138" t="s">
        <v>3475</v>
      </c>
      <c r="C19" s="138" t="s">
        <v>176</v>
      </c>
      <c r="D19" s="151" t="n">
        <v>304</v>
      </c>
      <c r="E19" s="138" t="s">
        <v>3463</v>
      </c>
    </row>
    <row r="20" customFormat="false" ht="15" hidden="false" customHeight="false" outlineLevel="0" collapsed="false">
      <c r="A20" s="138" t="s">
        <v>3469</v>
      </c>
      <c r="B20" s="138" t="s">
        <v>3476</v>
      </c>
      <c r="C20" s="138" t="s">
        <v>80</v>
      </c>
      <c r="D20" s="151" t="n">
        <v>2</v>
      </c>
      <c r="E20" s="138" t="s">
        <v>3463</v>
      </c>
    </row>
    <row r="21" customFormat="false" ht="15" hidden="false" customHeight="false" outlineLevel="0" collapsed="false">
      <c r="A21" s="138" t="s">
        <v>3469</v>
      </c>
      <c r="B21" s="138" t="s">
        <v>3477</v>
      </c>
      <c r="C21" s="138" t="s">
        <v>80</v>
      </c>
      <c r="D21" s="151" t="n">
        <v>83</v>
      </c>
      <c r="E21" s="138" t="s">
        <v>3478</v>
      </c>
    </row>
    <row r="22" customFormat="false" ht="15" hidden="false" customHeight="false" outlineLevel="0" collapsed="false">
      <c r="A22" s="138" t="s">
        <v>3469</v>
      </c>
      <c r="B22" s="138" t="s">
        <v>3479</v>
      </c>
      <c r="C22" s="138" t="s">
        <v>80</v>
      </c>
      <c r="D22" s="151" t="n">
        <v>326</v>
      </c>
      <c r="E22" s="138" t="s">
        <v>3480</v>
      </c>
    </row>
    <row r="24" customFormat="false" ht="15" hidden="false" customHeight="false" outlineLevel="0" collapsed="false">
      <c r="A24" s="136" t="s">
        <v>3481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9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44"/>
  </cols>
  <sheetData>
    <row r="1" customFormat="false" ht="48" hidden="false" customHeight="true" outlineLevel="0" collapsed="false">
      <c r="A1" s="133" t="s">
        <v>9</v>
      </c>
      <c r="B1" s="133" t="s">
        <v>3158</v>
      </c>
      <c r="C1" s="133" t="s">
        <v>3482</v>
      </c>
      <c r="D1" s="133" t="s">
        <v>3483</v>
      </c>
      <c r="E1" s="133" t="s">
        <v>3484</v>
      </c>
      <c r="F1" s="133" t="s">
        <v>2370</v>
      </c>
      <c r="G1" s="133" t="s">
        <v>3485</v>
      </c>
      <c r="H1" s="133" t="s">
        <v>3486</v>
      </c>
    </row>
    <row r="2" customFormat="false" ht="15" hidden="false" customHeight="false" outlineLevel="0" collapsed="false">
      <c r="A2" s="138" t="s">
        <v>1568</v>
      </c>
      <c r="B2" s="138" t="n">
        <v>0</v>
      </c>
      <c r="C2" s="138" t="s">
        <v>3487</v>
      </c>
      <c r="D2" s="138" t="s">
        <v>3488</v>
      </c>
      <c r="E2" s="146" t="n">
        <v>0.7798</v>
      </c>
      <c r="F2" s="138"/>
      <c r="G2" s="138" t="s">
        <v>3489</v>
      </c>
      <c r="H2" s="138" t="s">
        <v>3490</v>
      </c>
    </row>
    <row r="3" customFormat="false" ht="15" hidden="false" customHeight="false" outlineLevel="0" collapsed="false">
      <c r="A3" s="138" t="s">
        <v>1568</v>
      </c>
      <c r="B3" s="138" t="n">
        <v>0</v>
      </c>
      <c r="C3" s="138" t="s">
        <v>3491</v>
      </c>
      <c r="D3" s="138" t="s">
        <v>3492</v>
      </c>
      <c r="E3" s="146" t="n">
        <v>0.7725</v>
      </c>
      <c r="F3" s="138"/>
      <c r="G3" s="138" t="s">
        <v>3489</v>
      </c>
      <c r="H3" s="138" t="s">
        <v>3490</v>
      </c>
    </row>
    <row r="4" customFormat="false" ht="15" hidden="false" customHeight="false" outlineLevel="0" collapsed="false">
      <c r="A4" s="138" t="s">
        <v>1568</v>
      </c>
      <c r="B4" s="138" t="n">
        <v>0</v>
      </c>
      <c r="C4" s="138" t="s">
        <v>3493</v>
      </c>
      <c r="D4" s="138" t="s">
        <v>3494</v>
      </c>
      <c r="E4" s="146" t="n">
        <v>0.27</v>
      </c>
      <c r="F4" s="138"/>
      <c r="G4" s="138" t="s">
        <v>3489</v>
      </c>
      <c r="H4" s="138" t="s">
        <v>3490</v>
      </c>
    </row>
    <row r="5" customFormat="false" ht="15" hidden="false" customHeight="false" outlineLevel="0" collapsed="false">
      <c r="A5" s="138" t="s">
        <v>1568</v>
      </c>
      <c r="B5" s="138" t="n">
        <v>0</v>
      </c>
      <c r="C5" s="138" t="s">
        <v>3495</v>
      </c>
      <c r="D5" s="138" t="s">
        <v>3496</v>
      </c>
      <c r="E5" s="146" t="n">
        <v>2</v>
      </c>
      <c r="F5" s="138"/>
      <c r="G5" s="138" t="s">
        <v>3489</v>
      </c>
      <c r="H5" s="138" t="s">
        <v>3490</v>
      </c>
    </row>
    <row r="6" customFormat="false" ht="15" hidden="false" customHeight="false" outlineLevel="0" collapsed="false">
      <c r="A6" s="138" t="s">
        <v>1568</v>
      </c>
      <c r="B6" s="138" t="n">
        <v>0</v>
      </c>
      <c r="C6" s="138" t="s">
        <v>3497</v>
      </c>
      <c r="D6" s="138" t="s">
        <v>3498</v>
      </c>
      <c r="E6" s="146" t="n">
        <v>2.5</v>
      </c>
      <c r="F6" s="138"/>
      <c r="G6" s="138" t="s">
        <v>3489</v>
      </c>
      <c r="H6" s="138" t="s">
        <v>3490</v>
      </c>
    </row>
    <row r="7" customFormat="false" ht="15" hidden="false" customHeight="false" outlineLevel="0" collapsed="false">
      <c r="A7" s="138" t="s">
        <v>1568</v>
      </c>
      <c r="B7" s="138" t="n">
        <v>0</v>
      </c>
      <c r="C7" s="138" t="s">
        <v>3499</v>
      </c>
      <c r="D7" s="138" t="s">
        <v>3498</v>
      </c>
      <c r="E7" s="146" t="n">
        <v>2.5</v>
      </c>
      <c r="F7" s="138"/>
      <c r="G7" s="138" t="s">
        <v>3489</v>
      </c>
      <c r="H7" s="138" t="s">
        <v>3490</v>
      </c>
    </row>
    <row r="8" customFormat="false" ht="15" hidden="false" customHeight="false" outlineLevel="0" collapsed="false">
      <c r="A8" s="138" t="s">
        <v>1568</v>
      </c>
      <c r="B8" s="138" t="n">
        <v>0</v>
      </c>
      <c r="C8" s="138" t="s">
        <v>3500</v>
      </c>
      <c r="D8" s="138" t="s">
        <v>3501</v>
      </c>
      <c r="E8" s="146" t="n">
        <v>0.7727</v>
      </c>
      <c r="F8" s="138"/>
      <c r="G8" s="138" t="s">
        <v>3489</v>
      </c>
      <c r="H8" s="138" t="s">
        <v>3490</v>
      </c>
    </row>
    <row r="9" customFormat="false" ht="15" hidden="false" customHeight="false" outlineLevel="0" collapsed="false">
      <c r="A9" s="138" t="s">
        <v>1568</v>
      </c>
      <c r="B9" s="138" t="n">
        <v>0</v>
      </c>
      <c r="C9" s="138" t="s">
        <v>3502</v>
      </c>
      <c r="D9" s="138" t="s">
        <v>3496</v>
      </c>
      <c r="E9" s="146" t="n">
        <v>2</v>
      </c>
      <c r="F9" s="138"/>
      <c r="G9" s="138" t="s">
        <v>3489</v>
      </c>
      <c r="H9" s="138" t="s">
        <v>3490</v>
      </c>
    </row>
    <row r="10" customFormat="false" ht="15" hidden="false" customHeight="false" outlineLevel="0" collapsed="false">
      <c r="A10" s="138" t="s">
        <v>1568</v>
      </c>
      <c r="B10" s="138" t="n">
        <v>0</v>
      </c>
      <c r="C10" s="138" t="s">
        <v>3503</v>
      </c>
      <c r="D10" s="138" t="s">
        <v>3504</v>
      </c>
      <c r="E10" s="146" t="n">
        <v>0.7</v>
      </c>
      <c r="F10" s="138" t="s">
        <v>59</v>
      </c>
      <c r="G10" s="138" t="s">
        <v>3505</v>
      </c>
      <c r="H10" s="138" t="s">
        <v>3506</v>
      </c>
    </row>
    <row r="11" customFormat="false" ht="15" hidden="false" customHeight="false" outlineLevel="0" collapsed="false">
      <c r="A11" s="138" t="s">
        <v>1568</v>
      </c>
      <c r="B11" s="138" t="n">
        <v>0</v>
      </c>
      <c r="C11" s="138" t="s">
        <v>3507</v>
      </c>
      <c r="D11" s="138" t="s">
        <v>3498</v>
      </c>
      <c r="E11" s="146" t="n">
        <v>2.5</v>
      </c>
      <c r="F11" s="138" t="s">
        <v>59</v>
      </c>
      <c r="G11" s="138" t="s">
        <v>3505</v>
      </c>
      <c r="H11" s="138" t="s">
        <v>3506</v>
      </c>
    </row>
    <row r="12" customFormat="false" ht="15" hidden="false" customHeight="false" outlineLevel="0" collapsed="false">
      <c r="A12" s="138" t="s">
        <v>1568</v>
      </c>
      <c r="B12" s="138" t="n">
        <v>0</v>
      </c>
      <c r="C12" s="138" t="s">
        <v>3487</v>
      </c>
      <c r="D12" s="138" t="s">
        <v>3488</v>
      </c>
      <c r="E12" s="146" t="n">
        <v>0.7798</v>
      </c>
      <c r="F12" s="138" t="s">
        <v>60</v>
      </c>
      <c r="G12" s="138" t="s">
        <v>3505</v>
      </c>
      <c r="H12" s="138" t="s">
        <v>3508</v>
      </c>
    </row>
    <row r="13" customFormat="false" ht="15" hidden="false" customHeight="false" outlineLevel="0" collapsed="false">
      <c r="A13" s="138" t="s">
        <v>1568</v>
      </c>
      <c r="B13" s="138" t="n">
        <v>0</v>
      </c>
      <c r="C13" s="138" t="s">
        <v>3491</v>
      </c>
      <c r="D13" s="138" t="s">
        <v>3492</v>
      </c>
      <c r="E13" s="146" t="n">
        <v>0.7725</v>
      </c>
      <c r="F13" s="138" t="s">
        <v>60</v>
      </c>
      <c r="G13" s="138" t="s">
        <v>3505</v>
      </c>
      <c r="H13" s="138" t="s">
        <v>3508</v>
      </c>
    </row>
    <row r="14" customFormat="false" ht="15" hidden="false" customHeight="false" outlineLevel="0" collapsed="false">
      <c r="A14" s="138" t="s">
        <v>1568</v>
      </c>
      <c r="B14" s="138" t="n">
        <v>0</v>
      </c>
      <c r="C14" s="138" t="s">
        <v>3493</v>
      </c>
      <c r="D14" s="138" t="s">
        <v>3494</v>
      </c>
      <c r="E14" s="146" t="n">
        <v>0.27</v>
      </c>
      <c r="F14" s="138" t="s">
        <v>60</v>
      </c>
      <c r="G14" s="138" t="s">
        <v>3505</v>
      </c>
      <c r="H14" s="138" t="s">
        <v>3508</v>
      </c>
    </row>
    <row r="15" customFormat="false" ht="15" hidden="false" customHeight="false" outlineLevel="0" collapsed="false">
      <c r="A15" s="138" t="s">
        <v>3509</v>
      </c>
      <c r="B15" s="138" t="n">
        <v>2.03275</v>
      </c>
      <c r="C15" s="138" t="s">
        <v>3497</v>
      </c>
      <c r="D15" s="138" t="s">
        <v>3498</v>
      </c>
      <c r="E15" s="146" t="n">
        <v>2.5</v>
      </c>
      <c r="F15" s="138" t="s">
        <v>60</v>
      </c>
      <c r="G15" s="138" t="s">
        <v>3505</v>
      </c>
      <c r="H15" s="138" t="s">
        <v>3510</v>
      </c>
    </row>
    <row r="16" customFormat="false" ht="15" hidden="false" customHeight="false" outlineLevel="0" collapsed="false">
      <c r="A16" s="138" t="s">
        <v>3511</v>
      </c>
      <c r="B16" s="138" t="n">
        <v>2.5</v>
      </c>
      <c r="C16" s="138" t="s">
        <v>3512</v>
      </c>
      <c r="D16" s="138" t="s">
        <v>3513</v>
      </c>
      <c r="E16" s="146" t="n">
        <v>0.36</v>
      </c>
      <c r="F16" s="138" t="s">
        <v>59</v>
      </c>
      <c r="G16" s="138" t="s">
        <v>3505</v>
      </c>
      <c r="H16" s="138" t="s">
        <v>3506</v>
      </c>
    </row>
    <row r="17" customFormat="false" ht="15" hidden="false" customHeight="false" outlineLevel="0" collapsed="false">
      <c r="A17" s="138" t="s">
        <v>3514</v>
      </c>
      <c r="B17" s="138" t="n">
        <v>3.15</v>
      </c>
      <c r="C17" s="138" t="s">
        <v>3515</v>
      </c>
      <c r="D17" s="138" t="s">
        <v>3494</v>
      </c>
      <c r="E17" s="146" t="n">
        <v>0.27</v>
      </c>
      <c r="F17" s="138" t="s">
        <v>60</v>
      </c>
      <c r="G17" s="138" t="s">
        <v>3505</v>
      </c>
      <c r="H17" s="138" t="s">
        <v>3506</v>
      </c>
    </row>
    <row r="18" customFormat="false" ht="15" hidden="false" customHeight="false" outlineLevel="0" collapsed="false">
      <c r="A18" s="138" t="s">
        <v>2392</v>
      </c>
      <c r="B18" s="138" t="n">
        <v>4.5</v>
      </c>
      <c r="C18" s="138" t="s">
        <v>3516</v>
      </c>
      <c r="D18" s="138" t="s">
        <v>3517</v>
      </c>
      <c r="E18" s="146" t="n">
        <v>0.5027</v>
      </c>
      <c r="F18" s="138" t="s">
        <v>59</v>
      </c>
      <c r="G18" s="138" t="s">
        <v>3505</v>
      </c>
      <c r="H18" s="138" t="s">
        <v>3506</v>
      </c>
    </row>
    <row r="19" customFormat="false" ht="15" hidden="false" customHeight="false" outlineLevel="0" collapsed="false">
      <c r="A19" s="138" t="s">
        <v>2392</v>
      </c>
      <c r="B19" s="138" t="n">
        <v>4.5</v>
      </c>
      <c r="C19" s="138" t="s">
        <v>3516</v>
      </c>
      <c r="D19" s="138" t="s">
        <v>3517</v>
      </c>
      <c r="E19" s="146" t="n">
        <v>0.5027</v>
      </c>
      <c r="F19" s="138" t="s">
        <v>60</v>
      </c>
      <c r="G19" s="138" t="s">
        <v>3505</v>
      </c>
      <c r="H19" s="138" t="s">
        <v>3506</v>
      </c>
    </row>
    <row r="20" customFormat="false" ht="15" hidden="false" customHeight="false" outlineLevel="0" collapsed="false">
      <c r="A20" s="138" t="s">
        <v>1647</v>
      </c>
      <c r="B20" s="138" t="n">
        <v>5</v>
      </c>
      <c r="C20" s="138" t="s">
        <v>3518</v>
      </c>
      <c r="D20" s="138" t="s">
        <v>3494</v>
      </c>
      <c r="E20" s="146" t="n">
        <v>0.27</v>
      </c>
      <c r="F20" s="138" t="s">
        <v>59</v>
      </c>
      <c r="G20" s="138" t="s">
        <v>3505</v>
      </c>
      <c r="H20" s="138" t="s">
        <v>3506</v>
      </c>
    </row>
    <row r="21" customFormat="false" ht="15" hidden="false" customHeight="false" outlineLevel="0" collapsed="false">
      <c r="A21" s="138" t="s">
        <v>3519</v>
      </c>
      <c r="B21" s="138" t="n">
        <v>8.5</v>
      </c>
      <c r="C21" s="138" t="s">
        <v>3520</v>
      </c>
      <c r="D21" s="138" t="s">
        <v>3517</v>
      </c>
      <c r="E21" s="146" t="n">
        <v>0.5027</v>
      </c>
      <c r="F21" s="138" t="s">
        <v>60</v>
      </c>
      <c r="G21" s="138" t="s">
        <v>3505</v>
      </c>
      <c r="H21" s="138" t="s">
        <v>3506</v>
      </c>
    </row>
    <row r="22" customFormat="false" ht="15" hidden="false" customHeight="false" outlineLevel="0" collapsed="false">
      <c r="A22" s="138" t="s">
        <v>1651</v>
      </c>
      <c r="B22" s="138" t="n">
        <v>9</v>
      </c>
      <c r="C22" s="138" t="s">
        <v>3521</v>
      </c>
      <c r="D22" s="138" t="s">
        <v>3517</v>
      </c>
      <c r="E22" s="146" t="n">
        <v>0.5027</v>
      </c>
      <c r="F22" s="138" t="s">
        <v>60</v>
      </c>
      <c r="G22" s="138" t="s">
        <v>3505</v>
      </c>
      <c r="H22" s="138" t="s">
        <v>3506</v>
      </c>
    </row>
    <row r="23" customFormat="false" ht="15" hidden="false" customHeight="false" outlineLevel="0" collapsed="false">
      <c r="A23" s="138" t="s">
        <v>1654</v>
      </c>
      <c r="B23" s="138" t="n">
        <v>12</v>
      </c>
      <c r="C23" s="138" t="s">
        <v>3522</v>
      </c>
      <c r="D23" s="138" t="s">
        <v>3517</v>
      </c>
      <c r="E23" s="146" t="n">
        <v>0.5027</v>
      </c>
      <c r="F23" s="138" t="s">
        <v>60</v>
      </c>
      <c r="G23" s="138" t="s">
        <v>3505</v>
      </c>
      <c r="H23" s="138" t="s">
        <v>3506</v>
      </c>
    </row>
    <row r="24" customFormat="false" ht="15" hidden="false" customHeight="false" outlineLevel="0" collapsed="false">
      <c r="A24" s="138" t="s">
        <v>3523</v>
      </c>
      <c r="B24" s="138" t="n">
        <v>15.5</v>
      </c>
      <c r="C24" s="138" t="s">
        <v>3524</v>
      </c>
      <c r="D24" s="138" t="s">
        <v>3496</v>
      </c>
      <c r="E24" s="146" t="n">
        <v>2</v>
      </c>
      <c r="F24" s="138" t="s">
        <v>59</v>
      </c>
      <c r="G24" s="138" t="s">
        <v>3505</v>
      </c>
      <c r="H24" s="138" t="s">
        <v>3506</v>
      </c>
    </row>
    <row r="25" customFormat="false" ht="15" hidden="false" customHeight="false" outlineLevel="0" collapsed="false">
      <c r="A25" s="138" t="s">
        <v>1665</v>
      </c>
      <c r="B25" s="138" t="n">
        <v>23</v>
      </c>
      <c r="C25" s="138" t="s">
        <v>3525</v>
      </c>
      <c r="D25" s="138" t="s">
        <v>3526</v>
      </c>
      <c r="E25" s="146" t="n">
        <v>1.25</v>
      </c>
      <c r="F25" s="138" t="s">
        <v>60</v>
      </c>
      <c r="G25" s="138" t="s">
        <v>3505</v>
      </c>
      <c r="H25" s="138" t="s">
        <v>3506</v>
      </c>
    </row>
    <row r="26" customFormat="false" ht="15" hidden="false" customHeight="false" outlineLevel="0" collapsed="false">
      <c r="A26" s="138" t="s">
        <v>3527</v>
      </c>
      <c r="B26" s="138" t="n">
        <v>23.5</v>
      </c>
      <c r="C26" s="138" t="s">
        <v>3528</v>
      </c>
      <c r="D26" s="138" t="s">
        <v>3529</v>
      </c>
      <c r="E26" s="146" t="n">
        <v>6</v>
      </c>
      <c r="F26" s="138" t="s">
        <v>59</v>
      </c>
      <c r="G26" s="138" t="s">
        <v>3505</v>
      </c>
      <c r="H26" s="138" t="s">
        <v>3506</v>
      </c>
    </row>
    <row r="27" customFormat="false" ht="15" hidden="false" customHeight="false" outlineLevel="0" collapsed="false">
      <c r="A27" s="138" t="s">
        <v>3530</v>
      </c>
      <c r="B27" s="138" t="n">
        <v>29.5</v>
      </c>
      <c r="C27" s="138" t="s">
        <v>3516</v>
      </c>
      <c r="D27" s="138" t="s">
        <v>3517</v>
      </c>
      <c r="E27" s="146" t="n">
        <v>0.5027</v>
      </c>
      <c r="F27" s="138" t="s">
        <v>60</v>
      </c>
      <c r="G27" s="138" t="s">
        <v>3505</v>
      </c>
      <c r="H27" s="138" t="s">
        <v>3506</v>
      </c>
    </row>
    <row r="28" customFormat="false" ht="15" hidden="false" customHeight="false" outlineLevel="0" collapsed="false">
      <c r="A28" s="138" t="s">
        <v>3531</v>
      </c>
      <c r="B28" s="138" t="n">
        <v>32.5</v>
      </c>
      <c r="C28" s="138" t="s">
        <v>3516</v>
      </c>
      <c r="D28" s="138" t="s">
        <v>3517</v>
      </c>
      <c r="E28" s="146" t="n">
        <v>0.5027</v>
      </c>
      <c r="F28" s="138" t="s">
        <v>59</v>
      </c>
      <c r="G28" s="138" t="s">
        <v>3505</v>
      </c>
      <c r="H28" s="138" t="s">
        <v>3506</v>
      </c>
    </row>
    <row r="29" customFormat="false" ht="15" hidden="false" customHeight="false" outlineLevel="0" collapsed="false">
      <c r="A29" s="138" t="s">
        <v>3531</v>
      </c>
      <c r="B29" s="138" t="n">
        <v>32.5</v>
      </c>
      <c r="C29" s="138" t="s">
        <v>3500</v>
      </c>
      <c r="D29" s="138" t="s">
        <v>3501</v>
      </c>
      <c r="E29" s="146" t="n">
        <v>0.7727</v>
      </c>
      <c r="F29" s="138" t="s">
        <v>60</v>
      </c>
      <c r="G29" s="138" t="s">
        <v>3505</v>
      </c>
      <c r="H29" s="138" t="s">
        <v>3506</v>
      </c>
    </row>
    <row r="30" customFormat="false" ht="15" hidden="false" customHeight="false" outlineLevel="0" collapsed="false">
      <c r="A30" s="138" t="s">
        <v>1693</v>
      </c>
      <c r="B30" s="138" t="n">
        <v>50</v>
      </c>
      <c r="C30" s="138" t="s">
        <v>3503</v>
      </c>
      <c r="D30" s="138" t="s">
        <v>3504</v>
      </c>
      <c r="E30" s="146" t="n">
        <v>0.7</v>
      </c>
      <c r="F30" s="138" t="s">
        <v>60</v>
      </c>
      <c r="G30" s="138" t="s">
        <v>3505</v>
      </c>
      <c r="H30" s="138" t="s">
        <v>3506</v>
      </c>
    </row>
    <row r="31" customFormat="false" ht="15" hidden="false" customHeight="false" outlineLevel="0" collapsed="false">
      <c r="A31" s="138" t="s">
        <v>3532</v>
      </c>
      <c r="B31" s="138" t="n">
        <v>51.9</v>
      </c>
      <c r="C31" s="138" t="s">
        <v>3533</v>
      </c>
      <c r="D31" s="138" t="s">
        <v>3529</v>
      </c>
      <c r="E31" s="146" t="n">
        <v>6</v>
      </c>
      <c r="F31" s="138" t="s">
        <v>59</v>
      </c>
      <c r="G31" s="138" t="s">
        <v>3505</v>
      </c>
      <c r="H31" s="138" t="s">
        <v>3506</v>
      </c>
    </row>
    <row r="32" customFormat="false" ht="15" hidden="false" customHeight="false" outlineLevel="0" collapsed="false">
      <c r="A32" s="138" t="s">
        <v>3534</v>
      </c>
      <c r="B32" s="138" t="n">
        <v>56.5</v>
      </c>
      <c r="C32" s="138" t="s">
        <v>3516</v>
      </c>
      <c r="D32" s="138" t="s">
        <v>3517</v>
      </c>
      <c r="E32" s="146" t="n">
        <v>0.5027</v>
      </c>
      <c r="F32" s="138" t="s">
        <v>60</v>
      </c>
      <c r="G32" s="138" t="s">
        <v>3505</v>
      </c>
      <c r="H32" s="138" t="s">
        <v>3506</v>
      </c>
    </row>
    <row r="33" customFormat="false" ht="15" hidden="false" customHeight="false" outlineLevel="0" collapsed="false">
      <c r="A33" s="138" t="s">
        <v>1710</v>
      </c>
      <c r="B33" s="138" t="n">
        <v>67</v>
      </c>
      <c r="C33" s="138" t="s">
        <v>3516</v>
      </c>
      <c r="D33" s="138" t="s">
        <v>3517</v>
      </c>
      <c r="E33" s="146" t="n">
        <v>0.5027</v>
      </c>
      <c r="F33" s="138" t="s">
        <v>60</v>
      </c>
      <c r="G33" s="138" t="s">
        <v>3505</v>
      </c>
      <c r="H33" s="138" t="s">
        <v>3506</v>
      </c>
    </row>
    <row r="34" customFormat="false" ht="15" hidden="false" customHeight="false" outlineLevel="0" collapsed="false">
      <c r="A34" s="138" t="s">
        <v>1727</v>
      </c>
      <c r="B34" s="138" t="n">
        <v>84</v>
      </c>
      <c r="C34" s="138" t="s">
        <v>3521</v>
      </c>
      <c r="D34" s="138" t="s">
        <v>3517</v>
      </c>
      <c r="E34" s="146" t="n">
        <v>0.5027</v>
      </c>
      <c r="F34" s="138" t="s">
        <v>59</v>
      </c>
      <c r="G34" s="138" t="s">
        <v>3535</v>
      </c>
      <c r="H34" s="138" t="s">
        <v>3506</v>
      </c>
    </row>
    <row r="35" customFormat="false" ht="15" hidden="false" customHeight="false" outlineLevel="0" collapsed="false">
      <c r="A35" s="138" t="s">
        <v>1736</v>
      </c>
      <c r="B35" s="138" t="n">
        <v>93</v>
      </c>
      <c r="C35" s="138" t="s">
        <v>3516</v>
      </c>
      <c r="D35" s="138" t="s">
        <v>3517</v>
      </c>
      <c r="E35" s="146" t="n">
        <v>0.5027</v>
      </c>
      <c r="F35" s="138" t="s">
        <v>59</v>
      </c>
      <c r="G35" s="138" t="s">
        <v>3535</v>
      </c>
      <c r="H35" s="138" t="s">
        <v>3506</v>
      </c>
    </row>
    <row r="36" customFormat="false" ht="15" hidden="false" customHeight="false" outlineLevel="0" collapsed="false">
      <c r="A36" s="138" t="s">
        <v>1744</v>
      </c>
      <c r="B36" s="138" t="n">
        <v>100</v>
      </c>
      <c r="C36" s="138" t="s">
        <v>3503</v>
      </c>
      <c r="D36" s="138" t="s">
        <v>3504</v>
      </c>
      <c r="E36" s="146" t="n">
        <v>0.7</v>
      </c>
      <c r="F36" s="138" t="s">
        <v>60</v>
      </c>
      <c r="G36" s="138" t="s">
        <v>3535</v>
      </c>
      <c r="H36" s="138" t="s">
        <v>3506</v>
      </c>
    </row>
    <row r="37" customFormat="false" ht="15" hidden="false" customHeight="false" outlineLevel="0" collapsed="false">
      <c r="A37" s="138" t="s">
        <v>3536</v>
      </c>
      <c r="B37" s="138" t="n">
        <v>112.5</v>
      </c>
      <c r="C37" s="138" t="s">
        <v>3516</v>
      </c>
      <c r="D37" s="138" t="s">
        <v>3517</v>
      </c>
      <c r="E37" s="146" t="n">
        <v>0.5027</v>
      </c>
      <c r="F37" s="138" t="s">
        <v>60</v>
      </c>
      <c r="G37" s="138" t="s">
        <v>3535</v>
      </c>
      <c r="H37" s="138" t="s">
        <v>3506</v>
      </c>
    </row>
    <row r="38" customFormat="false" ht="15" hidden="false" customHeight="false" outlineLevel="0" collapsed="false">
      <c r="A38" s="138" t="s">
        <v>1762</v>
      </c>
      <c r="B38" s="138" t="n">
        <v>118</v>
      </c>
      <c r="C38" s="138" t="s">
        <v>3537</v>
      </c>
      <c r="D38" s="138" t="s">
        <v>3504</v>
      </c>
      <c r="E38" s="146" t="n">
        <v>0.7</v>
      </c>
      <c r="F38" s="138" t="s">
        <v>60</v>
      </c>
      <c r="G38" s="138" t="s">
        <v>3535</v>
      </c>
      <c r="H38" s="138" t="s">
        <v>3506</v>
      </c>
    </row>
    <row r="39" customFormat="false" ht="15" hidden="false" customHeight="false" outlineLevel="0" collapsed="false">
      <c r="A39" s="138" t="s">
        <v>3538</v>
      </c>
      <c r="B39" s="138" t="n">
        <v>120.5</v>
      </c>
      <c r="C39" s="138" t="s">
        <v>3537</v>
      </c>
      <c r="D39" s="138" t="s">
        <v>3504</v>
      </c>
      <c r="E39" s="146" t="n">
        <v>0.7</v>
      </c>
      <c r="F39" s="138" t="s">
        <v>59</v>
      </c>
      <c r="G39" s="138" t="s">
        <v>3535</v>
      </c>
      <c r="H39" s="138" t="s">
        <v>3506</v>
      </c>
    </row>
    <row r="40" customFormat="false" ht="15" hidden="false" customHeight="false" outlineLevel="0" collapsed="false">
      <c r="A40" s="138" t="s">
        <v>1781</v>
      </c>
      <c r="B40" s="138" t="n">
        <v>132</v>
      </c>
      <c r="C40" s="138" t="s">
        <v>3516</v>
      </c>
      <c r="D40" s="138" t="s">
        <v>3517</v>
      </c>
      <c r="E40" s="146" t="n">
        <v>0.5027</v>
      </c>
      <c r="F40" s="138" t="s">
        <v>59</v>
      </c>
      <c r="G40" s="138" t="s">
        <v>3535</v>
      </c>
      <c r="H40" s="138" t="s">
        <v>3506</v>
      </c>
    </row>
    <row r="41" customFormat="false" ht="15" hidden="false" customHeight="false" outlineLevel="0" collapsed="false">
      <c r="A41" s="138" t="s">
        <v>3539</v>
      </c>
      <c r="B41" s="138" t="n">
        <v>137.75</v>
      </c>
      <c r="C41" s="138" t="s">
        <v>3516</v>
      </c>
      <c r="D41" s="138" t="s">
        <v>3517</v>
      </c>
      <c r="E41" s="146" t="n">
        <v>0.5027</v>
      </c>
      <c r="F41" s="138" t="s">
        <v>60</v>
      </c>
      <c r="G41" s="138" t="s">
        <v>3535</v>
      </c>
      <c r="H41" s="138" t="s">
        <v>3506</v>
      </c>
    </row>
    <row r="42" customFormat="false" ht="15" hidden="false" customHeight="false" outlineLevel="0" collapsed="false">
      <c r="A42" s="138" t="s">
        <v>1799</v>
      </c>
      <c r="B42" s="138" t="n">
        <v>150</v>
      </c>
      <c r="C42" s="138" t="s">
        <v>3503</v>
      </c>
      <c r="D42" s="138" t="s">
        <v>3504</v>
      </c>
      <c r="E42" s="146" t="n">
        <v>0.7</v>
      </c>
      <c r="F42" s="138" t="s">
        <v>60</v>
      </c>
      <c r="G42" s="138" t="s">
        <v>3540</v>
      </c>
      <c r="H42" s="138" t="s">
        <v>3506</v>
      </c>
    </row>
    <row r="43" customFormat="false" ht="15" hidden="false" customHeight="false" outlineLevel="0" collapsed="false">
      <c r="A43" s="138" t="s">
        <v>3541</v>
      </c>
      <c r="B43" s="138" t="n">
        <v>155.5</v>
      </c>
      <c r="C43" s="138" t="s">
        <v>3516</v>
      </c>
      <c r="D43" s="138" t="s">
        <v>3517</v>
      </c>
      <c r="E43" s="146" t="n">
        <v>0.5027</v>
      </c>
      <c r="F43" s="138" t="s">
        <v>60</v>
      </c>
      <c r="G43" s="138" t="s">
        <v>3540</v>
      </c>
      <c r="H43" s="138" t="s">
        <v>3506</v>
      </c>
    </row>
    <row r="44" customFormat="false" ht="15" hidden="false" customHeight="false" outlineLevel="0" collapsed="false">
      <c r="A44" s="138" t="s">
        <v>1810</v>
      </c>
      <c r="B44" s="138" t="n">
        <v>161</v>
      </c>
      <c r="C44" s="138" t="s">
        <v>3542</v>
      </c>
      <c r="D44" s="138" t="s">
        <v>3513</v>
      </c>
      <c r="E44" s="146" t="n">
        <v>0.36</v>
      </c>
      <c r="F44" s="138" t="s">
        <v>60</v>
      </c>
      <c r="G44" s="138" t="s">
        <v>3540</v>
      </c>
      <c r="H44" s="138" t="s">
        <v>3506</v>
      </c>
    </row>
    <row r="45" customFormat="false" ht="15" hidden="false" customHeight="false" outlineLevel="0" collapsed="false">
      <c r="A45" s="138" t="s">
        <v>1817</v>
      </c>
      <c r="B45" s="138" t="n">
        <v>168</v>
      </c>
      <c r="C45" s="138" t="s">
        <v>3537</v>
      </c>
      <c r="D45" s="138" t="s">
        <v>3504</v>
      </c>
      <c r="E45" s="146" t="n">
        <v>0.7</v>
      </c>
      <c r="F45" s="138" t="s">
        <v>60</v>
      </c>
      <c r="G45" s="138" t="s">
        <v>3540</v>
      </c>
      <c r="H45" s="138" t="s">
        <v>3506</v>
      </c>
    </row>
    <row r="46" customFormat="false" ht="15" hidden="false" customHeight="false" outlineLevel="0" collapsed="false">
      <c r="A46" s="138" t="s">
        <v>3543</v>
      </c>
      <c r="B46" s="138" t="n">
        <v>169.5</v>
      </c>
      <c r="C46" s="138" t="s">
        <v>3544</v>
      </c>
      <c r="D46" s="138" t="s">
        <v>3513</v>
      </c>
      <c r="E46" s="146" t="n">
        <v>0.36</v>
      </c>
      <c r="F46" s="138" t="s">
        <v>60</v>
      </c>
      <c r="G46" s="138" t="s">
        <v>3540</v>
      </c>
      <c r="H46" s="138" t="s">
        <v>3506</v>
      </c>
    </row>
    <row r="47" customFormat="false" ht="15" hidden="false" customHeight="false" outlineLevel="0" collapsed="false">
      <c r="A47" s="138" t="s">
        <v>3545</v>
      </c>
      <c r="B47" s="138" t="n">
        <v>175.5</v>
      </c>
      <c r="C47" s="138" t="s">
        <v>3537</v>
      </c>
      <c r="D47" s="138" t="s">
        <v>3504</v>
      </c>
      <c r="E47" s="146" t="n">
        <v>0.7</v>
      </c>
      <c r="F47" s="138" t="s">
        <v>59</v>
      </c>
      <c r="G47" s="138" t="s">
        <v>3540</v>
      </c>
      <c r="H47" s="138" t="s">
        <v>3506</v>
      </c>
    </row>
    <row r="48" customFormat="false" ht="15" hidden="false" customHeight="false" outlineLevel="0" collapsed="false">
      <c r="A48" s="138" t="s">
        <v>1827</v>
      </c>
      <c r="B48" s="138" t="n">
        <v>178</v>
      </c>
      <c r="C48" s="138" t="s">
        <v>3516</v>
      </c>
      <c r="D48" s="138" t="s">
        <v>3517</v>
      </c>
      <c r="E48" s="146" t="n">
        <v>0.5027</v>
      </c>
      <c r="F48" s="138" t="s">
        <v>59</v>
      </c>
      <c r="G48" s="138" t="s">
        <v>3540</v>
      </c>
      <c r="H48" s="138" t="s">
        <v>3506</v>
      </c>
    </row>
    <row r="49" customFormat="false" ht="15" hidden="false" customHeight="false" outlineLevel="0" collapsed="false">
      <c r="A49" s="138" t="s">
        <v>3546</v>
      </c>
      <c r="B49" s="138" t="n">
        <v>180.5</v>
      </c>
      <c r="C49" s="138" t="s">
        <v>3516</v>
      </c>
      <c r="D49" s="138" t="s">
        <v>3517</v>
      </c>
      <c r="E49" s="146" t="n">
        <v>0.5027</v>
      </c>
      <c r="F49" s="138" t="s">
        <v>60</v>
      </c>
      <c r="G49" s="138" t="s">
        <v>3540</v>
      </c>
      <c r="H49" s="138" t="s">
        <v>3506</v>
      </c>
    </row>
    <row r="50" customFormat="false" ht="15" hidden="false" customHeight="false" outlineLevel="0" collapsed="false">
      <c r="A50" s="138" t="s">
        <v>1835</v>
      </c>
      <c r="B50" s="138" t="n">
        <v>186</v>
      </c>
      <c r="C50" s="138" t="s">
        <v>3544</v>
      </c>
      <c r="D50" s="138" t="s">
        <v>3513</v>
      </c>
      <c r="E50" s="146" t="n">
        <v>0.36</v>
      </c>
      <c r="F50" s="138" t="s">
        <v>60</v>
      </c>
      <c r="G50" s="138" t="s">
        <v>3540</v>
      </c>
      <c r="H50" s="138" t="s">
        <v>3506</v>
      </c>
    </row>
    <row r="51" customFormat="false" ht="15" hidden="false" customHeight="false" outlineLevel="0" collapsed="false">
      <c r="A51" s="138" t="s">
        <v>3547</v>
      </c>
      <c r="B51" s="138" t="n">
        <v>197.5</v>
      </c>
      <c r="C51" s="138" t="s">
        <v>3542</v>
      </c>
      <c r="D51" s="138" t="s">
        <v>3513</v>
      </c>
      <c r="E51" s="146" t="n">
        <v>0.36</v>
      </c>
      <c r="F51" s="138" t="s">
        <v>59</v>
      </c>
      <c r="G51" s="138" t="s">
        <v>3540</v>
      </c>
      <c r="H51" s="138" t="s">
        <v>3506</v>
      </c>
    </row>
    <row r="52" customFormat="false" ht="15" hidden="false" customHeight="false" outlineLevel="0" collapsed="false">
      <c r="A52" s="138" t="s">
        <v>1849</v>
      </c>
      <c r="B52" s="138" t="n">
        <v>200</v>
      </c>
      <c r="C52" s="138" t="s">
        <v>3503</v>
      </c>
      <c r="D52" s="138" t="s">
        <v>3504</v>
      </c>
      <c r="E52" s="146" t="n">
        <v>0.7</v>
      </c>
      <c r="F52" s="138" t="s">
        <v>59</v>
      </c>
      <c r="G52" s="138" t="s">
        <v>3540</v>
      </c>
      <c r="H52" s="138" t="s">
        <v>3506</v>
      </c>
    </row>
    <row r="53" customFormat="false" ht="15" hidden="false" customHeight="false" outlineLevel="0" collapsed="false">
      <c r="A53" s="138" t="s">
        <v>3548</v>
      </c>
      <c r="B53" s="138" t="n">
        <v>201.5</v>
      </c>
      <c r="C53" s="138" t="s">
        <v>3516</v>
      </c>
      <c r="D53" s="138" t="s">
        <v>3517</v>
      </c>
      <c r="E53" s="146" t="n">
        <v>0.5027</v>
      </c>
      <c r="F53" s="138" t="s">
        <v>59</v>
      </c>
      <c r="G53" s="138" t="s">
        <v>3540</v>
      </c>
      <c r="H53" s="138" t="s">
        <v>3506</v>
      </c>
    </row>
    <row r="54" customFormat="false" ht="15" hidden="false" customHeight="false" outlineLevel="0" collapsed="false">
      <c r="A54" s="138" t="s">
        <v>1858</v>
      </c>
      <c r="B54" s="138" t="n">
        <v>207</v>
      </c>
      <c r="C54" s="138" t="s">
        <v>3516</v>
      </c>
      <c r="D54" s="138" t="s">
        <v>3517</v>
      </c>
      <c r="E54" s="146" t="n">
        <v>0.5027</v>
      </c>
      <c r="F54" s="138" t="s">
        <v>60</v>
      </c>
      <c r="G54" s="138" t="s">
        <v>3540</v>
      </c>
      <c r="H54" s="138" t="s">
        <v>3506</v>
      </c>
    </row>
    <row r="55" customFormat="false" ht="15" hidden="false" customHeight="false" outlineLevel="0" collapsed="false">
      <c r="A55" s="138" t="s">
        <v>1862</v>
      </c>
      <c r="B55" s="138" t="n">
        <v>210</v>
      </c>
      <c r="C55" s="138" t="s">
        <v>3537</v>
      </c>
      <c r="D55" s="138" t="s">
        <v>3504</v>
      </c>
      <c r="E55" s="146" t="n">
        <v>0.7</v>
      </c>
      <c r="F55" s="138" t="s">
        <v>60</v>
      </c>
      <c r="G55" s="138" t="s">
        <v>3540</v>
      </c>
      <c r="H55" s="138" t="s">
        <v>3506</v>
      </c>
    </row>
    <row r="56" customFormat="false" ht="15" hidden="false" customHeight="false" outlineLevel="0" collapsed="false">
      <c r="A56" s="138" t="s">
        <v>3549</v>
      </c>
      <c r="B56" s="138" t="n">
        <v>212.5</v>
      </c>
      <c r="C56" s="138" t="s">
        <v>3537</v>
      </c>
      <c r="D56" s="138" t="s">
        <v>3504</v>
      </c>
      <c r="E56" s="146" t="n">
        <v>0.7</v>
      </c>
      <c r="F56" s="138" t="s">
        <v>59</v>
      </c>
      <c r="G56" s="138" t="s">
        <v>3540</v>
      </c>
      <c r="H56" s="138" t="s">
        <v>3506</v>
      </c>
    </row>
    <row r="57" customFormat="false" ht="15" hidden="false" customHeight="false" outlineLevel="0" collapsed="false">
      <c r="A57" s="138" t="s">
        <v>1879</v>
      </c>
      <c r="B57" s="138" t="n">
        <v>227</v>
      </c>
      <c r="C57" s="138" t="s">
        <v>3516</v>
      </c>
      <c r="D57" s="138" t="s">
        <v>3517</v>
      </c>
      <c r="E57" s="146" t="n">
        <v>0.5027</v>
      </c>
      <c r="F57" s="138" t="s">
        <v>60</v>
      </c>
      <c r="G57" s="138" t="s">
        <v>3550</v>
      </c>
      <c r="H57" s="138" t="s">
        <v>3506</v>
      </c>
    </row>
    <row r="58" customFormat="false" ht="15" hidden="false" customHeight="false" outlineLevel="0" collapsed="false">
      <c r="A58" s="138" t="s">
        <v>1880</v>
      </c>
      <c r="B58" s="138" t="n">
        <v>228</v>
      </c>
      <c r="C58" s="138" t="s">
        <v>3551</v>
      </c>
      <c r="D58" s="138" t="s">
        <v>3513</v>
      </c>
      <c r="E58" s="146" t="n">
        <v>0.36</v>
      </c>
      <c r="F58" s="138" t="s">
        <v>60</v>
      </c>
      <c r="G58" s="138" t="s">
        <v>3550</v>
      </c>
      <c r="H58" s="138" t="s">
        <v>3506</v>
      </c>
    </row>
    <row r="59" customFormat="false" ht="15" hidden="false" customHeight="false" outlineLevel="0" collapsed="false">
      <c r="A59" s="138" t="s">
        <v>3552</v>
      </c>
      <c r="B59" s="138" t="n">
        <v>234.5</v>
      </c>
      <c r="C59" s="138" t="s">
        <v>3553</v>
      </c>
      <c r="D59" s="138" t="s">
        <v>3496</v>
      </c>
      <c r="E59" s="146" t="n">
        <v>2</v>
      </c>
      <c r="F59" s="138" t="s">
        <v>60</v>
      </c>
      <c r="G59" s="138" t="s">
        <v>3550</v>
      </c>
      <c r="H59" s="138" t="s">
        <v>3506</v>
      </c>
    </row>
    <row r="60" customFormat="false" ht="15" hidden="false" customHeight="false" outlineLevel="0" collapsed="false">
      <c r="A60" s="138" t="s">
        <v>3554</v>
      </c>
      <c r="B60" s="138" t="n">
        <v>237.5</v>
      </c>
      <c r="C60" s="138" t="s">
        <v>3555</v>
      </c>
      <c r="D60" s="138" t="s">
        <v>3496</v>
      </c>
      <c r="E60" s="146" t="n">
        <v>2</v>
      </c>
      <c r="F60" s="138" t="s">
        <v>59</v>
      </c>
      <c r="G60" s="138" t="s">
        <v>3550</v>
      </c>
      <c r="H60" s="138" t="s">
        <v>3506</v>
      </c>
    </row>
    <row r="61" customFormat="false" ht="15" hidden="false" customHeight="false" outlineLevel="0" collapsed="false">
      <c r="A61" s="138" t="s">
        <v>3556</v>
      </c>
      <c r="B61" s="138" t="n">
        <v>244.5</v>
      </c>
      <c r="C61" s="138" t="s">
        <v>3551</v>
      </c>
      <c r="D61" s="138" t="s">
        <v>3513</v>
      </c>
      <c r="E61" s="146" t="n">
        <v>0.36</v>
      </c>
      <c r="F61" s="138" t="s">
        <v>60</v>
      </c>
      <c r="G61" s="138" t="s">
        <v>3550</v>
      </c>
      <c r="H61" s="138" t="s">
        <v>3506</v>
      </c>
    </row>
    <row r="62" customFormat="false" ht="15" hidden="false" customHeight="false" outlineLevel="0" collapsed="false">
      <c r="A62" s="138" t="s">
        <v>3557</v>
      </c>
      <c r="B62" s="138" t="n">
        <v>248.5</v>
      </c>
      <c r="C62" s="138" t="s">
        <v>3516</v>
      </c>
      <c r="D62" s="138" t="s">
        <v>3517</v>
      </c>
      <c r="E62" s="146" t="n">
        <v>0.5027</v>
      </c>
      <c r="F62" s="138" t="s">
        <v>60</v>
      </c>
      <c r="G62" s="138" t="s">
        <v>3550</v>
      </c>
      <c r="H62" s="138" t="s">
        <v>3506</v>
      </c>
    </row>
    <row r="63" customFormat="false" ht="15" hidden="false" customHeight="false" outlineLevel="0" collapsed="false">
      <c r="A63" s="138" t="s">
        <v>3558</v>
      </c>
      <c r="B63" s="138" t="n">
        <v>250.5</v>
      </c>
      <c r="C63" s="138" t="s">
        <v>3503</v>
      </c>
      <c r="D63" s="138" t="s">
        <v>3504</v>
      </c>
      <c r="E63" s="146" t="n">
        <v>0.7</v>
      </c>
      <c r="F63" s="138" t="s">
        <v>60</v>
      </c>
      <c r="G63" s="138" t="s">
        <v>3550</v>
      </c>
      <c r="H63" s="138" t="s">
        <v>3506</v>
      </c>
    </row>
    <row r="64" customFormat="false" ht="15" hidden="false" customHeight="false" outlineLevel="0" collapsed="false">
      <c r="A64" s="138" t="s">
        <v>3559</v>
      </c>
      <c r="B64" s="138" t="n">
        <v>253.5</v>
      </c>
      <c r="C64" s="138" t="s">
        <v>3537</v>
      </c>
      <c r="D64" s="138" t="s">
        <v>3504</v>
      </c>
      <c r="E64" s="146" t="n">
        <v>0.7</v>
      </c>
      <c r="F64" s="138" t="s">
        <v>60</v>
      </c>
      <c r="G64" s="138" t="s">
        <v>3550</v>
      </c>
      <c r="H64" s="138" t="s">
        <v>3506</v>
      </c>
    </row>
    <row r="65" customFormat="false" ht="15" hidden="false" customHeight="false" outlineLevel="0" collapsed="false">
      <c r="A65" s="138" t="s">
        <v>3560</v>
      </c>
      <c r="B65" s="138" t="n">
        <v>254.5</v>
      </c>
      <c r="C65" s="138" t="s">
        <v>3537</v>
      </c>
      <c r="D65" s="138" t="s">
        <v>3504</v>
      </c>
      <c r="E65" s="146" t="n">
        <v>0.7</v>
      </c>
      <c r="F65" s="138" t="s">
        <v>59</v>
      </c>
      <c r="G65" s="138" t="s">
        <v>3550</v>
      </c>
      <c r="H65" s="138" t="s">
        <v>3506</v>
      </c>
    </row>
    <row r="66" customFormat="false" ht="15" hidden="false" customHeight="false" outlineLevel="0" collapsed="false">
      <c r="A66" s="138" t="s">
        <v>3561</v>
      </c>
      <c r="B66" s="138" t="n">
        <v>259.45</v>
      </c>
      <c r="C66" s="138" t="s">
        <v>3515</v>
      </c>
      <c r="D66" s="138" t="s">
        <v>3494</v>
      </c>
      <c r="E66" s="146" t="n">
        <v>0.27</v>
      </c>
      <c r="F66" s="138" t="s">
        <v>59</v>
      </c>
      <c r="G66" s="138" t="s">
        <v>3550</v>
      </c>
      <c r="H66" s="138" t="s">
        <v>3506</v>
      </c>
    </row>
    <row r="67" customFormat="false" ht="15" hidden="false" customHeight="false" outlineLevel="0" collapsed="false">
      <c r="A67" s="138" t="s">
        <v>3562</v>
      </c>
      <c r="B67" s="138" t="n">
        <v>264.5</v>
      </c>
      <c r="C67" s="138" t="s">
        <v>3516</v>
      </c>
      <c r="D67" s="138" t="s">
        <v>3517</v>
      </c>
      <c r="E67" s="146" t="n">
        <v>0.5027</v>
      </c>
      <c r="F67" s="138" t="s">
        <v>59</v>
      </c>
      <c r="G67" s="138" t="s">
        <v>3550</v>
      </c>
      <c r="H67" s="138" t="s">
        <v>3506</v>
      </c>
    </row>
    <row r="68" customFormat="false" ht="15" hidden="false" customHeight="false" outlineLevel="0" collapsed="false">
      <c r="A68" s="138" t="s">
        <v>1920</v>
      </c>
      <c r="B68" s="138" t="n">
        <v>265</v>
      </c>
      <c r="C68" s="138" t="s">
        <v>3516</v>
      </c>
      <c r="D68" s="138" t="s">
        <v>3517</v>
      </c>
      <c r="E68" s="146" t="n">
        <v>0.5027</v>
      </c>
      <c r="F68" s="138" t="s">
        <v>60</v>
      </c>
      <c r="G68" s="138" t="s">
        <v>3550</v>
      </c>
      <c r="H68" s="138" t="s">
        <v>3506</v>
      </c>
    </row>
    <row r="69" customFormat="false" ht="15" hidden="false" customHeight="false" outlineLevel="0" collapsed="false">
      <c r="A69" s="138" t="s">
        <v>1934</v>
      </c>
      <c r="B69" s="138" t="n">
        <v>279</v>
      </c>
      <c r="C69" s="138" t="s">
        <v>3563</v>
      </c>
      <c r="D69" s="138" t="s">
        <v>3496</v>
      </c>
      <c r="E69" s="146" t="n">
        <v>2</v>
      </c>
      <c r="F69" s="138" t="s">
        <v>59</v>
      </c>
      <c r="G69" s="138" t="s">
        <v>3550</v>
      </c>
      <c r="H69" s="138" t="s">
        <v>3506</v>
      </c>
    </row>
    <row r="70" customFormat="false" ht="15" hidden="false" customHeight="false" outlineLevel="0" collapsed="false">
      <c r="A70" s="138" t="s">
        <v>3564</v>
      </c>
      <c r="B70" s="138" t="n">
        <v>285.5</v>
      </c>
      <c r="C70" s="138" t="s">
        <v>3565</v>
      </c>
      <c r="D70" s="138" t="s">
        <v>3496</v>
      </c>
      <c r="E70" s="146" t="n">
        <v>2</v>
      </c>
      <c r="F70" s="138" t="s">
        <v>60</v>
      </c>
      <c r="G70" s="138" t="s">
        <v>3550</v>
      </c>
      <c r="H70" s="138" t="s">
        <v>3506</v>
      </c>
    </row>
    <row r="71" customFormat="false" ht="15" hidden="false" customHeight="false" outlineLevel="0" collapsed="false">
      <c r="A71" s="138" t="s">
        <v>3566</v>
      </c>
      <c r="B71" s="138" t="n">
        <v>294.5</v>
      </c>
      <c r="C71" s="138" t="s">
        <v>3567</v>
      </c>
      <c r="D71" s="138" t="s">
        <v>3496</v>
      </c>
      <c r="E71" s="146" t="n">
        <v>2</v>
      </c>
      <c r="F71" s="138" t="s">
        <v>60</v>
      </c>
      <c r="G71" s="138" t="s">
        <v>3568</v>
      </c>
      <c r="H71" s="138" t="s">
        <v>3506</v>
      </c>
    </row>
    <row r="72" customFormat="false" ht="15" hidden="false" customHeight="false" outlineLevel="0" collapsed="false">
      <c r="A72" s="138" t="s">
        <v>1950</v>
      </c>
      <c r="B72" s="138" t="n">
        <v>295</v>
      </c>
      <c r="C72" s="138" t="s">
        <v>3516</v>
      </c>
      <c r="D72" s="138" t="s">
        <v>3517</v>
      </c>
      <c r="E72" s="146" t="n">
        <v>0.5027</v>
      </c>
      <c r="F72" s="138" t="s">
        <v>59</v>
      </c>
      <c r="G72" s="138" t="s">
        <v>3568</v>
      </c>
      <c r="H72" s="138" t="s">
        <v>3506</v>
      </c>
    </row>
    <row r="73" customFormat="false" ht="15" hidden="false" customHeight="false" outlineLevel="0" collapsed="false">
      <c r="A73" s="138" t="s">
        <v>1955</v>
      </c>
      <c r="B73" s="138" t="n">
        <v>300</v>
      </c>
      <c r="C73" s="138" t="s">
        <v>3503</v>
      </c>
      <c r="D73" s="138" t="s">
        <v>3504</v>
      </c>
      <c r="E73" s="146" t="n">
        <v>0.7</v>
      </c>
      <c r="F73" s="138" t="s">
        <v>59</v>
      </c>
      <c r="G73" s="138" t="s">
        <v>3568</v>
      </c>
      <c r="H73" s="138" t="s">
        <v>3506</v>
      </c>
    </row>
    <row r="74" customFormat="false" ht="15" hidden="false" customHeight="false" outlineLevel="0" collapsed="false">
      <c r="A74" s="138" t="s">
        <v>1957</v>
      </c>
      <c r="B74" s="138" t="n">
        <v>302</v>
      </c>
      <c r="C74" s="138" t="s">
        <v>3569</v>
      </c>
      <c r="D74" s="138" t="s">
        <v>3570</v>
      </c>
      <c r="E74" s="146" t="n">
        <v>1.75</v>
      </c>
      <c r="F74" s="138" t="s">
        <v>59</v>
      </c>
      <c r="G74" s="138" t="s">
        <v>3568</v>
      </c>
      <c r="H74" s="138" t="s">
        <v>3506</v>
      </c>
    </row>
    <row r="75" customFormat="false" ht="15" hidden="false" customHeight="false" outlineLevel="0" collapsed="false">
      <c r="A75" s="138" t="s">
        <v>3571</v>
      </c>
      <c r="B75" s="138" t="n">
        <v>304.5</v>
      </c>
      <c r="C75" s="138" t="s">
        <v>3524</v>
      </c>
      <c r="D75" s="138" t="s">
        <v>3496</v>
      </c>
      <c r="E75" s="146" t="n">
        <v>2</v>
      </c>
      <c r="F75" s="138" t="s">
        <v>60</v>
      </c>
      <c r="G75" s="138" t="s">
        <v>3568</v>
      </c>
      <c r="H75" s="138" t="s">
        <v>3506</v>
      </c>
    </row>
    <row r="76" customFormat="false" ht="15" hidden="false" customHeight="false" outlineLevel="0" collapsed="false">
      <c r="A76" s="138" t="s">
        <v>3572</v>
      </c>
      <c r="B76" s="138" t="n">
        <v>310.5</v>
      </c>
      <c r="C76" s="138" t="s">
        <v>3516</v>
      </c>
      <c r="D76" s="138" t="s">
        <v>3517</v>
      </c>
      <c r="E76" s="146" t="n">
        <v>0.5027</v>
      </c>
      <c r="F76" s="138" t="s">
        <v>60</v>
      </c>
      <c r="G76" s="138" t="s">
        <v>3568</v>
      </c>
      <c r="H76" s="138" t="s">
        <v>3506</v>
      </c>
    </row>
    <row r="77" customFormat="false" ht="15" hidden="false" customHeight="false" outlineLevel="0" collapsed="false">
      <c r="A77" s="138" t="s">
        <v>1969</v>
      </c>
      <c r="B77" s="138" t="n">
        <v>313</v>
      </c>
      <c r="C77" s="138" t="s">
        <v>3573</v>
      </c>
      <c r="D77" s="138" t="s">
        <v>3513</v>
      </c>
      <c r="E77" s="146" t="n">
        <v>0.36</v>
      </c>
      <c r="F77" s="138" t="s">
        <v>60</v>
      </c>
      <c r="G77" s="138" t="s">
        <v>3568</v>
      </c>
      <c r="H77" s="138" t="s">
        <v>3506</v>
      </c>
    </row>
    <row r="78" customFormat="false" ht="15" hidden="false" customHeight="false" outlineLevel="0" collapsed="false">
      <c r="A78" s="138" t="s">
        <v>1970</v>
      </c>
      <c r="B78" s="138" t="n">
        <v>314</v>
      </c>
      <c r="C78" s="138" t="s">
        <v>3521</v>
      </c>
      <c r="D78" s="138" t="s">
        <v>3517</v>
      </c>
      <c r="E78" s="146" t="n">
        <v>0.5027</v>
      </c>
      <c r="F78" s="138" t="s">
        <v>59</v>
      </c>
      <c r="G78" s="138" t="s">
        <v>3568</v>
      </c>
      <c r="H78" s="138" t="s">
        <v>3506</v>
      </c>
    </row>
    <row r="79" customFormat="false" ht="15" hidden="false" customHeight="false" outlineLevel="0" collapsed="false">
      <c r="A79" s="138" t="s">
        <v>1973</v>
      </c>
      <c r="B79" s="138" t="n">
        <v>317</v>
      </c>
      <c r="C79" s="138" t="s">
        <v>3518</v>
      </c>
      <c r="D79" s="138" t="s">
        <v>3494</v>
      </c>
      <c r="E79" s="146" t="n">
        <v>0.27</v>
      </c>
      <c r="F79" s="138" t="s">
        <v>60</v>
      </c>
      <c r="G79" s="138" t="s">
        <v>3568</v>
      </c>
      <c r="H79" s="138" t="s">
        <v>3506</v>
      </c>
    </row>
    <row r="80" customFormat="false" ht="15" hidden="false" customHeight="false" outlineLevel="0" collapsed="false">
      <c r="A80" s="138" t="s">
        <v>1975</v>
      </c>
      <c r="B80" s="138" t="n">
        <v>318</v>
      </c>
      <c r="C80" s="138" t="s">
        <v>3520</v>
      </c>
      <c r="D80" s="138" t="s">
        <v>3517</v>
      </c>
      <c r="E80" s="146" t="n">
        <v>0.5027</v>
      </c>
      <c r="F80" s="138" t="s">
        <v>60</v>
      </c>
      <c r="G80" s="138" t="s">
        <v>3568</v>
      </c>
      <c r="H80" s="138" t="s">
        <v>3506</v>
      </c>
    </row>
    <row r="81" customFormat="false" ht="15" hidden="false" customHeight="false" outlineLevel="0" collapsed="false">
      <c r="A81" s="138" t="s">
        <v>1976</v>
      </c>
      <c r="B81" s="138" t="n">
        <v>320</v>
      </c>
      <c r="C81" s="138" t="s">
        <v>3574</v>
      </c>
      <c r="D81" s="138" t="s">
        <v>3496</v>
      </c>
      <c r="E81" s="146" t="n">
        <v>2</v>
      </c>
      <c r="F81" s="138" t="s">
        <v>60</v>
      </c>
      <c r="G81" s="138" t="s">
        <v>3568</v>
      </c>
      <c r="H81" s="138" t="s">
        <v>3506</v>
      </c>
    </row>
    <row r="82" customFormat="false" ht="15" hidden="false" customHeight="false" outlineLevel="0" collapsed="false">
      <c r="A82" s="138" t="s">
        <v>3575</v>
      </c>
      <c r="B82" s="138" t="n">
        <v>324.5</v>
      </c>
      <c r="C82" s="138" t="s">
        <v>3576</v>
      </c>
      <c r="D82" s="138" t="s">
        <v>3496</v>
      </c>
      <c r="E82" s="146" t="n">
        <v>2</v>
      </c>
      <c r="F82" s="138" t="s">
        <v>60</v>
      </c>
      <c r="G82" s="138" t="s">
        <v>3568</v>
      </c>
      <c r="H82" s="138" t="s">
        <v>3506</v>
      </c>
    </row>
    <row r="83" customFormat="false" ht="15" hidden="false" customHeight="false" outlineLevel="0" collapsed="false">
      <c r="A83" s="138" t="s">
        <v>3577</v>
      </c>
      <c r="B83" s="138" t="n">
        <v>325.45</v>
      </c>
      <c r="C83" s="138" t="s">
        <v>3491</v>
      </c>
      <c r="D83" s="138" t="s">
        <v>3578</v>
      </c>
      <c r="E83" s="146" t="n">
        <v>0.1257</v>
      </c>
      <c r="F83" s="138" t="s">
        <v>59</v>
      </c>
      <c r="G83" s="138" t="s">
        <v>3568</v>
      </c>
      <c r="H83" s="138" t="s">
        <v>3506</v>
      </c>
    </row>
    <row r="84" customFormat="false" ht="15" hidden="false" customHeight="false" outlineLevel="0" collapsed="false">
      <c r="A84" s="138" t="s">
        <v>1984</v>
      </c>
      <c r="B84" s="138" t="n">
        <v>326</v>
      </c>
      <c r="C84" s="138" t="s">
        <v>3579</v>
      </c>
      <c r="D84" s="138" t="s">
        <v>3580</v>
      </c>
      <c r="E84" s="146" t="n">
        <v>0.1963</v>
      </c>
      <c r="F84" s="138" t="s">
        <v>59</v>
      </c>
      <c r="G84" s="138" t="s">
        <v>3568</v>
      </c>
      <c r="H84" s="138" t="s">
        <v>3581</v>
      </c>
    </row>
    <row r="85" customFormat="false" ht="15" hidden="false" customHeight="false" outlineLevel="0" collapsed="false">
      <c r="A85" s="138" t="s">
        <v>1984</v>
      </c>
      <c r="B85" s="138" t="n">
        <v>326</v>
      </c>
      <c r="C85" s="138" t="s">
        <v>3518</v>
      </c>
      <c r="D85" s="138" t="s">
        <v>3494</v>
      </c>
      <c r="E85" s="146" t="n">
        <v>0.27</v>
      </c>
      <c r="F85" s="138" t="s">
        <v>59</v>
      </c>
      <c r="G85" s="138" t="s">
        <v>3568</v>
      </c>
      <c r="H85" s="138" t="s">
        <v>3582</v>
      </c>
    </row>
    <row r="86" customFormat="false" ht="15" hidden="false" customHeight="false" outlineLevel="0" collapsed="false">
      <c r="A86" s="138" t="s">
        <v>1984</v>
      </c>
      <c r="B86" s="138" t="n">
        <v>326</v>
      </c>
      <c r="C86" s="138" t="s">
        <v>3515</v>
      </c>
      <c r="D86" s="138" t="s">
        <v>3494</v>
      </c>
      <c r="E86" s="146" t="n">
        <v>0.27</v>
      </c>
      <c r="F86" s="138" t="s">
        <v>59</v>
      </c>
      <c r="G86" s="138" t="s">
        <v>3568</v>
      </c>
      <c r="H86" s="138" t="s">
        <v>3583</v>
      </c>
    </row>
    <row r="87" customFormat="false" ht="15" hidden="false" customHeight="false" outlineLevel="0" collapsed="false">
      <c r="A87" s="138" t="s">
        <v>1984</v>
      </c>
      <c r="B87" s="138" t="n">
        <v>326</v>
      </c>
      <c r="C87" s="138" t="s">
        <v>3584</v>
      </c>
      <c r="D87" s="138" t="s">
        <v>3494</v>
      </c>
      <c r="E87" s="146" t="n">
        <v>0.27</v>
      </c>
      <c r="F87" s="138" t="s">
        <v>59</v>
      </c>
      <c r="G87" s="138" t="s">
        <v>3568</v>
      </c>
      <c r="H87" s="138" t="s">
        <v>3583</v>
      </c>
    </row>
    <row r="88" customFormat="false" ht="15" hidden="false" customHeight="false" outlineLevel="0" collapsed="false">
      <c r="A88" s="138" t="s">
        <v>1984</v>
      </c>
      <c r="B88" s="138" t="n">
        <v>326</v>
      </c>
      <c r="C88" s="138" t="s">
        <v>3585</v>
      </c>
      <c r="D88" s="138" t="s">
        <v>3517</v>
      </c>
      <c r="E88" s="146" t="n">
        <v>0.5027</v>
      </c>
      <c r="F88" s="138" t="s">
        <v>60</v>
      </c>
      <c r="G88" s="138" t="s">
        <v>3568</v>
      </c>
      <c r="H88" s="138" t="s">
        <v>3506</v>
      </c>
    </row>
    <row r="89" customFormat="false" ht="15" hidden="false" customHeight="false" outlineLevel="0" collapsed="false">
      <c r="A89" s="138" t="s">
        <v>3586</v>
      </c>
      <c r="B89" s="138" t="n">
        <v>327.5</v>
      </c>
      <c r="C89" s="138" t="s">
        <v>3542</v>
      </c>
      <c r="D89" s="138" t="s">
        <v>3513</v>
      </c>
      <c r="E89" s="146" t="n">
        <v>0.36</v>
      </c>
      <c r="F89" s="138" t="s">
        <v>60</v>
      </c>
      <c r="G89" s="138" t="s">
        <v>3568</v>
      </c>
      <c r="H89" s="138" t="s">
        <v>3506</v>
      </c>
    </row>
    <row r="90" customFormat="false" ht="15" hidden="false" customHeight="false" outlineLevel="0" collapsed="false">
      <c r="A90" s="138" t="s">
        <v>3586</v>
      </c>
      <c r="B90" s="138" t="n">
        <v>327.5</v>
      </c>
      <c r="C90" s="138" t="s">
        <v>3587</v>
      </c>
      <c r="D90" s="138" t="s">
        <v>3498</v>
      </c>
      <c r="E90" s="146" t="n">
        <v>2.5</v>
      </c>
      <c r="F90" s="138" t="s">
        <v>59</v>
      </c>
      <c r="G90" s="138" t="s">
        <v>3568</v>
      </c>
      <c r="H90" s="138" t="s">
        <v>3506</v>
      </c>
    </row>
    <row r="91" customFormat="false" ht="15" hidden="false" customHeight="false" outlineLevel="0" collapsed="false">
      <c r="A91" s="138" t="s">
        <v>1573</v>
      </c>
      <c r="B91" s="138" t="n">
        <v>332</v>
      </c>
      <c r="C91" s="138" t="s">
        <v>3588</v>
      </c>
      <c r="D91" s="138" t="s">
        <v>3498</v>
      </c>
      <c r="E91" s="146" t="n">
        <v>2.5</v>
      </c>
      <c r="F91" s="138" t="s">
        <v>59</v>
      </c>
      <c r="G91" s="138" t="s">
        <v>3568</v>
      </c>
      <c r="H91" s="138" t="s">
        <v>3506</v>
      </c>
    </row>
    <row r="92" customFormat="false" ht="15" hidden="false" customHeight="false" outlineLevel="0" collapsed="false">
      <c r="A92" s="138" t="s">
        <v>1993</v>
      </c>
      <c r="B92" s="138" t="n">
        <v>334</v>
      </c>
      <c r="C92" s="138" t="s">
        <v>3520</v>
      </c>
      <c r="D92" s="138" t="s">
        <v>3517</v>
      </c>
      <c r="E92" s="146" t="n">
        <v>0.5027</v>
      </c>
      <c r="F92" s="138" t="s">
        <v>59</v>
      </c>
      <c r="G92" s="138" t="s">
        <v>3568</v>
      </c>
      <c r="H92" s="138" t="s">
        <v>3506</v>
      </c>
    </row>
    <row r="93" customFormat="false" ht="15" hidden="false" customHeight="false" outlineLevel="0" collapsed="false">
      <c r="A93" s="138" t="s">
        <v>3589</v>
      </c>
      <c r="B93" s="138" t="n">
        <v>335.5</v>
      </c>
      <c r="C93" s="138" t="s">
        <v>3521</v>
      </c>
      <c r="D93" s="138" t="s">
        <v>3517</v>
      </c>
      <c r="E93" s="146" t="n">
        <v>0.5027</v>
      </c>
      <c r="F93" s="138" t="s">
        <v>60</v>
      </c>
      <c r="G93" s="138" t="s">
        <v>3568</v>
      </c>
      <c r="H93" s="138" t="s">
        <v>3506</v>
      </c>
    </row>
    <row r="94" customFormat="false" ht="15" hidden="false" customHeight="false" outlineLevel="0" collapsed="false">
      <c r="A94" s="138" t="s">
        <v>3590</v>
      </c>
      <c r="B94" s="138" t="n">
        <v>335.75</v>
      </c>
      <c r="C94" s="138" t="s">
        <v>3518</v>
      </c>
      <c r="D94" s="138" t="s">
        <v>3494</v>
      </c>
      <c r="E94" s="146" t="n">
        <v>0.27</v>
      </c>
      <c r="F94" s="138" t="s">
        <v>59</v>
      </c>
      <c r="G94" s="138" t="s">
        <v>3568</v>
      </c>
      <c r="H94" s="138" t="s">
        <v>3506</v>
      </c>
    </row>
    <row r="95" customFormat="false" ht="15" hidden="false" customHeight="false" outlineLevel="0" collapsed="false">
      <c r="A95" s="138" t="s">
        <v>1998</v>
      </c>
      <c r="B95" s="138" t="n">
        <v>338</v>
      </c>
      <c r="C95" s="138" t="s">
        <v>3591</v>
      </c>
      <c r="D95" s="138" t="s">
        <v>3513</v>
      </c>
      <c r="E95" s="146" t="n">
        <v>0.36</v>
      </c>
      <c r="F95" s="138" t="s">
        <v>59</v>
      </c>
      <c r="G95" s="138" t="s">
        <v>3568</v>
      </c>
      <c r="H95" s="138" t="s">
        <v>3506</v>
      </c>
    </row>
    <row r="96" customFormat="false" ht="15" hidden="false" customHeight="false" outlineLevel="0" collapsed="false">
      <c r="A96" s="138" t="s">
        <v>3592</v>
      </c>
      <c r="B96" s="138" t="n">
        <v>339.5</v>
      </c>
      <c r="C96" s="138" t="s">
        <v>3516</v>
      </c>
      <c r="D96" s="138" t="s">
        <v>3517</v>
      </c>
      <c r="E96" s="146" t="n">
        <v>0.5027</v>
      </c>
      <c r="F96" s="138" t="s">
        <v>60</v>
      </c>
      <c r="G96" s="138" t="s">
        <v>3568</v>
      </c>
      <c r="H96" s="138" t="s">
        <v>3506</v>
      </c>
    </row>
    <row r="97" customFormat="false" ht="15" hidden="false" customHeight="false" outlineLevel="0" collapsed="false">
      <c r="A97" s="138" t="s">
        <v>2001</v>
      </c>
      <c r="B97" s="138" t="n">
        <v>341</v>
      </c>
      <c r="C97" s="138" t="s">
        <v>3516</v>
      </c>
      <c r="D97" s="138" t="s">
        <v>3517</v>
      </c>
      <c r="E97" s="146" t="n">
        <v>0.5027</v>
      </c>
      <c r="F97" s="138" t="s">
        <v>60</v>
      </c>
      <c r="G97" s="138" t="s">
        <v>3568</v>
      </c>
      <c r="H97" s="138" t="s">
        <v>3506</v>
      </c>
    </row>
    <row r="98" customFormat="false" ht="15" hidden="false" customHeight="false" outlineLevel="0" collapsed="false">
      <c r="A98" s="138" t="s">
        <v>2004</v>
      </c>
      <c r="B98" s="138" t="n">
        <v>344</v>
      </c>
      <c r="C98" s="138" t="s">
        <v>3544</v>
      </c>
      <c r="D98" s="138" t="s">
        <v>3513</v>
      </c>
      <c r="E98" s="146" t="n">
        <v>0.36</v>
      </c>
      <c r="F98" s="138" t="s">
        <v>59</v>
      </c>
      <c r="G98" s="138" t="s">
        <v>3568</v>
      </c>
      <c r="H98" s="138" t="s">
        <v>3506</v>
      </c>
    </row>
    <row r="99" customFormat="false" ht="15" hidden="false" customHeight="false" outlineLevel="0" collapsed="false">
      <c r="A99" s="138" t="s">
        <v>3593</v>
      </c>
      <c r="B99" s="138" t="n">
        <v>344.5</v>
      </c>
      <c r="C99" s="138" t="s">
        <v>3594</v>
      </c>
      <c r="D99" s="138" t="s">
        <v>3498</v>
      </c>
      <c r="E99" s="146" t="n">
        <v>2.5</v>
      </c>
      <c r="F99" s="138" t="s">
        <v>60</v>
      </c>
      <c r="G99" s="138" t="s">
        <v>3568</v>
      </c>
      <c r="H99" s="138" t="s">
        <v>3506</v>
      </c>
    </row>
    <row r="100" customFormat="false" ht="15" hidden="false" customHeight="false" outlineLevel="0" collapsed="false">
      <c r="A100" s="138" t="s">
        <v>2007</v>
      </c>
      <c r="B100" s="138" t="n">
        <v>347</v>
      </c>
      <c r="C100" s="138" t="s">
        <v>3524</v>
      </c>
      <c r="D100" s="138" t="s">
        <v>3496</v>
      </c>
      <c r="E100" s="146" t="n">
        <v>2</v>
      </c>
      <c r="F100" s="138" t="s">
        <v>59</v>
      </c>
      <c r="G100" s="138" t="s">
        <v>3568</v>
      </c>
      <c r="H100" s="138" t="s">
        <v>3506</v>
      </c>
    </row>
    <row r="101" customFormat="false" ht="15" hidden="false" customHeight="false" outlineLevel="0" collapsed="false">
      <c r="A101" s="138" t="s">
        <v>3595</v>
      </c>
      <c r="B101" s="138" t="n">
        <v>347.5</v>
      </c>
      <c r="C101" s="138" t="s">
        <v>3544</v>
      </c>
      <c r="D101" s="138" t="s">
        <v>3513</v>
      </c>
      <c r="E101" s="146" t="n">
        <v>0.36</v>
      </c>
      <c r="F101" s="138" t="s">
        <v>60</v>
      </c>
      <c r="G101" s="138" t="s">
        <v>3568</v>
      </c>
      <c r="H101" s="138" t="s">
        <v>3506</v>
      </c>
    </row>
    <row r="102" customFormat="false" ht="15" hidden="false" customHeight="false" outlineLevel="0" collapsed="false">
      <c r="A102" s="138" t="s">
        <v>3596</v>
      </c>
      <c r="B102" s="138" t="n">
        <v>350.5</v>
      </c>
      <c r="C102" s="138" t="s">
        <v>3503</v>
      </c>
      <c r="D102" s="138" t="s">
        <v>3504</v>
      </c>
      <c r="E102" s="146" t="n">
        <v>0.7</v>
      </c>
      <c r="F102" s="138" t="s">
        <v>60</v>
      </c>
      <c r="G102" s="138" t="s">
        <v>3568</v>
      </c>
      <c r="H102" s="138" t="s">
        <v>3506</v>
      </c>
    </row>
    <row r="103" customFormat="false" ht="15" hidden="false" customHeight="false" outlineLevel="0" collapsed="false">
      <c r="A103" s="138" t="s">
        <v>2016</v>
      </c>
      <c r="B103" s="138" t="n">
        <v>356</v>
      </c>
      <c r="C103" s="138" t="s">
        <v>3567</v>
      </c>
      <c r="D103" s="138" t="s">
        <v>3496</v>
      </c>
      <c r="E103" s="146" t="n">
        <v>2</v>
      </c>
      <c r="F103" s="138" t="s">
        <v>59</v>
      </c>
      <c r="G103" s="138" t="s">
        <v>3568</v>
      </c>
      <c r="H103" s="138" t="s">
        <v>3506</v>
      </c>
    </row>
    <row r="104" customFormat="false" ht="15" hidden="false" customHeight="false" outlineLevel="0" collapsed="false">
      <c r="A104" s="138" t="s">
        <v>2021</v>
      </c>
      <c r="B104" s="138" t="n">
        <v>360</v>
      </c>
      <c r="C104" s="138" t="s">
        <v>3542</v>
      </c>
      <c r="D104" s="138" t="s">
        <v>3513</v>
      </c>
      <c r="E104" s="146" t="n">
        <v>0.36</v>
      </c>
      <c r="F104" s="138" t="s">
        <v>59</v>
      </c>
      <c r="G104" s="138" t="s">
        <v>3568</v>
      </c>
      <c r="H104" s="138" t="s">
        <v>3506</v>
      </c>
    </row>
    <row r="105" customFormat="false" ht="15" hidden="false" customHeight="false" outlineLevel="0" collapsed="false">
      <c r="A105" s="138" t="s">
        <v>2022</v>
      </c>
      <c r="B105" s="138" t="n">
        <v>361</v>
      </c>
      <c r="C105" s="138" t="s">
        <v>3537</v>
      </c>
      <c r="D105" s="138" t="s">
        <v>3504</v>
      </c>
      <c r="E105" s="146" t="n">
        <v>0.7</v>
      </c>
      <c r="F105" s="138" t="s">
        <v>60</v>
      </c>
      <c r="G105" s="138" t="s">
        <v>3568</v>
      </c>
      <c r="H105" s="138" t="s">
        <v>3506</v>
      </c>
    </row>
    <row r="106" customFormat="false" ht="15" hidden="false" customHeight="false" outlineLevel="0" collapsed="false">
      <c r="A106" s="138" t="s">
        <v>2026</v>
      </c>
      <c r="B106" s="138" t="n">
        <v>365</v>
      </c>
      <c r="C106" s="138" t="s">
        <v>3537</v>
      </c>
      <c r="D106" s="138" t="s">
        <v>3504</v>
      </c>
      <c r="E106" s="146" t="n">
        <v>0.7</v>
      </c>
      <c r="F106" s="138" t="s">
        <v>59</v>
      </c>
      <c r="G106" s="138" t="s">
        <v>3597</v>
      </c>
      <c r="H106" s="138" t="s">
        <v>3506</v>
      </c>
    </row>
    <row r="107" customFormat="false" ht="15" hidden="false" customHeight="false" outlineLevel="0" collapsed="false">
      <c r="A107" s="138" t="s">
        <v>2030</v>
      </c>
      <c r="B107" s="138" t="n">
        <v>369</v>
      </c>
      <c r="C107" s="138" t="s">
        <v>3516</v>
      </c>
      <c r="D107" s="138" t="s">
        <v>3517</v>
      </c>
      <c r="E107" s="146" t="n">
        <v>0.5027</v>
      </c>
      <c r="F107" s="138" t="s">
        <v>59</v>
      </c>
      <c r="G107" s="138" t="s">
        <v>3597</v>
      </c>
      <c r="H107" s="138" t="s">
        <v>3506</v>
      </c>
    </row>
    <row r="108" customFormat="false" ht="15" hidden="false" customHeight="false" outlineLevel="0" collapsed="false">
      <c r="A108" s="138" t="s">
        <v>3598</v>
      </c>
      <c r="B108" s="138" t="n">
        <v>374.5</v>
      </c>
      <c r="C108" s="138" t="s">
        <v>3516</v>
      </c>
      <c r="D108" s="138" t="s">
        <v>3517</v>
      </c>
      <c r="E108" s="146" t="n">
        <v>0.5027</v>
      </c>
      <c r="F108" s="138" t="s">
        <v>60</v>
      </c>
      <c r="G108" s="138" t="s">
        <v>3597</v>
      </c>
      <c r="H108" s="138" t="s">
        <v>3506</v>
      </c>
    </row>
    <row r="109" customFormat="false" ht="15" hidden="false" customHeight="false" outlineLevel="0" collapsed="false">
      <c r="A109" s="138" t="s">
        <v>3599</v>
      </c>
      <c r="B109" s="138" t="n">
        <v>393.75</v>
      </c>
      <c r="C109" s="138" t="s">
        <v>3516</v>
      </c>
      <c r="D109" s="138" t="s">
        <v>3517</v>
      </c>
      <c r="E109" s="146" t="n">
        <v>0.5027</v>
      </c>
      <c r="F109" s="138" t="s">
        <v>59</v>
      </c>
      <c r="G109" s="138" t="s">
        <v>3597</v>
      </c>
      <c r="H109" s="138" t="s">
        <v>3506</v>
      </c>
    </row>
    <row r="110" customFormat="false" ht="15" hidden="false" customHeight="false" outlineLevel="0" collapsed="false">
      <c r="A110" s="138" t="s">
        <v>3600</v>
      </c>
      <c r="B110" s="138" t="n">
        <v>398.5</v>
      </c>
      <c r="C110" s="138" t="s">
        <v>3579</v>
      </c>
      <c r="D110" s="138" t="s">
        <v>3580</v>
      </c>
      <c r="E110" s="146" t="n">
        <v>0.1963</v>
      </c>
      <c r="F110" s="138" t="s">
        <v>60</v>
      </c>
      <c r="G110" s="138" t="s">
        <v>3597</v>
      </c>
      <c r="H110" s="138" t="s">
        <v>3506</v>
      </c>
    </row>
    <row r="111" customFormat="false" ht="15" hidden="false" customHeight="false" outlineLevel="0" collapsed="false">
      <c r="A111" s="138" t="s">
        <v>2064</v>
      </c>
      <c r="B111" s="138" t="n">
        <v>400</v>
      </c>
      <c r="C111" s="138" t="s">
        <v>3503</v>
      </c>
      <c r="D111" s="138" t="s">
        <v>3504</v>
      </c>
      <c r="E111" s="146" t="n">
        <v>0.7</v>
      </c>
      <c r="F111" s="138" t="s">
        <v>59</v>
      </c>
      <c r="G111" s="138" t="s">
        <v>3597</v>
      </c>
      <c r="H111" s="138" t="s">
        <v>3506</v>
      </c>
    </row>
    <row r="112" customFormat="false" ht="15" hidden="false" customHeight="false" outlineLevel="0" collapsed="false">
      <c r="A112" s="138" t="s">
        <v>3601</v>
      </c>
      <c r="B112" s="138" t="n">
        <v>403.25</v>
      </c>
      <c r="C112" s="138" t="s">
        <v>3516</v>
      </c>
      <c r="D112" s="138" t="s">
        <v>3517</v>
      </c>
      <c r="E112" s="146" t="n">
        <v>0.5027</v>
      </c>
      <c r="F112" s="138" t="s">
        <v>60</v>
      </c>
      <c r="G112" s="138" t="s">
        <v>3597</v>
      </c>
      <c r="H112" s="138" t="s">
        <v>3506</v>
      </c>
    </row>
    <row r="113" customFormat="false" ht="15" hidden="false" customHeight="false" outlineLevel="0" collapsed="false">
      <c r="A113" s="138" t="s">
        <v>2080</v>
      </c>
      <c r="B113" s="138" t="n">
        <v>417</v>
      </c>
      <c r="C113" s="138" t="s">
        <v>3537</v>
      </c>
      <c r="D113" s="138" t="s">
        <v>3504</v>
      </c>
      <c r="E113" s="146" t="n">
        <v>0.7</v>
      </c>
      <c r="F113" s="138" t="s">
        <v>60</v>
      </c>
      <c r="G113" s="138" t="s">
        <v>3597</v>
      </c>
      <c r="H113" s="138" t="s">
        <v>3506</v>
      </c>
    </row>
    <row r="114" customFormat="false" ht="15" hidden="false" customHeight="false" outlineLevel="0" collapsed="false">
      <c r="A114" s="138" t="s">
        <v>3602</v>
      </c>
      <c r="B114" s="138" t="n">
        <v>420.25</v>
      </c>
      <c r="C114" s="138" t="s">
        <v>3516</v>
      </c>
      <c r="D114" s="138" t="s">
        <v>3517</v>
      </c>
      <c r="E114" s="146" t="n">
        <v>0.5027</v>
      </c>
      <c r="F114" s="138" t="s">
        <v>60</v>
      </c>
      <c r="G114" s="138" t="s">
        <v>3597</v>
      </c>
      <c r="H114" s="138" t="s">
        <v>3506</v>
      </c>
    </row>
    <row r="115" customFormat="false" ht="15" hidden="false" customHeight="false" outlineLevel="0" collapsed="false">
      <c r="A115" s="138" t="s">
        <v>3603</v>
      </c>
      <c r="B115" s="138" t="n">
        <v>427.5</v>
      </c>
      <c r="C115" s="138" t="s">
        <v>3537</v>
      </c>
      <c r="D115" s="138" t="s">
        <v>3504</v>
      </c>
      <c r="E115" s="146" t="n">
        <v>0.7</v>
      </c>
      <c r="F115" s="138" t="s">
        <v>59</v>
      </c>
      <c r="G115" s="138" t="s">
        <v>3597</v>
      </c>
      <c r="H115" s="138" t="s">
        <v>3506</v>
      </c>
    </row>
    <row r="116" customFormat="false" ht="15" hidden="false" customHeight="false" outlineLevel="0" collapsed="false">
      <c r="A116" s="138" t="s">
        <v>3603</v>
      </c>
      <c r="B116" s="138" t="n">
        <v>427.5</v>
      </c>
      <c r="C116" s="138" t="s">
        <v>3584</v>
      </c>
      <c r="D116" s="138" t="s">
        <v>3504</v>
      </c>
      <c r="E116" s="146" t="n">
        <v>0.7</v>
      </c>
      <c r="F116" s="138" t="s">
        <v>59</v>
      </c>
      <c r="G116" s="138" t="s">
        <v>3604</v>
      </c>
      <c r="H116" s="138" t="s">
        <v>3506</v>
      </c>
    </row>
    <row r="117" customFormat="false" ht="15" hidden="false" customHeight="false" outlineLevel="0" collapsed="false">
      <c r="A117" s="138" t="s">
        <v>3605</v>
      </c>
      <c r="B117" s="138" t="n">
        <v>429.25</v>
      </c>
      <c r="C117" s="138" t="s">
        <v>3606</v>
      </c>
      <c r="D117" s="138" t="s">
        <v>3498</v>
      </c>
      <c r="E117" s="146" t="n">
        <v>2.5</v>
      </c>
      <c r="F117" s="138" t="s">
        <v>60</v>
      </c>
      <c r="G117" s="138" t="s">
        <v>3597</v>
      </c>
      <c r="H117" s="138" t="s">
        <v>3506</v>
      </c>
    </row>
    <row r="118" customFormat="false" ht="15" hidden="false" customHeight="false" outlineLevel="0" collapsed="false">
      <c r="A118" s="138" t="s">
        <v>3607</v>
      </c>
      <c r="B118" s="138" t="n">
        <v>431.6</v>
      </c>
      <c r="C118" s="138" t="s">
        <v>3608</v>
      </c>
      <c r="D118" s="138" t="s">
        <v>3498</v>
      </c>
      <c r="E118" s="146" t="n">
        <v>2.5</v>
      </c>
      <c r="F118" s="138" t="s">
        <v>59</v>
      </c>
      <c r="G118" s="138" t="s">
        <v>3597</v>
      </c>
      <c r="H118" s="138" t="s">
        <v>3506</v>
      </c>
    </row>
    <row r="119" customFormat="false" ht="15" hidden="false" customHeight="false" outlineLevel="0" collapsed="false">
      <c r="A119" s="138" t="s">
        <v>3609</v>
      </c>
      <c r="B119" s="138" t="n">
        <v>433.5</v>
      </c>
      <c r="C119" s="138" t="s">
        <v>3516</v>
      </c>
      <c r="D119" s="138" t="s">
        <v>3517</v>
      </c>
      <c r="E119" s="146" t="n">
        <v>0.5027</v>
      </c>
      <c r="F119" s="138" t="s">
        <v>60</v>
      </c>
      <c r="G119" s="138" t="s">
        <v>3597</v>
      </c>
      <c r="H119" s="138" t="s">
        <v>3506</v>
      </c>
    </row>
    <row r="120" customFormat="false" ht="15" hidden="false" customHeight="false" outlineLevel="0" collapsed="false">
      <c r="A120" s="138" t="s">
        <v>3610</v>
      </c>
      <c r="B120" s="138" t="n">
        <v>437.5</v>
      </c>
      <c r="C120" s="138" t="s">
        <v>3611</v>
      </c>
      <c r="D120" s="138" t="s">
        <v>3513</v>
      </c>
      <c r="E120" s="146" t="n">
        <v>0.36</v>
      </c>
      <c r="F120" s="138" t="s">
        <v>60</v>
      </c>
      <c r="G120" s="138" t="s">
        <v>3604</v>
      </c>
      <c r="H120" s="138" t="s">
        <v>3506</v>
      </c>
    </row>
    <row r="121" customFormat="false" ht="15" hidden="false" customHeight="false" outlineLevel="0" collapsed="false">
      <c r="A121" s="138" t="s">
        <v>2112</v>
      </c>
      <c r="B121" s="138" t="n">
        <v>448</v>
      </c>
      <c r="C121" s="138" t="s">
        <v>3544</v>
      </c>
      <c r="D121" s="138" t="s">
        <v>3513</v>
      </c>
      <c r="E121" s="146" t="n">
        <v>0.36</v>
      </c>
      <c r="F121" s="138" t="s">
        <v>60</v>
      </c>
      <c r="G121" s="138" t="s">
        <v>3604</v>
      </c>
      <c r="H121" s="138" t="s">
        <v>3506</v>
      </c>
    </row>
    <row r="122" customFormat="false" ht="15" hidden="false" customHeight="false" outlineLevel="0" collapsed="false">
      <c r="A122" s="138" t="s">
        <v>3612</v>
      </c>
      <c r="B122" s="138" t="n">
        <v>450.5</v>
      </c>
      <c r="C122" s="138" t="s">
        <v>3503</v>
      </c>
      <c r="D122" s="138" t="s">
        <v>3504</v>
      </c>
      <c r="E122" s="146" t="n">
        <v>0.7</v>
      </c>
      <c r="F122" s="138" t="s">
        <v>60</v>
      </c>
      <c r="G122" s="138" t="s">
        <v>3604</v>
      </c>
      <c r="H122" s="138" t="s">
        <v>3506</v>
      </c>
    </row>
    <row r="123" customFormat="false" ht="15" hidden="false" customHeight="false" outlineLevel="0" collapsed="false">
      <c r="A123" s="138" t="s">
        <v>2127</v>
      </c>
      <c r="B123" s="138" t="n">
        <v>461</v>
      </c>
      <c r="C123" s="138" t="s">
        <v>3542</v>
      </c>
      <c r="D123" s="138" t="s">
        <v>3513</v>
      </c>
      <c r="E123" s="146" t="n">
        <v>0.36</v>
      </c>
      <c r="F123" s="138" t="s">
        <v>59</v>
      </c>
      <c r="G123" s="138" t="s">
        <v>3604</v>
      </c>
      <c r="H123" s="138" t="s">
        <v>3506</v>
      </c>
    </row>
    <row r="124" customFormat="false" ht="15" hidden="false" customHeight="false" outlineLevel="0" collapsed="false">
      <c r="A124" s="138" t="s">
        <v>3613</v>
      </c>
      <c r="B124" s="138" t="n">
        <v>462.5</v>
      </c>
      <c r="C124" s="138" t="s">
        <v>3542</v>
      </c>
      <c r="D124" s="138" t="s">
        <v>3513</v>
      </c>
      <c r="E124" s="146" t="n">
        <v>0.36</v>
      </c>
      <c r="F124" s="138" t="s">
        <v>60</v>
      </c>
      <c r="G124" s="138" t="s">
        <v>3604</v>
      </c>
      <c r="H124" s="138" t="s">
        <v>3506</v>
      </c>
    </row>
    <row r="125" customFormat="false" ht="15" hidden="false" customHeight="false" outlineLevel="0" collapsed="false">
      <c r="A125" s="138" t="s">
        <v>3614</v>
      </c>
      <c r="B125" s="138" t="n">
        <v>466.5</v>
      </c>
      <c r="C125" s="138" t="s">
        <v>3516</v>
      </c>
      <c r="D125" s="138" t="s">
        <v>3517</v>
      </c>
      <c r="E125" s="146" t="n">
        <v>0.5027</v>
      </c>
      <c r="F125" s="138" t="s">
        <v>59</v>
      </c>
      <c r="G125" s="138" t="s">
        <v>3604</v>
      </c>
      <c r="H125" s="138" t="s">
        <v>3506</v>
      </c>
    </row>
    <row r="126" customFormat="false" ht="15" hidden="false" customHeight="false" outlineLevel="0" collapsed="false">
      <c r="A126" s="138" t="s">
        <v>2138</v>
      </c>
      <c r="B126" s="138" t="n">
        <v>470</v>
      </c>
      <c r="C126" s="138" t="s">
        <v>3537</v>
      </c>
      <c r="D126" s="138" t="s">
        <v>3504</v>
      </c>
      <c r="E126" s="146" t="n">
        <v>0.7</v>
      </c>
      <c r="F126" s="138" t="s">
        <v>60</v>
      </c>
      <c r="G126" s="138" t="s">
        <v>3604</v>
      </c>
      <c r="H126" s="138" t="s">
        <v>3506</v>
      </c>
    </row>
    <row r="127" customFormat="false" ht="15" hidden="false" customHeight="false" outlineLevel="0" collapsed="false">
      <c r="A127" s="138" t="s">
        <v>3615</v>
      </c>
      <c r="B127" s="138" t="n">
        <v>470.5</v>
      </c>
      <c r="C127" s="138" t="s">
        <v>3544</v>
      </c>
      <c r="D127" s="138" t="s">
        <v>3513</v>
      </c>
      <c r="E127" s="146" t="n">
        <v>0.36</v>
      </c>
      <c r="F127" s="138" t="s">
        <v>59</v>
      </c>
      <c r="G127" s="138" t="s">
        <v>3604</v>
      </c>
      <c r="H127" s="138" t="s">
        <v>3506</v>
      </c>
    </row>
    <row r="128" customFormat="false" ht="15" hidden="false" customHeight="false" outlineLevel="0" collapsed="false">
      <c r="A128" s="138" t="s">
        <v>2142</v>
      </c>
      <c r="B128" s="138" t="n">
        <v>474</v>
      </c>
      <c r="C128" s="138" t="s">
        <v>3537</v>
      </c>
      <c r="D128" s="138" t="s">
        <v>3504</v>
      </c>
      <c r="E128" s="146" t="n">
        <v>0.7</v>
      </c>
      <c r="F128" s="138" t="s">
        <v>59</v>
      </c>
      <c r="G128" s="138" t="s">
        <v>3604</v>
      </c>
      <c r="H128" s="138" t="s">
        <v>3506</v>
      </c>
    </row>
    <row r="129" customFormat="false" ht="15" hidden="false" customHeight="false" outlineLevel="0" collapsed="false">
      <c r="A129" s="138" t="s">
        <v>3616</v>
      </c>
      <c r="B129" s="138" t="n">
        <v>474.75</v>
      </c>
      <c r="C129" s="138" t="s">
        <v>3516</v>
      </c>
      <c r="D129" s="138" t="s">
        <v>3517</v>
      </c>
      <c r="E129" s="146" t="n">
        <v>0.5027</v>
      </c>
      <c r="F129" s="138" t="s">
        <v>60</v>
      </c>
      <c r="G129" s="138" t="s">
        <v>3604</v>
      </c>
      <c r="H129" s="138" t="s">
        <v>3506</v>
      </c>
    </row>
    <row r="130" customFormat="false" ht="15" hidden="false" customHeight="false" outlineLevel="0" collapsed="false">
      <c r="A130" s="138" t="s">
        <v>3617</v>
      </c>
      <c r="B130" s="138" t="n">
        <v>478.25</v>
      </c>
      <c r="C130" s="138" t="s">
        <v>3611</v>
      </c>
      <c r="D130" s="138" t="s">
        <v>3513</v>
      </c>
      <c r="E130" s="146" t="n">
        <v>0.36</v>
      </c>
      <c r="F130" s="138" t="s">
        <v>60</v>
      </c>
      <c r="G130" s="138" t="s">
        <v>3604</v>
      </c>
      <c r="H130" s="138" t="s">
        <v>3506</v>
      </c>
    </row>
    <row r="131" customFormat="false" ht="15" hidden="false" customHeight="false" outlineLevel="0" collapsed="false">
      <c r="A131" s="138" t="s">
        <v>3618</v>
      </c>
      <c r="B131" s="138" t="n">
        <v>485.5</v>
      </c>
      <c r="C131" s="138" t="s">
        <v>3544</v>
      </c>
      <c r="D131" s="138" t="s">
        <v>3513</v>
      </c>
      <c r="E131" s="146" t="n">
        <v>0.36</v>
      </c>
      <c r="F131" s="138" t="s">
        <v>60</v>
      </c>
      <c r="G131" s="138" t="s">
        <v>3604</v>
      </c>
      <c r="H131" s="138" t="s">
        <v>3506</v>
      </c>
    </row>
    <row r="132" customFormat="false" ht="15" hidden="false" customHeight="false" outlineLevel="0" collapsed="false">
      <c r="A132" s="138" t="s">
        <v>2156</v>
      </c>
      <c r="B132" s="138" t="n">
        <v>486</v>
      </c>
      <c r="C132" s="138" t="s">
        <v>3619</v>
      </c>
      <c r="D132" s="138" t="s">
        <v>3620</v>
      </c>
      <c r="E132" s="146" t="n">
        <v>0.72</v>
      </c>
      <c r="F132" s="138" t="s">
        <v>59</v>
      </c>
      <c r="G132" s="138" t="s">
        <v>3604</v>
      </c>
      <c r="H132" s="138" t="s">
        <v>3506</v>
      </c>
    </row>
    <row r="133" customFormat="false" ht="15" hidden="false" customHeight="false" outlineLevel="0" collapsed="false">
      <c r="A133" s="138" t="s">
        <v>2160</v>
      </c>
      <c r="B133" s="138" t="n">
        <v>490</v>
      </c>
      <c r="C133" s="138" t="s">
        <v>3621</v>
      </c>
      <c r="D133" s="138" t="s">
        <v>3513</v>
      </c>
      <c r="E133" s="146" t="n">
        <v>0.36</v>
      </c>
      <c r="F133" s="138" t="s">
        <v>60</v>
      </c>
      <c r="G133" s="138" t="s">
        <v>3604</v>
      </c>
      <c r="H133" s="138" t="s">
        <v>3506</v>
      </c>
    </row>
    <row r="134" customFormat="false" ht="15" hidden="false" customHeight="false" outlineLevel="0" collapsed="false">
      <c r="A134" s="138" t="s">
        <v>3622</v>
      </c>
      <c r="B134" s="138" t="n">
        <v>495.5</v>
      </c>
      <c r="C134" s="138" t="s">
        <v>3491</v>
      </c>
      <c r="D134" s="138" t="s">
        <v>3492</v>
      </c>
      <c r="E134" s="146" t="n">
        <v>0.7725</v>
      </c>
      <c r="F134" s="138" t="s">
        <v>60</v>
      </c>
      <c r="G134" s="138" t="s">
        <v>3604</v>
      </c>
      <c r="H134" s="138" t="s">
        <v>3506</v>
      </c>
    </row>
    <row r="135" customFormat="false" ht="15" hidden="false" customHeight="false" outlineLevel="0" collapsed="false">
      <c r="A135" s="138" t="s">
        <v>3623</v>
      </c>
      <c r="B135" s="138" t="n">
        <v>496.5</v>
      </c>
      <c r="C135" s="138" t="s">
        <v>3542</v>
      </c>
      <c r="D135" s="138" t="s">
        <v>3513</v>
      </c>
      <c r="E135" s="146" t="n">
        <v>0.36</v>
      </c>
      <c r="F135" s="138" t="s">
        <v>59</v>
      </c>
      <c r="G135" s="138" t="s">
        <v>3604</v>
      </c>
      <c r="H135" s="138" t="s">
        <v>3506</v>
      </c>
    </row>
    <row r="136" customFormat="false" ht="15" hidden="false" customHeight="false" outlineLevel="0" collapsed="false">
      <c r="A136" s="138" t="s">
        <v>2168</v>
      </c>
      <c r="B136" s="138" t="n">
        <v>498</v>
      </c>
      <c r="C136" s="138" t="s">
        <v>3537</v>
      </c>
      <c r="D136" s="138" t="s">
        <v>3504</v>
      </c>
      <c r="E136" s="146" t="n">
        <v>0.7</v>
      </c>
      <c r="F136" s="138" t="s">
        <v>60</v>
      </c>
      <c r="G136" s="138" t="s">
        <v>3604</v>
      </c>
      <c r="H136" s="138" t="s">
        <v>3506</v>
      </c>
    </row>
    <row r="137" customFormat="false" ht="15" hidden="false" customHeight="false" outlineLevel="0" collapsed="false">
      <c r="A137" s="138" t="s">
        <v>2170</v>
      </c>
      <c r="B137" s="138" t="n">
        <v>500</v>
      </c>
      <c r="C137" s="138" t="s">
        <v>3503</v>
      </c>
      <c r="D137" s="138" t="s">
        <v>3504</v>
      </c>
      <c r="E137" s="146" t="n">
        <v>0.7</v>
      </c>
      <c r="F137" s="138" t="s">
        <v>59</v>
      </c>
      <c r="G137" s="138" t="s">
        <v>3604</v>
      </c>
      <c r="H137" s="138" t="s">
        <v>3506</v>
      </c>
    </row>
    <row r="138" customFormat="false" ht="15" hidden="false" customHeight="false" outlineLevel="0" collapsed="false">
      <c r="A138" s="138" t="s">
        <v>2179</v>
      </c>
      <c r="B138" s="138" t="n">
        <v>509</v>
      </c>
      <c r="C138" s="138" t="s">
        <v>3579</v>
      </c>
      <c r="D138" s="138" t="s">
        <v>3580</v>
      </c>
      <c r="E138" s="146" t="n">
        <v>0.1963</v>
      </c>
      <c r="F138" s="138" t="s">
        <v>59</v>
      </c>
      <c r="G138" s="138" t="s">
        <v>3624</v>
      </c>
      <c r="H138" s="138" t="s">
        <v>3506</v>
      </c>
    </row>
    <row r="139" customFormat="false" ht="15" hidden="false" customHeight="false" outlineLevel="0" collapsed="false">
      <c r="A139" s="138" t="s">
        <v>3625</v>
      </c>
      <c r="B139" s="138" t="n">
        <v>513.75</v>
      </c>
      <c r="C139" s="138" t="s">
        <v>3516</v>
      </c>
      <c r="D139" s="138" t="s">
        <v>3517</v>
      </c>
      <c r="E139" s="146" t="n">
        <v>0.5027</v>
      </c>
      <c r="F139" s="138" t="s">
        <v>59</v>
      </c>
      <c r="G139" s="138" t="s">
        <v>3624</v>
      </c>
      <c r="H139" s="138" t="s">
        <v>3506</v>
      </c>
    </row>
    <row r="140" customFormat="false" ht="15" hidden="false" customHeight="false" outlineLevel="0" collapsed="false">
      <c r="A140" s="138" t="s">
        <v>2190</v>
      </c>
      <c r="B140" s="138" t="n">
        <v>519</v>
      </c>
      <c r="C140" s="138" t="s">
        <v>3521</v>
      </c>
      <c r="D140" s="138" t="s">
        <v>3517</v>
      </c>
      <c r="E140" s="146" t="n">
        <v>0.5027</v>
      </c>
      <c r="F140" s="138" t="s">
        <v>60</v>
      </c>
      <c r="G140" s="138" t="s">
        <v>3624</v>
      </c>
      <c r="H140" s="138" t="s">
        <v>3506</v>
      </c>
    </row>
    <row r="141" customFormat="false" ht="15" hidden="false" customHeight="false" outlineLevel="0" collapsed="false">
      <c r="A141" s="138" t="s">
        <v>2190</v>
      </c>
      <c r="B141" s="138" t="n">
        <v>519</v>
      </c>
      <c r="C141" s="138" t="s">
        <v>3621</v>
      </c>
      <c r="D141" s="138" t="s">
        <v>3513</v>
      </c>
      <c r="E141" s="146" t="n">
        <v>0.36</v>
      </c>
      <c r="F141" s="138" t="s">
        <v>59</v>
      </c>
      <c r="G141" s="138" t="s">
        <v>3624</v>
      </c>
      <c r="H141" s="138" t="s">
        <v>3506</v>
      </c>
    </row>
    <row r="142" customFormat="false" ht="15" hidden="false" customHeight="false" outlineLevel="0" collapsed="false">
      <c r="A142" s="138" t="s">
        <v>3626</v>
      </c>
      <c r="B142" s="138" t="n">
        <v>521.5</v>
      </c>
      <c r="C142" s="138" t="s">
        <v>3619</v>
      </c>
      <c r="D142" s="138" t="s">
        <v>3513</v>
      </c>
      <c r="E142" s="146" t="n">
        <v>0.36</v>
      </c>
      <c r="F142" s="138" t="s">
        <v>60</v>
      </c>
      <c r="G142" s="138" t="s">
        <v>3624</v>
      </c>
      <c r="H142" s="138" t="s">
        <v>3506</v>
      </c>
    </row>
    <row r="143" customFormat="false" ht="15" hidden="false" customHeight="false" outlineLevel="0" collapsed="false">
      <c r="A143" s="138" t="s">
        <v>3627</v>
      </c>
      <c r="B143" s="138" t="n">
        <v>523.5</v>
      </c>
      <c r="C143" s="138" t="s">
        <v>3516</v>
      </c>
      <c r="D143" s="138" t="s">
        <v>3517</v>
      </c>
      <c r="E143" s="146" t="n">
        <v>0.5027</v>
      </c>
      <c r="F143" s="138" t="s">
        <v>60</v>
      </c>
      <c r="G143" s="138" t="s">
        <v>3624</v>
      </c>
      <c r="H143" s="138" t="s">
        <v>3506</v>
      </c>
    </row>
    <row r="144" customFormat="false" ht="15" hidden="false" customHeight="false" outlineLevel="0" collapsed="false">
      <c r="A144" s="138" t="s">
        <v>2196</v>
      </c>
      <c r="B144" s="138" t="n">
        <v>525</v>
      </c>
      <c r="C144" s="138" t="s">
        <v>3537</v>
      </c>
      <c r="D144" s="138" t="s">
        <v>3504</v>
      </c>
      <c r="E144" s="146" t="n">
        <v>0.7</v>
      </c>
      <c r="F144" s="138" t="s">
        <v>59</v>
      </c>
      <c r="G144" s="138" t="s">
        <v>3624</v>
      </c>
      <c r="H144" s="138" t="s">
        <v>3506</v>
      </c>
    </row>
    <row r="145" customFormat="false" ht="15" hidden="false" customHeight="false" outlineLevel="0" collapsed="false">
      <c r="A145" s="138" t="s">
        <v>3628</v>
      </c>
      <c r="B145" s="138" t="n">
        <v>542.25</v>
      </c>
      <c r="C145" s="138" t="s">
        <v>3516</v>
      </c>
      <c r="D145" s="138" t="s">
        <v>3517</v>
      </c>
      <c r="E145" s="146" t="n">
        <v>0.5027</v>
      </c>
      <c r="F145" s="138" t="s">
        <v>60</v>
      </c>
      <c r="G145" s="138" t="s">
        <v>3624</v>
      </c>
      <c r="H145" s="138" t="s">
        <v>3506</v>
      </c>
    </row>
    <row r="146" customFormat="false" ht="15" hidden="false" customHeight="false" outlineLevel="0" collapsed="false">
      <c r="A146" s="138" t="s">
        <v>2221</v>
      </c>
      <c r="B146" s="138" t="n">
        <v>550</v>
      </c>
      <c r="C146" s="138" t="s">
        <v>3503</v>
      </c>
      <c r="D146" s="138" t="s">
        <v>3504</v>
      </c>
      <c r="E146" s="146" t="n">
        <v>0.7</v>
      </c>
      <c r="F146" s="138" t="s">
        <v>60</v>
      </c>
      <c r="G146" s="138" t="s">
        <v>3624</v>
      </c>
      <c r="H146" s="138" t="s">
        <v>3506</v>
      </c>
    </row>
    <row r="147" customFormat="false" ht="15" hidden="false" customHeight="false" outlineLevel="0" collapsed="false">
      <c r="A147" s="138" t="s">
        <v>3629</v>
      </c>
      <c r="B147" s="138" t="n">
        <v>560.75</v>
      </c>
      <c r="C147" s="138" t="s">
        <v>3515</v>
      </c>
      <c r="D147" s="138" t="s">
        <v>3494</v>
      </c>
      <c r="E147" s="146" t="n">
        <v>0.27</v>
      </c>
      <c r="F147" s="138" t="s">
        <v>60</v>
      </c>
      <c r="G147" s="138" t="s">
        <v>3624</v>
      </c>
      <c r="H147" s="138" t="s">
        <v>3506</v>
      </c>
    </row>
    <row r="148" customFormat="false" ht="15" hidden="false" customHeight="false" outlineLevel="0" collapsed="false">
      <c r="A148" s="138" t="s">
        <v>3630</v>
      </c>
      <c r="B148" s="138" t="n">
        <v>561.35</v>
      </c>
      <c r="C148" s="138" t="s">
        <v>3518</v>
      </c>
      <c r="D148" s="138" t="s">
        <v>3494</v>
      </c>
      <c r="E148" s="146" t="n">
        <v>0.27</v>
      </c>
      <c r="F148" s="138" t="s">
        <v>60</v>
      </c>
      <c r="G148" s="138" t="s">
        <v>3624</v>
      </c>
      <c r="H148" s="138" t="s">
        <v>3506</v>
      </c>
    </row>
    <row r="149" customFormat="false" ht="15" hidden="false" customHeight="false" outlineLevel="0" collapsed="false">
      <c r="A149" s="138" t="s">
        <v>3631</v>
      </c>
      <c r="B149" s="138" t="n">
        <v>561.5</v>
      </c>
      <c r="C149" s="138" t="s">
        <v>3632</v>
      </c>
      <c r="D149" s="138" t="s">
        <v>3496</v>
      </c>
      <c r="E149" s="146" t="n">
        <v>2</v>
      </c>
      <c r="F149" s="138" t="s">
        <v>59</v>
      </c>
      <c r="G149" s="138" t="s">
        <v>3624</v>
      </c>
      <c r="H149" s="138" t="s">
        <v>3506</v>
      </c>
    </row>
    <row r="150" customFormat="false" ht="15" hidden="false" customHeight="false" outlineLevel="0" collapsed="false">
      <c r="A150" s="138" t="s">
        <v>3633</v>
      </c>
      <c r="B150" s="138" t="n">
        <v>564.5</v>
      </c>
      <c r="C150" s="138" t="s">
        <v>3634</v>
      </c>
      <c r="D150" s="138" t="s">
        <v>3496</v>
      </c>
      <c r="E150" s="146" t="n">
        <v>2</v>
      </c>
      <c r="F150" s="138" t="s">
        <v>60</v>
      </c>
      <c r="G150" s="138" t="s">
        <v>3624</v>
      </c>
      <c r="H150" s="138" t="s">
        <v>3506</v>
      </c>
    </row>
    <row r="151" customFormat="false" ht="15" hidden="false" customHeight="false" outlineLevel="0" collapsed="false">
      <c r="A151" s="138" t="s">
        <v>3635</v>
      </c>
      <c r="B151" s="138" t="n">
        <v>583.5</v>
      </c>
      <c r="C151" s="138" t="s">
        <v>3516</v>
      </c>
      <c r="D151" s="138" t="s">
        <v>3517</v>
      </c>
      <c r="E151" s="146" t="n">
        <v>0.5027</v>
      </c>
      <c r="F151" s="138" t="s">
        <v>60</v>
      </c>
      <c r="G151" s="138" t="s">
        <v>3636</v>
      </c>
      <c r="H151" s="138" t="s">
        <v>3506</v>
      </c>
    </row>
    <row r="152" customFormat="false" ht="15" hidden="false" customHeight="false" outlineLevel="0" collapsed="false">
      <c r="A152" s="138" t="s">
        <v>3637</v>
      </c>
      <c r="B152" s="138" t="n">
        <v>591.1</v>
      </c>
      <c r="C152" s="138" t="s">
        <v>3518</v>
      </c>
      <c r="D152" s="138" t="s">
        <v>3494</v>
      </c>
      <c r="E152" s="146" t="n">
        <v>0.27</v>
      </c>
      <c r="F152" s="138" t="s">
        <v>60</v>
      </c>
      <c r="G152" s="138" t="s">
        <v>3636</v>
      </c>
      <c r="H152" s="138" t="s">
        <v>3506</v>
      </c>
    </row>
    <row r="153" customFormat="false" ht="15" hidden="false" customHeight="false" outlineLevel="0" collapsed="false">
      <c r="A153" s="138" t="s">
        <v>2266</v>
      </c>
      <c r="B153" s="138" t="n">
        <v>593</v>
      </c>
      <c r="C153" s="138" t="s">
        <v>3638</v>
      </c>
      <c r="D153" s="138" t="s">
        <v>3498</v>
      </c>
      <c r="E153" s="146" t="n">
        <v>2.5</v>
      </c>
      <c r="F153" s="138" t="s">
        <v>60</v>
      </c>
      <c r="G153" s="138" t="s">
        <v>3636</v>
      </c>
      <c r="H153" s="138" t="s">
        <v>3506</v>
      </c>
    </row>
    <row r="154" customFormat="false" ht="15" hidden="false" customHeight="false" outlineLevel="0" collapsed="false">
      <c r="A154" s="138" t="s">
        <v>2266</v>
      </c>
      <c r="B154" s="138" t="n">
        <v>593</v>
      </c>
      <c r="C154" s="138" t="s">
        <v>3639</v>
      </c>
      <c r="D154" s="138" t="s">
        <v>3529</v>
      </c>
      <c r="E154" s="146" t="n">
        <v>6</v>
      </c>
      <c r="F154" s="138" t="s">
        <v>59</v>
      </c>
      <c r="G154" s="138" t="s">
        <v>3636</v>
      </c>
      <c r="H154" s="138" t="s">
        <v>3506</v>
      </c>
    </row>
    <row r="155" customFormat="false" ht="15" hidden="false" customHeight="false" outlineLevel="0" collapsed="false">
      <c r="A155" s="138" t="s">
        <v>3640</v>
      </c>
      <c r="B155" s="138" t="n">
        <v>595.5</v>
      </c>
      <c r="C155" s="138" t="s">
        <v>3521</v>
      </c>
      <c r="D155" s="138" t="s">
        <v>3517</v>
      </c>
      <c r="E155" s="146" t="n">
        <v>0.5027</v>
      </c>
      <c r="F155" s="138" t="s">
        <v>60</v>
      </c>
      <c r="G155" s="138" t="s">
        <v>3636</v>
      </c>
      <c r="H155" s="138" t="s">
        <v>3506</v>
      </c>
    </row>
    <row r="156" customFormat="false" ht="15" hidden="false" customHeight="false" outlineLevel="0" collapsed="false">
      <c r="A156" s="138" t="s">
        <v>3641</v>
      </c>
      <c r="B156" s="138" t="n">
        <v>597.5</v>
      </c>
      <c r="C156" s="138" t="s">
        <v>3520</v>
      </c>
      <c r="D156" s="138" t="s">
        <v>3517</v>
      </c>
      <c r="E156" s="146" t="n">
        <v>0.5027</v>
      </c>
      <c r="F156" s="138" t="s">
        <v>60</v>
      </c>
      <c r="G156" s="138" t="s">
        <v>3636</v>
      </c>
      <c r="H156" s="138" t="s">
        <v>3506</v>
      </c>
    </row>
    <row r="157" customFormat="false" ht="15" hidden="false" customHeight="false" outlineLevel="0" collapsed="false">
      <c r="A157" s="138" t="s">
        <v>3642</v>
      </c>
      <c r="B157" s="138" t="n">
        <v>599.5</v>
      </c>
      <c r="C157" s="138" t="s">
        <v>3516</v>
      </c>
      <c r="D157" s="138" t="s">
        <v>3517</v>
      </c>
      <c r="E157" s="146" t="n">
        <v>0.5027</v>
      </c>
      <c r="F157" s="138" t="s">
        <v>59</v>
      </c>
      <c r="G157" s="138" t="s">
        <v>3636</v>
      </c>
      <c r="H157" s="138" t="s">
        <v>3506</v>
      </c>
    </row>
    <row r="158" customFormat="false" ht="15" hidden="false" customHeight="false" outlineLevel="0" collapsed="false">
      <c r="A158" s="138" t="s">
        <v>2273</v>
      </c>
      <c r="B158" s="138" t="n">
        <v>601</v>
      </c>
      <c r="C158" s="138" t="s">
        <v>3503</v>
      </c>
      <c r="D158" s="138" t="s">
        <v>3504</v>
      </c>
      <c r="E158" s="146" t="n">
        <v>0.7</v>
      </c>
      <c r="F158" s="138" t="s">
        <v>59</v>
      </c>
      <c r="G158" s="138" t="s">
        <v>3636</v>
      </c>
      <c r="H158" s="138" t="s">
        <v>3506</v>
      </c>
    </row>
    <row r="159" customFormat="false" ht="15" hidden="false" customHeight="false" outlineLevel="0" collapsed="false">
      <c r="A159" s="138" t="s">
        <v>3643</v>
      </c>
      <c r="B159" s="138" t="n">
        <v>601.9</v>
      </c>
      <c r="C159" s="138" t="s">
        <v>3518</v>
      </c>
      <c r="D159" s="138" t="s">
        <v>3494</v>
      </c>
      <c r="E159" s="146" t="n">
        <v>0.27</v>
      </c>
      <c r="F159" s="138" t="s">
        <v>60</v>
      </c>
      <c r="G159" s="138" t="s">
        <v>3636</v>
      </c>
      <c r="H159" s="138" t="s">
        <v>3506</v>
      </c>
    </row>
    <row r="160" customFormat="false" ht="15" hidden="false" customHeight="false" outlineLevel="0" collapsed="false">
      <c r="A160" s="138" t="s">
        <v>3644</v>
      </c>
      <c r="B160" s="138" t="n">
        <v>602.2</v>
      </c>
      <c r="C160" s="138" t="s">
        <v>3515</v>
      </c>
      <c r="D160" s="138" t="s">
        <v>3494</v>
      </c>
      <c r="E160" s="146" t="n">
        <v>0.27</v>
      </c>
      <c r="F160" s="138" t="s">
        <v>59</v>
      </c>
      <c r="G160" s="138" t="s">
        <v>3636</v>
      </c>
      <c r="H160" s="138" t="s">
        <v>3506</v>
      </c>
    </row>
    <row r="161" customFormat="false" ht="15" hidden="false" customHeight="false" outlineLevel="0" collapsed="false">
      <c r="A161" s="138" t="s">
        <v>2275</v>
      </c>
      <c r="B161" s="138" t="n">
        <v>603</v>
      </c>
      <c r="C161" s="138" t="s">
        <v>3645</v>
      </c>
      <c r="D161" s="138" t="s">
        <v>3646</v>
      </c>
      <c r="E161" s="146" t="n">
        <v>7.5</v>
      </c>
      <c r="F161" s="138" t="s">
        <v>60</v>
      </c>
      <c r="G161" s="138" t="s">
        <v>3636</v>
      </c>
      <c r="H161" s="138" t="s">
        <v>3506</v>
      </c>
    </row>
    <row r="162" customFormat="false" ht="15" hidden="false" customHeight="false" outlineLevel="0" collapsed="false">
      <c r="A162" s="138" t="s">
        <v>2275</v>
      </c>
      <c r="B162" s="138" t="n">
        <v>603</v>
      </c>
      <c r="C162" s="138" t="s">
        <v>3647</v>
      </c>
      <c r="D162" s="138" t="s">
        <v>3648</v>
      </c>
      <c r="E162" s="146" t="n">
        <v>8.25</v>
      </c>
      <c r="F162" s="138" t="s">
        <v>59</v>
      </c>
      <c r="G162" s="138" t="s">
        <v>3636</v>
      </c>
      <c r="H162" s="138" t="s">
        <v>3506</v>
      </c>
    </row>
    <row r="163" customFormat="false" ht="15" hidden="false" customHeight="false" outlineLevel="0" collapsed="false">
      <c r="A163" s="138" t="s">
        <v>3649</v>
      </c>
      <c r="B163" s="138" t="n">
        <v>604.3</v>
      </c>
      <c r="C163" s="138" t="s">
        <v>3515</v>
      </c>
      <c r="D163" s="138" t="s">
        <v>3494</v>
      </c>
      <c r="E163" s="146" t="n">
        <v>0.27</v>
      </c>
      <c r="F163" s="138" t="s">
        <v>60</v>
      </c>
      <c r="G163" s="138" t="s">
        <v>3636</v>
      </c>
      <c r="H163" s="138" t="s">
        <v>3506</v>
      </c>
    </row>
    <row r="164" customFormat="false" ht="15" hidden="false" customHeight="false" outlineLevel="0" collapsed="false">
      <c r="A164" s="138" t="s">
        <v>3650</v>
      </c>
      <c r="B164" s="138" t="n">
        <v>604.4</v>
      </c>
      <c r="C164" s="138" t="s">
        <v>3518</v>
      </c>
      <c r="D164" s="138" t="s">
        <v>3494</v>
      </c>
      <c r="E164" s="146" t="n">
        <v>0.27</v>
      </c>
      <c r="F164" s="138" t="s">
        <v>59</v>
      </c>
      <c r="G164" s="138" t="s">
        <v>3636</v>
      </c>
      <c r="H164" s="138" t="s">
        <v>3506</v>
      </c>
    </row>
    <row r="165" customFormat="false" ht="15" hidden="false" customHeight="false" outlineLevel="0" collapsed="false">
      <c r="A165" s="138" t="s">
        <v>3651</v>
      </c>
      <c r="B165" s="138" t="n">
        <v>604.65676</v>
      </c>
      <c r="C165" s="138" t="s">
        <v>3652</v>
      </c>
      <c r="D165" s="138" t="s">
        <v>3653</v>
      </c>
      <c r="E165" s="146" t="n">
        <v>0</v>
      </c>
      <c r="F165" s="138" t="s">
        <v>60</v>
      </c>
      <c r="G165" s="138" t="s">
        <v>3636</v>
      </c>
      <c r="H165" s="138" t="s">
        <v>3510</v>
      </c>
    </row>
    <row r="166" customFormat="false" ht="15" hidden="false" customHeight="false" outlineLevel="0" collapsed="false">
      <c r="A166" s="138" t="s">
        <v>3654</v>
      </c>
      <c r="B166" s="138" t="n">
        <v>604.72732</v>
      </c>
      <c r="C166" s="138" t="s">
        <v>3655</v>
      </c>
      <c r="D166" s="138" t="s">
        <v>3653</v>
      </c>
      <c r="E166" s="146" t="n">
        <v>0</v>
      </c>
      <c r="F166" s="138" t="s">
        <v>59</v>
      </c>
      <c r="G166" s="138" t="s">
        <v>3636</v>
      </c>
      <c r="H166" s="138" t="s">
        <v>3510</v>
      </c>
    </row>
    <row r="167" customFormat="false" ht="15" hidden="false" customHeight="false" outlineLevel="0" collapsed="false">
      <c r="A167" s="138" t="s">
        <v>3656</v>
      </c>
      <c r="B167" s="138" t="n">
        <v>623.1</v>
      </c>
      <c r="C167" s="138" t="s">
        <v>3491</v>
      </c>
      <c r="D167" s="138" t="s">
        <v>3578</v>
      </c>
      <c r="E167" s="146" t="n">
        <v>0.1257</v>
      </c>
      <c r="F167" s="138" t="s">
        <v>60</v>
      </c>
      <c r="G167" s="138" t="s">
        <v>3636</v>
      </c>
      <c r="H167" s="138" t="s">
        <v>3506</v>
      </c>
    </row>
    <row r="168" customFormat="false" ht="15" hidden="false" customHeight="false" outlineLevel="0" collapsed="false">
      <c r="A168" s="138" t="s">
        <v>2300</v>
      </c>
      <c r="B168" s="138" t="n">
        <v>627</v>
      </c>
      <c r="C168" s="138" t="s">
        <v>3516</v>
      </c>
      <c r="D168" s="138" t="s">
        <v>3517</v>
      </c>
      <c r="E168" s="146" t="n">
        <v>0.5027</v>
      </c>
      <c r="F168" s="138" t="s">
        <v>60</v>
      </c>
      <c r="G168" s="138" t="s">
        <v>3636</v>
      </c>
      <c r="H168" s="138" t="s">
        <v>3506</v>
      </c>
    </row>
    <row r="169" customFormat="false" ht="15" hidden="false" customHeight="false" outlineLevel="0" collapsed="false">
      <c r="A169" s="138" t="s">
        <v>3657</v>
      </c>
      <c r="B169" s="138" t="n">
        <v>633.5</v>
      </c>
      <c r="C169" s="138" t="s">
        <v>3658</v>
      </c>
      <c r="D169" s="138" t="s">
        <v>3659</v>
      </c>
      <c r="E169" s="146" t="n">
        <v>0.5</v>
      </c>
      <c r="F169" s="138" t="s">
        <v>60</v>
      </c>
      <c r="G169" s="138" t="s">
        <v>3636</v>
      </c>
      <c r="H169" s="138" t="s">
        <v>3506</v>
      </c>
    </row>
    <row r="170" customFormat="false" ht="15" hidden="false" customHeight="false" outlineLevel="0" collapsed="false">
      <c r="A170" s="138" t="s">
        <v>3660</v>
      </c>
      <c r="B170" s="138" t="n">
        <v>634.75</v>
      </c>
      <c r="C170" s="138" t="s">
        <v>3491</v>
      </c>
      <c r="D170" s="138" t="s">
        <v>3578</v>
      </c>
      <c r="E170" s="146" t="n">
        <v>0.1257</v>
      </c>
      <c r="F170" s="138" t="s">
        <v>59</v>
      </c>
      <c r="G170" s="138" t="s">
        <v>3636</v>
      </c>
      <c r="H170" s="138" t="s">
        <v>3506</v>
      </c>
    </row>
    <row r="171" customFormat="false" ht="15" hidden="false" customHeight="false" outlineLevel="0" collapsed="false">
      <c r="A171" s="138" t="s">
        <v>2311</v>
      </c>
      <c r="B171" s="138" t="n">
        <v>636</v>
      </c>
      <c r="C171" s="138" t="s">
        <v>3661</v>
      </c>
      <c r="D171" s="138" t="s">
        <v>3659</v>
      </c>
      <c r="E171" s="146" t="n">
        <v>0.5</v>
      </c>
      <c r="F171" s="138" t="s">
        <v>60</v>
      </c>
      <c r="G171" s="138" t="s">
        <v>3636</v>
      </c>
      <c r="H171" s="138" t="s">
        <v>3506</v>
      </c>
    </row>
    <row r="172" customFormat="false" ht="15" hidden="false" customHeight="false" outlineLevel="0" collapsed="false">
      <c r="A172" s="138" t="s">
        <v>3662</v>
      </c>
      <c r="B172" s="138" t="n">
        <v>636.5</v>
      </c>
      <c r="C172" s="138" t="s">
        <v>3663</v>
      </c>
      <c r="D172" s="138" t="s">
        <v>3659</v>
      </c>
      <c r="E172" s="146" t="n">
        <v>0.5</v>
      </c>
      <c r="F172" s="138" t="s">
        <v>59</v>
      </c>
      <c r="G172" s="138" t="s">
        <v>3636</v>
      </c>
      <c r="H172" s="138" t="s">
        <v>3506</v>
      </c>
    </row>
    <row r="173" customFormat="false" ht="15" hidden="false" customHeight="false" outlineLevel="0" collapsed="false">
      <c r="A173" s="138" t="s">
        <v>2314</v>
      </c>
      <c r="B173" s="138" t="n">
        <v>639</v>
      </c>
      <c r="C173" s="138" t="s">
        <v>3664</v>
      </c>
      <c r="D173" s="138" t="s">
        <v>3659</v>
      </c>
      <c r="E173" s="146" t="n">
        <v>0.5</v>
      </c>
      <c r="F173" s="138" t="s">
        <v>59</v>
      </c>
      <c r="G173" s="138" t="s">
        <v>3636</v>
      </c>
      <c r="H173" s="138" t="s">
        <v>3506</v>
      </c>
    </row>
    <row r="174" customFormat="false" ht="15" hidden="false" customHeight="false" outlineLevel="0" collapsed="false">
      <c r="A174" s="138" t="s">
        <v>3665</v>
      </c>
      <c r="B174" s="138" t="n">
        <v>639.4</v>
      </c>
      <c r="C174" s="138" t="s">
        <v>3491</v>
      </c>
      <c r="D174" s="138" t="s">
        <v>3666</v>
      </c>
      <c r="E174" s="146" t="n">
        <v>0.0491</v>
      </c>
      <c r="F174" s="138" t="s">
        <v>60</v>
      </c>
      <c r="G174" s="138" t="s">
        <v>3636</v>
      </c>
      <c r="H174" s="138" t="s">
        <v>3506</v>
      </c>
    </row>
    <row r="175" customFormat="false" ht="15" hidden="false" customHeight="false" outlineLevel="0" collapsed="false">
      <c r="A175" s="138" t="s">
        <v>1607</v>
      </c>
      <c r="B175" s="138" t="n">
        <v>642</v>
      </c>
      <c r="C175" s="138" t="s">
        <v>3520</v>
      </c>
      <c r="D175" s="138" t="s">
        <v>3517</v>
      </c>
      <c r="E175" s="146" t="n">
        <v>0.5027</v>
      </c>
      <c r="F175" s="138" t="s">
        <v>59</v>
      </c>
      <c r="G175" s="138" t="s">
        <v>3636</v>
      </c>
      <c r="H175" s="138" t="s">
        <v>3506</v>
      </c>
    </row>
  </sheetData>
  <autoFilter ref="A1:H1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5" min="4" style="0" width="10"/>
    <col collapsed="false" customWidth="true" hidden="false" outlineLevel="0" max="6" min="6" style="0" width="3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6"/>
  </cols>
  <sheetData>
    <row r="1" customFormat="false" ht="48" hidden="false" customHeight="true" outlineLevel="0" collapsed="false">
      <c r="A1" s="133" t="s">
        <v>9</v>
      </c>
      <c r="B1" s="133" t="s">
        <v>2367</v>
      </c>
      <c r="C1" s="133" t="s">
        <v>2368</v>
      </c>
      <c r="D1" s="133" t="s">
        <v>3667</v>
      </c>
      <c r="E1" s="133" t="s">
        <v>3668</v>
      </c>
      <c r="F1" s="133"/>
      <c r="G1" s="133" t="s">
        <v>3669</v>
      </c>
      <c r="H1" s="133" t="s">
        <v>3670</v>
      </c>
      <c r="I1" s="133" t="s">
        <v>2370</v>
      </c>
    </row>
    <row r="2" customFormat="false" ht="15" hidden="false" customHeight="false" outlineLevel="0" collapsed="false">
      <c r="A2" s="138" t="s">
        <v>1568</v>
      </c>
      <c r="B2" s="138" t="n">
        <v>0</v>
      </c>
      <c r="C2" s="138" t="n">
        <v>1</v>
      </c>
      <c r="D2" s="138" t="n">
        <v>0</v>
      </c>
      <c r="E2" s="138" t="n">
        <v>0</v>
      </c>
      <c r="G2" s="138" t="s">
        <v>3671</v>
      </c>
      <c r="H2" s="138" t="n">
        <v>3.419</v>
      </c>
      <c r="I2" s="138" t="s">
        <v>60</v>
      </c>
    </row>
    <row r="3" customFormat="false" ht="15" hidden="false" customHeight="false" outlineLevel="0" collapsed="false">
      <c r="A3" s="138" t="s">
        <v>1643</v>
      </c>
      <c r="B3" s="138" t="n">
        <v>1</v>
      </c>
      <c r="C3" s="138" t="n">
        <v>2</v>
      </c>
      <c r="D3" s="138" t="n">
        <v>0</v>
      </c>
      <c r="E3" s="138" t="n">
        <v>0</v>
      </c>
      <c r="G3" s="138" t="s">
        <v>3672</v>
      </c>
      <c r="H3" s="138" t="n">
        <v>5.02</v>
      </c>
      <c r="I3" s="138" t="s">
        <v>60</v>
      </c>
    </row>
    <row r="4" customFormat="false" ht="15" hidden="false" customHeight="false" outlineLevel="0" collapsed="false">
      <c r="A4" s="138" t="s">
        <v>1644</v>
      </c>
      <c r="B4" s="138" t="n">
        <v>2</v>
      </c>
      <c r="C4" s="138" t="n">
        <v>3</v>
      </c>
      <c r="D4" s="138" t="n">
        <v>0</v>
      </c>
      <c r="E4" s="138" t="n">
        <v>1</v>
      </c>
      <c r="G4" s="138" t="s">
        <v>3673</v>
      </c>
      <c r="H4" s="138" t="n">
        <v>15.395</v>
      </c>
      <c r="I4" s="138" t="s">
        <v>59</v>
      </c>
    </row>
    <row r="5" customFormat="false" ht="15" hidden="false" customHeight="false" outlineLevel="0" collapsed="false">
      <c r="A5" s="138" t="s">
        <v>1645</v>
      </c>
      <c r="B5" s="138" t="n">
        <v>3</v>
      </c>
      <c r="C5" s="138" t="n">
        <v>4</v>
      </c>
      <c r="D5" s="138" t="n">
        <v>4</v>
      </c>
      <c r="E5" s="138" t="n">
        <v>17</v>
      </c>
      <c r="G5" s="138" t="s">
        <v>3674</v>
      </c>
      <c r="H5" s="138" t="n">
        <v>16.266</v>
      </c>
      <c r="I5" s="138" t="s">
        <v>60</v>
      </c>
    </row>
    <row r="6" customFormat="false" ht="15" hidden="false" customHeight="false" outlineLevel="0" collapsed="false">
      <c r="A6" s="138" t="s">
        <v>1646</v>
      </c>
      <c r="B6" s="138" t="n">
        <v>4</v>
      </c>
      <c r="C6" s="138" t="n">
        <v>5</v>
      </c>
      <c r="D6" s="138" t="n">
        <v>9</v>
      </c>
      <c r="E6" s="138" t="n">
        <v>17</v>
      </c>
      <c r="G6" s="138" t="s">
        <v>3675</v>
      </c>
      <c r="H6" s="138" t="n">
        <v>16.995</v>
      </c>
      <c r="I6" s="138" t="s">
        <v>59</v>
      </c>
    </row>
    <row r="7" customFormat="false" ht="15" hidden="false" customHeight="false" outlineLevel="0" collapsed="false">
      <c r="A7" s="138" t="s">
        <v>1647</v>
      </c>
      <c r="B7" s="138" t="n">
        <v>5</v>
      </c>
      <c r="C7" s="138" t="n">
        <v>6</v>
      </c>
      <c r="D7" s="138" t="n">
        <v>0</v>
      </c>
      <c r="E7" s="138" t="n">
        <v>5</v>
      </c>
      <c r="G7" s="138" t="s">
        <v>3676</v>
      </c>
      <c r="H7" s="138" t="n">
        <v>18.066</v>
      </c>
      <c r="I7" s="138" t="s">
        <v>60</v>
      </c>
    </row>
    <row r="8" customFormat="false" ht="15" hidden="false" customHeight="false" outlineLevel="0" collapsed="false">
      <c r="A8" s="138" t="s">
        <v>1648</v>
      </c>
      <c r="B8" s="138" t="n">
        <v>6</v>
      </c>
      <c r="C8" s="138" t="n">
        <v>7</v>
      </c>
      <c r="D8" s="138" t="n">
        <v>0</v>
      </c>
      <c r="E8" s="138" t="n">
        <v>0</v>
      </c>
      <c r="G8" s="138" t="s">
        <v>3677</v>
      </c>
      <c r="H8" s="138" t="n">
        <v>30.879</v>
      </c>
      <c r="I8" s="138" t="s">
        <v>59</v>
      </c>
    </row>
    <row r="9" customFormat="false" ht="15" hidden="false" customHeight="false" outlineLevel="0" collapsed="false">
      <c r="A9" s="138" t="s">
        <v>1649</v>
      </c>
      <c r="B9" s="138" t="n">
        <v>7</v>
      </c>
      <c r="C9" s="138" t="n">
        <v>8</v>
      </c>
      <c r="D9" s="138" t="n">
        <v>0</v>
      </c>
      <c r="E9" s="138" t="n">
        <v>0</v>
      </c>
      <c r="G9" s="138" t="s">
        <v>3678</v>
      </c>
      <c r="H9" s="138" t="n">
        <v>31.678</v>
      </c>
      <c r="I9" s="138" t="s">
        <v>59</v>
      </c>
    </row>
    <row r="10" customFormat="false" ht="15" hidden="false" customHeight="false" outlineLevel="0" collapsed="false">
      <c r="A10" s="138" t="s">
        <v>1650</v>
      </c>
      <c r="B10" s="138" t="n">
        <v>8</v>
      </c>
      <c r="C10" s="138" t="n">
        <v>9</v>
      </c>
      <c r="D10" s="138" t="n">
        <v>0</v>
      </c>
      <c r="E10" s="138" t="n">
        <v>0</v>
      </c>
      <c r="G10" s="138" t="s">
        <v>3679</v>
      </c>
      <c r="H10" s="138" t="n">
        <v>37.503</v>
      </c>
      <c r="I10" s="138" t="s">
        <v>59</v>
      </c>
    </row>
    <row r="11" customFormat="false" ht="15" hidden="false" customHeight="false" outlineLevel="0" collapsed="false">
      <c r="A11" s="138" t="s">
        <v>1651</v>
      </c>
      <c r="B11" s="138" t="n">
        <v>9</v>
      </c>
      <c r="C11" s="138" t="n">
        <v>10</v>
      </c>
      <c r="D11" s="138" t="n">
        <v>0</v>
      </c>
      <c r="E11" s="138" t="n">
        <v>0</v>
      </c>
      <c r="G11" s="138" t="s">
        <v>3680</v>
      </c>
      <c r="H11" s="138" t="n">
        <v>37.817</v>
      </c>
      <c r="I11" s="138" t="s">
        <v>60</v>
      </c>
    </row>
    <row r="12" customFormat="false" ht="15" hidden="false" customHeight="false" outlineLevel="0" collapsed="false">
      <c r="A12" s="138" t="s">
        <v>1652</v>
      </c>
      <c r="B12" s="138" t="n">
        <v>10</v>
      </c>
      <c r="C12" s="138" t="n">
        <v>11</v>
      </c>
      <c r="D12" s="138" t="n">
        <v>0</v>
      </c>
      <c r="E12" s="138" t="n">
        <v>0</v>
      </c>
      <c r="G12" s="138" t="s">
        <v>3681</v>
      </c>
      <c r="H12" s="138" t="n">
        <v>39.416</v>
      </c>
      <c r="I12" s="138" t="s">
        <v>60</v>
      </c>
    </row>
    <row r="13" customFormat="false" ht="15" hidden="false" customHeight="false" outlineLevel="0" collapsed="false">
      <c r="A13" s="138" t="s">
        <v>1653</v>
      </c>
      <c r="B13" s="138" t="n">
        <v>11</v>
      </c>
      <c r="C13" s="138" t="n">
        <v>12</v>
      </c>
      <c r="D13" s="138" t="n">
        <v>0</v>
      </c>
      <c r="E13" s="138" t="n">
        <v>0</v>
      </c>
      <c r="G13" s="138" t="s">
        <v>3682</v>
      </c>
      <c r="H13" s="138" t="n">
        <v>39.901</v>
      </c>
      <c r="I13" s="138" t="s">
        <v>59</v>
      </c>
    </row>
    <row r="14" customFormat="false" ht="15" hidden="false" customHeight="false" outlineLevel="0" collapsed="false">
      <c r="A14" s="138" t="s">
        <v>1654</v>
      </c>
      <c r="B14" s="138" t="n">
        <v>12</v>
      </c>
      <c r="C14" s="138" t="n">
        <v>13</v>
      </c>
      <c r="D14" s="138" t="n">
        <v>0</v>
      </c>
      <c r="E14" s="138" t="n">
        <v>0</v>
      </c>
      <c r="G14" s="138" t="s">
        <v>3683</v>
      </c>
      <c r="H14" s="138" t="n">
        <v>52.088</v>
      </c>
      <c r="I14" s="138" t="s">
        <v>59</v>
      </c>
    </row>
    <row r="15" customFormat="false" ht="15" hidden="false" customHeight="false" outlineLevel="0" collapsed="false">
      <c r="A15" s="138" t="s">
        <v>1655</v>
      </c>
      <c r="B15" s="138" t="n">
        <v>13</v>
      </c>
      <c r="C15" s="138" t="n">
        <v>14</v>
      </c>
      <c r="D15" s="138" t="n">
        <v>0</v>
      </c>
      <c r="E15" s="138" t="n">
        <v>0</v>
      </c>
      <c r="G15" s="138" t="s">
        <v>3684</v>
      </c>
      <c r="H15" s="138" t="n">
        <v>55.03</v>
      </c>
      <c r="I15" s="138" t="s">
        <v>60</v>
      </c>
    </row>
    <row r="16" customFormat="false" ht="15" hidden="false" customHeight="false" outlineLevel="0" collapsed="false">
      <c r="A16" s="138" t="s">
        <v>1656</v>
      </c>
      <c r="B16" s="138" t="n">
        <v>14</v>
      </c>
      <c r="C16" s="138" t="n">
        <v>15</v>
      </c>
      <c r="D16" s="138" t="n">
        <v>1</v>
      </c>
      <c r="E16" s="138" t="n">
        <v>0</v>
      </c>
      <c r="G16" s="138" t="s">
        <v>3685</v>
      </c>
      <c r="H16" s="138" t="n">
        <v>59.033</v>
      </c>
      <c r="I16" s="138" t="s">
        <v>60</v>
      </c>
    </row>
    <row r="17" customFormat="false" ht="15" hidden="false" customHeight="false" outlineLevel="0" collapsed="false">
      <c r="A17" s="138" t="s">
        <v>1657</v>
      </c>
      <c r="B17" s="138" t="n">
        <v>15</v>
      </c>
      <c r="C17" s="138" t="n">
        <v>16</v>
      </c>
      <c r="D17" s="138" t="n">
        <v>17</v>
      </c>
      <c r="E17" s="138" t="n">
        <v>4</v>
      </c>
      <c r="G17" s="138" t="s">
        <v>3686</v>
      </c>
      <c r="H17" s="138" t="n">
        <v>65.03</v>
      </c>
      <c r="I17" s="138" t="s">
        <v>60</v>
      </c>
    </row>
    <row r="18" customFormat="false" ht="15" hidden="false" customHeight="false" outlineLevel="0" collapsed="false">
      <c r="A18" s="138" t="s">
        <v>1658</v>
      </c>
      <c r="B18" s="138" t="n">
        <v>16</v>
      </c>
      <c r="C18" s="138" t="n">
        <v>17</v>
      </c>
      <c r="D18" s="138" t="n">
        <v>17</v>
      </c>
      <c r="E18" s="138" t="n">
        <v>17</v>
      </c>
      <c r="G18" s="138" t="s">
        <v>3687</v>
      </c>
      <c r="H18" s="138" t="n">
        <v>66.088</v>
      </c>
      <c r="I18" s="138" t="s">
        <v>59</v>
      </c>
    </row>
    <row r="19" customFormat="false" ht="15" hidden="false" customHeight="false" outlineLevel="0" collapsed="false">
      <c r="A19" s="138" t="s">
        <v>1659</v>
      </c>
      <c r="B19" s="138" t="n">
        <v>17</v>
      </c>
      <c r="C19" s="138" t="n">
        <v>18</v>
      </c>
      <c r="D19" s="138" t="n">
        <v>4</v>
      </c>
      <c r="E19" s="138" t="n">
        <v>18</v>
      </c>
      <c r="G19" s="138" t="s">
        <v>3688</v>
      </c>
      <c r="H19" s="138" t="n">
        <v>67.229</v>
      </c>
      <c r="I19" s="138" t="s">
        <v>60</v>
      </c>
    </row>
    <row r="20" customFormat="false" ht="15" hidden="false" customHeight="false" outlineLevel="0" collapsed="false">
      <c r="A20" s="138" t="s">
        <v>1660</v>
      </c>
      <c r="B20" s="138" t="n">
        <v>18</v>
      </c>
      <c r="C20" s="138" t="n">
        <v>19</v>
      </c>
      <c r="D20" s="138" t="n">
        <v>0</v>
      </c>
      <c r="E20" s="138" t="n">
        <v>4</v>
      </c>
      <c r="G20" s="138" t="s">
        <v>3689</v>
      </c>
      <c r="H20" s="138" t="n">
        <v>81.421</v>
      </c>
      <c r="I20" s="138" t="s">
        <v>60</v>
      </c>
    </row>
    <row r="21" customFormat="false" ht="15" hidden="false" customHeight="false" outlineLevel="0" collapsed="false">
      <c r="A21" s="138" t="s">
        <v>1661</v>
      </c>
      <c r="B21" s="138" t="n">
        <v>19</v>
      </c>
      <c r="C21" s="138" t="n">
        <v>20</v>
      </c>
      <c r="D21" s="138" t="n">
        <v>0</v>
      </c>
      <c r="E21" s="138" t="n">
        <v>0</v>
      </c>
      <c r="G21" s="138" t="s">
        <v>3690</v>
      </c>
      <c r="H21" s="138" t="n">
        <v>82.829</v>
      </c>
      <c r="I21" s="138" t="s">
        <v>60</v>
      </c>
    </row>
    <row r="22" customFormat="false" ht="15" hidden="false" customHeight="false" outlineLevel="0" collapsed="false">
      <c r="A22" s="138" t="s">
        <v>1662</v>
      </c>
      <c r="B22" s="138" t="n">
        <v>20</v>
      </c>
      <c r="C22" s="138" t="n">
        <v>21</v>
      </c>
      <c r="D22" s="138" t="n">
        <v>0</v>
      </c>
      <c r="E22" s="138" t="n">
        <v>0</v>
      </c>
      <c r="G22" s="138" t="s">
        <v>3691</v>
      </c>
      <c r="H22" s="138" t="n">
        <v>106.264</v>
      </c>
      <c r="I22" s="138" t="s">
        <v>59</v>
      </c>
    </row>
    <row r="23" customFormat="false" ht="15" hidden="false" customHeight="false" outlineLevel="0" collapsed="false">
      <c r="A23" s="138" t="s">
        <v>1663</v>
      </c>
      <c r="B23" s="138" t="n">
        <v>21</v>
      </c>
      <c r="C23" s="138" t="n">
        <v>22</v>
      </c>
      <c r="D23" s="138" t="n">
        <v>0</v>
      </c>
      <c r="E23" s="138" t="n">
        <v>0</v>
      </c>
      <c r="G23" s="138" t="s">
        <v>3692</v>
      </c>
      <c r="H23" s="138" t="n">
        <v>106.84</v>
      </c>
      <c r="I23" s="138" t="s">
        <v>60</v>
      </c>
    </row>
    <row r="24" customFormat="false" ht="15" hidden="false" customHeight="false" outlineLevel="0" collapsed="false">
      <c r="A24" s="138" t="s">
        <v>1664</v>
      </c>
      <c r="B24" s="138" t="n">
        <v>22</v>
      </c>
      <c r="C24" s="138" t="n">
        <v>23</v>
      </c>
      <c r="D24" s="138" t="n">
        <v>0</v>
      </c>
      <c r="E24" s="138" t="n">
        <v>0</v>
      </c>
      <c r="G24" s="138" t="s">
        <v>3693</v>
      </c>
      <c r="H24" s="138" t="n">
        <v>113.24</v>
      </c>
      <c r="I24" s="138" t="s">
        <v>60</v>
      </c>
    </row>
    <row r="25" customFormat="false" ht="15" hidden="false" customHeight="false" outlineLevel="0" collapsed="false">
      <c r="A25" s="138" t="s">
        <v>1665</v>
      </c>
      <c r="B25" s="138" t="n">
        <v>23</v>
      </c>
      <c r="C25" s="138" t="n">
        <v>24</v>
      </c>
      <c r="D25" s="138" t="n">
        <v>0</v>
      </c>
      <c r="E25" s="138" t="n">
        <v>0</v>
      </c>
      <c r="G25" s="138" t="s">
        <v>3694</v>
      </c>
      <c r="H25" s="138" t="n">
        <v>116.063</v>
      </c>
      <c r="I25" s="138" t="s">
        <v>59</v>
      </c>
    </row>
    <row r="26" customFormat="false" ht="15" hidden="false" customHeight="false" outlineLevel="0" collapsed="false">
      <c r="A26" s="138" t="s">
        <v>1666</v>
      </c>
      <c r="B26" s="138" t="n">
        <v>24</v>
      </c>
      <c r="C26" s="138" t="n">
        <v>25</v>
      </c>
      <c r="D26" s="138" t="n">
        <v>0</v>
      </c>
      <c r="E26" s="138" t="n">
        <v>0</v>
      </c>
      <c r="G26" s="138" t="s">
        <v>3695</v>
      </c>
      <c r="H26" s="138" t="n">
        <v>124.49</v>
      </c>
      <c r="I26" s="138" t="s">
        <v>59</v>
      </c>
    </row>
    <row r="27" customFormat="false" ht="15" hidden="false" customHeight="false" outlineLevel="0" collapsed="false">
      <c r="A27" s="138" t="s">
        <v>1667</v>
      </c>
      <c r="B27" s="138" t="n">
        <v>25</v>
      </c>
      <c r="C27" s="138" t="n">
        <v>26</v>
      </c>
      <c r="D27" s="138" t="n">
        <v>0</v>
      </c>
      <c r="E27" s="138" t="n">
        <v>0</v>
      </c>
      <c r="G27" s="138" t="s">
        <v>3696</v>
      </c>
      <c r="H27" s="138" t="n">
        <v>126.36</v>
      </c>
      <c r="I27" s="138" t="s">
        <v>60</v>
      </c>
    </row>
    <row r="28" customFormat="false" ht="15" hidden="false" customHeight="false" outlineLevel="0" collapsed="false">
      <c r="A28" s="138" t="s">
        <v>1668</v>
      </c>
      <c r="B28" s="138" t="n">
        <v>26</v>
      </c>
      <c r="C28" s="138" t="n">
        <v>27</v>
      </c>
      <c r="D28" s="138" t="n">
        <v>0</v>
      </c>
      <c r="E28" s="138" t="n">
        <v>0</v>
      </c>
      <c r="G28" s="138" t="s">
        <v>3697</v>
      </c>
      <c r="H28" s="138" t="n">
        <v>128.16</v>
      </c>
      <c r="I28" s="138" t="s">
        <v>60</v>
      </c>
    </row>
    <row r="29" customFormat="false" ht="15" hidden="false" customHeight="false" outlineLevel="0" collapsed="false">
      <c r="A29" s="138" t="s">
        <v>1669</v>
      </c>
      <c r="B29" s="138" t="n">
        <v>27</v>
      </c>
      <c r="C29" s="138" t="n">
        <v>28</v>
      </c>
      <c r="D29" s="138" t="n">
        <v>0</v>
      </c>
      <c r="E29" s="138" t="n">
        <v>0</v>
      </c>
      <c r="G29" s="138" t="s">
        <v>3698</v>
      </c>
      <c r="H29" s="138" t="n">
        <v>129.288</v>
      </c>
      <c r="I29" s="138" t="s">
        <v>59</v>
      </c>
    </row>
    <row r="30" customFormat="false" ht="15" hidden="false" customHeight="false" outlineLevel="0" collapsed="false">
      <c r="A30" s="138" t="s">
        <v>1670</v>
      </c>
      <c r="B30" s="138" t="n">
        <v>28</v>
      </c>
      <c r="C30" s="138" t="n">
        <v>29</v>
      </c>
      <c r="D30" s="138" t="n">
        <v>0</v>
      </c>
      <c r="E30" s="138" t="n">
        <v>0</v>
      </c>
      <c r="G30" s="138" t="s">
        <v>3699</v>
      </c>
      <c r="H30" s="138" t="n">
        <v>137.488</v>
      </c>
      <c r="I30" s="138" t="s">
        <v>59</v>
      </c>
    </row>
    <row r="31" customFormat="false" ht="15" hidden="false" customHeight="false" outlineLevel="0" collapsed="false">
      <c r="A31" s="138" t="s">
        <v>1671</v>
      </c>
      <c r="B31" s="138" t="n">
        <v>29</v>
      </c>
      <c r="C31" s="138" t="n">
        <v>30</v>
      </c>
      <c r="D31" s="138" t="n">
        <v>0</v>
      </c>
      <c r="E31" s="138" t="n">
        <v>0</v>
      </c>
      <c r="G31" s="138" t="s">
        <v>3700</v>
      </c>
      <c r="H31" s="138" t="n">
        <v>138.227</v>
      </c>
      <c r="I31" s="138" t="s">
        <v>60</v>
      </c>
    </row>
    <row r="32" customFormat="false" ht="15" hidden="false" customHeight="false" outlineLevel="0" collapsed="false">
      <c r="A32" s="138" t="s">
        <v>1672</v>
      </c>
      <c r="B32" s="138" t="n">
        <v>30</v>
      </c>
      <c r="C32" s="138" t="n">
        <v>31</v>
      </c>
      <c r="D32" s="138" t="n">
        <v>8</v>
      </c>
      <c r="E32" s="138" t="n">
        <v>0</v>
      </c>
      <c r="G32" s="138" t="s">
        <v>3701</v>
      </c>
      <c r="H32" s="138" t="n">
        <v>139.429</v>
      </c>
      <c r="I32" s="138" t="s">
        <v>60</v>
      </c>
    </row>
    <row r="33" customFormat="false" ht="15" hidden="false" customHeight="false" outlineLevel="0" collapsed="false">
      <c r="A33" s="138" t="s">
        <v>1673</v>
      </c>
      <c r="B33" s="138" t="n">
        <v>31</v>
      </c>
      <c r="C33" s="138" t="n">
        <v>32</v>
      </c>
      <c r="D33" s="138" t="n">
        <v>15</v>
      </c>
      <c r="E33" s="138" t="n">
        <v>0</v>
      </c>
      <c r="G33" s="138" t="s">
        <v>3702</v>
      </c>
      <c r="H33" s="138" t="n">
        <v>141.689</v>
      </c>
      <c r="I33" s="138" t="s">
        <v>59</v>
      </c>
    </row>
    <row r="34" customFormat="false" ht="15" hidden="false" customHeight="false" outlineLevel="0" collapsed="false">
      <c r="A34" s="138" t="s">
        <v>1674</v>
      </c>
      <c r="B34" s="138" t="n">
        <v>32</v>
      </c>
      <c r="C34" s="138" t="n">
        <v>33</v>
      </c>
      <c r="D34" s="138" t="n">
        <v>0</v>
      </c>
      <c r="E34" s="138" t="n">
        <v>0</v>
      </c>
      <c r="G34" s="138" t="s">
        <v>3703</v>
      </c>
      <c r="H34" s="138" t="n">
        <v>156.087</v>
      </c>
      <c r="I34" s="138" t="s">
        <v>59</v>
      </c>
    </row>
    <row r="35" customFormat="false" ht="15" hidden="false" customHeight="false" outlineLevel="0" collapsed="false">
      <c r="A35" s="138" t="s">
        <v>1675</v>
      </c>
      <c r="B35" s="138" t="n">
        <v>33</v>
      </c>
      <c r="C35" s="138" t="n">
        <v>34</v>
      </c>
      <c r="D35" s="138" t="n">
        <v>0</v>
      </c>
      <c r="E35" s="138" t="n">
        <v>0</v>
      </c>
      <c r="G35" s="138" t="s">
        <v>3704</v>
      </c>
      <c r="H35" s="138" t="n">
        <v>156.227</v>
      </c>
      <c r="I35" s="138" t="s">
        <v>60</v>
      </c>
    </row>
    <row r="36" customFormat="false" ht="15" hidden="false" customHeight="false" outlineLevel="0" collapsed="false">
      <c r="A36" s="138" t="s">
        <v>1676</v>
      </c>
      <c r="B36" s="138" t="n">
        <v>34</v>
      </c>
      <c r="C36" s="138" t="n">
        <v>35</v>
      </c>
      <c r="D36" s="138" t="n">
        <v>0</v>
      </c>
      <c r="E36" s="138" t="n">
        <v>0</v>
      </c>
      <c r="G36" s="138" t="s">
        <v>3705</v>
      </c>
      <c r="H36" s="138" t="n">
        <v>161.73</v>
      </c>
      <c r="I36" s="138" t="s">
        <v>59</v>
      </c>
    </row>
    <row r="37" customFormat="false" ht="15" hidden="false" customHeight="false" outlineLevel="0" collapsed="false">
      <c r="A37" s="138" t="s">
        <v>1677</v>
      </c>
      <c r="B37" s="138" t="n">
        <v>35</v>
      </c>
      <c r="C37" s="138" t="n">
        <v>36</v>
      </c>
      <c r="D37" s="138" t="n">
        <v>0</v>
      </c>
      <c r="E37" s="138" t="n">
        <v>0</v>
      </c>
      <c r="G37" s="138" t="s">
        <v>3706</v>
      </c>
      <c r="H37" s="138" t="n">
        <v>162.224</v>
      </c>
      <c r="I37" s="138" t="s">
        <v>60</v>
      </c>
    </row>
    <row r="38" customFormat="false" ht="15" hidden="false" customHeight="false" outlineLevel="0" collapsed="false">
      <c r="A38" s="138" t="s">
        <v>1678</v>
      </c>
      <c r="B38" s="138" t="n">
        <v>36</v>
      </c>
      <c r="C38" s="138" t="n">
        <v>37</v>
      </c>
      <c r="D38" s="138" t="n">
        <v>0</v>
      </c>
      <c r="E38" s="138" t="n">
        <v>0</v>
      </c>
      <c r="G38" s="138" t="s">
        <v>3707</v>
      </c>
      <c r="H38" s="138" t="n">
        <v>168.826</v>
      </c>
      <c r="I38" s="138" t="s">
        <v>60</v>
      </c>
    </row>
    <row r="39" customFormat="false" ht="15" hidden="false" customHeight="false" outlineLevel="0" collapsed="false">
      <c r="A39" s="138" t="s">
        <v>1679</v>
      </c>
      <c r="B39" s="138" t="n">
        <v>37</v>
      </c>
      <c r="C39" s="138" t="n">
        <v>38</v>
      </c>
      <c r="D39" s="138" t="n">
        <v>16</v>
      </c>
      <c r="E39" s="138" t="n">
        <v>10</v>
      </c>
      <c r="G39" s="138" t="s">
        <v>3708</v>
      </c>
      <c r="H39" s="138" t="n">
        <v>169.828</v>
      </c>
      <c r="I39" s="138" t="s">
        <v>60</v>
      </c>
    </row>
    <row r="40" customFormat="false" ht="15" hidden="false" customHeight="false" outlineLevel="0" collapsed="false">
      <c r="A40" s="138" t="s">
        <v>1680</v>
      </c>
      <c r="B40" s="138" t="n">
        <v>38</v>
      </c>
      <c r="C40" s="138" t="n">
        <v>39</v>
      </c>
      <c r="D40" s="138" t="n">
        <v>20</v>
      </c>
      <c r="E40" s="138" t="n">
        <v>20</v>
      </c>
      <c r="G40" s="138" t="s">
        <v>3709</v>
      </c>
      <c r="H40" s="138" t="n">
        <v>199.182</v>
      </c>
      <c r="I40" s="138" t="s">
        <v>60</v>
      </c>
    </row>
    <row r="41" customFormat="false" ht="15" hidden="false" customHeight="false" outlineLevel="0" collapsed="false">
      <c r="A41" s="138" t="s">
        <v>1681</v>
      </c>
      <c r="B41" s="138" t="n">
        <v>39</v>
      </c>
      <c r="C41" s="138" t="n">
        <v>40</v>
      </c>
      <c r="D41" s="138" t="n">
        <v>17</v>
      </c>
      <c r="E41" s="138" t="n">
        <v>9</v>
      </c>
      <c r="G41" s="138" t="s">
        <v>3710</v>
      </c>
      <c r="H41" s="138" t="n">
        <v>199.835</v>
      </c>
      <c r="I41" s="138" t="s">
        <v>59</v>
      </c>
    </row>
    <row r="42" customFormat="false" ht="15" hidden="false" customHeight="false" outlineLevel="0" collapsed="false">
      <c r="A42" s="138" t="s">
        <v>1682</v>
      </c>
      <c r="B42" s="138" t="n">
        <v>40</v>
      </c>
      <c r="C42" s="138" t="n">
        <v>41</v>
      </c>
      <c r="D42" s="138" t="n">
        <v>2</v>
      </c>
      <c r="E42" s="138" t="n">
        <v>0</v>
      </c>
      <c r="G42" s="138" t="s">
        <v>3711</v>
      </c>
      <c r="H42" s="138" t="n">
        <v>201.627</v>
      </c>
      <c r="I42" s="138" t="s">
        <v>59</v>
      </c>
    </row>
    <row r="43" customFormat="false" ht="15" hidden="false" customHeight="false" outlineLevel="0" collapsed="false">
      <c r="A43" s="138" t="s">
        <v>1683</v>
      </c>
      <c r="B43" s="138" t="n">
        <v>41</v>
      </c>
      <c r="C43" s="138" t="n">
        <v>42</v>
      </c>
      <c r="D43" s="138" t="n">
        <v>0</v>
      </c>
      <c r="E43" s="138" t="n">
        <v>0</v>
      </c>
      <c r="G43" s="138" t="s">
        <v>3712</v>
      </c>
      <c r="H43" s="138" t="n">
        <v>205.177</v>
      </c>
      <c r="I43" s="138" t="s">
        <v>60</v>
      </c>
    </row>
    <row r="44" customFormat="false" ht="15" hidden="false" customHeight="false" outlineLevel="0" collapsed="false">
      <c r="A44" s="138" t="s">
        <v>1684</v>
      </c>
      <c r="B44" s="138" t="n">
        <v>42</v>
      </c>
      <c r="C44" s="138" t="n">
        <v>43</v>
      </c>
      <c r="D44" s="138" t="n">
        <v>0</v>
      </c>
      <c r="E44" s="138" t="n">
        <v>0</v>
      </c>
      <c r="G44" s="138" t="s">
        <v>3713</v>
      </c>
      <c r="H44" s="138" t="n">
        <v>234.657</v>
      </c>
      <c r="I44" s="138" t="s">
        <v>60</v>
      </c>
    </row>
    <row r="45" customFormat="false" ht="15" hidden="false" customHeight="false" outlineLevel="0" collapsed="false">
      <c r="A45" s="138" t="s">
        <v>1686</v>
      </c>
      <c r="B45" s="138" t="n">
        <v>43</v>
      </c>
      <c r="C45" s="138" t="n">
        <v>44</v>
      </c>
      <c r="D45" s="138" t="n">
        <v>0</v>
      </c>
      <c r="E45" s="138" t="n">
        <v>0</v>
      </c>
      <c r="G45" s="138" t="s">
        <v>3713</v>
      </c>
      <c r="H45" s="138" t="n">
        <v>234.657</v>
      </c>
      <c r="I45" s="138" t="s">
        <v>59</v>
      </c>
    </row>
    <row r="46" customFormat="false" ht="15" hidden="false" customHeight="false" outlineLevel="0" collapsed="false">
      <c r="A46" s="138" t="s">
        <v>1687</v>
      </c>
      <c r="B46" s="138" t="n">
        <v>44</v>
      </c>
      <c r="C46" s="138" t="n">
        <v>45</v>
      </c>
      <c r="D46" s="138" t="n">
        <v>0</v>
      </c>
      <c r="E46" s="138" t="n">
        <v>0</v>
      </c>
      <c r="G46" s="138" t="s">
        <v>3714</v>
      </c>
      <c r="H46" s="138" t="n">
        <v>239.058</v>
      </c>
      <c r="I46" s="138" t="s">
        <v>60</v>
      </c>
    </row>
    <row r="47" customFormat="false" ht="15" hidden="false" customHeight="false" outlineLevel="0" collapsed="false">
      <c r="A47" s="138" t="s">
        <v>1688</v>
      </c>
      <c r="B47" s="138" t="n">
        <v>45</v>
      </c>
      <c r="C47" s="138" t="n">
        <v>46</v>
      </c>
      <c r="D47" s="138" t="n">
        <v>0</v>
      </c>
      <c r="E47" s="138" t="n">
        <v>0</v>
      </c>
      <c r="G47" s="138" t="s">
        <v>3715</v>
      </c>
      <c r="H47" s="138" t="n">
        <v>239.257</v>
      </c>
      <c r="I47" s="138" t="s">
        <v>59</v>
      </c>
    </row>
    <row r="48" customFormat="false" ht="15" hidden="false" customHeight="false" outlineLevel="0" collapsed="false">
      <c r="A48" s="138" t="s">
        <v>1689</v>
      </c>
      <c r="B48" s="138" t="n">
        <v>46</v>
      </c>
      <c r="C48" s="138" t="n">
        <v>47</v>
      </c>
      <c r="D48" s="138" t="n">
        <v>0</v>
      </c>
      <c r="E48" s="138" t="n">
        <v>0</v>
      </c>
      <c r="G48" s="138" t="s">
        <v>3716</v>
      </c>
      <c r="H48" s="138" t="n">
        <v>251.397</v>
      </c>
      <c r="I48" s="138" t="s">
        <v>60</v>
      </c>
    </row>
    <row r="49" customFormat="false" ht="15" hidden="false" customHeight="false" outlineLevel="0" collapsed="false">
      <c r="A49" s="138" t="s">
        <v>1690</v>
      </c>
      <c r="B49" s="138" t="n">
        <v>47</v>
      </c>
      <c r="C49" s="138" t="n">
        <v>48</v>
      </c>
      <c r="D49" s="138" t="n">
        <v>0</v>
      </c>
      <c r="E49" s="138" t="n">
        <v>0</v>
      </c>
      <c r="G49" s="138" t="s">
        <v>3717</v>
      </c>
      <c r="H49" s="138" t="n">
        <v>253.007</v>
      </c>
      <c r="I49" s="138" t="s">
        <v>60</v>
      </c>
    </row>
    <row r="50" customFormat="false" ht="15" hidden="false" customHeight="false" outlineLevel="0" collapsed="false">
      <c r="A50" s="138" t="s">
        <v>1691</v>
      </c>
      <c r="B50" s="138" t="n">
        <v>48</v>
      </c>
      <c r="C50" s="138" t="n">
        <v>49</v>
      </c>
      <c r="D50" s="138" t="n">
        <v>0</v>
      </c>
      <c r="E50" s="138" t="n">
        <v>0</v>
      </c>
      <c r="G50" s="138" t="s">
        <v>3718</v>
      </c>
      <c r="H50" s="138" t="n">
        <v>262.574</v>
      </c>
      <c r="I50" s="138" t="s">
        <v>59</v>
      </c>
    </row>
    <row r="51" customFormat="false" ht="15" hidden="false" customHeight="false" outlineLevel="0" collapsed="false">
      <c r="A51" s="138" t="s">
        <v>1692</v>
      </c>
      <c r="B51" s="138" t="n">
        <v>49</v>
      </c>
      <c r="C51" s="138" t="n">
        <v>50</v>
      </c>
      <c r="D51" s="138" t="n">
        <v>0</v>
      </c>
      <c r="E51" s="138" t="n">
        <v>0</v>
      </c>
      <c r="G51" s="138" t="s">
        <v>3719</v>
      </c>
      <c r="H51" s="138" t="n">
        <v>267.973</v>
      </c>
      <c r="I51" s="138" t="s">
        <v>59</v>
      </c>
    </row>
    <row r="52" customFormat="false" ht="15" hidden="false" customHeight="false" outlineLevel="0" collapsed="false">
      <c r="A52" s="138" t="s">
        <v>1693</v>
      </c>
      <c r="B52" s="138" t="n">
        <v>50</v>
      </c>
      <c r="C52" s="138" t="n">
        <v>51</v>
      </c>
      <c r="D52" s="138" t="n">
        <v>0</v>
      </c>
      <c r="E52" s="138" t="n">
        <v>0</v>
      </c>
      <c r="G52" s="138" t="s">
        <v>3720</v>
      </c>
      <c r="H52" s="138" t="n">
        <v>268.593</v>
      </c>
      <c r="I52" s="138" t="s">
        <v>60</v>
      </c>
    </row>
    <row r="53" customFormat="false" ht="15" hidden="false" customHeight="false" outlineLevel="0" collapsed="false">
      <c r="A53" s="138" t="s">
        <v>1694</v>
      </c>
      <c r="B53" s="138" t="n">
        <v>51</v>
      </c>
      <c r="C53" s="138" t="n">
        <v>52</v>
      </c>
      <c r="D53" s="138" t="n">
        <v>6</v>
      </c>
      <c r="E53" s="138" t="n">
        <v>0</v>
      </c>
      <c r="G53" s="138" t="s">
        <v>3721</v>
      </c>
      <c r="H53" s="138" t="n">
        <v>271.795</v>
      </c>
      <c r="I53" s="138" t="s">
        <v>60</v>
      </c>
    </row>
    <row r="54" customFormat="false" ht="15" hidden="false" customHeight="false" outlineLevel="0" collapsed="false">
      <c r="A54" s="138" t="s">
        <v>1695</v>
      </c>
      <c r="B54" s="138" t="n">
        <v>52</v>
      </c>
      <c r="C54" s="138" t="n">
        <v>53</v>
      </c>
      <c r="D54" s="138" t="n">
        <v>18</v>
      </c>
      <c r="E54" s="138" t="n">
        <v>0</v>
      </c>
      <c r="G54" s="138" t="s">
        <v>3722</v>
      </c>
      <c r="H54" s="138" t="n">
        <v>271.976</v>
      </c>
      <c r="I54" s="138" t="s">
        <v>59</v>
      </c>
    </row>
    <row r="55" customFormat="false" ht="15" hidden="false" customHeight="false" outlineLevel="0" collapsed="false">
      <c r="A55" s="138" t="s">
        <v>1696</v>
      </c>
      <c r="B55" s="138" t="n">
        <v>53</v>
      </c>
      <c r="C55" s="138" t="n">
        <v>54</v>
      </c>
      <c r="D55" s="138" t="n">
        <v>20</v>
      </c>
      <c r="E55" s="138" t="n">
        <v>0</v>
      </c>
      <c r="G55" s="138" t="s">
        <v>3723</v>
      </c>
      <c r="H55" s="138" t="n">
        <v>308.882</v>
      </c>
      <c r="I55" s="138" t="s">
        <v>60</v>
      </c>
    </row>
    <row r="56" customFormat="false" ht="15" hidden="false" customHeight="false" outlineLevel="0" collapsed="false">
      <c r="A56" s="138" t="s">
        <v>1697</v>
      </c>
      <c r="B56" s="138" t="n">
        <v>54</v>
      </c>
      <c r="C56" s="138" t="n">
        <v>55</v>
      </c>
      <c r="D56" s="138" t="n">
        <v>20</v>
      </c>
      <c r="E56" s="138" t="n">
        <v>5</v>
      </c>
      <c r="G56" s="138" t="s">
        <v>3724</v>
      </c>
      <c r="H56" s="138" t="n">
        <v>310.174</v>
      </c>
      <c r="I56" s="138" t="s">
        <v>59</v>
      </c>
    </row>
    <row r="57" customFormat="false" ht="15" hidden="false" customHeight="false" outlineLevel="0" collapsed="false">
      <c r="A57" s="138" t="s">
        <v>1698</v>
      </c>
      <c r="B57" s="138" t="n">
        <v>55</v>
      </c>
      <c r="C57" s="138" t="n">
        <v>56</v>
      </c>
      <c r="D57" s="138" t="n">
        <v>20</v>
      </c>
      <c r="E57" s="138" t="n">
        <v>20</v>
      </c>
      <c r="G57" s="138" t="s">
        <v>3725</v>
      </c>
      <c r="H57" s="138" t="n">
        <v>311.489</v>
      </c>
      <c r="I57" s="138" t="s">
        <v>60</v>
      </c>
    </row>
    <row r="58" customFormat="false" ht="15" hidden="false" customHeight="false" outlineLevel="0" collapsed="false">
      <c r="A58" s="138" t="s">
        <v>1699</v>
      </c>
      <c r="B58" s="138" t="n">
        <v>56</v>
      </c>
      <c r="C58" s="138" t="n">
        <v>57</v>
      </c>
      <c r="D58" s="138" t="n">
        <v>20</v>
      </c>
      <c r="E58" s="138" t="n">
        <v>20</v>
      </c>
      <c r="G58" s="138" t="s">
        <v>3726</v>
      </c>
      <c r="H58" s="138" t="n">
        <v>356.435</v>
      </c>
      <c r="I58" s="138" t="s">
        <v>59</v>
      </c>
    </row>
    <row r="59" customFormat="false" ht="15" hidden="false" customHeight="false" outlineLevel="0" collapsed="false">
      <c r="A59" s="138" t="s">
        <v>1700</v>
      </c>
      <c r="B59" s="138" t="n">
        <v>57</v>
      </c>
      <c r="C59" s="138" t="n">
        <v>58</v>
      </c>
      <c r="D59" s="138" t="n">
        <v>5</v>
      </c>
      <c r="E59" s="138" t="n">
        <v>20</v>
      </c>
      <c r="G59" s="138" t="s">
        <v>3727</v>
      </c>
      <c r="H59" s="138" t="n">
        <v>357.997</v>
      </c>
      <c r="I59" s="138" t="s">
        <v>59</v>
      </c>
    </row>
    <row r="60" customFormat="false" ht="15" hidden="false" customHeight="false" outlineLevel="0" collapsed="false">
      <c r="A60" s="138" t="s">
        <v>1701</v>
      </c>
      <c r="B60" s="138" t="n">
        <v>58</v>
      </c>
      <c r="C60" s="138" t="n">
        <v>59</v>
      </c>
      <c r="D60" s="138" t="n">
        <v>20</v>
      </c>
      <c r="E60" s="138" t="n">
        <v>17</v>
      </c>
      <c r="G60" s="138" t="s">
        <v>3728</v>
      </c>
      <c r="H60" s="138" t="n">
        <v>376.136</v>
      </c>
      <c r="I60" s="138" t="s">
        <v>59</v>
      </c>
    </row>
    <row r="61" customFormat="false" ht="15" hidden="false" customHeight="false" outlineLevel="0" collapsed="false">
      <c r="A61" s="138" t="s">
        <v>1702</v>
      </c>
      <c r="B61" s="138" t="n">
        <v>59</v>
      </c>
      <c r="C61" s="138" t="n">
        <v>60</v>
      </c>
      <c r="D61" s="138" t="n">
        <v>20</v>
      </c>
      <c r="E61" s="138" t="n">
        <v>4</v>
      </c>
      <c r="G61" s="138" t="s">
        <v>3729</v>
      </c>
      <c r="H61" s="138" t="n">
        <v>376.4</v>
      </c>
      <c r="I61" s="138" t="s">
        <v>60</v>
      </c>
    </row>
    <row r="62" customFormat="false" ht="15" hidden="false" customHeight="false" outlineLevel="0" collapsed="false">
      <c r="A62" s="138" t="s">
        <v>1703</v>
      </c>
      <c r="B62" s="138" t="n">
        <v>60</v>
      </c>
      <c r="C62" s="138" t="n">
        <v>61</v>
      </c>
      <c r="D62" s="138" t="n">
        <v>20</v>
      </c>
      <c r="E62" s="138" t="n">
        <v>0</v>
      </c>
      <c r="G62" s="138" t="s">
        <v>3730</v>
      </c>
      <c r="H62" s="138" t="n">
        <v>378.144</v>
      </c>
      <c r="I62" s="138" t="s">
        <v>60</v>
      </c>
    </row>
    <row r="63" customFormat="false" ht="15" hidden="false" customHeight="false" outlineLevel="0" collapsed="false">
      <c r="A63" s="138" t="s">
        <v>1704</v>
      </c>
      <c r="B63" s="138" t="n">
        <v>61</v>
      </c>
      <c r="C63" s="138" t="n">
        <v>62</v>
      </c>
      <c r="D63" s="138" t="n">
        <v>20</v>
      </c>
      <c r="E63" s="138" t="n">
        <v>0</v>
      </c>
      <c r="G63" s="138" t="s">
        <v>3731</v>
      </c>
      <c r="H63" s="138" t="n">
        <v>378.276</v>
      </c>
      <c r="I63" s="138" t="s">
        <v>59</v>
      </c>
    </row>
    <row r="64" customFormat="false" ht="15" hidden="false" customHeight="false" outlineLevel="0" collapsed="false">
      <c r="A64" s="138" t="s">
        <v>1705</v>
      </c>
      <c r="B64" s="138" t="n">
        <v>62</v>
      </c>
      <c r="C64" s="138" t="n">
        <v>63</v>
      </c>
      <c r="D64" s="138" t="n">
        <v>20</v>
      </c>
      <c r="E64" s="138" t="n">
        <v>0</v>
      </c>
      <c r="G64" s="138" t="s">
        <v>3732</v>
      </c>
      <c r="H64" s="138" t="n">
        <v>411.515</v>
      </c>
      <c r="I64" s="138" t="s">
        <v>60</v>
      </c>
    </row>
    <row r="65" customFormat="false" ht="15" hidden="false" customHeight="false" outlineLevel="0" collapsed="false">
      <c r="A65" s="138" t="s">
        <v>1706</v>
      </c>
      <c r="B65" s="138" t="n">
        <v>63</v>
      </c>
      <c r="C65" s="138" t="n">
        <v>64</v>
      </c>
      <c r="D65" s="138" t="n">
        <v>20</v>
      </c>
      <c r="E65" s="138" t="n">
        <v>0</v>
      </c>
      <c r="G65" s="138" t="s">
        <v>3733</v>
      </c>
      <c r="H65" s="138" t="n">
        <v>424.335</v>
      </c>
      <c r="I65" s="138" t="s">
        <v>59</v>
      </c>
    </row>
    <row r="66" customFormat="false" ht="15" hidden="false" customHeight="false" outlineLevel="0" collapsed="false">
      <c r="A66" s="138" t="s">
        <v>1707</v>
      </c>
      <c r="B66" s="138" t="n">
        <v>64</v>
      </c>
      <c r="C66" s="138" t="n">
        <v>65</v>
      </c>
      <c r="D66" s="138" t="n">
        <v>20</v>
      </c>
      <c r="E66" s="138" t="n">
        <v>5</v>
      </c>
      <c r="G66" s="138" t="s">
        <v>3734</v>
      </c>
      <c r="H66" s="138" t="n">
        <v>424.75</v>
      </c>
      <c r="I66" s="138" t="s">
        <v>60</v>
      </c>
    </row>
    <row r="67" customFormat="false" ht="15" hidden="false" customHeight="false" outlineLevel="0" collapsed="false">
      <c r="A67" s="138" t="s">
        <v>1708</v>
      </c>
      <c r="B67" s="138" t="n">
        <v>65</v>
      </c>
      <c r="C67" s="138" t="n">
        <v>66</v>
      </c>
      <c r="D67" s="138" t="n">
        <v>19</v>
      </c>
      <c r="E67" s="138" t="n">
        <v>20</v>
      </c>
      <c r="G67" s="138" t="s">
        <v>3735</v>
      </c>
      <c r="H67" s="138" t="n">
        <v>438.079</v>
      </c>
      <c r="I67" s="138" t="s">
        <v>59</v>
      </c>
    </row>
    <row r="68" customFormat="false" ht="15" hidden="false" customHeight="false" outlineLevel="0" collapsed="false">
      <c r="A68" s="138" t="s">
        <v>1709</v>
      </c>
      <c r="B68" s="138" t="n">
        <v>66</v>
      </c>
      <c r="C68" s="138" t="n">
        <v>67</v>
      </c>
      <c r="D68" s="138" t="n">
        <v>4</v>
      </c>
      <c r="E68" s="138" t="n">
        <v>20</v>
      </c>
      <c r="G68" s="138" t="s">
        <v>3736</v>
      </c>
      <c r="H68" s="138" t="n">
        <v>439.288</v>
      </c>
      <c r="I68" s="138" t="s">
        <v>59</v>
      </c>
    </row>
    <row r="69" customFormat="false" ht="15" hidden="false" customHeight="false" outlineLevel="0" collapsed="false">
      <c r="A69" s="138" t="s">
        <v>1710</v>
      </c>
      <c r="B69" s="138" t="n">
        <v>67</v>
      </c>
      <c r="C69" s="138" t="n">
        <v>68</v>
      </c>
      <c r="D69" s="138" t="n">
        <v>0</v>
      </c>
      <c r="E69" s="138" t="n">
        <v>6</v>
      </c>
      <c r="G69" s="138" t="s">
        <v>3737</v>
      </c>
      <c r="H69" s="138" t="n">
        <v>447.979</v>
      </c>
      <c r="I69" s="138" t="s">
        <v>59</v>
      </c>
    </row>
    <row r="70" customFormat="false" ht="15" hidden="false" customHeight="false" outlineLevel="0" collapsed="false">
      <c r="A70" s="138" t="s">
        <v>1711</v>
      </c>
      <c r="B70" s="138" t="n">
        <v>68</v>
      </c>
      <c r="C70" s="138" t="n">
        <v>69</v>
      </c>
      <c r="D70" s="138" t="n">
        <v>0</v>
      </c>
      <c r="E70" s="138" t="n">
        <v>0</v>
      </c>
      <c r="G70" s="138" t="s">
        <v>3738</v>
      </c>
      <c r="H70" s="138" t="n">
        <v>451.463</v>
      </c>
      <c r="I70" s="138" t="s">
        <v>60</v>
      </c>
    </row>
    <row r="71" customFormat="false" ht="15" hidden="false" customHeight="false" outlineLevel="0" collapsed="false">
      <c r="A71" s="138" t="s">
        <v>1712</v>
      </c>
      <c r="B71" s="138" t="n">
        <v>69</v>
      </c>
      <c r="C71" s="138" t="n">
        <v>70</v>
      </c>
      <c r="D71" s="138" t="n">
        <v>0</v>
      </c>
      <c r="E71" s="138" t="n">
        <v>0</v>
      </c>
      <c r="G71" s="138" t="s">
        <v>3739</v>
      </c>
      <c r="H71" s="138" t="n">
        <v>468.071</v>
      </c>
      <c r="I71" s="138" t="s">
        <v>60</v>
      </c>
    </row>
    <row r="72" customFormat="false" ht="15" hidden="false" customHeight="false" outlineLevel="0" collapsed="false">
      <c r="A72" s="138" t="s">
        <v>1713</v>
      </c>
      <c r="B72" s="138" t="n">
        <v>70</v>
      </c>
      <c r="C72" s="138" t="n">
        <v>71</v>
      </c>
      <c r="D72" s="138" t="n">
        <v>0</v>
      </c>
      <c r="E72" s="138" t="n">
        <v>0</v>
      </c>
      <c r="G72" s="138" t="s">
        <v>3740</v>
      </c>
      <c r="H72" s="138" t="n">
        <v>478.536</v>
      </c>
      <c r="I72" s="138" t="s">
        <v>60</v>
      </c>
    </row>
    <row r="73" customFormat="false" ht="15" hidden="false" customHeight="false" outlineLevel="0" collapsed="false">
      <c r="A73" s="138" t="s">
        <v>1714</v>
      </c>
      <c r="B73" s="138" t="n">
        <v>71</v>
      </c>
      <c r="C73" s="138" t="n">
        <v>72</v>
      </c>
      <c r="D73" s="138" t="n">
        <v>0</v>
      </c>
      <c r="E73" s="138" t="n">
        <v>0</v>
      </c>
      <c r="G73" s="138" t="s">
        <v>3741</v>
      </c>
      <c r="H73" s="138" t="n">
        <v>487.237</v>
      </c>
      <c r="I73" s="138" t="s">
        <v>59</v>
      </c>
    </row>
    <row r="74" customFormat="false" ht="15" hidden="false" customHeight="false" outlineLevel="0" collapsed="false">
      <c r="A74" s="138" t="s">
        <v>1715</v>
      </c>
      <c r="B74" s="138" t="n">
        <v>72</v>
      </c>
      <c r="C74" s="138" t="n">
        <v>73</v>
      </c>
      <c r="D74" s="138" t="n">
        <v>0</v>
      </c>
      <c r="E74" s="138" t="n">
        <v>0</v>
      </c>
      <c r="G74" s="138" t="s">
        <v>3742</v>
      </c>
      <c r="H74" s="138" t="n">
        <v>498.925</v>
      </c>
      <c r="I74" s="138" t="s">
        <v>59</v>
      </c>
    </row>
    <row r="75" customFormat="false" ht="15" hidden="false" customHeight="false" outlineLevel="0" collapsed="false">
      <c r="A75" s="138" t="s">
        <v>1716</v>
      </c>
      <c r="B75" s="138" t="n">
        <v>73</v>
      </c>
      <c r="C75" s="138" t="n">
        <v>74</v>
      </c>
      <c r="D75" s="138" t="n">
        <v>0</v>
      </c>
      <c r="E75" s="138" t="n">
        <v>0</v>
      </c>
      <c r="G75" s="138" t="s">
        <v>3743</v>
      </c>
      <c r="H75" s="138" t="n">
        <v>525.858</v>
      </c>
      <c r="I75" s="138" t="s">
        <v>60</v>
      </c>
    </row>
    <row r="76" customFormat="false" ht="15" hidden="false" customHeight="false" outlineLevel="0" collapsed="false">
      <c r="A76" s="138" t="s">
        <v>1717</v>
      </c>
      <c r="B76" s="138" t="n">
        <v>74</v>
      </c>
      <c r="C76" s="138" t="n">
        <v>75</v>
      </c>
      <c r="D76" s="138" t="n">
        <v>0</v>
      </c>
      <c r="E76" s="138" t="n">
        <v>0</v>
      </c>
      <c r="G76" s="138" t="s">
        <v>3744</v>
      </c>
      <c r="H76" s="138" t="n">
        <v>526.662</v>
      </c>
      <c r="I76" s="138" t="s">
        <v>60</v>
      </c>
    </row>
    <row r="77" customFormat="false" ht="15" hidden="false" customHeight="false" outlineLevel="0" collapsed="false">
      <c r="A77" s="138" t="s">
        <v>1718</v>
      </c>
      <c r="B77" s="138" t="n">
        <v>75</v>
      </c>
      <c r="C77" s="138" t="n">
        <v>76</v>
      </c>
      <c r="D77" s="138" t="n">
        <v>0</v>
      </c>
      <c r="E77" s="138" t="n">
        <v>0</v>
      </c>
      <c r="G77" s="138" t="s">
        <v>3745</v>
      </c>
      <c r="H77" s="138" t="n">
        <v>559.457</v>
      </c>
      <c r="I77" s="138" t="s">
        <v>60</v>
      </c>
    </row>
    <row r="78" customFormat="false" ht="15" hidden="false" customHeight="false" outlineLevel="0" collapsed="false">
      <c r="A78" s="138" t="s">
        <v>1719</v>
      </c>
      <c r="B78" s="138" t="n">
        <v>76</v>
      </c>
      <c r="C78" s="138" t="n">
        <v>77</v>
      </c>
      <c r="D78" s="138" t="n">
        <v>0</v>
      </c>
      <c r="E78" s="138" t="n">
        <v>0</v>
      </c>
      <c r="G78" s="138" t="s">
        <v>3746</v>
      </c>
      <c r="H78" s="138" t="n">
        <v>559.667</v>
      </c>
      <c r="I78" s="138" t="s">
        <v>59</v>
      </c>
    </row>
    <row r="79" customFormat="false" ht="15" hidden="false" customHeight="false" outlineLevel="0" collapsed="false">
      <c r="A79" s="138" t="s">
        <v>1720</v>
      </c>
      <c r="B79" s="138" t="n">
        <v>77</v>
      </c>
      <c r="C79" s="138" t="n">
        <v>78</v>
      </c>
      <c r="D79" s="138" t="n">
        <v>0</v>
      </c>
      <c r="E79" s="138" t="n">
        <v>0</v>
      </c>
      <c r="G79" s="138" t="s">
        <v>3747</v>
      </c>
      <c r="H79" s="138" t="n">
        <v>571.458</v>
      </c>
      <c r="I79" s="138" t="s">
        <v>60</v>
      </c>
    </row>
    <row r="80" customFormat="false" ht="15" hidden="false" customHeight="false" outlineLevel="0" collapsed="false">
      <c r="A80" s="138" t="s">
        <v>1721</v>
      </c>
      <c r="B80" s="138" t="n">
        <v>78</v>
      </c>
      <c r="C80" s="138" t="n">
        <v>79</v>
      </c>
      <c r="D80" s="138" t="n">
        <v>0</v>
      </c>
      <c r="E80" s="138" t="n">
        <v>0</v>
      </c>
      <c r="G80" s="138" t="s">
        <v>3748</v>
      </c>
      <c r="H80" s="138" t="n">
        <v>575.242</v>
      </c>
      <c r="I80" s="138" t="s">
        <v>59</v>
      </c>
    </row>
    <row r="81" customFormat="false" ht="15" hidden="false" customHeight="false" outlineLevel="0" collapsed="false">
      <c r="A81" s="138" t="s">
        <v>1722</v>
      </c>
      <c r="B81" s="138" t="n">
        <v>79</v>
      </c>
      <c r="C81" s="138" t="n">
        <v>80</v>
      </c>
      <c r="D81" s="138" t="n">
        <v>0</v>
      </c>
      <c r="E81" s="138" t="n">
        <v>0</v>
      </c>
      <c r="G81" s="138" t="s">
        <v>3749</v>
      </c>
      <c r="H81" s="138" t="n">
        <v>579.466</v>
      </c>
      <c r="I81" s="138" t="s">
        <v>60</v>
      </c>
    </row>
    <row r="82" customFormat="false" ht="15" hidden="false" customHeight="false" outlineLevel="0" collapsed="false">
      <c r="A82" s="138" t="s">
        <v>1723</v>
      </c>
      <c r="B82" s="138" t="n">
        <v>80</v>
      </c>
      <c r="C82" s="138" t="n">
        <v>81</v>
      </c>
      <c r="D82" s="138" t="n">
        <v>0</v>
      </c>
      <c r="E82" s="138" t="n">
        <v>1</v>
      </c>
      <c r="G82" s="138" t="s">
        <v>3750</v>
      </c>
      <c r="H82" s="138" t="n">
        <v>580.426</v>
      </c>
      <c r="I82" s="138" t="s">
        <v>59</v>
      </c>
    </row>
    <row r="83" customFormat="false" ht="15" hidden="false" customHeight="false" outlineLevel="0" collapsed="false">
      <c r="A83" s="138" t="s">
        <v>1724</v>
      </c>
      <c r="B83" s="138" t="n">
        <v>81</v>
      </c>
      <c r="C83" s="138" t="n">
        <v>82</v>
      </c>
      <c r="D83" s="138" t="n">
        <v>0</v>
      </c>
      <c r="E83" s="138" t="n">
        <v>17</v>
      </c>
      <c r="G83" s="138" t="s">
        <v>3751</v>
      </c>
      <c r="H83" s="138" t="n">
        <v>580.855</v>
      </c>
      <c r="I83" s="138" t="s">
        <v>60</v>
      </c>
    </row>
    <row r="84" customFormat="false" ht="15" hidden="false" customHeight="false" outlineLevel="0" collapsed="false">
      <c r="A84" s="138" t="s">
        <v>1725</v>
      </c>
      <c r="B84" s="138" t="n">
        <v>82</v>
      </c>
      <c r="C84" s="138" t="n">
        <v>83</v>
      </c>
      <c r="D84" s="138" t="n">
        <v>0</v>
      </c>
      <c r="E84" s="138" t="n">
        <v>17</v>
      </c>
      <c r="G84" s="138" t="s">
        <v>3752</v>
      </c>
      <c r="H84" s="138" t="n">
        <v>591.432</v>
      </c>
      <c r="I84" s="138" t="s">
        <v>59</v>
      </c>
    </row>
    <row r="85" customFormat="false" ht="15" hidden="false" customHeight="false" outlineLevel="0" collapsed="false">
      <c r="A85" s="138" t="s">
        <v>1726</v>
      </c>
      <c r="B85" s="138" t="n">
        <v>83</v>
      </c>
      <c r="C85" s="138" t="n">
        <v>84</v>
      </c>
      <c r="D85" s="138" t="n">
        <v>0</v>
      </c>
      <c r="E85" s="138" t="n">
        <v>1</v>
      </c>
      <c r="G85" s="138" t="s">
        <v>3753</v>
      </c>
      <c r="H85" s="138" t="n">
        <v>592.425</v>
      </c>
      <c r="I85" s="138" t="s">
        <v>59</v>
      </c>
    </row>
    <row r="86" customFormat="false" ht="15" hidden="false" customHeight="false" outlineLevel="0" collapsed="false">
      <c r="A86" s="138" t="s">
        <v>1727</v>
      </c>
      <c r="B86" s="138" t="n">
        <v>84</v>
      </c>
      <c r="C86" s="138" t="n">
        <v>85</v>
      </c>
      <c r="D86" s="138" t="n">
        <v>0</v>
      </c>
      <c r="E86" s="138" t="n">
        <v>0</v>
      </c>
      <c r="G86" s="138" t="s">
        <v>3754</v>
      </c>
      <c r="H86" s="138" t="n">
        <v>592.436</v>
      </c>
      <c r="I86" s="138" t="s">
        <v>60</v>
      </c>
    </row>
    <row r="87" customFormat="false" ht="15" hidden="false" customHeight="false" outlineLevel="0" collapsed="false">
      <c r="A87" s="138" t="s">
        <v>1728</v>
      </c>
      <c r="B87" s="138" t="n">
        <v>85</v>
      </c>
      <c r="C87" s="138" t="n">
        <v>86</v>
      </c>
      <c r="D87" s="138" t="n">
        <v>0</v>
      </c>
      <c r="E87" s="138" t="n">
        <v>0</v>
      </c>
    </row>
    <row r="88" customFormat="false" ht="15" hidden="false" customHeight="false" outlineLevel="0" collapsed="false">
      <c r="A88" s="138" t="s">
        <v>1729</v>
      </c>
      <c r="B88" s="138" t="n">
        <v>86</v>
      </c>
      <c r="C88" s="138" t="n">
        <v>87</v>
      </c>
      <c r="D88" s="138" t="n">
        <v>0</v>
      </c>
      <c r="E88" s="138" t="n">
        <v>0</v>
      </c>
    </row>
    <row r="89" customFormat="false" ht="15" hidden="false" customHeight="false" outlineLevel="0" collapsed="false">
      <c r="A89" s="138" t="s">
        <v>1730</v>
      </c>
      <c r="B89" s="138" t="n">
        <v>87</v>
      </c>
      <c r="C89" s="138" t="n">
        <v>88</v>
      </c>
      <c r="D89" s="138" t="n">
        <v>0</v>
      </c>
      <c r="E89" s="138" t="n">
        <v>0</v>
      </c>
    </row>
    <row r="90" customFormat="false" ht="15" hidden="false" customHeight="false" outlineLevel="0" collapsed="false">
      <c r="A90" s="138" t="s">
        <v>1731</v>
      </c>
      <c r="B90" s="138" t="n">
        <v>88</v>
      </c>
      <c r="C90" s="138" t="n">
        <v>89</v>
      </c>
      <c r="D90" s="138" t="n">
        <v>0</v>
      </c>
      <c r="E90" s="138" t="n">
        <v>0</v>
      </c>
    </row>
    <row r="91" customFormat="false" ht="15" hidden="false" customHeight="false" outlineLevel="0" collapsed="false">
      <c r="A91" s="138" t="s">
        <v>1732</v>
      </c>
      <c r="B91" s="138" t="n">
        <v>89</v>
      </c>
      <c r="C91" s="138" t="n">
        <v>90</v>
      </c>
      <c r="D91" s="138" t="n">
        <v>0</v>
      </c>
      <c r="E91" s="138" t="n">
        <v>0</v>
      </c>
    </row>
    <row r="92" customFormat="false" ht="15" hidden="false" customHeight="false" outlineLevel="0" collapsed="false">
      <c r="A92" s="138" t="s">
        <v>1733</v>
      </c>
      <c r="B92" s="138" t="n">
        <v>90</v>
      </c>
      <c r="C92" s="138" t="n">
        <v>91</v>
      </c>
      <c r="D92" s="138" t="n">
        <v>0</v>
      </c>
      <c r="E92" s="138" t="n">
        <v>0</v>
      </c>
    </row>
    <row r="93" customFormat="false" ht="15" hidden="false" customHeight="false" outlineLevel="0" collapsed="false">
      <c r="A93" s="138" t="s">
        <v>1734</v>
      </c>
      <c r="B93" s="138" t="n">
        <v>91</v>
      </c>
      <c r="C93" s="138" t="n">
        <v>92</v>
      </c>
      <c r="D93" s="138" t="n">
        <v>0</v>
      </c>
      <c r="E93" s="138" t="n">
        <v>0</v>
      </c>
    </row>
    <row r="94" customFormat="false" ht="15" hidden="false" customHeight="false" outlineLevel="0" collapsed="false">
      <c r="A94" s="138" t="s">
        <v>1735</v>
      </c>
      <c r="B94" s="138" t="n">
        <v>92</v>
      </c>
      <c r="C94" s="138" t="n">
        <v>93</v>
      </c>
      <c r="D94" s="138" t="n">
        <v>0</v>
      </c>
      <c r="E94" s="138" t="n">
        <v>0</v>
      </c>
    </row>
    <row r="95" customFormat="false" ht="15" hidden="false" customHeight="false" outlineLevel="0" collapsed="false">
      <c r="A95" s="138" t="s">
        <v>1736</v>
      </c>
      <c r="B95" s="138" t="n">
        <v>93</v>
      </c>
      <c r="C95" s="138" t="n">
        <v>94</v>
      </c>
      <c r="D95" s="138" t="n">
        <v>0</v>
      </c>
      <c r="E95" s="138" t="n">
        <v>0</v>
      </c>
    </row>
    <row r="96" customFormat="false" ht="15" hidden="false" customHeight="false" outlineLevel="0" collapsed="false">
      <c r="A96" s="138" t="s">
        <v>1737</v>
      </c>
      <c r="B96" s="138" t="n">
        <v>94</v>
      </c>
      <c r="C96" s="138" t="n">
        <v>95</v>
      </c>
      <c r="D96" s="138" t="n">
        <v>0</v>
      </c>
      <c r="E96" s="138" t="n">
        <v>0</v>
      </c>
    </row>
    <row r="97" customFormat="false" ht="15" hidden="false" customHeight="false" outlineLevel="0" collapsed="false">
      <c r="A97" s="138" t="s">
        <v>1738</v>
      </c>
      <c r="B97" s="138" t="n">
        <v>95</v>
      </c>
      <c r="C97" s="138" t="n">
        <v>96</v>
      </c>
      <c r="D97" s="138" t="n">
        <v>0</v>
      </c>
      <c r="E97" s="138" t="n">
        <v>0</v>
      </c>
    </row>
    <row r="98" customFormat="false" ht="15" hidden="false" customHeight="false" outlineLevel="0" collapsed="false">
      <c r="A98" s="138" t="s">
        <v>1740</v>
      </c>
      <c r="B98" s="138" t="n">
        <v>96</v>
      </c>
      <c r="C98" s="138" t="n">
        <v>97</v>
      </c>
      <c r="D98" s="138" t="n">
        <v>0</v>
      </c>
      <c r="E98" s="138" t="n">
        <v>0</v>
      </c>
    </row>
    <row r="99" customFormat="false" ht="15" hidden="false" customHeight="false" outlineLevel="0" collapsed="false">
      <c r="A99" s="138" t="s">
        <v>1741</v>
      </c>
      <c r="B99" s="138" t="n">
        <v>97</v>
      </c>
      <c r="C99" s="138" t="n">
        <v>98</v>
      </c>
      <c r="D99" s="138" t="n">
        <v>0</v>
      </c>
      <c r="E99" s="138" t="n">
        <v>0</v>
      </c>
    </row>
    <row r="100" customFormat="false" ht="15" hidden="false" customHeight="false" outlineLevel="0" collapsed="false">
      <c r="A100" s="138" t="s">
        <v>1742</v>
      </c>
      <c r="B100" s="138" t="n">
        <v>98</v>
      </c>
      <c r="C100" s="138" t="n">
        <v>99</v>
      </c>
      <c r="D100" s="138" t="n">
        <v>0</v>
      </c>
      <c r="E100" s="138" t="n">
        <v>0</v>
      </c>
    </row>
    <row r="101" customFormat="false" ht="15" hidden="false" customHeight="false" outlineLevel="0" collapsed="false">
      <c r="A101" s="138" t="s">
        <v>1743</v>
      </c>
      <c r="B101" s="138" t="n">
        <v>99</v>
      </c>
      <c r="C101" s="138" t="n">
        <v>100</v>
      </c>
      <c r="D101" s="138" t="n">
        <v>0</v>
      </c>
      <c r="E101" s="138" t="n">
        <v>0</v>
      </c>
    </row>
    <row r="102" customFormat="false" ht="15" hidden="false" customHeight="false" outlineLevel="0" collapsed="false">
      <c r="A102" s="138" t="s">
        <v>1744</v>
      </c>
      <c r="B102" s="138" t="n">
        <v>100</v>
      </c>
      <c r="C102" s="138" t="n">
        <v>101</v>
      </c>
      <c r="D102" s="138" t="n">
        <v>0</v>
      </c>
      <c r="E102" s="138" t="n">
        <v>0</v>
      </c>
    </row>
    <row r="103" customFormat="false" ht="15" hidden="false" customHeight="false" outlineLevel="0" collapsed="false">
      <c r="A103" s="138" t="s">
        <v>1745</v>
      </c>
      <c r="B103" s="138" t="n">
        <v>101</v>
      </c>
      <c r="C103" s="138" t="n">
        <v>102</v>
      </c>
      <c r="D103" s="138" t="n">
        <v>0</v>
      </c>
      <c r="E103" s="138" t="n">
        <v>0</v>
      </c>
    </row>
    <row r="104" customFormat="false" ht="15" hidden="false" customHeight="false" outlineLevel="0" collapsed="false">
      <c r="A104" s="138" t="s">
        <v>1746</v>
      </c>
      <c r="B104" s="138" t="n">
        <v>102</v>
      </c>
      <c r="C104" s="138" t="n">
        <v>103</v>
      </c>
      <c r="D104" s="138" t="n">
        <v>0</v>
      </c>
      <c r="E104" s="138" t="n">
        <v>0</v>
      </c>
    </row>
    <row r="105" customFormat="false" ht="15" hidden="false" customHeight="false" outlineLevel="0" collapsed="false">
      <c r="A105" s="138" t="s">
        <v>1747</v>
      </c>
      <c r="B105" s="138" t="n">
        <v>103</v>
      </c>
      <c r="C105" s="138" t="n">
        <v>104</v>
      </c>
      <c r="D105" s="138" t="n">
        <v>0</v>
      </c>
      <c r="E105" s="138" t="n">
        <v>0</v>
      </c>
    </row>
    <row r="106" customFormat="false" ht="15" hidden="false" customHeight="false" outlineLevel="0" collapsed="false">
      <c r="A106" s="138" t="s">
        <v>1748</v>
      </c>
      <c r="B106" s="138" t="n">
        <v>104</v>
      </c>
      <c r="C106" s="138" t="n">
        <v>105</v>
      </c>
      <c r="D106" s="138" t="n">
        <v>0</v>
      </c>
      <c r="E106" s="138" t="n">
        <v>0</v>
      </c>
    </row>
    <row r="107" customFormat="false" ht="15" hidden="false" customHeight="false" outlineLevel="0" collapsed="false">
      <c r="A107" s="138" t="s">
        <v>1749</v>
      </c>
      <c r="B107" s="138" t="n">
        <v>105</v>
      </c>
      <c r="C107" s="138" t="n">
        <v>106</v>
      </c>
      <c r="D107" s="138" t="n">
        <v>4</v>
      </c>
      <c r="E107" s="138" t="n">
        <v>0</v>
      </c>
    </row>
    <row r="108" customFormat="false" ht="15" hidden="false" customHeight="false" outlineLevel="0" collapsed="false">
      <c r="A108" s="138" t="s">
        <v>1750</v>
      </c>
      <c r="B108" s="138" t="n">
        <v>106</v>
      </c>
      <c r="C108" s="138" t="n">
        <v>107</v>
      </c>
      <c r="D108" s="138" t="n">
        <v>17</v>
      </c>
      <c r="E108" s="138" t="n">
        <v>9</v>
      </c>
    </row>
    <row r="109" customFormat="false" ht="15" hidden="false" customHeight="false" outlineLevel="0" collapsed="false">
      <c r="A109" s="138" t="s">
        <v>1751</v>
      </c>
      <c r="B109" s="138" t="n">
        <v>107</v>
      </c>
      <c r="C109" s="138" t="n">
        <v>108</v>
      </c>
      <c r="D109" s="138" t="n">
        <v>20</v>
      </c>
      <c r="E109" s="138" t="n">
        <v>20</v>
      </c>
    </row>
    <row r="110" customFormat="false" ht="15" hidden="false" customHeight="false" outlineLevel="0" collapsed="false">
      <c r="A110" s="138" t="s">
        <v>1752</v>
      </c>
      <c r="B110" s="138" t="n">
        <v>108</v>
      </c>
      <c r="C110" s="138" t="n">
        <v>109</v>
      </c>
      <c r="D110" s="138" t="n">
        <v>20</v>
      </c>
      <c r="E110" s="138" t="n">
        <v>20</v>
      </c>
    </row>
    <row r="111" customFormat="false" ht="15" hidden="false" customHeight="false" outlineLevel="0" collapsed="false">
      <c r="A111" s="138" t="s">
        <v>1753</v>
      </c>
      <c r="B111" s="138" t="n">
        <v>109</v>
      </c>
      <c r="C111" s="138" t="n">
        <v>110</v>
      </c>
      <c r="D111" s="138" t="n">
        <v>20</v>
      </c>
      <c r="E111" s="138" t="n">
        <v>20</v>
      </c>
    </row>
    <row r="112" customFormat="false" ht="15" hidden="false" customHeight="false" outlineLevel="0" collapsed="false">
      <c r="A112" s="138" t="s">
        <v>1754</v>
      </c>
      <c r="B112" s="138" t="n">
        <v>110</v>
      </c>
      <c r="C112" s="138" t="n">
        <v>111</v>
      </c>
      <c r="D112" s="138" t="n">
        <v>20</v>
      </c>
      <c r="E112" s="138" t="n">
        <v>20</v>
      </c>
    </row>
    <row r="113" customFormat="false" ht="15" hidden="false" customHeight="false" outlineLevel="0" collapsed="false">
      <c r="A113" s="138" t="s">
        <v>1755</v>
      </c>
      <c r="B113" s="138" t="n">
        <v>111</v>
      </c>
      <c r="C113" s="138" t="n">
        <v>112</v>
      </c>
      <c r="D113" s="138" t="n">
        <v>20</v>
      </c>
      <c r="E113" s="138" t="n">
        <v>20</v>
      </c>
    </row>
    <row r="114" customFormat="false" ht="15" hidden="false" customHeight="false" outlineLevel="0" collapsed="false">
      <c r="A114" s="138" t="s">
        <v>1756</v>
      </c>
      <c r="B114" s="138" t="n">
        <v>112</v>
      </c>
      <c r="C114" s="138" t="n">
        <v>113</v>
      </c>
      <c r="D114" s="138" t="n">
        <v>20</v>
      </c>
      <c r="E114" s="138" t="n">
        <v>20</v>
      </c>
    </row>
    <row r="115" customFormat="false" ht="15" hidden="false" customHeight="false" outlineLevel="0" collapsed="false">
      <c r="A115" s="138" t="s">
        <v>1757</v>
      </c>
      <c r="B115" s="138" t="n">
        <v>113</v>
      </c>
      <c r="C115" s="138" t="n">
        <v>114</v>
      </c>
      <c r="D115" s="138" t="n">
        <v>20</v>
      </c>
      <c r="E115" s="138" t="n">
        <v>6</v>
      </c>
    </row>
    <row r="116" customFormat="false" ht="15" hidden="false" customHeight="false" outlineLevel="0" collapsed="false">
      <c r="A116" s="138" t="s">
        <v>1758</v>
      </c>
      <c r="B116" s="138" t="n">
        <v>114</v>
      </c>
      <c r="C116" s="138" t="n">
        <v>115</v>
      </c>
      <c r="D116" s="138" t="n">
        <v>20</v>
      </c>
      <c r="E116" s="138" t="n">
        <v>0</v>
      </c>
    </row>
    <row r="117" customFormat="false" ht="15" hidden="false" customHeight="false" outlineLevel="0" collapsed="false">
      <c r="A117" s="138" t="s">
        <v>1759</v>
      </c>
      <c r="B117" s="138" t="n">
        <v>115</v>
      </c>
      <c r="C117" s="138" t="n">
        <v>116</v>
      </c>
      <c r="D117" s="138" t="n">
        <v>18</v>
      </c>
      <c r="E117" s="138" t="n">
        <v>0</v>
      </c>
    </row>
    <row r="118" customFormat="false" ht="15" hidden="false" customHeight="false" outlineLevel="0" collapsed="false">
      <c r="A118" s="138" t="s">
        <v>1760</v>
      </c>
      <c r="B118" s="138" t="n">
        <v>116</v>
      </c>
      <c r="C118" s="138" t="n">
        <v>117</v>
      </c>
      <c r="D118" s="138" t="n">
        <v>4</v>
      </c>
      <c r="E118" s="138" t="n">
        <v>0</v>
      </c>
    </row>
    <row r="119" customFormat="false" ht="15" hidden="false" customHeight="false" outlineLevel="0" collapsed="false">
      <c r="A119" s="138" t="s">
        <v>1761</v>
      </c>
      <c r="B119" s="138" t="n">
        <v>117</v>
      </c>
      <c r="C119" s="138" t="n">
        <v>118</v>
      </c>
      <c r="D119" s="138" t="n">
        <v>0</v>
      </c>
      <c r="E119" s="138" t="n">
        <v>0</v>
      </c>
    </row>
    <row r="120" customFormat="false" ht="15" hidden="false" customHeight="false" outlineLevel="0" collapsed="false">
      <c r="A120" s="138" t="s">
        <v>1762</v>
      </c>
      <c r="B120" s="138" t="n">
        <v>118</v>
      </c>
      <c r="C120" s="138" t="n">
        <v>119</v>
      </c>
      <c r="D120" s="138" t="n">
        <v>0</v>
      </c>
      <c r="E120" s="138" t="n">
        <v>0</v>
      </c>
    </row>
    <row r="121" customFormat="false" ht="15" hidden="false" customHeight="false" outlineLevel="0" collapsed="false">
      <c r="A121" s="138" t="s">
        <v>1763</v>
      </c>
      <c r="B121" s="138" t="n">
        <v>119</v>
      </c>
      <c r="C121" s="138" t="n">
        <v>120</v>
      </c>
      <c r="D121" s="138" t="n">
        <v>0</v>
      </c>
      <c r="E121" s="138" t="n">
        <v>0</v>
      </c>
    </row>
    <row r="122" customFormat="false" ht="15" hidden="false" customHeight="false" outlineLevel="0" collapsed="false">
      <c r="A122" s="138" t="s">
        <v>1765</v>
      </c>
      <c r="B122" s="138" t="n">
        <v>120</v>
      </c>
      <c r="C122" s="138" t="n">
        <v>121</v>
      </c>
      <c r="D122" s="138" t="n">
        <v>0</v>
      </c>
      <c r="E122" s="138" t="n">
        <v>0</v>
      </c>
    </row>
    <row r="123" customFormat="false" ht="15" hidden="false" customHeight="false" outlineLevel="0" collapsed="false">
      <c r="A123" s="138" t="s">
        <v>1767</v>
      </c>
      <c r="B123" s="138" t="n">
        <v>121</v>
      </c>
      <c r="C123" s="138" t="n">
        <v>122</v>
      </c>
      <c r="D123" s="138" t="n">
        <v>0</v>
      </c>
      <c r="E123" s="138" t="n">
        <v>0</v>
      </c>
    </row>
    <row r="124" customFormat="false" ht="15" hidden="false" customHeight="false" outlineLevel="0" collapsed="false">
      <c r="A124" s="138" t="s">
        <v>1768</v>
      </c>
      <c r="B124" s="138" t="n">
        <v>122</v>
      </c>
      <c r="C124" s="138" t="n">
        <v>123</v>
      </c>
      <c r="D124" s="138" t="n">
        <v>0</v>
      </c>
      <c r="E124" s="138" t="n">
        <v>0</v>
      </c>
    </row>
    <row r="125" customFormat="false" ht="15" hidden="false" customHeight="false" outlineLevel="0" collapsed="false">
      <c r="A125" s="138" t="s">
        <v>1770</v>
      </c>
      <c r="B125" s="138" t="n">
        <v>123</v>
      </c>
      <c r="C125" s="138" t="n">
        <v>124</v>
      </c>
      <c r="D125" s="138" t="n">
        <v>0</v>
      </c>
      <c r="E125" s="138" t="n">
        <v>0</v>
      </c>
    </row>
    <row r="126" customFormat="false" ht="15" hidden="false" customHeight="false" outlineLevel="0" collapsed="false">
      <c r="A126" s="138" t="s">
        <v>1772</v>
      </c>
      <c r="B126" s="138" t="n">
        <v>124</v>
      </c>
      <c r="C126" s="138" t="n">
        <v>125</v>
      </c>
      <c r="D126" s="138" t="n">
        <v>16</v>
      </c>
      <c r="E126" s="138" t="n">
        <v>0</v>
      </c>
    </row>
    <row r="127" customFormat="false" ht="15" hidden="false" customHeight="false" outlineLevel="0" collapsed="false">
      <c r="A127" s="138" t="s">
        <v>1774</v>
      </c>
      <c r="B127" s="138" t="n">
        <v>125</v>
      </c>
      <c r="C127" s="138" t="n">
        <v>126</v>
      </c>
      <c r="D127" s="138" t="n">
        <v>20</v>
      </c>
      <c r="E127" s="138" t="n">
        <v>2</v>
      </c>
    </row>
    <row r="128" customFormat="false" ht="15" hidden="false" customHeight="false" outlineLevel="0" collapsed="false">
      <c r="A128" s="138" t="s">
        <v>1775</v>
      </c>
      <c r="B128" s="138" t="n">
        <v>126</v>
      </c>
      <c r="C128" s="138" t="n">
        <v>127</v>
      </c>
      <c r="D128" s="138" t="n">
        <v>20</v>
      </c>
      <c r="E128" s="138" t="n">
        <v>17</v>
      </c>
    </row>
    <row r="129" customFormat="false" ht="15" hidden="false" customHeight="false" outlineLevel="0" collapsed="false">
      <c r="A129" s="138" t="s">
        <v>1776</v>
      </c>
      <c r="B129" s="138" t="n">
        <v>127</v>
      </c>
      <c r="C129" s="138" t="n">
        <v>128</v>
      </c>
      <c r="D129" s="138" t="n">
        <v>20</v>
      </c>
      <c r="E129" s="138" t="n">
        <v>20</v>
      </c>
    </row>
    <row r="130" customFormat="false" ht="15" hidden="false" customHeight="false" outlineLevel="0" collapsed="false">
      <c r="A130" s="138" t="s">
        <v>1777</v>
      </c>
      <c r="B130" s="138" t="n">
        <v>128</v>
      </c>
      <c r="C130" s="138" t="n">
        <v>129</v>
      </c>
      <c r="D130" s="138" t="n">
        <v>20</v>
      </c>
      <c r="E130" s="138" t="n">
        <v>4</v>
      </c>
    </row>
    <row r="131" customFormat="false" ht="15" hidden="false" customHeight="false" outlineLevel="0" collapsed="false">
      <c r="A131" s="138" t="s">
        <v>1778</v>
      </c>
      <c r="B131" s="138" t="n">
        <v>129</v>
      </c>
      <c r="C131" s="138" t="n">
        <v>130</v>
      </c>
      <c r="D131" s="138" t="n">
        <v>7</v>
      </c>
      <c r="E131" s="138" t="n">
        <v>0</v>
      </c>
    </row>
    <row r="132" customFormat="false" ht="15" hidden="false" customHeight="false" outlineLevel="0" collapsed="false">
      <c r="A132" s="138" t="s">
        <v>1779</v>
      </c>
      <c r="B132" s="138" t="n">
        <v>130</v>
      </c>
      <c r="C132" s="138" t="n">
        <v>131</v>
      </c>
      <c r="D132" s="138" t="n">
        <v>0</v>
      </c>
      <c r="E132" s="138" t="n">
        <v>0</v>
      </c>
    </row>
    <row r="133" customFormat="false" ht="15" hidden="false" customHeight="false" outlineLevel="0" collapsed="false">
      <c r="A133" s="138" t="s">
        <v>1780</v>
      </c>
      <c r="B133" s="138" t="n">
        <v>131</v>
      </c>
      <c r="C133" s="138" t="n">
        <v>132</v>
      </c>
      <c r="D133" s="138" t="n">
        <v>0</v>
      </c>
      <c r="E133" s="138" t="n">
        <v>0</v>
      </c>
    </row>
    <row r="134" customFormat="false" ht="15" hidden="false" customHeight="false" outlineLevel="0" collapsed="false">
      <c r="A134" s="138" t="s">
        <v>1781</v>
      </c>
      <c r="B134" s="138" t="n">
        <v>132</v>
      </c>
      <c r="C134" s="138" t="n">
        <v>133</v>
      </c>
      <c r="D134" s="138" t="n">
        <v>0</v>
      </c>
      <c r="E134" s="138" t="n">
        <v>0</v>
      </c>
    </row>
    <row r="135" customFormat="false" ht="15" hidden="false" customHeight="false" outlineLevel="0" collapsed="false">
      <c r="A135" s="138" t="s">
        <v>1782</v>
      </c>
      <c r="B135" s="138" t="n">
        <v>133</v>
      </c>
      <c r="C135" s="138" t="n">
        <v>134</v>
      </c>
      <c r="D135" s="138" t="n">
        <v>0</v>
      </c>
      <c r="E135" s="138" t="n">
        <v>0</v>
      </c>
    </row>
    <row r="136" customFormat="false" ht="15" hidden="false" customHeight="false" outlineLevel="0" collapsed="false">
      <c r="A136" s="138" t="s">
        <v>1783</v>
      </c>
      <c r="B136" s="138" t="n">
        <v>134</v>
      </c>
      <c r="C136" s="138" t="n">
        <v>135</v>
      </c>
      <c r="D136" s="138" t="n">
        <v>0</v>
      </c>
      <c r="E136" s="138" t="n">
        <v>0</v>
      </c>
    </row>
    <row r="137" customFormat="false" ht="15" hidden="false" customHeight="false" outlineLevel="0" collapsed="false">
      <c r="A137" s="138" t="s">
        <v>1784</v>
      </c>
      <c r="B137" s="138" t="n">
        <v>135</v>
      </c>
      <c r="C137" s="138" t="n">
        <v>136</v>
      </c>
      <c r="D137" s="138" t="n">
        <v>0</v>
      </c>
      <c r="E137" s="138" t="n">
        <v>0</v>
      </c>
    </row>
    <row r="138" customFormat="false" ht="15" hidden="false" customHeight="false" outlineLevel="0" collapsed="false">
      <c r="A138" s="138" t="s">
        <v>1785</v>
      </c>
      <c r="B138" s="138" t="n">
        <v>136</v>
      </c>
      <c r="C138" s="138" t="n">
        <v>137</v>
      </c>
      <c r="D138" s="138" t="n">
        <v>0</v>
      </c>
      <c r="E138" s="138" t="n">
        <v>0</v>
      </c>
    </row>
    <row r="139" customFormat="false" ht="15" hidden="false" customHeight="false" outlineLevel="0" collapsed="false">
      <c r="A139" s="138" t="s">
        <v>1786</v>
      </c>
      <c r="B139" s="138" t="n">
        <v>137</v>
      </c>
      <c r="C139" s="138" t="n">
        <v>138</v>
      </c>
      <c r="D139" s="138" t="n">
        <v>16</v>
      </c>
      <c r="E139" s="138" t="n">
        <v>4</v>
      </c>
    </row>
    <row r="140" customFormat="false" ht="15" hidden="false" customHeight="false" outlineLevel="0" collapsed="false">
      <c r="A140" s="138" t="s">
        <v>1787</v>
      </c>
      <c r="B140" s="138" t="n">
        <v>138</v>
      </c>
      <c r="C140" s="138" t="n">
        <v>139</v>
      </c>
      <c r="D140" s="138" t="n">
        <v>20</v>
      </c>
      <c r="E140" s="138" t="n">
        <v>17</v>
      </c>
    </row>
    <row r="141" customFormat="false" ht="15" hidden="false" customHeight="false" outlineLevel="0" collapsed="false">
      <c r="A141" s="138" t="s">
        <v>1788</v>
      </c>
      <c r="B141" s="138" t="n">
        <v>139</v>
      </c>
      <c r="C141" s="138" t="n">
        <v>140</v>
      </c>
      <c r="D141" s="138" t="n">
        <v>20</v>
      </c>
      <c r="E141" s="138" t="n">
        <v>10</v>
      </c>
    </row>
    <row r="142" customFormat="false" ht="15" hidden="false" customHeight="false" outlineLevel="0" collapsed="false">
      <c r="A142" s="138" t="s">
        <v>1789</v>
      </c>
      <c r="B142" s="138" t="n">
        <v>140</v>
      </c>
      <c r="C142" s="138" t="n">
        <v>141</v>
      </c>
      <c r="D142" s="138" t="n">
        <v>20</v>
      </c>
      <c r="E142" s="138" t="n">
        <v>0</v>
      </c>
    </row>
    <row r="143" customFormat="false" ht="15" hidden="false" customHeight="false" outlineLevel="0" collapsed="false">
      <c r="A143" s="138" t="s">
        <v>1790</v>
      </c>
      <c r="B143" s="138" t="n">
        <v>141</v>
      </c>
      <c r="C143" s="138" t="n">
        <v>142</v>
      </c>
      <c r="D143" s="138" t="n">
        <v>14</v>
      </c>
      <c r="E143" s="138" t="n">
        <v>0</v>
      </c>
    </row>
    <row r="144" customFormat="false" ht="15" hidden="false" customHeight="false" outlineLevel="0" collapsed="false">
      <c r="A144" s="138" t="s">
        <v>1791</v>
      </c>
      <c r="B144" s="138" t="n">
        <v>142</v>
      </c>
      <c r="C144" s="138" t="n">
        <v>143</v>
      </c>
      <c r="D144" s="138" t="n">
        <v>0</v>
      </c>
      <c r="E144" s="138" t="n">
        <v>0</v>
      </c>
    </row>
    <row r="145" customFormat="false" ht="15" hidden="false" customHeight="false" outlineLevel="0" collapsed="false">
      <c r="A145" s="138" t="s">
        <v>1792</v>
      </c>
      <c r="B145" s="138" t="n">
        <v>143</v>
      </c>
      <c r="C145" s="138" t="n">
        <v>144</v>
      </c>
      <c r="D145" s="138" t="n">
        <v>0</v>
      </c>
      <c r="E145" s="138" t="n">
        <v>0</v>
      </c>
    </row>
    <row r="146" customFormat="false" ht="15" hidden="false" customHeight="false" outlineLevel="0" collapsed="false">
      <c r="A146" s="138" t="s">
        <v>1793</v>
      </c>
      <c r="B146" s="138" t="n">
        <v>144</v>
      </c>
      <c r="C146" s="138" t="n">
        <v>145</v>
      </c>
      <c r="D146" s="138" t="n">
        <v>0</v>
      </c>
      <c r="E146" s="138" t="n">
        <v>0</v>
      </c>
    </row>
    <row r="147" customFormat="false" ht="15" hidden="false" customHeight="false" outlineLevel="0" collapsed="false">
      <c r="A147" s="138" t="s">
        <v>1794</v>
      </c>
      <c r="B147" s="138" t="n">
        <v>145</v>
      </c>
      <c r="C147" s="138" t="n">
        <v>146</v>
      </c>
      <c r="D147" s="138" t="n">
        <v>0</v>
      </c>
      <c r="E147" s="138" t="n">
        <v>0</v>
      </c>
    </row>
    <row r="148" customFormat="false" ht="15" hidden="false" customHeight="false" outlineLevel="0" collapsed="false">
      <c r="A148" s="138" t="s">
        <v>1795</v>
      </c>
      <c r="B148" s="138" t="n">
        <v>146</v>
      </c>
      <c r="C148" s="138" t="n">
        <v>147</v>
      </c>
      <c r="D148" s="138" t="n">
        <v>0</v>
      </c>
      <c r="E148" s="138" t="n">
        <v>0</v>
      </c>
    </row>
    <row r="149" customFormat="false" ht="15" hidden="false" customHeight="false" outlineLevel="0" collapsed="false">
      <c r="A149" s="138" t="s">
        <v>1796</v>
      </c>
      <c r="B149" s="138" t="n">
        <v>147</v>
      </c>
      <c r="C149" s="138" t="n">
        <v>148</v>
      </c>
      <c r="D149" s="138" t="n">
        <v>0</v>
      </c>
      <c r="E149" s="138" t="n">
        <v>0</v>
      </c>
    </row>
    <row r="150" customFormat="false" ht="15" hidden="false" customHeight="false" outlineLevel="0" collapsed="false">
      <c r="A150" s="138" t="s">
        <v>1797</v>
      </c>
      <c r="B150" s="138" t="n">
        <v>148</v>
      </c>
      <c r="C150" s="138" t="n">
        <v>149</v>
      </c>
      <c r="D150" s="138" t="n">
        <v>0</v>
      </c>
      <c r="E150" s="138" t="n">
        <v>0</v>
      </c>
    </row>
    <row r="151" customFormat="false" ht="15" hidden="false" customHeight="false" outlineLevel="0" collapsed="false">
      <c r="A151" s="138" t="s">
        <v>1798</v>
      </c>
      <c r="B151" s="138" t="n">
        <v>149</v>
      </c>
      <c r="C151" s="138" t="n">
        <v>150</v>
      </c>
      <c r="D151" s="138" t="n">
        <v>0</v>
      </c>
      <c r="E151" s="138" t="n">
        <v>0</v>
      </c>
    </row>
    <row r="152" customFormat="false" ht="15" hidden="false" customHeight="false" outlineLevel="0" collapsed="false">
      <c r="A152" s="138" t="s">
        <v>1799</v>
      </c>
      <c r="B152" s="138" t="n">
        <v>150</v>
      </c>
      <c r="C152" s="138" t="n">
        <v>151</v>
      </c>
      <c r="D152" s="138" t="n">
        <v>0</v>
      </c>
      <c r="E152" s="138" t="n">
        <v>0</v>
      </c>
    </row>
    <row r="153" customFormat="false" ht="15" hidden="false" customHeight="false" outlineLevel="0" collapsed="false">
      <c r="A153" s="138" t="s">
        <v>1800</v>
      </c>
      <c r="B153" s="138" t="n">
        <v>151</v>
      </c>
      <c r="C153" s="138" t="n">
        <v>152</v>
      </c>
      <c r="D153" s="138" t="n">
        <v>0</v>
      </c>
      <c r="E153" s="138" t="n">
        <v>0</v>
      </c>
    </row>
    <row r="154" customFormat="false" ht="15" hidden="false" customHeight="false" outlineLevel="0" collapsed="false">
      <c r="A154" s="138" t="s">
        <v>1801</v>
      </c>
      <c r="B154" s="138" t="n">
        <v>152</v>
      </c>
      <c r="C154" s="138" t="n">
        <v>153</v>
      </c>
      <c r="D154" s="138" t="n">
        <v>0</v>
      </c>
      <c r="E154" s="138" t="n">
        <v>0</v>
      </c>
    </row>
    <row r="155" customFormat="false" ht="15" hidden="false" customHeight="false" outlineLevel="0" collapsed="false">
      <c r="A155" s="138" t="s">
        <v>1802</v>
      </c>
      <c r="B155" s="138" t="n">
        <v>153</v>
      </c>
      <c r="C155" s="138" t="n">
        <v>154</v>
      </c>
      <c r="D155" s="138" t="n">
        <v>0</v>
      </c>
      <c r="E155" s="138" t="n">
        <v>0</v>
      </c>
    </row>
    <row r="156" customFormat="false" ht="15" hidden="false" customHeight="false" outlineLevel="0" collapsed="false">
      <c r="A156" s="138" t="s">
        <v>1803</v>
      </c>
      <c r="B156" s="138" t="n">
        <v>154</v>
      </c>
      <c r="C156" s="138" t="n">
        <v>155</v>
      </c>
      <c r="D156" s="138" t="n">
        <v>0</v>
      </c>
      <c r="E156" s="138" t="n">
        <v>0</v>
      </c>
    </row>
    <row r="157" customFormat="false" ht="15" hidden="false" customHeight="false" outlineLevel="0" collapsed="false">
      <c r="A157" s="138" t="s">
        <v>1804</v>
      </c>
      <c r="B157" s="138" t="n">
        <v>155</v>
      </c>
      <c r="C157" s="138" t="n">
        <v>156</v>
      </c>
      <c r="D157" s="138" t="n">
        <v>6</v>
      </c>
      <c r="E157" s="138" t="n">
        <v>4</v>
      </c>
    </row>
    <row r="158" customFormat="false" ht="15" hidden="false" customHeight="false" outlineLevel="0" collapsed="false">
      <c r="A158" s="138" t="s">
        <v>1805</v>
      </c>
      <c r="B158" s="138" t="n">
        <v>156</v>
      </c>
      <c r="C158" s="138" t="n">
        <v>157</v>
      </c>
      <c r="D158" s="138" t="n">
        <v>18</v>
      </c>
      <c r="E158" s="138" t="n">
        <v>17</v>
      </c>
    </row>
    <row r="159" customFormat="false" ht="15" hidden="false" customHeight="false" outlineLevel="0" collapsed="false">
      <c r="A159" s="138" t="s">
        <v>1806</v>
      </c>
      <c r="B159" s="138" t="n">
        <v>157</v>
      </c>
      <c r="C159" s="138" t="n">
        <v>158</v>
      </c>
      <c r="D159" s="138" t="n">
        <v>20</v>
      </c>
      <c r="E159" s="138" t="n">
        <v>20</v>
      </c>
    </row>
    <row r="160" customFormat="false" ht="15" hidden="false" customHeight="false" outlineLevel="0" collapsed="false">
      <c r="A160" s="138" t="s">
        <v>1807</v>
      </c>
      <c r="B160" s="138" t="n">
        <v>158</v>
      </c>
      <c r="C160" s="138" t="n">
        <v>159</v>
      </c>
      <c r="D160" s="138" t="n">
        <v>20</v>
      </c>
      <c r="E160" s="138" t="n">
        <v>20</v>
      </c>
    </row>
    <row r="161" customFormat="false" ht="15" hidden="false" customHeight="false" outlineLevel="0" collapsed="false">
      <c r="A161" s="138" t="s">
        <v>1808</v>
      </c>
      <c r="B161" s="138" t="n">
        <v>159</v>
      </c>
      <c r="C161" s="138" t="n">
        <v>160</v>
      </c>
      <c r="D161" s="138" t="n">
        <v>20</v>
      </c>
      <c r="E161" s="138" t="n">
        <v>20</v>
      </c>
    </row>
    <row r="162" customFormat="false" ht="15" hidden="false" customHeight="false" outlineLevel="0" collapsed="false">
      <c r="A162" s="138" t="s">
        <v>1809</v>
      </c>
      <c r="B162" s="138" t="n">
        <v>160</v>
      </c>
      <c r="C162" s="138" t="n">
        <v>161</v>
      </c>
      <c r="D162" s="138" t="n">
        <v>20</v>
      </c>
      <c r="E162" s="138" t="n">
        <v>20</v>
      </c>
    </row>
    <row r="163" customFormat="false" ht="15" hidden="false" customHeight="false" outlineLevel="0" collapsed="false">
      <c r="A163" s="138" t="s">
        <v>1810</v>
      </c>
      <c r="B163" s="138" t="n">
        <v>161</v>
      </c>
      <c r="C163" s="138" t="n">
        <v>162</v>
      </c>
      <c r="D163" s="138" t="n">
        <v>17</v>
      </c>
      <c r="E163" s="138" t="n">
        <v>20</v>
      </c>
    </row>
    <row r="164" customFormat="false" ht="15" hidden="false" customHeight="false" outlineLevel="0" collapsed="false">
      <c r="A164" s="138" t="s">
        <v>1811</v>
      </c>
      <c r="B164" s="138" t="n">
        <v>162</v>
      </c>
      <c r="C164" s="138" t="n">
        <v>163</v>
      </c>
      <c r="D164" s="138" t="n">
        <v>2</v>
      </c>
      <c r="E164" s="138" t="n">
        <v>6</v>
      </c>
    </row>
    <row r="165" customFormat="false" ht="15" hidden="false" customHeight="false" outlineLevel="0" collapsed="false">
      <c r="A165" s="138" t="s">
        <v>1812</v>
      </c>
      <c r="B165" s="138" t="n">
        <v>163</v>
      </c>
      <c r="C165" s="138" t="n">
        <v>164</v>
      </c>
      <c r="D165" s="138" t="n">
        <v>0</v>
      </c>
      <c r="E165" s="138" t="n">
        <v>0</v>
      </c>
    </row>
    <row r="166" customFormat="false" ht="15" hidden="false" customHeight="false" outlineLevel="0" collapsed="false">
      <c r="A166" s="138" t="s">
        <v>1813</v>
      </c>
      <c r="B166" s="138" t="n">
        <v>164</v>
      </c>
      <c r="C166" s="138" t="n">
        <v>165</v>
      </c>
      <c r="D166" s="138" t="n">
        <v>0</v>
      </c>
      <c r="E166" s="138" t="n">
        <v>0</v>
      </c>
    </row>
    <row r="167" customFormat="false" ht="15" hidden="false" customHeight="false" outlineLevel="0" collapsed="false">
      <c r="A167" s="138" t="s">
        <v>1814</v>
      </c>
      <c r="B167" s="138" t="n">
        <v>165</v>
      </c>
      <c r="C167" s="138" t="n">
        <v>166</v>
      </c>
      <c r="D167" s="138" t="n">
        <v>0</v>
      </c>
      <c r="E167" s="138" t="n">
        <v>0</v>
      </c>
    </row>
    <row r="168" customFormat="false" ht="15" hidden="false" customHeight="false" outlineLevel="0" collapsed="false">
      <c r="A168" s="138" t="s">
        <v>1815</v>
      </c>
      <c r="B168" s="138" t="n">
        <v>166</v>
      </c>
      <c r="C168" s="138" t="n">
        <v>167</v>
      </c>
      <c r="D168" s="138" t="n">
        <v>0</v>
      </c>
      <c r="E168" s="138" t="n">
        <v>0</v>
      </c>
    </row>
    <row r="169" customFormat="false" ht="15" hidden="false" customHeight="false" outlineLevel="0" collapsed="false">
      <c r="A169" s="138" t="s">
        <v>1816</v>
      </c>
      <c r="B169" s="138" t="n">
        <v>167</v>
      </c>
      <c r="C169" s="138" t="n">
        <v>168</v>
      </c>
      <c r="D169" s="138" t="n">
        <v>0</v>
      </c>
      <c r="E169" s="138" t="n">
        <v>0</v>
      </c>
    </row>
    <row r="170" customFormat="false" ht="15" hidden="false" customHeight="false" outlineLevel="0" collapsed="false">
      <c r="A170" s="138" t="s">
        <v>1817</v>
      </c>
      <c r="B170" s="138" t="n">
        <v>168</v>
      </c>
      <c r="C170" s="138" t="n">
        <v>169</v>
      </c>
      <c r="D170" s="138" t="n">
        <v>0</v>
      </c>
      <c r="E170" s="138" t="n">
        <v>9</v>
      </c>
    </row>
    <row r="171" customFormat="false" ht="15" hidden="false" customHeight="false" outlineLevel="0" collapsed="false">
      <c r="A171" s="138" t="s">
        <v>1818</v>
      </c>
      <c r="B171" s="138" t="n">
        <v>169</v>
      </c>
      <c r="C171" s="138" t="n">
        <v>170</v>
      </c>
      <c r="D171" s="138" t="n">
        <v>0</v>
      </c>
      <c r="E171" s="138" t="n">
        <v>17</v>
      </c>
    </row>
    <row r="172" customFormat="false" ht="15" hidden="false" customHeight="false" outlineLevel="0" collapsed="false">
      <c r="A172" s="138" t="s">
        <v>1819</v>
      </c>
      <c r="B172" s="138" t="n">
        <v>170</v>
      </c>
      <c r="C172" s="138" t="n">
        <v>171</v>
      </c>
      <c r="D172" s="138" t="n">
        <v>0</v>
      </c>
      <c r="E172" s="138" t="n">
        <v>1</v>
      </c>
    </row>
    <row r="173" customFormat="false" ht="15" hidden="false" customHeight="false" outlineLevel="0" collapsed="false">
      <c r="A173" s="138" t="s">
        <v>1820</v>
      </c>
      <c r="B173" s="138" t="n">
        <v>171</v>
      </c>
      <c r="C173" s="138" t="n">
        <v>172</v>
      </c>
      <c r="D173" s="138" t="n">
        <v>0</v>
      </c>
      <c r="E173" s="138" t="n">
        <v>0</v>
      </c>
    </row>
    <row r="174" customFormat="false" ht="15" hidden="false" customHeight="false" outlineLevel="0" collapsed="false">
      <c r="A174" s="138" t="s">
        <v>1821</v>
      </c>
      <c r="B174" s="138" t="n">
        <v>172</v>
      </c>
      <c r="C174" s="138" t="n">
        <v>173</v>
      </c>
      <c r="D174" s="138" t="n">
        <v>0</v>
      </c>
      <c r="E174" s="138" t="n">
        <v>0</v>
      </c>
    </row>
    <row r="175" customFormat="false" ht="15" hidden="false" customHeight="false" outlineLevel="0" collapsed="false">
      <c r="A175" s="138" t="s">
        <v>1822</v>
      </c>
      <c r="B175" s="138" t="n">
        <v>173</v>
      </c>
      <c r="C175" s="138" t="n">
        <v>174</v>
      </c>
      <c r="D175" s="138" t="n">
        <v>0</v>
      </c>
      <c r="E175" s="138" t="n">
        <v>0</v>
      </c>
    </row>
    <row r="176" customFormat="false" ht="15" hidden="false" customHeight="false" outlineLevel="0" collapsed="false">
      <c r="A176" s="138" t="s">
        <v>1823</v>
      </c>
      <c r="B176" s="138" t="n">
        <v>174</v>
      </c>
      <c r="C176" s="138" t="n">
        <v>175</v>
      </c>
      <c r="D176" s="138" t="n">
        <v>0</v>
      </c>
      <c r="E176" s="138" t="n">
        <v>0</v>
      </c>
    </row>
    <row r="177" customFormat="false" ht="15" hidden="false" customHeight="false" outlineLevel="0" collapsed="false">
      <c r="A177" s="138" t="s">
        <v>1824</v>
      </c>
      <c r="B177" s="138" t="n">
        <v>175</v>
      </c>
      <c r="C177" s="138" t="n">
        <v>176</v>
      </c>
      <c r="D177" s="138" t="n">
        <v>0</v>
      </c>
      <c r="E177" s="138" t="n">
        <v>0</v>
      </c>
    </row>
    <row r="178" customFormat="false" ht="15" hidden="false" customHeight="false" outlineLevel="0" collapsed="false">
      <c r="A178" s="138" t="s">
        <v>1825</v>
      </c>
      <c r="B178" s="138" t="n">
        <v>176</v>
      </c>
      <c r="C178" s="138" t="n">
        <v>177</v>
      </c>
      <c r="D178" s="138" t="n">
        <v>0</v>
      </c>
      <c r="E178" s="138" t="n">
        <v>0</v>
      </c>
    </row>
    <row r="179" customFormat="false" ht="15" hidden="false" customHeight="false" outlineLevel="0" collapsed="false">
      <c r="A179" s="138" t="s">
        <v>1826</v>
      </c>
      <c r="B179" s="138" t="n">
        <v>177</v>
      </c>
      <c r="C179" s="138" t="n">
        <v>178</v>
      </c>
      <c r="D179" s="138" t="n">
        <v>0</v>
      </c>
      <c r="E179" s="138" t="n">
        <v>0</v>
      </c>
    </row>
    <row r="180" customFormat="false" ht="15" hidden="false" customHeight="false" outlineLevel="0" collapsed="false">
      <c r="A180" s="138" t="s">
        <v>1827</v>
      </c>
      <c r="B180" s="138" t="n">
        <v>178</v>
      </c>
      <c r="C180" s="138" t="n">
        <v>179</v>
      </c>
      <c r="D180" s="138" t="n">
        <v>0</v>
      </c>
      <c r="E180" s="138" t="n">
        <v>0</v>
      </c>
    </row>
    <row r="181" customFormat="false" ht="15" hidden="false" customHeight="false" outlineLevel="0" collapsed="false">
      <c r="A181" s="138" t="s">
        <v>1828</v>
      </c>
      <c r="B181" s="138" t="n">
        <v>179</v>
      </c>
      <c r="C181" s="138" t="n">
        <v>180</v>
      </c>
      <c r="D181" s="138" t="n">
        <v>0</v>
      </c>
      <c r="E181" s="138" t="n">
        <v>0</v>
      </c>
    </row>
    <row r="182" customFormat="false" ht="15" hidden="false" customHeight="false" outlineLevel="0" collapsed="false">
      <c r="A182" s="138" t="s">
        <v>1829</v>
      </c>
      <c r="B182" s="138" t="n">
        <v>180</v>
      </c>
      <c r="C182" s="138" t="n">
        <v>181</v>
      </c>
      <c r="D182" s="138" t="n">
        <v>0</v>
      </c>
      <c r="E182" s="138" t="n">
        <v>0</v>
      </c>
    </row>
    <row r="183" customFormat="false" ht="15" hidden="false" customHeight="false" outlineLevel="0" collapsed="false">
      <c r="A183" s="138" t="s">
        <v>1830</v>
      </c>
      <c r="B183" s="138" t="n">
        <v>181</v>
      </c>
      <c r="C183" s="138" t="n">
        <v>182</v>
      </c>
      <c r="D183" s="138" t="n">
        <v>0</v>
      </c>
      <c r="E183" s="138" t="n">
        <v>0</v>
      </c>
    </row>
    <row r="184" customFormat="false" ht="15" hidden="false" customHeight="false" outlineLevel="0" collapsed="false">
      <c r="A184" s="138" t="s">
        <v>1831</v>
      </c>
      <c r="B184" s="138" t="n">
        <v>182</v>
      </c>
      <c r="C184" s="138" t="n">
        <v>183</v>
      </c>
      <c r="D184" s="138" t="n">
        <v>0</v>
      </c>
      <c r="E184" s="138" t="n">
        <v>0</v>
      </c>
    </row>
    <row r="185" customFormat="false" ht="15" hidden="false" customHeight="false" outlineLevel="0" collapsed="false">
      <c r="A185" s="138" t="s">
        <v>1832</v>
      </c>
      <c r="B185" s="138" t="n">
        <v>183</v>
      </c>
      <c r="C185" s="138" t="n">
        <v>184</v>
      </c>
      <c r="D185" s="138" t="n">
        <v>0</v>
      </c>
      <c r="E185" s="138" t="n">
        <v>0</v>
      </c>
    </row>
    <row r="186" customFormat="false" ht="15" hidden="false" customHeight="false" outlineLevel="0" collapsed="false">
      <c r="A186" s="138" t="s">
        <v>1833</v>
      </c>
      <c r="B186" s="138" t="n">
        <v>184</v>
      </c>
      <c r="C186" s="138" t="n">
        <v>185</v>
      </c>
      <c r="D186" s="138" t="n">
        <v>0</v>
      </c>
      <c r="E186" s="138" t="n">
        <v>0</v>
      </c>
    </row>
    <row r="187" customFormat="false" ht="15" hidden="false" customHeight="false" outlineLevel="0" collapsed="false">
      <c r="A187" s="138" t="s">
        <v>1834</v>
      </c>
      <c r="B187" s="138" t="n">
        <v>185</v>
      </c>
      <c r="C187" s="138" t="n">
        <v>186</v>
      </c>
      <c r="D187" s="138" t="n">
        <v>0</v>
      </c>
      <c r="E187" s="138" t="n">
        <v>0</v>
      </c>
    </row>
    <row r="188" customFormat="false" ht="15" hidden="false" customHeight="false" outlineLevel="0" collapsed="false">
      <c r="A188" s="138" t="s">
        <v>1835</v>
      </c>
      <c r="B188" s="138" t="n">
        <v>186</v>
      </c>
      <c r="C188" s="138" t="n">
        <v>187</v>
      </c>
      <c r="D188" s="138" t="n">
        <v>0</v>
      </c>
      <c r="E188" s="138" t="n">
        <v>0</v>
      </c>
    </row>
    <row r="189" customFormat="false" ht="15" hidden="false" customHeight="false" outlineLevel="0" collapsed="false">
      <c r="A189" s="138" t="s">
        <v>1836</v>
      </c>
      <c r="B189" s="138" t="n">
        <v>187</v>
      </c>
      <c r="C189" s="138" t="n">
        <v>188</v>
      </c>
      <c r="D189" s="138" t="n">
        <v>0</v>
      </c>
      <c r="E189" s="138" t="n">
        <v>0</v>
      </c>
    </row>
    <row r="190" customFormat="false" ht="15" hidden="false" customHeight="false" outlineLevel="0" collapsed="false">
      <c r="A190" s="138" t="s">
        <v>1837</v>
      </c>
      <c r="B190" s="138" t="n">
        <v>188</v>
      </c>
      <c r="C190" s="138" t="n">
        <v>189</v>
      </c>
      <c r="D190" s="138" t="n">
        <v>0</v>
      </c>
      <c r="E190" s="138" t="n">
        <v>0</v>
      </c>
    </row>
    <row r="191" customFormat="false" ht="15" hidden="false" customHeight="false" outlineLevel="0" collapsed="false">
      <c r="A191" s="138" t="s">
        <v>1838</v>
      </c>
      <c r="B191" s="138" t="n">
        <v>189</v>
      </c>
      <c r="C191" s="138" t="n">
        <v>190</v>
      </c>
      <c r="D191" s="138" t="n">
        <v>0</v>
      </c>
      <c r="E191" s="138" t="n">
        <v>0</v>
      </c>
    </row>
    <row r="192" customFormat="false" ht="15" hidden="false" customHeight="false" outlineLevel="0" collapsed="false">
      <c r="A192" s="138" t="s">
        <v>1839</v>
      </c>
      <c r="B192" s="138" t="n">
        <v>190</v>
      </c>
      <c r="C192" s="138" t="n">
        <v>191</v>
      </c>
      <c r="D192" s="138" t="n">
        <v>0</v>
      </c>
      <c r="E192" s="138" t="n">
        <v>0</v>
      </c>
    </row>
    <row r="193" customFormat="false" ht="15" hidden="false" customHeight="false" outlineLevel="0" collapsed="false">
      <c r="A193" s="138" t="s">
        <v>1840</v>
      </c>
      <c r="B193" s="138" t="n">
        <v>191</v>
      </c>
      <c r="C193" s="138" t="n">
        <v>192</v>
      </c>
      <c r="D193" s="138" t="n">
        <v>0</v>
      </c>
      <c r="E193" s="138" t="n">
        <v>0</v>
      </c>
    </row>
    <row r="194" customFormat="false" ht="15" hidden="false" customHeight="false" outlineLevel="0" collapsed="false">
      <c r="A194" s="138" t="s">
        <v>1841</v>
      </c>
      <c r="B194" s="138" t="n">
        <v>192</v>
      </c>
      <c r="C194" s="138" t="n">
        <v>193</v>
      </c>
      <c r="D194" s="138" t="n">
        <v>0</v>
      </c>
      <c r="E194" s="138" t="n">
        <v>0</v>
      </c>
    </row>
    <row r="195" customFormat="false" ht="15" hidden="false" customHeight="false" outlineLevel="0" collapsed="false">
      <c r="A195" s="138" t="s">
        <v>1842</v>
      </c>
      <c r="B195" s="138" t="n">
        <v>193</v>
      </c>
      <c r="C195" s="138" t="n">
        <v>194</v>
      </c>
      <c r="D195" s="138" t="n">
        <v>0</v>
      </c>
      <c r="E195" s="138" t="n">
        <v>0</v>
      </c>
    </row>
    <row r="196" customFormat="false" ht="15" hidden="false" customHeight="false" outlineLevel="0" collapsed="false">
      <c r="A196" s="138" t="s">
        <v>1843</v>
      </c>
      <c r="B196" s="138" t="n">
        <v>194</v>
      </c>
      <c r="C196" s="138" t="n">
        <v>195</v>
      </c>
      <c r="D196" s="138" t="n">
        <v>0</v>
      </c>
      <c r="E196" s="138" t="n">
        <v>0</v>
      </c>
    </row>
    <row r="197" customFormat="false" ht="15" hidden="false" customHeight="false" outlineLevel="0" collapsed="false">
      <c r="A197" s="138" t="s">
        <v>1844</v>
      </c>
      <c r="B197" s="138" t="n">
        <v>195</v>
      </c>
      <c r="C197" s="138" t="n">
        <v>196</v>
      </c>
      <c r="D197" s="138" t="n">
        <v>0</v>
      </c>
      <c r="E197" s="138" t="n">
        <v>0</v>
      </c>
    </row>
    <row r="198" customFormat="false" ht="15" hidden="false" customHeight="false" outlineLevel="0" collapsed="false">
      <c r="A198" s="138" t="s">
        <v>1845</v>
      </c>
      <c r="B198" s="138" t="n">
        <v>196</v>
      </c>
      <c r="C198" s="138" t="n">
        <v>197</v>
      </c>
      <c r="D198" s="138" t="n">
        <v>0</v>
      </c>
      <c r="E198" s="138" t="n">
        <v>0</v>
      </c>
    </row>
    <row r="199" customFormat="false" ht="15" hidden="false" customHeight="false" outlineLevel="0" collapsed="false">
      <c r="A199" s="138" t="s">
        <v>1846</v>
      </c>
      <c r="B199" s="138" t="n">
        <v>197</v>
      </c>
      <c r="C199" s="138" t="n">
        <v>198</v>
      </c>
      <c r="D199" s="138" t="n">
        <v>0</v>
      </c>
      <c r="E199" s="138" t="n">
        <v>0</v>
      </c>
    </row>
    <row r="200" customFormat="false" ht="15" hidden="false" customHeight="false" outlineLevel="0" collapsed="false">
      <c r="A200" s="138" t="s">
        <v>1847</v>
      </c>
      <c r="B200" s="138" t="n">
        <v>198</v>
      </c>
      <c r="C200" s="138" t="n">
        <v>199</v>
      </c>
      <c r="D200" s="138" t="n">
        <v>0</v>
      </c>
      <c r="E200" s="138" t="n">
        <v>5</v>
      </c>
    </row>
    <row r="201" customFormat="false" ht="15" hidden="false" customHeight="false" outlineLevel="0" collapsed="false">
      <c r="A201" s="138" t="s">
        <v>1848</v>
      </c>
      <c r="B201" s="138" t="n">
        <v>199</v>
      </c>
      <c r="C201" s="138" t="n">
        <v>200</v>
      </c>
      <c r="D201" s="138" t="n">
        <v>9</v>
      </c>
      <c r="E201" s="138" t="n">
        <v>17</v>
      </c>
    </row>
    <row r="202" customFormat="false" ht="15" hidden="false" customHeight="false" outlineLevel="0" collapsed="false">
      <c r="A202" s="138" t="s">
        <v>1849</v>
      </c>
      <c r="B202" s="138" t="n">
        <v>200</v>
      </c>
      <c r="C202" s="138" t="n">
        <v>201</v>
      </c>
      <c r="D202" s="138" t="n">
        <v>20</v>
      </c>
      <c r="E202" s="138" t="n">
        <v>20</v>
      </c>
    </row>
    <row r="203" customFormat="false" ht="15" hidden="false" customHeight="false" outlineLevel="0" collapsed="false">
      <c r="A203" s="138" t="s">
        <v>1850</v>
      </c>
      <c r="B203" s="138" t="n">
        <v>201</v>
      </c>
      <c r="C203" s="138" t="n">
        <v>202</v>
      </c>
      <c r="D203" s="138" t="n">
        <v>14</v>
      </c>
      <c r="E203" s="138" t="n">
        <v>20</v>
      </c>
    </row>
    <row r="204" customFormat="false" ht="15" hidden="false" customHeight="false" outlineLevel="0" collapsed="false">
      <c r="A204" s="138" t="s">
        <v>1851</v>
      </c>
      <c r="B204" s="138" t="n">
        <v>202</v>
      </c>
      <c r="C204" s="138" t="n">
        <v>203</v>
      </c>
      <c r="D204" s="138" t="n">
        <v>0</v>
      </c>
      <c r="E204" s="138" t="n">
        <v>20</v>
      </c>
    </row>
    <row r="205" customFormat="false" ht="15" hidden="false" customHeight="false" outlineLevel="0" collapsed="false">
      <c r="A205" s="138" t="s">
        <v>1852</v>
      </c>
      <c r="B205" s="138" t="n">
        <v>203</v>
      </c>
      <c r="C205" s="138" t="n">
        <v>204</v>
      </c>
      <c r="D205" s="138" t="n">
        <v>0</v>
      </c>
      <c r="E205" s="138" t="n">
        <v>20</v>
      </c>
    </row>
    <row r="206" customFormat="false" ht="15" hidden="false" customHeight="false" outlineLevel="0" collapsed="false">
      <c r="A206" s="138" t="s">
        <v>1853</v>
      </c>
      <c r="B206" s="138" t="n">
        <v>204</v>
      </c>
      <c r="C206" s="138" t="n">
        <v>205</v>
      </c>
      <c r="D206" s="138" t="n">
        <v>0</v>
      </c>
      <c r="E206" s="138" t="n">
        <v>20</v>
      </c>
    </row>
    <row r="207" customFormat="false" ht="15" hidden="false" customHeight="false" outlineLevel="0" collapsed="false">
      <c r="A207" s="138" t="s">
        <v>1854</v>
      </c>
      <c r="B207" s="138" t="n">
        <v>205</v>
      </c>
      <c r="C207" s="138" t="n">
        <v>206</v>
      </c>
      <c r="D207" s="138" t="n">
        <v>0</v>
      </c>
      <c r="E207" s="138" t="n">
        <v>5</v>
      </c>
    </row>
    <row r="208" customFormat="false" ht="15" hidden="false" customHeight="false" outlineLevel="0" collapsed="false">
      <c r="A208" s="138" t="s">
        <v>1855</v>
      </c>
      <c r="B208" s="138" t="n">
        <v>206</v>
      </c>
      <c r="C208" s="138" t="n">
        <v>207</v>
      </c>
      <c r="D208" s="138" t="n">
        <v>0</v>
      </c>
      <c r="E208" s="138" t="n">
        <v>0</v>
      </c>
    </row>
    <row r="209" customFormat="false" ht="15" hidden="false" customHeight="false" outlineLevel="0" collapsed="false">
      <c r="A209" s="138" t="s">
        <v>1858</v>
      </c>
      <c r="B209" s="138" t="n">
        <v>207</v>
      </c>
      <c r="C209" s="138" t="n">
        <v>208</v>
      </c>
      <c r="D209" s="138" t="n">
        <v>0</v>
      </c>
      <c r="E209" s="138" t="n">
        <v>0</v>
      </c>
    </row>
    <row r="210" customFormat="false" ht="15" hidden="false" customHeight="false" outlineLevel="0" collapsed="false">
      <c r="A210" s="138" t="s">
        <v>1860</v>
      </c>
      <c r="B210" s="138" t="n">
        <v>208</v>
      </c>
      <c r="C210" s="138" t="n">
        <v>209</v>
      </c>
      <c r="D210" s="138" t="n">
        <v>0</v>
      </c>
      <c r="E210" s="138" t="n">
        <v>0</v>
      </c>
    </row>
    <row r="211" customFormat="false" ht="15" hidden="false" customHeight="false" outlineLevel="0" collapsed="false">
      <c r="A211" s="138" t="s">
        <v>1861</v>
      </c>
      <c r="B211" s="138" t="n">
        <v>209</v>
      </c>
      <c r="C211" s="138" t="n">
        <v>210</v>
      </c>
      <c r="D211" s="138" t="n">
        <v>0</v>
      </c>
      <c r="E211" s="138" t="n">
        <v>0</v>
      </c>
    </row>
    <row r="212" customFormat="false" ht="15" hidden="false" customHeight="false" outlineLevel="0" collapsed="false">
      <c r="A212" s="138" t="s">
        <v>1862</v>
      </c>
      <c r="B212" s="138" t="n">
        <v>210</v>
      </c>
      <c r="C212" s="138" t="n">
        <v>211</v>
      </c>
      <c r="D212" s="138" t="n">
        <v>0</v>
      </c>
      <c r="E212" s="138" t="n">
        <v>0</v>
      </c>
    </row>
    <row r="213" customFormat="false" ht="15" hidden="false" customHeight="false" outlineLevel="0" collapsed="false">
      <c r="A213" s="138" t="s">
        <v>1863</v>
      </c>
      <c r="B213" s="138" t="n">
        <v>211</v>
      </c>
      <c r="C213" s="138" t="n">
        <v>212</v>
      </c>
      <c r="D213" s="138" t="n">
        <v>0</v>
      </c>
      <c r="E213" s="138" t="n">
        <v>0</v>
      </c>
    </row>
    <row r="214" customFormat="false" ht="15" hidden="false" customHeight="false" outlineLevel="0" collapsed="false">
      <c r="A214" s="138" t="s">
        <v>1864</v>
      </c>
      <c r="B214" s="138" t="n">
        <v>212</v>
      </c>
      <c r="C214" s="138" t="n">
        <v>213</v>
      </c>
      <c r="D214" s="138" t="n">
        <v>0</v>
      </c>
      <c r="E214" s="138" t="n">
        <v>0</v>
      </c>
    </row>
    <row r="215" customFormat="false" ht="15" hidden="false" customHeight="false" outlineLevel="0" collapsed="false">
      <c r="A215" s="138" t="s">
        <v>1865</v>
      </c>
      <c r="B215" s="138" t="n">
        <v>213</v>
      </c>
      <c r="C215" s="138" t="n">
        <v>214</v>
      </c>
      <c r="D215" s="138" t="n">
        <v>0</v>
      </c>
      <c r="E215" s="138" t="n">
        <v>0</v>
      </c>
    </row>
    <row r="216" customFormat="false" ht="15" hidden="false" customHeight="false" outlineLevel="0" collapsed="false">
      <c r="A216" s="138" t="s">
        <v>1866</v>
      </c>
      <c r="B216" s="138" t="n">
        <v>214</v>
      </c>
      <c r="C216" s="138" t="n">
        <v>215</v>
      </c>
      <c r="D216" s="138" t="n">
        <v>0</v>
      </c>
      <c r="E216" s="138" t="n">
        <v>0</v>
      </c>
    </row>
    <row r="217" customFormat="false" ht="15" hidden="false" customHeight="false" outlineLevel="0" collapsed="false">
      <c r="A217" s="138" t="s">
        <v>1867</v>
      </c>
      <c r="B217" s="138" t="n">
        <v>215</v>
      </c>
      <c r="C217" s="138" t="n">
        <v>216</v>
      </c>
      <c r="D217" s="138" t="n">
        <v>0</v>
      </c>
      <c r="E217" s="138" t="n">
        <v>0</v>
      </c>
    </row>
    <row r="218" customFormat="false" ht="15" hidden="false" customHeight="false" outlineLevel="0" collapsed="false">
      <c r="A218" s="138" t="s">
        <v>1868</v>
      </c>
      <c r="B218" s="138" t="n">
        <v>216</v>
      </c>
      <c r="C218" s="138" t="n">
        <v>217</v>
      </c>
      <c r="D218" s="138" t="n">
        <v>0</v>
      </c>
      <c r="E218" s="138" t="n">
        <v>0</v>
      </c>
    </row>
    <row r="219" customFormat="false" ht="15" hidden="false" customHeight="false" outlineLevel="0" collapsed="false">
      <c r="A219" s="138" t="s">
        <v>1869</v>
      </c>
      <c r="B219" s="138" t="n">
        <v>217</v>
      </c>
      <c r="C219" s="138" t="n">
        <v>218</v>
      </c>
      <c r="D219" s="138" t="n">
        <v>0</v>
      </c>
      <c r="E219" s="138" t="n">
        <v>0</v>
      </c>
    </row>
    <row r="220" customFormat="false" ht="15" hidden="false" customHeight="false" outlineLevel="0" collapsed="false">
      <c r="A220" s="138" t="s">
        <v>1870</v>
      </c>
      <c r="B220" s="138" t="n">
        <v>218</v>
      </c>
      <c r="C220" s="138" t="n">
        <v>219</v>
      </c>
      <c r="D220" s="138" t="n">
        <v>0</v>
      </c>
      <c r="E220" s="138" t="n">
        <v>0</v>
      </c>
    </row>
    <row r="221" customFormat="false" ht="15" hidden="false" customHeight="false" outlineLevel="0" collapsed="false">
      <c r="A221" s="138" t="s">
        <v>1871</v>
      </c>
      <c r="B221" s="138" t="n">
        <v>219</v>
      </c>
      <c r="C221" s="138" t="n">
        <v>220</v>
      </c>
      <c r="D221" s="138" t="n">
        <v>0</v>
      </c>
      <c r="E221" s="138" t="n">
        <v>0</v>
      </c>
    </row>
    <row r="222" customFormat="false" ht="15" hidden="false" customHeight="false" outlineLevel="0" collapsed="false">
      <c r="A222" s="138" t="s">
        <v>1872</v>
      </c>
      <c r="B222" s="138" t="n">
        <v>220</v>
      </c>
      <c r="C222" s="138" t="n">
        <v>221</v>
      </c>
      <c r="D222" s="138" t="n">
        <v>0</v>
      </c>
      <c r="E222" s="138" t="n">
        <v>0</v>
      </c>
    </row>
    <row r="223" customFormat="false" ht="15" hidden="false" customHeight="false" outlineLevel="0" collapsed="false">
      <c r="A223" s="138" t="s">
        <v>1873</v>
      </c>
      <c r="B223" s="138" t="n">
        <v>221</v>
      </c>
      <c r="C223" s="138" t="n">
        <v>222</v>
      </c>
      <c r="D223" s="138" t="n">
        <v>0</v>
      </c>
      <c r="E223" s="138" t="n">
        <v>0</v>
      </c>
    </row>
    <row r="224" customFormat="false" ht="15" hidden="false" customHeight="false" outlineLevel="0" collapsed="false">
      <c r="A224" s="138" t="s">
        <v>1874</v>
      </c>
      <c r="B224" s="138" t="n">
        <v>222</v>
      </c>
      <c r="C224" s="138" t="n">
        <v>223</v>
      </c>
      <c r="D224" s="138" t="n">
        <v>0</v>
      </c>
      <c r="E224" s="138" t="n">
        <v>0</v>
      </c>
    </row>
    <row r="225" customFormat="false" ht="15" hidden="false" customHeight="false" outlineLevel="0" collapsed="false">
      <c r="A225" s="138" t="s">
        <v>1875</v>
      </c>
      <c r="B225" s="138" t="n">
        <v>223</v>
      </c>
      <c r="C225" s="138" t="n">
        <v>224</v>
      </c>
      <c r="D225" s="138" t="n">
        <v>0</v>
      </c>
      <c r="E225" s="138" t="n">
        <v>0</v>
      </c>
    </row>
    <row r="226" customFormat="false" ht="15" hidden="false" customHeight="false" outlineLevel="0" collapsed="false">
      <c r="A226" s="138" t="s">
        <v>1876</v>
      </c>
      <c r="B226" s="138" t="n">
        <v>224</v>
      </c>
      <c r="C226" s="138" t="n">
        <v>225</v>
      </c>
      <c r="D226" s="138" t="n">
        <v>0</v>
      </c>
      <c r="E226" s="138" t="n">
        <v>0</v>
      </c>
    </row>
    <row r="227" customFormat="false" ht="15" hidden="false" customHeight="false" outlineLevel="0" collapsed="false">
      <c r="A227" s="138" t="s">
        <v>1877</v>
      </c>
      <c r="B227" s="138" t="n">
        <v>225</v>
      </c>
      <c r="C227" s="138" t="n">
        <v>226</v>
      </c>
      <c r="D227" s="138" t="n">
        <v>0</v>
      </c>
      <c r="E227" s="138" t="n">
        <v>0</v>
      </c>
    </row>
    <row r="228" customFormat="false" ht="15" hidden="false" customHeight="false" outlineLevel="0" collapsed="false">
      <c r="A228" s="138" t="s">
        <v>1878</v>
      </c>
      <c r="B228" s="138" t="n">
        <v>226</v>
      </c>
      <c r="C228" s="138" t="n">
        <v>227</v>
      </c>
      <c r="D228" s="138" t="n">
        <v>0</v>
      </c>
      <c r="E228" s="138" t="n">
        <v>0</v>
      </c>
    </row>
    <row r="229" customFormat="false" ht="15" hidden="false" customHeight="false" outlineLevel="0" collapsed="false">
      <c r="A229" s="138" t="s">
        <v>1879</v>
      </c>
      <c r="B229" s="138" t="n">
        <v>227</v>
      </c>
      <c r="C229" s="138" t="n">
        <v>228</v>
      </c>
      <c r="D229" s="138" t="n">
        <v>0</v>
      </c>
      <c r="E229" s="138" t="n">
        <v>0</v>
      </c>
    </row>
    <row r="230" customFormat="false" ht="15" hidden="false" customHeight="false" outlineLevel="0" collapsed="false">
      <c r="A230" s="138" t="s">
        <v>1880</v>
      </c>
      <c r="B230" s="138" t="n">
        <v>228</v>
      </c>
      <c r="C230" s="138" t="n">
        <v>229</v>
      </c>
      <c r="D230" s="138" t="n">
        <v>0</v>
      </c>
      <c r="E230" s="138" t="n">
        <v>0</v>
      </c>
    </row>
    <row r="231" customFormat="false" ht="15" hidden="false" customHeight="false" outlineLevel="0" collapsed="false">
      <c r="A231" s="138" t="s">
        <v>1881</v>
      </c>
      <c r="B231" s="138" t="n">
        <v>229</v>
      </c>
      <c r="C231" s="138" t="n">
        <v>230</v>
      </c>
      <c r="D231" s="138" t="n">
        <v>0</v>
      </c>
      <c r="E231" s="138" t="n">
        <v>0</v>
      </c>
    </row>
    <row r="232" customFormat="false" ht="15" hidden="false" customHeight="false" outlineLevel="0" collapsed="false">
      <c r="A232" s="138" t="s">
        <v>1882</v>
      </c>
      <c r="B232" s="138" t="n">
        <v>230</v>
      </c>
      <c r="C232" s="138" t="n">
        <v>231</v>
      </c>
      <c r="D232" s="138" t="n">
        <v>0</v>
      </c>
      <c r="E232" s="138" t="n">
        <v>0</v>
      </c>
    </row>
    <row r="233" customFormat="false" ht="15" hidden="false" customHeight="false" outlineLevel="0" collapsed="false">
      <c r="A233" s="138" t="s">
        <v>1883</v>
      </c>
      <c r="B233" s="138" t="n">
        <v>231</v>
      </c>
      <c r="C233" s="138" t="n">
        <v>232</v>
      </c>
      <c r="D233" s="138" t="n">
        <v>0</v>
      </c>
      <c r="E233" s="138" t="n">
        <v>0</v>
      </c>
    </row>
    <row r="234" customFormat="false" ht="15" hidden="false" customHeight="false" outlineLevel="0" collapsed="false">
      <c r="A234" s="138" t="s">
        <v>1884</v>
      </c>
      <c r="B234" s="138" t="n">
        <v>232</v>
      </c>
      <c r="C234" s="138" t="n">
        <v>233</v>
      </c>
      <c r="D234" s="138" t="n">
        <v>0</v>
      </c>
      <c r="E234" s="138" t="n">
        <v>0</v>
      </c>
    </row>
    <row r="235" customFormat="false" ht="15" hidden="false" customHeight="false" outlineLevel="0" collapsed="false">
      <c r="A235" s="138" t="s">
        <v>1885</v>
      </c>
      <c r="B235" s="138" t="n">
        <v>233</v>
      </c>
      <c r="C235" s="138" t="n">
        <v>234</v>
      </c>
      <c r="D235" s="138" t="n">
        <v>0</v>
      </c>
      <c r="E235" s="138" t="n">
        <v>0</v>
      </c>
    </row>
    <row r="236" customFormat="false" ht="15" hidden="false" customHeight="false" outlineLevel="0" collapsed="false">
      <c r="A236" s="138" t="s">
        <v>1886</v>
      </c>
      <c r="B236" s="138" t="n">
        <v>234</v>
      </c>
      <c r="C236" s="138" t="n">
        <v>235</v>
      </c>
      <c r="D236" s="138" t="n">
        <v>13</v>
      </c>
      <c r="E236" s="138" t="n">
        <v>13</v>
      </c>
    </row>
    <row r="237" customFormat="false" ht="15" hidden="false" customHeight="false" outlineLevel="0" collapsed="false">
      <c r="A237" s="138" t="s">
        <v>1887</v>
      </c>
      <c r="B237" s="138" t="n">
        <v>235</v>
      </c>
      <c r="C237" s="138" t="n">
        <v>236</v>
      </c>
      <c r="D237" s="138" t="n">
        <v>9</v>
      </c>
      <c r="E237" s="138" t="n">
        <v>9</v>
      </c>
    </row>
    <row r="238" customFormat="false" ht="15" hidden="false" customHeight="false" outlineLevel="0" collapsed="false">
      <c r="A238" s="138" t="s">
        <v>1889</v>
      </c>
      <c r="B238" s="138" t="n">
        <v>236</v>
      </c>
      <c r="C238" s="138" t="n">
        <v>237</v>
      </c>
      <c r="D238" s="138" t="n">
        <v>0</v>
      </c>
      <c r="E238" s="138" t="n">
        <v>0</v>
      </c>
    </row>
    <row r="239" customFormat="false" ht="15" hidden="false" customHeight="false" outlineLevel="0" collapsed="false">
      <c r="A239" s="138" t="s">
        <v>1890</v>
      </c>
      <c r="B239" s="138" t="n">
        <v>237</v>
      </c>
      <c r="C239" s="138" t="n">
        <v>238</v>
      </c>
      <c r="D239" s="138" t="n">
        <v>20</v>
      </c>
      <c r="E239" s="138" t="n">
        <v>20</v>
      </c>
    </row>
    <row r="240" customFormat="false" ht="15" hidden="false" customHeight="false" outlineLevel="0" collapsed="false">
      <c r="A240" s="138" t="s">
        <v>1891</v>
      </c>
      <c r="B240" s="138" t="n">
        <v>238</v>
      </c>
      <c r="C240" s="138" t="n">
        <v>239</v>
      </c>
      <c r="D240" s="138" t="n">
        <v>20</v>
      </c>
      <c r="E240" s="138" t="n">
        <v>18</v>
      </c>
    </row>
    <row r="241" customFormat="false" ht="15" hidden="false" customHeight="false" outlineLevel="0" collapsed="false">
      <c r="A241" s="138" t="s">
        <v>1892</v>
      </c>
      <c r="B241" s="138" t="n">
        <v>239</v>
      </c>
      <c r="C241" s="138" t="n">
        <v>240</v>
      </c>
      <c r="D241" s="138" t="n">
        <v>6</v>
      </c>
      <c r="E241" s="138" t="n">
        <v>4</v>
      </c>
    </row>
    <row r="242" customFormat="false" ht="15" hidden="false" customHeight="false" outlineLevel="0" collapsed="false">
      <c r="A242" s="138" t="s">
        <v>1893</v>
      </c>
      <c r="B242" s="138" t="n">
        <v>240</v>
      </c>
      <c r="C242" s="138" t="n">
        <v>241</v>
      </c>
      <c r="D242" s="138" t="n">
        <v>0</v>
      </c>
      <c r="E242" s="138" t="n">
        <v>0</v>
      </c>
    </row>
    <row r="243" customFormat="false" ht="15" hidden="false" customHeight="false" outlineLevel="0" collapsed="false">
      <c r="A243" s="138" t="s">
        <v>1894</v>
      </c>
      <c r="B243" s="138" t="n">
        <v>241</v>
      </c>
      <c r="C243" s="138" t="n">
        <v>242</v>
      </c>
      <c r="D243" s="138" t="n">
        <v>0</v>
      </c>
      <c r="E243" s="138" t="n">
        <v>0</v>
      </c>
    </row>
    <row r="244" customFormat="false" ht="15" hidden="false" customHeight="false" outlineLevel="0" collapsed="false">
      <c r="A244" s="138" t="s">
        <v>1895</v>
      </c>
      <c r="B244" s="138" t="n">
        <v>242</v>
      </c>
      <c r="C244" s="138" t="n">
        <v>243</v>
      </c>
      <c r="D244" s="138" t="n">
        <v>0</v>
      </c>
      <c r="E244" s="138" t="n">
        <v>0</v>
      </c>
    </row>
    <row r="245" customFormat="false" ht="15" hidden="false" customHeight="false" outlineLevel="0" collapsed="false">
      <c r="A245" s="138" t="s">
        <v>1896</v>
      </c>
      <c r="B245" s="138" t="n">
        <v>243</v>
      </c>
      <c r="C245" s="138" t="n">
        <v>244</v>
      </c>
      <c r="D245" s="138" t="n">
        <v>0</v>
      </c>
      <c r="E245" s="138" t="n">
        <v>0</v>
      </c>
    </row>
    <row r="246" customFormat="false" ht="15" hidden="false" customHeight="false" outlineLevel="0" collapsed="false">
      <c r="A246" s="138" t="s">
        <v>1897</v>
      </c>
      <c r="B246" s="138" t="n">
        <v>244</v>
      </c>
      <c r="C246" s="138" t="n">
        <v>245</v>
      </c>
      <c r="D246" s="138" t="n">
        <v>0</v>
      </c>
      <c r="E246" s="138" t="n">
        <v>0</v>
      </c>
    </row>
    <row r="247" customFormat="false" ht="15" hidden="false" customHeight="false" outlineLevel="0" collapsed="false">
      <c r="A247" s="138" t="s">
        <v>1898</v>
      </c>
      <c r="B247" s="138" t="n">
        <v>245</v>
      </c>
      <c r="C247" s="138" t="n">
        <v>246</v>
      </c>
      <c r="D247" s="138" t="n">
        <v>0</v>
      </c>
      <c r="E247" s="138" t="n">
        <v>0</v>
      </c>
    </row>
    <row r="248" customFormat="false" ht="15" hidden="false" customHeight="false" outlineLevel="0" collapsed="false">
      <c r="A248" s="138" t="s">
        <v>1899</v>
      </c>
      <c r="B248" s="138" t="n">
        <v>246</v>
      </c>
      <c r="C248" s="138" t="n">
        <v>247</v>
      </c>
      <c r="D248" s="138" t="n">
        <v>0</v>
      </c>
      <c r="E248" s="138" t="n">
        <v>0</v>
      </c>
    </row>
    <row r="249" customFormat="false" ht="15" hidden="false" customHeight="false" outlineLevel="0" collapsed="false">
      <c r="A249" s="138" t="s">
        <v>1900</v>
      </c>
      <c r="B249" s="138" t="n">
        <v>247</v>
      </c>
      <c r="C249" s="138" t="n">
        <v>248</v>
      </c>
      <c r="D249" s="138" t="n">
        <v>0</v>
      </c>
      <c r="E249" s="138" t="n">
        <v>0</v>
      </c>
    </row>
    <row r="250" customFormat="false" ht="15" hidden="false" customHeight="false" outlineLevel="0" collapsed="false">
      <c r="A250" s="138" t="s">
        <v>1901</v>
      </c>
      <c r="B250" s="138" t="n">
        <v>248</v>
      </c>
      <c r="C250" s="138" t="n">
        <v>249</v>
      </c>
      <c r="D250" s="138" t="n">
        <v>0</v>
      </c>
      <c r="E250" s="138" t="n">
        <v>0</v>
      </c>
    </row>
    <row r="251" customFormat="false" ht="15" hidden="false" customHeight="false" outlineLevel="0" collapsed="false">
      <c r="A251" s="138" t="s">
        <v>1902</v>
      </c>
      <c r="B251" s="138" t="n">
        <v>249</v>
      </c>
      <c r="C251" s="138" t="n">
        <v>250</v>
      </c>
      <c r="D251" s="138" t="n">
        <v>0</v>
      </c>
      <c r="E251" s="138" t="n">
        <v>0</v>
      </c>
    </row>
    <row r="252" customFormat="false" ht="15" hidden="false" customHeight="false" outlineLevel="0" collapsed="false">
      <c r="A252" s="138" t="s">
        <v>1903</v>
      </c>
      <c r="B252" s="138" t="n">
        <v>250</v>
      </c>
      <c r="C252" s="138" t="n">
        <v>251</v>
      </c>
      <c r="D252" s="138" t="n">
        <v>0</v>
      </c>
      <c r="E252" s="138" t="n">
        <v>1</v>
      </c>
    </row>
    <row r="253" customFormat="false" ht="15" hidden="false" customHeight="false" outlineLevel="0" collapsed="false">
      <c r="A253" s="138" t="s">
        <v>1904</v>
      </c>
      <c r="B253" s="138" t="n">
        <v>251</v>
      </c>
      <c r="C253" s="138" t="n">
        <v>252</v>
      </c>
      <c r="D253" s="138" t="n">
        <v>0</v>
      </c>
      <c r="E253" s="138" t="n">
        <v>17</v>
      </c>
    </row>
    <row r="254" customFormat="false" ht="15" hidden="false" customHeight="false" outlineLevel="0" collapsed="false">
      <c r="A254" s="138" t="s">
        <v>1905</v>
      </c>
      <c r="B254" s="138" t="n">
        <v>252</v>
      </c>
      <c r="C254" s="138" t="n">
        <v>253</v>
      </c>
      <c r="D254" s="138" t="n">
        <v>0</v>
      </c>
      <c r="E254" s="138" t="n">
        <v>17</v>
      </c>
    </row>
    <row r="255" customFormat="false" ht="15" hidden="false" customHeight="false" outlineLevel="0" collapsed="false">
      <c r="A255" s="138" t="s">
        <v>1906</v>
      </c>
      <c r="B255" s="138" t="n">
        <v>253</v>
      </c>
      <c r="C255" s="138" t="n">
        <v>254</v>
      </c>
      <c r="D255" s="138" t="n">
        <v>0</v>
      </c>
      <c r="E255" s="138" t="n">
        <v>4</v>
      </c>
    </row>
    <row r="256" customFormat="false" ht="15" hidden="false" customHeight="false" outlineLevel="0" collapsed="false">
      <c r="A256" s="138" t="s">
        <v>1907</v>
      </c>
      <c r="B256" s="138" t="n">
        <v>254</v>
      </c>
      <c r="C256" s="138" t="n">
        <v>255</v>
      </c>
      <c r="D256" s="138" t="n">
        <v>0</v>
      </c>
      <c r="E256" s="138" t="n">
        <v>0</v>
      </c>
    </row>
    <row r="257" customFormat="false" ht="15" hidden="false" customHeight="false" outlineLevel="0" collapsed="false">
      <c r="A257" s="138" t="s">
        <v>1908</v>
      </c>
      <c r="B257" s="138" t="n">
        <v>255</v>
      </c>
      <c r="C257" s="138" t="n">
        <v>256</v>
      </c>
      <c r="D257" s="138" t="n">
        <v>0</v>
      </c>
      <c r="E257" s="138" t="n">
        <v>0</v>
      </c>
    </row>
    <row r="258" customFormat="false" ht="15" hidden="false" customHeight="false" outlineLevel="0" collapsed="false">
      <c r="A258" s="138" t="s">
        <v>1909</v>
      </c>
      <c r="B258" s="138" t="n">
        <v>256</v>
      </c>
      <c r="C258" s="138" t="n">
        <v>257</v>
      </c>
      <c r="D258" s="138" t="n">
        <v>0</v>
      </c>
      <c r="E258" s="138" t="n">
        <v>0</v>
      </c>
    </row>
    <row r="259" customFormat="false" ht="15" hidden="false" customHeight="false" outlineLevel="0" collapsed="false">
      <c r="A259" s="138" t="s">
        <v>1910</v>
      </c>
      <c r="B259" s="138" t="n">
        <v>257</v>
      </c>
      <c r="C259" s="138" t="n">
        <v>258</v>
      </c>
      <c r="D259" s="138" t="n">
        <v>0</v>
      </c>
      <c r="E259" s="138" t="n">
        <v>0</v>
      </c>
    </row>
    <row r="260" customFormat="false" ht="15" hidden="false" customHeight="false" outlineLevel="0" collapsed="false">
      <c r="A260" s="138" t="s">
        <v>1911</v>
      </c>
      <c r="B260" s="138" t="n">
        <v>258</v>
      </c>
      <c r="C260" s="138" t="n">
        <v>259</v>
      </c>
      <c r="D260" s="138" t="n">
        <v>0</v>
      </c>
      <c r="E260" s="138" t="n">
        <v>0</v>
      </c>
    </row>
    <row r="261" customFormat="false" ht="15" hidden="false" customHeight="false" outlineLevel="0" collapsed="false">
      <c r="A261" s="138" t="s">
        <v>1912</v>
      </c>
      <c r="B261" s="138" t="n">
        <v>259</v>
      </c>
      <c r="C261" s="138" t="n">
        <v>260</v>
      </c>
      <c r="D261" s="138" t="n">
        <v>7</v>
      </c>
      <c r="E261" s="138" t="n">
        <v>0</v>
      </c>
    </row>
    <row r="262" customFormat="false" ht="15" hidden="false" customHeight="false" outlineLevel="0" collapsed="false">
      <c r="A262" s="138" t="s">
        <v>1914</v>
      </c>
      <c r="B262" s="138" t="n">
        <v>260</v>
      </c>
      <c r="C262" s="138" t="n">
        <v>261</v>
      </c>
      <c r="D262" s="138" t="n">
        <v>20</v>
      </c>
      <c r="E262" s="138" t="n">
        <v>0</v>
      </c>
    </row>
    <row r="263" customFormat="false" ht="15" hidden="false" customHeight="false" outlineLevel="0" collapsed="false">
      <c r="A263" s="138" t="s">
        <v>1916</v>
      </c>
      <c r="B263" s="138" t="n">
        <v>261</v>
      </c>
      <c r="C263" s="138" t="n">
        <v>262</v>
      </c>
      <c r="D263" s="138" t="n">
        <v>20</v>
      </c>
      <c r="E263" s="138" t="n">
        <v>0</v>
      </c>
    </row>
    <row r="264" customFormat="false" ht="15" hidden="false" customHeight="false" outlineLevel="0" collapsed="false">
      <c r="A264" s="138" t="s">
        <v>1917</v>
      </c>
      <c r="B264" s="138" t="n">
        <v>262</v>
      </c>
      <c r="C264" s="138" t="n">
        <v>263</v>
      </c>
      <c r="D264" s="138" t="n">
        <v>13</v>
      </c>
      <c r="E264" s="138" t="n">
        <v>0</v>
      </c>
    </row>
    <row r="265" customFormat="false" ht="15" hidden="false" customHeight="false" outlineLevel="0" collapsed="false">
      <c r="A265" s="138" t="s">
        <v>1918</v>
      </c>
      <c r="B265" s="138" t="n">
        <v>263</v>
      </c>
      <c r="C265" s="138" t="n">
        <v>264</v>
      </c>
      <c r="D265" s="138" t="n">
        <v>0</v>
      </c>
      <c r="E265" s="138" t="n">
        <v>0</v>
      </c>
    </row>
    <row r="266" customFormat="false" ht="15" hidden="false" customHeight="false" outlineLevel="0" collapsed="false">
      <c r="A266" s="138" t="s">
        <v>1919</v>
      </c>
      <c r="B266" s="138" t="n">
        <v>264</v>
      </c>
      <c r="C266" s="138" t="n">
        <v>265</v>
      </c>
      <c r="D266" s="138" t="n">
        <v>0</v>
      </c>
      <c r="E266" s="138" t="n">
        <v>0</v>
      </c>
    </row>
    <row r="267" customFormat="false" ht="15" hidden="false" customHeight="false" outlineLevel="0" collapsed="false">
      <c r="A267" s="138" t="s">
        <v>1920</v>
      </c>
      <c r="B267" s="138" t="n">
        <v>265</v>
      </c>
      <c r="C267" s="138" t="n">
        <v>266</v>
      </c>
      <c r="D267" s="138" t="n">
        <v>0</v>
      </c>
      <c r="E267" s="138" t="n">
        <v>0</v>
      </c>
    </row>
    <row r="268" customFormat="false" ht="15" hidden="false" customHeight="false" outlineLevel="0" collapsed="false">
      <c r="A268" s="138" t="s">
        <v>1921</v>
      </c>
      <c r="B268" s="138" t="n">
        <v>266</v>
      </c>
      <c r="C268" s="138" t="n">
        <v>267</v>
      </c>
      <c r="D268" s="138" t="n">
        <v>0</v>
      </c>
      <c r="E268" s="138" t="n">
        <v>0</v>
      </c>
    </row>
    <row r="269" customFormat="false" ht="15" hidden="false" customHeight="false" outlineLevel="0" collapsed="false">
      <c r="A269" s="138" t="s">
        <v>1922</v>
      </c>
      <c r="B269" s="138" t="n">
        <v>267</v>
      </c>
      <c r="C269" s="138" t="n">
        <v>268</v>
      </c>
      <c r="D269" s="138" t="n">
        <v>6</v>
      </c>
      <c r="E269" s="138" t="n">
        <v>0</v>
      </c>
    </row>
    <row r="270" customFormat="false" ht="15" hidden="false" customHeight="false" outlineLevel="0" collapsed="false">
      <c r="A270" s="138" t="s">
        <v>1923</v>
      </c>
      <c r="B270" s="138" t="n">
        <v>268</v>
      </c>
      <c r="C270" s="138" t="n">
        <v>269</v>
      </c>
      <c r="D270" s="138" t="n">
        <v>20</v>
      </c>
      <c r="E270" s="138" t="n">
        <v>14</v>
      </c>
    </row>
    <row r="271" customFormat="false" ht="15" hidden="false" customHeight="false" outlineLevel="0" collapsed="false">
      <c r="A271" s="138" t="s">
        <v>1924</v>
      </c>
      <c r="B271" s="138" t="n">
        <v>269</v>
      </c>
      <c r="C271" s="138" t="n">
        <v>270</v>
      </c>
      <c r="D271" s="138" t="n">
        <v>20</v>
      </c>
      <c r="E271" s="138" t="n">
        <v>20</v>
      </c>
    </row>
    <row r="272" customFormat="false" ht="15" hidden="false" customHeight="false" outlineLevel="0" collapsed="false">
      <c r="A272" s="138" t="s">
        <v>1925</v>
      </c>
      <c r="B272" s="138" t="n">
        <v>270</v>
      </c>
      <c r="C272" s="138" t="n">
        <v>271</v>
      </c>
      <c r="D272" s="138" t="n">
        <v>20</v>
      </c>
      <c r="E272" s="138" t="n">
        <v>20</v>
      </c>
    </row>
    <row r="273" customFormat="false" ht="15" hidden="false" customHeight="false" outlineLevel="0" collapsed="false">
      <c r="A273" s="138" t="s">
        <v>1926</v>
      </c>
      <c r="B273" s="138" t="n">
        <v>271</v>
      </c>
      <c r="C273" s="138" t="n">
        <v>272</v>
      </c>
      <c r="D273" s="138" t="n">
        <v>17</v>
      </c>
      <c r="E273" s="138" t="n">
        <v>16</v>
      </c>
    </row>
    <row r="274" customFormat="false" ht="15" hidden="false" customHeight="false" outlineLevel="0" collapsed="false">
      <c r="A274" s="138" t="s">
        <v>1927</v>
      </c>
      <c r="B274" s="138" t="n">
        <v>272</v>
      </c>
      <c r="C274" s="138" t="n">
        <v>273</v>
      </c>
      <c r="D274" s="138" t="n">
        <v>4</v>
      </c>
      <c r="E274" s="138" t="n">
        <v>0</v>
      </c>
    </row>
    <row r="275" customFormat="false" ht="15" hidden="false" customHeight="false" outlineLevel="0" collapsed="false">
      <c r="A275" s="138" t="s">
        <v>1928</v>
      </c>
      <c r="B275" s="138" t="n">
        <v>273</v>
      </c>
      <c r="C275" s="138" t="n">
        <v>274</v>
      </c>
      <c r="D275" s="138" t="n">
        <v>0</v>
      </c>
      <c r="E275" s="138" t="n">
        <v>0</v>
      </c>
    </row>
    <row r="276" customFormat="false" ht="15" hidden="false" customHeight="false" outlineLevel="0" collapsed="false">
      <c r="A276" s="138" t="s">
        <v>1929</v>
      </c>
      <c r="B276" s="138" t="n">
        <v>274</v>
      </c>
      <c r="C276" s="138" t="n">
        <v>275</v>
      </c>
      <c r="D276" s="138" t="n">
        <v>0</v>
      </c>
      <c r="E276" s="138" t="n">
        <v>0</v>
      </c>
    </row>
    <row r="277" customFormat="false" ht="15" hidden="false" customHeight="false" outlineLevel="0" collapsed="false">
      <c r="A277" s="138" t="s">
        <v>1930</v>
      </c>
      <c r="B277" s="138" t="n">
        <v>275</v>
      </c>
      <c r="C277" s="138" t="n">
        <v>276</v>
      </c>
      <c r="D277" s="138" t="n">
        <v>0</v>
      </c>
      <c r="E277" s="138" t="n">
        <v>0</v>
      </c>
    </row>
    <row r="278" customFormat="false" ht="15" hidden="false" customHeight="false" outlineLevel="0" collapsed="false">
      <c r="A278" s="138" t="s">
        <v>1931</v>
      </c>
      <c r="B278" s="138" t="n">
        <v>276</v>
      </c>
      <c r="C278" s="138" t="n">
        <v>277</v>
      </c>
      <c r="D278" s="138" t="n">
        <v>0</v>
      </c>
      <c r="E278" s="138" t="n">
        <v>0</v>
      </c>
    </row>
    <row r="279" customFormat="false" ht="15" hidden="false" customHeight="false" outlineLevel="0" collapsed="false">
      <c r="A279" s="138" t="s">
        <v>1932</v>
      </c>
      <c r="B279" s="138" t="n">
        <v>277</v>
      </c>
      <c r="C279" s="138" t="n">
        <v>278</v>
      </c>
      <c r="D279" s="138" t="n">
        <v>0</v>
      </c>
      <c r="E279" s="138" t="n">
        <v>0</v>
      </c>
    </row>
    <row r="280" customFormat="false" ht="15" hidden="false" customHeight="false" outlineLevel="0" collapsed="false">
      <c r="A280" s="138" t="s">
        <v>1933</v>
      </c>
      <c r="B280" s="138" t="n">
        <v>278</v>
      </c>
      <c r="C280" s="138" t="n">
        <v>279</v>
      </c>
      <c r="D280" s="138" t="n">
        <v>0</v>
      </c>
      <c r="E280" s="138" t="n">
        <v>0</v>
      </c>
    </row>
    <row r="281" customFormat="false" ht="15" hidden="false" customHeight="false" outlineLevel="0" collapsed="false">
      <c r="A281" s="138" t="s">
        <v>1934</v>
      </c>
      <c r="B281" s="138" t="n">
        <v>279</v>
      </c>
      <c r="C281" s="138" t="n">
        <v>280</v>
      </c>
      <c r="D281" s="138" t="n">
        <v>0</v>
      </c>
      <c r="E281" s="138" t="n">
        <v>0</v>
      </c>
    </row>
    <row r="282" customFormat="false" ht="15" hidden="false" customHeight="false" outlineLevel="0" collapsed="false">
      <c r="A282" s="138" t="s">
        <v>1935</v>
      </c>
      <c r="B282" s="138" t="n">
        <v>280</v>
      </c>
      <c r="C282" s="138" t="n">
        <v>281</v>
      </c>
      <c r="D282" s="138" t="n">
        <v>0</v>
      </c>
      <c r="E282" s="138" t="n">
        <v>0</v>
      </c>
    </row>
    <row r="283" customFormat="false" ht="15" hidden="false" customHeight="false" outlineLevel="0" collapsed="false">
      <c r="A283" s="138" t="s">
        <v>1936</v>
      </c>
      <c r="B283" s="138" t="n">
        <v>281</v>
      </c>
      <c r="C283" s="138" t="n">
        <v>282</v>
      </c>
      <c r="D283" s="138" t="n">
        <v>0</v>
      </c>
      <c r="E283" s="138" t="n">
        <v>0</v>
      </c>
    </row>
    <row r="284" customFormat="false" ht="15" hidden="false" customHeight="false" outlineLevel="0" collapsed="false">
      <c r="A284" s="138" t="s">
        <v>1937</v>
      </c>
      <c r="B284" s="138" t="n">
        <v>282</v>
      </c>
      <c r="C284" s="138" t="n">
        <v>283</v>
      </c>
      <c r="D284" s="138" t="n">
        <v>0</v>
      </c>
      <c r="E284" s="138" t="n">
        <v>0</v>
      </c>
    </row>
    <row r="285" customFormat="false" ht="15" hidden="false" customHeight="false" outlineLevel="0" collapsed="false">
      <c r="A285" s="138" t="s">
        <v>1938</v>
      </c>
      <c r="B285" s="138" t="n">
        <v>283</v>
      </c>
      <c r="C285" s="138" t="n">
        <v>284</v>
      </c>
      <c r="D285" s="138" t="n">
        <v>0</v>
      </c>
      <c r="E285" s="138" t="n">
        <v>0</v>
      </c>
    </row>
    <row r="286" customFormat="false" ht="15" hidden="false" customHeight="false" outlineLevel="0" collapsed="false">
      <c r="A286" s="138" t="s">
        <v>1939</v>
      </c>
      <c r="B286" s="138" t="n">
        <v>284</v>
      </c>
      <c r="C286" s="138" t="n">
        <v>285</v>
      </c>
      <c r="D286" s="138" t="n">
        <v>0</v>
      </c>
      <c r="E286" s="138" t="n">
        <v>0</v>
      </c>
    </row>
    <row r="287" customFormat="false" ht="15" hidden="false" customHeight="false" outlineLevel="0" collapsed="false">
      <c r="A287" s="138" t="s">
        <v>1940</v>
      </c>
      <c r="B287" s="138" t="n">
        <v>285</v>
      </c>
      <c r="C287" s="138" t="n">
        <v>286</v>
      </c>
      <c r="D287" s="138" t="n">
        <v>0</v>
      </c>
      <c r="E287" s="138" t="n">
        <v>0</v>
      </c>
    </row>
    <row r="288" customFormat="false" ht="15" hidden="false" customHeight="false" outlineLevel="0" collapsed="false">
      <c r="A288" s="138" t="s">
        <v>1941</v>
      </c>
      <c r="B288" s="138" t="n">
        <v>286</v>
      </c>
      <c r="C288" s="138" t="n">
        <v>287</v>
      </c>
      <c r="D288" s="138" t="n">
        <v>0</v>
      </c>
      <c r="E288" s="138" t="n">
        <v>0</v>
      </c>
    </row>
    <row r="289" customFormat="false" ht="15" hidden="false" customHeight="false" outlineLevel="0" collapsed="false">
      <c r="A289" s="138" t="s">
        <v>1942</v>
      </c>
      <c r="B289" s="138" t="n">
        <v>287</v>
      </c>
      <c r="C289" s="138" t="n">
        <v>288</v>
      </c>
      <c r="D289" s="138" t="n">
        <v>0</v>
      </c>
      <c r="E289" s="138" t="n">
        <v>0</v>
      </c>
    </row>
    <row r="290" customFormat="false" ht="15" hidden="false" customHeight="false" outlineLevel="0" collapsed="false">
      <c r="A290" s="138" t="s">
        <v>1943</v>
      </c>
      <c r="B290" s="138" t="n">
        <v>288</v>
      </c>
      <c r="C290" s="138" t="n">
        <v>289</v>
      </c>
      <c r="D290" s="138" t="n">
        <v>0</v>
      </c>
      <c r="E290" s="138" t="n">
        <v>0</v>
      </c>
    </row>
    <row r="291" customFormat="false" ht="15" hidden="false" customHeight="false" outlineLevel="0" collapsed="false">
      <c r="A291" s="138" t="s">
        <v>1944</v>
      </c>
      <c r="B291" s="138" t="n">
        <v>289</v>
      </c>
      <c r="C291" s="138" t="n">
        <v>290</v>
      </c>
      <c r="D291" s="138" t="n">
        <v>0</v>
      </c>
      <c r="E291" s="138" t="n">
        <v>0</v>
      </c>
    </row>
    <row r="292" customFormat="false" ht="15" hidden="false" customHeight="false" outlineLevel="0" collapsed="false">
      <c r="A292" s="138" t="s">
        <v>1945</v>
      </c>
      <c r="B292" s="138" t="n">
        <v>290</v>
      </c>
      <c r="C292" s="138" t="n">
        <v>291</v>
      </c>
      <c r="D292" s="138" t="n">
        <v>0</v>
      </c>
      <c r="E292" s="138" t="n">
        <v>0</v>
      </c>
    </row>
    <row r="293" customFormat="false" ht="15" hidden="false" customHeight="false" outlineLevel="0" collapsed="false">
      <c r="A293" s="138" t="s">
        <v>1946</v>
      </c>
      <c r="B293" s="138" t="n">
        <v>291</v>
      </c>
      <c r="C293" s="138" t="n">
        <v>292</v>
      </c>
      <c r="D293" s="138" t="n">
        <v>0</v>
      </c>
      <c r="E293" s="138" t="n">
        <v>0</v>
      </c>
    </row>
    <row r="294" customFormat="false" ht="15" hidden="false" customHeight="false" outlineLevel="0" collapsed="false">
      <c r="A294" s="138" t="s">
        <v>1947</v>
      </c>
      <c r="B294" s="138" t="n">
        <v>292</v>
      </c>
      <c r="C294" s="138" t="n">
        <v>293</v>
      </c>
      <c r="D294" s="138" t="n">
        <v>0</v>
      </c>
      <c r="E294" s="138" t="n">
        <v>0</v>
      </c>
    </row>
    <row r="295" customFormat="false" ht="15" hidden="false" customHeight="false" outlineLevel="0" collapsed="false">
      <c r="A295" s="138" t="s">
        <v>1948</v>
      </c>
      <c r="B295" s="138" t="n">
        <v>293</v>
      </c>
      <c r="C295" s="138" t="n">
        <v>294</v>
      </c>
      <c r="D295" s="138" t="n">
        <v>0</v>
      </c>
      <c r="E295" s="138" t="n">
        <v>0</v>
      </c>
    </row>
    <row r="296" customFormat="false" ht="15" hidden="false" customHeight="false" outlineLevel="0" collapsed="false">
      <c r="A296" s="138" t="s">
        <v>1949</v>
      </c>
      <c r="B296" s="138" t="n">
        <v>294</v>
      </c>
      <c r="C296" s="138" t="n">
        <v>295</v>
      </c>
      <c r="D296" s="138" t="n">
        <v>0</v>
      </c>
      <c r="E296" s="138" t="n">
        <v>0</v>
      </c>
    </row>
    <row r="297" customFormat="false" ht="15" hidden="false" customHeight="false" outlineLevel="0" collapsed="false">
      <c r="A297" s="138" t="s">
        <v>1950</v>
      </c>
      <c r="B297" s="138" t="n">
        <v>295</v>
      </c>
      <c r="C297" s="138" t="n">
        <v>296</v>
      </c>
      <c r="D297" s="138" t="n">
        <v>0</v>
      </c>
      <c r="E297" s="138" t="n">
        <v>0</v>
      </c>
    </row>
    <row r="298" customFormat="false" ht="15" hidden="false" customHeight="false" outlineLevel="0" collapsed="false">
      <c r="A298" s="138" t="s">
        <v>1951</v>
      </c>
      <c r="B298" s="138" t="n">
        <v>296</v>
      </c>
      <c r="C298" s="138" t="n">
        <v>297</v>
      </c>
      <c r="D298" s="138" t="n">
        <v>0</v>
      </c>
      <c r="E298" s="138" t="n">
        <v>0</v>
      </c>
    </row>
    <row r="299" customFormat="false" ht="15" hidden="false" customHeight="false" outlineLevel="0" collapsed="false">
      <c r="A299" s="138" t="s">
        <v>1952</v>
      </c>
      <c r="B299" s="138" t="n">
        <v>297</v>
      </c>
      <c r="C299" s="138" t="n">
        <v>298</v>
      </c>
      <c r="D299" s="138" t="n">
        <v>0</v>
      </c>
      <c r="E299" s="138" t="n">
        <v>0</v>
      </c>
    </row>
    <row r="300" customFormat="false" ht="15" hidden="false" customHeight="false" outlineLevel="0" collapsed="false">
      <c r="A300" s="138" t="s">
        <v>1953</v>
      </c>
      <c r="B300" s="138" t="n">
        <v>298</v>
      </c>
      <c r="C300" s="138" t="n">
        <v>299</v>
      </c>
      <c r="D300" s="138" t="n">
        <v>0</v>
      </c>
      <c r="E300" s="138" t="n">
        <v>0</v>
      </c>
    </row>
    <row r="301" customFormat="false" ht="15" hidden="false" customHeight="false" outlineLevel="0" collapsed="false">
      <c r="A301" s="138" t="s">
        <v>1954</v>
      </c>
      <c r="B301" s="138" t="n">
        <v>299</v>
      </c>
      <c r="C301" s="138" t="n">
        <v>300</v>
      </c>
      <c r="D301" s="138" t="n">
        <v>0</v>
      </c>
      <c r="E301" s="138" t="n">
        <v>0</v>
      </c>
    </row>
    <row r="302" customFormat="false" ht="15" hidden="false" customHeight="false" outlineLevel="0" collapsed="false">
      <c r="A302" s="138" t="s">
        <v>1955</v>
      </c>
      <c r="B302" s="138" t="n">
        <v>300</v>
      </c>
      <c r="C302" s="138" t="n">
        <v>301</v>
      </c>
      <c r="D302" s="138" t="n">
        <v>0</v>
      </c>
      <c r="E302" s="138" t="n">
        <v>0</v>
      </c>
    </row>
    <row r="303" customFormat="false" ht="15" hidden="false" customHeight="false" outlineLevel="0" collapsed="false">
      <c r="A303" s="138" t="s">
        <v>1956</v>
      </c>
      <c r="B303" s="138" t="n">
        <v>301</v>
      </c>
      <c r="C303" s="138" t="n">
        <v>302</v>
      </c>
      <c r="D303" s="138" t="n">
        <v>0</v>
      </c>
      <c r="E303" s="138" t="n">
        <v>0</v>
      </c>
    </row>
    <row r="304" customFormat="false" ht="15" hidden="false" customHeight="false" outlineLevel="0" collapsed="false">
      <c r="A304" s="138" t="s">
        <v>1957</v>
      </c>
      <c r="B304" s="138" t="n">
        <v>302</v>
      </c>
      <c r="C304" s="138" t="n">
        <v>303</v>
      </c>
      <c r="D304" s="138" t="n">
        <v>0</v>
      </c>
      <c r="E304" s="138" t="n">
        <v>0</v>
      </c>
    </row>
    <row r="305" customFormat="false" ht="15" hidden="false" customHeight="false" outlineLevel="0" collapsed="false">
      <c r="A305" s="138" t="s">
        <v>1958</v>
      </c>
      <c r="B305" s="138" t="n">
        <v>303</v>
      </c>
      <c r="C305" s="138" t="n">
        <v>304</v>
      </c>
      <c r="D305" s="138" t="n">
        <v>0</v>
      </c>
      <c r="E305" s="138" t="n">
        <v>0</v>
      </c>
    </row>
    <row r="306" customFormat="false" ht="15" hidden="false" customHeight="false" outlineLevel="0" collapsed="false">
      <c r="A306" s="138" t="s">
        <v>1959</v>
      </c>
      <c r="B306" s="138" t="n">
        <v>304</v>
      </c>
      <c r="C306" s="138" t="n">
        <v>305</v>
      </c>
      <c r="D306" s="138" t="n">
        <v>0</v>
      </c>
      <c r="E306" s="138" t="n">
        <v>0</v>
      </c>
    </row>
    <row r="307" customFormat="false" ht="15" hidden="false" customHeight="false" outlineLevel="0" collapsed="false">
      <c r="A307" s="138" t="s">
        <v>1960</v>
      </c>
      <c r="B307" s="138" t="n">
        <v>305</v>
      </c>
      <c r="C307" s="138" t="n">
        <v>306</v>
      </c>
      <c r="D307" s="138" t="n">
        <v>0</v>
      </c>
      <c r="E307" s="138" t="n">
        <v>0</v>
      </c>
    </row>
    <row r="308" customFormat="false" ht="15" hidden="false" customHeight="false" outlineLevel="0" collapsed="false">
      <c r="A308" s="138" t="s">
        <v>1961</v>
      </c>
      <c r="B308" s="138" t="n">
        <v>306</v>
      </c>
      <c r="C308" s="138" t="n">
        <v>307</v>
      </c>
      <c r="D308" s="138" t="n">
        <v>0</v>
      </c>
      <c r="E308" s="138" t="n">
        <v>0</v>
      </c>
    </row>
    <row r="309" customFormat="false" ht="15" hidden="false" customHeight="false" outlineLevel="0" collapsed="false">
      <c r="A309" s="138" t="s">
        <v>1962</v>
      </c>
      <c r="B309" s="138" t="n">
        <v>307</v>
      </c>
      <c r="C309" s="138" t="n">
        <v>308</v>
      </c>
      <c r="D309" s="138" t="n">
        <v>0</v>
      </c>
      <c r="E309" s="138" t="n">
        <v>0</v>
      </c>
    </row>
    <row r="310" customFormat="false" ht="15" hidden="false" customHeight="false" outlineLevel="0" collapsed="false">
      <c r="A310" s="138" t="s">
        <v>1963</v>
      </c>
      <c r="B310" s="138" t="n">
        <v>308</v>
      </c>
      <c r="C310" s="138" t="n">
        <v>309</v>
      </c>
      <c r="D310" s="138" t="n">
        <v>0</v>
      </c>
      <c r="E310" s="138" t="n">
        <v>8</v>
      </c>
    </row>
    <row r="311" customFormat="false" ht="15" hidden="false" customHeight="false" outlineLevel="0" collapsed="false">
      <c r="A311" s="138" t="s">
        <v>1964</v>
      </c>
      <c r="B311" s="138" t="n">
        <v>309</v>
      </c>
      <c r="C311" s="138" t="n">
        <v>310</v>
      </c>
      <c r="D311" s="138" t="n">
        <v>5</v>
      </c>
      <c r="E311" s="138" t="n">
        <v>20</v>
      </c>
    </row>
    <row r="312" customFormat="false" ht="15" hidden="false" customHeight="false" outlineLevel="0" collapsed="false">
      <c r="A312" s="138" t="s">
        <v>1965</v>
      </c>
      <c r="B312" s="138" t="n">
        <v>310</v>
      </c>
      <c r="C312" s="138" t="n">
        <v>311</v>
      </c>
      <c r="D312" s="138" t="n">
        <v>17</v>
      </c>
      <c r="E312" s="138" t="n">
        <v>20</v>
      </c>
    </row>
    <row r="313" customFormat="false" ht="15" hidden="false" customHeight="false" outlineLevel="0" collapsed="false">
      <c r="A313" s="138" t="s">
        <v>1966</v>
      </c>
      <c r="B313" s="138" t="n">
        <v>311</v>
      </c>
      <c r="C313" s="138" t="n">
        <v>312</v>
      </c>
      <c r="D313" s="138" t="n">
        <v>20</v>
      </c>
      <c r="E313" s="138" t="n">
        <v>12</v>
      </c>
    </row>
    <row r="314" customFormat="false" ht="15" hidden="false" customHeight="false" outlineLevel="0" collapsed="false">
      <c r="A314" s="138" t="s">
        <v>1967</v>
      </c>
      <c r="B314" s="138" t="n">
        <v>312</v>
      </c>
      <c r="C314" s="138" t="n">
        <v>313</v>
      </c>
      <c r="D314" s="138" t="n">
        <v>20</v>
      </c>
      <c r="E314" s="138" t="n">
        <v>0</v>
      </c>
    </row>
    <row r="315" customFormat="false" ht="15" hidden="false" customHeight="false" outlineLevel="0" collapsed="false">
      <c r="A315" s="138" t="s">
        <v>1969</v>
      </c>
      <c r="B315" s="138" t="n">
        <v>313</v>
      </c>
      <c r="C315" s="138" t="n">
        <v>314</v>
      </c>
      <c r="D315" s="138" t="n">
        <v>20</v>
      </c>
      <c r="E315" s="138" t="n">
        <v>0</v>
      </c>
    </row>
    <row r="316" customFormat="false" ht="15" hidden="false" customHeight="false" outlineLevel="0" collapsed="false">
      <c r="A316" s="138" t="s">
        <v>1970</v>
      </c>
      <c r="B316" s="138" t="n">
        <v>314</v>
      </c>
      <c r="C316" s="138" t="n">
        <v>315</v>
      </c>
      <c r="D316" s="138" t="n">
        <v>20</v>
      </c>
      <c r="E316" s="138" t="n">
        <v>0</v>
      </c>
    </row>
    <row r="317" customFormat="false" ht="15" hidden="false" customHeight="false" outlineLevel="0" collapsed="false">
      <c r="A317" s="138" t="s">
        <v>1971</v>
      </c>
      <c r="B317" s="138" t="n">
        <v>315</v>
      </c>
      <c r="C317" s="138" t="n">
        <v>316</v>
      </c>
      <c r="D317" s="138" t="n">
        <v>20</v>
      </c>
      <c r="E317" s="138" t="n">
        <v>0</v>
      </c>
    </row>
    <row r="318" customFormat="false" ht="15" hidden="false" customHeight="false" outlineLevel="0" collapsed="false">
      <c r="A318" s="138" t="s">
        <v>1972</v>
      </c>
      <c r="B318" s="138" t="n">
        <v>316</v>
      </c>
      <c r="C318" s="138" t="n">
        <v>317</v>
      </c>
      <c r="D318" s="138" t="n">
        <v>20</v>
      </c>
      <c r="E318" s="138" t="n">
        <v>0</v>
      </c>
    </row>
    <row r="319" customFormat="false" ht="15" hidden="false" customHeight="false" outlineLevel="0" collapsed="false">
      <c r="A319" s="138" t="s">
        <v>1973</v>
      </c>
      <c r="B319" s="138" t="n">
        <v>317</v>
      </c>
      <c r="C319" s="138" t="n">
        <v>318</v>
      </c>
      <c r="D319" s="138" t="n">
        <v>20</v>
      </c>
      <c r="E319" s="138" t="n">
        <v>3</v>
      </c>
    </row>
    <row r="320" customFormat="false" ht="15" hidden="false" customHeight="false" outlineLevel="0" collapsed="false">
      <c r="A320" s="138" t="s">
        <v>1975</v>
      </c>
      <c r="B320" s="138" t="n">
        <v>318</v>
      </c>
      <c r="C320" s="138" t="n">
        <v>319</v>
      </c>
      <c r="D320" s="138" t="n">
        <v>20</v>
      </c>
      <c r="E320" s="138" t="n">
        <v>20</v>
      </c>
    </row>
    <row r="321" customFormat="false" ht="15" hidden="false" customHeight="false" outlineLevel="0" collapsed="false">
      <c r="A321" s="138" t="s">
        <v>1569</v>
      </c>
      <c r="B321" s="138" t="n">
        <v>319</v>
      </c>
      <c r="C321" s="138" t="n">
        <v>320</v>
      </c>
      <c r="D321" s="138" t="n">
        <v>20</v>
      </c>
      <c r="E321" s="138" t="n">
        <v>20</v>
      </c>
    </row>
    <row r="322" customFormat="false" ht="15" hidden="false" customHeight="false" outlineLevel="0" collapsed="false">
      <c r="A322" s="138" t="s">
        <v>1976</v>
      </c>
      <c r="B322" s="138" t="n">
        <v>320</v>
      </c>
      <c r="C322" s="138" t="n">
        <v>321</v>
      </c>
      <c r="D322" s="138" t="n">
        <v>20</v>
      </c>
      <c r="E322" s="138" t="n">
        <v>20</v>
      </c>
    </row>
    <row r="323" customFormat="false" ht="15" hidden="false" customHeight="false" outlineLevel="0" collapsed="false">
      <c r="A323" s="138" t="s">
        <v>1977</v>
      </c>
      <c r="B323" s="138" t="n">
        <v>321</v>
      </c>
      <c r="C323" s="138" t="n">
        <v>322</v>
      </c>
      <c r="D323" s="138" t="n">
        <v>20</v>
      </c>
      <c r="E323" s="138" t="n">
        <v>20</v>
      </c>
    </row>
    <row r="324" customFormat="false" ht="15" hidden="false" customHeight="false" outlineLevel="0" collapsed="false">
      <c r="A324" s="138" t="s">
        <v>1978</v>
      </c>
      <c r="B324" s="138" t="n">
        <v>322</v>
      </c>
      <c r="C324" s="138" t="n">
        <v>323</v>
      </c>
      <c r="D324" s="138" t="n">
        <v>20</v>
      </c>
      <c r="E324" s="138" t="n">
        <v>20</v>
      </c>
    </row>
    <row r="325" customFormat="false" ht="15" hidden="false" customHeight="false" outlineLevel="0" collapsed="false">
      <c r="A325" s="138" t="s">
        <v>1979</v>
      </c>
      <c r="B325" s="138" t="n">
        <v>323</v>
      </c>
      <c r="C325" s="138" t="n">
        <v>324</v>
      </c>
      <c r="D325" s="138" t="n">
        <v>20</v>
      </c>
      <c r="E325" s="138" t="n">
        <v>20</v>
      </c>
    </row>
    <row r="326" customFormat="false" ht="15" hidden="false" customHeight="false" outlineLevel="0" collapsed="false">
      <c r="A326" s="138" t="s">
        <v>1980</v>
      </c>
      <c r="B326" s="138" t="n">
        <v>324</v>
      </c>
      <c r="C326" s="138" t="n">
        <v>325</v>
      </c>
      <c r="D326" s="138" t="n">
        <v>20</v>
      </c>
      <c r="E326" s="138" t="n">
        <v>20</v>
      </c>
    </row>
    <row r="327" customFormat="false" ht="15" hidden="false" customHeight="false" outlineLevel="0" collapsed="false">
      <c r="A327" s="138" t="s">
        <v>1981</v>
      </c>
      <c r="B327" s="138" t="n">
        <v>325</v>
      </c>
      <c r="C327" s="138" t="n">
        <v>326</v>
      </c>
      <c r="D327" s="138" t="n">
        <v>14</v>
      </c>
      <c r="E327" s="138" t="n">
        <v>20</v>
      </c>
    </row>
    <row r="328" customFormat="false" ht="15" hidden="false" customHeight="false" outlineLevel="0" collapsed="false">
      <c r="A328" s="138" t="s">
        <v>1984</v>
      </c>
      <c r="B328" s="138" t="n">
        <v>326</v>
      </c>
      <c r="C328" s="138" t="n">
        <v>327</v>
      </c>
      <c r="D328" s="138" t="n">
        <v>13</v>
      </c>
      <c r="E328" s="138" t="n">
        <v>20</v>
      </c>
    </row>
    <row r="329" customFormat="false" ht="15" hidden="false" customHeight="false" outlineLevel="0" collapsed="false">
      <c r="A329" s="138" t="s">
        <v>1986</v>
      </c>
      <c r="B329" s="138" t="n">
        <v>327</v>
      </c>
      <c r="C329" s="138" t="n">
        <v>328</v>
      </c>
      <c r="D329" s="138" t="n">
        <v>20</v>
      </c>
      <c r="E329" s="138" t="n">
        <v>20</v>
      </c>
    </row>
    <row r="330" customFormat="false" ht="15" hidden="false" customHeight="false" outlineLevel="0" collapsed="false">
      <c r="A330" s="138" t="s">
        <v>1988</v>
      </c>
      <c r="B330" s="138" t="n">
        <v>328</v>
      </c>
      <c r="C330" s="138" t="n">
        <v>329</v>
      </c>
      <c r="D330" s="138" t="n">
        <v>20</v>
      </c>
      <c r="E330" s="138" t="n">
        <v>20</v>
      </c>
    </row>
    <row r="331" customFormat="false" ht="15" hidden="false" customHeight="false" outlineLevel="0" collapsed="false">
      <c r="A331" s="138" t="s">
        <v>1989</v>
      </c>
      <c r="B331" s="138" t="n">
        <v>329</v>
      </c>
      <c r="C331" s="138" t="n">
        <v>330</v>
      </c>
      <c r="D331" s="138" t="n">
        <v>20</v>
      </c>
      <c r="E331" s="138" t="n">
        <v>20</v>
      </c>
    </row>
    <row r="332" customFormat="false" ht="15" hidden="false" customHeight="false" outlineLevel="0" collapsed="false">
      <c r="A332" s="138" t="s">
        <v>1990</v>
      </c>
      <c r="B332" s="138" t="n">
        <v>330</v>
      </c>
      <c r="C332" s="138" t="n">
        <v>331</v>
      </c>
      <c r="D332" s="138" t="n">
        <v>20</v>
      </c>
      <c r="E332" s="138" t="n">
        <v>20</v>
      </c>
    </row>
    <row r="333" customFormat="false" ht="15" hidden="false" customHeight="false" outlineLevel="0" collapsed="false">
      <c r="A333" s="138" t="s">
        <v>1991</v>
      </c>
      <c r="B333" s="138" t="n">
        <v>331</v>
      </c>
      <c r="C333" s="138" t="n">
        <v>332</v>
      </c>
      <c r="D333" s="138" t="n">
        <v>20</v>
      </c>
      <c r="E333" s="138" t="n">
        <v>20</v>
      </c>
    </row>
    <row r="334" customFormat="false" ht="15" hidden="false" customHeight="false" outlineLevel="0" collapsed="false">
      <c r="A334" s="138" t="s">
        <v>1573</v>
      </c>
      <c r="B334" s="138" t="n">
        <v>332</v>
      </c>
      <c r="C334" s="138" t="n">
        <v>333</v>
      </c>
      <c r="D334" s="138" t="n">
        <v>20</v>
      </c>
      <c r="E334" s="138" t="n">
        <v>20</v>
      </c>
    </row>
    <row r="335" customFormat="false" ht="15" hidden="false" customHeight="false" outlineLevel="0" collapsed="false">
      <c r="A335" s="138" t="s">
        <v>1992</v>
      </c>
      <c r="B335" s="138" t="n">
        <v>333</v>
      </c>
      <c r="C335" s="138" t="n">
        <v>334</v>
      </c>
      <c r="D335" s="138" t="n">
        <v>20</v>
      </c>
      <c r="E335" s="138" t="n">
        <v>20</v>
      </c>
    </row>
    <row r="336" customFormat="false" ht="15" hidden="false" customHeight="false" outlineLevel="0" collapsed="false">
      <c r="A336" s="138" t="s">
        <v>1993</v>
      </c>
      <c r="B336" s="138" t="n">
        <v>334</v>
      </c>
      <c r="C336" s="138" t="n">
        <v>335</v>
      </c>
      <c r="D336" s="138" t="n">
        <v>20</v>
      </c>
      <c r="E336" s="138" t="n">
        <v>8</v>
      </c>
    </row>
    <row r="337" customFormat="false" ht="15" hidden="false" customHeight="false" outlineLevel="0" collapsed="false">
      <c r="A337" s="138" t="s">
        <v>1995</v>
      </c>
      <c r="B337" s="138" t="n">
        <v>335</v>
      </c>
      <c r="C337" s="138" t="n">
        <v>336</v>
      </c>
      <c r="D337" s="138" t="n">
        <v>0</v>
      </c>
      <c r="E337" s="138" t="n">
        <v>0</v>
      </c>
    </row>
    <row r="338" customFormat="false" ht="15" hidden="false" customHeight="false" outlineLevel="0" collapsed="false">
      <c r="A338" s="138" t="s">
        <v>1996</v>
      </c>
      <c r="B338" s="138" t="n">
        <v>336</v>
      </c>
      <c r="C338" s="138" t="n">
        <v>337</v>
      </c>
      <c r="D338" s="138" t="n">
        <v>0</v>
      </c>
      <c r="E338" s="138" t="n">
        <v>0</v>
      </c>
    </row>
    <row r="339" customFormat="false" ht="15" hidden="false" customHeight="false" outlineLevel="0" collapsed="false">
      <c r="A339" s="138" t="s">
        <v>1997</v>
      </c>
      <c r="B339" s="138" t="n">
        <v>337</v>
      </c>
      <c r="C339" s="138" t="n">
        <v>338</v>
      </c>
      <c r="D339" s="138" t="n">
        <v>0</v>
      </c>
      <c r="E339" s="138" t="n">
        <v>0</v>
      </c>
    </row>
    <row r="340" customFormat="false" ht="15" hidden="false" customHeight="false" outlineLevel="0" collapsed="false">
      <c r="A340" s="138" t="s">
        <v>1998</v>
      </c>
      <c r="B340" s="138" t="n">
        <v>338</v>
      </c>
      <c r="C340" s="138" t="n">
        <v>339</v>
      </c>
      <c r="D340" s="138" t="n">
        <v>0</v>
      </c>
      <c r="E340" s="138" t="n">
        <v>0</v>
      </c>
    </row>
    <row r="341" customFormat="false" ht="15" hidden="false" customHeight="false" outlineLevel="0" collapsed="false">
      <c r="A341" s="138" t="s">
        <v>1999</v>
      </c>
      <c r="B341" s="138" t="n">
        <v>339</v>
      </c>
      <c r="C341" s="138" t="n">
        <v>340</v>
      </c>
      <c r="D341" s="138" t="n">
        <v>0</v>
      </c>
      <c r="E341" s="138" t="n">
        <v>0</v>
      </c>
    </row>
    <row r="342" customFormat="false" ht="15" hidden="false" customHeight="false" outlineLevel="0" collapsed="false">
      <c r="A342" s="138" t="s">
        <v>2000</v>
      </c>
      <c r="B342" s="138" t="n">
        <v>340</v>
      </c>
      <c r="C342" s="138" t="n">
        <v>341</v>
      </c>
      <c r="D342" s="138" t="n">
        <v>0</v>
      </c>
      <c r="E342" s="138" t="n">
        <v>0</v>
      </c>
    </row>
    <row r="343" customFormat="false" ht="15" hidden="false" customHeight="false" outlineLevel="0" collapsed="false">
      <c r="A343" s="138" t="s">
        <v>2001</v>
      </c>
      <c r="B343" s="138" t="n">
        <v>341</v>
      </c>
      <c r="C343" s="138" t="n">
        <v>342</v>
      </c>
      <c r="D343" s="138" t="n">
        <v>0</v>
      </c>
      <c r="E343" s="138" t="n">
        <v>0</v>
      </c>
    </row>
    <row r="344" customFormat="false" ht="15" hidden="false" customHeight="false" outlineLevel="0" collapsed="false">
      <c r="A344" s="138" t="s">
        <v>2002</v>
      </c>
      <c r="B344" s="138" t="n">
        <v>342</v>
      </c>
      <c r="C344" s="138" t="n">
        <v>343</v>
      </c>
      <c r="D344" s="138" t="n">
        <v>0</v>
      </c>
      <c r="E344" s="138" t="n">
        <v>0</v>
      </c>
    </row>
    <row r="345" customFormat="false" ht="15" hidden="false" customHeight="false" outlineLevel="0" collapsed="false">
      <c r="A345" s="138" t="s">
        <v>2003</v>
      </c>
      <c r="B345" s="138" t="n">
        <v>343</v>
      </c>
      <c r="C345" s="138" t="n">
        <v>344</v>
      </c>
      <c r="D345" s="138" t="n">
        <v>0</v>
      </c>
      <c r="E345" s="138" t="n">
        <v>0</v>
      </c>
    </row>
    <row r="346" customFormat="false" ht="15" hidden="false" customHeight="false" outlineLevel="0" collapsed="false">
      <c r="A346" s="138" t="s">
        <v>2004</v>
      </c>
      <c r="B346" s="138" t="n">
        <v>344</v>
      </c>
      <c r="C346" s="138" t="n">
        <v>345</v>
      </c>
      <c r="D346" s="138" t="n">
        <v>0</v>
      </c>
      <c r="E346" s="138" t="n">
        <v>0</v>
      </c>
    </row>
    <row r="347" customFormat="false" ht="15" hidden="false" customHeight="false" outlineLevel="0" collapsed="false">
      <c r="A347" s="138" t="s">
        <v>2005</v>
      </c>
      <c r="B347" s="138" t="n">
        <v>345</v>
      </c>
      <c r="C347" s="138" t="n">
        <v>346</v>
      </c>
      <c r="D347" s="138" t="n">
        <v>0</v>
      </c>
      <c r="E347" s="138" t="n">
        <v>0</v>
      </c>
    </row>
    <row r="348" customFormat="false" ht="15" hidden="false" customHeight="false" outlineLevel="0" collapsed="false">
      <c r="A348" s="138" t="s">
        <v>2006</v>
      </c>
      <c r="B348" s="138" t="n">
        <v>346</v>
      </c>
      <c r="C348" s="138" t="n">
        <v>347</v>
      </c>
      <c r="D348" s="138" t="n">
        <v>0</v>
      </c>
      <c r="E348" s="138" t="n">
        <v>0</v>
      </c>
    </row>
    <row r="349" customFormat="false" ht="15" hidden="false" customHeight="false" outlineLevel="0" collapsed="false">
      <c r="A349" s="138" t="s">
        <v>2007</v>
      </c>
      <c r="B349" s="138" t="n">
        <v>347</v>
      </c>
      <c r="C349" s="138" t="n">
        <v>348</v>
      </c>
      <c r="D349" s="138" t="n">
        <v>0</v>
      </c>
      <c r="E349" s="138" t="n">
        <v>0</v>
      </c>
    </row>
    <row r="350" customFormat="false" ht="15" hidden="false" customHeight="false" outlineLevel="0" collapsed="false">
      <c r="A350" s="138" t="s">
        <v>2008</v>
      </c>
      <c r="B350" s="138" t="n">
        <v>348</v>
      </c>
      <c r="C350" s="138" t="n">
        <v>349</v>
      </c>
      <c r="D350" s="138" t="n">
        <v>0</v>
      </c>
      <c r="E350" s="138" t="n">
        <v>0</v>
      </c>
    </row>
    <row r="351" customFormat="false" ht="15" hidden="false" customHeight="false" outlineLevel="0" collapsed="false">
      <c r="A351" s="138" t="s">
        <v>2009</v>
      </c>
      <c r="B351" s="138" t="n">
        <v>349</v>
      </c>
      <c r="C351" s="138" t="n">
        <v>350</v>
      </c>
      <c r="D351" s="138" t="n">
        <v>0</v>
      </c>
      <c r="E351" s="138" t="n">
        <v>0</v>
      </c>
    </row>
    <row r="352" customFormat="false" ht="15" hidden="false" customHeight="false" outlineLevel="0" collapsed="false">
      <c r="A352" s="138" t="s">
        <v>2010</v>
      </c>
      <c r="B352" s="138" t="n">
        <v>350</v>
      </c>
      <c r="C352" s="138" t="n">
        <v>351</v>
      </c>
      <c r="D352" s="138" t="n">
        <v>0</v>
      </c>
      <c r="E352" s="138" t="n">
        <v>0</v>
      </c>
    </row>
    <row r="353" customFormat="false" ht="15" hidden="false" customHeight="false" outlineLevel="0" collapsed="false">
      <c r="A353" s="138" t="s">
        <v>2011</v>
      </c>
      <c r="B353" s="138" t="n">
        <v>351</v>
      </c>
      <c r="C353" s="138" t="n">
        <v>352</v>
      </c>
      <c r="D353" s="138" t="n">
        <v>0</v>
      </c>
      <c r="E353" s="138" t="n">
        <v>0</v>
      </c>
    </row>
    <row r="354" customFormat="false" ht="15" hidden="false" customHeight="false" outlineLevel="0" collapsed="false">
      <c r="A354" s="138" t="s">
        <v>2012</v>
      </c>
      <c r="B354" s="138" t="n">
        <v>352</v>
      </c>
      <c r="C354" s="138" t="n">
        <v>353</v>
      </c>
      <c r="D354" s="138" t="n">
        <v>0</v>
      </c>
      <c r="E354" s="138" t="n">
        <v>0</v>
      </c>
    </row>
    <row r="355" customFormat="false" ht="15" hidden="false" customHeight="false" outlineLevel="0" collapsed="false">
      <c r="A355" s="138" t="s">
        <v>2013</v>
      </c>
      <c r="B355" s="138" t="n">
        <v>353</v>
      </c>
      <c r="C355" s="138" t="n">
        <v>354</v>
      </c>
      <c r="D355" s="138" t="n">
        <v>0</v>
      </c>
      <c r="E355" s="138" t="n">
        <v>0</v>
      </c>
    </row>
    <row r="356" customFormat="false" ht="15" hidden="false" customHeight="false" outlineLevel="0" collapsed="false">
      <c r="A356" s="138" t="s">
        <v>2014</v>
      </c>
      <c r="B356" s="138" t="n">
        <v>354</v>
      </c>
      <c r="C356" s="138" t="n">
        <v>355</v>
      </c>
      <c r="D356" s="138" t="n">
        <v>0</v>
      </c>
      <c r="E356" s="138" t="n">
        <v>0</v>
      </c>
    </row>
    <row r="357" customFormat="false" ht="15" hidden="false" customHeight="false" outlineLevel="0" collapsed="false">
      <c r="A357" s="138" t="s">
        <v>2015</v>
      </c>
      <c r="B357" s="138" t="n">
        <v>355</v>
      </c>
      <c r="C357" s="138" t="n">
        <v>356</v>
      </c>
      <c r="D357" s="138" t="n">
        <v>0</v>
      </c>
      <c r="E357" s="138" t="n">
        <v>0</v>
      </c>
    </row>
    <row r="358" customFormat="false" ht="15" hidden="false" customHeight="false" outlineLevel="0" collapsed="false">
      <c r="A358" s="138" t="s">
        <v>2016</v>
      </c>
      <c r="B358" s="138" t="n">
        <v>356</v>
      </c>
      <c r="C358" s="138" t="n">
        <v>357</v>
      </c>
      <c r="D358" s="138" t="n">
        <v>17</v>
      </c>
      <c r="E358" s="138" t="n">
        <v>0</v>
      </c>
    </row>
    <row r="359" customFormat="false" ht="15" hidden="false" customHeight="false" outlineLevel="0" collapsed="false">
      <c r="A359" s="138" t="s">
        <v>2017</v>
      </c>
      <c r="B359" s="138" t="n">
        <v>357</v>
      </c>
      <c r="C359" s="138" t="n">
        <v>358</v>
      </c>
      <c r="D359" s="138" t="n">
        <v>17</v>
      </c>
      <c r="E359" s="138" t="n">
        <v>0</v>
      </c>
    </row>
    <row r="360" customFormat="false" ht="15" hidden="false" customHeight="false" outlineLevel="0" collapsed="false">
      <c r="A360" s="138" t="s">
        <v>2018</v>
      </c>
      <c r="B360" s="138" t="n">
        <v>358</v>
      </c>
      <c r="C360" s="138" t="n">
        <v>359</v>
      </c>
      <c r="D360" s="138" t="n">
        <v>5</v>
      </c>
      <c r="E360" s="138" t="n">
        <v>0</v>
      </c>
    </row>
    <row r="361" customFormat="false" ht="15" hidden="false" customHeight="false" outlineLevel="0" collapsed="false">
      <c r="A361" s="138" t="s">
        <v>2019</v>
      </c>
      <c r="B361" s="138" t="n">
        <v>359</v>
      </c>
      <c r="C361" s="138" t="n">
        <v>360</v>
      </c>
      <c r="D361" s="138" t="n">
        <v>0</v>
      </c>
      <c r="E361" s="138" t="n">
        <v>0</v>
      </c>
    </row>
    <row r="362" customFormat="false" ht="15" hidden="false" customHeight="false" outlineLevel="0" collapsed="false">
      <c r="A362" s="138" t="s">
        <v>2021</v>
      </c>
      <c r="B362" s="138" t="n">
        <v>360</v>
      </c>
      <c r="C362" s="138" t="n">
        <v>361</v>
      </c>
      <c r="D362" s="138" t="n">
        <v>0</v>
      </c>
      <c r="E362" s="138" t="n">
        <v>0</v>
      </c>
    </row>
    <row r="363" customFormat="false" ht="15" hidden="false" customHeight="false" outlineLevel="0" collapsed="false">
      <c r="A363" s="138" t="s">
        <v>2022</v>
      </c>
      <c r="B363" s="138" t="n">
        <v>361</v>
      </c>
      <c r="C363" s="138" t="n">
        <v>362</v>
      </c>
      <c r="D363" s="138" t="n">
        <v>0</v>
      </c>
      <c r="E363" s="138" t="n">
        <v>0</v>
      </c>
    </row>
    <row r="364" customFormat="false" ht="15" hidden="false" customHeight="false" outlineLevel="0" collapsed="false">
      <c r="A364" s="138" t="s">
        <v>2023</v>
      </c>
      <c r="B364" s="138" t="n">
        <v>362</v>
      </c>
      <c r="C364" s="138" t="n">
        <v>363</v>
      </c>
      <c r="D364" s="138" t="n">
        <v>0</v>
      </c>
      <c r="E364" s="138" t="n">
        <v>0</v>
      </c>
    </row>
    <row r="365" customFormat="false" ht="15" hidden="false" customHeight="false" outlineLevel="0" collapsed="false">
      <c r="A365" s="138" t="s">
        <v>2024</v>
      </c>
      <c r="B365" s="138" t="n">
        <v>363</v>
      </c>
      <c r="C365" s="138" t="n">
        <v>364</v>
      </c>
      <c r="D365" s="138" t="n">
        <v>0</v>
      </c>
      <c r="E365" s="138" t="n">
        <v>0</v>
      </c>
    </row>
    <row r="366" customFormat="false" ht="15" hidden="false" customHeight="false" outlineLevel="0" collapsed="false">
      <c r="A366" s="138" t="s">
        <v>2025</v>
      </c>
      <c r="B366" s="138" t="n">
        <v>364</v>
      </c>
      <c r="C366" s="138" t="n">
        <v>365</v>
      </c>
      <c r="D366" s="138" t="n">
        <v>0</v>
      </c>
      <c r="E366" s="138" t="n">
        <v>0</v>
      </c>
    </row>
    <row r="367" customFormat="false" ht="15" hidden="false" customHeight="false" outlineLevel="0" collapsed="false">
      <c r="A367" s="138" t="s">
        <v>2026</v>
      </c>
      <c r="B367" s="138" t="n">
        <v>365</v>
      </c>
      <c r="C367" s="138" t="n">
        <v>366</v>
      </c>
      <c r="D367" s="138" t="n">
        <v>0</v>
      </c>
      <c r="E367" s="138" t="n">
        <v>0</v>
      </c>
    </row>
    <row r="368" customFormat="false" ht="15" hidden="false" customHeight="false" outlineLevel="0" collapsed="false">
      <c r="A368" s="138" t="s">
        <v>2027</v>
      </c>
      <c r="B368" s="138" t="n">
        <v>366</v>
      </c>
      <c r="C368" s="138" t="n">
        <v>367</v>
      </c>
      <c r="D368" s="138" t="n">
        <v>0</v>
      </c>
      <c r="E368" s="138" t="n">
        <v>0</v>
      </c>
    </row>
    <row r="369" customFormat="false" ht="15" hidden="false" customHeight="false" outlineLevel="0" collapsed="false">
      <c r="A369" s="138" t="s">
        <v>2028</v>
      </c>
      <c r="B369" s="138" t="n">
        <v>367</v>
      </c>
      <c r="C369" s="138" t="n">
        <v>368</v>
      </c>
      <c r="D369" s="138" t="n">
        <v>0</v>
      </c>
      <c r="E369" s="138" t="n">
        <v>0</v>
      </c>
    </row>
    <row r="370" customFormat="false" ht="15" hidden="false" customHeight="false" outlineLevel="0" collapsed="false">
      <c r="A370" s="138" t="s">
        <v>2029</v>
      </c>
      <c r="B370" s="138" t="n">
        <v>368</v>
      </c>
      <c r="C370" s="138" t="n">
        <v>369</v>
      </c>
      <c r="D370" s="138" t="n">
        <v>0</v>
      </c>
      <c r="E370" s="138" t="n">
        <v>0</v>
      </c>
    </row>
    <row r="371" customFormat="false" ht="15" hidden="false" customHeight="false" outlineLevel="0" collapsed="false">
      <c r="A371" s="138" t="s">
        <v>2030</v>
      </c>
      <c r="B371" s="138" t="n">
        <v>369</v>
      </c>
      <c r="C371" s="138" t="n">
        <v>370</v>
      </c>
      <c r="D371" s="138" t="n">
        <v>0</v>
      </c>
      <c r="E371" s="138" t="n">
        <v>0</v>
      </c>
    </row>
    <row r="372" customFormat="false" ht="15" hidden="false" customHeight="false" outlineLevel="0" collapsed="false">
      <c r="A372" s="138" t="s">
        <v>2031</v>
      </c>
      <c r="B372" s="138" t="n">
        <v>370</v>
      </c>
      <c r="C372" s="138" t="n">
        <v>371</v>
      </c>
      <c r="D372" s="138" t="n">
        <v>0</v>
      </c>
      <c r="E372" s="138" t="n">
        <v>0</v>
      </c>
    </row>
    <row r="373" customFormat="false" ht="15" hidden="false" customHeight="false" outlineLevel="0" collapsed="false">
      <c r="A373" s="138" t="s">
        <v>2032</v>
      </c>
      <c r="B373" s="138" t="n">
        <v>371</v>
      </c>
      <c r="C373" s="138" t="n">
        <v>372</v>
      </c>
      <c r="D373" s="138" t="n">
        <v>0</v>
      </c>
      <c r="E373" s="138" t="n">
        <v>0</v>
      </c>
    </row>
    <row r="374" customFormat="false" ht="15" hidden="false" customHeight="false" outlineLevel="0" collapsed="false">
      <c r="A374" s="138" t="s">
        <v>2033</v>
      </c>
      <c r="B374" s="138" t="n">
        <v>372</v>
      </c>
      <c r="C374" s="138" t="n">
        <v>373</v>
      </c>
      <c r="D374" s="138" t="n">
        <v>0</v>
      </c>
      <c r="E374" s="138" t="n">
        <v>0</v>
      </c>
    </row>
    <row r="375" customFormat="false" ht="15" hidden="false" customHeight="false" outlineLevel="0" collapsed="false">
      <c r="A375" s="138" t="s">
        <v>2034</v>
      </c>
      <c r="B375" s="138" t="n">
        <v>373</v>
      </c>
      <c r="C375" s="138" t="n">
        <v>374</v>
      </c>
      <c r="D375" s="138" t="n">
        <v>0</v>
      </c>
      <c r="E375" s="138" t="n">
        <v>0</v>
      </c>
    </row>
    <row r="376" customFormat="false" ht="15" hidden="false" customHeight="false" outlineLevel="0" collapsed="false">
      <c r="A376" s="138" t="s">
        <v>2035</v>
      </c>
      <c r="B376" s="138" t="n">
        <v>374</v>
      </c>
      <c r="C376" s="138" t="n">
        <v>375</v>
      </c>
      <c r="D376" s="138" t="n">
        <v>0</v>
      </c>
      <c r="E376" s="138" t="n">
        <v>0</v>
      </c>
    </row>
    <row r="377" customFormat="false" ht="15" hidden="false" customHeight="false" outlineLevel="0" collapsed="false">
      <c r="A377" s="138" t="s">
        <v>2036</v>
      </c>
      <c r="B377" s="138" t="n">
        <v>375</v>
      </c>
      <c r="C377" s="138" t="n">
        <v>376</v>
      </c>
      <c r="D377" s="138" t="n">
        <v>6</v>
      </c>
      <c r="E377" s="138" t="n">
        <v>1</v>
      </c>
    </row>
    <row r="378" customFormat="false" ht="15" hidden="false" customHeight="false" outlineLevel="0" collapsed="false">
      <c r="A378" s="138" t="s">
        <v>2037</v>
      </c>
      <c r="B378" s="138" t="n">
        <v>376</v>
      </c>
      <c r="C378" s="138" t="n">
        <v>377</v>
      </c>
      <c r="D378" s="138" t="n">
        <v>17</v>
      </c>
      <c r="E378" s="138" t="n">
        <v>17</v>
      </c>
    </row>
    <row r="379" customFormat="false" ht="15" hidden="false" customHeight="false" outlineLevel="0" collapsed="false">
      <c r="A379" s="138" t="s">
        <v>2038</v>
      </c>
      <c r="B379" s="138" t="n">
        <v>377</v>
      </c>
      <c r="C379" s="138" t="n">
        <v>378</v>
      </c>
      <c r="D379" s="138" t="n">
        <v>20</v>
      </c>
      <c r="E379" s="138" t="n">
        <v>19</v>
      </c>
    </row>
    <row r="380" customFormat="false" ht="15" hidden="false" customHeight="false" outlineLevel="0" collapsed="false">
      <c r="A380" s="138" t="s">
        <v>2039</v>
      </c>
      <c r="B380" s="138" t="n">
        <v>378</v>
      </c>
      <c r="C380" s="138" t="n">
        <v>379</v>
      </c>
      <c r="D380" s="138" t="n">
        <v>8</v>
      </c>
      <c r="E380" s="138" t="n">
        <v>6</v>
      </c>
    </row>
    <row r="381" customFormat="false" ht="15" hidden="false" customHeight="false" outlineLevel="0" collapsed="false">
      <c r="A381" s="138" t="s">
        <v>2040</v>
      </c>
      <c r="B381" s="138" t="n">
        <v>379</v>
      </c>
      <c r="C381" s="138" t="n">
        <v>380</v>
      </c>
      <c r="D381" s="138" t="n">
        <v>0</v>
      </c>
      <c r="E381" s="138" t="n">
        <v>0</v>
      </c>
    </row>
    <row r="382" customFormat="false" ht="15" hidden="false" customHeight="false" outlineLevel="0" collapsed="false">
      <c r="A382" s="138" t="s">
        <v>2041</v>
      </c>
      <c r="B382" s="138" t="n">
        <v>380</v>
      </c>
      <c r="C382" s="138" t="n">
        <v>381</v>
      </c>
      <c r="D382" s="138" t="n">
        <v>0</v>
      </c>
      <c r="E382" s="138" t="n">
        <v>0</v>
      </c>
    </row>
    <row r="383" customFormat="false" ht="15" hidden="false" customHeight="false" outlineLevel="0" collapsed="false">
      <c r="A383" s="138" t="s">
        <v>2042</v>
      </c>
      <c r="B383" s="138" t="n">
        <v>381</v>
      </c>
      <c r="C383" s="138" t="n">
        <v>382</v>
      </c>
      <c r="D383" s="138" t="n">
        <v>0</v>
      </c>
      <c r="E383" s="138" t="n">
        <v>0</v>
      </c>
    </row>
    <row r="384" customFormat="false" ht="15" hidden="false" customHeight="false" outlineLevel="0" collapsed="false">
      <c r="A384" s="138" t="s">
        <v>2043</v>
      </c>
      <c r="B384" s="138" t="n">
        <v>382</v>
      </c>
      <c r="C384" s="138" t="n">
        <v>383</v>
      </c>
      <c r="D384" s="138" t="n">
        <v>0</v>
      </c>
      <c r="E384" s="138" t="n">
        <v>0</v>
      </c>
    </row>
    <row r="385" customFormat="false" ht="15" hidden="false" customHeight="false" outlineLevel="0" collapsed="false">
      <c r="A385" s="138" t="s">
        <v>2044</v>
      </c>
      <c r="B385" s="138" t="n">
        <v>383</v>
      </c>
      <c r="C385" s="138" t="n">
        <v>384</v>
      </c>
      <c r="D385" s="138" t="n">
        <v>0</v>
      </c>
      <c r="E385" s="138" t="n">
        <v>0</v>
      </c>
    </row>
    <row r="386" customFormat="false" ht="15" hidden="false" customHeight="false" outlineLevel="0" collapsed="false">
      <c r="A386" s="138" t="s">
        <v>2045</v>
      </c>
      <c r="B386" s="138" t="n">
        <v>384</v>
      </c>
      <c r="C386" s="138" t="n">
        <v>385</v>
      </c>
      <c r="D386" s="138" t="n">
        <v>0</v>
      </c>
      <c r="E386" s="138" t="n">
        <v>0</v>
      </c>
    </row>
    <row r="387" customFormat="false" ht="15" hidden="false" customHeight="false" outlineLevel="0" collapsed="false">
      <c r="A387" s="138" t="s">
        <v>2046</v>
      </c>
      <c r="B387" s="138" t="n">
        <v>385</v>
      </c>
      <c r="C387" s="138" t="n">
        <v>386</v>
      </c>
      <c r="D387" s="138" t="n">
        <v>0</v>
      </c>
      <c r="E387" s="138" t="n">
        <v>0</v>
      </c>
    </row>
    <row r="388" customFormat="false" ht="15" hidden="false" customHeight="false" outlineLevel="0" collapsed="false">
      <c r="A388" s="138" t="s">
        <v>2047</v>
      </c>
      <c r="B388" s="138" t="n">
        <v>386</v>
      </c>
      <c r="C388" s="138" t="n">
        <v>387</v>
      </c>
      <c r="D388" s="138" t="n">
        <v>0</v>
      </c>
      <c r="E388" s="138" t="n">
        <v>0</v>
      </c>
    </row>
    <row r="389" customFormat="false" ht="15" hidden="false" customHeight="false" outlineLevel="0" collapsed="false">
      <c r="A389" s="138" t="s">
        <v>2048</v>
      </c>
      <c r="B389" s="138" t="n">
        <v>387</v>
      </c>
      <c r="C389" s="138" t="n">
        <v>388</v>
      </c>
      <c r="D389" s="138" t="n">
        <v>0</v>
      </c>
      <c r="E389" s="138" t="n">
        <v>0</v>
      </c>
    </row>
    <row r="390" customFormat="false" ht="15" hidden="false" customHeight="false" outlineLevel="0" collapsed="false">
      <c r="A390" s="138" t="s">
        <v>2049</v>
      </c>
      <c r="B390" s="138" t="n">
        <v>388</v>
      </c>
      <c r="C390" s="138" t="n">
        <v>389</v>
      </c>
      <c r="D390" s="138" t="n">
        <v>0</v>
      </c>
      <c r="E390" s="138" t="n">
        <v>0</v>
      </c>
    </row>
    <row r="391" customFormat="false" ht="15" hidden="false" customHeight="false" outlineLevel="0" collapsed="false">
      <c r="A391" s="138" t="s">
        <v>2050</v>
      </c>
      <c r="B391" s="138" t="n">
        <v>389</v>
      </c>
      <c r="C391" s="138" t="n">
        <v>390</v>
      </c>
      <c r="D391" s="138" t="n">
        <v>0</v>
      </c>
      <c r="E391" s="138" t="n">
        <v>0</v>
      </c>
    </row>
    <row r="392" customFormat="false" ht="15" hidden="false" customHeight="false" outlineLevel="0" collapsed="false">
      <c r="A392" s="138" t="s">
        <v>2051</v>
      </c>
      <c r="B392" s="138" t="n">
        <v>390</v>
      </c>
      <c r="C392" s="138" t="n">
        <v>391</v>
      </c>
      <c r="D392" s="138" t="n">
        <v>0</v>
      </c>
      <c r="E392" s="138" t="n">
        <v>0</v>
      </c>
    </row>
    <row r="393" customFormat="false" ht="15" hidden="false" customHeight="false" outlineLevel="0" collapsed="false">
      <c r="A393" s="138" t="s">
        <v>2052</v>
      </c>
      <c r="B393" s="138" t="n">
        <v>391</v>
      </c>
      <c r="C393" s="138" t="n">
        <v>392</v>
      </c>
      <c r="D393" s="138" t="n">
        <v>0</v>
      </c>
      <c r="E393" s="138" t="n">
        <v>0</v>
      </c>
    </row>
    <row r="394" customFormat="false" ht="15" hidden="false" customHeight="false" outlineLevel="0" collapsed="false">
      <c r="A394" s="138" t="s">
        <v>2053</v>
      </c>
      <c r="B394" s="138" t="n">
        <v>392</v>
      </c>
      <c r="C394" s="138" t="n">
        <v>393</v>
      </c>
      <c r="D394" s="138" t="n">
        <v>0</v>
      </c>
      <c r="E394" s="138" t="n">
        <v>0</v>
      </c>
    </row>
    <row r="395" customFormat="false" ht="15" hidden="false" customHeight="false" outlineLevel="0" collapsed="false">
      <c r="A395" s="138" t="s">
        <v>2055</v>
      </c>
      <c r="B395" s="138" t="n">
        <v>393</v>
      </c>
      <c r="C395" s="138" t="n">
        <v>394</v>
      </c>
      <c r="D395" s="138" t="n">
        <v>0</v>
      </c>
      <c r="E395" s="138" t="n">
        <v>0</v>
      </c>
    </row>
    <row r="396" customFormat="false" ht="15" hidden="false" customHeight="false" outlineLevel="0" collapsed="false">
      <c r="A396" s="138" t="s">
        <v>2056</v>
      </c>
      <c r="B396" s="138" t="n">
        <v>394</v>
      </c>
      <c r="C396" s="138" t="n">
        <v>395</v>
      </c>
      <c r="D396" s="138" t="n">
        <v>0</v>
      </c>
      <c r="E396" s="138" t="n">
        <v>0</v>
      </c>
    </row>
    <row r="397" customFormat="false" ht="15" hidden="false" customHeight="false" outlineLevel="0" collapsed="false">
      <c r="A397" s="138" t="s">
        <v>2057</v>
      </c>
      <c r="B397" s="138" t="n">
        <v>395</v>
      </c>
      <c r="C397" s="138" t="n">
        <v>396</v>
      </c>
      <c r="D397" s="138" t="n">
        <v>0</v>
      </c>
      <c r="E397" s="138" t="n">
        <v>0</v>
      </c>
    </row>
    <row r="398" customFormat="false" ht="15" hidden="false" customHeight="false" outlineLevel="0" collapsed="false">
      <c r="A398" s="138" t="s">
        <v>2058</v>
      </c>
      <c r="B398" s="138" t="n">
        <v>396</v>
      </c>
      <c r="C398" s="138" t="n">
        <v>397</v>
      </c>
      <c r="D398" s="138" t="n">
        <v>0</v>
      </c>
      <c r="E398" s="138" t="n">
        <v>0</v>
      </c>
    </row>
    <row r="399" customFormat="false" ht="15" hidden="false" customHeight="false" outlineLevel="0" collapsed="false">
      <c r="A399" s="138" t="s">
        <v>2059</v>
      </c>
      <c r="B399" s="138" t="n">
        <v>397</v>
      </c>
      <c r="C399" s="138" t="n">
        <v>398</v>
      </c>
      <c r="D399" s="138" t="n">
        <v>0</v>
      </c>
      <c r="E399" s="138" t="n">
        <v>0</v>
      </c>
    </row>
    <row r="400" customFormat="false" ht="15" hidden="false" customHeight="false" outlineLevel="0" collapsed="false">
      <c r="A400" s="138" t="s">
        <v>2061</v>
      </c>
      <c r="B400" s="138" t="n">
        <v>398</v>
      </c>
      <c r="C400" s="138" t="n">
        <v>399</v>
      </c>
      <c r="D400" s="138" t="n">
        <v>0</v>
      </c>
      <c r="E400" s="138" t="n">
        <v>0</v>
      </c>
    </row>
    <row r="401" customFormat="false" ht="15" hidden="false" customHeight="false" outlineLevel="0" collapsed="false">
      <c r="A401" s="138" t="s">
        <v>2063</v>
      </c>
      <c r="B401" s="138" t="n">
        <v>399</v>
      </c>
      <c r="C401" s="138" t="n">
        <v>400</v>
      </c>
      <c r="D401" s="138" t="n">
        <v>0</v>
      </c>
      <c r="E401" s="138" t="n">
        <v>0</v>
      </c>
    </row>
    <row r="402" customFormat="false" ht="15" hidden="false" customHeight="false" outlineLevel="0" collapsed="false">
      <c r="A402" s="138" t="s">
        <v>2064</v>
      </c>
      <c r="B402" s="138" t="n">
        <v>400</v>
      </c>
      <c r="C402" s="138" t="n">
        <v>401</v>
      </c>
      <c r="D402" s="138" t="n">
        <v>0</v>
      </c>
      <c r="E402" s="138" t="n">
        <v>0</v>
      </c>
    </row>
    <row r="403" customFormat="false" ht="15" hidden="false" customHeight="false" outlineLevel="0" collapsed="false">
      <c r="A403" s="138" t="s">
        <v>2065</v>
      </c>
      <c r="B403" s="138" t="n">
        <v>401</v>
      </c>
      <c r="C403" s="138" t="n">
        <v>402</v>
      </c>
      <c r="D403" s="138" t="n">
        <v>0</v>
      </c>
      <c r="E403" s="138" t="n">
        <v>0</v>
      </c>
    </row>
    <row r="404" customFormat="false" ht="15" hidden="false" customHeight="false" outlineLevel="0" collapsed="false">
      <c r="A404" s="138" t="s">
        <v>1579</v>
      </c>
      <c r="B404" s="138" t="n">
        <v>402</v>
      </c>
      <c r="C404" s="138" t="n">
        <v>403</v>
      </c>
      <c r="D404" s="138" t="n">
        <v>0</v>
      </c>
      <c r="E404" s="138" t="n">
        <v>0</v>
      </c>
    </row>
    <row r="405" customFormat="false" ht="15" hidden="false" customHeight="false" outlineLevel="0" collapsed="false">
      <c r="A405" s="138" t="s">
        <v>2066</v>
      </c>
      <c r="B405" s="138" t="n">
        <v>403</v>
      </c>
      <c r="C405" s="138" t="n">
        <v>404</v>
      </c>
      <c r="D405" s="138" t="n">
        <v>0</v>
      </c>
      <c r="E405" s="138" t="n">
        <v>0</v>
      </c>
    </row>
    <row r="406" customFormat="false" ht="15" hidden="false" customHeight="false" outlineLevel="0" collapsed="false">
      <c r="A406" s="138" t="s">
        <v>2067</v>
      </c>
      <c r="B406" s="138" t="n">
        <v>404</v>
      </c>
      <c r="C406" s="138" t="n">
        <v>405</v>
      </c>
      <c r="D406" s="138" t="n">
        <v>0</v>
      </c>
      <c r="E406" s="138" t="n">
        <v>0</v>
      </c>
    </row>
    <row r="407" customFormat="false" ht="15" hidden="false" customHeight="false" outlineLevel="0" collapsed="false">
      <c r="A407" s="138" t="s">
        <v>2068</v>
      </c>
      <c r="B407" s="138" t="n">
        <v>405</v>
      </c>
      <c r="C407" s="138" t="n">
        <v>406</v>
      </c>
      <c r="D407" s="138" t="n">
        <v>0</v>
      </c>
      <c r="E407" s="138" t="n">
        <v>0</v>
      </c>
    </row>
    <row r="408" customFormat="false" ht="15" hidden="false" customHeight="false" outlineLevel="0" collapsed="false">
      <c r="A408" s="138" t="s">
        <v>2069</v>
      </c>
      <c r="B408" s="138" t="n">
        <v>406</v>
      </c>
      <c r="C408" s="138" t="n">
        <v>407</v>
      </c>
      <c r="D408" s="138" t="n">
        <v>0</v>
      </c>
      <c r="E408" s="138" t="n">
        <v>0</v>
      </c>
    </row>
    <row r="409" customFormat="false" ht="15" hidden="false" customHeight="false" outlineLevel="0" collapsed="false">
      <c r="A409" s="138" t="s">
        <v>2070</v>
      </c>
      <c r="B409" s="138" t="n">
        <v>407</v>
      </c>
      <c r="C409" s="138" t="n">
        <v>408</v>
      </c>
      <c r="D409" s="138" t="n">
        <v>0</v>
      </c>
      <c r="E409" s="138" t="n">
        <v>0</v>
      </c>
    </row>
    <row r="410" customFormat="false" ht="15" hidden="false" customHeight="false" outlineLevel="0" collapsed="false">
      <c r="A410" s="138" t="s">
        <v>2071</v>
      </c>
      <c r="B410" s="138" t="n">
        <v>408</v>
      </c>
      <c r="C410" s="138" t="n">
        <v>409</v>
      </c>
      <c r="D410" s="138" t="n">
        <v>0</v>
      </c>
      <c r="E410" s="138" t="n">
        <v>0</v>
      </c>
    </row>
    <row r="411" customFormat="false" ht="15" hidden="false" customHeight="false" outlineLevel="0" collapsed="false">
      <c r="A411" s="138" t="s">
        <v>2072</v>
      </c>
      <c r="B411" s="138" t="n">
        <v>409</v>
      </c>
      <c r="C411" s="138" t="n">
        <v>410</v>
      </c>
      <c r="D411" s="138" t="n">
        <v>0</v>
      </c>
      <c r="E411" s="138" t="n">
        <v>0</v>
      </c>
    </row>
    <row r="412" customFormat="false" ht="15" hidden="false" customHeight="false" outlineLevel="0" collapsed="false">
      <c r="A412" s="138" t="s">
        <v>2073</v>
      </c>
      <c r="B412" s="138" t="n">
        <v>410</v>
      </c>
      <c r="C412" s="138" t="n">
        <v>411</v>
      </c>
      <c r="D412" s="138" t="n">
        <v>0</v>
      </c>
      <c r="E412" s="138" t="n">
        <v>0</v>
      </c>
    </row>
    <row r="413" customFormat="false" ht="15" hidden="false" customHeight="false" outlineLevel="0" collapsed="false">
      <c r="A413" s="138" t="s">
        <v>2074</v>
      </c>
      <c r="B413" s="138" t="n">
        <v>411</v>
      </c>
      <c r="C413" s="138" t="n">
        <v>412</v>
      </c>
      <c r="D413" s="138" t="n">
        <v>0</v>
      </c>
      <c r="E413" s="138" t="n">
        <v>16</v>
      </c>
    </row>
    <row r="414" customFormat="false" ht="15" hidden="false" customHeight="false" outlineLevel="0" collapsed="false">
      <c r="A414" s="138" t="s">
        <v>2075</v>
      </c>
      <c r="B414" s="138" t="n">
        <v>412</v>
      </c>
      <c r="C414" s="138" t="n">
        <v>413</v>
      </c>
      <c r="D414" s="138" t="n">
        <v>0</v>
      </c>
      <c r="E414" s="138" t="n">
        <v>20</v>
      </c>
    </row>
    <row r="415" customFormat="false" ht="15" hidden="false" customHeight="false" outlineLevel="0" collapsed="false">
      <c r="A415" s="138" t="s">
        <v>2076</v>
      </c>
      <c r="B415" s="138" t="n">
        <v>413</v>
      </c>
      <c r="C415" s="138" t="n">
        <v>414</v>
      </c>
      <c r="D415" s="138" t="n">
        <v>0</v>
      </c>
      <c r="E415" s="138" t="n">
        <v>5</v>
      </c>
    </row>
    <row r="416" customFormat="false" ht="15" hidden="false" customHeight="false" outlineLevel="0" collapsed="false">
      <c r="A416" s="138" t="s">
        <v>2077</v>
      </c>
      <c r="B416" s="138" t="n">
        <v>414</v>
      </c>
      <c r="C416" s="138" t="n">
        <v>415</v>
      </c>
      <c r="D416" s="138" t="n">
        <v>0</v>
      </c>
      <c r="E416" s="138" t="n">
        <v>0</v>
      </c>
    </row>
    <row r="417" customFormat="false" ht="15" hidden="false" customHeight="false" outlineLevel="0" collapsed="false">
      <c r="A417" s="138" t="s">
        <v>2078</v>
      </c>
      <c r="B417" s="138" t="n">
        <v>415</v>
      </c>
      <c r="C417" s="138" t="n">
        <v>416</v>
      </c>
      <c r="D417" s="138" t="n">
        <v>0</v>
      </c>
      <c r="E417" s="138" t="n">
        <v>0</v>
      </c>
    </row>
    <row r="418" customFormat="false" ht="15" hidden="false" customHeight="false" outlineLevel="0" collapsed="false">
      <c r="A418" s="138" t="s">
        <v>2079</v>
      </c>
      <c r="B418" s="138" t="n">
        <v>416</v>
      </c>
      <c r="C418" s="138" t="n">
        <v>417</v>
      </c>
      <c r="D418" s="138" t="n">
        <v>0</v>
      </c>
      <c r="E418" s="138" t="n">
        <v>0</v>
      </c>
    </row>
    <row r="419" customFormat="false" ht="15" hidden="false" customHeight="false" outlineLevel="0" collapsed="false">
      <c r="A419" s="138" t="s">
        <v>2080</v>
      </c>
      <c r="B419" s="138" t="n">
        <v>417</v>
      </c>
      <c r="C419" s="138" t="n">
        <v>418</v>
      </c>
      <c r="D419" s="138" t="n">
        <v>0</v>
      </c>
      <c r="E419" s="138" t="n">
        <v>0</v>
      </c>
    </row>
    <row r="420" customFormat="false" ht="15" hidden="false" customHeight="false" outlineLevel="0" collapsed="false">
      <c r="A420" s="138" t="s">
        <v>2081</v>
      </c>
      <c r="B420" s="138" t="n">
        <v>418</v>
      </c>
      <c r="C420" s="138" t="n">
        <v>419</v>
      </c>
      <c r="D420" s="138" t="n">
        <v>0</v>
      </c>
      <c r="E420" s="138" t="n">
        <v>0</v>
      </c>
    </row>
    <row r="421" customFormat="false" ht="15" hidden="false" customHeight="false" outlineLevel="0" collapsed="false">
      <c r="A421" s="138" t="s">
        <v>2082</v>
      </c>
      <c r="B421" s="138" t="n">
        <v>419</v>
      </c>
      <c r="C421" s="138" t="n">
        <v>420</v>
      </c>
      <c r="D421" s="138" t="n">
        <v>0</v>
      </c>
      <c r="E421" s="138" t="n">
        <v>0</v>
      </c>
    </row>
    <row r="422" customFormat="false" ht="15" hidden="false" customHeight="false" outlineLevel="0" collapsed="false">
      <c r="A422" s="138" t="s">
        <v>2084</v>
      </c>
      <c r="B422" s="138" t="n">
        <v>420</v>
      </c>
      <c r="C422" s="138" t="n">
        <v>421</v>
      </c>
      <c r="D422" s="138" t="n">
        <v>0</v>
      </c>
      <c r="E422" s="138" t="n">
        <v>0</v>
      </c>
    </row>
    <row r="423" customFormat="false" ht="15" hidden="false" customHeight="false" outlineLevel="0" collapsed="false">
      <c r="A423" s="138" t="s">
        <v>2085</v>
      </c>
      <c r="B423" s="138" t="n">
        <v>421</v>
      </c>
      <c r="C423" s="138" t="n">
        <v>422</v>
      </c>
      <c r="D423" s="138" t="n">
        <v>0</v>
      </c>
      <c r="E423" s="138" t="n">
        <v>0</v>
      </c>
    </row>
    <row r="424" customFormat="false" ht="15" hidden="false" customHeight="false" outlineLevel="0" collapsed="false">
      <c r="A424" s="138" t="s">
        <v>2086</v>
      </c>
      <c r="B424" s="138" t="n">
        <v>422</v>
      </c>
      <c r="C424" s="138" t="n">
        <v>423</v>
      </c>
      <c r="D424" s="138" t="n">
        <v>0</v>
      </c>
      <c r="E424" s="138" t="n">
        <v>0</v>
      </c>
    </row>
    <row r="425" customFormat="false" ht="15" hidden="false" customHeight="false" outlineLevel="0" collapsed="false">
      <c r="A425" s="138" t="s">
        <v>2087</v>
      </c>
      <c r="B425" s="138" t="n">
        <v>423</v>
      </c>
      <c r="C425" s="138" t="n">
        <v>424</v>
      </c>
      <c r="D425" s="138" t="n">
        <v>2</v>
      </c>
      <c r="E425" s="138" t="n">
        <v>0</v>
      </c>
    </row>
    <row r="426" customFormat="false" ht="15" hidden="false" customHeight="false" outlineLevel="0" collapsed="false">
      <c r="A426" s="138" t="s">
        <v>2088</v>
      </c>
      <c r="B426" s="138" t="n">
        <v>424</v>
      </c>
      <c r="C426" s="138" t="n">
        <v>425</v>
      </c>
      <c r="D426" s="138" t="n">
        <v>17</v>
      </c>
      <c r="E426" s="138" t="n">
        <v>11</v>
      </c>
    </row>
    <row r="427" customFormat="false" ht="15" hidden="false" customHeight="false" outlineLevel="0" collapsed="false">
      <c r="A427" s="138" t="s">
        <v>2089</v>
      </c>
      <c r="B427" s="138" t="n">
        <v>425</v>
      </c>
      <c r="C427" s="138" t="n">
        <v>426</v>
      </c>
      <c r="D427" s="138" t="n">
        <v>6</v>
      </c>
      <c r="E427" s="138" t="n">
        <v>20</v>
      </c>
    </row>
    <row r="428" customFormat="false" ht="15" hidden="false" customHeight="false" outlineLevel="0" collapsed="false">
      <c r="A428" s="138" t="s">
        <v>2090</v>
      </c>
      <c r="B428" s="138" t="n">
        <v>426</v>
      </c>
      <c r="C428" s="138" t="n">
        <v>427</v>
      </c>
      <c r="D428" s="138" t="n">
        <v>20</v>
      </c>
      <c r="E428" s="138" t="n">
        <v>20</v>
      </c>
    </row>
    <row r="429" customFormat="false" ht="15" hidden="false" customHeight="false" outlineLevel="0" collapsed="false">
      <c r="A429" s="138" t="s">
        <v>2091</v>
      </c>
      <c r="B429" s="138" t="n">
        <v>427</v>
      </c>
      <c r="C429" s="138" t="n">
        <v>428</v>
      </c>
      <c r="D429" s="138" t="n">
        <v>20</v>
      </c>
      <c r="E429" s="138" t="n">
        <v>20</v>
      </c>
    </row>
    <row r="430" customFormat="false" ht="15" hidden="false" customHeight="false" outlineLevel="0" collapsed="false">
      <c r="A430" s="138" t="s">
        <v>2092</v>
      </c>
      <c r="B430" s="138" t="n">
        <v>428</v>
      </c>
      <c r="C430" s="138" t="n">
        <v>429</v>
      </c>
      <c r="D430" s="138" t="n">
        <v>20</v>
      </c>
      <c r="E430" s="138" t="n">
        <v>20</v>
      </c>
    </row>
    <row r="431" customFormat="false" ht="15" hidden="false" customHeight="false" outlineLevel="0" collapsed="false">
      <c r="A431" s="138" t="s">
        <v>2093</v>
      </c>
      <c r="B431" s="138" t="n">
        <v>429</v>
      </c>
      <c r="C431" s="138" t="n">
        <v>430</v>
      </c>
      <c r="D431" s="138" t="n">
        <v>20</v>
      </c>
      <c r="E431" s="138" t="n">
        <v>20</v>
      </c>
    </row>
    <row r="432" customFormat="false" ht="15" hidden="false" customHeight="false" outlineLevel="0" collapsed="false">
      <c r="A432" s="138" t="s">
        <v>2094</v>
      </c>
      <c r="B432" s="138" t="n">
        <v>430</v>
      </c>
      <c r="C432" s="138" t="n">
        <v>431</v>
      </c>
      <c r="D432" s="138" t="n">
        <v>20</v>
      </c>
      <c r="E432" s="138" t="n">
        <v>20</v>
      </c>
    </row>
    <row r="433" customFormat="false" ht="15" hidden="false" customHeight="false" outlineLevel="0" collapsed="false">
      <c r="A433" s="138" t="s">
        <v>2095</v>
      </c>
      <c r="B433" s="138" t="n">
        <v>431</v>
      </c>
      <c r="C433" s="138" t="n">
        <v>432</v>
      </c>
      <c r="D433" s="138" t="n">
        <v>20</v>
      </c>
      <c r="E433" s="138" t="n">
        <v>20</v>
      </c>
    </row>
    <row r="434" customFormat="false" ht="15" hidden="false" customHeight="false" outlineLevel="0" collapsed="false">
      <c r="A434" s="138" t="s">
        <v>2096</v>
      </c>
      <c r="B434" s="138" t="n">
        <v>432</v>
      </c>
      <c r="C434" s="138" t="n">
        <v>433</v>
      </c>
      <c r="D434" s="138" t="n">
        <v>20</v>
      </c>
      <c r="E434" s="138" t="n">
        <v>20</v>
      </c>
    </row>
    <row r="435" customFormat="false" ht="15" hidden="false" customHeight="false" outlineLevel="0" collapsed="false">
      <c r="A435" s="138" t="s">
        <v>2097</v>
      </c>
      <c r="B435" s="138" t="n">
        <v>433</v>
      </c>
      <c r="C435" s="138" t="n">
        <v>434</v>
      </c>
      <c r="D435" s="138" t="n">
        <v>20</v>
      </c>
      <c r="E435" s="138" t="n">
        <v>20</v>
      </c>
    </row>
    <row r="436" customFormat="false" ht="15" hidden="false" customHeight="false" outlineLevel="0" collapsed="false">
      <c r="A436" s="138" t="s">
        <v>2098</v>
      </c>
      <c r="B436" s="138" t="n">
        <v>434</v>
      </c>
      <c r="C436" s="138" t="n">
        <v>435</v>
      </c>
      <c r="D436" s="138" t="n">
        <v>20</v>
      </c>
      <c r="E436" s="138" t="n">
        <v>20</v>
      </c>
    </row>
    <row r="437" customFormat="false" ht="15" hidden="false" customHeight="false" outlineLevel="0" collapsed="false">
      <c r="A437" s="138" t="s">
        <v>2099</v>
      </c>
      <c r="B437" s="138" t="n">
        <v>435</v>
      </c>
      <c r="C437" s="138" t="n">
        <v>436</v>
      </c>
      <c r="D437" s="138" t="n">
        <v>20</v>
      </c>
      <c r="E437" s="138" t="n">
        <v>20</v>
      </c>
    </row>
    <row r="438" customFormat="false" ht="15" hidden="false" customHeight="false" outlineLevel="0" collapsed="false">
      <c r="A438" s="138" t="s">
        <v>2100</v>
      </c>
      <c r="B438" s="138" t="n">
        <v>436</v>
      </c>
      <c r="C438" s="138" t="n">
        <v>437</v>
      </c>
      <c r="D438" s="138" t="n">
        <v>20</v>
      </c>
      <c r="E438" s="138" t="n">
        <v>20</v>
      </c>
    </row>
    <row r="439" customFormat="false" ht="15" hidden="false" customHeight="false" outlineLevel="0" collapsed="false">
      <c r="A439" s="138" t="s">
        <v>2101</v>
      </c>
      <c r="B439" s="138" t="n">
        <v>437</v>
      </c>
      <c r="C439" s="138" t="n">
        <v>438</v>
      </c>
      <c r="D439" s="138" t="n">
        <v>18</v>
      </c>
      <c r="E439" s="138" t="n">
        <v>20</v>
      </c>
    </row>
    <row r="440" customFormat="false" ht="15" hidden="false" customHeight="false" outlineLevel="0" collapsed="false">
      <c r="A440" s="138" t="s">
        <v>2102</v>
      </c>
      <c r="B440" s="138" t="n">
        <v>438</v>
      </c>
      <c r="C440" s="138" t="n">
        <v>439</v>
      </c>
      <c r="D440" s="138" t="n">
        <v>9</v>
      </c>
      <c r="E440" s="138" t="n">
        <v>20</v>
      </c>
    </row>
    <row r="441" customFormat="false" ht="15" hidden="false" customHeight="false" outlineLevel="0" collapsed="false">
      <c r="A441" s="138" t="s">
        <v>2103</v>
      </c>
      <c r="B441" s="138" t="n">
        <v>439</v>
      </c>
      <c r="C441" s="138" t="n">
        <v>440</v>
      </c>
      <c r="D441" s="138" t="n">
        <v>17</v>
      </c>
      <c r="E441" s="138" t="n">
        <v>20</v>
      </c>
    </row>
    <row r="442" customFormat="false" ht="15" hidden="false" customHeight="false" outlineLevel="0" collapsed="false">
      <c r="A442" s="138" t="s">
        <v>2104</v>
      </c>
      <c r="B442" s="138" t="n">
        <v>440</v>
      </c>
      <c r="C442" s="138" t="n">
        <v>441</v>
      </c>
      <c r="D442" s="138" t="n">
        <v>20</v>
      </c>
      <c r="E442" s="138" t="n">
        <v>20</v>
      </c>
    </row>
    <row r="443" customFormat="false" ht="15" hidden="false" customHeight="false" outlineLevel="0" collapsed="false">
      <c r="A443" s="138" t="s">
        <v>2105</v>
      </c>
      <c r="B443" s="138" t="n">
        <v>441</v>
      </c>
      <c r="C443" s="138" t="n">
        <v>442</v>
      </c>
      <c r="D443" s="138" t="n">
        <v>20</v>
      </c>
      <c r="E443" s="138" t="n">
        <v>20</v>
      </c>
    </row>
    <row r="444" customFormat="false" ht="15" hidden="false" customHeight="false" outlineLevel="0" collapsed="false">
      <c r="A444" s="138" t="s">
        <v>2106</v>
      </c>
      <c r="B444" s="138" t="n">
        <v>442</v>
      </c>
      <c r="C444" s="138" t="n">
        <v>443</v>
      </c>
      <c r="D444" s="138" t="n">
        <v>20</v>
      </c>
      <c r="E444" s="138" t="n">
        <v>20</v>
      </c>
    </row>
    <row r="445" customFormat="false" ht="15" hidden="false" customHeight="false" outlineLevel="0" collapsed="false">
      <c r="A445" s="138" t="s">
        <v>2107</v>
      </c>
      <c r="B445" s="138" t="n">
        <v>443</v>
      </c>
      <c r="C445" s="138" t="n">
        <v>444</v>
      </c>
      <c r="D445" s="138" t="n">
        <v>20</v>
      </c>
      <c r="E445" s="138" t="n">
        <v>20</v>
      </c>
    </row>
    <row r="446" customFormat="false" ht="15" hidden="false" customHeight="false" outlineLevel="0" collapsed="false">
      <c r="A446" s="138" t="s">
        <v>2108</v>
      </c>
      <c r="B446" s="138" t="n">
        <v>444</v>
      </c>
      <c r="C446" s="138" t="n">
        <v>445</v>
      </c>
      <c r="D446" s="138" t="n">
        <v>20</v>
      </c>
      <c r="E446" s="138" t="n">
        <v>20</v>
      </c>
    </row>
    <row r="447" customFormat="false" ht="15" hidden="false" customHeight="false" outlineLevel="0" collapsed="false">
      <c r="A447" s="138" t="s">
        <v>2109</v>
      </c>
      <c r="B447" s="138" t="n">
        <v>445</v>
      </c>
      <c r="C447" s="138" t="n">
        <v>446</v>
      </c>
      <c r="D447" s="138" t="n">
        <v>20</v>
      </c>
      <c r="E447" s="138" t="n">
        <v>20</v>
      </c>
    </row>
    <row r="448" customFormat="false" ht="15" hidden="false" customHeight="false" outlineLevel="0" collapsed="false">
      <c r="A448" s="138" t="s">
        <v>2110</v>
      </c>
      <c r="B448" s="138" t="n">
        <v>446</v>
      </c>
      <c r="C448" s="138" t="n">
        <v>447</v>
      </c>
      <c r="D448" s="138" t="n">
        <v>20</v>
      </c>
      <c r="E448" s="138" t="n">
        <v>20</v>
      </c>
    </row>
    <row r="449" customFormat="false" ht="15" hidden="false" customHeight="false" outlineLevel="0" collapsed="false">
      <c r="A449" s="138" t="s">
        <v>2111</v>
      </c>
      <c r="B449" s="138" t="n">
        <v>447</v>
      </c>
      <c r="C449" s="138" t="n">
        <v>448</v>
      </c>
      <c r="D449" s="138" t="n">
        <v>17</v>
      </c>
      <c r="E449" s="138" t="n">
        <v>20</v>
      </c>
    </row>
    <row r="450" customFormat="false" ht="15" hidden="false" customHeight="false" outlineLevel="0" collapsed="false">
      <c r="A450" s="138" t="s">
        <v>2112</v>
      </c>
      <c r="B450" s="138" t="n">
        <v>448</v>
      </c>
      <c r="C450" s="138" t="n">
        <v>449</v>
      </c>
      <c r="D450" s="138" t="n">
        <v>4</v>
      </c>
      <c r="E450" s="138" t="n">
        <v>20</v>
      </c>
    </row>
    <row r="451" customFormat="false" ht="15" hidden="false" customHeight="false" outlineLevel="0" collapsed="false">
      <c r="A451" s="138" t="s">
        <v>2113</v>
      </c>
      <c r="B451" s="138" t="n">
        <v>449</v>
      </c>
      <c r="C451" s="138" t="n">
        <v>450</v>
      </c>
      <c r="D451" s="138" t="n">
        <v>0</v>
      </c>
      <c r="E451" s="138" t="n">
        <v>20</v>
      </c>
    </row>
    <row r="452" customFormat="false" ht="15" hidden="false" customHeight="false" outlineLevel="0" collapsed="false">
      <c r="A452" s="138" t="s">
        <v>2114</v>
      </c>
      <c r="B452" s="138" t="n">
        <v>450</v>
      </c>
      <c r="C452" s="138" t="n">
        <v>451</v>
      </c>
      <c r="D452" s="138" t="n">
        <v>0</v>
      </c>
      <c r="E452" s="138" t="n">
        <v>20</v>
      </c>
    </row>
    <row r="453" customFormat="false" ht="15" hidden="false" customHeight="false" outlineLevel="0" collapsed="false">
      <c r="A453" s="138" t="s">
        <v>2115</v>
      </c>
      <c r="B453" s="138" t="n">
        <v>451</v>
      </c>
      <c r="C453" s="138" t="n">
        <v>452</v>
      </c>
      <c r="D453" s="138" t="n">
        <v>0</v>
      </c>
      <c r="E453" s="138" t="n">
        <v>11</v>
      </c>
    </row>
    <row r="454" customFormat="false" ht="15" hidden="false" customHeight="false" outlineLevel="0" collapsed="false">
      <c r="A454" s="138" t="s">
        <v>2116</v>
      </c>
      <c r="B454" s="138" t="n">
        <v>452</v>
      </c>
      <c r="C454" s="138" t="n">
        <v>453</v>
      </c>
      <c r="D454" s="138" t="n">
        <v>0</v>
      </c>
      <c r="E454" s="138" t="n">
        <v>0</v>
      </c>
    </row>
    <row r="455" customFormat="false" ht="15" hidden="false" customHeight="false" outlineLevel="0" collapsed="false">
      <c r="A455" s="138" t="s">
        <v>2117</v>
      </c>
      <c r="B455" s="138" t="n">
        <v>453</v>
      </c>
      <c r="C455" s="138" t="n">
        <v>454</v>
      </c>
      <c r="D455" s="138" t="n">
        <v>0</v>
      </c>
      <c r="E455" s="138" t="n">
        <v>0</v>
      </c>
    </row>
    <row r="456" customFormat="false" ht="15" hidden="false" customHeight="false" outlineLevel="0" collapsed="false">
      <c r="A456" s="138" t="s">
        <v>2118</v>
      </c>
      <c r="B456" s="138" t="n">
        <v>454</v>
      </c>
      <c r="C456" s="138" t="n">
        <v>455</v>
      </c>
      <c r="D456" s="138" t="n">
        <v>0</v>
      </c>
      <c r="E456" s="138" t="n">
        <v>0</v>
      </c>
    </row>
    <row r="457" customFormat="false" ht="15" hidden="false" customHeight="false" outlineLevel="0" collapsed="false">
      <c r="A457" s="138" t="s">
        <v>2119</v>
      </c>
      <c r="B457" s="138" t="n">
        <v>455</v>
      </c>
      <c r="C457" s="138" t="n">
        <v>456</v>
      </c>
      <c r="D457" s="138" t="n">
        <v>0</v>
      </c>
      <c r="E457" s="138" t="n">
        <v>0</v>
      </c>
    </row>
    <row r="458" customFormat="false" ht="15" hidden="false" customHeight="false" outlineLevel="0" collapsed="false">
      <c r="A458" s="138" t="s">
        <v>2121</v>
      </c>
      <c r="B458" s="138" t="n">
        <v>456</v>
      </c>
      <c r="C458" s="138" t="n">
        <v>457</v>
      </c>
      <c r="D458" s="138" t="n">
        <v>0</v>
      </c>
      <c r="E458" s="138" t="n">
        <v>0</v>
      </c>
    </row>
    <row r="459" customFormat="false" ht="15" hidden="false" customHeight="false" outlineLevel="0" collapsed="false">
      <c r="A459" s="138" t="s">
        <v>2122</v>
      </c>
      <c r="B459" s="138" t="n">
        <v>457</v>
      </c>
      <c r="C459" s="138" t="n">
        <v>458</v>
      </c>
      <c r="D459" s="138" t="n">
        <v>0</v>
      </c>
      <c r="E459" s="138" t="n">
        <v>0</v>
      </c>
    </row>
    <row r="460" customFormat="false" ht="15" hidden="false" customHeight="false" outlineLevel="0" collapsed="false">
      <c r="A460" s="138" t="s">
        <v>2123</v>
      </c>
      <c r="B460" s="138" t="n">
        <v>458</v>
      </c>
      <c r="C460" s="138" t="n">
        <v>459</v>
      </c>
      <c r="D460" s="138" t="n">
        <v>0</v>
      </c>
      <c r="E460" s="138" t="n">
        <v>0</v>
      </c>
    </row>
    <row r="461" customFormat="false" ht="15" hidden="false" customHeight="false" outlineLevel="0" collapsed="false">
      <c r="A461" s="138" t="s">
        <v>2124</v>
      </c>
      <c r="B461" s="138" t="n">
        <v>459</v>
      </c>
      <c r="C461" s="138" t="n">
        <v>460</v>
      </c>
      <c r="D461" s="138" t="n">
        <v>0</v>
      </c>
      <c r="E461" s="138" t="n">
        <v>0</v>
      </c>
    </row>
    <row r="462" customFormat="false" ht="15" hidden="false" customHeight="false" outlineLevel="0" collapsed="false">
      <c r="A462" s="138" t="s">
        <v>2125</v>
      </c>
      <c r="B462" s="138" t="n">
        <v>460</v>
      </c>
      <c r="C462" s="138" t="n">
        <v>461</v>
      </c>
      <c r="D462" s="138" t="n">
        <v>0</v>
      </c>
      <c r="E462" s="138" t="n">
        <v>0</v>
      </c>
    </row>
    <row r="463" customFormat="false" ht="15" hidden="false" customHeight="false" outlineLevel="0" collapsed="false">
      <c r="A463" s="138" t="s">
        <v>2127</v>
      </c>
      <c r="B463" s="138" t="n">
        <v>461</v>
      </c>
      <c r="C463" s="138" t="n">
        <v>462</v>
      </c>
      <c r="D463" s="138" t="n">
        <v>0</v>
      </c>
      <c r="E463" s="138" t="n">
        <v>0</v>
      </c>
    </row>
    <row r="464" customFormat="false" ht="15" hidden="false" customHeight="false" outlineLevel="0" collapsed="false">
      <c r="A464" s="138" t="s">
        <v>2128</v>
      </c>
      <c r="B464" s="138" t="n">
        <v>462</v>
      </c>
      <c r="C464" s="138" t="n">
        <v>463</v>
      </c>
      <c r="D464" s="138" t="n">
        <v>0</v>
      </c>
      <c r="E464" s="138" t="n">
        <v>0</v>
      </c>
    </row>
    <row r="465" customFormat="false" ht="15" hidden="false" customHeight="false" outlineLevel="0" collapsed="false">
      <c r="A465" s="138" t="s">
        <v>2129</v>
      </c>
      <c r="B465" s="138" t="n">
        <v>463</v>
      </c>
      <c r="C465" s="138" t="n">
        <v>464</v>
      </c>
      <c r="D465" s="138" t="n">
        <v>0</v>
      </c>
      <c r="E465" s="138" t="n">
        <v>0</v>
      </c>
    </row>
    <row r="466" customFormat="false" ht="15" hidden="false" customHeight="false" outlineLevel="0" collapsed="false">
      <c r="A466" s="138" t="s">
        <v>2130</v>
      </c>
      <c r="B466" s="138" t="n">
        <v>464</v>
      </c>
      <c r="C466" s="138" t="n">
        <v>465</v>
      </c>
      <c r="D466" s="138" t="n">
        <v>0</v>
      </c>
      <c r="E466" s="138" t="n">
        <v>0</v>
      </c>
    </row>
    <row r="467" customFormat="false" ht="15" hidden="false" customHeight="false" outlineLevel="0" collapsed="false">
      <c r="A467" s="138" t="s">
        <v>2131</v>
      </c>
      <c r="B467" s="138" t="n">
        <v>465</v>
      </c>
      <c r="C467" s="138" t="n">
        <v>466</v>
      </c>
      <c r="D467" s="138" t="n">
        <v>0</v>
      </c>
      <c r="E467" s="138" t="n">
        <v>0</v>
      </c>
    </row>
    <row r="468" customFormat="false" ht="15" hidden="false" customHeight="false" outlineLevel="0" collapsed="false">
      <c r="A468" s="138" t="s">
        <v>2133</v>
      </c>
      <c r="B468" s="138" t="n">
        <v>466</v>
      </c>
      <c r="C468" s="138" t="n">
        <v>467</v>
      </c>
      <c r="D468" s="138" t="n">
        <v>0</v>
      </c>
      <c r="E468" s="138" t="n">
        <v>0</v>
      </c>
    </row>
    <row r="469" customFormat="false" ht="15" hidden="false" customHeight="false" outlineLevel="0" collapsed="false">
      <c r="A469" s="138" t="s">
        <v>2135</v>
      </c>
      <c r="B469" s="138" t="n">
        <v>467</v>
      </c>
      <c r="C469" s="138" t="n">
        <v>468</v>
      </c>
      <c r="D469" s="138" t="n">
        <v>0</v>
      </c>
      <c r="E469" s="138" t="n">
        <v>5</v>
      </c>
    </row>
    <row r="470" customFormat="false" ht="15" hidden="false" customHeight="false" outlineLevel="0" collapsed="false">
      <c r="A470" s="138" t="s">
        <v>2136</v>
      </c>
      <c r="B470" s="138" t="n">
        <v>468</v>
      </c>
      <c r="C470" s="138" t="n">
        <v>469</v>
      </c>
      <c r="D470" s="138" t="n">
        <v>0</v>
      </c>
      <c r="E470" s="138" t="n">
        <v>19</v>
      </c>
    </row>
    <row r="471" customFormat="false" ht="15" hidden="false" customHeight="false" outlineLevel="0" collapsed="false">
      <c r="A471" s="138" t="s">
        <v>2137</v>
      </c>
      <c r="B471" s="138" t="n">
        <v>469</v>
      </c>
      <c r="C471" s="138" t="n">
        <v>470</v>
      </c>
      <c r="D471" s="138" t="n">
        <v>0</v>
      </c>
      <c r="E471" s="138" t="n">
        <v>20</v>
      </c>
    </row>
    <row r="472" customFormat="false" ht="15" hidden="false" customHeight="false" outlineLevel="0" collapsed="false">
      <c r="A472" s="138" t="s">
        <v>2138</v>
      </c>
      <c r="B472" s="138" t="n">
        <v>470</v>
      </c>
      <c r="C472" s="138" t="n">
        <v>471</v>
      </c>
      <c r="D472" s="138" t="n">
        <v>0</v>
      </c>
      <c r="E472" s="138" t="n">
        <v>20</v>
      </c>
    </row>
    <row r="473" customFormat="false" ht="15" hidden="false" customHeight="false" outlineLevel="0" collapsed="false">
      <c r="A473" s="138" t="s">
        <v>2139</v>
      </c>
      <c r="B473" s="138" t="n">
        <v>471</v>
      </c>
      <c r="C473" s="138" t="n">
        <v>472</v>
      </c>
      <c r="D473" s="138" t="n">
        <v>0</v>
      </c>
      <c r="E473" s="138" t="n">
        <v>15</v>
      </c>
    </row>
    <row r="474" customFormat="false" ht="15" hidden="false" customHeight="false" outlineLevel="0" collapsed="false">
      <c r="A474" s="138" t="s">
        <v>2140</v>
      </c>
      <c r="B474" s="138" t="n">
        <v>472</v>
      </c>
      <c r="C474" s="138" t="n">
        <v>473</v>
      </c>
      <c r="D474" s="138" t="n">
        <v>0</v>
      </c>
      <c r="E474" s="138" t="n">
        <v>12</v>
      </c>
    </row>
    <row r="475" customFormat="false" ht="15" hidden="false" customHeight="false" outlineLevel="0" collapsed="false">
      <c r="A475" s="138" t="s">
        <v>2141</v>
      </c>
      <c r="B475" s="138" t="n">
        <v>473</v>
      </c>
      <c r="C475" s="138" t="n">
        <v>474</v>
      </c>
      <c r="D475" s="138" t="n">
        <v>0</v>
      </c>
      <c r="E475" s="138" t="n">
        <v>20</v>
      </c>
    </row>
    <row r="476" customFormat="false" ht="15" hidden="false" customHeight="false" outlineLevel="0" collapsed="false">
      <c r="A476" s="138" t="s">
        <v>2142</v>
      </c>
      <c r="B476" s="138" t="n">
        <v>474</v>
      </c>
      <c r="C476" s="138" t="n">
        <v>475</v>
      </c>
      <c r="D476" s="138" t="n">
        <v>0</v>
      </c>
      <c r="E476" s="138" t="n">
        <v>20</v>
      </c>
    </row>
    <row r="477" customFormat="false" ht="15" hidden="false" customHeight="false" outlineLevel="0" collapsed="false">
      <c r="A477" s="138" t="s">
        <v>2143</v>
      </c>
      <c r="B477" s="138" t="n">
        <v>475</v>
      </c>
      <c r="C477" s="138" t="n">
        <v>476</v>
      </c>
      <c r="D477" s="138" t="n">
        <v>0</v>
      </c>
      <c r="E477" s="138" t="n">
        <v>20</v>
      </c>
    </row>
    <row r="478" customFormat="false" ht="15" hidden="false" customHeight="false" outlineLevel="0" collapsed="false">
      <c r="A478" s="138" t="s">
        <v>2144</v>
      </c>
      <c r="B478" s="138" t="n">
        <v>476</v>
      </c>
      <c r="C478" s="138" t="n">
        <v>477</v>
      </c>
      <c r="D478" s="138" t="n">
        <v>0</v>
      </c>
      <c r="E478" s="138" t="n">
        <v>20</v>
      </c>
    </row>
    <row r="479" customFormat="false" ht="15" hidden="false" customHeight="false" outlineLevel="0" collapsed="false">
      <c r="A479" s="138" t="s">
        <v>2146</v>
      </c>
      <c r="B479" s="138" t="n">
        <v>477</v>
      </c>
      <c r="C479" s="138" t="n">
        <v>478</v>
      </c>
      <c r="D479" s="138" t="n">
        <v>0</v>
      </c>
      <c r="E479" s="138" t="n">
        <v>20</v>
      </c>
    </row>
    <row r="480" customFormat="false" ht="15" hidden="false" customHeight="false" outlineLevel="0" collapsed="false">
      <c r="A480" s="138" t="s">
        <v>2147</v>
      </c>
      <c r="B480" s="138" t="n">
        <v>478</v>
      </c>
      <c r="C480" s="138" t="n">
        <v>479</v>
      </c>
      <c r="D480" s="138" t="n">
        <v>0</v>
      </c>
      <c r="E480" s="138" t="n">
        <v>12</v>
      </c>
    </row>
    <row r="481" customFormat="false" ht="15" hidden="false" customHeight="false" outlineLevel="0" collapsed="false">
      <c r="A481" s="138" t="s">
        <v>2148</v>
      </c>
      <c r="B481" s="138" t="n">
        <v>479</v>
      </c>
      <c r="C481" s="138" t="n">
        <v>480</v>
      </c>
      <c r="D481" s="138" t="n">
        <v>0</v>
      </c>
      <c r="E481" s="138" t="n">
        <v>0</v>
      </c>
    </row>
    <row r="482" customFormat="false" ht="15" hidden="false" customHeight="false" outlineLevel="0" collapsed="false">
      <c r="A482" s="138" t="s">
        <v>2149</v>
      </c>
      <c r="B482" s="138" t="n">
        <v>480</v>
      </c>
      <c r="C482" s="138" t="n">
        <v>481</v>
      </c>
      <c r="D482" s="138" t="n">
        <v>0</v>
      </c>
      <c r="E482" s="138" t="n">
        <v>0</v>
      </c>
    </row>
    <row r="483" customFormat="false" ht="15" hidden="false" customHeight="false" outlineLevel="0" collapsed="false">
      <c r="A483" s="138" t="s">
        <v>2150</v>
      </c>
      <c r="B483" s="138" t="n">
        <v>481</v>
      </c>
      <c r="C483" s="138" t="n">
        <v>482</v>
      </c>
      <c r="D483" s="138" t="n">
        <v>0</v>
      </c>
      <c r="E483" s="138" t="n">
        <v>0</v>
      </c>
    </row>
    <row r="484" customFormat="false" ht="15" hidden="false" customHeight="false" outlineLevel="0" collapsed="false">
      <c r="A484" s="138" t="s">
        <v>2151</v>
      </c>
      <c r="B484" s="138" t="n">
        <v>482</v>
      </c>
      <c r="C484" s="138" t="n">
        <v>483</v>
      </c>
      <c r="D484" s="138" t="n">
        <v>0</v>
      </c>
      <c r="E484" s="138" t="n">
        <v>0</v>
      </c>
    </row>
    <row r="485" customFormat="false" ht="15" hidden="false" customHeight="false" outlineLevel="0" collapsed="false">
      <c r="A485" s="138" t="s">
        <v>2152</v>
      </c>
      <c r="B485" s="138" t="n">
        <v>483</v>
      </c>
      <c r="C485" s="138" t="n">
        <v>484</v>
      </c>
      <c r="D485" s="138" t="n">
        <v>0</v>
      </c>
      <c r="E485" s="138" t="n">
        <v>0</v>
      </c>
    </row>
    <row r="486" customFormat="false" ht="15" hidden="false" customHeight="false" outlineLevel="0" collapsed="false">
      <c r="A486" s="138" t="s">
        <v>2153</v>
      </c>
      <c r="B486" s="138" t="n">
        <v>484</v>
      </c>
      <c r="C486" s="138" t="n">
        <v>485</v>
      </c>
      <c r="D486" s="138" t="n">
        <v>0</v>
      </c>
      <c r="E486" s="138" t="n">
        <v>0</v>
      </c>
    </row>
    <row r="487" customFormat="false" ht="15" hidden="false" customHeight="false" outlineLevel="0" collapsed="false">
      <c r="A487" s="138" t="s">
        <v>2155</v>
      </c>
      <c r="B487" s="138" t="n">
        <v>485</v>
      </c>
      <c r="C487" s="138" t="n">
        <v>486</v>
      </c>
      <c r="D487" s="138" t="n">
        <v>0</v>
      </c>
      <c r="E487" s="138" t="n">
        <v>0</v>
      </c>
    </row>
    <row r="488" customFormat="false" ht="15" hidden="false" customHeight="false" outlineLevel="0" collapsed="false">
      <c r="A488" s="138" t="s">
        <v>2156</v>
      </c>
      <c r="B488" s="138" t="n">
        <v>486</v>
      </c>
      <c r="C488" s="138" t="n">
        <v>487</v>
      </c>
      <c r="D488" s="138" t="n">
        <v>4</v>
      </c>
      <c r="E488" s="138" t="n">
        <v>0</v>
      </c>
    </row>
    <row r="489" customFormat="false" ht="15" hidden="false" customHeight="false" outlineLevel="0" collapsed="false">
      <c r="A489" s="138" t="s">
        <v>2157</v>
      </c>
      <c r="B489" s="138" t="n">
        <v>487</v>
      </c>
      <c r="C489" s="138" t="n">
        <v>488</v>
      </c>
      <c r="D489" s="138" t="n">
        <v>17</v>
      </c>
      <c r="E489" s="138" t="n">
        <v>0</v>
      </c>
    </row>
    <row r="490" customFormat="false" ht="15" hidden="false" customHeight="false" outlineLevel="0" collapsed="false">
      <c r="A490" s="138" t="s">
        <v>2158</v>
      </c>
      <c r="B490" s="138" t="n">
        <v>488</v>
      </c>
      <c r="C490" s="138" t="n">
        <v>489</v>
      </c>
      <c r="D490" s="138" t="n">
        <v>20</v>
      </c>
      <c r="E490" s="138" t="n">
        <v>0</v>
      </c>
    </row>
    <row r="491" customFormat="false" ht="15" hidden="false" customHeight="false" outlineLevel="0" collapsed="false">
      <c r="A491" s="138" t="s">
        <v>2159</v>
      </c>
      <c r="B491" s="138" t="n">
        <v>489</v>
      </c>
      <c r="C491" s="138" t="n">
        <v>490</v>
      </c>
      <c r="D491" s="138" t="n">
        <v>20</v>
      </c>
      <c r="E491" s="138" t="n">
        <v>0</v>
      </c>
    </row>
    <row r="492" customFormat="false" ht="15" hidden="false" customHeight="false" outlineLevel="0" collapsed="false">
      <c r="A492" s="138" t="s">
        <v>2160</v>
      </c>
      <c r="B492" s="138" t="n">
        <v>490</v>
      </c>
      <c r="C492" s="138" t="n">
        <v>491</v>
      </c>
      <c r="D492" s="138" t="n">
        <v>20</v>
      </c>
      <c r="E492" s="138" t="n">
        <v>0</v>
      </c>
    </row>
    <row r="493" customFormat="false" ht="15" hidden="false" customHeight="false" outlineLevel="0" collapsed="false">
      <c r="A493" s="138" t="s">
        <v>2161</v>
      </c>
      <c r="B493" s="138" t="n">
        <v>491</v>
      </c>
      <c r="C493" s="138" t="n">
        <v>492</v>
      </c>
      <c r="D493" s="138" t="n">
        <v>20</v>
      </c>
      <c r="E493" s="138" t="n">
        <v>0</v>
      </c>
    </row>
    <row r="494" customFormat="false" ht="15" hidden="false" customHeight="false" outlineLevel="0" collapsed="false">
      <c r="A494" s="138" t="s">
        <v>1585</v>
      </c>
      <c r="B494" s="138" t="n">
        <v>492</v>
      </c>
      <c r="C494" s="138" t="n">
        <v>493</v>
      </c>
      <c r="D494" s="138" t="n">
        <v>20</v>
      </c>
      <c r="E494" s="138" t="n">
        <v>0</v>
      </c>
    </row>
    <row r="495" customFormat="false" ht="15" hidden="false" customHeight="false" outlineLevel="0" collapsed="false">
      <c r="A495" s="138" t="s">
        <v>2162</v>
      </c>
      <c r="B495" s="138" t="n">
        <v>493</v>
      </c>
      <c r="C495" s="138" t="n">
        <v>494</v>
      </c>
      <c r="D495" s="138" t="n">
        <v>20</v>
      </c>
      <c r="E495" s="138" t="n">
        <v>0</v>
      </c>
    </row>
    <row r="496" customFormat="false" ht="15" hidden="false" customHeight="false" outlineLevel="0" collapsed="false">
      <c r="A496" s="138" t="s">
        <v>2163</v>
      </c>
      <c r="B496" s="138" t="n">
        <v>494</v>
      </c>
      <c r="C496" s="138" t="n">
        <v>495</v>
      </c>
      <c r="D496" s="138" t="n">
        <v>20</v>
      </c>
      <c r="E496" s="138" t="n">
        <v>0</v>
      </c>
    </row>
    <row r="497" customFormat="false" ht="15" hidden="false" customHeight="false" outlineLevel="0" collapsed="false">
      <c r="A497" s="138" t="s">
        <v>2164</v>
      </c>
      <c r="B497" s="138" t="n">
        <v>495</v>
      </c>
      <c r="C497" s="138" t="n">
        <v>496</v>
      </c>
      <c r="D497" s="138" t="n">
        <v>20</v>
      </c>
      <c r="E497" s="138" t="n">
        <v>0</v>
      </c>
    </row>
    <row r="498" customFormat="false" ht="15" hidden="false" customHeight="false" outlineLevel="0" collapsed="false">
      <c r="A498" s="138" t="s">
        <v>1589</v>
      </c>
      <c r="B498" s="138" t="n">
        <v>496</v>
      </c>
      <c r="C498" s="138" t="n">
        <v>497</v>
      </c>
      <c r="D498" s="138" t="n">
        <v>12</v>
      </c>
      <c r="E498" s="138" t="n">
        <v>6</v>
      </c>
    </row>
    <row r="499" customFormat="false" ht="15" hidden="false" customHeight="false" outlineLevel="0" collapsed="false">
      <c r="A499" s="138" t="s">
        <v>2167</v>
      </c>
      <c r="B499" s="138" t="n">
        <v>497</v>
      </c>
      <c r="C499" s="138" t="n">
        <v>498</v>
      </c>
      <c r="D499" s="138" t="n">
        <v>16</v>
      </c>
      <c r="E499" s="138" t="n">
        <v>0</v>
      </c>
    </row>
    <row r="500" customFormat="false" ht="15" hidden="false" customHeight="false" outlineLevel="0" collapsed="false">
      <c r="A500" s="138" t="s">
        <v>2168</v>
      </c>
      <c r="B500" s="138" t="n">
        <v>498</v>
      </c>
      <c r="C500" s="138" t="n">
        <v>499</v>
      </c>
      <c r="D500" s="138" t="n">
        <v>17</v>
      </c>
      <c r="E500" s="138" t="n">
        <v>0</v>
      </c>
    </row>
    <row r="501" customFormat="false" ht="15" hidden="false" customHeight="false" outlineLevel="0" collapsed="false">
      <c r="A501" s="138" t="s">
        <v>2169</v>
      </c>
      <c r="B501" s="138" t="n">
        <v>499</v>
      </c>
      <c r="C501" s="138" t="n">
        <v>500</v>
      </c>
      <c r="D501" s="138" t="n">
        <v>3</v>
      </c>
      <c r="E501" s="138" t="n">
        <v>0</v>
      </c>
    </row>
    <row r="502" customFormat="false" ht="15" hidden="false" customHeight="false" outlineLevel="0" collapsed="false">
      <c r="A502" s="138" t="s">
        <v>2170</v>
      </c>
      <c r="B502" s="138" t="n">
        <v>500</v>
      </c>
      <c r="C502" s="138" t="n">
        <v>501</v>
      </c>
      <c r="D502" s="138" t="n">
        <v>0</v>
      </c>
      <c r="E502" s="138" t="n">
        <v>0</v>
      </c>
    </row>
    <row r="503" customFormat="false" ht="15" hidden="false" customHeight="false" outlineLevel="0" collapsed="false">
      <c r="A503" s="138" t="s">
        <v>2171</v>
      </c>
      <c r="B503" s="138" t="n">
        <v>501</v>
      </c>
      <c r="C503" s="138" t="n">
        <v>502</v>
      </c>
      <c r="D503" s="138" t="n">
        <v>0</v>
      </c>
      <c r="E503" s="138" t="n">
        <v>0</v>
      </c>
    </row>
    <row r="504" customFormat="false" ht="15" hidden="false" customHeight="false" outlineLevel="0" collapsed="false">
      <c r="A504" s="138" t="s">
        <v>2172</v>
      </c>
      <c r="B504" s="138" t="n">
        <v>502</v>
      </c>
      <c r="C504" s="138" t="n">
        <v>503</v>
      </c>
      <c r="D504" s="138" t="n">
        <v>0</v>
      </c>
      <c r="E504" s="138" t="n">
        <v>0</v>
      </c>
    </row>
    <row r="505" customFormat="false" ht="15" hidden="false" customHeight="false" outlineLevel="0" collapsed="false">
      <c r="A505" s="138" t="s">
        <v>2173</v>
      </c>
      <c r="B505" s="138" t="n">
        <v>503</v>
      </c>
      <c r="C505" s="138" t="n">
        <v>504</v>
      </c>
      <c r="D505" s="138" t="n">
        <v>0</v>
      </c>
      <c r="E505" s="138" t="n">
        <v>0</v>
      </c>
    </row>
    <row r="506" customFormat="false" ht="15" hidden="false" customHeight="false" outlineLevel="0" collapsed="false">
      <c r="A506" s="138" t="s">
        <v>2174</v>
      </c>
      <c r="B506" s="138" t="n">
        <v>504</v>
      </c>
      <c r="C506" s="138" t="n">
        <v>505</v>
      </c>
      <c r="D506" s="138" t="n">
        <v>0</v>
      </c>
      <c r="E506" s="138" t="n">
        <v>0</v>
      </c>
    </row>
    <row r="507" customFormat="false" ht="15" hidden="false" customHeight="false" outlineLevel="0" collapsed="false">
      <c r="A507" s="138" t="s">
        <v>2175</v>
      </c>
      <c r="B507" s="138" t="n">
        <v>505</v>
      </c>
      <c r="C507" s="138" t="n">
        <v>506</v>
      </c>
      <c r="D507" s="138" t="n">
        <v>0</v>
      </c>
      <c r="E507" s="138" t="n">
        <v>0</v>
      </c>
    </row>
    <row r="508" customFormat="false" ht="15" hidden="false" customHeight="false" outlineLevel="0" collapsed="false">
      <c r="A508" s="138" t="s">
        <v>2176</v>
      </c>
      <c r="B508" s="138" t="n">
        <v>506</v>
      </c>
      <c r="C508" s="138" t="n">
        <v>507</v>
      </c>
      <c r="D508" s="138" t="n">
        <v>0</v>
      </c>
      <c r="E508" s="138" t="n">
        <v>0</v>
      </c>
    </row>
    <row r="509" customFormat="false" ht="15" hidden="false" customHeight="false" outlineLevel="0" collapsed="false">
      <c r="A509" s="138" t="s">
        <v>2177</v>
      </c>
      <c r="B509" s="138" t="n">
        <v>507</v>
      </c>
      <c r="C509" s="138" t="n">
        <v>508</v>
      </c>
      <c r="D509" s="138" t="n">
        <v>0</v>
      </c>
      <c r="E509" s="138" t="n">
        <v>0</v>
      </c>
    </row>
    <row r="510" customFormat="false" ht="15" hidden="false" customHeight="false" outlineLevel="0" collapsed="false">
      <c r="A510" s="138" t="s">
        <v>2178</v>
      </c>
      <c r="B510" s="138" t="n">
        <v>508</v>
      </c>
      <c r="C510" s="138" t="n">
        <v>509</v>
      </c>
      <c r="D510" s="138" t="n">
        <v>0</v>
      </c>
      <c r="E510" s="138" t="n">
        <v>0</v>
      </c>
    </row>
    <row r="511" customFormat="false" ht="15" hidden="false" customHeight="false" outlineLevel="0" collapsed="false">
      <c r="A511" s="138" t="s">
        <v>2179</v>
      </c>
      <c r="B511" s="138" t="n">
        <v>509</v>
      </c>
      <c r="C511" s="138" t="n">
        <v>510</v>
      </c>
      <c r="D511" s="138" t="n">
        <v>0</v>
      </c>
      <c r="E511" s="138" t="n">
        <v>0</v>
      </c>
    </row>
    <row r="512" customFormat="false" ht="15" hidden="false" customHeight="false" outlineLevel="0" collapsed="false">
      <c r="A512" s="138" t="s">
        <v>2180</v>
      </c>
      <c r="B512" s="138" t="n">
        <v>510</v>
      </c>
      <c r="C512" s="138" t="n">
        <v>511</v>
      </c>
      <c r="D512" s="138" t="n">
        <v>0</v>
      </c>
      <c r="E512" s="138" t="n">
        <v>0</v>
      </c>
    </row>
    <row r="513" customFormat="false" ht="15" hidden="false" customHeight="false" outlineLevel="0" collapsed="false">
      <c r="A513" s="138" t="s">
        <v>2182</v>
      </c>
      <c r="B513" s="138" t="n">
        <v>511</v>
      </c>
      <c r="C513" s="138" t="n">
        <v>512</v>
      </c>
      <c r="D513" s="138" t="n">
        <v>0</v>
      </c>
      <c r="E513" s="138" t="n">
        <v>0</v>
      </c>
    </row>
    <row r="514" customFormat="false" ht="15" hidden="false" customHeight="false" outlineLevel="0" collapsed="false">
      <c r="A514" s="138" t="s">
        <v>2183</v>
      </c>
      <c r="B514" s="138" t="n">
        <v>512</v>
      </c>
      <c r="C514" s="138" t="n">
        <v>513</v>
      </c>
      <c r="D514" s="138" t="n">
        <v>0</v>
      </c>
      <c r="E514" s="138" t="n">
        <v>0</v>
      </c>
    </row>
    <row r="515" customFormat="false" ht="15" hidden="false" customHeight="false" outlineLevel="0" collapsed="false">
      <c r="A515" s="138" t="s">
        <v>2184</v>
      </c>
      <c r="B515" s="138" t="n">
        <v>513</v>
      </c>
      <c r="C515" s="138" t="n">
        <v>514</v>
      </c>
      <c r="D515" s="138" t="n">
        <v>0</v>
      </c>
      <c r="E515" s="138" t="n">
        <v>0</v>
      </c>
    </row>
    <row r="516" customFormat="false" ht="15" hidden="false" customHeight="false" outlineLevel="0" collapsed="false">
      <c r="A516" s="138" t="s">
        <v>2185</v>
      </c>
      <c r="B516" s="138" t="n">
        <v>514</v>
      </c>
      <c r="C516" s="138" t="n">
        <v>515</v>
      </c>
      <c r="D516" s="138" t="n">
        <v>0</v>
      </c>
      <c r="E516" s="138" t="n">
        <v>0</v>
      </c>
    </row>
    <row r="517" customFormat="false" ht="15" hidden="false" customHeight="false" outlineLevel="0" collapsed="false">
      <c r="A517" s="138" t="s">
        <v>2186</v>
      </c>
      <c r="B517" s="138" t="n">
        <v>515</v>
      </c>
      <c r="C517" s="138" t="n">
        <v>516</v>
      </c>
      <c r="D517" s="138" t="n">
        <v>0</v>
      </c>
      <c r="E517" s="138" t="n">
        <v>0</v>
      </c>
    </row>
    <row r="518" customFormat="false" ht="15" hidden="false" customHeight="false" outlineLevel="0" collapsed="false">
      <c r="A518" s="138" t="s">
        <v>2187</v>
      </c>
      <c r="B518" s="138" t="n">
        <v>516</v>
      </c>
      <c r="C518" s="138" t="n">
        <v>517</v>
      </c>
      <c r="D518" s="138" t="n">
        <v>0</v>
      </c>
      <c r="E518" s="138" t="n">
        <v>0</v>
      </c>
    </row>
    <row r="519" customFormat="false" ht="15" hidden="false" customHeight="false" outlineLevel="0" collapsed="false">
      <c r="A519" s="138" t="s">
        <v>2188</v>
      </c>
      <c r="B519" s="138" t="n">
        <v>517</v>
      </c>
      <c r="C519" s="138" t="n">
        <v>518</v>
      </c>
      <c r="D519" s="138" t="n">
        <v>0</v>
      </c>
      <c r="E519" s="138" t="n">
        <v>0</v>
      </c>
    </row>
    <row r="520" customFormat="false" ht="15" hidden="false" customHeight="false" outlineLevel="0" collapsed="false">
      <c r="A520" s="138" t="s">
        <v>2189</v>
      </c>
      <c r="B520" s="138" t="n">
        <v>518</v>
      </c>
      <c r="C520" s="138" t="n">
        <v>519</v>
      </c>
      <c r="D520" s="138" t="n">
        <v>0</v>
      </c>
      <c r="E520" s="138" t="n">
        <v>0</v>
      </c>
    </row>
    <row r="521" customFormat="false" ht="15" hidden="false" customHeight="false" outlineLevel="0" collapsed="false">
      <c r="A521" s="138" t="s">
        <v>2190</v>
      </c>
      <c r="B521" s="138" t="n">
        <v>519</v>
      </c>
      <c r="C521" s="138" t="n">
        <v>520</v>
      </c>
      <c r="D521" s="138" t="n">
        <v>0</v>
      </c>
      <c r="E521" s="138" t="n">
        <v>0</v>
      </c>
    </row>
    <row r="522" customFormat="false" ht="15" hidden="false" customHeight="false" outlineLevel="0" collapsed="false">
      <c r="A522" s="138" t="s">
        <v>2191</v>
      </c>
      <c r="B522" s="138" t="n">
        <v>520</v>
      </c>
      <c r="C522" s="138" t="n">
        <v>521</v>
      </c>
      <c r="D522" s="138" t="n">
        <v>0</v>
      </c>
      <c r="E522" s="138" t="n">
        <v>0</v>
      </c>
    </row>
    <row r="523" customFormat="false" ht="15" hidden="false" customHeight="false" outlineLevel="0" collapsed="false">
      <c r="A523" s="138" t="s">
        <v>2192</v>
      </c>
      <c r="B523" s="138" t="n">
        <v>521</v>
      </c>
      <c r="C523" s="138" t="n">
        <v>522</v>
      </c>
      <c r="D523" s="138" t="n">
        <v>0</v>
      </c>
      <c r="E523" s="138" t="n">
        <v>0</v>
      </c>
    </row>
    <row r="524" customFormat="false" ht="15" hidden="false" customHeight="false" outlineLevel="0" collapsed="false">
      <c r="A524" s="138" t="s">
        <v>2193</v>
      </c>
      <c r="B524" s="138" t="n">
        <v>522</v>
      </c>
      <c r="C524" s="138" t="n">
        <v>523</v>
      </c>
      <c r="D524" s="138" t="n">
        <v>0</v>
      </c>
      <c r="E524" s="138" t="n">
        <v>0</v>
      </c>
    </row>
    <row r="525" customFormat="false" ht="15" hidden="false" customHeight="false" outlineLevel="0" collapsed="false">
      <c r="A525" s="138" t="s">
        <v>2194</v>
      </c>
      <c r="B525" s="138" t="n">
        <v>523</v>
      </c>
      <c r="C525" s="138" t="n">
        <v>524</v>
      </c>
      <c r="D525" s="138" t="n">
        <v>0</v>
      </c>
      <c r="E525" s="138" t="n">
        <v>0</v>
      </c>
    </row>
    <row r="526" customFormat="false" ht="15" hidden="false" customHeight="false" outlineLevel="0" collapsed="false">
      <c r="A526" s="138" t="s">
        <v>2195</v>
      </c>
      <c r="B526" s="138" t="n">
        <v>524</v>
      </c>
      <c r="C526" s="138" t="n">
        <v>525</v>
      </c>
      <c r="D526" s="138" t="n">
        <v>0</v>
      </c>
      <c r="E526" s="138" t="n">
        <v>0</v>
      </c>
    </row>
    <row r="527" customFormat="false" ht="15" hidden="false" customHeight="false" outlineLevel="0" collapsed="false">
      <c r="A527" s="138" t="s">
        <v>2196</v>
      </c>
      <c r="B527" s="138" t="n">
        <v>525</v>
      </c>
      <c r="C527" s="138" t="n">
        <v>526</v>
      </c>
      <c r="D527" s="138" t="n">
        <v>0</v>
      </c>
      <c r="E527" s="138" t="n">
        <v>9</v>
      </c>
    </row>
    <row r="528" customFormat="false" ht="15" hidden="false" customHeight="false" outlineLevel="0" collapsed="false">
      <c r="A528" s="138" t="s">
        <v>2197</v>
      </c>
      <c r="B528" s="138" t="n">
        <v>526</v>
      </c>
      <c r="C528" s="138" t="n">
        <v>527</v>
      </c>
      <c r="D528" s="138" t="n">
        <v>0</v>
      </c>
      <c r="E528" s="138" t="n">
        <v>14</v>
      </c>
    </row>
    <row r="529" customFormat="false" ht="15" hidden="false" customHeight="false" outlineLevel="0" collapsed="false">
      <c r="A529" s="138" t="s">
        <v>2198</v>
      </c>
      <c r="B529" s="138" t="n">
        <v>527</v>
      </c>
      <c r="C529" s="138" t="n">
        <v>528</v>
      </c>
      <c r="D529" s="138" t="n">
        <v>0</v>
      </c>
      <c r="E529" s="138" t="n">
        <v>0</v>
      </c>
    </row>
    <row r="530" customFormat="false" ht="15" hidden="false" customHeight="false" outlineLevel="0" collapsed="false">
      <c r="A530" s="138" t="s">
        <v>2199</v>
      </c>
      <c r="B530" s="138" t="n">
        <v>528</v>
      </c>
      <c r="C530" s="138" t="n">
        <v>529</v>
      </c>
      <c r="D530" s="138" t="n">
        <v>0</v>
      </c>
      <c r="E530" s="138" t="n">
        <v>0</v>
      </c>
    </row>
    <row r="531" customFormat="false" ht="15" hidden="false" customHeight="false" outlineLevel="0" collapsed="false">
      <c r="A531" s="138" t="s">
        <v>2200</v>
      </c>
      <c r="B531" s="138" t="n">
        <v>529</v>
      </c>
      <c r="C531" s="138" t="n">
        <v>530</v>
      </c>
      <c r="D531" s="138" t="n">
        <v>0</v>
      </c>
      <c r="E531" s="138" t="n">
        <v>0</v>
      </c>
    </row>
    <row r="532" customFormat="false" ht="15" hidden="false" customHeight="false" outlineLevel="0" collapsed="false">
      <c r="A532" s="138" t="s">
        <v>2201</v>
      </c>
      <c r="B532" s="138" t="n">
        <v>530</v>
      </c>
      <c r="C532" s="138" t="n">
        <v>531</v>
      </c>
      <c r="D532" s="138" t="n">
        <v>0</v>
      </c>
      <c r="E532" s="138" t="n">
        <v>0</v>
      </c>
    </row>
    <row r="533" customFormat="false" ht="15" hidden="false" customHeight="false" outlineLevel="0" collapsed="false">
      <c r="A533" s="138" t="s">
        <v>2202</v>
      </c>
      <c r="B533" s="138" t="n">
        <v>531</v>
      </c>
      <c r="C533" s="138" t="n">
        <v>532</v>
      </c>
      <c r="D533" s="138" t="n">
        <v>0</v>
      </c>
      <c r="E533" s="138" t="n">
        <v>0</v>
      </c>
    </row>
    <row r="534" customFormat="false" ht="15" hidden="false" customHeight="false" outlineLevel="0" collapsed="false">
      <c r="A534" s="138" t="s">
        <v>2203</v>
      </c>
      <c r="B534" s="138" t="n">
        <v>532</v>
      </c>
      <c r="C534" s="138" t="n">
        <v>533</v>
      </c>
      <c r="D534" s="138" t="n">
        <v>0</v>
      </c>
      <c r="E534" s="138" t="n">
        <v>0</v>
      </c>
    </row>
    <row r="535" customFormat="false" ht="15" hidden="false" customHeight="false" outlineLevel="0" collapsed="false">
      <c r="A535" s="138" t="s">
        <v>2204</v>
      </c>
      <c r="B535" s="138" t="n">
        <v>533</v>
      </c>
      <c r="C535" s="138" t="n">
        <v>534</v>
      </c>
      <c r="D535" s="138" t="n">
        <v>0</v>
      </c>
      <c r="E535" s="138" t="n">
        <v>0</v>
      </c>
    </row>
    <row r="536" customFormat="false" ht="15" hidden="false" customHeight="false" outlineLevel="0" collapsed="false">
      <c r="A536" s="138" t="s">
        <v>2205</v>
      </c>
      <c r="B536" s="138" t="n">
        <v>534</v>
      </c>
      <c r="C536" s="138" t="n">
        <v>535</v>
      </c>
      <c r="D536" s="138" t="n">
        <v>0</v>
      </c>
      <c r="E536" s="138" t="n">
        <v>0</v>
      </c>
    </row>
    <row r="537" customFormat="false" ht="15" hidden="false" customHeight="false" outlineLevel="0" collapsed="false">
      <c r="A537" s="138" t="s">
        <v>2206</v>
      </c>
      <c r="B537" s="138" t="n">
        <v>535</v>
      </c>
      <c r="C537" s="138" t="n">
        <v>536</v>
      </c>
      <c r="D537" s="138" t="n">
        <v>0</v>
      </c>
      <c r="E537" s="138" t="n">
        <v>0</v>
      </c>
    </row>
    <row r="538" customFormat="false" ht="15" hidden="false" customHeight="false" outlineLevel="0" collapsed="false">
      <c r="A538" s="138" t="s">
        <v>2207</v>
      </c>
      <c r="B538" s="138" t="n">
        <v>536</v>
      </c>
      <c r="C538" s="138" t="n">
        <v>537</v>
      </c>
      <c r="D538" s="138" t="n">
        <v>0</v>
      </c>
      <c r="E538" s="138" t="n">
        <v>0</v>
      </c>
    </row>
    <row r="539" customFormat="false" ht="15" hidden="false" customHeight="false" outlineLevel="0" collapsed="false">
      <c r="A539" s="138" t="s">
        <v>2208</v>
      </c>
      <c r="B539" s="138" t="n">
        <v>537</v>
      </c>
      <c r="C539" s="138" t="n">
        <v>538</v>
      </c>
      <c r="D539" s="138" t="n">
        <v>0</v>
      </c>
      <c r="E539" s="138" t="n">
        <v>0</v>
      </c>
    </row>
    <row r="540" customFormat="false" ht="15" hidden="false" customHeight="false" outlineLevel="0" collapsed="false">
      <c r="A540" s="138" t="s">
        <v>2209</v>
      </c>
      <c r="B540" s="138" t="n">
        <v>538</v>
      </c>
      <c r="C540" s="138" t="n">
        <v>539</v>
      </c>
      <c r="D540" s="138" t="n">
        <v>0</v>
      </c>
      <c r="E540" s="138" t="n">
        <v>0</v>
      </c>
    </row>
    <row r="541" customFormat="false" ht="15" hidden="false" customHeight="false" outlineLevel="0" collapsed="false">
      <c r="A541" s="138" t="s">
        <v>2210</v>
      </c>
      <c r="B541" s="138" t="n">
        <v>539</v>
      </c>
      <c r="C541" s="138" t="n">
        <v>540</v>
      </c>
      <c r="D541" s="138" t="n">
        <v>0</v>
      </c>
      <c r="E541" s="138" t="n">
        <v>0</v>
      </c>
    </row>
    <row r="542" customFormat="false" ht="15" hidden="false" customHeight="false" outlineLevel="0" collapsed="false">
      <c r="A542" s="138" t="s">
        <v>2211</v>
      </c>
      <c r="B542" s="138" t="n">
        <v>540</v>
      </c>
      <c r="C542" s="138" t="n">
        <v>541</v>
      </c>
      <c r="D542" s="138" t="n">
        <v>0</v>
      </c>
      <c r="E542" s="138" t="n">
        <v>0</v>
      </c>
    </row>
    <row r="543" customFormat="false" ht="15" hidden="false" customHeight="false" outlineLevel="0" collapsed="false">
      <c r="A543" s="138" t="s">
        <v>2212</v>
      </c>
      <c r="B543" s="138" t="n">
        <v>541</v>
      </c>
      <c r="C543" s="138" t="n">
        <v>542</v>
      </c>
      <c r="D543" s="138" t="n">
        <v>0</v>
      </c>
      <c r="E543" s="138" t="n">
        <v>0</v>
      </c>
    </row>
    <row r="544" customFormat="false" ht="15" hidden="false" customHeight="false" outlineLevel="0" collapsed="false">
      <c r="A544" s="138" t="s">
        <v>2213</v>
      </c>
      <c r="B544" s="138" t="n">
        <v>542</v>
      </c>
      <c r="C544" s="138" t="n">
        <v>543</v>
      </c>
      <c r="D544" s="138" t="n">
        <v>0</v>
      </c>
      <c r="E544" s="138" t="n">
        <v>0</v>
      </c>
    </row>
    <row r="545" customFormat="false" ht="15" hidden="false" customHeight="false" outlineLevel="0" collapsed="false">
      <c r="A545" s="138" t="s">
        <v>2214</v>
      </c>
      <c r="B545" s="138" t="n">
        <v>543</v>
      </c>
      <c r="C545" s="138" t="n">
        <v>544</v>
      </c>
      <c r="D545" s="138" t="n">
        <v>0</v>
      </c>
      <c r="E545" s="138" t="n">
        <v>0</v>
      </c>
    </row>
    <row r="546" customFormat="false" ht="15" hidden="false" customHeight="false" outlineLevel="0" collapsed="false">
      <c r="A546" s="138" t="s">
        <v>2215</v>
      </c>
      <c r="B546" s="138" t="n">
        <v>544</v>
      </c>
      <c r="C546" s="138" t="n">
        <v>545</v>
      </c>
      <c r="D546" s="138" t="n">
        <v>0</v>
      </c>
      <c r="E546" s="138" t="n">
        <v>0</v>
      </c>
    </row>
    <row r="547" customFormat="false" ht="15" hidden="false" customHeight="false" outlineLevel="0" collapsed="false">
      <c r="A547" s="138" t="s">
        <v>2216</v>
      </c>
      <c r="B547" s="138" t="n">
        <v>545</v>
      </c>
      <c r="C547" s="138" t="n">
        <v>546</v>
      </c>
      <c r="D547" s="138" t="n">
        <v>0</v>
      </c>
      <c r="E547" s="138" t="n">
        <v>0</v>
      </c>
    </row>
    <row r="548" customFormat="false" ht="15" hidden="false" customHeight="false" outlineLevel="0" collapsed="false">
      <c r="A548" s="138" t="s">
        <v>2217</v>
      </c>
      <c r="B548" s="138" t="n">
        <v>546</v>
      </c>
      <c r="C548" s="138" t="n">
        <v>547</v>
      </c>
      <c r="D548" s="138" t="n">
        <v>0</v>
      </c>
      <c r="E548" s="138" t="n">
        <v>0</v>
      </c>
    </row>
    <row r="549" customFormat="false" ht="15" hidden="false" customHeight="false" outlineLevel="0" collapsed="false">
      <c r="A549" s="138" t="s">
        <v>2218</v>
      </c>
      <c r="B549" s="138" t="n">
        <v>547</v>
      </c>
      <c r="C549" s="138" t="n">
        <v>548</v>
      </c>
      <c r="D549" s="138" t="n">
        <v>0</v>
      </c>
      <c r="E549" s="138" t="n">
        <v>0</v>
      </c>
    </row>
    <row r="550" customFormat="false" ht="15" hidden="false" customHeight="false" outlineLevel="0" collapsed="false">
      <c r="A550" s="138" t="s">
        <v>2219</v>
      </c>
      <c r="B550" s="138" t="n">
        <v>548</v>
      </c>
      <c r="C550" s="138" t="n">
        <v>549</v>
      </c>
      <c r="D550" s="138" t="n">
        <v>0</v>
      </c>
      <c r="E550" s="138" t="n">
        <v>0</v>
      </c>
    </row>
    <row r="551" customFormat="false" ht="15" hidden="false" customHeight="false" outlineLevel="0" collapsed="false">
      <c r="A551" s="138" t="s">
        <v>2220</v>
      </c>
      <c r="B551" s="138" t="n">
        <v>549</v>
      </c>
      <c r="C551" s="138" t="n">
        <v>550</v>
      </c>
      <c r="D551" s="138" t="n">
        <v>0</v>
      </c>
      <c r="E551" s="138" t="n">
        <v>0</v>
      </c>
    </row>
    <row r="552" customFormat="false" ht="15" hidden="false" customHeight="false" outlineLevel="0" collapsed="false">
      <c r="A552" s="138" t="s">
        <v>2221</v>
      </c>
      <c r="B552" s="138" t="n">
        <v>550</v>
      </c>
      <c r="C552" s="138" t="n">
        <v>551</v>
      </c>
      <c r="D552" s="138" t="n">
        <v>0</v>
      </c>
      <c r="E552" s="138" t="n">
        <v>0</v>
      </c>
    </row>
    <row r="553" customFormat="false" ht="15" hidden="false" customHeight="false" outlineLevel="0" collapsed="false">
      <c r="A553" s="138" t="s">
        <v>2222</v>
      </c>
      <c r="B553" s="138" t="n">
        <v>551</v>
      </c>
      <c r="C553" s="138" t="n">
        <v>552</v>
      </c>
      <c r="D553" s="138" t="n">
        <v>0</v>
      </c>
      <c r="E553" s="138" t="n">
        <v>0</v>
      </c>
    </row>
    <row r="554" customFormat="false" ht="15" hidden="false" customHeight="false" outlineLevel="0" collapsed="false">
      <c r="A554" s="138" t="s">
        <v>2223</v>
      </c>
      <c r="B554" s="138" t="n">
        <v>552</v>
      </c>
      <c r="C554" s="138" t="n">
        <v>553</v>
      </c>
      <c r="D554" s="138" t="n">
        <v>0</v>
      </c>
      <c r="E554" s="138" t="n">
        <v>0</v>
      </c>
    </row>
    <row r="555" customFormat="false" ht="15" hidden="false" customHeight="false" outlineLevel="0" collapsed="false">
      <c r="A555" s="138" t="s">
        <v>2224</v>
      </c>
      <c r="B555" s="138" t="n">
        <v>553</v>
      </c>
      <c r="C555" s="138" t="n">
        <v>554</v>
      </c>
      <c r="D555" s="138" t="n">
        <v>0</v>
      </c>
      <c r="E555" s="138" t="n">
        <v>0</v>
      </c>
    </row>
    <row r="556" customFormat="false" ht="15" hidden="false" customHeight="false" outlineLevel="0" collapsed="false">
      <c r="A556" s="138" t="s">
        <v>2225</v>
      </c>
      <c r="B556" s="138" t="n">
        <v>554</v>
      </c>
      <c r="C556" s="138" t="n">
        <v>555</v>
      </c>
      <c r="D556" s="138" t="n">
        <v>0</v>
      </c>
      <c r="E556" s="138" t="n">
        <v>0</v>
      </c>
    </row>
    <row r="557" customFormat="false" ht="15" hidden="false" customHeight="false" outlineLevel="0" collapsed="false">
      <c r="A557" s="138" t="s">
        <v>2226</v>
      </c>
      <c r="B557" s="138" t="n">
        <v>555</v>
      </c>
      <c r="C557" s="138" t="n">
        <v>556</v>
      </c>
      <c r="D557" s="138" t="n">
        <v>0</v>
      </c>
      <c r="E557" s="138" t="n">
        <v>0</v>
      </c>
    </row>
    <row r="558" customFormat="false" ht="15" hidden="false" customHeight="false" outlineLevel="0" collapsed="false">
      <c r="A558" s="138" t="s">
        <v>2227</v>
      </c>
      <c r="B558" s="138" t="n">
        <v>556</v>
      </c>
      <c r="C558" s="138" t="n">
        <v>557</v>
      </c>
      <c r="D558" s="138" t="n">
        <v>0</v>
      </c>
      <c r="E558" s="138" t="n">
        <v>0</v>
      </c>
    </row>
    <row r="559" customFormat="false" ht="15" hidden="false" customHeight="false" outlineLevel="0" collapsed="false">
      <c r="A559" s="138" t="s">
        <v>2228</v>
      </c>
      <c r="B559" s="138" t="n">
        <v>557</v>
      </c>
      <c r="C559" s="138" t="n">
        <v>558</v>
      </c>
      <c r="D559" s="138" t="n">
        <v>0</v>
      </c>
      <c r="E559" s="138" t="n">
        <v>0</v>
      </c>
    </row>
    <row r="560" customFormat="false" ht="15" hidden="false" customHeight="false" outlineLevel="0" collapsed="false">
      <c r="A560" s="138" t="s">
        <v>2229</v>
      </c>
      <c r="B560" s="138" t="n">
        <v>558</v>
      </c>
      <c r="C560" s="138" t="n">
        <v>559</v>
      </c>
      <c r="D560" s="138" t="n">
        <v>0</v>
      </c>
      <c r="E560" s="138" t="n">
        <v>0</v>
      </c>
    </row>
    <row r="561" customFormat="false" ht="15" hidden="false" customHeight="false" outlineLevel="0" collapsed="false">
      <c r="A561" s="138" t="s">
        <v>2230</v>
      </c>
      <c r="B561" s="138" t="n">
        <v>559</v>
      </c>
      <c r="C561" s="138" t="n">
        <v>560</v>
      </c>
      <c r="D561" s="138" t="n">
        <v>13</v>
      </c>
      <c r="E561" s="138" t="n">
        <v>17</v>
      </c>
    </row>
    <row r="562" customFormat="false" ht="15" hidden="false" customHeight="false" outlineLevel="0" collapsed="false">
      <c r="A562" s="138" t="s">
        <v>2231</v>
      </c>
      <c r="B562" s="138" t="n">
        <v>560</v>
      </c>
      <c r="C562" s="138" t="n">
        <v>561</v>
      </c>
      <c r="D562" s="138" t="n">
        <v>20</v>
      </c>
      <c r="E562" s="138" t="n">
        <v>1</v>
      </c>
    </row>
    <row r="563" customFormat="false" ht="15" hidden="false" customHeight="false" outlineLevel="0" collapsed="false">
      <c r="A563" s="138" t="s">
        <v>2232</v>
      </c>
      <c r="B563" s="138" t="n">
        <v>561</v>
      </c>
      <c r="C563" s="138" t="n">
        <v>562</v>
      </c>
      <c r="D563" s="138" t="n">
        <v>20</v>
      </c>
      <c r="E563" s="138" t="n">
        <v>8</v>
      </c>
    </row>
    <row r="564" customFormat="false" ht="15" hidden="false" customHeight="false" outlineLevel="0" collapsed="false">
      <c r="A564" s="138" t="s">
        <v>2234</v>
      </c>
      <c r="B564" s="138" t="n">
        <v>562</v>
      </c>
      <c r="C564" s="138" t="n">
        <v>563</v>
      </c>
      <c r="D564" s="138" t="n">
        <v>20</v>
      </c>
      <c r="E564" s="138" t="n">
        <v>20</v>
      </c>
    </row>
    <row r="565" customFormat="false" ht="15" hidden="false" customHeight="false" outlineLevel="0" collapsed="false">
      <c r="A565" s="138" t="s">
        <v>2235</v>
      </c>
      <c r="B565" s="138" t="n">
        <v>563</v>
      </c>
      <c r="C565" s="138" t="n">
        <v>564</v>
      </c>
      <c r="D565" s="138" t="n">
        <v>20</v>
      </c>
      <c r="E565" s="138" t="n">
        <v>20</v>
      </c>
    </row>
    <row r="566" customFormat="false" ht="15" hidden="false" customHeight="false" outlineLevel="0" collapsed="false">
      <c r="A566" s="138" t="s">
        <v>2236</v>
      </c>
      <c r="B566" s="138" t="n">
        <v>564</v>
      </c>
      <c r="C566" s="138" t="n">
        <v>565</v>
      </c>
      <c r="D566" s="138" t="n">
        <v>20</v>
      </c>
      <c r="E566" s="138" t="n">
        <v>20</v>
      </c>
    </row>
    <row r="567" customFormat="false" ht="15" hidden="false" customHeight="false" outlineLevel="0" collapsed="false">
      <c r="A567" s="138" t="s">
        <v>2237</v>
      </c>
      <c r="B567" s="138" t="n">
        <v>565</v>
      </c>
      <c r="C567" s="138" t="n">
        <v>566</v>
      </c>
      <c r="D567" s="138" t="n">
        <v>20</v>
      </c>
      <c r="E567" s="138" t="n">
        <v>20</v>
      </c>
    </row>
    <row r="568" customFormat="false" ht="15" hidden="false" customHeight="false" outlineLevel="0" collapsed="false">
      <c r="A568" s="138" t="s">
        <v>2238</v>
      </c>
      <c r="B568" s="138" t="n">
        <v>566</v>
      </c>
      <c r="C568" s="138" t="n">
        <v>567</v>
      </c>
      <c r="D568" s="138" t="n">
        <v>20</v>
      </c>
      <c r="E568" s="138" t="n">
        <v>20</v>
      </c>
    </row>
    <row r="569" customFormat="false" ht="15" hidden="false" customHeight="false" outlineLevel="0" collapsed="false">
      <c r="A569" s="138" t="s">
        <v>2239</v>
      </c>
      <c r="B569" s="138" t="n">
        <v>567</v>
      </c>
      <c r="C569" s="138" t="n">
        <v>568</v>
      </c>
      <c r="D569" s="138" t="n">
        <v>20</v>
      </c>
      <c r="E569" s="138" t="n">
        <v>20</v>
      </c>
    </row>
    <row r="570" customFormat="false" ht="15" hidden="false" customHeight="false" outlineLevel="0" collapsed="false">
      <c r="A570" s="138" t="s">
        <v>2240</v>
      </c>
      <c r="B570" s="138" t="n">
        <v>568</v>
      </c>
      <c r="C570" s="138" t="n">
        <v>569</v>
      </c>
      <c r="D570" s="138" t="n">
        <v>20</v>
      </c>
      <c r="E570" s="138" t="n">
        <v>20</v>
      </c>
    </row>
    <row r="571" customFormat="false" ht="15" hidden="false" customHeight="false" outlineLevel="0" collapsed="false">
      <c r="A571" s="138" t="s">
        <v>2241</v>
      </c>
      <c r="B571" s="138" t="n">
        <v>569</v>
      </c>
      <c r="C571" s="138" t="n">
        <v>570</v>
      </c>
      <c r="D571" s="138" t="n">
        <v>20</v>
      </c>
      <c r="E571" s="138" t="n">
        <v>20</v>
      </c>
    </row>
    <row r="572" customFormat="false" ht="15" hidden="false" customHeight="false" outlineLevel="0" collapsed="false">
      <c r="A572" s="138" t="s">
        <v>2242</v>
      </c>
      <c r="B572" s="138" t="n">
        <v>570</v>
      </c>
      <c r="C572" s="138" t="n">
        <v>571</v>
      </c>
      <c r="D572" s="138" t="n">
        <v>20</v>
      </c>
      <c r="E572" s="138" t="n">
        <v>20</v>
      </c>
    </row>
    <row r="573" customFormat="false" ht="15" hidden="false" customHeight="false" outlineLevel="0" collapsed="false">
      <c r="A573" s="138" t="s">
        <v>2243</v>
      </c>
      <c r="B573" s="138" t="n">
        <v>571</v>
      </c>
      <c r="C573" s="138" t="n">
        <v>572</v>
      </c>
      <c r="D573" s="138" t="n">
        <v>15</v>
      </c>
      <c r="E573" s="138" t="n">
        <v>10</v>
      </c>
    </row>
    <row r="574" customFormat="false" ht="15" hidden="false" customHeight="false" outlineLevel="0" collapsed="false">
      <c r="A574" s="138" t="s">
        <v>2244</v>
      </c>
      <c r="B574" s="138" t="n">
        <v>572</v>
      </c>
      <c r="C574" s="138" t="n">
        <v>573</v>
      </c>
      <c r="D574" s="138" t="n">
        <v>0</v>
      </c>
      <c r="E574" s="138" t="n">
        <v>0</v>
      </c>
    </row>
    <row r="575" customFormat="false" ht="15" hidden="false" customHeight="false" outlineLevel="0" collapsed="false">
      <c r="A575" s="138" t="s">
        <v>2246</v>
      </c>
      <c r="B575" s="138" t="n">
        <v>573</v>
      </c>
      <c r="C575" s="138" t="n">
        <v>574</v>
      </c>
      <c r="D575" s="138" t="n">
        <v>0</v>
      </c>
      <c r="E575" s="138" t="n">
        <v>0</v>
      </c>
    </row>
    <row r="576" customFormat="false" ht="15" hidden="false" customHeight="false" outlineLevel="0" collapsed="false">
      <c r="A576" s="138" t="s">
        <v>2247</v>
      </c>
      <c r="B576" s="138" t="n">
        <v>574</v>
      </c>
      <c r="C576" s="138" t="n">
        <v>575</v>
      </c>
      <c r="D576" s="138" t="n">
        <v>4</v>
      </c>
      <c r="E576" s="138" t="n">
        <v>0</v>
      </c>
    </row>
    <row r="577" customFormat="false" ht="15" hidden="false" customHeight="false" outlineLevel="0" collapsed="false">
      <c r="A577" s="138" t="s">
        <v>2248</v>
      </c>
      <c r="B577" s="138" t="n">
        <v>575</v>
      </c>
      <c r="C577" s="138" t="n">
        <v>576</v>
      </c>
      <c r="D577" s="138" t="n">
        <v>17</v>
      </c>
      <c r="E577" s="138" t="n">
        <v>0</v>
      </c>
    </row>
    <row r="578" customFormat="false" ht="15" hidden="false" customHeight="false" outlineLevel="0" collapsed="false">
      <c r="A578" s="138" t="s">
        <v>2249</v>
      </c>
      <c r="B578" s="138" t="n">
        <v>576</v>
      </c>
      <c r="C578" s="138" t="n">
        <v>577</v>
      </c>
      <c r="D578" s="138" t="n">
        <v>20</v>
      </c>
      <c r="E578" s="138" t="n">
        <v>0</v>
      </c>
    </row>
    <row r="579" customFormat="false" ht="15" hidden="false" customHeight="false" outlineLevel="0" collapsed="false">
      <c r="A579" s="138" t="s">
        <v>2250</v>
      </c>
      <c r="B579" s="138" t="n">
        <v>577</v>
      </c>
      <c r="C579" s="138" t="n">
        <v>578</v>
      </c>
      <c r="D579" s="138" t="n">
        <v>20</v>
      </c>
      <c r="E579" s="138" t="n">
        <v>0</v>
      </c>
    </row>
    <row r="580" customFormat="false" ht="15" hidden="false" customHeight="false" outlineLevel="0" collapsed="false">
      <c r="A580" s="138" t="s">
        <v>2251</v>
      </c>
      <c r="B580" s="138" t="n">
        <v>578</v>
      </c>
      <c r="C580" s="138" t="n">
        <v>579</v>
      </c>
      <c r="D580" s="138" t="n">
        <v>20</v>
      </c>
      <c r="E580" s="138" t="n">
        <v>0</v>
      </c>
    </row>
    <row r="581" customFormat="false" ht="15" hidden="false" customHeight="false" outlineLevel="0" collapsed="false">
      <c r="A581" s="138" t="s">
        <v>2252</v>
      </c>
      <c r="B581" s="138" t="n">
        <v>579</v>
      </c>
      <c r="C581" s="138" t="n">
        <v>580</v>
      </c>
      <c r="D581" s="138" t="n">
        <v>20</v>
      </c>
      <c r="E581" s="138" t="n">
        <v>17</v>
      </c>
    </row>
    <row r="582" customFormat="false" ht="15" hidden="false" customHeight="false" outlineLevel="0" collapsed="false">
      <c r="A582" s="138" t="s">
        <v>2253</v>
      </c>
      <c r="B582" s="138" t="n">
        <v>580</v>
      </c>
      <c r="C582" s="138" t="n">
        <v>581</v>
      </c>
      <c r="D582" s="138" t="n">
        <v>11</v>
      </c>
      <c r="E582" s="138" t="n">
        <v>17</v>
      </c>
    </row>
    <row r="583" customFormat="false" ht="15" hidden="false" customHeight="false" outlineLevel="0" collapsed="false">
      <c r="A583" s="138" t="s">
        <v>2254</v>
      </c>
      <c r="B583" s="138" t="n">
        <v>581</v>
      </c>
      <c r="C583" s="138" t="n">
        <v>582</v>
      </c>
      <c r="D583" s="138" t="n">
        <v>0</v>
      </c>
      <c r="E583" s="138" t="n">
        <v>1</v>
      </c>
    </row>
    <row r="584" customFormat="false" ht="15" hidden="false" customHeight="false" outlineLevel="0" collapsed="false">
      <c r="A584" s="138" t="s">
        <v>2255</v>
      </c>
      <c r="B584" s="138" t="n">
        <v>582</v>
      </c>
      <c r="C584" s="138" t="n">
        <v>583</v>
      </c>
      <c r="D584" s="138" t="n">
        <v>0</v>
      </c>
      <c r="E584" s="138" t="n">
        <v>0</v>
      </c>
    </row>
    <row r="585" customFormat="false" ht="15" hidden="false" customHeight="false" outlineLevel="0" collapsed="false">
      <c r="A585" s="138" t="s">
        <v>2256</v>
      </c>
      <c r="B585" s="138" t="n">
        <v>583</v>
      </c>
      <c r="C585" s="138" t="n">
        <v>584</v>
      </c>
      <c r="D585" s="138" t="n">
        <v>0</v>
      </c>
      <c r="E585" s="138" t="n">
        <v>0</v>
      </c>
    </row>
    <row r="586" customFormat="false" ht="15" hidden="false" customHeight="false" outlineLevel="0" collapsed="false">
      <c r="A586" s="138" t="s">
        <v>2257</v>
      </c>
      <c r="B586" s="138" t="n">
        <v>584</v>
      </c>
      <c r="C586" s="138" t="n">
        <v>585</v>
      </c>
      <c r="D586" s="138" t="n">
        <v>0</v>
      </c>
      <c r="E586" s="138" t="n">
        <v>0</v>
      </c>
    </row>
    <row r="587" customFormat="false" ht="15" hidden="false" customHeight="false" outlineLevel="0" collapsed="false">
      <c r="A587" s="138" t="s">
        <v>2258</v>
      </c>
      <c r="B587" s="138" t="n">
        <v>585</v>
      </c>
      <c r="C587" s="138" t="n">
        <v>586</v>
      </c>
      <c r="D587" s="138" t="n">
        <v>0</v>
      </c>
      <c r="E587" s="138" t="n">
        <v>0</v>
      </c>
    </row>
    <row r="588" customFormat="false" ht="15" hidden="false" customHeight="false" outlineLevel="0" collapsed="false">
      <c r="A588" s="138" t="s">
        <v>2259</v>
      </c>
      <c r="B588" s="138" t="n">
        <v>586</v>
      </c>
      <c r="C588" s="138" t="n">
        <v>587</v>
      </c>
      <c r="D588" s="138" t="n">
        <v>0</v>
      </c>
      <c r="E588" s="138" t="n">
        <v>0</v>
      </c>
    </row>
    <row r="589" customFormat="false" ht="15" hidden="false" customHeight="false" outlineLevel="0" collapsed="false">
      <c r="A589" s="138" t="s">
        <v>2260</v>
      </c>
      <c r="B589" s="138" t="n">
        <v>587</v>
      </c>
      <c r="C589" s="138" t="n">
        <v>588</v>
      </c>
      <c r="D589" s="138" t="n">
        <v>0</v>
      </c>
      <c r="E589" s="138" t="n">
        <v>0</v>
      </c>
    </row>
    <row r="590" customFormat="false" ht="15" hidden="false" customHeight="false" outlineLevel="0" collapsed="false">
      <c r="A590" s="138" t="s">
        <v>2261</v>
      </c>
      <c r="B590" s="138" t="n">
        <v>588</v>
      </c>
      <c r="C590" s="138" t="n">
        <v>589</v>
      </c>
      <c r="D590" s="138" t="n">
        <v>0</v>
      </c>
      <c r="E590" s="138" t="n">
        <v>0</v>
      </c>
    </row>
    <row r="591" customFormat="false" ht="15" hidden="false" customHeight="false" outlineLevel="0" collapsed="false">
      <c r="A591" s="138" t="s">
        <v>2262</v>
      </c>
      <c r="B591" s="138" t="n">
        <v>589</v>
      </c>
      <c r="C591" s="138" t="n">
        <v>590</v>
      </c>
      <c r="D591" s="138" t="n">
        <v>0</v>
      </c>
      <c r="E591" s="138" t="n">
        <v>0</v>
      </c>
    </row>
    <row r="592" customFormat="false" ht="15" hidden="false" customHeight="false" outlineLevel="0" collapsed="false">
      <c r="A592" s="138" t="s">
        <v>2263</v>
      </c>
      <c r="B592" s="138" t="n">
        <v>590</v>
      </c>
      <c r="C592" s="138" t="n">
        <v>591</v>
      </c>
      <c r="D592" s="138" t="n">
        <v>0</v>
      </c>
      <c r="E592" s="138" t="n">
        <v>0</v>
      </c>
    </row>
    <row r="593" customFormat="false" ht="15" hidden="false" customHeight="false" outlineLevel="0" collapsed="false">
      <c r="A593" s="138" t="s">
        <v>2264</v>
      </c>
      <c r="B593" s="138" t="n">
        <v>591</v>
      </c>
      <c r="C593" s="138" t="n">
        <v>592</v>
      </c>
      <c r="D593" s="138" t="n">
        <v>17</v>
      </c>
      <c r="E593" s="138" t="n">
        <v>10</v>
      </c>
    </row>
    <row r="594" customFormat="false" ht="15" hidden="false" customHeight="false" outlineLevel="0" collapsed="false">
      <c r="A594" s="138" t="s">
        <v>2265</v>
      </c>
      <c r="B594" s="138" t="n">
        <v>592</v>
      </c>
      <c r="C594" s="138" t="n">
        <v>593</v>
      </c>
      <c r="D594" s="138" t="n">
        <v>10</v>
      </c>
      <c r="E594" s="138" t="n">
        <v>10</v>
      </c>
    </row>
    <row r="595" customFormat="false" ht="15" hidden="false" customHeight="false" outlineLevel="0" collapsed="false">
      <c r="A595" s="138" t="s">
        <v>2266</v>
      </c>
      <c r="B595" s="138" t="n">
        <v>593</v>
      </c>
      <c r="C595" s="138" t="n">
        <v>594</v>
      </c>
      <c r="D595" s="138" t="n">
        <v>0</v>
      </c>
      <c r="E595" s="138" t="n">
        <v>0</v>
      </c>
    </row>
    <row r="596" customFormat="false" ht="15" hidden="false" customHeight="false" outlineLevel="0" collapsed="false">
      <c r="A596" s="138" t="s">
        <v>2267</v>
      </c>
      <c r="B596" s="138" t="n">
        <v>594</v>
      </c>
      <c r="C596" s="138" t="n">
        <v>595</v>
      </c>
      <c r="D596" s="138" t="n">
        <v>0</v>
      </c>
      <c r="E596" s="138" t="n">
        <v>0</v>
      </c>
    </row>
    <row r="597" customFormat="false" ht="15" hidden="false" customHeight="false" outlineLevel="0" collapsed="false">
      <c r="A597" s="138" t="s">
        <v>2268</v>
      </c>
      <c r="B597" s="138" t="n">
        <v>595</v>
      </c>
      <c r="C597" s="138" t="n">
        <v>596</v>
      </c>
      <c r="D597" s="138" t="n">
        <v>0</v>
      </c>
      <c r="E597" s="138" t="n">
        <v>0</v>
      </c>
    </row>
    <row r="598" customFormat="false" ht="15" hidden="false" customHeight="false" outlineLevel="0" collapsed="false">
      <c r="A598" s="138" t="s">
        <v>2269</v>
      </c>
      <c r="B598" s="138" t="n">
        <v>596</v>
      </c>
      <c r="C598" s="138" t="n">
        <v>597</v>
      </c>
      <c r="D598" s="138" t="n">
        <v>0</v>
      </c>
      <c r="E598" s="138" t="n">
        <v>0</v>
      </c>
    </row>
    <row r="599" customFormat="false" ht="15" hidden="false" customHeight="false" outlineLevel="0" collapsed="false">
      <c r="A599" s="138" t="s">
        <v>2270</v>
      </c>
      <c r="B599" s="138" t="n">
        <v>597</v>
      </c>
      <c r="C599" s="138" t="n">
        <v>598</v>
      </c>
      <c r="D599" s="138" t="n">
        <v>0</v>
      </c>
      <c r="E599" s="138" t="n">
        <v>0</v>
      </c>
    </row>
    <row r="600" customFormat="false" ht="15" hidden="false" customHeight="false" outlineLevel="0" collapsed="false">
      <c r="A600" s="138" t="s">
        <v>1595</v>
      </c>
      <c r="B600" s="138" t="n">
        <v>598</v>
      </c>
      <c r="C600" s="138" t="n">
        <v>599</v>
      </c>
      <c r="D600" s="138" t="n">
        <v>0</v>
      </c>
      <c r="E600" s="138" t="n">
        <v>0</v>
      </c>
    </row>
    <row r="601" customFormat="false" ht="15" hidden="false" customHeight="false" outlineLevel="0" collapsed="false">
      <c r="A601" s="138" t="s">
        <v>2271</v>
      </c>
      <c r="B601" s="138" t="n">
        <v>599</v>
      </c>
      <c r="C601" s="138" t="n">
        <v>600</v>
      </c>
      <c r="D601" s="138" t="n">
        <v>0</v>
      </c>
      <c r="E601" s="138" t="n">
        <v>0</v>
      </c>
    </row>
    <row r="602" customFormat="false" ht="15" hidden="false" customHeight="false" outlineLevel="0" collapsed="false">
      <c r="A602" s="138" t="s">
        <v>2272</v>
      </c>
      <c r="B602" s="138" t="n">
        <v>600</v>
      </c>
      <c r="C602" s="138" t="n">
        <v>601</v>
      </c>
      <c r="D602" s="138" t="n">
        <v>0</v>
      </c>
      <c r="E602" s="138" t="n">
        <v>0</v>
      </c>
    </row>
    <row r="603" customFormat="false" ht="15" hidden="false" customHeight="false" outlineLevel="0" collapsed="false">
      <c r="A603" s="138" t="s">
        <v>2273</v>
      </c>
      <c r="B603" s="138" t="n">
        <v>601</v>
      </c>
      <c r="C603" s="138" t="n">
        <v>602</v>
      </c>
      <c r="D603" s="138" t="n">
        <v>0</v>
      </c>
      <c r="E603" s="138" t="n">
        <v>0</v>
      </c>
    </row>
    <row r="604" customFormat="false" ht="15" hidden="false" customHeight="false" outlineLevel="0" collapsed="false">
      <c r="A604" s="138" t="s">
        <v>1599</v>
      </c>
      <c r="B604" s="138" t="n">
        <v>602</v>
      </c>
      <c r="C604" s="138" t="n">
        <v>603</v>
      </c>
      <c r="D604" s="138" t="n">
        <v>3</v>
      </c>
      <c r="E604" s="138" t="n">
        <v>6</v>
      </c>
    </row>
    <row r="605" customFormat="false" ht="15" hidden="false" customHeight="false" outlineLevel="0" collapsed="false">
      <c r="A605" s="138" t="s">
        <v>2275</v>
      </c>
      <c r="B605" s="138" t="n">
        <v>603</v>
      </c>
      <c r="C605" s="138" t="n">
        <v>604</v>
      </c>
      <c r="D605" s="138" t="n">
        <v>12</v>
      </c>
      <c r="E605" s="138" t="n">
        <v>11</v>
      </c>
    </row>
    <row r="606" customFormat="false" ht="15" hidden="false" customHeight="false" outlineLevel="0" collapsed="false">
      <c r="A606" s="138" t="s">
        <v>2276</v>
      </c>
      <c r="B606" s="138" t="n">
        <v>604</v>
      </c>
      <c r="C606" s="138" t="n">
        <v>605</v>
      </c>
      <c r="D606" s="138" t="n">
        <v>0</v>
      </c>
      <c r="E606" s="138" t="n">
        <v>0</v>
      </c>
    </row>
    <row r="607" customFormat="false" ht="15" hidden="false" customHeight="false" outlineLevel="0" collapsed="false">
      <c r="A607" s="138" t="s">
        <v>2277</v>
      </c>
      <c r="B607" s="138" t="n">
        <v>605</v>
      </c>
      <c r="C607" s="138" t="n">
        <v>606</v>
      </c>
      <c r="D607" s="138" t="n">
        <v>0</v>
      </c>
      <c r="E607" s="138" t="n">
        <v>0</v>
      </c>
    </row>
    <row r="608" customFormat="false" ht="15" hidden="false" customHeight="false" outlineLevel="0" collapsed="false">
      <c r="A608" s="138" t="s">
        <v>2278</v>
      </c>
      <c r="B608" s="138" t="n">
        <v>606</v>
      </c>
      <c r="C608" s="138" t="n">
        <v>607</v>
      </c>
      <c r="D608" s="138" t="n">
        <v>0</v>
      </c>
      <c r="E608" s="138" t="n">
        <v>0</v>
      </c>
    </row>
    <row r="609" customFormat="false" ht="15" hidden="false" customHeight="false" outlineLevel="0" collapsed="false">
      <c r="A609" s="138" t="s">
        <v>2279</v>
      </c>
      <c r="B609" s="138" t="n">
        <v>607</v>
      </c>
      <c r="C609" s="138" t="n">
        <v>608</v>
      </c>
      <c r="D609" s="138" t="n">
        <v>0</v>
      </c>
      <c r="E609" s="138" t="n">
        <v>0</v>
      </c>
    </row>
    <row r="610" customFormat="false" ht="15" hidden="false" customHeight="false" outlineLevel="0" collapsed="false">
      <c r="A610" s="138" t="s">
        <v>2280</v>
      </c>
      <c r="B610" s="138" t="n">
        <v>608</v>
      </c>
      <c r="C610" s="138" t="n">
        <v>609</v>
      </c>
      <c r="D610" s="138" t="n">
        <v>0</v>
      </c>
      <c r="E610" s="138" t="n">
        <v>0</v>
      </c>
    </row>
    <row r="611" customFormat="false" ht="15" hidden="false" customHeight="false" outlineLevel="0" collapsed="false">
      <c r="A611" s="138" t="s">
        <v>2281</v>
      </c>
      <c r="B611" s="138" t="n">
        <v>609</v>
      </c>
      <c r="C611" s="138" t="n">
        <v>610</v>
      </c>
      <c r="D611" s="138" t="n">
        <v>0</v>
      </c>
      <c r="E611" s="138" t="n">
        <v>0</v>
      </c>
    </row>
    <row r="612" customFormat="false" ht="15" hidden="false" customHeight="false" outlineLevel="0" collapsed="false">
      <c r="A612" s="138" t="s">
        <v>2282</v>
      </c>
      <c r="B612" s="138" t="n">
        <v>610</v>
      </c>
      <c r="C612" s="138" t="n">
        <v>611</v>
      </c>
      <c r="D612" s="138" t="n">
        <v>0</v>
      </c>
      <c r="E612" s="138" t="n">
        <v>0</v>
      </c>
    </row>
    <row r="613" customFormat="false" ht="15" hidden="false" customHeight="false" outlineLevel="0" collapsed="false">
      <c r="A613" s="138" t="s">
        <v>2283</v>
      </c>
      <c r="B613" s="138" t="n">
        <v>611</v>
      </c>
      <c r="C613" s="138" t="n">
        <v>612</v>
      </c>
      <c r="D613" s="138" t="n">
        <v>0</v>
      </c>
      <c r="E613" s="138" t="n">
        <v>0</v>
      </c>
    </row>
    <row r="614" customFormat="false" ht="15" hidden="false" customHeight="false" outlineLevel="0" collapsed="false">
      <c r="A614" s="138" t="s">
        <v>2284</v>
      </c>
      <c r="B614" s="138" t="n">
        <v>612</v>
      </c>
      <c r="C614" s="138" t="n">
        <v>613</v>
      </c>
      <c r="D614" s="138" t="n">
        <v>0</v>
      </c>
      <c r="E614" s="138" t="n">
        <v>0</v>
      </c>
    </row>
    <row r="615" customFormat="false" ht="15" hidden="false" customHeight="false" outlineLevel="0" collapsed="false">
      <c r="A615" s="138" t="s">
        <v>2285</v>
      </c>
      <c r="B615" s="138" t="n">
        <v>613</v>
      </c>
      <c r="C615" s="138" t="n">
        <v>614</v>
      </c>
      <c r="D615" s="138" t="n">
        <v>0</v>
      </c>
      <c r="E615" s="138" t="n">
        <v>0</v>
      </c>
    </row>
    <row r="616" customFormat="false" ht="15" hidden="false" customHeight="false" outlineLevel="0" collapsed="false">
      <c r="A616" s="138" t="s">
        <v>2286</v>
      </c>
      <c r="B616" s="138" t="n">
        <v>614</v>
      </c>
      <c r="C616" s="138" t="n">
        <v>615</v>
      </c>
      <c r="D616" s="138" t="n">
        <v>0</v>
      </c>
      <c r="E616" s="138" t="n">
        <v>0</v>
      </c>
    </row>
    <row r="617" customFormat="false" ht="15" hidden="false" customHeight="false" outlineLevel="0" collapsed="false">
      <c r="A617" s="138" t="s">
        <v>2287</v>
      </c>
      <c r="B617" s="138" t="n">
        <v>615</v>
      </c>
      <c r="C617" s="138" t="n">
        <v>616</v>
      </c>
      <c r="D617" s="138" t="n">
        <v>0</v>
      </c>
      <c r="E617" s="138" t="n">
        <v>0</v>
      </c>
    </row>
    <row r="618" customFormat="false" ht="15" hidden="false" customHeight="false" outlineLevel="0" collapsed="false">
      <c r="A618" s="138" t="s">
        <v>2288</v>
      </c>
      <c r="B618" s="138" t="n">
        <v>616</v>
      </c>
      <c r="C618" s="138" t="n">
        <v>617</v>
      </c>
      <c r="D618" s="138" t="n">
        <v>0</v>
      </c>
      <c r="E618" s="138" t="n">
        <v>0</v>
      </c>
    </row>
    <row r="619" customFormat="false" ht="15" hidden="false" customHeight="false" outlineLevel="0" collapsed="false">
      <c r="A619" s="138" t="s">
        <v>2289</v>
      </c>
      <c r="B619" s="138" t="n">
        <v>617</v>
      </c>
      <c r="C619" s="138" t="n">
        <v>618</v>
      </c>
      <c r="D619" s="138" t="n">
        <v>0</v>
      </c>
      <c r="E619" s="138" t="n">
        <v>0</v>
      </c>
    </row>
    <row r="620" customFormat="false" ht="15" hidden="false" customHeight="false" outlineLevel="0" collapsed="false">
      <c r="A620" s="138" t="s">
        <v>2290</v>
      </c>
      <c r="B620" s="138" t="n">
        <v>618</v>
      </c>
      <c r="C620" s="138" t="n">
        <v>619</v>
      </c>
      <c r="D620" s="138" t="n">
        <v>0</v>
      </c>
      <c r="E620" s="138" t="n">
        <v>0</v>
      </c>
    </row>
    <row r="621" customFormat="false" ht="15" hidden="false" customHeight="false" outlineLevel="0" collapsed="false">
      <c r="A621" s="138" t="s">
        <v>2291</v>
      </c>
      <c r="B621" s="138" t="n">
        <v>619</v>
      </c>
      <c r="C621" s="138" t="n">
        <v>620</v>
      </c>
      <c r="D621" s="138" t="n">
        <v>0</v>
      </c>
      <c r="E621" s="138" t="n">
        <v>0</v>
      </c>
    </row>
    <row r="622" customFormat="false" ht="15" hidden="false" customHeight="false" outlineLevel="0" collapsed="false">
      <c r="A622" s="138" t="s">
        <v>2292</v>
      </c>
      <c r="B622" s="138" t="n">
        <v>620</v>
      </c>
      <c r="C622" s="138" t="n">
        <v>621</v>
      </c>
      <c r="D622" s="138" t="n">
        <v>0</v>
      </c>
      <c r="E622" s="138" t="n">
        <v>0</v>
      </c>
    </row>
    <row r="623" customFormat="false" ht="15" hidden="false" customHeight="false" outlineLevel="0" collapsed="false">
      <c r="A623" s="138" t="s">
        <v>2293</v>
      </c>
      <c r="B623" s="138" t="n">
        <v>621</v>
      </c>
      <c r="C623" s="138" t="n">
        <v>622</v>
      </c>
      <c r="D623" s="138" t="n">
        <v>0</v>
      </c>
      <c r="E623" s="138" t="n">
        <v>0</v>
      </c>
    </row>
    <row r="624" customFormat="false" ht="15" hidden="false" customHeight="false" outlineLevel="0" collapsed="false">
      <c r="A624" s="138" t="s">
        <v>2294</v>
      </c>
      <c r="B624" s="138" t="n">
        <v>622</v>
      </c>
      <c r="C624" s="138" t="n">
        <v>623</v>
      </c>
      <c r="D624" s="138" t="n">
        <v>0</v>
      </c>
      <c r="E624" s="138" t="n">
        <v>0</v>
      </c>
    </row>
    <row r="625" customFormat="false" ht="15" hidden="false" customHeight="false" outlineLevel="0" collapsed="false">
      <c r="A625" s="138" t="s">
        <v>2295</v>
      </c>
      <c r="B625" s="138" t="n">
        <v>623</v>
      </c>
      <c r="C625" s="138" t="n">
        <v>624</v>
      </c>
      <c r="D625" s="138" t="n">
        <v>0</v>
      </c>
      <c r="E625" s="138" t="n">
        <v>0</v>
      </c>
    </row>
    <row r="626" customFormat="false" ht="15" hidden="false" customHeight="false" outlineLevel="0" collapsed="false">
      <c r="A626" s="138" t="s">
        <v>2297</v>
      </c>
      <c r="B626" s="138" t="n">
        <v>624</v>
      </c>
      <c r="C626" s="138" t="n">
        <v>625</v>
      </c>
      <c r="D626" s="138" t="n">
        <v>0</v>
      </c>
      <c r="E626" s="138" t="n">
        <v>0</v>
      </c>
    </row>
    <row r="627" customFormat="false" ht="15" hidden="false" customHeight="false" outlineLevel="0" collapsed="false">
      <c r="A627" s="138" t="s">
        <v>2298</v>
      </c>
      <c r="B627" s="138" t="n">
        <v>625</v>
      </c>
      <c r="C627" s="138" t="n">
        <v>626</v>
      </c>
      <c r="D627" s="138" t="n">
        <v>0</v>
      </c>
      <c r="E627" s="138" t="n">
        <v>0</v>
      </c>
    </row>
    <row r="628" customFormat="false" ht="15" hidden="false" customHeight="false" outlineLevel="0" collapsed="false">
      <c r="A628" s="138" t="s">
        <v>2299</v>
      </c>
      <c r="B628" s="138" t="n">
        <v>626</v>
      </c>
      <c r="C628" s="138" t="n">
        <v>627</v>
      </c>
      <c r="D628" s="138" t="n">
        <v>0</v>
      </c>
      <c r="E628" s="138" t="n">
        <v>0</v>
      </c>
    </row>
    <row r="629" customFormat="false" ht="15" hidden="false" customHeight="false" outlineLevel="0" collapsed="false">
      <c r="A629" s="138" t="s">
        <v>2300</v>
      </c>
      <c r="B629" s="138" t="n">
        <v>627</v>
      </c>
      <c r="C629" s="138" t="n">
        <v>628</v>
      </c>
      <c r="D629" s="138" t="n">
        <v>0</v>
      </c>
      <c r="E629" s="138" t="n">
        <v>0</v>
      </c>
    </row>
    <row r="630" customFormat="false" ht="15" hidden="false" customHeight="false" outlineLevel="0" collapsed="false">
      <c r="A630" s="138" t="s">
        <v>2301</v>
      </c>
      <c r="B630" s="138" t="n">
        <v>628</v>
      </c>
      <c r="C630" s="138" t="n">
        <v>629</v>
      </c>
      <c r="D630" s="138" t="n">
        <v>0</v>
      </c>
      <c r="E630" s="138" t="n">
        <v>0</v>
      </c>
    </row>
    <row r="631" customFormat="false" ht="15" hidden="false" customHeight="false" outlineLevel="0" collapsed="false">
      <c r="A631" s="138" t="s">
        <v>2302</v>
      </c>
      <c r="B631" s="138" t="n">
        <v>629</v>
      </c>
      <c r="C631" s="138" t="n">
        <v>630</v>
      </c>
      <c r="D631" s="138" t="n">
        <v>0</v>
      </c>
      <c r="E631" s="138" t="n">
        <v>0</v>
      </c>
    </row>
    <row r="632" customFormat="false" ht="15" hidden="false" customHeight="false" outlineLevel="0" collapsed="false">
      <c r="A632" s="138" t="s">
        <v>2303</v>
      </c>
      <c r="B632" s="138" t="n">
        <v>630</v>
      </c>
      <c r="C632" s="138" t="n">
        <v>631</v>
      </c>
      <c r="D632" s="138" t="n">
        <v>0</v>
      </c>
      <c r="E632" s="138" t="n">
        <v>0</v>
      </c>
    </row>
    <row r="633" customFormat="false" ht="15" hidden="false" customHeight="false" outlineLevel="0" collapsed="false">
      <c r="A633" s="138" t="s">
        <v>2304</v>
      </c>
      <c r="B633" s="138" t="n">
        <v>631</v>
      </c>
      <c r="C633" s="138" t="n">
        <v>632</v>
      </c>
      <c r="D633" s="138" t="n">
        <v>0</v>
      </c>
      <c r="E633" s="138" t="n">
        <v>0</v>
      </c>
    </row>
    <row r="634" customFormat="false" ht="15" hidden="false" customHeight="false" outlineLevel="0" collapsed="false">
      <c r="A634" s="138" t="s">
        <v>2305</v>
      </c>
      <c r="B634" s="138" t="n">
        <v>632</v>
      </c>
      <c r="C634" s="138" t="n">
        <v>633</v>
      </c>
      <c r="D634" s="138" t="n">
        <v>0</v>
      </c>
      <c r="E634" s="138" t="n">
        <v>0</v>
      </c>
    </row>
    <row r="635" customFormat="false" ht="15" hidden="false" customHeight="false" outlineLevel="0" collapsed="false">
      <c r="A635" s="138" t="s">
        <v>2306</v>
      </c>
      <c r="B635" s="138" t="n">
        <v>633</v>
      </c>
      <c r="C635" s="138" t="n">
        <v>634</v>
      </c>
      <c r="D635" s="138" t="n">
        <v>0</v>
      </c>
      <c r="E635" s="138" t="n">
        <v>0</v>
      </c>
    </row>
    <row r="636" customFormat="false" ht="15" hidden="false" customHeight="false" outlineLevel="0" collapsed="false">
      <c r="A636" s="138" t="s">
        <v>2308</v>
      </c>
      <c r="B636" s="138" t="n">
        <v>634</v>
      </c>
      <c r="C636" s="138" t="n">
        <v>635</v>
      </c>
      <c r="D636" s="138" t="n">
        <v>0</v>
      </c>
      <c r="E636" s="138" t="n">
        <v>0</v>
      </c>
    </row>
    <row r="637" customFormat="false" ht="15" hidden="false" customHeight="false" outlineLevel="0" collapsed="false">
      <c r="A637" s="138" t="s">
        <v>2310</v>
      </c>
      <c r="B637" s="138" t="n">
        <v>635</v>
      </c>
      <c r="C637" s="138" t="n">
        <v>636</v>
      </c>
      <c r="D637" s="138" t="n">
        <v>0</v>
      </c>
      <c r="E637" s="138" t="n">
        <v>0</v>
      </c>
    </row>
    <row r="638" customFormat="false" ht="15" hidden="false" customHeight="false" outlineLevel="0" collapsed="false">
      <c r="A638" s="138" t="s">
        <v>2311</v>
      </c>
      <c r="B638" s="138" t="n">
        <v>636</v>
      </c>
      <c r="C638" s="138" t="n">
        <v>637</v>
      </c>
      <c r="D638" s="138" t="n">
        <v>0</v>
      </c>
      <c r="E638" s="138" t="n">
        <v>0</v>
      </c>
    </row>
    <row r="639" customFormat="false" ht="15" hidden="false" customHeight="false" outlineLevel="0" collapsed="false">
      <c r="A639" s="138" t="s">
        <v>2312</v>
      </c>
      <c r="B639" s="138" t="n">
        <v>637</v>
      </c>
      <c r="C639" s="138" t="n">
        <v>638</v>
      </c>
      <c r="D639" s="138" t="n">
        <v>0</v>
      </c>
      <c r="E639" s="138" t="n">
        <v>0</v>
      </c>
    </row>
    <row r="640" customFormat="false" ht="15" hidden="false" customHeight="false" outlineLevel="0" collapsed="false">
      <c r="A640" s="138" t="s">
        <v>2313</v>
      </c>
      <c r="B640" s="138" t="n">
        <v>638</v>
      </c>
      <c r="C640" s="138" t="n">
        <v>639</v>
      </c>
      <c r="D640" s="138" t="n">
        <v>0</v>
      </c>
      <c r="E640" s="138" t="n">
        <v>0</v>
      </c>
    </row>
    <row r="641" customFormat="false" ht="15" hidden="false" customHeight="false" outlineLevel="0" collapsed="false">
      <c r="A641" s="138" t="s">
        <v>2314</v>
      </c>
      <c r="B641" s="138" t="n">
        <v>639</v>
      </c>
      <c r="C641" s="138" t="n">
        <v>640</v>
      </c>
      <c r="D641" s="138" t="n">
        <v>0</v>
      </c>
      <c r="E641" s="138" t="n">
        <v>0</v>
      </c>
    </row>
    <row r="642" customFormat="false" ht="15" hidden="false" customHeight="false" outlineLevel="0" collapsed="false">
      <c r="A642" s="138" t="s">
        <v>2316</v>
      </c>
      <c r="B642" s="138" t="n">
        <v>640</v>
      </c>
      <c r="C642" s="138" t="n">
        <v>641</v>
      </c>
      <c r="D642" s="138" t="n">
        <v>0</v>
      </c>
      <c r="E642" s="138" t="n">
        <v>0</v>
      </c>
    </row>
    <row r="643" customFormat="false" ht="15" hidden="false" customHeight="false" outlineLevel="0" collapsed="false">
      <c r="A643" s="138" t="s">
        <v>2317</v>
      </c>
      <c r="B643" s="138" t="n">
        <v>641</v>
      </c>
      <c r="C643" s="138" t="n">
        <v>642</v>
      </c>
      <c r="D643" s="138" t="n">
        <v>0</v>
      </c>
      <c r="E643" s="138" t="n">
        <v>0</v>
      </c>
    </row>
    <row r="644" customFormat="false" ht="15" hidden="false" customHeight="false" outlineLevel="0" collapsed="false">
      <c r="A644" s="138" t="s">
        <v>1607</v>
      </c>
      <c r="B644" s="138" t="n">
        <v>642</v>
      </c>
      <c r="C644" s="138" t="n">
        <v>642.79085</v>
      </c>
      <c r="D644" s="138" t="n">
        <v>0</v>
      </c>
      <c r="E644" s="13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9"/>
    <col collapsed="false" customWidth="true" hidden="false" outlineLevel="0" max="10" min="5" style="0" width="10"/>
    <col collapsed="false" customWidth="true" hidden="false" outlineLevel="0" max="12" min="11" style="0" width="11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2"/>
  </cols>
  <sheetData>
    <row r="1" customFormat="false" ht="48" hidden="false" customHeight="true" outlineLevel="0" collapsed="false">
      <c r="A1" s="133" t="s">
        <v>14</v>
      </c>
      <c r="B1" s="133" t="s">
        <v>17</v>
      </c>
      <c r="C1" s="133" t="s">
        <v>2367</v>
      </c>
      <c r="D1" s="133" t="s">
        <v>2368</v>
      </c>
      <c r="E1" s="133" t="s">
        <v>3755</v>
      </c>
      <c r="F1" s="133" t="s">
        <v>3756</v>
      </c>
      <c r="G1" s="133" t="s">
        <v>3757</v>
      </c>
      <c r="H1" s="133" t="s">
        <v>3758</v>
      </c>
      <c r="I1" s="133" t="s">
        <v>3759</v>
      </c>
      <c r="J1" s="133" t="s">
        <v>3760</v>
      </c>
      <c r="K1" s="133" t="s">
        <v>3761</v>
      </c>
      <c r="L1" s="133" t="s">
        <v>3762</v>
      </c>
      <c r="M1" s="133" t="s">
        <v>3763</v>
      </c>
      <c r="N1" s="133" t="s">
        <v>3764</v>
      </c>
      <c r="O1" s="133" t="s">
        <v>3765</v>
      </c>
    </row>
    <row r="2" customFormat="false" ht="15" hidden="false" customHeight="false" outlineLevel="0" collapsed="false">
      <c r="A2" s="138" t="s">
        <v>1568</v>
      </c>
      <c r="B2" s="138" t="s">
        <v>1643</v>
      </c>
      <c r="C2" s="138" t="n">
        <v>0</v>
      </c>
      <c r="D2" s="138" t="n">
        <v>1</v>
      </c>
      <c r="E2" s="141" t="n">
        <f aca="false">F2/Parâmetros!$C$22</f>
        <v>217.05</v>
      </c>
      <c r="F2" s="141" t="n">
        <v>43.41</v>
      </c>
      <c r="G2" s="141" t="n">
        <v>294.03</v>
      </c>
      <c r="H2" s="141" t="n">
        <v>0</v>
      </c>
      <c r="I2" s="141" t="n">
        <v>0</v>
      </c>
      <c r="J2" s="141" t="n">
        <v>0</v>
      </c>
      <c r="K2" s="141" t="n">
        <v>2.99</v>
      </c>
      <c r="L2" s="141" t="n">
        <v>151.05</v>
      </c>
      <c r="M2" s="141" t="n">
        <v>0</v>
      </c>
      <c r="N2" s="141" t="n">
        <v>0</v>
      </c>
      <c r="O2" s="141" t="n">
        <v>2.3</v>
      </c>
    </row>
    <row r="3" customFormat="false" ht="15" hidden="false" customHeight="false" outlineLevel="0" collapsed="false">
      <c r="A3" s="138" t="s">
        <v>1643</v>
      </c>
      <c r="B3" s="138" t="s">
        <v>1644</v>
      </c>
      <c r="C3" s="138" t="n">
        <v>1</v>
      </c>
      <c r="D3" s="138" t="n">
        <v>2</v>
      </c>
      <c r="E3" s="141" t="n">
        <f aca="false">F3/Parâmetros!$C$22</f>
        <v>272</v>
      </c>
      <c r="F3" s="141" t="n">
        <v>54.4</v>
      </c>
      <c r="G3" s="141" t="n">
        <v>324.86</v>
      </c>
      <c r="H3" s="141" t="n">
        <v>0</v>
      </c>
      <c r="I3" s="141" t="n">
        <v>0</v>
      </c>
      <c r="J3" s="141" t="n">
        <v>0</v>
      </c>
      <c r="K3" s="141" t="n">
        <v>0</v>
      </c>
      <c r="L3" s="141" t="n">
        <v>154.8</v>
      </c>
      <c r="M3" s="141" t="n">
        <v>0</v>
      </c>
      <c r="N3" s="141" t="n">
        <v>0</v>
      </c>
      <c r="O3" s="141" t="n">
        <v>4.61</v>
      </c>
    </row>
    <row r="4" customFormat="false" ht="15" hidden="false" customHeight="false" outlineLevel="0" collapsed="false">
      <c r="A4" s="138" t="s">
        <v>1644</v>
      </c>
      <c r="B4" s="138" t="s">
        <v>1645</v>
      </c>
      <c r="C4" s="138" t="n">
        <v>2</v>
      </c>
      <c r="D4" s="138" t="n">
        <v>3</v>
      </c>
      <c r="E4" s="141" t="n">
        <f aca="false">F4/Parâmetros!$C$22</f>
        <v>285.2</v>
      </c>
      <c r="F4" s="141" t="n">
        <v>57.04</v>
      </c>
      <c r="G4" s="141" t="n">
        <v>0</v>
      </c>
      <c r="H4" s="141" t="n">
        <v>0</v>
      </c>
      <c r="I4" s="141" t="n">
        <v>0</v>
      </c>
      <c r="J4" s="141" t="n">
        <v>487.58</v>
      </c>
      <c r="K4" s="141" t="n">
        <v>0</v>
      </c>
      <c r="L4" s="141" t="n">
        <v>154.8</v>
      </c>
      <c r="M4" s="141" t="n">
        <v>112.1</v>
      </c>
      <c r="N4" s="141" t="n">
        <v>0</v>
      </c>
      <c r="O4" s="141" t="n">
        <v>4.61</v>
      </c>
    </row>
    <row r="5" customFormat="false" ht="15" hidden="false" customHeight="false" outlineLevel="0" collapsed="false">
      <c r="A5" s="138" t="s">
        <v>1645</v>
      </c>
      <c r="B5" s="138" t="s">
        <v>1646</v>
      </c>
      <c r="C5" s="138" t="n">
        <v>3</v>
      </c>
      <c r="D5" s="138" t="n">
        <v>4</v>
      </c>
      <c r="E5" s="141" t="n">
        <f aca="false">F5/Parâmetros!$C$22</f>
        <v>289.05</v>
      </c>
      <c r="F5" s="141" t="n">
        <v>57.81</v>
      </c>
      <c r="G5" s="141" t="n">
        <v>0</v>
      </c>
      <c r="H5" s="141" t="n">
        <v>0</v>
      </c>
      <c r="I5" s="141" t="n">
        <v>0</v>
      </c>
      <c r="J5" s="141" t="n">
        <v>628.58</v>
      </c>
      <c r="K5" s="141" t="n">
        <v>29.64</v>
      </c>
      <c r="L5" s="141" t="n">
        <v>159.93</v>
      </c>
      <c r="M5" s="141" t="n">
        <v>263.917</v>
      </c>
      <c r="N5" s="141" t="n">
        <v>0</v>
      </c>
      <c r="O5" s="141" t="n">
        <v>4.61</v>
      </c>
    </row>
    <row r="6" customFormat="false" ht="15" hidden="false" customHeight="false" outlineLevel="0" collapsed="false">
      <c r="A6" s="138" t="s">
        <v>1646</v>
      </c>
      <c r="B6" s="138" t="s">
        <v>1647</v>
      </c>
      <c r="C6" s="138" t="n">
        <v>4</v>
      </c>
      <c r="D6" s="138" t="n">
        <v>5</v>
      </c>
      <c r="E6" s="141" t="n">
        <f aca="false">F6/Parâmetros!$C$22</f>
        <v>280.8</v>
      </c>
      <c r="F6" s="141" t="n">
        <v>56.16</v>
      </c>
      <c r="G6" s="141" t="n">
        <v>0</v>
      </c>
      <c r="H6" s="141" t="n">
        <v>0</v>
      </c>
      <c r="I6" s="141" t="n">
        <v>0</v>
      </c>
      <c r="J6" s="141" t="n">
        <v>378.35</v>
      </c>
      <c r="K6" s="141" t="n">
        <v>33.54</v>
      </c>
      <c r="L6" s="141" t="n">
        <v>161.74</v>
      </c>
      <c r="M6" s="141" t="n">
        <v>151.817</v>
      </c>
      <c r="N6" s="141" t="n">
        <v>0</v>
      </c>
      <c r="O6" s="141" t="n">
        <v>4.46</v>
      </c>
    </row>
    <row r="7" customFormat="false" ht="15" hidden="false" customHeight="false" outlineLevel="0" collapsed="false">
      <c r="A7" s="138" t="s">
        <v>1647</v>
      </c>
      <c r="B7" s="138" t="s">
        <v>1648</v>
      </c>
      <c r="C7" s="138" t="n">
        <v>5</v>
      </c>
      <c r="D7" s="138" t="n">
        <v>6</v>
      </c>
      <c r="E7" s="141" t="n">
        <f aca="false">F7/Parâmetros!$C$22</f>
        <v>274.05</v>
      </c>
      <c r="F7" s="141" t="n">
        <v>54.81</v>
      </c>
      <c r="G7" s="141" t="n">
        <v>185.38</v>
      </c>
      <c r="H7" s="141" t="n">
        <v>0</v>
      </c>
      <c r="I7" s="141" t="n">
        <v>0</v>
      </c>
      <c r="J7" s="141" t="n">
        <v>0</v>
      </c>
      <c r="K7" s="141" t="n">
        <v>4.4</v>
      </c>
      <c r="L7" s="141" t="n">
        <v>156.61</v>
      </c>
      <c r="M7" s="141" t="n">
        <v>0</v>
      </c>
      <c r="N7" s="141" t="n">
        <v>0</v>
      </c>
      <c r="O7" s="141" t="n">
        <v>4.46</v>
      </c>
    </row>
    <row r="8" customFormat="false" ht="15" hidden="false" customHeight="false" outlineLevel="0" collapsed="false">
      <c r="A8" s="138" t="s">
        <v>1648</v>
      </c>
      <c r="B8" s="138" t="s">
        <v>1649</v>
      </c>
      <c r="C8" s="138" t="n">
        <v>6</v>
      </c>
      <c r="D8" s="138" t="n">
        <v>7</v>
      </c>
      <c r="E8" s="141" t="n">
        <f aca="false">F8/Parâmetros!$C$22</f>
        <v>318.6</v>
      </c>
      <c r="F8" s="141" t="n">
        <v>63.72</v>
      </c>
      <c r="G8" s="141" t="n">
        <v>358.09</v>
      </c>
      <c r="H8" s="141" t="n">
        <v>0</v>
      </c>
      <c r="I8" s="141" t="n">
        <v>0</v>
      </c>
      <c r="J8" s="141" t="n">
        <v>0</v>
      </c>
      <c r="K8" s="141" t="n">
        <v>0</v>
      </c>
      <c r="L8" s="141" t="n">
        <v>154.8</v>
      </c>
      <c r="M8" s="141" t="n">
        <v>0</v>
      </c>
      <c r="N8" s="141" t="n">
        <v>0</v>
      </c>
      <c r="O8" s="141" t="n">
        <v>4.61</v>
      </c>
    </row>
    <row r="9" customFormat="false" ht="15" hidden="false" customHeight="false" outlineLevel="0" collapsed="false">
      <c r="A9" s="138" t="s">
        <v>1649</v>
      </c>
      <c r="B9" s="138" t="s">
        <v>1650</v>
      </c>
      <c r="C9" s="138" t="n">
        <v>7</v>
      </c>
      <c r="D9" s="138" t="n">
        <v>8</v>
      </c>
      <c r="E9" s="141" t="n">
        <f aca="false">F9/Parâmetros!$C$22</f>
        <v>375.85</v>
      </c>
      <c r="F9" s="141" t="n">
        <v>75.17</v>
      </c>
      <c r="G9" s="141" t="n">
        <v>634.64</v>
      </c>
      <c r="H9" s="141" t="n">
        <v>0</v>
      </c>
      <c r="I9" s="141" t="n">
        <v>0</v>
      </c>
      <c r="J9" s="141" t="n">
        <v>0</v>
      </c>
      <c r="K9" s="141" t="n">
        <v>0</v>
      </c>
      <c r="L9" s="141" t="n">
        <v>154.8</v>
      </c>
      <c r="M9" s="141" t="n">
        <v>0</v>
      </c>
      <c r="N9" s="141" t="n">
        <v>0</v>
      </c>
      <c r="O9" s="141" t="n">
        <v>4.61</v>
      </c>
    </row>
    <row r="10" customFormat="false" ht="15" hidden="false" customHeight="false" outlineLevel="0" collapsed="false">
      <c r="A10" s="138" t="s">
        <v>1650</v>
      </c>
      <c r="B10" s="138" t="s">
        <v>1651</v>
      </c>
      <c r="C10" s="138" t="n">
        <v>8</v>
      </c>
      <c r="D10" s="138" t="n">
        <v>9</v>
      </c>
      <c r="E10" s="141" t="n">
        <f aca="false">F10/Parâmetros!$C$22</f>
        <v>397.4</v>
      </c>
      <c r="F10" s="141" t="n">
        <v>79.48</v>
      </c>
      <c r="G10" s="141" t="n">
        <v>829.96</v>
      </c>
      <c r="H10" s="141" t="n">
        <v>0</v>
      </c>
      <c r="I10" s="141" t="n">
        <v>0</v>
      </c>
      <c r="J10" s="141" t="n">
        <v>0</v>
      </c>
      <c r="K10" s="141" t="n">
        <v>0</v>
      </c>
      <c r="L10" s="141" t="n">
        <v>154.8</v>
      </c>
      <c r="M10" s="141" t="n">
        <v>0</v>
      </c>
      <c r="N10" s="141" t="n">
        <v>0</v>
      </c>
      <c r="O10" s="141" t="n">
        <v>4.61</v>
      </c>
    </row>
    <row r="11" customFormat="false" ht="15" hidden="false" customHeight="false" outlineLevel="0" collapsed="false">
      <c r="A11" s="138" t="s">
        <v>1651</v>
      </c>
      <c r="B11" s="138" t="s">
        <v>1652</v>
      </c>
      <c r="C11" s="138" t="n">
        <v>9</v>
      </c>
      <c r="D11" s="138" t="n">
        <v>10</v>
      </c>
      <c r="E11" s="141" t="n">
        <f aca="false">F11/Parâmetros!$C$22</f>
        <v>408.85</v>
      </c>
      <c r="F11" s="141" t="n">
        <v>81.77</v>
      </c>
      <c r="G11" s="141" t="n">
        <v>967.01</v>
      </c>
      <c r="H11" s="141" t="n">
        <v>0</v>
      </c>
      <c r="I11" s="141" t="n">
        <v>0</v>
      </c>
      <c r="J11" s="141" t="n">
        <v>0</v>
      </c>
      <c r="K11" s="141" t="n">
        <v>0</v>
      </c>
      <c r="L11" s="141" t="n">
        <v>154.8</v>
      </c>
      <c r="M11" s="141" t="n">
        <v>0</v>
      </c>
      <c r="N11" s="141" t="n">
        <v>0</v>
      </c>
      <c r="O11" s="141" t="n">
        <v>4.61</v>
      </c>
    </row>
    <row r="12" customFormat="false" ht="15" hidden="false" customHeight="false" outlineLevel="0" collapsed="false">
      <c r="A12" s="138" t="s">
        <v>1652</v>
      </c>
      <c r="B12" s="138" t="s">
        <v>1653</v>
      </c>
      <c r="C12" s="138" t="n">
        <v>10</v>
      </c>
      <c r="D12" s="138" t="n">
        <v>11</v>
      </c>
      <c r="E12" s="141" t="n">
        <f aca="false">F12/Parâmetros!$C$22</f>
        <v>430.25</v>
      </c>
      <c r="F12" s="141" t="n">
        <v>86.05</v>
      </c>
      <c r="G12" s="141" t="n">
        <v>1087.24</v>
      </c>
      <c r="H12" s="141" t="n">
        <v>0</v>
      </c>
      <c r="I12" s="141" t="n">
        <v>0</v>
      </c>
      <c r="J12" s="141" t="n">
        <v>0</v>
      </c>
      <c r="K12" s="141" t="n">
        <v>0</v>
      </c>
      <c r="L12" s="141" t="n">
        <v>154.8</v>
      </c>
      <c r="M12" s="141" t="n">
        <v>0</v>
      </c>
      <c r="N12" s="141" t="n">
        <v>0</v>
      </c>
      <c r="O12" s="141" t="n">
        <v>4.61</v>
      </c>
    </row>
    <row r="13" customFormat="false" ht="15" hidden="false" customHeight="false" outlineLevel="0" collapsed="false">
      <c r="A13" s="138" t="s">
        <v>1653</v>
      </c>
      <c r="B13" s="138" t="s">
        <v>1654</v>
      </c>
      <c r="C13" s="138" t="n">
        <v>11</v>
      </c>
      <c r="D13" s="138" t="n">
        <v>12</v>
      </c>
      <c r="E13" s="141" t="n">
        <f aca="false">F13/Parâmetros!$C$22</f>
        <v>442.05</v>
      </c>
      <c r="F13" s="141" t="n">
        <v>88.41</v>
      </c>
      <c r="G13" s="141" t="n">
        <v>1124.05</v>
      </c>
      <c r="H13" s="141" t="n">
        <v>0</v>
      </c>
      <c r="I13" s="141" t="n">
        <v>0</v>
      </c>
      <c r="J13" s="141" t="n">
        <v>0</v>
      </c>
      <c r="K13" s="141" t="n">
        <v>0</v>
      </c>
      <c r="L13" s="141" t="n">
        <v>154.8</v>
      </c>
      <c r="M13" s="141" t="n">
        <v>0</v>
      </c>
      <c r="N13" s="141" t="n">
        <v>0</v>
      </c>
      <c r="O13" s="141" t="n">
        <v>4.61</v>
      </c>
    </row>
    <row r="14" customFormat="false" ht="15" hidden="false" customHeight="false" outlineLevel="0" collapsed="false">
      <c r="A14" s="138" t="s">
        <v>1654</v>
      </c>
      <c r="B14" s="138" t="s">
        <v>1655</v>
      </c>
      <c r="C14" s="138" t="n">
        <v>12</v>
      </c>
      <c r="D14" s="138" t="n">
        <v>13</v>
      </c>
      <c r="E14" s="141" t="n">
        <f aca="false">F14/Parâmetros!$C$22</f>
        <v>417.9</v>
      </c>
      <c r="F14" s="141" t="n">
        <v>83.58</v>
      </c>
      <c r="G14" s="141" t="n">
        <v>964.79</v>
      </c>
      <c r="H14" s="141" t="n">
        <v>0</v>
      </c>
      <c r="I14" s="141" t="n">
        <v>0</v>
      </c>
      <c r="J14" s="141" t="n">
        <v>0</v>
      </c>
      <c r="K14" s="141" t="n">
        <v>0</v>
      </c>
      <c r="L14" s="141" t="n">
        <v>154.8</v>
      </c>
      <c r="M14" s="141" t="n">
        <v>0</v>
      </c>
      <c r="N14" s="141" t="n">
        <v>0</v>
      </c>
      <c r="O14" s="141" t="n">
        <v>4.61</v>
      </c>
    </row>
    <row r="15" customFormat="false" ht="15" hidden="false" customHeight="false" outlineLevel="0" collapsed="false">
      <c r="A15" s="138" t="s">
        <v>1655</v>
      </c>
      <c r="B15" s="138" t="s">
        <v>1656</v>
      </c>
      <c r="C15" s="138" t="n">
        <v>13</v>
      </c>
      <c r="D15" s="138" t="n">
        <v>14</v>
      </c>
      <c r="E15" s="141" t="n">
        <f aca="false">F15/Parâmetros!$C$22</f>
        <v>366.45</v>
      </c>
      <c r="F15" s="141" t="n">
        <v>73.29</v>
      </c>
      <c r="G15" s="141" t="n">
        <v>657.9</v>
      </c>
      <c r="H15" s="141" t="n">
        <v>0</v>
      </c>
      <c r="I15" s="141" t="n">
        <v>0</v>
      </c>
      <c r="J15" s="141" t="n">
        <v>0</v>
      </c>
      <c r="K15" s="141" t="n">
        <v>0</v>
      </c>
      <c r="L15" s="141" t="n">
        <v>154.8</v>
      </c>
      <c r="M15" s="141" t="n">
        <v>0</v>
      </c>
      <c r="N15" s="141" t="n">
        <v>0</v>
      </c>
      <c r="O15" s="141" t="n">
        <v>4.61</v>
      </c>
    </row>
    <row r="16" customFormat="false" ht="15" hidden="false" customHeight="false" outlineLevel="0" collapsed="false">
      <c r="A16" s="138" t="s">
        <v>1656</v>
      </c>
      <c r="B16" s="138" t="s">
        <v>1657</v>
      </c>
      <c r="C16" s="138" t="n">
        <v>14</v>
      </c>
      <c r="D16" s="138" t="n">
        <v>15</v>
      </c>
      <c r="E16" s="141" t="n">
        <f aca="false">F16/Parâmetros!$C$22</f>
        <v>311.3</v>
      </c>
      <c r="F16" s="141" t="n">
        <v>62.26</v>
      </c>
      <c r="G16" s="141" t="n">
        <v>435.49</v>
      </c>
      <c r="H16" s="141" t="n">
        <v>0</v>
      </c>
      <c r="I16" s="141" t="n">
        <v>0</v>
      </c>
      <c r="J16" s="141" t="n">
        <v>0</v>
      </c>
      <c r="K16" s="141" t="n">
        <v>0</v>
      </c>
      <c r="L16" s="141" t="n">
        <v>154.8</v>
      </c>
      <c r="M16" s="141" t="n">
        <v>0</v>
      </c>
      <c r="N16" s="141" t="n">
        <v>0</v>
      </c>
      <c r="O16" s="141" t="n">
        <v>4.61</v>
      </c>
    </row>
    <row r="17" customFormat="false" ht="15" hidden="false" customHeight="false" outlineLevel="0" collapsed="false">
      <c r="A17" s="138" t="s">
        <v>1657</v>
      </c>
      <c r="B17" s="138" t="s">
        <v>1658</v>
      </c>
      <c r="C17" s="138" t="n">
        <v>15</v>
      </c>
      <c r="D17" s="138" t="n">
        <v>16</v>
      </c>
      <c r="E17" s="141" t="n">
        <f aca="false">F17/Parâmetros!$C$22</f>
        <v>287.9</v>
      </c>
      <c r="F17" s="141" t="n">
        <v>57.58</v>
      </c>
      <c r="G17" s="141" t="n">
        <v>346.91</v>
      </c>
      <c r="H17" s="141" t="n">
        <v>0</v>
      </c>
      <c r="I17" s="141" t="n">
        <v>0</v>
      </c>
      <c r="J17" s="141" t="n">
        <v>0</v>
      </c>
      <c r="K17" s="141" t="n">
        <v>2.57</v>
      </c>
      <c r="L17" s="141" t="n">
        <v>154.8</v>
      </c>
      <c r="M17" s="141" t="n">
        <v>0</v>
      </c>
      <c r="N17" s="141" t="n">
        <v>0</v>
      </c>
      <c r="O17" s="141" t="n">
        <v>4.46</v>
      </c>
    </row>
    <row r="18" customFormat="false" ht="15" hidden="false" customHeight="false" outlineLevel="0" collapsed="false">
      <c r="A18" s="138" t="s">
        <v>1658</v>
      </c>
      <c r="B18" s="138" t="s">
        <v>1659</v>
      </c>
      <c r="C18" s="138" t="n">
        <v>16</v>
      </c>
      <c r="D18" s="138" t="n">
        <v>17</v>
      </c>
      <c r="E18" s="141" t="n">
        <f aca="false">F18/Parâmetros!$C$22</f>
        <v>308.1</v>
      </c>
      <c r="F18" s="141" t="n">
        <v>61.62</v>
      </c>
      <c r="G18" s="141" t="n">
        <v>330.33</v>
      </c>
      <c r="H18" s="141" t="n">
        <v>0</v>
      </c>
      <c r="I18" s="141" t="n">
        <v>0</v>
      </c>
      <c r="J18" s="141" t="n">
        <v>0</v>
      </c>
      <c r="K18" s="141" t="n">
        <v>12.09</v>
      </c>
      <c r="L18" s="141" t="n">
        <v>154.8</v>
      </c>
      <c r="M18" s="141" t="n">
        <v>0</v>
      </c>
      <c r="N18" s="141" t="n">
        <v>0</v>
      </c>
      <c r="O18" s="141" t="n">
        <v>4.32</v>
      </c>
    </row>
    <row r="19" customFormat="false" ht="15" hidden="false" customHeight="false" outlineLevel="0" collapsed="false">
      <c r="A19" s="138" t="s">
        <v>1659</v>
      </c>
      <c r="B19" s="138" t="s">
        <v>1660</v>
      </c>
      <c r="C19" s="138" t="n">
        <v>17</v>
      </c>
      <c r="D19" s="138" t="n">
        <v>18</v>
      </c>
      <c r="E19" s="141" t="n">
        <f aca="false">F19/Parâmetros!$C$22</f>
        <v>318.15</v>
      </c>
      <c r="F19" s="141" t="n">
        <v>63.63</v>
      </c>
      <c r="G19" s="141" t="n">
        <v>319.93</v>
      </c>
      <c r="H19" s="141" t="n">
        <v>0</v>
      </c>
      <c r="I19" s="141" t="n">
        <v>0</v>
      </c>
      <c r="J19" s="141" t="n">
        <v>0</v>
      </c>
      <c r="K19" s="141" t="n">
        <v>10.89</v>
      </c>
      <c r="L19" s="141" t="n">
        <v>154.8</v>
      </c>
      <c r="M19" s="141" t="n">
        <v>0</v>
      </c>
      <c r="N19" s="141" t="n">
        <v>0</v>
      </c>
      <c r="O19" s="141" t="n">
        <v>4.32</v>
      </c>
    </row>
    <row r="20" customFormat="false" ht="15" hidden="false" customHeight="false" outlineLevel="0" collapsed="false">
      <c r="A20" s="138" t="s">
        <v>1660</v>
      </c>
      <c r="B20" s="138" t="s">
        <v>1661</v>
      </c>
      <c r="C20" s="138" t="n">
        <v>18</v>
      </c>
      <c r="D20" s="138" t="n">
        <v>19</v>
      </c>
      <c r="E20" s="141" t="n">
        <f aca="false">F20/Parâmetros!$C$22</f>
        <v>319.35</v>
      </c>
      <c r="F20" s="141" t="n">
        <v>63.87</v>
      </c>
      <c r="G20" s="141" t="n">
        <v>340.29</v>
      </c>
      <c r="H20" s="141" t="n">
        <v>0</v>
      </c>
      <c r="I20" s="141" t="n">
        <v>0</v>
      </c>
      <c r="J20" s="141" t="n">
        <v>0</v>
      </c>
      <c r="K20" s="141" t="n">
        <v>1.56</v>
      </c>
      <c r="L20" s="141" t="n">
        <v>154.8</v>
      </c>
      <c r="M20" s="141" t="n">
        <v>0</v>
      </c>
      <c r="N20" s="141" t="n">
        <v>0</v>
      </c>
      <c r="O20" s="141" t="n">
        <v>4.46</v>
      </c>
    </row>
    <row r="21" customFormat="false" ht="15" hidden="false" customHeight="false" outlineLevel="0" collapsed="false">
      <c r="A21" s="138" t="s">
        <v>1661</v>
      </c>
      <c r="B21" s="138" t="s">
        <v>1662</v>
      </c>
      <c r="C21" s="138" t="n">
        <v>19</v>
      </c>
      <c r="D21" s="138" t="n">
        <v>20</v>
      </c>
      <c r="E21" s="141" t="n">
        <f aca="false">F21/Parâmetros!$C$22</f>
        <v>330.4</v>
      </c>
      <c r="F21" s="141" t="n">
        <v>66.08</v>
      </c>
      <c r="G21" s="141" t="n">
        <v>411.13</v>
      </c>
      <c r="H21" s="141" t="n">
        <v>0</v>
      </c>
      <c r="I21" s="141" t="n">
        <v>0</v>
      </c>
      <c r="J21" s="141" t="n">
        <v>0</v>
      </c>
      <c r="K21" s="141" t="n">
        <v>0.84</v>
      </c>
      <c r="L21" s="141" t="n">
        <v>154.8</v>
      </c>
      <c r="M21" s="141" t="n">
        <v>0</v>
      </c>
      <c r="N21" s="141" t="n">
        <v>0</v>
      </c>
      <c r="O21" s="141" t="n">
        <v>4.61</v>
      </c>
    </row>
    <row r="22" customFormat="false" ht="15" hidden="false" customHeight="false" outlineLevel="0" collapsed="false">
      <c r="A22" s="138" t="s">
        <v>1662</v>
      </c>
      <c r="B22" s="138" t="s">
        <v>3766</v>
      </c>
      <c r="C22" s="138" t="n">
        <v>20</v>
      </c>
      <c r="D22" s="138" t="n">
        <v>20.369</v>
      </c>
      <c r="E22" s="141" t="n">
        <f aca="false">F22/Parâmetros!$C$22</f>
        <v>124.9</v>
      </c>
      <c r="F22" s="141" t="n">
        <v>24.98</v>
      </c>
      <c r="G22" s="141" t="n">
        <v>175.45</v>
      </c>
      <c r="H22" s="141" t="n">
        <v>0</v>
      </c>
      <c r="I22" s="141" t="n">
        <v>0</v>
      </c>
      <c r="J22" s="141" t="n">
        <v>0</v>
      </c>
      <c r="K22" s="141" t="n">
        <v>0</v>
      </c>
      <c r="L22" s="141" t="n">
        <v>57.16</v>
      </c>
      <c r="M22" s="141" t="n">
        <v>0</v>
      </c>
      <c r="N22" s="141" t="n">
        <v>0</v>
      </c>
      <c r="O22" s="141" t="n">
        <v>1.7</v>
      </c>
    </row>
    <row r="23" customFormat="false" ht="15" hidden="false" customHeight="false" outlineLevel="0" collapsed="false">
      <c r="A23" s="138" t="s">
        <v>3766</v>
      </c>
      <c r="B23" s="138" t="s">
        <v>1663</v>
      </c>
      <c r="C23" s="138" t="n">
        <v>20.369</v>
      </c>
      <c r="D23" s="138" t="n">
        <v>21</v>
      </c>
      <c r="E23" s="141" t="n">
        <f aca="false">F23/Parâmetros!$C$22</f>
        <v>217.15</v>
      </c>
      <c r="F23" s="141" t="n">
        <v>43.43</v>
      </c>
      <c r="G23" s="141" t="n">
        <v>342.8</v>
      </c>
      <c r="H23" s="141" t="n">
        <v>0</v>
      </c>
      <c r="I23" s="141" t="n">
        <v>0</v>
      </c>
      <c r="J23" s="141" t="n">
        <v>0</v>
      </c>
      <c r="K23" s="141" t="n">
        <v>0</v>
      </c>
      <c r="L23" s="141" t="n">
        <v>97.64</v>
      </c>
      <c r="M23" s="141" t="n">
        <v>0</v>
      </c>
      <c r="N23" s="141" t="n">
        <v>0</v>
      </c>
      <c r="O23" s="141" t="n">
        <v>2.91</v>
      </c>
    </row>
    <row r="24" customFormat="false" ht="15" hidden="false" customHeight="false" outlineLevel="0" collapsed="false">
      <c r="A24" s="138" t="s">
        <v>1663</v>
      </c>
      <c r="B24" s="138" t="s">
        <v>1664</v>
      </c>
      <c r="C24" s="138" t="n">
        <v>21</v>
      </c>
      <c r="D24" s="138" t="n">
        <v>22</v>
      </c>
      <c r="E24" s="141" t="n">
        <f aca="false">F24/Parâmetros!$C$22</f>
        <v>356.15</v>
      </c>
      <c r="F24" s="141" t="n">
        <v>71.23</v>
      </c>
      <c r="G24" s="141" t="n">
        <v>685.32</v>
      </c>
      <c r="H24" s="141" t="n">
        <v>0</v>
      </c>
      <c r="I24" s="141" t="n">
        <v>0</v>
      </c>
      <c r="J24" s="141" t="n">
        <v>0</v>
      </c>
      <c r="K24" s="141" t="n">
        <v>0</v>
      </c>
      <c r="L24" s="141" t="n">
        <v>154.8</v>
      </c>
      <c r="M24" s="141" t="n">
        <v>0</v>
      </c>
      <c r="N24" s="141" t="n">
        <v>0</v>
      </c>
      <c r="O24" s="141" t="n">
        <v>4.61</v>
      </c>
    </row>
    <row r="25" customFormat="false" ht="15" hidden="false" customHeight="false" outlineLevel="0" collapsed="false">
      <c r="A25" s="138" t="s">
        <v>1664</v>
      </c>
      <c r="B25" s="138" t="s">
        <v>1665</v>
      </c>
      <c r="C25" s="138" t="n">
        <v>22</v>
      </c>
      <c r="D25" s="138" t="n">
        <v>23</v>
      </c>
      <c r="E25" s="141" t="n">
        <f aca="false">F25/Parâmetros!$C$22</f>
        <v>380.8</v>
      </c>
      <c r="F25" s="141" t="n">
        <v>76.16</v>
      </c>
      <c r="G25" s="141" t="n">
        <v>927.91</v>
      </c>
      <c r="H25" s="141" t="n">
        <v>0</v>
      </c>
      <c r="I25" s="141" t="n">
        <v>0</v>
      </c>
      <c r="J25" s="141" t="n">
        <v>0</v>
      </c>
      <c r="K25" s="141" t="n">
        <v>0</v>
      </c>
      <c r="L25" s="141" t="n">
        <v>154.8</v>
      </c>
      <c r="M25" s="141" t="n">
        <v>0</v>
      </c>
      <c r="N25" s="141" t="n">
        <v>0</v>
      </c>
      <c r="O25" s="141" t="n">
        <v>4.45</v>
      </c>
    </row>
    <row r="26" customFormat="false" ht="15" hidden="false" customHeight="false" outlineLevel="0" collapsed="false">
      <c r="A26" s="138" t="s">
        <v>1665</v>
      </c>
      <c r="B26" s="138" t="s">
        <v>1666</v>
      </c>
      <c r="C26" s="138" t="n">
        <v>23</v>
      </c>
      <c r="D26" s="138" t="n">
        <v>24</v>
      </c>
      <c r="E26" s="141" t="n">
        <f aca="false">F26/Parâmetros!$C$22</f>
        <v>391.4</v>
      </c>
      <c r="F26" s="141" t="n">
        <v>78.28</v>
      </c>
      <c r="G26" s="141" t="n">
        <v>1127.48</v>
      </c>
      <c r="H26" s="141" t="n">
        <v>0</v>
      </c>
      <c r="I26" s="141" t="n">
        <v>0</v>
      </c>
      <c r="J26" s="141" t="n">
        <v>0</v>
      </c>
      <c r="K26" s="141" t="n">
        <v>0</v>
      </c>
      <c r="L26" s="141" t="n">
        <v>154.8</v>
      </c>
      <c r="M26" s="141" t="n">
        <v>0</v>
      </c>
      <c r="N26" s="141" t="n">
        <v>0</v>
      </c>
      <c r="O26" s="141" t="n">
        <v>4.12</v>
      </c>
    </row>
    <row r="27" customFormat="false" ht="15" hidden="false" customHeight="false" outlineLevel="0" collapsed="false">
      <c r="A27" s="138" t="s">
        <v>1666</v>
      </c>
      <c r="B27" s="138" t="s">
        <v>1667</v>
      </c>
      <c r="C27" s="138" t="n">
        <v>24</v>
      </c>
      <c r="D27" s="138" t="n">
        <v>25</v>
      </c>
      <c r="E27" s="141" t="n">
        <f aca="false">F27/Parâmetros!$C$22</f>
        <v>401.7</v>
      </c>
      <c r="F27" s="141" t="n">
        <v>80.34</v>
      </c>
      <c r="G27" s="141" t="n">
        <v>1308.29</v>
      </c>
      <c r="H27" s="141" t="n">
        <v>0</v>
      </c>
      <c r="I27" s="141" t="n">
        <v>0</v>
      </c>
      <c r="J27" s="141" t="n">
        <v>0</v>
      </c>
      <c r="K27" s="141" t="n">
        <v>0</v>
      </c>
      <c r="L27" s="141" t="n">
        <v>154.8</v>
      </c>
      <c r="M27" s="141" t="n">
        <v>0</v>
      </c>
      <c r="N27" s="141" t="n">
        <v>0</v>
      </c>
      <c r="O27" s="141" t="n">
        <v>3.94</v>
      </c>
    </row>
    <row r="28" customFormat="false" ht="15" hidden="false" customHeight="false" outlineLevel="0" collapsed="false">
      <c r="A28" s="138" t="s">
        <v>1667</v>
      </c>
      <c r="B28" s="138" t="s">
        <v>3767</v>
      </c>
      <c r="C28" s="138" t="n">
        <v>25</v>
      </c>
      <c r="D28" s="138" t="n">
        <v>25.382</v>
      </c>
      <c r="E28" s="141" t="n">
        <f aca="false">F28/Parâmetros!$C$22</f>
        <v>162.45</v>
      </c>
      <c r="F28" s="141" t="n">
        <v>32.49</v>
      </c>
      <c r="G28" s="141" t="n">
        <v>568.9</v>
      </c>
      <c r="H28" s="141" t="n">
        <v>0</v>
      </c>
      <c r="I28" s="141" t="n">
        <v>0</v>
      </c>
      <c r="J28" s="141" t="n">
        <v>0</v>
      </c>
      <c r="K28" s="141" t="n">
        <v>0</v>
      </c>
      <c r="L28" s="141" t="n">
        <v>59.1</v>
      </c>
      <c r="M28" s="141" t="n">
        <v>0</v>
      </c>
      <c r="N28" s="141" t="n">
        <v>0</v>
      </c>
      <c r="O28" s="141" t="n">
        <v>1.51</v>
      </c>
    </row>
    <row r="29" customFormat="false" ht="15" hidden="false" customHeight="false" outlineLevel="0" collapsed="false">
      <c r="A29" s="138" t="s">
        <v>3767</v>
      </c>
      <c r="B29" s="138" t="s">
        <v>1668</v>
      </c>
      <c r="C29" s="138" t="n">
        <v>25.382</v>
      </c>
      <c r="D29" s="138" t="n">
        <v>26</v>
      </c>
      <c r="E29" s="141" t="n">
        <f aca="false">F29/Parâmetros!$C$22</f>
        <v>261.2</v>
      </c>
      <c r="F29" s="141" t="n">
        <v>52.24</v>
      </c>
      <c r="G29" s="141" t="n">
        <v>930.5</v>
      </c>
      <c r="H29" s="141" t="n">
        <v>0</v>
      </c>
      <c r="I29" s="141" t="n">
        <v>0</v>
      </c>
      <c r="J29" s="141" t="n">
        <v>0</v>
      </c>
      <c r="K29" s="141" t="n">
        <v>0</v>
      </c>
      <c r="L29" s="141" t="n">
        <v>95.71</v>
      </c>
      <c r="M29" s="141" t="n">
        <v>0</v>
      </c>
      <c r="N29" s="141" t="n">
        <v>0</v>
      </c>
      <c r="O29" s="141" t="n">
        <v>2.44</v>
      </c>
    </row>
    <row r="30" customFormat="false" ht="15" hidden="false" customHeight="false" outlineLevel="0" collapsed="false">
      <c r="A30" s="138" t="s">
        <v>1668</v>
      </c>
      <c r="B30" s="138" t="s">
        <v>1669</v>
      </c>
      <c r="C30" s="138" t="n">
        <v>26</v>
      </c>
      <c r="D30" s="138" t="n">
        <v>27</v>
      </c>
      <c r="E30" s="141" t="n">
        <f aca="false">F30/Parâmetros!$C$22</f>
        <v>399.45</v>
      </c>
      <c r="F30" s="141" t="n">
        <v>79.89</v>
      </c>
      <c r="G30" s="141" t="n">
        <v>1345.66</v>
      </c>
      <c r="H30" s="141" t="n">
        <v>0</v>
      </c>
      <c r="I30" s="141" t="n">
        <v>0</v>
      </c>
      <c r="J30" s="141" t="n">
        <v>0</v>
      </c>
      <c r="K30" s="141" t="n">
        <v>0</v>
      </c>
      <c r="L30" s="141" t="n">
        <v>154.8</v>
      </c>
      <c r="M30" s="141" t="n">
        <v>0</v>
      </c>
      <c r="N30" s="141" t="n">
        <v>0</v>
      </c>
      <c r="O30" s="141" t="n">
        <v>3.94</v>
      </c>
    </row>
    <row r="31" customFormat="false" ht="15" hidden="false" customHeight="false" outlineLevel="0" collapsed="false">
      <c r="A31" s="138" t="s">
        <v>1669</v>
      </c>
      <c r="B31" s="138" t="s">
        <v>1670</v>
      </c>
      <c r="C31" s="138" t="n">
        <v>27</v>
      </c>
      <c r="D31" s="138" t="n">
        <v>28</v>
      </c>
      <c r="E31" s="141" t="n">
        <f aca="false">F31/Parâmetros!$C$22</f>
        <v>401.35</v>
      </c>
      <c r="F31" s="141" t="n">
        <v>80.27</v>
      </c>
      <c r="G31" s="141" t="n">
        <v>1169.96</v>
      </c>
      <c r="H31" s="141" t="n">
        <v>0</v>
      </c>
      <c r="I31" s="141" t="n">
        <v>0</v>
      </c>
      <c r="J31" s="141" t="n">
        <v>0</v>
      </c>
      <c r="K31" s="141" t="n">
        <v>0</v>
      </c>
      <c r="L31" s="141" t="n">
        <v>154.8</v>
      </c>
      <c r="M31" s="141" t="n">
        <v>0</v>
      </c>
      <c r="N31" s="141" t="n">
        <v>0</v>
      </c>
      <c r="O31" s="141" t="n">
        <v>4.12</v>
      </c>
    </row>
    <row r="32" customFormat="false" ht="15" hidden="false" customHeight="false" outlineLevel="0" collapsed="false">
      <c r="A32" s="138" t="s">
        <v>1670</v>
      </c>
      <c r="B32" s="138" t="s">
        <v>1671</v>
      </c>
      <c r="C32" s="138" t="n">
        <v>28</v>
      </c>
      <c r="D32" s="138" t="n">
        <v>29</v>
      </c>
      <c r="E32" s="141" t="n">
        <f aca="false">F32/Parâmetros!$C$22</f>
        <v>397.3</v>
      </c>
      <c r="F32" s="141" t="n">
        <v>79.46</v>
      </c>
      <c r="G32" s="141" t="n">
        <v>915.1</v>
      </c>
      <c r="H32" s="141" t="n">
        <v>0</v>
      </c>
      <c r="I32" s="141" t="n">
        <v>0</v>
      </c>
      <c r="J32" s="141" t="n">
        <v>0</v>
      </c>
      <c r="K32" s="141" t="n">
        <v>0</v>
      </c>
      <c r="L32" s="141" t="n">
        <v>154.8</v>
      </c>
      <c r="M32" s="141" t="n">
        <v>0</v>
      </c>
      <c r="N32" s="141" t="n">
        <v>0</v>
      </c>
      <c r="O32" s="141" t="n">
        <v>4.45</v>
      </c>
    </row>
    <row r="33" customFormat="false" ht="15" hidden="false" customHeight="false" outlineLevel="0" collapsed="false">
      <c r="A33" s="138" t="s">
        <v>1671</v>
      </c>
      <c r="B33" s="138" t="s">
        <v>1672</v>
      </c>
      <c r="C33" s="138" t="n">
        <v>29</v>
      </c>
      <c r="D33" s="138" t="n">
        <v>30</v>
      </c>
      <c r="E33" s="141" t="n">
        <f aca="false">F33/Parâmetros!$C$22</f>
        <v>344.25</v>
      </c>
      <c r="F33" s="141" t="n">
        <v>68.85</v>
      </c>
      <c r="G33" s="141" t="n">
        <v>550.44</v>
      </c>
      <c r="H33" s="141" t="n">
        <v>0</v>
      </c>
      <c r="I33" s="141" t="n">
        <v>0</v>
      </c>
      <c r="J33" s="141" t="n">
        <v>0</v>
      </c>
      <c r="K33" s="141" t="n">
        <v>0</v>
      </c>
      <c r="L33" s="141" t="n">
        <v>154.8</v>
      </c>
      <c r="M33" s="141" t="n">
        <v>0</v>
      </c>
      <c r="N33" s="141" t="n">
        <v>0</v>
      </c>
      <c r="O33" s="141" t="n">
        <v>4.61</v>
      </c>
    </row>
    <row r="34" customFormat="false" ht="15" hidden="false" customHeight="false" outlineLevel="0" collapsed="false">
      <c r="A34" s="138" t="s">
        <v>1672</v>
      </c>
      <c r="B34" s="138" t="s">
        <v>3768</v>
      </c>
      <c r="C34" s="138" t="n">
        <v>30</v>
      </c>
      <c r="D34" s="138" t="n">
        <v>30.3945</v>
      </c>
      <c r="E34" s="141" t="n">
        <f aca="false">F34/Parâmetros!$C$22</f>
        <v>125.55</v>
      </c>
      <c r="F34" s="141" t="n">
        <v>25.11</v>
      </c>
      <c r="G34" s="141" t="n">
        <v>135.15</v>
      </c>
      <c r="H34" s="141" t="n">
        <v>0</v>
      </c>
      <c r="I34" s="141" t="n">
        <v>0</v>
      </c>
      <c r="J34" s="141" t="n">
        <v>0</v>
      </c>
      <c r="K34" s="141" t="n">
        <v>1.4</v>
      </c>
      <c r="L34" s="141" t="n">
        <v>62.18</v>
      </c>
      <c r="M34" s="141" t="n">
        <v>0</v>
      </c>
      <c r="N34" s="141" t="n">
        <v>0</v>
      </c>
      <c r="O34" s="141" t="n">
        <v>1.76</v>
      </c>
    </row>
    <row r="35" customFormat="false" ht="15" hidden="false" customHeight="false" outlineLevel="0" collapsed="false">
      <c r="A35" s="138" t="s">
        <v>3768</v>
      </c>
      <c r="B35" s="138" t="s">
        <v>1673</v>
      </c>
      <c r="C35" s="138" t="n">
        <v>30.3945</v>
      </c>
      <c r="D35" s="138" t="n">
        <v>31</v>
      </c>
      <c r="E35" s="141" t="n">
        <f aca="false">F35/Parâmetros!$C$22</f>
        <v>203.5</v>
      </c>
      <c r="F35" s="141" t="n">
        <v>40.7</v>
      </c>
      <c r="G35" s="141" t="n">
        <v>165.19</v>
      </c>
      <c r="H35" s="141" t="n">
        <v>0</v>
      </c>
      <c r="I35" s="141" t="n">
        <v>0</v>
      </c>
      <c r="J35" s="141" t="n">
        <v>0</v>
      </c>
      <c r="K35" s="141" t="n">
        <v>9.42</v>
      </c>
      <c r="L35" s="141" t="n">
        <v>98.8</v>
      </c>
      <c r="M35" s="141" t="n">
        <v>0</v>
      </c>
      <c r="N35" s="141" t="n">
        <v>0</v>
      </c>
      <c r="O35" s="141" t="n">
        <v>2.62</v>
      </c>
    </row>
    <row r="36" customFormat="false" ht="15" hidden="false" customHeight="false" outlineLevel="0" collapsed="false">
      <c r="A36" s="138" t="s">
        <v>1673</v>
      </c>
      <c r="B36" s="138" t="s">
        <v>1674</v>
      </c>
      <c r="C36" s="138" t="n">
        <v>31</v>
      </c>
      <c r="D36" s="138" t="n">
        <v>32</v>
      </c>
      <c r="E36" s="141" t="n">
        <f aca="false">F36/Parâmetros!$C$22</f>
        <v>329.05</v>
      </c>
      <c r="F36" s="141" t="n">
        <v>65.81</v>
      </c>
      <c r="G36" s="141" t="n">
        <v>284.74</v>
      </c>
      <c r="H36" s="141" t="n">
        <v>0</v>
      </c>
      <c r="I36" s="141" t="n">
        <v>0</v>
      </c>
      <c r="J36" s="141" t="n">
        <v>0</v>
      </c>
      <c r="K36" s="141" t="n">
        <v>12.87</v>
      </c>
      <c r="L36" s="141" t="n">
        <v>160.2</v>
      </c>
      <c r="M36" s="141" t="n">
        <v>0</v>
      </c>
      <c r="N36" s="141" t="n">
        <v>0</v>
      </c>
      <c r="O36" s="141" t="n">
        <v>4.46</v>
      </c>
    </row>
    <row r="37" customFormat="false" ht="15" hidden="false" customHeight="false" outlineLevel="0" collapsed="false">
      <c r="A37" s="138" t="s">
        <v>1674</v>
      </c>
      <c r="B37" s="138" t="s">
        <v>1675</v>
      </c>
      <c r="C37" s="138" t="n">
        <v>32</v>
      </c>
      <c r="D37" s="138" t="n">
        <v>33</v>
      </c>
      <c r="E37" s="141" t="n">
        <f aca="false">F37/Parâmetros!$C$22</f>
        <v>340</v>
      </c>
      <c r="F37" s="141" t="n">
        <v>68</v>
      </c>
      <c r="G37" s="141" t="n">
        <v>385.99</v>
      </c>
      <c r="H37" s="141" t="n">
        <v>0</v>
      </c>
      <c r="I37" s="141" t="n">
        <v>0</v>
      </c>
      <c r="J37" s="141" t="n">
        <v>0</v>
      </c>
      <c r="K37" s="141" t="n">
        <v>0</v>
      </c>
      <c r="L37" s="141" t="n">
        <v>154.8</v>
      </c>
      <c r="M37" s="141" t="n">
        <v>0</v>
      </c>
      <c r="N37" s="141" t="n">
        <v>0</v>
      </c>
      <c r="O37" s="141" t="n">
        <v>4.61</v>
      </c>
    </row>
    <row r="38" customFormat="false" ht="15" hidden="false" customHeight="false" outlineLevel="0" collapsed="false">
      <c r="A38" s="138" t="s">
        <v>1675</v>
      </c>
      <c r="B38" s="138" t="s">
        <v>1676</v>
      </c>
      <c r="C38" s="138" t="n">
        <v>33</v>
      </c>
      <c r="D38" s="138" t="n">
        <v>34</v>
      </c>
      <c r="E38" s="141" t="n">
        <f aca="false">F38/Parâmetros!$C$22</f>
        <v>370.4</v>
      </c>
      <c r="F38" s="141" t="n">
        <v>74.08</v>
      </c>
      <c r="G38" s="141" t="n">
        <v>420.3</v>
      </c>
      <c r="H38" s="141" t="n">
        <v>0</v>
      </c>
      <c r="I38" s="141" t="n">
        <v>0</v>
      </c>
      <c r="J38" s="141" t="n">
        <v>0</v>
      </c>
      <c r="K38" s="141" t="n">
        <v>0</v>
      </c>
      <c r="L38" s="141" t="n">
        <v>154.8</v>
      </c>
      <c r="M38" s="141" t="n">
        <v>0</v>
      </c>
      <c r="N38" s="141" t="n">
        <v>0</v>
      </c>
      <c r="O38" s="141" t="n">
        <v>4.61</v>
      </c>
    </row>
    <row r="39" customFormat="false" ht="15" hidden="false" customHeight="false" outlineLevel="0" collapsed="false">
      <c r="A39" s="138" t="s">
        <v>1676</v>
      </c>
      <c r="B39" s="138" t="s">
        <v>1677</v>
      </c>
      <c r="C39" s="138" t="n">
        <v>34</v>
      </c>
      <c r="D39" s="138" t="n">
        <v>35</v>
      </c>
      <c r="E39" s="141" t="n">
        <f aca="false">F39/Parâmetros!$C$22</f>
        <v>352.4</v>
      </c>
      <c r="F39" s="141" t="n">
        <v>70.48</v>
      </c>
      <c r="G39" s="141" t="n">
        <v>308.22</v>
      </c>
      <c r="H39" s="141" t="n">
        <v>0</v>
      </c>
      <c r="I39" s="141" t="n">
        <v>0</v>
      </c>
      <c r="J39" s="141" t="n">
        <v>0</v>
      </c>
      <c r="K39" s="141" t="n">
        <v>0</v>
      </c>
      <c r="L39" s="141" t="n">
        <v>154.8</v>
      </c>
      <c r="M39" s="141" t="n">
        <v>0</v>
      </c>
      <c r="N39" s="141" t="n">
        <v>0</v>
      </c>
      <c r="O39" s="141" t="n">
        <v>4.61</v>
      </c>
    </row>
    <row r="40" customFormat="false" ht="15" hidden="false" customHeight="false" outlineLevel="0" collapsed="false">
      <c r="A40" s="138" t="s">
        <v>1677</v>
      </c>
      <c r="B40" s="138" t="s">
        <v>1678</v>
      </c>
      <c r="C40" s="138" t="n">
        <v>35</v>
      </c>
      <c r="D40" s="138" t="n">
        <v>36</v>
      </c>
      <c r="E40" s="141" t="n">
        <f aca="false">F40/Parâmetros!$C$22</f>
        <v>311.65</v>
      </c>
      <c r="F40" s="141" t="n">
        <v>62.33</v>
      </c>
      <c r="G40" s="141" t="n">
        <v>179.05</v>
      </c>
      <c r="H40" s="141" t="n">
        <v>0</v>
      </c>
      <c r="I40" s="141" t="n">
        <v>0</v>
      </c>
      <c r="J40" s="141" t="n">
        <v>0</v>
      </c>
      <c r="K40" s="141" t="n">
        <v>2.93</v>
      </c>
      <c r="L40" s="141" t="n">
        <v>155.15</v>
      </c>
      <c r="M40" s="141" t="n">
        <v>0</v>
      </c>
      <c r="N40" s="141" t="n">
        <v>0</v>
      </c>
      <c r="O40" s="141" t="n">
        <v>4.46</v>
      </c>
    </row>
    <row r="41" customFormat="false" ht="15" hidden="false" customHeight="false" outlineLevel="0" collapsed="false">
      <c r="A41" s="138" t="s">
        <v>1678</v>
      </c>
      <c r="B41" s="138" t="s">
        <v>1679</v>
      </c>
      <c r="C41" s="138" t="n">
        <v>36</v>
      </c>
      <c r="D41" s="138" t="n">
        <v>37</v>
      </c>
      <c r="E41" s="141" t="n">
        <f aca="false">F41/Parâmetros!$C$22</f>
        <v>291.65</v>
      </c>
      <c r="F41" s="141" t="n">
        <v>58.33</v>
      </c>
      <c r="G41" s="141" t="n">
        <v>116.79</v>
      </c>
      <c r="H41" s="141" t="n">
        <v>0</v>
      </c>
      <c r="I41" s="141" t="n">
        <v>0</v>
      </c>
      <c r="J41" s="141" t="n">
        <v>0</v>
      </c>
      <c r="K41" s="141" t="n">
        <v>12.04</v>
      </c>
      <c r="L41" s="141" t="n">
        <v>160.55</v>
      </c>
      <c r="M41" s="141" t="n">
        <v>0</v>
      </c>
      <c r="N41" s="141" t="n">
        <v>0</v>
      </c>
      <c r="O41" s="141" t="n">
        <v>4.32</v>
      </c>
    </row>
    <row r="42" customFormat="false" ht="15" hidden="false" customHeight="false" outlineLevel="0" collapsed="false">
      <c r="A42" s="138" t="s">
        <v>1679</v>
      </c>
      <c r="B42" s="138" t="s">
        <v>1680</v>
      </c>
      <c r="C42" s="138" t="n">
        <v>37</v>
      </c>
      <c r="D42" s="138" t="n">
        <v>38</v>
      </c>
      <c r="E42" s="141" t="n">
        <f aca="false">F42/Parâmetros!$C$22</f>
        <v>269.5</v>
      </c>
      <c r="F42" s="141" t="n">
        <v>53.9</v>
      </c>
      <c r="G42" s="141" t="n">
        <v>86.83</v>
      </c>
      <c r="H42" s="141" t="n">
        <v>0</v>
      </c>
      <c r="I42" s="141" t="n">
        <v>0</v>
      </c>
      <c r="J42" s="141" t="n">
        <v>0</v>
      </c>
      <c r="K42" s="141" t="n">
        <v>19.13</v>
      </c>
      <c r="L42" s="141" t="n">
        <v>165.6</v>
      </c>
      <c r="M42" s="141" t="n">
        <v>0</v>
      </c>
      <c r="N42" s="141" t="n">
        <v>0</v>
      </c>
      <c r="O42" s="141" t="n">
        <v>4.32</v>
      </c>
    </row>
    <row r="43" customFormat="false" ht="15" hidden="false" customHeight="false" outlineLevel="0" collapsed="false">
      <c r="A43" s="138" t="s">
        <v>1680</v>
      </c>
      <c r="B43" s="138" t="s">
        <v>1681</v>
      </c>
      <c r="C43" s="138" t="n">
        <v>38</v>
      </c>
      <c r="D43" s="138" t="n">
        <v>39</v>
      </c>
      <c r="E43" s="141" t="n">
        <f aca="false">F43/Parâmetros!$C$22</f>
        <v>253.7</v>
      </c>
      <c r="F43" s="141" t="n">
        <v>50.74</v>
      </c>
      <c r="G43" s="141" t="n">
        <v>77.99</v>
      </c>
      <c r="H43" s="141" t="n">
        <v>0</v>
      </c>
      <c r="I43" s="141" t="n">
        <v>0</v>
      </c>
      <c r="J43" s="141" t="n">
        <v>0</v>
      </c>
      <c r="K43" s="141" t="n">
        <v>15.19</v>
      </c>
      <c r="L43" s="141" t="n">
        <v>160.2</v>
      </c>
      <c r="M43" s="141" t="n">
        <v>0</v>
      </c>
      <c r="N43" s="141" t="n">
        <v>0</v>
      </c>
      <c r="O43" s="141" t="n">
        <v>4.32</v>
      </c>
    </row>
    <row r="44" customFormat="false" ht="15" hidden="false" customHeight="false" outlineLevel="0" collapsed="false">
      <c r="A44" s="138" t="s">
        <v>1681</v>
      </c>
      <c r="B44" s="138" t="s">
        <v>1682</v>
      </c>
      <c r="C44" s="138" t="n">
        <v>39</v>
      </c>
      <c r="D44" s="138" t="n">
        <v>40</v>
      </c>
      <c r="E44" s="141" t="n">
        <f aca="false">F44/Parâmetros!$C$22</f>
        <v>268.05</v>
      </c>
      <c r="F44" s="141" t="n">
        <v>53.61</v>
      </c>
      <c r="G44" s="141" t="n">
        <v>99.89</v>
      </c>
      <c r="H44" s="141" t="n">
        <v>0</v>
      </c>
      <c r="I44" s="141" t="n">
        <v>0</v>
      </c>
      <c r="J44" s="141" t="n">
        <v>0</v>
      </c>
      <c r="K44" s="141" t="n">
        <v>7.68</v>
      </c>
      <c r="L44" s="141" t="n">
        <v>155.27</v>
      </c>
      <c r="M44" s="141" t="n">
        <v>0</v>
      </c>
      <c r="N44" s="141" t="n">
        <v>0</v>
      </c>
      <c r="O44" s="141" t="n">
        <v>4.32</v>
      </c>
    </row>
    <row r="45" customFormat="false" ht="15" hidden="false" customHeight="false" outlineLevel="0" collapsed="false">
      <c r="A45" s="138" t="s">
        <v>1682</v>
      </c>
      <c r="B45" s="138" t="s">
        <v>1683</v>
      </c>
      <c r="C45" s="138" t="n">
        <v>40</v>
      </c>
      <c r="D45" s="138" t="n">
        <v>41</v>
      </c>
      <c r="E45" s="141" t="n">
        <f aca="false">F45/Parâmetros!$C$22</f>
        <v>315.7</v>
      </c>
      <c r="F45" s="141" t="n">
        <v>63.14</v>
      </c>
      <c r="G45" s="141" t="n">
        <v>153.94</v>
      </c>
      <c r="H45" s="141" t="n">
        <v>0</v>
      </c>
      <c r="I45" s="141" t="n">
        <v>0</v>
      </c>
      <c r="J45" s="141" t="n">
        <v>0</v>
      </c>
      <c r="K45" s="141" t="n">
        <v>2.62</v>
      </c>
      <c r="L45" s="141" t="n">
        <v>155.27</v>
      </c>
      <c r="M45" s="141" t="n">
        <v>0</v>
      </c>
      <c r="N45" s="141" t="n">
        <v>0</v>
      </c>
      <c r="O45" s="141" t="n">
        <v>4.46</v>
      </c>
    </row>
    <row r="46" customFormat="false" ht="15" hidden="false" customHeight="false" outlineLevel="0" collapsed="false">
      <c r="A46" s="138" t="s">
        <v>1683</v>
      </c>
      <c r="B46" s="138" t="s">
        <v>1684</v>
      </c>
      <c r="C46" s="138" t="n">
        <v>41</v>
      </c>
      <c r="D46" s="138" t="n">
        <v>42</v>
      </c>
      <c r="E46" s="141" t="n">
        <f aca="false">F46/Parâmetros!$C$22</f>
        <v>312.35</v>
      </c>
      <c r="F46" s="141" t="n">
        <v>62.47</v>
      </c>
      <c r="G46" s="141" t="n">
        <v>199.07</v>
      </c>
      <c r="H46" s="141" t="n">
        <v>0</v>
      </c>
      <c r="I46" s="141" t="n">
        <v>0</v>
      </c>
      <c r="J46" s="141" t="n">
        <v>0</v>
      </c>
      <c r="K46" s="141" t="n">
        <v>16.42</v>
      </c>
      <c r="L46" s="141" t="n">
        <v>150.36</v>
      </c>
      <c r="M46" s="141" t="n">
        <v>0</v>
      </c>
      <c r="N46" s="141" t="n">
        <v>0</v>
      </c>
      <c r="O46" s="141" t="n">
        <v>3.45</v>
      </c>
    </row>
    <row r="47" customFormat="false" ht="15" hidden="false" customHeight="false" outlineLevel="0" collapsed="false">
      <c r="A47" s="138" t="s">
        <v>1684</v>
      </c>
      <c r="B47" s="138" t="s">
        <v>1686</v>
      </c>
      <c r="C47" s="138" t="n">
        <v>42</v>
      </c>
      <c r="D47" s="138" t="n">
        <v>43</v>
      </c>
      <c r="E47" s="141" t="n">
        <f aca="false">F47/Parâmetros!$C$22</f>
        <v>322.3</v>
      </c>
      <c r="F47" s="141" t="n">
        <v>64.46</v>
      </c>
      <c r="G47" s="141" t="n">
        <v>364.63</v>
      </c>
      <c r="H47" s="141" t="n">
        <v>0</v>
      </c>
      <c r="I47" s="141" t="n">
        <v>0</v>
      </c>
      <c r="J47" s="141" t="n">
        <v>0</v>
      </c>
      <c r="K47" s="141" t="n">
        <v>16.42</v>
      </c>
      <c r="L47" s="141" t="n">
        <v>150.36</v>
      </c>
      <c r="M47" s="141" t="n">
        <v>0</v>
      </c>
      <c r="N47" s="141" t="n">
        <v>0</v>
      </c>
      <c r="O47" s="141" t="n">
        <v>3.45</v>
      </c>
    </row>
    <row r="48" customFormat="false" ht="15" hidden="false" customHeight="false" outlineLevel="0" collapsed="false">
      <c r="A48" s="138" t="s">
        <v>1686</v>
      </c>
      <c r="B48" s="138" t="s">
        <v>1687</v>
      </c>
      <c r="C48" s="138" t="n">
        <v>43</v>
      </c>
      <c r="D48" s="138" t="n">
        <v>44</v>
      </c>
      <c r="E48" s="141" t="n">
        <f aca="false">F48/Parâmetros!$C$22</f>
        <v>394.25</v>
      </c>
      <c r="F48" s="141" t="n">
        <v>78.85</v>
      </c>
      <c r="G48" s="141" t="n">
        <v>703.57</v>
      </c>
      <c r="H48" s="141" t="n">
        <v>0</v>
      </c>
      <c r="I48" s="141" t="n">
        <v>0</v>
      </c>
      <c r="J48" s="141" t="n">
        <v>0</v>
      </c>
      <c r="K48" s="141" t="n">
        <v>0</v>
      </c>
      <c r="L48" s="141" t="n">
        <v>154.8</v>
      </c>
      <c r="M48" s="141" t="n">
        <v>0</v>
      </c>
      <c r="N48" s="141" t="n">
        <v>0</v>
      </c>
      <c r="O48" s="141" t="n">
        <v>4.61</v>
      </c>
    </row>
    <row r="49" customFormat="false" ht="15" hidden="false" customHeight="false" outlineLevel="0" collapsed="false">
      <c r="A49" s="138" t="s">
        <v>1687</v>
      </c>
      <c r="B49" s="138" t="s">
        <v>1688</v>
      </c>
      <c r="C49" s="138" t="n">
        <v>44</v>
      </c>
      <c r="D49" s="138" t="n">
        <v>45</v>
      </c>
      <c r="E49" s="141" t="n">
        <f aca="false">F49/Parâmetros!$C$22</f>
        <v>405.75</v>
      </c>
      <c r="F49" s="141" t="n">
        <v>81.15</v>
      </c>
      <c r="G49" s="141" t="n">
        <v>908.06</v>
      </c>
      <c r="H49" s="141" t="n">
        <v>0</v>
      </c>
      <c r="I49" s="141" t="n">
        <v>0</v>
      </c>
      <c r="J49" s="141" t="n">
        <v>0</v>
      </c>
      <c r="K49" s="141" t="n">
        <v>0</v>
      </c>
      <c r="L49" s="141" t="n">
        <v>154.8</v>
      </c>
      <c r="M49" s="141" t="n">
        <v>0</v>
      </c>
      <c r="N49" s="141" t="n">
        <v>0</v>
      </c>
      <c r="O49" s="141" t="n">
        <v>4.61</v>
      </c>
    </row>
    <row r="50" customFormat="false" ht="15" hidden="false" customHeight="false" outlineLevel="0" collapsed="false">
      <c r="A50" s="138" t="s">
        <v>1688</v>
      </c>
      <c r="B50" s="138" t="s">
        <v>1689</v>
      </c>
      <c r="C50" s="138" t="n">
        <v>45</v>
      </c>
      <c r="D50" s="138" t="n">
        <v>46</v>
      </c>
      <c r="E50" s="141" t="n">
        <f aca="false">F50/Parâmetros!$C$22</f>
        <v>389.1</v>
      </c>
      <c r="F50" s="141" t="n">
        <v>77.82</v>
      </c>
      <c r="G50" s="141" t="n">
        <v>877.45</v>
      </c>
      <c r="H50" s="141" t="n">
        <v>0</v>
      </c>
      <c r="I50" s="141" t="n">
        <v>0</v>
      </c>
      <c r="J50" s="141" t="n">
        <v>0</v>
      </c>
      <c r="K50" s="141" t="n">
        <v>0</v>
      </c>
      <c r="L50" s="141" t="n">
        <v>154.8</v>
      </c>
      <c r="M50" s="141" t="n">
        <v>0</v>
      </c>
      <c r="N50" s="141" t="n">
        <v>0</v>
      </c>
      <c r="O50" s="141" t="n">
        <v>4.61</v>
      </c>
    </row>
    <row r="51" customFormat="false" ht="15" hidden="false" customHeight="false" outlineLevel="0" collapsed="false">
      <c r="A51" s="138" t="s">
        <v>1689</v>
      </c>
      <c r="B51" s="138" t="s">
        <v>1690</v>
      </c>
      <c r="C51" s="138" t="n">
        <v>46</v>
      </c>
      <c r="D51" s="138" t="n">
        <v>47</v>
      </c>
      <c r="E51" s="141" t="n">
        <f aca="false">F51/Parâmetros!$C$22</f>
        <v>371.25</v>
      </c>
      <c r="F51" s="141" t="n">
        <v>74.25</v>
      </c>
      <c r="G51" s="141" t="n">
        <v>731.93</v>
      </c>
      <c r="H51" s="141" t="n">
        <v>0</v>
      </c>
      <c r="I51" s="141" t="n">
        <v>0</v>
      </c>
      <c r="J51" s="141" t="n">
        <v>0</v>
      </c>
      <c r="K51" s="141" t="n">
        <v>0</v>
      </c>
      <c r="L51" s="141" t="n">
        <v>154.8</v>
      </c>
      <c r="M51" s="141" t="n">
        <v>0</v>
      </c>
      <c r="N51" s="141" t="n">
        <v>0</v>
      </c>
      <c r="O51" s="141" t="n">
        <v>4.61</v>
      </c>
    </row>
    <row r="52" customFormat="false" ht="15" hidden="false" customHeight="false" outlineLevel="0" collapsed="false">
      <c r="A52" s="138" t="s">
        <v>1690</v>
      </c>
      <c r="B52" s="138" t="s">
        <v>1691</v>
      </c>
      <c r="C52" s="138" t="n">
        <v>47</v>
      </c>
      <c r="D52" s="138" t="n">
        <v>48</v>
      </c>
      <c r="E52" s="141" t="n">
        <f aca="false">F52/Parâmetros!$C$22</f>
        <v>358.6</v>
      </c>
      <c r="F52" s="141" t="n">
        <v>71.72</v>
      </c>
      <c r="G52" s="141" t="n">
        <v>552.94</v>
      </c>
      <c r="H52" s="141" t="n">
        <v>0</v>
      </c>
      <c r="I52" s="141" t="n">
        <v>0</v>
      </c>
      <c r="J52" s="141" t="n">
        <v>0</v>
      </c>
      <c r="K52" s="141" t="n">
        <v>0</v>
      </c>
      <c r="L52" s="141" t="n">
        <v>154.8</v>
      </c>
      <c r="M52" s="141" t="n">
        <v>0</v>
      </c>
      <c r="N52" s="141" t="n">
        <v>0</v>
      </c>
      <c r="O52" s="141" t="n">
        <v>4.61</v>
      </c>
    </row>
    <row r="53" customFormat="false" ht="15" hidden="false" customHeight="false" outlineLevel="0" collapsed="false">
      <c r="A53" s="138" t="s">
        <v>1691</v>
      </c>
      <c r="B53" s="138" t="s">
        <v>1692</v>
      </c>
      <c r="C53" s="138" t="n">
        <v>48</v>
      </c>
      <c r="D53" s="138" t="n">
        <v>49</v>
      </c>
      <c r="E53" s="141" t="n">
        <f aca="false">F53/Parâmetros!$C$22</f>
        <v>324.15</v>
      </c>
      <c r="F53" s="141" t="n">
        <v>64.83</v>
      </c>
      <c r="G53" s="141" t="n">
        <v>343.67</v>
      </c>
      <c r="H53" s="141" t="n">
        <v>0</v>
      </c>
      <c r="I53" s="141" t="n">
        <v>0</v>
      </c>
      <c r="J53" s="141" t="n">
        <v>0</v>
      </c>
      <c r="K53" s="141" t="n">
        <v>0</v>
      </c>
      <c r="L53" s="141" t="n">
        <v>154.8</v>
      </c>
      <c r="M53" s="141" t="n">
        <v>0</v>
      </c>
      <c r="N53" s="141" t="n">
        <v>0</v>
      </c>
      <c r="O53" s="141" t="n">
        <v>4.61</v>
      </c>
    </row>
    <row r="54" customFormat="false" ht="15" hidden="false" customHeight="false" outlineLevel="0" collapsed="false">
      <c r="A54" s="138" t="s">
        <v>1692</v>
      </c>
      <c r="B54" s="138" t="s">
        <v>1693</v>
      </c>
      <c r="C54" s="138" t="n">
        <v>49</v>
      </c>
      <c r="D54" s="138" t="n">
        <v>50</v>
      </c>
      <c r="E54" s="141" t="n">
        <f aca="false">F54/Parâmetros!$C$22</f>
        <v>399.15</v>
      </c>
      <c r="F54" s="141" t="n">
        <v>79.83</v>
      </c>
      <c r="G54" s="141" t="n">
        <v>187.54</v>
      </c>
      <c r="H54" s="141" t="n">
        <v>0</v>
      </c>
      <c r="I54" s="141" t="n">
        <v>0</v>
      </c>
      <c r="J54" s="141" t="n">
        <v>0</v>
      </c>
      <c r="K54" s="141" t="n">
        <v>32.67</v>
      </c>
      <c r="L54" s="141" t="n">
        <v>151.05</v>
      </c>
      <c r="M54" s="141" t="n">
        <v>0</v>
      </c>
      <c r="N54" s="141" t="n">
        <v>0</v>
      </c>
      <c r="O54" s="141" t="n">
        <v>3.45</v>
      </c>
    </row>
    <row r="55" customFormat="false" ht="15" hidden="false" customHeight="false" outlineLevel="0" collapsed="false">
      <c r="A55" s="138" t="s">
        <v>1693</v>
      </c>
      <c r="B55" s="138" t="s">
        <v>1694</v>
      </c>
      <c r="C55" s="138" t="n">
        <v>50</v>
      </c>
      <c r="D55" s="138" t="n">
        <v>51</v>
      </c>
      <c r="E55" s="141" t="n">
        <f aca="false">F55/Parâmetros!$C$22</f>
        <v>399.7</v>
      </c>
      <c r="F55" s="141" t="n">
        <v>79.94</v>
      </c>
      <c r="G55" s="141" t="n">
        <v>105.25</v>
      </c>
      <c r="H55" s="141" t="n">
        <v>0</v>
      </c>
      <c r="I55" s="141" t="n">
        <v>0</v>
      </c>
      <c r="J55" s="141" t="n">
        <v>0</v>
      </c>
      <c r="K55" s="141" t="n">
        <v>72.92</v>
      </c>
      <c r="L55" s="141" t="n">
        <v>151.05</v>
      </c>
      <c r="M55" s="141" t="n">
        <v>0</v>
      </c>
      <c r="N55" s="141" t="n">
        <v>0</v>
      </c>
      <c r="O55" s="141" t="n">
        <v>3.31</v>
      </c>
    </row>
    <row r="56" customFormat="false" ht="15" hidden="false" customHeight="false" outlineLevel="0" collapsed="false">
      <c r="A56" s="138" t="s">
        <v>1694</v>
      </c>
      <c r="B56" s="138" t="s">
        <v>1695</v>
      </c>
      <c r="C56" s="138" t="n">
        <v>51</v>
      </c>
      <c r="D56" s="138" t="n">
        <v>52</v>
      </c>
      <c r="E56" s="141" t="n">
        <f aca="false">F56/Parâmetros!$C$22</f>
        <v>283.8</v>
      </c>
      <c r="F56" s="141" t="n">
        <v>56.76</v>
      </c>
      <c r="G56" s="141" t="n">
        <v>30.23</v>
      </c>
      <c r="H56" s="141" t="n">
        <v>0</v>
      </c>
      <c r="I56" s="141" t="n">
        <v>0</v>
      </c>
      <c r="J56" s="141" t="n">
        <v>0</v>
      </c>
      <c r="K56" s="141" t="n">
        <v>139.15</v>
      </c>
      <c r="L56" s="141" t="n">
        <v>162.53</v>
      </c>
      <c r="M56" s="141" t="n">
        <v>0</v>
      </c>
      <c r="N56" s="141" t="n">
        <v>0</v>
      </c>
      <c r="O56" s="141" t="n">
        <v>4.17</v>
      </c>
    </row>
    <row r="57" customFormat="false" ht="15" hidden="false" customHeight="false" outlineLevel="0" collapsed="false">
      <c r="A57" s="138" t="s">
        <v>1695</v>
      </c>
      <c r="B57" s="138" t="s">
        <v>1696</v>
      </c>
      <c r="C57" s="138" t="n">
        <v>52</v>
      </c>
      <c r="D57" s="138" t="n">
        <v>53</v>
      </c>
      <c r="E57" s="141" t="n">
        <f aca="false">F57/Parâmetros!$C$22</f>
        <v>288.6</v>
      </c>
      <c r="F57" s="141" t="n">
        <v>57.72</v>
      </c>
      <c r="G57" s="141" t="n">
        <v>1.53</v>
      </c>
      <c r="H57" s="141" t="n">
        <v>0</v>
      </c>
      <c r="I57" s="141" t="n">
        <v>0</v>
      </c>
      <c r="J57" s="141" t="n">
        <v>0</v>
      </c>
      <c r="K57" s="141" t="n">
        <v>288.79</v>
      </c>
      <c r="L57" s="141" t="n">
        <v>172.19</v>
      </c>
      <c r="M57" s="141" t="n">
        <v>0</v>
      </c>
      <c r="N57" s="141" t="n">
        <v>0</v>
      </c>
      <c r="O57" s="141" t="n">
        <v>4.03</v>
      </c>
    </row>
    <row r="58" customFormat="false" ht="15" hidden="false" customHeight="false" outlineLevel="0" collapsed="false">
      <c r="A58" s="138" t="s">
        <v>1696</v>
      </c>
      <c r="B58" s="138" t="s">
        <v>1697</v>
      </c>
      <c r="C58" s="138" t="n">
        <v>53</v>
      </c>
      <c r="D58" s="138" t="n">
        <v>54</v>
      </c>
      <c r="E58" s="141" t="n">
        <f aca="false">F58/Parâmetros!$C$22</f>
        <v>319.05</v>
      </c>
      <c r="F58" s="141" t="n">
        <v>63.81</v>
      </c>
      <c r="G58" s="141" t="n">
        <v>0</v>
      </c>
      <c r="H58" s="141" t="n">
        <v>0</v>
      </c>
      <c r="I58" s="141" t="n">
        <v>0</v>
      </c>
      <c r="J58" s="141" t="n">
        <v>0</v>
      </c>
      <c r="K58" s="141" t="n">
        <v>484.48</v>
      </c>
      <c r="L58" s="141" t="n">
        <v>175.27</v>
      </c>
      <c r="M58" s="141" t="n">
        <v>0</v>
      </c>
      <c r="N58" s="141" t="n">
        <v>0</v>
      </c>
      <c r="O58" s="141" t="n">
        <v>4.03</v>
      </c>
    </row>
    <row r="59" customFormat="false" ht="15" hidden="false" customHeight="false" outlineLevel="0" collapsed="false">
      <c r="A59" s="138" t="s">
        <v>1697</v>
      </c>
      <c r="B59" s="138" t="s">
        <v>1698</v>
      </c>
      <c r="C59" s="138" t="n">
        <v>54</v>
      </c>
      <c r="D59" s="138" t="n">
        <v>55</v>
      </c>
      <c r="E59" s="141" t="n">
        <f aca="false">F59/Parâmetros!$C$22</f>
        <v>349.5</v>
      </c>
      <c r="F59" s="141" t="n">
        <v>69.9</v>
      </c>
      <c r="G59" s="141" t="n">
        <v>0</v>
      </c>
      <c r="H59" s="141" t="n">
        <v>0</v>
      </c>
      <c r="I59" s="141" t="n">
        <v>0</v>
      </c>
      <c r="J59" s="141" t="n">
        <v>0</v>
      </c>
      <c r="K59" s="141" t="n">
        <v>697.43</v>
      </c>
      <c r="L59" s="141" t="n">
        <v>176.41</v>
      </c>
      <c r="M59" s="141" t="n">
        <v>0</v>
      </c>
      <c r="N59" s="141" t="n">
        <v>0</v>
      </c>
      <c r="O59" s="141" t="n">
        <v>4.03</v>
      </c>
    </row>
    <row r="60" customFormat="false" ht="15" hidden="false" customHeight="false" outlineLevel="0" collapsed="false">
      <c r="A60" s="138" t="s">
        <v>1698</v>
      </c>
      <c r="B60" s="138" t="s">
        <v>1699</v>
      </c>
      <c r="C60" s="138" t="n">
        <v>55</v>
      </c>
      <c r="D60" s="138" t="n">
        <v>56</v>
      </c>
      <c r="E60" s="141" t="n">
        <f aca="false">F60/Parâmetros!$C$22</f>
        <v>385</v>
      </c>
      <c r="F60" s="141" t="n">
        <v>77</v>
      </c>
      <c r="G60" s="141" t="n">
        <v>0</v>
      </c>
      <c r="H60" s="141" t="n">
        <v>0</v>
      </c>
      <c r="I60" s="141" t="n">
        <v>0</v>
      </c>
      <c r="J60" s="141" t="n">
        <v>0</v>
      </c>
      <c r="K60" s="141" t="n">
        <v>914.53</v>
      </c>
      <c r="L60" s="141" t="n">
        <v>176.41</v>
      </c>
      <c r="M60" s="141" t="n">
        <v>0</v>
      </c>
      <c r="N60" s="141" t="n">
        <v>0</v>
      </c>
      <c r="O60" s="141" t="n">
        <v>4.03</v>
      </c>
    </row>
    <row r="61" customFormat="false" ht="15" hidden="false" customHeight="false" outlineLevel="0" collapsed="false">
      <c r="A61" s="138" t="s">
        <v>1699</v>
      </c>
      <c r="B61" s="138" t="s">
        <v>1700</v>
      </c>
      <c r="C61" s="138" t="n">
        <v>56</v>
      </c>
      <c r="D61" s="138" t="n">
        <v>57</v>
      </c>
      <c r="E61" s="141" t="n">
        <f aca="false">F61/Parâmetros!$C$22</f>
        <v>418.4</v>
      </c>
      <c r="F61" s="141" t="n">
        <v>83.68</v>
      </c>
      <c r="G61" s="141" t="n">
        <v>0</v>
      </c>
      <c r="H61" s="141" t="n">
        <v>0</v>
      </c>
      <c r="I61" s="141" t="n">
        <v>0</v>
      </c>
      <c r="J61" s="141" t="n">
        <v>0</v>
      </c>
      <c r="K61" s="141" t="n">
        <v>1082.89</v>
      </c>
      <c r="L61" s="141" t="n">
        <v>176.41</v>
      </c>
      <c r="M61" s="141" t="n">
        <v>0</v>
      </c>
      <c r="N61" s="141" t="n">
        <v>0</v>
      </c>
      <c r="O61" s="141" t="n">
        <v>4.03</v>
      </c>
    </row>
    <row r="62" customFormat="false" ht="15" hidden="false" customHeight="false" outlineLevel="0" collapsed="false">
      <c r="A62" s="138" t="s">
        <v>1700</v>
      </c>
      <c r="B62" s="138" t="s">
        <v>1701</v>
      </c>
      <c r="C62" s="138" t="n">
        <v>57</v>
      </c>
      <c r="D62" s="138" t="n">
        <v>58</v>
      </c>
      <c r="E62" s="141" t="n">
        <f aca="false">F62/Parâmetros!$C$22</f>
        <v>442.85</v>
      </c>
      <c r="F62" s="141" t="n">
        <v>88.57</v>
      </c>
      <c r="G62" s="141" t="n">
        <v>0</v>
      </c>
      <c r="H62" s="141" t="n">
        <v>0</v>
      </c>
      <c r="I62" s="141" t="n">
        <v>0</v>
      </c>
      <c r="J62" s="141" t="n">
        <v>0</v>
      </c>
      <c r="K62" s="141" t="n">
        <v>1145.2</v>
      </c>
      <c r="L62" s="141" t="n">
        <v>176.41</v>
      </c>
      <c r="M62" s="141" t="n">
        <v>0</v>
      </c>
      <c r="N62" s="141" t="n">
        <v>0</v>
      </c>
      <c r="O62" s="141" t="n">
        <v>4.03</v>
      </c>
    </row>
    <row r="63" customFormat="false" ht="15" hidden="false" customHeight="false" outlineLevel="0" collapsed="false">
      <c r="A63" s="138" t="s">
        <v>1701</v>
      </c>
      <c r="B63" s="138" t="s">
        <v>1702</v>
      </c>
      <c r="C63" s="138" t="n">
        <v>58</v>
      </c>
      <c r="D63" s="138" t="n">
        <v>59</v>
      </c>
      <c r="E63" s="141" t="n">
        <f aca="false">F63/Parâmetros!$C$22</f>
        <v>447.95</v>
      </c>
      <c r="F63" s="141" t="n">
        <v>89.59</v>
      </c>
      <c r="G63" s="141" t="n">
        <v>0</v>
      </c>
      <c r="H63" s="141" t="n">
        <v>0</v>
      </c>
      <c r="I63" s="141" t="n">
        <v>0</v>
      </c>
      <c r="J63" s="141" t="n">
        <v>0</v>
      </c>
      <c r="K63" s="141" t="n">
        <v>1056.03</v>
      </c>
      <c r="L63" s="141" t="n">
        <v>176.41</v>
      </c>
      <c r="M63" s="141" t="n">
        <v>0</v>
      </c>
      <c r="N63" s="141" t="n">
        <v>0</v>
      </c>
      <c r="O63" s="141" t="n">
        <v>4.03</v>
      </c>
    </row>
    <row r="64" customFormat="false" ht="15" hidden="false" customHeight="false" outlineLevel="0" collapsed="false">
      <c r="A64" s="138" t="s">
        <v>1702</v>
      </c>
      <c r="B64" s="138" t="s">
        <v>1703</v>
      </c>
      <c r="C64" s="138" t="n">
        <v>59</v>
      </c>
      <c r="D64" s="138" t="n">
        <v>60</v>
      </c>
      <c r="E64" s="141" t="n">
        <f aca="false">F64/Parâmetros!$C$22</f>
        <v>427.7</v>
      </c>
      <c r="F64" s="141" t="n">
        <v>85.54</v>
      </c>
      <c r="G64" s="141" t="n">
        <v>0</v>
      </c>
      <c r="H64" s="141" t="n">
        <v>0</v>
      </c>
      <c r="I64" s="141" t="n">
        <v>0</v>
      </c>
      <c r="J64" s="141" t="n">
        <v>0</v>
      </c>
      <c r="K64" s="141" t="n">
        <v>832.96</v>
      </c>
      <c r="L64" s="141" t="n">
        <v>176.41</v>
      </c>
      <c r="M64" s="141" t="n">
        <v>0</v>
      </c>
      <c r="N64" s="141" t="n">
        <v>0</v>
      </c>
      <c r="O64" s="141" t="n">
        <v>4.03</v>
      </c>
    </row>
    <row r="65" customFormat="false" ht="15" hidden="false" customHeight="false" outlineLevel="0" collapsed="false">
      <c r="A65" s="138" t="s">
        <v>1703</v>
      </c>
      <c r="B65" s="138" t="s">
        <v>1704</v>
      </c>
      <c r="C65" s="138" t="n">
        <v>60</v>
      </c>
      <c r="D65" s="138" t="n">
        <v>61</v>
      </c>
      <c r="E65" s="141" t="n">
        <f aca="false">F65/Parâmetros!$C$22</f>
        <v>383.75</v>
      </c>
      <c r="F65" s="141" t="n">
        <v>76.75</v>
      </c>
      <c r="G65" s="141" t="n">
        <v>0.59</v>
      </c>
      <c r="H65" s="141" t="n">
        <v>0</v>
      </c>
      <c r="I65" s="141" t="n">
        <v>0</v>
      </c>
      <c r="J65" s="141" t="n">
        <v>0</v>
      </c>
      <c r="K65" s="141" t="n">
        <v>537.86</v>
      </c>
      <c r="L65" s="141" t="n">
        <v>173.25</v>
      </c>
      <c r="M65" s="141" t="n">
        <v>0</v>
      </c>
      <c r="N65" s="141" t="n">
        <v>0</v>
      </c>
      <c r="O65" s="141" t="n">
        <v>4.03</v>
      </c>
    </row>
    <row r="66" customFormat="false" ht="15" hidden="false" customHeight="false" outlineLevel="0" collapsed="false">
      <c r="A66" s="138" t="s">
        <v>1704</v>
      </c>
      <c r="B66" s="138" t="s">
        <v>1705</v>
      </c>
      <c r="C66" s="138" t="n">
        <v>61</v>
      </c>
      <c r="D66" s="138" t="n">
        <v>62</v>
      </c>
      <c r="E66" s="141" t="n">
        <f aca="false">F66/Parâmetros!$C$22</f>
        <v>333.85</v>
      </c>
      <c r="F66" s="141" t="n">
        <v>66.77</v>
      </c>
      <c r="G66" s="141" t="n">
        <v>26.46</v>
      </c>
      <c r="H66" s="141" t="n">
        <v>0</v>
      </c>
      <c r="I66" s="141" t="n">
        <v>0</v>
      </c>
      <c r="J66" s="141" t="n">
        <v>0</v>
      </c>
      <c r="K66" s="141" t="n">
        <v>262.82</v>
      </c>
      <c r="L66" s="141" t="n">
        <v>166.14</v>
      </c>
      <c r="M66" s="141" t="n">
        <v>0</v>
      </c>
      <c r="N66" s="141" t="n">
        <v>0</v>
      </c>
      <c r="O66" s="141" t="n">
        <v>4.17</v>
      </c>
    </row>
    <row r="67" customFormat="false" ht="15" hidden="false" customHeight="false" outlineLevel="0" collapsed="false">
      <c r="A67" s="138" t="s">
        <v>1705</v>
      </c>
      <c r="B67" s="138" t="s">
        <v>1706</v>
      </c>
      <c r="C67" s="138" t="n">
        <v>62</v>
      </c>
      <c r="D67" s="138" t="n">
        <v>63</v>
      </c>
      <c r="E67" s="141" t="n">
        <f aca="false">F67/Parâmetros!$C$22</f>
        <v>298.05</v>
      </c>
      <c r="F67" s="141" t="n">
        <v>59.61</v>
      </c>
      <c r="G67" s="141" t="n">
        <v>50.38</v>
      </c>
      <c r="H67" s="141" t="n">
        <v>0</v>
      </c>
      <c r="I67" s="141" t="n">
        <v>0</v>
      </c>
      <c r="J67" s="141" t="n">
        <v>0</v>
      </c>
      <c r="K67" s="141" t="n">
        <v>124.8</v>
      </c>
      <c r="L67" s="141" t="n">
        <v>160.75</v>
      </c>
      <c r="M67" s="141" t="n">
        <v>0</v>
      </c>
      <c r="N67" s="141" t="n">
        <v>0</v>
      </c>
      <c r="O67" s="141" t="n">
        <v>4.32</v>
      </c>
    </row>
    <row r="68" customFormat="false" ht="15" hidden="false" customHeight="false" outlineLevel="0" collapsed="false">
      <c r="A68" s="138" t="s">
        <v>1706</v>
      </c>
      <c r="B68" s="138" t="s">
        <v>1707</v>
      </c>
      <c r="C68" s="138" t="n">
        <v>63</v>
      </c>
      <c r="D68" s="138" t="n">
        <v>64</v>
      </c>
      <c r="E68" s="141" t="n">
        <f aca="false">F68/Parâmetros!$C$22</f>
        <v>296.95</v>
      </c>
      <c r="F68" s="141" t="n">
        <v>59.39</v>
      </c>
      <c r="G68" s="141" t="n">
        <v>27.15</v>
      </c>
      <c r="H68" s="141" t="n">
        <v>0</v>
      </c>
      <c r="I68" s="141" t="n">
        <v>0</v>
      </c>
      <c r="J68" s="141" t="n">
        <v>0</v>
      </c>
      <c r="K68" s="141" t="n">
        <v>104.62</v>
      </c>
      <c r="L68" s="141" t="n">
        <v>163.51</v>
      </c>
      <c r="M68" s="141" t="n">
        <v>0</v>
      </c>
      <c r="N68" s="141" t="n">
        <v>0</v>
      </c>
      <c r="O68" s="141" t="n">
        <v>4.17</v>
      </c>
    </row>
    <row r="69" customFormat="false" ht="15" hidden="false" customHeight="false" outlineLevel="0" collapsed="false">
      <c r="A69" s="138" t="s">
        <v>1707</v>
      </c>
      <c r="B69" s="138" t="s">
        <v>1708</v>
      </c>
      <c r="C69" s="138" t="n">
        <v>64</v>
      </c>
      <c r="D69" s="138" t="n">
        <v>65</v>
      </c>
      <c r="E69" s="141" t="n">
        <f aca="false">F69/Parâmetros!$C$22</f>
        <v>342.05</v>
      </c>
      <c r="F69" s="141" t="n">
        <v>68.41</v>
      </c>
      <c r="G69" s="141" t="n">
        <v>2.64</v>
      </c>
      <c r="H69" s="141" t="n">
        <v>0</v>
      </c>
      <c r="I69" s="141" t="n">
        <v>0</v>
      </c>
      <c r="J69" s="141" t="n">
        <v>0</v>
      </c>
      <c r="K69" s="141" t="n">
        <v>173.82</v>
      </c>
      <c r="L69" s="141" t="n">
        <v>172.06</v>
      </c>
      <c r="M69" s="141" t="n">
        <v>0</v>
      </c>
      <c r="N69" s="141" t="n">
        <v>0</v>
      </c>
      <c r="O69" s="141" t="n">
        <v>4.03</v>
      </c>
    </row>
    <row r="70" customFormat="false" ht="15" hidden="false" customHeight="false" outlineLevel="0" collapsed="false">
      <c r="A70" s="138" t="s">
        <v>1708</v>
      </c>
      <c r="B70" s="138" t="s">
        <v>1709</v>
      </c>
      <c r="C70" s="138" t="n">
        <v>65</v>
      </c>
      <c r="D70" s="138" t="n">
        <v>66</v>
      </c>
      <c r="E70" s="141" t="n">
        <f aca="false">F70/Parâmetros!$C$22</f>
        <v>356.8</v>
      </c>
      <c r="F70" s="141" t="n">
        <v>71.36</v>
      </c>
      <c r="G70" s="141" t="n">
        <v>0</v>
      </c>
      <c r="H70" s="141" t="n">
        <v>0</v>
      </c>
      <c r="I70" s="141" t="n">
        <v>0</v>
      </c>
      <c r="J70" s="141" t="n">
        <v>0</v>
      </c>
      <c r="K70" s="141" t="n">
        <v>183.22</v>
      </c>
      <c r="L70" s="141" t="n">
        <v>176.41</v>
      </c>
      <c r="M70" s="141" t="n">
        <v>0</v>
      </c>
      <c r="N70" s="141" t="n">
        <v>0</v>
      </c>
      <c r="O70" s="141" t="n">
        <v>4.03</v>
      </c>
    </row>
    <row r="71" customFormat="false" ht="15" hidden="false" customHeight="false" outlineLevel="0" collapsed="false">
      <c r="A71" s="138" t="s">
        <v>1709</v>
      </c>
      <c r="B71" s="138" t="s">
        <v>1710</v>
      </c>
      <c r="C71" s="138" t="n">
        <v>66</v>
      </c>
      <c r="D71" s="138" t="n">
        <v>67</v>
      </c>
      <c r="E71" s="141" t="n">
        <f aca="false">F71/Parâmetros!$C$22</f>
        <v>314.55</v>
      </c>
      <c r="F71" s="141" t="n">
        <v>62.91</v>
      </c>
      <c r="G71" s="141" t="n">
        <v>45.89</v>
      </c>
      <c r="H71" s="141" t="n">
        <v>0</v>
      </c>
      <c r="I71" s="141" t="n">
        <v>0</v>
      </c>
      <c r="J71" s="141" t="n">
        <v>0</v>
      </c>
      <c r="K71" s="141" t="n">
        <v>68.18</v>
      </c>
      <c r="L71" s="141" t="n">
        <v>165.6</v>
      </c>
      <c r="M71" s="141" t="n">
        <v>0</v>
      </c>
      <c r="N71" s="141" t="n">
        <v>0</v>
      </c>
      <c r="O71" s="141" t="n">
        <v>4.17</v>
      </c>
    </row>
    <row r="72" customFormat="false" ht="15" hidden="false" customHeight="false" outlineLevel="0" collapsed="false">
      <c r="A72" s="138" t="s">
        <v>1710</v>
      </c>
      <c r="B72" s="138" t="s">
        <v>1711</v>
      </c>
      <c r="C72" s="138" t="n">
        <v>67</v>
      </c>
      <c r="D72" s="138" t="n">
        <v>68</v>
      </c>
      <c r="E72" s="141" t="n">
        <f aca="false">F72/Parâmetros!$C$22</f>
        <v>311.15</v>
      </c>
      <c r="F72" s="141" t="n">
        <v>62.23</v>
      </c>
      <c r="G72" s="141" t="n">
        <v>235.56</v>
      </c>
      <c r="H72" s="141" t="n">
        <v>0</v>
      </c>
      <c r="I72" s="141" t="n">
        <v>0</v>
      </c>
      <c r="J72" s="141" t="n">
        <v>0</v>
      </c>
      <c r="K72" s="141" t="n">
        <v>3.9</v>
      </c>
      <c r="L72" s="141" t="n">
        <v>154.8</v>
      </c>
      <c r="M72" s="141" t="n">
        <v>0</v>
      </c>
      <c r="N72" s="141" t="n">
        <v>0</v>
      </c>
      <c r="O72" s="141" t="n">
        <v>4.46</v>
      </c>
    </row>
    <row r="73" customFormat="false" ht="15" hidden="false" customHeight="false" outlineLevel="0" collapsed="false">
      <c r="A73" s="138" t="s">
        <v>1711</v>
      </c>
      <c r="B73" s="138" t="s">
        <v>1712</v>
      </c>
      <c r="C73" s="138" t="n">
        <v>68</v>
      </c>
      <c r="D73" s="138" t="n">
        <v>69</v>
      </c>
      <c r="E73" s="141" t="n">
        <f aca="false">F73/Parâmetros!$C$22</f>
        <v>351.3</v>
      </c>
      <c r="F73" s="141" t="n">
        <v>70.26</v>
      </c>
      <c r="G73" s="141" t="n">
        <v>542.4</v>
      </c>
      <c r="H73" s="141" t="n">
        <v>0</v>
      </c>
      <c r="I73" s="141" t="n">
        <v>0</v>
      </c>
      <c r="J73" s="141" t="n">
        <v>0</v>
      </c>
      <c r="K73" s="141" t="n">
        <v>0</v>
      </c>
      <c r="L73" s="141" t="n">
        <v>154.8</v>
      </c>
      <c r="M73" s="141" t="n">
        <v>0</v>
      </c>
      <c r="N73" s="141" t="n">
        <v>0</v>
      </c>
      <c r="O73" s="141" t="n">
        <v>4.61</v>
      </c>
    </row>
    <row r="74" customFormat="false" ht="15" hidden="false" customHeight="false" outlineLevel="0" collapsed="false">
      <c r="A74" s="138" t="s">
        <v>1712</v>
      </c>
      <c r="B74" s="138" t="s">
        <v>1713</v>
      </c>
      <c r="C74" s="138" t="n">
        <v>69</v>
      </c>
      <c r="D74" s="138" t="n">
        <v>70</v>
      </c>
      <c r="E74" s="141" t="n">
        <f aca="false">F74/Parâmetros!$C$22</f>
        <v>380.75</v>
      </c>
      <c r="F74" s="141" t="n">
        <v>76.15</v>
      </c>
      <c r="G74" s="141" t="n">
        <v>827.21</v>
      </c>
      <c r="H74" s="141" t="n">
        <v>0</v>
      </c>
      <c r="I74" s="141" t="n">
        <v>0</v>
      </c>
      <c r="J74" s="141" t="n">
        <v>0</v>
      </c>
      <c r="K74" s="141" t="n">
        <v>0</v>
      </c>
      <c r="L74" s="141" t="n">
        <v>154.8</v>
      </c>
      <c r="M74" s="141" t="n">
        <v>0</v>
      </c>
      <c r="N74" s="141" t="n">
        <v>0</v>
      </c>
      <c r="O74" s="141" t="n">
        <v>4.61</v>
      </c>
    </row>
    <row r="75" customFormat="false" ht="15" hidden="false" customHeight="false" outlineLevel="0" collapsed="false">
      <c r="A75" s="138" t="s">
        <v>1713</v>
      </c>
      <c r="B75" s="138" t="s">
        <v>1714</v>
      </c>
      <c r="C75" s="138" t="n">
        <v>70</v>
      </c>
      <c r="D75" s="138" t="n">
        <v>71</v>
      </c>
      <c r="E75" s="141" t="n">
        <f aca="false">F75/Parâmetros!$C$22</f>
        <v>385.8</v>
      </c>
      <c r="F75" s="141" t="n">
        <v>77.16</v>
      </c>
      <c r="G75" s="141" t="n">
        <v>985.11</v>
      </c>
      <c r="H75" s="141" t="n">
        <v>0</v>
      </c>
      <c r="I75" s="141" t="n">
        <v>0</v>
      </c>
      <c r="J75" s="141" t="n">
        <v>0</v>
      </c>
      <c r="K75" s="141" t="n">
        <v>0</v>
      </c>
      <c r="L75" s="141" t="n">
        <v>154.8</v>
      </c>
      <c r="M75" s="141" t="n">
        <v>0</v>
      </c>
      <c r="N75" s="141" t="n">
        <v>0</v>
      </c>
      <c r="O75" s="141" t="n">
        <v>4.61</v>
      </c>
    </row>
    <row r="76" customFormat="false" ht="15" hidden="false" customHeight="false" outlineLevel="0" collapsed="false">
      <c r="A76" s="138" t="s">
        <v>1714</v>
      </c>
      <c r="B76" s="138" t="s">
        <v>1715</v>
      </c>
      <c r="C76" s="138" t="n">
        <v>71</v>
      </c>
      <c r="D76" s="138" t="n">
        <v>72</v>
      </c>
      <c r="E76" s="141" t="n">
        <f aca="false">F76/Parâmetros!$C$22</f>
        <v>389.15</v>
      </c>
      <c r="F76" s="141" t="n">
        <v>77.83</v>
      </c>
      <c r="G76" s="141" t="n">
        <v>1102.22</v>
      </c>
      <c r="H76" s="141" t="n">
        <v>0</v>
      </c>
      <c r="I76" s="141" t="n">
        <v>0</v>
      </c>
      <c r="J76" s="141" t="n">
        <v>0</v>
      </c>
      <c r="K76" s="141" t="n">
        <v>0</v>
      </c>
      <c r="L76" s="141" t="n">
        <v>154.8</v>
      </c>
      <c r="M76" s="141" t="n">
        <v>0</v>
      </c>
      <c r="N76" s="141" t="n">
        <v>0</v>
      </c>
      <c r="O76" s="141" t="n">
        <v>4.61</v>
      </c>
    </row>
    <row r="77" customFormat="false" ht="15" hidden="false" customHeight="false" outlineLevel="0" collapsed="false">
      <c r="A77" s="138" t="s">
        <v>1715</v>
      </c>
      <c r="B77" s="138" t="s">
        <v>1716</v>
      </c>
      <c r="C77" s="138" t="n">
        <v>72</v>
      </c>
      <c r="D77" s="138" t="n">
        <v>73</v>
      </c>
      <c r="E77" s="141" t="n">
        <f aca="false">F77/Parâmetros!$C$22</f>
        <v>396.1</v>
      </c>
      <c r="F77" s="141" t="n">
        <v>79.22</v>
      </c>
      <c r="G77" s="141" t="n">
        <v>1200.98</v>
      </c>
      <c r="H77" s="141" t="n">
        <v>0</v>
      </c>
      <c r="I77" s="141" t="n">
        <v>0</v>
      </c>
      <c r="J77" s="141" t="n">
        <v>0</v>
      </c>
      <c r="K77" s="141" t="n">
        <v>0</v>
      </c>
      <c r="L77" s="141" t="n">
        <v>154.8</v>
      </c>
      <c r="M77" s="141" t="n">
        <v>0</v>
      </c>
      <c r="N77" s="141" t="n">
        <v>0</v>
      </c>
      <c r="O77" s="141" t="n">
        <v>4.61</v>
      </c>
    </row>
    <row r="78" customFormat="false" ht="15" hidden="false" customHeight="false" outlineLevel="0" collapsed="false">
      <c r="A78" s="138" t="s">
        <v>1716</v>
      </c>
      <c r="B78" s="138" t="s">
        <v>1717</v>
      </c>
      <c r="C78" s="138" t="n">
        <v>73</v>
      </c>
      <c r="D78" s="138" t="n">
        <v>74</v>
      </c>
      <c r="E78" s="141" t="n">
        <f aca="false">F78/Parâmetros!$C$22</f>
        <v>386.9</v>
      </c>
      <c r="F78" s="141" t="n">
        <v>77.38</v>
      </c>
      <c r="G78" s="141" t="n">
        <v>1198.24</v>
      </c>
      <c r="H78" s="141" t="n">
        <v>0</v>
      </c>
      <c r="I78" s="141" t="n">
        <v>0</v>
      </c>
      <c r="J78" s="141" t="n">
        <v>0</v>
      </c>
      <c r="K78" s="141" t="n">
        <v>0</v>
      </c>
      <c r="L78" s="141" t="n">
        <v>154.8</v>
      </c>
      <c r="M78" s="141" t="n">
        <v>0</v>
      </c>
      <c r="N78" s="141" t="n">
        <v>0</v>
      </c>
      <c r="O78" s="141" t="n">
        <v>4.61</v>
      </c>
    </row>
    <row r="79" customFormat="false" ht="15" hidden="false" customHeight="false" outlineLevel="0" collapsed="false">
      <c r="A79" s="138" t="s">
        <v>1717</v>
      </c>
      <c r="B79" s="138" t="s">
        <v>1718</v>
      </c>
      <c r="C79" s="138" t="n">
        <v>74</v>
      </c>
      <c r="D79" s="138" t="n">
        <v>75</v>
      </c>
      <c r="E79" s="141" t="n">
        <f aca="false">F79/Parâmetros!$C$22</f>
        <v>374.55</v>
      </c>
      <c r="F79" s="141" t="n">
        <v>74.91</v>
      </c>
      <c r="G79" s="141" t="n">
        <v>1150.52</v>
      </c>
      <c r="H79" s="141" t="n">
        <v>0</v>
      </c>
      <c r="I79" s="141" t="n">
        <v>0</v>
      </c>
      <c r="J79" s="141" t="n">
        <v>0</v>
      </c>
      <c r="K79" s="141" t="n">
        <v>0</v>
      </c>
      <c r="L79" s="141" t="n">
        <v>154.8</v>
      </c>
      <c r="M79" s="141" t="n">
        <v>0</v>
      </c>
      <c r="N79" s="141" t="n">
        <v>0</v>
      </c>
      <c r="O79" s="141" t="n">
        <v>4.61</v>
      </c>
    </row>
    <row r="80" customFormat="false" ht="15" hidden="false" customHeight="false" outlineLevel="0" collapsed="false">
      <c r="A80" s="138" t="s">
        <v>1718</v>
      </c>
      <c r="B80" s="138" t="s">
        <v>1719</v>
      </c>
      <c r="C80" s="138" t="n">
        <v>75</v>
      </c>
      <c r="D80" s="138" t="n">
        <v>76</v>
      </c>
      <c r="E80" s="141" t="n">
        <f aca="false">F80/Parâmetros!$C$22</f>
        <v>374.9</v>
      </c>
      <c r="F80" s="141" t="n">
        <v>74.98</v>
      </c>
      <c r="G80" s="141" t="n">
        <v>1109.98</v>
      </c>
      <c r="H80" s="141" t="n">
        <v>0</v>
      </c>
      <c r="I80" s="141" t="n">
        <v>0</v>
      </c>
      <c r="J80" s="141" t="n">
        <v>0</v>
      </c>
      <c r="K80" s="141" t="n">
        <v>0</v>
      </c>
      <c r="L80" s="141" t="n">
        <v>154.8</v>
      </c>
      <c r="M80" s="141" t="n">
        <v>0</v>
      </c>
      <c r="N80" s="141" t="n">
        <v>0</v>
      </c>
      <c r="O80" s="141" t="n">
        <v>4.61</v>
      </c>
    </row>
    <row r="81" customFormat="false" ht="15" hidden="false" customHeight="false" outlineLevel="0" collapsed="false">
      <c r="A81" s="138" t="s">
        <v>1719</v>
      </c>
      <c r="B81" s="138" t="s">
        <v>1720</v>
      </c>
      <c r="C81" s="138" t="n">
        <v>76</v>
      </c>
      <c r="D81" s="138" t="n">
        <v>77</v>
      </c>
      <c r="E81" s="141" t="n">
        <f aca="false">F81/Parâmetros!$C$22</f>
        <v>371.35</v>
      </c>
      <c r="F81" s="141" t="n">
        <v>74.27</v>
      </c>
      <c r="G81" s="141" t="n">
        <v>967.63</v>
      </c>
      <c r="H81" s="141" t="n">
        <v>0</v>
      </c>
      <c r="I81" s="141" t="n">
        <v>0</v>
      </c>
      <c r="J81" s="141" t="n">
        <v>0</v>
      </c>
      <c r="K81" s="141" t="n">
        <v>0</v>
      </c>
      <c r="L81" s="141" t="n">
        <v>154.8</v>
      </c>
      <c r="M81" s="141" t="n">
        <v>0</v>
      </c>
      <c r="N81" s="141" t="n">
        <v>0</v>
      </c>
      <c r="O81" s="141" t="n">
        <v>4.61</v>
      </c>
    </row>
    <row r="82" customFormat="false" ht="15" hidden="false" customHeight="false" outlineLevel="0" collapsed="false">
      <c r="A82" s="138" t="s">
        <v>1720</v>
      </c>
      <c r="B82" s="138" t="s">
        <v>1721</v>
      </c>
      <c r="C82" s="138" t="n">
        <v>77</v>
      </c>
      <c r="D82" s="138" t="n">
        <v>78</v>
      </c>
      <c r="E82" s="141" t="n">
        <f aca="false">F82/Parâmetros!$C$22</f>
        <v>349.25</v>
      </c>
      <c r="F82" s="141" t="n">
        <v>69.85</v>
      </c>
      <c r="G82" s="141" t="n">
        <v>679.42</v>
      </c>
      <c r="H82" s="141" t="n">
        <v>0</v>
      </c>
      <c r="I82" s="141" t="n">
        <v>0</v>
      </c>
      <c r="J82" s="141" t="n">
        <v>0</v>
      </c>
      <c r="K82" s="141" t="n">
        <v>0</v>
      </c>
      <c r="L82" s="141" t="n">
        <v>154.8</v>
      </c>
      <c r="M82" s="141" t="n">
        <v>0</v>
      </c>
      <c r="N82" s="141" t="n">
        <v>0</v>
      </c>
      <c r="O82" s="141" t="n">
        <v>4.61</v>
      </c>
    </row>
    <row r="83" customFormat="false" ht="15" hidden="false" customHeight="false" outlineLevel="0" collapsed="false">
      <c r="A83" s="138" t="s">
        <v>1721</v>
      </c>
      <c r="B83" s="138" t="s">
        <v>1722</v>
      </c>
      <c r="C83" s="138" t="n">
        <v>78</v>
      </c>
      <c r="D83" s="138" t="n">
        <v>79</v>
      </c>
      <c r="E83" s="141" t="n">
        <f aca="false">F83/Parâmetros!$C$22</f>
        <v>308.6</v>
      </c>
      <c r="F83" s="141" t="n">
        <v>61.72</v>
      </c>
      <c r="G83" s="141" t="n">
        <v>376.08</v>
      </c>
      <c r="H83" s="141" t="n">
        <v>0</v>
      </c>
      <c r="I83" s="141" t="n">
        <v>0</v>
      </c>
      <c r="J83" s="141" t="n">
        <v>0</v>
      </c>
      <c r="K83" s="141" t="n">
        <v>0</v>
      </c>
      <c r="L83" s="141" t="n">
        <v>154.8</v>
      </c>
      <c r="M83" s="141" t="n">
        <v>0</v>
      </c>
      <c r="N83" s="141" t="n">
        <v>0</v>
      </c>
      <c r="O83" s="141" t="n">
        <v>4.61</v>
      </c>
    </row>
    <row r="84" customFormat="false" ht="15" hidden="false" customHeight="false" outlineLevel="0" collapsed="false">
      <c r="A84" s="138" t="s">
        <v>1722</v>
      </c>
      <c r="B84" s="138" t="s">
        <v>1723</v>
      </c>
      <c r="C84" s="138" t="n">
        <v>79</v>
      </c>
      <c r="D84" s="138" t="n">
        <v>80</v>
      </c>
      <c r="E84" s="141" t="n">
        <f aca="false">F84/Parâmetros!$C$22</f>
        <v>269.55</v>
      </c>
      <c r="F84" s="141" t="n">
        <v>53.91</v>
      </c>
      <c r="G84" s="141" t="n">
        <v>146.71</v>
      </c>
      <c r="H84" s="141" t="n">
        <v>0</v>
      </c>
      <c r="I84" s="141" t="n">
        <v>0</v>
      </c>
      <c r="J84" s="141" t="n">
        <v>0</v>
      </c>
      <c r="K84" s="141" t="n">
        <v>4.64</v>
      </c>
      <c r="L84" s="141" t="n">
        <v>157.1</v>
      </c>
      <c r="M84" s="141" t="n">
        <v>0</v>
      </c>
      <c r="N84" s="141" t="n">
        <v>0</v>
      </c>
      <c r="O84" s="141" t="n">
        <v>4.46</v>
      </c>
    </row>
    <row r="85" customFormat="false" ht="15" hidden="false" customHeight="false" outlineLevel="0" collapsed="false">
      <c r="A85" s="138" t="s">
        <v>1723</v>
      </c>
      <c r="B85" s="138" t="s">
        <v>1724</v>
      </c>
      <c r="C85" s="138" t="n">
        <v>80</v>
      </c>
      <c r="D85" s="138" t="n">
        <v>81</v>
      </c>
      <c r="E85" s="141" t="n">
        <f aca="false">F85/Parâmetros!$C$22</f>
        <v>266.7</v>
      </c>
      <c r="F85" s="141" t="n">
        <v>53.34</v>
      </c>
      <c r="G85" s="141" t="n">
        <v>32.86</v>
      </c>
      <c r="H85" s="141" t="n">
        <v>0</v>
      </c>
      <c r="I85" s="141" t="n">
        <v>0</v>
      </c>
      <c r="J85" s="141" t="n">
        <v>0</v>
      </c>
      <c r="K85" s="141" t="n">
        <v>28.24</v>
      </c>
      <c r="L85" s="141" t="n">
        <v>164.85</v>
      </c>
      <c r="M85" s="141" t="n">
        <v>0</v>
      </c>
      <c r="N85" s="141" t="n">
        <v>0</v>
      </c>
      <c r="O85" s="141" t="n">
        <v>4.17</v>
      </c>
    </row>
    <row r="86" customFormat="false" ht="15" hidden="false" customHeight="false" outlineLevel="0" collapsed="false">
      <c r="A86" s="138" t="s">
        <v>1724</v>
      </c>
      <c r="B86" s="138" t="s">
        <v>1725</v>
      </c>
      <c r="C86" s="138" t="n">
        <v>81</v>
      </c>
      <c r="D86" s="138" t="n">
        <v>82</v>
      </c>
      <c r="E86" s="141" t="n">
        <f aca="false">F86/Parâmetros!$C$22</f>
        <v>278.7</v>
      </c>
      <c r="F86" s="141" t="n">
        <v>55.74</v>
      </c>
      <c r="G86" s="141" t="n">
        <v>2.64</v>
      </c>
      <c r="H86" s="141" t="n">
        <v>0</v>
      </c>
      <c r="I86" s="141" t="n">
        <v>0</v>
      </c>
      <c r="J86" s="141" t="n">
        <v>0</v>
      </c>
      <c r="K86" s="141" t="n">
        <v>64.99</v>
      </c>
      <c r="L86" s="141" t="n">
        <v>171.13</v>
      </c>
      <c r="M86" s="141" t="n">
        <v>0</v>
      </c>
      <c r="N86" s="141" t="n">
        <v>0</v>
      </c>
      <c r="O86" s="141" t="n">
        <v>4.03</v>
      </c>
    </row>
    <row r="87" customFormat="false" ht="15" hidden="false" customHeight="false" outlineLevel="0" collapsed="false">
      <c r="A87" s="138" t="s">
        <v>1725</v>
      </c>
      <c r="B87" s="138" t="s">
        <v>1726</v>
      </c>
      <c r="C87" s="138" t="n">
        <v>82</v>
      </c>
      <c r="D87" s="138" t="n">
        <v>83</v>
      </c>
      <c r="E87" s="141" t="n">
        <f aca="false">F87/Parâmetros!$C$22</f>
        <v>276.35</v>
      </c>
      <c r="F87" s="141" t="n">
        <v>55.27</v>
      </c>
      <c r="G87" s="141" t="n">
        <v>3.58</v>
      </c>
      <c r="H87" s="141" t="n">
        <v>0</v>
      </c>
      <c r="I87" s="141" t="n">
        <v>0</v>
      </c>
      <c r="J87" s="141" t="n">
        <v>0</v>
      </c>
      <c r="K87" s="141" t="n">
        <v>53.46</v>
      </c>
      <c r="L87" s="141" t="n">
        <v>171.89</v>
      </c>
      <c r="M87" s="141" t="n">
        <v>0</v>
      </c>
      <c r="N87" s="141" t="n">
        <v>0</v>
      </c>
      <c r="O87" s="141" t="n">
        <v>4.03</v>
      </c>
    </row>
    <row r="88" customFormat="false" ht="15" hidden="false" customHeight="false" outlineLevel="0" collapsed="false">
      <c r="A88" s="138" t="s">
        <v>1726</v>
      </c>
      <c r="B88" s="138" t="s">
        <v>1727</v>
      </c>
      <c r="C88" s="138" t="n">
        <v>83</v>
      </c>
      <c r="D88" s="138" t="n">
        <v>84</v>
      </c>
      <c r="E88" s="141" t="n">
        <f aca="false">F88/Parâmetros!$C$22</f>
        <v>247.55</v>
      </c>
      <c r="F88" s="141" t="n">
        <v>49.51</v>
      </c>
      <c r="G88" s="141" t="n">
        <v>50.56</v>
      </c>
      <c r="H88" s="141" t="n">
        <v>0</v>
      </c>
      <c r="I88" s="141" t="n">
        <v>0</v>
      </c>
      <c r="J88" s="141" t="n">
        <v>0</v>
      </c>
      <c r="K88" s="141" t="n">
        <v>14.97</v>
      </c>
      <c r="L88" s="141" t="n">
        <v>165.51</v>
      </c>
      <c r="M88" s="141" t="n">
        <v>0</v>
      </c>
      <c r="N88" s="141" t="n">
        <v>0</v>
      </c>
      <c r="O88" s="141" t="n">
        <v>4.17</v>
      </c>
    </row>
    <row r="89" customFormat="false" ht="15" hidden="false" customHeight="false" outlineLevel="0" collapsed="false">
      <c r="A89" s="138" t="s">
        <v>1727</v>
      </c>
      <c r="B89" s="138" t="s">
        <v>1728</v>
      </c>
      <c r="C89" s="138" t="n">
        <v>84</v>
      </c>
      <c r="D89" s="138" t="n">
        <v>85</v>
      </c>
      <c r="E89" s="141" t="n">
        <f aca="false">F89/Parâmetros!$C$22</f>
        <v>247.35</v>
      </c>
      <c r="F89" s="141" t="n">
        <v>49.47</v>
      </c>
      <c r="G89" s="141" t="n">
        <v>193</v>
      </c>
      <c r="H89" s="141" t="n">
        <v>0</v>
      </c>
      <c r="I89" s="141" t="n">
        <v>0</v>
      </c>
      <c r="J89" s="141" t="n">
        <v>0</v>
      </c>
      <c r="K89" s="141" t="n">
        <v>2.87</v>
      </c>
      <c r="L89" s="141" t="n">
        <v>157</v>
      </c>
      <c r="M89" s="141" t="n">
        <v>0</v>
      </c>
      <c r="N89" s="141" t="n">
        <v>0</v>
      </c>
      <c r="O89" s="141" t="n">
        <v>4.46</v>
      </c>
    </row>
    <row r="90" customFormat="false" ht="15" hidden="false" customHeight="false" outlineLevel="0" collapsed="false">
      <c r="A90" s="138" t="s">
        <v>1728</v>
      </c>
      <c r="B90" s="138" t="s">
        <v>1729</v>
      </c>
      <c r="C90" s="138" t="n">
        <v>85</v>
      </c>
      <c r="D90" s="138" t="n">
        <v>86</v>
      </c>
      <c r="E90" s="141" t="n">
        <f aca="false">F90/Parâmetros!$C$22</f>
        <v>290.1</v>
      </c>
      <c r="F90" s="141" t="n">
        <v>58.02</v>
      </c>
      <c r="G90" s="141" t="n">
        <v>465.64</v>
      </c>
      <c r="H90" s="141" t="n">
        <v>0</v>
      </c>
      <c r="I90" s="141" t="n">
        <v>0</v>
      </c>
      <c r="J90" s="141" t="n">
        <v>0</v>
      </c>
      <c r="K90" s="141" t="n">
        <v>0</v>
      </c>
      <c r="L90" s="141" t="n">
        <v>154.8</v>
      </c>
      <c r="M90" s="141" t="n">
        <v>0</v>
      </c>
      <c r="N90" s="141" t="n">
        <v>0</v>
      </c>
      <c r="O90" s="141" t="n">
        <v>4.61</v>
      </c>
    </row>
    <row r="91" customFormat="false" ht="15" hidden="false" customHeight="false" outlineLevel="0" collapsed="false">
      <c r="A91" s="138" t="s">
        <v>1729</v>
      </c>
      <c r="B91" s="138" t="s">
        <v>1730</v>
      </c>
      <c r="C91" s="138" t="n">
        <v>86</v>
      </c>
      <c r="D91" s="138" t="n">
        <v>87</v>
      </c>
      <c r="E91" s="141" t="n">
        <f aca="false">F91/Parâmetros!$C$22</f>
        <v>343.4</v>
      </c>
      <c r="F91" s="141" t="n">
        <v>68.68</v>
      </c>
      <c r="G91" s="141" t="n">
        <v>885.6</v>
      </c>
      <c r="H91" s="141" t="n">
        <v>0</v>
      </c>
      <c r="I91" s="141" t="n">
        <v>0</v>
      </c>
      <c r="J91" s="141" t="n">
        <v>0</v>
      </c>
      <c r="K91" s="141" t="n">
        <v>0</v>
      </c>
      <c r="L91" s="141" t="n">
        <v>154.8</v>
      </c>
      <c r="M91" s="141" t="n">
        <v>0</v>
      </c>
      <c r="N91" s="141" t="n">
        <v>0</v>
      </c>
      <c r="O91" s="141" t="n">
        <v>4.61</v>
      </c>
    </row>
    <row r="92" customFormat="false" ht="15" hidden="false" customHeight="false" outlineLevel="0" collapsed="false">
      <c r="A92" s="138" t="s">
        <v>1730</v>
      </c>
      <c r="B92" s="138" t="s">
        <v>1731</v>
      </c>
      <c r="C92" s="138" t="n">
        <v>87</v>
      </c>
      <c r="D92" s="138" t="n">
        <v>88</v>
      </c>
      <c r="E92" s="141" t="n">
        <f aca="false">F92/Parâmetros!$C$22</f>
        <v>367.9</v>
      </c>
      <c r="F92" s="141" t="n">
        <v>73.58</v>
      </c>
      <c r="G92" s="141" t="n">
        <v>1239.4</v>
      </c>
      <c r="H92" s="141" t="n">
        <v>0</v>
      </c>
      <c r="I92" s="141" t="n">
        <v>0</v>
      </c>
      <c r="J92" s="141" t="n">
        <v>0</v>
      </c>
      <c r="K92" s="141" t="n">
        <v>0</v>
      </c>
      <c r="L92" s="141" t="n">
        <v>154.8</v>
      </c>
      <c r="M92" s="141" t="n">
        <v>0</v>
      </c>
      <c r="N92" s="141" t="n">
        <v>0</v>
      </c>
      <c r="O92" s="141" t="n">
        <v>4.27</v>
      </c>
    </row>
    <row r="93" customFormat="false" ht="15" hidden="false" customHeight="false" outlineLevel="0" collapsed="false">
      <c r="A93" s="138" t="s">
        <v>1731</v>
      </c>
      <c r="B93" s="138" t="s">
        <v>1732</v>
      </c>
      <c r="C93" s="138" t="n">
        <v>88</v>
      </c>
      <c r="D93" s="138" t="n">
        <v>89</v>
      </c>
      <c r="E93" s="141" t="n">
        <f aca="false">F93/Parâmetros!$C$22</f>
        <v>377.8</v>
      </c>
      <c r="F93" s="141" t="n">
        <v>75.56</v>
      </c>
      <c r="G93" s="141" t="n">
        <v>1511.36</v>
      </c>
      <c r="H93" s="141" t="n">
        <v>0</v>
      </c>
      <c r="I93" s="141" t="n">
        <v>0</v>
      </c>
      <c r="J93" s="141" t="n">
        <v>0</v>
      </c>
      <c r="K93" s="141" t="n">
        <v>0</v>
      </c>
      <c r="L93" s="141" t="n">
        <v>154.8</v>
      </c>
      <c r="M93" s="141" t="n">
        <v>0</v>
      </c>
      <c r="N93" s="141" t="n">
        <v>0</v>
      </c>
      <c r="O93" s="141" t="n">
        <v>3.94</v>
      </c>
    </row>
    <row r="94" customFormat="false" ht="15" hidden="false" customHeight="false" outlineLevel="0" collapsed="false">
      <c r="A94" s="138" t="s">
        <v>1732</v>
      </c>
      <c r="B94" s="138" t="s">
        <v>1733</v>
      </c>
      <c r="C94" s="138" t="n">
        <v>89</v>
      </c>
      <c r="D94" s="138" t="n">
        <v>90</v>
      </c>
      <c r="E94" s="141" t="n">
        <f aca="false">F94/Parâmetros!$C$22</f>
        <v>405.15</v>
      </c>
      <c r="F94" s="141" t="n">
        <v>81.03</v>
      </c>
      <c r="G94" s="141" t="n">
        <v>1748.93</v>
      </c>
      <c r="H94" s="141" t="n">
        <v>0</v>
      </c>
      <c r="I94" s="141" t="n">
        <v>0</v>
      </c>
      <c r="J94" s="141" t="n">
        <v>0</v>
      </c>
      <c r="K94" s="141" t="n">
        <v>0</v>
      </c>
      <c r="L94" s="141" t="n">
        <v>154.8</v>
      </c>
      <c r="M94" s="141" t="n">
        <v>0</v>
      </c>
      <c r="N94" s="141" t="n">
        <v>0</v>
      </c>
      <c r="O94" s="141" t="n">
        <v>3.94</v>
      </c>
    </row>
    <row r="95" customFormat="false" ht="15" hidden="false" customHeight="false" outlineLevel="0" collapsed="false">
      <c r="A95" s="138" t="s">
        <v>1733</v>
      </c>
      <c r="B95" s="138" t="s">
        <v>1734</v>
      </c>
      <c r="C95" s="138" t="n">
        <v>90</v>
      </c>
      <c r="D95" s="138" t="n">
        <v>91</v>
      </c>
      <c r="E95" s="141" t="n">
        <f aca="false">F95/Parâmetros!$C$22</f>
        <v>417</v>
      </c>
      <c r="F95" s="141" t="n">
        <v>83.4</v>
      </c>
      <c r="G95" s="141" t="n">
        <v>1836.67</v>
      </c>
      <c r="H95" s="141" t="n">
        <v>0</v>
      </c>
      <c r="I95" s="141" t="n">
        <v>0</v>
      </c>
      <c r="J95" s="141" t="n">
        <v>0</v>
      </c>
      <c r="K95" s="141" t="n">
        <v>0</v>
      </c>
      <c r="L95" s="141" t="n">
        <v>154.8</v>
      </c>
      <c r="M95" s="141" t="n">
        <v>0</v>
      </c>
      <c r="N95" s="141" t="n">
        <v>0</v>
      </c>
      <c r="O95" s="141" t="n">
        <v>3.94</v>
      </c>
    </row>
    <row r="96" customFormat="false" ht="15" hidden="false" customHeight="false" outlineLevel="0" collapsed="false">
      <c r="A96" s="138" t="s">
        <v>1734</v>
      </c>
      <c r="B96" s="138" t="s">
        <v>1735</v>
      </c>
      <c r="C96" s="138" t="n">
        <v>91</v>
      </c>
      <c r="D96" s="138" t="n">
        <v>92</v>
      </c>
      <c r="E96" s="141" t="n">
        <f aca="false">F96/Parâmetros!$C$22</f>
        <v>419.85</v>
      </c>
      <c r="F96" s="141" t="n">
        <v>83.97</v>
      </c>
      <c r="G96" s="141" t="n">
        <v>1848.49</v>
      </c>
      <c r="H96" s="141" t="n">
        <v>0</v>
      </c>
      <c r="I96" s="141" t="n">
        <v>0</v>
      </c>
      <c r="J96" s="141" t="n">
        <v>0</v>
      </c>
      <c r="K96" s="141" t="n">
        <v>0</v>
      </c>
      <c r="L96" s="141" t="n">
        <v>154.8</v>
      </c>
      <c r="M96" s="141" t="n">
        <v>0</v>
      </c>
      <c r="N96" s="141" t="n">
        <v>0</v>
      </c>
      <c r="O96" s="141" t="n">
        <v>3.94</v>
      </c>
    </row>
    <row r="97" customFormat="false" ht="15" hidden="false" customHeight="false" outlineLevel="0" collapsed="false">
      <c r="A97" s="138" t="s">
        <v>1735</v>
      </c>
      <c r="B97" s="138" t="s">
        <v>3769</v>
      </c>
      <c r="C97" s="138" t="n">
        <v>92</v>
      </c>
      <c r="D97" s="138" t="n">
        <v>92.3545</v>
      </c>
      <c r="E97" s="141" t="n">
        <f aca="false">F97/Parâmetros!$C$22</f>
        <v>148.95</v>
      </c>
      <c r="F97" s="141" t="n">
        <v>29.79</v>
      </c>
      <c r="G97" s="141" t="n">
        <v>654.15</v>
      </c>
      <c r="H97" s="141" t="n">
        <v>0</v>
      </c>
      <c r="I97" s="141" t="n">
        <v>0</v>
      </c>
      <c r="J97" s="141" t="n">
        <v>0</v>
      </c>
      <c r="K97" s="141" t="n">
        <v>0</v>
      </c>
      <c r="L97" s="141" t="n">
        <v>54.9</v>
      </c>
      <c r="M97" s="141" t="n">
        <v>0</v>
      </c>
      <c r="N97" s="141" t="n">
        <v>0</v>
      </c>
      <c r="O97" s="141" t="n">
        <v>1.4</v>
      </c>
    </row>
    <row r="98" customFormat="false" ht="15" hidden="false" customHeight="false" outlineLevel="0" collapsed="false">
      <c r="A98" s="138" t="s">
        <v>3769</v>
      </c>
      <c r="B98" s="138" t="s">
        <v>1736</v>
      </c>
      <c r="C98" s="138" t="n">
        <v>92.3545</v>
      </c>
      <c r="D98" s="138" t="n">
        <v>93</v>
      </c>
      <c r="E98" s="141" t="n">
        <f aca="false">F98/Parâmetros!$C$22</f>
        <v>270.5</v>
      </c>
      <c r="F98" s="141" t="n">
        <v>54.1</v>
      </c>
      <c r="G98" s="141" t="n">
        <v>1183.19</v>
      </c>
      <c r="H98" s="141" t="n">
        <v>0</v>
      </c>
      <c r="I98" s="141" t="n">
        <v>0</v>
      </c>
      <c r="J98" s="141" t="n">
        <v>0</v>
      </c>
      <c r="K98" s="141" t="n">
        <v>0</v>
      </c>
      <c r="L98" s="141" t="n">
        <v>99.9</v>
      </c>
      <c r="M98" s="141" t="n">
        <v>0</v>
      </c>
      <c r="N98" s="141" t="n">
        <v>0</v>
      </c>
      <c r="O98" s="141" t="n">
        <v>2.55</v>
      </c>
    </row>
    <row r="99" customFormat="false" ht="15" hidden="false" customHeight="false" outlineLevel="0" collapsed="false">
      <c r="A99" s="138" t="s">
        <v>1736</v>
      </c>
      <c r="B99" s="138" t="s">
        <v>3770</v>
      </c>
      <c r="C99" s="138" t="n">
        <v>93</v>
      </c>
      <c r="D99" s="138" t="n">
        <v>93.462</v>
      </c>
      <c r="E99" s="141" t="n">
        <f aca="false">F99/Parâmetros!$C$22</f>
        <v>193.25</v>
      </c>
      <c r="F99" s="141" t="n">
        <v>38.65</v>
      </c>
      <c r="G99" s="141" t="n">
        <v>839.49</v>
      </c>
      <c r="H99" s="141" t="n">
        <v>0</v>
      </c>
      <c r="I99" s="141" t="n">
        <v>0</v>
      </c>
      <c r="J99" s="141" t="n">
        <v>0</v>
      </c>
      <c r="K99" s="141" t="n">
        <v>0</v>
      </c>
      <c r="L99" s="141" t="n">
        <v>71.54</v>
      </c>
      <c r="M99" s="141" t="n">
        <v>0</v>
      </c>
      <c r="N99" s="141" t="n">
        <v>0</v>
      </c>
      <c r="O99" s="141" t="n">
        <v>1.82</v>
      </c>
    </row>
    <row r="100" customFormat="false" ht="15" hidden="false" customHeight="false" outlineLevel="0" collapsed="false">
      <c r="A100" s="138" t="s">
        <v>3770</v>
      </c>
      <c r="B100" s="138" t="s">
        <v>1737</v>
      </c>
      <c r="C100" s="138" t="n">
        <v>93.462</v>
      </c>
      <c r="D100" s="138" t="n">
        <v>94</v>
      </c>
      <c r="E100" s="141" t="n">
        <f aca="false">F100/Parâmetros!$C$22</f>
        <v>223.85</v>
      </c>
      <c r="F100" s="141" t="n">
        <v>44.77</v>
      </c>
      <c r="G100" s="141" t="n">
        <v>957.35</v>
      </c>
      <c r="H100" s="141" t="n">
        <v>0</v>
      </c>
      <c r="I100" s="141" t="n">
        <v>0</v>
      </c>
      <c r="J100" s="141" t="n">
        <v>0</v>
      </c>
      <c r="K100" s="141" t="n">
        <v>0</v>
      </c>
      <c r="L100" s="141" t="n">
        <v>83.26</v>
      </c>
      <c r="M100" s="141" t="n">
        <v>0</v>
      </c>
      <c r="N100" s="141" t="n">
        <v>0</v>
      </c>
      <c r="O100" s="141" t="n">
        <v>2.12</v>
      </c>
    </row>
    <row r="101" customFormat="false" ht="15" hidden="false" customHeight="false" outlineLevel="0" collapsed="false">
      <c r="A101" s="138" t="s">
        <v>1737</v>
      </c>
      <c r="B101" s="138" t="s">
        <v>3771</v>
      </c>
      <c r="C101" s="138" t="n">
        <v>94</v>
      </c>
      <c r="D101" s="138" t="n">
        <v>94.5695</v>
      </c>
      <c r="E101" s="141" t="n">
        <f aca="false">F101/Parâmetros!$C$22</f>
        <v>234.5</v>
      </c>
      <c r="F101" s="141" t="n">
        <v>46.9</v>
      </c>
      <c r="G101" s="141" t="n">
        <v>979.86</v>
      </c>
      <c r="H101" s="141" t="n">
        <v>0</v>
      </c>
      <c r="I101" s="141" t="n">
        <v>0</v>
      </c>
      <c r="J101" s="141" t="n">
        <v>0</v>
      </c>
      <c r="K101" s="141" t="n">
        <v>0</v>
      </c>
      <c r="L101" s="141" t="n">
        <v>88.19</v>
      </c>
      <c r="M101" s="141" t="n">
        <v>0</v>
      </c>
      <c r="N101" s="141" t="n">
        <v>0</v>
      </c>
      <c r="O101" s="141" t="n">
        <v>2.25</v>
      </c>
    </row>
    <row r="102" customFormat="false" ht="15" hidden="false" customHeight="false" outlineLevel="0" collapsed="false">
      <c r="A102" s="138" t="s">
        <v>3771</v>
      </c>
      <c r="B102" s="138" t="s">
        <v>1738</v>
      </c>
      <c r="C102" s="138" t="n">
        <v>94.5695</v>
      </c>
      <c r="D102" s="138" t="n">
        <v>95</v>
      </c>
      <c r="E102" s="141" t="n">
        <f aca="false">F102/Parâmetros!$C$22</f>
        <v>177.85</v>
      </c>
      <c r="F102" s="141" t="n">
        <v>35.57</v>
      </c>
      <c r="G102" s="141" t="n">
        <v>726.99</v>
      </c>
      <c r="H102" s="141" t="n">
        <v>0</v>
      </c>
      <c r="I102" s="141" t="n">
        <v>0</v>
      </c>
      <c r="J102" s="141" t="n">
        <v>0</v>
      </c>
      <c r="K102" s="141" t="n">
        <v>0</v>
      </c>
      <c r="L102" s="141" t="n">
        <v>66.61</v>
      </c>
      <c r="M102" s="141" t="n">
        <v>0</v>
      </c>
      <c r="N102" s="141" t="n">
        <v>0</v>
      </c>
      <c r="O102" s="141" t="n">
        <v>1.84</v>
      </c>
    </row>
    <row r="103" customFormat="false" ht="15" hidden="false" customHeight="false" outlineLevel="0" collapsed="false">
      <c r="A103" s="138" t="s">
        <v>1738</v>
      </c>
      <c r="B103" s="138" t="s">
        <v>1740</v>
      </c>
      <c r="C103" s="138" t="n">
        <v>95</v>
      </c>
      <c r="D103" s="138" t="n">
        <v>96</v>
      </c>
      <c r="E103" s="141" t="n">
        <f aca="false">F103/Parâmetros!$C$22</f>
        <v>665.35</v>
      </c>
      <c r="F103" s="141" t="n">
        <v>133.07</v>
      </c>
      <c r="G103" s="141" t="n">
        <v>1874.44</v>
      </c>
      <c r="H103" s="141" t="n">
        <v>0</v>
      </c>
      <c r="I103" s="141" t="n">
        <v>0</v>
      </c>
      <c r="J103" s="141" t="n">
        <v>0</v>
      </c>
      <c r="K103" s="141" t="n">
        <v>0</v>
      </c>
      <c r="L103" s="141" t="n">
        <v>153.59</v>
      </c>
      <c r="M103" s="141" t="n">
        <v>0</v>
      </c>
      <c r="N103" s="141" t="n">
        <v>0</v>
      </c>
      <c r="O103" s="141" t="n">
        <v>3.45</v>
      </c>
    </row>
    <row r="104" customFormat="false" ht="15" hidden="false" customHeight="false" outlineLevel="0" collapsed="false">
      <c r="A104" s="138" t="s">
        <v>1740</v>
      </c>
      <c r="B104" s="138" t="s">
        <v>1741</v>
      </c>
      <c r="C104" s="138" t="n">
        <v>96</v>
      </c>
      <c r="D104" s="138" t="n">
        <v>97</v>
      </c>
      <c r="E104" s="141" t="n">
        <f aca="false">F104/Parâmetros!$C$22</f>
        <v>676.35</v>
      </c>
      <c r="F104" s="141" t="n">
        <v>135.27</v>
      </c>
      <c r="G104" s="141" t="n">
        <v>1776.17</v>
      </c>
      <c r="H104" s="141" t="n">
        <v>0</v>
      </c>
      <c r="I104" s="141" t="n">
        <v>0</v>
      </c>
      <c r="J104" s="141" t="n">
        <v>0</v>
      </c>
      <c r="K104" s="141" t="n">
        <v>0</v>
      </c>
      <c r="L104" s="141" t="n">
        <v>153.59</v>
      </c>
      <c r="M104" s="141" t="n">
        <v>0</v>
      </c>
      <c r="N104" s="141" t="n">
        <v>0</v>
      </c>
      <c r="O104" s="141" t="n">
        <v>3.45</v>
      </c>
    </row>
    <row r="105" customFormat="false" ht="15" hidden="false" customHeight="false" outlineLevel="0" collapsed="false">
      <c r="A105" s="138" t="s">
        <v>1741</v>
      </c>
      <c r="B105" s="138" t="s">
        <v>1742</v>
      </c>
      <c r="C105" s="138" t="n">
        <v>97</v>
      </c>
      <c r="D105" s="138" t="n">
        <v>98</v>
      </c>
      <c r="E105" s="141" t="n">
        <f aca="false">F105/Parâmetros!$C$22</f>
        <v>432.7</v>
      </c>
      <c r="F105" s="141" t="n">
        <v>86.54</v>
      </c>
      <c r="G105" s="141" t="n">
        <v>1403.84</v>
      </c>
      <c r="H105" s="141" t="n">
        <v>0</v>
      </c>
      <c r="I105" s="141" t="n">
        <v>0</v>
      </c>
      <c r="J105" s="141" t="n">
        <v>0</v>
      </c>
      <c r="K105" s="141" t="n">
        <v>0</v>
      </c>
      <c r="L105" s="141" t="n">
        <v>154.8</v>
      </c>
      <c r="M105" s="141" t="n">
        <v>0</v>
      </c>
      <c r="N105" s="141" t="n">
        <v>0</v>
      </c>
      <c r="O105" s="141" t="n">
        <v>4.61</v>
      </c>
    </row>
    <row r="106" customFormat="false" ht="15" hidden="false" customHeight="false" outlineLevel="0" collapsed="false">
      <c r="A106" s="138" t="s">
        <v>1742</v>
      </c>
      <c r="B106" s="138" t="s">
        <v>1743</v>
      </c>
      <c r="C106" s="138" t="n">
        <v>98</v>
      </c>
      <c r="D106" s="138" t="n">
        <v>99</v>
      </c>
      <c r="E106" s="141" t="n">
        <f aca="false">F106/Parâmetros!$C$22</f>
        <v>418.1</v>
      </c>
      <c r="F106" s="141" t="n">
        <v>83.62</v>
      </c>
      <c r="G106" s="141" t="n">
        <v>1227.48</v>
      </c>
      <c r="H106" s="141" t="n">
        <v>0</v>
      </c>
      <c r="I106" s="141" t="n">
        <v>0</v>
      </c>
      <c r="J106" s="141" t="n">
        <v>0</v>
      </c>
      <c r="K106" s="141" t="n">
        <v>0</v>
      </c>
      <c r="L106" s="141" t="n">
        <v>154.8</v>
      </c>
      <c r="M106" s="141" t="n">
        <v>0</v>
      </c>
      <c r="N106" s="141" t="n">
        <v>0</v>
      </c>
      <c r="O106" s="141" t="n">
        <v>4.61</v>
      </c>
    </row>
    <row r="107" customFormat="false" ht="15" hidden="false" customHeight="false" outlineLevel="0" collapsed="false">
      <c r="A107" s="138" t="s">
        <v>1743</v>
      </c>
      <c r="B107" s="138" t="s">
        <v>1744</v>
      </c>
      <c r="C107" s="138" t="n">
        <v>99</v>
      </c>
      <c r="D107" s="138" t="n">
        <v>100</v>
      </c>
      <c r="E107" s="141" t="n">
        <f aca="false">F107/Parâmetros!$C$22</f>
        <v>404.5</v>
      </c>
      <c r="F107" s="141" t="n">
        <v>80.9</v>
      </c>
      <c r="G107" s="141" t="n">
        <v>1063.24</v>
      </c>
      <c r="H107" s="141" t="n">
        <v>0</v>
      </c>
      <c r="I107" s="141" t="n">
        <v>0</v>
      </c>
      <c r="J107" s="141" t="n">
        <v>0</v>
      </c>
      <c r="K107" s="141" t="n">
        <v>0</v>
      </c>
      <c r="L107" s="141" t="n">
        <v>154.8</v>
      </c>
      <c r="M107" s="141" t="n">
        <v>0</v>
      </c>
      <c r="N107" s="141" t="n">
        <v>0</v>
      </c>
      <c r="O107" s="141" t="n">
        <v>4.61</v>
      </c>
    </row>
    <row r="108" customFormat="false" ht="15" hidden="false" customHeight="false" outlineLevel="0" collapsed="false">
      <c r="A108" s="138" t="s">
        <v>1744</v>
      </c>
      <c r="B108" s="138" t="s">
        <v>1745</v>
      </c>
      <c r="C108" s="138" t="n">
        <v>100</v>
      </c>
      <c r="D108" s="138" t="n">
        <v>101</v>
      </c>
      <c r="E108" s="141" t="n">
        <f aca="false">F108/Parâmetros!$C$22</f>
        <v>391.05</v>
      </c>
      <c r="F108" s="141" t="n">
        <v>78.21</v>
      </c>
      <c r="G108" s="141" t="n">
        <v>907.36</v>
      </c>
      <c r="H108" s="141" t="n">
        <v>0</v>
      </c>
      <c r="I108" s="141" t="n">
        <v>0</v>
      </c>
      <c r="J108" s="141" t="n">
        <v>0</v>
      </c>
      <c r="K108" s="141" t="n">
        <v>0</v>
      </c>
      <c r="L108" s="141" t="n">
        <v>154.8</v>
      </c>
      <c r="M108" s="141" t="n">
        <v>0</v>
      </c>
      <c r="N108" s="141" t="n">
        <v>0</v>
      </c>
      <c r="O108" s="141" t="n">
        <v>4.61</v>
      </c>
    </row>
    <row r="109" customFormat="false" ht="15" hidden="false" customHeight="false" outlineLevel="0" collapsed="false">
      <c r="A109" s="138" t="s">
        <v>1745</v>
      </c>
      <c r="B109" s="138" t="s">
        <v>1746</v>
      </c>
      <c r="C109" s="138" t="n">
        <v>101</v>
      </c>
      <c r="D109" s="138" t="n">
        <v>102</v>
      </c>
      <c r="E109" s="141" t="n">
        <f aca="false">F109/Parâmetros!$C$22</f>
        <v>376.8</v>
      </c>
      <c r="F109" s="141" t="n">
        <v>75.36</v>
      </c>
      <c r="G109" s="141" t="n">
        <v>737.77</v>
      </c>
      <c r="H109" s="141" t="n">
        <v>0</v>
      </c>
      <c r="I109" s="141" t="n">
        <v>0</v>
      </c>
      <c r="J109" s="141" t="n">
        <v>0</v>
      </c>
      <c r="K109" s="141" t="n">
        <v>0</v>
      </c>
      <c r="L109" s="141" t="n">
        <v>154.8</v>
      </c>
      <c r="M109" s="141" t="n">
        <v>0</v>
      </c>
      <c r="N109" s="141" t="n">
        <v>0</v>
      </c>
      <c r="O109" s="141" t="n">
        <v>4.61</v>
      </c>
    </row>
    <row r="110" customFormat="false" ht="15" hidden="false" customHeight="false" outlineLevel="0" collapsed="false">
      <c r="A110" s="138" t="s">
        <v>1746</v>
      </c>
      <c r="B110" s="138" t="s">
        <v>1747</v>
      </c>
      <c r="C110" s="138" t="n">
        <v>102</v>
      </c>
      <c r="D110" s="138" t="n">
        <v>103</v>
      </c>
      <c r="E110" s="141" t="n">
        <f aca="false">F110/Parâmetros!$C$22</f>
        <v>360.6</v>
      </c>
      <c r="F110" s="141" t="n">
        <v>72.12</v>
      </c>
      <c r="G110" s="141" t="n">
        <v>536.64</v>
      </c>
      <c r="H110" s="141" t="n">
        <v>0</v>
      </c>
      <c r="I110" s="141" t="n">
        <v>0</v>
      </c>
      <c r="J110" s="141" t="n">
        <v>0</v>
      </c>
      <c r="K110" s="141" t="n">
        <v>0</v>
      </c>
      <c r="L110" s="141" t="n">
        <v>154.8</v>
      </c>
      <c r="M110" s="141" t="n">
        <v>0</v>
      </c>
      <c r="N110" s="141" t="n">
        <v>0</v>
      </c>
      <c r="O110" s="141" t="n">
        <v>4.61</v>
      </c>
    </row>
    <row r="111" customFormat="false" ht="15" hidden="false" customHeight="false" outlineLevel="0" collapsed="false">
      <c r="A111" s="138" t="s">
        <v>1747</v>
      </c>
      <c r="B111" s="138" t="s">
        <v>1748</v>
      </c>
      <c r="C111" s="138" t="n">
        <v>103</v>
      </c>
      <c r="D111" s="138" t="n">
        <v>104</v>
      </c>
      <c r="E111" s="141" t="n">
        <f aca="false">F111/Parâmetros!$C$22</f>
        <v>335.7</v>
      </c>
      <c r="F111" s="141" t="n">
        <v>67.14</v>
      </c>
      <c r="G111" s="141" t="n">
        <v>311.84</v>
      </c>
      <c r="H111" s="141" t="n">
        <v>0</v>
      </c>
      <c r="I111" s="141" t="n">
        <v>0</v>
      </c>
      <c r="J111" s="141" t="n">
        <v>0</v>
      </c>
      <c r="K111" s="141" t="n">
        <v>0</v>
      </c>
      <c r="L111" s="141" t="n">
        <v>154.8</v>
      </c>
      <c r="M111" s="141" t="n">
        <v>0</v>
      </c>
      <c r="N111" s="141" t="n">
        <v>0</v>
      </c>
      <c r="O111" s="141" t="n">
        <v>4.61</v>
      </c>
    </row>
    <row r="112" customFormat="false" ht="15" hidden="false" customHeight="false" outlineLevel="0" collapsed="false">
      <c r="A112" s="138" t="s">
        <v>1748</v>
      </c>
      <c r="B112" s="138" t="s">
        <v>1749</v>
      </c>
      <c r="C112" s="138" t="n">
        <v>104</v>
      </c>
      <c r="D112" s="138" t="n">
        <v>105</v>
      </c>
      <c r="E112" s="141" t="n">
        <f aca="false">F112/Parâmetros!$C$22</f>
        <v>275.65</v>
      </c>
      <c r="F112" s="141" t="n">
        <v>55.13</v>
      </c>
      <c r="G112" s="141" t="n">
        <v>107.17</v>
      </c>
      <c r="H112" s="141" t="n">
        <v>0</v>
      </c>
      <c r="I112" s="141" t="n">
        <v>0</v>
      </c>
      <c r="J112" s="141" t="n">
        <v>0</v>
      </c>
      <c r="K112" s="141" t="n">
        <v>39.56</v>
      </c>
      <c r="L112" s="141" t="n">
        <v>155.97</v>
      </c>
      <c r="M112" s="141" t="n">
        <v>0</v>
      </c>
      <c r="N112" s="141" t="n">
        <v>0</v>
      </c>
      <c r="O112" s="141" t="n">
        <v>4.46</v>
      </c>
    </row>
    <row r="113" customFormat="false" ht="15" hidden="false" customHeight="false" outlineLevel="0" collapsed="false">
      <c r="A113" s="138" t="s">
        <v>1749</v>
      </c>
      <c r="B113" s="138" t="s">
        <v>1750</v>
      </c>
      <c r="C113" s="138" t="n">
        <v>105</v>
      </c>
      <c r="D113" s="138" t="n">
        <v>106</v>
      </c>
      <c r="E113" s="141" t="n">
        <f aca="false">F113/Parâmetros!$C$22</f>
        <v>256.4</v>
      </c>
      <c r="F113" s="141" t="n">
        <v>51.28</v>
      </c>
      <c r="G113" s="141" t="n">
        <v>8.71</v>
      </c>
      <c r="H113" s="141" t="n">
        <v>0</v>
      </c>
      <c r="I113" s="141" t="n">
        <v>0</v>
      </c>
      <c r="J113" s="141" t="n">
        <v>0</v>
      </c>
      <c r="K113" s="141" t="n">
        <v>178.75</v>
      </c>
      <c r="L113" s="141" t="n">
        <v>161.37</v>
      </c>
      <c r="M113" s="141" t="n">
        <v>0</v>
      </c>
      <c r="N113" s="141" t="n">
        <v>0</v>
      </c>
      <c r="O113" s="141" t="n">
        <v>4.17</v>
      </c>
    </row>
    <row r="114" customFormat="false" ht="15" hidden="false" customHeight="false" outlineLevel="0" collapsed="false">
      <c r="A114" s="138" t="s">
        <v>1750</v>
      </c>
      <c r="B114" s="138" t="s">
        <v>1751</v>
      </c>
      <c r="C114" s="138" t="n">
        <v>106</v>
      </c>
      <c r="D114" s="138" t="n">
        <v>107</v>
      </c>
      <c r="E114" s="141" t="n">
        <f aca="false">F114/Parâmetros!$C$22</f>
        <v>301.9</v>
      </c>
      <c r="F114" s="141" t="n">
        <v>60.38</v>
      </c>
      <c r="G114" s="141" t="n">
        <v>0</v>
      </c>
      <c r="H114" s="141" t="n">
        <v>0</v>
      </c>
      <c r="I114" s="141" t="n">
        <v>0</v>
      </c>
      <c r="J114" s="141" t="n">
        <v>0</v>
      </c>
      <c r="K114" s="141" t="n">
        <v>371.37</v>
      </c>
      <c r="L114" s="141" t="n">
        <v>171</v>
      </c>
      <c r="M114" s="141" t="n">
        <v>0</v>
      </c>
      <c r="N114" s="141" t="n">
        <v>0</v>
      </c>
      <c r="O114" s="141" t="n">
        <v>4.03</v>
      </c>
    </row>
    <row r="115" customFormat="false" ht="15" hidden="false" customHeight="false" outlineLevel="0" collapsed="false">
      <c r="A115" s="138" t="s">
        <v>1751</v>
      </c>
      <c r="B115" s="138" t="s">
        <v>1752</v>
      </c>
      <c r="C115" s="138" t="n">
        <v>107</v>
      </c>
      <c r="D115" s="138" t="n">
        <v>108</v>
      </c>
      <c r="E115" s="141" t="n">
        <f aca="false">F115/Parâmetros!$C$22</f>
        <v>336</v>
      </c>
      <c r="F115" s="141" t="n">
        <v>67.2</v>
      </c>
      <c r="G115" s="141" t="n">
        <v>0</v>
      </c>
      <c r="H115" s="141" t="n">
        <v>0</v>
      </c>
      <c r="I115" s="141" t="n">
        <v>0</v>
      </c>
      <c r="J115" s="141" t="n">
        <v>0</v>
      </c>
      <c r="K115" s="141" t="n">
        <v>518.89</v>
      </c>
      <c r="L115" s="141" t="n">
        <v>176.41</v>
      </c>
      <c r="M115" s="141" t="n">
        <v>0</v>
      </c>
      <c r="N115" s="141" t="n">
        <v>0</v>
      </c>
      <c r="O115" s="141" t="n">
        <v>4.03</v>
      </c>
    </row>
    <row r="116" customFormat="false" ht="15" hidden="false" customHeight="false" outlineLevel="0" collapsed="false">
      <c r="A116" s="138" t="s">
        <v>1752</v>
      </c>
      <c r="B116" s="138" t="s">
        <v>1753</v>
      </c>
      <c r="C116" s="138" t="n">
        <v>108</v>
      </c>
      <c r="D116" s="138" t="n">
        <v>109</v>
      </c>
      <c r="E116" s="141" t="n">
        <f aca="false">F116/Parâmetros!$C$22</f>
        <v>350.05</v>
      </c>
      <c r="F116" s="141" t="n">
        <v>70.01</v>
      </c>
      <c r="G116" s="141" t="n">
        <v>0</v>
      </c>
      <c r="H116" s="141" t="n">
        <v>0</v>
      </c>
      <c r="I116" s="141" t="n">
        <v>0</v>
      </c>
      <c r="J116" s="141" t="n">
        <v>0</v>
      </c>
      <c r="K116" s="141" t="n">
        <v>596.87</v>
      </c>
      <c r="L116" s="141" t="n">
        <v>176.41</v>
      </c>
      <c r="M116" s="141" t="n">
        <v>0</v>
      </c>
      <c r="N116" s="141" t="n">
        <v>0</v>
      </c>
      <c r="O116" s="141" t="n">
        <v>4.03</v>
      </c>
    </row>
    <row r="117" customFormat="false" ht="15" hidden="false" customHeight="false" outlineLevel="0" collapsed="false">
      <c r="A117" s="138" t="s">
        <v>1753</v>
      </c>
      <c r="B117" s="138" t="s">
        <v>1754</v>
      </c>
      <c r="C117" s="138" t="n">
        <v>109</v>
      </c>
      <c r="D117" s="138" t="n">
        <v>110</v>
      </c>
      <c r="E117" s="141" t="n">
        <f aca="false">F117/Parâmetros!$C$22</f>
        <v>330.95</v>
      </c>
      <c r="F117" s="141" t="n">
        <v>66.19</v>
      </c>
      <c r="G117" s="141" t="n">
        <v>0</v>
      </c>
      <c r="H117" s="141" t="n">
        <v>0</v>
      </c>
      <c r="I117" s="141" t="n">
        <v>0</v>
      </c>
      <c r="J117" s="141" t="n">
        <v>0</v>
      </c>
      <c r="K117" s="141" t="n">
        <v>571.34</v>
      </c>
      <c r="L117" s="141" t="n">
        <v>176.41</v>
      </c>
      <c r="M117" s="141" t="n">
        <v>0</v>
      </c>
      <c r="N117" s="141" t="n">
        <v>0</v>
      </c>
      <c r="O117" s="141" t="n">
        <v>4.03</v>
      </c>
    </row>
    <row r="118" customFormat="false" ht="15" hidden="false" customHeight="false" outlineLevel="0" collapsed="false">
      <c r="A118" s="138" t="s">
        <v>1754</v>
      </c>
      <c r="B118" s="138" t="s">
        <v>1755</v>
      </c>
      <c r="C118" s="138" t="n">
        <v>110</v>
      </c>
      <c r="D118" s="138" t="n">
        <v>111</v>
      </c>
      <c r="E118" s="141" t="n">
        <f aca="false">F118/Parâmetros!$C$22</f>
        <v>301.55</v>
      </c>
      <c r="F118" s="141" t="n">
        <v>60.31</v>
      </c>
      <c r="G118" s="141" t="n">
        <v>0</v>
      </c>
      <c r="H118" s="141" t="n">
        <v>0</v>
      </c>
      <c r="I118" s="141" t="n">
        <v>0</v>
      </c>
      <c r="J118" s="141" t="n">
        <v>0</v>
      </c>
      <c r="K118" s="141" t="n">
        <v>472.82</v>
      </c>
      <c r="L118" s="141" t="n">
        <v>176.41</v>
      </c>
      <c r="M118" s="141" t="n">
        <v>0</v>
      </c>
      <c r="N118" s="141" t="n">
        <v>0</v>
      </c>
      <c r="O118" s="141" t="n">
        <v>4.03</v>
      </c>
    </row>
    <row r="119" customFormat="false" ht="15" hidden="false" customHeight="false" outlineLevel="0" collapsed="false">
      <c r="A119" s="138" t="s">
        <v>1755</v>
      </c>
      <c r="B119" s="138" t="s">
        <v>1756</v>
      </c>
      <c r="C119" s="138" t="n">
        <v>111</v>
      </c>
      <c r="D119" s="138" t="n">
        <v>112</v>
      </c>
      <c r="E119" s="141" t="n">
        <f aca="false">F119/Parâmetros!$C$22</f>
        <v>290.25</v>
      </c>
      <c r="F119" s="141" t="n">
        <v>58.05</v>
      </c>
      <c r="G119" s="141" t="n">
        <v>0</v>
      </c>
      <c r="H119" s="141" t="n">
        <v>0</v>
      </c>
      <c r="I119" s="141" t="n">
        <v>0</v>
      </c>
      <c r="J119" s="141" t="n">
        <v>0</v>
      </c>
      <c r="K119" s="141" t="n">
        <v>365.25</v>
      </c>
      <c r="L119" s="141" t="n">
        <v>176.41</v>
      </c>
      <c r="M119" s="141" t="n">
        <v>0</v>
      </c>
      <c r="N119" s="141" t="n">
        <v>0</v>
      </c>
      <c r="O119" s="141" t="n">
        <v>4.03</v>
      </c>
    </row>
    <row r="120" customFormat="false" ht="15" hidden="false" customHeight="false" outlineLevel="0" collapsed="false">
      <c r="A120" s="138" t="s">
        <v>1756</v>
      </c>
      <c r="B120" s="138" t="s">
        <v>1757</v>
      </c>
      <c r="C120" s="138" t="n">
        <v>112</v>
      </c>
      <c r="D120" s="138" t="n">
        <v>113</v>
      </c>
      <c r="E120" s="141" t="n">
        <f aca="false">F120/Parâmetros!$C$22</f>
        <v>296.6</v>
      </c>
      <c r="F120" s="141" t="n">
        <v>59.32</v>
      </c>
      <c r="G120" s="141" t="n">
        <v>0</v>
      </c>
      <c r="H120" s="141" t="n">
        <v>0</v>
      </c>
      <c r="I120" s="141" t="n">
        <v>0</v>
      </c>
      <c r="J120" s="141" t="n">
        <v>430.65</v>
      </c>
      <c r="K120" s="141" t="n">
        <v>301</v>
      </c>
      <c r="L120" s="141" t="n">
        <v>176.41</v>
      </c>
      <c r="M120" s="141" t="n">
        <v>430.65</v>
      </c>
      <c r="N120" s="141" t="n">
        <v>0</v>
      </c>
      <c r="O120" s="141" t="n">
        <v>4.03</v>
      </c>
    </row>
    <row r="121" customFormat="false" ht="15" hidden="false" customHeight="false" outlineLevel="0" collapsed="false">
      <c r="A121" s="138" t="s">
        <v>1757</v>
      </c>
      <c r="B121" s="138" t="s">
        <v>1758</v>
      </c>
      <c r="C121" s="138" t="n">
        <v>113</v>
      </c>
      <c r="D121" s="138" t="n">
        <v>114</v>
      </c>
      <c r="E121" s="141" t="n">
        <f aca="false">F121/Parâmetros!$C$22</f>
        <v>298</v>
      </c>
      <c r="F121" s="141" t="n">
        <v>59.6</v>
      </c>
      <c r="G121" s="141" t="n">
        <v>0</v>
      </c>
      <c r="H121" s="141" t="n">
        <v>0</v>
      </c>
      <c r="I121" s="141" t="n">
        <v>0</v>
      </c>
      <c r="J121" s="141" t="n">
        <v>837.09</v>
      </c>
      <c r="K121" s="141" t="n">
        <v>291.02</v>
      </c>
      <c r="L121" s="141" t="n">
        <v>176.41</v>
      </c>
      <c r="M121" s="141" t="n">
        <v>837.09</v>
      </c>
      <c r="N121" s="141" t="n">
        <v>0</v>
      </c>
      <c r="O121" s="141" t="n">
        <v>4.03</v>
      </c>
    </row>
    <row r="122" customFormat="false" ht="15" hidden="false" customHeight="false" outlineLevel="0" collapsed="false">
      <c r="A122" s="138" t="s">
        <v>1758</v>
      </c>
      <c r="B122" s="138" t="s">
        <v>1759</v>
      </c>
      <c r="C122" s="138" t="n">
        <v>114</v>
      </c>
      <c r="D122" s="138" t="n">
        <v>115</v>
      </c>
      <c r="E122" s="141" t="n">
        <f aca="false">F122/Parâmetros!$C$22</f>
        <v>289.55</v>
      </c>
      <c r="F122" s="141" t="n">
        <v>57.91</v>
      </c>
      <c r="G122" s="141" t="n">
        <v>0</v>
      </c>
      <c r="H122" s="141" t="n">
        <v>0</v>
      </c>
      <c r="I122" s="141" t="n">
        <v>0</v>
      </c>
      <c r="J122" s="141" t="n">
        <v>632.52</v>
      </c>
      <c r="K122" s="141" t="n">
        <v>234.14</v>
      </c>
      <c r="L122" s="141" t="n">
        <v>175.65</v>
      </c>
      <c r="M122" s="141" t="n">
        <v>632.52</v>
      </c>
      <c r="N122" s="141" t="n">
        <v>0</v>
      </c>
      <c r="O122" s="141" t="n">
        <v>4.03</v>
      </c>
    </row>
    <row r="123" customFormat="false" ht="15" hidden="false" customHeight="false" outlineLevel="0" collapsed="false">
      <c r="A123" s="138" t="s">
        <v>1759</v>
      </c>
      <c r="B123" s="138" t="s">
        <v>1760</v>
      </c>
      <c r="C123" s="138" t="n">
        <v>115</v>
      </c>
      <c r="D123" s="138" t="n">
        <v>116</v>
      </c>
      <c r="E123" s="141" t="n">
        <f aca="false">F123/Parâmetros!$C$22</f>
        <v>293.5</v>
      </c>
      <c r="F123" s="141" t="n">
        <v>58.7</v>
      </c>
      <c r="G123" s="141" t="n">
        <v>0.35</v>
      </c>
      <c r="H123" s="141" t="n">
        <v>0</v>
      </c>
      <c r="I123" s="141" t="n">
        <v>0</v>
      </c>
      <c r="J123" s="141" t="n">
        <v>226.07</v>
      </c>
      <c r="K123" s="141" t="n">
        <v>145.11</v>
      </c>
      <c r="L123" s="141" t="n">
        <v>174.41</v>
      </c>
      <c r="M123" s="141" t="n">
        <v>226.07</v>
      </c>
      <c r="N123" s="141" t="n">
        <v>0</v>
      </c>
      <c r="O123" s="141" t="n">
        <v>4.02</v>
      </c>
    </row>
    <row r="124" customFormat="false" ht="15" hidden="false" customHeight="false" outlineLevel="0" collapsed="false">
      <c r="A124" s="138" t="s">
        <v>1760</v>
      </c>
      <c r="B124" s="138" t="s">
        <v>1761</v>
      </c>
      <c r="C124" s="138" t="n">
        <v>116</v>
      </c>
      <c r="D124" s="138" t="n">
        <v>117</v>
      </c>
      <c r="E124" s="141" t="n">
        <f aca="false">F124/Parâmetros!$C$22</f>
        <v>323.95</v>
      </c>
      <c r="F124" s="141" t="n">
        <v>64.79</v>
      </c>
      <c r="G124" s="141" t="n">
        <v>33.7</v>
      </c>
      <c r="H124" s="141" t="n">
        <v>0</v>
      </c>
      <c r="I124" s="141" t="n">
        <v>0</v>
      </c>
      <c r="J124" s="141" t="n">
        <v>0</v>
      </c>
      <c r="K124" s="141" t="n">
        <v>79.68</v>
      </c>
      <c r="L124" s="141" t="n">
        <v>180.12</v>
      </c>
      <c r="M124" s="141" t="n">
        <v>0</v>
      </c>
      <c r="N124" s="141" t="n">
        <v>0</v>
      </c>
      <c r="O124" s="141" t="n">
        <v>4.15</v>
      </c>
    </row>
    <row r="125" customFormat="false" ht="15" hidden="false" customHeight="false" outlineLevel="0" collapsed="false">
      <c r="A125" s="138" t="s">
        <v>1761</v>
      </c>
      <c r="B125" s="138" t="s">
        <v>1762</v>
      </c>
      <c r="C125" s="138" t="n">
        <v>117</v>
      </c>
      <c r="D125" s="138" t="n">
        <v>118</v>
      </c>
      <c r="E125" s="141" t="n">
        <f aca="false">F125/Parâmetros!$C$22</f>
        <v>386.15</v>
      </c>
      <c r="F125" s="141" t="n">
        <v>77.23</v>
      </c>
      <c r="G125" s="141" t="n">
        <v>241.91</v>
      </c>
      <c r="H125" s="141" t="n">
        <v>0</v>
      </c>
      <c r="I125" s="141" t="n">
        <v>0</v>
      </c>
      <c r="J125" s="141" t="n">
        <v>0</v>
      </c>
      <c r="K125" s="141" t="n">
        <v>23.53</v>
      </c>
      <c r="L125" s="141" t="n">
        <v>192.18</v>
      </c>
      <c r="M125" s="141" t="n">
        <v>0</v>
      </c>
      <c r="N125" s="141" t="n">
        <v>0</v>
      </c>
      <c r="O125" s="141" t="n">
        <v>4.43</v>
      </c>
    </row>
    <row r="126" customFormat="false" ht="15" hidden="false" customHeight="false" outlineLevel="0" collapsed="false">
      <c r="A126" s="138" t="s">
        <v>1762</v>
      </c>
      <c r="B126" s="138" t="s">
        <v>1763</v>
      </c>
      <c r="C126" s="138" t="n">
        <v>118</v>
      </c>
      <c r="D126" s="138" t="n">
        <v>119</v>
      </c>
      <c r="E126" s="141" t="n">
        <f aca="false">F126/Parâmetros!$C$22</f>
        <v>462.9</v>
      </c>
      <c r="F126" s="141" t="n">
        <v>92.58</v>
      </c>
      <c r="G126" s="141" t="n">
        <v>743.16</v>
      </c>
      <c r="H126" s="141" t="n">
        <v>0</v>
      </c>
      <c r="I126" s="141" t="n">
        <v>0</v>
      </c>
      <c r="J126" s="141" t="n">
        <v>0</v>
      </c>
      <c r="K126" s="141" t="n">
        <v>0</v>
      </c>
      <c r="L126" s="141" t="n">
        <v>205.75</v>
      </c>
      <c r="M126" s="141" t="n">
        <v>0</v>
      </c>
      <c r="N126" s="141" t="n">
        <v>0</v>
      </c>
      <c r="O126" s="141" t="n">
        <v>4.58</v>
      </c>
    </row>
    <row r="127" customFormat="false" ht="15" hidden="false" customHeight="false" outlineLevel="0" collapsed="false">
      <c r="A127" s="138" t="s">
        <v>1763</v>
      </c>
      <c r="B127" s="138" t="s">
        <v>1765</v>
      </c>
      <c r="C127" s="138" t="n">
        <v>119</v>
      </c>
      <c r="D127" s="138" t="n">
        <v>120</v>
      </c>
      <c r="E127" s="141" t="n">
        <f aca="false">F127/Parâmetros!$C$22</f>
        <v>513.5</v>
      </c>
      <c r="F127" s="141" t="n">
        <v>102.7</v>
      </c>
      <c r="G127" s="141" t="n">
        <v>1183.45</v>
      </c>
      <c r="H127" s="141" t="n">
        <v>0</v>
      </c>
      <c r="I127" s="141" t="n">
        <v>0</v>
      </c>
      <c r="J127" s="141" t="n">
        <v>0</v>
      </c>
      <c r="K127" s="141" t="n">
        <v>0</v>
      </c>
      <c r="L127" s="141" t="n">
        <v>208.64</v>
      </c>
      <c r="M127" s="141" t="n">
        <v>0</v>
      </c>
      <c r="N127" s="141" t="n">
        <v>0</v>
      </c>
      <c r="O127" s="141" t="n">
        <v>3.44</v>
      </c>
    </row>
    <row r="128" customFormat="false" ht="15" hidden="false" customHeight="false" outlineLevel="0" collapsed="false">
      <c r="A128" s="138" t="s">
        <v>1765</v>
      </c>
      <c r="B128" s="138" t="s">
        <v>1767</v>
      </c>
      <c r="C128" s="138" t="n">
        <v>120</v>
      </c>
      <c r="D128" s="138" t="n">
        <v>121</v>
      </c>
      <c r="E128" s="141" t="n">
        <f aca="false">F128/Parâmetros!$C$22</f>
        <v>490.8</v>
      </c>
      <c r="F128" s="141" t="n">
        <v>98.16</v>
      </c>
      <c r="G128" s="141" t="n">
        <v>1138.39</v>
      </c>
      <c r="H128" s="141" t="n">
        <v>0</v>
      </c>
      <c r="I128" s="141" t="n">
        <v>0</v>
      </c>
      <c r="J128" s="141" t="n">
        <v>0</v>
      </c>
      <c r="K128" s="141" t="n">
        <v>0</v>
      </c>
      <c r="L128" s="141" t="n">
        <v>192.57</v>
      </c>
      <c r="M128" s="141" t="n">
        <v>0</v>
      </c>
      <c r="N128" s="141" t="n">
        <v>0</v>
      </c>
      <c r="O128" s="141" t="n">
        <v>3.43</v>
      </c>
    </row>
    <row r="129" customFormat="false" ht="15" hidden="false" customHeight="false" outlineLevel="0" collapsed="false">
      <c r="A129" s="138" t="s">
        <v>1767</v>
      </c>
      <c r="B129" s="138" t="s">
        <v>1768</v>
      </c>
      <c r="C129" s="138" t="n">
        <v>121</v>
      </c>
      <c r="D129" s="138" t="n">
        <v>122</v>
      </c>
      <c r="E129" s="141" t="n">
        <f aca="false">F129/Parâmetros!$C$22</f>
        <v>506</v>
      </c>
      <c r="F129" s="141" t="n">
        <v>101.2</v>
      </c>
      <c r="G129" s="141" t="n">
        <v>800.48</v>
      </c>
      <c r="H129" s="141" t="n">
        <v>0</v>
      </c>
      <c r="I129" s="141" t="n">
        <v>0</v>
      </c>
      <c r="J129" s="141" t="n">
        <v>0</v>
      </c>
      <c r="K129" s="141" t="n">
        <v>1.38</v>
      </c>
      <c r="L129" s="141" t="n">
        <v>171.67</v>
      </c>
      <c r="M129" s="141" t="n">
        <v>0</v>
      </c>
      <c r="N129" s="141" t="n">
        <v>0</v>
      </c>
      <c r="O129" s="141" t="n">
        <v>4.58</v>
      </c>
    </row>
    <row r="130" customFormat="false" ht="15" hidden="false" customHeight="false" outlineLevel="0" collapsed="false">
      <c r="A130" s="138" t="s">
        <v>1768</v>
      </c>
      <c r="B130" s="138" t="s">
        <v>1770</v>
      </c>
      <c r="C130" s="138" t="n">
        <v>122</v>
      </c>
      <c r="D130" s="138" t="n">
        <v>123</v>
      </c>
      <c r="E130" s="141" t="n">
        <f aca="false">F130/Parâmetros!$C$22</f>
        <v>440.45</v>
      </c>
      <c r="F130" s="141" t="n">
        <v>88.09</v>
      </c>
      <c r="G130" s="141" t="n">
        <v>383.15</v>
      </c>
      <c r="H130" s="141" t="n">
        <v>0</v>
      </c>
      <c r="I130" s="141" t="n">
        <v>0</v>
      </c>
      <c r="J130" s="141" t="n">
        <v>0</v>
      </c>
      <c r="K130" s="141" t="n">
        <v>38.39</v>
      </c>
      <c r="L130" s="141" t="n">
        <v>142.7</v>
      </c>
      <c r="M130" s="141" t="n">
        <v>0</v>
      </c>
      <c r="N130" s="141" t="n">
        <v>0</v>
      </c>
      <c r="O130" s="141" t="n">
        <v>2.3</v>
      </c>
    </row>
    <row r="131" customFormat="false" ht="15" hidden="false" customHeight="false" outlineLevel="0" collapsed="false">
      <c r="A131" s="138" t="s">
        <v>1770</v>
      </c>
      <c r="B131" s="138" t="s">
        <v>1772</v>
      </c>
      <c r="C131" s="138" t="n">
        <v>123</v>
      </c>
      <c r="D131" s="138" t="n">
        <v>124</v>
      </c>
      <c r="E131" s="141" t="n">
        <f aca="false">F131/Parâmetros!$C$22</f>
        <v>288.4</v>
      </c>
      <c r="F131" s="141" t="n">
        <v>57.68</v>
      </c>
      <c r="G131" s="141" t="n">
        <v>88.41</v>
      </c>
      <c r="H131" s="141" t="n">
        <v>0</v>
      </c>
      <c r="I131" s="141" t="n">
        <v>0</v>
      </c>
      <c r="J131" s="141" t="n">
        <v>0</v>
      </c>
      <c r="K131" s="141" t="n">
        <v>80.75</v>
      </c>
      <c r="L131" s="141" t="n">
        <v>127.49</v>
      </c>
      <c r="M131" s="141" t="n">
        <v>0</v>
      </c>
      <c r="N131" s="141" t="n">
        <v>0</v>
      </c>
      <c r="O131" s="141" t="n">
        <v>1.15</v>
      </c>
    </row>
    <row r="132" customFormat="false" ht="15" hidden="false" customHeight="false" outlineLevel="0" collapsed="false">
      <c r="A132" s="138" t="s">
        <v>1772</v>
      </c>
      <c r="B132" s="138" t="s">
        <v>1774</v>
      </c>
      <c r="C132" s="138" t="n">
        <v>124</v>
      </c>
      <c r="D132" s="138" t="n">
        <v>125</v>
      </c>
      <c r="E132" s="141" t="n">
        <f aca="false">F132/Parâmetros!$C$22</f>
        <v>258.25</v>
      </c>
      <c r="F132" s="141" t="n">
        <v>51.65</v>
      </c>
      <c r="G132" s="141" t="n">
        <v>26.4</v>
      </c>
      <c r="H132" s="141" t="n">
        <v>0</v>
      </c>
      <c r="I132" s="141" t="n">
        <v>0</v>
      </c>
      <c r="J132" s="141" t="n">
        <v>0</v>
      </c>
      <c r="K132" s="141" t="n">
        <v>91.6</v>
      </c>
      <c r="L132" s="141" t="n">
        <v>148.62</v>
      </c>
      <c r="M132" s="141" t="n">
        <v>0</v>
      </c>
      <c r="N132" s="141" t="n">
        <v>0</v>
      </c>
      <c r="O132" s="141" t="n">
        <v>3.31</v>
      </c>
    </row>
    <row r="133" customFormat="false" ht="15" hidden="false" customHeight="false" outlineLevel="0" collapsed="false">
      <c r="A133" s="138" t="s">
        <v>1774</v>
      </c>
      <c r="B133" s="138" t="s">
        <v>1775</v>
      </c>
      <c r="C133" s="138" t="n">
        <v>125</v>
      </c>
      <c r="D133" s="138" t="n">
        <v>126</v>
      </c>
      <c r="E133" s="141" t="n">
        <f aca="false">F133/Parâmetros!$C$22</f>
        <v>285.75</v>
      </c>
      <c r="F133" s="141" t="n">
        <v>57.15</v>
      </c>
      <c r="G133" s="141" t="n">
        <v>12.47</v>
      </c>
      <c r="H133" s="141" t="n">
        <v>0</v>
      </c>
      <c r="I133" s="141" t="n">
        <v>0</v>
      </c>
      <c r="J133" s="141" t="n">
        <v>0</v>
      </c>
      <c r="K133" s="141" t="n">
        <v>107.45</v>
      </c>
      <c r="L133" s="141" t="n">
        <v>167.04</v>
      </c>
      <c r="M133" s="141" t="n">
        <v>0</v>
      </c>
      <c r="N133" s="141" t="n">
        <v>0</v>
      </c>
      <c r="O133" s="141" t="n">
        <v>4.17</v>
      </c>
    </row>
    <row r="134" customFormat="false" ht="15" hidden="false" customHeight="false" outlineLevel="0" collapsed="false">
      <c r="A134" s="138" t="s">
        <v>1775</v>
      </c>
      <c r="B134" s="138" t="s">
        <v>1776</v>
      </c>
      <c r="C134" s="138" t="n">
        <v>126</v>
      </c>
      <c r="D134" s="138" t="n">
        <v>127</v>
      </c>
      <c r="E134" s="141" t="n">
        <f aca="false">F134/Parâmetros!$C$22</f>
        <v>293.7</v>
      </c>
      <c r="F134" s="141" t="n">
        <v>58.74</v>
      </c>
      <c r="G134" s="141" t="n">
        <v>4.31</v>
      </c>
      <c r="H134" s="141" t="n">
        <v>0</v>
      </c>
      <c r="I134" s="141" t="n">
        <v>0</v>
      </c>
      <c r="J134" s="141" t="n">
        <v>0</v>
      </c>
      <c r="K134" s="141" t="n">
        <v>132.78</v>
      </c>
      <c r="L134" s="141" t="n">
        <v>168.11</v>
      </c>
      <c r="M134" s="141" t="n">
        <v>0</v>
      </c>
      <c r="N134" s="141" t="n">
        <v>0</v>
      </c>
      <c r="O134" s="141" t="n">
        <v>4.03</v>
      </c>
    </row>
    <row r="135" customFormat="false" ht="15" hidden="false" customHeight="false" outlineLevel="0" collapsed="false">
      <c r="A135" s="138" t="s">
        <v>1776</v>
      </c>
      <c r="B135" s="138" t="s">
        <v>1777</v>
      </c>
      <c r="C135" s="138" t="n">
        <v>127</v>
      </c>
      <c r="D135" s="138" t="n">
        <v>128</v>
      </c>
      <c r="E135" s="141" t="n">
        <f aca="false">F135/Parâmetros!$C$22</f>
        <v>297</v>
      </c>
      <c r="F135" s="141" t="n">
        <v>59.4</v>
      </c>
      <c r="G135" s="141" t="n">
        <v>45.89</v>
      </c>
      <c r="H135" s="141" t="n">
        <v>0</v>
      </c>
      <c r="I135" s="141" t="n">
        <v>0</v>
      </c>
      <c r="J135" s="141" t="n">
        <v>0</v>
      </c>
      <c r="K135" s="141" t="n">
        <v>79.01</v>
      </c>
      <c r="L135" s="141" t="n">
        <v>163.91</v>
      </c>
      <c r="M135" s="141" t="n">
        <v>0</v>
      </c>
      <c r="N135" s="141" t="n">
        <v>0</v>
      </c>
      <c r="O135" s="141" t="n">
        <v>4.17</v>
      </c>
    </row>
    <row r="136" customFormat="false" ht="15" hidden="false" customHeight="false" outlineLevel="0" collapsed="false">
      <c r="A136" s="138" t="s">
        <v>1777</v>
      </c>
      <c r="B136" s="138" t="s">
        <v>1778</v>
      </c>
      <c r="C136" s="138" t="n">
        <v>128</v>
      </c>
      <c r="D136" s="138" t="n">
        <v>129</v>
      </c>
      <c r="E136" s="141" t="n">
        <f aca="false">F136/Parâmetros!$C$22</f>
        <v>324.1</v>
      </c>
      <c r="F136" s="141" t="n">
        <v>64.82</v>
      </c>
      <c r="G136" s="141" t="n">
        <v>246.25</v>
      </c>
      <c r="H136" s="141" t="n">
        <v>0</v>
      </c>
      <c r="I136" s="141" t="n">
        <v>0</v>
      </c>
      <c r="J136" s="141" t="n">
        <v>0</v>
      </c>
      <c r="K136" s="141" t="n">
        <v>5.75</v>
      </c>
      <c r="L136" s="141" t="n">
        <v>157.44</v>
      </c>
      <c r="M136" s="141" t="n">
        <v>0</v>
      </c>
      <c r="N136" s="141" t="n">
        <v>0</v>
      </c>
      <c r="O136" s="141" t="n">
        <v>4.46</v>
      </c>
    </row>
    <row r="137" customFormat="false" ht="15" hidden="false" customHeight="false" outlineLevel="0" collapsed="false">
      <c r="A137" s="138" t="s">
        <v>1778</v>
      </c>
      <c r="B137" s="138" t="s">
        <v>1779</v>
      </c>
      <c r="C137" s="138" t="n">
        <v>129</v>
      </c>
      <c r="D137" s="138" t="n">
        <v>130</v>
      </c>
      <c r="E137" s="141" t="n">
        <f aca="false">F137/Parâmetros!$C$22</f>
        <v>348.05</v>
      </c>
      <c r="F137" s="141" t="n">
        <v>69.61</v>
      </c>
      <c r="G137" s="141" t="n">
        <v>572.37</v>
      </c>
      <c r="H137" s="141" t="n">
        <v>0</v>
      </c>
      <c r="I137" s="141" t="n">
        <v>0</v>
      </c>
      <c r="J137" s="141" t="n">
        <v>0</v>
      </c>
      <c r="K137" s="141" t="n">
        <v>0</v>
      </c>
      <c r="L137" s="141" t="n">
        <v>154.8</v>
      </c>
      <c r="M137" s="141" t="n">
        <v>0</v>
      </c>
      <c r="N137" s="141" t="n">
        <v>0</v>
      </c>
      <c r="O137" s="141" t="n">
        <v>4.61</v>
      </c>
    </row>
    <row r="138" customFormat="false" ht="15" hidden="false" customHeight="false" outlineLevel="0" collapsed="false">
      <c r="A138" s="138" t="s">
        <v>1779</v>
      </c>
      <c r="B138" s="138" t="s">
        <v>1780</v>
      </c>
      <c r="C138" s="138" t="n">
        <v>130</v>
      </c>
      <c r="D138" s="138" t="n">
        <v>131</v>
      </c>
      <c r="E138" s="141" t="n">
        <f aca="false">F138/Parâmetros!$C$22</f>
        <v>376.95</v>
      </c>
      <c r="F138" s="141" t="n">
        <v>75.39</v>
      </c>
      <c r="G138" s="141" t="n">
        <v>915.58</v>
      </c>
      <c r="H138" s="141" t="n">
        <v>0</v>
      </c>
      <c r="I138" s="141" t="n">
        <v>0</v>
      </c>
      <c r="J138" s="141" t="n">
        <v>0</v>
      </c>
      <c r="K138" s="141" t="n">
        <v>0</v>
      </c>
      <c r="L138" s="141" t="n">
        <v>154.8</v>
      </c>
      <c r="M138" s="141" t="n">
        <v>0</v>
      </c>
      <c r="N138" s="141" t="n">
        <v>0</v>
      </c>
      <c r="O138" s="141" t="n">
        <v>4.61</v>
      </c>
    </row>
    <row r="139" customFormat="false" ht="15" hidden="false" customHeight="false" outlineLevel="0" collapsed="false">
      <c r="A139" s="138" t="s">
        <v>1780</v>
      </c>
      <c r="B139" s="138" t="s">
        <v>1781</v>
      </c>
      <c r="C139" s="138" t="n">
        <v>131</v>
      </c>
      <c r="D139" s="138" t="n">
        <v>132</v>
      </c>
      <c r="E139" s="141" t="n">
        <f aca="false">F139/Parâmetros!$C$22</f>
        <v>398.7</v>
      </c>
      <c r="F139" s="141" t="n">
        <v>79.74</v>
      </c>
      <c r="G139" s="141" t="n">
        <v>1129.04</v>
      </c>
      <c r="H139" s="141" t="n">
        <v>0</v>
      </c>
      <c r="I139" s="141" t="n">
        <v>0</v>
      </c>
      <c r="J139" s="141" t="n">
        <v>0</v>
      </c>
      <c r="K139" s="141" t="n">
        <v>0</v>
      </c>
      <c r="L139" s="141" t="n">
        <v>154.8</v>
      </c>
      <c r="M139" s="141" t="n">
        <v>0</v>
      </c>
      <c r="N139" s="141" t="n">
        <v>0</v>
      </c>
      <c r="O139" s="141" t="n">
        <v>4.61</v>
      </c>
    </row>
    <row r="140" customFormat="false" ht="15" hidden="false" customHeight="false" outlineLevel="0" collapsed="false">
      <c r="A140" s="138" t="s">
        <v>1781</v>
      </c>
      <c r="B140" s="138" t="s">
        <v>1782</v>
      </c>
      <c r="C140" s="138" t="n">
        <v>132</v>
      </c>
      <c r="D140" s="138" t="n">
        <v>133</v>
      </c>
      <c r="E140" s="141" t="n">
        <f aca="false">F140/Parâmetros!$C$22</f>
        <v>397.6</v>
      </c>
      <c r="F140" s="141" t="n">
        <v>79.52</v>
      </c>
      <c r="G140" s="141" t="n">
        <v>1102.83</v>
      </c>
      <c r="H140" s="141" t="n">
        <v>0</v>
      </c>
      <c r="I140" s="141" t="n">
        <v>0</v>
      </c>
      <c r="J140" s="141" t="n">
        <v>0</v>
      </c>
      <c r="K140" s="141" t="n">
        <v>0</v>
      </c>
      <c r="L140" s="141" t="n">
        <v>154.8</v>
      </c>
      <c r="M140" s="141" t="n">
        <v>0</v>
      </c>
      <c r="N140" s="141" t="n">
        <v>0</v>
      </c>
      <c r="O140" s="141" t="n">
        <v>4.61</v>
      </c>
    </row>
    <row r="141" customFormat="false" ht="15" hidden="false" customHeight="false" outlineLevel="0" collapsed="false">
      <c r="A141" s="138" t="s">
        <v>1782</v>
      </c>
      <c r="B141" s="138" t="s">
        <v>1783</v>
      </c>
      <c r="C141" s="138" t="n">
        <v>133</v>
      </c>
      <c r="D141" s="138" t="n">
        <v>134</v>
      </c>
      <c r="E141" s="141" t="n">
        <f aca="false">F141/Parâmetros!$C$22</f>
        <v>397.25</v>
      </c>
      <c r="F141" s="141" t="n">
        <v>79.45</v>
      </c>
      <c r="G141" s="141" t="n">
        <v>977.17</v>
      </c>
      <c r="H141" s="141" t="n">
        <v>0</v>
      </c>
      <c r="I141" s="141" t="n">
        <v>0</v>
      </c>
      <c r="J141" s="141" t="n">
        <v>0</v>
      </c>
      <c r="K141" s="141" t="n">
        <v>0</v>
      </c>
      <c r="L141" s="141" t="n">
        <v>154.8</v>
      </c>
      <c r="M141" s="141" t="n">
        <v>0</v>
      </c>
      <c r="N141" s="141" t="n">
        <v>0</v>
      </c>
      <c r="O141" s="141" t="n">
        <v>4.61</v>
      </c>
    </row>
    <row r="142" customFormat="false" ht="15" hidden="false" customHeight="false" outlineLevel="0" collapsed="false">
      <c r="A142" s="138" t="s">
        <v>1783</v>
      </c>
      <c r="B142" s="138" t="s">
        <v>1784</v>
      </c>
      <c r="C142" s="138" t="n">
        <v>134</v>
      </c>
      <c r="D142" s="138" t="n">
        <v>135</v>
      </c>
      <c r="E142" s="141" t="n">
        <f aca="false">F142/Parâmetros!$C$22</f>
        <v>388.6</v>
      </c>
      <c r="F142" s="141" t="n">
        <v>77.72</v>
      </c>
      <c r="G142" s="141" t="n">
        <v>728.04</v>
      </c>
      <c r="H142" s="141" t="n">
        <v>0</v>
      </c>
      <c r="I142" s="141" t="n">
        <v>0</v>
      </c>
      <c r="J142" s="141" t="n">
        <v>0</v>
      </c>
      <c r="K142" s="141" t="n">
        <v>0</v>
      </c>
      <c r="L142" s="141" t="n">
        <v>154.8</v>
      </c>
      <c r="M142" s="141" t="n">
        <v>0</v>
      </c>
      <c r="N142" s="141" t="n">
        <v>0</v>
      </c>
      <c r="O142" s="141" t="n">
        <v>4.61</v>
      </c>
    </row>
    <row r="143" customFormat="false" ht="15" hidden="false" customHeight="false" outlineLevel="0" collapsed="false">
      <c r="A143" s="138" t="s">
        <v>1784</v>
      </c>
      <c r="B143" s="138" t="s">
        <v>1785</v>
      </c>
      <c r="C143" s="138" t="n">
        <v>135</v>
      </c>
      <c r="D143" s="138" t="n">
        <v>136</v>
      </c>
      <c r="E143" s="141" t="n">
        <f aca="false">F143/Parâmetros!$C$22</f>
        <v>338</v>
      </c>
      <c r="F143" s="141" t="n">
        <v>67.6</v>
      </c>
      <c r="G143" s="141" t="n">
        <v>346.95</v>
      </c>
      <c r="H143" s="141" t="n">
        <v>0</v>
      </c>
      <c r="I143" s="141" t="n">
        <v>0</v>
      </c>
      <c r="J143" s="141" t="n">
        <v>0</v>
      </c>
      <c r="K143" s="141" t="n">
        <v>3.34</v>
      </c>
      <c r="L143" s="141" t="n">
        <v>157.21</v>
      </c>
      <c r="M143" s="141" t="n">
        <v>0</v>
      </c>
      <c r="N143" s="141" t="n">
        <v>0</v>
      </c>
      <c r="O143" s="141" t="n">
        <v>4.46</v>
      </c>
    </row>
    <row r="144" customFormat="false" ht="15" hidden="false" customHeight="false" outlineLevel="0" collapsed="false">
      <c r="A144" s="138" t="s">
        <v>1785</v>
      </c>
      <c r="B144" s="138" t="s">
        <v>1786</v>
      </c>
      <c r="C144" s="138" t="n">
        <v>136</v>
      </c>
      <c r="D144" s="138" t="n">
        <v>137</v>
      </c>
      <c r="E144" s="141" t="n">
        <f aca="false">F144/Parâmetros!$C$22</f>
        <v>279.95</v>
      </c>
      <c r="F144" s="141" t="n">
        <v>55.99</v>
      </c>
      <c r="G144" s="141" t="n">
        <v>77.17</v>
      </c>
      <c r="H144" s="141" t="n">
        <v>0</v>
      </c>
      <c r="I144" s="141" t="n">
        <v>0</v>
      </c>
      <c r="J144" s="141" t="n">
        <v>0</v>
      </c>
      <c r="K144" s="141" t="n">
        <v>51.12</v>
      </c>
      <c r="L144" s="141" t="n">
        <v>159.56</v>
      </c>
      <c r="M144" s="141" t="n">
        <v>0</v>
      </c>
      <c r="N144" s="141" t="n">
        <v>0</v>
      </c>
      <c r="O144" s="141" t="n">
        <v>4.17</v>
      </c>
    </row>
    <row r="145" customFormat="false" ht="15" hidden="false" customHeight="false" outlineLevel="0" collapsed="false">
      <c r="A145" s="138" t="s">
        <v>1786</v>
      </c>
      <c r="B145" s="138" t="s">
        <v>1787</v>
      </c>
      <c r="C145" s="138" t="n">
        <v>137</v>
      </c>
      <c r="D145" s="138" t="n">
        <v>138</v>
      </c>
      <c r="E145" s="141" t="n">
        <f aca="false">F145/Parâmetros!$C$22</f>
        <v>293.1</v>
      </c>
      <c r="F145" s="141" t="n">
        <v>58.62</v>
      </c>
      <c r="G145" s="141" t="n">
        <v>0.47</v>
      </c>
      <c r="H145" s="141" t="n">
        <v>0</v>
      </c>
      <c r="I145" s="141" t="n">
        <v>0</v>
      </c>
      <c r="J145" s="141" t="n">
        <v>0</v>
      </c>
      <c r="K145" s="141" t="n">
        <v>144.25</v>
      </c>
      <c r="L145" s="141" t="n">
        <v>167.95</v>
      </c>
      <c r="M145" s="141" t="n">
        <v>0</v>
      </c>
      <c r="N145" s="141" t="n">
        <v>0</v>
      </c>
      <c r="O145" s="141" t="n">
        <v>4.03</v>
      </c>
    </row>
    <row r="146" customFormat="false" ht="15" hidden="false" customHeight="false" outlineLevel="0" collapsed="false">
      <c r="A146" s="138" t="s">
        <v>1787</v>
      </c>
      <c r="B146" s="138" t="s">
        <v>1788</v>
      </c>
      <c r="C146" s="138" t="n">
        <v>138</v>
      </c>
      <c r="D146" s="138" t="n">
        <v>139</v>
      </c>
      <c r="E146" s="141" t="n">
        <f aca="false">F146/Parâmetros!$C$22</f>
        <v>325.05</v>
      </c>
      <c r="F146" s="141" t="n">
        <v>65.01</v>
      </c>
      <c r="G146" s="141" t="n">
        <v>0</v>
      </c>
      <c r="H146" s="141" t="n">
        <v>0</v>
      </c>
      <c r="I146" s="141" t="n">
        <v>0</v>
      </c>
      <c r="J146" s="141" t="n">
        <v>0</v>
      </c>
      <c r="K146" s="141" t="n">
        <v>214.96</v>
      </c>
      <c r="L146" s="141" t="n">
        <v>176.41</v>
      </c>
      <c r="M146" s="141" t="n">
        <v>0</v>
      </c>
      <c r="N146" s="141" t="n">
        <v>0</v>
      </c>
      <c r="O146" s="141" t="n">
        <v>4.03</v>
      </c>
    </row>
    <row r="147" customFormat="false" ht="15" hidden="false" customHeight="false" outlineLevel="0" collapsed="false">
      <c r="A147" s="138" t="s">
        <v>1788</v>
      </c>
      <c r="B147" s="138" t="s">
        <v>1789</v>
      </c>
      <c r="C147" s="138" t="n">
        <v>139</v>
      </c>
      <c r="D147" s="138" t="n">
        <v>140</v>
      </c>
      <c r="E147" s="141" t="n">
        <f aca="false">F147/Parâmetros!$C$22</f>
        <v>316.55</v>
      </c>
      <c r="F147" s="141" t="n">
        <v>63.31</v>
      </c>
      <c r="G147" s="141" t="n">
        <v>29.16</v>
      </c>
      <c r="H147" s="141" t="n">
        <v>0</v>
      </c>
      <c r="I147" s="141" t="n">
        <v>0</v>
      </c>
      <c r="J147" s="141" t="n">
        <v>0</v>
      </c>
      <c r="K147" s="141" t="n">
        <v>133.08</v>
      </c>
      <c r="L147" s="141" t="n">
        <v>170.23</v>
      </c>
      <c r="M147" s="141" t="n">
        <v>0</v>
      </c>
      <c r="N147" s="141" t="n">
        <v>0</v>
      </c>
      <c r="O147" s="141" t="n">
        <v>4.17</v>
      </c>
    </row>
    <row r="148" customFormat="false" ht="15" hidden="false" customHeight="false" outlineLevel="0" collapsed="false">
      <c r="A148" s="138" t="s">
        <v>1789</v>
      </c>
      <c r="B148" s="138" t="s">
        <v>1790</v>
      </c>
      <c r="C148" s="138" t="n">
        <v>140</v>
      </c>
      <c r="D148" s="138" t="n">
        <v>141</v>
      </c>
      <c r="E148" s="141" t="n">
        <f aca="false">F148/Parâmetros!$C$22</f>
        <v>314.85</v>
      </c>
      <c r="F148" s="141" t="n">
        <v>62.97</v>
      </c>
      <c r="G148" s="141" t="n">
        <v>180.19</v>
      </c>
      <c r="H148" s="141" t="n">
        <v>0</v>
      </c>
      <c r="I148" s="141" t="n">
        <v>0</v>
      </c>
      <c r="J148" s="141" t="n">
        <v>0</v>
      </c>
      <c r="K148" s="141" t="n">
        <v>14.56</v>
      </c>
      <c r="L148" s="141" t="n">
        <v>159.42</v>
      </c>
      <c r="M148" s="141" t="n">
        <v>0</v>
      </c>
      <c r="N148" s="141" t="n">
        <v>0</v>
      </c>
      <c r="O148" s="141" t="n">
        <v>4.46</v>
      </c>
    </row>
    <row r="149" customFormat="false" ht="15" hidden="false" customHeight="false" outlineLevel="0" collapsed="false">
      <c r="A149" s="138" t="s">
        <v>1790</v>
      </c>
      <c r="B149" s="138" t="s">
        <v>1791</v>
      </c>
      <c r="C149" s="138" t="n">
        <v>141</v>
      </c>
      <c r="D149" s="138" t="n">
        <v>142</v>
      </c>
      <c r="E149" s="141" t="n">
        <f aca="false">F149/Parâmetros!$C$22</f>
        <v>334.5</v>
      </c>
      <c r="F149" s="141" t="n">
        <v>66.9</v>
      </c>
      <c r="G149" s="141" t="n">
        <v>444.2</v>
      </c>
      <c r="H149" s="141" t="n">
        <v>0</v>
      </c>
      <c r="I149" s="141" t="n">
        <v>0</v>
      </c>
      <c r="J149" s="141" t="n">
        <v>0</v>
      </c>
      <c r="K149" s="141" t="n">
        <v>0</v>
      </c>
      <c r="L149" s="141" t="n">
        <v>154.8</v>
      </c>
      <c r="M149" s="141" t="n">
        <v>0</v>
      </c>
      <c r="N149" s="141" t="n">
        <v>0</v>
      </c>
      <c r="O149" s="141" t="n">
        <v>4.61</v>
      </c>
    </row>
    <row r="150" customFormat="false" ht="15" hidden="false" customHeight="false" outlineLevel="0" collapsed="false">
      <c r="A150" s="138" t="s">
        <v>1791</v>
      </c>
      <c r="B150" s="138" t="s">
        <v>1792</v>
      </c>
      <c r="C150" s="138" t="n">
        <v>142</v>
      </c>
      <c r="D150" s="138" t="n">
        <v>143</v>
      </c>
      <c r="E150" s="141" t="n">
        <f aca="false">F150/Parâmetros!$C$22</f>
        <v>363.3</v>
      </c>
      <c r="F150" s="141" t="n">
        <v>72.66</v>
      </c>
      <c r="G150" s="141" t="n">
        <v>684.84</v>
      </c>
      <c r="H150" s="141" t="n">
        <v>0</v>
      </c>
      <c r="I150" s="141" t="n">
        <v>0</v>
      </c>
      <c r="J150" s="141" t="n">
        <v>0</v>
      </c>
      <c r="K150" s="141" t="n">
        <v>0</v>
      </c>
      <c r="L150" s="141" t="n">
        <v>154.8</v>
      </c>
      <c r="M150" s="141" t="n">
        <v>0</v>
      </c>
      <c r="N150" s="141" t="n">
        <v>0</v>
      </c>
      <c r="O150" s="141" t="n">
        <v>4.61</v>
      </c>
    </row>
    <row r="151" customFormat="false" ht="15" hidden="false" customHeight="false" outlineLevel="0" collapsed="false">
      <c r="A151" s="138" t="s">
        <v>1792</v>
      </c>
      <c r="B151" s="138" t="s">
        <v>1793</v>
      </c>
      <c r="C151" s="138" t="n">
        <v>143</v>
      </c>
      <c r="D151" s="138" t="n">
        <v>144</v>
      </c>
      <c r="E151" s="141" t="n">
        <f aca="false">F151/Parâmetros!$C$22</f>
        <v>381.7</v>
      </c>
      <c r="F151" s="141" t="n">
        <v>76.34</v>
      </c>
      <c r="G151" s="141" t="n">
        <v>828.36</v>
      </c>
      <c r="H151" s="141" t="n">
        <v>0</v>
      </c>
      <c r="I151" s="141" t="n">
        <v>0</v>
      </c>
      <c r="J151" s="141" t="n">
        <v>0</v>
      </c>
      <c r="K151" s="141" t="n">
        <v>0</v>
      </c>
      <c r="L151" s="141" t="n">
        <v>154.8</v>
      </c>
      <c r="M151" s="141" t="n">
        <v>0</v>
      </c>
      <c r="N151" s="141" t="n">
        <v>0</v>
      </c>
      <c r="O151" s="141" t="n">
        <v>4.61</v>
      </c>
    </row>
    <row r="152" customFormat="false" ht="15" hidden="false" customHeight="false" outlineLevel="0" collapsed="false">
      <c r="A152" s="138" t="s">
        <v>1793</v>
      </c>
      <c r="B152" s="138" t="s">
        <v>1794</v>
      </c>
      <c r="C152" s="138" t="n">
        <v>144</v>
      </c>
      <c r="D152" s="138" t="n">
        <v>145</v>
      </c>
      <c r="E152" s="141" t="n">
        <f aca="false">F152/Parâmetros!$C$22</f>
        <v>392.05</v>
      </c>
      <c r="F152" s="141" t="n">
        <v>78.41</v>
      </c>
      <c r="G152" s="141" t="n">
        <v>882.93</v>
      </c>
      <c r="H152" s="141" t="n">
        <v>0</v>
      </c>
      <c r="I152" s="141" t="n">
        <v>0</v>
      </c>
      <c r="J152" s="141" t="n">
        <v>0</v>
      </c>
      <c r="K152" s="141" t="n">
        <v>0</v>
      </c>
      <c r="L152" s="141" t="n">
        <v>154.8</v>
      </c>
      <c r="M152" s="141" t="n">
        <v>0</v>
      </c>
      <c r="N152" s="141" t="n">
        <v>0</v>
      </c>
      <c r="O152" s="141" t="n">
        <v>4.61</v>
      </c>
    </row>
    <row r="153" customFormat="false" ht="15" hidden="false" customHeight="false" outlineLevel="0" collapsed="false">
      <c r="A153" s="138" t="s">
        <v>1794</v>
      </c>
      <c r="B153" s="138" t="s">
        <v>1795</v>
      </c>
      <c r="C153" s="138" t="n">
        <v>145</v>
      </c>
      <c r="D153" s="138" t="n">
        <v>146</v>
      </c>
      <c r="E153" s="141" t="n">
        <f aca="false">F153/Parâmetros!$C$22</f>
        <v>390.7</v>
      </c>
      <c r="F153" s="141" t="n">
        <v>78.14</v>
      </c>
      <c r="G153" s="141" t="n">
        <v>838.02</v>
      </c>
      <c r="H153" s="141" t="n">
        <v>0</v>
      </c>
      <c r="I153" s="141" t="n">
        <v>0</v>
      </c>
      <c r="J153" s="141" t="n">
        <v>0</v>
      </c>
      <c r="K153" s="141" t="n">
        <v>0</v>
      </c>
      <c r="L153" s="141" t="n">
        <v>154.8</v>
      </c>
      <c r="M153" s="141" t="n">
        <v>0</v>
      </c>
      <c r="N153" s="141" t="n">
        <v>0</v>
      </c>
      <c r="O153" s="141" t="n">
        <v>4.61</v>
      </c>
    </row>
    <row r="154" customFormat="false" ht="15" hidden="false" customHeight="false" outlineLevel="0" collapsed="false">
      <c r="A154" s="138" t="s">
        <v>1795</v>
      </c>
      <c r="B154" s="138" t="s">
        <v>1796</v>
      </c>
      <c r="C154" s="138" t="n">
        <v>146</v>
      </c>
      <c r="D154" s="138" t="n">
        <v>147</v>
      </c>
      <c r="E154" s="141" t="n">
        <f aca="false">F154/Parâmetros!$C$22</f>
        <v>367.45</v>
      </c>
      <c r="F154" s="141" t="n">
        <v>73.49</v>
      </c>
      <c r="G154" s="141" t="n">
        <v>697.26</v>
      </c>
      <c r="H154" s="141" t="n">
        <v>0</v>
      </c>
      <c r="I154" s="141" t="n">
        <v>0</v>
      </c>
      <c r="J154" s="141" t="n">
        <v>0</v>
      </c>
      <c r="K154" s="141" t="n">
        <v>0</v>
      </c>
      <c r="L154" s="141" t="n">
        <v>154.8</v>
      </c>
      <c r="M154" s="141" t="n">
        <v>0</v>
      </c>
      <c r="N154" s="141" t="n">
        <v>0</v>
      </c>
      <c r="O154" s="141" t="n">
        <v>4.61</v>
      </c>
    </row>
    <row r="155" customFormat="false" ht="15" hidden="false" customHeight="false" outlineLevel="0" collapsed="false">
      <c r="A155" s="138" t="s">
        <v>1796</v>
      </c>
      <c r="B155" s="138" t="s">
        <v>1797</v>
      </c>
      <c r="C155" s="138" t="n">
        <v>147</v>
      </c>
      <c r="D155" s="138" t="n">
        <v>148</v>
      </c>
      <c r="E155" s="141" t="n">
        <f aca="false">F155/Parâmetros!$C$22</f>
        <v>337.5</v>
      </c>
      <c r="F155" s="141" t="n">
        <v>67.5</v>
      </c>
      <c r="G155" s="141" t="n">
        <v>547</v>
      </c>
      <c r="H155" s="141" t="n">
        <v>0</v>
      </c>
      <c r="I155" s="141" t="n">
        <v>0</v>
      </c>
      <c r="J155" s="141" t="n">
        <v>0</v>
      </c>
      <c r="K155" s="141" t="n">
        <v>0</v>
      </c>
      <c r="L155" s="141" t="n">
        <v>154.8</v>
      </c>
      <c r="M155" s="141" t="n">
        <v>0</v>
      </c>
      <c r="N155" s="141" t="n">
        <v>0</v>
      </c>
      <c r="O155" s="141" t="n">
        <v>4.61</v>
      </c>
    </row>
    <row r="156" customFormat="false" ht="15" hidden="false" customHeight="false" outlineLevel="0" collapsed="false">
      <c r="A156" s="138" t="s">
        <v>1797</v>
      </c>
      <c r="B156" s="138" t="s">
        <v>1798</v>
      </c>
      <c r="C156" s="138" t="n">
        <v>148</v>
      </c>
      <c r="D156" s="138" t="n">
        <v>149</v>
      </c>
      <c r="E156" s="141" t="n">
        <f aca="false">F156/Parâmetros!$C$22</f>
        <v>325.85</v>
      </c>
      <c r="F156" s="141" t="n">
        <v>65.17</v>
      </c>
      <c r="G156" s="141" t="n">
        <v>483.8</v>
      </c>
      <c r="H156" s="141" t="n">
        <v>0</v>
      </c>
      <c r="I156" s="141" t="n">
        <v>0</v>
      </c>
      <c r="J156" s="141" t="n">
        <v>0</v>
      </c>
      <c r="K156" s="141" t="n">
        <v>0</v>
      </c>
      <c r="L156" s="141" t="n">
        <v>154.8</v>
      </c>
      <c r="M156" s="141" t="n">
        <v>0</v>
      </c>
      <c r="N156" s="141" t="n">
        <v>0</v>
      </c>
      <c r="O156" s="141" t="n">
        <v>4.61</v>
      </c>
    </row>
    <row r="157" customFormat="false" ht="15" hidden="false" customHeight="false" outlineLevel="0" collapsed="false">
      <c r="A157" s="138" t="s">
        <v>1798</v>
      </c>
      <c r="B157" s="138" t="s">
        <v>1799</v>
      </c>
      <c r="C157" s="138" t="n">
        <v>149</v>
      </c>
      <c r="D157" s="138" t="n">
        <v>150</v>
      </c>
      <c r="E157" s="141" t="n">
        <f aca="false">F157/Parâmetros!$C$22</f>
        <v>340.5</v>
      </c>
      <c r="F157" s="141" t="n">
        <v>68.1</v>
      </c>
      <c r="G157" s="141" t="n">
        <v>545.34</v>
      </c>
      <c r="H157" s="141" t="n">
        <v>0</v>
      </c>
      <c r="I157" s="141" t="n">
        <v>0</v>
      </c>
      <c r="J157" s="141" t="n">
        <v>0</v>
      </c>
      <c r="K157" s="141" t="n">
        <v>0</v>
      </c>
      <c r="L157" s="141" t="n">
        <v>154.8</v>
      </c>
      <c r="M157" s="141" t="n">
        <v>0</v>
      </c>
      <c r="N157" s="141" t="n">
        <v>0</v>
      </c>
      <c r="O157" s="141" t="n">
        <v>4.61</v>
      </c>
    </row>
    <row r="158" customFormat="false" ht="15" hidden="false" customHeight="false" outlineLevel="0" collapsed="false">
      <c r="A158" s="138" t="s">
        <v>1799</v>
      </c>
      <c r="B158" s="138" t="s">
        <v>1800</v>
      </c>
      <c r="C158" s="138" t="n">
        <v>150</v>
      </c>
      <c r="D158" s="138" t="n">
        <v>151</v>
      </c>
      <c r="E158" s="141" t="n">
        <f aca="false">F158/Parâmetros!$C$22</f>
        <v>373.5</v>
      </c>
      <c r="F158" s="141" t="n">
        <v>74.7</v>
      </c>
      <c r="G158" s="141" t="n">
        <v>681.1</v>
      </c>
      <c r="H158" s="141" t="n">
        <v>0</v>
      </c>
      <c r="I158" s="141" t="n">
        <v>0</v>
      </c>
      <c r="J158" s="141" t="n">
        <v>0</v>
      </c>
      <c r="K158" s="141" t="n">
        <v>0</v>
      </c>
      <c r="L158" s="141" t="n">
        <v>154.8</v>
      </c>
      <c r="M158" s="141" t="n">
        <v>0</v>
      </c>
      <c r="N158" s="141" t="n">
        <v>0</v>
      </c>
      <c r="O158" s="141" t="n">
        <v>4.61</v>
      </c>
    </row>
    <row r="159" customFormat="false" ht="15" hidden="false" customHeight="false" outlineLevel="0" collapsed="false">
      <c r="A159" s="138" t="s">
        <v>1800</v>
      </c>
      <c r="B159" s="138" t="s">
        <v>1801</v>
      </c>
      <c r="C159" s="138" t="n">
        <v>151</v>
      </c>
      <c r="D159" s="138" t="n">
        <v>152</v>
      </c>
      <c r="E159" s="141" t="n">
        <f aca="false">F159/Parâmetros!$C$22</f>
        <v>403.3</v>
      </c>
      <c r="F159" s="141" t="n">
        <v>80.66</v>
      </c>
      <c r="G159" s="141" t="n">
        <v>777.63</v>
      </c>
      <c r="H159" s="141" t="n">
        <v>0</v>
      </c>
      <c r="I159" s="141" t="n">
        <v>0</v>
      </c>
      <c r="J159" s="141" t="n">
        <v>0</v>
      </c>
      <c r="K159" s="141" t="n">
        <v>0</v>
      </c>
      <c r="L159" s="141" t="n">
        <v>154.8</v>
      </c>
      <c r="M159" s="141" t="n">
        <v>0</v>
      </c>
      <c r="N159" s="141" t="n">
        <v>0</v>
      </c>
      <c r="O159" s="141" t="n">
        <v>4.61</v>
      </c>
    </row>
    <row r="160" customFormat="false" ht="15" hidden="false" customHeight="false" outlineLevel="0" collapsed="false">
      <c r="A160" s="138" t="s">
        <v>1801</v>
      </c>
      <c r="B160" s="138" t="s">
        <v>1802</v>
      </c>
      <c r="C160" s="138" t="n">
        <v>152</v>
      </c>
      <c r="D160" s="138" t="n">
        <v>153</v>
      </c>
      <c r="E160" s="141" t="n">
        <f aca="false">F160/Parâmetros!$C$22</f>
        <v>417.8</v>
      </c>
      <c r="F160" s="141" t="n">
        <v>83.56</v>
      </c>
      <c r="G160" s="141" t="n">
        <v>788.07</v>
      </c>
      <c r="H160" s="141" t="n">
        <v>0</v>
      </c>
      <c r="I160" s="141" t="n">
        <v>0</v>
      </c>
      <c r="J160" s="141" t="n">
        <v>0</v>
      </c>
      <c r="K160" s="141" t="n">
        <v>0</v>
      </c>
      <c r="L160" s="141" t="n">
        <v>154.8</v>
      </c>
      <c r="M160" s="141" t="n">
        <v>0</v>
      </c>
      <c r="N160" s="141" t="n">
        <v>0</v>
      </c>
      <c r="O160" s="141" t="n">
        <v>4.61</v>
      </c>
    </row>
    <row r="161" customFormat="false" ht="15" hidden="false" customHeight="false" outlineLevel="0" collapsed="false">
      <c r="A161" s="138" t="s">
        <v>1802</v>
      </c>
      <c r="B161" s="138" t="s">
        <v>1803</v>
      </c>
      <c r="C161" s="138" t="n">
        <v>153</v>
      </c>
      <c r="D161" s="138" t="n">
        <v>154</v>
      </c>
      <c r="E161" s="141" t="n">
        <f aca="false">F161/Parâmetros!$C$22</f>
        <v>496.2</v>
      </c>
      <c r="F161" s="141" t="n">
        <v>99.24</v>
      </c>
      <c r="G161" s="141" t="n">
        <v>782.73</v>
      </c>
      <c r="H161" s="141" t="n">
        <v>0</v>
      </c>
      <c r="I161" s="141" t="n">
        <v>0</v>
      </c>
      <c r="J161" s="141" t="n">
        <v>0</v>
      </c>
      <c r="K161" s="141" t="n">
        <v>0</v>
      </c>
      <c r="L161" s="141" t="n">
        <v>144.71</v>
      </c>
      <c r="M161" s="141" t="n">
        <v>0</v>
      </c>
      <c r="N161" s="141" t="n">
        <v>0</v>
      </c>
      <c r="O161" s="141" t="n">
        <v>3.45</v>
      </c>
    </row>
    <row r="162" customFormat="false" ht="15" hidden="false" customHeight="false" outlineLevel="0" collapsed="false">
      <c r="A162" s="138" t="s">
        <v>1803</v>
      </c>
      <c r="B162" s="138" t="s">
        <v>1804</v>
      </c>
      <c r="C162" s="138" t="n">
        <v>154</v>
      </c>
      <c r="D162" s="138" t="n">
        <v>155</v>
      </c>
      <c r="E162" s="141" t="n">
        <f aca="false">F162/Parâmetros!$C$22</f>
        <v>426.85</v>
      </c>
      <c r="F162" s="141" t="n">
        <v>85.37</v>
      </c>
      <c r="G162" s="141" t="n">
        <v>490.87</v>
      </c>
      <c r="H162" s="141" t="n">
        <v>0</v>
      </c>
      <c r="I162" s="141" t="n">
        <v>0</v>
      </c>
      <c r="J162" s="141" t="n">
        <v>0</v>
      </c>
      <c r="K162" s="141" t="n">
        <v>0</v>
      </c>
      <c r="L162" s="141" t="n">
        <v>144.71</v>
      </c>
      <c r="M162" s="141" t="n">
        <v>0</v>
      </c>
      <c r="N162" s="141" t="n">
        <v>0</v>
      </c>
      <c r="O162" s="141" t="n">
        <v>3.45</v>
      </c>
    </row>
    <row r="163" customFormat="false" ht="15" hidden="false" customHeight="false" outlineLevel="0" collapsed="false">
      <c r="A163" s="138" t="s">
        <v>1804</v>
      </c>
      <c r="B163" s="138" t="s">
        <v>1805</v>
      </c>
      <c r="C163" s="138" t="n">
        <v>155</v>
      </c>
      <c r="D163" s="138" t="n">
        <v>156</v>
      </c>
      <c r="E163" s="141" t="n">
        <f aca="false">F163/Parâmetros!$C$22</f>
        <v>311.1</v>
      </c>
      <c r="F163" s="141" t="n">
        <v>62.22</v>
      </c>
      <c r="G163" s="141" t="n">
        <v>97.08</v>
      </c>
      <c r="H163" s="141" t="n">
        <v>0</v>
      </c>
      <c r="I163" s="141" t="n">
        <v>0</v>
      </c>
      <c r="J163" s="141" t="n">
        <v>0</v>
      </c>
      <c r="K163" s="141" t="n">
        <v>55.84</v>
      </c>
      <c r="L163" s="141" t="n">
        <v>165.6</v>
      </c>
      <c r="M163" s="141" t="n">
        <v>0</v>
      </c>
      <c r="N163" s="141" t="n">
        <v>0</v>
      </c>
      <c r="O163" s="141" t="n">
        <v>4.32</v>
      </c>
    </row>
    <row r="164" customFormat="false" ht="15" hidden="false" customHeight="false" outlineLevel="0" collapsed="false">
      <c r="A164" s="138" t="s">
        <v>1805</v>
      </c>
      <c r="B164" s="138" t="s">
        <v>1806</v>
      </c>
      <c r="C164" s="138" t="n">
        <v>156</v>
      </c>
      <c r="D164" s="138" t="n">
        <v>157</v>
      </c>
      <c r="E164" s="141" t="n">
        <f aca="false">F164/Parâmetros!$C$22</f>
        <v>368.1</v>
      </c>
      <c r="F164" s="141" t="n">
        <v>73.62</v>
      </c>
      <c r="G164" s="141" t="n">
        <v>0.47</v>
      </c>
      <c r="H164" s="141" t="n">
        <v>0</v>
      </c>
      <c r="I164" s="141" t="n">
        <v>0</v>
      </c>
      <c r="J164" s="141" t="n">
        <v>126.95</v>
      </c>
      <c r="K164" s="141" t="n">
        <v>220.98</v>
      </c>
      <c r="L164" s="141" t="n">
        <v>176.41</v>
      </c>
      <c r="M164" s="141" t="n">
        <v>126.95</v>
      </c>
      <c r="N164" s="141" t="n">
        <v>0</v>
      </c>
      <c r="O164" s="141" t="n">
        <v>4.03</v>
      </c>
    </row>
    <row r="165" customFormat="false" ht="15" hidden="false" customHeight="false" outlineLevel="0" collapsed="false">
      <c r="A165" s="138" t="s">
        <v>1806</v>
      </c>
      <c r="B165" s="138" t="s">
        <v>1807</v>
      </c>
      <c r="C165" s="138" t="n">
        <v>157</v>
      </c>
      <c r="D165" s="138" t="n">
        <v>158</v>
      </c>
      <c r="E165" s="141" t="n">
        <f aca="false">F165/Parâmetros!$C$22</f>
        <v>374.55</v>
      </c>
      <c r="F165" s="141" t="n">
        <v>74.91</v>
      </c>
      <c r="G165" s="141" t="n">
        <v>0</v>
      </c>
      <c r="H165" s="141" t="n">
        <v>0</v>
      </c>
      <c r="I165" s="141" t="n">
        <v>0</v>
      </c>
      <c r="J165" s="141" t="n">
        <v>237</v>
      </c>
      <c r="K165" s="141" t="n">
        <v>312.26</v>
      </c>
      <c r="L165" s="141" t="n">
        <v>176.38</v>
      </c>
      <c r="M165" s="141" t="n">
        <v>237</v>
      </c>
      <c r="N165" s="141" t="n">
        <v>0</v>
      </c>
      <c r="O165" s="141" t="n">
        <v>4.02</v>
      </c>
    </row>
    <row r="166" customFormat="false" ht="15" hidden="false" customHeight="false" outlineLevel="0" collapsed="false">
      <c r="A166" s="138" t="s">
        <v>1807</v>
      </c>
      <c r="B166" s="138" t="s">
        <v>3772</v>
      </c>
      <c r="C166" s="138" t="n">
        <v>158</v>
      </c>
      <c r="D166" s="138" t="n">
        <v>158.069</v>
      </c>
      <c r="E166" s="141" t="n">
        <f aca="false">F166/Parâmetros!$C$22</f>
        <v>24.35</v>
      </c>
      <c r="F166" s="141" t="n">
        <v>4.87</v>
      </c>
      <c r="G166" s="141" t="n">
        <v>0</v>
      </c>
      <c r="H166" s="141" t="n">
        <v>0</v>
      </c>
      <c r="I166" s="141" t="n">
        <v>0</v>
      </c>
      <c r="J166" s="141" t="n">
        <v>15.12</v>
      </c>
      <c r="K166" s="141" t="n">
        <v>20.41</v>
      </c>
      <c r="L166" s="141" t="n">
        <v>12.21</v>
      </c>
      <c r="M166" s="141" t="n">
        <v>15.12</v>
      </c>
      <c r="N166" s="141" t="n">
        <v>0</v>
      </c>
      <c r="O166" s="141" t="n">
        <v>0.28</v>
      </c>
    </row>
    <row r="167" customFormat="false" ht="15" hidden="false" customHeight="false" outlineLevel="0" collapsed="false">
      <c r="A167" s="138" t="s">
        <v>3772</v>
      </c>
      <c r="B167" s="138" t="s">
        <v>3773</v>
      </c>
      <c r="C167" s="138" t="n">
        <v>158.069</v>
      </c>
      <c r="D167" s="138" t="n">
        <v>158.799</v>
      </c>
      <c r="E167" s="141" t="n">
        <f aca="false">F167/Parâmetros!$C$22</f>
        <v>250.65</v>
      </c>
      <c r="F167" s="141" t="n">
        <v>50.13</v>
      </c>
      <c r="G167" s="141" t="n">
        <v>0</v>
      </c>
      <c r="H167" s="141" t="n">
        <v>0</v>
      </c>
      <c r="I167" s="141" t="n">
        <v>0</v>
      </c>
      <c r="J167" s="141" t="n">
        <v>79.13</v>
      </c>
      <c r="K167" s="141" t="n">
        <v>218.04</v>
      </c>
      <c r="L167" s="141" t="n">
        <v>128.61</v>
      </c>
      <c r="M167" s="141" t="n">
        <v>79.13</v>
      </c>
      <c r="N167" s="141" t="n">
        <v>0</v>
      </c>
      <c r="O167" s="141" t="n">
        <v>2.88</v>
      </c>
    </row>
    <row r="168" customFormat="false" ht="15" hidden="false" customHeight="false" outlineLevel="0" collapsed="false">
      <c r="A168" s="138" t="s">
        <v>3773</v>
      </c>
      <c r="B168" s="138" t="s">
        <v>1808</v>
      </c>
      <c r="C168" s="138" t="n">
        <v>158.799</v>
      </c>
      <c r="D168" s="138" t="n">
        <v>159</v>
      </c>
      <c r="E168" s="141" t="n">
        <f aca="false">F168/Parâmetros!$C$22</f>
        <v>67.3</v>
      </c>
      <c r="F168" s="141" t="n">
        <v>13.46</v>
      </c>
      <c r="G168" s="141" t="n">
        <v>0</v>
      </c>
      <c r="H168" s="141" t="n">
        <v>0</v>
      </c>
      <c r="I168" s="141" t="n">
        <v>0</v>
      </c>
      <c r="J168" s="141" t="n">
        <v>0</v>
      </c>
      <c r="K168" s="141" t="n">
        <v>61.82</v>
      </c>
      <c r="L168" s="141" t="n">
        <v>35.34</v>
      </c>
      <c r="M168" s="141" t="n">
        <v>0</v>
      </c>
      <c r="N168" s="141" t="n">
        <v>0</v>
      </c>
      <c r="O168" s="141" t="n">
        <v>0.78</v>
      </c>
    </row>
    <row r="169" customFormat="false" ht="15" hidden="false" customHeight="false" outlineLevel="0" collapsed="false">
      <c r="A169" s="138" t="s">
        <v>1808</v>
      </c>
      <c r="B169" s="138" t="s">
        <v>3774</v>
      </c>
      <c r="C169" s="138" t="n">
        <v>159</v>
      </c>
      <c r="D169" s="138" t="n">
        <v>159.529</v>
      </c>
      <c r="E169" s="141" t="n">
        <f aca="false">F169/Parâmetros!$C$22</f>
        <v>183.75</v>
      </c>
      <c r="F169" s="141" t="n">
        <v>36.75</v>
      </c>
      <c r="G169" s="141" t="n">
        <v>0</v>
      </c>
      <c r="H169" s="141" t="n">
        <v>0</v>
      </c>
      <c r="I169" s="141" t="n">
        <v>0</v>
      </c>
      <c r="J169" s="141" t="n">
        <v>0</v>
      </c>
      <c r="K169" s="141" t="n">
        <v>184.04</v>
      </c>
      <c r="L169" s="141" t="n">
        <v>93.07</v>
      </c>
      <c r="M169" s="141" t="n">
        <v>0</v>
      </c>
      <c r="N169" s="141" t="n">
        <v>0</v>
      </c>
      <c r="O169" s="141" t="n">
        <v>2.01</v>
      </c>
    </row>
    <row r="170" customFormat="false" ht="15" hidden="false" customHeight="false" outlineLevel="0" collapsed="false">
      <c r="A170" s="138" t="s">
        <v>3774</v>
      </c>
      <c r="B170" s="138" t="s">
        <v>1809</v>
      </c>
      <c r="C170" s="138" t="n">
        <v>159.529</v>
      </c>
      <c r="D170" s="138" t="n">
        <v>160</v>
      </c>
      <c r="E170" s="141" t="n">
        <f aca="false">F170/Parâmetros!$C$22</f>
        <v>178.15</v>
      </c>
      <c r="F170" s="141" t="n">
        <v>35.63</v>
      </c>
      <c r="G170" s="141" t="n">
        <v>0</v>
      </c>
      <c r="H170" s="141" t="n">
        <v>0</v>
      </c>
      <c r="I170" s="141" t="n">
        <v>0</v>
      </c>
      <c r="J170" s="141" t="n">
        <v>0</v>
      </c>
      <c r="K170" s="141" t="n">
        <v>247.25</v>
      </c>
      <c r="L170" s="141" t="n">
        <v>82.73</v>
      </c>
      <c r="M170" s="141" t="n">
        <v>0</v>
      </c>
      <c r="N170" s="141" t="n">
        <v>0</v>
      </c>
      <c r="O170" s="141" t="n">
        <v>1.76</v>
      </c>
    </row>
    <row r="171" customFormat="false" ht="15" hidden="false" customHeight="false" outlineLevel="0" collapsed="false">
      <c r="A171" s="138" t="s">
        <v>1809</v>
      </c>
      <c r="B171" s="138" t="s">
        <v>1810</v>
      </c>
      <c r="C171" s="138" t="n">
        <v>160</v>
      </c>
      <c r="D171" s="138" t="n">
        <v>161</v>
      </c>
      <c r="E171" s="141" t="n">
        <f aca="false">F171/Parâmetros!$C$22</f>
        <v>412.15</v>
      </c>
      <c r="F171" s="141" t="n">
        <v>82.43</v>
      </c>
      <c r="G171" s="141" t="n">
        <v>0</v>
      </c>
      <c r="H171" s="141" t="n">
        <v>0</v>
      </c>
      <c r="I171" s="141" t="n">
        <v>0</v>
      </c>
      <c r="J171" s="141" t="n">
        <v>0</v>
      </c>
      <c r="K171" s="141" t="n">
        <v>589.39</v>
      </c>
      <c r="L171" s="141" t="n">
        <v>175.67</v>
      </c>
      <c r="M171" s="141" t="n">
        <v>0</v>
      </c>
      <c r="N171" s="141" t="n">
        <v>0</v>
      </c>
      <c r="O171" s="141" t="n">
        <v>3.71</v>
      </c>
    </row>
    <row r="172" customFormat="false" ht="15" hidden="false" customHeight="false" outlineLevel="0" collapsed="false">
      <c r="A172" s="138" t="s">
        <v>1810</v>
      </c>
      <c r="B172" s="138" t="s">
        <v>3775</v>
      </c>
      <c r="C172" s="138" t="n">
        <v>161</v>
      </c>
      <c r="D172" s="138" t="n">
        <v>161.359</v>
      </c>
      <c r="E172" s="141" t="n">
        <f aca="false">F172/Parâmetros!$C$22</f>
        <v>140.65</v>
      </c>
      <c r="F172" s="141" t="n">
        <v>28.13</v>
      </c>
      <c r="G172" s="141" t="n">
        <v>0</v>
      </c>
      <c r="H172" s="141" t="n">
        <v>0</v>
      </c>
      <c r="I172" s="141" t="n">
        <v>0</v>
      </c>
      <c r="J172" s="141" t="n">
        <v>0</v>
      </c>
      <c r="K172" s="141" t="n">
        <v>153.96</v>
      </c>
      <c r="L172" s="141" t="n">
        <v>63.09</v>
      </c>
      <c r="M172" s="141" t="n">
        <v>0</v>
      </c>
      <c r="N172" s="141" t="n">
        <v>0</v>
      </c>
      <c r="O172" s="141" t="n">
        <v>1.33</v>
      </c>
    </row>
    <row r="173" customFormat="false" ht="15" hidden="false" customHeight="false" outlineLevel="0" collapsed="false">
      <c r="A173" s="138" t="s">
        <v>3775</v>
      </c>
      <c r="B173" s="138" t="s">
        <v>1811</v>
      </c>
      <c r="C173" s="138" t="n">
        <v>161.359</v>
      </c>
      <c r="D173" s="138" t="n">
        <v>162</v>
      </c>
      <c r="E173" s="141" t="n">
        <f aca="false">F173/Parâmetros!$C$22</f>
        <v>212.35</v>
      </c>
      <c r="F173" s="141" t="n">
        <v>42.47</v>
      </c>
      <c r="G173" s="141" t="n">
        <v>0</v>
      </c>
      <c r="H173" s="141" t="n">
        <v>0</v>
      </c>
      <c r="I173" s="141" t="n">
        <v>0</v>
      </c>
      <c r="J173" s="141" t="n">
        <v>0</v>
      </c>
      <c r="K173" s="141" t="n">
        <v>180.53</v>
      </c>
      <c r="L173" s="141" t="n">
        <v>112.58</v>
      </c>
      <c r="M173" s="141" t="n">
        <v>0</v>
      </c>
      <c r="N173" s="141" t="n">
        <v>0</v>
      </c>
      <c r="O173" s="141" t="n">
        <v>2.38</v>
      </c>
    </row>
    <row r="174" customFormat="false" ht="15" hidden="false" customHeight="false" outlineLevel="0" collapsed="false">
      <c r="A174" s="138" t="s">
        <v>1811</v>
      </c>
      <c r="B174" s="138" t="s">
        <v>1812</v>
      </c>
      <c r="C174" s="138" t="n">
        <v>162</v>
      </c>
      <c r="D174" s="138" t="n">
        <v>163</v>
      </c>
      <c r="E174" s="141" t="n">
        <f aca="false">F174/Parâmetros!$C$22</f>
        <v>275.95</v>
      </c>
      <c r="F174" s="141" t="n">
        <v>55.19</v>
      </c>
      <c r="G174" s="141" t="n">
        <v>19.13</v>
      </c>
      <c r="H174" s="141" t="n">
        <v>0</v>
      </c>
      <c r="I174" s="141" t="n">
        <v>0</v>
      </c>
      <c r="J174" s="141" t="n">
        <v>0</v>
      </c>
      <c r="K174" s="141" t="n">
        <v>119.07</v>
      </c>
      <c r="L174" s="141" t="n">
        <v>170.39</v>
      </c>
      <c r="M174" s="141" t="n">
        <v>0</v>
      </c>
      <c r="N174" s="141" t="n">
        <v>0</v>
      </c>
      <c r="O174" s="141" t="n">
        <v>3.71</v>
      </c>
    </row>
    <row r="175" customFormat="false" ht="15" hidden="false" customHeight="false" outlineLevel="0" collapsed="false">
      <c r="A175" s="138" t="s">
        <v>1812</v>
      </c>
      <c r="B175" s="138" t="s">
        <v>1813</v>
      </c>
      <c r="C175" s="138" t="n">
        <v>163</v>
      </c>
      <c r="D175" s="138" t="n">
        <v>164</v>
      </c>
      <c r="E175" s="141" t="n">
        <f aca="false">F175/Parâmetros!$C$22</f>
        <v>303.85</v>
      </c>
      <c r="F175" s="141" t="n">
        <v>60.77</v>
      </c>
      <c r="G175" s="141" t="n">
        <v>197.07</v>
      </c>
      <c r="H175" s="141" t="n">
        <v>0</v>
      </c>
      <c r="I175" s="141" t="n">
        <v>0</v>
      </c>
      <c r="J175" s="141" t="n">
        <v>0</v>
      </c>
      <c r="K175" s="141" t="n">
        <v>11.79</v>
      </c>
      <c r="L175" s="141" t="n">
        <v>159.89</v>
      </c>
      <c r="M175" s="141" t="n">
        <v>0</v>
      </c>
      <c r="N175" s="141" t="n">
        <v>0</v>
      </c>
      <c r="O175" s="141" t="n">
        <v>3.96</v>
      </c>
    </row>
    <row r="176" customFormat="false" ht="15" hidden="false" customHeight="false" outlineLevel="0" collapsed="false">
      <c r="A176" s="138" t="s">
        <v>1813</v>
      </c>
      <c r="B176" s="138" t="s">
        <v>3776</v>
      </c>
      <c r="C176" s="138" t="n">
        <v>164</v>
      </c>
      <c r="D176" s="138" t="n">
        <v>164.859</v>
      </c>
      <c r="E176" s="141" t="n">
        <f aca="false">F176/Parâmetros!$C$22</f>
        <v>319.3</v>
      </c>
      <c r="F176" s="141" t="n">
        <v>63.86</v>
      </c>
      <c r="G176" s="141" t="n">
        <v>376.42</v>
      </c>
      <c r="H176" s="141" t="n">
        <v>0</v>
      </c>
      <c r="I176" s="141" t="n">
        <v>0</v>
      </c>
      <c r="J176" s="141" t="n">
        <v>0</v>
      </c>
      <c r="K176" s="141" t="n">
        <v>0</v>
      </c>
      <c r="L176" s="141" t="n">
        <v>132.87</v>
      </c>
      <c r="M176" s="141" t="n">
        <v>0</v>
      </c>
      <c r="N176" s="141" t="n">
        <v>0</v>
      </c>
      <c r="O176" s="141" t="n">
        <v>3.63</v>
      </c>
    </row>
    <row r="177" customFormat="false" ht="15" hidden="false" customHeight="false" outlineLevel="0" collapsed="false">
      <c r="A177" s="138" t="s">
        <v>3776</v>
      </c>
      <c r="B177" s="138" t="s">
        <v>1814</v>
      </c>
      <c r="C177" s="138" t="n">
        <v>164.859</v>
      </c>
      <c r="D177" s="138" t="n">
        <v>165</v>
      </c>
      <c r="E177" s="141" t="n">
        <f aca="false">F177/Parâmetros!$C$22</f>
        <v>53.55</v>
      </c>
      <c r="F177" s="141" t="n">
        <v>10.71</v>
      </c>
      <c r="G177" s="141" t="n">
        <v>74</v>
      </c>
      <c r="H177" s="141" t="n">
        <v>0</v>
      </c>
      <c r="I177" s="141" t="n">
        <v>0</v>
      </c>
      <c r="J177" s="141" t="n">
        <v>0</v>
      </c>
      <c r="K177" s="141" t="n">
        <v>0</v>
      </c>
      <c r="L177" s="141" t="n">
        <v>21.79</v>
      </c>
      <c r="M177" s="141" t="n">
        <v>0</v>
      </c>
      <c r="N177" s="141" t="n">
        <v>0</v>
      </c>
      <c r="O177" s="141" t="n">
        <v>0.6</v>
      </c>
    </row>
    <row r="178" customFormat="false" ht="15" hidden="false" customHeight="false" outlineLevel="0" collapsed="false">
      <c r="A178" s="138" t="s">
        <v>1814</v>
      </c>
      <c r="B178" s="138" t="s">
        <v>3777</v>
      </c>
      <c r="C178" s="138" t="n">
        <v>165</v>
      </c>
      <c r="D178" s="138" t="n">
        <v>165.672</v>
      </c>
      <c r="E178" s="141" t="n">
        <f aca="false">F178/Parâmetros!$C$22</f>
        <v>259.2</v>
      </c>
      <c r="F178" s="141" t="n">
        <v>51.84</v>
      </c>
      <c r="G178" s="141" t="n">
        <v>382.04</v>
      </c>
      <c r="H178" s="141" t="n">
        <v>0</v>
      </c>
      <c r="I178" s="141" t="n">
        <v>0</v>
      </c>
      <c r="J178" s="141" t="n">
        <v>0</v>
      </c>
      <c r="K178" s="141" t="n">
        <v>0</v>
      </c>
      <c r="L178" s="141" t="n">
        <v>103.9</v>
      </c>
      <c r="M178" s="141" t="n">
        <v>0</v>
      </c>
      <c r="N178" s="141" t="n">
        <v>0</v>
      </c>
      <c r="O178" s="141" t="n">
        <v>2.83</v>
      </c>
    </row>
    <row r="179" customFormat="false" ht="15" hidden="false" customHeight="false" outlineLevel="0" collapsed="false">
      <c r="A179" s="138" t="s">
        <v>3777</v>
      </c>
      <c r="B179" s="138" t="s">
        <v>1815</v>
      </c>
      <c r="C179" s="138" t="n">
        <v>165.672</v>
      </c>
      <c r="D179" s="138" t="n">
        <v>166</v>
      </c>
      <c r="E179" s="141" t="n">
        <f aca="false">F179/Parâmetros!$C$22</f>
        <v>127.4</v>
      </c>
      <c r="F179" s="141" t="n">
        <v>25.48</v>
      </c>
      <c r="G179" s="141" t="n">
        <v>195.86</v>
      </c>
      <c r="H179" s="141" t="n">
        <v>0</v>
      </c>
      <c r="I179" s="141" t="n">
        <v>0</v>
      </c>
      <c r="J179" s="141" t="n">
        <v>0</v>
      </c>
      <c r="K179" s="141" t="n">
        <v>0</v>
      </c>
      <c r="L179" s="141" t="n">
        <v>50.76</v>
      </c>
      <c r="M179" s="141" t="n">
        <v>0</v>
      </c>
      <c r="N179" s="141" t="n">
        <v>0</v>
      </c>
      <c r="O179" s="141" t="n">
        <v>1.39</v>
      </c>
    </row>
    <row r="180" customFormat="false" ht="15" hidden="false" customHeight="false" outlineLevel="0" collapsed="false">
      <c r="A180" s="138" t="s">
        <v>1815</v>
      </c>
      <c r="B180" s="138" t="s">
        <v>3778</v>
      </c>
      <c r="C180" s="138" t="n">
        <v>166</v>
      </c>
      <c r="D180" s="138" t="n">
        <v>166.4845</v>
      </c>
      <c r="E180" s="141" t="n">
        <f aca="false">F180/Parâmetros!$C$22</f>
        <v>187.45</v>
      </c>
      <c r="F180" s="141" t="n">
        <v>37.49</v>
      </c>
      <c r="G180" s="141" t="n">
        <v>285.8</v>
      </c>
      <c r="H180" s="141" t="n">
        <v>0</v>
      </c>
      <c r="I180" s="141" t="n">
        <v>0</v>
      </c>
      <c r="J180" s="141" t="n">
        <v>0</v>
      </c>
      <c r="K180" s="141" t="n">
        <v>0</v>
      </c>
      <c r="L180" s="141" t="n">
        <v>74.93</v>
      </c>
      <c r="M180" s="141" t="n">
        <v>0</v>
      </c>
      <c r="N180" s="141" t="n">
        <v>0</v>
      </c>
      <c r="O180" s="141" t="n">
        <v>2.04</v>
      </c>
    </row>
    <row r="181" customFormat="false" ht="15" hidden="false" customHeight="false" outlineLevel="0" collapsed="false">
      <c r="A181" s="138" t="s">
        <v>3778</v>
      </c>
      <c r="B181" s="138" t="s">
        <v>1816</v>
      </c>
      <c r="C181" s="138" t="n">
        <v>166.4845</v>
      </c>
      <c r="D181" s="138" t="n">
        <v>167</v>
      </c>
      <c r="E181" s="141" t="n">
        <f aca="false">F181/Parâmetros!$C$22</f>
        <v>190.85</v>
      </c>
      <c r="F181" s="141" t="n">
        <v>38.17</v>
      </c>
      <c r="G181" s="141" t="n">
        <v>285.25</v>
      </c>
      <c r="H181" s="141" t="n">
        <v>0</v>
      </c>
      <c r="I181" s="141" t="n">
        <v>0</v>
      </c>
      <c r="J181" s="141" t="n">
        <v>0</v>
      </c>
      <c r="K181" s="141" t="n">
        <v>0</v>
      </c>
      <c r="L181" s="141" t="n">
        <v>79.73</v>
      </c>
      <c r="M181" s="141" t="n">
        <v>0</v>
      </c>
      <c r="N181" s="141" t="n">
        <v>0</v>
      </c>
      <c r="O181" s="141" t="n">
        <v>2.18</v>
      </c>
    </row>
    <row r="182" customFormat="false" ht="15" hidden="false" customHeight="false" outlineLevel="0" collapsed="false">
      <c r="A182" s="138" t="s">
        <v>1816</v>
      </c>
      <c r="B182" s="138" t="s">
        <v>1817</v>
      </c>
      <c r="C182" s="138" t="n">
        <v>167</v>
      </c>
      <c r="D182" s="138" t="n">
        <v>168</v>
      </c>
      <c r="E182" s="141" t="n">
        <f aca="false">F182/Parâmetros!$C$22</f>
        <v>348.75</v>
      </c>
      <c r="F182" s="141" t="n">
        <v>69.75</v>
      </c>
      <c r="G182" s="141" t="n">
        <v>486.63</v>
      </c>
      <c r="H182" s="141" t="n">
        <v>0</v>
      </c>
      <c r="I182" s="141" t="n">
        <v>0</v>
      </c>
      <c r="J182" s="141" t="n">
        <v>0</v>
      </c>
      <c r="K182" s="141" t="n">
        <v>0</v>
      </c>
      <c r="L182" s="141" t="n">
        <v>161.55</v>
      </c>
      <c r="M182" s="141" t="n">
        <v>0</v>
      </c>
      <c r="N182" s="141" t="n">
        <v>0</v>
      </c>
      <c r="O182" s="141" t="n">
        <v>4.2</v>
      </c>
    </row>
    <row r="183" customFormat="false" ht="15" hidden="false" customHeight="false" outlineLevel="0" collapsed="false">
      <c r="A183" s="138" t="s">
        <v>1817</v>
      </c>
      <c r="B183" s="138" t="s">
        <v>1818</v>
      </c>
      <c r="C183" s="138" t="n">
        <v>168</v>
      </c>
      <c r="D183" s="138" t="n">
        <v>169</v>
      </c>
      <c r="E183" s="141" t="n">
        <f aca="false">F183/Parâmetros!$C$22</f>
        <v>345.4</v>
      </c>
      <c r="F183" s="141" t="n">
        <v>69.08</v>
      </c>
      <c r="G183" s="141" t="n">
        <v>392.65</v>
      </c>
      <c r="H183" s="141" t="n">
        <v>0</v>
      </c>
      <c r="I183" s="141" t="n">
        <v>0</v>
      </c>
      <c r="J183" s="141" t="n">
        <v>0</v>
      </c>
      <c r="K183" s="141" t="n">
        <v>3.8</v>
      </c>
      <c r="L183" s="141" t="n">
        <v>175.74</v>
      </c>
      <c r="M183" s="141" t="n">
        <v>0</v>
      </c>
      <c r="N183" s="141" t="n">
        <v>0</v>
      </c>
      <c r="O183" s="141" t="n">
        <v>4.05</v>
      </c>
    </row>
    <row r="184" customFormat="false" ht="15" hidden="false" customHeight="false" outlineLevel="0" collapsed="false">
      <c r="A184" s="138" t="s">
        <v>1818</v>
      </c>
      <c r="B184" s="138" t="s">
        <v>3779</v>
      </c>
      <c r="C184" s="138" t="n">
        <v>169</v>
      </c>
      <c r="D184" s="138" t="n">
        <v>169.9845</v>
      </c>
      <c r="E184" s="141" t="n">
        <f aca="false">F184/Parâmetros!$C$22</f>
        <v>407.35</v>
      </c>
      <c r="F184" s="141" t="n">
        <v>81.47</v>
      </c>
      <c r="G184" s="141" t="n">
        <v>345.63</v>
      </c>
      <c r="H184" s="141" t="n">
        <v>0</v>
      </c>
      <c r="I184" s="141" t="n">
        <v>0</v>
      </c>
      <c r="J184" s="141" t="n">
        <v>0</v>
      </c>
      <c r="K184" s="141" t="n">
        <v>4.06</v>
      </c>
      <c r="L184" s="141" t="n">
        <v>184.03</v>
      </c>
      <c r="M184" s="141" t="n">
        <v>0</v>
      </c>
      <c r="N184" s="141" t="n">
        <v>0</v>
      </c>
      <c r="O184" s="141" t="n">
        <v>4</v>
      </c>
    </row>
    <row r="185" customFormat="false" ht="15" hidden="false" customHeight="false" outlineLevel="0" collapsed="false">
      <c r="A185" s="138" t="s">
        <v>3779</v>
      </c>
      <c r="B185" s="138" t="s">
        <v>1819</v>
      </c>
      <c r="C185" s="138" t="n">
        <v>169.9845</v>
      </c>
      <c r="D185" s="138" t="n">
        <v>170</v>
      </c>
      <c r="E185" s="141" t="n">
        <f aca="false">F185/Parâmetros!$C$22</f>
        <v>6.65</v>
      </c>
      <c r="F185" s="141" t="n">
        <v>1.33</v>
      </c>
      <c r="G185" s="141" t="n">
        <v>5.6</v>
      </c>
      <c r="H185" s="141" t="n">
        <v>0</v>
      </c>
      <c r="I185" s="141" t="n">
        <v>0</v>
      </c>
      <c r="J185" s="141" t="n">
        <v>0</v>
      </c>
      <c r="K185" s="141" t="n">
        <v>0.02</v>
      </c>
      <c r="L185" s="141" t="n">
        <v>2.96</v>
      </c>
      <c r="M185" s="141" t="n">
        <v>0</v>
      </c>
      <c r="N185" s="141" t="n">
        <v>0</v>
      </c>
      <c r="O185" s="141" t="n">
        <v>0.07</v>
      </c>
    </row>
    <row r="186" customFormat="false" ht="15" hidden="false" customHeight="false" outlineLevel="0" collapsed="false">
      <c r="A186" s="138" t="s">
        <v>1819</v>
      </c>
      <c r="B186" s="138" t="s">
        <v>1820</v>
      </c>
      <c r="C186" s="138" t="n">
        <v>170</v>
      </c>
      <c r="D186" s="138" t="n">
        <v>171</v>
      </c>
      <c r="E186" s="141" t="n">
        <f aca="false">F186/Parâmetros!$C$22</f>
        <v>375.25</v>
      </c>
      <c r="F186" s="141" t="n">
        <v>75.05</v>
      </c>
      <c r="G186" s="141" t="n">
        <v>427.83</v>
      </c>
      <c r="H186" s="141" t="n">
        <v>0</v>
      </c>
      <c r="I186" s="141" t="n">
        <v>0</v>
      </c>
      <c r="J186" s="141" t="n">
        <v>0</v>
      </c>
      <c r="K186" s="141" t="n">
        <v>0</v>
      </c>
      <c r="L186" s="141" t="n">
        <v>188.72</v>
      </c>
      <c r="M186" s="141" t="n">
        <v>0</v>
      </c>
      <c r="N186" s="141" t="n">
        <v>0</v>
      </c>
      <c r="O186" s="141" t="n">
        <v>5.16</v>
      </c>
    </row>
    <row r="187" customFormat="false" ht="15" hidden="false" customHeight="false" outlineLevel="0" collapsed="false">
      <c r="A187" s="138" t="s">
        <v>1820</v>
      </c>
      <c r="B187" s="138" t="s">
        <v>1821</v>
      </c>
      <c r="C187" s="138" t="n">
        <v>171</v>
      </c>
      <c r="D187" s="138" t="n">
        <v>172</v>
      </c>
      <c r="E187" s="141" t="n">
        <f aca="false">F187/Parâmetros!$C$22</f>
        <v>378.45</v>
      </c>
      <c r="F187" s="141" t="n">
        <v>75.69</v>
      </c>
      <c r="G187" s="141" t="n">
        <v>526.92</v>
      </c>
      <c r="H187" s="141" t="n">
        <v>0</v>
      </c>
      <c r="I187" s="141" t="n">
        <v>0</v>
      </c>
      <c r="J187" s="141" t="n">
        <v>0</v>
      </c>
      <c r="K187" s="141" t="n">
        <v>0</v>
      </c>
      <c r="L187" s="141" t="n">
        <v>183.47</v>
      </c>
      <c r="M187" s="141" t="n">
        <v>0</v>
      </c>
      <c r="N187" s="141" t="n">
        <v>0</v>
      </c>
      <c r="O187" s="141" t="n">
        <v>5.81</v>
      </c>
    </row>
    <row r="188" customFormat="false" ht="15" hidden="false" customHeight="false" outlineLevel="0" collapsed="false">
      <c r="A188" s="138" t="s">
        <v>1821</v>
      </c>
      <c r="B188" s="138" t="s">
        <v>1822</v>
      </c>
      <c r="C188" s="138" t="n">
        <v>172</v>
      </c>
      <c r="D188" s="138" t="n">
        <v>173</v>
      </c>
      <c r="E188" s="141" t="n">
        <f aca="false">F188/Parâmetros!$C$22</f>
        <v>399</v>
      </c>
      <c r="F188" s="141" t="n">
        <v>79.8</v>
      </c>
      <c r="G188" s="141" t="n">
        <v>669.83</v>
      </c>
      <c r="H188" s="141" t="n">
        <v>0</v>
      </c>
      <c r="I188" s="141" t="n">
        <v>0</v>
      </c>
      <c r="J188" s="141" t="n">
        <v>0</v>
      </c>
      <c r="K188" s="141" t="n">
        <v>0</v>
      </c>
      <c r="L188" s="141" t="n">
        <v>183.4</v>
      </c>
      <c r="M188" s="141" t="n">
        <v>0</v>
      </c>
      <c r="N188" s="141" t="n">
        <v>0</v>
      </c>
      <c r="O188" s="141" t="n">
        <v>4.97</v>
      </c>
    </row>
    <row r="189" customFormat="false" ht="15" hidden="false" customHeight="false" outlineLevel="0" collapsed="false">
      <c r="A189" s="138" t="s">
        <v>1822</v>
      </c>
      <c r="B189" s="138" t="s">
        <v>1823</v>
      </c>
      <c r="C189" s="138" t="n">
        <v>173</v>
      </c>
      <c r="D189" s="138" t="n">
        <v>174</v>
      </c>
      <c r="E189" s="141" t="n">
        <f aca="false">F189/Parâmetros!$C$22</f>
        <v>424.8</v>
      </c>
      <c r="F189" s="141" t="n">
        <v>84.96</v>
      </c>
      <c r="G189" s="141" t="n">
        <v>812.98</v>
      </c>
      <c r="H189" s="141" t="n">
        <v>0</v>
      </c>
      <c r="I189" s="141" t="n">
        <v>0</v>
      </c>
      <c r="J189" s="141" t="n">
        <v>0</v>
      </c>
      <c r="K189" s="141" t="n">
        <v>0</v>
      </c>
      <c r="L189" s="141" t="n">
        <v>188.72</v>
      </c>
      <c r="M189" s="141" t="n">
        <v>0</v>
      </c>
      <c r="N189" s="141" t="n">
        <v>0</v>
      </c>
      <c r="O189" s="141" t="n">
        <v>4.51</v>
      </c>
    </row>
    <row r="190" customFormat="false" ht="15" hidden="false" customHeight="false" outlineLevel="0" collapsed="false">
      <c r="A190" s="138" t="s">
        <v>1823</v>
      </c>
      <c r="B190" s="138" t="s">
        <v>1824</v>
      </c>
      <c r="C190" s="138" t="n">
        <v>174</v>
      </c>
      <c r="D190" s="138" t="n">
        <v>175</v>
      </c>
      <c r="E190" s="141" t="n">
        <f aca="false">F190/Parâmetros!$C$22</f>
        <v>406.8</v>
      </c>
      <c r="F190" s="141" t="n">
        <v>81.36</v>
      </c>
      <c r="G190" s="141" t="n">
        <v>735.23</v>
      </c>
      <c r="H190" s="141" t="n">
        <v>0</v>
      </c>
      <c r="I190" s="141" t="n">
        <v>0</v>
      </c>
      <c r="J190" s="141" t="n">
        <v>0</v>
      </c>
      <c r="K190" s="141" t="n">
        <v>0</v>
      </c>
      <c r="L190" s="141" t="n">
        <v>183.35</v>
      </c>
      <c r="M190" s="141" t="n">
        <v>0</v>
      </c>
      <c r="N190" s="141" t="n">
        <v>0</v>
      </c>
      <c r="O190" s="141" t="n">
        <v>4.59</v>
      </c>
    </row>
    <row r="191" customFormat="false" ht="15" hidden="false" customHeight="false" outlineLevel="0" collapsed="false">
      <c r="A191" s="138" t="s">
        <v>1824</v>
      </c>
      <c r="B191" s="138" t="s">
        <v>1825</v>
      </c>
      <c r="C191" s="138" t="n">
        <v>175</v>
      </c>
      <c r="D191" s="138" t="n">
        <v>176</v>
      </c>
      <c r="E191" s="141" t="n">
        <f aca="false">F191/Parâmetros!$C$22</f>
        <v>347.8</v>
      </c>
      <c r="F191" s="141" t="n">
        <v>69.56</v>
      </c>
      <c r="G191" s="141" t="n">
        <v>513.25</v>
      </c>
      <c r="H191" s="141" t="n">
        <v>0</v>
      </c>
      <c r="I191" s="141" t="n">
        <v>0</v>
      </c>
      <c r="J191" s="141" t="n">
        <v>0</v>
      </c>
      <c r="K191" s="141" t="n">
        <v>0</v>
      </c>
      <c r="L191" s="141" t="n">
        <v>166.28</v>
      </c>
      <c r="M191" s="141" t="n">
        <v>0</v>
      </c>
      <c r="N191" s="141" t="n">
        <v>0</v>
      </c>
      <c r="O191" s="141" t="n">
        <v>4.59</v>
      </c>
    </row>
    <row r="192" customFormat="false" ht="15" hidden="false" customHeight="false" outlineLevel="0" collapsed="false">
      <c r="A192" s="138" t="s">
        <v>1825</v>
      </c>
      <c r="B192" s="138" t="s">
        <v>1826</v>
      </c>
      <c r="C192" s="138" t="n">
        <v>176</v>
      </c>
      <c r="D192" s="138" t="n">
        <v>177</v>
      </c>
      <c r="E192" s="141" t="n">
        <f aca="false">F192/Parâmetros!$C$22</f>
        <v>306.85</v>
      </c>
      <c r="F192" s="141" t="n">
        <v>61.37</v>
      </c>
      <c r="G192" s="141" t="n">
        <v>377.19</v>
      </c>
      <c r="H192" s="141" t="n">
        <v>0</v>
      </c>
      <c r="I192" s="141" t="n">
        <v>0</v>
      </c>
      <c r="J192" s="141" t="n">
        <v>0</v>
      </c>
      <c r="K192" s="141" t="n">
        <v>0</v>
      </c>
      <c r="L192" s="141" t="n">
        <v>155.74</v>
      </c>
      <c r="M192" s="141" t="n">
        <v>0</v>
      </c>
      <c r="N192" s="141" t="n">
        <v>0</v>
      </c>
      <c r="O192" s="141" t="n">
        <v>4.6</v>
      </c>
    </row>
    <row r="193" customFormat="false" ht="15" hidden="false" customHeight="false" outlineLevel="0" collapsed="false">
      <c r="A193" s="138" t="s">
        <v>1826</v>
      </c>
      <c r="B193" s="138" t="s">
        <v>1827</v>
      </c>
      <c r="C193" s="138" t="n">
        <v>177</v>
      </c>
      <c r="D193" s="138" t="n">
        <v>178</v>
      </c>
      <c r="E193" s="141" t="n">
        <f aca="false">F193/Parâmetros!$C$22</f>
        <v>298.6</v>
      </c>
      <c r="F193" s="141" t="n">
        <v>59.72</v>
      </c>
      <c r="G193" s="141" t="n">
        <v>349.29</v>
      </c>
      <c r="H193" s="141" t="n">
        <v>0</v>
      </c>
      <c r="I193" s="141" t="n">
        <v>0</v>
      </c>
      <c r="J193" s="141" t="n">
        <v>0</v>
      </c>
      <c r="K193" s="141" t="n">
        <v>0</v>
      </c>
      <c r="L193" s="141" t="n">
        <v>154.8</v>
      </c>
      <c r="M193" s="141" t="n">
        <v>0</v>
      </c>
      <c r="N193" s="141" t="n">
        <v>0</v>
      </c>
      <c r="O193" s="141" t="n">
        <v>4.61</v>
      </c>
    </row>
    <row r="194" customFormat="false" ht="15" hidden="false" customHeight="false" outlineLevel="0" collapsed="false">
      <c r="A194" s="138" t="s">
        <v>1827</v>
      </c>
      <c r="B194" s="138" t="s">
        <v>1828</v>
      </c>
      <c r="C194" s="138" t="n">
        <v>178</v>
      </c>
      <c r="D194" s="138" t="n">
        <v>179</v>
      </c>
      <c r="E194" s="141" t="n">
        <f aca="false">F194/Parâmetros!$C$22</f>
        <v>248.4</v>
      </c>
      <c r="F194" s="141" t="n">
        <v>49.68</v>
      </c>
      <c r="G194" s="141" t="n">
        <v>410.42</v>
      </c>
      <c r="H194" s="141" t="n">
        <v>0</v>
      </c>
      <c r="I194" s="141" t="n">
        <v>0</v>
      </c>
      <c r="J194" s="141" t="n">
        <v>0</v>
      </c>
      <c r="K194" s="141" t="n">
        <v>0</v>
      </c>
      <c r="L194" s="141" t="n">
        <v>154.8</v>
      </c>
      <c r="M194" s="141" t="n">
        <v>0</v>
      </c>
      <c r="N194" s="141" t="n">
        <v>0</v>
      </c>
      <c r="O194" s="141" t="n">
        <v>4.61</v>
      </c>
    </row>
    <row r="195" customFormat="false" ht="15" hidden="false" customHeight="false" outlineLevel="0" collapsed="false">
      <c r="A195" s="138" t="s">
        <v>1828</v>
      </c>
      <c r="B195" s="138" t="s">
        <v>1829</v>
      </c>
      <c r="C195" s="138" t="n">
        <v>179</v>
      </c>
      <c r="D195" s="138" t="n">
        <v>180</v>
      </c>
      <c r="E195" s="141" t="n">
        <f aca="false">F195/Parâmetros!$C$22</f>
        <v>265.8</v>
      </c>
      <c r="F195" s="141" t="n">
        <v>53.16</v>
      </c>
      <c r="G195" s="141" t="n">
        <v>517.85</v>
      </c>
      <c r="H195" s="141" t="n">
        <v>0</v>
      </c>
      <c r="I195" s="141" t="n">
        <v>0</v>
      </c>
      <c r="J195" s="141" t="n">
        <v>0</v>
      </c>
      <c r="K195" s="141" t="n">
        <v>0</v>
      </c>
      <c r="L195" s="141" t="n">
        <v>154.8</v>
      </c>
      <c r="M195" s="141" t="n">
        <v>0</v>
      </c>
      <c r="N195" s="141" t="n">
        <v>0</v>
      </c>
      <c r="O195" s="141" t="n">
        <v>4.61</v>
      </c>
    </row>
    <row r="196" customFormat="false" ht="15" hidden="false" customHeight="false" outlineLevel="0" collapsed="false">
      <c r="A196" s="138" t="s">
        <v>1829</v>
      </c>
      <c r="B196" s="138" t="s">
        <v>1830</v>
      </c>
      <c r="C196" s="138" t="n">
        <v>180</v>
      </c>
      <c r="D196" s="138" t="n">
        <v>181</v>
      </c>
      <c r="E196" s="141" t="n">
        <f aca="false">F196/Parâmetros!$C$22</f>
        <v>350.75</v>
      </c>
      <c r="F196" s="141" t="n">
        <v>70.15</v>
      </c>
      <c r="G196" s="141" t="n">
        <v>650.45</v>
      </c>
      <c r="H196" s="141" t="n">
        <v>0</v>
      </c>
      <c r="I196" s="141" t="n">
        <v>0</v>
      </c>
      <c r="J196" s="141" t="n">
        <v>0</v>
      </c>
      <c r="K196" s="141" t="n">
        <v>0</v>
      </c>
      <c r="L196" s="141" t="n">
        <v>154.8</v>
      </c>
      <c r="M196" s="141" t="n">
        <v>0</v>
      </c>
      <c r="N196" s="141" t="n">
        <v>0</v>
      </c>
      <c r="O196" s="141" t="n">
        <v>4.61</v>
      </c>
    </row>
    <row r="197" customFormat="false" ht="15" hidden="false" customHeight="false" outlineLevel="0" collapsed="false">
      <c r="A197" s="138" t="s">
        <v>1830</v>
      </c>
      <c r="B197" s="138" t="s">
        <v>1831</v>
      </c>
      <c r="C197" s="138" t="n">
        <v>181</v>
      </c>
      <c r="D197" s="138" t="n">
        <v>182</v>
      </c>
      <c r="E197" s="141" t="n">
        <f aca="false">F197/Parâmetros!$C$22</f>
        <v>373.55</v>
      </c>
      <c r="F197" s="141" t="n">
        <v>74.71</v>
      </c>
      <c r="G197" s="141" t="n">
        <v>857.26</v>
      </c>
      <c r="H197" s="141" t="n">
        <v>0</v>
      </c>
      <c r="I197" s="141" t="n">
        <v>0</v>
      </c>
      <c r="J197" s="141" t="n">
        <v>0</v>
      </c>
      <c r="K197" s="141" t="n">
        <v>0</v>
      </c>
      <c r="L197" s="141" t="n">
        <v>154.8</v>
      </c>
      <c r="M197" s="141" t="n">
        <v>0</v>
      </c>
      <c r="N197" s="141" t="n">
        <v>0</v>
      </c>
      <c r="O197" s="141" t="n">
        <v>4.61</v>
      </c>
    </row>
    <row r="198" customFormat="false" ht="15" hidden="false" customHeight="false" outlineLevel="0" collapsed="false">
      <c r="A198" s="138" t="s">
        <v>1831</v>
      </c>
      <c r="B198" s="138" t="s">
        <v>1832</v>
      </c>
      <c r="C198" s="138" t="n">
        <v>182</v>
      </c>
      <c r="D198" s="138" t="n">
        <v>183</v>
      </c>
      <c r="E198" s="141" t="n">
        <f aca="false">F198/Parâmetros!$C$22</f>
        <v>400.35</v>
      </c>
      <c r="F198" s="141" t="n">
        <v>80.07</v>
      </c>
      <c r="G198" s="141" t="n">
        <v>1132.28</v>
      </c>
      <c r="H198" s="141" t="n">
        <v>0</v>
      </c>
      <c r="I198" s="141" t="n">
        <v>0</v>
      </c>
      <c r="J198" s="141" t="n">
        <v>0</v>
      </c>
      <c r="K198" s="141" t="n">
        <v>0</v>
      </c>
      <c r="L198" s="141" t="n">
        <v>154.8</v>
      </c>
      <c r="M198" s="141" t="n">
        <v>0</v>
      </c>
      <c r="N198" s="141" t="n">
        <v>0</v>
      </c>
      <c r="O198" s="141" t="n">
        <v>4.61</v>
      </c>
    </row>
    <row r="199" customFormat="false" ht="15" hidden="false" customHeight="false" outlineLevel="0" collapsed="false">
      <c r="A199" s="138" t="s">
        <v>1832</v>
      </c>
      <c r="B199" s="138" t="s">
        <v>1833</v>
      </c>
      <c r="C199" s="138" t="n">
        <v>183</v>
      </c>
      <c r="D199" s="138" t="n">
        <v>184</v>
      </c>
      <c r="E199" s="141" t="n">
        <f aca="false">F199/Parâmetros!$C$22</f>
        <v>400.05</v>
      </c>
      <c r="F199" s="141" t="n">
        <v>80.01</v>
      </c>
      <c r="G199" s="141" t="n">
        <v>1319.17</v>
      </c>
      <c r="H199" s="141" t="n">
        <v>0</v>
      </c>
      <c r="I199" s="141" t="n">
        <v>0</v>
      </c>
      <c r="J199" s="141" t="n">
        <v>0</v>
      </c>
      <c r="K199" s="141" t="n">
        <v>0</v>
      </c>
      <c r="L199" s="141" t="n">
        <v>154.78</v>
      </c>
      <c r="M199" s="141" t="n">
        <v>0</v>
      </c>
      <c r="N199" s="141" t="n">
        <v>0</v>
      </c>
      <c r="O199" s="141" t="n">
        <v>4.23</v>
      </c>
    </row>
    <row r="200" customFormat="false" ht="15" hidden="false" customHeight="false" outlineLevel="0" collapsed="false">
      <c r="A200" s="138" t="s">
        <v>1833</v>
      </c>
      <c r="B200" s="138" t="s">
        <v>1834</v>
      </c>
      <c r="C200" s="138" t="n">
        <v>184</v>
      </c>
      <c r="D200" s="138" t="n">
        <v>185</v>
      </c>
      <c r="E200" s="141" t="n">
        <f aca="false">F200/Parâmetros!$C$22</f>
        <v>390.8</v>
      </c>
      <c r="F200" s="141" t="n">
        <v>78.16</v>
      </c>
      <c r="G200" s="141" t="n">
        <v>1487.52</v>
      </c>
      <c r="H200" s="141" t="n">
        <v>0</v>
      </c>
      <c r="I200" s="141" t="n">
        <v>0</v>
      </c>
      <c r="J200" s="141" t="n">
        <v>0</v>
      </c>
      <c r="K200" s="141" t="n">
        <v>0</v>
      </c>
      <c r="L200" s="141" t="n">
        <v>154.72</v>
      </c>
      <c r="M200" s="141" t="n">
        <v>0</v>
      </c>
      <c r="N200" s="141" t="n">
        <v>0</v>
      </c>
      <c r="O200" s="141" t="n">
        <v>3.78</v>
      </c>
    </row>
    <row r="201" customFormat="false" ht="15" hidden="false" customHeight="false" outlineLevel="0" collapsed="false">
      <c r="A201" s="138" t="s">
        <v>1834</v>
      </c>
      <c r="B201" s="138" t="s">
        <v>1835</v>
      </c>
      <c r="C201" s="138" t="n">
        <v>185</v>
      </c>
      <c r="D201" s="138" t="n">
        <v>186</v>
      </c>
      <c r="E201" s="141" t="n">
        <f aca="false">F201/Parâmetros!$C$22</f>
        <v>395</v>
      </c>
      <c r="F201" s="141" t="n">
        <v>79</v>
      </c>
      <c r="G201" s="141" t="n">
        <v>1619.45</v>
      </c>
      <c r="H201" s="141" t="n">
        <v>0</v>
      </c>
      <c r="I201" s="141" t="n">
        <v>0</v>
      </c>
      <c r="J201" s="141" t="n">
        <v>0</v>
      </c>
      <c r="K201" s="141" t="n">
        <v>0</v>
      </c>
      <c r="L201" s="141" t="n">
        <v>154.67</v>
      </c>
      <c r="M201" s="141" t="n">
        <v>0</v>
      </c>
      <c r="N201" s="141" t="n">
        <v>0</v>
      </c>
      <c r="O201" s="141" t="n">
        <v>3.65</v>
      </c>
    </row>
    <row r="202" customFormat="false" ht="15" hidden="false" customHeight="false" outlineLevel="0" collapsed="false">
      <c r="A202" s="138" t="s">
        <v>1835</v>
      </c>
      <c r="B202" s="138" t="s">
        <v>1836</v>
      </c>
      <c r="C202" s="138" t="n">
        <v>186</v>
      </c>
      <c r="D202" s="138" t="n">
        <v>187</v>
      </c>
      <c r="E202" s="141" t="n">
        <f aca="false">F202/Parâmetros!$C$22</f>
        <v>379.7</v>
      </c>
      <c r="F202" s="141" t="n">
        <v>75.94</v>
      </c>
      <c r="G202" s="141" t="n">
        <v>1486.05</v>
      </c>
      <c r="H202" s="141" t="n">
        <v>0</v>
      </c>
      <c r="I202" s="141" t="n">
        <v>0</v>
      </c>
      <c r="J202" s="141" t="n">
        <v>0</v>
      </c>
      <c r="K202" s="141" t="n">
        <v>0</v>
      </c>
      <c r="L202" s="141" t="n">
        <v>154.66</v>
      </c>
      <c r="M202" s="141" t="n">
        <v>0</v>
      </c>
      <c r="N202" s="141" t="n">
        <v>0</v>
      </c>
      <c r="O202" s="141" t="n">
        <v>3.6</v>
      </c>
    </row>
    <row r="203" customFormat="false" ht="15" hidden="false" customHeight="false" outlineLevel="0" collapsed="false">
      <c r="A203" s="138" t="s">
        <v>1836</v>
      </c>
      <c r="B203" s="138" t="s">
        <v>3780</v>
      </c>
      <c r="C203" s="138" t="n">
        <v>187</v>
      </c>
      <c r="D203" s="138" t="n">
        <v>187.179</v>
      </c>
      <c r="E203" s="141" t="n">
        <f aca="false">F203/Parâmetros!$C$22</f>
        <v>65.45</v>
      </c>
      <c r="F203" s="141" t="n">
        <v>13.09</v>
      </c>
      <c r="G203" s="141" t="n">
        <v>237.8</v>
      </c>
      <c r="H203" s="141" t="n">
        <v>0</v>
      </c>
      <c r="I203" s="141" t="n">
        <v>0</v>
      </c>
      <c r="J203" s="141" t="n">
        <v>0</v>
      </c>
      <c r="K203" s="141" t="n">
        <v>0</v>
      </c>
      <c r="L203" s="141" t="n">
        <v>27.71</v>
      </c>
      <c r="M203" s="141" t="n">
        <v>0</v>
      </c>
      <c r="N203" s="141" t="n">
        <v>0</v>
      </c>
      <c r="O203" s="141" t="n">
        <v>0.64</v>
      </c>
    </row>
    <row r="204" customFormat="false" ht="15" hidden="false" customHeight="false" outlineLevel="0" collapsed="false">
      <c r="A204" s="138" t="s">
        <v>3780</v>
      </c>
      <c r="B204" s="138" t="s">
        <v>1837</v>
      </c>
      <c r="C204" s="138" t="n">
        <v>187.179</v>
      </c>
      <c r="D204" s="138" t="n">
        <v>188</v>
      </c>
      <c r="E204" s="141" t="n">
        <f aca="false">F204/Parâmetros!$C$22</f>
        <v>318.5</v>
      </c>
      <c r="F204" s="141" t="n">
        <v>63.7</v>
      </c>
      <c r="G204" s="141" t="n">
        <v>1048.25</v>
      </c>
      <c r="H204" s="141" t="n">
        <v>0</v>
      </c>
      <c r="I204" s="141" t="n">
        <v>0</v>
      </c>
      <c r="J204" s="141" t="n">
        <v>0</v>
      </c>
      <c r="K204" s="141" t="n">
        <v>0</v>
      </c>
      <c r="L204" s="141" t="n">
        <v>126.95</v>
      </c>
      <c r="M204" s="141" t="n">
        <v>0</v>
      </c>
      <c r="N204" s="141" t="n">
        <v>0</v>
      </c>
      <c r="O204" s="141" t="n">
        <v>3.21</v>
      </c>
    </row>
    <row r="205" customFormat="false" ht="15" hidden="false" customHeight="false" outlineLevel="0" collapsed="false">
      <c r="A205" s="138" t="s">
        <v>1837</v>
      </c>
      <c r="B205" s="138" t="s">
        <v>1838</v>
      </c>
      <c r="C205" s="138" t="n">
        <v>188</v>
      </c>
      <c r="D205" s="138" t="n">
        <v>189</v>
      </c>
      <c r="E205" s="141" t="n">
        <f aca="false">F205/Parâmetros!$C$22</f>
        <v>393.85</v>
      </c>
      <c r="F205" s="141" t="n">
        <v>78.77</v>
      </c>
      <c r="G205" s="141" t="n">
        <v>1035.54</v>
      </c>
      <c r="H205" s="141" t="n">
        <v>0</v>
      </c>
      <c r="I205" s="141" t="n">
        <v>0</v>
      </c>
      <c r="J205" s="141" t="n">
        <v>0</v>
      </c>
      <c r="K205" s="141" t="n">
        <v>0</v>
      </c>
      <c r="L205" s="141" t="n">
        <v>154.66</v>
      </c>
      <c r="M205" s="141" t="n">
        <v>0</v>
      </c>
      <c r="N205" s="141" t="n">
        <v>0</v>
      </c>
      <c r="O205" s="141" t="n">
        <v>4.22</v>
      </c>
    </row>
    <row r="206" customFormat="false" ht="15" hidden="false" customHeight="false" outlineLevel="0" collapsed="false">
      <c r="A206" s="138" t="s">
        <v>1838</v>
      </c>
      <c r="B206" s="138" t="s">
        <v>1839</v>
      </c>
      <c r="C206" s="138" t="n">
        <v>189</v>
      </c>
      <c r="D206" s="138" t="n">
        <v>190</v>
      </c>
      <c r="E206" s="141" t="n">
        <f aca="false">F206/Parâmetros!$C$22</f>
        <v>362.75</v>
      </c>
      <c r="F206" s="141" t="n">
        <v>72.55</v>
      </c>
      <c r="G206" s="141" t="n">
        <v>679.41</v>
      </c>
      <c r="H206" s="141" t="n">
        <v>0</v>
      </c>
      <c r="I206" s="141" t="n">
        <v>0</v>
      </c>
      <c r="J206" s="141" t="n">
        <v>0</v>
      </c>
      <c r="K206" s="141" t="n">
        <v>0</v>
      </c>
      <c r="L206" s="141" t="n">
        <v>154.66</v>
      </c>
      <c r="M206" s="141" t="n">
        <v>0</v>
      </c>
      <c r="N206" s="141" t="n">
        <v>0</v>
      </c>
      <c r="O206" s="141" t="n">
        <v>4.22</v>
      </c>
    </row>
    <row r="207" customFormat="false" ht="15" hidden="false" customHeight="false" outlineLevel="0" collapsed="false">
      <c r="A207" s="138" t="s">
        <v>1839</v>
      </c>
      <c r="B207" s="138" t="s">
        <v>3781</v>
      </c>
      <c r="C207" s="138" t="n">
        <v>190</v>
      </c>
      <c r="D207" s="138" t="n">
        <v>190.679</v>
      </c>
      <c r="E207" s="141" t="n">
        <f aca="false">F207/Parâmetros!$C$22</f>
        <v>234.35</v>
      </c>
      <c r="F207" s="141" t="n">
        <v>46.87</v>
      </c>
      <c r="G207" s="141" t="n">
        <v>338.64</v>
      </c>
      <c r="H207" s="141" t="n">
        <v>0</v>
      </c>
      <c r="I207" s="141" t="n">
        <v>0</v>
      </c>
      <c r="J207" s="141" t="n">
        <v>0</v>
      </c>
      <c r="K207" s="141" t="n">
        <v>0</v>
      </c>
      <c r="L207" s="141" t="n">
        <v>105.04</v>
      </c>
      <c r="M207" s="141" t="n">
        <v>0</v>
      </c>
      <c r="N207" s="141" t="n">
        <v>0</v>
      </c>
      <c r="O207" s="141" t="n">
        <v>2.87</v>
      </c>
    </row>
    <row r="208" customFormat="false" ht="15" hidden="false" customHeight="false" outlineLevel="0" collapsed="false">
      <c r="A208" s="138" t="s">
        <v>3781</v>
      </c>
      <c r="B208" s="138" t="s">
        <v>1840</v>
      </c>
      <c r="C208" s="138" t="n">
        <v>190.679</v>
      </c>
      <c r="D208" s="138" t="n">
        <v>191</v>
      </c>
      <c r="E208" s="141" t="n">
        <f aca="false">F208/Parâmetros!$C$22</f>
        <v>108.6</v>
      </c>
      <c r="F208" s="141" t="n">
        <v>21.72</v>
      </c>
      <c r="G208" s="141" t="n">
        <v>141.31</v>
      </c>
      <c r="H208" s="141" t="n">
        <v>0</v>
      </c>
      <c r="I208" s="141" t="n">
        <v>0</v>
      </c>
      <c r="J208" s="141" t="n">
        <v>0</v>
      </c>
      <c r="K208" s="141" t="n">
        <v>0</v>
      </c>
      <c r="L208" s="141" t="n">
        <v>49.62</v>
      </c>
      <c r="M208" s="141" t="n">
        <v>0</v>
      </c>
      <c r="N208" s="141" t="n">
        <v>0</v>
      </c>
      <c r="O208" s="141" t="n">
        <v>1.36</v>
      </c>
    </row>
    <row r="209" customFormat="false" ht="15" hidden="false" customHeight="false" outlineLevel="0" collapsed="false">
      <c r="A209" s="138" t="s">
        <v>1840</v>
      </c>
      <c r="B209" s="138" t="s">
        <v>1841</v>
      </c>
      <c r="C209" s="138" t="n">
        <v>191</v>
      </c>
      <c r="D209" s="138" t="n">
        <v>192</v>
      </c>
      <c r="E209" s="141" t="n">
        <f aca="false">F209/Parâmetros!$C$22</f>
        <v>329.4</v>
      </c>
      <c r="F209" s="141" t="n">
        <v>65.88</v>
      </c>
      <c r="G209" s="141" t="n">
        <v>416.57</v>
      </c>
      <c r="H209" s="141" t="n">
        <v>0</v>
      </c>
      <c r="I209" s="141" t="n">
        <v>0</v>
      </c>
      <c r="J209" s="141" t="n">
        <v>0</v>
      </c>
      <c r="K209" s="141" t="n">
        <v>0</v>
      </c>
      <c r="L209" s="141" t="n">
        <v>154.66</v>
      </c>
      <c r="M209" s="141" t="n">
        <v>0</v>
      </c>
      <c r="N209" s="141" t="n">
        <v>0</v>
      </c>
      <c r="O209" s="141" t="n">
        <v>4.22</v>
      </c>
    </row>
    <row r="210" customFormat="false" ht="15" hidden="false" customHeight="false" outlineLevel="0" collapsed="false">
      <c r="A210" s="138" t="s">
        <v>1841</v>
      </c>
      <c r="B210" s="138" t="s">
        <v>3782</v>
      </c>
      <c r="C210" s="138" t="n">
        <v>192</v>
      </c>
      <c r="D210" s="138" t="n">
        <v>192.639</v>
      </c>
      <c r="E210" s="141" t="n">
        <f aca="false">F210/Parâmetros!$C$22</f>
        <v>204.7</v>
      </c>
      <c r="F210" s="141" t="n">
        <v>40.94</v>
      </c>
      <c r="G210" s="141" t="n">
        <v>268.27</v>
      </c>
      <c r="H210" s="141" t="n">
        <v>0</v>
      </c>
      <c r="I210" s="141" t="n">
        <v>0</v>
      </c>
      <c r="J210" s="141" t="n">
        <v>0</v>
      </c>
      <c r="K210" s="141" t="n">
        <v>0</v>
      </c>
      <c r="L210" s="141" t="n">
        <v>98.83</v>
      </c>
      <c r="M210" s="141" t="n">
        <v>0</v>
      </c>
      <c r="N210" s="141" t="n">
        <v>0</v>
      </c>
      <c r="O210" s="141" t="n">
        <v>2.7</v>
      </c>
    </row>
    <row r="211" customFormat="false" ht="15" hidden="false" customHeight="false" outlineLevel="0" collapsed="false">
      <c r="A211" s="138" t="s">
        <v>3782</v>
      </c>
      <c r="B211" s="138" t="s">
        <v>1842</v>
      </c>
      <c r="C211" s="138" t="n">
        <v>192.639</v>
      </c>
      <c r="D211" s="138" t="n">
        <v>193</v>
      </c>
      <c r="E211" s="141" t="n">
        <f aca="false">F211/Parâmetros!$C$22</f>
        <v>116.1</v>
      </c>
      <c r="F211" s="141" t="n">
        <v>23.22</v>
      </c>
      <c r="G211" s="141" t="n">
        <v>157.57</v>
      </c>
      <c r="H211" s="141" t="n">
        <v>0</v>
      </c>
      <c r="I211" s="141" t="n">
        <v>0</v>
      </c>
      <c r="J211" s="141" t="n">
        <v>0</v>
      </c>
      <c r="K211" s="141" t="n">
        <v>0</v>
      </c>
      <c r="L211" s="141" t="n">
        <v>55.83</v>
      </c>
      <c r="M211" s="141" t="n">
        <v>0</v>
      </c>
      <c r="N211" s="141" t="n">
        <v>0</v>
      </c>
      <c r="O211" s="141" t="n">
        <v>1.52</v>
      </c>
    </row>
    <row r="212" customFormat="false" ht="15" hidden="false" customHeight="false" outlineLevel="0" collapsed="false">
      <c r="A212" s="138" t="s">
        <v>1842</v>
      </c>
      <c r="B212" s="138" t="s">
        <v>1843</v>
      </c>
      <c r="C212" s="138" t="n">
        <v>193</v>
      </c>
      <c r="D212" s="138" t="n">
        <v>194</v>
      </c>
      <c r="E212" s="141" t="n">
        <f aca="false">F212/Parâmetros!$C$22</f>
        <v>326.25</v>
      </c>
      <c r="F212" s="141" t="n">
        <v>65.25</v>
      </c>
      <c r="G212" s="141" t="n">
        <v>443.4</v>
      </c>
      <c r="H212" s="141" t="n">
        <v>0</v>
      </c>
      <c r="I212" s="141" t="n">
        <v>0</v>
      </c>
      <c r="J212" s="141" t="n">
        <v>0</v>
      </c>
      <c r="K212" s="141" t="n">
        <v>0</v>
      </c>
      <c r="L212" s="141" t="n">
        <v>154.66</v>
      </c>
      <c r="M212" s="141" t="n">
        <v>0</v>
      </c>
      <c r="N212" s="141" t="n">
        <v>0</v>
      </c>
      <c r="O212" s="141" t="n">
        <v>4.24</v>
      </c>
    </row>
    <row r="213" customFormat="false" ht="15" hidden="false" customHeight="false" outlineLevel="0" collapsed="false">
      <c r="A213" s="138" t="s">
        <v>1843</v>
      </c>
      <c r="B213" s="138" t="s">
        <v>3783</v>
      </c>
      <c r="C213" s="138" t="n">
        <v>194</v>
      </c>
      <c r="D213" s="138" t="n">
        <v>194.599</v>
      </c>
      <c r="E213" s="141" t="n">
        <f aca="false">F213/Parâmetros!$C$22</f>
        <v>193.5</v>
      </c>
      <c r="F213" s="141" t="n">
        <v>38.7</v>
      </c>
      <c r="G213" s="141" t="n">
        <v>265.35</v>
      </c>
      <c r="H213" s="141" t="n">
        <v>0</v>
      </c>
      <c r="I213" s="141" t="n">
        <v>0</v>
      </c>
      <c r="J213" s="141" t="n">
        <v>0</v>
      </c>
      <c r="K213" s="141" t="n">
        <v>0</v>
      </c>
      <c r="L213" s="141" t="n">
        <v>92.62</v>
      </c>
      <c r="M213" s="141" t="n">
        <v>0</v>
      </c>
      <c r="N213" s="141" t="n">
        <v>0</v>
      </c>
      <c r="O213" s="141" t="n">
        <v>2.54</v>
      </c>
    </row>
    <row r="214" customFormat="false" ht="15" hidden="false" customHeight="false" outlineLevel="0" collapsed="false">
      <c r="A214" s="138" t="s">
        <v>3783</v>
      </c>
      <c r="B214" s="138" t="s">
        <v>1844</v>
      </c>
      <c r="C214" s="138" t="n">
        <v>194.599</v>
      </c>
      <c r="D214" s="138" t="n">
        <v>195</v>
      </c>
      <c r="E214" s="141" t="n">
        <f aca="false">F214/Parâmetros!$C$22</f>
        <v>126.4</v>
      </c>
      <c r="F214" s="141" t="n">
        <v>25.28</v>
      </c>
      <c r="G214" s="141" t="n">
        <v>174.95</v>
      </c>
      <c r="H214" s="141" t="n">
        <v>0</v>
      </c>
      <c r="I214" s="141" t="n">
        <v>0</v>
      </c>
      <c r="J214" s="141" t="n">
        <v>0</v>
      </c>
      <c r="K214" s="141" t="n">
        <v>0</v>
      </c>
      <c r="L214" s="141" t="n">
        <v>62.04</v>
      </c>
      <c r="M214" s="141" t="n">
        <v>0</v>
      </c>
      <c r="N214" s="141" t="n">
        <v>0</v>
      </c>
      <c r="O214" s="141" t="n">
        <v>1.69</v>
      </c>
    </row>
    <row r="215" customFormat="false" ht="15" hidden="false" customHeight="false" outlineLevel="0" collapsed="false">
      <c r="A215" s="138" t="s">
        <v>1844</v>
      </c>
      <c r="B215" s="138" t="s">
        <v>1845</v>
      </c>
      <c r="C215" s="138" t="n">
        <v>195</v>
      </c>
      <c r="D215" s="138" t="n">
        <v>196</v>
      </c>
      <c r="E215" s="141" t="n">
        <f aca="false">F215/Parâmetros!$C$22</f>
        <v>301.6</v>
      </c>
      <c r="F215" s="141" t="n">
        <v>60.32</v>
      </c>
      <c r="G215" s="141" t="n">
        <v>385.28</v>
      </c>
      <c r="H215" s="141" t="n">
        <v>0</v>
      </c>
      <c r="I215" s="141" t="n">
        <v>0</v>
      </c>
      <c r="J215" s="141" t="n">
        <v>0</v>
      </c>
      <c r="K215" s="141" t="n">
        <v>0</v>
      </c>
      <c r="L215" s="141" t="n">
        <v>154.66</v>
      </c>
      <c r="M215" s="141" t="n">
        <v>0</v>
      </c>
      <c r="N215" s="141" t="n">
        <v>0</v>
      </c>
      <c r="O215" s="141" t="n">
        <v>4.22</v>
      </c>
    </row>
    <row r="216" customFormat="false" ht="15" hidden="false" customHeight="false" outlineLevel="0" collapsed="false">
      <c r="A216" s="138" t="s">
        <v>1845</v>
      </c>
      <c r="B216" s="138" t="s">
        <v>1846</v>
      </c>
      <c r="C216" s="138" t="n">
        <v>196</v>
      </c>
      <c r="D216" s="138" t="n">
        <v>197</v>
      </c>
      <c r="E216" s="141" t="n">
        <f aca="false">F216/Parâmetros!$C$22</f>
        <v>288.65</v>
      </c>
      <c r="F216" s="141" t="n">
        <v>57.73</v>
      </c>
      <c r="G216" s="141" t="n">
        <v>298.46</v>
      </c>
      <c r="H216" s="141" t="n">
        <v>0</v>
      </c>
      <c r="I216" s="141" t="n">
        <v>0</v>
      </c>
      <c r="J216" s="141" t="n">
        <v>0</v>
      </c>
      <c r="K216" s="141" t="n">
        <v>0</v>
      </c>
      <c r="L216" s="141" t="n">
        <v>154.66</v>
      </c>
      <c r="M216" s="141" t="n">
        <v>0</v>
      </c>
      <c r="N216" s="141" t="n">
        <v>0</v>
      </c>
      <c r="O216" s="141" t="n">
        <v>4.22</v>
      </c>
    </row>
    <row r="217" customFormat="false" ht="15" hidden="false" customHeight="false" outlineLevel="0" collapsed="false">
      <c r="A217" s="138" t="s">
        <v>1846</v>
      </c>
      <c r="B217" s="138" t="s">
        <v>1847</v>
      </c>
      <c r="C217" s="138" t="n">
        <v>197</v>
      </c>
      <c r="D217" s="138" t="n">
        <v>198</v>
      </c>
      <c r="E217" s="141" t="n">
        <f aca="false">F217/Parâmetros!$C$22</f>
        <v>287.35</v>
      </c>
      <c r="F217" s="141" t="n">
        <v>57.47</v>
      </c>
      <c r="G217" s="141" t="n">
        <v>209.77</v>
      </c>
      <c r="H217" s="141" t="n">
        <v>0</v>
      </c>
      <c r="I217" s="141" t="n">
        <v>0</v>
      </c>
      <c r="J217" s="141" t="n">
        <v>0</v>
      </c>
      <c r="K217" s="141" t="n">
        <v>2.24</v>
      </c>
      <c r="L217" s="141" t="n">
        <v>154.66</v>
      </c>
      <c r="M217" s="141" t="n">
        <v>0</v>
      </c>
      <c r="N217" s="141" t="n">
        <v>0</v>
      </c>
      <c r="O217" s="141" t="n">
        <v>4.23</v>
      </c>
    </row>
    <row r="218" customFormat="false" ht="15" hidden="false" customHeight="false" outlineLevel="0" collapsed="false">
      <c r="A218" s="138" t="s">
        <v>1847</v>
      </c>
      <c r="B218" s="138" t="s">
        <v>3784</v>
      </c>
      <c r="C218" s="138" t="n">
        <v>198</v>
      </c>
      <c r="D218" s="138" t="n">
        <v>198.099</v>
      </c>
      <c r="E218" s="141" t="n">
        <f aca="false">F218/Parâmetros!$C$22</f>
        <v>28.55</v>
      </c>
      <c r="F218" s="141" t="n">
        <v>5.71</v>
      </c>
      <c r="G218" s="141" t="n">
        <v>15.17</v>
      </c>
      <c r="H218" s="141" t="n">
        <v>0</v>
      </c>
      <c r="I218" s="141" t="n">
        <v>0</v>
      </c>
      <c r="J218" s="141" t="n">
        <v>0</v>
      </c>
      <c r="K218" s="141" t="n">
        <v>0.44</v>
      </c>
      <c r="L218" s="141" t="n">
        <v>15.29</v>
      </c>
      <c r="M218" s="141" t="n">
        <v>0</v>
      </c>
      <c r="N218" s="141" t="n">
        <v>0</v>
      </c>
      <c r="O218" s="141" t="n">
        <v>0.42</v>
      </c>
    </row>
    <row r="219" customFormat="false" ht="15" hidden="false" customHeight="false" outlineLevel="0" collapsed="false">
      <c r="A219" s="138" t="s">
        <v>3784</v>
      </c>
      <c r="B219" s="138" t="s">
        <v>1848</v>
      </c>
      <c r="C219" s="138" t="n">
        <v>198.099</v>
      </c>
      <c r="D219" s="138" t="n">
        <v>199</v>
      </c>
      <c r="E219" s="141" t="n">
        <f aca="false">F219/Parâmetros!$C$22</f>
        <v>265.9</v>
      </c>
      <c r="F219" s="141" t="n">
        <v>53.18</v>
      </c>
      <c r="G219" s="141" t="n">
        <v>93.52</v>
      </c>
      <c r="H219" s="141" t="n">
        <v>0</v>
      </c>
      <c r="I219" s="141" t="n">
        <v>0</v>
      </c>
      <c r="J219" s="141" t="n">
        <v>0</v>
      </c>
      <c r="K219" s="141" t="n">
        <v>12.96</v>
      </c>
      <c r="L219" s="141" t="n">
        <v>143.97</v>
      </c>
      <c r="M219" s="141" t="n">
        <v>0</v>
      </c>
      <c r="N219" s="141" t="n">
        <v>0</v>
      </c>
      <c r="O219" s="141" t="n">
        <v>3.7</v>
      </c>
    </row>
    <row r="220" customFormat="false" ht="15" hidden="false" customHeight="false" outlineLevel="0" collapsed="false">
      <c r="A220" s="138" t="s">
        <v>1848</v>
      </c>
      <c r="B220" s="138" t="s">
        <v>1849</v>
      </c>
      <c r="C220" s="138" t="n">
        <v>199</v>
      </c>
      <c r="D220" s="138" t="n">
        <v>200</v>
      </c>
      <c r="E220" s="141" t="n">
        <f aca="false">F220/Parâmetros!$C$22</f>
        <v>283.7</v>
      </c>
      <c r="F220" s="141" t="n">
        <v>56.74</v>
      </c>
      <c r="G220" s="141" t="n">
        <v>32.36</v>
      </c>
      <c r="H220" s="141" t="n">
        <v>0</v>
      </c>
      <c r="I220" s="141" t="n">
        <v>0</v>
      </c>
      <c r="J220" s="141" t="n">
        <v>0</v>
      </c>
      <c r="K220" s="141" t="n">
        <v>47.45</v>
      </c>
      <c r="L220" s="141" t="n">
        <v>167.01</v>
      </c>
      <c r="M220" s="141" t="n">
        <v>0</v>
      </c>
      <c r="N220" s="141" t="n">
        <v>0</v>
      </c>
      <c r="O220" s="141" t="n">
        <v>3.88</v>
      </c>
    </row>
    <row r="221" customFormat="false" ht="15" hidden="false" customHeight="false" outlineLevel="0" collapsed="false">
      <c r="A221" s="138" t="s">
        <v>1849</v>
      </c>
      <c r="B221" s="138" t="s">
        <v>1850</v>
      </c>
      <c r="C221" s="138" t="n">
        <v>200</v>
      </c>
      <c r="D221" s="138" t="n">
        <v>201</v>
      </c>
      <c r="E221" s="141" t="n">
        <f aca="false">F221/Parâmetros!$C$22</f>
        <v>280.5</v>
      </c>
      <c r="F221" s="141" t="n">
        <v>56.1</v>
      </c>
      <c r="G221" s="141" t="n">
        <v>2.86</v>
      </c>
      <c r="H221" s="141" t="n">
        <v>0</v>
      </c>
      <c r="I221" s="141" t="n">
        <v>0</v>
      </c>
      <c r="J221" s="141" t="n">
        <v>0</v>
      </c>
      <c r="K221" s="141" t="n">
        <v>100.63</v>
      </c>
      <c r="L221" s="141" t="n">
        <v>172.62</v>
      </c>
      <c r="M221" s="141" t="n">
        <v>0</v>
      </c>
      <c r="N221" s="141" t="n">
        <v>0</v>
      </c>
      <c r="O221" s="141" t="n">
        <v>3.84</v>
      </c>
    </row>
    <row r="222" customFormat="false" ht="15" hidden="false" customHeight="false" outlineLevel="0" collapsed="false">
      <c r="A222" s="138" t="s">
        <v>1850</v>
      </c>
      <c r="B222" s="138" t="s">
        <v>1851</v>
      </c>
      <c r="C222" s="138" t="n">
        <v>201</v>
      </c>
      <c r="D222" s="138" t="n">
        <v>202</v>
      </c>
      <c r="E222" s="141" t="n">
        <f aca="false">F222/Parâmetros!$C$22</f>
        <v>291.8</v>
      </c>
      <c r="F222" s="141" t="n">
        <v>58.36</v>
      </c>
      <c r="G222" s="141" t="n">
        <v>10.32</v>
      </c>
      <c r="H222" s="141" t="n">
        <v>0</v>
      </c>
      <c r="I222" s="141" t="n">
        <v>0</v>
      </c>
      <c r="J222" s="141" t="n">
        <v>0</v>
      </c>
      <c r="K222" s="141" t="n">
        <v>120.19</v>
      </c>
      <c r="L222" s="141" t="n">
        <v>170.85</v>
      </c>
      <c r="M222" s="141" t="n">
        <v>0</v>
      </c>
      <c r="N222" s="141" t="n">
        <v>0</v>
      </c>
      <c r="O222" s="141" t="n">
        <v>4.11</v>
      </c>
    </row>
    <row r="223" customFormat="false" ht="15" hidden="false" customHeight="false" outlineLevel="0" collapsed="false">
      <c r="A223" s="138" t="s">
        <v>1851</v>
      </c>
      <c r="B223" s="138" t="s">
        <v>1852</v>
      </c>
      <c r="C223" s="138" t="n">
        <v>202</v>
      </c>
      <c r="D223" s="138" t="n">
        <v>203</v>
      </c>
      <c r="E223" s="141" t="n">
        <f aca="false">F223/Parâmetros!$C$22</f>
        <v>307.25</v>
      </c>
      <c r="F223" s="141" t="n">
        <v>61.45</v>
      </c>
      <c r="G223" s="141" t="n">
        <v>61.2</v>
      </c>
      <c r="H223" s="141" t="n">
        <v>0</v>
      </c>
      <c r="I223" s="141" t="n">
        <v>0</v>
      </c>
      <c r="J223" s="141" t="n">
        <v>0</v>
      </c>
      <c r="K223" s="141" t="n">
        <v>68.45</v>
      </c>
      <c r="L223" s="141" t="n">
        <v>165.6</v>
      </c>
      <c r="M223" s="141" t="n">
        <v>0</v>
      </c>
      <c r="N223" s="141" t="n">
        <v>0</v>
      </c>
      <c r="O223" s="141" t="n">
        <v>4.32</v>
      </c>
    </row>
    <row r="224" customFormat="false" ht="15" hidden="false" customHeight="false" outlineLevel="0" collapsed="false">
      <c r="A224" s="138" t="s">
        <v>1852</v>
      </c>
      <c r="B224" s="138" t="s">
        <v>1853</v>
      </c>
      <c r="C224" s="138" t="n">
        <v>203</v>
      </c>
      <c r="D224" s="138" t="n">
        <v>204</v>
      </c>
      <c r="E224" s="141" t="n">
        <f aca="false">F224/Parâmetros!$C$22</f>
        <v>302.05</v>
      </c>
      <c r="F224" s="141" t="n">
        <v>60.41</v>
      </c>
      <c r="G224" s="141" t="n">
        <v>158.92</v>
      </c>
      <c r="H224" s="141" t="n">
        <v>0</v>
      </c>
      <c r="I224" s="141" t="n">
        <v>0</v>
      </c>
      <c r="J224" s="141" t="n">
        <v>0</v>
      </c>
      <c r="K224" s="141" t="n">
        <v>14.7</v>
      </c>
      <c r="L224" s="141" t="n">
        <v>160.82</v>
      </c>
      <c r="M224" s="141" t="n">
        <v>0</v>
      </c>
      <c r="N224" s="141" t="n">
        <v>0</v>
      </c>
      <c r="O224" s="141" t="n">
        <v>4.32</v>
      </c>
    </row>
    <row r="225" customFormat="false" ht="15" hidden="false" customHeight="false" outlineLevel="0" collapsed="false">
      <c r="A225" s="138" t="s">
        <v>1853</v>
      </c>
      <c r="B225" s="138" t="s">
        <v>1854</v>
      </c>
      <c r="C225" s="138" t="n">
        <v>204</v>
      </c>
      <c r="D225" s="138" t="n">
        <v>205</v>
      </c>
      <c r="E225" s="141" t="n">
        <f aca="false">F225/Parâmetros!$C$22</f>
        <v>268.7</v>
      </c>
      <c r="F225" s="141" t="n">
        <v>53.74</v>
      </c>
      <c r="G225" s="141" t="n">
        <v>289.79</v>
      </c>
      <c r="H225" s="141" t="n">
        <v>0</v>
      </c>
      <c r="I225" s="141" t="n">
        <v>0</v>
      </c>
      <c r="J225" s="141" t="n">
        <v>0</v>
      </c>
      <c r="K225" s="141" t="n">
        <v>1.92</v>
      </c>
      <c r="L225" s="141" t="n">
        <v>155.42</v>
      </c>
      <c r="M225" s="141" t="n">
        <v>0</v>
      </c>
      <c r="N225" s="141" t="n">
        <v>0</v>
      </c>
      <c r="O225" s="141" t="n">
        <v>4.46</v>
      </c>
    </row>
    <row r="226" customFormat="false" ht="15" hidden="false" customHeight="false" outlineLevel="0" collapsed="false">
      <c r="A226" s="138" t="s">
        <v>1854</v>
      </c>
      <c r="B226" s="138" t="s">
        <v>1855</v>
      </c>
      <c r="C226" s="138" t="n">
        <v>205</v>
      </c>
      <c r="D226" s="138" t="n">
        <v>206</v>
      </c>
      <c r="E226" s="141" t="n">
        <f aca="false">F226/Parâmetros!$C$22</f>
        <v>244.15</v>
      </c>
      <c r="F226" s="141" t="n">
        <v>48.83</v>
      </c>
      <c r="G226" s="141" t="n">
        <v>442.53</v>
      </c>
      <c r="H226" s="141" t="n">
        <v>0</v>
      </c>
      <c r="I226" s="141" t="n">
        <v>0</v>
      </c>
      <c r="J226" s="141" t="n">
        <v>0</v>
      </c>
      <c r="K226" s="141" t="n">
        <v>0</v>
      </c>
      <c r="L226" s="141" t="n">
        <v>147.28</v>
      </c>
      <c r="M226" s="141" t="n">
        <v>0</v>
      </c>
      <c r="N226" s="141" t="n">
        <v>0</v>
      </c>
      <c r="O226" s="141" t="n">
        <v>2.3</v>
      </c>
    </row>
    <row r="227" customFormat="false" ht="15" hidden="false" customHeight="false" outlineLevel="0" collapsed="false">
      <c r="A227" s="138" t="s">
        <v>1855</v>
      </c>
      <c r="B227" s="138" t="s">
        <v>1858</v>
      </c>
      <c r="C227" s="138" t="n">
        <v>206</v>
      </c>
      <c r="D227" s="138" t="n">
        <v>207</v>
      </c>
      <c r="E227" s="141" t="n">
        <f aca="false">F227/Parâmetros!$C$22</f>
        <v>238.25</v>
      </c>
      <c r="F227" s="141" t="n">
        <v>47.65</v>
      </c>
      <c r="G227" s="141" t="n">
        <v>749.27</v>
      </c>
      <c r="H227" s="141" t="n">
        <v>0</v>
      </c>
      <c r="I227" s="141" t="n">
        <v>0</v>
      </c>
      <c r="J227" s="141" t="n">
        <v>0</v>
      </c>
      <c r="K227" s="141" t="n">
        <v>0</v>
      </c>
      <c r="L227" s="141" t="n">
        <v>146.92</v>
      </c>
      <c r="M227" s="141" t="n">
        <v>0</v>
      </c>
      <c r="N227" s="141" t="n">
        <v>0</v>
      </c>
      <c r="O227" s="141" t="n">
        <v>1.15</v>
      </c>
    </row>
    <row r="228" customFormat="false" ht="15" hidden="false" customHeight="false" outlineLevel="0" collapsed="false">
      <c r="A228" s="138" t="s">
        <v>1858</v>
      </c>
      <c r="B228" s="138" t="s">
        <v>1860</v>
      </c>
      <c r="C228" s="138" t="n">
        <v>207</v>
      </c>
      <c r="D228" s="138" t="n">
        <v>208</v>
      </c>
      <c r="E228" s="141" t="n">
        <f aca="false">F228/Parâmetros!$C$22</f>
        <v>347.55</v>
      </c>
      <c r="F228" s="141" t="n">
        <v>69.51</v>
      </c>
      <c r="G228" s="141" t="n">
        <v>1022.82</v>
      </c>
      <c r="H228" s="141" t="n">
        <v>0</v>
      </c>
      <c r="I228" s="141" t="n">
        <v>0</v>
      </c>
      <c r="J228" s="141" t="n">
        <v>0</v>
      </c>
      <c r="K228" s="141" t="n">
        <v>0</v>
      </c>
      <c r="L228" s="141" t="n">
        <v>154.45</v>
      </c>
      <c r="M228" s="141" t="n">
        <v>0</v>
      </c>
      <c r="N228" s="141" t="n">
        <v>0</v>
      </c>
      <c r="O228" s="141" t="n">
        <v>3.44</v>
      </c>
    </row>
    <row r="229" customFormat="false" ht="15" hidden="false" customHeight="false" outlineLevel="0" collapsed="false">
      <c r="A229" s="138" t="s">
        <v>1860</v>
      </c>
      <c r="B229" s="138" t="s">
        <v>1861</v>
      </c>
      <c r="C229" s="138" t="n">
        <v>208</v>
      </c>
      <c r="D229" s="138" t="n">
        <v>209</v>
      </c>
      <c r="E229" s="141" t="n">
        <f aca="false">F229/Parâmetros!$C$22</f>
        <v>444.75</v>
      </c>
      <c r="F229" s="141" t="n">
        <v>88.95</v>
      </c>
      <c r="G229" s="141" t="n">
        <v>1139.09</v>
      </c>
      <c r="H229" s="141" t="n">
        <v>0</v>
      </c>
      <c r="I229" s="141" t="n">
        <v>0</v>
      </c>
      <c r="J229" s="141" t="n">
        <v>0</v>
      </c>
      <c r="K229" s="141" t="n">
        <v>0</v>
      </c>
      <c r="L229" s="141" t="n">
        <v>163.24</v>
      </c>
      <c r="M229" s="141" t="n">
        <v>0</v>
      </c>
      <c r="N229" s="141" t="n">
        <v>0</v>
      </c>
      <c r="O229" s="141" t="n">
        <v>4.58</v>
      </c>
    </row>
    <row r="230" customFormat="false" ht="15" hidden="false" customHeight="false" outlineLevel="0" collapsed="false">
      <c r="A230" s="138" t="s">
        <v>1861</v>
      </c>
      <c r="B230" s="138" t="s">
        <v>1862</v>
      </c>
      <c r="C230" s="138" t="n">
        <v>209</v>
      </c>
      <c r="D230" s="138" t="n">
        <v>210</v>
      </c>
      <c r="E230" s="141" t="n">
        <f aca="false">F230/Parâmetros!$C$22</f>
        <v>458</v>
      </c>
      <c r="F230" s="141" t="n">
        <v>91.6</v>
      </c>
      <c r="G230" s="141" t="n">
        <v>1142.75</v>
      </c>
      <c r="H230" s="141" t="n">
        <v>0</v>
      </c>
      <c r="I230" s="141" t="n">
        <v>0</v>
      </c>
      <c r="J230" s="141" t="n">
        <v>0</v>
      </c>
      <c r="K230" s="141" t="n">
        <v>0</v>
      </c>
      <c r="L230" s="141" t="n">
        <v>187.95</v>
      </c>
      <c r="M230" s="141" t="n">
        <v>0</v>
      </c>
      <c r="N230" s="141" t="n">
        <v>0</v>
      </c>
      <c r="O230" s="141" t="n">
        <v>4.62</v>
      </c>
    </row>
    <row r="231" customFormat="false" ht="15" hidden="false" customHeight="false" outlineLevel="0" collapsed="false">
      <c r="A231" s="138" t="s">
        <v>1862</v>
      </c>
      <c r="B231" s="138" t="s">
        <v>1863</v>
      </c>
      <c r="C231" s="138" t="n">
        <v>210</v>
      </c>
      <c r="D231" s="138" t="n">
        <v>211</v>
      </c>
      <c r="E231" s="141" t="n">
        <f aca="false">F231/Parâmetros!$C$22</f>
        <v>472.75</v>
      </c>
      <c r="F231" s="141" t="n">
        <v>94.55</v>
      </c>
      <c r="G231" s="141" t="n">
        <v>947.06</v>
      </c>
      <c r="H231" s="141" t="n">
        <v>0</v>
      </c>
      <c r="I231" s="141" t="n">
        <v>0</v>
      </c>
      <c r="J231" s="141" t="n">
        <v>0</v>
      </c>
      <c r="K231" s="141" t="n">
        <v>0</v>
      </c>
      <c r="L231" s="141" t="n">
        <v>213.84</v>
      </c>
      <c r="M231" s="141" t="n">
        <v>0</v>
      </c>
      <c r="N231" s="141" t="n">
        <v>0</v>
      </c>
      <c r="O231" s="141" t="n">
        <v>4.67</v>
      </c>
    </row>
    <row r="232" customFormat="false" ht="15" hidden="false" customHeight="false" outlineLevel="0" collapsed="false">
      <c r="A232" s="138" t="s">
        <v>1863</v>
      </c>
      <c r="B232" s="138" t="s">
        <v>1864</v>
      </c>
      <c r="C232" s="138" t="n">
        <v>211</v>
      </c>
      <c r="D232" s="138" t="n">
        <v>212</v>
      </c>
      <c r="E232" s="141" t="n">
        <f aca="false">F232/Parâmetros!$C$22</f>
        <v>434.4</v>
      </c>
      <c r="F232" s="141" t="n">
        <v>86.88</v>
      </c>
      <c r="G232" s="141" t="n">
        <v>675.81</v>
      </c>
      <c r="H232" s="141" t="n">
        <v>0</v>
      </c>
      <c r="I232" s="141" t="n">
        <v>0</v>
      </c>
      <c r="J232" s="141" t="n">
        <v>0</v>
      </c>
      <c r="K232" s="141" t="n">
        <v>0</v>
      </c>
      <c r="L232" s="141" t="n">
        <v>215.53</v>
      </c>
      <c r="M232" s="141" t="n">
        <v>0</v>
      </c>
      <c r="N232" s="141" t="n">
        <v>0</v>
      </c>
      <c r="O232" s="141" t="n">
        <v>4.63</v>
      </c>
    </row>
    <row r="233" customFormat="false" ht="15" hidden="false" customHeight="false" outlineLevel="0" collapsed="false">
      <c r="A233" s="138" t="s">
        <v>1864</v>
      </c>
      <c r="B233" s="138" t="s">
        <v>1865</v>
      </c>
      <c r="C233" s="138" t="n">
        <v>212</v>
      </c>
      <c r="D233" s="138" t="n">
        <v>213</v>
      </c>
      <c r="E233" s="141" t="n">
        <f aca="false">F233/Parâmetros!$C$22</f>
        <v>367.1</v>
      </c>
      <c r="F233" s="141" t="n">
        <v>73.42</v>
      </c>
      <c r="G233" s="141" t="n">
        <v>481.9</v>
      </c>
      <c r="H233" s="141" t="n">
        <v>0</v>
      </c>
      <c r="I233" s="141" t="n">
        <v>0</v>
      </c>
      <c r="J233" s="141" t="n">
        <v>0</v>
      </c>
      <c r="K233" s="141" t="n">
        <v>0</v>
      </c>
      <c r="L233" s="141" t="n">
        <v>191.27</v>
      </c>
      <c r="M233" s="141" t="n">
        <v>0</v>
      </c>
      <c r="N233" s="141" t="n">
        <v>0</v>
      </c>
      <c r="O233" s="141" t="n">
        <v>4.58</v>
      </c>
    </row>
    <row r="234" customFormat="false" ht="15" hidden="false" customHeight="false" outlineLevel="0" collapsed="false">
      <c r="A234" s="138" t="s">
        <v>1865</v>
      </c>
      <c r="B234" s="138" t="s">
        <v>1866</v>
      </c>
      <c r="C234" s="138" t="n">
        <v>213</v>
      </c>
      <c r="D234" s="138" t="n">
        <v>214</v>
      </c>
      <c r="E234" s="141" t="n">
        <f aca="false">F234/Parâmetros!$C$22</f>
        <v>322.3</v>
      </c>
      <c r="F234" s="141" t="n">
        <v>64.46</v>
      </c>
      <c r="G234" s="141" t="n">
        <v>408.12</v>
      </c>
      <c r="H234" s="141" t="n">
        <v>0</v>
      </c>
      <c r="I234" s="141" t="n">
        <v>0</v>
      </c>
      <c r="J234" s="141" t="n">
        <v>0</v>
      </c>
      <c r="K234" s="141" t="n">
        <v>0</v>
      </c>
      <c r="L234" s="141" t="n">
        <v>165.31</v>
      </c>
      <c r="M234" s="141" t="n">
        <v>0</v>
      </c>
      <c r="N234" s="141" t="n">
        <v>0</v>
      </c>
      <c r="O234" s="141" t="n">
        <v>4.58</v>
      </c>
    </row>
    <row r="235" customFormat="false" ht="15" hidden="false" customHeight="false" outlineLevel="0" collapsed="false">
      <c r="A235" s="138" t="s">
        <v>1866</v>
      </c>
      <c r="B235" s="138" t="s">
        <v>1867</v>
      </c>
      <c r="C235" s="138" t="n">
        <v>214</v>
      </c>
      <c r="D235" s="138" t="n">
        <v>215</v>
      </c>
      <c r="E235" s="141" t="n">
        <f aca="false">F235/Parâmetros!$C$22</f>
        <v>305.4</v>
      </c>
      <c r="F235" s="141" t="n">
        <v>61.08</v>
      </c>
      <c r="G235" s="141" t="n">
        <v>397.53</v>
      </c>
      <c r="H235" s="141" t="n">
        <v>0</v>
      </c>
      <c r="I235" s="141" t="n">
        <v>0</v>
      </c>
      <c r="J235" s="141" t="n">
        <v>0</v>
      </c>
      <c r="K235" s="141" t="n">
        <v>0</v>
      </c>
      <c r="L235" s="141" t="n">
        <v>155.25</v>
      </c>
      <c r="M235" s="141" t="n">
        <v>0</v>
      </c>
      <c r="N235" s="141" t="n">
        <v>0</v>
      </c>
      <c r="O235" s="141" t="n">
        <v>4.6</v>
      </c>
    </row>
    <row r="236" customFormat="false" ht="15" hidden="false" customHeight="false" outlineLevel="0" collapsed="false">
      <c r="A236" s="138" t="s">
        <v>1867</v>
      </c>
      <c r="B236" s="138" t="s">
        <v>1868</v>
      </c>
      <c r="C236" s="138" t="n">
        <v>215</v>
      </c>
      <c r="D236" s="138" t="n">
        <v>216</v>
      </c>
      <c r="E236" s="141" t="n">
        <f aca="false">F236/Parâmetros!$C$22</f>
        <v>304.45</v>
      </c>
      <c r="F236" s="141" t="n">
        <v>60.89</v>
      </c>
      <c r="G236" s="141" t="n">
        <v>427.13</v>
      </c>
      <c r="H236" s="141" t="n">
        <v>0</v>
      </c>
      <c r="I236" s="141" t="n">
        <v>0</v>
      </c>
      <c r="J236" s="141" t="n">
        <v>0</v>
      </c>
      <c r="K236" s="141" t="n">
        <v>0</v>
      </c>
      <c r="L236" s="141" t="n">
        <v>154.8</v>
      </c>
      <c r="M236" s="141" t="n">
        <v>0</v>
      </c>
      <c r="N236" s="141" t="n">
        <v>0</v>
      </c>
      <c r="O236" s="141" t="n">
        <v>4.61</v>
      </c>
    </row>
    <row r="237" customFormat="false" ht="15" hidden="false" customHeight="false" outlineLevel="0" collapsed="false">
      <c r="A237" s="138" t="s">
        <v>1868</v>
      </c>
      <c r="B237" s="138" t="s">
        <v>1869</v>
      </c>
      <c r="C237" s="138" t="n">
        <v>216</v>
      </c>
      <c r="D237" s="138" t="n">
        <v>217</v>
      </c>
      <c r="E237" s="141" t="n">
        <f aca="false">F237/Parâmetros!$C$22</f>
        <v>314.75</v>
      </c>
      <c r="F237" s="141" t="n">
        <v>62.95</v>
      </c>
      <c r="G237" s="141" t="n">
        <v>460.49</v>
      </c>
      <c r="H237" s="141" t="n">
        <v>0</v>
      </c>
      <c r="I237" s="141" t="n">
        <v>0</v>
      </c>
      <c r="J237" s="141" t="n">
        <v>0</v>
      </c>
      <c r="K237" s="141" t="n">
        <v>0</v>
      </c>
      <c r="L237" s="141" t="n">
        <v>154.8</v>
      </c>
      <c r="M237" s="141" t="n">
        <v>0</v>
      </c>
      <c r="N237" s="141" t="n">
        <v>0</v>
      </c>
      <c r="O237" s="141" t="n">
        <v>4.61</v>
      </c>
    </row>
    <row r="238" customFormat="false" ht="15" hidden="false" customHeight="false" outlineLevel="0" collapsed="false">
      <c r="A238" s="138" t="s">
        <v>1869</v>
      </c>
      <c r="B238" s="138" t="s">
        <v>1870</v>
      </c>
      <c r="C238" s="138" t="n">
        <v>217</v>
      </c>
      <c r="D238" s="138" t="n">
        <v>218</v>
      </c>
      <c r="E238" s="141" t="n">
        <f aca="false">F238/Parâmetros!$C$22</f>
        <v>325.6</v>
      </c>
      <c r="F238" s="141" t="n">
        <v>65.12</v>
      </c>
      <c r="G238" s="141" t="n">
        <v>485.99</v>
      </c>
      <c r="H238" s="141" t="n">
        <v>0</v>
      </c>
      <c r="I238" s="141" t="n">
        <v>0</v>
      </c>
      <c r="J238" s="141" t="n">
        <v>0</v>
      </c>
      <c r="K238" s="141" t="n">
        <v>0</v>
      </c>
      <c r="L238" s="141" t="n">
        <v>154.8</v>
      </c>
      <c r="M238" s="141" t="n">
        <v>0</v>
      </c>
      <c r="N238" s="141" t="n">
        <v>0</v>
      </c>
      <c r="O238" s="141" t="n">
        <v>4.61</v>
      </c>
    </row>
    <row r="239" customFormat="false" ht="15" hidden="false" customHeight="false" outlineLevel="0" collapsed="false">
      <c r="A239" s="138" t="s">
        <v>1870</v>
      </c>
      <c r="B239" s="138" t="s">
        <v>1871</v>
      </c>
      <c r="C239" s="138" t="n">
        <v>218</v>
      </c>
      <c r="D239" s="138" t="n">
        <v>219</v>
      </c>
      <c r="E239" s="141" t="n">
        <f aca="false">F239/Parâmetros!$C$22</f>
        <v>340.15</v>
      </c>
      <c r="F239" s="141" t="n">
        <v>68.03</v>
      </c>
      <c r="G239" s="141" t="n">
        <v>523.71</v>
      </c>
      <c r="H239" s="141" t="n">
        <v>0</v>
      </c>
      <c r="I239" s="141" t="n">
        <v>0</v>
      </c>
      <c r="J239" s="141" t="n">
        <v>0</v>
      </c>
      <c r="K239" s="141" t="n">
        <v>0</v>
      </c>
      <c r="L239" s="141" t="n">
        <v>154.8</v>
      </c>
      <c r="M239" s="141" t="n">
        <v>0</v>
      </c>
      <c r="N239" s="141" t="n">
        <v>0</v>
      </c>
      <c r="O239" s="141" t="n">
        <v>4.61</v>
      </c>
    </row>
    <row r="240" customFormat="false" ht="15" hidden="false" customHeight="false" outlineLevel="0" collapsed="false">
      <c r="A240" s="138" t="s">
        <v>1871</v>
      </c>
      <c r="B240" s="138" t="s">
        <v>1872</v>
      </c>
      <c r="C240" s="138" t="n">
        <v>219</v>
      </c>
      <c r="D240" s="138" t="n">
        <v>220</v>
      </c>
      <c r="E240" s="141" t="n">
        <f aca="false">F240/Parâmetros!$C$22</f>
        <v>353</v>
      </c>
      <c r="F240" s="141" t="n">
        <v>70.6</v>
      </c>
      <c r="G240" s="141" t="n">
        <v>541.68</v>
      </c>
      <c r="H240" s="141" t="n">
        <v>0</v>
      </c>
      <c r="I240" s="141" t="n">
        <v>0</v>
      </c>
      <c r="J240" s="141" t="n">
        <v>0</v>
      </c>
      <c r="K240" s="141" t="n">
        <v>0</v>
      </c>
      <c r="L240" s="141" t="n">
        <v>154.8</v>
      </c>
      <c r="M240" s="141" t="n">
        <v>0</v>
      </c>
      <c r="N240" s="141" t="n">
        <v>0</v>
      </c>
      <c r="O240" s="141" t="n">
        <v>4.61</v>
      </c>
    </row>
    <row r="241" customFormat="false" ht="15" hidden="false" customHeight="false" outlineLevel="0" collapsed="false">
      <c r="A241" s="138" t="s">
        <v>1872</v>
      </c>
      <c r="B241" s="138" t="s">
        <v>1873</v>
      </c>
      <c r="C241" s="138" t="n">
        <v>220</v>
      </c>
      <c r="D241" s="138" t="n">
        <v>221</v>
      </c>
      <c r="E241" s="141" t="n">
        <f aca="false">F241/Parâmetros!$C$22</f>
        <v>351.5</v>
      </c>
      <c r="F241" s="141" t="n">
        <v>70.3</v>
      </c>
      <c r="G241" s="141" t="n">
        <v>532.67</v>
      </c>
      <c r="H241" s="141" t="n">
        <v>0</v>
      </c>
      <c r="I241" s="141" t="n">
        <v>0</v>
      </c>
      <c r="J241" s="141" t="n">
        <v>0</v>
      </c>
      <c r="K241" s="141" t="n">
        <v>0</v>
      </c>
      <c r="L241" s="141" t="n">
        <v>154.8</v>
      </c>
      <c r="M241" s="141" t="n">
        <v>0</v>
      </c>
      <c r="N241" s="141" t="n">
        <v>0</v>
      </c>
      <c r="O241" s="141" t="n">
        <v>4.61</v>
      </c>
    </row>
    <row r="242" customFormat="false" ht="15" hidden="false" customHeight="false" outlineLevel="0" collapsed="false">
      <c r="A242" s="138" t="s">
        <v>1873</v>
      </c>
      <c r="B242" s="138" t="s">
        <v>1874</v>
      </c>
      <c r="C242" s="138" t="n">
        <v>221</v>
      </c>
      <c r="D242" s="138" t="n">
        <v>222</v>
      </c>
      <c r="E242" s="141" t="n">
        <f aca="false">F242/Parâmetros!$C$22</f>
        <v>341.15</v>
      </c>
      <c r="F242" s="141" t="n">
        <v>68.23</v>
      </c>
      <c r="G242" s="141" t="n">
        <v>527.81</v>
      </c>
      <c r="H242" s="141" t="n">
        <v>0</v>
      </c>
      <c r="I242" s="141" t="n">
        <v>0</v>
      </c>
      <c r="J242" s="141" t="n">
        <v>0</v>
      </c>
      <c r="K242" s="141" t="n">
        <v>0</v>
      </c>
      <c r="L242" s="141" t="n">
        <v>154.8</v>
      </c>
      <c r="M242" s="141" t="n">
        <v>0</v>
      </c>
      <c r="N242" s="141" t="n">
        <v>0</v>
      </c>
      <c r="O242" s="141" t="n">
        <v>4.61</v>
      </c>
    </row>
    <row r="243" customFormat="false" ht="15" hidden="false" customHeight="false" outlineLevel="0" collapsed="false">
      <c r="A243" s="138" t="s">
        <v>1874</v>
      </c>
      <c r="B243" s="138" t="s">
        <v>1875</v>
      </c>
      <c r="C243" s="138" t="n">
        <v>222</v>
      </c>
      <c r="D243" s="138" t="n">
        <v>223</v>
      </c>
      <c r="E243" s="141" t="n">
        <f aca="false">F243/Parâmetros!$C$22</f>
        <v>327.65</v>
      </c>
      <c r="F243" s="141" t="n">
        <v>65.53</v>
      </c>
      <c r="G243" s="141" t="n">
        <v>491.44</v>
      </c>
      <c r="H243" s="141" t="n">
        <v>0</v>
      </c>
      <c r="I243" s="141" t="n">
        <v>0</v>
      </c>
      <c r="J243" s="141" t="n">
        <v>0</v>
      </c>
      <c r="K243" s="141" t="n">
        <v>0</v>
      </c>
      <c r="L243" s="141" t="n">
        <v>154.8</v>
      </c>
      <c r="M243" s="141" t="n">
        <v>0</v>
      </c>
      <c r="N243" s="141" t="n">
        <v>0</v>
      </c>
      <c r="O243" s="141" t="n">
        <v>4.61</v>
      </c>
    </row>
    <row r="244" customFormat="false" ht="15" hidden="false" customHeight="false" outlineLevel="0" collapsed="false">
      <c r="A244" s="138" t="s">
        <v>1875</v>
      </c>
      <c r="B244" s="138" t="s">
        <v>1876</v>
      </c>
      <c r="C244" s="138" t="n">
        <v>223</v>
      </c>
      <c r="D244" s="138" t="n">
        <v>224</v>
      </c>
      <c r="E244" s="141" t="n">
        <f aca="false">F244/Parâmetros!$C$22</f>
        <v>312.85</v>
      </c>
      <c r="F244" s="141" t="n">
        <v>62.57</v>
      </c>
      <c r="G244" s="141" t="n">
        <v>413.35</v>
      </c>
      <c r="H244" s="141" t="n">
        <v>0</v>
      </c>
      <c r="I244" s="141" t="n">
        <v>0</v>
      </c>
      <c r="J244" s="141" t="n">
        <v>0</v>
      </c>
      <c r="K244" s="141" t="n">
        <v>0</v>
      </c>
      <c r="L244" s="141" t="n">
        <v>154.8</v>
      </c>
      <c r="M244" s="141" t="n">
        <v>0</v>
      </c>
      <c r="N244" s="141" t="n">
        <v>0</v>
      </c>
      <c r="O244" s="141" t="n">
        <v>4.61</v>
      </c>
    </row>
    <row r="245" customFormat="false" ht="15" hidden="false" customHeight="false" outlineLevel="0" collapsed="false">
      <c r="A245" s="138" t="s">
        <v>1876</v>
      </c>
      <c r="B245" s="138" t="s">
        <v>1877</v>
      </c>
      <c r="C245" s="138" t="n">
        <v>224</v>
      </c>
      <c r="D245" s="138" t="n">
        <v>225</v>
      </c>
      <c r="E245" s="141" t="n">
        <f aca="false">F245/Parâmetros!$C$22</f>
        <v>293.5</v>
      </c>
      <c r="F245" s="141" t="n">
        <v>58.7</v>
      </c>
      <c r="G245" s="141" t="n">
        <v>333.36</v>
      </c>
      <c r="H245" s="141" t="n">
        <v>0</v>
      </c>
      <c r="I245" s="141" t="n">
        <v>0</v>
      </c>
      <c r="J245" s="141" t="n">
        <v>0</v>
      </c>
      <c r="K245" s="141" t="n">
        <v>0</v>
      </c>
      <c r="L245" s="141" t="n">
        <v>154.8</v>
      </c>
      <c r="M245" s="141" t="n">
        <v>0</v>
      </c>
      <c r="N245" s="141" t="n">
        <v>0</v>
      </c>
      <c r="O245" s="141" t="n">
        <v>4.61</v>
      </c>
    </row>
    <row r="246" customFormat="false" ht="15" hidden="false" customHeight="false" outlineLevel="0" collapsed="false">
      <c r="A246" s="138" t="s">
        <v>1877</v>
      </c>
      <c r="B246" s="138" t="s">
        <v>1878</v>
      </c>
      <c r="C246" s="138" t="n">
        <v>225</v>
      </c>
      <c r="D246" s="138" t="n">
        <v>226</v>
      </c>
      <c r="E246" s="141" t="n">
        <f aca="false">F246/Parâmetros!$C$22</f>
        <v>278.5</v>
      </c>
      <c r="F246" s="141" t="n">
        <v>55.7</v>
      </c>
      <c r="G246" s="141" t="n">
        <v>301.29</v>
      </c>
      <c r="H246" s="141" t="n">
        <v>0</v>
      </c>
      <c r="I246" s="141" t="n">
        <v>0</v>
      </c>
      <c r="J246" s="141" t="n">
        <v>0</v>
      </c>
      <c r="K246" s="141" t="n">
        <v>1.27</v>
      </c>
      <c r="L246" s="141" t="n">
        <v>154.8</v>
      </c>
      <c r="M246" s="141" t="n">
        <v>0</v>
      </c>
      <c r="N246" s="141" t="n">
        <v>0</v>
      </c>
      <c r="O246" s="141" t="n">
        <v>4.61</v>
      </c>
    </row>
    <row r="247" customFormat="false" ht="15" hidden="false" customHeight="false" outlineLevel="0" collapsed="false">
      <c r="A247" s="138" t="s">
        <v>1878</v>
      </c>
      <c r="B247" s="138" t="s">
        <v>1879</v>
      </c>
      <c r="C247" s="138" t="n">
        <v>226</v>
      </c>
      <c r="D247" s="138" t="n">
        <v>227</v>
      </c>
      <c r="E247" s="141" t="n">
        <f aca="false">F247/Parâmetros!$C$22</f>
        <v>209.9</v>
      </c>
      <c r="F247" s="141" t="n">
        <v>41.98</v>
      </c>
      <c r="G247" s="141" t="n">
        <v>357.53</v>
      </c>
      <c r="H247" s="141" t="n">
        <v>0</v>
      </c>
      <c r="I247" s="141" t="n">
        <v>0</v>
      </c>
      <c r="J247" s="141" t="n">
        <v>0</v>
      </c>
      <c r="K247" s="141" t="n">
        <v>1.02</v>
      </c>
      <c r="L247" s="141" t="n">
        <v>154.8</v>
      </c>
      <c r="M247" s="141" t="n">
        <v>0</v>
      </c>
      <c r="N247" s="141" t="n">
        <v>0</v>
      </c>
      <c r="O247" s="141" t="n">
        <v>4.61</v>
      </c>
    </row>
    <row r="248" customFormat="false" ht="15" hidden="false" customHeight="false" outlineLevel="0" collapsed="false">
      <c r="A248" s="138" t="s">
        <v>1879</v>
      </c>
      <c r="B248" s="138" t="s">
        <v>1880</v>
      </c>
      <c r="C248" s="138" t="n">
        <v>227</v>
      </c>
      <c r="D248" s="138" t="n">
        <v>228</v>
      </c>
      <c r="E248" s="141" t="n">
        <f aca="false">F248/Parâmetros!$C$22</f>
        <v>234.05</v>
      </c>
      <c r="F248" s="141" t="n">
        <v>46.81</v>
      </c>
      <c r="G248" s="141" t="n">
        <v>470.22</v>
      </c>
      <c r="H248" s="141" t="n">
        <v>0</v>
      </c>
      <c r="I248" s="141" t="n">
        <v>0</v>
      </c>
      <c r="J248" s="141" t="n">
        <v>0</v>
      </c>
      <c r="K248" s="141" t="n">
        <v>0.5</v>
      </c>
      <c r="L248" s="141" t="n">
        <v>154.8</v>
      </c>
      <c r="M248" s="141" t="n">
        <v>0</v>
      </c>
      <c r="N248" s="141" t="n">
        <v>0</v>
      </c>
      <c r="O248" s="141" t="n">
        <v>4.61</v>
      </c>
    </row>
    <row r="249" customFormat="false" ht="15" hidden="false" customHeight="false" outlineLevel="0" collapsed="false">
      <c r="A249" s="138" t="s">
        <v>1880</v>
      </c>
      <c r="B249" s="138" t="s">
        <v>1881</v>
      </c>
      <c r="C249" s="138" t="n">
        <v>228</v>
      </c>
      <c r="D249" s="138" t="n">
        <v>229</v>
      </c>
      <c r="E249" s="141" t="n">
        <f aca="false">F249/Parâmetros!$C$22</f>
        <v>335.3</v>
      </c>
      <c r="F249" s="141" t="n">
        <v>67.06</v>
      </c>
      <c r="G249" s="141" t="n">
        <v>575.37</v>
      </c>
      <c r="H249" s="141" t="n">
        <v>0</v>
      </c>
      <c r="I249" s="141" t="n">
        <v>0</v>
      </c>
      <c r="J249" s="141" t="n">
        <v>0</v>
      </c>
      <c r="K249" s="141" t="n">
        <v>0.76</v>
      </c>
      <c r="L249" s="141" t="n">
        <v>154.8</v>
      </c>
      <c r="M249" s="141" t="n">
        <v>0</v>
      </c>
      <c r="N249" s="141" t="n">
        <v>0</v>
      </c>
      <c r="O249" s="141" t="n">
        <v>4.61</v>
      </c>
    </row>
    <row r="250" customFormat="false" ht="15" hidden="false" customHeight="false" outlineLevel="0" collapsed="false">
      <c r="A250" s="138" t="s">
        <v>1881</v>
      </c>
      <c r="B250" s="138" t="s">
        <v>1882</v>
      </c>
      <c r="C250" s="138" t="n">
        <v>229</v>
      </c>
      <c r="D250" s="138" t="n">
        <v>230</v>
      </c>
      <c r="E250" s="141" t="n">
        <f aca="false">F250/Parâmetros!$C$22</f>
        <v>342.6</v>
      </c>
      <c r="F250" s="141" t="n">
        <v>68.52</v>
      </c>
      <c r="G250" s="141" t="n">
        <v>625.42</v>
      </c>
      <c r="H250" s="141" t="n">
        <v>0</v>
      </c>
      <c r="I250" s="141" t="n">
        <v>0</v>
      </c>
      <c r="J250" s="141" t="n">
        <v>0</v>
      </c>
      <c r="K250" s="141" t="n">
        <v>0</v>
      </c>
      <c r="L250" s="141" t="n">
        <v>154.8</v>
      </c>
      <c r="M250" s="141" t="n">
        <v>0</v>
      </c>
      <c r="N250" s="141" t="n">
        <v>0</v>
      </c>
      <c r="O250" s="141" t="n">
        <v>4.61</v>
      </c>
    </row>
    <row r="251" customFormat="false" ht="15" hidden="false" customHeight="false" outlineLevel="0" collapsed="false">
      <c r="A251" s="138" t="s">
        <v>1882</v>
      </c>
      <c r="B251" s="138" t="s">
        <v>1883</v>
      </c>
      <c r="C251" s="138" t="n">
        <v>230</v>
      </c>
      <c r="D251" s="138" t="n">
        <v>231</v>
      </c>
      <c r="E251" s="141" t="n">
        <f aca="false">F251/Parâmetros!$C$22</f>
        <v>318.6</v>
      </c>
      <c r="F251" s="141" t="n">
        <v>63.72</v>
      </c>
      <c r="G251" s="141" t="n">
        <v>597.15</v>
      </c>
      <c r="H251" s="141" t="n">
        <v>0</v>
      </c>
      <c r="I251" s="141" t="n">
        <v>0</v>
      </c>
      <c r="J251" s="141" t="n">
        <v>0</v>
      </c>
      <c r="K251" s="141" t="n">
        <v>0</v>
      </c>
      <c r="L251" s="141" t="n">
        <v>154.8</v>
      </c>
      <c r="M251" s="141" t="n">
        <v>0</v>
      </c>
      <c r="N251" s="141" t="n">
        <v>0</v>
      </c>
      <c r="O251" s="141" t="n">
        <v>4.61</v>
      </c>
    </row>
    <row r="252" customFormat="false" ht="15" hidden="false" customHeight="false" outlineLevel="0" collapsed="false">
      <c r="A252" s="138" t="s">
        <v>1883</v>
      </c>
      <c r="B252" s="138" t="s">
        <v>1884</v>
      </c>
      <c r="C252" s="138" t="n">
        <v>231</v>
      </c>
      <c r="D252" s="138" t="n">
        <v>232</v>
      </c>
      <c r="E252" s="141" t="n">
        <f aca="false">F252/Parâmetros!$C$22</f>
        <v>311.2</v>
      </c>
      <c r="F252" s="141" t="n">
        <v>62.24</v>
      </c>
      <c r="G252" s="141" t="n">
        <v>540.06</v>
      </c>
      <c r="H252" s="141" t="n">
        <v>0</v>
      </c>
      <c r="I252" s="141" t="n">
        <v>0</v>
      </c>
      <c r="J252" s="141" t="n">
        <v>0</v>
      </c>
      <c r="K252" s="141" t="n">
        <v>0</v>
      </c>
      <c r="L252" s="141" t="n">
        <v>154.8</v>
      </c>
      <c r="M252" s="141" t="n">
        <v>0</v>
      </c>
      <c r="N252" s="141" t="n">
        <v>0</v>
      </c>
      <c r="O252" s="141" t="n">
        <v>4.61</v>
      </c>
    </row>
    <row r="253" customFormat="false" ht="15" hidden="false" customHeight="false" outlineLevel="0" collapsed="false">
      <c r="A253" s="138" t="s">
        <v>1884</v>
      </c>
      <c r="B253" s="138" t="s">
        <v>1885</v>
      </c>
      <c r="C253" s="138" t="n">
        <v>232</v>
      </c>
      <c r="D253" s="138" t="n">
        <v>233</v>
      </c>
      <c r="E253" s="141" t="n">
        <f aca="false">F253/Parâmetros!$C$22</f>
        <v>296.35</v>
      </c>
      <c r="F253" s="141" t="n">
        <v>59.27</v>
      </c>
      <c r="G253" s="141" t="n">
        <v>424.43</v>
      </c>
      <c r="H253" s="141" t="n">
        <v>0</v>
      </c>
      <c r="I253" s="141" t="n">
        <v>0</v>
      </c>
      <c r="J253" s="141" t="n">
        <v>0</v>
      </c>
      <c r="K253" s="141" t="n">
        <v>0</v>
      </c>
      <c r="L253" s="141" t="n">
        <v>154.8</v>
      </c>
      <c r="M253" s="141" t="n">
        <v>0</v>
      </c>
      <c r="N253" s="141" t="n">
        <v>0</v>
      </c>
      <c r="O253" s="141" t="n">
        <v>4.61</v>
      </c>
    </row>
    <row r="254" customFormat="false" ht="15" hidden="false" customHeight="false" outlineLevel="0" collapsed="false">
      <c r="A254" s="138" t="s">
        <v>1885</v>
      </c>
      <c r="B254" s="138" t="s">
        <v>1886</v>
      </c>
      <c r="C254" s="138" t="n">
        <v>233</v>
      </c>
      <c r="D254" s="138" t="n">
        <v>234</v>
      </c>
      <c r="E254" s="141" t="n">
        <f aca="false">F254/Parâmetros!$C$22</f>
        <v>265.9</v>
      </c>
      <c r="F254" s="141" t="n">
        <v>53.18</v>
      </c>
      <c r="G254" s="141" t="n">
        <v>169.32</v>
      </c>
      <c r="H254" s="141" t="n">
        <v>0</v>
      </c>
      <c r="I254" s="141" t="n">
        <v>0</v>
      </c>
      <c r="J254" s="141" t="n">
        <v>0</v>
      </c>
      <c r="K254" s="141" t="n">
        <v>22.26</v>
      </c>
      <c r="L254" s="141" t="n">
        <v>162.76</v>
      </c>
      <c r="M254" s="141" t="n">
        <v>0</v>
      </c>
      <c r="N254" s="141" t="n">
        <v>0</v>
      </c>
      <c r="O254" s="141" t="n">
        <v>4.32</v>
      </c>
    </row>
    <row r="255" customFormat="false" ht="15" hidden="false" customHeight="false" outlineLevel="0" collapsed="false">
      <c r="A255" s="138" t="s">
        <v>1886</v>
      </c>
      <c r="B255" s="138" t="s">
        <v>1887</v>
      </c>
      <c r="C255" s="138" t="n">
        <v>234</v>
      </c>
      <c r="D255" s="138" t="n">
        <v>235</v>
      </c>
      <c r="E255" s="141" t="n">
        <f aca="false">F255/Parâmetros!$C$22</f>
        <v>295.35</v>
      </c>
      <c r="F255" s="141" t="n">
        <v>59.07</v>
      </c>
      <c r="G255" s="141" t="n">
        <v>1.44</v>
      </c>
      <c r="H255" s="141" t="n">
        <v>0</v>
      </c>
      <c r="I255" s="141" t="n">
        <v>0</v>
      </c>
      <c r="J255" s="141" t="n">
        <v>0</v>
      </c>
      <c r="K255" s="141" t="n">
        <v>169.09</v>
      </c>
      <c r="L255" s="141" t="n">
        <v>173.56</v>
      </c>
      <c r="M255" s="141" t="n">
        <v>0</v>
      </c>
      <c r="N255" s="141" t="n">
        <v>0</v>
      </c>
      <c r="O255" s="141" t="n">
        <v>4.03</v>
      </c>
    </row>
    <row r="256" customFormat="false" ht="15" hidden="false" customHeight="false" outlineLevel="0" collapsed="false">
      <c r="A256" s="138" t="s">
        <v>1887</v>
      </c>
      <c r="B256" s="138" t="s">
        <v>3785</v>
      </c>
      <c r="C256" s="138" t="n">
        <v>235</v>
      </c>
      <c r="D256" s="138" t="n">
        <v>235.4415</v>
      </c>
      <c r="E256" s="141" t="n">
        <f aca="false">F256/Parâmetros!$C$22</f>
        <v>166.1</v>
      </c>
      <c r="F256" s="141" t="n">
        <v>33.22</v>
      </c>
      <c r="G256" s="141" t="n">
        <v>0</v>
      </c>
      <c r="H256" s="141" t="n">
        <v>0</v>
      </c>
      <c r="I256" s="141" t="n">
        <v>0</v>
      </c>
      <c r="J256" s="141" t="n">
        <v>0</v>
      </c>
      <c r="K256" s="141" t="n">
        <v>147.13</v>
      </c>
      <c r="L256" s="141" t="n">
        <v>39.06</v>
      </c>
      <c r="M256" s="141" t="n">
        <v>0</v>
      </c>
      <c r="N256" s="141" t="n">
        <v>0</v>
      </c>
      <c r="O256" s="141" t="n">
        <v>0</v>
      </c>
    </row>
    <row r="257" customFormat="false" ht="15" hidden="false" customHeight="false" outlineLevel="0" collapsed="false">
      <c r="A257" s="138" t="s">
        <v>3785</v>
      </c>
      <c r="B257" s="138" t="s">
        <v>3786</v>
      </c>
      <c r="C257" s="138" t="n">
        <v>235.4415</v>
      </c>
      <c r="D257" s="138" t="n">
        <v>235.7205</v>
      </c>
      <c r="E257" s="141" t="n">
        <f aca="false">F257/Parâmetros!$C$22</f>
        <v>70.2</v>
      </c>
      <c r="F257" s="141" t="n">
        <v>14.04</v>
      </c>
      <c r="G257" s="141" t="n">
        <v>0</v>
      </c>
      <c r="H257" s="141" t="n">
        <v>0</v>
      </c>
      <c r="I257" s="141" t="n">
        <v>0</v>
      </c>
      <c r="J257" s="141" t="n">
        <v>0</v>
      </c>
      <c r="K257" s="141" t="n">
        <v>51.98</v>
      </c>
      <c r="L257" s="141" t="n">
        <v>0.09</v>
      </c>
      <c r="M257" s="141" t="n">
        <v>0</v>
      </c>
      <c r="N257" s="141" t="n">
        <v>0</v>
      </c>
      <c r="O257" s="141" t="n">
        <v>0</v>
      </c>
    </row>
    <row r="258" customFormat="false" ht="15" hidden="false" customHeight="false" outlineLevel="0" collapsed="false">
      <c r="A258" s="138" t="s">
        <v>3786</v>
      </c>
      <c r="B258" s="138" t="s">
        <v>1889</v>
      </c>
      <c r="C258" s="138" t="n">
        <v>235.7205</v>
      </c>
      <c r="D258" s="138" t="n">
        <v>236</v>
      </c>
      <c r="E258" s="141" t="n">
        <f aca="false">F258/Parâmetros!$C$22</f>
        <v>11.1</v>
      </c>
      <c r="F258" s="141" t="n">
        <v>2.22</v>
      </c>
      <c r="G258" s="141" t="n">
        <v>0</v>
      </c>
      <c r="H258" s="141" t="n">
        <v>0</v>
      </c>
      <c r="I258" s="141" t="n">
        <v>0</v>
      </c>
      <c r="J258" s="141" t="n">
        <v>0</v>
      </c>
      <c r="K258" s="141" t="n">
        <v>0</v>
      </c>
      <c r="L258" s="141" t="n">
        <v>0</v>
      </c>
      <c r="M258" s="141" t="n">
        <v>0</v>
      </c>
      <c r="N258" s="141" t="n">
        <v>0</v>
      </c>
      <c r="O258" s="141" t="n">
        <v>2.02</v>
      </c>
    </row>
    <row r="259" customFormat="false" ht="15" hidden="false" customHeight="false" outlineLevel="0" collapsed="false">
      <c r="A259" s="138" t="s">
        <v>1889</v>
      </c>
      <c r="B259" s="138" t="s">
        <v>3787</v>
      </c>
      <c r="C259" s="138" t="n">
        <v>236</v>
      </c>
      <c r="D259" s="138" t="n">
        <v>236.638</v>
      </c>
      <c r="E259" s="141" t="n">
        <f aca="false">F259/Parâmetros!$C$22</f>
        <v>34.95</v>
      </c>
      <c r="F259" s="141" t="n">
        <v>6.99</v>
      </c>
      <c r="G259" s="141" t="n">
        <v>0</v>
      </c>
      <c r="H259" s="141" t="n">
        <v>0</v>
      </c>
      <c r="I259" s="141" t="n">
        <v>0</v>
      </c>
      <c r="J259" s="141" t="n">
        <v>0</v>
      </c>
      <c r="K259" s="141" t="n">
        <v>0</v>
      </c>
      <c r="L259" s="141" t="n">
        <v>0</v>
      </c>
      <c r="M259" s="141" t="n">
        <v>0</v>
      </c>
      <c r="N259" s="141" t="n">
        <v>0</v>
      </c>
      <c r="O259" s="141" t="n">
        <v>0</v>
      </c>
    </row>
    <row r="260" customFormat="false" ht="15" hidden="false" customHeight="false" outlineLevel="0" collapsed="false">
      <c r="A260" s="138" t="s">
        <v>3787</v>
      </c>
      <c r="B260" s="138" t="s">
        <v>1890</v>
      </c>
      <c r="C260" s="138" t="n">
        <v>236.638</v>
      </c>
      <c r="D260" s="138" t="n">
        <v>237</v>
      </c>
      <c r="E260" s="141" t="n">
        <f aca="false">F260/Parâmetros!$C$22</f>
        <v>104.1</v>
      </c>
      <c r="F260" s="141" t="n">
        <v>20.82</v>
      </c>
      <c r="G260" s="141" t="n">
        <v>0</v>
      </c>
      <c r="H260" s="141" t="n">
        <v>0</v>
      </c>
      <c r="I260" s="141" t="n">
        <v>0</v>
      </c>
      <c r="J260" s="141" t="n">
        <v>0</v>
      </c>
      <c r="K260" s="141" t="n">
        <v>171.85</v>
      </c>
      <c r="L260" s="141" t="n">
        <v>0</v>
      </c>
      <c r="M260" s="141" t="n">
        <v>0</v>
      </c>
      <c r="N260" s="141" t="n">
        <v>0</v>
      </c>
      <c r="O260" s="141" t="n">
        <v>0</v>
      </c>
    </row>
    <row r="261" customFormat="false" ht="15" hidden="false" customHeight="false" outlineLevel="0" collapsed="false">
      <c r="A261" s="138" t="s">
        <v>1890</v>
      </c>
      <c r="B261" s="138" t="s">
        <v>1891</v>
      </c>
      <c r="C261" s="138" t="n">
        <v>237</v>
      </c>
      <c r="D261" s="138" t="n">
        <v>238</v>
      </c>
      <c r="E261" s="141" t="n">
        <f aca="false">F261/Parâmetros!$C$22</f>
        <v>420.35</v>
      </c>
      <c r="F261" s="141" t="n">
        <v>84.07</v>
      </c>
      <c r="G261" s="141" t="n">
        <v>0</v>
      </c>
      <c r="H261" s="141" t="n">
        <v>0</v>
      </c>
      <c r="I261" s="141" t="n">
        <v>0</v>
      </c>
      <c r="J261" s="141" t="n">
        <v>0</v>
      </c>
      <c r="K261" s="141" t="n">
        <v>654.52</v>
      </c>
      <c r="L261" s="141" t="n">
        <v>88.2</v>
      </c>
      <c r="M261" s="141" t="n">
        <v>0</v>
      </c>
      <c r="N261" s="141" t="n">
        <v>0</v>
      </c>
      <c r="O261" s="141" t="n">
        <v>2.02</v>
      </c>
    </row>
    <row r="262" customFormat="false" ht="15" hidden="false" customHeight="false" outlineLevel="0" collapsed="false">
      <c r="A262" s="138" t="s">
        <v>1891</v>
      </c>
      <c r="B262" s="138" t="s">
        <v>1892</v>
      </c>
      <c r="C262" s="138" t="n">
        <v>238</v>
      </c>
      <c r="D262" s="138" t="n">
        <v>239</v>
      </c>
      <c r="E262" s="141" t="n">
        <f aca="false">F262/Parâmetros!$C$22</f>
        <v>334.95</v>
      </c>
      <c r="F262" s="141" t="n">
        <v>66.99</v>
      </c>
      <c r="G262" s="141" t="n">
        <v>0</v>
      </c>
      <c r="H262" s="141" t="n">
        <v>0</v>
      </c>
      <c r="I262" s="141" t="n">
        <v>0</v>
      </c>
      <c r="J262" s="141" t="n">
        <v>0</v>
      </c>
      <c r="K262" s="141" t="n">
        <v>220.93</v>
      </c>
      <c r="L262" s="141" t="n">
        <v>175.09</v>
      </c>
      <c r="M262" s="141" t="n">
        <v>0</v>
      </c>
      <c r="N262" s="141" t="n">
        <v>0</v>
      </c>
      <c r="O262" s="141" t="n">
        <v>4.03</v>
      </c>
    </row>
    <row r="263" customFormat="false" ht="15" hidden="false" customHeight="false" outlineLevel="0" collapsed="false">
      <c r="A263" s="138" t="s">
        <v>1892</v>
      </c>
      <c r="B263" s="138" t="s">
        <v>1893</v>
      </c>
      <c r="C263" s="138" t="n">
        <v>239</v>
      </c>
      <c r="D263" s="138" t="n">
        <v>240</v>
      </c>
      <c r="E263" s="141" t="n">
        <f aca="false">F263/Parâmetros!$C$22</f>
        <v>287.75</v>
      </c>
      <c r="F263" s="141" t="n">
        <v>57.55</v>
      </c>
      <c r="G263" s="141" t="n">
        <v>89.88</v>
      </c>
      <c r="H263" s="141" t="n">
        <v>0</v>
      </c>
      <c r="I263" s="141" t="n">
        <v>0</v>
      </c>
      <c r="J263" s="141" t="n">
        <v>0</v>
      </c>
      <c r="K263" s="141" t="n">
        <v>41.96</v>
      </c>
      <c r="L263" s="141" t="n">
        <v>164.29</v>
      </c>
      <c r="M263" s="141" t="n">
        <v>0</v>
      </c>
      <c r="N263" s="141" t="n">
        <v>0</v>
      </c>
      <c r="O263" s="141" t="n">
        <v>4.32</v>
      </c>
    </row>
    <row r="264" customFormat="false" ht="15" hidden="false" customHeight="false" outlineLevel="0" collapsed="false">
      <c r="A264" s="138" t="s">
        <v>1893</v>
      </c>
      <c r="B264" s="138" t="s">
        <v>1894</v>
      </c>
      <c r="C264" s="138" t="n">
        <v>240</v>
      </c>
      <c r="D264" s="138" t="n">
        <v>241</v>
      </c>
      <c r="E264" s="141" t="n">
        <f aca="false">F264/Parâmetros!$C$22</f>
        <v>305.6</v>
      </c>
      <c r="F264" s="141" t="n">
        <v>61.12</v>
      </c>
      <c r="G264" s="141" t="n">
        <v>295.68</v>
      </c>
      <c r="H264" s="141" t="n">
        <v>0</v>
      </c>
      <c r="I264" s="141" t="n">
        <v>0</v>
      </c>
      <c r="J264" s="141" t="n">
        <v>0</v>
      </c>
      <c r="K264" s="141" t="n">
        <v>1.15</v>
      </c>
      <c r="L264" s="141" t="n">
        <v>154.8</v>
      </c>
      <c r="M264" s="141" t="n">
        <v>0</v>
      </c>
      <c r="N264" s="141" t="n">
        <v>0</v>
      </c>
      <c r="O264" s="141" t="n">
        <v>4.61</v>
      </c>
    </row>
    <row r="265" customFormat="false" ht="15" hidden="false" customHeight="false" outlineLevel="0" collapsed="false">
      <c r="A265" s="138" t="s">
        <v>1894</v>
      </c>
      <c r="B265" s="138" t="s">
        <v>1895</v>
      </c>
      <c r="C265" s="138" t="n">
        <v>241</v>
      </c>
      <c r="D265" s="138" t="n">
        <v>242</v>
      </c>
      <c r="E265" s="141" t="n">
        <f aca="false">F265/Parâmetros!$C$22</f>
        <v>337.25</v>
      </c>
      <c r="F265" s="141" t="n">
        <v>67.45</v>
      </c>
      <c r="G265" s="141" t="n">
        <v>447.39</v>
      </c>
      <c r="H265" s="141" t="n">
        <v>0</v>
      </c>
      <c r="I265" s="141" t="n">
        <v>0</v>
      </c>
      <c r="J265" s="141" t="n">
        <v>0</v>
      </c>
      <c r="K265" s="141" t="n">
        <v>0</v>
      </c>
      <c r="L265" s="141" t="n">
        <v>154.8</v>
      </c>
      <c r="M265" s="141" t="n">
        <v>0</v>
      </c>
      <c r="N265" s="141" t="n">
        <v>0</v>
      </c>
      <c r="O265" s="141" t="n">
        <v>4.61</v>
      </c>
    </row>
    <row r="266" customFormat="false" ht="15" hidden="false" customHeight="false" outlineLevel="0" collapsed="false">
      <c r="A266" s="138" t="s">
        <v>1895</v>
      </c>
      <c r="B266" s="138" t="s">
        <v>1896</v>
      </c>
      <c r="C266" s="138" t="n">
        <v>242</v>
      </c>
      <c r="D266" s="138" t="n">
        <v>243</v>
      </c>
      <c r="E266" s="141" t="n">
        <f aca="false">F266/Parâmetros!$C$22</f>
        <v>340</v>
      </c>
      <c r="F266" s="141" t="n">
        <v>68</v>
      </c>
      <c r="G266" s="141" t="n">
        <v>499.05</v>
      </c>
      <c r="H266" s="141" t="n">
        <v>0</v>
      </c>
      <c r="I266" s="141" t="n">
        <v>0</v>
      </c>
      <c r="J266" s="141" t="n">
        <v>0</v>
      </c>
      <c r="K266" s="141" t="n">
        <v>0</v>
      </c>
      <c r="L266" s="141" t="n">
        <v>154.8</v>
      </c>
      <c r="M266" s="141" t="n">
        <v>0</v>
      </c>
      <c r="N266" s="141" t="n">
        <v>0</v>
      </c>
      <c r="O266" s="141" t="n">
        <v>4.61</v>
      </c>
    </row>
    <row r="267" customFormat="false" ht="15" hidden="false" customHeight="false" outlineLevel="0" collapsed="false">
      <c r="A267" s="138" t="s">
        <v>1896</v>
      </c>
      <c r="B267" s="138" t="s">
        <v>1897</v>
      </c>
      <c r="C267" s="138" t="n">
        <v>243</v>
      </c>
      <c r="D267" s="138" t="n">
        <v>244</v>
      </c>
      <c r="E267" s="141" t="n">
        <f aca="false">F267/Parâmetros!$C$22</f>
        <v>334.1</v>
      </c>
      <c r="F267" s="141" t="n">
        <v>66.82</v>
      </c>
      <c r="G267" s="141" t="n">
        <v>514.31</v>
      </c>
      <c r="H267" s="141" t="n">
        <v>0</v>
      </c>
      <c r="I267" s="141" t="n">
        <v>0</v>
      </c>
      <c r="J267" s="141" t="n">
        <v>0</v>
      </c>
      <c r="K267" s="141" t="n">
        <v>0</v>
      </c>
      <c r="L267" s="141" t="n">
        <v>154.8</v>
      </c>
      <c r="M267" s="141" t="n">
        <v>0</v>
      </c>
      <c r="N267" s="141" t="n">
        <v>0</v>
      </c>
      <c r="O267" s="141" t="n">
        <v>4.61</v>
      </c>
    </row>
    <row r="268" customFormat="false" ht="15" hidden="false" customHeight="false" outlineLevel="0" collapsed="false">
      <c r="A268" s="138" t="s">
        <v>1897</v>
      </c>
      <c r="B268" s="138" t="s">
        <v>1898</v>
      </c>
      <c r="C268" s="138" t="n">
        <v>244</v>
      </c>
      <c r="D268" s="138" t="n">
        <v>245</v>
      </c>
      <c r="E268" s="141" t="n">
        <f aca="false">F268/Parâmetros!$C$22</f>
        <v>334.1</v>
      </c>
      <c r="F268" s="141" t="n">
        <v>66.82</v>
      </c>
      <c r="G268" s="141" t="n">
        <v>463.89</v>
      </c>
      <c r="H268" s="141" t="n">
        <v>0</v>
      </c>
      <c r="I268" s="141" t="n">
        <v>0</v>
      </c>
      <c r="J268" s="141" t="n">
        <v>0</v>
      </c>
      <c r="K268" s="141" t="n">
        <v>0</v>
      </c>
      <c r="L268" s="141" t="n">
        <v>154.8</v>
      </c>
      <c r="M268" s="141" t="n">
        <v>0</v>
      </c>
      <c r="N268" s="141" t="n">
        <v>0</v>
      </c>
      <c r="O268" s="141" t="n">
        <v>4.61</v>
      </c>
    </row>
    <row r="269" customFormat="false" ht="15" hidden="false" customHeight="false" outlineLevel="0" collapsed="false">
      <c r="A269" s="138" t="s">
        <v>1898</v>
      </c>
      <c r="B269" s="138" t="s">
        <v>1899</v>
      </c>
      <c r="C269" s="138" t="n">
        <v>245</v>
      </c>
      <c r="D269" s="138" t="n">
        <v>246</v>
      </c>
      <c r="E269" s="141" t="n">
        <f aca="false">F269/Parâmetros!$C$22</f>
        <v>306.75</v>
      </c>
      <c r="F269" s="141" t="n">
        <v>61.35</v>
      </c>
      <c r="G269" s="141" t="n">
        <v>304.62</v>
      </c>
      <c r="H269" s="141" t="n">
        <v>0</v>
      </c>
      <c r="I269" s="141" t="n">
        <v>0</v>
      </c>
      <c r="J269" s="141" t="n">
        <v>0</v>
      </c>
      <c r="K269" s="141" t="n">
        <v>0</v>
      </c>
      <c r="L269" s="141" t="n">
        <v>154.8</v>
      </c>
      <c r="M269" s="141" t="n">
        <v>0</v>
      </c>
      <c r="N269" s="141" t="n">
        <v>0</v>
      </c>
      <c r="O269" s="141" t="n">
        <v>4.61</v>
      </c>
    </row>
    <row r="270" customFormat="false" ht="15" hidden="false" customHeight="false" outlineLevel="0" collapsed="false">
      <c r="A270" s="138" t="s">
        <v>1899</v>
      </c>
      <c r="B270" s="138" t="s">
        <v>1900</v>
      </c>
      <c r="C270" s="138" t="n">
        <v>246</v>
      </c>
      <c r="D270" s="138" t="n">
        <v>247</v>
      </c>
      <c r="E270" s="141" t="n">
        <f aca="false">F270/Parâmetros!$C$22</f>
        <v>271.65</v>
      </c>
      <c r="F270" s="141" t="n">
        <v>54.33</v>
      </c>
      <c r="G270" s="141" t="n">
        <v>113.64</v>
      </c>
      <c r="H270" s="141" t="n">
        <v>0</v>
      </c>
      <c r="I270" s="141" t="n">
        <v>0</v>
      </c>
      <c r="J270" s="141" t="n">
        <v>0</v>
      </c>
      <c r="K270" s="141" t="n">
        <v>8.27</v>
      </c>
      <c r="L270" s="141" t="n">
        <v>159.78</v>
      </c>
      <c r="M270" s="141" t="n">
        <v>0</v>
      </c>
      <c r="N270" s="141" t="n">
        <v>0</v>
      </c>
      <c r="O270" s="141" t="n">
        <v>4.32</v>
      </c>
    </row>
    <row r="271" customFormat="false" ht="15" hidden="false" customHeight="false" outlineLevel="0" collapsed="false">
      <c r="A271" s="138" t="s">
        <v>1900</v>
      </c>
      <c r="B271" s="138" t="s">
        <v>1901</v>
      </c>
      <c r="C271" s="138" t="n">
        <v>247</v>
      </c>
      <c r="D271" s="138" t="n">
        <v>248</v>
      </c>
      <c r="E271" s="141" t="n">
        <f aca="false">F271/Parâmetros!$C$22</f>
        <v>265.4</v>
      </c>
      <c r="F271" s="141" t="n">
        <v>53.08</v>
      </c>
      <c r="G271" s="141" t="n">
        <v>16.15</v>
      </c>
      <c r="H271" s="141" t="n">
        <v>0</v>
      </c>
      <c r="I271" s="141" t="n">
        <v>0</v>
      </c>
      <c r="J271" s="141" t="n">
        <v>0</v>
      </c>
      <c r="K271" s="141" t="n">
        <v>54.83</v>
      </c>
      <c r="L271" s="141" t="n">
        <v>167.61</v>
      </c>
      <c r="M271" s="141" t="n">
        <v>0</v>
      </c>
      <c r="N271" s="141" t="n">
        <v>0</v>
      </c>
      <c r="O271" s="141" t="n">
        <v>4.03</v>
      </c>
    </row>
    <row r="272" customFormat="false" ht="15" hidden="false" customHeight="false" outlineLevel="0" collapsed="false">
      <c r="A272" s="138" t="s">
        <v>1901</v>
      </c>
      <c r="B272" s="138" t="s">
        <v>1902</v>
      </c>
      <c r="C272" s="138" t="n">
        <v>248</v>
      </c>
      <c r="D272" s="138" t="n">
        <v>249</v>
      </c>
      <c r="E272" s="141" t="n">
        <f aca="false">F272/Parâmetros!$C$22</f>
        <v>264.85</v>
      </c>
      <c r="F272" s="141" t="n">
        <v>52.97</v>
      </c>
      <c r="G272" s="141" t="n">
        <v>0.83</v>
      </c>
      <c r="H272" s="141" t="n">
        <v>0</v>
      </c>
      <c r="I272" s="141" t="n">
        <v>0</v>
      </c>
      <c r="J272" s="141" t="n">
        <v>0</v>
      </c>
      <c r="K272" s="141" t="n">
        <v>140.04</v>
      </c>
      <c r="L272" s="141" t="n">
        <v>170.52</v>
      </c>
      <c r="M272" s="141" t="n">
        <v>0</v>
      </c>
      <c r="N272" s="141" t="n">
        <v>0</v>
      </c>
      <c r="O272" s="141" t="n">
        <v>4.03</v>
      </c>
    </row>
    <row r="273" customFormat="false" ht="15" hidden="false" customHeight="false" outlineLevel="0" collapsed="false">
      <c r="A273" s="138" t="s">
        <v>1902</v>
      </c>
      <c r="B273" s="138" t="s">
        <v>1903</v>
      </c>
      <c r="C273" s="138" t="n">
        <v>249</v>
      </c>
      <c r="D273" s="138" t="n">
        <v>250</v>
      </c>
      <c r="E273" s="141" t="n">
        <f aca="false">F273/Parâmetros!$C$22</f>
        <v>264.05</v>
      </c>
      <c r="F273" s="141" t="n">
        <v>52.81</v>
      </c>
      <c r="G273" s="141" t="n">
        <v>0.79</v>
      </c>
      <c r="H273" s="141" t="n">
        <v>0</v>
      </c>
      <c r="I273" s="141" t="n">
        <v>0</v>
      </c>
      <c r="J273" s="141" t="n">
        <v>0</v>
      </c>
      <c r="K273" s="141" t="n">
        <v>189.33</v>
      </c>
      <c r="L273" s="141" t="n">
        <v>168.66</v>
      </c>
      <c r="M273" s="141" t="n">
        <v>0</v>
      </c>
      <c r="N273" s="141" t="n">
        <v>0</v>
      </c>
      <c r="O273" s="141" t="n">
        <v>4.02</v>
      </c>
    </row>
    <row r="274" customFormat="false" ht="15" hidden="false" customHeight="false" outlineLevel="0" collapsed="false">
      <c r="A274" s="138" t="s">
        <v>1903</v>
      </c>
      <c r="B274" s="138" t="s">
        <v>1904</v>
      </c>
      <c r="C274" s="138" t="n">
        <v>250</v>
      </c>
      <c r="D274" s="138" t="n">
        <v>251</v>
      </c>
      <c r="E274" s="141" t="n">
        <f aca="false">F274/Parâmetros!$C$22</f>
        <v>279.9</v>
      </c>
      <c r="F274" s="141" t="n">
        <v>55.98</v>
      </c>
      <c r="G274" s="141" t="n">
        <v>0.05</v>
      </c>
      <c r="H274" s="141" t="n">
        <v>0</v>
      </c>
      <c r="I274" s="141" t="n">
        <v>0</v>
      </c>
      <c r="J274" s="141" t="n">
        <v>0</v>
      </c>
      <c r="K274" s="141" t="n">
        <v>209.45</v>
      </c>
      <c r="L274" s="141" t="n">
        <v>172.59</v>
      </c>
      <c r="M274" s="141" t="n">
        <v>0</v>
      </c>
      <c r="N274" s="141" t="n">
        <v>0</v>
      </c>
      <c r="O274" s="141" t="n">
        <v>4.02</v>
      </c>
    </row>
    <row r="275" customFormat="false" ht="15" hidden="false" customHeight="false" outlineLevel="0" collapsed="false">
      <c r="A275" s="138" t="s">
        <v>1904</v>
      </c>
      <c r="B275" s="138" t="s">
        <v>1905</v>
      </c>
      <c r="C275" s="138" t="n">
        <v>251</v>
      </c>
      <c r="D275" s="138" t="n">
        <v>252</v>
      </c>
      <c r="E275" s="141" t="n">
        <f aca="false">F275/Parâmetros!$C$22</f>
        <v>309.2</v>
      </c>
      <c r="F275" s="141" t="n">
        <v>61.84</v>
      </c>
      <c r="G275" s="141" t="n">
        <v>0.99</v>
      </c>
      <c r="H275" s="141" t="n">
        <v>0</v>
      </c>
      <c r="I275" s="141" t="n">
        <v>0</v>
      </c>
      <c r="J275" s="141" t="n">
        <v>0</v>
      </c>
      <c r="K275" s="141" t="n">
        <v>215.98</v>
      </c>
      <c r="L275" s="141" t="n">
        <v>189.9</v>
      </c>
      <c r="M275" s="141" t="n">
        <v>0</v>
      </c>
      <c r="N275" s="141" t="n">
        <v>0</v>
      </c>
      <c r="O275" s="141" t="n">
        <v>4.02</v>
      </c>
    </row>
    <row r="276" customFormat="false" ht="15" hidden="false" customHeight="false" outlineLevel="0" collapsed="false">
      <c r="A276" s="138" t="s">
        <v>1905</v>
      </c>
      <c r="B276" s="138" t="s">
        <v>1906</v>
      </c>
      <c r="C276" s="138" t="n">
        <v>252</v>
      </c>
      <c r="D276" s="138" t="n">
        <v>253</v>
      </c>
      <c r="E276" s="141" t="n">
        <f aca="false">F276/Parâmetros!$C$22</f>
        <v>332.45</v>
      </c>
      <c r="F276" s="141" t="n">
        <v>66.49</v>
      </c>
      <c r="G276" s="141" t="n">
        <v>10.01</v>
      </c>
      <c r="H276" s="141" t="n">
        <v>0</v>
      </c>
      <c r="I276" s="141" t="n">
        <v>0</v>
      </c>
      <c r="J276" s="141" t="n">
        <v>0</v>
      </c>
      <c r="K276" s="141" t="n">
        <v>167.34</v>
      </c>
      <c r="L276" s="141" t="n">
        <v>201.57</v>
      </c>
      <c r="M276" s="141" t="n">
        <v>0</v>
      </c>
      <c r="N276" s="141" t="n">
        <v>0</v>
      </c>
      <c r="O276" s="141" t="n">
        <v>4.15</v>
      </c>
    </row>
    <row r="277" customFormat="false" ht="15" hidden="false" customHeight="false" outlineLevel="0" collapsed="false">
      <c r="A277" s="138" t="s">
        <v>1906</v>
      </c>
      <c r="B277" s="138" t="s">
        <v>1907</v>
      </c>
      <c r="C277" s="138" t="n">
        <v>253</v>
      </c>
      <c r="D277" s="138" t="n">
        <v>254</v>
      </c>
      <c r="E277" s="141" t="n">
        <f aca="false">F277/Parâmetros!$C$22</f>
        <v>325.25</v>
      </c>
      <c r="F277" s="141" t="n">
        <v>65.05</v>
      </c>
      <c r="G277" s="141" t="n">
        <v>32.31</v>
      </c>
      <c r="H277" s="141" t="n">
        <v>0</v>
      </c>
      <c r="I277" s="141" t="n">
        <v>0</v>
      </c>
      <c r="J277" s="141" t="n">
        <v>0</v>
      </c>
      <c r="K277" s="141" t="n">
        <v>78.82</v>
      </c>
      <c r="L277" s="141" t="n">
        <v>200.45</v>
      </c>
      <c r="M277" s="141" t="n">
        <v>0</v>
      </c>
      <c r="N277" s="141" t="n">
        <v>0</v>
      </c>
      <c r="O277" s="141" t="n">
        <v>4.29</v>
      </c>
    </row>
    <row r="278" customFormat="false" ht="15" hidden="false" customHeight="false" outlineLevel="0" collapsed="false">
      <c r="A278" s="138" t="s">
        <v>1907</v>
      </c>
      <c r="B278" s="138" t="s">
        <v>1908</v>
      </c>
      <c r="C278" s="138" t="n">
        <v>254</v>
      </c>
      <c r="D278" s="138" t="n">
        <v>255</v>
      </c>
      <c r="E278" s="141" t="n">
        <f aca="false">F278/Parâmetros!$C$22</f>
        <v>323.8</v>
      </c>
      <c r="F278" s="141" t="n">
        <v>64.76</v>
      </c>
      <c r="G278" s="141" t="n">
        <v>118.19</v>
      </c>
      <c r="H278" s="141" t="n">
        <v>0</v>
      </c>
      <c r="I278" s="141" t="n">
        <v>0</v>
      </c>
      <c r="J278" s="141" t="n">
        <v>0</v>
      </c>
      <c r="K278" s="141" t="n">
        <v>16.12</v>
      </c>
      <c r="L278" s="141" t="n">
        <v>195.78</v>
      </c>
      <c r="M278" s="141" t="n">
        <v>0</v>
      </c>
      <c r="N278" s="141" t="n">
        <v>0</v>
      </c>
      <c r="O278" s="141" t="n">
        <v>4.44</v>
      </c>
    </row>
    <row r="279" customFormat="false" ht="15" hidden="false" customHeight="false" outlineLevel="0" collapsed="false">
      <c r="A279" s="138" t="s">
        <v>1908</v>
      </c>
      <c r="B279" s="138" t="s">
        <v>1909</v>
      </c>
      <c r="C279" s="138" t="n">
        <v>255</v>
      </c>
      <c r="D279" s="138" t="n">
        <v>256</v>
      </c>
      <c r="E279" s="141" t="n">
        <f aca="false">F279/Parâmetros!$C$22</f>
        <v>359.05</v>
      </c>
      <c r="F279" s="141" t="n">
        <v>71.81</v>
      </c>
      <c r="G279" s="141" t="n">
        <v>288.74</v>
      </c>
      <c r="H279" s="141" t="n">
        <v>0</v>
      </c>
      <c r="I279" s="141" t="n">
        <v>0</v>
      </c>
      <c r="J279" s="141" t="n">
        <v>0</v>
      </c>
      <c r="K279" s="141" t="n">
        <v>1.77</v>
      </c>
      <c r="L279" s="141" t="n">
        <v>191.62</v>
      </c>
      <c r="M279" s="141" t="n">
        <v>0</v>
      </c>
      <c r="N279" s="141" t="n">
        <v>0</v>
      </c>
      <c r="O279" s="141" t="n">
        <v>4.59</v>
      </c>
    </row>
    <row r="280" customFormat="false" ht="15" hidden="false" customHeight="false" outlineLevel="0" collapsed="false">
      <c r="A280" s="138" t="s">
        <v>1909</v>
      </c>
      <c r="B280" s="138" t="s">
        <v>1910</v>
      </c>
      <c r="C280" s="138" t="n">
        <v>256</v>
      </c>
      <c r="D280" s="138" t="n">
        <v>257</v>
      </c>
      <c r="E280" s="141" t="n">
        <f aca="false">F280/Parâmetros!$C$22</f>
        <v>367.05</v>
      </c>
      <c r="F280" s="141" t="n">
        <v>73.41</v>
      </c>
      <c r="G280" s="141" t="n">
        <v>410.71</v>
      </c>
      <c r="H280" s="141" t="n">
        <v>0</v>
      </c>
      <c r="I280" s="141" t="n">
        <v>0</v>
      </c>
      <c r="J280" s="141" t="n">
        <v>0</v>
      </c>
      <c r="K280" s="141" t="n">
        <v>0</v>
      </c>
      <c r="L280" s="141" t="n">
        <v>181.23</v>
      </c>
      <c r="M280" s="141" t="n">
        <v>0</v>
      </c>
      <c r="N280" s="141" t="n">
        <v>0</v>
      </c>
      <c r="O280" s="141" t="n">
        <v>4.59</v>
      </c>
    </row>
    <row r="281" customFormat="false" ht="15" hidden="false" customHeight="false" outlineLevel="0" collapsed="false">
      <c r="A281" s="138" t="s">
        <v>1910</v>
      </c>
      <c r="B281" s="138" t="s">
        <v>1911</v>
      </c>
      <c r="C281" s="138" t="n">
        <v>257</v>
      </c>
      <c r="D281" s="138" t="n">
        <v>258</v>
      </c>
      <c r="E281" s="141" t="n">
        <f aca="false">F281/Parâmetros!$C$22</f>
        <v>297.1</v>
      </c>
      <c r="F281" s="141" t="n">
        <v>59.42</v>
      </c>
      <c r="G281" s="141" t="n">
        <v>330.35</v>
      </c>
      <c r="H281" s="141" t="n">
        <v>0</v>
      </c>
      <c r="I281" s="141" t="n">
        <v>0</v>
      </c>
      <c r="J281" s="141" t="n">
        <v>0</v>
      </c>
      <c r="K281" s="141" t="n">
        <v>0</v>
      </c>
      <c r="L281" s="141" t="n">
        <v>163.24</v>
      </c>
      <c r="M281" s="141" t="n">
        <v>0</v>
      </c>
      <c r="N281" s="141" t="n">
        <v>0</v>
      </c>
      <c r="O281" s="141" t="n">
        <v>4.59</v>
      </c>
    </row>
    <row r="282" customFormat="false" ht="15" hidden="false" customHeight="false" outlineLevel="0" collapsed="false">
      <c r="A282" s="138" t="s">
        <v>1911</v>
      </c>
      <c r="B282" s="138" t="s">
        <v>1912</v>
      </c>
      <c r="C282" s="138" t="n">
        <v>258</v>
      </c>
      <c r="D282" s="138" t="n">
        <v>259</v>
      </c>
      <c r="E282" s="141" t="n">
        <f aca="false">F282/Parâmetros!$C$22</f>
        <v>297.4</v>
      </c>
      <c r="F282" s="141" t="n">
        <v>59.48</v>
      </c>
      <c r="G282" s="141" t="n">
        <v>155.89</v>
      </c>
      <c r="H282" s="141" t="n">
        <v>0</v>
      </c>
      <c r="I282" s="141" t="n">
        <v>0</v>
      </c>
      <c r="J282" s="141" t="n">
        <v>0</v>
      </c>
      <c r="K282" s="141" t="n">
        <v>176.69</v>
      </c>
      <c r="L282" s="141" t="n">
        <v>161.12</v>
      </c>
      <c r="M282" s="141" t="n">
        <v>0</v>
      </c>
      <c r="N282" s="141" t="n">
        <v>0</v>
      </c>
      <c r="O282" s="141" t="n">
        <v>2.29</v>
      </c>
    </row>
    <row r="283" customFormat="false" ht="15" hidden="false" customHeight="false" outlineLevel="0" collapsed="false">
      <c r="A283" s="138" t="s">
        <v>1912</v>
      </c>
      <c r="B283" s="138" t="s">
        <v>1914</v>
      </c>
      <c r="C283" s="138" t="n">
        <v>259</v>
      </c>
      <c r="D283" s="138" t="n">
        <v>260</v>
      </c>
      <c r="E283" s="141" t="n">
        <f aca="false">F283/Parâmetros!$C$22</f>
        <v>320.55</v>
      </c>
      <c r="F283" s="141" t="n">
        <v>64.11</v>
      </c>
      <c r="G283" s="141" t="n">
        <v>57.72</v>
      </c>
      <c r="H283" s="141" t="n">
        <v>0</v>
      </c>
      <c r="I283" s="141" t="n">
        <v>0</v>
      </c>
      <c r="J283" s="141" t="n">
        <v>0</v>
      </c>
      <c r="K283" s="141" t="n">
        <v>211.19</v>
      </c>
      <c r="L283" s="141" t="n">
        <v>171.91</v>
      </c>
      <c r="M283" s="141" t="n">
        <v>0</v>
      </c>
      <c r="N283" s="141" t="n">
        <v>0</v>
      </c>
      <c r="O283" s="141" t="n">
        <v>2.02</v>
      </c>
    </row>
    <row r="284" customFormat="false" ht="15" hidden="false" customHeight="false" outlineLevel="0" collapsed="false">
      <c r="A284" s="138" t="s">
        <v>1914</v>
      </c>
      <c r="B284" s="138" t="s">
        <v>1916</v>
      </c>
      <c r="C284" s="138" t="n">
        <v>260</v>
      </c>
      <c r="D284" s="138" t="n">
        <v>261</v>
      </c>
      <c r="E284" s="141" t="n">
        <f aca="false">F284/Parâmetros!$C$22</f>
        <v>291.4</v>
      </c>
      <c r="F284" s="141" t="n">
        <v>58.28</v>
      </c>
      <c r="G284" s="141" t="n">
        <v>19.66</v>
      </c>
      <c r="H284" s="141" t="n">
        <v>0</v>
      </c>
      <c r="I284" s="141" t="n">
        <v>0</v>
      </c>
      <c r="J284" s="141" t="n">
        <v>0</v>
      </c>
      <c r="K284" s="141" t="n">
        <v>63.91</v>
      </c>
      <c r="L284" s="141" t="n">
        <v>172.27</v>
      </c>
      <c r="M284" s="141" t="n">
        <v>0</v>
      </c>
      <c r="N284" s="141" t="n">
        <v>0</v>
      </c>
      <c r="O284" s="141" t="n">
        <v>4.03</v>
      </c>
    </row>
    <row r="285" customFormat="false" ht="15" hidden="false" customHeight="false" outlineLevel="0" collapsed="false">
      <c r="A285" s="138" t="s">
        <v>1916</v>
      </c>
      <c r="B285" s="138" t="s">
        <v>1917</v>
      </c>
      <c r="C285" s="138" t="n">
        <v>261</v>
      </c>
      <c r="D285" s="138" t="n">
        <v>262</v>
      </c>
      <c r="E285" s="141" t="n">
        <f aca="false">F285/Parâmetros!$C$22</f>
        <v>292.7</v>
      </c>
      <c r="F285" s="141" t="n">
        <v>58.54</v>
      </c>
      <c r="G285" s="141" t="n">
        <v>9.3</v>
      </c>
      <c r="H285" s="141" t="n">
        <v>0</v>
      </c>
      <c r="I285" s="141" t="n">
        <v>0.27</v>
      </c>
      <c r="J285" s="141" t="n">
        <v>0</v>
      </c>
      <c r="K285" s="141" t="n">
        <v>66.2</v>
      </c>
      <c r="L285" s="141" t="n">
        <v>167.19</v>
      </c>
      <c r="M285" s="141" t="n">
        <v>0</v>
      </c>
      <c r="N285" s="141" t="n">
        <v>0</v>
      </c>
      <c r="O285" s="141" t="n">
        <v>4.17</v>
      </c>
    </row>
    <row r="286" customFormat="false" ht="15" hidden="false" customHeight="false" outlineLevel="0" collapsed="false">
      <c r="A286" s="138" t="s">
        <v>1917</v>
      </c>
      <c r="B286" s="138" t="s">
        <v>1918</v>
      </c>
      <c r="C286" s="138" t="n">
        <v>262</v>
      </c>
      <c r="D286" s="138" t="n">
        <v>263</v>
      </c>
      <c r="E286" s="141" t="n">
        <f aca="false">F286/Parâmetros!$C$22</f>
        <v>257.9</v>
      </c>
      <c r="F286" s="141" t="n">
        <v>51.58</v>
      </c>
      <c r="G286" s="141" t="n">
        <v>7.46</v>
      </c>
      <c r="H286" s="141" t="n">
        <v>0</v>
      </c>
      <c r="I286" s="141" t="n">
        <v>17.79</v>
      </c>
      <c r="J286" s="141" t="n">
        <v>0</v>
      </c>
      <c r="K286" s="141" t="n">
        <v>56.67</v>
      </c>
      <c r="L286" s="141" t="n">
        <v>163.31</v>
      </c>
      <c r="M286" s="141" t="n">
        <v>0</v>
      </c>
      <c r="N286" s="141" t="n">
        <v>0</v>
      </c>
      <c r="O286" s="141" t="n">
        <v>5.17</v>
      </c>
    </row>
    <row r="287" customFormat="false" ht="15" hidden="false" customHeight="false" outlineLevel="0" collapsed="false">
      <c r="A287" s="138" t="s">
        <v>1918</v>
      </c>
      <c r="B287" s="138" t="s">
        <v>1919</v>
      </c>
      <c r="C287" s="138" t="n">
        <v>263</v>
      </c>
      <c r="D287" s="138" t="n">
        <v>264</v>
      </c>
      <c r="E287" s="141" t="n">
        <f aca="false">F287/Parâmetros!$C$22</f>
        <v>302.5</v>
      </c>
      <c r="F287" s="141" t="n">
        <v>60.5</v>
      </c>
      <c r="G287" s="141" t="n">
        <v>13.8</v>
      </c>
      <c r="H287" s="141" t="n">
        <v>0</v>
      </c>
      <c r="I287" s="141" t="n">
        <v>83.75</v>
      </c>
      <c r="J287" s="141" t="n">
        <v>0</v>
      </c>
      <c r="K287" s="141" t="n">
        <v>29.5</v>
      </c>
      <c r="L287" s="141" t="n">
        <v>157.63</v>
      </c>
      <c r="M287" s="141" t="n">
        <v>0</v>
      </c>
      <c r="N287" s="141" t="n">
        <v>0</v>
      </c>
      <c r="O287" s="141" t="n">
        <v>5.29</v>
      </c>
    </row>
    <row r="288" customFormat="false" ht="15" hidden="false" customHeight="false" outlineLevel="0" collapsed="false">
      <c r="A288" s="138" t="s">
        <v>1919</v>
      </c>
      <c r="B288" s="138" t="s">
        <v>1920</v>
      </c>
      <c r="C288" s="138" t="n">
        <v>264</v>
      </c>
      <c r="D288" s="138" t="n">
        <v>265</v>
      </c>
      <c r="E288" s="141" t="n">
        <f aca="false">F288/Parâmetros!$C$22</f>
        <v>382.2</v>
      </c>
      <c r="F288" s="141" t="n">
        <v>76.44</v>
      </c>
      <c r="G288" s="141" t="n">
        <v>22.22</v>
      </c>
      <c r="H288" s="141" t="n">
        <v>0</v>
      </c>
      <c r="I288" s="141" t="n">
        <v>156.51</v>
      </c>
      <c r="J288" s="141" t="n">
        <v>0</v>
      </c>
      <c r="K288" s="141" t="n">
        <v>13.1</v>
      </c>
      <c r="L288" s="141" t="n">
        <v>77.16</v>
      </c>
      <c r="M288" s="141" t="n">
        <v>0</v>
      </c>
      <c r="N288" s="141" t="n">
        <v>39</v>
      </c>
      <c r="O288" s="141" t="n">
        <v>4.56</v>
      </c>
    </row>
    <row r="289" customFormat="false" ht="15" hidden="false" customHeight="false" outlineLevel="0" collapsed="false">
      <c r="A289" s="138" t="s">
        <v>1920</v>
      </c>
      <c r="B289" s="138" t="s">
        <v>1921</v>
      </c>
      <c r="C289" s="138" t="n">
        <v>265</v>
      </c>
      <c r="D289" s="138" t="n">
        <v>266</v>
      </c>
      <c r="E289" s="141" t="n">
        <f aca="false">F289/Parâmetros!$C$22</f>
        <v>386.1</v>
      </c>
      <c r="F289" s="141" t="n">
        <v>77.22</v>
      </c>
      <c r="G289" s="141" t="n">
        <v>21.99</v>
      </c>
      <c r="H289" s="141" t="n">
        <v>0</v>
      </c>
      <c r="I289" s="141" t="n">
        <v>181.44</v>
      </c>
      <c r="J289" s="141" t="n">
        <v>0</v>
      </c>
      <c r="K289" s="141" t="n">
        <v>5.28</v>
      </c>
      <c r="L289" s="141" t="n">
        <v>0</v>
      </c>
      <c r="M289" s="141" t="n">
        <v>0</v>
      </c>
      <c r="N289" s="141" t="n">
        <v>78</v>
      </c>
      <c r="O289" s="141" t="n">
        <v>4.56</v>
      </c>
    </row>
    <row r="290" customFormat="false" ht="15" hidden="false" customHeight="false" outlineLevel="0" collapsed="false">
      <c r="A290" s="138" t="s">
        <v>1921</v>
      </c>
      <c r="B290" s="138" t="s">
        <v>1922</v>
      </c>
      <c r="C290" s="138" t="n">
        <v>266</v>
      </c>
      <c r="D290" s="138" t="n">
        <v>267</v>
      </c>
      <c r="E290" s="141" t="n">
        <f aca="false">F290/Parâmetros!$C$22</f>
        <v>312.85</v>
      </c>
      <c r="F290" s="141" t="n">
        <v>62.57</v>
      </c>
      <c r="G290" s="141" t="n">
        <v>14.58</v>
      </c>
      <c r="H290" s="141" t="n">
        <v>0</v>
      </c>
      <c r="I290" s="141" t="n">
        <v>113.81</v>
      </c>
      <c r="J290" s="141" t="n">
        <v>0</v>
      </c>
      <c r="K290" s="141" t="n">
        <v>9.81</v>
      </c>
      <c r="L290" s="141" t="n">
        <v>0</v>
      </c>
      <c r="M290" s="141" t="n">
        <v>0</v>
      </c>
      <c r="N290" s="141" t="n">
        <v>78</v>
      </c>
      <c r="O290" s="141" t="n">
        <v>4.63</v>
      </c>
    </row>
    <row r="291" customFormat="false" ht="15" hidden="false" customHeight="false" outlineLevel="0" collapsed="false">
      <c r="A291" s="138" t="s">
        <v>1922</v>
      </c>
      <c r="B291" s="138" t="s">
        <v>1923</v>
      </c>
      <c r="C291" s="138" t="n">
        <v>267</v>
      </c>
      <c r="D291" s="138" t="n">
        <v>268</v>
      </c>
      <c r="E291" s="141" t="n">
        <f aca="false">F291/Parâmetros!$C$22</f>
        <v>271.25</v>
      </c>
      <c r="F291" s="141" t="n">
        <v>54.25</v>
      </c>
      <c r="G291" s="141" t="n">
        <v>3.53</v>
      </c>
      <c r="H291" s="141" t="n">
        <v>0</v>
      </c>
      <c r="I291" s="141" t="n">
        <v>22.65</v>
      </c>
      <c r="J291" s="141" t="n">
        <v>0</v>
      </c>
      <c r="K291" s="141" t="n">
        <v>72.6</v>
      </c>
      <c r="L291" s="141" t="n">
        <v>43.71</v>
      </c>
      <c r="M291" s="141" t="n">
        <v>0</v>
      </c>
      <c r="N291" s="141" t="n">
        <v>79.25</v>
      </c>
      <c r="O291" s="141" t="n">
        <v>4.36</v>
      </c>
    </row>
    <row r="292" customFormat="false" ht="15" hidden="false" customHeight="false" outlineLevel="0" collapsed="false">
      <c r="A292" s="138" t="s">
        <v>1923</v>
      </c>
      <c r="B292" s="138" t="s">
        <v>1924</v>
      </c>
      <c r="C292" s="138" t="n">
        <v>268</v>
      </c>
      <c r="D292" s="138" t="n">
        <v>269</v>
      </c>
      <c r="E292" s="141" t="n">
        <f aca="false">F292/Parâmetros!$C$22</f>
        <v>351.15</v>
      </c>
      <c r="F292" s="141" t="n">
        <v>70.23</v>
      </c>
      <c r="G292" s="141" t="n">
        <v>0</v>
      </c>
      <c r="H292" s="141" t="n">
        <v>0</v>
      </c>
      <c r="I292" s="141" t="n">
        <v>0</v>
      </c>
      <c r="J292" s="141" t="n">
        <v>0</v>
      </c>
      <c r="K292" s="141" t="n">
        <v>300.58</v>
      </c>
      <c r="L292" s="141" t="n">
        <v>171</v>
      </c>
      <c r="M292" s="141" t="n">
        <v>0</v>
      </c>
      <c r="N292" s="141" t="n">
        <v>0</v>
      </c>
      <c r="O292" s="141" t="n">
        <v>4.03</v>
      </c>
    </row>
    <row r="293" customFormat="false" ht="15" hidden="false" customHeight="false" outlineLevel="0" collapsed="false">
      <c r="A293" s="138" t="s">
        <v>1924</v>
      </c>
      <c r="B293" s="138" t="s">
        <v>1925</v>
      </c>
      <c r="C293" s="138" t="n">
        <v>269</v>
      </c>
      <c r="D293" s="138" t="n">
        <v>270</v>
      </c>
      <c r="E293" s="141" t="n">
        <f aca="false">F293/Parâmetros!$C$22</f>
        <v>411.25</v>
      </c>
      <c r="F293" s="141" t="n">
        <v>82.25</v>
      </c>
      <c r="G293" s="141" t="n">
        <v>0</v>
      </c>
      <c r="H293" s="141" t="n">
        <v>0</v>
      </c>
      <c r="I293" s="141" t="n">
        <v>0</v>
      </c>
      <c r="J293" s="141" t="n">
        <v>0</v>
      </c>
      <c r="K293" s="141" t="n">
        <v>536.25</v>
      </c>
      <c r="L293" s="141" t="n">
        <v>176.41</v>
      </c>
      <c r="M293" s="141" t="n">
        <v>0</v>
      </c>
      <c r="N293" s="141" t="n">
        <v>0</v>
      </c>
      <c r="O293" s="141" t="n">
        <v>4.03</v>
      </c>
    </row>
    <row r="294" customFormat="false" ht="15" hidden="false" customHeight="false" outlineLevel="0" collapsed="false">
      <c r="A294" s="138" t="s">
        <v>1925</v>
      </c>
      <c r="B294" s="138" t="s">
        <v>1926</v>
      </c>
      <c r="C294" s="138" t="n">
        <v>270</v>
      </c>
      <c r="D294" s="138" t="n">
        <v>271</v>
      </c>
      <c r="E294" s="141" t="n">
        <f aca="false">F294/Parâmetros!$C$22</f>
        <v>396.2</v>
      </c>
      <c r="F294" s="141" t="n">
        <v>79.24</v>
      </c>
      <c r="G294" s="141" t="n">
        <v>0</v>
      </c>
      <c r="H294" s="141" t="n">
        <v>0</v>
      </c>
      <c r="I294" s="141" t="n">
        <v>0</v>
      </c>
      <c r="J294" s="141" t="n">
        <v>0</v>
      </c>
      <c r="K294" s="141" t="n">
        <v>553.33</v>
      </c>
      <c r="L294" s="141" t="n">
        <v>176.41</v>
      </c>
      <c r="M294" s="141" t="n">
        <v>0</v>
      </c>
      <c r="N294" s="141" t="n">
        <v>0</v>
      </c>
      <c r="O294" s="141" t="n">
        <v>4.03</v>
      </c>
    </row>
    <row r="295" customFormat="false" ht="15" hidden="false" customHeight="false" outlineLevel="0" collapsed="false">
      <c r="A295" s="138" t="s">
        <v>1926</v>
      </c>
      <c r="B295" s="138" t="s">
        <v>1927</v>
      </c>
      <c r="C295" s="138" t="n">
        <v>271</v>
      </c>
      <c r="D295" s="138" t="n">
        <v>272</v>
      </c>
      <c r="E295" s="141" t="n">
        <f aca="false">F295/Parâmetros!$C$22</f>
        <v>330.6</v>
      </c>
      <c r="F295" s="141" t="n">
        <v>66.12</v>
      </c>
      <c r="G295" s="141" t="n">
        <v>0</v>
      </c>
      <c r="H295" s="141" t="n">
        <v>0</v>
      </c>
      <c r="I295" s="141" t="n">
        <v>0</v>
      </c>
      <c r="J295" s="141" t="n">
        <v>0</v>
      </c>
      <c r="K295" s="141" t="n">
        <v>402.43</v>
      </c>
      <c r="L295" s="141" t="n">
        <v>176.41</v>
      </c>
      <c r="M295" s="141" t="n">
        <v>0</v>
      </c>
      <c r="N295" s="141" t="n">
        <v>0</v>
      </c>
      <c r="O295" s="141" t="n">
        <v>4.03</v>
      </c>
    </row>
    <row r="296" customFormat="false" ht="15" hidden="false" customHeight="false" outlineLevel="0" collapsed="false">
      <c r="A296" s="138" t="s">
        <v>1927</v>
      </c>
      <c r="B296" s="138" t="s">
        <v>1928</v>
      </c>
      <c r="C296" s="138" t="n">
        <v>272</v>
      </c>
      <c r="D296" s="138" t="n">
        <v>273</v>
      </c>
      <c r="E296" s="141" t="n">
        <f aca="false">F296/Parâmetros!$C$22</f>
        <v>261.9</v>
      </c>
      <c r="F296" s="141" t="n">
        <v>52.38</v>
      </c>
      <c r="G296" s="141" t="n">
        <v>0.61</v>
      </c>
      <c r="H296" s="141" t="n">
        <v>0</v>
      </c>
      <c r="I296" s="141" t="n">
        <v>0</v>
      </c>
      <c r="J296" s="141" t="n">
        <v>0</v>
      </c>
      <c r="K296" s="141" t="n">
        <v>202.77</v>
      </c>
      <c r="L296" s="141" t="n">
        <v>170.3</v>
      </c>
      <c r="M296" s="141" t="n">
        <v>0</v>
      </c>
      <c r="N296" s="141" t="n">
        <v>0</v>
      </c>
      <c r="O296" s="141" t="n">
        <v>4.03</v>
      </c>
    </row>
    <row r="297" customFormat="false" ht="15" hidden="false" customHeight="false" outlineLevel="0" collapsed="false">
      <c r="A297" s="138" t="s">
        <v>1928</v>
      </c>
      <c r="B297" s="138" t="s">
        <v>1929</v>
      </c>
      <c r="C297" s="138" t="n">
        <v>273</v>
      </c>
      <c r="D297" s="138" t="n">
        <v>274</v>
      </c>
      <c r="E297" s="141" t="n">
        <f aca="false">F297/Parâmetros!$C$22</f>
        <v>289.6</v>
      </c>
      <c r="F297" s="141" t="n">
        <v>57.92</v>
      </c>
      <c r="G297" s="141" t="n">
        <v>135.27</v>
      </c>
      <c r="H297" s="141" t="n">
        <v>0</v>
      </c>
      <c r="I297" s="141" t="n">
        <v>0</v>
      </c>
      <c r="J297" s="141" t="n">
        <v>0</v>
      </c>
      <c r="K297" s="141" t="n">
        <v>53.52</v>
      </c>
      <c r="L297" s="141" t="n">
        <v>159.49</v>
      </c>
      <c r="M297" s="141" t="n">
        <v>0</v>
      </c>
      <c r="N297" s="141" t="n">
        <v>0</v>
      </c>
      <c r="O297" s="141" t="n">
        <v>4.32</v>
      </c>
    </row>
    <row r="298" customFormat="false" ht="15" hidden="false" customHeight="false" outlineLevel="0" collapsed="false">
      <c r="A298" s="138" t="s">
        <v>1929</v>
      </c>
      <c r="B298" s="138" t="s">
        <v>1930</v>
      </c>
      <c r="C298" s="138" t="n">
        <v>274</v>
      </c>
      <c r="D298" s="138" t="n">
        <v>275</v>
      </c>
      <c r="E298" s="141" t="n">
        <f aca="false">F298/Parâmetros!$C$22</f>
        <v>361.65</v>
      </c>
      <c r="F298" s="141" t="n">
        <v>72.33</v>
      </c>
      <c r="G298" s="141" t="n">
        <v>462.4</v>
      </c>
      <c r="H298" s="141" t="n">
        <v>0</v>
      </c>
      <c r="I298" s="141" t="n">
        <v>0</v>
      </c>
      <c r="J298" s="141" t="n">
        <v>0</v>
      </c>
      <c r="K298" s="141" t="n">
        <v>0</v>
      </c>
      <c r="L298" s="141" t="n">
        <v>154.8</v>
      </c>
      <c r="M298" s="141" t="n">
        <v>0</v>
      </c>
      <c r="N298" s="141" t="n">
        <v>0</v>
      </c>
      <c r="O298" s="141" t="n">
        <v>4.61</v>
      </c>
    </row>
    <row r="299" customFormat="false" ht="15" hidden="false" customHeight="false" outlineLevel="0" collapsed="false">
      <c r="A299" s="138" t="s">
        <v>1930</v>
      </c>
      <c r="B299" s="138" t="s">
        <v>1931</v>
      </c>
      <c r="C299" s="138" t="n">
        <v>275</v>
      </c>
      <c r="D299" s="138" t="n">
        <v>276</v>
      </c>
      <c r="E299" s="141" t="n">
        <f aca="false">F299/Parâmetros!$C$22</f>
        <v>432.3</v>
      </c>
      <c r="F299" s="141" t="n">
        <v>86.46</v>
      </c>
      <c r="G299" s="141" t="n">
        <v>837.44</v>
      </c>
      <c r="H299" s="141" t="n">
        <v>0</v>
      </c>
      <c r="I299" s="141" t="n">
        <v>12.34</v>
      </c>
      <c r="J299" s="141" t="n">
        <v>0</v>
      </c>
      <c r="K299" s="141" t="n">
        <v>0</v>
      </c>
      <c r="L299" s="141" t="n">
        <v>154.8</v>
      </c>
      <c r="M299" s="141" t="n">
        <v>0</v>
      </c>
      <c r="N299" s="141" t="n">
        <v>0</v>
      </c>
      <c r="O299" s="141" t="n">
        <v>4.61</v>
      </c>
    </row>
    <row r="300" customFormat="false" ht="15" hidden="false" customHeight="false" outlineLevel="0" collapsed="false">
      <c r="A300" s="138" t="s">
        <v>1931</v>
      </c>
      <c r="B300" s="138" t="s">
        <v>1932</v>
      </c>
      <c r="C300" s="138" t="n">
        <v>276</v>
      </c>
      <c r="D300" s="138" t="n">
        <v>277</v>
      </c>
      <c r="E300" s="141" t="n">
        <f aca="false">F300/Parâmetros!$C$22</f>
        <v>460</v>
      </c>
      <c r="F300" s="141" t="n">
        <v>92</v>
      </c>
      <c r="G300" s="141" t="n">
        <v>1038.33</v>
      </c>
      <c r="H300" s="141" t="n">
        <v>0</v>
      </c>
      <c r="I300" s="141" t="n">
        <v>139.81</v>
      </c>
      <c r="J300" s="141" t="n">
        <v>0</v>
      </c>
      <c r="K300" s="141" t="n">
        <v>0</v>
      </c>
      <c r="L300" s="141" t="n">
        <v>77.4</v>
      </c>
      <c r="M300" s="141" t="n">
        <v>0</v>
      </c>
      <c r="N300" s="141" t="n">
        <v>116.1</v>
      </c>
      <c r="O300" s="141" t="n">
        <v>4.61</v>
      </c>
    </row>
    <row r="301" customFormat="false" ht="15" hidden="false" customHeight="false" outlineLevel="0" collapsed="false">
      <c r="A301" s="138" t="s">
        <v>1932</v>
      </c>
      <c r="B301" s="138" t="s">
        <v>1933</v>
      </c>
      <c r="C301" s="138" t="n">
        <v>277</v>
      </c>
      <c r="D301" s="138" t="n">
        <v>278</v>
      </c>
      <c r="E301" s="141" t="n">
        <f aca="false">F301/Parâmetros!$C$22</f>
        <v>437.15</v>
      </c>
      <c r="F301" s="141" t="n">
        <v>87.43</v>
      </c>
      <c r="G301" s="141" t="n">
        <v>1068.12</v>
      </c>
      <c r="H301" s="141" t="n">
        <v>0</v>
      </c>
      <c r="I301" s="141" t="n">
        <v>422.44</v>
      </c>
      <c r="J301" s="141" t="n">
        <v>0</v>
      </c>
      <c r="K301" s="141" t="n">
        <v>0</v>
      </c>
      <c r="L301" s="141" t="n">
        <v>0</v>
      </c>
      <c r="M301" s="141" t="n">
        <v>0</v>
      </c>
      <c r="N301" s="141" t="n">
        <v>77.4</v>
      </c>
      <c r="O301" s="141" t="n">
        <v>4.61</v>
      </c>
    </row>
    <row r="302" customFormat="false" ht="15" hidden="false" customHeight="false" outlineLevel="0" collapsed="false">
      <c r="A302" s="138" t="s">
        <v>1933</v>
      </c>
      <c r="B302" s="138" t="s">
        <v>1934</v>
      </c>
      <c r="C302" s="138" t="n">
        <v>278</v>
      </c>
      <c r="D302" s="138" t="n">
        <v>279</v>
      </c>
      <c r="E302" s="141" t="n">
        <f aca="false">F302/Parâmetros!$C$22</f>
        <v>437.2</v>
      </c>
      <c r="F302" s="141" t="n">
        <v>87.44</v>
      </c>
      <c r="G302" s="141" t="n">
        <v>897.61</v>
      </c>
      <c r="H302" s="141" t="n">
        <v>0</v>
      </c>
      <c r="I302" s="141" t="n">
        <v>860.74</v>
      </c>
      <c r="J302" s="141" t="n">
        <v>0</v>
      </c>
      <c r="K302" s="141" t="n">
        <v>0</v>
      </c>
      <c r="L302" s="141" t="n">
        <v>0</v>
      </c>
      <c r="M302" s="141" t="n">
        <v>0</v>
      </c>
      <c r="N302" s="141" t="n">
        <v>77.4</v>
      </c>
      <c r="O302" s="141" t="n">
        <v>4.61</v>
      </c>
    </row>
    <row r="303" customFormat="false" ht="15" hidden="false" customHeight="false" outlineLevel="0" collapsed="false">
      <c r="A303" s="138" t="s">
        <v>1934</v>
      </c>
      <c r="B303" s="138" t="s">
        <v>1935</v>
      </c>
      <c r="C303" s="138" t="n">
        <v>279</v>
      </c>
      <c r="D303" s="138" t="n">
        <v>280</v>
      </c>
      <c r="E303" s="141" t="n">
        <f aca="false">F303/Parâmetros!$C$22</f>
        <v>434.8</v>
      </c>
      <c r="F303" s="141" t="n">
        <v>86.96</v>
      </c>
      <c r="G303" s="141" t="n">
        <v>529.99</v>
      </c>
      <c r="H303" s="141" t="n">
        <v>0</v>
      </c>
      <c r="I303" s="141" t="n">
        <v>1298.76</v>
      </c>
      <c r="J303" s="141" t="n">
        <v>0</v>
      </c>
      <c r="K303" s="141" t="n">
        <v>0</v>
      </c>
      <c r="L303" s="141" t="n">
        <v>0</v>
      </c>
      <c r="M303" s="141" t="n">
        <v>0</v>
      </c>
      <c r="N303" s="141" t="n">
        <v>77.4</v>
      </c>
      <c r="O303" s="141" t="n">
        <v>4.61</v>
      </c>
    </row>
    <row r="304" customFormat="false" ht="15" hidden="false" customHeight="false" outlineLevel="0" collapsed="false">
      <c r="A304" s="138" t="s">
        <v>1935</v>
      </c>
      <c r="B304" s="138" t="s">
        <v>1936</v>
      </c>
      <c r="C304" s="138" t="n">
        <v>280</v>
      </c>
      <c r="D304" s="138" t="n">
        <v>281</v>
      </c>
      <c r="E304" s="141" t="n">
        <f aca="false">F304/Parâmetros!$C$22</f>
        <v>487.15</v>
      </c>
      <c r="F304" s="141" t="n">
        <v>97.43</v>
      </c>
      <c r="G304" s="141" t="n">
        <v>393.13</v>
      </c>
      <c r="H304" s="141" t="n">
        <v>0</v>
      </c>
      <c r="I304" s="141" t="n">
        <v>1375.46</v>
      </c>
      <c r="J304" s="141" t="n">
        <v>0</v>
      </c>
      <c r="K304" s="141" t="n">
        <v>0</v>
      </c>
      <c r="L304" s="141" t="n">
        <v>0</v>
      </c>
      <c r="M304" s="141" t="n">
        <v>0</v>
      </c>
      <c r="N304" s="141" t="n">
        <v>77.4</v>
      </c>
      <c r="O304" s="141" t="n">
        <v>4.61</v>
      </c>
    </row>
    <row r="305" customFormat="false" ht="15" hidden="false" customHeight="false" outlineLevel="0" collapsed="false">
      <c r="A305" s="138" t="s">
        <v>1936</v>
      </c>
      <c r="B305" s="138" t="s">
        <v>1937</v>
      </c>
      <c r="C305" s="138" t="n">
        <v>281</v>
      </c>
      <c r="D305" s="138" t="n">
        <v>282</v>
      </c>
      <c r="E305" s="141" t="n">
        <f aca="false">F305/Parâmetros!$C$22</f>
        <v>487.6</v>
      </c>
      <c r="F305" s="141" t="n">
        <v>97.52</v>
      </c>
      <c r="G305" s="141" t="n">
        <v>497.52</v>
      </c>
      <c r="H305" s="141" t="n">
        <v>0</v>
      </c>
      <c r="I305" s="141" t="n">
        <v>1189.42</v>
      </c>
      <c r="J305" s="141" t="n">
        <v>0</v>
      </c>
      <c r="K305" s="141" t="n">
        <v>0</v>
      </c>
      <c r="L305" s="141" t="n">
        <v>0</v>
      </c>
      <c r="M305" s="141" t="n">
        <v>0</v>
      </c>
      <c r="N305" s="141" t="n">
        <v>77.4</v>
      </c>
      <c r="O305" s="141" t="n">
        <v>4.61</v>
      </c>
    </row>
    <row r="306" customFormat="false" ht="15" hidden="false" customHeight="false" outlineLevel="0" collapsed="false">
      <c r="A306" s="138" t="s">
        <v>1937</v>
      </c>
      <c r="B306" s="138" t="s">
        <v>1938</v>
      </c>
      <c r="C306" s="138" t="n">
        <v>282</v>
      </c>
      <c r="D306" s="138" t="n">
        <v>283</v>
      </c>
      <c r="E306" s="141" t="n">
        <f aca="false">F306/Parâmetros!$C$22</f>
        <v>435.95</v>
      </c>
      <c r="F306" s="141" t="n">
        <v>87.19</v>
      </c>
      <c r="G306" s="141" t="n">
        <v>608.89</v>
      </c>
      <c r="H306" s="141" t="n">
        <v>0</v>
      </c>
      <c r="I306" s="141" t="n">
        <v>992.91</v>
      </c>
      <c r="J306" s="141" t="n">
        <v>0</v>
      </c>
      <c r="K306" s="141" t="n">
        <v>0</v>
      </c>
      <c r="L306" s="141" t="n">
        <v>0</v>
      </c>
      <c r="M306" s="141" t="n">
        <v>0</v>
      </c>
      <c r="N306" s="141" t="n">
        <v>77.4</v>
      </c>
      <c r="O306" s="141" t="n">
        <v>4.61</v>
      </c>
    </row>
    <row r="307" customFormat="false" ht="15" hidden="false" customHeight="false" outlineLevel="0" collapsed="false">
      <c r="A307" s="138" t="s">
        <v>1938</v>
      </c>
      <c r="B307" s="138" t="s">
        <v>1939</v>
      </c>
      <c r="C307" s="138" t="n">
        <v>283</v>
      </c>
      <c r="D307" s="138" t="n">
        <v>284</v>
      </c>
      <c r="E307" s="141" t="n">
        <f aca="false">F307/Parâmetros!$C$22</f>
        <v>429</v>
      </c>
      <c r="F307" s="141" t="n">
        <v>85.8</v>
      </c>
      <c r="G307" s="141" t="n">
        <v>717.99</v>
      </c>
      <c r="H307" s="141" t="n">
        <v>0</v>
      </c>
      <c r="I307" s="141" t="n">
        <v>762.81</v>
      </c>
      <c r="J307" s="141" t="n">
        <v>0</v>
      </c>
      <c r="K307" s="141" t="n">
        <v>0</v>
      </c>
      <c r="L307" s="141" t="n">
        <v>0</v>
      </c>
      <c r="M307" s="141" t="n">
        <v>0</v>
      </c>
      <c r="N307" s="141" t="n">
        <v>77.4</v>
      </c>
      <c r="O307" s="141" t="n">
        <v>4.61</v>
      </c>
    </row>
    <row r="308" customFormat="false" ht="15" hidden="false" customHeight="false" outlineLevel="0" collapsed="false">
      <c r="A308" s="138" t="s">
        <v>1939</v>
      </c>
      <c r="B308" s="138" t="s">
        <v>1940</v>
      </c>
      <c r="C308" s="138" t="n">
        <v>284</v>
      </c>
      <c r="D308" s="138" t="n">
        <v>285</v>
      </c>
      <c r="E308" s="141" t="n">
        <f aca="false">F308/Parâmetros!$C$22</f>
        <v>430.35</v>
      </c>
      <c r="F308" s="141" t="n">
        <v>86.07</v>
      </c>
      <c r="G308" s="141" t="n">
        <v>841.71</v>
      </c>
      <c r="H308" s="141" t="n">
        <v>0</v>
      </c>
      <c r="I308" s="141" t="n">
        <v>523.74</v>
      </c>
      <c r="J308" s="141" t="n">
        <v>0</v>
      </c>
      <c r="K308" s="141" t="n">
        <v>0</v>
      </c>
      <c r="L308" s="141" t="n">
        <v>0</v>
      </c>
      <c r="M308" s="141" t="n">
        <v>0</v>
      </c>
      <c r="N308" s="141" t="n">
        <v>77.4</v>
      </c>
      <c r="O308" s="141" t="n">
        <v>4.61</v>
      </c>
    </row>
    <row r="309" customFormat="false" ht="15" hidden="false" customHeight="false" outlineLevel="0" collapsed="false">
      <c r="A309" s="138" t="s">
        <v>1940</v>
      </c>
      <c r="B309" s="138" t="s">
        <v>1941</v>
      </c>
      <c r="C309" s="138" t="n">
        <v>285</v>
      </c>
      <c r="D309" s="138" t="n">
        <v>286</v>
      </c>
      <c r="E309" s="141" t="n">
        <f aca="false">F309/Parâmetros!$C$22</f>
        <v>437.8</v>
      </c>
      <c r="F309" s="141" t="n">
        <v>87.56</v>
      </c>
      <c r="G309" s="141" t="n">
        <v>894.02</v>
      </c>
      <c r="H309" s="141" t="n">
        <v>0</v>
      </c>
      <c r="I309" s="141" t="n">
        <v>356.7</v>
      </c>
      <c r="J309" s="141" t="n">
        <v>0</v>
      </c>
      <c r="K309" s="141" t="n">
        <v>0</v>
      </c>
      <c r="L309" s="141" t="n">
        <v>0</v>
      </c>
      <c r="M309" s="141" t="n">
        <v>0</v>
      </c>
      <c r="N309" s="141" t="n">
        <v>77.4</v>
      </c>
      <c r="O309" s="141" t="n">
        <v>4.61</v>
      </c>
    </row>
    <row r="310" customFormat="false" ht="15" hidden="false" customHeight="false" outlineLevel="0" collapsed="false">
      <c r="A310" s="138" t="s">
        <v>1941</v>
      </c>
      <c r="B310" s="138" t="s">
        <v>1942</v>
      </c>
      <c r="C310" s="138" t="n">
        <v>286</v>
      </c>
      <c r="D310" s="138" t="n">
        <v>287</v>
      </c>
      <c r="E310" s="141" t="n">
        <f aca="false">F310/Parâmetros!$C$22</f>
        <v>438.1</v>
      </c>
      <c r="F310" s="141" t="n">
        <v>87.62</v>
      </c>
      <c r="G310" s="141" t="n">
        <v>856.87</v>
      </c>
      <c r="H310" s="141" t="n">
        <v>0</v>
      </c>
      <c r="I310" s="141" t="n">
        <v>259.61</v>
      </c>
      <c r="J310" s="141" t="n">
        <v>0</v>
      </c>
      <c r="K310" s="141" t="n">
        <v>0</v>
      </c>
      <c r="L310" s="141" t="n">
        <v>0</v>
      </c>
      <c r="M310" s="141" t="n">
        <v>0</v>
      </c>
      <c r="N310" s="141" t="n">
        <v>77.4</v>
      </c>
      <c r="O310" s="141" t="n">
        <v>4.61</v>
      </c>
    </row>
    <row r="311" customFormat="false" ht="15" hidden="false" customHeight="false" outlineLevel="0" collapsed="false">
      <c r="A311" s="138" t="s">
        <v>1942</v>
      </c>
      <c r="B311" s="138" t="s">
        <v>1943</v>
      </c>
      <c r="C311" s="138" t="n">
        <v>287</v>
      </c>
      <c r="D311" s="138" t="n">
        <v>288</v>
      </c>
      <c r="E311" s="141" t="n">
        <f aca="false">F311/Parâmetros!$C$22</f>
        <v>433.8</v>
      </c>
      <c r="F311" s="141" t="n">
        <v>86.76</v>
      </c>
      <c r="G311" s="141" t="n">
        <v>820.96</v>
      </c>
      <c r="H311" s="141" t="n">
        <v>0</v>
      </c>
      <c r="I311" s="141" t="n">
        <v>221.09</v>
      </c>
      <c r="J311" s="141" t="n">
        <v>0</v>
      </c>
      <c r="K311" s="141" t="n">
        <v>0</v>
      </c>
      <c r="L311" s="141" t="n">
        <v>77.4</v>
      </c>
      <c r="M311" s="141" t="n">
        <v>0</v>
      </c>
      <c r="N311" s="141" t="n">
        <v>38.7</v>
      </c>
      <c r="O311" s="141" t="n">
        <v>4.61</v>
      </c>
    </row>
    <row r="312" customFormat="false" ht="15" hidden="false" customHeight="false" outlineLevel="0" collapsed="false">
      <c r="A312" s="138" t="s">
        <v>1943</v>
      </c>
      <c r="B312" s="138" t="s">
        <v>1944</v>
      </c>
      <c r="C312" s="138" t="n">
        <v>288</v>
      </c>
      <c r="D312" s="138" t="n">
        <v>289</v>
      </c>
      <c r="E312" s="141" t="n">
        <f aca="false">F312/Parâmetros!$C$22</f>
        <v>425.3</v>
      </c>
      <c r="F312" s="141" t="n">
        <v>85.06</v>
      </c>
      <c r="G312" s="141" t="n">
        <v>785.58</v>
      </c>
      <c r="H312" s="141" t="n">
        <v>0</v>
      </c>
      <c r="I312" s="141" t="n">
        <v>187.98</v>
      </c>
      <c r="J312" s="141" t="n">
        <v>0</v>
      </c>
      <c r="K312" s="141" t="n">
        <v>0</v>
      </c>
      <c r="L312" s="141" t="n">
        <v>154.8</v>
      </c>
      <c r="M312" s="141" t="n">
        <v>0</v>
      </c>
      <c r="N312" s="141" t="n">
        <v>0</v>
      </c>
      <c r="O312" s="141" t="n">
        <v>4.61</v>
      </c>
    </row>
    <row r="313" customFormat="false" ht="15" hidden="false" customHeight="false" outlineLevel="0" collapsed="false">
      <c r="A313" s="138" t="s">
        <v>1944</v>
      </c>
      <c r="B313" s="138" t="s">
        <v>1945</v>
      </c>
      <c r="C313" s="138" t="n">
        <v>289</v>
      </c>
      <c r="D313" s="138" t="n">
        <v>290</v>
      </c>
      <c r="E313" s="141" t="n">
        <f aca="false">F313/Parâmetros!$C$22</f>
        <v>417.65</v>
      </c>
      <c r="F313" s="141" t="n">
        <v>83.53</v>
      </c>
      <c r="G313" s="141" t="n">
        <v>742.54</v>
      </c>
      <c r="H313" s="141" t="n">
        <v>0</v>
      </c>
      <c r="I313" s="141" t="n">
        <v>108.71</v>
      </c>
      <c r="J313" s="141" t="n">
        <v>0</v>
      </c>
      <c r="K313" s="141" t="n">
        <v>0</v>
      </c>
      <c r="L313" s="141" t="n">
        <v>154.8</v>
      </c>
      <c r="M313" s="141" t="n">
        <v>0</v>
      </c>
      <c r="N313" s="141" t="n">
        <v>0</v>
      </c>
      <c r="O313" s="141" t="n">
        <v>4.61</v>
      </c>
    </row>
    <row r="314" customFormat="false" ht="15" hidden="false" customHeight="false" outlineLevel="0" collapsed="false">
      <c r="A314" s="138" t="s">
        <v>1945</v>
      </c>
      <c r="B314" s="138" t="s">
        <v>1946</v>
      </c>
      <c r="C314" s="138" t="n">
        <v>290</v>
      </c>
      <c r="D314" s="138" t="n">
        <v>291</v>
      </c>
      <c r="E314" s="141" t="n">
        <f aca="false">F314/Parâmetros!$C$22</f>
        <v>397.05</v>
      </c>
      <c r="F314" s="141" t="n">
        <v>79.41</v>
      </c>
      <c r="G314" s="141" t="n">
        <v>641.83</v>
      </c>
      <c r="H314" s="141" t="n">
        <v>0</v>
      </c>
      <c r="I314" s="141" t="n">
        <v>39.16</v>
      </c>
      <c r="J314" s="141" t="n">
        <v>0</v>
      </c>
      <c r="K314" s="141" t="n">
        <v>0</v>
      </c>
      <c r="L314" s="141" t="n">
        <v>154.8</v>
      </c>
      <c r="M314" s="141" t="n">
        <v>0</v>
      </c>
      <c r="N314" s="141" t="n">
        <v>0</v>
      </c>
      <c r="O314" s="141" t="n">
        <v>4.61</v>
      </c>
    </row>
    <row r="315" customFormat="false" ht="15" hidden="false" customHeight="false" outlineLevel="0" collapsed="false">
      <c r="A315" s="138" t="s">
        <v>1946</v>
      </c>
      <c r="B315" s="138" t="s">
        <v>1947</v>
      </c>
      <c r="C315" s="138" t="n">
        <v>291</v>
      </c>
      <c r="D315" s="138" t="n">
        <v>292</v>
      </c>
      <c r="E315" s="141" t="n">
        <f aca="false">F315/Parâmetros!$C$22</f>
        <v>375.85</v>
      </c>
      <c r="F315" s="141" t="n">
        <v>75.17</v>
      </c>
      <c r="G315" s="141" t="n">
        <v>505.26</v>
      </c>
      <c r="H315" s="141" t="n">
        <v>0</v>
      </c>
      <c r="I315" s="141" t="n">
        <v>9.48</v>
      </c>
      <c r="J315" s="141" t="n">
        <v>0</v>
      </c>
      <c r="K315" s="141" t="n">
        <v>0</v>
      </c>
      <c r="L315" s="141" t="n">
        <v>154.8</v>
      </c>
      <c r="M315" s="141" t="n">
        <v>0</v>
      </c>
      <c r="N315" s="141" t="n">
        <v>0</v>
      </c>
      <c r="O315" s="141" t="n">
        <v>4.61</v>
      </c>
    </row>
    <row r="316" customFormat="false" ht="15" hidden="false" customHeight="false" outlineLevel="0" collapsed="false">
      <c r="A316" s="138" t="s">
        <v>1947</v>
      </c>
      <c r="B316" s="138" t="s">
        <v>1948</v>
      </c>
      <c r="C316" s="138" t="n">
        <v>292</v>
      </c>
      <c r="D316" s="138" t="n">
        <v>293</v>
      </c>
      <c r="E316" s="141" t="n">
        <f aca="false">F316/Parâmetros!$C$22</f>
        <v>370.9</v>
      </c>
      <c r="F316" s="141" t="n">
        <v>74.18</v>
      </c>
      <c r="G316" s="141" t="n">
        <v>424.15</v>
      </c>
      <c r="H316" s="141" t="n">
        <v>0</v>
      </c>
      <c r="I316" s="141" t="n">
        <v>3.46</v>
      </c>
      <c r="J316" s="141" t="n">
        <v>0</v>
      </c>
      <c r="K316" s="141" t="n">
        <v>0</v>
      </c>
      <c r="L316" s="141" t="n">
        <v>154.8</v>
      </c>
      <c r="M316" s="141" t="n">
        <v>0</v>
      </c>
      <c r="N316" s="141" t="n">
        <v>0</v>
      </c>
      <c r="O316" s="141" t="n">
        <v>4.61</v>
      </c>
    </row>
    <row r="317" customFormat="false" ht="15" hidden="false" customHeight="false" outlineLevel="0" collapsed="false">
      <c r="A317" s="138" t="s">
        <v>1948</v>
      </c>
      <c r="B317" s="138" t="s">
        <v>1949</v>
      </c>
      <c r="C317" s="138" t="n">
        <v>293</v>
      </c>
      <c r="D317" s="138" t="n">
        <v>294</v>
      </c>
      <c r="E317" s="141" t="n">
        <f aca="false">F317/Parâmetros!$C$22</f>
        <v>369.55</v>
      </c>
      <c r="F317" s="141" t="n">
        <v>73.91</v>
      </c>
      <c r="G317" s="141" t="n">
        <v>408.77</v>
      </c>
      <c r="H317" s="141" t="n">
        <v>0</v>
      </c>
      <c r="I317" s="141" t="n">
        <v>6.02</v>
      </c>
      <c r="J317" s="141" t="n">
        <v>0</v>
      </c>
      <c r="K317" s="141" t="n">
        <v>0</v>
      </c>
      <c r="L317" s="141" t="n">
        <v>154.8</v>
      </c>
      <c r="M317" s="141" t="n">
        <v>0</v>
      </c>
      <c r="N317" s="141" t="n">
        <v>0</v>
      </c>
      <c r="O317" s="141" t="n">
        <v>4.61</v>
      </c>
    </row>
    <row r="318" customFormat="false" ht="15" hidden="false" customHeight="false" outlineLevel="0" collapsed="false">
      <c r="A318" s="138" t="s">
        <v>1949</v>
      </c>
      <c r="B318" s="138" t="s">
        <v>1950</v>
      </c>
      <c r="C318" s="138" t="n">
        <v>294</v>
      </c>
      <c r="D318" s="138" t="n">
        <v>295</v>
      </c>
      <c r="E318" s="141" t="n">
        <f aca="false">F318/Parâmetros!$C$22</f>
        <v>370.75</v>
      </c>
      <c r="F318" s="141" t="n">
        <v>74.15</v>
      </c>
      <c r="G318" s="141" t="n">
        <v>400.58</v>
      </c>
      <c r="H318" s="141" t="n">
        <v>0</v>
      </c>
      <c r="I318" s="141" t="n">
        <v>37.34</v>
      </c>
      <c r="J318" s="141" t="n">
        <v>0</v>
      </c>
      <c r="K318" s="141" t="n">
        <v>0</v>
      </c>
      <c r="L318" s="141" t="n">
        <v>154.8</v>
      </c>
      <c r="M318" s="141" t="n">
        <v>0</v>
      </c>
      <c r="N318" s="141" t="n">
        <v>0</v>
      </c>
      <c r="O318" s="141" t="n">
        <v>4.61</v>
      </c>
    </row>
    <row r="319" customFormat="false" ht="15" hidden="false" customHeight="false" outlineLevel="0" collapsed="false">
      <c r="A319" s="138" t="s">
        <v>1950</v>
      </c>
      <c r="B319" s="138" t="s">
        <v>1951</v>
      </c>
      <c r="C319" s="138" t="n">
        <v>295</v>
      </c>
      <c r="D319" s="138" t="n">
        <v>296</v>
      </c>
      <c r="E319" s="141" t="n">
        <f aca="false">F319/Parâmetros!$C$22</f>
        <v>373.1</v>
      </c>
      <c r="F319" s="141" t="n">
        <v>74.62</v>
      </c>
      <c r="G319" s="141" t="n">
        <v>362.71</v>
      </c>
      <c r="H319" s="141" t="n">
        <v>0</v>
      </c>
      <c r="I319" s="141" t="n">
        <v>104.43</v>
      </c>
      <c r="J319" s="141" t="n">
        <v>0</v>
      </c>
      <c r="K319" s="141" t="n">
        <v>0</v>
      </c>
      <c r="L319" s="141" t="n">
        <v>154.8</v>
      </c>
      <c r="M319" s="141" t="n">
        <v>0</v>
      </c>
      <c r="N319" s="141" t="n">
        <v>0</v>
      </c>
      <c r="O319" s="141" t="n">
        <v>4.61</v>
      </c>
    </row>
    <row r="320" customFormat="false" ht="15" hidden="false" customHeight="false" outlineLevel="0" collapsed="false">
      <c r="A320" s="138" t="s">
        <v>1951</v>
      </c>
      <c r="B320" s="138" t="s">
        <v>1952</v>
      </c>
      <c r="C320" s="138" t="n">
        <v>296</v>
      </c>
      <c r="D320" s="138" t="n">
        <v>297</v>
      </c>
      <c r="E320" s="141" t="n">
        <f aca="false">F320/Parâmetros!$C$22</f>
        <v>389.3</v>
      </c>
      <c r="F320" s="141" t="n">
        <v>77.86</v>
      </c>
      <c r="G320" s="141" t="n">
        <v>287.23</v>
      </c>
      <c r="H320" s="141" t="n">
        <v>0</v>
      </c>
      <c r="I320" s="141" t="n">
        <v>145.36</v>
      </c>
      <c r="J320" s="141" t="n">
        <v>0</v>
      </c>
      <c r="K320" s="141" t="n">
        <v>0</v>
      </c>
      <c r="L320" s="141" t="n">
        <v>77.4</v>
      </c>
      <c r="M320" s="141" t="n">
        <v>0</v>
      </c>
      <c r="N320" s="141" t="n">
        <v>116.1</v>
      </c>
      <c r="O320" s="141" t="n">
        <v>4.61</v>
      </c>
    </row>
    <row r="321" customFormat="false" ht="15" hidden="false" customHeight="false" outlineLevel="0" collapsed="false">
      <c r="A321" s="138" t="s">
        <v>1952</v>
      </c>
      <c r="B321" s="138" t="s">
        <v>1953</v>
      </c>
      <c r="C321" s="138" t="n">
        <v>297</v>
      </c>
      <c r="D321" s="138" t="n">
        <v>298</v>
      </c>
      <c r="E321" s="141" t="n">
        <f aca="false">F321/Parâmetros!$C$22</f>
        <v>401.1</v>
      </c>
      <c r="F321" s="141" t="n">
        <v>80.22</v>
      </c>
      <c r="G321" s="141" t="n">
        <v>186.8</v>
      </c>
      <c r="H321" s="141" t="n">
        <v>0</v>
      </c>
      <c r="I321" s="141" t="n">
        <v>208.29</v>
      </c>
      <c r="J321" s="141" t="n">
        <v>0</v>
      </c>
      <c r="K321" s="141" t="n">
        <v>0</v>
      </c>
      <c r="L321" s="141" t="n">
        <v>0</v>
      </c>
      <c r="M321" s="141" t="n">
        <v>0</v>
      </c>
      <c r="N321" s="141" t="n">
        <v>77.4</v>
      </c>
      <c r="O321" s="141" t="n">
        <v>4.61</v>
      </c>
    </row>
    <row r="322" customFormat="false" ht="15" hidden="false" customHeight="false" outlineLevel="0" collapsed="false">
      <c r="A322" s="138" t="s">
        <v>1953</v>
      </c>
      <c r="B322" s="138" t="s">
        <v>1954</v>
      </c>
      <c r="C322" s="138" t="n">
        <v>298</v>
      </c>
      <c r="D322" s="138" t="n">
        <v>299</v>
      </c>
      <c r="E322" s="141" t="n">
        <f aca="false">F322/Parâmetros!$C$22</f>
        <v>393.3</v>
      </c>
      <c r="F322" s="141" t="n">
        <v>78.66</v>
      </c>
      <c r="G322" s="141" t="n">
        <v>87.32</v>
      </c>
      <c r="H322" s="141" t="n">
        <v>0</v>
      </c>
      <c r="I322" s="141" t="n">
        <v>329.79</v>
      </c>
      <c r="J322" s="141" t="n">
        <v>0</v>
      </c>
      <c r="K322" s="141" t="n">
        <v>0</v>
      </c>
      <c r="L322" s="141" t="n">
        <v>0</v>
      </c>
      <c r="M322" s="141" t="n">
        <v>0</v>
      </c>
      <c r="N322" s="141" t="n">
        <v>77.4</v>
      </c>
      <c r="O322" s="141" t="n">
        <v>4.61</v>
      </c>
    </row>
    <row r="323" customFormat="false" ht="15" hidden="false" customHeight="false" outlineLevel="0" collapsed="false">
      <c r="A323" s="138" t="s">
        <v>1954</v>
      </c>
      <c r="B323" s="138" t="s">
        <v>1955</v>
      </c>
      <c r="C323" s="138" t="n">
        <v>299</v>
      </c>
      <c r="D323" s="138" t="n">
        <v>300</v>
      </c>
      <c r="E323" s="141" t="n">
        <f aca="false">F323/Parâmetros!$C$22</f>
        <v>384.45</v>
      </c>
      <c r="F323" s="141" t="n">
        <v>76.89</v>
      </c>
      <c r="G323" s="141" t="n">
        <v>18.8</v>
      </c>
      <c r="H323" s="141" t="n">
        <v>0</v>
      </c>
      <c r="I323" s="141" t="n">
        <v>425.06</v>
      </c>
      <c r="J323" s="141" t="n">
        <v>0</v>
      </c>
      <c r="K323" s="141" t="n">
        <v>0</v>
      </c>
      <c r="L323" s="141" t="n">
        <v>0</v>
      </c>
      <c r="M323" s="141" t="n">
        <v>0</v>
      </c>
      <c r="N323" s="141" t="n">
        <v>77.4</v>
      </c>
      <c r="O323" s="141" t="n">
        <v>4.61</v>
      </c>
    </row>
    <row r="324" customFormat="false" ht="15" hidden="false" customHeight="false" outlineLevel="0" collapsed="false">
      <c r="A324" s="138" t="s">
        <v>1955</v>
      </c>
      <c r="B324" s="138" t="s">
        <v>1956</v>
      </c>
      <c r="C324" s="138" t="n">
        <v>300</v>
      </c>
      <c r="D324" s="138" t="n">
        <v>301</v>
      </c>
      <c r="E324" s="141" t="n">
        <f aca="false">F324/Parâmetros!$C$22</f>
        <v>381.7</v>
      </c>
      <c r="F324" s="141" t="n">
        <v>76.34</v>
      </c>
      <c r="G324" s="141" t="n">
        <v>21.38</v>
      </c>
      <c r="H324" s="141" t="n">
        <v>0</v>
      </c>
      <c r="I324" s="141" t="n">
        <v>349.52</v>
      </c>
      <c r="J324" s="141" t="n">
        <v>0</v>
      </c>
      <c r="K324" s="141" t="n">
        <v>0</v>
      </c>
      <c r="L324" s="141" t="n">
        <v>0</v>
      </c>
      <c r="M324" s="141" t="n">
        <v>0</v>
      </c>
      <c r="N324" s="141" t="n">
        <v>77.4</v>
      </c>
      <c r="O324" s="141" t="n">
        <v>4.61</v>
      </c>
    </row>
    <row r="325" customFormat="false" ht="15" hidden="false" customHeight="false" outlineLevel="0" collapsed="false">
      <c r="A325" s="138" t="s">
        <v>1956</v>
      </c>
      <c r="B325" s="138" t="s">
        <v>1957</v>
      </c>
      <c r="C325" s="138" t="n">
        <v>301</v>
      </c>
      <c r="D325" s="138" t="n">
        <v>302</v>
      </c>
      <c r="E325" s="141" t="n">
        <f aca="false">F325/Parâmetros!$C$22</f>
        <v>368.85</v>
      </c>
      <c r="F325" s="141" t="n">
        <v>73.77</v>
      </c>
      <c r="G325" s="141" t="n">
        <v>158.35</v>
      </c>
      <c r="H325" s="141" t="n">
        <v>0</v>
      </c>
      <c r="I325" s="141" t="n">
        <v>174.64</v>
      </c>
      <c r="J325" s="141" t="n">
        <v>0</v>
      </c>
      <c r="K325" s="141" t="n">
        <v>0</v>
      </c>
      <c r="L325" s="141" t="n">
        <v>77.4</v>
      </c>
      <c r="M325" s="141" t="n">
        <v>0</v>
      </c>
      <c r="N325" s="141" t="n">
        <v>38.7</v>
      </c>
      <c r="O325" s="141" t="n">
        <v>4.61</v>
      </c>
    </row>
    <row r="326" customFormat="false" ht="15" hidden="false" customHeight="false" outlineLevel="0" collapsed="false">
      <c r="A326" s="138" t="s">
        <v>1957</v>
      </c>
      <c r="B326" s="138" t="s">
        <v>1958</v>
      </c>
      <c r="C326" s="138" t="n">
        <v>302</v>
      </c>
      <c r="D326" s="138" t="n">
        <v>303</v>
      </c>
      <c r="E326" s="141" t="n">
        <f aca="false">F326/Parâmetros!$C$22</f>
        <v>355.8</v>
      </c>
      <c r="F326" s="141" t="n">
        <v>71.16</v>
      </c>
      <c r="G326" s="141" t="n">
        <v>258.97</v>
      </c>
      <c r="H326" s="141" t="n">
        <v>0</v>
      </c>
      <c r="I326" s="141" t="n">
        <v>58.77</v>
      </c>
      <c r="J326" s="141" t="n">
        <v>0</v>
      </c>
      <c r="K326" s="141" t="n">
        <v>0</v>
      </c>
      <c r="L326" s="141" t="n">
        <v>154.8</v>
      </c>
      <c r="M326" s="141" t="n">
        <v>0</v>
      </c>
      <c r="N326" s="141" t="n">
        <v>0</v>
      </c>
      <c r="O326" s="141" t="n">
        <v>4.61</v>
      </c>
    </row>
    <row r="327" customFormat="false" ht="15" hidden="false" customHeight="false" outlineLevel="0" collapsed="false">
      <c r="A327" s="138" t="s">
        <v>1958</v>
      </c>
      <c r="B327" s="138" t="s">
        <v>1959</v>
      </c>
      <c r="C327" s="138" t="n">
        <v>303</v>
      </c>
      <c r="D327" s="138" t="n">
        <v>304</v>
      </c>
      <c r="E327" s="141" t="n">
        <f aca="false">F327/Parâmetros!$C$22</f>
        <v>339.8</v>
      </c>
      <c r="F327" s="141" t="n">
        <v>67.96</v>
      </c>
      <c r="G327" s="141" t="n">
        <v>280.1</v>
      </c>
      <c r="H327" s="141" t="n">
        <v>0</v>
      </c>
      <c r="I327" s="141" t="n">
        <v>3.5</v>
      </c>
      <c r="J327" s="141" t="n">
        <v>0</v>
      </c>
      <c r="K327" s="141" t="n">
        <v>0</v>
      </c>
      <c r="L327" s="141" t="n">
        <v>154.8</v>
      </c>
      <c r="M327" s="141" t="n">
        <v>0</v>
      </c>
      <c r="N327" s="141" t="n">
        <v>0</v>
      </c>
      <c r="O327" s="141" t="n">
        <v>4.61</v>
      </c>
    </row>
    <row r="328" customFormat="false" ht="15" hidden="false" customHeight="false" outlineLevel="0" collapsed="false">
      <c r="A328" s="138" t="s">
        <v>1959</v>
      </c>
      <c r="B328" s="138" t="s">
        <v>1960</v>
      </c>
      <c r="C328" s="138" t="n">
        <v>304</v>
      </c>
      <c r="D328" s="138" t="n">
        <v>305</v>
      </c>
      <c r="E328" s="141" t="n">
        <f aca="false">F328/Parâmetros!$C$22</f>
        <v>273.1</v>
      </c>
      <c r="F328" s="141" t="n">
        <v>54.62</v>
      </c>
      <c r="G328" s="141" t="n">
        <v>255.2</v>
      </c>
      <c r="H328" s="141" t="n">
        <v>0</v>
      </c>
      <c r="I328" s="141" t="n">
        <v>0</v>
      </c>
      <c r="J328" s="141" t="n">
        <v>0</v>
      </c>
      <c r="K328" s="141" t="n">
        <v>1.5</v>
      </c>
      <c r="L328" s="141" t="n">
        <v>154.8</v>
      </c>
      <c r="M328" s="141" t="n">
        <v>0</v>
      </c>
      <c r="N328" s="141" t="n">
        <v>0</v>
      </c>
      <c r="O328" s="141" t="n">
        <v>4.61</v>
      </c>
    </row>
    <row r="329" customFormat="false" ht="15" hidden="false" customHeight="false" outlineLevel="0" collapsed="false">
      <c r="A329" s="138" t="s">
        <v>1960</v>
      </c>
      <c r="B329" s="138" t="s">
        <v>1961</v>
      </c>
      <c r="C329" s="138" t="n">
        <v>305</v>
      </c>
      <c r="D329" s="138" t="n">
        <v>306</v>
      </c>
      <c r="E329" s="141" t="n">
        <f aca="false">F329/Parâmetros!$C$22</f>
        <v>244.45</v>
      </c>
      <c r="F329" s="141" t="n">
        <v>48.89</v>
      </c>
      <c r="G329" s="141" t="n">
        <v>208.06</v>
      </c>
      <c r="H329" s="141" t="n">
        <v>0</v>
      </c>
      <c r="I329" s="141" t="n">
        <v>0</v>
      </c>
      <c r="J329" s="141" t="n">
        <v>0</v>
      </c>
      <c r="K329" s="141" t="n">
        <v>2.6</v>
      </c>
      <c r="L329" s="141" t="n">
        <v>156.55</v>
      </c>
      <c r="M329" s="141" t="n">
        <v>0</v>
      </c>
      <c r="N329" s="141" t="n">
        <v>0</v>
      </c>
      <c r="O329" s="141" t="n">
        <v>4.46</v>
      </c>
    </row>
    <row r="330" customFormat="false" ht="15" hidden="false" customHeight="false" outlineLevel="0" collapsed="false">
      <c r="A330" s="138" t="s">
        <v>1961</v>
      </c>
      <c r="B330" s="138" t="s">
        <v>1962</v>
      </c>
      <c r="C330" s="138" t="n">
        <v>306</v>
      </c>
      <c r="D330" s="138" t="n">
        <v>307</v>
      </c>
      <c r="E330" s="141" t="n">
        <f aca="false">F330/Parâmetros!$C$22</f>
        <v>266.65</v>
      </c>
      <c r="F330" s="141" t="n">
        <v>53.33</v>
      </c>
      <c r="G330" s="141" t="n">
        <v>127.41</v>
      </c>
      <c r="H330" s="141" t="n">
        <v>0</v>
      </c>
      <c r="I330" s="141" t="n">
        <v>0</v>
      </c>
      <c r="J330" s="141" t="n">
        <v>0</v>
      </c>
      <c r="K330" s="141" t="n">
        <v>20.29</v>
      </c>
      <c r="L330" s="141" t="n">
        <v>156.55</v>
      </c>
      <c r="M330" s="141" t="n">
        <v>0</v>
      </c>
      <c r="N330" s="141" t="n">
        <v>0</v>
      </c>
      <c r="O330" s="141" t="n">
        <v>4.32</v>
      </c>
    </row>
    <row r="331" customFormat="false" ht="15" hidden="false" customHeight="false" outlineLevel="0" collapsed="false">
      <c r="A331" s="138" t="s">
        <v>1962</v>
      </c>
      <c r="B331" s="138" t="s">
        <v>1963</v>
      </c>
      <c r="C331" s="138" t="n">
        <v>307</v>
      </c>
      <c r="D331" s="138" t="n">
        <v>308</v>
      </c>
      <c r="E331" s="141" t="n">
        <f aca="false">F331/Parâmetros!$C$22</f>
        <v>258.1</v>
      </c>
      <c r="F331" s="141" t="n">
        <v>51.62</v>
      </c>
      <c r="G331" s="141" t="n">
        <v>39.31</v>
      </c>
      <c r="H331" s="141" t="n">
        <v>0</v>
      </c>
      <c r="I331" s="141" t="n">
        <v>0</v>
      </c>
      <c r="J331" s="141" t="n">
        <v>0</v>
      </c>
      <c r="K331" s="141" t="n">
        <v>86.43</v>
      </c>
      <c r="L331" s="141" t="n">
        <v>161.67</v>
      </c>
      <c r="M331" s="141" t="n">
        <v>0</v>
      </c>
      <c r="N331" s="141" t="n">
        <v>0</v>
      </c>
      <c r="O331" s="141" t="n">
        <v>4.17</v>
      </c>
    </row>
    <row r="332" customFormat="false" ht="15" hidden="false" customHeight="false" outlineLevel="0" collapsed="false">
      <c r="A332" s="138" t="s">
        <v>1963</v>
      </c>
      <c r="B332" s="138" t="s">
        <v>1964</v>
      </c>
      <c r="C332" s="138" t="n">
        <v>308</v>
      </c>
      <c r="D332" s="138" t="n">
        <v>309</v>
      </c>
      <c r="E332" s="141" t="n">
        <f aca="false">F332/Parâmetros!$C$22</f>
        <v>260.3</v>
      </c>
      <c r="F332" s="141" t="n">
        <v>52.06</v>
      </c>
      <c r="G332" s="141" t="n">
        <v>0.71</v>
      </c>
      <c r="H332" s="141" t="n">
        <v>0</v>
      </c>
      <c r="I332" s="141" t="n">
        <v>0</v>
      </c>
      <c r="J332" s="141" t="n">
        <v>0</v>
      </c>
      <c r="K332" s="141" t="n">
        <v>187.5</v>
      </c>
      <c r="L332" s="141" t="n">
        <v>171.57</v>
      </c>
      <c r="M332" s="141" t="n">
        <v>0</v>
      </c>
      <c r="N332" s="141" t="n">
        <v>0</v>
      </c>
      <c r="O332" s="141" t="n">
        <v>4.03</v>
      </c>
    </row>
    <row r="333" customFormat="false" ht="15" hidden="false" customHeight="false" outlineLevel="0" collapsed="false">
      <c r="A333" s="138" t="s">
        <v>1964</v>
      </c>
      <c r="B333" s="138" t="s">
        <v>1965</v>
      </c>
      <c r="C333" s="138" t="n">
        <v>309</v>
      </c>
      <c r="D333" s="138" t="n">
        <v>310</v>
      </c>
      <c r="E333" s="141" t="n">
        <f aca="false">F333/Parâmetros!$C$22</f>
        <v>283.6</v>
      </c>
      <c r="F333" s="141" t="n">
        <v>56.72</v>
      </c>
      <c r="G333" s="141" t="n">
        <v>0</v>
      </c>
      <c r="H333" s="141" t="n">
        <v>0</v>
      </c>
      <c r="I333" s="141" t="n">
        <v>0</v>
      </c>
      <c r="J333" s="141" t="n">
        <v>0</v>
      </c>
      <c r="K333" s="141" t="n">
        <v>269.85</v>
      </c>
      <c r="L333" s="141" t="n">
        <v>175.56</v>
      </c>
      <c r="M333" s="141" t="n">
        <v>0</v>
      </c>
      <c r="N333" s="141" t="n">
        <v>0</v>
      </c>
      <c r="O333" s="141" t="n">
        <v>4.03</v>
      </c>
    </row>
    <row r="334" customFormat="false" ht="15" hidden="false" customHeight="false" outlineLevel="0" collapsed="false">
      <c r="A334" s="138" t="s">
        <v>1965</v>
      </c>
      <c r="B334" s="138" t="s">
        <v>1966</v>
      </c>
      <c r="C334" s="138" t="n">
        <v>310</v>
      </c>
      <c r="D334" s="138" t="n">
        <v>311</v>
      </c>
      <c r="E334" s="141" t="n">
        <f aca="false">F334/Parâmetros!$C$22</f>
        <v>297.15</v>
      </c>
      <c r="F334" s="141" t="n">
        <v>59.43</v>
      </c>
      <c r="G334" s="141" t="n">
        <v>0</v>
      </c>
      <c r="H334" s="141" t="n">
        <v>0</v>
      </c>
      <c r="I334" s="141" t="n">
        <v>0</v>
      </c>
      <c r="J334" s="141" t="n">
        <v>0</v>
      </c>
      <c r="K334" s="141" t="n">
        <v>300.27</v>
      </c>
      <c r="L334" s="141" t="n">
        <v>176.5</v>
      </c>
      <c r="M334" s="141" t="n">
        <v>0</v>
      </c>
      <c r="N334" s="141" t="n">
        <v>0</v>
      </c>
      <c r="O334" s="141" t="n">
        <v>4.03</v>
      </c>
    </row>
    <row r="335" customFormat="false" ht="15" hidden="false" customHeight="false" outlineLevel="0" collapsed="false">
      <c r="A335" s="138" t="s">
        <v>1966</v>
      </c>
      <c r="B335" s="138" t="s">
        <v>1967</v>
      </c>
      <c r="C335" s="138" t="n">
        <v>311</v>
      </c>
      <c r="D335" s="138" t="n">
        <v>312</v>
      </c>
      <c r="E335" s="141" t="n">
        <f aca="false">F335/Parâmetros!$C$22</f>
        <v>496.65</v>
      </c>
      <c r="F335" s="141" t="n">
        <v>99.33</v>
      </c>
      <c r="G335" s="141" t="n">
        <v>40.1</v>
      </c>
      <c r="H335" s="141" t="n">
        <v>0</v>
      </c>
      <c r="I335" s="141" t="n">
        <v>0</v>
      </c>
      <c r="J335" s="141" t="n">
        <v>0</v>
      </c>
      <c r="K335" s="141" t="n">
        <v>379.4</v>
      </c>
      <c r="L335" s="141" t="n">
        <v>159.46</v>
      </c>
      <c r="M335" s="141" t="n">
        <v>0</v>
      </c>
      <c r="N335" s="141" t="n">
        <v>0</v>
      </c>
      <c r="O335" s="141" t="n">
        <v>3.02</v>
      </c>
    </row>
    <row r="336" customFormat="false" ht="15" hidden="false" customHeight="false" outlineLevel="0" collapsed="false">
      <c r="A336" s="138" t="s">
        <v>1967</v>
      </c>
      <c r="B336" s="138" t="s">
        <v>1969</v>
      </c>
      <c r="C336" s="138" t="n">
        <v>312</v>
      </c>
      <c r="D336" s="138" t="n">
        <v>313</v>
      </c>
      <c r="E336" s="141" t="n">
        <f aca="false">F336/Parâmetros!$C$22</f>
        <v>503.5</v>
      </c>
      <c r="F336" s="141" t="n">
        <v>100.7</v>
      </c>
      <c r="G336" s="141" t="n">
        <v>40.1</v>
      </c>
      <c r="H336" s="141" t="n">
        <v>0</v>
      </c>
      <c r="I336" s="141" t="n">
        <v>0</v>
      </c>
      <c r="J336" s="141" t="n">
        <v>0</v>
      </c>
      <c r="K336" s="141" t="n">
        <v>362.87</v>
      </c>
      <c r="L336" s="141" t="n">
        <v>158.78</v>
      </c>
      <c r="M336" s="141" t="n">
        <v>0</v>
      </c>
      <c r="N336" s="141" t="n">
        <v>0</v>
      </c>
      <c r="O336" s="141" t="n">
        <v>3.02</v>
      </c>
    </row>
    <row r="337" customFormat="false" ht="15" hidden="false" customHeight="false" outlineLevel="0" collapsed="false">
      <c r="A337" s="138" t="s">
        <v>1969</v>
      </c>
      <c r="B337" s="138" t="s">
        <v>1970</v>
      </c>
      <c r="C337" s="138" t="n">
        <v>313</v>
      </c>
      <c r="D337" s="138" t="n">
        <v>314</v>
      </c>
      <c r="E337" s="141" t="n">
        <f aca="false">F337/Parâmetros!$C$22</f>
        <v>316.55</v>
      </c>
      <c r="F337" s="141" t="n">
        <v>63.31</v>
      </c>
      <c r="G337" s="141" t="n">
        <v>0.01</v>
      </c>
      <c r="H337" s="141" t="n">
        <v>0</v>
      </c>
      <c r="I337" s="141" t="n">
        <v>0</v>
      </c>
      <c r="J337" s="141" t="n">
        <v>0</v>
      </c>
      <c r="K337" s="141" t="n">
        <v>267.7</v>
      </c>
      <c r="L337" s="141" t="n">
        <v>174.18</v>
      </c>
      <c r="M337" s="141" t="n">
        <v>0</v>
      </c>
      <c r="N337" s="141" t="n">
        <v>0</v>
      </c>
      <c r="O337" s="141" t="n">
        <v>4.03</v>
      </c>
    </row>
    <row r="338" customFormat="false" ht="15" hidden="false" customHeight="false" outlineLevel="0" collapsed="false">
      <c r="A338" s="138" t="s">
        <v>1970</v>
      </c>
      <c r="B338" s="138" t="s">
        <v>1971</v>
      </c>
      <c r="C338" s="138" t="n">
        <v>314</v>
      </c>
      <c r="D338" s="138" t="n">
        <v>315</v>
      </c>
      <c r="E338" s="141" t="n">
        <f aca="false">F338/Parâmetros!$C$22</f>
        <v>322.65</v>
      </c>
      <c r="F338" s="141" t="n">
        <v>64.53</v>
      </c>
      <c r="G338" s="141" t="n">
        <v>9.71</v>
      </c>
      <c r="H338" s="141" t="n">
        <v>0</v>
      </c>
      <c r="I338" s="141" t="n">
        <v>0</v>
      </c>
      <c r="J338" s="141" t="n">
        <v>0</v>
      </c>
      <c r="K338" s="141" t="n">
        <v>241.53</v>
      </c>
      <c r="L338" s="141" t="n">
        <v>158.32</v>
      </c>
      <c r="M338" s="141" t="n">
        <v>0</v>
      </c>
      <c r="N338" s="141" t="n">
        <v>0</v>
      </c>
      <c r="O338" s="141" t="n">
        <v>3.02</v>
      </c>
    </row>
    <row r="339" customFormat="false" ht="15" hidden="false" customHeight="false" outlineLevel="0" collapsed="false">
      <c r="A339" s="138" t="s">
        <v>1971</v>
      </c>
      <c r="B339" s="138" t="s">
        <v>3788</v>
      </c>
      <c r="C339" s="138" t="n">
        <v>315</v>
      </c>
      <c r="D339" s="138" t="n">
        <v>315.593</v>
      </c>
      <c r="E339" s="141" t="n">
        <f aca="false">F339/Parâmetros!$C$22</f>
        <v>176.25</v>
      </c>
      <c r="F339" s="141" t="n">
        <v>35.25</v>
      </c>
      <c r="G339" s="141" t="n">
        <v>8.09</v>
      </c>
      <c r="H339" s="141" t="n">
        <v>0</v>
      </c>
      <c r="I339" s="141" t="n">
        <v>0</v>
      </c>
      <c r="J339" s="141" t="n">
        <v>0</v>
      </c>
      <c r="K339" s="141" t="n">
        <v>127.43</v>
      </c>
      <c r="L339" s="141" t="n">
        <v>85.75</v>
      </c>
      <c r="M339" s="141" t="n">
        <v>0</v>
      </c>
      <c r="N339" s="141" t="n">
        <v>0</v>
      </c>
      <c r="O339" s="141" t="n">
        <v>1.2</v>
      </c>
    </row>
    <row r="340" customFormat="false" ht="15" hidden="false" customHeight="false" outlineLevel="0" collapsed="false">
      <c r="A340" s="138" t="s">
        <v>3788</v>
      </c>
      <c r="B340" s="138" t="s">
        <v>1972</v>
      </c>
      <c r="C340" s="138" t="n">
        <v>315.593</v>
      </c>
      <c r="D340" s="138" t="n">
        <v>316</v>
      </c>
      <c r="E340" s="141" t="n">
        <f aca="false">F340/Parâmetros!$C$22</f>
        <v>161.45</v>
      </c>
      <c r="F340" s="141" t="n">
        <v>32.29</v>
      </c>
      <c r="G340" s="141" t="n">
        <v>12.6</v>
      </c>
      <c r="H340" s="141" t="n">
        <v>0</v>
      </c>
      <c r="I340" s="141" t="n">
        <v>0</v>
      </c>
      <c r="J340" s="141" t="n">
        <v>0</v>
      </c>
      <c r="K340" s="141" t="n">
        <v>68.71</v>
      </c>
      <c r="L340" s="141" t="n">
        <v>57.82</v>
      </c>
      <c r="M340" s="141" t="n">
        <v>0</v>
      </c>
      <c r="N340" s="141" t="n">
        <v>0</v>
      </c>
      <c r="O340" s="141" t="n">
        <v>0.82</v>
      </c>
    </row>
    <row r="341" customFormat="false" ht="15" hidden="false" customHeight="false" outlineLevel="0" collapsed="false">
      <c r="A341" s="138" t="s">
        <v>1972</v>
      </c>
      <c r="B341" s="138" t="s">
        <v>1973</v>
      </c>
      <c r="C341" s="138" t="n">
        <v>316</v>
      </c>
      <c r="D341" s="138" t="n">
        <v>317</v>
      </c>
      <c r="E341" s="141" t="n">
        <f aca="false">F341/Parâmetros!$C$22</f>
        <v>384.9</v>
      </c>
      <c r="F341" s="141" t="n">
        <v>76.98</v>
      </c>
      <c r="G341" s="141" t="n">
        <v>42.4</v>
      </c>
      <c r="H341" s="141" t="n">
        <v>0</v>
      </c>
      <c r="I341" s="141" t="n">
        <v>0</v>
      </c>
      <c r="J341" s="141" t="n">
        <v>0</v>
      </c>
      <c r="K341" s="141" t="n">
        <v>70.32</v>
      </c>
      <c r="L341" s="141" t="n">
        <v>149.99</v>
      </c>
      <c r="M341" s="141" t="n">
        <v>0</v>
      </c>
      <c r="N341" s="141" t="n">
        <v>0</v>
      </c>
      <c r="O341" s="141" t="n">
        <v>3.02</v>
      </c>
    </row>
    <row r="342" customFormat="false" ht="15" hidden="false" customHeight="false" outlineLevel="0" collapsed="false">
      <c r="A342" s="138" t="s">
        <v>1973</v>
      </c>
      <c r="B342" s="138" t="s">
        <v>3789</v>
      </c>
      <c r="C342" s="138" t="n">
        <v>317</v>
      </c>
      <c r="D342" s="138" t="n">
        <v>317.1625</v>
      </c>
      <c r="E342" s="141" t="n">
        <f aca="false">F342/Parâmetros!$C$22</f>
        <v>39.65</v>
      </c>
      <c r="F342" s="141" t="n">
        <v>7.93</v>
      </c>
      <c r="G342" s="141" t="n">
        <v>8.39</v>
      </c>
      <c r="H342" s="141" t="n">
        <v>0</v>
      </c>
      <c r="I342" s="141" t="n">
        <v>0</v>
      </c>
      <c r="J342" s="141" t="n">
        <v>0</v>
      </c>
      <c r="K342" s="141" t="n">
        <v>2.65</v>
      </c>
      <c r="L342" s="141" t="n">
        <v>26.22</v>
      </c>
      <c r="M342" s="141" t="n">
        <v>0</v>
      </c>
      <c r="N342" s="141" t="n">
        <v>0</v>
      </c>
      <c r="O342" s="141" t="n">
        <v>0.75</v>
      </c>
    </row>
    <row r="343" customFormat="false" ht="15" hidden="false" customHeight="false" outlineLevel="0" collapsed="false">
      <c r="A343" s="138" t="s">
        <v>3789</v>
      </c>
      <c r="B343" s="138" t="s">
        <v>1975</v>
      </c>
      <c r="C343" s="138" t="n">
        <v>317.1625</v>
      </c>
      <c r="D343" s="138" t="n">
        <v>318</v>
      </c>
      <c r="E343" s="141" t="n">
        <f aca="false">F343/Parâmetros!$C$22</f>
        <v>222.95</v>
      </c>
      <c r="F343" s="141" t="n">
        <v>44.59</v>
      </c>
      <c r="G343" s="141" t="n">
        <v>85.36</v>
      </c>
      <c r="H343" s="141" t="n">
        <v>0</v>
      </c>
      <c r="I343" s="141" t="n">
        <v>0</v>
      </c>
      <c r="J343" s="141" t="n">
        <v>0</v>
      </c>
      <c r="K343" s="141" t="n">
        <v>10</v>
      </c>
      <c r="L343" s="141" t="n">
        <v>134.78</v>
      </c>
      <c r="M343" s="141" t="n">
        <v>0</v>
      </c>
      <c r="N343" s="141" t="n">
        <v>0</v>
      </c>
      <c r="O343" s="141" t="n">
        <v>4.12</v>
      </c>
    </row>
    <row r="344" customFormat="false" ht="15" hidden="false" customHeight="false" outlineLevel="0" collapsed="false">
      <c r="A344" s="138" t="s">
        <v>1975</v>
      </c>
      <c r="B344" s="138" t="s">
        <v>3790</v>
      </c>
      <c r="C344" s="138" t="n">
        <v>318</v>
      </c>
      <c r="D344" s="138" t="n">
        <v>318.7315</v>
      </c>
      <c r="E344" s="141" t="n">
        <f aca="false">F344/Parâmetros!$C$22</f>
        <v>215.25</v>
      </c>
      <c r="F344" s="141" t="n">
        <v>43.05</v>
      </c>
      <c r="G344" s="141" t="n">
        <v>76.84</v>
      </c>
      <c r="H344" s="141" t="n">
        <v>0</v>
      </c>
      <c r="I344" s="141" t="n">
        <v>0</v>
      </c>
      <c r="J344" s="141" t="n">
        <v>0</v>
      </c>
      <c r="K344" s="141" t="n">
        <v>11.87</v>
      </c>
      <c r="L344" s="141" t="n">
        <v>120.73</v>
      </c>
      <c r="M344" s="141" t="n">
        <v>0</v>
      </c>
      <c r="N344" s="141" t="n">
        <v>0</v>
      </c>
      <c r="O344" s="141" t="n">
        <v>3.27</v>
      </c>
    </row>
    <row r="345" customFormat="false" ht="15" hidden="false" customHeight="false" outlineLevel="0" collapsed="false">
      <c r="A345" s="138" t="s">
        <v>3790</v>
      </c>
      <c r="B345" s="138" t="s">
        <v>1569</v>
      </c>
      <c r="C345" s="138" t="n">
        <v>318.7315</v>
      </c>
      <c r="D345" s="138" t="n">
        <v>319</v>
      </c>
      <c r="E345" s="141" t="n">
        <f aca="false">F345/Parâmetros!$C$22</f>
        <v>81.85</v>
      </c>
      <c r="F345" s="141" t="n">
        <v>16.37</v>
      </c>
      <c r="G345" s="141" t="n">
        <v>19.45</v>
      </c>
      <c r="H345" s="141" t="n">
        <v>0</v>
      </c>
      <c r="I345" s="141" t="n">
        <v>0</v>
      </c>
      <c r="J345" s="141" t="n">
        <v>0</v>
      </c>
      <c r="K345" s="141" t="n">
        <v>6.96</v>
      </c>
      <c r="L345" s="141" t="n">
        <v>46.2</v>
      </c>
      <c r="M345" s="141" t="n">
        <v>0</v>
      </c>
      <c r="N345" s="141" t="n">
        <v>0</v>
      </c>
      <c r="O345" s="141" t="n">
        <v>1.16</v>
      </c>
    </row>
    <row r="346" customFormat="false" ht="15" hidden="false" customHeight="false" outlineLevel="0" collapsed="false">
      <c r="A346" s="138" t="s">
        <v>1569</v>
      </c>
      <c r="B346" s="138" t="s">
        <v>1976</v>
      </c>
      <c r="C346" s="138" t="n">
        <v>319</v>
      </c>
      <c r="D346" s="138" t="n">
        <v>320</v>
      </c>
      <c r="E346" s="141" t="n">
        <f aca="false">F346/Parâmetros!$C$22</f>
        <v>323.95</v>
      </c>
      <c r="F346" s="141" t="n">
        <v>64.79</v>
      </c>
      <c r="G346" s="141" t="n">
        <v>48.15</v>
      </c>
      <c r="H346" s="141" t="n">
        <v>0</v>
      </c>
      <c r="I346" s="141" t="n">
        <v>0</v>
      </c>
      <c r="J346" s="141" t="n">
        <v>0</v>
      </c>
      <c r="K346" s="141" t="n">
        <v>62.24</v>
      </c>
      <c r="L346" s="141" t="n">
        <v>190.7</v>
      </c>
      <c r="M346" s="141" t="n">
        <v>0</v>
      </c>
      <c r="N346" s="141" t="n">
        <v>0</v>
      </c>
      <c r="O346" s="141" t="n">
        <v>4.31</v>
      </c>
    </row>
    <row r="347" customFormat="false" ht="15" hidden="false" customHeight="false" outlineLevel="0" collapsed="false">
      <c r="A347" s="138" t="s">
        <v>1976</v>
      </c>
      <c r="B347" s="138" t="s">
        <v>1977</v>
      </c>
      <c r="C347" s="138" t="n">
        <v>320</v>
      </c>
      <c r="D347" s="138" t="n">
        <v>321</v>
      </c>
      <c r="E347" s="141" t="n">
        <f aca="false">F347/Parâmetros!$C$22</f>
        <v>368.1</v>
      </c>
      <c r="F347" s="141" t="n">
        <v>73.62</v>
      </c>
      <c r="G347" s="141" t="n">
        <v>21.2</v>
      </c>
      <c r="H347" s="141" t="n">
        <v>0</v>
      </c>
      <c r="I347" s="141" t="n">
        <v>0</v>
      </c>
      <c r="J347" s="141" t="n">
        <v>0</v>
      </c>
      <c r="K347" s="141" t="n">
        <v>139.54</v>
      </c>
      <c r="L347" s="141" t="n">
        <v>223.87</v>
      </c>
      <c r="M347" s="141" t="n">
        <v>0</v>
      </c>
      <c r="N347" s="141" t="n">
        <v>0</v>
      </c>
      <c r="O347" s="141" t="n">
        <v>4.16</v>
      </c>
    </row>
    <row r="348" customFormat="false" ht="15" hidden="false" customHeight="false" outlineLevel="0" collapsed="false">
      <c r="A348" s="138" t="s">
        <v>1977</v>
      </c>
      <c r="B348" s="138" t="s">
        <v>1978</v>
      </c>
      <c r="C348" s="138" t="n">
        <v>321</v>
      </c>
      <c r="D348" s="138" t="n">
        <v>322</v>
      </c>
      <c r="E348" s="141" t="n">
        <f aca="false">F348/Parâmetros!$C$22</f>
        <v>426.05</v>
      </c>
      <c r="F348" s="141" t="n">
        <v>85.21</v>
      </c>
      <c r="G348" s="141" t="n">
        <v>6.05</v>
      </c>
      <c r="H348" s="141" t="n">
        <v>0</v>
      </c>
      <c r="I348" s="141" t="n">
        <v>0</v>
      </c>
      <c r="J348" s="141" t="n">
        <v>436.32</v>
      </c>
      <c r="K348" s="141" t="n">
        <v>274.14</v>
      </c>
      <c r="L348" s="141" t="n">
        <v>253.04</v>
      </c>
      <c r="M348" s="141" t="n">
        <v>436.32</v>
      </c>
      <c r="N348" s="141" t="n">
        <v>0</v>
      </c>
      <c r="O348" s="141" t="n">
        <v>3.99</v>
      </c>
    </row>
    <row r="349" customFormat="false" ht="15" hidden="false" customHeight="false" outlineLevel="0" collapsed="false">
      <c r="A349" s="138" t="s">
        <v>1978</v>
      </c>
      <c r="B349" s="138" t="s">
        <v>1979</v>
      </c>
      <c r="C349" s="138" t="n">
        <v>322</v>
      </c>
      <c r="D349" s="138" t="n">
        <v>323</v>
      </c>
      <c r="E349" s="141" t="n">
        <f aca="false">F349/Parâmetros!$C$22</f>
        <v>463.3</v>
      </c>
      <c r="F349" s="141" t="n">
        <v>92.66</v>
      </c>
      <c r="G349" s="141" t="n">
        <v>0</v>
      </c>
      <c r="H349" s="141" t="n">
        <v>0</v>
      </c>
      <c r="I349" s="141" t="n">
        <v>0</v>
      </c>
      <c r="J349" s="141" t="n">
        <v>1231.47</v>
      </c>
      <c r="K349" s="141" t="n">
        <v>493.93</v>
      </c>
      <c r="L349" s="141" t="n">
        <v>265.08</v>
      </c>
      <c r="M349" s="141" t="n">
        <v>1231.47</v>
      </c>
      <c r="N349" s="141" t="n">
        <v>0</v>
      </c>
      <c r="O349" s="141" t="n">
        <v>3.9</v>
      </c>
    </row>
    <row r="350" customFormat="false" ht="15" hidden="false" customHeight="false" outlineLevel="0" collapsed="false">
      <c r="A350" s="138" t="s">
        <v>1979</v>
      </c>
      <c r="B350" s="138" t="s">
        <v>1980</v>
      </c>
      <c r="C350" s="138" t="n">
        <v>323</v>
      </c>
      <c r="D350" s="138" t="n">
        <v>324</v>
      </c>
      <c r="E350" s="141" t="n">
        <f aca="false">F350/Parâmetros!$C$22</f>
        <v>481.35</v>
      </c>
      <c r="F350" s="141" t="n">
        <v>96.27</v>
      </c>
      <c r="G350" s="141" t="n">
        <v>0</v>
      </c>
      <c r="H350" s="141" t="n">
        <v>0</v>
      </c>
      <c r="I350" s="141" t="n">
        <v>0</v>
      </c>
      <c r="J350" s="141" t="n">
        <v>1613.42</v>
      </c>
      <c r="K350" s="141" t="n">
        <v>690.5</v>
      </c>
      <c r="L350" s="141" t="n">
        <v>264.81</v>
      </c>
      <c r="M350" s="141" t="n">
        <v>1613.42</v>
      </c>
      <c r="N350" s="141" t="n">
        <v>0</v>
      </c>
      <c r="O350" s="141" t="n">
        <v>3.76</v>
      </c>
    </row>
    <row r="351" customFormat="false" ht="15" hidden="false" customHeight="false" outlineLevel="0" collapsed="false">
      <c r="A351" s="138" t="s">
        <v>1980</v>
      </c>
      <c r="B351" s="138" t="s">
        <v>1981</v>
      </c>
      <c r="C351" s="138" t="n">
        <v>324</v>
      </c>
      <c r="D351" s="138" t="n">
        <v>325</v>
      </c>
      <c r="E351" s="141" t="n">
        <f aca="false">F351/Parâmetros!$C$22</f>
        <v>591.75</v>
      </c>
      <c r="F351" s="141" t="n">
        <v>118.35</v>
      </c>
      <c r="G351" s="141" t="n">
        <v>0</v>
      </c>
      <c r="H351" s="141" t="n">
        <v>0</v>
      </c>
      <c r="I351" s="141" t="n">
        <v>0</v>
      </c>
      <c r="J351" s="141" t="n">
        <v>1386.21</v>
      </c>
      <c r="K351" s="141" t="n">
        <v>575.33</v>
      </c>
      <c r="L351" s="141" t="n">
        <v>225.3</v>
      </c>
      <c r="M351" s="141" t="n">
        <v>1386.21</v>
      </c>
      <c r="N351" s="141" t="n">
        <v>0</v>
      </c>
      <c r="O351" s="141" t="n">
        <v>3.58</v>
      </c>
    </row>
    <row r="352" customFormat="false" ht="15" hidden="false" customHeight="false" outlineLevel="0" collapsed="false">
      <c r="A352" s="138" t="s">
        <v>1981</v>
      </c>
      <c r="B352" s="138" t="s">
        <v>3791</v>
      </c>
      <c r="C352" s="138" t="n">
        <v>325</v>
      </c>
      <c r="D352" s="138" t="n">
        <v>325.826</v>
      </c>
      <c r="E352" s="141" t="n">
        <f aca="false">F352/Parâmetros!$C$22</f>
        <v>657.25</v>
      </c>
      <c r="F352" s="141" t="n">
        <v>131.45</v>
      </c>
      <c r="G352" s="141" t="n">
        <v>0</v>
      </c>
      <c r="H352" s="141" t="n">
        <v>0</v>
      </c>
      <c r="I352" s="141" t="n">
        <v>0</v>
      </c>
      <c r="J352" s="141" t="n">
        <v>469.19</v>
      </c>
      <c r="K352" s="141" t="n">
        <v>322.23</v>
      </c>
      <c r="L352" s="141" t="n">
        <v>153.59</v>
      </c>
      <c r="M352" s="141" t="n">
        <v>469.19</v>
      </c>
      <c r="N352" s="141" t="n">
        <v>0</v>
      </c>
      <c r="O352" s="141" t="n">
        <v>2.14</v>
      </c>
    </row>
    <row r="353" customFormat="false" ht="15" hidden="false" customHeight="false" outlineLevel="0" collapsed="false">
      <c r="A353" s="138" t="s">
        <v>3791</v>
      </c>
      <c r="B353" s="138" t="s">
        <v>1984</v>
      </c>
      <c r="C353" s="138" t="n">
        <v>325.826</v>
      </c>
      <c r="D353" s="138" t="n">
        <v>326</v>
      </c>
      <c r="E353" s="141" t="n">
        <f aca="false">F353/Parâmetros!$C$22</f>
        <v>153.95</v>
      </c>
      <c r="F353" s="141" t="n">
        <v>30.79</v>
      </c>
      <c r="G353" s="141" t="n">
        <v>0</v>
      </c>
      <c r="H353" s="141" t="n">
        <v>0</v>
      </c>
      <c r="I353" s="141" t="n">
        <v>0</v>
      </c>
      <c r="J353" s="141" t="n">
        <v>0</v>
      </c>
      <c r="K353" s="141" t="n">
        <v>68.55</v>
      </c>
      <c r="L353" s="141" t="n">
        <v>32.33</v>
      </c>
      <c r="M353" s="141" t="n">
        <v>0</v>
      </c>
      <c r="N353" s="141" t="n">
        <v>0</v>
      </c>
      <c r="O353" s="141" t="n">
        <v>0.46</v>
      </c>
    </row>
    <row r="354" customFormat="false" ht="15" hidden="false" customHeight="false" outlineLevel="0" collapsed="false">
      <c r="A354" s="138" t="s">
        <v>1984</v>
      </c>
      <c r="B354" s="138" t="s">
        <v>1986</v>
      </c>
      <c r="C354" s="138" t="n">
        <v>326</v>
      </c>
      <c r="D354" s="138" t="n">
        <v>327</v>
      </c>
      <c r="E354" s="141" t="n">
        <f aca="false">F354/Parâmetros!$C$22</f>
        <v>707.95</v>
      </c>
      <c r="F354" s="141" t="n">
        <v>141.59</v>
      </c>
      <c r="G354" s="141" t="n">
        <v>0</v>
      </c>
      <c r="H354" s="141" t="n">
        <v>0</v>
      </c>
      <c r="I354" s="141" t="n">
        <v>0</v>
      </c>
      <c r="J354" s="141" t="n">
        <v>0</v>
      </c>
      <c r="K354" s="141" t="n">
        <v>428.52</v>
      </c>
      <c r="L354" s="141" t="n">
        <v>185.97</v>
      </c>
      <c r="M354" s="141" t="n">
        <v>0</v>
      </c>
      <c r="N354" s="141" t="n">
        <v>0</v>
      </c>
      <c r="O354" s="141" t="n">
        <v>3.44</v>
      </c>
    </row>
    <row r="355" customFormat="false" ht="15" hidden="false" customHeight="false" outlineLevel="0" collapsed="false">
      <c r="A355" s="138" t="s">
        <v>1986</v>
      </c>
      <c r="B355" s="138" t="s">
        <v>1988</v>
      </c>
      <c r="C355" s="138" t="n">
        <v>327</v>
      </c>
      <c r="D355" s="138" t="n">
        <v>328</v>
      </c>
      <c r="E355" s="141" t="n">
        <f aca="false">F355/Parâmetros!$C$22</f>
        <v>530.7</v>
      </c>
      <c r="F355" s="141" t="n">
        <v>106.14</v>
      </c>
      <c r="G355" s="141" t="n">
        <v>0</v>
      </c>
      <c r="H355" s="141" t="n">
        <v>0</v>
      </c>
      <c r="I355" s="141" t="n">
        <v>0</v>
      </c>
      <c r="J355" s="141" t="n">
        <v>0</v>
      </c>
      <c r="K355" s="141" t="n">
        <v>662.29</v>
      </c>
      <c r="L355" s="141" t="n">
        <v>224.94</v>
      </c>
      <c r="M355" s="141" t="n">
        <v>0</v>
      </c>
      <c r="N355" s="141" t="n">
        <v>0</v>
      </c>
      <c r="O355" s="141" t="n">
        <v>3.47</v>
      </c>
    </row>
    <row r="356" customFormat="false" ht="15" hidden="false" customHeight="false" outlineLevel="0" collapsed="false">
      <c r="A356" s="138" t="s">
        <v>1988</v>
      </c>
      <c r="B356" s="138" t="s">
        <v>1989</v>
      </c>
      <c r="C356" s="138" t="n">
        <v>328</v>
      </c>
      <c r="D356" s="138" t="n">
        <v>329</v>
      </c>
      <c r="E356" s="141" t="n">
        <f aca="false">F356/Parâmetros!$C$22</f>
        <v>395</v>
      </c>
      <c r="F356" s="141" t="n">
        <v>79</v>
      </c>
      <c r="G356" s="141" t="n">
        <v>0</v>
      </c>
      <c r="H356" s="141" t="n">
        <v>0</v>
      </c>
      <c r="I356" s="141" t="n">
        <v>0</v>
      </c>
      <c r="J356" s="141" t="n">
        <v>0</v>
      </c>
      <c r="K356" s="141" t="n">
        <v>922.39</v>
      </c>
      <c r="L356" s="141" t="n">
        <v>264.84</v>
      </c>
      <c r="M356" s="141" t="n">
        <v>0</v>
      </c>
      <c r="N356" s="141" t="n">
        <v>0</v>
      </c>
      <c r="O356" s="141" t="n">
        <v>3.69</v>
      </c>
    </row>
    <row r="357" customFormat="false" ht="15" hidden="false" customHeight="false" outlineLevel="0" collapsed="false">
      <c r="A357" s="138" t="s">
        <v>1989</v>
      </c>
      <c r="B357" s="138" t="s">
        <v>3792</v>
      </c>
      <c r="C357" s="138" t="n">
        <v>329</v>
      </c>
      <c r="D357" s="138" t="n">
        <v>329.326</v>
      </c>
      <c r="E357" s="141" t="n">
        <f aca="false">F357/Parâmetros!$C$22</f>
        <v>96.7</v>
      </c>
      <c r="F357" s="141" t="n">
        <v>19.34</v>
      </c>
      <c r="G357" s="141" t="n">
        <v>0</v>
      </c>
      <c r="H357" s="141" t="n">
        <v>0</v>
      </c>
      <c r="I357" s="141" t="n">
        <v>0</v>
      </c>
      <c r="J357" s="141" t="n">
        <v>0</v>
      </c>
      <c r="K357" s="141" t="n">
        <v>321.64</v>
      </c>
      <c r="L357" s="141" t="n">
        <v>86.15</v>
      </c>
      <c r="M357" s="141" t="n">
        <v>0</v>
      </c>
      <c r="N357" s="141" t="n">
        <v>0</v>
      </c>
      <c r="O357" s="141" t="n">
        <v>1.2</v>
      </c>
    </row>
    <row r="358" customFormat="false" ht="15" hidden="false" customHeight="false" outlineLevel="0" collapsed="false">
      <c r="A358" s="138" t="s">
        <v>3792</v>
      </c>
      <c r="B358" s="138" t="s">
        <v>1990</v>
      </c>
      <c r="C358" s="138" t="n">
        <v>329.326</v>
      </c>
      <c r="D358" s="138" t="n">
        <v>330</v>
      </c>
      <c r="E358" s="141" t="n">
        <f aca="false">F358/Parâmetros!$C$22</f>
        <v>251.65</v>
      </c>
      <c r="F358" s="141" t="n">
        <v>50.33</v>
      </c>
      <c r="G358" s="141" t="n">
        <v>0</v>
      </c>
      <c r="H358" s="141" t="n">
        <v>0</v>
      </c>
      <c r="I358" s="141" t="n">
        <v>0</v>
      </c>
      <c r="J358" s="141" t="n">
        <v>0</v>
      </c>
      <c r="K358" s="141" t="n">
        <v>709.03</v>
      </c>
      <c r="L358" s="141" t="n">
        <v>179.76</v>
      </c>
      <c r="M358" s="141" t="n">
        <v>0</v>
      </c>
      <c r="N358" s="141" t="n">
        <v>0</v>
      </c>
      <c r="O358" s="141" t="n">
        <v>2.49</v>
      </c>
    </row>
    <row r="359" customFormat="false" ht="15" hidden="false" customHeight="false" outlineLevel="0" collapsed="false">
      <c r="A359" s="138" t="s">
        <v>1990</v>
      </c>
      <c r="B359" s="138" t="s">
        <v>1991</v>
      </c>
      <c r="C359" s="138" t="n">
        <v>330</v>
      </c>
      <c r="D359" s="138" t="n">
        <v>331</v>
      </c>
      <c r="E359" s="141" t="n">
        <f aca="false">F359/Parâmetros!$C$22</f>
        <v>454.3</v>
      </c>
      <c r="F359" s="141" t="n">
        <v>90.86</v>
      </c>
      <c r="G359" s="141" t="n">
        <v>0</v>
      </c>
      <c r="H359" s="141" t="n">
        <v>0</v>
      </c>
      <c r="I359" s="141" t="n">
        <v>0</v>
      </c>
      <c r="J359" s="141" t="n">
        <v>0</v>
      </c>
      <c r="K359" s="141" t="n">
        <v>1000.43</v>
      </c>
      <c r="L359" s="141" t="n">
        <v>265.43</v>
      </c>
      <c r="M359" s="141" t="n">
        <v>0</v>
      </c>
      <c r="N359" s="141" t="n">
        <v>0</v>
      </c>
      <c r="O359" s="141" t="n">
        <v>3.69</v>
      </c>
    </row>
    <row r="360" customFormat="false" ht="15" hidden="false" customHeight="false" outlineLevel="0" collapsed="false">
      <c r="A360" s="138" t="s">
        <v>1991</v>
      </c>
      <c r="B360" s="138" t="s">
        <v>3793</v>
      </c>
      <c r="C360" s="138" t="n">
        <v>331</v>
      </c>
      <c r="D360" s="138" t="n">
        <v>331.475</v>
      </c>
      <c r="E360" s="141" t="n">
        <f aca="false">F360/Parâmetros!$C$22</f>
        <v>228.8</v>
      </c>
      <c r="F360" s="141" t="n">
        <v>45.76</v>
      </c>
      <c r="G360" s="141" t="n">
        <v>0</v>
      </c>
      <c r="H360" s="141" t="n">
        <v>0</v>
      </c>
      <c r="I360" s="141" t="n">
        <v>0</v>
      </c>
      <c r="J360" s="141" t="n">
        <v>0</v>
      </c>
      <c r="K360" s="141" t="n">
        <v>403.57</v>
      </c>
      <c r="L360" s="141" t="n">
        <v>123.68</v>
      </c>
      <c r="M360" s="141" t="n">
        <v>0</v>
      </c>
      <c r="N360" s="141" t="n">
        <v>0</v>
      </c>
      <c r="O360" s="141" t="n">
        <v>1.76</v>
      </c>
    </row>
    <row r="361" customFormat="false" ht="15" hidden="false" customHeight="false" outlineLevel="0" collapsed="false">
      <c r="A361" s="138" t="s">
        <v>3793</v>
      </c>
      <c r="B361" s="138" t="s">
        <v>1573</v>
      </c>
      <c r="C361" s="138" t="n">
        <v>331.475</v>
      </c>
      <c r="D361" s="138" t="n">
        <v>332</v>
      </c>
      <c r="E361" s="141" t="n">
        <f aca="false">F361/Parâmetros!$C$22</f>
        <v>243.15</v>
      </c>
      <c r="F361" s="141" t="n">
        <v>48.63</v>
      </c>
      <c r="G361" s="141" t="n">
        <v>0</v>
      </c>
      <c r="H361" s="141" t="n">
        <v>0</v>
      </c>
      <c r="I361" s="141" t="n">
        <v>0</v>
      </c>
      <c r="J361" s="141" t="n">
        <v>0</v>
      </c>
      <c r="K361" s="141" t="n">
        <v>352.39</v>
      </c>
      <c r="L361" s="141" t="n">
        <v>131.06</v>
      </c>
      <c r="M361" s="141" t="n">
        <v>0</v>
      </c>
      <c r="N361" s="141" t="n">
        <v>0</v>
      </c>
      <c r="O361" s="141" t="n">
        <v>1.96</v>
      </c>
    </row>
    <row r="362" customFormat="false" ht="15" hidden="false" customHeight="false" outlineLevel="0" collapsed="false">
      <c r="A362" s="138" t="s">
        <v>1573</v>
      </c>
      <c r="B362" s="138" t="s">
        <v>1992</v>
      </c>
      <c r="C362" s="138" t="n">
        <v>332</v>
      </c>
      <c r="D362" s="138" t="n">
        <v>333</v>
      </c>
      <c r="E362" s="141" t="n">
        <f aca="false">F362/Parâmetros!$C$22</f>
        <v>379.9</v>
      </c>
      <c r="F362" s="141" t="n">
        <v>75.98</v>
      </c>
      <c r="G362" s="141" t="n">
        <v>6.1</v>
      </c>
      <c r="H362" s="141" t="n">
        <v>0</v>
      </c>
      <c r="I362" s="141" t="n">
        <v>0</v>
      </c>
      <c r="J362" s="141" t="n">
        <v>0</v>
      </c>
      <c r="K362" s="141" t="n">
        <v>365.65</v>
      </c>
      <c r="L362" s="141" t="n">
        <v>222.68</v>
      </c>
      <c r="M362" s="141" t="n">
        <v>0</v>
      </c>
      <c r="N362" s="141" t="n">
        <v>0</v>
      </c>
      <c r="O362" s="141" t="n">
        <v>3.72</v>
      </c>
    </row>
    <row r="363" customFormat="false" ht="15" hidden="false" customHeight="false" outlineLevel="0" collapsed="false">
      <c r="A363" s="138" t="s">
        <v>1992</v>
      </c>
      <c r="B363" s="138" t="s">
        <v>3794</v>
      </c>
      <c r="C363" s="138" t="n">
        <v>333</v>
      </c>
      <c r="D363" s="138" t="n">
        <v>333.624</v>
      </c>
      <c r="E363" s="141" t="n">
        <f aca="false">F363/Parâmetros!$C$22</f>
        <v>177.55</v>
      </c>
      <c r="F363" s="141" t="n">
        <v>35.51</v>
      </c>
      <c r="G363" s="141" t="n">
        <v>35.89</v>
      </c>
      <c r="H363" s="141" t="n">
        <v>0</v>
      </c>
      <c r="I363" s="141" t="n">
        <v>0</v>
      </c>
      <c r="J363" s="141" t="n">
        <v>0</v>
      </c>
      <c r="K363" s="141" t="n">
        <v>63.97</v>
      </c>
      <c r="L363" s="141" t="n">
        <v>119.85</v>
      </c>
      <c r="M363" s="141" t="n">
        <v>0</v>
      </c>
      <c r="N363" s="141" t="n">
        <v>0</v>
      </c>
      <c r="O363" s="141" t="n">
        <v>2.32</v>
      </c>
    </row>
    <row r="364" customFormat="false" ht="15" hidden="false" customHeight="false" outlineLevel="0" collapsed="false">
      <c r="A364" s="138" t="s">
        <v>3794</v>
      </c>
      <c r="B364" s="138" t="s">
        <v>1993</v>
      </c>
      <c r="C364" s="138" t="n">
        <v>333.624</v>
      </c>
      <c r="D364" s="138" t="n">
        <v>334</v>
      </c>
      <c r="E364" s="141" t="n">
        <f aca="false">F364/Parâmetros!$C$22</f>
        <v>98.5</v>
      </c>
      <c r="F364" s="141" t="n">
        <v>19.7</v>
      </c>
      <c r="G364" s="141" t="n">
        <v>63.81</v>
      </c>
      <c r="H364" s="141" t="n">
        <v>0</v>
      </c>
      <c r="I364" s="141" t="n">
        <v>0</v>
      </c>
      <c r="J364" s="141" t="n">
        <v>0</v>
      </c>
      <c r="K364" s="141" t="n">
        <v>8.24</v>
      </c>
      <c r="L364" s="141" t="n">
        <v>65.4</v>
      </c>
      <c r="M364" s="141" t="n">
        <v>0</v>
      </c>
      <c r="N364" s="141" t="n">
        <v>0</v>
      </c>
      <c r="O364" s="141" t="n">
        <v>1.49</v>
      </c>
    </row>
    <row r="365" customFormat="false" ht="15" hidden="false" customHeight="false" outlineLevel="0" collapsed="false">
      <c r="A365" s="138" t="s">
        <v>1993</v>
      </c>
      <c r="B365" s="138" t="s">
        <v>1995</v>
      </c>
      <c r="C365" s="138" t="n">
        <v>334</v>
      </c>
      <c r="D365" s="138" t="n">
        <v>335</v>
      </c>
      <c r="E365" s="141" t="n">
        <f aca="false">F365/Parâmetros!$C$22</f>
        <v>289.15</v>
      </c>
      <c r="F365" s="141" t="n">
        <v>57.83</v>
      </c>
      <c r="G365" s="141" t="n">
        <v>395.08</v>
      </c>
      <c r="H365" s="141" t="n">
        <v>0</v>
      </c>
      <c r="I365" s="141" t="n">
        <v>0</v>
      </c>
      <c r="J365" s="141" t="n">
        <v>0</v>
      </c>
      <c r="K365" s="141" t="n">
        <v>3.85</v>
      </c>
      <c r="L365" s="141" t="n">
        <v>160.93</v>
      </c>
      <c r="M365" s="141" t="n">
        <v>0</v>
      </c>
      <c r="N365" s="141" t="n">
        <v>0</v>
      </c>
      <c r="O365" s="141" t="n">
        <v>4.22</v>
      </c>
    </row>
    <row r="366" customFormat="false" ht="15" hidden="false" customHeight="false" outlineLevel="0" collapsed="false">
      <c r="A366" s="138" t="s">
        <v>1995</v>
      </c>
      <c r="B366" s="138" t="s">
        <v>1996</v>
      </c>
      <c r="C366" s="138" t="n">
        <v>335</v>
      </c>
      <c r="D366" s="138" t="n">
        <v>336</v>
      </c>
      <c r="E366" s="141" t="n">
        <f aca="false">F366/Parâmetros!$C$22</f>
        <v>328.2</v>
      </c>
      <c r="F366" s="141" t="n">
        <v>65.64</v>
      </c>
      <c r="G366" s="141" t="n">
        <v>650.86</v>
      </c>
      <c r="H366" s="141" t="n">
        <v>0</v>
      </c>
      <c r="I366" s="141" t="n">
        <v>0</v>
      </c>
      <c r="J366" s="141" t="n">
        <v>0</v>
      </c>
      <c r="K366" s="141" t="n">
        <v>0</v>
      </c>
      <c r="L366" s="141" t="n">
        <v>154.95</v>
      </c>
      <c r="M366" s="141" t="n">
        <v>0</v>
      </c>
      <c r="N366" s="141" t="n">
        <v>0</v>
      </c>
      <c r="O366" s="141" t="n">
        <v>4.22</v>
      </c>
    </row>
    <row r="367" customFormat="false" ht="15" hidden="false" customHeight="false" outlineLevel="0" collapsed="false">
      <c r="A367" s="138" t="s">
        <v>1996</v>
      </c>
      <c r="B367" s="138" t="s">
        <v>1997</v>
      </c>
      <c r="C367" s="138" t="n">
        <v>336</v>
      </c>
      <c r="D367" s="138" t="n">
        <v>337</v>
      </c>
      <c r="E367" s="141" t="n">
        <f aca="false">F367/Parâmetros!$C$22</f>
        <v>360.1</v>
      </c>
      <c r="F367" s="141" t="n">
        <v>72.02</v>
      </c>
      <c r="G367" s="141" t="n">
        <v>690.33</v>
      </c>
      <c r="H367" s="141" t="n">
        <v>0</v>
      </c>
      <c r="I367" s="141" t="n">
        <v>59.27</v>
      </c>
      <c r="J367" s="141" t="n">
        <v>0</v>
      </c>
      <c r="K367" s="141" t="n">
        <v>0</v>
      </c>
      <c r="L367" s="141" t="n">
        <v>77.3</v>
      </c>
      <c r="M367" s="141" t="n">
        <v>0</v>
      </c>
      <c r="N367" s="141" t="n">
        <v>116</v>
      </c>
      <c r="O367" s="141" t="n">
        <v>4.23</v>
      </c>
    </row>
    <row r="368" customFormat="false" ht="15" hidden="false" customHeight="false" outlineLevel="0" collapsed="false">
      <c r="A368" s="138" t="s">
        <v>1997</v>
      </c>
      <c r="B368" s="138" t="s">
        <v>3795</v>
      </c>
      <c r="C368" s="138" t="n">
        <v>337</v>
      </c>
      <c r="D368" s="138" t="n">
        <v>337.124</v>
      </c>
      <c r="E368" s="141" t="n">
        <f aca="false">F368/Parâmetros!$C$22</f>
        <v>46.1</v>
      </c>
      <c r="F368" s="141" t="n">
        <v>9.22</v>
      </c>
      <c r="G368" s="141" t="n">
        <v>79</v>
      </c>
      <c r="H368" s="141" t="n">
        <v>0</v>
      </c>
      <c r="I368" s="141" t="n">
        <v>15.17</v>
      </c>
      <c r="J368" s="141" t="n">
        <v>0</v>
      </c>
      <c r="K368" s="141" t="n">
        <v>0</v>
      </c>
      <c r="L368" s="141" t="n">
        <v>0</v>
      </c>
      <c r="M368" s="141" t="n">
        <v>0</v>
      </c>
      <c r="N368" s="141" t="n">
        <v>9.59</v>
      </c>
      <c r="O368" s="141" t="n">
        <v>0.52</v>
      </c>
    </row>
    <row r="369" customFormat="false" ht="15" hidden="false" customHeight="false" outlineLevel="0" collapsed="false">
      <c r="A369" s="138" t="s">
        <v>3795</v>
      </c>
      <c r="B369" s="138" t="s">
        <v>1998</v>
      </c>
      <c r="C369" s="138" t="n">
        <v>337.124</v>
      </c>
      <c r="D369" s="138" t="n">
        <v>338</v>
      </c>
      <c r="E369" s="141" t="n">
        <f aca="false">F369/Parâmetros!$C$22</f>
        <v>300.2</v>
      </c>
      <c r="F369" s="141" t="n">
        <v>60.04</v>
      </c>
      <c r="G369" s="141" t="n">
        <v>544.73</v>
      </c>
      <c r="H369" s="141" t="n">
        <v>0</v>
      </c>
      <c r="I369" s="141" t="n">
        <v>100.06</v>
      </c>
      <c r="J369" s="141" t="n">
        <v>0</v>
      </c>
      <c r="K369" s="141" t="n">
        <v>0</v>
      </c>
      <c r="L369" s="141" t="n">
        <v>0</v>
      </c>
      <c r="M369" s="141" t="n">
        <v>0</v>
      </c>
      <c r="N369" s="141" t="n">
        <v>67.74</v>
      </c>
      <c r="O369" s="141" t="n">
        <v>3.7</v>
      </c>
    </row>
    <row r="370" customFormat="false" ht="15" hidden="false" customHeight="false" outlineLevel="0" collapsed="false">
      <c r="A370" s="138" t="s">
        <v>1998</v>
      </c>
      <c r="B370" s="138" t="s">
        <v>1999</v>
      </c>
      <c r="C370" s="138" t="n">
        <v>338</v>
      </c>
      <c r="D370" s="138" t="n">
        <v>339</v>
      </c>
      <c r="E370" s="141" t="n">
        <f aca="false">F370/Parâmetros!$C$22</f>
        <v>325.75</v>
      </c>
      <c r="F370" s="141" t="n">
        <v>65.15</v>
      </c>
      <c r="G370" s="141" t="n">
        <v>594.03</v>
      </c>
      <c r="H370" s="141" t="n">
        <v>0</v>
      </c>
      <c r="I370" s="141" t="n">
        <v>114.28</v>
      </c>
      <c r="J370" s="141" t="n">
        <v>0</v>
      </c>
      <c r="K370" s="141" t="n">
        <v>0</v>
      </c>
      <c r="L370" s="141" t="n">
        <v>77.3</v>
      </c>
      <c r="M370" s="141" t="n">
        <v>0</v>
      </c>
      <c r="N370" s="141" t="n">
        <v>38.7</v>
      </c>
      <c r="O370" s="141" t="n">
        <v>4.26</v>
      </c>
    </row>
    <row r="371" customFormat="false" ht="15" hidden="false" customHeight="false" outlineLevel="0" collapsed="false">
      <c r="A371" s="138" t="s">
        <v>1999</v>
      </c>
      <c r="B371" s="138" t="s">
        <v>2000</v>
      </c>
      <c r="C371" s="138" t="n">
        <v>339</v>
      </c>
      <c r="D371" s="138" t="n">
        <v>340</v>
      </c>
      <c r="E371" s="141" t="n">
        <f aca="false">F371/Parâmetros!$C$22</f>
        <v>561.6</v>
      </c>
      <c r="F371" s="141" t="n">
        <v>112.32</v>
      </c>
      <c r="G371" s="141" t="n">
        <v>695.05</v>
      </c>
      <c r="H371" s="141" t="n">
        <v>0</v>
      </c>
      <c r="I371" s="141" t="n">
        <v>91.62</v>
      </c>
      <c r="J371" s="141" t="n">
        <v>0</v>
      </c>
      <c r="K371" s="141" t="n">
        <v>0</v>
      </c>
      <c r="L371" s="141" t="n">
        <v>144.5</v>
      </c>
      <c r="M371" s="141" t="n">
        <v>0</v>
      </c>
      <c r="N371" s="141" t="n">
        <v>0</v>
      </c>
      <c r="O371" s="141" t="n">
        <v>3.23</v>
      </c>
    </row>
    <row r="372" customFormat="false" ht="15" hidden="false" customHeight="false" outlineLevel="0" collapsed="false">
      <c r="A372" s="138" t="s">
        <v>2000</v>
      </c>
      <c r="B372" s="138" t="s">
        <v>2001</v>
      </c>
      <c r="C372" s="138" t="n">
        <v>340</v>
      </c>
      <c r="D372" s="138" t="n">
        <v>341</v>
      </c>
      <c r="E372" s="141" t="n">
        <f aca="false">F372/Parâmetros!$C$22</f>
        <v>544.05</v>
      </c>
      <c r="F372" s="141" t="n">
        <v>108.81</v>
      </c>
      <c r="G372" s="141" t="n">
        <v>588.85</v>
      </c>
      <c r="H372" s="141" t="n">
        <v>0</v>
      </c>
      <c r="I372" s="141" t="n">
        <v>82.19</v>
      </c>
      <c r="J372" s="141" t="n">
        <v>0</v>
      </c>
      <c r="K372" s="141" t="n">
        <v>0</v>
      </c>
      <c r="L372" s="141" t="n">
        <v>144.6</v>
      </c>
      <c r="M372" s="141" t="n">
        <v>0</v>
      </c>
      <c r="N372" s="141" t="n">
        <v>0</v>
      </c>
      <c r="O372" s="141" t="n">
        <v>3.37</v>
      </c>
    </row>
    <row r="373" customFormat="false" ht="15" hidden="false" customHeight="false" outlineLevel="0" collapsed="false">
      <c r="A373" s="138" t="s">
        <v>2001</v>
      </c>
      <c r="B373" s="138" t="s">
        <v>2002</v>
      </c>
      <c r="C373" s="138" t="n">
        <v>341</v>
      </c>
      <c r="D373" s="138" t="n">
        <v>342</v>
      </c>
      <c r="E373" s="141" t="n">
        <f aca="false">F373/Parâmetros!$C$22</f>
        <v>361.1</v>
      </c>
      <c r="F373" s="141" t="n">
        <v>72.22</v>
      </c>
      <c r="G373" s="141" t="n">
        <v>359.22</v>
      </c>
      <c r="H373" s="141" t="n">
        <v>0</v>
      </c>
      <c r="I373" s="141" t="n">
        <v>133.19</v>
      </c>
      <c r="J373" s="141" t="n">
        <v>0</v>
      </c>
      <c r="K373" s="141" t="n">
        <v>0</v>
      </c>
      <c r="L373" s="141" t="n">
        <v>154.8</v>
      </c>
      <c r="M373" s="141" t="n">
        <v>0</v>
      </c>
      <c r="N373" s="141" t="n">
        <v>0</v>
      </c>
      <c r="O373" s="141" t="n">
        <v>4.51</v>
      </c>
    </row>
    <row r="374" customFormat="false" ht="15" hidden="false" customHeight="false" outlineLevel="0" collapsed="false">
      <c r="A374" s="138" t="s">
        <v>2002</v>
      </c>
      <c r="B374" s="138" t="s">
        <v>2003</v>
      </c>
      <c r="C374" s="138" t="n">
        <v>342</v>
      </c>
      <c r="D374" s="138" t="n">
        <v>343</v>
      </c>
      <c r="E374" s="141" t="n">
        <f aca="false">F374/Parâmetros!$C$22</f>
        <v>392.95</v>
      </c>
      <c r="F374" s="141" t="n">
        <v>78.59</v>
      </c>
      <c r="G374" s="141" t="n">
        <v>237.38</v>
      </c>
      <c r="H374" s="141" t="n">
        <v>0</v>
      </c>
      <c r="I374" s="141" t="n">
        <v>115.72</v>
      </c>
      <c r="J374" s="141" t="n">
        <v>0</v>
      </c>
      <c r="K374" s="141" t="n">
        <v>1.2</v>
      </c>
      <c r="L374" s="141" t="n">
        <v>77.4</v>
      </c>
      <c r="M374" s="141" t="n">
        <v>0</v>
      </c>
      <c r="N374" s="141" t="n">
        <v>77.35</v>
      </c>
      <c r="O374" s="141" t="n">
        <v>4.37</v>
      </c>
    </row>
    <row r="375" customFormat="false" ht="15" hidden="false" customHeight="false" outlineLevel="0" collapsed="false">
      <c r="A375" s="138" t="s">
        <v>2003</v>
      </c>
      <c r="B375" s="138" t="s">
        <v>2004</v>
      </c>
      <c r="C375" s="138" t="n">
        <v>343</v>
      </c>
      <c r="D375" s="138" t="n">
        <v>344</v>
      </c>
      <c r="E375" s="141" t="n">
        <f aca="false">F375/Parâmetros!$C$22</f>
        <v>351.3</v>
      </c>
      <c r="F375" s="141" t="n">
        <v>70.26</v>
      </c>
      <c r="G375" s="141" t="n">
        <v>75.1</v>
      </c>
      <c r="H375" s="141" t="n">
        <v>0</v>
      </c>
      <c r="I375" s="141" t="n">
        <v>180.75</v>
      </c>
      <c r="J375" s="141" t="n">
        <v>0</v>
      </c>
      <c r="K375" s="141" t="n">
        <v>6.2</v>
      </c>
      <c r="L375" s="141" t="n">
        <v>0</v>
      </c>
      <c r="M375" s="141" t="n">
        <v>0</v>
      </c>
      <c r="N375" s="141" t="n">
        <v>77.33</v>
      </c>
      <c r="O375" s="141" t="n">
        <v>4.26</v>
      </c>
    </row>
    <row r="376" customFormat="false" ht="15" hidden="false" customHeight="false" outlineLevel="0" collapsed="false">
      <c r="A376" s="138" t="s">
        <v>2004</v>
      </c>
      <c r="B376" s="138" t="s">
        <v>2005</v>
      </c>
      <c r="C376" s="138" t="n">
        <v>344</v>
      </c>
      <c r="D376" s="138" t="n">
        <v>345</v>
      </c>
      <c r="E376" s="141" t="n">
        <f aca="false">F376/Parâmetros!$C$22</f>
        <v>334.3</v>
      </c>
      <c r="F376" s="141" t="n">
        <v>66.86</v>
      </c>
      <c r="G376" s="141" t="n">
        <v>0</v>
      </c>
      <c r="H376" s="141" t="n">
        <v>0</v>
      </c>
      <c r="I376" s="141" t="n">
        <v>229.69</v>
      </c>
      <c r="J376" s="141" t="n">
        <v>0</v>
      </c>
      <c r="K376" s="141" t="n">
        <v>13.5</v>
      </c>
      <c r="L376" s="141" t="n">
        <v>0</v>
      </c>
      <c r="M376" s="141" t="n">
        <v>0</v>
      </c>
      <c r="N376" s="141" t="n">
        <v>77.33</v>
      </c>
      <c r="O376" s="141" t="n">
        <v>4.23</v>
      </c>
    </row>
    <row r="377" customFormat="false" ht="15" hidden="false" customHeight="false" outlineLevel="0" collapsed="false">
      <c r="A377" s="138" t="s">
        <v>2005</v>
      </c>
      <c r="B377" s="138" t="s">
        <v>2714</v>
      </c>
      <c r="C377" s="138" t="n">
        <v>345</v>
      </c>
      <c r="D377" s="138" t="n">
        <v>345.2525</v>
      </c>
      <c r="E377" s="141" t="n">
        <f aca="false">F377/Parâmetros!$C$22</f>
        <v>83.7</v>
      </c>
      <c r="F377" s="141" t="n">
        <v>16.74</v>
      </c>
      <c r="G377" s="141" t="n">
        <v>0</v>
      </c>
      <c r="H377" s="141" t="n">
        <v>0</v>
      </c>
      <c r="I377" s="141" t="n">
        <v>61.6</v>
      </c>
      <c r="J377" s="141" t="n">
        <v>0</v>
      </c>
      <c r="K377" s="141" t="n">
        <v>4.09</v>
      </c>
      <c r="L377" s="141" t="n">
        <v>0</v>
      </c>
      <c r="M377" s="141" t="n">
        <v>0</v>
      </c>
      <c r="N377" s="141" t="n">
        <v>19.54</v>
      </c>
      <c r="O377" s="141" t="n">
        <v>1.07</v>
      </c>
    </row>
    <row r="378" customFormat="false" ht="15" hidden="false" customHeight="false" outlineLevel="0" collapsed="false">
      <c r="A378" s="138" t="s">
        <v>2714</v>
      </c>
      <c r="B378" s="138" t="s">
        <v>2006</v>
      </c>
      <c r="C378" s="138" t="n">
        <v>345.2525</v>
      </c>
      <c r="D378" s="138" t="n">
        <v>346</v>
      </c>
      <c r="E378" s="141" t="n">
        <f aca="false">F378/Parâmetros!$C$22</f>
        <v>221.65</v>
      </c>
      <c r="F378" s="141" t="n">
        <v>44.33</v>
      </c>
      <c r="G378" s="141" t="n">
        <v>121.020249999999</v>
      </c>
      <c r="H378" s="141" t="n">
        <v>0</v>
      </c>
      <c r="I378" s="141" t="n">
        <v>92.2414999999989</v>
      </c>
      <c r="J378" s="141" t="n">
        <v>0</v>
      </c>
      <c r="K378" s="141" t="n">
        <v>8.16</v>
      </c>
      <c r="L378" s="141" t="n">
        <v>57.7617500000004</v>
      </c>
      <c r="M378" s="141" t="n">
        <v>0</v>
      </c>
      <c r="N378" s="141" t="n">
        <v>28.9282499999997</v>
      </c>
      <c r="O378" s="141" t="n">
        <v>3.16</v>
      </c>
    </row>
    <row r="379" customFormat="false" ht="15" hidden="false" customHeight="false" outlineLevel="0" collapsed="false">
      <c r="A379" s="138" t="s">
        <v>2006</v>
      </c>
      <c r="B379" s="138" t="s">
        <v>2007</v>
      </c>
      <c r="C379" s="138" t="n">
        <v>346</v>
      </c>
      <c r="D379" s="138" t="n">
        <v>347</v>
      </c>
      <c r="E379" s="141" t="n">
        <f aca="false">F379/Parâmetros!$C$22</f>
        <v>260.1</v>
      </c>
      <c r="F379" s="141" t="n">
        <v>52.02</v>
      </c>
      <c r="G379" s="141" t="n">
        <v>329.67</v>
      </c>
      <c r="H379" s="141" t="n">
        <v>0</v>
      </c>
      <c r="I379" s="141" t="n">
        <v>0</v>
      </c>
      <c r="J379" s="141" t="n">
        <v>0</v>
      </c>
      <c r="K379" s="141" t="n">
        <v>4.06</v>
      </c>
      <c r="L379" s="141" t="n">
        <v>155.73</v>
      </c>
      <c r="M379" s="141" t="n">
        <v>0</v>
      </c>
      <c r="N379" s="141" t="n">
        <v>0</v>
      </c>
      <c r="O379" s="141" t="n">
        <v>4.23</v>
      </c>
    </row>
    <row r="380" customFormat="false" ht="15" hidden="false" customHeight="false" outlineLevel="0" collapsed="false">
      <c r="A380" s="138" t="s">
        <v>2007</v>
      </c>
      <c r="B380" s="138" t="s">
        <v>2008</v>
      </c>
      <c r="C380" s="138" t="n">
        <v>347</v>
      </c>
      <c r="D380" s="138" t="n">
        <v>348</v>
      </c>
      <c r="E380" s="141" t="n">
        <f aca="false">F380/Parâmetros!$C$22</f>
        <v>259.45</v>
      </c>
      <c r="F380" s="141" t="n">
        <v>51.89</v>
      </c>
      <c r="G380" s="141" t="n">
        <v>335.44</v>
      </c>
      <c r="H380" s="141" t="n">
        <v>0</v>
      </c>
      <c r="I380" s="141" t="n">
        <v>0</v>
      </c>
      <c r="J380" s="141" t="n">
        <v>0</v>
      </c>
      <c r="K380" s="141" t="n">
        <v>1.68</v>
      </c>
      <c r="L380" s="141" t="n">
        <v>155.74</v>
      </c>
      <c r="M380" s="141" t="n">
        <v>0</v>
      </c>
      <c r="N380" s="141" t="n">
        <v>0</v>
      </c>
      <c r="O380" s="141" t="n">
        <v>4.22</v>
      </c>
    </row>
    <row r="381" customFormat="false" ht="15" hidden="false" customHeight="false" outlineLevel="0" collapsed="false">
      <c r="A381" s="138" t="s">
        <v>2008</v>
      </c>
      <c r="B381" s="138" t="s">
        <v>2009</v>
      </c>
      <c r="C381" s="138" t="n">
        <v>348</v>
      </c>
      <c r="D381" s="138" t="n">
        <v>349</v>
      </c>
      <c r="E381" s="141" t="n">
        <f aca="false">F381/Parâmetros!$C$22</f>
        <v>259.45</v>
      </c>
      <c r="F381" s="141" t="n">
        <v>51.89</v>
      </c>
      <c r="G381" s="141" t="n">
        <v>375.69</v>
      </c>
      <c r="H381" s="141" t="n">
        <v>0</v>
      </c>
      <c r="I381" s="141" t="n">
        <v>0</v>
      </c>
      <c r="J381" s="141" t="n">
        <v>0</v>
      </c>
      <c r="K381" s="141" t="n">
        <v>0.73</v>
      </c>
      <c r="L381" s="141" t="n">
        <v>153.95</v>
      </c>
      <c r="M381" s="141" t="n">
        <v>0</v>
      </c>
      <c r="N381" s="141" t="n">
        <v>0</v>
      </c>
      <c r="O381" s="141" t="n">
        <v>3.25</v>
      </c>
    </row>
    <row r="382" customFormat="false" ht="15" hidden="false" customHeight="false" outlineLevel="0" collapsed="false">
      <c r="A382" s="138" t="s">
        <v>2009</v>
      </c>
      <c r="B382" s="138" t="s">
        <v>3796</v>
      </c>
      <c r="C382" s="138" t="n">
        <v>349</v>
      </c>
      <c r="D382" s="138" t="n">
        <v>349.2525</v>
      </c>
      <c r="E382" s="141" t="n">
        <f aca="false">F382/Parâmetros!$C$22</f>
        <v>66.65</v>
      </c>
      <c r="F382" s="141" t="n">
        <v>13.33</v>
      </c>
      <c r="G382" s="141" t="n">
        <v>115.74</v>
      </c>
      <c r="H382" s="141" t="n">
        <v>0</v>
      </c>
      <c r="I382" s="141" t="n">
        <v>0</v>
      </c>
      <c r="J382" s="141" t="n">
        <v>0</v>
      </c>
      <c r="K382" s="141" t="n">
        <v>2.27</v>
      </c>
      <c r="L382" s="141" t="n">
        <v>39.83</v>
      </c>
      <c r="M382" s="141" t="n">
        <v>0</v>
      </c>
      <c r="N382" s="141" t="n">
        <v>0</v>
      </c>
      <c r="O382" s="141" t="n">
        <v>0.58</v>
      </c>
    </row>
    <row r="383" customFormat="false" ht="15" hidden="false" customHeight="false" outlineLevel="0" collapsed="false">
      <c r="A383" s="138" t="s">
        <v>3796</v>
      </c>
      <c r="B383" s="138" t="s">
        <v>2010</v>
      </c>
      <c r="C383" s="138" t="n">
        <v>349.2525</v>
      </c>
      <c r="D383" s="138" t="n">
        <v>350</v>
      </c>
      <c r="E383" s="141" t="n">
        <f aca="false">F383/Parâmetros!$C$22</f>
        <v>289.65</v>
      </c>
      <c r="F383" s="141" t="n">
        <v>57.93</v>
      </c>
      <c r="G383" s="141" t="n">
        <v>390.04</v>
      </c>
      <c r="H383" s="141" t="n">
        <v>0</v>
      </c>
      <c r="I383" s="141" t="n">
        <v>0</v>
      </c>
      <c r="J383" s="141" t="n">
        <v>0</v>
      </c>
      <c r="K383" s="141" t="n">
        <v>7.94</v>
      </c>
      <c r="L383" s="141" t="n">
        <v>110.55</v>
      </c>
      <c r="M383" s="141" t="n">
        <v>0</v>
      </c>
      <c r="N383" s="141" t="n">
        <v>0</v>
      </c>
      <c r="O383" s="141" t="n">
        <v>1.7</v>
      </c>
    </row>
    <row r="384" customFormat="false" ht="15" hidden="false" customHeight="false" outlineLevel="0" collapsed="false">
      <c r="A384" s="138" t="s">
        <v>2010</v>
      </c>
      <c r="B384" s="138" t="s">
        <v>2011</v>
      </c>
      <c r="C384" s="138" t="n">
        <v>350</v>
      </c>
      <c r="D384" s="138" t="n">
        <v>351</v>
      </c>
      <c r="E384" s="141" t="n">
        <f aca="false">F384/Parâmetros!$C$22</f>
        <v>463.15</v>
      </c>
      <c r="F384" s="141" t="n">
        <v>92.63</v>
      </c>
      <c r="G384" s="141" t="n">
        <v>518.27</v>
      </c>
      <c r="H384" s="141" t="n">
        <v>0</v>
      </c>
      <c r="I384" s="141" t="n">
        <v>0</v>
      </c>
      <c r="J384" s="141" t="n">
        <v>0</v>
      </c>
      <c r="K384" s="141" t="n">
        <v>2.18</v>
      </c>
      <c r="L384" s="141" t="n">
        <v>144.18</v>
      </c>
      <c r="M384" s="141" t="n">
        <v>0</v>
      </c>
      <c r="N384" s="141" t="n">
        <v>0</v>
      </c>
      <c r="O384" s="141" t="n">
        <v>3.25</v>
      </c>
    </row>
    <row r="385" customFormat="false" ht="15" hidden="false" customHeight="false" outlineLevel="0" collapsed="false">
      <c r="A385" s="138" t="s">
        <v>2011</v>
      </c>
      <c r="B385" s="138" t="s">
        <v>2012</v>
      </c>
      <c r="C385" s="138" t="n">
        <v>351</v>
      </c>
      <c r="D385" s="138" t="n">
        <v>352</v>
      </c>
      <c r="E385" s="141" t="n">
        <f aca="false">F385/Parâmetros!$C$22</f>
        <v>369.95</v>
      </c>
      <c r="F385" s="141" t="n">
        <v>73.99</v>
      </c>
      <c r="G385" s="141" t="n">
        <v>442.9</v>
      </c>
      <c r="H385" s="141" t="n">
        <v>0</v>
      </c>
      <c r="I385" s="141" t="n">
        <v>0</v>
      </c>
      <c r="J385" s="141" t="n">
        <v>0</v>
      </c>
      <c r="K385" s="141" t="n">
        <v>0.87</v>
      </c>
      <c r="L385" s="141" t="n">
        <v>154.66</v>
      </c>
      <c r="M385" s="141" t="n">
        <v>0</v>
      </c>
      <c r="N385" s="141" t="n">
        <v>0</v>
      </c>
      <c r="O385" s="141" t="n">
        <v>4.22</v>
      </c>
    </row>
    <row r="386" customFormat="false" ht="15" hidden="false" customHeight="false" outlineLevel="0" collapsed="false">
      <c r="A386" s="138" t="s">
        <v>2012</v>
      </c>
      <c r="B386" s="138" t="s">
        <v>2013</v>
      </c>
      <c r="C386" s="138" t="n">
        <v>352</v>
      </c>
      <c r="D386" s="138" t="n">
        <v>353</v>
      </c>
      <c r="E386" s="141" t="n">
        <f aca="false">F386/Parâmetros!$C$22</f>
        <v>330.9</v>
      </c>
      <c r="F386" s="141" t="n">
        <v>66.18</v>
      </c>
      <c r="G386" s="141" t="n">
        <v>398.4</v>
      </c>
      <c r="H386" s="141" t="n">
        <v>0</v>
      </c>
      <c r="I386" s="141" t="n">
        <v>0</v>
      </c>
      <c r="J386" s="141" t="n">
        <v>0</v>
      </c>
      <c r="K386" s="141" t="n">
        <v>0.8</v>
      </c>
      <c r="L386" s="141" t="n">
        <v>154.66</v>
      </c>
      <c r="M386" s="141" t="n">
        <v>0</v>
      </c>
      <c r="N386" s="141" t="n">
        <v>0</v>
      </c>
      <c r="O386" s="141" t="n">
        <v>4.22</v>
      </c>
    </row>
    <row r="387" customFormat="false" ht="15" hidden="false" customHeight="false" outlineLevel="0" collapsed="false">
      <c r="A387" s="138" t="s">
        <v>2013</v>
      </c>
      <c r="B387" s="138" t="s">
        <v>3797</v>
      </c>
      <c r="C387" s="138" t="n">
        <v>353</v>
      </c>
      <c r="D387" s="138" t="n">
        <v>353.0845</v>
      </c>
      <c r="E387" s="141" t="n">
        <f aca="false">F387/Parâmetros!$C$22</f>
        <v>29.05</v>
      </c>
      <c r="F387" s="141" t="n">
        <v>5.81</v>
      </c>
      <c r="G387" s="141" t="n">
        <v>34.04</v>
      </c>
      <c r="H387" s="141" t="n">
        <v>0</v>
      </c>
      <c r="I387" s="141" t="n">
        <v>0</v>
      </c>
      <c r="J387" s="141" t="n">
        <v>0</v>
      </c>
      <c r="K387" s="141" t="n">
        <v>0.07</v>
      </c>
      <c r="L387" s="141" t="n">
        <v>13.08</v>
      </c>
      <c r="M387" s="141" t="n">
        <v>0</v>
      </c>
      <c r="N387" s="141" t="n">
        <v>0</v>
      </c>
      <c r="O387" s="141" t="n">
        <v>0.36</v>
      </c>
    </row>
    <row r="388" customFormat="false" ht="15" hidden="false" customHeight="false" outlineLevel="0" collapsed="false">
      <c r="A388" s="138" t="s">
        <v>3797</v>
      </c>
      <c r="B388" s="138" t="s">
        <v>2014</v>
      </c>
      <c r="C388" s="138" t="n">
        <v>353.0845</v>
      </c>
      <c r="D388" s="138" t="n">
        <v>354</v>
      </c>
      <c r="E388" s="141" t="n">
        <f aca="false">F388/Parâmetros!$C$22</f>
        <v>317.45</v>
      </c>
      <c r="F388" s="141" t="n">
        <v>63.49</v>
      </c>
      <c r="G388" s="141" t="n">
        <v>381.87</v>
      </c>
      <c r="H388" s="141" t="n">
        <v>0</v>
      </c>
      <c r="I388" s="141" t="n">
        <v>0</v>
      </c>
      <c r="J388" s="141" t="n">
        <v>0</v>
      </c>
      <c r="K388" s="141" t="n">
        <v>0.75</v>
      </c>
      <c r="L388" s="141" t="n">
        <v>141.58</v>
      </c>
      <c r="M388" s="141" t="n">
        <v>0</v>
      </c>
      <c r="N388" s="141" t="n">
        <v>0</v>
      </c>
      <c r="O388" s="141" t="n">
        <v>3.86</v>
      </c>
    </row>
    <row r="389" customFormat="false" ht="15" hidden="false" customHeight="false" outlineLevel="0" collapsed="false">
      <c r="A389" s="138" t="s">
        <v>2014</v>
      </c>
      <c r="B389" s="138" t="s">
        <v>2015</v>
      </c>
      <c r="C389" s="138" t="n">
        <v>354</v>
      </c>
      <c r="D389" s="138" t="n">
        <v>355</v>
      </c>
      <c r="E389" s="141" t="n">
        <f aca="false">F389/Parâmetros!$C$22</f>
        <v>329.1</v>
      </c>
      <c r="F389" s="141" t="n">
        <v>65.82</v>
      </c>
      <c r="G389" s="141" t="n">
        <v>401.42</v>
      </c>
      <c r="H389" s="141" t="n">
        <v>0</v>
      </c>
      <c r="I389" s="141" t="n">
        <v>0</v>
      </c>
      <c r="J389" s="141" t="n">
        <v>0</v>
      </c>
      <c r="K389" s="141" t="n">
        <v>2.68</v>
      </c>
      <c r="L389" s="141" t="n">
        <v>154.66</v>
      </c>
      <c r="M389" s="141" t="n">
        <v>0</v>
      </c>
      <c r="N389" s="141" t="n">
        <v>0</v>
      </c>
      <c r="O389" s="141" t="n">
        <v>4.22</v>
      </c>
    </row>
    <row r="390" customFormat="false" ht="15" hidden="false" customHeight="false" outlineLevel="0" collapsed="false">
      <c r="A390" s="138" t="s">
        <v>2015</v>
      </c>
      <c r="B390" s="138" t="s">
        <v>2016</v>
      </c>
      <c r="C390" s="138" t="n">
        <v>355</v>
      </c>
      <c r="D390" s="138" t="n">
        <v>356</v>
      </c>
      <c r="E390" s="141" t="n">
        <f aca="false">F390/Parâmetros!$C$22</f>
        <v>307.6</v>
      </c>
      <c r="F390" s="141" t="n">
        <v>61.52</v>
      </c>
      <c r="G390" s="141" t="n">
        <v>321.67</v>
      </c>
      <c r="H390" s="141" t="n">
        <v>0</v>
      </c>
      <c r="I390" s="141" t="n">
        <v>0</v>
      </c>
      <c r="J390" s="141" t="n">
        <v>0</v>
      </c>
      <c r="K390" s="141" t="n">
        <v>5.83</v>
      </c>
      <c r="L390" s="141" t="n">
        <v>159.05</v>
      </c>
      <c r="M390" s="141" t="n">
        <v>0</v>
      </c>
      <c r="N390" s="141" t="n">
        <v>0</v>
      </c>
      <c r="O390" s="141" t="n">
        <v>4.08</v>
      </c>
    </row>
    <row r="391" customFormat="false" ht="15" hidden="false" customHeight="false" outlineLevel="0" collapsed="false">
      <c r="A391" s="138" t="s">
        <v>2016</v>
      </c>
      <c r="B391" s="138" t="s">
        <v>3798</v>
      </c>
      <c r="C391" s="138" t="n">
        <v>356</v>
      </c>
      <c r="D391" s="138" t="n">
        <v>356.9165</v>
      </c>
      <c r="E391" s="141" t="n">
        <f aca="false">F391/Parâmetros!$C$22</f>
        <v>283.45</v>
      </c>
      <c r="F391" s="141" t="n">
        <v>56.69</v>
      </c>
      <c r="G391" s="141" t="n">
        <v>190.02</v>
      </c>
      <c r="H391" s="141" t="n">
        <v>0</v>
      </c>
      <c r="I391" s="141" t="n">
        <v>0</v>
      </c>
      <c r="J391" s="141" t="n">
        <v>0</v>
      </c>
      <c r="K391" s="141" t="n">
        <v>4.67</v>
      </c>
      <c r="L391" s="141" t="n">
        <v>146.07</v>
      </c>
      <c r="M391" s="141" t="n">
        <v>0</v>
      </c>
      <c r="N391" s="141" t="n">
        <v>0</v>
      </c>
      <c r="O391" s="141" t="n">
        <v>3.61</v>
      </c>
    </row>
    <row r="392" customFormat="false" ht="15" hidden="false" customHeight="false" outlineLevel="0" collapsed="false">
      <c r="A392" s="138" t="s">
        <v>3798</v>
      </c>
      <c r="B392" s="138" t="s">
        <v>2017</v>
      </c>
      <c r="C392" s="138" t="n">
        <v>356.9165</v>
      </c>
      <c r="D392" s="138" t="n">
        <v>357</v>
      </c>
      <c r="E392" s="141" t="n">
        <f aca="false">F392/Parâmetros!$C$22</f>
        <v>25.3</v>
      </c>
      <c r="F392" s="141" t="n">
        <v>5.06</v>
      </c>
      <c r="G392" s="141" t="n">
        <v>11.58</v>
      </c>
      <c r="H392" s="141" t="n">
        <v>0</v>
      </c>
      <c r="I392" s="141" t="n">
        <v>0</v>
      </c>
      <c r="J392" s="141" t="n">
        <v>0</v>
      </c>
      <c r="K392" s="141" t="n">
        <v>0.29</v>
      </c>
      <c r="L392" s="141" t="n">
        <v>13.03</v>
      </c>
      <c r="M392" s="141" t="n">
        <v>0</v>
      </c>
      <c r="N392" s="141" t="n">
        <v>0</v>
      </c>
      <c r="O392" s="141" t="n">
        <v>0.33</v>
      </c>
    </row>
    <row r="393" customFormat="false" ht="15" hidden="false" customHeight="false" outlineLevel="0" collapsed="false">
      <c r="A393" s="138" t="s">
        <v>2017</v>
      </c>
      <c r="B393" s="138" t="s">
        <v>2018</v>
      </c>
      <c r="C393" s="138" t="n">
        <v>357</v>
      </c>
      <c r="D393" s="138" t="n">
        <v>358</v>
      </c>
      <c r="E393" s="141" t="n">
        <f aca="false">F393/Parâmetros!$C$22</f>
        <v>267.4</v>
      </c>
      <c r="F393" s="141" t="n">
        <v>53.48</v>
      </c>
      <c r="G393" s="141" t="n">
        <v>84.73</v>
      </c>
      <c r="H393" s="141" t="n">
        <v>0</v>
      </c>
      <c r="I393" s="141" t="n">
        <v>0</v>
      </c>
      <c r="J393" s="141" t="n">
        <v>0</v>
      </c>
      <c r="K393" s="141" t="n">
        <v>12.18</v>
      </c>
      <c r="L393" s="141" t="n">
        <v>160.5</v>
      </c>
      <c r="M393" s="141" t="n">
        <v>0</v>
      </c>
      <c r="N393" s="141" t="n">
        <v>0</v>
      </c>
      <c r="O393" s="141" t="n">
        <v>3.82</v>
      </c>
    </row>
    <row r="394" customFormat="false" ht="15" hidden="false" customHeight="false" outlineLevel="0" collapsed="false">
      <c r="A394" s="138" t="s">
        <v>2018</v>
      </c>
      <c r="B394" s="138" t="s">
        <v>2019</v>
      </c>
      <c r="C394" s="138" t="n">
        <v>358</v>
      </c>
      <c r="D394" s="138" t="n">
        <v>359</v>
      </c>
      <c r="E394" s="141" t="n">
        <f aca="false">F394/Parâmetros!$C$22</f>
        <v>281.8</v>
      </c>
      <c r="F394" s="141" t="n">
        <v>56.36</v>
      </c>
      <c r="G394" s="141" t="n">
        <v>47.53</v>
      </c>
      <c r="H394" s="141" t="n">
        <v>0</v>
      </c>
      <c r="I394" s="141" t="n">
        <v>0</v>
      </c>
      <c r="J394" s="141" t="n">
        <v>0</v>
      </c>
      <c r="K394" s="141" t="n">
        <v>76.57</v>
      </c>
      <c r="L394" s="141" t="n">
        <v>154.77</v>
      </c>
      <c r="M394" s="141" t="n">
        <v>0</v>
      </c>
      <c r="N394" s="141" t="n">
        <v>0</v>
      </c>
      <c r="O394" s="141" t="n">
        <v>2.82</v>
      </c>
    </row>
    <row r="395" customFormat="false" ht="15" hidden="false" customHeight="false" outlineLevel="0" collapsed="false">
      <c r="A395" s="138" t="s">
        <v>2019</v>
      </c>
      <c r="B395" s="138" t="s">
        <v>2021</v>
      </c>
      <c r="C395" s="138" t="n">
        <v>359</v>
      </c>
      <c r="D395" s="138" t="n">
        <v>360</v>
      </c>
      <c r="E395" s="141" t="n">
        <f aca="false">F395/Parâmetros!$C$22</f>
        <v>311.15</v>
      </c>
      <c r="F395" s="141" t="n">
        <v>62.23</v>
      </c>
      <c r="G395" s="141" t="n">
        <v>151.99</v>
      </c>
      <c r="H395" s="141" t="n">
        <v>0</v>
      </c>
      <c r="I395" s="141" t="n">
        <v>0</v>
      </c>
      <c r="J395" s="141" t="n">
        <v>0</v>
      </c>
      <c r="K395" s="141" t="n">
        <v>67.22</v>
      </c>
      <c r="L395" s="141" t="n">
        <v>150.28</v>
      </c>
      <c r="M395" s="141" t="n">
        <v>0</v>
      </c>
      <c r="N395" s="141" t="n">
        <v>0</v>
      </c>
      <c r="O395" s="141" t="n">
        <v>3.08</v>
      </c>
    </row>
    <row r="396" customFormat="false" ht="15" hidden="false" customHeight="false" outlineLevel="0" collapsed="false">
      <c r="A396" s="138" t="s">
        <v>2021</v>
      </c>
      <c r="B396" s="138" t="s">
        <v>3799</v>
      </c>
      <c r="C396" s="138" t="n">
        <v>360</v>
      </c>
      <c r="D396" s="138" t="n">
        <v>360.9165</v>
      </c>
      <c r="E396" s="141" t="n">
        <f aca="false">F396/Parâmetros!$C$22</f>
        <v>310.95</v>
      </c>
      <c r="F396" s="141" t="n">
        <v>62.19</v>
      </c>
      <c r="G396" s="141" t="n">
        <v>405.5</v>
      </c>
      <c r="H396" s="141" t="n">
        <v>0</v>
      </c>
      <c r="I396" s="141" t="n">
        <v>0</v>
      </c>
      <c r="J396" s="141" t="n">
        <v>0</v>
      </c>
      <c r="K396" s="141" t="n">
        <v>0</v>
      </c>
      <c r="L396" s="141" t="n">
        <v>151.56</v>
      </c>
      <c r="M396" s="141" t="n">
        <v>0</v>
      </c>
      <c r="N396" s="141" t="n">
        <v>0</v>
      </c>
      <c r="O396" s="141" t="n">
        <v>3.85</v>
      </c>
    </row>
    <row r="397" customFormat="false" ht="15" hidden="false" customHeight="false" outlineLevel="0" collapsed="false">
      <c r="A397" s="138" t="s">
        <v>3799</v>
      </c>
      <c r="B397" s="138" t="s">
        <v>2022</v>
      </c>
      <c r="C397" s="138" t="n">
        <v>360.9165</v>
      </c>
      <c r="D397" s="138" t="n">
        <v>361</v>
      </c>
      <c r="E397" s="141" t="n">
        <f aca="false">F397/Parâmetros!$C$22</f>
        <v>31.95</v>
      </c>
      <c r="F397" s="141" t="n">
        <v>6.39</v>
      </c>
      <c r="G397" s="141" t="n">
        <v>55.59</v>
      </c>
      <c r="H397" s="141" t="n">
        <v>0</v>
      </c>
      <c r="I397" s="141" t="n">
        <v>0</v>
      </c>
      <c r="J397" s="141" t="n">
        <v>0</v>
      </c>
      <c r="K397" s="141" t="n">
        <v>0</v>
      </c>
      <c r="L397" s="141" t="n">
        <v>14.78</v>
      </c>
      <c r="M397" s="141" t="n">
        <v>0</v>
      </c>
      <c r="N397" s="141" t="n">
        <v>0</v>
      </c>
      <c r="O397" s="141" t="n">
        <v>0.35</v>
      </c>
    </row>
    <row r="398" customFormat="false" ht="15" hidden="false" customHeight="false" outlineLevel="0" collapsed="false">
      <c r="A398" s="138" t="s">
        <v>2022</v>
      </c>
      <c r="B398" s="138" t="s">
        <v>2023</v>
      </c>
      <c r="C398" s="138" t="n">
        <v>361</v>
      </c>
      <c r="D398" s="138" t="n">
        <v>362</v>
      </c>
      <c r="E398" s="141" t="n">
        <f aca="false">F398/Parâmetros!$C$22</f>
        <v>450.45</v>
      </c>
      <c r="F398" s="141" t="n">
        <v>90.09</v>
      </c>
      <c r="G398" s="141" t="n">
        <v>1135.82</v>
      </c>
      <c r="H398" s="141" t="n">
        <v>0</v>
      </c>
      <c r="I398" s="141" t="n">
        <v>0</v>
      </c>
      <c r="J398" s="141" t="n">
        <v>0</v>
      </c>
      <c r="K398" s="141" t="n">
        <v>0</v>
      </c>
      <c r="L398" s="141" t="n">
        <v>197.72</v>
      </c>
      <c r="M398" s="141" t="n">
        <v>0</v>
      </c>
      <c r="N398" s="141" t="n">
        <v>0</v>
      </c>
      <c r="O398" s="141" t="n">
        <v>4.17</v>
      </c>
    </row>
    <row r="399" customFormat="false" ht="15" hidden="false" customHeight="false" outlineLevel="0" collapsed="false">
      <c r="A399" s="138" t="s">
        <v>2023</v>
      </c>
      <c r="B399" s="138" t="s">
        <v>2024</v>
      </c>
      <c r="C399" s="138" t="n">
        <v>362</v>
      </c>
      <c r="D399" s="138" t="n">
        <v>363</v>
      </c>
      <c r="E399" s="141" t="n">
        <f aca="false">F399/Parâmetros!$C$22</f>
        <v>561.3</v>
      </c>
      <c r="F399" s="141" t="n">
        <v>112.26</v>
      </c>
      <c r="G399" s="141" t="n">
        <v>2050.01</v>
      </c>
      <c r="H399" s="141" t="n">
        <v>0</v>
      </c>
      <c r="I399" s="141" t="n">
        <v>0</v>
      </c>
      <c r="J399" s="141" t="n">
        <v>0</v>
      </c>
      <c r="K399" s="141" t="n">
        <v>2.82</v>
      </c>
      <c r="L399" s="141" t="n">
        <v>221.75</v>
      </c>
      <c r="M399" s="141" t="n">
        <v>0</v>
      </c>
      <c r="N399" s="141" t="n">
        <v>0</v>
      </c>
      <c r="O399" s="141" t="n">
        <v>2.09</v>
      </c>
    </row>
    <row r="400" customFormat="false" ht="15" hidden="false" customHeight="false" outlineLevel="0" collapsed="false">
      <c r="A400" s="138" t="s">
        <v>2024</v>
      </c>
      <c r="B400" s="138" t="s">
        <v>3800</v>
      </c>
      <c r="C400" s="138" t="n">
        <v>363</v>
      </c>
      <c r="D400" s="138" t="n">
        <v>363.087</v>
      </c>
      <c r="E400" s="141" t="n">
        <f aca="false">F400/Parâmetros!$C$22</f>
        <v>53.15</v>
      </c>
      <c r="F400" s="141" t="n">
        <v>10.63</v>
      </c>
      <c r="G400" s="141" t="n">
        <v>231.46</v>
      </c>
      <c r="H400" s="141" t="n">
        <v>0</v>
      </c>
      <c r="I400" s="141" t="n">
        <v>0</v>
      </c>
      <c r="J400" s="141" t="n">
        <v>0</v>
      </c>
      <c r="K400" s="141" t="n">
        <v>0.25</v>
      </c>
      <c r="L400" s="141" t="n">
        <v>19.68</v>
      </c>
      <c r="M400" s="141" t="n">
        <v>0</v>
      </c>
      <c r="N400" s="141" t="n">
        <v>0</v>
      </c>
      <c r="O400" s="141" t="n">
        <v>0.18</v>
      </c>
    </row>
    <row r="401" customFormat="false" ht="15" hidden="false" customHeight="false" outlineLevel="0" collapsed="false">
      <c r="A401" s="138" t="s">
        <v>3800</v>
      </c>
      <c r="B401" s="138" t="s">
        <v>2025</v>
      </c>
      <c r="C401" s="138" t="n">
        <v>363.087</v>
      </c>
      <c r="D401" s="138" t="n">
        <v>364</v>
      </c>
      <c r="E401" s="141" t="n">
        <f aca="false">F401/Parâmetros!$C$22</f>
        <v>618.35</v>
      </c>
      <c r="F401" s="141" t="n">
        <v>123.67</v>
      </c>
      <c r="G401" s="141" t="n">
        <v>3034.9</v>
      </c>
      <c r="H401" s="141" t="n">
        <v>0</v>
      </c>
      <c r="I401" s="141" t="n">
        <v>81.22</v>
      </c>
      <c r="J401" s="141" t="n">
        <v>0</v>
      </c>
      <c r="K401" s="141" t="n">
        <v>0.73</v>
      </c>
      <c r="L401" s="141" t="n">
        <v>0</v>
      </c>
      <c r="M401" s="141" t="n">
        <v>0</v>
      </c>
      <c r="N401" s="141" t="n">
        <v>148.74</v>
      </c>
      <c r="O401" s="141" t="n">
        <v>3.86</v>
      </c>
    </row>
    <row r="402" customFormat="false" ht="15" hidden="false" customHeight="false" outlineLevel="0" collapsed="false">
      <c r="A402" s="138" t="s">
        <v>2025</v>
      </c>
      <c r="B402" s="138" t="s">
        <v>2026</v>
      </c>
      <c r="C402" s="138" t="n">
        <v>364</v>
      </c>
      <c r="D402" s="138" t="n">
        <v>365</v>
      </c>
      <c r="E402" s="141" t="n">
        <f aca="false">F402/Parâmetros!$C$22</f>
        <v>712.45</v>
      </c>
      <c r="F402" s="141" t="n">
        <v>142.49</v>
      </c>
      <c r="G402" s="141" t="n">
        <v>3720.34</v>
      </c>
      <c r="H402" s="141" t="n">
        <v>0</v>
      </c>
      <c r="I402" s="141" t="n">
        <v>276.78</v>
      </c>
      <c r="J402" s="141" t="n">
        <v>0</v>
      </c>
      <c r="K402" s="141" t="n">
        <v>0</v>
      </c>
      <c r="L402" s="141" t="n">
        <v>0</v>
      </c>
      <c r="M402" s="141" t="n">
        <v>0</v>
      </c>
      <c r="N402" s="141" t="n">
        <v>89.45</v>
      </c>
      <c r="O402" s="141" t="n">
        <v>4.34</v>
      </c>
    </row>
    <row r="403" customFormat="false" ht="15" hidden="false" customHeight="false" outlineLevel="0" collapsed="false">
      <c r="A403" s="138" t="s">
        <v>2026</v>
      </c>
      <c r="B403" s="138" t="s">
        <v>3801</v>
      </c>
      <c r="C403" s="138" t="n">
        <v>365</v>
      </c>
      <c r="D403" s="138" t="n">
        <v>365.86</v>
      </c>
      <c r="E403" s="141" t="n">
        <f aca="false">F403/Parâmetros!$C$22</f>
        <v>576.7</v>
      </c>
      <c r="F403" s="141" t="n">
        <v>115.34</v>
      </c>
      <c r="G403" s="141" t="n">
        <v>3028.46</v>
      </c>
      <c r="H403" s="141" t="n">
        <v>0</v>
      </c>
      <c r="I403" s="141" t="n">
        <v>268.22</v>
      </c>
      <c r="J403" s="141" t="n">
        <v>0</v>
      </c>
      <c r="K403" s="141" t="n">
        <v>0</v>
      </c>
      <c r="L403" s="141" t="n">
        <v>0</v>
      </c>
      <c r="M403" s="141" t="n">
        <v>0</v>
      </c>
      <c r="N403" s="141" t="n">
        <v>67.61</v>
      </c>
      <c r="O403" s="141" t="n">
        <v>3.84</v>
      </c>
    </row>
    <row r="404" customFormat="false" ht="15" hidden="false" customHeight="false" outlineLevel="0" collapsed="false">
      <c r="A404" s="138" t="s">
        <v>3801</v>
      </c>
      <c r="B404" s="138" t="s">
        <v>2027</v>
      </c>
      <c r="C404" s="138" t="n">
        <v>365.86</v>
      </c>
      <c r="D404" s="138" t="n">
        <v>366</v>
      </c>
      <c r="E404" s="141" t="n">
        <f aca="false">F404/Parâmetros!$C$22</f>
        <v>92.6</v>
      </c>
      <c r="F404" s="141" t="n">
        <v>18.52</v>
      </c>
      <c r="G404" s="141" t="n">
        <v>489.29</v>
      </c>
      <c r="H404" s="141" t="n">
        <v>0</v>
      </c>
      <c r="I404" s="141" t="n">
        <v>33.17</v>
      </c>
      <c r="J404" s="141" t="n">
        <v>0</v>
      </c>
      <c r="K404" s="141" t="n">
        <v>0</v>
      </c>
      <c r="L404" s="141" t="n">
        <v>0</v>
      </c>
      <c r="M404" s="141" t="n">
        <v>0</v>
      </c>
      <c r="N404" s="141" t="n">
        <v>10.83</v>
      </c>
      <c r="O404" s="141" t="n">
        <v>0.64</v>
      </c>
    </row>
    <row r="405" customFormat="false" ht="15" hidden="false" customHeight="false" outlineLevel="0" collapsed="false">
      <c r="A405" s="138" t="s">
        <v>2027</v>
      </c>
      <c r="B405" s="138" t="s">
        <v>2028</v>
      </c>
      <c r="C405" s="138" t="n">
        <v>366</v>
      </c>
      <c r="D405" s="138" t="n">
        <v>367</v>
      </c>
      <c r="E405" s="141" t="n">
        <f aca="false">F405/Parâmetros!$C$22</f>
        <v>609.15</v>
      </c>
      <c r="F405" s="141" t="n">
        <v>121.83</v>
      </c>
      <c r="G405" s="141" t="n">
        <v>3223.11</v>
      </c>
      <c r="H405" s="141" t="n">
        <v>0</v>
      </c>
      <c r="I405" s="141" t="n">
        <v>122.09</v>
      </c>
      <c r="J405" s="141" t="n">
        <v>0</v>
      </c>
      <c r="K405" s="141" t="n">
        <v>0</v>
      </c>
      <c r="L405" s="141" t="n">
        <v>77.39</v>
      </c>
      <c r="M405" s="141" t="n">
        <v>0</v>
      </c>
      <c r="N405" s="141" t="n">
        <v>38.7</v>
      </c>
      <c r="O405" s="141" t="n">
        <v>4.58</v>
      </c>
    </row>
    <row r="406" customFormat="false" ht="15" hidden="false" customHeight="false" outlineLevel="0" collapsed="false">
      <c r="A406" s="138" t="s">
        <v>2028</v>
      </c>
      <c r="B406" s="138" t="s">
        <v>2029</v>
      </c>
      <c r="C406" s="138" t="n">
        <v>367</v>
      </c>
      <c r="D406" s="138" t="n">
        <v>368</v>
      </c>
      <c r="E406" s="141" t="n">
        <f aca="false">F406/Parâmetros!$C$22</f>
        <v>511.65</v>
      </c>
      <c r="F406" s="141" t="n">
        <v>102.33</v>
      </c>
      <c r="G406" s="141" t="n">
        <v>2364.83</v>
      </c>
      <c r="H406" s="141" t="n">
        <v>0</v>
      </c>
      <c r="I406" s="141" t="n">
        <v>8.98</v>
      </c>
      <c r="J406" s="141" t="n">
        <v>0</v>
      </c>
      <c r="K406" s="141" t="n">
        <v>0</v>
      </c>
      <c r="L406" s="141" t="n">
        <v>154.8</v>
      </c>
      <c r="M406" s="141" t="n">
        <v>0</v>
      </c>
      <c r="N406" s="141" t="n">
        <v>0</v>
      </c>
      <c r="O406" s="141" t="n">
        <v>4.61</v>
      </c>
    </row>
    <row r="407" customFormat="false" ht="15" hidden="false" customHeight="false" outlineLevel="0" collapsed="false">
      <c r="A407" s="138" t="s">
        <v>2029</v>
      </c>
      <c r="B407" s="138" t="s">
        <v>3802</v>
      </c>
      <c r="C407" s="138" t="n">
        <v>368</v>
      </c>
      <c r="D407" s="138" t="n">
        <v>368.6335</v>
      </c>
      <c r="E407" s="141" t="n">
        <f aca="false">F407/Parâmetros!$C$22</f>
        <v>288.7</v>
      </c>
      <c r="F407" s="141" t="n">
        <v>57.74</v>
      </c>
      <c r="G407" s="141" t="n">
        <v>1041.89</v>
      </c>
      <c r="H407" s="141" t="n">
        <v>0</v>
      </c>
      <c r="I407" s="141" t="n">
        <v>0</v>
      </c>
      <c r="J407" s="141" t="n">
        <v>0</v>
      </c>
      <c r="K407" s="141" t="n">
        <v>0</v>
      </c>
      <c r="L407" s="141" t="n">
        <v>98.05</v>
      </c>
      <c r="M407" s="141" t="n">
        <v>0</v>
      </c>
      <c r="N407" s="141" t="n">
        <v>0</v>
      </c>
      <c r="O407" s="141" t="n">
        <v>2.92</v>
      </c>
    </row>
    <row r="408" customFormat="false" ht="15" hidden="false" customHeight="false" outlineLevel="0" collapsed="false">
      <c r="A408" s="138" t="s">
        <v>3802</v>
      </c>
      <c r="B408" s="138" t="s">
        <v>2030</v>
      </c>
      <c r="C408" s="138" t="n">
        <v>368.6335</v>
      </c>
      <c r="D408" s="138" t="n">
        <v>369</v>
      </c>
      <c r="E408" s="141" t="n">
        <f aca="false">F408/Parâmetros!$C$22</f>
        <v>176.25</v>
      </c>
      <c r="F408" s="141" t="n">
        <v>35.25</v>
      </c>
      <c r="G408" s="141" t="n">
        <v>491.33</v>
      </c>
      <c r="H408" s="141" t="n">
        <v>0</v>
      </c>
      <c r="I408" s="141" t="n">
        <v>0</v>
      </c>
      <c r="J408" s="141" t="n">
        <v>0</v>
      </c>
      <c r="K408" s="141" t="n">
        <v>0</v>
      </c>
      <c r="L408" s="141" t="n">
        <v>56.75</v>
      </c>
      <c r="M408" s="141" t="n">
        <v>0</v>
      </c>
      <c r="N408" s="141" t="n">
        <v>0</v>
      </c>
      <c r="O408" s="141" t="n">
        <v>1.69</v>
      </c>
    </row>
    <row r="409" customFormat="false" ht="15" hidden="false" customHeight="false" outlineLevel="0" collapsed="false">
      <c r="A409" s="138" t="s">
        <v>2030</v>
      </c>
      <c r="B409" s="138" t="s">
        <v>2031</v>
      </c>
      <c r="C409" s="138" t="n">
        <v>369</v>
      </c>
      <c r="D409" s="138" t="n">
        <v>370</v>
      </c>
      <c r="E409" s="141" t="n">
        <f aca="false">F409/Parâmetros!$C$22</f>
        <v>444.55</v>
      </c>
      <c r="F409" s="141" t="n">
        <v>88.91</v>
      </c>
      <c r="G409" s="141" t="n">
        <v>974.35</v>
      </c>
      <c r="H409" s="141" t="n">
        <v>0</v>
      </c>
      <c r="I409" s="141" t="n">
        <v>0</v>
      </c>
      <c r="J409" s="141" t="n">
        <v>0</v>
      </c>
      <c r="K409" s="141" t="n">
        <v>0</v>
      </c>
      <c r="L409" s="141" t="n">
        <v>154.8</v>
      </c>
      <c r="M409" s="141" t="n">
        <v>0</v>
      </c>
      <c r="N409" s="141" t="n">
        <v>0</v>
      </c>
      <c r="O409" s="141" t="n">
        <v>4.61</v>
      </c>
    </row>
    <row r="410" customFormat="false" ht="15" hidden="false" customHeight="false" outlineLevel="0" collapsed="false">
      <c r="A410" s="138" t="s">
        <v>2031</v>
      </c>
      <c r="B410" s="138" t="s">
        <v>2032</v>
      </c>
      <c r="C410" s="138" t="n">
        <v>370</v>
      </c>
      <c r="D410" s="138" t="n">
        <v>371</v>
      </c>
      <c r="E410" s="141" t="n">
        <f aca="false">F410/Parâmetros!$C$22</f>
        <v>348.2</v>
      </c>
      <c r="F410" s="141" t="n">
        <v>69.64</v>
      </c>
      <c r="G410" s="141" t="n">
        <v>551.78</v>
      </c>
      <c r="H410" s="141" t="n">
        <v>0</v>
      </c>
      <c r="I410" s="141" t="n">
        <v>0</v>
      </c>
      <c r="J410" s="141" t="n">
        <v>0</v>
      </c>
      <c r="K410" s="141" t="n">
        <v>0</v>
      </c>
      <c r="L410" s="141" t="n">
        <v>154.8</v>
      </c>
      <c r="M410" s="141" t="n">
        <v>0</v>
      </c>
      <c r="N410" s="141" t="n">
        <v>0</v>
      </c>
      <c r="O410" s="141" t="n">
        <v>4.61</v>
      </c>
    </row>
    <row r="411" customFormat="false" ht="15" hidden="false" customHeight="false" outlineLevel="0" collapsed="false">
      <c r="A411" s="138" t="s">
        <v>2032</v>
      </c>
      <c r="B411" s="138" t="s">
        <v>2033</v>
      </c>
      <c r="C411" s="138" t="n">
        <v>371</v>
      </c>
      <c r="D411" s="138" t="n">
        <v>372</v>
      </c>
      <c r="E411" s="141" t="n">
        <f aca="false">F411/Parâmetros!$C$22</f>
        <v>315.45</v>
      </c>
      <c r="F411" s="141" t="n">
        <v>63.09</v>
      </c>
      <c r="G411" s="141" t="n">
        <v>270.03</v>
      </c>
      <c r="H411" s="141" t="n">
        <v>0</v>
      </c>
      <c r="I411" s="141" t="n">
        <v>0</v>
      </c>
      <c r="J411" s="141" t="n">
        <v>0</v>
      </c>
      <c r="K411" s="141" t="n">
        <v>1.91</v>
      </c>
      <c r="L411" s="141" t="n">
        <v>154.8</v>
      </c>
      <c r="M411" s="141" t="n">
        <v>0</v>
      </c>
      <c r="N411" s="141" t="n">
        <v>0</v>
      </c>
      <c r="O411" s="141" t="n">
        <v>4.61</v>
      </c>
    </row>
    <row r="412" customFormat="false" ht="15" hidden="false" customHeight="false" outlineLevel="0" collapsed="false">
      <c r="A412" s="138" t="s">
        <v>2033</v>
      </c>
      <c r="B412" s="138" t="s">
        <v>2034</v>
      </c>
      <c r="C412" s="138" t="n">
        <v>372</v>
      </c>
      <c r="D412" s="138" t="n">
        <v>373</v>
      </c>
      <c r="E412" s="141" t="n">
        <f aca="false">F412/Parâmetros!$C$22</f>
        <v>265.25</v>
      </c>
      <c r="F412" s="141" t="n">
        <v>53.05</v>
      </c>
      <c r="G412" s="141" t="n">
        <v>106.32</v>
      </c>
      <c r="H412" s="141" t="n">
        <v>0</v>
      </c>
      <c r="I412" s="141" t="n">
        <v>0</v>
      </c>
      <c r="J412" s="141" t="n">
        <v>0</v>
      </c>
      <c r="K412" s="141" t="n">
        <v>8.87</v>
      </c>
      <c r="L412" s="141" t="n">
        <v>154.8</v>
      </c>
      <c r="M412" s="141" t="n">
        <v>0</v>
      </c>
      <c r="N412" s="141" t="n">
        <v>0</v>
      </c>
      <c r="O412" s="141" t="n">
        <v>4.61</v>
      </c>
    </row>
    <row r="413" customFormat="false" ht="15" hidden="false" customHeight="false" outlineLevel="0" collapsed="false">
      <c r="A413" s="138" t="s">
        <v>2034</v>
      </c>
      <c r="B413" s="138" t="s">
        <v>2035</v>
      </c>
      <c r="C413" s="138" t="n">
        <v>373</v>
      </c>
      <c r="D413" s="138" t="n">
        <v>374</v>
      </c>
      <c r="E413" s="141" t="n">
        <f aca="false">F413/Parâmetros!$C$22</f>
        <v>232</v>
      </c>
      <c r="F413" s="141" t="n">
        <v>46.4</v>
      </c>
      <c r="G413" s="141" t="n">
        <v>62.17</v>
      </c>
      <c r="H413" s="141" t="n">
        <v>0</v>
      </c>
      <c r="I413" s="141" t="n">
        <v>0</v>
      </c>
      <c r="J413" s="141" t="n">
        <v>0</v>
      </c>
      <c r="K413" s="141" t="n">
        <v>13.38</v>
      </c>
      <c r="L413" s="141" t="n">
        <v>155.26</v>
      </c>
      <c r="M413" s="141" t="n">
        <v>0</v>
      </c>
      <c r="N413" s="141" t="n">
        <v>0</v>
      </c>
      <c r="O413" s="141" t="n">
        <v>4.46</v>
      </c>
    </row>
    <row r="414" customFormat="false" ht="15" hidden="false" customHeight="false" outlineLevel="0" collapsed="false">
      <c r="A414" s="138" t="s">
        <v>2035</v>
      </c>
      <c r="B414" s="138" t="s">
        <v>2036</v>
      </c>
      <c r="C414" s="138" t="n">
        <v>374</v>
      </c>
      <c r="D414" s="138" t="n">
        <v>375</v>
      </c>
      <c r="E414" s="141" t="n">
        <f aca="false">F414/Parâmetros!$C$22</f>
        <v>233.95</v>
      </c>
      <c r="F414" s="141" t="n">
        <v>46.79</v>
      </c>
      <c r="G414" s="141" t="n">
        <v>73.64</v>
      </c>
      <c r="H414" s="141" t="n">
        <v>0</v>
      </c>
      <c r="I414" s="141" t="n">
        <v>0</v>
      </c>
      <c r="J414" s="141" t="n">
        <v>0</v>
      </c>
      <c r="K414" s="141" t="n">
        <v>9.59</v>
      </c>
      <c r="L414" s="141" t="n">
        <v>155.63</v>
      </c>
      <c r="M414" s="141" t="n">
        <v>0</v>
      </c>
      <c r="N414" s="141" t="n">
        <v>0</v>
      </c>
      <c r="O414" s="141" t="n">
        <v>4.32</v>
      </c>
    </row>
    <row r="415" customFormat="false" ht="15" hidden="false" customHeight="false" outlineLevel="0" collapsed="false">
      <c r="A415" s="138" t="s">
        <v>2036</v>
      </c>
      <c r="B415" s="138" t="s">
        <v>2037</v>
      </c>
      <c r="C415" s="138" t="n">
        <v>375</v>
      </c>
      <c r="D415" s="138" t="n">
        <v>376</v>
      </c>
      <c r="E415" s="141" t="n">
        <f aca="false">F415/Parâmetros!$C$22</f>
        <v>304.05</v>
      </c>
      <c r="F415" s="141" t="n">
        <v>60.81</v>
      </c>
      <c r="G415" s="141" t="n">
        <v>80.11</v>
      </c>
      <c r="H415" s="141" t="n">
        <v>0</v>
      </c>
      <c r="I415" s="141" t="n">
        <v>0</v>
      </c>
      <c r="J415" s="141" t="n">
        <v>0</v>
      </c>
      <c r="K415" s="141" t="n">
        <v>7.12</v>
      </c>
      <c r="L415" s="141" t="n">
        <v>157.16</v>
      </c>
      <c r="M415" s="141" t="n">
        <v>0</v>
      </c>
      <c r="N415" s="141" t="n">
        <v>0</v>
      </c>
      <c r="O415" s="141" t="n">
        <v>4.17</v>
      </c>
    </row>
    <row r="416" customFormat="false" ht="15" hidden="false" customHeight="false" outlineLevel="0" collapsed="false">
      <c r="A416" s="138" t="s">
        <v>2037</v>
      </c>
      <c r="B416" s="138" t="s">
        <v>2038</v>
      </c>
      <c r="C416" s="138" t="n">
        <v>376</v>
      </c>
      <c r="D416" s="138" t="n">
        <v>377</v>
      </c>
      <c r="E416" s="141" t="n">
        <f aca="false">F416/Parâmetros!$C$22</f>
        <v>307.75</v>
      </c>
      <c r="F416" s="141" t="n">
        <v>61.55</v>
      </c>
      <c r="G416" s="141" t="n">
        <v>70.01</v>
      </c>
      <c r="H416" s="141" t="n">
        <v>0</v>
      </c>
      <c r="I416" s="141" t="n">
        <v>0</v>
      </c>
      <c r="J416" s="141" t="n">
        <v>0</v>
      </c>
      <c r="K416" s="141" t="n">
        <v>25.2</v>
      </c>
      <c r="L416" s="141" t="n">
        <v>159.28</v>
      </c>
      <c r="M416" s="141" t="n">
        <v>0</v>
      </c>
      <c r="N416" s="141" t="n">
        <v>0</v>
      </c>
      <c r="O416" s="141" t="n">
        <v>4.03</v>
      </c>
    </row>
    <row r="417" customFormat="false" ht="15" hidden="false" customHeight="false" outlineLevel="0" collapsed="false">
      <c r="A417" s="138" t="s">
        <v>2038</v>
      </c>
      <c r="B417" s="138" t="s">
        <v>2039</v>
      </c>
      <c r="C417" s="138" t="n">
        <v>377</v>
      </c>
      <c r="D417" s="138" t="n">
        <v>378</v>
      </c>
      <c r="E417" s="141" t="n">
        <f aca="false">F417/Parâmetros!$C$22</f>
        <v>234.45</v>
      </c>
      <c r="F417" s="141" t="n">
        <v>46.89</v>
      </c>
      <c r="G417" s="141" t="n">
        <v>67.28</v>
      </c>
      <c r="H417" s="141" t="n">
        <v>0</v>
      </c>
      <c r="I417" s="141" t="n">
        <v>0</v>
      </c>
      <c r="J417" s="141" t="n">
        <v>0</v>
      </c>
      <c r="K417" s="141" t="n">
        <v>27.46</v>
      </c>
      <c r="L417" s="141" t="n">
        <v>161.87</v>
      </c>
      <c r="M417" s="141" t="n">
        <v>0</v>
      </c>
      <c r="N417" s="141" t="n">
        <v>0</v>
      </c>
      <c r="O417" s="141" t="n">
        <v>4.17</v>
      </c>
    </row>
    <row r="418" customFormat="false" ht="15" hidden="false" customHeight="false" outlineLevel="0" collapsed="false">
      <c r="A418" s="138" t="s">
        <v>2039</v>
      </c>
      <c r="B418" s="138" t="s">
        <v>2040</v>
      </c>
      <c r="C418" s="138" t="n">
        <v>378</v>
      </c>
      <c r="D418" s="138" t="n">
        <v>379</v>
      </c>
      <c r="E418" s="141" t="n">
        <f aca="false">F418/Parâmetros!$C$22</f>
        <v>243.95</v>
      </c>
      <c r="F418" s="141" t="n">
        <v>48.79</v>
      </c>
      <c r="G418" s="141" t="n">
        <v>112.57</v>
      </c>
      <c r="H418" s="141" t="n">
        <v>0</v>
      </c>
      <c r="I418" s="141" t="n">
        <v>0</v>
      </c>
      <c r="J418" s="141" t="n">
        <v>0</v>
      </c>
      <c r="K418" s="141" t="n">
        <v>8.24</v>
      </c>
      <c r="L418" s="141" t="n">
        <v>161.32</v>
      </c>
      <c r="M418" s="141" t="n">
        <v>0</v>
      </c>
      <c r="N418" s="141" t="n">
        <v>0</v>
      </c>
      <c r="O418" s="141" t="n">
        <v>4.32</v>
      </c>
    </row>
    <row r="419" customFormat="false" ht="15" hidden="false" customHeight="false" outlineLevel="0" collapsed="false">
      <c r="A419" s="138" t="s">
        <v>2040</v>
      </c>
      <c r="B419" s="138" t="s">
        <v>2041</v>
      </c>
      <c r="C419" s="138" t="n">
        <v>379</v>
      </c>
      <c r="D419" s="138" t="n">
        <v>380</v>
      </c>
      <c r="E419" s="141" t="n">
        <f aca="false">F419/Parâmetros!$C$22</f>
        <v>274.3</v>
      </c>
      <c r="F419" s="141" t="n">
        <v>54.86</v>
      </c>
      <c r="G419" s="141" t="n">
        <v>247.22</v>
      </c>
      <c r="H419" s="141" t="n">
        <v>0</v>
      </c>
      <c r="I419" s="141" t="n">
        <v>0</v>
      </c>
      <c r="J419" s="141" t="n">
        <v>0</v>
      </c>
      <c r="K419" s="141" t="n">
        <v>4.42</v>
      </c>
      <c r="L419" s="141" t="n">
        <v>156.75</v>
      </c>
      <c r="M419" s="141" t="n">
        <v>0</v>
      </c>
      <c r="N419" s="141" t="n">
        <v>0</v>
      </c>
      <c r="O419" s="141" t="n">
        <v>4.46</v>
      </c>
    </row>
    <row r="420" customFormat="false" ht="15" hidden="false" customHeight="false" outlineLevel="0" collapsed="false">
      <c r="A420" s="138" t="s">
        <v>2041</v>
      </c>
      <c r="B420" s="138" t="s">
        <v>3803</v>
      </c>
      <c r="C420" s="138" t="n">
        <v>380</v>
      </c>
      <c r="D420" s="138" t="n">
        <v>380.8495</v>
      </c>
      <c r="E420" s="141" t="n">
        <f aca="false">F420/Parâmetros!$C$22</f>
        <v>268.2</v>
      </c>
      <c r="F420" s="141" t="n">
        <v>53.64</v>
      </c>
      <c r="G420" s="141" t="n">
        <v>405.59</v>
      </c>
      <c r="H420" s="141" t="n">
        <v>0</v>
      </c>
      <c r="I420" s="141" t="n">
        <v>0</v>
      </c>
      <c r="J420" s="141" t="n">
        <v>0</v>
      </c>
      <c r="K420" s="141" t="n">
        <v>2.02</v>
      </c>
      <c r="L420" s="141" t="n">
        <v>131.47</v>
      </c>
      <c r="M420" s="141" t="n">
        <v>0</v>
      </c>
      <c r="N420" s="141" t="n">
        <v>0</v>
      </c>
      <c r="O420" s="141" t="n">
        <v>3.91</v>
      </c>
    </row>
    <row r="421" customFormat="false" ht="15" hidden="false" customHeight="false" outlineLevel="0" collapsed="false">
      <c r="A421" s="138" t="s">
        <v>3803</v>
      </c>
      <c r="B421" s="138" t="s">
        <v>2042</v>
      </c>
      <c r="C421" s="138" t="n">
        <v>380.8495</v>
      </c>
      <c r="D421" s="138" t="n">
        <v>381</v>
      </c>
      <c r="E421" s="141" t="n">
        <f aca="false">F421/Parâmetros!$C$22</f>
        <v>52.65</v>
      </c>
      <c r="F421" s="141" t="n">
        <v>10.53</v>
      </c>
      <c r="G421" s="141" t="n">
        <v>96.6</v>
      </c>
      <c r="H421" s="141" t="n">
        <v>0</v>
      </c>
      <c r="I421" s="141" t="n">
        <v>0</v>
      </c>
      <c r="J421" s="141" t="n">
        <v>0</v>
      </c>
      <c r="K421" s="141" t="n">
        <v>0</v>
      </c>
      <c r="L421" s="141" t="n">
        <v>23.33</v>
      </c>
      <c r="M421" s="141" t="n">
        <v>0</v>
      </c>
      <c r="N421" s="141" t="n">
        <v>0</v>
      </c>
      <c r="O421" s="141" t="n">
        <v>0.69</v>
      </c>
    </row>
    <row r="422" customFormat="false" ht="15" hidden="false" customHeight="false" outlineLevel="0" collapsed="false">
      <c r="A422" s="138" t="s">
        <v>2042</v>
      </c>
      <c r="B422" s="138" t="s">
        <v>2043</v>
      </c>
      <c r="C422" s="138" t="n">
        <v>381</v>
      </c>
      <c r="D422" s="138" t="n">
        <v>382</v>
      </c>
      <c r="E422" s="141" t="n">
        <f aca="false">F422/Parâmetros!$C$22</f>
        <v>361.75</v>
      </c>
      <c r="F422" s="141" t="n">
        <v>72.35</v>
      </c>
      <c r="G422" s="141" t="n">
        <v>769.7</v>
      </c>
      <c r="H422" s="141" t="n">
        <v>0</v>
      </c>
      <c r="I422" s="141" t="n">
        <v>0</v>
      </c>
      <c r="J422" s="141" t="n">
        <v>0</v>
      </c>
      <c r="K422" s="141" t="n">
        <v>0</v>
      </c>
      <c r="L422" s="141" t="n">
        <v>154.8</v>
      </c>
      <c r="M422" s="141" t="n">
        <v>0</v>
      </c>
      <c r="N422" s="141" t="n">
        <v>0</v>
      </c>
      <c r="O422" s="141" t="n">
        <v>4.61</v>
      </c>
    </row>
    <row r="423" customFormat="false" ht="15" hidden="false" customHeight="false" outlineLevel="0" collapsed="false">
      <c r="A423" s="138" t="s">
        <v>2043</v>
      </c>
      <c r="B423" s="138" t="s">
        <v>2044</v>
      </c>
      <c r="C423" s="138" t="n">
        <v>382</v>
      </c>
      <c r="D423" s="138" t="n">
        <v>383</v>
      </c>
      <c r="E423" s="141" t="n">
        <f aca="false">F423/Parâmetros!$C$22</f>
        <v>384.65</v>
      </c>
      <c r="F423" s="141" t="n">
        <v>76.93</v>
      </c>
      <c r="G423" s="141" t="n">
        <v>1036.32</v>
      </c>
      <c r="H423" s="141" t="n">
        <v>0</v>
      </c>
      <c r="I423" s="141" t="n">
        <v>0</v>
      </c>
      <c r="J423" s="141" t="n">
        <v>0</v>
      </c>
      <c r="K423" s="141" t="n">
        <v>0</v>
      </c>
      <c r="L423" s="141" t="n">
        <v>154.8</v>
      </c>
      <c r="M423" s="141" t="n">
        <v>0</v>
      </c>
      <c r="N423" s="141" t="n">
        <v>0</v>
      </c>
      <c r="O423" s="141" t="n">
        <v>4.61</v>
      </c>
    </row>
    <row r="424" customFormat="false" ht="15" hidden="false" customHeight="false" outlineLevel="0" collapsed="false">
      <c r="A424" s="138" t="s">
        <v>2044</v>
      </c>
      <c r="B424" s="138" t="s">
        <v>3804</v>
      </c>
      <c r="C424" s="138" t="n">
        <v>383</v>
      </c>
      <c r="D424" s="138" t="n">
        <v>383.706</v>
      </c>
      <c r="E424" s="141" t="n">
        <f aca="false">F424/Parâmetros!$C$22</f>
        <v>289.9</v>
      </c>
      <c r="F424" s="141" t="n">
        <v>57.98</v>
      </c>
      <c r="G424" s="141" t="n">
        <v>913.08</v>
      </c>
      <c r="H424" s="141" t="n">
        <v>0</v>
      </c>
      <c r="I424" s="141" t="n">
        <v>0</v>
      </c>
      <c r="J424" s="141" t="n">
        <v>0</v>
      </c>
      <c r="K424" s="141" t="n">
        <v>0</v>
      </c>
      <c r="L424" s="141" t="n">
        <v>109.31</v>
      </c>
      <c r="M424" s="141" t="n">
        <v>0</v>
      </c>
      <c r="N424" s="141" t="n">
        <v>0</v>
      </c>
      <c r="O424" s="141" t="n">
        <v>3.25</v>
      </c>
    </row>
    <row r="425" customFormat="false" ht="15" hidden="false" customHeight="false" outlineLevel="0" collapsed="false">
      <c r="A425" s="138" t="s">
        <v>3804</v>
      </c>
      <c r="B425" s="138" t="s">
        <v>2045</v>
      </c>
      <c r="C425" s="138" t="n">
        <v>383.706</v>
      </c>
      <c r="D425" s="138" t="n">
        <v>384</v>
      </c>
      <c r="E425" s="141" t="n">
        <f aca="false">F425/Parâmetros!$C$22</f>
        <v>124.2</v>
      </c>
      <c r="F425" s="141" t="n">
        <v>24.84</v>
      </c>
      <c r="G425" s="141" t="n">
        <v>402.62</v>
      </c>
      <c r="H425" s="141" t="n">
        <v>0</v>
      </c>
      <c r="I425" s="141" t="n">
        <v>0</v>
      </c>
      <c r="J425" s="141" t="n">
        <v>0</v>
      </c>
      <c r="K425" s="141" t="n">
        <v>1.33</v>
      </c>
      <c r="L425" s="141" t="n">
        <v>45.49</v>
      </c>
      <c r="M425" s="141" t="n">
        <v>0</v>
      </c>
      <c r="N425" s="141" t="n">
        <v>0</v>
      </c>
      <c r="O425" s="141" t="n">
        <v>1.35</v>
      </c>
    </row>
    <row r="426" customFormat="false" ht="15" hidden="false" customHeight="false" outlineLevel="0" collapsed="false">
      <c r="A426" s="138" t="s">
        <v>2045</v>
      </c>
      <c r="B426" s="138" t="s">
        <v>2046</v>
      </c>
      <c r="C426" s="138" t="n">
        <v>384</v>
      </c>
      <c r="D426" s="138" t="n">
        <v>385</v>
      </c>
      <c r="E426" s="141" t="n">
        <f aca="false">F426/Parâmetros!$C$22</f>
        <v>419.8</v>
      </c>
      <c r="F426" s="141" t="n">
        <v>83.96</v>
      </c>
      <c r="G426" s="141" t="n">
        <v>1484.09</v>
      </c>
      <c r="H426" s="141" t="n">
        <v>0</v>
      </c>
      <c r="I426" s="141" t="n">
        <v>0</v>
      </c>
      <c r="J426" s="141" t="n">
        <v>0</v>
      </c>
      <c r="K426" s="141" t="n">
        <v>4.46</v>
      </c>
      <c r="L426" s="141" t="n">
        <v>154.8</v>
      </c>
      <c r="M426" s="141" t="n">
        <v>0</v>
      </c>
      <c r="N426" s="141" t="n">
        <v>0</v>
      </c>
      <c r="O426" s="141" t="n">
        <v>4.61</v>
      </c>
    </row>
    <row r="427" customFormat="false" ht="15" hidden="false" customHeight="false" outlineLevel="0" collapsed="false">
      <c r="A427" s="138" t="s">
        <v>2046</v>
      </c>
      <c r="B427" s="138" t="s">
        <v>2047</v>
      </c>
      <c r="C427" s="138" t="n">
        <v>385</v>
      </c>
      <c r="D427" s="138" t="n">
        <v>386</v>
      </c>
      <c r="E427" s="141" t="n">
        <f aca="false">F427/Parâmetros!$C$22</f>
        <v>420.05</v>
      </c>
      <c r="F427" s="141" t="n">
        <v>84.01</v>
      </c>
      <c r="G427" s="141" t="n">
        <v>1671.58</v>
      </c>
      <c r="H427" s="141" t="n">
        <v>0</v>
      </c>
      <c r="I427" s="141" t="n">
        <v>0</v>
      </c>
      <c r="J427" s="141" t="n">
        <v>0</v>
      </c>
      <c r="K427" s="141" t="n">
        <v>0</v>
      </c>
      <c r="L427" s="141" t="n">
        <v>154.8</v>
      </c>
      <c r="M427" s="141" t="n">
        <v>0</v>
      </c>
      <c r="N427" s="141" t="n">
        <v>0</v>
      </c>
      <c r="O427" s="141" t="n">
        <v>4.61</v>
      </c>
    </row>
    <row r="428" customFormat="false" ht="15" hidden="false" customHeight="false" outlineLevel="0" collapsed="false">
      <c r="A428" s="138" t="s">
        <v>2047</v>
      </c>
      <c r="B428" s="138" t="s">
        <v>3805</v>
      </c>
      <c r="C428" s="138" t="n">
        <v>386</v>
      </c>
      <c r="D428" s="138" t="n">
        <v>386.563</v>
      </c>
      <c r="E428" s="141" t="n">
        <f aca="false">F428/Parâmetros!$C$22</f>
        <v>240.1</v>
      </c>
      <c r="F428" s="141" t="n">
        <v>48.02</v>
      </c>
      <c r="G428" s="141" t="n">
        <v>967.86</v>
      </c>
      <c r="H428" s="141" t="n">
        <v>0</v>
      </c>
      <c r="I428" s="141" t="n">
        <v>0</v>
      </c>
      <c r="J428" s="141" t="n">
        <v>0</v>
      </c>
      <c r="K428" s="141" t="n">
        <v>0</v>
      </c>
      <c r="L428" s="141" t="n">
        <v>87.15</v>
      </c>
      <c r="M428" s="141" t="n">
        <v>0</v>
      </c>
      <c r="N428" s="141" t="n">
        <v>0</v>
      </c>
      <c r="O428" s="141" t="n">
        <v>2.59</v>
      </c>
    </row>
    <row r="429" customFormat="false" ht="15" hidden="false" customHeight="false" outlineLevel="0" collapsed="false">
      <c r="A429" s="138" t="s">
        <v>3805</v>
      </c>
      <c r="B429" s="138" t="s">
        <v>2048</v>
      </c>
      <c r="C429" s="138" t="n">
        <v>386.563</v>
      </c>
      <c r="D429" s="138" t="n">
        <v>387</v>
      </c>
      <c r="E429" s="141" t="n">
        <f aca="false">F429/Parâmetros!$C$22</f>
        <v>187.35</v>
      </c>
      <c r="F429" s="141" t="n">
        <v>37.47</v>
      </c>
      <c r="G429" s="141" t="n">
        <v>741.82</v>
      </c>
      <c r="H429" s="141" t="n">
        <v>0</v>
      </c>
      <c r="I429" s="141" t="n">
        <v>0</v>
      </c>
      <c r="J429" s="141" t="n">
        <v>0</v>
      </c>
      <c r="K429" s="141" t="n">
        <v>0</v>
      </c>
      <c r="L429" s="141" t="n">
        <v>67.65</v>
      </c>
      <c r="M429" s="141" t="n">
        <v>0</v>
      </c>
      <c r="N429" s="141" t="n">
        <v>0</v>
      </c>
      <c r="O429" s="141" t="n">
        <v>2.01</v>
      </c>
    </row>
    <row r="430" customFormat="false" ht="15" hidden="false" customHeight="false" outlineLevel="0" collapsed="false">
      <c r="A430" s="138" t="s">
        <v>2048</v>
      </c>
      <c r="B430" s="138" t="s">
        <v>2049</v>
      </c>
      <c r="C430" s="138" t="n">
        <v>387</v>
      </c>
      <c r="D430" s="138" t="n">
        <v>388</v>
      </c>
      <c r="E430" s="141" t="n">
        <f aca="false">F430/Parâmetros!$C$22</f>
        <v>421.95</v>
      </c>
      <c r="F430" s="141" t="n">
        <v>84.39</v>
      </c>
      <c r="G430" s="141" t="n">
        <v>1629.76</v>
      </c>
      <c r="H430" s="141" t="n">
        <v>0</v>
      </c>
      <c r="I430" s="141" t="n">
        <v>0</v>
      </c>
      <c r="J430" s="141" t="n">
        <v>0</v>
      </c>
      <c r="K430" s="141" t="n">
        <v>0</v>
      </c>
      <c r="L430" s="141" t="n">
        <v>154.8</v>
      </c>
      <c r="M430" s="141" t="n">
        <v>0</v>
      </c>
      <c r="N430" s="141" t="n">
        <v>0</v>
      </c>
      <c r="O430" s="141" t="n">
        <v>4.61</v>
      </c>
    </row>
    <row r="431" customFormat="false" ht="15" hidden="false" customHeight="false" outlineLevel="0" collapsed="false">
      <c r="A431" s="138" t="s">
        <v>2049</v>
      </c>
      <c r="B431" s="138" t="s">
        <v>2050</v>
      </c>
      <c r="C431" s="138" t="n">
        <v>388</v>
      </c>
      <c r="D431" s="138" t="n">
        <v>389</v>
      </c>
      <c r="E431" s="141" t="n">
        <f aca="false">F431/Parâmetros!$C$22</f>
        <v>411.85</v>
      </c>
      <c r="F431" s="141" t="n">
        <v>82.37</v>
      </c>
      <c r="G431" s="141" t="n">
        <v>1479.62</v>
      </c>
      <c r="H431" s="141" t="n">
        <v>0</v>
      </c>
      <c r="I431" s="141" t="n">
        <v>0</v>
      </c>
      <c r="J431" s="141" t="n">
        <v>0</v>
      </c>
      <c r="K431" s="141" t="n">
        <v>3.65</v>
      </c>
      <c r="L431" s="141" t="n">
        <v>154.8</v>
      </c>
      <c r="M431" s="141" t="n">
        <v>0</v>
      </c>
      <c r="N431" s="141" t="n">
        <v>0</v>
      </c>
      <c r="O431" s="141" t="n">
        <v>4.61</v>
      </c>
    </row>
    <row r="432" customFormat="false" ht="15" hidden="false" customHeight="false" outlineLevel="0" collapsed="false">
      <c r="A432" s="138" t="s">
        <v>2050</v>
      </c>
      <c r="B432" s="138" t="s">
        <v>2051</v>
      </c>
      <c r="C432" s="138" t="n">
        <v>389</v>
      </c>
      <c r="D432" s="138" t="n">
        <v>390</v>
      </c>
      <c r="E432" s="141" t="n">
        <f aca="false">F432/Parâmetros!$C$22</f>
        <v>389.7</v>
      </c>
      <c r="F432" s="141" t="n">
        <v>77.94</v>
      </c>
      <c r="G432" s="141" t="n">
        <v>1262.93</v>
      </c>
      <c r="H432" s="141" t="n">
        <v>0</v>
      </c>
      <c r="I432" s="141" t="n">
        <v>0</v>
      </c>
      <c r="J432" s="141" t="n">
        <v>0</v>
      </c>
      <c r="K432" s="141" t="n">
        <v>3.67</v>
      </c>
      <c r="L432" s="141" t="n">
        <v>154.8</v>
      </c>
      <c r="M432" s="141" t="n">
        <v>0</v>
      </c>
      <c r="N432" s="141" t="n">
        <v>0</v>
      </c>
      <c r="O432" s="141" t="n">
        <v>4.61</v>
      </c>
    </row>
    <row r="433" customFormat="false" ht="15" hidden="false" customHeight="false" outlineLevel="0" collapsed="false">
      <c r="A433" s="138" t="s">
        <v>2051</v>
      </c>
      <c r="B433" s="138" t="s">
        <v>2052</v>
      </c>
      <c r="C433" s="138" t="n">
        <v>390</v>
      </c>
      <c r="D433" s="138" t="n">
        <v>391</v>
      </c>
      <c r="E433" s="141" t="n">
        <f aca="false">F433/Parâmetros!$C$22</f>
        <v>353.3</v>
      </c>
      <c r="F433" s="141" t="n">
        <v>70.66</v>
      </c>
      <c r="G433" s="141" t="n">
        <v>1009.56</v>
      </c>
      <c r="H433" s="141" t="n">
        <v>0</v>
      </c>
      <c r="I433" s="141" t="n">
        <v>0</v>
      </c>
      <c r="J433" s="141" t="n">
        <v>0</v>
      </c>
      <c r="K433" s="141" t="n">
        <v>0.8</v>
      </c>
      <c r="L433" s="141" t="n">
        <v>154.79</v>
      </c>
      <c r="M433" s="141" t="n">
        <v>0</v>
      </c>
      <c r="N433" s="141" t="n">
        <v>0</v>
      </c>
      <c r="O433" s="141" t="n">
        <v>4.61</v>
      </c>
    </row>
    <row r="434" customFormat="false" ht="15" hidden="false" customHeight="false" outlineLevel="0" collapsed="false">
      <c r="A434" s="138" t="s">
        <v>2052</v>
      </c>
      <c r="B434" s="138" t="s">
        <v>2053</v>
      </c>
      <c r="C434" s="138" t="n">
        <v>391</v>
      </c>
      <c r="D434" s="138" t="n">
        <v>392</v>
      </c>
      <c r="E434" s="141" t="n">
        <f aca="false">F434/Parâmetros!$C$22</f>
        <v>329.6</v>
      </c>
      <c r="F434" s="141" t="n">
        <v>65.92</v>
      </c>
      <c r="G434" s="141" t="n">
        <v>797.59</v>
      </c>
      <c r="H434" s="141" t="n">
        <v>0</v>
      </c>
      <c r="I434" s="141" t="n">
        <v>0</v>
      </c>
      <c r="J434" s="141" t="n">
        <v>0</v>
      </c>
      <c r="K434" s="141" t="n">
        <v>0</v>
      </c>
      <c r="L434" s="141" t="n">
        <v>157.52</v>
      </c>
      <c r="M434" s="141" t="n">
        <v>0</v>
      </c>
      <c r="N434" s="141" t="n">
        <v>0</v>
      </c>
      <c r="O434" s="141" t="n">
        <v>4.63</v>
      </c>
    </row>
    <row r="435" customFormat="false" ht="15" hidden="false" customHeight="false" outlineLevel="0" collapsed="false">
      <c r="A435" s="138" t="s">
        <v>2053</v>
      </c>
      <c r="B435" s="138" t="s">
        <v>2055</v>
      </c>
      <c r="C435" s="138" t="n">
        <v>392</v>
      </c>
      <c r="D435" s="138" t="n">
        <v>393</v>
      </c>
      <c r="E435" s="141" t="n">
        <f aca="false">F435/Parâmetros!$C$22</f>
        <v>331.3</v>
      </c>
      <c r="F435" s="141" t="n">
        <v>66.26</v>
      </c>
      <c r="G435" s="141" t="n">
        <v>672.38</v>
      </c>
      <c r="H435" s="141" t="n">
        <v>0</v>
      </c>
      <c r="I435" s="141" t="n">
        <v>0</v>
      </c>
      <c r="J435" s="141" t="n">
        <v>0</v>
      </c>
      <c r="K435" s="141" t="n">
        <v>0</v>
      </c>
      <c r="L435" s="141" t="n">
        <v>167.88</v>
      </c>
      <c r="M435" s="141" t="n">
        <v>0</v>
      </c>
      <c r="N435" s="141" t="n">
        <v>0</v>
      </c>
      <c r="O435" s="141" t="n">
        <v>4.64</v>
      </c>
    </row>
    <row r="436" customFormat="false" ht="15" hidden="false" customHeight="false" outlineLevel="0" collapsed="false">
      <c r="A436" s="138" t="s">
        <v>2055</v>
      </c>
      <c r="B436" s="138" t="s">
        <v>2056</v>
      </c>
      <c r="C436" s="138" t="n">
        <v>393</v>
      </c>
      <c r="D436" s="138" t="n">
        <v>394</v>
      </c>
      <c r="E436" s="141" t="n">
        <f aca="false">F436/Parâmetros!$C$22</f>
        <v>342.65</v>
      </c>
      <c r="F436" s="141" t="n">
        <v>68.53</v>
      </c>
      <c r="G436" s="141" t="n">
        <v>584.9</v>
      </c>
      <c r="H436" s="141" t="n">
        <v>0</v>
      </c>
      <c r="I436" s="141" t="n">
        <v>0</v>
      </c>
      <c r="J436" s="141" t="n">
        <v>0</v>
      </c>
      <c r="K436" s="141" t="n">
        <v>0</v>
      </c>
      <c r="L436" s="141" t="n">
        <v>180.11</v>
      </c>
      <c r="M436" s="141" t="n">
        <v>0</v>
      </c>
      <c r="N436" s="141" t="n">
        <v>0</v>
      </c>
      <c r="O436" s="141" t="n">
        <v>4.64</v>
      </c>
    </row>
    <row r="437" customFormat="false" ht="15" hidden="false" customHeight="false" outlineLevel="0" collapsed="false">
      <c r="A437" s="138" t="s">
        <v>2056</v>
      </c>
      <c r="B437" s="138" t="s">
        <v>2057</v>
      </c>
      <c r="C437" s="138" t="n">
        <v>394</v>
      </c>
      <c r="D437" s="138" t="n">
        <v>395</v>
      </c>
      <c r="E437" s="141" t="n">
        <f aca="false">F437/Parâmetros!$C$22</f>
        <v>347.8</v>
      </c>
      <c r="F437" s="141" t="n">
        <v>69.56</v>
      </c>
      <c r="G437" s="141" t="n">
        <v>548.78</v>
      </c>
      <c r="H437" s="141" t="n">
        <v>0</v>
      </c>
      <c r="I437" s="141" t="n">
        <v>0</v>
      </c>
      <c r="J437" s="141" t="n">
        <v>0</v>
      </c>
      <c r="K437" s="141" t="n">
        <v>0</v>
      </c>
      <c r="L437" s="141" t="n">
        <v>184.71</v>
      </c>
      <c r="M437" s="141" t="n">
        <v>0</v>
      </c>
      <c r="N437" s="141" t="n">
        <v>0</v>
      </c>
      <c r="O437" s="141" t="n">
        <v>4.64</v>
      </c>
    </row>
    <row r="438" customFormat="false" ht="15" hidden="false" customHeight="false" outlineLevel="0" collapsed="false">
      <c r="A438" s="138" t="s">
        <v>2057</v>
      </c>
      <c r="B438" s="138" t="s">
        <v>2058</v>
      </c>
      <c r="C438" s="138" t="n">
        <v>395</v>
      </c>
      <c r="D438" s="138" t="n">
        <v>396</v>
      </c>
      <c r="E438" s="141" t="n">
        <f aca="false">F438/Parâmetros!$C$22</f>
        <v>358.4</v>
      </c>
      <c r="F438" s="141" t="n">
        <v>71.68</v>
      </c>
      <c r="G438" s="141" t="n">
        <v>542.35</v>
      </c>
      <c r="H438" s="141" t="n">
        <v>0</v>
      </c>
      <c r="I438" s="141" t="n">
        <v>0</v>
      </c>
      <c r="J438" s="141" t="n">
        <v>0</v>
      </c>
      <c r="K438" s="141" t="n">
        <v>0</v>
      </c>
      <c r="L438" s="141" t="n">
        <v>184.71</v>
      </c>
      <c r="M438" s="141" t="n">
        <v>0</v>
      </c>
      <c r="N438" s="141" t="n">
        <v>0</v>
      </c>
      <c r="O438" s="141" t="n">
        <v>4.64</v>
      </c>
    </row>
    <row r="439" customFormat="false" ht="15" hidden="false" customHeight="false" outlineLevel="0" collapsed="false">
      <c r="A439" s="138" t="s">
        <v>2058</v>
      </c>
      <c r="B439" s="138" t="s">
        <v>2059</v>
      </c>
      <c r="C439" s="138" t="n">
        <v>396</v>
      </c>
      <c r="D439" s="138" t="n">
        <v>397</v>
      </c>
      <c r="E439" s="141" t="n">
        <f aca="false">F439/Parâmetros!$C$22</f>
        <v>509.25</v>
      </c>
      <c r="F439" s="141" t="n">
        <v>101.85</v>
      </c>
      <c r="G439" s="141" t="n">
        <v>761.89</v>
      </c>
      <c r="H439" s="141" t="n">
        <v>0</v>
      </c>
      <c r="I439" s="141" t="n">
        <v>0</v>
      </c>
      <c r="J439" s="141" t="n">
        <v>0</v>
      </c>
      <c r="K439" s="141" t="n">
        <v>0</v>
      </c>
      <c r="L439" s="141" t="n">
        <v>246.02</v>
      </c>
      <c r="M439" s="141" t="n">
        <v>0</v>
      </c>
      <c r="N439" s="141" t="n">
        <v>0</v>
      </c>
      <c r="O439" s="141" t="n">
        <v>6.57</v>
      </c>
    </row>
    <row r="440" customFormat="false" ht="15" hidden="false" customHeight="false" outlineLevel="0" collapsed="false">
      <c r="A440" s="138" t="s">
        <v>2059</v>
      </c>
      <c r="B440" s="138" t="s">
        <v>2061</v>
      </c>
      <c r="C440" s="138" t="n">
        <v>397</v>
      </c>
      <c r="D440" s="138" t="n">
        <v>398</v>
      </c>
      <c r="E440" s="141" t="n">
        <f aca="false">F440/Parâmetros!$C$22</f>
        <v>515.4</v>
      </c>
      <c r="F440" s="141" t="n">
        <v>103.08</v>
      </c>
      <c r="G440" s="141" t="n">
        <v>822.09</v>
      </c>
      <c r="H440" s="141" t="n">
        <v>0</v>
      </c>
      <c r="I440" s="141" t="n">
        <v>0</v>
      </c>
      <c r="J440" s="141" t="n">
        <v>0</v>
      </c>
      <c r="K440" s="141" t="n">
        <v>0</v>
      </c>
      <c r="L440" s="141" t="n">
        <v>267.25</v>
      </c>
      <c r="M440" s="141" t="n">
        <v>0</v>
      </c>
      <c r="N440" s="141" t="n">
        <v>0</v>
      </c>
      <c r="O440" s="141" t="n">
        <v>6.47</v>
      </c>
    </row>
    <row r="441" customFormat="false" ht="15" hidden="false" customHeight="false" outlineLevel="0" collapsed="false">
      <c r="A441" s="138" t="s">
        <v>2061</v>
      </c>
      <c r="B441" s="138" t="s">
        <v>2063</v>
      </c>
      <c r="C441" s="138" t="n">
        <v>398</v>
      </c>
      <c r="D441" s="138" t="n">
        <v>399</v>
      </c>
      <c r="E441" s="141" t="n">
        <f aca="false">F441/Parâmetros!$C$22</f>
        <v>362.05</v>
      </c>
      <c r="F441" s="141" t="n">
        <v>72.41</v>
      </c>
      <c r="G441" s="141" t="n">
        <v>560.23</v>
      </c>
      <c r="H441" s="141" t="n">
        <v>0</v>
      </c>
      <c r="I441" s="141" t="n">
        <v>0</v>
      </c>
      <c r="J441" s="141" t="n">
        <v>0</v>
      </c>
      <c r="K441" s="141" t="n">
        <v>3.41</v>
      </c>
      <c r="L441" s="141" t="n">
        <v>206.14</v>
      </c>
      <c r="M441" s="141" t="n">
        <v>0</v>
      </c>
      <c r="N441" s="141" t="n">
        <v>0</v>
      </c>
      <c r="O441" s="141" t="n">
        <v>4.53</v>
      </c>
    </row>
    <row r="442" customFormat="false" ht="15" hidden="false" customHeight="false" outlineLevel="0" collapsed="false">
      <c r="A442" s="138" t="s">
        <v>2063</v>
      </c>
      <c r="B442" s="138" t="s">
        <v>2064</v>
      </c>
      <c r="C442" s="138" t="n">
        <v>399</v>
      </c>
      <c r="D442" s="138" t="n">
        <v>400</v>
      </c>
      <c r="E442" s="141" t="n">
        <f aca="false">F442/Parâmetros!$C$22</f>
        <v>357.15</v>
      </c>
      <c r="F442" s="141" t="n">
        <v>71.43</v>
      </c>
      <c r="G442" s="141" t="n">
        <v>490.48</v>
      </c>
      <c r="H442" s="141" t="n">
        <v>0</v>
      </c>
      <c r="I442" s="141" t="n">
        <v>0</v>
      </c>
      <c r="J442" s="141" t="n">
        <v>0</v>
      </c>
      <c r="K442" s="141" t="n">
        <v>5.92</v>
      </c>
      <c r="L442" s="141" t="n">
        <v>183.24</v>
      </c>
      <c r="M442" s="141" t="n">
        <v>0</v>
      </c>
      <c r="N442" s="141" t="n">
        <v>0</v>
      </c>
      <c r="O442" s="141" t="n">
        <v>4.64</v>
      </c>
    </row>
    <row r="443" customFormat="false" ht="15" hidden="false" customHeight="false" outlineLevel="0" collapsed="false">
      <c r="A443" s="138" t="s">
        <v>2064</v>
      </c>
      <c r="B443" s="138" t="s">
        <v>2065</v>
      </c>
      <c r="C443" s="138" t="n">
        <v>400</v>
      </c>
      <c r="D443" s="138" t="n">
        <v>401</v>
      </c>
      <c r="E443" s="141" t="n">
        <f aca="false">F443/Parâmetros!$C$22</f>
        <v>344.95</v>
      </c>
      <c r="F443" s="141" t="n">
        <v>68.99</v>
      </c>
      <c r="G443" s="141" t="n">
        <v>538.76</v>
      </c>
      <c r="H443" s="141" t="n">
        <v>0</v>
      </c>
      <c r="I443" s="141" t="n">
        <v>0</v>
      </c>
      <c r="J443" s="141" t="n">
        <v>0</v>
      </c>
      <c r="K443" s="141" t="n">
        <v>4.46</v>
      </c>
      <c r="L443" s="141" t="n">
        <v>173.75</v>
      </c>
      <c r="M443" s="141" t="n">
        <v>0</v>
      </c>
      <c r="N443" s="141" t="n">
        <v>0</v>
      </c>
      <c r="O443" s="141" t="n">
        <v>4.64</v>
      </c>
    </row>
    <row r="444" customFormat="false" ht="15" hidden="false" customHeight="false" outlineLevel="0" collapsed="false">
      <c r="A444" s="138" t="s">
        <v>2065</v>
      </c>
      <c r="B444" s="138" t="s">
        <v>1579</v>
      </c>
      <c r="C444" s="138" t="n">
        <v>401</v>
      </c>
      <c r="D444" s="138" t="n">
        <v>402</v>
      </c>
      <c r="E444" s="141" t="n">
        <f aca="false">F444/Parâmetros!$C$22</f>
        <v>314</v>
      </c>
      <c r="F444" s="141" t="n">
        <v>62.8</v>
      </c>
      <c r="G444" s="141" t="n">
        <v>575</v>
      </c>
      <c r="H444" s="141" t="n">
        <v>0</v>
      </c>
      <c r="I444" s="141" t="n">
        <v>0</v>
      </c>
      <c r="J444" s="141" t="n">
        <v>0</v>
      </c>
      <c r="K444" s="141" t="n">
        <v>1.53</v>
      </c>
      <c r="L444" s="141" t="n">
        <v>160.43</v>
      </c>
      <c r="M444" s="141" t="n">
        <v>0</v>
      </c>
      <c r="N444" s="141" t="n">
        <v>0</v>
      </c>
      <c r="O444" s="141" t="n">
        <v>4.63</v>
      </c>
    </row>
    <row r="445" customFormat="false" ht="15" hidden="false" customHeight="false" outlineLevel="0" collapsed="false">
      <c r="A445" s="138" t="s">
        <v>1579</v>
      </c>
      <c r="B445" s="138" t="s">
        <v>2066</v>
      </c>
      <c r="C445" s="138" t="n">
        <v>402</v>
      </c>
      <c r="D445" s="138" t="n">
        <v>403</v>
      </c>
      <c r="E445" s="141" t="n">
        <f aca="false">F445/Parâmetros!$C$22</f>
        <v>302.1</v>
      </c>
      <c r="F445" s="141" t="n">
        <v>60.42</v>
      </c>
      <c r="G445" s="141" t="n">
        <v>553.56</v>
      </c>
      <c r="H445" s="141" t="n">
        <v>0</v>
      </c>
      <c r="I445" s="141" t="n">
        <v>0</v>
      </c>
      <c r="J445" s="141" t="n">
        <v>0</v>
      </c>
      <c r="K445" s="141" t="n">
        <v>0</v>
      </c>
      <c r="L445" s="141" t="n">
        <v>154.78</v>
      </c>
      <c r="M445" s="141" t="n">
        <v>0</v>
      </c>
      <c r="N445" s="141" t="n">
        <v>0</v>
      </c>
      <c r="O445" s="141" t="n">
        <v>4.62</v>
      </c>
    </row>
    <row r="446" customFormat="false" ht="15" hidden="false" customHeight="false" outlineLevel="0" collapsed="false">
      <c r="A446" s="138" t="s">
        <v>2066</v>
      </c>
      <c r="B446" s="138" t="s">
        <v>2067</v>
      </c>
      <c r="C446" s="138" t="n">
        <v>403</v>
      </c>
      <c r="D446" s="138" t="n">
        <v>404</v>
      </c>
      <c r="E446" s="141" t="n">
        <f aca="false">F446/Parâmetros!$C$22</f>
        <v>298.1</v>
      </c>
      <c r="F446" s="141" t="n">
        <v>59.62</v>
      </c>
      <c r="G446" s="141" t="n">
        <v>493.58</v>
      </c>
      <c r="H446" s="141" t="n">
        <v>0</v>
      </c>
      <c r="I446" s="141" t="n">
        <v>0</v>
      </c>
      <c r="J446" s="141" t="n">
        <v>0</v>
      </c>
      <c r="K446" s="141" t="n">
        <v>0</v>
      </c>
      <c r="L446" s="141" t="n">
        <v>154.8</v>
      </c>
      <c r="M446" s="141" t="n">
        <v>0</v>
      </c>
      <c r="N446" s="141" t="n">
        <v>0</v>
      </c>
      <c r="O446" s="141" t="n">
        <v>4.61</v>
      </c>
    </row>
    <row r="447" customFormat="false" ht="15" hidden="false" customHeight="false" outlineLevel="0" collapsed="false">
      <c r="A447" s="138" t="s">
        <v>2067</v>
      </c>
      <c r="B447" s="138" t="s">
        <v>2068</v>
      </c>
      <c r="C447" s="138" t="n">
        <v>404</v>
      </c>
      <c r="D447" s="138" t="n">
        <v>405</v>
      </c>
      <c r="E447" s="141" t="n">
        <f aca="false">F447/Parâmetros!$C$22</f>
        <v>291.6</v>
      </c>
      <c r="F447" s="141" t="n">
        <v>58.32</v>
      </c>
      <c r="G447" s="141" t="n">
        <v>418.28</v>
      </c>
      <c r="H447" s="141" t="n">
        <v>0</v>
      </c>
      <c r="I447" s="141" t="n">
        <v>0</v>
      </c>
      <c r="J447" s="141" t="n">
        <v>0</v>
      </c>
      <c r="K447" s="141" t="n">
        <v>0</v>
      </c>
      <c r="L447" s="141" t="n">
        <v>154.8</v>
      </c>
      <c r="M447" s="141" t="n">
        <v>0</v>
      </c>
      <c r="N447" s="141" t="n">
        <v>0</v>
      </c>
      <c r="O447" s="141" t="n">
        <v>4.61</v>
      </c>
    </row>
    <row r="448" customFormat="false" ht="15" hidden="false" customHeight="false" outlineLevel="0" collapsed="false">
      <c r="A448" s="138" t="s">
        <v>2068</v>
      </c>
      <c r="B448" s="138" t="s">
        <v>2069</v>
      </c>
      <c r="C448" s="138" t="n">
        <v>405</v>
      </c>
      <c r="D448" s="138" t="n">
        <v>406</v>
      </c>
      <c r="E448" s="141" t="n">
        <f aca="false">F448/Parâmetros!$C$22</f>
        <v>283.15</v>
      </c>
      <c r="F448" s="141" t="n">
        <v>56.63</v>
      </c>
      <c r="G448" s="141" t="n">
        <v>330.34</v>
      </c>
      <c r="H448" s="141" t="n">
        <v>0</v>
      </c>
      <c r="I448" s="141" t="n">
        <v>0</v>
      </c>
      <c r="J448" s="141" t="n">
        <v>0</v>
      </c>
      <c r="K448" s="141" t="n">
        <v>2.51</v>
      </c>
      <c r="L448" s="141" t="n">
        <v>154.8</v>
      </c>
      <c r="M448" s="141" t="n">
        <v>0</v>
      </c>
      <c r="N448" s="141" t="n">
        <v>0</v>
      </c>
      <c r="O448" s="141" t="n">
        <v>4.46</v>
      </c>
    </row>
    <row r="449" customFormat="false" ht="15" hidden="false" customHeight="false" outlineLevel="0" collapsed="false">
      <c r="A449" s="138" t="s">
        <v>2069</v>
      </c>
      <c r="B449" s="138" t="s">
        <v>2070</v>
      </c>
      <c r="C449" s="138" t="n">
        <v>406</v>
      </c>
      <c r="D449" s="138" t="n">
        <v>407</v>
      </c>
      <c r="E449" s="141" t="n">
        <f aca="false">F449/Parâmetros!$C$22</f>
        <v>279.25</v>
      </c>
      <c r="F449" s="141" t="n">
        <v>55.85</v>
      </c>
      <c r="G449" s="141" t="n">
        <v>236.22</v>
      </c>
      <c r="H449" s="141" t="n">
        <v>0</v>
      </c>
      <c r="I449" s="141" t="n">
        <v>0</v>
      </c>
      <c r="J449" s="141" t="n">
        <v>0</v>
      </c>
      <c r="K449" s="141" t="n">
        <v>4.97</v>
      </c>
      <c r="L449" s="141" t="n">
        <v>157.39</v>
      </c>
      <c r="M449" s="141" t="n">
        <v>0</v>
      </c>
      <c r="N449" s="141" t="n">
        <v>0</v>
      </c>
      <c r="O449" s="141" t="n">
        <v>4.32</v>
      </c>
    </row>
    <row r="450" customFormat="false" ht="15" hidden="false" customHeight="false" outlineLevel="0" collapsed="false">
      <c r="A450" s="138" t="s">
        <v>2070</v>
      </c>
      <c r="B450" s="138" t="s">
        <v>2071</v>
      </c>
      <c r="C450" s="138" t="n">
        <v>407</v>
      </c>
      <c r="D450" s="138" t="n">
        <v>408</v>
      </c>
      <c r="E450" s="141" t="n">
        <f aca="false">F450/Parâmetros!$C$22</f>
        <v>246.7</v>
      </c>
      <c r="F450" s="141" t="n">
        <v>49.34</v>
      </c>
      <c r="G450" s="141" t="n">
        <v>135.23</v>
      </c>
      <c r="H450" s="141" t="n">
        <v>0</v>
      </c>
      <c r="I450" s="141" t="n">
        <v>0</v>
      </c>
      <c r="J450" s="141" t="n">
        <v>0</v>
      </c>
      <c r="K450" s="141" t="n">
        <v>6.9</v>
      </c>
      <c r="L450" s="141" t="n">
        <v>161.88</v>
      </c>
      <c r="M450" s="141" t="n">
        <v>0</v>
      </c>
      <c r="N450" s="141" t="n">
        <v>0</v>
      </c>
      <c r="O450" s="141" t="n">
        <v>4.32</v>
      </c>
    </row>
    <row r="451" customFormat="false" ht="15" hidden="false" customHeight="false" outlineLevel="0" collapsed="false">
      <c r="A451" s="138" t="s">
        <v>2071</v>
      </c>
      <c r="B451" s="138" t="s">
        <v>2072</v>
      </c>
      <c r="C451" s="138" t="n">
        <v>408</v>
      </c>
      <c r="D451" s="138" t="n">
        <v>409</v>
      </c>
      <c r="E451" s="141" t="n">
        <f aca="false">F451/Parâmetros!$C$22</f>
        <v>219.2</v>
      </c>
      <c r="F451" s="141" t="n">
        <v>43.84</v>
      </c>
      <c r="G451" s="141" t="n">
        <v>50.14</v>
      </c>
      <c r="H451" s="141" t="n">
        <v>0</v>
      </c>
      <c r="I451" s="141" t="n">
        <v>0</v>
      </c>
      <c r="J451" s="141" t="n">
        <v>0</v>
      </c>
      <c r="K451" s="141" t="n">
        <v>20.78</v>
      </c>
      <c r="L451" s="141" t="n">
        <v>165.21</v>
      </c>
      <c r="M451" s="141" t="n">
        <v>0</v>
      </c>
      <c r="N451" s="141" t="n">
        <v>0</v>
      </c>
      <c r="O451" s="141" t="n">
        <v>4.17</v>
      </c>
    </row>
    <row r="452" customFormat="false" ht="15" hidden="false" customHeight="false" outlineLevel="0" collapsed="false">
      <c r="A452" s="138" t="s">
        <v>2072</v>
      </c>
      <c r="B452" s="138" t="s">
        <v>2073</v>
      </c>
      <c r="C452" s="138" t="n">
        <v>409</v>
      </c>
      <c r="D452" s="138" t="n">
        <v>410</v>
      </c>
      <c r="E452" s="141" t="n">
        <f aca="false">F452/Parâmetros!$C$22</f>
        <v>223.85</v>
      </c>
      <c r="F452" s="141" t="n">
        <v>44.77</v>
      </c>
      <c r="G452" s="141" t="n">
        <v>9.15</v>
      </c>
      <c r="H452" s="141" t="n">
        <v>0</v>
      </c>
      <c r="I452" s="141" t="n">
        <v>0</v>
      </c>
      <c r="J452" s="141" t="n">
        <v>0</v>
      </c>
      <c r="K452" s="141" t="n">
        <v>62.25</v>
      </c>
      <c r="L452" s="141" t="n">
        <v>171.21</v>
      </c>
      <c r="M452" s="141" t="n">
        <v>0</v>
      </c>
      <c r="N452" s="141" t="n">
        <v>0</v>
      </c>
      <c r="O452" s="141" t="n">
        <v>4.03</v>
      </c>
    </row>
    <row r="453" customFormat="false" ht="15" hidden="false" customHeight="false" outlineLevel="0" collapsed="false">
      <c r="A453" s="138" t="s">
        <v>2073</v>
      </c>
      <c r="B453" s="138" t="s">
        <v>2074</v>
      </c>
      <c r="C453" s="138" t="n">
        <v>410</v>
      </c>
      <c r="D453" s="138" t="n">
        <v>411</v>
      </c>
      <c r="E453" s="141" t="n">
        <f aca="false">F453/Parâmetros!$C$22</f>
        <v>384.95</v>
      </c>
      <c r="F453" s="141" t="n">
        <v>76.99</v>
      </c>
      <c r="G453" s="141" t="n">
        <v>7.65</v>
      </c>
      <c r="H453" s="141" t="n">
        <v>0</v>
      </c>
      <c r="I453" s="141" t="n">
        <v>0</v>
      </c>
      <c r="J453" s="141" t="n">
        <v>0</v>
      </c>
      <c r="K453" s="141" t="n">
        <v>167.46</v>
      </c>
      <c r="L453" s="141" t="n">
        <v>166.65</v>
      </c>
      <c r="M453" s="141" t="n">
        <v>0</v>
      </c>
      <c r="N453" s="141" t="n">
        <v>0</v>
      </c>
      <c r="O453" s="141" t="n">
        <v>3.02</v>
      </c>
    </row>
    <row r="454" customFormat="false" ht="15" hidden="false" customHeight="false" outlineLevel="0" collapsed="false">
      <c r="A454" s="138" t="s">
        <v>2074</v>
      </c>
      <c r="B454" s="138" t="s">
        <v>2075</v>
      </c>
      <c r="C454" s="138" t="n">
        <v>411</v>
      </c>
      <c r="D454" s="138" t="n">
        <v>412</v>
      </c>
      <c r="E454" s="141" t="n">
        <f aca="false">F454/Parâmetros!$C$22</f>
        <v>392.4</v>
      </c>
      <c r="F454" s="141" t="n">
        <v>78.48</v>
      </c>
      <c r="G454" s="141" t="n">
        <v>7.65</v>
      </c>
      <c r="H454" s="141" t="n">
        <v>0</v>
      </c>
      <c r="I454" s="141" t="n">
        <v>0</v>
      </c>
      <c r="J454" s="141" t="n">
        <v>0</v>
      </c>
      <c r="K454" s="141" t="n">
        <v>196.1</v>
      </c>
      <c r="L454" s="141" t="n">
        <v>165.67</v>
      </c>
      <c r="M454" s="141" t="n">
        <v>0</v>
      </c>
      <c r="N454" s="141" t="n">
        <v>0</v>
      </c>
      <c r="O454" s="141" t="n">
        <v>2.96</v>
      </c>
    </row>
    <row r="455" customFormat="false" ht="15" hidden="false" customHeight="false" outlineLevel="0" collapsed="false">
      <c r="A455" s="138" t="s">
        <v>2075</v>
      </c>
      <c r="B455" s="138" t="s">
        <v>2076</v>
      </c>
      <c r="C455" s="138" t="n">
        <v>412</v>
      </c>
      <c r="D455" s="138" t="n">
        <v>413</v>
      </c>
      <c r="E455" s="141" t="n">
        <f aca="false">F455/Parâmetros!$C$22</f>
        <v>339.25</v>
      </c>
      <c r="F455" s="141" t="n">
        <v>67.85</v>
      </c>
      <c r="G455" s="141" t="n">
        <v>21.85</v>
      </c>
      <c r="H455" s="141" t="n">
        <v>0</v>
      </c>
      <c r="I455" s="141" t="n">
        <v>0</v>
      </c>
      <c r="J455" s="141" t="n">
        <v>0</v>
      </c>
      <c r="K455" s="141" t="n">
        <v>113.95</v>
      </c>
      <c r="L455" s="141" t="n">
        <v>162.1</v>
      </c>
      <c r="M455" s="141" t="n">
        <v>0</v>
      </c>
      <c r="N455" s="141" t="n">
        <v>0</v>
      </c>
      <c r="O455" s="141" t="n">
        <v>2.85</v>
      </c>
    </row>
    <row r="456" customFormat="false" ht="15" hidden="false" customHeight="false" outlineLevel="0" collapsed="false">
      <c r="A456" s="138" t="s">
        <v>2076</v>
      </c>
      <c r="B456" s="138" t="s">
        <v>2077</v>
      </c>
      <c r="C456" s="138" t="n">
        <v>413</v>
      </c>
      <c r="D456" s="138" t="n">
        <v>414</v>
      </c>
      <c r="E456" s="141" t="n">
        <f aca="false">F456/Parâmetros!$C$22</f>
        <v>345.1</v>
      </c>
      <c r="F456" s="141" t="n">
        <v>69.02</v>
      </c>
      <c r="G456" s="141" t="n">
        <v>95.48</v>
      </c>
      <c r="H456" s="141" t="n">
        <v>0</v>
      </c>
      <c r="I456" s="141" t="n">
        <v>0</v>
      </c>
      <c r="J456" s="141" t="n">
        <v>0</v>
      </c>
      <c r="K456" s="141" t="n">
        <v>42.81</v>
      </c>
      <c r="L456" s="141" t="n">
        <v>153.84</v>
      </c>
      <c r="M456" s="141" t="n">
        <v>0</v>
      </c>
      <c r="N456" s="141" t="n">
        <v>0</v>
      </c>
      <c r="O456" s="141" t="n">
        <v>2.86</v>
      </c>
    </row>
    <row r="457" customFormat="false" ht="15" hidden="false" customHeight="false" outlineLevel="0" collapsed="false">
      <c r="A457" s="138" t="s">
        <v>2077</v>
      </c>
      <c r="B457" s="138" t="s">
        <v>2078</v>
      </c>
      <c r="C457" s="138" t="n">
        <v>414</v>
      </c>
      <c r="D457" s="138" t="n">
        <v>415</v>
      </c>
      <c r="E457" s="141" t="n">
        <f aca="false">F457/Parâmetros!$C$22</f>
        <v>293.75</v>
      </c>
      <c r="F457" s="141" t="n">
        <v>58.75</v>
      </c>
      <c r="G457" s="141" t="n">
        <v>0</v>
      </c>
      <c r="H457" s="141" t="n">
        <v>267.12</v>
      </c>
      <c r="I457" s="141" t="n">
        <v>0</v>
      </c>
      <c r="J457" s="141" t="n">
        <v>0</v>
      </c>
      <c r="K457" s="141" t="n">
        <v>3.61</v>
      </c>
      <c r="L457" s="141" t="n">
        <v>155.98</v>
      </c>
      <c r="M457" s="141" t="n">
        <v>0</v>
      </c>
      <c r="N457" s="141" t="n">
        <v>0</v>
      </c>
      <c r="O457" s="141" t="n">
        <v>4.08</v>
      </c>
    </row>
    <row r="458" customFormat="false" ht="15" hidden="false" customHeight="false" outlineLevel="0" collapsed="false">
      <c r="A458" s="138" t="s">
        <v>2078</v>
      </c>
      <c r="B458" s="138" t="s">
        <v>3806</v>
      </c>
      <c r="C458" s="138" t="n">
        <v>415</v>
      </c>
      <c r="D458" s="138" t="n">
        <v>415.936</v>
      </c>
      <c r="E458" s="141" t="n">
        <f aca="false">F458/Parâmetros!$C$22</f>
        <v>339.95</v>
      </c>
      <c r="F458" s="141" t="n">
        <v>67.99</v>
      </c>
      <c r="G458" s="141" t="n">
        <v>0</v>
      </c>
      <c r="H458" s="141" t="n">
        <v>482.33</v>
      </c>
      <c r="I458" s="141" t="n">
        <v>0</v>
      </c>
      <c r="J458" s="141" t="n">
        <v>0</v>
      </c>
      <c r="K458" s="141" t="n">
        <v>0</v>
      </c>
      <c r="L458" s="141" t="n">
        <v>147.2</v>
      </c>
      <c r="M458" s="141" t="n">
        <v>0</v>
      </c>
      <c r="N458" s="141" t="n">
        <v>0</v>
      </c>
      <c r="O458" s="141" t="n">
        <v>3.97</v>
      </c>
    </row>
    <row r="459" customFormat="false" ht="15" hidden="false" customHeight="false" outlineLevel="0" collapsed="false">
      <c r="A459" s="138" t="s">
        <v>3806</v>
      </c>
      <c r="B459" s="138" t="s">
        <v>2079</v>
      </c>
      <c r="C459" s="138" t="n">
        <v>415.936</v>
      </c>
      <c r="D459" s="138" t="n">
        <v>416</v>
      </c>
      <c r="E459" s="141" t="n">
        <f aca="false">F459/Parâmetros!$C$22</f>
        <v>25.1</v>
      </c>
      <c r="F459" s="141" t="n">
        <v>5.02</v>
      </c>
      <c r="G459" s="141" t="n">
        <v>0</v>
      </c>
      <c r="H459" s="141" t="n">
        <v>41.73</v>
      </c>
      <c r="I459" s="141" t="n">
        <v>0</v>
      </c>
      <c r="J459" s="141" t="n">
        <v>0</v>
      </c>
      <c r="K459" s="141" t="n">
        <v>0</v>
      </c>
      <c r="L459" s="141" t="n">
        <v>10.23</v>
      </c>
      <c r="M459" s="141" t="n">
        <v>0</v>
      </c>
      <c r="N459" s="141" t="n">
        <v>0</v>
      </c>
      <c r="O459" s="141" t="n">
        <v>0.27</v>
      </c>
    </row>
    <row r="460" customFormat="false" ht="15" hidden="false" customHeight="false" outlineLevel="0" collapsed="false">
      <c r="A460" s="138" t="s">
        <v>2079</v>
      </c>
      <c r="B460" s="138" t="s">
        <v>2080</v>
      </c>
      <c r="C460" s="138" t="n">
        <v>416</v>
      </c>
      <c r="D460" s="138" t="n">
        <v>417</v>
      </c>
      <c r="E460" s="141" t="n">
        <f aca="false">F460/Parâmetros!$C$22</f>
        <v>410.25</v>
      </c>
      <c r="F460" s="141" t="n">
        <v>82.05</v>
      </c>
      <c r="G460" s="141" t="n">
        <v>0</v>
      </c>
      <c r="H460" s="141" t="n">
        <v>769.79</v>
      </c>
      <c r="I460" s="141" t="n">
        <v>0</v>
      </c>
      <c r="J460" s="141" t="n">
        <v>0</v>
      </c>
      <c r="K460" s="141" t="n">
        <v>0</v>
      </c>
      <c r="L460" s="141" t="n">
        <v>170.78</v>
      </c>
      <c r="M460" s="141" t="n">
        <v>0</v>
      </c>
      <c r="N460" s="141" t="n">
        <v>0</v>
      </c>
      <c r="O460" s="141" t="n">
        <v>4.26</v>
      </c>
    </row>
    <row r="461" customFormat="false" ht="15" hidden="false" customHeight="false" outlineLevel="0" collapsed="false">
      <c r="A461" s="138" t="s">
        <v>2080</v>
      </c>
      <c r="B461" s="138" t="s">
        <v>2081</v>
      </c>
      <c r="C461" s="138" t="n">
        <v>417</v>
      </c>
      <c r="D461" s="138" t="n">
        <v>418</v>
      </c>
      <c r="E461" s="141" t="n">
        <f aca="false">F461/Parâmetros!$C$22</f>
        <v>429.05</v>
      </c>
      <c r="F461" s="141" t="n">
        <v>85.81</v>
      </c>
      <c r="G461" s="141" t="n">
        <v>0</v>
      </c>
      <c r="H461" s="141" t="n">
        <v>910.78</v>
      </c>
      <c r="I461" s="141" t="n">
        <v>0</v>
      </c>
      <c r="J461" s="141" t="n">
        <v>0</v>
      </c>
      <c r="K461" s="141" t="n">
        <v>0</v>
      </c>
      <c r="L461" s="141" t="n">
        <v>185.58</v>
      </c>
      <c r="M461" s="141" t="n">
        <v>0</v>
      </c>
      <c r="N461" s="141" t="n">
        <v>0</v>
      </c>
      <c r="O461" s="141" t="n">
        <v>3.09</v>
      </c>
    </row>
    <row r="462" customFormat="false" ht="15" hidden="false" customHeight="false" outlineLevel="0" collapsed="false">
      <c r="A462" s="138" t="s">
        <v>2081</v>
      </c>
      <c r="B462" s="138" t="s">
        <v>2082</v>
      </c>
      <c r="C462" s="138" t="n">
        <v>418</v>
      </c>
      <c r="D462" s="138" t="n">
        <v>419</v>
      </c>
      <c r="E462" s="141" t="n">
        <f aca="false">F462/Parâmetros!$C$22</f>
        <v>605.65</v>
      </c>
      <c r="F462" s="141" t="n">
        <v>121.13</v>
      </c>
      <c r="G462" s="141" t="n">
        <v>0</v>
      </c>
      <c r="H462" s="141" t="n">
        <v>1298.76</v>
      </c>
      <c r="I462" s="141" t="n">
        <v>0</v>
      </c>
      <c r="J462" s="141" t="n">
        <v>0</v>
      </c>
      <c r="K462" s="141" t="n">
        <v>0</v>
      </c>
      <c r="L462" s="141" t="n">
        <v>230.73</v>
      </c>
      <c r="M462" s="141" t="n">
        <v>0</v>
      </c>
      <c r="N462" s="141" t="n">
        <v>0</v>
      </c>
      <c r="O462" s="141" t="n">
        <v>2.12</v>
      </c>
    </row>
    <row r="463" customFormat="false" ht="15" hidden="false" customHeight="false" outlineLevel="0" collapsed="false">
      <c r="A463" s="138" t="s">
        <v>2082</v>
      </c>
      <c r="B463" s="138" t="s">
        <v>3807</v>
      </c>
      <c r="C463" s="138" t="n">
        <v>419</v>
      </c>
      <c r="D463" s="138" t="n">
        <v>419.936</v>
      </c>
      <c r="E463" s="141" t="n">
        <f aca="false">F463/Parâmetros!$C$22</f>
        <v>552.6</v>
      </c>
      <c r="F463" s="141" t="n">
        <v>110.52</v>
      </c>
      <c r="G463" s="141" t="n">
        <v>0</v>
      </c>
      <c r="H463" s="141" t="n">
        <v>1166.79</v>
      </c>
      <c r="I463" s="141" t="n">
        <v>0</v>
      </c>
      <c r="J463" s="141" t="n">
        <v>0</v>
      </c>
      <c r="K463" s="141" t="n">
        <v>0</v>
      </c>
      <c r="L463" s="141" t="n">
        <v>207.61</v>
      </c>
      <c r="M463" s="141" t="n">
        <v>0</v>
      </c>
      <c r="N463" s="141" t="n">
        <v>0</v>
      </c>
      <c r="O463" s="141" t="n">
        <v>3.07</v>
      </c>
    </row>
    <row r="464" customFormat="false" ht="15" hidden="false" customHeight="false" outlineLevel="0" collapsed="false">
      <c r="A464" s="138" t="s">
        <v>3807</v>
      </c>
      <c r="B464" s="138" t="s">
        <v>2084</v>
      </c>
      <c r="C464" s="138" t="n">
        <v>419.936</v>
      </c>
      <c r="D464" s="138" t="n">
        <v>420</v>
      </c>
      <c r="E464" s="141" t="n">
        <f aca="false">F464/Parâmetros!$C$22</f>
        <v>25.3</v>
      </c>
      <c r="F464" s="141" t="n">
        <v>5.06</v>
      </c>
      <c r="G464" s="141" t="n">
        <v>0</v>
      </c>
      <c r="H464" s="141" t="n">
        <v>52.45</v>
      </c>
      <c r="I464" s="141" t="n">
        <v>0</v>
      </c>
      <c r="J464" s="141" t="n">
        <v>0</v>
      </c>
      <c r="K464" s="141" t="n">
        <v>0</v>
      </c>
      <c r="L464" s="141" t="n">
        <v>10.93</v>
      </c>
      <c r="M464" s="141" t="n">
        <v>0</v>
      </c>
      <c r="N464" s="141" t="n">
        <v>0</v>
      </c>
      <c r="O464" s="141" t="n">
        <v>0.27</v>
      </c>
    </row>
    <row r="465" customFormat="false" ht="15" hidden="false" customHeight="false" outlineLevel="0" collapsed="false">
      <c r="A465" s="138" t="s">
        <v>2084</v>
      </c>
      <c r="B465" s="138" t="s">
        <v>2085</v>
      </c>
      <c r="C465" s="138" t="n">
        <v>420</v>
      </c>
      <c r="D465" s="138" t="n">
        <v>421</v>
      </c>
      <c r="E465" s="141" t="n">
        <f aca="false">F465/Parâmetros!$C$22</f>
        <v>356.75</v>
      </c>
      <c r="F465" s="141" t="n">
        <v>71.35</v>
      </c>
      <c r="G465" s="141" t="n">
        <v>0</v>
      </c>
      <c r="H465" s="141" t="n">
        <v>586.72</v>
      </c>
      <c r="I465" s="141" t="n">
        <v>0</v>
      </c>
      <c r="J465" s="141" t="n">
        <v>0</v>
      </c>
      <c r="K465" s="141" t="n">
        <v>0</v>
      </c>
      <c r="L465" s="141" t="n">
        <v>162.52</v>
      </c>
      <c r="M465" s="141" t="n">
        <v>0</v>
      </c>
      <c r="N465" s="141" t="n">
        <v>0</v>
      </c>
      <c r="O465" s="141" t="n">
        <v>4.33</v>
      </c>
    </row>
    <row r="466" customFormat="false" ht="15" hidden="false" customHeight="false" outlineLevel="0" collapsed="false">
      <c r="A466" s="138" t="s">
        <v>2085</v>
      </c>
      <c r="B466" s="138" t="s">
        <v>3808</v>
      </c>
      <c r="C466" s="138" t="n">
        <v>421</v>
      </c>
      <c r="D466" s="138" t="n">
        <v>421.3245</v>
      </c>
      <c r="E466" s="141" t="n">
        <f aca="false">F466/Parâmetros!$C$22</f>
        <v>101</v>
      </c>
      <c r="F466" s="141" t="n">
        <v>20.2</v>
      </c>
      <c r="G466" s="141" t="n">
        <v>0</v>
      </c>
      <c r="H466" s="141" t="n">
        <v>97.66</v>
      </c>
      <c r="I466" s="141" t="n">
        <v>0</v>
      </c>
      <c r="J466" s="141" t="n">
        <v>0</v>
      </c>
      <c r="K466" s="141" t="n">
        <v>0</v>
      </c>
      <c r="L466" s="141" t="n">
        <v>50.16</v>
      </c>
      <c r="M466" s="141" t="n">
        <v>0</v>
      </c>
      <c r="N466" s="141" t="n">
        <v>0</v>
      </c>
      <c r="O466" s="141" t="n">
        <v>1.4</v>
      </c>
    </row>
    <row r="467" customFormat="false" ht="15" hidden="false" customHeight="false" outlineLevel="0" collapsed="false">
      <c r="A467" s="138" t="s">
        <v>3808</v>
      </c>
      <c r="B467" s="138" t="s">
        <v>2086</v>
      </c>
      <c r="C467" s="138" t="n">
        <v>421.3245</v>
      </c>
      <c r="D467" s="138" t="n">
        <v>422</v>
      </c>
      <c r="E467" s="141" t="n">
        <f aca="false">F467/Parâmetros!$C$22</f>
        <v>177.7</v>
      </c>
      <c r="F467" s="141" t="n">
        <v>35.54</v>
      </c>
      <c r="G467" s="141" t="n">
        <v>0</v>
      </c>
      <c r="H467" s="141" t="n">
        <v>101.87</v>
      </c>
      <c r="I467" s="141" t="n">
        <v>0</v>
      </c>
      <c r="J467" s="141" t="n">
        <v>0</v>
      </c>
      <c r="K467" s="141" t="n">
        <v>2.53</v>
      </c>
      <c r="L467" s="141" t="n">
        <v>105.07</v>
      </c>
      <c r="M467" s="141" t="n">
        <v>0</v>
      </c>
      <c r="N467" s="141" t="n">
        <v>0</v>
      </c>
      <c r="O467" s="141" t="n">
        <v>2.85</v>
      </c>
    </row>
    <row r="468" customFormat="false" ht="15" hidden="false" customHeight="false" outlineLevel="0" collapsed="false">
      <c r="A468" s="138" t="s">
        <v>2086</v>
      </c>
      <c r="B468" s="138" t="s">
        <v>3809</v>
      </c>
      <c r="C468" s="138" t="n">
        <v>422</v>
      </c>
      <c r="D468" s="138" t="n">
        <v>422.7125</v>
      </c>
      <c r="E468" s="141" t="n">
        <f aca="false">F468/Parâmetros!$C$22</f>
        <v>161.95</v>
      </c>
      <c r="F468" s="141" t="n">
        <v>32.39</v>
      </c>
      <c r="G468" s="141" t="n">
        <v>0</v>
      </c>
      <c r="H468" s="141" t="n">
        <v>24.56</v>
      </c>
      <c r="I468" s="141" t="n">
        <v>0</v>
      </c>
      <c r="J468" s="141" t="n">
        <v>0</v>
      </c>
      <c r="K468" s="141" t="n">
        <v>23.28</v>
      </c>
      <c r="L468" s="141" t="n">
        <v>108.89</v>
      </c>
      <c r="M468" s="141" t="n">
        <v>0</v>
      </c>
      <c r="N468" s="141" t="n">
        <v>0</v>
      </c>
      <c r="O468" s="141" t="n">
        <v>3.12</v>
      </c>
    </row>
    <row r="469" customFormat="false" ht="15" hidden="false" customHeight="false" outlineLevel="0" collapsed="false">
      <c r="A469" s="138" t="s">
        <v>3809</v>
      </c>
      <c r="B469" s="138" t="s">
        <v>2087</v>
      </c>
      <c r="C469" s="138" t="n">
        <v>422.7125</v>
      </c>
      <c r="D469" s="138" t="n">
        <v>423</v>
      </c>
      <c r="E469" s="141" t="n">
        <f aca="false">F469/Parâmetros!$C$22</f>
        <v>68.35</v>
      </c>
      <c r="F469" s="141" t="n">
        <v>13.67</v>
      </c>
      <c r="G469" s="141" t="n">
        <v>0</v>
      </c>
      <c r="H469" s="141" t="n">
        <v>0.76</v>
      </c>
      <c r="I469" s="141" t="n">
        <v>0</v>
      </c>
      <c r="J469" s="141" t="n">
        <v>0</v>
      </c>
      <c r="K469" s="141" t="n">
        <v>18.39</v>
      </c>
      <c r="L469" s="141" t="n">
        <v>45.12</v>
      </c>
      <c r="M469" s="141" t="n">
        <v>0</v>
      </c>
      <c r="N469" s="141" t="n">
        <v>0</v>
      </c>
      <c r="O469" s="141" t="n">
        <v>1.2</v>
      </c>
    </row>
    <row r="470" customFormat="false" ht="15" hidden="false" customHeight="false" outlineLevel="0" collapsed="false">
      <c r="A470" s="138" t="s">
        <v>2087</v>
      </c>
      <c r="B470" s="138" t="s">
        <v>2088</v>
      </c>
      <c r="C470" s="138" t="n">
        <v>423</v>
      </c>
      <c r="D470" s="138" t="n">
        <v>424</v>
      </c>
      <c r="E470" s="141" t="n">
        <f aca="false">F470/Parâmetros!$C$22</f>
        <v>269.2</v>
      </c>
      <c r="F470" s="141" t="n">
        <v>53.84</v>
      </c>
      <c r="G470" s="141" t="n">
        <v>0</v>
      </c>
      <c r="H470" s="141" t="n">
        <v>0.8</v>
      </c>
      <c r="I470" s="141" t="n">
        <v>0</v>
      </c>
      <c r="J470" s="141" t="n">
        <v>0</v>
      </c>
      <c r="K470" s="141" t="n">
        <v>109.26</v>
      </c>
      <c r="L470" s="141" t="n">
        <v>176.17</v>
      </c>
      <c r="M470" s="141" t="n">
        <v>0</v>
      </c>
      <c r="N470" s="141" t="n">
        <v>0</v>
      </c>
      <c r="O470" s="141" t="n">
        <v>3.45</v>
      </c>
    </row>
    <row r="471" customFormat="false" ht="15" hidden="false" customHeight="false" outlineLevel="0" collapsed="false">
      <c r="A471" s="138" t="s">
        <v>2088</v>
      </c>
      <c r="B471" s="138" t="s">
        <v>2089</v>
      </c>
      <c r="C471" s="138" t="n">
        <v>424</v>
      </c>
      <c r="D471" s="138" t="n">
        <v>425</v>
      </c>
      <c r="E471" s="141" t="n">
        <f aca="false">F471/Parâmetros!$C$22</f>
        <v>332.2</v>
      </c>
      <c r="F471" s="141" t="n">
        <v>66.44</v>
      </c>
      <c r="G471" s="141" t="n">
        <v>0</v>
      </c>
      <c r="H471" s="141" t="n">
        <v>0</v>
      </c>
      <c r="I471" s="141" t="n">
        <v>0</v>
      </c>
      <c r="J471" s="141" t="n">
        <v>0</v>
      </c>
      <c r="K471" s="141" t="n">
        <v>196.47</v>
      </c>
      <c r="L471" s="141" t="n">
        <v>199.96</v>
      </c>
      <c r="M471" s="141" t="n">
        <v>0</v>
      </c>
      <c r="N471" s="141" t="n">
        <v>0</v>
      </c>
      <c r="O471" s="141" t="n">
        <v>3.09</v>
      </c>
    </row>
    <row r="472" customFormat="false" ht="15" hidden="false" customHeight="false" outlineLevel="0" collapsed="false">
      <c r="A472" s="138" t="s">
        <v>2089</v>
      </c>
      <c r="B472" s="138" t="s">
        <v>2090</v>
      </c>
      <c r="C472" s="138" t="n">
        <v>425</v>
      </c>
      <c r="D472" s="138" t="n">
        <v>426</v>
      </c>
      <c r="E472" s="141" t="n">
        <f aca="false">F472/Parâmetros!$C$22</f>
        <v>370.6</v>
      </c>
      <c r="F472" s="141" t="n">
        <v>74.12</v>
      </c>
      <c r="G472" s="141" t="n">
        <v>0</v>
      </c>
      <c r="H472" s="141" t="n">
        <v>0</v>
      </c>
      <c r="I472" s="141" t="n">
        <v>0</v>
      </c>
      <c r="J472" s="141" t="n">
        <v>0</v>
      </c>
      <c r="K472" s="141" t="n">
        <v>298.71</v>
      </c>
      <c r="L472" s="141" t="n">
        <v>211.41</v>
      </c>
      <c r="M472" s="141" t="n">
        <v>0</v>
      </c>
      <c r="N472" s="141" t="n">
        <v>0</v>
      </c>
      <c r="O472" s="141" t="n">
        <v>3.08</v>
      </c>
    </row>
    <row r="473" customFormat="false" ht="15" hidden="false" customHeight="false" outlineLevel="0" collapsed="false">
      <c r="A473" s="138" t="s">
        <v>2090</v>
      </c>
      <c r="B473" s="138" t="s">
        <v>3810</v>
      </c>
      <c r="C473" s="138" t="n">
        <v>426</v>
      </c>
      <c r="D473" s="138" t="n">
        <v>426.7125</v>
      </c>
      <c r="E473" s="141" t="n">
        <f aca="false">F473/Parâmetros!$C$22</f>
        <v>261.45</v>
      </c>
      <c r="F473" s="141" t="n">
        <v>52.29</v>
      </c>
      <c r="G473" s="141" t="n">
        <v>0</v>
      </c>
      <c r="H473" s="141" t="n">
        <v>0</v>
      </c>
      <c r="I473" s="141" t="n">
        <v>0</v>
      </c>
      <c r="J473" s="141" t="n">
        <v>0</v>
      </c>
      <c r="K473" s="141" t="n">
        <v>283.53</v>
      </c>
      <c r="L473" s="141" t="n">
        <v>145.49</v>
      </c>
      <c r="M473" s="141" t="n">
        <v>0</v>
      </c>
      <c r="N473" s="141" t="n">
        <v>0</v>
      </c>
      <c r="O473" s="141" t="n">
        <v>2.2</v>
      </c>
    </row>
    <row r="474" customFormat="false" ht="15" hidden="false" customHeight="false" outlineLevel="0" collapsed="false">
      <c r="A474" s="138" t="s">
        <v>3810</v>
      </c>
      <c r="B474" s="138" t="s">
        <v>2091</v>
      </c>
      <c r="C474" s="138" t="n">
        <v>426.7125</v>
      </c>
      <c r="D474" s="138" t="n">
        <v>427</v>
      </c>
      <c r="E474" s="141" t="n">
        <f aca="false">F474/Parâmetros!$C$22</f>
        <v>103.4</v>
      </c>
      <c r="F474" s="141" t="n">
        <v>20.68</v>
      </c>
      <c r="G474" s="141" t="n">
        <v>0</v>
      </c>
      <c r="H474" s="141" t="n">
        <v>0</v>
      </c>
      <c r="I474" s="141" t="n">
        <v>0</v>
      </c>
      <c r="J474" s="141" t="n">
        <v>0</v>
      </c>
      <c r="K474" s="141" t="n">
        <v>133.11</v>
      </c>
      <c r="L474" s="141" t="n">
        <v>55.92</v>
      </c>
      <c r="M474" s="141" t="n">
        <v>0</v>
      </c>
      <c r="N474" s="141" t="n">
        <v>0</v>
      </c>
      <c r="O474" s="141" t="n">
        <v>0.89</v>
      </c>
    </row>
    <row r="475" customFormat="false" ht="15" hidden="false" customHeight="false" outlineLevel="0" collapsed="false">
      <c r="A475" s="138" t="s">
        <v>2091</v>
      </c>
      <c r="B475" s="138" t="s">
        <v>2092</v>
      </c>
      <c r="C475" s="138" t="n">
        <v>427</v>
      </c>
      <c r="D475" s="138" t="n">
        <v>428</v>
      </c>
      <c r="E475" s="141" t="n">
        <f aca="false">F475/Parâmetros!$C$22</f>
        <v>357.65</v>
      </c>
      <c r="F475" s="141" t="n">
        <v>71.53</v>
      </c>
      <c r="G475" s="141" t="n">
        <v>0</v>
      </c>
      <c r="H475" s="141" t="n">
        <v>0</v>
      </c>
      <c r="I475" s="141" t="n">
        <v>0</v>
      </c>
      <c r="J475" s="141" t="n">
        <v>0</v>
      </c>
      <c r="K475" s="141" t="n">
        <v>547.14</v>
      </c>
      <c r="L475" s="141" t="n">
        <v>183.73</v>
      </c>
      <c r="M475" s="141" t="n">
        <v>0</v>
      </c>
      <c r="N475" s="141" t="n">
        <v>0</v>
      </c>
      <c r="O475" s="141" t="n">
        <v>3.19</v>
      </c>
    </row>
    <row r="476" customFormat="false" ht="15" hidden="false" customHeight="false" outlineLevel="0" collapsed="false">
      <c r="A476" s="138" t="s">
        <v>2092</v>
      </c>
      <c r="B476" s="138" t="s">
        <v>2093</v>
      </c>
      <c r="C476" s="138" t="n">
        <v>428</v>
      </c>
      <c r="D476" s="138" t="n">
        <v>429</v>
      </c>
      <c r="E476" s="141" t="n">
        <f aca="false">F476/Parâmetros!$C$22</f>
        <v>378.2</v>
      </c>
      <c r="F476" s="141" t="n">
        <v>75.64</v>
      </c>
      <c r="G476" s="141" t="n">
        <v>0</v>
      </c>
      <c r="H476" s="141" t="n">
        <v>0</v>
      </c>
      <c r="I476" s="141" t="n">
        <v>0</v>
      </c>
      <c r="J476" s="141" t="n">
        <v>0</v>
      </c>
      <c r="K476" s="141" t="n">
        <v>703.31</v>
      </c>
      <c r="L476" s="141" t="n">
        <v>175.71</v>
      </c>
      <c r="M476" s="141" t="n">
        <v>0</v>
      </c>
      <c r="N476" s="141" t="n">
        <v>0</v>
      </c>
      <c r="O476" s="141" t="n">
        <v>3.51</v>
      </c>
    </row>
    <row r="477" customFormat="false" ht="15" hidden="false" customHeight="false" outlineLevel="0" collapsed="false">
      <c r="A477" s="138" t="s">
        <v>2093</v>
      </c>
      <c r="B477" s="138" t="s">
        <v>2094</v>
      </c>
      <c r="C477" s="138" t="n">
        <v>429</v>
      </c>
      <c r="D477" s="138" t="n">
        <v>430</v>
      </c>
      <c r="E477" s="141" t="n">
        <f aca="false">F477/Parâmetros!$C$22</f>
        <v>416.5</v>
      </c>
      <c r="F477" s="141" t="n">
        <v>83.3</v>
      </c>
      <c r="G477" s="141" t="n">
        <v>0</v>
      </c>
      <c r="H477" s="141" t="n">
        <v>0</v>
      </c>
      <c r="I477" s="141" t="n">
        <v>0</v>
      </c>
      <c r="J477" s="141" t="n">
        <v>361.99</v>
      </c>
      <c r="K477" s="141" t="n">
        <v>926.13</v>
      </c>
      <c r="L477" s="141" t="n">
        <v>175.84</v>
      </c>
      <c r="M477" s="141" t="n">
        <v>361.99</v>
      </c>
      <c r="N477" s="141" t="n">
        <v>0</v>
      </c>
      <c r="O477" s="141" t="n">
        <v>3.79</v>
      </c>
    </row>
    <row r="478" customFormat="false" ht="15" hidden="false" customHeight="false" outlineLevel="0" collapsed="false">
      <c r="A478" s="138" t="s">
        <v>2094</v>
      </c>
      <c r="B478" s="138" t="s">
        <v>2095</v>
      </c>
      <c r="C478" s="138" t="n">
        <v>430</v>
      </c>
      <c r="D478" s="138" t="n">
        <v>431</v>
      </c>
      <c r="E478" s="141" t="n">
        <f aca="false">F478/Parâmetros!$C$22</f>
        <v>468</v>
      </c>
      <c r="F478" s="141" t="n">
        <v>93.6</v>
      </c>
      <c r="G478" s="141" t="n">
        <v>0</v>
      </c>
      <c r="H478" s="141" t="n">
        <v>0</v>
      </c>
      <c r="I478" s="141" t="n">
        <v>0</v>
      </c>
      <c r="J478" s="141" t="n">
        <v>759.66</v>
      </c>
      <c r="K478" s="141" t="n">
        <v>1247.58</v>
      </c>
      <c r="L478" s="141" t="n">
        <v>176.09</v>
      </c>
      <c r="M478" s="141" t="n">
        <v>759.66</v>
      </c>
      <c r="N478" s="141" t="n">
        <v>0</v>
      </c>
      <c r="O478" s="141" t="n">
        <v>3.9</v>
      </c>
    </row>
    <row r="479" customFormat="false" ht="15" hidden="false" customHeight="false" outlineLevel="0" collapsed="false">
      <c r="A479" s="138" t="s">
        <v>2095</v>
      </c>
      <c r="B479" s="138" t="s">
        <v>2096</v>
      </c>
      <c r="C479" s="138" t="n">
        <v>431</v>
      </c>
      <c r="D479" s="138" t="n">
        <v>432</v>
      </c>
      <c r="E479" s="141" t="n">
        <f aca="false">F479/Parâmetros!$C$22</f>
        <v>519.05</v>
      </c>
      <c r="F479" s="141" t="n">
        <v>103.81</v>
      </c>
      <c r="G479" s="141" t="n">
        <v>0</v>
      </c>
      <c r="H479" s="141" t="n">
        <v>0</v>
      </c>
      <c r="I479" s="141" t="n">
        <v>0</v>
      </c>
      <c r="J479" s="141" t="n">
        <v>397.67</v>
      </c>
      <c r="K479" s="141" t="n">
        <v>1606.78</v>
      </c>
      <c r="L479" s="141" t="n">
        <v>176.31</v>
      </c>
      <c r="M479" s="141" t="n">
        <v>397.67</v>
      </c>
      <c r="N479" s="141" t="n">
        <v>0</v>
      </c>
      <c r="O479" s="141" t="n">
        <v>3.99</v>
      </c>
    </row>
    <row r="480" customFormat="false" ht="15" hidden="false" customHeight="false" outlineLevel="0" collapsed="false">
      <c r="A480" s="138" t="s">
        <v>2096</v>
      </c>
      <c r="B480" s="138" t="s">
        <v>2097</v>
      </c>
      <c r="C480" s="138" t="n">
        <v>432</v>
      </c>
      <c r="D480" s="138" t="n">
        <v>433</v>
      </c>
      <c r="E480" s="141" t="n">
        <f aca="false">F480/Parâmetros!$C$22</f>
        <v>576.05</v>
      </c>
      <c r="F480" s="141" t="n">
        <v>115.21</v>
      </c>
      <c r="G480" s="141" t="n">
        <v>0</v>
      </c>
      <c r="H480" s="141" t="n">
        <v>0</v>
      </c>
      <c r="I480" s="141" t="n">
        <v>0</v>
      </c>
      <c r="J480" s="141" t="n">
        <v>0</v>
      </c>
      <c r="K480" s="141" t="n">
        <v>2051.66</v>
      </c>
      <c r="L480" s="141" t="n">
        <v>176.41</v>
      </c>
      <c r="M480" s="141" t="n">
        <v>0</v>
      </c>
      <c r="N480" s="141" t="n">
        <v>0</v>
      </c>
      <c r="O480" s="141" t="n">
        <v>4.03</v>
      </c>
    </row>
    <row r="481" customFormat="false" ht="15" hidden="false" customHeight="false" outlineLevel="0" collapsed="false">
      <c r="A481" s="138" t="s">
        <v>2097</v>
      </c>
      <c r="B481" s="138" t="s">
        <v>2098</v>
      </c>
      <c r="C481" s="138" t="n">
        <v>433</v>
      </c>
      <c r="D481" s="138" t="n">
        <v>434</v>
      </c>
      <c r="E481" s="141" t="n">
        <f aca="false">F481/Parâmetros!$C$22</f>
        <v>639.75</v>
      </c>
      <c r="F481" s="141" t="n">
        <v>127.95</v>
      </c>
      <c r="G481" s="141" t="n">
        <v>0</v>
      </c>
      <c r="H481" s="141" t="n">
        <v>0</v>
      </c>
      <c r="I481" s="141" t="n">
        <v>0</v>
      </c>
      <c r="J481" s="141" t="n">
        <v>0</v>
      </c>
      <c r="K481" s="141" t="n">
        <v>2841.67</v>
      </c>
      <c r="L481" s="141" t="n">
        <v>176.41</v>
      </c>
      <c r="M481" s="141" t="n">
        <v>0</v>
      </c>
      <c r="N481" s="141" t="n">
        <v>0</v>
      </c>
      <c r="O481" s="141" t="n">
        <v>4.03</v>
      </c>
    </row>
    <row r="482" customFormat="false" ht="15" hidden="false" customHeight="false" outlineLevel="0" collapsed="false">
      <c r="A482" s="138" t="s">
        <v>2098</v>
      </c>
      <c r="B482" s="138" t="s">
        <v>2099</v>
      </c>
      <c r="C482" s="138" t="n">
        <v>434</v>
      </c>
      <c r="D482" s="138" t="n">
        <v>435</v>
      </c>
      <c r="E482" s="141" t="n">
        <f aca="false">F482/Parâmetros!$C$22</f>
        <v>840.45</v>
      </c>
      <c r="F482" s="141" t="n">
        <v>168.09</v>
      </c>
      <c r="G482" s="141" t="n">
        <v>0</v>
      </c>
      <c r="H482" s="141" t="n">
        <v>0</v>
      </c>
      <c r="I482" s="141" t="n">
        <v>0</v>
      </c>
      <c r="J482" s="141" t="n">
        <v>0</v>
      </c>
      <c r="K482" s="141" t="n">
        <v>3348.65</v>
      </c>
      <c r="L482" s="141" t="n">
        <v>176.41</v>
      </c>
      <c r="M482" s="141" t="n">
        <v>0</v>
      </c>
      <c r="N482" s="141" t="n">
        <v>0</v>
      </c>
      <c r="O482" s="141" t="n">
        <v>4.03</v>
      </c>
    </row>
    <row r="483" customFormat="false" ht="15" hidden="false" customHeight="false" outlineLevel="0" collapsed="false">
      <c r="A483" s="138" t="s">
        <v>2099</v>
      </c>
      <c r="B483" s="138" t="s">
        <v>2100</v>
      </c>
      <c r="C483" s="138" t="n">
        <v>435</v>
      </c>
      <c r="D483" s="138" t="n">
        <v>436</v>
      </c>
      <c r="E483" s="141" t="n">
        <f aca="false">F483/Parâmetros!$C$22</f>
        <v>1093.55</v>
      </c>
      <c r="F483" s="141" t="n">
        <v>218.71</v>
      </c>
      <c r="G483" s="141" t="n">
        <v>0</v>
      </c>
      <c r="H483" s="141" t="n">
        <v>0</v>
      </c>
      <c r="I483" s="141" t="n">
        <v>0</v>
      </c>
      <c r="J483" s="141" t="n">
        <v>223.2</v>
      </c>
      <c r="K483" s="141" t="n">
        <v>3725.54</v>
      </c>
      <c r="L483" s="141" t="n">
        <v>176.18</v>
      </c>
      <c r="M483" s="141" t="n">
        <v>223.2</v>
      </c>
      <c r="N483" s="141" t="n">
        <v>0</v>
      </c>
      <c r="O483" s="141" t="n">
        <v>3.94</v>
      </c>
    </row>
    <row r="484" customFormat="false" ht="15" hidden="false" customHeight="false" outlineLevel="0" collapsed="false">
      <c r="A484" s="138" t="s">
        <v>2100</v>
      </c>
      <c r="B484" s="138" t="s">
        <v>2101</v>
      </c>
      <c r="C484" s="138" t="n">
        <v>436</v>
      </c>
      <c r="D484" s="138" t="n">
        <v>437</v>
      </c>
      <c r="E484" s="141" t="n">
        <f aca="false">F484/Parâmetros!$C$22</f>
        <v>916.15</v>
      </c>
      <c r="F484" s="141" t="n">
        <v>183.23</v>
      </c>
      <c r="G484" s="141" t="n">
        <v>0</v>
      </c>
      <c r="H484" s="141" t="n">
        <v>0</v>
      </c>
      <c r="I484" s="141" t="n">
        <v>0</v>
      </c>
      <c r="J484" s="141" t="n">
        <v>525.77</v>
      </c>
      <c r="K484" s="141" t="n">
        <v>4072.62</v>
      </c>
      <c r="L484" s="141" t="n">
        <v>175.82</v>
      </c>
      <c r="M484" s="141" t="n">
        <v>525.77</v>
      </c>
      <c r="N484" s="141" t="n">
        <v>0</v>
      </c>
      <c r="O484" s="141" t="n">
        <v>3.78</v>
      </c>
    </row>
    <row r="485" customFormat="false" ht="15" hidden="false" customHeight="false" outlineLevel="0" collapsed="false">
      <c r="A485" s="138" t="s">
        <v>2101</v>
      </c>
      <c r="B485" s="138" t="s">
        <v>3811</v>
      </c>
      <c r="C485" s="138" t="n">
        <v>437</v>
      </c>
      <c r="D485" s="138" t="n">
        <v>437.78</v>
      </c>
      <c r="E485" s="141" t="n">
        <f aca="false">F485/Parâmetros!$C$22</f>
        <v>528.6</v>
      </c>
      <c r="F485" s="141" t="n">
        <v>105.72</v>
      </c>
      <c r="G485" s="141" t="n">
        <v>0</v>
      </c>
      <c r="H485" s="141" t="n">
        <v>0</v>
      </c>
      <c r="I485" s="141" t="n">
        <v>0</v>
      </c>
      <c r="J485" s="141" t="n">
        <v>235.95</v>
      </c>
      <c r="K485" s="141" t="n">
        <v>3257.74</v>
      </c>
      <c r="L485" s="141" t="n">
        <v>137</v>
      </c>
      <c r="M485" s="141" t="n">
        <v>235.95</v>
      </c>
      <c r="N485" s="141" t="n">
        <v>0</v>
      </c>
      <c r="O485" s="141" t="n">
        <v>2.89</v>
      </c>
    </row>
    <row r="486" customFormat="false" ht="15" hidden="false" customHeight="false" outlineLevel="0" collapsed="false">
      <c r="A486" s="138" t="s">
        <v>3811</v>
      </c>
      <c r="B486" s="138" t="s">
        <v>2102</v>
      </c>
      <c r="C486" s="138" t="n">
        <v>437.78</v>
      </c>
      <c r="D486" s="138" t="n">
        <v>438</v>
      </c>
      <c r="E486" s="141" t="n">
        <f aca="false">F486/Parâmetros!$C$22</f>
        <v>161.3</v>
      </c>
      <c r="F486" s="141" t="n">
        <v>32.26</v>
      </c>
      <c r="G486" s="141" t="n">
        <v>0</v>
      </c>
      <c r="H486" s="141" t="n">
        <v>0</v>
      </c>
      <c r="I486" s="141" t="n">
        <v>0</v>
      </c>
      <c r="J486" s="141" t="n">
        <v>0</v>
      </c>
      <c r="K486" s="141" t="n">
        <v>977.3</v>
      </c>
      <c r="L486" s="141" t="n">
        <v>38.68</v>
      </c>
      <c r="M486" s="141" t="n">
        <v>0</v>
      </c>
      <c r="N486" s="141" t="n">
        <v>0</v>
      </c>
      <c r="O486" s="141" t="n">
        <v>0.82</v>
      </c>
    </row>
    <row r="487" customFormat="false" ht="15" hidden="false" customHeight="false" outlineLevel="0" collapsed="false">
      <c r="A487" s="138" t="s">
        <v>2102</v>
      </c>
      <c r="B487" s="138" t="s">
        <v>2103</v>
      </c>
      <c r="C487" s="138" t="n">
        <v>438</v>
      </c>
      <c r="D487" s="138" t="n">
        <v>439</v>
      </c>
      <c r="E487" s="141" t="n">
        <f aca="false">F487/Parâmetros!$C$22</f>
        <v>718.5</v>
      </c>
      <c r="F487" s="141" t="n">
        <v>143.7</v>
      </c>
      <c r="G487" s="141" t="n">
        <v>0</v>
      </c>
      <c r="H487" s="141" t="n">
        <v>0</v>
      </c>
      <c r="I487" s="141" t="n">
        <v>0</v>
      </c>
      <c r="J487" s="141" t="n">
        <v>380.76</v>
      </c>
      <c r="K487" s="141" t="n">
        <v>4450.78</v>
      </c>
      <c r="L487" s="141" t="n">
        <v>175.67</v>
      </c>
      <c r="M487" s="141" t="n">
        <v>380.76</v>
      </c>
      <c r="N487" s="141" t="n">
        <v>0</v>
      </c>
      <c r="O487" s="141" t="n">
        <v>3.71</v>
      </c>
    </row>
    <row r="488" customFormat="false" ht="15" hidden="false" customHeight="false" outlineLevel="0" collapsed="false">
      <c r="A488" s="138" t="s">
        <v>2103</v>
      </c>
      <c r="B488" s="138" t="s">
        <v>2104</v>
      </c>
      <c r="C488" s="138" t="n">
        <v>439</v>
      </c>
      <c r="D488" s="138" t="n">
        <v>440</v>
      </c>
      <c r="E488" s="141" t="n">
        <f aca="false">F488/Parâmetros!$C$22</f>
        <v>631.5</v>
      </c>
      <c r="F488" s="141" t="n">
        <v>126.3</v>
      </c>
      <c r="G488" s="141" t="n">
        <v>0</v>
      </c>
      <c r="H488" s="141" t="n">
        <v>0</v>
      </c>
      <c r="I488" s="141" t="n">
        <v>0</v>
      </c>
      <c r="J488" s="141" t="n">
        <v>980.33</v>
      </c>
      <c r="K488" s="141" t="n">
        <v>4392.15</v>
      </c>
      <c r="L488" s="141" t="n">
        <v>175.66</v>
      </c>
      <c r="M488" s="141" t="n">
        <v>980.33</v>
      </c>
      <c r="N488" s="141" t="n">
        <v>0</v>
      </c>
      <c r="O488" s="141" t="n">
        <v>3.71</v>
      </c>
    </row>
    <row r="489" customFormat="false" ht="15" hidden="false" customHeight="false" outlineLevel="0" collapsed="false">
      <c r="A489" s="138" t="s">
        <v>2104</v>
      </c>
      <c r="B489" s="138" t="s">
        <v>3812</v>
      </c>
      <c r="C489" s="138" t="n">
        <v>440</v>
      </c>
      <c r="D489" s="138" t="n">
        <v>440.28</v>
      </c>
      <c r="E489" s="141" t="n">
        <f aca="false">F489/Parâmetros!$C$22</f>
        <v>154.2</v>
      </c>
      <c r="F489" s="141" t="n">
        <v>30.84</v>
      </c>
      <c r="G489" s="141" t="n">
        <v>0</v>
      </c>
      <c r="H489" s="141" t="n">
        <v>0</v>
      </c>
      <c r="I489" s="141" t="n">
        <v>0</v>
      </c>
      <c r="J489" s="141" t="n">
        <v>226.96</v>
      </c>
      <c r="K489" s="141" t="n">
        <v>1248.48</v>
      </c>
      <c r="L489" s="141" t="n">
        <v>49.16</v>
      </c>
      <c r="M489" s="141" t="n">
        <v>226.96</v>
      </c>
      <c r="N489" s="141" t="n">
        <v>0</v>
      </c>
      <c r="O489" s="141" t="n">
        <v>1.04</v>
      </c>
    </row>
    <row r="490" customFormat="false" ht="15" hidden="false" customHeight="false" outlineLevel="0" collapsed="false">
      <c r="A490" s="138" t="s">
        <v>3812</v>
      </c>
      <c r="B490" s="138" t="s">
        <v>2105</v>
      </c>
      <c r="C490" s="138" t="n">
        <v>440.28</v>
      </c>
      <c r="D490" s="138" t="n">
        <v>441</v>
      </c>
      <c r="E490" s="141" t="n">
        <f aca="false">F490/Parâmetros!$C$22</f>
        <v>354.25</v>
      </c>
      <c r="F490" s="141" t="n">
        <v>70.85</v>
      </c>
      <c r="G490" s="141" t="n">
        <v>0</v>
      </c>
      <c r="H490" s="141" t="n">
        <v>0</v>
      </c>
      <c r="I490" s="141" t="n">
        <v>0</v>
      </c>
      <c r="J490" s="141" t="n">
        <v>476.9</v>
      </c>
      <c r="K490" s="141" t="n">
        <v>3146.67</v>
      </c>
      <c r="L490" s="141" t="n">
        <v>126.5</v>
      </c>
      <c r="M490" s="141" t="n">
        <v>476.9</v>
      </c>
      <c r="N490" s="141" t="n">
        <v>0</v>
      </c>
      <c r="O490" s="141" t="n">
        <v>2.67</v>
      </c>
    </row>
    <row r="491" customFormat="false" ht="15" hidden="false" customHeight="false" outlineLevel="0" collapsed="false">
      <c r="A491" s="138" t="s">
        <v>2105</v>
      </c>
      <c r="B491" s="138" t="s">
        <v>3813</v>
      </c>
      <c r="C491" s="138" t="n">
        <v>441</v>
      </c>
      <c r="D491" s="138" t="n">
        <v>441.0625</v>
      </c>
      <c r="E491" s="141" t="n">
        <f aca="false">F491/Parâmetros!$C$22</f>
        <v>30.8</v>
      </c>
      <c r="F491" s="141" t="n">
        <v>6.16</v>
      </c>
      <c r="G491" s="141" t="n">
        <v>0</v>
      </c>
      <c r="H491" s="141" t="n">
        <v>0</v>
      </c>
      <c r="I491" s="141" t="n">
        <v>0</v>
      </c>
      <c r="J491" s="141" t="n">
        <v>38.86</v>
      </c>
      <c r="K491" s="141" t="n">
        <v>269.19</v>
      </c>
      <c r="L491" s="141" t="n">
        <v>10.99</v>
      </c>
      <c r="M491" s="141" t="n">
        <v>38.86</v>
      </c>
      <c r="N491" s="141" t="n">
        <v>0</v>
      </c>
      <c r="O491" s="141" t="n">
        <v>0.23</v>
      </c>
    </row>
    <row r="492" customFormat="false" ht="15" hidden="false" customHeight="false" outlineLevel="0" collapsed="false">
      <c r="A492" s="138" t="s">
        <v>3813</v>
      </c>
      <c r="B492" s="138" t="s">
        <v>3814</v>
      </c>
      <c r="C492" s="138" t="n">
        <v>441.0625</v>
      </c>
      <c r="D492" s="138" t="n">
        <v>441.8455</v>
      </c>
      <c r="E492" s="141" t="n">
        <f aca="false">F492/Parâmetros!$C$22</f>
        <v>447.9</v>
      </c>
      <c r="F492" s="141" t="n">
        <v>89.58</v>
      </c>
      <c r="G492" s="141" t="n">
        <v>0</v>
      </c>
      <c r="H492" s="141" t="n">
        <v>0</v>
      </c>
      <c r="I492" s="141" t="n">
        <v>0</v>
      </c>
      <c r="J492" s="141" t="n">
        <v>654.17</v>
      </c>
      <c r="K492" s="141" t="n">
        <v>3415.48</v>
      </c>
      <c r="L492" s="141" t="n">
        <v>137.49</v>
      </c>
      <c r="M492" s="141" t="n">
        <v>654.17</v>
      </c>
      <c r="N492" s="141" t="n">
        <v>0</v>
      </c>
      <c r="O492" s="141" t="n">
        <v>2.9</v>
      </c>
    </row>
    <row r="493" customFormat="false" ht="15" hidden="false" customHeight="false" outlineLevel="0" collapsed="false">
      <c r="A493" s="138" t="s">
        <v>3814</v>
      </c>
      <c r="B493" s="138" t="s">
        <v>2106</v>
      </c>
      <c r="C493" s="138" t="n">
        <v>441.8455</v>
      </c>
      <c r="D493" s="138" t="n">
        <v>442</v>
      </c>
      <c r="E493" s="141" t="n">
        <f aca="false">F493/Parâmetros!$C$22</f>
        <v>101.35</v>
      </c>
      <c r="F493" s="141" t="n">
        <v>20.27</v>
      </c>
      <c r="G493" s="141" t="n">
        <v>0</v>
      </c>
      <c r="H493" s="141" t="n">
        <v>0</v>
      </c>
      <c r="I493" s="141" t="n">
        <v>0</v>
      </c>
      <c r="J493" s="141" t="n">
        <v>155.07</v>
      </c>
      <c r="K493" s="141" t="n">
        <v>685.28</v>
      </c>
      <c r="L493" s="141" t="n">
        <v>27.18</v>
      </c>
      <c r="M493" s="141" t="n">
        <v>155.07</v>
      </c>
      <c r="N493" s="141" t="n">
        <v>0</v>
      </c>
      <c r="O493" s="141" t="n">
        <v>0.57</v>
      </c>
    </row>
    <row r="494" customFormat="false" ht="15" hidden="false" customHeight="false" outlineLevel="0" collapsed="false">
      <c r="A494" s="138" t="s">
        <v>2106</v>
      </c>
      <c r="B494" s="138" t="s">
        <v>2107</v>
      </c>
      <c r="C494" s="138" t="n">
        <v>442</v>
      </c>
      <c r="D494" s="138" t="n">
        <v>443</v>
      </c>
      <c r="E494" s="141" t="n">
        <f aca="false">F494/Parâmetros!$C$22</f>
        <v>635.05</v>
      </c>
      <c r="F494" s="141" t="n">
        <v>127.01</v>
      </c>
      <c r="G494" s="141" t="n">
        <v>0</v>
      </c>
      <c r="H494" s="141" t="n">
        <v>0</v>
      </c>
      <c r="I494" s="141" t="n">
        <v>0</v>
      </c>
      <c r="J494" s="141" t="n">
        <v>999.86</v>
      </c>
      <c r="K494" s="141" t="n">
        <v>4044.18</v>
      </c>
      <c r="L494" s="141" t="n">
        <v>175.66</v>
      </c>
      <c r="M494" s="141" t="n">
        <v>999.86</v>
      </c>
      <c r="N494" s="141" t="n">
        <v>0</v>
      </c>
      <c r="O494" s="141" t="n">
        <v>3.71</v>
      </c>
    </row>
    <row r="495" customFormat="false" ht="15" hidden="false" customHeight="false" outlineLevel="0" collapsed="false">
      <c r="A495" s="138" t="s">
        <v>2107</v>
      </c>
      <c r="B495" s="138" t="s">
        <v>2108</v>
      </c>
      <c r="C495" s="138" t="n">
        <v>443</v>
      </c>
      <c r="D495" s="138" t="n">
        <v>444</v>
      </c>
      <c r="E495" s="141" t="n">
        <f aca="false">F495/Parâmetros!$C$22</f>
        <v>577.45</v>
      </c>
      <c r="F495" s="141" t="n">
        <v>115.49</v>
      </c>
      <c r="G495" s="141" t="n">
        <v>0</v>
      </c>
      <c r="H495" s="141" t="n">
        <v>0</v>
      </c>
      <c r="I495" s="141" t="n">
        <v>0</v>
      </c>
      <c r="J495" s="141" t="n">
        <v>475.76</v>
      </c>
      <c r="K495" s="141" t="n">
        <v>3388.28</v>
      </c>
      <c r="L495" s="141" t="n">
        <v>175.67</v>
      </c>
      <c r="M495" s="141" t="n">
        <v>475.76</v>
      </c>
      <c r="N495" s="141" t="n">
        <v>0</v>
      </c>
      <c r="O495" s="141" t="n">
        <v>3.71</v>
      </c>
    </row>
    <row r="496" customFormat="false" ht="15" hidden="false" customHeight="false" outlineLevel="0" collapsed="false">
      <c r="A496" s="138" t="s">
        <v>2108</v>
      </c>
      <c r="B496" s="138" t="s">
        <v>3815</v>
      </c>
      <c r="C496" s="138" t="n">
        <v>444</v>
      </c>
      <c r="D496" s="138" t="n">
        <v>444.3455</v>
      </c>
      <c r="E496" s="141" t="n">
        <f aca="false">F496/Parâmetros!$C$22</f>
        <v>184.55</v>
      </c>
      <c r="F496" s="141" t="n">
        <v>36.91</v>
      </c>
      <c r="G496" s="141" t="n">
        <v>0</v>
      </c>
      <c r="H496" s="141" t="n">
        <v>0</v>
      </c>
      <c r="I496" s="141" t="n">
        <v>0</v>
      </c>
      <c r="J496" s="141" t="n">
        <v>0</v>
      </c>
      <c r="K496" s="141" t="n">
        <v>1049.24</v>
      </c>
      <c r="L496" s="141" t="n">
        <v>60.65</v>
      </c>
      <c r="M496" s="141" t="n">
        <v>0</v>
      </c>
      <c r="N496" s="141" t="n">
        <v>0</v>
      </c>
      <c r="O496" s="141" t="n">
        <v>1.28</v>
      </c>
    </row>
    <row r="497" customFormat="false" ht="15" hidden="false" customHeight="false" outlineLevel="0" collapsed="false">
      <c r="A497" s="138" t="s">
        <v>3815</v>
      </c>
      <c r="B497" s="138" t="s">
        <v>3816</v>
      </c>
      <c r="C497" s="138" t="n">
        <v>444.3455</v>
      </c>
      <c r="D497" s="138" t="n">
        <v>444.359</v>
      </c>
      <c r="E497" s="141" t="n">
        <f aca="false">F497/Parâmetros!$C$22</f>
        <v>7.25</v>
      </c>
      <c r="F497" s="141" t="n">
        <v>1.45</v>
      </c>
      <c r="G497" s="141" t="n">
        <v>0</v>
      </c>
      <c r="H497" s="141" t="n">
        <v>0</v>
      </c>
      <c r="I497" s="141" t="n">
        <v>0</v>
      </c>
      <c r="J497" s="141" t="n">
        <v>0</v>
      </c>
      <c r="K497" s="141" t="n">
        <v>40.5</v>
      </c>
      <c r="L497" s="141" t="n">
        <v>2.41</v>
      </c>
      <c r="M497" s="141" t="n">
        <v>0</v>
      </c>
      <c r="N497" s="141" t="n">
        <v>0</v>
      </c>
      <c r="O497" s="141" t="n">
        <v>0.05</v>
      </c>
    </row>
    <row r="498" customFormat="false" ht="15" hidden="false" customHeight="false" outlineLevel="0" collapsed="false">
      <c r="A498" s="138" t="s">
        <v>3816</v>
      </c>
      <c r="B498" s="138" t="s">
        <v>2109</v>
      </c>
      <c r="C498" s="138" t="n">
        <v>444.359</v>
      </c>
      <c r="D498" s="138" t="n">
        <v>445</v>
      </c>
      <c r="E498" s="141" t="n">
        <f aca="false">F498/Parâmetros!$C$22</f>
        <v>329.35</v>
      </c>
      <c r="F498" s="141" t="n">
        <v>65.87</v>
      </c>
      <c r="G498" s="141" t="n">
        <v>0</v>
      </c>
      <c r="H498" s="141" t="n">
        <v>0</v>
      </c>
      <c r="I498" s="141" t="n">
        <v>0</v>
      </c>
      <c r="J498" s="141" t="n">
        <v>0</v>
      </c>
      <c r="K498" s="141" t="n">
        <v>1757.92</v>
      </c>
      <c r="L498" s="141" t="n">
        <v>113.05</v>
      </c>
      <c r="M498" s="141" t="n">
        <v>0</v>
      </c>
      <c r="N498" s="141" t="n">
        <v>0</v>
      </c>
      <c r="O498" s="141" t="n">
        <v>2.38</v>
      </c>
    </row>
    <row r="499" customFormat="false" ht="15" hidden="false" customHeight="false" outlineLevel="0" collapsed="false">
      <c r="A499" s="138" t="s">
        <v>2109</v>
      </c>
      <c r="B499" s="138" t="s">
        <v>2110</v>
      </c>
      <c r="C499" s="138" t="n">
        <v>445</v>
      </c>
      <c r="D499" s="138" t="n">
        <v>446</v>
      </c>
      <c r="E499" s="141" t="n">
        <f aca="false">F499/Parâmetros!$C$22</f>
        <v>462.9</v>
      </c>
      <c r="F499" s="141" t="n">
        <v>92.58</v>
      </c>
      <c r="G499" s="141" t="n">
        <v>0</v>
      </c>
      <c r="H499" s="141" t="n">
        <v>0</v>
      </c>
      <c r="I499" s="141" t="n">
        <v>0</v>
      </c>
      <c r="J499" s="141" t="n">
        <v>0</v>
      </c>
      <c r="K499" s="141" t="n">
        <v>2178.44</v>
      </c>
      <c r="L499" s="141" t="n">
        <v>178.09</v>
      </c>
      <c r="M499" s="141" t="n">
        <v>0</v>
      </c>
      <c r="N499" s="141" t="n">
        <v>0</v>
      </c>
      <c r="O499" s="141" t="n">
        <v>4.16</v>
      </c>
    </row>
    <row r="500" customFormat="false" ht="15" hidden="false" customHeight="false" outlineLevel="0" collapsed="false">
      <c r="A500" s="138" t="s">
        <v>2110</v>
      </c>
      <c r="B500" s="138" t="s">
        <v>2111</v>
      </c>
      <c r="C500" s="138" t="n">
        <v>446</v>
      </c>
      <c r="D500" s="138" t="n">
        <v>447</v>
      </c>
      <c r="E500" s="141" t="n">
        <f aca="false">F500/Parâmetros!$C$22</f>
        <v>383.7</v>
      </c>
      <c r="F500" s="141" t="n">
        <v>76.74</v>
      </c>
      <c r="G500" s="141" t="n">
        <v>0</v>
      </c>
      <c r="H500" s="141" t="n">
        <v>0</v>
      </c>
      <c r="I500" s="141" t="n">
        <v>0</v>
      </c>
      <c r="J500" s="141" t="n">
        <v>0</v>
      </c>
      <c r="K500" s="141" t="n">
        <v>1508.19</v>
      </c>
      <c r="L500" s="141" t="n">
        <v>179.45</v>
      </c>
      <c r="M500" s="141" t="n">
        <v>0</v>
      </c>
      <c r="N500" s="141" t="n">
        <v>0</v>
      </c>
      <c r="O500" s="141" t="n">
        <v>4.15</v>
      </c>
    </row>
    <row r="501" customFormat="false" ht="15" hidden="false" customHeight="false" outlineLevel="0" collapsed="false">
      <c r="A501" s="138" t="s">
        <v>2111</v>
      </c>
      <c r="B501" s="138" t="s">
        <v>3817</v>
      </c>
      <c r="C501" s="138" t="n">
        <v>447</v>
      </c>
      <c r="D501" s="138" t="n">
        <v>447.609</v>
      </c>
      <c r="E501" s="141" t="n">
        <f aca="false">F501/Parâmetros!$C$22</f>
        <v>210.65</v>
      </c>
      <c r="F501" s="141" t="n">
        <v>42.13</v>
      </c>
      <c r="G501" s="141" t="n">
        <v>10.89</v>
      </c>
      <c r="H501" s="141" t="n">
        <v>0</v>
      </c>
      <c r="I501" s="141" t="n">
        <v>0</v>
      </c>
      <c r="J501" s="141" t="n">
        <v>0</v>
      </c>
      <c r="K501" s="141" t="n">
        <v>649.03</v>
      </c>
      <c r="L501" s="141" t="n">
        <v>107.26</v>
      </c>
      <c r="M501" s="141" t="n">
        <v>0</v>
      </c>
      <c r="N501" s="141" t="n">
        <v>0</v>
      </c>
      <c r="O501" s="141" t="n">
        <v>2.38</v>
      </c>
    </row>
    <row r="502" customFormat="false" ht="15" hidden="false" customHeight="false" outlineLevel="0" collapsed="false">
      <c r="A502" s="138" t="s">
        <v>3817</v>
      </c>
      <c r="B502" s="138" t="s">
        <v>2112</v>
      </c>
      <c r="C502" s="138" t="n">
        <v>447.609</v>
      </c>
      <c r="D502" s="138" t="n">
        <v>448</v>
      </c>
      <c r="E502" s="141" t="n">
        <f aca="false">F502/Parâmetros!$C$22</f>
        <v>133.4</v>
      </c>
      <c r="F502" s="141" t="n">
        <v>26.68</v>
      </c>
      <c r="G502" s="141" t="n">
        <v>17.73</v>
      </c>
      <c r="H502" s="141" t="n">
        <v>0</v>
      </c>
      <c r="I502" s="141" t="n">
        <v>0</v>
      </c>
      <c r="J502" s="141" t="n">
        <v>0</v>
      </c>
      <c r="K502" s="141" t="n">
        <v>329.12</v>
      </c>
      <c r="L502" s="141" t="n">
        <v>67.43</v>
      </c>
      <c r="M502" s="141" t="n">
        <v>0</v>
      </c>
      <c r="N502" s="141" t="n">
        <v>0</v>
      </c>
      <c r="O502" s="141" t="n">
        <v>1.61</v>
      </c>
    </row>
    <row r="503" customFormat="false" ht="15" hidden="false" customHeight="false" outlineLevel="0" collapsed="false">
      <c r="A503" s="138" t="s">
        <v>2112</v>
      </c>
      <c r="B503" s="138" t="s">
        <v>2113</v>
      </c>
      <c r="C503" s="138" t="n">
        <v>448</v>
      </c>
      <c r="D503" s="138" t="n">
        <v>449</v>
      </c>
      <c r="E503" s="141" t="n">
        <f aca="false">F503/Parâmetros!$C$22</f>
        <v>328.4</v>
      </c>
      <c r="F503" s="141" t="n">
        <v>65.68</v>
      </c>
      <c r="G503" s="141" t="n">
        <v>74.21</v>
      </c>
      <c r="H503" s="141" t="n">
        <v>0</v>
      </c>
      <c r="I503" s="141" t="n">
        <v>0</v>
      </c>
      <c r="J503" s="141" t="n">
        <v>0</v>
      </c>
      <c r="K503" s="141" t="n">
        <v>609.29</v>
      </c>
      <c r="L503" s="141" t="n">
        <v>172.46</v>
      </c>
      <c r="M503" s="141" t="n">
        <v>0</v>
      </c>
      <c r="N503" s="141" t="n">
        <v>0</v>
      </c>
      <c r="O503" s="141" t="n">
        <v>4.12</v>
      </c>
    </row>
    <row r="504" customFormat="false" ht="15" hidden="false" customHeight="false" outlineLevel="0" collapsed="false">
      <c r="A504" s="138" t="s">
        <v>2113</v>
      </c>
      <c r="B504" s="138" t="s">
        <v>2114</v>
      </c>
      <c r="C504" s="138" t="n">
        <v>449</v>
      </c>
      <c r="D504" s="138" t="n">
        <v>450</v>
      </c>
      <c r="E504" s="141" t="n">
        <f aca="false">F504/Parâmetros!$C$22</f>
        <v>325.1</v>
      </c>
      <c r="F504" s="141" t="n">
        <v>65.02</v>
      </c>
      <c r="G504" s="141" t="n">
        <v>141.74</v>
      </c>
      <c r="H504" s="141" t="n">
        <v>0</v>
      </c>
      <c r="I504" s="141" t="n">
        <v>0</v>
      </c>
      <c r="J504" s="141" t="n">
        <v>0</v>
      </c>
      <c r="K504" s="141" t="n">
        <v>377.27</v>
      </c>
      <c r="L504" s="141" t="n">
        <v>172.46</v>
      </c>
      <c r="M504" s="141" t="n">
        <v>0</v>
      </c>
      <c r="N504" s="141" t="n">
        <v>0</v>
      </c>
      <c r="O504" s="141" t="n">
        <v>4.12</v>
      </c>
    </row>
    <row r="505" customFormat="false" ht="15" hidden="false" customHeight="false" outlineLevel="0" collapsed="false">
      <c r="A505" s="138" t="s">
        <v>2114</v>
      </c>
      <c r="B505" s="138" t="s">
        <v>2115</v>
      </c>
      <c r="C505" s="138" t="n">
        <v>450</v>
      </c>
      <c r="D505" s="138" t="n">
        <v>451</v>
      </c>
      <c r="E505" s="141" t="n">
        <f aca="false">F505/Parâmetros!$C$22</f>
        <v>329.25</v>
      </c>
      <c r="F505" s="141" t="n">
        <v>65.85</v>
      </c>
      <c r="G505" s="141" t="n">
        <v>227.15</v>
      </c>
      <c r="H505" s="141" t="n">
        <v>0</v>
      </c>
      <c r="I505" s="141" t="n">
        <v>0</v>
      </c>
      <c r="J505" s="141" t="n">
        <v>0</v>
      </c>
      <c r="K505" s="141" t="n">
        <v>234.19</v>
      </c>
      <c r="L505" s="141" t="n">
        <v>172.46</v>
      </c>
      <c r="M505" s="141" t="n">
        <v>0</v>
      </c>
      <c r="N505" s="141" t="n">
        <v>0</v>
      </c>
      <c r="O505" s="141" t="n">
        <v>4.13</v>
      </c>
    </row>
    <row r="506" customFormat="false" ht="15" hidden="false" customHeight="false" outlineLevel="0" collapsed="false">
      <c r="A506" s="138" t="s">
        <v>2115</v>
      </c>
      <c r="B506" s="138" t="s">
        <v>2116</v>
      </c>
      <c r="C506" s="138" t="n">
        <v>451</v>
      </c>
      <c r="D506" s="138" t="n">
        <v>452</v>
      </c>
      <c r="E506" s="141" t="n">
        <f aca="false">F506/Parâmetros!$C$22</f>
        <v>318.65</v>
      </c>
      <c r="F506" s="141" t="n">
        <v>63.73</v>
      </c>
      <c r="G506" s="141" t="n">
        <v>286.96</v>
      </c>
      <c r="H506" s="141" t="n">
        <v>0</v>
      </c>
      <c r="I506" s="141" t="n">
        <v>0</v>
      </c>
      <c r="J506" s="141" t="n">
        <v>0</v>
      </c>
      <c r="K506" s="141" t="n">
        <v>127.52</v>
      </c>
      <c r="L506" s="141" t="n">
        <v>172.15</v>
      </c>
      <c r="M506" s="141" t="n">
        <v>0</v>
      </c>
      <c r="N506" s="141" t="n">
        <v>0</v>
      </c>
      <c r="O506" s="141" t="n">
        <v>4.13</v>
      </c>
    </row>
    <row r="507" customFormat="false" ht="15" hidden="false" customHeight="false" outlineLevel="0" collapsed="false">
      <c r="A507" s="138" t="s">
        <v>2116</v>
      </c>
      <c r="B507" s="138" t="s">
        <v>2117</v>
      </c>
      <c r="C507" s="138" t="n">
        <v>452</v>
      </c>
      <c r="D507" s="138" t="n">
        <v>453</v>
      </c>
      <c r="E507" s="141" t="n">
        <f aca="false">F507/Parâmetros!$C$22</f>
        <v>308.55</v>
      </c>
      <c r="F507" s="141" t="n">
        <v>61.71</v>
      </c>
      <c r="G507" s="141" t="n">
        <v>342.31</v>
      </c>
      <c r="H507" s="141" t="n">
        <v>0</v>
      </c>
      <c r="I507" s="141" t="n">
        <v>0</v>
      </c>
      <c r="J507" s="141" t="n">
        <v>0</v>
      </c>
      <c r="K507" s="141" t="n">
        <v>57.73</v>
      </c>
      <c r="L507" s="141" t="n">
        <v>170.01</v>
      </c>
      <c r="M507" s="141" t="n">
        <v>0</v>
      </c>
      <c r="N507" s="141" t="n">
        <v>0</v>
      </c>
      <c r="O507" s="141" t="n">
        <v>5.42</v>
      </c>
    </row>
    <row r="508" customFormat="false" ht="15" hidden="false" customHeight="false" outlineLevel="0" collapsed="false">
      <c r="A508" s="138" t="s">
        <v>2117</v>
      </c>
      <c r="B508" s="138" t="s">
        <v>3818</v>
      </c>
      <c r="C508" s="138" t="n">
        <v>453</v>
      </c>
      <c r="D508" s="138" t="n">
        <v>453.904</v>
      </c>
      <c r="E508" s="141" t="n">
        <f aca="false">F508/Parâmetros!$C$22</f>
        <v>283.2</v>
      </c>
      <c r="F508" s="141" t="n">
        <v>56.64</v>
      </c>
      <c r="G508" s="141" t="n">
        <v>344.93</v>
      </c>
      <c r="H508" s="141" t="n">
        <v>0</v>
      </c>
      <c r="I508" s="141" t="n">
        <v>0</v>
      </c>
      <c r="J508" s="141" t="n">
        <v>0</v>
      </c>
      <c r="K508" s="141" t="n">
        <v>21.69</v>
      </c>
      <c r="L508" s="141" t="n">
        <v>149.59</v>
      </c>
      <c r="M508" s="141" t="n">
        <v>0</v>
      </c>
      <c r="N508" s="141" t="n">
        <v>0</v>
      </c>
      <c r="O508" s="141" t="n">
        <v>5.92</v>
      </c>
    </row>
    <row r="509" customFormat="false" ht="15" hidden="false" customHeight="false" outlineLevel="0" collapsed="false">
      <c r="A509" s="138" t="s">
        <v>3818</v>
      </c>
      <c r="B509" s="138" t="s">
        <v>2118</v>
      </c>
      <c r="C509" s="138" t="n">
        <v>453.904</v>
      </c>
      <c r="D509" s="138" t="n">
        <v>454</v>
      </c>
      <c r="E509" s="141" t="n">
        <f aca="false">F509/Parâmetros!$C$22</f>
        <v>30.95</v>
      </c>
      <c r="F509" s="141" t="n">
        <v>6.19</v>
      </c>
      <c r="G509" s="141" t="n">
        <v>38.5</v>
      </c>
      <c r="H509" s="141" t="n">
        <v>0</v>
      </c>
      <c r="I509" s="141" t="n">
        <v>0</v>
      </c>
      <c r="J509" s="141" t="n">
        <v>0</v>
      </c>
      <c r="K509" s="141" t="n">
        <v>0.96</v>
      </c>
      <c r="L509" s="141" t="n">
        <v>15.62</v>
      </c>
      <c r="M509" s="141" t="n">
        <v>0</v>
      </c>
      <c r="N509" s="141" t="n">
        <v>0</v>
      </c>
      <c r="O509" s="141" t="n">
        <v>0.62</v>
      </c>
    </row>
    <row r="510" customFormat="false" ht="15" hidden="false" customHeight="false" outlineLevel="0" collapsed="false">
      <c r="A510" s="138" t="s">
        <v>2118</v>
      </c>
      <c r="B510" s="138" t="s">
        <v>2119</v>
      </c>
      <c r="C510" s="138" t="n">
        <v>454</v>
      </c>
      <c r="D510" s="138" t="n">
        <v>455</v>
      </c>
      <c r="E510" s="141" t="n">
        <f aca="false">F510/Parâmetros!$C$22</f>
        <v>485.2</v>
      </c>
      <c r="F510" s="141" t="n">
        <v>97.04</v>
      </c>
      <c r="G510" s="141" t="n">
        <v>587.88</v>
      </c>
      <c r="H510" s="141" t="n">
        <v>0</v>
      </c>
      <c r="I510" s="141" t="n">
        <v>0</v>
      </c>
      <c r="J510" s="141" t="n">
        <v>0</v>
      </c>
      <c r="K510" s="141" t="n">
        <v>5.14</v>
      </c>
      <c r="L510" s="141" t="n">
        <v>160.32</v>
      </c>
      <c r="M510" s="141" t="n">
        <v>0</v>
      </c>
      <c r="N510" s="141" t="n">
        <v>0</v>
      </c>
      <c r="O510" s="141" t="n">
        <v>4.52</v>
      </c>
    </row>
    <row r="511" customFormat="false" ht="15" hidden="false" customHeight="false" outlineLevel="0" collapsed="false">
      <c r="A511" s="138" t="s">
        <v>2119</v>
      </c>
      <c r="B511" s="138" t="s">
        <v>2121</v>
      </c>
      <c r="C511" s="138" t="n">
        <v>455</v>
      </c>
      <c r="D511" s="138" t="n">
        <v>456</v>
      </c>
      <c r="E511" s="141" t="n">
        <f aca="false">F511/Parâmetros!$C$22</f>
        <v>538.85</v>
      </c>
      <c r="F511" s="141" t="n">
        <v>107.77</v>
      </c>
      <c r="G511" s="141" t="n">
        <v>979.45</v>
      </c>
      <c r="H511" s="141" t="n">
        <v>0</v>
      </c>
      <c r="I511" s="141" t="n">
        <v>61.48</v>
      </c>
      <c r="J511" s="141" t="n">
        <v>0</v>
      </c>
      <c r="K511" s="141" t="n">
        <v>0</v>
      </c>
      <c r="L511" s="141" t="n">
        <v>160.12</v>
      </c>
      <c r="M511" s="141" t="n">
        <v>0</v>
      </c>
      <c r="N511" s="141" t="n">
        <v>0</v>
      </c>
      <c r="O511" s="141" t="n">
        <v>4.84</v>
      </c>
    </row>
    <row r="512" customFormat="false" ht="15" hidden="false" customHeight="false" outlineLevel="0" collapsed="false">
      <c r="A512" s="138" t="s">
        <v>2121</v>
      </c>
      <c r="B512" s="138" t="s">
        <v>2122</v>
      </c>
      <c r="C512" s="138" t="n">
        <v>456</v>
      </c>
      <c r="D512" s="138" t="n">
        <v>457</v>
      </c>
      <c r="E512" s="141" t="n">
        <f aca="false">F512/Parâmetros!$C$22</f>
        <v>459</v>
      </c>
      <c r="F512" s="141" t="n">
        <v>91.8</v>
      </c>
      <c r="G512" s="141" t="n">
        <v>1353.05</v>
      </c>
      <c r="H512" s="141" t="n">
        <v>0</v>
      </c>
      <c r="I512" s="141" t="n">
        <v>312.16</v>
      </c>
      <c r="J512" s="141" t="n">
        <v>0</v>
      </c>
      <c r="K512" s="141" t="n">
        <v>0</v>
      </c>
      <c r="L512" s="141" t="n">
        <v>81</v>
      </c>
      <c r="M512" s="141" t="n">
        <v>0</v>
      </c>
      <c r="N512" s="141" t="n">
        <v>40.5</v>
      </c>
      <c r="O512" s="141" t="n">
        <v>6.89</v>
      </c>
    </row>
    <row r="513" customFormat="false" ht="15" hidden="false" customHeight="false" outlineLevel="0" collapsed="false">
      <c r="A513" s="138" t="s">
        <v>2122</v>
      </c>
      <c r="B513" s="138" t="s">
        <v>2123</v>
      </c>
      <c r="C513" s="138" t="n">
        <v>457</v>
      </c>
      <c r="D513" s="138" t="n">
        <v>458</v>
      </c>
      <c r="E513" s="141" t="n">
        <f aca="false">F513/Parâmetros!$C$22</f>
        <v>514.95</v>
      </c>
      <c r="F513" s="141" t="n">
        <v>102.99</v>
      </c>
      <c r="G513" s="141" t="n">
        <v>1581.41</v>
      </c>
      <c r="H513" s="141" t="n">
        <v>0</v>
      </c>
      <c r="I513" s="141" t="n">
        <v>723.05</v>
      </c>
      <c r="J513" s="141" t="n">
        <v>0</v>
      </c>
      <c r="K513" s="141" t="n">
        <v>0</v>
      </c>
      <c r="L513" s="141" t="n">
        <v>0</v>
      </c>
      <c r="M513" s="141" t="n">
        <v>0</v>
      </c>
      <c r="N513" s="141" t="n">
        <v>80.97</v>
      </c>
      <c r="O513" s="141" t="n">
        <v>6.84</v>
      </c>
    </row>
    <row r="514" customFormat="false" ht="15" hidden="false" customHeight="false" outlineLevel="0" collapsed="false">
      <c r="A514" s="138" t="s">
        <v>2123</v>
      </c>
      <c r="B514" s="138" t="s">
        <v>2124</v>
      </c>
      <c r="C514" s="138" t="n">
        <v>458</v>
      </c>
      <c r="D514" s="138" t="n">
        <v>459</v>
      </c>
      <c r="E514" s="141" t="n">
        <f aca="false">F514/Parâmetros!$C$22</f>
        <v>683.9</v>
      </c>
      <c r="F514" s="141" t="n">
        <v>136.78</v>
      </c>
      <c r="G514" s="141" t="n">
        <v>1699.56</v>
      </c>
      <c r="H514" s="141" t="n">
        <v>0</v>
      </c>
      <c r="I514" s="141" t="n">
        <v>949.74</v>
      </c>
      <c r="J514" s="141" t="n">
        <v>0</v>
      </c>
      <c r="K514" s="141" t="n">
        <v>2.18</v>
      </c>
      <c r="L514" s="141" t="n">
        <v>0</v>
      </c>
      <c r="M514" s="141" t="n">
        <v>0</v>
      </c>
      <c r="N514" s="141" t="n">
        <v>80.97</v>
      </c>
      <c r="O514" s="141" t="n">
        <v>6.67</v>
      </c>
    </row>
    <row r="515" customFormat="false" ht="15" hidden="false" customHeight="false" outlineLevel="0" collapsed="false">
      <c r="A515" s="138" t="s">
        <v>2124</v>
      </c>
      <c r="B515" s="138" t="s">
        <v>2125</v>
      </c>
      <c r="C515" s="138" t="n">
        <v>459</v>
      </c>
      <c r="D515" s="138" t="n">
        <v>460</v>
      </c>
      <c r="E515" s="141" t="n">
        <f aca="false">F515/Parâmetros!$C$22</f>
        <v>744.75</v>
      </c>
      <c r="F515" s="141" t="n">
        <v>148.95</v>
      </c>
      <c r="G515" s="141" t="n">
        <v>1683.3</v>
      </c>
      <c r="H515" s="141" t="n">
        <v>0</v>
      </c>
      <c r="I515" s="141" t="n">
        <v>891.65</v>
      </c>
      <c r="J515" s="141" t="n">
        <v>0</v>
      </c>
      <c r="K515" s="141" t="n">
        <v>2.59</v>
      </c>
      <c r="L515" s="141" t="n">
        <v>0</v>
      </c>
      <c r="M515" s="141" t="n">
        <v>0</v>
      </c>
      <c r="N515" s="141" t="n">
        <v>80.42</v>
      </c>
      <c r="O515" s="141" t="n">
        <v>4.44</v>
      </c>
    </row>
    <row r="516" customFormat="false" ht="15" hidden="false" customHeight="false" outlineLevel="0" collapsed="false">
      <c r="A516" s="138" t="s">
        <v>2125</v>
      </c>
      <c r="B516" s="138" t="s">
        <v>3819</v>
      </c>
      <c r="C516" s="138" t="n">
        <v>460</v>
      </c>
      <c r="D516" s="138" t="n">
        <v>460.199</v>
      </c>
      <c r="E516" s="141" t="n">
        <f aca="false">F516/Parâmetros!$C$22</f>
        <v>118.1</v>
      </c>
      <c r="F516" s="141" t="n">
        <v>23.62</v>
      </c>
      <c r="G516" s="141" t="n">
        <v>292.68</v>
      </c>
      <c r="H516" s="141" t="n">
        <v>0</v>
      </c>
      <c r="I516" s="141" t="n">
        <v>160.73</v>
      </c>
      <c r="J516" s="141" t="n">
        <v>0</v>
      </c>
      <c r="K516" s="141" t="n">
        <v>0.24</v>
      </c>
      <c r="L516" s="141" t="n">
        <v>0</v>
      </c>
      <c r="M516" s="141" t="n">
        <v>0</v>
      </c>
      <c r="N516" s="141" t="n">
        <v>15.99</v>
      </c>
      <c r="O516" s="141" t="n">
        <v>0.68</v>
      </c>
    </row>
    <row r="517" customFormat="false" ht="15" hidden="false" customHeight="false" outlineLevel="0" collapsed="false">
      <c r="A517" s="138" t="s">
        <v>3819</v>
      </c>
      <c r="B517" s="138" t="s">
        <v>2127</v>
      </c>
      <c r="C517" s="138" t="n">
        <v>460.199</v>
      </c>
      <c r="D517" s="138" t="n">
        <v>461</v>
      </c>
      <c r="E517" s="141" t="n">
        <f aca="false">F517/Parâmetros!$C$22</f>
        <v>412.3</v>
      </c>
      <c r="F517" s="141" t="n">
        <v>82.46</v>
      </c>
      <c r="G517" s="141" t="n">
        <v>1031.05</v>
      </c>
      <c r="H517" s="141" t="n">
        <v>0</v>
      </c>
      <c r="I517" s="141" t="n">
        <v>538.25</v>
      </c>
      <c r="J517" s="141" t="n">
        <v>0</v>
      </c>
      <c r="K517" s="141" t="n">
        <v>0.63</v>
      </c>
      <c r="L517" s="141" t="n">
        <v>0</v>
      </c>
      <c r="M517" s="141" t="n">
        <v>0</v>
      </c>
      <c r="N517" s="141" t="n">
        <v>64.86</v>
      </c>
      <c r="O517" s="141" t="n">
        <v>3.43</v>
      </c>
    </row>
    <row r="518" customFormat="false" ht="15" hidden="false" customHeight="false" outlineLevel="0" collapsed="false">
      <c r="A518" s="138" t="s">
        <v>2127</v>
      </c>
      <c r="B518" s="138" t="s">
        <v>2128</v>
      </c>
      <c r="C518" s="138" t="n">
        <v>461</v>
      </c>
      <c r="D518" s="138" t="n">
        <v>462</v>
      </c>
      <c r="E518" s="141" t="n">
        <f aca="false">F518/Parâmetros!$C$22</f>
        <v>451.05</v>
      </c>
      <c r="F518" s="141" t="n">
        <v>90.21</v>
      </c>
      <c r="G518" s="141" t="n">
        <v>1148.52</v>
      </c>
      <c r="H518" s="141" t="n">
        <v>0</v>
      </c>
      <c r="I518" s="141" t="n">
        <v>439.07</v>
      </c>
      <c r="J518" s="141" t="n">
        <v>0</v>
      </c>
      <c r="K518" s="141" t="n">
        <v>0.77</v>
      </c>
      <c r="L518" s="141" t="n">
        <v>0</v>
      </c>
      <c r="M518" s="141" t="n">
        <v>0</v>
      </c>
      <c r="N518" s="141" t="n">
        <v>80.95</v>
      </c>
      <c r="O518" s="141" t="n">
        <v>4.2</v>
      </c>
    </row>
    <row r="519" customFormat="false" ht="15" hidden="false" customHeight="false" outlineLevel="0" collapsed="false">
      <c r="A519" s="138" t="s">
        <v>2128</v>
      </c>
      <c r="B519" s="138" t="s">
        <v>2129</v>
      </c>
      <c r="C519" s="138" t="n">
        <v>462</v>
      </c>
      <c r="D519" s="138" t="n">
        <v>463</v>
      </c>
      <c r="E519" s="141" t="n">
        <f aca="false">F519/Parâmetros!$C$22</f>
        <v>375.75</v>
      </c>
      <c r="F519" s="141" t="n">
        <v>75.15</v>
      </c>
      <c r="G519" s="141" t="n">
        <v>923.12</v>
      </c>
      <c r="H519" s="141" t="n">
        <v>0</v>
      </c>
      <c r="I519" s="141" t="n">
        <v>151.58</v>
      </c>
      <c r="J519" s="141" t="n">
        <v>0</v>
      </c>
      <c r="K519" s="141" t="n">
        <v>2.6</v>
      </c>
      <c r="L519" s="141" t="n">
        <v>0</v>
      </c>
      <c r="M519" s="141" t="n">
        <v>0</v>
      </c>
      <c r="N519" s="141" t="n">
        <v>80.97</v>
      </c>
      <c r="O519" s="141" t="n">
        <v>4.18</v>
      </c>
    </row>
    <row r="520" customFormat="false" ht="15" hidden="false" customHeight="false" outlineLevel="0" collapsed="false">
      <c r="A520" s="138" t="s">
        <v>2129</v>
      </c>
      <c r="B520" s="138" t="s">
        <v>3820</v>
      </c>
      <c r="C520" s="138" t="n">
        <v>463</v>
      </c>
      <c r="D520" s="138" t="n">
        <v>463.449</v>
      </c>
      <c r="E520" s="141" t="n">
        <f aca="false">F520/Parâmetros!$C$22</f>
        <v>154.75</v>
      </c>
      <c r="F520" s="141" t="n">
        <v>30.95</v>
      </c>
      <c r="G520" s="141" t="n">
        <v>334.12</v>
      </c>
      <c r="H520" s="141" t="n">
        <v>0</v>
      </c>
      <c r="I520" s="141" t="n">
        <v>0</v>
      </c>
      <c r="J520" s="141" t="n">
        <v>0</v>
      </c>
      <c r="K520" s="141" t="n">
        <v>1.08</v>
      </c>
      <c r="L520" s="141" t="n">
        <v>36.3689999999982</v>
      </c>
      <c r="M520" s="141" t="n">
        <v>0</v>
      </c>
      <c r="N520" s="141" t="n">
        <v>18.1844999999991</v>
      </c>
      <c r="O520" s="141" t="n">
        <v>1.73</v>
      </c>
    </row>
    <row r="521" customFormat="false" ht="15" hidden="false" customHeight="false" outlineLevel="0" collapsed="false">
      <c r="A521" s="138" t="s">
        <v>3820</v>
      </c>
      <c r="B521" s="138" t="s">
        <v>3821</v>
      </c>
      <c r="C521" s="138" t="n">
        <v>463.449</v>
      </c>
      <c r="D521" s="138" t="n">
        <v>463.494</v>
      </c>
      <c r="E521" s="141" t="n">
        <f aca="false">F521/Parâmetros!$C$22</f>
        <v>15.55</v>
      </c>
      <c r="F521" s="141" t="n">
        <v>3.11</v>
      </c>
      <c r="G521" s="141" t="n">
        <v>31.82</v>
      </c>
      <c r="H521" s="141" t="n">
        <v>0</v>
      </c>
      <c r="I521" s="141" t="n">
        <v>0</v>
      </c>
      <c r="J521" s="141" t="n">
        <v>0</v>
      </c>
      <c r="K521" s="141" t="n">
        <v>0.02</v>
      </c>
      <c r="L521" s="141" t="n">
        <v>7.33</v>
      </c>
      <c r="M521" s="141" t="n">
        <v>0</v>
      </c>
      <c r="N521" s="141" t="n">
        <v>0</v>
      </c>
      <c r="O521" s="141" t="n">
        <v>0.16</v>
      </c>
    </row>
    <row r="522" customFormat="false" ht="15" hidden="false" customHeight="false" outlineLevel="0" collapsed="false">
      <c r="A522" s="138" t="s">
        <v>3821</v>
      </c>
      <c r="B522" s="138" t="s">
        <v>2130</v>
      </c>
      <c r="C522" s="138" t="n">
        <v>463.494</v>
      </c>
      <c r="D522" s="138" t="n">
        <v>464</v>
      </c>
      <c r="E522" s="141" t="n">
        <f aca="false">F522/Parâmetros!$C$22</f>
        <v>168.75</v>
      </c>
      <c r="F522" s="141" t="n">
        <v>33.75</v>
      </c>
      <c r="G522" s="141" t="n">
        <v>297.38</v>
      </c>
      <c r="H522" s="141" t="n">
        <v>0</v>
      </c>
      <c r="I522" s="141" t="n">
        <v>0</v>
      </c>
      <c r="J522" s="141" t="n">
        <v>0</v>
      </c>
      <c r="K522" s="141" t="n">
        <v>0.21</v>
      </c>
      <c r="L522" s="141" t="n">
        <v>81.93</v>
      </c>
      <c r="M522" s="141" t="n">
        <v>0</v>
      </c>
      <c r="N522" s="141" t="n">
        <v>0</v>
      </c>
      <c r="O522" s="141" t="n">
        <v>1.79</v>
      </c>
    </row>
    <row r="523" customFormat="false" ht="15" hidden="false" customHeight="false" outlineLevel="0" collapsed="false">
      <c r="A523" s="138" t="s">
        <v>2130</v>
      </c>
      <c r="B523" s="138" t="s">
        <v>2131</v>
      </c>
      <c r="C523" s="138" t="n">
        <v>464</v>
      </c>
      <c r="D523" s="138" t="n">
        <v>465</v>
      </c>
      <c r="E523" s="141" t="n">
        <f aca="false">F523/Parâmetros!$C$22</f>
        <v>347.95</v>
      </c>
      <c r="F523" s="141" t="n">
        <v>69.59</v>
      </c>
      <c r="G523" s="141" t="n">
        <v>396.18</v>
      </c>
      <c r="H523" s="141" t="n">
        <v>0</v>
      </c>
      <c r="I523" s="141" t="n">
        <v>0</v>
      </c>
      <c r="J523" s="141" t="n">
        <v>0</v>
      </c>
      <c r="K523" s="141" t="n">
        <v>3.21</v>
      </c>
      <c r="L523" s="141" t="n">
        <v>161.11</v>
      </c>
      <c r="M523" s="141" t="n">
        <v>0</v>
      </c>
      <c r="N523" s="141" t="n">
        <v>0</v>
      </c>
      <c r="O523" s="141" t="n">
        <v>2.77</v>
      </c>
    </row>
    <row r="524" customFormat="false" ht="15" hidden="false" customHeight="false" outlineLevel="0" collapsed="false">
      <c r="A524" s="138" t="s">
        <v>2131</v>
      </c>
      <c r="B524" s="138" t="s">
        <v>2133</v>
      </c>
      <c r="C524" s="138" t="n">
        <v>465</v>
      </c>
      <c r="D524" s="138" t="n">
        <v>466</v>
      </c>
      <c r="E524" s="141" t="n">
        <f aca="false">F524/Parâmetros!$C$22</f>
        <v>425.65</v>
      </c>
      <c r="F524" s="141" t="n">
        <v>85.13</v>
      </c>
      <c r="G524" s="141" t="n">
        <v>229.77</v>
      </c>
      <c r="H524" s="141" t="n">
        <v>0</v>
      </c>
      <c r="I524" s="141" t="n">
        <v>0</v>
      </c>
      <c r="J524" s="141" t="n">
        <v>0</v>
      </c>
      <c r="K524" s="141" t="n">
        <v>47.24</v>
      </c>
      <c r="L524" s="141" t="n">
        <v>152.17</v>
      </c>
      <c r="M524" s="141" t="n">
        <v>0</v>
      </c>
      <c r="N524" s="141" t="n">
        <v>0</v>
      </c>
      <c r="O524" s="141" t="n">
        <v>0.99</v>
      </c>
    </row>
    <row r="525" customFormat="false" ht="15" hidden="false" customHeight="false" outlineLevel="0" collapsed="false">
      <c r="A525" s="138" t="s">
        <v>2133</v>
      </c>
      <c r="B525" s="138" t="s">
        <v>3822</v>
      </c>
      <c r="C525" s="138" t="n">
        <v>466</v>
      </c>
      <c r="D525" s="138" t="n">
        <v>466.744</v>
      </c>
      <c r="E525" s="141" t="n">
        <f aca="false">F525/Parâmetros!$C$22</f>
        <v>310.25</v>
      </c>
      <c r="F525" s="141" t="n">
        <v>62.05</v>
      </c>
      <c r="G525" s="141" t="n">
        <v>73.78</v>
      </c>
      <c r="H525" s="141" t="n">
        <v>0</v>
      </c>
      <c r="I525" s="141" t="n">
        <v>0</v>
      </c>
      <c r="J525" s="141" t="n">
        <v>0</v>
      </c>
      <c r="K525" s="141" t="n">
        <v>121.1</v>
      </c>
      <c r="L525" s="141" t="n">
        <v>97.78</v>
      </c>
      <c r="M525" s="141" t="n">
        <v>0</v>
      </c>
      <c r="N525" s="141" t="n">
        <v>0</v>
      </c>
      <c r="O525" s="141" t="n">
        <v>0</v>
      </c>
    </row>
    <row r="526" customFormat="false" ht="15" hidden="false" customHeight="false" outlineLevel="0" collapsed="false">
      <c r="A526" s="138" t="s">
        <v>3822</v>
      </c>
      <c r="B526" s="138" t="s">
        <v>2135</v>
      </c>
      <c r="C526" s="138" t="n">
        <v>466.744</v>
      </c>
      <c r="D526" s="138" t="n">
        <v>467</v>
      </c>
      <c r="E526" s="141" t="n">
        <f aca="false">F526/Parâmetros!$C$22</f>
        <v>81.8</v>
      </c>
      <c r="F526" s="141" t="n">
        <v>16.36</v>
      </c>
      <c r="G526" s="141" t="n">
        <v>10.68</v>
      </c>
      <c r="H526" s="141" t="n">
        <v>0</v>
      </c>
      <c r="I526" s="141" t="n">
        <v>0</v>
      </c>
      <c r="J526" s="141" t="n">
        <v>0</v>
      </c>
      <c r="K526" s="141" t="n">
        <v>39.25</v>
      </c>
      <c r="L526" s="141" t="n">
        <v>36.99</v>
      </c>
      <c r="M526" s="141" t="n">
        <v>0</v>
      </c>
      <c r="N526" s="141" t="n">
        <v>0</v>
      </c>
      <c r="O526" s="141" t="n">
        <v>0.52</v>
      </c>
    </row>
    <row r="527" customFormat="false" ht="15" hidden="false" customHeight="false" outlineLevel="0" collapsed="false">
      <c r="A527" s="138" t="s">
        <v>2135</v>
      </c>
      <c r="B527" s="138" t="s">
        <v>3823</v>
      </c>
      <c r="C527" s="138" t="n">
        <v>467</v>
      </c>
      <c r="D527" s="138" t="n">
        <v>467.5605</v>
      </c>
      <c r="E527" s="141" t="n">
        <f aca="false">F527/Parâmetros!$C$22</f>
        <v>153.9</v>
      </c>
      <c r="F527" s="141" t="n">
        <v>30.78</v>
      </c>
      <c r="G527" s="141" t="n">
        <v>14.55</v>
      </c>
      <c r="H527" s="141" t="n">
        <v>0</v>
      </c>
      <c r="I527" s="141" t="n">
        <v>0</v>
      </c>
      <c r="J527" s="141" t="n">
        <v>0</v>
      </c>
      <c r="K527" s="141" t="n">
        <v>49.02</v>
      </c>
      <c r="L527" s="141" t="n">
        <v>96.12</v>
      </c>
      <c r="M527" s="141" t="n">
        <v>0</v>
      </c>
      <c r="N527" s="141" t="n">
        <v>0</v>
      </c>
      <c r="O527" s="141" t="n">
        <v>2.26</v>
      </c>
    </row>
    <row r="528" customFormat="false" ht="15" hidden="false" customHeight="false" outlineLevel="0" collapsed="false">
      <c r="A528" s="138" t="s">
        <v>3823</v>
      </c>
      <c r="B528" s="138" t="s">
        <v>2136</v>
      </c>
      <c r="C528" s="138" t="n">
        <v>467.5605</v>
      </c>
      <c r="D528" s="138" t="n">
        <v>468</v>
      </c>
      <c r="E528" s="141" t="n">
        <f aca="false">F528/Parâmetros!$C$22</f>
        <v>117.55</v>
      </c>
      <c r="F528" s="141" t="n">
        <v>23.51</v>
      </c>
      <c r="G528" s="141" t="n">
        <v>3.52</v>
      </c>
      <c r="H528" s="141" t="n">
        <v>0</v>
      </c>
      <c r="I528" s="141" t="n">
        <v>0</v>
      </c>
      <c r="J528" s="141" t="n">
        <v>0</v>
      </c>
      <c r="K528" s="141" t="n">
        <v>60.33</v>
      </c>
      <c r="L528" s="141" t="n">
        <v>76.52</v>
      </c>
      <c r="M528" s="141" t="n">
        <v>0</v>
      </c>
      <c r="N528" s="141" t="n">
        <v>0</v>
      </c>
      <c r="O528" s="141" t="n">
        <v>1.77</v>
      </c>
    </row>
    <row r="529" customFormat="false" ht="15" hidden="false" customHeight="false" outlineLevel="0" collapsed="false">
      <c r="A529" s="138" t="s">
        <v>2136</v>
      </c>
      <c r="B529" s="138" t="s">
        <v>3824</v>
      </c>
      <c r="C529" s="138" t="n">
        <v>468</v>
      </c>
      <c r="D529" s="138" t="n">
        <v>468.377</v>
      </c>
      <c r="E529" s="141" t="n">
        <f aca="false">F529/Parâmetros!$C$22</f>
        <v>103.35</v>
      </c>
      <c r="F529" s="141" t="n">
        <v>20.67</v>
      </c>
      <c r="G529" s="141" t="n">
        <v>0.14</v>
      </c>
      <c r="H529" s="141" t="n">
        <v>0</v>
      </c>
      <c r="I529" s="141" t="n">
        <v>0</v>
      </c>
      <c r="J529" s="141" t="n">
        <v>0</v>
      </c>
      <c r="K529" s="141" t="n">
        <v>74.12</v>
      </c>
      <c r="L529" s="141" t="n">
        <v>66.91</v>
      </c>
      <c r="M529" s="141" t="n">
        <v>0</v>
      </c>
      <c r="N529" s="141" t="n">
        <v>0</v>
      </c>
      <c r="O529" s="141" t="n">
        <v>1.48</v>
      </c>
    </row>
    <row r="530" customFormat="false" ht="15" hidden="false" customHeight="false" outlineLevel="0" collapsed="false">
      <c r="A530" s="138" t="s">
        <v>3824</v>
      </c>
      <c r="B530" s="138" t="s">
        <v>2137</v>
      </c>
      <c r="C530" s="138" t="n">
        <v>468.377</v>
      </c>
      <c r="D530" s="138" t="n">
        <v>469</v>
      </c>
      <c r="E530" s="141" t="n">
        <f aca="false">F530/Parâmetros!$C$22</f>
        <v>187.3</v>
      </c>
      <c r="F530" s="141" t="n">
        <v>37.46</v>
      </c>
      <c r="G530" s="141" t="n">
        <v>0.01</v>
      </c>
      <c r="H530" s="141" t="n">
        <v>0</v>
      </c>
      <c r="I530" s="141" t="n">
        <v>0</v>
      </c>
      <c r="J530" s="141" t="n">
        <v>0</v>
      </c>
      <c r="K530" s="141" t="n">
        <v>176.5</v>
      </c>
      <c r="L530" s="141" t="n">
        <v>112.38</v>
      </c>
      <c r="M530" s="141" t="n">
        <v>0</v>
      </c>
      <c r="N530" s="141" t="n">
        <v>0</v>
      </c>
      <c r="O530" s="141" t="n">
        <v>2.34</v>
      </c>
    </row>
    <row r="531" customFormat="false" ht="15" hidden="false" customHeight="false" outlineLevel="0" collapsed="false">
      <c r="A531" s="138" t="s">
        <v>2137</v>
      </c>
      <c r="B531" s="138" t="s">
        <v>2138</v>
      </c>
      <c r="C531" s="138" t="n">
        <v>469</v>
      </c>
      <c r="D531" s="138" t="n">
        <v>470</v>
      </c>
      <c r="E531" s="141" t="n">
        <f aca="false">F531/Parâmetros!$C$22</f>
        <v>339.5</v>
      </c>
      <c r="F531" s="141" t="n">
        <v>67.9</v>
      </c>
      <c r="G531" s="141" t="n">
        <v>0</v>
      </c>
      <c r="H531" s="141" t="n">
        <v>0</v>
      </c>
      <c r="I531" s="141" t="n">
        <v>0</v>
      </c>
      <c r="J531" s="141" t="n">
        <v>0</v>
      </c>
      <c r="K531" s="141" t="n">
        <v>420.75</v>
      </c>
      <c r="L531" s="141" t="n">
        <v>187.23</v>
      </c>
      <c r="M531" s="141" t="n">
        <v>0</v>
      </c>
      <c r="N531" s="141" t="n">
        <v>0</v>
      </c>
      <c r="O531" s="141" t="n">
        <v>3.71</v>
      </c>
    </row>
    <row r="532" customFormat="false" ht="15" hidden="false" customHeight="false" outlineLevel="0" collapsed="false">
      <c r="A532" s="138" t="s">
        <v>2138</v>
      </c>
      <c r="B532" s="138" t="s">
        <v>2139</v>
      </c>
      <c r="C532" s="138" t="n">
        <v>470</v>
      </c>
      <c r="D532" s="138" t="n">
        <v>471</v>
      </c>
      <c r="E532" s="141" t="n">
        <f aca="false">F532/Parâmetros!$C$22</f>
        <v>373.35</v>
      </c>
      <c r="F532" s="141" t="n">
        <v>74.67</v>
      </c>
      <c r="G532" s="141" t="n">
        <v>5.1</v>
      </c>
      <c r="H532" s="141" t="n">
        <v>0</v>
      </c>
      <c r="I532" s="141" t="n">
        <v>0</v>
      </c>
      <c r="J532" s="141" t="n">
        <v>0</v>
      </c>
      <c r="K532" s="141" t="n">
        <v>486.92</v>
      </c>
      <c r="L532" s="141" t="n">
        <v>206.15</v>
      </c>
      <c r="M532" s="141" t="n">
        <v>0</v>
      </c>
      <c r="N532" s="141" t="n">
        <v>0</v>
      </c>
      <c r="O532" s="141" t="n">
        <v>3.8</v>
      </c>
    </row>
    <row r="533" customFormat="false" ht="15" hidden="false" customHeight="false" outlineLevel="0" collapsed="false">
      <c r="A533" s="138" t="s">
        <v>2139</v>
      </c>
      <c r="B533" s="138" t="s">
        <v>3825</v>
      </c>
      <c r="C533" s="138" t="n">
        <v>471</v>
      </c>
      <c r="D533" s="138" t="n">
        <v>471.627</v>
      </c>
      <c r="E533" s="141" t="n">
        <f aca="false">F533/Parâmetros!$C$22</f>
        <v>267.6</v>
      </c>
      <c r="F533" s="141" t="n">
        <v>53.52</v>
      </c>
      <c r="G533" s="141" t="n">
        <v>68.91</v>
      </c>
      <c r="H533" s="141" t="n">
        <v>0</v>
      </c>
      <c r="I533" s="141" t="n">
        <v>0</v>
      </c>
      <c r="J533" s="141" t="n">
        <v>0</v>
      </c>
      <c r="K533" s="141" t="n">
        <v>286.75</v>
      </c>
      <c r="L533" s="141" t="n">
        <v>143.33</v>
      </c>
      <c r="M533" s="141" t="n">
        <v>0</v>
      </c>
      <c r="N533" s="141" t="n">
        <v>0</v>
      </c>
      <c r="O533" s="141" t="n">
        <v>2.44</v>
      </c>
    </row>
    <row r="534" customFormat="false" ht="15" hidden="false" customHeight="false" outlineLevel="0" collapsed="false">
      <c r="A534" s="138" t="s">
        <v>3825</v>
      </c>
      <c r="B534" s="138" t="s">
        <v>2140</v>
      </c>
      <c r="C534" s="138" t="n">
        <v>471.627</v>
      </c>
      <c r="D534" s="138" t="n">
        <v>472</v>
      </c>
      <c r="E534" s="141" t="n">
        <f aca="false">F534/Parâmetros!$C$22</f>
        <v>207.65</v>
      </c>
      <c r="F534" s="141" t="n">
        <v>41.53</v>
      </c>
      <c r="G534" s="141" t="n">
        <v>149.27</v>
      </c>
      <c r="H534" s="141" t="n">
        <v>0</v>
      </c>
      <c r="I534" s="141" t="n">
        <v>0</v>
      </c>
      <c r="J534" s="141" t="n">
        <v>0</v>
      </c>
      <c r="K534" s="141" t="n">
        <v>207.54</v>
      </c>
      <c r="L534" s="141" t="n">
        <v>91.34</v>
      </c>
      <c r="M534" s="141" t="n">
        <v>0</v>
      </c>
      <c r="N534" s="141" t="n">
        <v>0</v>
      </c>
      <c r="O534" s="141" t="n">
        <v>0.72</v>
      </c>
    </row>
    <row r="535" customFormat="false" ht="15" hidden="false" customHeight="false" outlineLevel="0" collapsed="false">
      <c r="A535" s="138" t="s">
        <v>2140</v>
      </c>
      <c r="B535" s="138" t="s">
        <v>2141</v>
      </c>
      <c r="C535" s="138" t="n">
        <v>472</v>
      </c>
      <c r="D535" s="138" t="n">
        <v>473</v>
      </c>
      <c r="E535" s="141" t="n">
        <f aca="false">F535/Parâmetros!$C$22</f>
        <v>557</v>
      </c>
      <c r="F535" s="141" t="n">
        <v>111.4</v>
      </c>
      <c r="G535" s="141" t="n">
        <v>469.27</v>
      </c>
      <c r="H535" s="141" t="n">
        <v>0</v>
      </c>
      <c r="I535" s="141" t="n">
        <v>0</v>
      </c>
      <c r="J535" s="141" t="n">
        <v>0</v>
      </c>
      <c r="K535" s="141" t="n">
        <v>512.84</v>
      </c>
      <c r="L535" s="141" t="n">
        <v>235.6</v>
      </c>
      <c r="M535" s="141" t="n">
        <v>0</v>
      </c>
      <c r="N535" s="141" t="n">
        <v>0</v>
      </c>
      <c r="O535" s="141" t="n">
        <v>1.94</v>
      </c>
    </row>
    <row r="536" customFormat="false" ht="15" hidden="false" customHeight="false" outlineLevel="0" collapsed="false">
      <c r="A536" s="138" t="s">
        <v>2141</v>
      </c>
      <c r="B536" s="138" t="s">
        <v>2142</v>
      </c>
      <c r="C536" s="138" t="n">
        <v>473</v>
      </c>
      <c r="D536" s="138" t="n">
        <v>474</v>
      </c>
      <c r="E536" s="141" t="n">
        <f aca="false">F536/Parâmetros!$C$22</f>
        <v>509.3</v>
      </c>
      <c r="F536" s="141" t="n">
        <v>101.86</v>
      </c>
      <c r="G536" s="141" t="n">
        <v>191.55</v>
      </c>
      <c r="H536" s="141" t="n">
        <v>0</v>
      </c>
      <c r="I536" s="141" t="n">
        <v>0</v>
      </c>
      <c r="J536" s="141" t="n">
        <v>0</v>
      </c>
      <c r="K536" s="141" t="n">
        <v>323.12</v>
      </c>
      <c r="L536" s="141" t="n">
        <v>200.18</v>
      </c>
      <c r="M536" s="141" t="n">
        <v>0</v>
      </c>
      <c r="N536" s="141" t="n">
        <v>0</v>
      </c>
      <c r="O536" s="141" t="n">
        <v>3.88</v>
      </c>
    </row>
    <row r="537" customFormat="false" ht="15" hidden="false" customHeight="false" outlineLevel="0" collapsed="false">
      <c r="A537" s="138" t="s">
        <v>2142</v>
      </c>
      <c r="B537" s="138" t="s">
        <v>2143</v>
      </c>
      <c r="C537" s="138" t="n">
        <v>474</v>
      </c>
      <c r="D537" s="138" t="n">
        <v>475</v>
      </c>
      <c r="E537" s="141" t="n">
        <f aca="false">F537/Parâmetros!$C$22</f>
        <v>525.1</v>
      </c>
      <c r="F537" s="141" t="n">
        <v>105.02</v>
      </c>
      <c r="G537" s="141" t="n">
        <v>45.29</v>
      </c>
      <c r="H537" s="141" t="n">
        <v>0</v>
      </c>
      <c r="I537" s="141" t="n">
        <v>0</v>
      </c>
      <c r="J537" s="141" t="n">
        <v>0</v>
      </c>
      <c r="K537" s="141" t="n">
        <v>319.92</v>
      </c>
      <c r="L537" s="141" t="n">
        <v>177.54</v>
      </c>
      <c r="M537" s="141" t="n">
        <v>0</v>
      </c>
      <c r="N537" s="141" t="n">
        <v>0</v>
      </c>
      <c r="O537" s="141" t="n">
        <v>3.76</v>
      </c>
    </row>
    <row r="538" customFormat="false" ht="15" hidden="false" customHeight="false" outlineLevel="0" collapsed="false">
      <c r="A538" s="138" t="s">
        <v>2143</v>
      </c>
      <c r="B538" s="138" t="s">
        <v>2144</v>
      </c>
      <c r="C538" s="138" t="n">
        <v>475</v>
      </c>
      <c r="D538" s="138" t="n">
        <v>476</v>
      </c>
      <c r="E538" s="141" t="n">
        <f aca="false">F538/Parâmetros!$C$22</f>
        <v>489.5</v>
      </c>
      <c r="F538" s="141" t="n">
        <v>97.9</v>
      </c>
      <c r="G538" s="141" t="n">
        <v>31.4</v>
      </c>
      <c r="H538" s="141" t="n">
        <v>0</v>
      </c>
      <c r="I538" s="141" t="n">
        <v>0</v>
      </c>
      <c r="J538" s="141" t="n">
        <v>0</v>
      </c>
      <c r="K538" s="141" t="n">
        <v>505.75</v>
      </c>
      <c r="L538" s="141" t="n">
        <v>168.21</v>
      </c>
      <c r="M538" s="141" t="n">
        <v>0</v>
      </c>
      <c r="N538" s="141" t="n">
        <v>0</v>
      </c>
      <c r="O538" s="141" t="n">
        <v>2.82</v>
      </c>
    </row>
    <row r="539" customFormat="false" ht="15" hidden="false" customHeight="false" outlineLevel="0" collapsed="false">
      <c r="A539" s="138" t="s">
        <v>2144</v>
      </c>
      <c r="B539" s="138" t="s">
        <v>3826</v>
      </c>
      <c r="C539" s="138" t="n">
        <v>476</v>
      </c>
      <c r="D539" s="138" t="n">
        <v>476.0215</v>
      </c>
      <c r="E539" s="141" t="n">
        <f aca="false">F539/Parâmetros!$C$22</f>
        <v>10.15</v>
      </c>
      <c r="F539" s="141" t="n">
        <v>2.03</v>
      </c>
      <c r="G539" s="141" t="n">
        <v>0.15</v>
      </c>
      <c r="H539" s="141" t="n">
        <v>0</v>
      </c>
      <c r="I539" s="141" t="n">
        <v>0</v>
      </c>
      <c r="J539" s="141" t="n">
        <v>0</v>
      </c>
      <c r="K539" s="141" t="n">
        <v>14.22</v>
      </c>
      <c r="L539" s="141" t="n">
        <v>3.46</v>
      </c>
      <c r="M539" s="141" t="n">
        <v>0</v>
      </c>
      <c r="N539" s="141" t="n">
        <v>0</v>
      </c>
      <c r="O539" s="141" t="n">
        <v>0.04</v>
      </c>
    </row>
    <row r="540" customFormat="false" ht="15" hidden="false" customHeight="false" outlineLevel="0" collapsed="false">
      <c r="A540" s="138" t="s">
        <v>3826</v>
      </c>
      <c r="B540" s="138" t="s">
        <v>2146</v>
      </c>
      <c r="C540" s="138" t="n">
        <v>476.0215</v>
      </c>
      <c r="D540" s="138" t="n">
        <v>477</v>
      </c>
      <c r="E540" s="141" t="n">
        <f aca="false">F540/Parâmetros!$C$22</f>
        <v>366.7</v>
      </c>
      <c r="F540" s="141" t="n">
        <v>73.34</v>
      </c>
      <c r="G540" s="141" t="n">
        <v>3.3</v>
      </c>
      <c r="H540" s="141" t="n">
        <v>0</v>
      </c>
      <c r="I540" s="141" t="n">
        <v>0</v>
      </c>
      <c r="J540" s="141" t="n">
        <v>0</v>
      </c>
      <c r="K540" s="141" t="n">
        <v>568.57</v>
      </c>
      <c r="L540" s="141" t="n">
        <v>156.44</v>
      </c>
      <c r="M540" s="141" t="n">
        <v>0</v>
      </c>
      <c r="N540" s="141" t="n">
        <v>0</v>
      </c>
      <c r="O540" s="141" t="n">
        <v>1.97</v>
      </c>
    </row>
    <row r="541" customFormat="false" ht="15" hidden="false" customHeight="false" outlineLevel="0" collapsed="false">
      <c r="A541" s="138" t="s">
        <v>2146</v>
      </c>
      <c r="B541" s="138" t="s">
        <v>2147</v>
      </c>
      <c r="C541" s="138" t="n">
        <v>477</v>
      </c>
      <c r="D541" s="138" t="n">
        <v>478</v>
      </c>
      <c r="E541" s="141" t="n">
        <f aca="false">F541/Parâmetros!$C$22</f>
        <v>290.8</v>
      </c>
      <c r="F541" s="141" t="n">
        <v>58.16</v>
      </c>
      <c r="G541" s="141" t="n">
        <v>0</v>
      </c>
      <c r="H541" s="141" t="n">
        <v>0</v>
      </c>
      <c r="I541" s="141" t="n">
        <v>0</v>
      </c>
      <c r="J541" s="141" t="n">
        <v>0</v>
      </c>
      <c r="K541" s="141" t="n">
        <v>432.44</v>
      </c>
      <c r="L541" s="141" t="n">
        <v>168.22</v>
      </c>
      <c r="M541" s="141" t="n">
        <v>0</v>
      </c>
      <c r="N541" s="141" t="n">
        <v>0</v>
      </c>
      <c r="O541" s="141" t="n">
        <v>2.85</v>
      </c>
    </row>
    <row r="542" customFormat="false" ht="15" hidden="false" customHeight="false" outlineLevel="0" collapsed="false">
      <c r="A542" s="138" t="s">
        <v>2147</v>
      </c>
      <c r="B542" s="138" t="s">
        <v>2148</v>
      </c>
      <c r="C542" s="138" t="n">
        <v>478</v>
      </c>
      <c r="D542" s="138" t="n">
        <v>479</v>
      </c>
      <c r="E542" s="141" t="n">
        <f aca="false">F542/Parâmetros!$C$22</f>
        <v>303.95</v>
      </c>
      <c r="F542" s="141" t="n">
        <v>60.79</v>
      </c>
      <c r="G542" s="141" t="n">
        <v>0</v>
      </c>
      <c r="H542" s="141" t="n">
        <v>0</v>
      </c>
      <c r="I542" s="141" t="n">
        <v>0</v>
      </c>
      <c r="J542" s="141" t="n">
        <v>0</v>
      </c>
      <c r="K542" s="141" t="n">
        <v>303.69</v>
      </c>
      <c r="L542" s="141" t="n">
        <v>179.8</v>
      </c>
      <c r="M542" s="141" t="n">
        <v>0</v>
      </c>
      <c r="N542" s="141" t="n">
        <v>0</v>
      </c>
      <c r="O542" s="141" t="n">
        <v>3.7</v>
      </c>
    </row>
    <row r="543" customFormat="false" ht="15" hidden="false" customHeight="false" outlineLevel="0" collapsed="false">
      <c r="A543" s="138" t="s">
        <v>2148</v>
      </c>
      <c r="B543" s="138" t="s">
        <v>3827</v>
      </c>
      <c r="C543" s="138" t="n">
        <v>479</v>
      </c>
      <c r="D543" s="138" t="n">
        <v>479.5215</v>
      </c>
      <c r="E543" s="141" t="n">
        <f aca="false">F543/Parâmetros!$C$22</f>
        <v>152.7</v>
      </c>
      <c r="F543" s="141" t="n">
        <v>30.54</v>
      </c>
      <c r="G543" s="141" t="n">
        <v>0.24</v>
      </c>
      <c r="H543" s="141" t="n">
        <v>0</v>
      </c>
      <c r="I543" s="141" t="n">
        <v>0</v>
      </c>
      <c r="J543" s="141" t="n">
        <v>0</v>
      </c>
      <c r="K543" s="141" t="n">
        <v>88.63</v>
      </c>
      <c r="L543" s="141" t="n">
        <v>93.92</v>
      </c>
      <c r="M543" s="141" t="n">
        <v>0</v>
      </c>
      <c r="N543" s="141" t="n">
        <v>0</v>
      </c>
      <c r="O543" s="141" t="n">
        <v>1.93</v>
      </c>
    </row>
    <row r="544" customFormat="false" ht="15" hidden="false" customHeight="false" outlineLevel="0" collapsed="false">
      <c r="A544" s="138" t="s">
        <v>3827</v>
      </c>
      <c r="B544" s="138" t="s">
        <v>2149</v>
      </c>
      <c r="C544" s="138" t="n">
        <v>479.5215</v>
      </c>
      <c r="D544" s="138" t="n">
        <v>480</v>
      </c>
      <c r="E544" s="141" t="n">
        <f aca="false">F544/Parâmetros!$C$22</f>
        <v>132.25</v>
      </c>
      <c r="F544" s="141" t="n">
        <v>26.45</v>
      </c>
      <c r="G544" s="141" t="n">
        <v>8.98</v>
      </c>
      <c r="H544" s="141" t="n">
        <v>0</v>
      </c>
      <c r="I544" s="141" t="n">
        <v>0</v>
      </c>
      <c r="J544" s="141" t="n">
        <v>0</v>
      </c>
      <c r="K544" s="141" t="n">
        <v>29.07</v>
      </c>
      <c r="L544" s="141" t="n">
        <v>84.23</v>
      </c>
      <c r="M544" s="141" t="n">
        <v>0</v>
      </c>
      <c r="N544" s="141" t="n">
        <v>0</v>
      </c>
      <c r="O544" s="141" t="n">
        <v>1.78</v>
      </c>
    </row>
    <row r="545" customFormat="false" ht="15" hidden="false" customHeight="false" outlineLevel="0" collapsed="false">
      <c r="A545" s="138" t="s">
        <v>2149</v>
      </c>
      <c r="B545" s="138" t="s">
        <v>2150</v>
      </c>
      <c r="C545" s="138" t="n">
        <v>480</v>
      </c>
      <c r="D545" s="138" t="n">
        <v>481</v>
      </c>
      <c r="E545" s="141" t="n">
        <f aca="false">F545/Parâmetros!$C$22</f>
        <v>295.45</v>
      </c>
      <c r="F545" s="141" t="n">
        <v>59.09</v>
      </c>
      <c r="G545" s="141" t="n">
        <v>283.93</v>
      </c>
      <c r="H545" s="141" t="n">
        <v>0</v>
      </c>
      <c r="I545" s="141" t="n">
        <v>0</v>
      </c>
      <c r="J545" s="141" t="n">
        <v>0</v>
      </c>
      <c r="K545" s="141" t="n">
        <v>8.22</v>
      </c>
      <c r="L545" s="141" t="n">
        <v>165.44</v>
      </c>
      <c r="M545" s="141" t="n">
        <v>0</v>
      </c>
      <c r="N545" s="141" t="n">
        <v>0</v>
      </c>
      <c r="O545" s="141" t="n">
        <v>3.97</v>
      </c>
    </row>
    <row r="546" customFormat="false" ht="15" hidden="false" customHeight="false" outlineLevel="0" collapsed="false">
      <c r="A546" s="138" t="s">
        <v>2150</v>
      </c>
      <c r="B546" s="138" t="s">
        <v>3828</v>
      </c>
      <c r="C546" s="138" t="n">
        <v>481</v>
      </c>
      <c r="D546" s="138" t="n">
        <v>481.4415</v>
      </c>
      <c r="E546" s="141" t="n">
        <f aca="false">F546/Parâmetros!$C$22</f>
        <v>149.1</v>
      </c>
      <c r="F546" s="141" t="n">
        <v>29.82</v>
      </c>
      <c r="G546" s="141" t="n">
        <v>288.95</v>
      </c>
      <c r="H546" s="141" t="n">
        <v>0</v>
      </c>
      <c r="I546" s="141" t="n">
        <v>0</v>
      </c>
      <c r="J546" s="141" t="n">
        <v>0</v>
      </c>
      <c r="K546" s="141" t="n">
        <v>0</v>
      </c>
      <c r="L546" s="141" t="n">
        <v>70.4</v>
      </c>
      <c r="M546" s="141" t="n">
        <v>0</v>
      </c>
      <c r="N546" s="141" t="n">
        <v>0</v>
      </c>
      <c r="O546" s="141" t="n">
        <v>1.87</v>
      </c>
    </row>
    <row r="547" customFormat="false" ht="15" hidden="false" customHeight="false" outlineLevel="0" collapsed="false">
      <c r="A547" s="138" t="s">
        <v>3828</v>
      </c>
      <c r="B547" s="138" t="s">
        <v>2151</v>
      </c>
      <c r="C547" s="138" t="n">
        <v>481.4415</v>
      </c>
      <c r="D547" s="138" t="n">
        <v>482</v>
      </c>
      <c r="E547" s="141" t="n">
        <f aca="false">F547/Parâmetros!$C$22</f>
        <v>204.55</v>
      </c>
      <c r="F547" s="141" t="n">
        <v>40.91</v>
      </c>
      <c r="G547" s="141" t="n">
        <v>515.59</v>
      </c>
      <c r="H547" s="141" t="n">
        <v>0</v>
      </c>
      <c r="I547" s="141" t="n">
        <v>0</v>
      </c>
      <c r="J547" s="141" t="n">
        <v>0</v>
      </c>
      <c r="K547" s="141" t="n">
        <v>0</v>
      </c>
      <c r="L547" s="141" t="n">
        <v>89.07</v>
      </c>
      <c r="M547" s="141" t="n">
        <v>0</v>
      </c>
      <c r="N547" s="141" t="n">
        <v>0</v>
      </c>
      <c r="O547" s="141" t="n">
        <v>2.36</v>
      </c>
    </row>
    <row r="548" customFormat="false" ht="15" hidden="false" customHeight="false" outlineLevel="0" collapsed="false">
      <c r="A548" s="138" t="s">
        <v>2151</v>
      </c>
      <c r="B548" s="138" t="s">
        <v>2152</v>
      </c>
      <c r="C548" s="138" t="n">
        <v>482</v>
      </c>
      <c r="D548" s="138" t="n">
        <v>483</v>
      </c>
      <c r="E548" s="141" t="n">
        <f aca="false">F548/Parâmetros!$C$22</f>
        <v>391.2</v>
      </c>
      <c r="F548" s="141" t="n">
        <v>78.24</v>
      </c>
      <c r="G548" s="141" t="n">
        <v>1180.57</v>
      </c>
      <c r="H548" s="141" t="n">
        <v>0</v>
      </c>
      <c r="I548" s="141" t="n">
        <v>0</v>
      </c>
      <c r="J548" s="141" t="n">
        <v>0</v>
      </c>
      <c r="K548" s="141" t="n">
        <v>0</v>
      </c>
      <c r="L548" s="141" t="n">
        <v>159.46</v>
      </c>
      <c r="M548" s="141" t="n">
        <v>0</v>
      </c>
      <c r="N548" s="141" t="n">
        <v>0</v>
      </c>
      <c r="O548" s="141" t="n">
        <v>4.23</v>
      </c>
    </row>
    <row r="549" customFormat="false" ht="15" hidden="false" customHeight="false" outlineLevel="0" collapsed="false">
      <c r="A549" s="138" t="s">
        <v>2152</v>
      </c>
      <c r="B549" s="138" t="s">
        <v>3829</v>
      </c>
      <c r="C549" s="138" t="n">
        <v>483</v>
      </c>
      <c r="D549" s="138" t="n">
        <v>483.3615</v>
      </c>
      <c r="E549" s="141" t="n">
        <f aca="false">F549/Parâmetros!$C$22</f>
        <v>138.7</v>
      </c>
      <c r="F549" s="141" t="n">
        <v>27.74</v>
      </c>
      <c r="G549" s="141" t="n">
        <v>466.14</v>
      </c>
      <c r="H549" s="141" t="n">
        <v>0</v>
      </c>
      <c r="I549" s="141" t="n">
        <v>0</v>
      </c>
      <c r="J549" s="141" t="n">
        <v>0</v>
      </c>
      <c r="K549" s="141" t="n">
        <v>0</v>
      </c>
      <c r="L549" s="141" t="n">
        <v>57.68</v>
      </c>
      <c r="M549" s="141" t="n">
        <v>0</v>
      </c>
      <c r="N549" s="141" t="n">
        <v>0</v>
      </c>
      <c r="O549" s="141" t="n">
        <v>1.53</v>
      </c>
    </row>
    <row r="550" customFormat="false" ht="15" hidden="false" customHeight="false" outlineLevel="0" collapsed="false">
      <c r="A550" s="138" t="s">
        <v>3829</v>
      </c>
      <c r="B550" s="138" t="s">
        <v>2153</v>
      </c>
      <c r="C550" s="138" t="n">
        <v>483.3615</v>
      </c>
      <c r="D550" s="138" t="n">
        <v>484</v>
      </c>
      <c r="E550" s="141" t="n">
        <f aca="false">F550/Parâmetros!$C$22</f>
        <v>294.05</v>
      </c>
      <c r="F550" s="141" t="n">
        <v>58.81</v>
      </c>
      <c r="G550" s="141" t="n">
        <v>888.73</v>
      </c>
      <c r="H550" s="141" t="n">
        <v>0</v>
      </c>
      <c r="I550" s="141" t="n">
        <v>0</v>
      </c>
      <c r="J550" s="141" t="n">
        <v>0</v>
      </c>
      <c r="K550" s="141" t="n">
        <v>0</v>
      </c>
      <c r="L550" s="141" t="n">
        <v>98.55</v>
      </c>
      <c r="M550" s="141" t="n">
        <v>0</v>
      </c>
      <c r="N550" s="141" t="n">
        <v>0</v>
      </c>
      <c r="O550" s="141" t="n">
        <v>1.98</v>
      </c>
    </row>
    <row r="551" customFormat="false" ht="15" hidden="false" customHeight="false" outlineLevel="0" collapsed="false">
      <c r="A551" s="138" t="s">
        <v>2153</v>
      </c>
      <c r="B551" s="138" t="s">
        <v>2155</v>
      </c>
      <c r="C551" s="138" t="n">
        <v>484</v>
      </c>
      <c r="D551" s="138" t="n">
        <v>485</v>
      </c>
      <c r="E551" s="141" t="n">
        <f aca="false">F551/Parâmetros!$C$22</f>
        <v>441.45</v>
      </c>
      <c r="F551" s="141" t="n">
        <v>88.29</v>
      </c>
      <c r="G551" s="141" t="n">
        <v>1190.62</v>
      </c>
      <c r="H551" s="141" t="n">
        <v>0</v>
      </c>
      <c r="I551" s="141" t="n">
        <v>0</v>
      </c>
      <c r="J551" s="141" t="n">
        <v>0</v>
      </c>
      <c r="K551" s="141" t="n">
        <v>0</v>
      </c>
      <c r="L551" s="141" t="n">
        <v>153.22</v>
      </c>
      <c r="M551" s="141" t="n">
        <v>0</v>
      </c>
      <c r="N551" s="141" t="n">
        <v>0</v>
      </c>
      <c r="O551" s="141" t="n">
        <v>3.08</v>
      </c>
    </row>
    <row r="552" customFormat="false" ht="15" hidden="false" customHeight="false" outlineLevel="0" collapsed="false">
      <c r="A552" s="138" t="s">
        <v>2155</v>
      </c>
      <c r="B552" s="138" t="s">
        <v>2156</v>
      </c>
      <c r="C552" s="138" t="n">
        <v>485</v>
      </c>
      <c r="D552" s="138" t="n">
        <v>486</v>
      </c>
      <c r="E552" s="141" t="n">
        <f aca="false">F552/Parâmetros!$C$22</f>
        <v>309.15</v>
      </c>
      <c r="F552" s="141" t="n">
        <v>61.83</v>
      </c>
      <c r="G552" s="141" t="n">
        <v>704.46</v>
      </c>
      <c r="H552" s="141" t="n">
        <v>0</v>
      </c>
      <c r="I552" s="141" t="n">
        <v>0</v>
      </c>
      <c r="J552" s="141" t="n">
        <v>0</v>
      </c>
      <c r="K552" s="141" t="n">
        <v>0</v>
      </c>
      <c r="L552" s="141" t="n">
        <v>155.95</v>
      </c>
      <c r="M552" s="141" t="n">
        <v>0</v>
      </c>
      <c r="N552" s="141" t="n">
        <v>0</v>
      </c>
      <c r="O552" s="141" t="n">
        <v>4.22</v>
      </c>
    </row>
    <row r="553" customFormat="false" ht="15" hidden="false" customHeight="false" outlineLevel="0" collapsed="false">
      <c r="A553" s="138" t="s">
        <v>2156</v>
      </c>
      <c r="B553" s="138" t="s">
        <v>3830</v>
      </c>
      <c r="C553" s="138" t="n">
        <v>486</v>
      </c>
      <c r="D553" s="138" t="n">
        <v>486.8615</v>
      </c>
      <c r="E553" s="141" t="n">
        <f aca="false">F553/Parâmetros!$C$22</f>
        <v>268</v>
      </c>
      <c r="F553" s="141" t="n">
        <v>53.6</v>
      </c>
      <c r="G553" s="141" t="n">
        <v>332.42</v>
      </c>
      <c r="H553" s="141" t="n">
        <v>0</v>
      </c>
      <c r="I553" s="141" t="n">
        <v>0</v>
      </c>
      <c r="J553" s="141" t="n">
        <v>0</v>
      </c>
      <c r="K553" s="141" t="n">
        <v>12.71</v>
      </c>
      <c r="L553" s="141" t="n">
        <v>137.66</v>
      </c>
      <c r="M553" s="141" t="n">
        <v>0</v>
      </c>
      <c r="N553" s="141" t="n">
        <v>0</v>
      </c>
      <c r="O553" s="141" t="n">
        <v>3.54</v>
      </c>
    </row>
    <row r="554" customFormat="false" ht="15" hidden="false" customHeight="false" outlineLevel="0" collapsed="false">
      <c r="A554" s="138" t="s">
        <v>3830</v>
      </c>
      <c r="B554" s="138" t="s">
        <v>2157</v>
      </c>
      <c r="C554" s="138" t="n">
        <v>486.8615</v>
      </c>
      <c r="D554" s="138" t="n">
        <v>487</v>
      </c>
      <c r="E554" s="141" t="n">
        <f aca="false">F554/Parâmetros!$C$22</f>
        <v>46.35</v>
      </c>
      <c r="F554" s="141" t="n">
        <v>9.27</v>
      </c>
      <c r="G554" s="141" t="n">
        <v>30.31</v>
      </c>
      <c r="H554" s="141" t="n">
        <v>0</v>
      </c>
      <c r="I554" s="141" t="n">
        <v>0</v>
      </c>
      <c r="J554" s="141" t="n">
        <v>0</v>
      </c>
      <c r="K554" s="141" t="n">
        <v>7.8</v>
      </c>
      <c r="L554" s="141" t="n">
        <v>22.83</v>
      </c>
      <c r="M554" s="141" t="n">
        <v>0</v>
      </c>
      <c r="N554" s="141" t="n">
        <v>0</v>
      </c>
      <c r="O554" s="141" t="n">
        <v>0.55</v>
      </c>
    </row>
    <row r="555" customFormat="false" ht="15" hidden="false" customHeight="false" outlineLevel="0" collapsed="false">
      <c r="A555" s="138" t="s">
        <v>2157</v>
      </c>
      <c r="B555" s="138" t="s">
        <v>3831</v>
      </c>
      <c r="C555" s="138" t="n">
        <v>487</v>
      </c>
      <c r="D555" s="138" t="n">
        <v>487.199</v>
      </c>
      <c r="E555" s="141" t="n">
        <f aca="false">F555/Parâmetros!$C$22</f>
        <v>68.1</v>
      </c>
      <c r="F555" s="141" t="n">
        <v>13.62</v>
      </c>
      <c r="G555" s="141" t="n">
        <v>33.51</v>
      </c>
      <c r="H555" s="141" t="n">
        <v>0</v>
      </c>
      <c r="I555" s="141" t="n">
        <v>0</v>
      </c>
      <c r="J555" s="141" t="n">
        <v>0</v>
      </c>
      <c r="K555" s="141" t="n">
        <v>22.68</v>
      </c>
      <c r="L555" s="141" t="n">
        <v>33.01</v>
      </c>
      <c r="M555" s="141" t="n">
        <v>0</v>
      </c>
      <c r="N555" s="141" t="n">
        <v>0</v>
      </c>
      <c r="O555" s="141" t="n">
        <v>0.8</v>
      </c>
    </row>
    <row r="556" customFormat="false" ht="15" hidden="false" customHeight="false" outlineLevel="0" collapsed="false">
      <c r="A556" s="138" t="s">
        <v>3831</v>
      </c>
      <c r="B556" s="138" t="s">
        <v>2158</v>
      </c>
      <c r="C556" s="138" t="n">
        <v>487.199</v>
      </c>
      <c r="D556" s="138" t="n">
        <v>488</v>
      </c>
      <c r="E556" s="141" t="n">
        <f aca="false">F556/Parâmetros!$C$22</f>
        <v>318.55</v>
      </c>
      <c r="F556" s="141" t="n">
        <v>63.71</v>
      </c>
      <c r="G556" s="141" t="n">
        <v>67.1</v>
      </c>
      <c r="H556" s="141" t="n">
        <v>0</v>
      </c>
      <c r="I556" s="141" t="n">
        <v>0</v>
      </c>
      <c r="J556" s="141" t="n">
        <v>0</v>
      </c>
      <c r="K556" s="141" t="n">
        <v>250.36</v>
      </c>
      <c r="L556" s="141" t="n">
        <v>139.66</v>
      </c>
      <c r="M556" s="141" t="n">
        <v>0</v>
      </c>
      <c r="N556" s="141" t="n">
        <v>0</v>
      </c>
      <c r="O556" s="141" t="n">
        <v>3.45</v>
      </c>
    </row>
    <row r="557" customFormat="false" ht="15" hidden="false" customHeight="false" outlineLevel="0" collapsed="false">
      <c r="A557" s="138" t="s">
        <v>2158</v>
      </c>
      <c r="B557" s="138" t="s">
        <v>2159</v>
      </c>
      <c r="C557" s="138" t="n">
        <v>488</v>
      </c>
      <c r="D557" s="138" t="n">
        <v>489</v>
      </c>
      <c r="E557" s="141" t="n">
        <f aca="false">F557/Parâmetros!$C$22</f>
        <v>416.1</v>
      </c>
      <c r="F557" s="141" t="n">
        <v>83.22</v>
      </c>
      <c r="G557" s="141" t="n">
        <v>14.37</v>
      </c>
      <c r="H557" s="141" t="n">
        <v>0</v>
      </c>
      <c r="I557" s="141" t="n">
        <v>0</v>
      </c>
      <c r="J557" s="141" t="n">
        <v>0</v>
      </c>
      <c r="K557" s="141" t="n">
        <v>369.77</v>
      </c>
      <c r="L557" s="141" t="n">
        <v>197.62</v>
      </c>
      <c r="M557" s="141" t="n">
        <v>0</v>
      </c>
      <c r="N557" s="141" t="n">
        <v>0</v>
      </c>
      <c r="O557" s="141" t="n">
        <v>4.17</v>
      </c>
    </row>
    <row r="558" customFormat="false" ht="15" hidden="false" customHeight="false" outlineLevel="0" collapsed="false">
      <c r="A558" s="138" t="s">
        <v>2159</v>
      </c>
      <c r="B558" s="138" t="s">
        <v>2160</v>
      </c>
      <c r="C558" s="138" t="n">
        <v>489</v>
      </c>
      <c r="D558" s="138" t="n">
        <v>490</v>
      </c>
      <c r="E558" s="141" t="n">
        <f aca="false">F558/Parâmetros!$C$22</f>
        <v>376.35</v>
      </c>
      <c r="F558" s="141" t="n">
        <v>75.27</v>
      </c>
      <c r="G558" s="141" t="n">
        <v>0</v>
      </c>
      <c r="H558" s="141" t="n">
        <v>0</v>
      </c>
      <c r="I558" s="141" t="n">
        <v>0</v>
      </c>
      <c r="J558" s="141" t="n">
        <v>0</v>
      </c>
      <c r="K558" s="141" t="n">
        <v>253.52</v>
      </c>
      <c r="L558" s="141" t="n">
        <v>218.8</v>
      </c>
      <c r="M558" s="141" t="n">
        <v>0</v>
      </c>
      <c r="N558" s="141" t="n">
        <v>0</v>
      </c>
      <c r="O558" s="141" t="n">
        <v>4.21</v>
      </c>
    </row>
    <row r="559" customFormat="false" ht="15" hidden="false" customHeight="false" outlineLevel="0" collapsed="false">
      <c r="A559" s="138" t="s">
        <v>2160</v>
      </c>
      <c r="B559" s="138" t="s">
        <v>3832</v>
      </c>
      <c r="C559" s="138" t="n">
        <v>490</v>
      </c>
      <c r="D559" s="138" t="n">
        <v>490.199</v>
      </c>
      <c r="E559" s="141" t="n">
        <f aca="false">F559/Parâmetros!$C$22</f>
        <v>73.7</v>
      </c>
      <c r="F559" s="141" t="n">
        <v>14.74</v>
      </c>
      <c r="G559" s="141" t="n">
        <v>0</v>
      </c>
      <c r="H559" s="141" t="n">
        <v>0</v>
      </c>
      <c r="I559" s="141" t="n">
        <v>0</v>
      </c>
      <c r="J559" s="141" t="n">
        <v>0</v>
      </c>
      <c r="K559" s="141" t="n">
        <v>50.27</v>
      </c>
      <c r="L559" s="141" t="n">
        <v>44.6</v>
      </c>
      <c r="M559" s="141" t="n">
        <v>0</v>
      </c>
      <c r="N559" s="141" t="n">
        <v>0</v>
      </c>
      <c r="O559" s="141" t="n">
        <v>0.85</v>
      </c>
    </row>
    <row r="560" customFormat="false" ht="15" hidden="false" customHeight="false" outlineLevel="0" collapsed="false">
      <c r="A560" s="138" t="s">
        <v>3832</v>
      </c>
      <c r="B560" s="138" t="s">
        <v>3833</v>
      </c>
      <c r="C560" s="138" t="n">
        <v>490.199</v>
      </c>
      <c r="D560" s="138" t="n">
        <v>490.973</v>
      </c>
      <c r="E560" s="141" t="n">
        <f aca="false">F560/Parâmetros!$C$22</f>
        <v>304.7</v>
      </c>
      <c r="F560" s="141" t="n">
        <v>60.94</v>
      </c>
      <c r="G560" s="141" t="n">
        <v>0</v>
      </c>
      <c r="H560" s="141" t="n">
        <v>0</v>
      </c>
      <c r="I560" s="141" t="n">
        <v>0</v>
      </c>
      <c r="J560" s="141" t="n">
        <v>0</v>
      </c>
      <c r="K560" s="141" t="n">
        <v>274.31</v>
      </c>
      <c r="L560" s="141" t="n">
        <v>176.06</v>
      </c>
      <c r="M560" s="141" t="n">
        <v>0</v>
      </c>
      <c r="N560" s="141" t="n">
        <v>0</v>
      </c>
      <c r="O560" s="141" t="n">
        <v>2.96</v>
      </c>
    </row>
    <row r="561" customFormat="false" ht="15" hidden="false" customHeight="false" outlineLevel="0" collapsed="false">
      <c r="A561" s="138" t="s">
        <v>3833</v>
      </c>
      <c r="B561" s="138" t="s">
        <v>2161</v>
      </c>
      <c r="C561" s="138" t="n">
        <v>490.973</v>
      </c>
      <c r="D561" s="138" t="n">
        <v>491</v>
      </c>
      <c r="E561" s="141" t="n">
        <f aca="false">F561/Parâmetros!$C$22</f>
        <v>11.2</v>
      </c>
      <c r="F561" s="141" t="n">
        <v>2.24</v>
      </c>
      <c r="G561" s="141" t="n">
        <v>0</v>
      </c>
      <c r="H561" s="141" t="n">
        <v>0</v>
      </c>
      <c r="I561" s="141" t="n">
        <v>0</v>
      </c>
      <c r="J561" s="141" t="n">
        <v>0</v>
      </c>
      <c r="K561" s="141" t="n">
        <v>12.02</v>
      </c>
      <c r="L561" s="141" t="n">
        <v>6.11</v>
      </c>
      <c r="M561" s="141" t="n">
        <v>0</v>
      </c>
      <c r="N561" s="141" t="n">
        <v>0</v>
      </c>
      <c r="O561" s="141" t="n">
        <v>0.1</v>
      </c>
    </row>
    <row r="562" customFormat="false" ht="15" hidden="false" customHeight="false" outlineLevel="0" collapsed="false">
      <c r="A562" s="138" t="s">
        <v>2161</v>
      </c>
      <c r="B562" s="138" t="s">
        <v>3834</v>
      </c>
      <c r="C562" s="138" t="n">
        <v>491</v>
      </c>
      <c r="D562" s="138" t="n">
        <v>491.747</v>
      </c>
      <c r="E562" s="141" t="n">
        <f aca="false">F562/Parâmetros!$C$22</f>
        <v>314.25</v>
      </c>
      <c r="F562" s="141" t="n">
        <v>62.85</v>
      </c>
      <c r="G562" s="141" t="n">
        <v>0</v>
      </c>
      <c r="H562" s="141" t="n">
        <v>0</v>
      </c>
      <c r="I562" s="141" t="n">
        <v>0</v>
      </c>
      <c r="J562" s="141" t="n">
        <v>0</v>
      </c>
      <c r="K562" s="141" t="n">
        <v>327.68</v>
      </c>
      <c r="L562" s="141" t="n">
        <v>172.62</v>
      </c>
      <c r="M562" s="141" t="n">
        <v>0</v>
      </c>
      <c r="N562" s="141" t="n">
        <v>0</v>
      </c>
      <c r="O562" s="141" t="n">
        <v>2.84</v>
      </c>
    </row>
    <row r="563" customFormat="false" ht="15" hidden="false" customHeight="false" outlineLevel="0" collapsed="false">
      <c r="A563" s="138" t="s">
        <v>3834</v>
      </c>
      <c r="B563" s="138" t="s">
        <v>1585</v>
      </c>
      <c r="C563" s="138" t="n">
        <v>491.747</v>
      </c>
      <c r="D563" s="138" t="n">
        <v>492</v>
      </c>
      <c r="E563" s="141" t="n">
        <f aca="false">F563/Parâmetros!$C$22</f>
        <v>107.35</v>
      </c>
      <c r="F563" s="141" t="n">
        <v>21.47</v>
      </c>
      <c r="G563" s="141" t="n">
        <v>0</v>
      </c>
      <c r="H563" s="141" t="n">
        <v>0</v>
      </c>
      <c r="I563" s="141" t="n">
        <v>0</v>
      </c>
      <c r="J563" s="141" t="n">
        <v>0</v>
      </c>
      <c r="K563" s="141" t="n">
        <v>107.94</v>
      </c>
      <c r="L563" s="141" t="n">
        <v>59.08</v>
      </c>
      <c r="M563" s="141" t="n">
        <v>0</v>
      </c>
      <c r="N563" s="141" t="n">
        <v>0</v>
      </c>
      <c r="O563" s="141" t="n">
        <v>0.96</v>
      </c>
    </row>
    <row r="564" customFormat="false" ht="15" hidden="false" customHeight="false" outlineLevel="0" collapsed="false">
      <c r="A564" s="138" t="s">
        <v>1585</v>
      </c>
      <c r="B564" s="138" t="s">
        <v>2162</v>
      </c>
      <c r="C564" s="138" t="n">
        <v>492</v>
      </c>
      <c r="D564" s="138" t="n">
        <v>493</v>
      </c>
      <c r="E564" s="141" t="n">
        <f aca="false">F564/Parâmetros!$C$22</f>
        <v>450.45</v>
      </c>
      <c r="F564" s="141" t="n">
        <v>90.09</v>
      </c>
      <c r="G564" s="141" t="n">
        <v>0</v>
      </c>
      <c r="H564" s="141" t="n">
        <v>0</v>
      </c>
      <c r="I564" s="141" t="n">
        <v>0</v>
      </c>
      <c r="J564" s="141" t="n">
        <v>0</v>
      </c>
      <c r="K564" s="141" t="n">
        <v>532.27</v>
      </c>
      <c r="L564" s="141" t="n">
        <v>238.67</v>
      </c>
      <c r="M564" s="141" t="n">
        <v>0</v>
      </c>
      <c r="N564" s="141" t="n">
        <v>0</v>
      </c>
      <c r="O564" s="141" t="n">
        <v>3.64</v>
      </c>
    </row>
    <row r="565" customFormat="false" ht="15" hidden="false" customHeight="false" outlineLevel="0" collapsed="false">
      <c r="A565" s="138" t="s">
        <v>2162</v>
      </c>
      <c r="B565" s="138" t="s">
        <v>2163</v>
      </c>
      <c r="C565" s="138" t="n">
        <v>493</v>
      </c>
      <c r="D565" s="138" t="n">
        <v>494</v>
      </c>
      <c r="E565" s="141" t="n">
        <f aca="false">F565/Parâmetros!$C$22</f>
        <v>491.9</v>
      </c>
      <c r="F565" s="141" t="n">
        <v>98.38</v>
      </c>
      <c r="G565" s="141" t="n">
        <v>18.18</v>
      </c>
      <c r="H565" s="141" t="n">
        <v>0</v>
      </c>
      <c r="I565" s="141" t="n">
        <v>0</v>
      </c>
      <c r="J565" s="141" t="n">
        <v>0</v>
      </c>
      <c r="K565" s="141" t="n">
        <v>674.87</v>
      </c>
      <c r="L565" s="141" t="n">
        <v>240.56</v>
      </c>
      <c r="M565" s="141" t="n">
        <v>0</v>
      </c>
      <c r="N565" s="141" t="n">
        <v>0</v>
      </c>
      <c r="O565" s="141" t="n">
        <v>3.56</v>
      </c>
    </row>
    <row r="566" customFormat="false" ht="15" hidden="false" customHeight="false" outlineLevel="0" collapsed="false">
      <c r="A566" s="138" t="s">
        <v>2163</v>
      </c>
      <c r="B566" s="138" t="s">
        <v>3835</v>
      </c>
      <c r="C566" s="138" t="n">
        <v>494</v>
      </c>
      <c r="D566" s="138" t="n">
        <v>494.747</v>
      </c>
      <c r="E566" s="141" t="n">
        <f aca="false">F566/Parâmetros!$C$22</f>
        <v>414.7</v>
      </c>
      <c r="F566" s="141" t="n">
        <v>82.94</v>
      </c>
      <c r="G566" s="141" t="n">
        <v>58.62</v>
      </c>
      <c r="H566" s="141" t="n">
        <v>0</v>
      </c>
      <c r="I566" s="141" t="n">
        <v>0</v>
      </c>
      <c r="J566" s="141" t="n">
        <v>0</v>
      </c>
      <c r="K566" s="141" t="n">
        <v>448.47</v>
      </c>
      <c r="L566" s="141" t="n">
        <v>188.25</v>
      </c>
      <c r="M566" s="141" t="n">
        <v>0</v>
      </c>
      <c r="N566" s="141" t="n">
        <v>0</v>
      </c>
      <c r="O566" s="141" t="n">
        <v>2.88</v>
      </c>
    </row>
    <row r="567" customFormat="false" ht="15" hidden="false" customHeight="false" outlineLevel="0" collapsed="false">
      <c r="A567" s="138" t="s">
        <v>3835</v>
      </c>
      <c r="B567" s="138" t="s">
        <v>3836</v>
      </c>
      <c r="C567" s="138" t="n">
        <v>494.747</v>
      </c>
      <c r="D567" s="138" t="n">
        <v>494.763</v>
      </c>
      <c r="E567" s="141" t="n">
        <f aca="false">F567/Parâmetros!$C$22</f>
        <v>9.5</v>
      </c>
      <c r="F567" s="141" t="n">
        <v>1.9</v>
      </c>
      <c r="G567" s="141" t="n">
        <v>1.98</v>
      </c>
      <c r="H567" s="141" t="n">
        <v>0</v>
      </c>
      <c r="I567" s="141" t="n">
        <v>0</v>
      </c>
      <c r="J567" s="141" t="n">
        <v>0</v>
      </c>
      <c r="K567" s="141" t="n">
        <v>7.57</v>
      </c>
      <c r="L567" s="141" t="n">
        <v>4.21</v>
      </c>
      <c r="M567" s="141" t="n">
        <v>0</v>
      </c>
      <c r="N567" s="141" t="n">
        <v>0</v>
      </c>
      <c r="O567" s="141" t="n">
        <v>0.07</v>
      </c>
    </row>
    <row r="568" customFormat="false" ht="15" hidden="false" customHeight="false" outlineLevel="0" collapsed="false">
      <c r="A568" s="138" t="s">
        <v>3836</v>
      </c>
      <c r="B568" s="138" t="s">
        <v>2164</v>
      </c>
      <c r="C568" s="138" t="n">
        <v>494.763</v>
      </c>
      <c r="D568" s="138" t="n">
        <v>495</v>
      </c>
      <c r="E568" s="141" t="n">
        <f aca="false">F568/Parâmetros!$C$22</f>
        <v>139.6</v>
      </c>
      <c r="F568" s="141" t="n">
        <v>27.92</v>
      </c>
      <c r="G568" s="141" t="n">
        <v>58.96</v>
      </c>
      <c r="H568" s="141" t="n">
        <v>0</v>
      </c>
      <c r="I568" s="141" t="n">
        <v>0</v>
      </c>
      <c r="J568" s="141" t="n">
        <v>0</v>
      </c>
      <c r="K568" s="141" t="n">
        <v>104.24</v>
      </c>
      <c r="L568" s="141" t="n">
        <v>85.12</v>
      </c>
      <c r="M568" s="141" t="n">
        <v>0</v>
      </c>
      <c r="N568" s="141" t="n">
        <v>0</v>
      </c>
      <c r="O568" s="141" t="n">
        <v>1.2</v>
      </c>
    </row>
    <row r="569" customFormat="false" ht="15" hidden="false" customHeight="false" outlineLevel="0" collapsed="false">
      <c r="A569" s="138" t="s">
        <v>2164</v>
      </c>
      <c r="B569" s="138" t="s">
        <v>1589</v>
      </c>
      <c r="C569" s="138" t="n">
        <v>495</v>
      </c>
      <c r="D569" s="138" t="n">
        <v>496</v>
      </c>
      <c r="E569" s="141" t="n">
        <f aca="false">F569/Parâmetros!$C$22</f>
        <v>526.2</v>
      </c>
      <c r="F569" s="141" t="n">
        <v>105.24</v>
      </c>
      <c r="G569" s="141" t="n">
        <v>215.99</v>
      </c>
      <c r="H569" s="141" t="n">
        <v>0</v>
      </c>
      <c r="I569" s="141" t="n">
        <v>0</v>
      </c>
      <c r="J569" s="141" t="n">
        <v>0</v>
      </c>
      <c r="K569" s="141" t="n">
        <v>443.54</v>
      </c>
      <c r="L569" s="141" t="n">
        <v>336.54</v>
      </c>
      <c r="M569" s="141" t="n">
        <v>0</v>
      </c>
      <c r="N569" s="141" t="n">
        <v>0</v>
      </c>
      <c r="O569" s="141" t="n">
        <v>4.7</v>
      </c>
    </row>
    <row r="570" customFormat="false" ht="15" hidden="false" customHeight="false" outlineLevel="0" collapsed="false">
      <c r="A570" s="138" t="s">
        <v>1589</v>
      </c>
      <c r="B570" s="138" t="s">
        <v>2167</v>
      </c>
      <c r="C570" s="138" t="n">
        <v>496</v>
      </c>
      <c r="D570" s="138" t="n">
        <v>497</v>
      </c>
      <c r="E570" s="141" t="n">
        <f aca="false">F570/Parâmetros!$C$22</f>
        <v>473.75</v>
      </c>
      <c r="F570" s="141" t="n">
        <v>94.75</v>
      </c>
      <c r="G570" s="141" t="n">
        <v>44.63</v>
      </c>
      <c r="H570" s="141" t="n">
        <v>0</v>
      </c>
      <c r="I570" s="141" t="n">
        <v>0</v>
      </c>
      <c r="J570" s="141" t="n">
        <v>0</v>
      </c>
      <c r="K570" s="141" t="n">
        <v>520.96</v>
      </c>
      <c r="L570" s="141" t="n">
        <v>210.28</v>
      </c>
      <c r="M570" s="141" t="n">
        <v>0</v>
      </c>
      <c r="N570" s="141" t="n">
        <v>0</v>
      </c>
      <c r="O570" s="141" t="n">
        <v>3.46</v>
      </c>
    </row>
    <row r="571" customFormat="false" ht="15" hidden="false" customHeight="false" outlineLevel="0" collapsed="false">
      <c r="A571" s="138" t="s">
        <v>2167</v>
      </c>
      <c r="B571" s="138" t="s">
        <v>3837</v>
      </c>
      <c r="C571" s="138" t="n">
        <v>497</v>
      </c>
      <c r="D571" s="138" t="n">
        <v>497.763</v>
      </c>
      <c r="E571" s="141" t="n">
        <f aca="false">F571/Parâmetros!$C$22</f>
        <v>362.3</v>
      </c>
      <c r="F571" s="141" t="n">
        <v>72.46</v>
      </c>
      <c r="G571" s="141" t="n">
        <v>43.54</v>
      </c>
      <c r="H571" s="141" t="n">
        <v>0</v>
      </c>
      <c r="I571" s="141" t="n">
        <v>0</v>
      </c>
      <c r="J571" s="141" t="n">
        <v>0</v>
      </c>
      <c r="K571" s="141" t="n">
        <v>360.28</v>
      </c>
      <c r="L571" s="141" t="n">
        <v>154.72</v>
      </c>
      <c r="M571" s="141" t="n">
        <v>0</v>
      </c>
      <c r="N571" s="141" t="n">
        <v>0</v>
      </c>
      <c r="O571" s="141" t="n">
        <v>2.73</v>
      </c>
    </row>
    <row r="572" customFormat="false" ht="15" hidden="false" customHeight="false" outlineLevel="0" collapsed="false">
      <c r="A572" s="138" t="s">
        <v>3837</v>
      </c>
      <c r="B572" s="138" t="s">
        <v>2168</v>
      </c>
      <c r="C572" s="138" t="n">
        <v>497.763</v>
      </c>
      <c r="D572" s="138" t="n">
        <v>498</v>
      </c>
      <c r="E572" s="141" t="n">
        <f aca="false">F572/Parâmetros!$C$22</f>
        <v>113.85</v>
      </c>
      <c r="F572" s="141" t="n">
        <v>22.77</v>
      </c>
      <c r="G572" s="141" t="n">
        <v>24.51</v>
      </c>
      <c r="H572" s="141" t="n">
        <v>0</v>
      </c>
      <c r="I572" s="141" t="n">
        <v>0</v>
      </c>
      <c r="J572" s="141" t="n">
        <v>0</v>
      </c>
      <c r="K572" s="141" t="n">
        <v>85.56</v>
      </c>
      <c r="L572" s="141" t="n">
        <v>49.94</v>
      </c>
      <c r="M572" s="141" t="n">
        <v>0</v>
      </c>
      <c r="N572" s="141" t="n">
        <v>0</v>
      </c>
      <c r="O572" s="141" t="n">
        <v>0.9</v>
      </c>
    </row>
    <row r="573" customFormat="false" ht="15" hidden="false" customHeight="false" outlineLevel="0" collapsed="false">
      <c r="A573" s="138" t="s">
        <v>2168</v>
      </c>
      <c r="B573" s="138" t="s">
        <v>2169</v>
      </c>
      <c r="C573" s="138" t="n">
        <v>498</v>
      </c>
      <c r="D573" s="138" t="n">
        <v>499</v>
      </c>
      <c r="E573" s="141" t="n">
        <f aca="false">F573/Parâmetros!$C$22</f>
        <v>430.4</v>
      </c>
      <c r="F573" s="141" t="n">
        <v>86.08</v>
      </c>
      <c r="G573" s="141" t="n">
        <v>219.29</v>
      </c>
      <c r="H573" s="141" t="n">
        <v>0</v>
      </c>
      <c r="I573" s="141" t="n">
        <v>0</v>
      </c>
      <c r="J573" s="141" t="n">
        <v>0</v>
      </c>
      <c r="K573" s="141" t="n">
        <v>174.24</v>
      </c>
      <c r="L573" s="141" t="n">
        <v>220.16</v>
      </c>
      <c r="M573" s="141" t="n">
        <v>0</v>
      </c>
      <c r="N573" s="141" t="n">
        <v>0</v>
      </c>
      <c r="O573" s="141" t="n">
        <v>3.79</v>
      </c>
    </row>
    <row r="574" customFormat="false" ht="15" hidden="false" customHeight="false" outlineLevel="0" collapsed="false">
      <c r="A574" s="138" t="s">
        <v>2169</v>
      </c>
      <c r="B574" s="138" t="s">
        <v>2170</v>
      </c>
      <c r="C574" s="138" t="n">
        <v>499</v>
      </c>
      <c r="D574" s="138" t="n">
        <v>500</v>
      </c>
      <c r="E574" s="141" t="n">
        <f aca="false">F574/Parâmetros!$C$22</f>
        <v>414.4</v>
      </c>
      <c r="F574" s="141" t="n">
        <v>82.88</v>
      </c>
      <c r="G574" s="141" t="n">
        <v>526.57</v>
      </c>
      <c r="H574" s="141" t="n">
        <v>0</v>
      </c>
      <c r="I574" s="141" t="n">
        <v>0</v>
      </c>
      <c r="J574" s="141" t="n">
        <v>0</v>
      </c>
      <c r="K574" s="141" t="n">
        <v>3.7</v>
      </c>
      <c r="L574" s="141" t="n">
        <v>224.33</v>
      </c>
      <c r="M574" s="141" t="n">
        <v>0</v>
      </c>
      <c r="N574" s="141" t="n">
        <v>0</v>
      </c>
      <c r="O574" s="141" t="n">
        <v>2.92</v>
      </c>
    </row>
    <row r="575" customFormat="false" ht="15" hidden="false" customHeight="false" outlineLevel="0" collapsed="false">
      <c r="A575" s="138" t="s">
        <v>2170</v>
      </c>
      <c r="B575" s="138" t="s">
        <v>2171</v>
      </c>
      <c r="C575" s="138" t="n">
        <v>500</v>
      </c>
      <c r="D575" s="138" t="n">
        <v>501</v>
      </c>
      <c r="E575" s="141" t="n">
        <f aca="false">F575/Parâmetros!$C$22</f>
        <v>450.75</v>
      </c>
      <c r="F575" s="141" t="n">
        <v>90.15</v>
      </c>
      <c r="G575" s="141" t="n">
        <v>846.44</v>
      </c>
      <c r="H575" s="141" t="n">
        <v>0</v>
      </c>
      <c r="I575" s="141" t="n">
        <v>0</v>
      </c>
      <c r="J575" s="141" t="n">
        <v>0</v>
      </c>
      <c r="K575" s="141" t="n">
        <v>0</v>
      </c>
      <c r="L575" s="141" t="n">
        <v>217.76</v>
      </c>
      <c r="M575" s="141" t="n">
        <v>0</v>
      </c>
      <c r="N575" s="141" t="n">
        <v>0</v>
      </c>
      <c r="O575" s="141" t="n">
        <v>3.04</v>
      </c>
    </row>
    <row r="576" customFormat="false" ht="15" hidden="false" customHeight="false" outlineLevel="0" collapsed="false">
      <c r="A576" s="138" t="s">
        <v>2171</v>
      </c>
      <c r="B576" s="138" t="s">
        <v>2172</v>
      </c>
      <c r="C576" s="138" t="n">
        <v>501</v>
      </c>
      <c r="D576" s="138" t="n">
        <v>502</v>
      </c>
      <c r="E576" s="141" t="n">
        <f aca="false">F576/Parâmetros!$C$22</f>
        <v>435</v>
      </c>
      <c r="F576" s="141" t="n">
        <v>87</v>
      </c>
      <c r="G576" s="141" t="n">
        <v>1008.26</v>
      </c>
      <c r="H576" s="141" t="n">
        <v>0</v>
      </c>
      <c r="I576" s="141" t="n">
        <v>0</v>
      </c>
      <c r="J576" s="141" t="n">
        <v>0</v>
      </c>
      <c r="K576" s="141" t="n">
        <v>0</v>
      </c>
      <c r="L576" s="141" t="n">
        <v>204.74</v>
      </c>
      <c r="M576" s="141" t="n">
        <v>0</v>
      </c>
      <c r="N576" s="141" t="n">
        <v>0</v>
      </c>
      <c r="O576" s="141" t="n">
        <v>4.04</v>
      </c>
    </row>
    <row r="577" customFormat="false" ht="15" hidden="false" customHeight="false" outlineLevel="0" collapsed="false">
      <c r="A577" s="138" t="s">
        <v>2172</v>
      </c>
      <c r="B577" s="138" t="s">
        <v>2173</v>
      </c>
      <c r="C577" s="138" t="n">
        <v>502</v>
      </c>
      <c r="D577" s="138" t="n">
        <v>503</v>
      </c>
      <c r="E577" s="141" t="n">
        <f aca="false">F577/Parâmetros!$C$22</f>
        <v>426.05</v>
      </c>
      <c r="F577" s="141" t="n">
        <v>85.21</v>
      </c>
      <c r="G577" s="141" t="n">
        <v>1217.66</v>
      </c>
      <c r="H577" s="141" t="n">
        <v>0</v>
      </c>
      <c r="I577" s="141" t="n">
        <v>0</v>
      </c>
      <c r="J577" s="141" t="n">
        <v>0</v>
      </c>
      <c r="K577" s="141" t="n">
        <v>0</v>
      </c>
      <c r="L577" s="141" t="n">
        <v>190.39</v>
      </c>
      <c r="M577" s="141" t="n">
        <v>0</v>
      </c>
      <c r="N577" s="141" t="n">
        <v>0</v>
      </c>
      <c r="O577" s="141" t="n">
        <v>3.77</v>
      </c>
    </row>
    <row r="578" customFormat="false" ht="15" hidden="false" customHeight="false" outlineLevel="0" collapsed="false">
      <c r="A578" s="138" t="s">
        <v>2173</v>
      </c>
      <c r="B578" s="138" t="s">
        <v>2174</v>
      </c>
      <c r="C578" s="138" t="n">
        <v>503</v>
      </c>
      <c r="D578" s="138" t="n">
        <v>504</v>
      </c>
      <c r="E578" s="141" t="n">
        <f aca="false">F578/Parâmetros!$C$22</f>
        <v>465.2</v>
      </c>
      <c r="F578" s="141" t="n">
        <v>93.04</v>
      </c>
      <c r="G578" s="141" t="n">
        <v>1670.66</v>
      </c>
      <c r="H578" s="141" t="n">
        <v>0</v>
      </c>
      <c r="I578" s="141" t="n">
        <v>0</v>
      </c>
      <c r="J578" s="141" t="n">
        <v>0</v>
      </c>
      <c r="K578" s="141" t="n">
        <v>0</v>
      </c>
      <c r="L578" s="141" t="n">
        <v>185.13</v>
      </c>
      <c r="M578" s="141" t="n">
        <v>0</v>
      </c>
      <c r="N578" s="141" t="n">
        <v>0</v>
      </c>
      <c r="O578" s="141" t="n">
        <v>3.5</v>
      </c>
    </row>
    <row r="579" customFormat="false" ht="15" hidden="false" customHeight="false" outlineLevel="0" collapsed="false">
      <c r="A579" s="138" t="s">
        <v>2174</v>
      </c>
      <c r="B579" s="138" t="s">
        <v>2175</v>
      </c>
      <c r="C579" s="138" t="n">
        <v>504</v>
      </c>
      <c r="D579" s="138" t="n">
        <v>505</v>
      </c>
      <c r="E579" s="141" t="n">
        <f aca="false">F579/Parâmetros!$C$22</f>
        <v>513.65</v>
      </c>
      <c r="F579" s="141" t="n">
        <v>102.73</v>
      </c>
      <c r="G579" s="141" t="n">
        <v>2045.25</v>
      </c>
      <c r="H579" s="141" t="n">
        <v>0</v>
      </c>
      <c r="I579" s="141" t="n">
        <v>0</v>
      </c>
      <c r="J579" s="141" t="n">
        <v>0</v>
      </c>
      <c r="K579" s="141" t="n">
        <v>0</v>
      </c>
      <c r="L579" s="141" t="n">
        <v>185.13</v>
      </c>
      <c r="M579" s="141" t="n">
        <v>0</v>
      </c>
      <c r="N579" s="141" t="n">
        <v>0</v>
      </c>
      <c r="O579" s="141" t="n">
        <v>3.5</v>
      </c>
    </row>
    <row r="580" customFormat="false" ht="15" hidden="false" customHeight="false" outlineLevel="0" collapsed="false">
      <c r="A580" s="138" t="s">
        <v>2175</v>
      </c>
      <c r="B580" s="138" t="s">
        <v>3838</v>
      </c>
      <c r="C580" s="138" t="n">
        <v>505</v>
      </c>
      <c r="D580" s="138" t="n">
        <v>505.321</v>
      </c>
      <c r="E580" s="141" t="n">
        <f aca="false">F580/Parâmetros!$C$22</f>
        <v>169.75</v>
      </c>
      <c r="F580" s="141" t="n">
        <v>33.95</v>
      </c>
      <c r="G580" s="141" t="n">
        <v>687.36</v>
      </c>
      <c r="H580" s="141" t="n">
        <v>0</v>
      </c>
      <c r="I580" s="141" t="n">
        <v>0</v>
      </c>
      <c r="J580" s="141" t="n">
        <v>0</v>
      </c>
      <c r="K580" s="141" t="n">
        <v>0</v>
      </c>
      <c r="L580" s="141" t="n">
        <v>59.32</v>
      </c>
      <c r="M580" s="141" t="n">
        <v>0</v>
      </c>
      <c r="N580" s="141" t="n">
        <v>0</v>
      </c>
      <c r="O580" s="141" t="n">
        <v>1.13</v>
      </c>
    </row>
    <row r="581" customFormat="false" ht="15" hidden="false" customHeight="false" outlineLevel="0" collapsed="false">
      <c r="A581" s="138" t="s">
        <v>3838</v>
      </c>
      <c r="B581" s="138" t="s">
        <v>2176</v>
      </c>
      <c r="C581" s="138" t="n">
        <v>505.321</v>
      </c>
      <c r="D581" s="138" t="n">
        <v>506</v>
      </c>
      <c r="E581" s="141" t="n">
        <f aca="false">F581/Parâmetros!$C$22</f>
        <v>356.65</v>
      </c>
      <c r="F581" s="141" t="n">
        <v>71.33</v>
      </c>
      <c r="G581" s="141" t="n">
        <v>1439.47</v>
      </c>
      <c r="H581" s="141" t="n">
        <v>0</v>
      </c>
      <c r="I581" s="141" t="n">
        <v>0</v>
      </c>
      <c r="J581" s="141" t="n">
        <v>0</v>
      </c>
      <c r="K581" s="141" t="n">
        <v>0</v>
      </c>
      <c r="L581" s="141" t="n">
        <v>125.69</v>
      </c>
      <c r="M581" s="141" t="n">
        <v>0</v>
      </c>
      <c r="N581" s="141" t="n">
        <v>0</v>
      </c>
      <c r="O581" s="141" t="n">
        <v>2.37</v>
      </c>
    </row>
    <row r="582" customFormat="false" ht="15" hidden="false" customHeight="false" outlineLevel="0" collapsed="false">
      <c r="A582" s="138" t="s">
        <v>2176</v>
      </c>
      <c r="B582" s="138" t="s">
        <v>2177</v>
      </c>
      <c r="C582" s="138" t="n">
        <v>506</v>
      </c>
      <c r="D582" s="138" t="n">
        <v>507</v>
      </c>
      <c r="E582" s="141" t="n">
        <f aca="false">F582/Parâmetros!$C$22</f>
        <v>506.4</v>
      </c>
      <c r="F582" s="141" t="n">
        <v>101.28</v>
      </c>
      <c r="G582" s="141" t="n">
        <v>1830.95</v>
      </c>
      <c r="H582" s="141" t="n">
        <v>0</v>
      </c>
      <c r="I582" s="141" t="n">
        <v>0</v>
      </c>
      <c r="J582" s="141" t="n">
        <v>0</v>
      </c>
      <c r="K582" s="141" t="n">
        <v>0</v>
      </c>
      <c r="L582" s="141" t="n">
        <v>185.13</v>
      </c>
      <c r="M582" s="141" t="n">
        <v>0</v>
      </c>
      <c r="N582" s="141" t="n">
        <v>0</v>
      </c>
      <c r="O582" s="141" t="n">
        <v>3.5</v>
      </c>
    </row>
    <row r="583" customFormat="false" ht="15" hidden="false" customHeight="false" outlineLevel="0" collapsed="false">
      <c r="A583" s="138" t="s">
        <v>2177</v>
      </c>
      <c r="B583" s="138" t="s">
        <v>2178</v>
      </c>
      <c r="C583" s="138" t="n">
        <v>507</v>
      </c>
      <c r="D583" s="138" t="n">
        <v>508</v>
      </c>
      <c r="E583" s="141" t="n">
        <f aca="false">F583/Parâmetros!$C$22</f>
        <v>476</v>
      </c>
      <c r="F583" s="141" t="n">
        <v>95.2</v>
      </c>
      <c r="G583" s="141" t="n">
        <v>1440.48</v>
      </c>
      <c r="H583" s="141" t="n">
        <v>0</v>
      </c>
      <c r="I583" s="141" t="n">
        <v>0</v>
      </c>
      <c r="J583" s="141" t="n">
        <v>0</v>
      </c>
      <c r="K583" s="141" t="n">
        <v>0</v>
      </c>
      <c r="L583" s="141" t="n">
        <v>185.13</v>
      </c>
      <c r="M583" s="141" t="n">
        <v>0</v>
      </c>
      <c r="N583" s="141" t="n">
        <v>0</v>
      </c>
      <c r="O583" s="141" t="n">
        <v>3.5</v>
      </c>
    </row>
    <row r="584" customFormat="false" ht="15" hidden="false" customHeight="false" outlineLevel="0" collapsed="false">
      <c r="A584" s="138" t="s">
        <v>2178</v>
      </c>
      <c r="B584" s="138" t="s">
        <v>2179</v>
      </c>
      <c r="C584" s="138" t="n">
        <v>508</v>
      </c>
      <c r="D584" s="138" t="n">
        <v>509</v>
      </c>
      <c r="E584" s="141" t="n">
        <f aca="false">F584/Parâmetros!$C$22</f>
        <v>526.3</v>
      </c>
      <c r="F584" s="141" t="n">
        <v>105.26</v>
      </c>
      <c r="G584" s="141" t="n">
        <v>1189.24</v>
      </c>
      <c r="H584" s="141" t="n">
        <v>0</v>
      </c>
      <c r="I584" s="141" t="n">
        <v>0</v>
      </c>
      <c r="J584" s="141" t="n">
        <v>0</v>
      </c>
      <c r="K584" s="141" t="n">
        <v>0</v>
      </c>
      <c r="L584" s="141" t="n">
        <v>202.06</v>
      </c>
      <c r="M584" s="141" t="n">
        <v>0</v>
      </c>
      <c r="N584" s="141" t="n">
        <v>0</v>
      </c>
      <c r="O584" s="141" t="n">
        <v>5.49</v>
      </c>
    </row>
    <row r="585" customFormat="false" ht="15" hidden="false" customHeight="false" outlineLevel="0" collapsed="false">
      <c r="A585" s="138" t="s">
        <v>2179</v>
      </c>
      <c r="B585" s="138" t="s">
        <v>2180</v>
      </c>
      <c r="C585" s="138" t="n">
        <v>509</v>
      </c>
      <c r="D585" s="138" t="n">
        <v>510</v>
      </c>
      <c r="E585" s="141" t="n">
        <f aca="false">F585/Parâmetros!$C$22</f>
        <v>371.35</v>
      </c>
      <c r="F585" s="141" t="n">
        <v>74.27</v>
      </c>
      <c r="G585" s="141" t="n">
        <v>835.71</v>
      </c>
      <c r="H585" s="141" t="n">
        <v>0</v>
      </c>
      <c r="I585" s="141" t="n">
        <v>0</v>
      </c>
      <c r="J585" s="141" t="n">
        <v>0</v>
      </c>
      <c r="K585" s="141" t="n">
        <v>0</v>
      </c>
      <c r="L585" s="141" t="n">
        <v>211.65</v>
      </c>
      <c r="M585" s="141" t="n">
        <v>0</v>
      </c>
      <c r="N585" s="141" t="n">
        <v>0</v>
      </c>
      <c r="O585" s="141" t="n">
        <v>5.94</v>
      </c>
    </row>
    <row r="586" customFormat="false" ht="15" hidden="false" customHeight="false" outlineLevel="0" collapsed="false">
      <c r="A586" s="138" t="s">
        <v>2180</v>
      </c>
      <c r="B586" s="138" t="s">
        <v>2182</v>
      </c>
      <c r="C586" s="138" t="n">
        <v>510</v>
      </c>
      <c r="D586" s="138" t="n">
        <v>511</v>
      </c>
      <c r="E586" s="141" t="n">
        <f aca="false">F586/Parâmetros!$C$22</f>
        <v>250.9</v>
      </c>
      <c r="F586" s="141" t="n">
        <v>50.18</v>
      </c>
      <c r="G586" s="141" t="n">
        <v>419.93</v>
      </c>
      <c r="H586" s="141" t="n">
        <v>0</v>
      </c>
      <c r="I586" s="141" t="n">
        <v>0</v>
      </c>
      <c r="J586" s="141" t="n">
        <v>0</v>
      </c>
      <c r="K586" s="141" t="n">
        <v>2.85</v>
      </c>
      <c r="L586" s="141" t="n">
        <v>194.72</v>
      </c>
      <c r="M586" s="141" t="n">
        <v>0</v>
      </c>
      <c r="N586" s="141" t="n">
        <v>0</v>
      </c>
      <c r="O586" s="141" t="n">
        <v>3.94</v>
      </c>
    </row>
    <row r="587" customFormat="false" ht="15" hidden="false" customHeight="false" outlineLevel="0" collapsed="false">
      <c r="A587" s="138" t="s">
        <v>2182</v>
      </c>
      <c r="B587" s="138" t="s">
        <v>2183</v>
      </c>
      <c r="C587" s="138" t="n">
        <v>511</v>
      </c>
      <c r="D587" s="138" t="n">
        <v>512</v>
      </c>
      <c r="E587" s="141" t="n">
        <f aca="false">F587/Parâmetros!$C$22</f>
        <v>342.8</v>
      </c>
      <c r="F587" s="141" t="n">
        <v>68.56</v>
      </c>
      <c r="G587" s="141" t="n">
        <v>228.29</v>
      </c>
      <c r="H587" s="141" t="n">
        <v>0</v>
      </c>
      <c r="I587" s="141" t="n">
        <v>0</v>
      </c>
      <c r="J587" s="141" t="n">
        <v>0</v>
      </c>
      <c r="K587" s="141" t="n">
        <v>5.05</v>
      </c>
      <c r="L587" s="141" t="n">
        <v>185.13</v>
      </c>
      <c r="M587" s="141" t="n">
        <v>0</v>
      </c>
      <c r="N587" s="141" t="n">
        <v>0</v>
      </c>
      <c r="O587" s="141" t="n">
        <v>3.5</v>
      </c>
    </row>
    <row r="588" customFormat="false" ht="15" hidden="false" customHeight="false" outlineLevel="0" collapsed="false">
      <c r="A588" s="138" t="s">
        <v>2183</v>
      </c>
      <c r="B588" s="138" t="s">
        <v>3839</v>
      </c>
      <c r="C588" s="138" t="n">
        <v>512</v>
      </c>
      <c r="D588" s="138" t="n">
        <v>512.8795</v>
      </c>
      <c r="E588" s="141" t="n">
        <f aca="false">F588/Parâmetros!$C$22</f>
        <v>299.45</v>
      </c>
      <c r="F588" s="141" t="n">
        <v>59.89</v>
      </c>
      <c r="G588" s="141" t="n">
        <v>152.76</v>
      </c>
      <c r="H588" s="141" t="n">
        <v>0</v>
      </c>
      <c r="I588" s="141" t="n">
        <v>0</v>
      </c>
      <c r="J588" s="141" t="n">
        <v>0</v>
      </c>
      <c r="K588" s="141" t="n">
        <v>8.57</v>
      </c>
      <c r="L588" s="141" t="n">
        <v>167.06</v>
      </c>
      <c r="M588" s="141" t="n">
        <v>0</v>
      </c>
      <c r="N588" s="141" t="n">
        <v>0</v>
      </c>
      <c r="O588" s="141" t="n">
        <v>3.02</v>
      </c>
    </row>
    <row r="589" customFormat="false" ht="15" hidden="false" customHeight="false" outlineLevel="0" collapsed="false">
      <c r="A589" s="138" t="s">
        <v>3839</v>
      </c>
      <c r="B589" s="138" t="s">
        <v>2184</v>
      </c>
      <c r="C589" s="138" t="n">
        <v>512.8795</v>
      </c>
      <c r="D589" s="138" t="n">
        <v>513</v>
      </c>
      <c r="E589" s="141" t="n">
        <f aca="false">F589/Parâmetros!$C$22</f>
        <v>42.2</v>
      </c>
      <c r="F589" s="141" t="n">
        <v>8.44</v>
      </c>
      <c r="G589" s="141" t="n">
        <v>17.7</v>
      </c>
      <c r="H589" s="141" t="n">
        <v>0</v>
      </c>
      <c r="I589" s="141" t="n">
        <v>0</v>
      </c>
      <c r="J589" s="141" t="n">
        <v>0</v>
      </c>
      <c r="K589" s="141" t="n">
        <v>2.03</v>
      </c>
      <c r="L589" s="141" t="n">
        <v>23.45</v>
      </c>
      <c r="M589" s="141" t="n">
        <v>0</v>
      </c>
      <c r="N589" s="141" t="n">
        <v>0</v>
      </c>
      <c r="O589" s="141" t="n">
        <v>0.41</v>
      </c>
    </row>
    <row r="590" customFormat="false" ht="15" hidden="false" customHeight="false" outlineLevel="0" collapsed="false">
      <c r="A590" s="138" t="s">
        <v>2184</v>
      </c>
      <c r="B590" s="138" t="s">
        <v>2185</v>
      </c>
      <c r="C590" s="138" t="n">
        <v>513</v>
      </c>
      <c r="D590" s="138" t="n">
        <v>514</v>
      </c>
      <c r="E590" s="141" t="n">
        <f aca="false">F590/Parâmetros!$C$22</f>
        <v>356.2</v>
      </c>
      <c r="F590" s="141" t="n">
        <v>71.24</v>
      </c>
      <c r="G590" s="141" t="n">
        <v>153.41</v>
      </c>
      <c r="H590" s="141" t="n">
        <v>0</v>
      </c>
      <c r="I590" s="141" t="n">
        <v>0</v>
      </c>
      <c r="J590" s="141" t="n">
        <v>0</v>
      </c>
      <c r="K590" s="141" t="n">
        <v>28.26</v>
      </c>
      <c r="L590" s="141" t="n">
        <v>191.17</v>
      </c>
      <c r="M590" s="141" t="n">
        <v>0</v>
      </c>
      <c r="N590" s="141" t="n">
        <v>0</v>
      </c>
      <c r="O590" s="141" t="n">
        <v>3.45</v>
      </c>
    </row>
    <row r="591" customFormat="false" ht="15" hidden="false" customHeight="false" outlineLevel="0" collapsed="false">
      <c r="A591" s="138" t="s">
        <v>2185</v>
      </c>
      <c r="B591" s="138" t="s">
        <v>2186</v>
      </c>
      <c r="C591" s="138" t="n">
        <v>514</v>
      </c>
      <c r="D591" s="138" t="n">
        <v>515</v>
      </c>
      <c r="E591" s="141" t="n">
        <f aca="false">F591/Parâmetros!$C$22</f>
        <v>336.25</v>
      </c>
      <c r="F591" s="141" t="n">
        <v>67.25</v>
      </c>
      <c r="G591" s="141" t="n">
        <v>199.69</v>
      </c>
      <c r="H591" s="141" t="n">
        <v>0</v>
      </c>
      <c r="I591" s="141" t="n">
        <v>0</v>
      </c>
      <c r="J591" s="141" t="n">
        <v>0</v>
      </c>
      <c r="K591" s="141" t="n">
        <v>21.74</v>
      </c>
      <c r="L591" s="141" t="n">
        <v>176.89</v>
      </c>
      <c r="M591" s="141" t="n">
        <v>0</v>
      </c>
      <c r="N591" s="141" t="n">
        <v>0</v>
      </c>
      <c r="O591" s="141" t="n">
        <v>3.57</v>
      </c>
    </row>
    <row r="592" customFormat="false" ht="15" hidden="false" customHeight="false" outlineLevel="0" collapsed="false">
      <c r="A592" s="138" t="s">
        <v>2186</v>
      </c>
      <c r="B592" s="138" t="s">
        <v>3840</v>
      </c>
      <c r="C592" s="138" t="n">
        <v>515</v>
      </c>
      <c r="D592" s="138" t="n">
        <v>515.8795</v>
      </c>
      <c r="E592" s="141" t="n">
        <f aca="false">F592/Parâmetros!$C$22</f>
        <v>261.95</v>
      </c>
      <c r="F592" s="141" t="n">
        <v>52.39</v>
      </c>
      <c r="G592" s="141" t="n">
        <v>189.28</v>
      </c>
      <c r="H592" s="141" t="n">
        <v>0</v>
      </c>
      <c r="I592" s="141" t="n">
        <v>0</v>
      </c>
      <c r="J592" s="141" t="n">
        <v>0</v>
      </c>
      <c r="K592" s="141" t="n">
        <v>4.69</v>
      </c>
      <c r="L592" s="141" t="n">
        <v>142.05</v>
      </c>
      <c r="M592" s="141" t="n">
        <v>0</v>
      </c>
      <c r="N592" s="141" t="n">
        <v>0</v>
      </c>
      <c r="O592" s="141" t="n">
        <v>3.24</v>
      </c>
    </row>
    <row r="593" customFormat="false" ht="15" hidden="false" customHeight="false" outlineLevel="0" collapsed="false">
      <c r="A593" s="138" t="s">
        <v>3840</v>
      </c>
      <c r="B593" s="138" t="s">
        <v>2187</v>
      </c>
      <c r="C593" s="138" t="n">
        <v>515.8795</v>
      </c>
      <c r="D593" s="138" t="n">
        <v>516</v>
      </c>
      <c r="E593" s="141" t="n">
        <f aca="false">F593/Parâmetros!$C$22</f>
        <v>34.25</v>
      </c>
      <c r="F593" s="141" t="n">
        <v>6.85</v>
      </c>
      <c r="G593" s="141" t="n">
        <v>23.77</v>
      </c>
      <c r="H593" s="141" t="n">
        <v>0</v>
      </c>
      <c r="I593" s="141" t="n">
        <v>0</v>
      </c>
      <c r="J593" s="141" t="n">
        <v>0</v>
      </c>
      <c r="K593" s="141" t="n">
        <v>0.47</v>
      </c>
      <c r="L593" s="141" t="n">
        <v>18.93</v>
      </c>
      <c r="M593" s="141" t="n">
        <v>0</v>
      </c>
      <c r="N593" s="141" t="n">
        <v>0</v>
      </c>
      <c r="O593" s="141" t="n">
        <v>0.45</v>
      </c>
    </row>
    <row r="594" customFormat="false" ht="15" hidden="false" customHeight="false" outlineLevel="0" collapsed="false">
      <c r="A594" s="138" t="s">
        <v>2187</v>
      </c>
      <c r="B594" s="138" t="s">
        <v>2188</v>
      </c>
      <c r="C594" s="138" t="n">
        <v>516</v>
      </c>
      <c r="D594" s="138" t="n">
        <v>517</v>
      </c>
      <c r="E594" s="141" t="n">
        <f aca="false">F594/Parâmetros!$C$22</f>
        <v>275.35</v>
      </c>
      <c r="F594" s="141" t="n">
        <v>55.07</v>
      </c>
      <c r="G594" s="141" t="n">
        <v>228.72</v>
      </c>
      <c r="H594" s="141" t="n">
        <v>0</v>
      </c>
      <c r="I594" s="141" t="n">
        <v>0</v>
      </c>
      <c r="J594" s="141" t="n">
        <v>0</v>
      </c>
      <c r="K594" s="141" t="n">
        <v>3.3</v>
      </c>
      <c r="L594" s="141" t="n">
        <v>155.71</v>
      </c>
      <c r="M594" s="141" t="n">
        <v>0</v>
      </c>
      <c r="N594" s="141" t="n">
        <v>0</v>
      </c>
      <c r="O594" s="141" t="n">
        <v>3.99</v>
      </c>
    </row>
    <row r="595" customFormat="false" ht="15" hidden="false" customHeight="false" outlineLevel="0" collapsed="false">
      <c r="A595" s="138" t="s">
        <v>2188</v>
      </c>
      <c r="B595" s="138" t="s">
        <v>2189</v>
      </c>
      <c r="C595" s="138" t="n">
        <v>517</v>
      </c>
      <c r="D595" s="138" t="n">
        <v>518</v>
      </c>
      <c r="E595" s="141" t="n">
        <f aca="false">F595/Parâmetros!$C$22</f>
        <v>284.2</v>
      </c>
      <c r="F595" s="141" t="n">
        <v>56.84</v>
      </c>
      <c r="G595" s="141" t="n">
        <v>317.54</v>
      </c>
      <c r="H595" s="141" t="n">
        <v>0</v>
      </c>
      <c r="I595" s="141" t="n">
        <v>0</v>
      </c>
      <c r="J595" s="141" t="n">
        <v>0</v>
      </c>
      <c r="K595" s="141" t="n">
        <v>1.71</v>
      </c>
      <c r="L595" s="141" t="n">
        <v>154.67</v>
      </c>
      <c r="M595" s="141" t="n">
        <v>0</v>
      </c>
      <c r="N595" s="141" t="n">
        <v>0</v>
      </c>
      <c r="O595" s="141" t="n">
        <v>4.25</v>
      </c>
    </row>
    <row r="596" customFormat="false" ht="15" hidden="false" customHeight="false" outlineLevel="0" collapsed="false">
      <c r="A596" s="138" t="s">
        <v>2189</v>
      </c>
      <c r="B596" s="138" t="s">
        <v>2190</v>
      </c>
      <c r="C596" s="138" t="n">
        <v>518</v>
      </c>
      <c r="D596" s="138" t="n">
        <v>519</v>
      </c>
      <c r="E596" s="141" t="n">
        <f aca="false">F596/Parâmetros!$C$22</f>
        <v>310.2</v>
      </c>
      <c r="F596" s="141" t="n">
        <v>62.04</v>
      </c>
      <c r="G596" s="141" t="n">
        <v>421.9</v>
      </c>
      <c r="H596" s="141" t="n">
        <v>0</v>
      </c>
      <c r="I596" s="141" t="n">
        <v>0</v>
      </c>
      <c r="J596" s="141" t="n">
        <v>0</v>
      </c>
      <c r="K596" s="141" t="n">
        <v>0</v>
      </c>
      <c r="L596" s="141" t="n">
        <v>154.69</v>
      </c>
      <c r="M596" s="141" t="n">
        <v>0</v>
      </c>
      <c r="N596" s="141" t="n">
        <v>0</v>
      </c>
      <c r="O596" s="141" t="n">
        <v>4.35</v>
      </c>
    </row>
    <row r="597" customFormat="false" ht="15" hidden="false" customHeight="false" outlineLevel="0" collapsed="false">
      <c r="A597" s="138" t="s">
        <v>2190</v>
      </c>
      <c r="B597" s="138" t="s">
        <v>2191</v>
      </c>
      <c r="C597" s="138" t="n">
        <v>519</v>
      </c>
      <c r="D597" s="138" t="n">
        <v>520</v>
      </c>
      <c r="E597" s="141" t="n">
        <f aca="false">F597/Parâmetros!$C$22</f>
        <v>331.85</v>
      </c>
      <c r="F597" s="141" t="n">
        <v>66.37</v>
      </c>
      <c r="G597" s="141" t="n">
        <v>541.53</v>
      </c>
      <c r="H597" s="141" t="n">
        <v>0</v>
      </c>
      <c r="I597" s="141" t="n">
        <v>0</v>
      </c>
      <c r="J597" s="141" t="n">
        <v>0</v>
      </c>
      <c r="K597" s="141" t="n">
        <v>0</v>
      </c>
      <c r="L597" s="141" t="n">
        <v>154.75</v>
      </c>
      <c r="M597" s="141" t="n">
        <v>0</v>
      </c>
      <c r="N597" s="141" t="n">
        <v>0</v>
      </c>
      <c r="O597" s="141" t="n">
        <v>4.49</v>
      </c>
    </row>
    <row r="598" customFormat="false" ht="15" hidden="false" customHeight="false" outlineLevel="0" collapsed="false">
      <c r="A598" s="138" t="s">
        <v>2191</v>
      </c>
      <c r="B598" s="138" t="s">
        <v>2192</v>
      </c>
      <c r="C598" s="138" t="n">
        <v>520</v>
      </c>
      <c r="D598" s="138" t="n">
        <v>521</v>
      </c>
      <c r="E598" s="141" t="n">
        <f aca="false">F598/Parâmetros!$C$22</f>
        <v>392.75</v>
      </c>
      <c r="F598" s="141" t="n">
        <v>78.55</v>
      </c>
      <c r="G598" s="141" t="n">
        <v>833.82</v>
      </c>
      <c r="H598" s="141" t="n">
        <v>0</v>
      </c>
      <c r="I598" s="141" t="n">
        <v>0</v>
      </c>
      <c r="J598" s="141" t="n">
        <v>0</v>
      </c>
      <c r="K598" s="141" t="n">
        <v>0</v>
      </c>
      <c r="L598" s="141" t="n">
        <v>158.03</v>
      </c>
      <c r="M598" s="141" t="n">
        <v>0</v>
      </c>
      <c r="N598" s="141" t="n">
        <v>0</v>
      </c>
      <c r="O598" s="141" t="n">
        <v>4.58</v>
      </c>
    </row>
    <row r="599" customFormat="false" ht="15" hidden="false" customHeight="false" outlineLevel="0" collapsed="false">
      <c r="A599" s="138" t="s">
        <v>2192</v>
      </c>
      <c r="B599" s="138" t="s">
        <v>2193</v>
      </c>
      <c r="C599" s="138" t="n">
        <v>521</v>
      </c>
      <c r="D599" s="138" t="n">
        <v>522</v>
      </c>
      <c r="E599" s="141" t="n">
        <f aca="false">F599/Parâmetros!$C$22</f>
        <v>428.2</v>
      </c>
      <c r="F599" s="141" t="n">
        <v>85.64</v>
      </c>
      <c r="G599" s="141" t="n">
        <v>1000.48</v>
      </c>
      <c r="H599" s="141" t="n">
        <v>0</v>
      </c>
      <c r="I599" s="141" t="n">
        <v>0</v>
      </c>
      <c r="J599" s="141" t="n">
        <v>0</v>
      </c>
      <c r="K599" s="141" t="n">
        <v>0</v>
      </c>
      <c r="L599" s="141" t="n">
        <v>170.81</v>
      </c>
      <c r="M599" s="141" t="n">
        <v>0</v>
      </c>
      <c r="N599" s="141" t="n">
        <v>0</v>
      </c>
      <c r="O599" s="141" t="n">
        <v>4.59</v>
      </c>
    </row>
    <row r="600" customFormat="false" ht="15" hidden="false" customHeight="false" outlineLevel="0" collapsed="false">
      <c r="A600" s="138" t="s">
        <v>2193</v>
      </c>
      <c r="B600" s="138" t="s">
        <v>2194</v>
      </c>
      <c r="C600" s="138" t="n">
        <v>522</v>
      </c>
      <c r="D600" s="138" t="n">
        <v>523</v>
      </c>
      <c r="E600" s="141" t="n">
        <f aca="false">F600/Parâmetros!$C$22</f>
        <v>408.85</v>
      </c>
      <c r="F600" s="141" t="n">
        <v>81.77</v>
      </c>
      <c r="G600" s="141" t="n">
        <v>845.28</v>
      </c>
      <c r="H600" s="141" t="n">
        <v>0</v>
      </c>
      <c r="I600" s="141" t="n">
        <v>0</v>
      </c>
      <c r="J600" s="141" t="n">
        <v>0</v>
      </c>
      <c r="K600" s="141" t="n">
        <v>0</v>
      </c>
      <c r="L600" s="141" t="n">
        <v>185.34</v>
      </c>
      <c r="M600" s="141" t="n">
        <v>0</v>
      </c>
      <c r="N600" s="141" t="n">
        <v>0</v>
      </c>
      <c r="O600" s="141" t="n">
        <v>3.45</v>
      </c>
    </row>
    <row r="601" customFormat="false" ht="15" hidden="false" customHeight="false" outlineLevel="0" collapsed="false">
      <c r="A601" s="138" t="s">
        <v>2194</v>
      </c>
      <c r="B601" s="138" t="s">
        <v>2195</v>
      </c>
      <c r="C601" s="138" t="n">
        <v>523</v>
      </c>
      <c r="D601" s="138" t="n">
        <v>524</v>
      </c>
      <c r="E601" s="141" t="n">
        <f aca="false">F601/Parâmetros!$C$22</f>
        <v>395.75</v>
      </c>
      <c r="F601" s="141" t="n">
        <v>79.15</v>
      </c>
      <c r="G601" s="141" t="n">
        <v>663.85</v>
      </c>
      <c r="H601" s="141" t="n">
        <v>0</v>
      </c>
      <c r="I601" s="141" t="n">
        <v>0</v>
      </c>
      <c r="J601" s="141" t="n">
        <v>0</v>
      </c>
      <c r="K601" s="141" t="n">
        <v>0</v>
      </c>
      <c r="L601" s="141" t="n">
        <v>185.75</v>
      </c>
      <c r="M601" s="141" t="n">
        <v>0</v>
      </c>
      <c r="N601" s="141" t="n">
        <v>0</v>
      </c>
      <c r="O601" s="141" t="n">
        <v>3.45</v>
      </c>
    </row>
    <row r="602" customFormat="false" ht="15" hidden="false" customHeight="false" outlineLevel="0" collapsed="false">
      <c r="A602" s="138" t="s">
        <v>2195</v>
      </c>
      <c r="B602" s="138" t="s">
        <v>2196</v>
      </c>
      <c r="C602" s="138" t="n">
        <v>524</v>
      </c>
      <c r="D602" s="138" t="n">
        <v>525</v>
      </c>
      <c r="E602" s="141" t="n">
        <f aca="false">F602/Parâmetros!$C$22</f>
        <v>348.9</v>
      </c>
      <c r="F602" s="141" t="n">
        <v>69.78</v>
      </c>
      <c r="G602" s="141" t="n">
        <v>452.41</v>
      </c>
      <c r="H602" s="141" t="n">
        <v>0</v>
      </c>
      <c r="I602" s="141" t="n">
        <v>0</v>
      </c>
      <c r="J602" s="141" t="n">
        <v>0</v>
      </c>
      <c r="K602" s="141" t="n">
        <v>0</v>
      </c>
      <c r="L602" s="141" t="n">
        <v>171.48</v>
      </c>
      <c r="M602" s="141" t="n">
        <v>0</v>
      </c>
      <c r="N602" s="141" t="n">
        <v>0</v>
      </c>
      <c r="O602" s="141" t="n">
        <v>4.59</v>
      </c>
    </row>
    <row r="603" customFormat="false" ht="15" hidden="false" customHeight="false" outlineLevel="0" collapsed="false">
      <c r="A603" s="138" t="s">
        <v>2196</v>
      </c>
      <c r="B603" s="138" t="s">
        <v>3841</v>
      </c>
      <c r="C603" s="138" t="n">
        <v>525</v>
      </c>
      <c r="D603" s="138" t="n">
        <v>525.187</v>
      </c>
      <c r="E603" s="141" t="n">
        <f aca="false">F603/Parâmetros!$C$22</f>
        <v>55.15</v>
      </c>
      <c r="F603" s="141" t="n">
        <v>11.03</v>
      </c>
      <c r="G603" s="141" t="n">
        <v>58.14</v>
      </c>
      <c r="H603" s="141" t="n">
        <v>0</v>
      </c>
      <c r="I603" s="141" t="n">
        <v>0</v>
      </c>
      <c r="J603" s="141" t="n">
        <v>0</v>
      </c>
      <c r="K603" s="141" t="n">
        <v>0</v>
      </c>
      <c r="L603" s="141" t="n">
        <v>29.94</v>
      </c>
      <c r="M603" s="141" t="n">
        <v>0</v>
      </c>
      <c r="N603" s="141" t="n">
        <v>0</v>
      </c>
      <c r="O603" s="141" t="n">
        <v>0.86</v>
      </c>
    </row>
    <row r="604" customFormat="false" ht="15" hidden="false" customHeight="false" outlineLevel="0" collapsed="false">
      <c r="A604" s="138" t="s">
        <v>3841</v>
      </c>
      <c r="B604" s="138" t="s">
        <v>2197</v>
      </c>
      <c r="C604" s="138" t="n">
        <v>525.187</v>
      </c>
      <c r="D604" s="138" t="n">
        <v>526</v>
      </c>
      <c r="E604" s="141" t="n">
        <f aca="false">F604/Parâmetros!$C$22</f>
        <v>273.95</v>
      </c>
      <c r="F604" s="141" t="n">
        <v>54.79</v>
      </c>
      <c r="G604" s="141" t="n">
        <v>213.45</v>
      </c>
      <c r="H604" s="141" t="n">
        <v>0</v>
      </c>
      <c r="I604" s="141" t="n">
        <v>0</v>
      </c>
      <c r="J604" s="141" t="n">
        <v>0</v>
      </c>
      <c r="K604" s="141" t="n">
        <v>145.29</v>
      </c>
      <c r="L604" s="141" t="n">
        <v>127.91</v>
      </c>
      <c r="M604" s="141" t="n">
        <v>0</v>
      </c>
      <c r="N604" s="141" t="n">
        <v>0</v>
      </c>
      <c r="O604" s="141" t="n">
        <v>3.6</v>
      </c>
    </row>
    <row r="605" customFormat="false" ht="15" hidden="false" customHeight="false" outlineLevel="0" collapsed="false">
      <c r="A605" s="138" t="s">
        <v>2197</v>
      </c>
      <c r="B605" s="138" t="s">
        <v>3842</v>
      </c>
      <c r="C605" s="138" t="n">
        <v>526</v>
      </c>
      <c r="D605" s="138" t="n">
        <v>526.5925</v>
      </c>
      <c r="E605" s="141" t="n">
        <f aca="false">F605/Parâmetros!$C$22</f>
        <v>207.55</v>
      </c>
      <c r="F605" s="141" t="n">
        <v>41.51</v>
      </c>
      <c r="G605" s="141" t="n">
        <v>156.76</v>
      </c>
      <c r="H605" s="141" t="n">
        <v>0</v>
      </c>
      <c r="I605" s="141" t="n">
        <v>0</v>
      </c>
      <c r="J605" s="141" t="n">
        <v>0</v>
      </c>
      <c r="K605" s="141" t="n">
        <v>108.41</v>
      </c>
      <c r="L605" s="141" t="n">
        <v>92.23</v>
      </c>
      <c r="M605" s="141" t="n">
        <v>0</v>
      </c>
      <c r="N605" s="141" t="n">
        <v>0</v>
      </c>
      <c r="O605" s="141" t="n">
        <v>2.55</v>
      </c>
    </row>
    <row r="606" customFormat="false" ht="15" hidden="false" customHeight="false" outlineLevel="0" collapsed="false">
      <c r="A606" s="138" t="s">
        <v>3842</v>
      </c>
      <c r="B606" s="138" t="s">
        <v>2198</v>
      </c>
      <c r="C606" s="138" t="n">
        <v>526.5925</v>
      </c>
      <c r="D606" s="138" t="n">
        <v>527</v>
      </c>
      <c r="E606" s="141" t="n">
        <f aca="false">F606/Parâmetros!$C$22</f>
        <v>120.4</v>
      </c>
      <c r="F606" s="141" t="n">
        <v>24.08</v>
      </c>
      <c r="G606" s="141" t="n">
        <v>129.09</v>
      </c>
      <c r="H606" s="141" t="n">
        <v>0</v>
      </c>
      <c r="I606" s="141" t="n">
        <v>0</v>
      </c>
      <c r="J606" s="141" t="n">
        <v>0</v>
      </c>
      <c r="K606" s="141" t="n">
        <v>3.64</v>
      </c>
      <c r="L606" s="141" t="n">
        <v>63.08</v>
      </c>
      <c r="M606" s="141" t="n">
        <v>0</v>
      </c>
      <c r="N606" s="141" t="n">
        <v>0</v>
      </c>
      <c r="O606" s="141" t="n">
        <v>1.82</v>
      </c>
    </row>
    <row r="607" customFormat="false" ht="15" hidden="false" customHeight="false" outlineLevel="0" collapsed="false">
      <c r="A607" s="138" t="s">
        <v>2198</v>
      </c>
      <c r="B607" s="138" t="s">
        <v>3843</v>
      </c>
      <c r="C607" s="138" t="n">
        <v>527</v>
      </c>
      <c r="D607" s="138" t="n">
        <v>527.998</v>
      </c>
      <c r="E607" s="141" t="n">
        <f aca="false">F607/Parâmetros!$C$22</f>
        <v>274.05</v>
      </c>
      <c r="F607" s="141" t="n">
        <v>54.81</v>
      </c>
      <c r="G607" s="141" t="n">
        <v>314.63</v>
      </c>
      <c r="H607" s="141" t="n">
        <v>0</v>
      </c>
      <c r="I607" s="141" t="n">
        <v>0</v>
      </c>
      <c r="J607" s="141" t="n">
        <v>0</v>
      </c>
      <c r="K607" s="141" t="n">
        <v>8.08</v>
      </c>
      <c r="L607" s="141" t="n">
        <v>154.47</v>
      </c>
      <c r="M607" s="141" t="n">
        <v>0</v>
      </c>
      <c r="N607" s="141" t="n">
        <v>0</v>
      </c>
      <c r="O607" s="141" t="n">
        <v>4.6</v>
      </c>
    </row>
    <row r="608" customFormat="false" ht="15" hidden="false" customHeight="false" outlineLevel="0" collapsed="false">
      <c r="A608" s="138" t="s">
        <v>3843</v>
      </c>
      <c r="B608" s="138" t="s">
        <v>2199</v>
      </c>
      <c r="C608" s="138" t="n">
        <v>527.998</v>
      </c>
      <c r="D608" s="138" t="n">
        <v>528</v>
      </c>
      <c r="E608" s="141" t="n">
        <f aca="false">F608/Parâmetros!$C$22</f>
        <v>0.55</v>
      </c>
      <c r="F608" s="141" t="n">
        <v>0.11</v>
      </c>
      <c r="G608" s="141" t="n">
        <v>0.64</v>
      </c>
      <c r="H608" s="141" t="n">
        <v>0</v>
      </c>
      <c r="I608" s="141" t="n">
        <v>0</v>
      </c>
      <c r="J608" s="141" t="n">
        <v>0</v>
      </c>
      <c r="K608" s="141" t="n">
        <v>0.02</v>
      </c>
      <c r="L608" s="141" t="n">
        <v>0.33</v>
      </c>
      <c r="M608" s="141" t="n">
        <v>0</v>
      </c>
      <c r="N608" s="141" t="n">
        <v>0</v>
      </c>
      <c r="O608" s="141" t="n">
        <v>0.01</v>
      </c>
    </row>
    <row r="609" customFormat="false" ht="15" hidden="false" customHeight="false" outlineLevel="0" collapsed="false">
      <c r="A609" s="138" t="s">
        <v>2199</v>
      </c>
      <c r="B609" s="138" t="s">
        <v>2200</v>
      </c>
      <c r="C609" s="138" t="n">
        <v>528</v>
      </c>
      <c r="D609" s="138" t="n">
        <v>529</v>
      </c>
      <c r="E609" s="141" t="n">
        <f aca="false">F609/Parâmetros!$C$22</f>
        <v>281.2</v>
      </c>
      <c r="F609" s="141" t="n">
        <v>56.24</v>
      </c>
      <c r="G609" s="141" t="n">
        <v>0</v>
      </c>
      <c r="H609" s="141" t="n">
        <v>357.59</v>
      </c>
      <c r="I609" s="141" t="n">
        <v>0</v>
      </c>
      <c r="J609" s="141" t="n">
        <v>0</v>
      </c>
      <c r="K609" s="141" t="n">
        <v>4.16</v>
      </c>
      <c r="L609" s="141" t="n">
        <v>154.8</v>
      </c>
      <c r="M609" s="141" t="n">
        <v>0</v>
      </c>
      <c r="N609" s="141" t="n">
        <v>0</v>
      </c>
      <c r="O609" s="141" t="n">
        <v>4.61</v>
      </c>
    </row>
    <row r="610" customFormat="false" ht="15" hidden="false" customHeight="false" outlineLevel="0" collapsed="false">
      <c r="A610" s="138" t="s">
        <v>2200</v>
      </c>
      <c r="B610" s="138" t="s">
        <v>2201</v>
      </c>
      <c r="C610" s="138" t="n">
        <v>529</v>
      </c>
      <c r="D610" s="138" t="n">
        <v>530</v>
      </c>
      <c r="E610" s="141" t="n">
        <f aca="false">F610/Parâmetros!$C$22</f>
        <v>314.3</v>
      </c>
      <c r="F610" s="141" t="n">
        <v>62.86</v>
      </c>
      <c r="G610" s="141" t="n">
        <v>0</v>
      </c>
      <c r="H610" s="141" t="n">
        <v>488.49</v>
      </c>
      <c r="I610" s="141" t="n">
        <v>0</v>
      </c>
      <c r="J610" s="141" t="n">
        <v>0</v>
      </c>
      <c r="K610" s="141" t="n">
        <v>0</v>
      </c>
      <c r="L610" s="141" t="n">
        <v>154.8</v>
      </c>
      <c r="M610" s="141" t="n">
        <v>0</v>
      </c>
      <c r="N610" s="141" t="n">
        <v>0</v>
      </c>
      <c r="O610" s="141" t="n">
        <v>4.61</v>
      </c>
    </row>
    <row r="611" customFormat="false" ht="15" hidden="false" customHeight="false" outlineLevel="0" collapsed="false">
      <c r="A611" s="138" t="s">
        <v>2201</v>
      </c>
      <c r="B611" s="138" t="s">
        <v>2202</v>
      </c>
      <c r="C611" s="138" t="n">
        <v>530</v>
      </c>
      <c r="D611" s="138" t="n">
        <v>531</v>
      </c>
      <c r="E611" s="141" t="n">
        <f aca="false">F611/Parâmetros!$C$22</f>
        <v>436.75</v>
      </c>
      <c r="F611" s="141" t="n">
        <v>87.35</v>
      </c>
      <c r="G611" s="141" t="n">
        <v>0</v>
      </c>
      <c r="H611" s="141" t="n">
        <v>651.82</v>
      </c>
      <c r="I611" s="141" t="n">
        <v>0</v>
      </c>
      <c r="J611" s="141" t="n">
        <v>0</v>
      </c>
      <c r="K611" s="141" t="n">
        <v>0</v>
      </c>
      <c r="L611" s="141" t="n">
        <v>154.8</v>
      </c>
      <c r="M611" s="141" t="n">
        <v>0</v>
      </c>
      <c r="N611" s="141" t="n">
        <v>0</v>
      </c>
      <c r="O611" s="141" t="n">
        <v>4.61</v>
      </c>
    </row>
    <row r="612" customFormat="false" ht="15" hidden="false" customHeight="false" outlineLevel="0" collapsed="false">
      <c r="A612" s="138" t="s">
        <v>2202</v>
      </c>
      <c r="B612" s="138" t="s">
        <v>2203</v>
      </c>
      <c r="C612" s="138" t="n">
        <v>531</v>
      </c>
      <c r="D612" s="138" t="n">
        <v>532</v>
      </c>
      <c r="E612" s="141" t="n">
        <f aca="false">F612/Parâmetros!$C$22</f>
        <v>469.1</v>
      </c>
      <c r="F612" s="141" t="n">
        <v>93.82</v>
      </c>
      <c r="G612" s="141" t="n">
        <v>0</v>
      </c>
      <c r="H612" s="141" t="n">
        <v>740.22</v>
      </c>
      <c r="I612" s="141" t="n">
        <v>0</v>
      </c>
      <c r="J612" s="141" t="n">
        <v>0</v>
      </c>
      <c r="K612" s="141" t="n">
        <v>0</v>
      </c>
      <c r="L612" s="141" t="n">
        <v>154.8</v>
      </c>
      <c r="M612" s="141" t="n">
        <v>0</v>
      </c>
      <c r="N612" s="141" t="n">
        <v>0</v>
      </c>
      <c r="O612" s="141" t="n">
        <v>4.61</v>
      </c>
    </row>
    <row r="613" customFormat="false" ht="15" hidden="false" customHeight="false" outlineLevel="0" collapsed="false">
      <c r="A613" s="138" t="s">
        <v>2203</v>
      </c>
      <c r="B613" s="138" t="s">
        <v>2204</v>
      </c>
      <c r="C613" s="138" t="n">
        <v>532</v>
      </c>
      <c r="D613" s="138" t="n">
        <v>533</v>
      </c>
      <c r="E613" s="141" t="n">
        <f aca="false">F613/Parâmetros!$C$22</f>
        <v>380.7</v>
      </c>
      <c r="F613" s="141" t="n">
        <v>76.14</v>
      </c>
      <c r="G613" s="141" t="n">
        <v>0</v>
      </c>
      <c r="H613" s="141" t="n">
        <v>687.25</v>
      </c>
      <c r="I613" s="141" t="n">
        <v>0</v>
      </c>
      <c r="J613" s="141" t="n">
        <v>0</v>
      </c>
      <c r="K613" s="141" t="n">
        <v>0</v>
      </c>
      <c r="L613" s="141" t="n">
        <v>154.8</v>
      </c>
      <c r="M613" s="141" t="n">
        <v>0</v>
      </c>
      <c r="N613" s="141" t="n">
        <v>0</v>
      </c>
      <c r="O613" s="141" t="n">
        <v>4.61</v>
      </c>
    </row>
    <row r="614" customFormat="false" ht="15" hidden="false" customHeight="false" outlineLevel="0" collapsed="false">
      <c r="A614" s="138" t="s">
        <v>2204</v>
      </c>
      <c r="B614" s="138" t="s">
        <v>2205</v>
      </c>
      <c r="C614" s="138" t="n">
        <v>533</v>
      </c>
      <c r="D614" s="138" t="n">
        <v>534</v>
      </c>
      <c r="E614" s="141" t="n">
        <f aca="false">F614/Parâmetros!$C$22</f>
        <v>350.9</v>
      </c>
      <c r="F614" s="141" t="n">
        <v>70.18</v>
      </c>
      <c r="G614" s="141" t="n">
        <v>0</v>
      </c>
      <c r="H614" s="141" t="n">
        <v>594.36</v>
      </c>
      <c r="I614" s="141" t="n">
        <v>0</v>
      </c>
      <c r="J614" s="141" t="n">
        <v>0</v>
      </c>
      <c r="K614" s="141" t="n">
        <v>0</v>
      </c>
      <c r="L614" s="141" t="n">
        <v>154.8</v>
      </c>
      <c r="M614" s="141" t="n">
        <v>0</v>
      </c>
      <c r="N614" s="141" t="n">
        <v>0</v>
      </c>
      <c r="O614" s="141" t="n">
        <v>4.61</v>
      </c>
    </row>
    <row r="615" customFormat="false" ht="15" hidden="false" customHeight="false" outlineLevel="0" collapsed="false">
      <c r="A615" s="138" t="s">
        <v>2205</v>
      </c>
      <c r="B615" s="138" t="s">
        <v>2206</v>
      </c>
      <c r="C615" s="138" t="n">
        <v>534</v>
      </c>
      <c r="D615" s="138" t="n">
        <v>535</v>
      </c>
      <c r="E615" s="141" t="n">
        <f aca="false">F615/Parâmetros!$C$22</f>
        <v>330.15</v>
      </c>
      <c r="F615" s="141" t="n">
        <v>66.03</v>
      </c>
      <c r="G615" s="141" t="n">
        <v>0</v>
      </c>
      <c r="H615" s="141" t="n">
        <v>539.09</v>
      </c>
      <c r="I615" s="141" t="n">
        <v>0</v>
      </c>
      <c r="J615" s="141" t="n">
        <v>0</v>
      </c>
      <c r="K615" s="141" t="n">
        <v>0</v>
      </c>
      <c r="L615" s="141" t="n">
        <v>154.8</v>
      </c>
      <c r="M615" s="141" t="n">
        <v>0</v>
      </c>
      <c r="N615" s="141" t="n">
        <v>0</v>
      </c>
      <c r="O615" s="141" t="n">
        <v>4.61</v>
      </c>
    </row>
    <row r="616" customFormat="false" ht="15" hidden="false" customHeight="false" outlineLevel="0" collapsed="false">
      <c r="A616" s="138" t="s">
        <v>2206</v>
      </c>
      <c r="B616" s="138" t="s">
        <v>2207</v>
      </c>
      <c r="C616" s="138" t="n">
        <v>535</v>
      </c>
      <c r="D616" s="138" t="n">
        <v>536</v>
      </c>
      <c r="E616" s="141" t="n">
        <f aca="false">F616/Parâmetros!$C$22</f>
        <v>319.2</v>
      </c>
      <c r="F616" s="141" t="n">
        <v>63.84</v>
      </c>
      <c r="G616" s="141" t="n">
        <v>0</v>
      </c>
      <c r="H616" s="141" t="n">
        <v>557.39</v>
      </c>
      <c r="I616" s="141" t="n">
        <v>0</v>
      </c>
      <c r="J616" s="141" t="n">
        <v>0</v>
      </c>
      <c r="K616" s="141" t="n">
        <v>0</v>
      </c>
      <c r="L616" s="141" t="n">
        <v>154.8</v>
      </c>
      <c r="M616" s="141" t="n">
        <v>0</v>
      </c>
      <c r="N616" s="141" t="n">
        <v>0</v>
      </c>
      <c r="O616" s="141" t="n">
        <v>4.61</v>
      </c>
    </row>
    <row r="617" customFormat="false" ht="15" hidden="false" customHeight="false" outlineLevel="0" collapsed="false">
      <c r="A617" s="138" t="s">
        <v>2207</v>
      </c>
      <c r="B617" s="138" t="s">
        <v>2208</v>
      </c>
      <c r="C617" s="138" t="n">
        <v>536</v>
      </c>
      <c r="D617" s="138" t="n">
        <v>537</v>
      </c>
      <c r="E617" s="141" t="n">
        <f aca="false">F617/Parâmetros!$C$22</f>
        <v>473.6</v>
      </c>
      <c r="F617" s="141" t="n">
        <v>94.72</v>
      </c>
      <c r="G617" s="141" t="n">
        <v>0</v>
      </c>
      <c r="H617" s="141" t="n">
        <v>695.69</v>
      </c>
      <c r="I617" s="141" t="n">
        <v>0</v>
      </c>
      <c r="J617" s="141" t="n">
        <v>0</v>
      </c>
      <c r="K617" s="141" t="n">
        <v>0</v>
      </c>
      <c r="L617" s="141" t="n">
        <v>152.68</v>
      </c>
      <c r="M617" s="141" t="n">
        <v>0</v>
      </c>
      <c r="N617" s="141" t="n">
        <v>0</v>
      </c>
      <c r="O617" s="141" t="n">
        <v>3.45</v>
      </c>
    </row>
    <row r="618" customFormat="false" ht="15" hidden="false" customHeight="false" outlineLevel="0" collapsed="false">
      <c r="A618" s="138" t="s">
        <v>2208</v>
      </c>
      <c r="B618" s="138" t="s">
        <v>2209</v>
      </c>
      <c r="C618" s="138" t="n">
        <v>537</v>
      </c>
      <c r="D618" s="138" t="n">
        <v>538</v>
      </c>
      <c r="E618" s="141" t="n">
        <f aca="false">F618/Parâmetros!$C$22</f>
        <v>466.8</v>
      </c>
      <c r="F618" s="141" t="n">
        <v>93.36</v>
      </c>
      <c r="G618" s="141" t="n">
        <v>0</v>
      </c>
      <c r="H618" s="141" t="n">
        <v>822.23</v>
      </c>
      <c r="I618" s="141" t="n">
        <v>0</v>
      </c>
      <c r="J618" s="141" t="n">
        <v>0</v>
      </c>
      <c r="K618" s="141" t="n">
        <v>0</v>
      </c>
      <c r="L618" s="141" t="n">
        <v>152.68</v>
      </c>
      <c r="M618" s="141" t="n">
        <v>0</v>
      </c>
      <c r="N618" s="141" t="n">
        <v>0</v>
      </c>
      <c r="O618" s="141" t="n">
        <v>3.45</v>
      </c>
    </row>
    <row r="619" customFormat="false" ht="15" hidden="false" customHeight="false" outlineLevel="0" collapsed="false">
      <c r="A619" s="138" t="s">
        <v>2209</v>
      </c>
      <c r="B619" s="138" t="s">
        <v>2210</v>
      </c>
      <c r="C619" s="138" t="n">
        <v>538</v>
      </c>
      <c r="D619" s="138" t="n">
        <v>539</v>
      </c>
      <c r="E619" s="141" t="n">
        <f aca="false">F619/Parâmetros!$C$22</f>
        <v>329.25</v>
      </c>
      <c r="F619" s="141" t="n">
        <v>65.85</v>
      </c>
      <c r="G619" s="141" t="n">
        <v>0</v>
      </c>
      <c r="H619" s="141" t="n">
        <v>1022.67</v>
      </c>
      <c r="I619" s="141" t="n">
        <v>0</v>
      </c>
      <c r="J619" s="141" t="n">
        <v>0</v>
      </c>
      <c r="K619" s="141" t="n">
        <v>0</v>
      </c>
      <c r="L619" s="141" t="n">
        <v>154.8</v>
      </c>
      <c r="M619" s="141" t="n">
        <v>0</v>
      </c>
      <c r="N619" s="141" t="n">
        <v>0</v>
      </c>
      <c r="O619" s="141" t="n">
        <v>4.61</v>
      </c>
    </row>
    <row r="620" customFormat="false" ht="15" hidden="false" customHeight="false" outlineLevel="0" collapsed="false">
      <c r="A620" s="138" t="s">
        <v>2210</v>
      </c>
      <c r="B620" s="138" t="s">
        <v>2211</v>
      </c>
      <c r="C620" s="138" t="n">
        <v>539</v>
      </c>
      <c r="D620" s="138" t="n">
        <v>540</v>
      </c>
      <c r="E620" s="141" t="n">
        <f aca="false">F620/Parâmetros!$C$22</f>
        <v>370.85</v>
      </c>
      <c r="F620" s="141" t="n">
        <v>74.17</v>
      </c>
      <c r="G620" s="141" t="n">
        <v>0</v>
      </c>
      <c r="H620" s="141" t="n">
        <v>1332.39</v>
      </c>
      <c r="I620" s="141" t="n">
        <v>0</v>
      </c>
      <c r="J620" s="141" t="n">
        <v>0</v>
      </c>
      <c r="K620" s="141" t="n">
        <v>0</v>
      </c>
      <c r="L620" s="141" t="n">
        <v>154.8</v>
      </c>
      <c r="M620" s="141" t="n">
        <v>0</v>
      </c>
      <c r="N620" s="141" t="n">
        <v>0</v>
      </c>
      <c r="O620" s="141" t="n">
        <v>4.61</v>
      </c>
    </row>
    <row r="621" customFormat="false" ht="15" hidden="false" customHeight="false" outlineLevel="0" collapsed="false">
      <c r="A621" s="138" t="s">
        <v>2211</v>
      </c>
      <c r="B621" s="138" t="s">
        <v>2212</v>
      </c>
      <c r="C621" s="138" t="n">
        <v>540</v>
      </c>
      <c r="D621" s="138" t="n">
        <v>541</v>
      </c>
      <c r="E621" s="141" t="n">
        <f aca="false">F621/Parâmetros!$C$22</f>
        <v>399.75</v>
      </c>
      <c r="F621" s="141" t="n">
        <v>79.95</v>
      </c>
      <c r="G621" s="141" t="n">
        <v>0</v>
      </c>
      <c r="H621" s="141" t="n">
        <v>1582.8</v>
      </c>
      <c r="I621" s="141" t="n">
        <v>0</v>
      </c>
      <c r="J621" s="141" t="n">
        <v>0</v>
      </c>
      <c r="K621" s="141" t="n">
        <v>0</v>
      </c>
      <c r="L621" s="141" t="n">
        <v>154.8</v>
      </c>
      <c r="M621" s="141" t="n">
        <v>0</v>
      </c>
      <c r="N621" s="141" t="n">
        <v>0</v>
      </c>
      <c r="O621" s="141" t="n">
        <v>4.61</v>
      </c>
    </row>
    <row r="622" customFormat="false" ht="15" hidden="false" customHeight="false" outlineLevel="0" collapsed="false">
      <c r="A622" s="138" t="s">
        <v>2212</v>
      </c>
      <c r="B622" s="138" t="s">
        <v>2213</v>
      </c>
      <c r="C622" s="138" t="n">
        <v>541</v>
      </c>
      <c r="D622" s="138" t="n">
        <v>542</v>
      </c>
      <c r="E622" s="141" t="n">
        <f aca="false">F622/Parâmetros!$C$22</f>
        <v>409.25</v>
      </c>
      <c r="F622" s="141" t="n">
        <v>81.85</v>
      </c>
      <c r="G622" s="141" t="n">
        <v>0</v>
      </c>
      <c r="H622" s="141" t="n">
        <v>1756.73</v>
      </c>
      <c r="I622" s="141" t="n">
        <v>0</v>
      </c>
      <c r="J622" s="141" t="n">
        <v>0</v>
      </c>
      <c r="K622" s="141" t="n">
        <v>0</v>
      </c>
      <c r="L622" s="141" t="n">
        <v>154.8</v>
      </c>
      <c r="M622" s="141" t="n">
        <v>0</v>
      </c>
      <c r="N622" s="141" t="n">
        <v>0</v>
      </c>
      <c r="O622" s="141" t="n">
        <v>4.61</v>
      </c>
    </row>
    <row r="623" customFormat="false" ht="15" hidden="false" customHeight="false" outlineLevel="0" collapsed="false">
      <c r="A623" s="138" t="s">
        <v>2213</v>
      </c>
      <c r="B623" s="138" t="s">
        <v>2214</v>
      </c>
      <c r="C623" s="138" t="n">
        <v>542</v>
      </c>
      <c r="D623" s="138" t="n">
        <v>543</v>
      </c>
      <c r="E623" s="141" t="n">
        <f aca="false">F623/Parâmetros!$C$22</f>
        <v>392.5</v>
      </c>
      <c r="F623" s="141" t="n">
        <v>78.5</v>
      </c>
      <c r="G623" s="141" t="n">
        <v>0</v>
      </c>
      <c r="H623" s="141" t="n">
        <v>1712.69</v>
      </c>
      <c r="I623" s="141" t="n">
        <v>0</v>
      </c>
      <c r="J623" s="141" t="n">
        <v>0</v>
      </c>
      <c r="K623" s="141" t="n">
        <v>0</v>
      </c>
      <c r="L623" s="141" t="n">
        <v>154.8</v>
      </c>
      <c r="M623" s="141" t="n">
        <v>0</v>
      </c>
      <c r="N623" s="141" t="n">
        <v>0</v>
      </c>
      <c r="O623" s="141" t="n">
        <v>4.61</v>
      </c>
    </row>
    <row r="624" customFormat="false" ht="15" hidden="false" customHeight="false" outlineLevel="0" collapsed="false">
      <c r="A624" s="138" t="s">
        <v>2214</v>
      </c>
      <c r="B624" s="138" t="s">
        <v>2215</v>
      </c>
      <c r="C624" s="138" t="n">
        <v>543</v>
      </c>
      <c r="D624" s="138" t="n">
        <v>544</v>
      </c>
      <c r="E624" s="141" t="n">
        <f aca="false">F624/Parâmetros!$C$22</f>
        <v>377.1</v>
      </c>
      <c r="F624" s="141" t="n">
        <v>75.42</v>
      </c>
      <c r="G624" s="141" t="n">
        <v>0</v>
      </c>
      <c r="H624" s="141" t="n">
        <v>1557.62</v>
      </c>
      <c r="I624" s="141" t="n">
        <v>0</v>
      </c>
      <c r="J624" s="141" t="n">
        <v>0</v>
      </c>
      <c r="K624" s="141" t="n">
        <v>0</v>
      </c>
      <c r="L624" s="141" t="n">
        <v>154.8</v>
      </c>
      <c r="M624" s="141" t="n">
        <v>0</v>
      </c>
      <c r="N624" s="141" t="n">
        <v>0</v>
      </c>
      <c r="O624" s="141" t="n">
        <v>4.61</v>
      </c>
    </row>
    <row r="625" customFormat="false" ht="15" hidden="false" customHeight="false" outlineLevel="0" collapsed="false">
      <c r="A625" s="138" t="s">
        <v>2215</v>
      </c>
      <c r="B625" s="138" t="s">
        <v>2216</v>
      </c>
      <c r="C625" s="138" t="n">
        <v>544</v>
      </c>
      <c r="D625" s="138" t="n">
        <v>545</v>
      </c>
      <c r="E625" s="141" t="n">
        <f aca="false">F625/Parâmetros!$C$22</f>
        <v>414.25</v>
      </c>
      <c r="F625" s="141" t="n">
        <v>82.85</v>
      </c>
      <c r="G625" s="141" t="n">
        <v>0</v>
      </c>
      <c r="H625" s="141" t="n">
        <v>1514.56</v>
      </c>
      <c r="I625" s="141" t="n">
        <v>0</v>
      </c>
      <c r="J625" s="141" t="n">
        <v>0</v>
      </c>
      <c r="K625" s="141" t="n">
        <v>0</v>
      </c>
      <c r="L625" s="141" t="n">
        <v>154.8</v>
      </c>
      <c r="M625" s="141" t="n">
        <v>0</v>
      </c>
      <c r="N625" s="141" t="n">
        <v>0</v>
      </c>
      <c r="O625" s="141" t="n">
        <v>4.61</v>
      </c>
    </row>
    <row r="626" customFormat="false" ht="15" hidden="false" customHeight="false" outlineLevel="0" collapsed="false">
      <c r="A626" s="138" t="s">
        <v>2216</v>
      </c>
      <c r="B626" s="138" t="s">
        <v>2217</v>
      </c>
      <c r="C626" s="138" t="n">
        <v>545</v>
      </c>
      <c r="D626" s="138" t="n">
        <v>546</v>
      </c>
      <c r="E626" s="141" t="n">
        <f aca="false">F626/Parâmetros!$C$22</f>
        <v>412.35</v>
      </c>
      <c r="F626" s="141" t="n">
        <v>82.47</v>
      </c>
      <c r="G626" s="141" t="n">
        <v>0</v>
      </c>
      <c r="H626" s="141" t="n">
        <v>1386.81</v>
      </c>
      <c r="I626" s="141" t="n">
        <v>0</v>
      </c>
      <c r="J626" s="141" t="n">
        <v>0</v>
      </c>
      <c r="K626" s="141" t="n">
        <v>0</v>
      </c>
      <c r="L626" s="141" t="n">
        <v>154.8</v>
      </c>
      <c r="M626" s="141" t="n">
        <v>0</v>
      </c>
      <c r="N626" s="141" t="n">
        <v>0</v>
      </c>
      <c r="O626" s="141" t="n">
        <v>4.61</v>
      </c>
    </row>
    <row r="627" customFormat="false" ht="15" hidden="false" customHeight="false" outlineLevel="0" collapsed="false">
      <c r="A627" s="138" t="s">
        <v>2217</v>
      </c>
      <c r="B627" s="138" t="s">
        <v>2218</v>
      </c>
      <c r="C627" s="138" t="n">
        <v>546</v>
      </c>
      <c r="D627" s="138" t="n">
        <v>547</v>
      </c>
      <c r="E627" s="141" t="n">
        <f aca="false">F627/Parâmetros!$C$22</f>
        <v>358.7</v>
      </c>
      <c r="F627" s="141" t="n">
        <v>71.74</v>
      </c>
      <c r="G627" s="141" t="n">
        <v>0</v>
      </c>
      <c r="H627" s="141" t="n">
        <v>1147.94</v>
      </c>
      <c r="I627" s="141" t="n">
        <v>0</v>
      </c>
      <c r="J627" s="141" t="n">
        <v>0</v>
      </c>
      <c r="K627" s="141" t="n">
        <v>0</v>
      </c>
      <c r="L627" s="141" t="n">
        <v>154.8</v>
      </c>
      <c r="M627" s="141" t="n">
        <v>0</v>
      </c>
      <c r="N627" s="141" t="n">
        <v>0</v>
      </c>
      <c r="O627" s="141" t="n">
        <v>4.61</v>
      </c>
    </row>
    <row r="628" customFormat="false" ht="15" hidden="false" customHeight="false" outlineLevel="0" collapsed="false">
      <c r="A628" s="138" t="s">
        <v>2218</v>
      </c>
      <c r="B628" s="138" t="s">
        <v>3844</v>
      </c>
      <c r="C628" s="138" t="n">
        <v>547</v>
      </c>
      <c r="D628" s="138" t="n">
        <v>547.1825</v>
      </c>
      <c r="E628" s="141" t="n">
        <f aca="false">F628/Parâmetros!$C$22</f>
        <v>63.15</v>
      </c>
      <c r="F628" s="141" t="n">
        <v>12.63</v>
      </c>
      <c r="G628" s="141" t="n">
        <v>0</v>
      </c>
      <c r="H628" s="141" t="n">
        <v>187.49</v>
      </c>
      <c r="I628" s="141" t="n">
        <v>0</v>
      </c>
      <c r="J628" s="141" t="n">
        <v>0</v>
      </c>
      <c r="K628" s="141" t="n">
        <v>0</v>
      </c>
      <c r="L628" s="141" t="n">
        <v>28.27</v>
      </c>
      <c r="M628" s="141" t="n">
        <v>0</v>
      </c>
      <c r="N628" s="141" t="n">
        <v>0</v>
      </c>
      <c r="O628" s="141" t="n">
        <v>0.84</v>
      </c>
    </row>
    <row r="629" customFormat="false" ht="15" hidden="false" customHeight="false" outlineLevel="0" collapsed="false">
      <c r="A629" s="138" t="s">
        <v>3844</v>
      </c>
      <c r="B629" s="138" t="s">
        <v>2219</v>
      </c>
      <c r="C629" s="138" t="n">
        <v>547.1825</v>
      </c>
      <c r="D629" s="138" t="n">
        <v>548</v>
      </c>
      <c r="E629" s="141" t="n">
        <f aca="false">F629/Parâmetros!$C$22</f>
        <v>268.2</v>
      </c>
      <c r="F629" s="141" t="n">
        <v>53.64</v>
      </c>
      <c r="G629" s="141" t="n">
        <v>0</v>
      </c>
      <c r="H629" s="141" t="n">
        <v>735.9</v>
      </c>
      <c r="I629" s="141" t="n">
        <v>0</v>
      </c>
      <c r="J629" s="141" t="n">
        <v>0</v>
      </c>
      <c r="K629" s="141" t="n">
        <v>0</v>
      </c>
      <c r="L629" s="141" t="n">
        <v>126.53</v>
      </c>
      <c r="M629" s="141" t="n">
        <v>0</v>
      </c>
      <c r="N629" s="141" t="n">
        <v>0</v>
      </c>
      <c r="O629" s="141" t="n">
        <v>3.76</v>
      </c>
    </row>
    <row r="630" customFormat="false" ht="15" hidden="false" customHeight="false" outlineLevel="0" collapsed="false">
      <c r="A630" s="138" t="s">
        <v>2219</v>
      </c>
      <c r="B630" s="138" t="s">
        <v>3845</v>
      </c>
      <c r="C630" s="138" t="n">
        <v>548</v>
      </c>
      <c r="D630" s="138" t="n">
        <v>548.579</v>
      </c>
      <c r="E630" s="141" t="n">
        <f aca="false">F630/Parâmetros!$C$22</f>
        <v>178.65</v>
      </c>
      <c r="F630" s="141" t="n">
        <v>35.73</v>
      </c>
      <c r="G630" s="141" t="n">
        <v>0</v>
      </c>
      <c r="H630" s="141" t="n">
        <v>432.01</v>
      </c>
      <c r="I630" s="141" t="n">
        <v>0</v>
      </c>
      <c r="J630" s="141" t="n">
        <v>0</v>
      </c>
      <c r="K630" s="141" t="n">
        <v>0</v>
      </c>
      <c r="L630" s="141" t="n">
        <v>89.65</v>
      </c>
      <c r="M630" s="141" t="n">
        <v>0</v>
      </c>
      <c r="N630" s="141" t="n">
        <v>0</v>
      </c>
      <c r="O630" s="141" t="n">
        <v>2.67</v>
      </c>
    </row>
    <row r="631" customFormat="false" ht="15" hidden="false" customHeight="false" outlineLevel="0" collapsed="false">
      <c r="A631" s="138" t="s">
        <v>3845</v>
      </c>
      <c r="B631" s="138" t="s">
        <v>2220</v>
      </c>
      <c r="C631" s="138" t="n">
        <v>548.579</v>
      </c>
      <c r="D631" s="138" t="n">
        <v>549</v>
      </c>
      <c r="E631" s="141" t="n">
        <f aca="false">F631/Parâmetros!$C$22</f>
        <v>126.35</v>
      </c>
      <c r="F631" s="141" t="n">
        <v>25.27</v>
      </c>
      <c r="G631" s="141" t="n">
        <v>0</v>
      </c>
      <c r="H631" s="141" t="n">
        <v>277.04</v>
      </c>
      <c r="I631" s="141" t="n">
        <v>0</v>
      </c>
      <c r="J631" s="141" t="n">
        <v>0</v>
      </c>
      <c r="K631" s="141" t="n">
        <v>0</v>
      </c>
      <c r="L631" s="141" t="n">
        <v>65.15</v>
      </c>
      <c r="M631" s="141" t="n">
        <v>0</v>
      </c>
      <c r="N631" s="141" t="n">
        <v>0</v>
      </c>
      <c r="O631" s="141" t="n">
        <v>1.94</v>
      </c>
    </row>
    <row r="632" customFormat="false" ht="15" hidden="false" customHeight="false" outlineLevel="0" collapsed="false">
      <c r="A632" s="138" t="s">
        <v>2220</v>
      </c>
      <c r="B632" s="138" t="s">
        <v>3846</v>
      </c>
      <c r="C632" s="138" t="n">
        <v>549</v>
      </c>
      <c r="D632" s="138" t="n">
        <v>549.9755</v>
      </c>
      <c r="E632" s="141" t="n">
        <f aca="false">F632/Parâmetros!$C$22</f>
        <v>284.95</v>
      </c>
      <c r="F632" s="141" t="n">
        <v>56.99</v>
      </c>
      <c r="G632" s="141" t="n">
        <v>0</v>
      </c>
      <c r="H632" s="141" t="n">
        <v>594.75</v>
      </c>
      <c r="I632" s="141" t="n">
        <v>0</v>
      </c>
      <c r="J632" s="141" t="n">
        <v>0</v>
      </c>
      <c r="K632" s="141" t="n">
        <v>0</v>
      </c>
      <c r="L632" s="141" t="n">
        <v>151.02</v>
      </c>
      <c r="M632" s="141" t="n">
        <v>0</v>
      </c>
      <c r="N632" s="141" t="n">
        <v>0</v>
      </c>
      <c r="O632" s="141" t="n">
        <v>4.49</v>
      </c>
    </row>
    <row r="633" customFormat="false" ht="15" hidden="false" customHeight="false" outlineLevel="0" collapsed="false">
      <c r="A633" s="138" t="s">
        <v>3846</v>
      </c>
      <c r="B633" s="138" t="s">
        <v>2221</v>
      </c>
      <c r="C633" s="138" t="n">
        <v>549.9755</v>
      </c>
      <c r="D633" s="138" t="n">
        <v>550</v>
      </c>
      <c r="E633" s="141" t="n">
        <f aca="false">F633/Parâmetros!$C$22</f>
        <v>7</v>
      </c>
      <c r="F633" s="141" t="n">
        <v>1.4</v>
      </c>
      <c r="G633" s="141" t="n">
        <v>0</v>
      </c>
      <c r="H633" s="141" t="n">
        <v>14.6</v>
      </c>
      <c r="I633" s="141" t="n">
        <v>0</v>
      </c>
      <c r="J633" s="141" t="n">
        <v>0</v>
      </c>
      <c r="K633" s="141" t="n">
        <v>0</v>
      </c>
      <c r="L633" s="141" t="n">
        <v>3.78</v>
      </c>
      <c r="M633" s="141" t="n">
        <v>0</v>
      </c>
      <c r="N633" s="141" t="n">
        <v>0</v>
      </c>
      <c r="O633" s="141" t="n">
        <v>0.11</v>
      </c>
    </row>
    <row r="634" customFormat="false" ht="15" hidden="false" customHeight="false" outlineLevel="0" collapsed="false">
      <c r="A634" s="138" t="s">
        <v>2221</v>
      </c>
      <c r="B634" s="138" t="s">
        <v>2222</v>
      </c>
      <c r="C634" s="138" t="n">
        <v>550</v>
      </c>
      <c r="D634" s="138" t="n">
        <v>551</v>
      </c>
      <c r="E634" s="141" t="n">
        <f aca="false">F634/Parâmetros!$C$22</f>
        <v>284.9</v>
      </c>
      <c r="F634" s="141" t="n">
        <v>56.98</v>
      </c>
      <c r="G634" s="141" t="n">
        <v>0</v>
      </c>
      <c r="H634" s="141" t="n">
        <v>575.66</v>
      </c>
      <c r="I634" s="141" t="n">
        <v>0</v>
      </c>
      <c r="J634" s="141" t="n">
        <v>0</v>
      </c>
      <c r="K634" s="141" t="n">
        <v>0</v>
      </c>
      <c r="L634" s="141" t="n">
        <v>154.8</v>
      </c>
      <c r="M634" s="141" t="n">
        <v>0</v>
      </c>
      <c r="N634" s="141" t="n">
        <v>0</v>
      </c>
      <c r="O634" s="141" t="n">
        <v>4.61</v>
      </c>
    </row>
    <row r="635" customFormat="false" ht="15" hidden="false" customHeight="false" outlineLevel="0" collapsed="false">
      <c r="A635" s="138" t="s">
        <v>2222</v>
      </c>
      <c r="B635" s="138" t="s">
        <v>2223</v>
      </c>
      <c r="C635" s="138" t="n">
        <v>551</v>
      </c>
      <c r="D635" s="138" t="n">
        <v>552</v>
      </c>
      <c r="E635" s="141" t="n">
        <f aca="false">F635/Parâmetros!$C$22</f>
        <v>285.2</v>
      </c>
      <c r="F635" s="141" t="n">
        <v>57.04</v>
      </c>
      <c r="G635" s="141" t="n">
        <v>0</v>
      </c>
      <c r="H635" s="141" t="n">
        <v>571.1</v>
      </c>
      <c r="I635" s="141" t="n">
        <v>0</v>
      </c>
      <c r="J635" s="141" t="n">
        <v>0</v>
      </c>
      <c r="K635" s="141" t="n">
        <v>0</v>
      </c>
      <c r="L635" s="141" t="n">
        <v>154.8</v>
      </c>
      <c r="M635" s="141" t="n">
        <v>0</v>
      </c>
      <c r="N635" s="141" t="n">
        <v>0</v>
      </c>
      <c r="O635" s="141" t="n">
        <v>4.61</v>
      </c>
    </row>
    <row r="636" customFormat="false" ht="15" hidden="false" customHeight="false" outlineLevel="0" collapsed="false">
      <c r="A636" s="138" t="s">
        <v>2223</v>
      </c>
      <c r="B636" s="138" t="s">
        <v>2224</v>
      </c>
      <c r="C636" s="138" t="n">
        <v>552</v>
      </c>
      <c r="D636" s="138" t="n">
        <v>553</v>
      </c>
      <c r="E636" s="141" t="n">
        <f aca="false">F636/Parâmetros!$C$22</f>
        <v>294.95</v>
      </c>
      <c r="F636" s="141" t="n">
        <v>58.99</v>
      </c>
      <c r="G636" s="141" t="n">
        <v>0</v>
      </c>
      <c r="H636" s="141" t="n">
        <v>601.21</v>
      </c>
      <c r="I636" s="141" t="n">
        <v>0</v>
      </c>
      <c r="J636" s="141" t="n">
        <v>0</v>
      </c>
      <c r="K636" s="141" t="n">
        <v>0</v>
      </c>
      <c r="L636" s="141" t="n">
        <v>154.8</v>
      </c>
      <c r="M636" s="141" t="n">
        <v>0</v>
      </c>
      <c r="N636" s="141" t="n">
        <v>0</v>
      </c>
      <c r="O636" s="141" t="n">
        <v>4.61</v>
      </c>
    </row>
    <row r="637" customFormat="false" ht="15" hidden="false" customHeight="false" outlineLevel="0" collapsed="false">
      <c r="A637" s="138" t="s">
        <v>2224</v>
      </c>
      <c r="B637" s="138" t="s">
        <v>2225</v>
      </c>
      <c r="C637" s="138" t="n">
        <v>553</v>
      </c>
      <c r="D637" s="138" t="n">
        <v>554</v>
      </c>
      <c r="E637" s="141" t="n">
        <f aca="false">F637/Parâmetros!$C$22</f>
        <v>298.05</v>
      </c>
      <c r="F637" s="141" t="n">
        <v>59.61</v>
      </c>
      <c r="G637" s="141" t="n">
        <v>0</v>
      </c>
      <c r="H637" s="141" t="n">
        <v>596.88</v>
      </c>
      <c r="I637" s="141" t="n">
        <v>0</v>
      </c>
      <c r="J637" s="141" t="n">
        <v>0</v>
      </c>
      <c r="K637" s="141" t="n">
        <v>0</v>
      </c>
      <c r="L637" s="141" t="n">
        <v>154.8</v>
      </c>
      <c r="M637" s="141" t="n">
        <v>0</v>
      </c>
      <c r="N637" s="141" t="n">
        <v>0</v>
      </c>
      <c r="O637" s="141" t="n">
        <v>4.61</v>
      </c>
    </row>
    <row r="638" customFormat="false" ht="15" hidden="false" customHeight="false" outlineLevel="0" collapsed="false">
      <c r="A638" s="138" t="s">
        <v>2225</v>
      </c>
      <c r="B638" s="138" t="s">
        <v>2226</v>
      </c>
      <c r="C638" s="138" t="n">
        <v>554</v>
      </c>
      <c r="D638" s="138" t="n">
        <v>555</v>
      </c>
      <c r="E638" s="141" t="n">
        <f aca="false">F638/Parâmetros!$C$22</f>
        <v>350.45</v>
      </c>
      <c r="F638" s="141" t="n">
        <v>70.09</v>
      </c>
      <c r="G638" s="141" t="n">
        <v>0</v>
      </c>
      <c r="H638" s="141" t="n">
        <v>793.6</v>
      </c>
      <c r="I638" s="141" t="n">
        <v>0</v>
      </c>
      <c r="J638" s="141" t="n">
        <v>0</v>
      </c>
      <c r="K638" s="141" t="n">
        <v>0</v>
      </c>
      <c r="L638" s="141" t="n">
        <v>154.8</v>
      </c>
      <c r="M638" s="141" t="n">
        <v>0</v>
      </c>
      <c r="N638" s="141" t="n">
        <v>0</v>
      </c>
      <c r="O638" s="141" t="n">
        <v>4.61</v>
      </c>
    </row>
    <row r="639" customFormat="false" ht="15" hidden="false" customHeight="false" outlineLevel="0" collapsed="false">
      <c r="A639" s="138" t="s">
        <v>2226</v>
      </c>
      <c r="B639" s="138" t="s">
        <v>2227</v>
      </c>
      <c r="C639" s="138" t="n">
        <v>555</v>
      </c>
      <c r="D639" s="138" t="n">
        <v>556</v>
      </c>
      <c r="E639" s="141" t="n">
        <f aca="false">F639/Parâmetros!$C$22</f>
        <v>341.5</v>
      </c>
      <c r="F639" s="141" t="n">
        <v>68.3</v>
      </c>
      <c r="G639" s="141" t="n">
        <v>0</v>
      </c>
      <c r="H639" s="141" t="n">
        <v>693.69</v>
      </c>
      <c r="I639" s="141" t="n">
        <v>0</v>
      </c>
      <c r="J639" s="141" t="n">
        <v>0</v>
      </c>
      <c r="K639" s="141" t="n">
        <v>0</v>
      </c>
      <c r="L639" s="141" t="n">
        <v>154.8</v>
      </c>
      <c r="M639" s="141" t="n">
        <v>0</v>
      </c>
      <c r="N639" s="141" t="n">
        <v>0</v>
      </c>
      <c r="O639" s="141" t="n">
        <v>4.61</v>
      </c>
    </row>
    <row r="640" customFormat="false" ht="15" hidden="false" customHeight="false" outlineLevel="0" collapsed="false">
      <c r="A640" s="138" t="s">
        <v>2227</v>
      </c>
      <c r="B640" s="138" t="s">
        <v>2228</v>
      </c>
      <c r="C640" s="138" t="n">
        <v>556</v>
      </c>
      <c r="D640" s="138" t="n">
        <v>557</v>
      </c>
      <c r="E640" s="141" t="n">
        <f aca="false">F640/Parâmetros!$C$22</f>
        <v>253.9</v>
      </c>
      <c r="F640" s="141" t="n">
        <v>50.78</v>
      </c>
      <c r="G640" s="141" t="n">
        <v>0</v>
      </c>
      <c r="H640" s="141" t="n">
        <v>340.21</v>
      </c>
      <c r="I640" s="141" t="n">
        <v>0</v>
      </c>
      <c r="J640" s="141" t="n">
        <v>0</v>
      </c>
      <c r="K640" s="141" t="n">
        <v>1.49</v>
      </c>
      <c r="L640" s="141" t="n">
        <v>154.8</v>
      </c>
      <c r="M640" s="141" t="n">
        <v>0</v>
      </c>
      <c r="N640" s="141" t="n">
        <v>0</v>
      </c>
      <c r="O640" s="141" t="n">
        <v>4.61</v>
      </c>
    </row>
    <row r="641" customFormat="false" ht="15" hidden="false" customHeight="false" outlineLevel="0" collapsed="false">
      <c r="A641" s="138" t="s">
        <v>2228</v>
      </c>
      <c r="B641" s="138" t="s">
        <v>2229</v>
      </c>
      <c r="C641" s="138" t="n">
        <v>557</v>
      </c>
      <c r="D641" s="138" t="n">
        <v>558</v>
      </c>
      <c r="E641" s="141" t="n">
        <f aca="false">F641/Parâmetros!$C$22</f>
        <v>216.25</v>
      </c>
      <c r="F641" s="141" t="n">
        <v>43.25</v>
      </c>
      <c r="G641" s="141" t="n">
        <v>0</v>
      </c>
      <c r="H641" s="141" t="n">
        <v>211.49</v>
      </c>
      <c r="I641" s="141" t="n">
        <v>0</v>
      </c>
      <c r="J641" s="141" t="n">
        <v>0</v>
      </c>
      <c r="K641" s="141" t="n">
        <v>4.1</v>
      </c>
      <c r="L641" s="141" t="n">
        <v>158.82</v>
      </c>
      <c r="M641" s="141" t="n">
        <v>0</v>
      </c>
      <c r="N641" s="141" t="n">
        <v>0</v>
      </c>
      <c r="O641" s="141" t="n">
        <v>4.32</v>
      </c>
    </row>
    <row r="642" customFormat="false" ht="15" hidden="false" customHeight="false" outlineLevel="0" collapsed="false">
      <c r="A642" s="138" t="s">
        <v>2229</v>
      </c>
      <c r="B642" s="138" t="s">
        <v>2230</v>
      </c>
      <c r="C642" s="138" t="n">
        <v>558</v>
      </c>
      <c r="D642" s="138" t="n">
        <v>559</v>
      </c>
      <c r="E642" s="141" t="n">
        <f aca="false">F642/Parâmetros!$C$22</f>
        <v>218.7</v>
      </c>
      <c r="F642" s="141" t="n">
        <v>43.74</v>
      </c>
      <c r="G642" s="141" t="n">
        <v>0</v>
      </c>
      <c r="H642" s="141" t="n">
        <v>61.49</v>
      </c>
      <c r="I642" s="141" t="n">
        <v>0</v>
      </c>
      <c r="J642" s="141" t="n">
        <v>0</v>
      </c>
      <c r="K642" s="141" t="n">
        <v>57.11</v>
      </c>
      <c r="L642" s="141" t="n">
        <v>168.93</v>
      </c>
      <c r="M642" s="141" t="n">
        <v>0</v>
      </c>
      <c r="N642" s="141" t="n">
        <v>0</v>
      </c>
      <c r="O642" s="141" t="n">
        <v>4.03</v>
      </c>
    </row>
    <row r="643" customFormat="false" ht="15" hidden="false" customHeight="false" outlineLevel="0" collapsed="false">
      <c r="A643" s="138" t="s">
        <v>2230</v>
      </c>
      <c r="B643" s="138" t="s">
        <v>2231</v>
      </c>
      <c r="C643" s="138" t="n">
        <v>559</v>
      </c>
      <c r="D643" s="138" t="n">
        <v>560</v>
      </c>
      <c r="E643" s="141" t="n">
        <f aca="false">F643/Parâmetros!$C$22</f>
        <v>264.45</v>
      </c>
      <c r="F643" s="141" t="n">
        <v>52.89</v>
      </c>
      <c r="G643" s="141" t="n">
        <v>0</v>
      </c>
      <c r="H643" s="141" t="n">
        <v>0</v>
      </c>
      <c r="I643" s="141" t="n">
        <v>0</v>
      </c>
      <c r="J643" s="141" t="n">
        <v>0</v>
      </c>
      <c r="K643" s="141" t="n">
        <v>225.06</v>
      </c>
      <c r="L643" s="141" t="n">
        <v>175.72</v>
      </c>
      <c r="M643" s="141" t="n">
        <v>0</v>
      </c>
      <c r="N643" s="141" t="n">
        <v>0</v>
      </c>
      <c r="O643" s="141" t="n">
        <v>4.03</v>
      </c>
    </row>
    <row r="644" customFormat="false" ht="15" hidden="false" customHeight="false" outlineLevel="0" collapsed="false">
      <c r="A644" s="138" t="s">
        <v>2231</v>
      </c>
      <c r="B644" s="138" t="s">
        <v>2232</v>
      </c>
      <c r="C644" s="138" t="n">
        <v>560</v>
      </c>
      <c r="D644" s="138" t="n">
        <v>561</v>
      </c>
      <c r="E644" s="141" t="n">
        <f aca="false">F644/Parâmetros!$C$22</f>
        <v>313.6</v>
      </c>
      <c r="F644" s="141" t="n">
        <v>62.72</v>
      </c>
      <c r="G644" s="141" t="n">
        <v>4.08</v>
      </c>
      <c r="H644" s="141" t="n">
        <v>0</v>
      </c>
      <c r="I644" s="141" t="n">
        <v>0</v>
      </c>
      <c r="J644" s="141" t="n">
        <v>206.19</v>
      </c>
      <c r="K644" s="141" t="n">
        <v>600.1</v>
      </c>
      <c r="L644" s="141" t="n">
        <v>170.97</v>
      </c>
      <c r="M644" s="141" t="n">
        <v>206.19</v>
      </c>
      <c r="N644" s="141" t="n">
        <v>0</v>
      </c>
      <c r="O644" s="141" t="n">
        <v>3.02</v>
      </c>
    </row>
    <row r="645" customFormat="false" ht="15" hidden="false" customHeight="false" outlineLevel="0" collapsed="false">
      <c r="A645" s="138" t="s">
        <v>2232</v>
      </c>
      <c r="B645" s="138" t="s">
        <v>2234</v>
      </c>
      <c r="C645" s="138" t="n">
        <v>561</v>
      </c>
      <c r="D645" s="138" t="n">
        <v>562</v>
      </c>
      <c r="E645" s="141" t="n">
        <f aca="false">F645/Parâmetros!$C$22</f>
        <v>319.45</v>
      </c>
      <c r="F645" s="141" t="n">
        <v>63.89</v>
      </c>
      <c r="G645" s="141" t="n">
        <v>4.08</v>
      </c>
      <c r="H645" s="141" t="n">
        <v>0</v>
      </c>
      <c r="I645" s="141" t="n">
        <v>0</v>
      </c>
      <c r="J645" s="141" t="n">
        <v>633.41</v>
      </c>
      <c r="K645" s="141" t="n">
        <v>708.69</v>
      </c>
      <c r="L645" s="141" t="n">
        <v>170.97</v>
      </c>
      <c r="M645" s="141" t="n">
        <v>633.41</v>
      </c>
      <c r="N645" s="141" t="n">
        <v>0</v>
      </c>
      <c r="O645" s="141" t="n">
        <v>3.02</v>
      </c>
    </row>
    <row r="646" customFormat="false" ht="15" hidden="false" customHeight="false" outlineLevel="0" collapsed="false">
      <c r="A646" s="138" t="s">
        <v>2234</v>
      </c>
      <c r="B646" s="138" t="s">
        <v>2235</v>
      </c>
      <c r="C646" s="138" t="n">
        <v>562</v>
      </c>
      <c r="D646" s="138" t="n">
        <v>563</v>
      </c>
      <c r="E646" s="141" t="n">
        <f aca="false">F646/Parâmetros!$C$22</f>
        <v>315.1</v>
      </c>
      <c r="F646" s="141" t="n">
        <v>63.02</v>
      </c>
      <c r="G646" s="141" t="n">
        <v>0</v>
      </c>
      <c r="H646" s="141" t="n">
        <v>0</v>
      </c>
      <c r="I646" s="141" t="n">
        <v>0</v>
      </c>
      <c r="J646" s="141" t="n">
        <v>884.78</v>
      </c>
      <c r="K646" s="141" t="n">
        <v>595.76</v>
      </c>
      <c r="L646" s="141" t="n">
        <v>176.41</v>
      </c>
      <c r="M646" s="141" t="n">
        <v>884.78</v>
      </c>
      <c r="N646" s="141" t="n">
        <v>0</v>
      </c>
      <c r="O646" s="141" t="n">
        <v>4.03</v>
      </c>
    </row>
    <row r="647" customFormat="false" ht="15" hidden="false" customHeight="false" outlineLevel="0" collapsed="false">
      <c r="A647" s="138" t="s">
        <v>2235</v>
      </c>
      <c r="B647" s="138" t="s">
        <v>2236</v>
      </c>
      <c r="C647" s="138" t="n">
        <v>563</v>
      </c>
      <c r="D647" s="138" t="n">
        <v>564</v>
      </c>
      <c r="E647" s="141" t="n">
        <f aca="false">F647/Parâmetros!$C$22</f>
        <v>332.3</v>
      </c>
      <c r="F647" s="141" t="n">
        <v>66.46</v>
      </c>
      <c r="G647" s="141" t="n">
        <v>0</v>
      </c>
      <c r="H647" s="141" t="n">
        <v>0</v>
      </c>
      <c r="I647" s="141" t="n">
        <v>0</v>
      </c>
      <c r="J647" s="141" t="n">
        <v>930.75</v>
      </c>
      <c r="K647" s="141" t="n">
        <v>679.93</v>
      </c>
      <c r="L647" s="141" t="n">
        <v>176.41</v>
      </c>
      <c r="M647" s="141" t="n">
        <v>930.75</v>
      </c>
      <c r="N647" s="141" t="n">
        <v>0</v>
      </c>
      <c r="O647" s="141" t="n">
        <v>4.03</v>
      </c>
    </row>
    <row r="648" customFormat="false" ht="15" hidden="false" customHeight="false" outlineLevel="0" collapsed="false">
      <c r="A648" s="138" t="s">
        <v>2236</v>
      </c>
      <c r="B648" s="138" t="s">
        <v>2237</v>
      </c>
      <c r="C648" s="138" t="n">
        <v>564</v>
      </c>
      <c r="D648" s="138" t="n">
        <v>565</v>
      </c>
      <c r="E648" s="141" t="n">
        <f aca="false">F648/Parâmetros!$C$22</f>
        <v>354.55</v>
      </c>
      <c r="F648" s="141" t="n">
        <v>70.91</v>
      </c>
      <c r="G648" s="141" t="n">
        <v>0</v>
      </c>
      <c r="H648" s="141" t="n">
        <v>0</v>
      </c>
      <c r="I648" s="141" t="n">
        <v>0</v>
      </c>
      <c r="J648" s="141" t="n">
        <v>984.45</v>
      </c>
      <c r="K648" s="141" t="n">
        <v>763.79</v>
      </c>
      <c r="L648" s="141" t="n">
        <v>176.41</v>
      </c>
      <c r="M648" s="141" t="n">
        <v>984.45</v>
      </c>
      <c r="N648" s="141" t="n">
        <v>0</v>
      </c>
      <c r="O648" s="141" t="n">
        <v>4.03</v>
      </c>
    </row>
    <row r="649" customFormat="false" ht="15" hidden="false" customHeight="false" outlineLevel="0" collapsed="false">
      <c r="A649" s="138" t="s">
        <v>2237</v>
      </c>
      <c r="B649" s="138" t="s">
        <v>2238</v>
      </c>
      <c r="C649" s="138" t="n">
        <v>565</v>
      </c>
      <c r="D649" s="138" t="n">
        <v>566</v>
      </c>
      <c r="E649" s="141" t="n">
        <f aca="false">F649/Parâmetros!$C$22</f>
        <v>364.5</v>
      </c>
      <c r="F649" s="141" t="n">
        <v>72.9</v>
      </c>
      <c r="G649" s="141" t="n">
        <v>0</v>
      </c>
      <c r="H649" s="141" t="n">
        <v>0</v>
      </c>
      <c r="I649" s="141" t="n">
        <v>0</v>
      </c>
      <c r="J649" s="141" t="n">
        <v>1006.37</v>
      </c>
      <c r="K649" s="141" t="n">
        <v>798.32</v>
      </c>
      <c r="L649" s="141" t="n">
        <v>176.41</v>
      </c>
      <c r="M649" s="141" t="n">
        <v>1006.37</v>
      </c>
      <c r="N649" s="141" t="n">
        <v>0</v>
      </c>
      <c r="O649" s="141" t="n">
        <v>4.03</v>
      </c>
    </row>
    <row r="650" customFormat="false" ht="15" hidden="false" customHeight="false" outlineLevel="0" collapsed="false">
      <c r="A650" s="138" t="s">
        <v>2238</v>
      </c>
      <c r="B650" s="138" t="s">
        <v>2239</v>
      </c>
      <c r="C650" s="138" t="n">
        <v>566</v>
      </c>
      <c r="D650" s="138" t="n">
        <v>567</v>
      </c>
      <c r="E650" s="141" t="n">
        <f aca="false">F650/Parâmetros!$C$22</f>
        <v>337.85</v>
      </c>
      <c r="F650" s="141" t="n">
        <v>67.57</v>
      </c>
      <c r="G650" s="141" t="n">
        <v>0</v>
      </c>
      <c r="H650" s="141" t="n">
        <v>0</v>
      </c>
      <c r="I650" s="141" t="n">
        <v>0</v>
      </c>
      <c r="J650" s="141" t="n">
        <v>938.05</v>
      </c>
      <c r="K650" s="141" t="n">
        <v>768.05</v>
      </c>
      <c r="L650" s="141" t="n">
        <v>176.41</v>
      </c>
      <c r="M650" s="141" t="n">
        <v>938.05</v>
      </c>
      <c r="N650" s="141" t="n">
        <v>0</v>
      </c>
      <c r="O650" s="141" t="n">
        <v>4.03</v>
      </c>
    </row>
    <row r="651" customFormat="false" ht="15" hidden="false" customHeight="false" outlineLevel="0" collapsed="false">
      <c r="A651" s="138" t="s">
        <v>2239</v>
      </c>
      <c r="B651" s="138" t="s">
        <v>2240</v>
      </c>
      <c r="C651" s="138" t="n">
        <v>567</v>
      </c>
      <c r="D651" s="138" t="n">
        <v>568</v>
      </c>
      <c r="E651" s="141" t="n">
        <f aca="false">F651/Parâmetros!$C$22</f>
        <v>340.5</v>
      </c>
      <c r="F651" s="141" t="n">
        <v>68.1</v>
      </c>
      <c r="G651" s="141" t="n">
        <v>0</v>
      </c>
      <c r="H651" s="141" t="n">
        <v>0</v>
      </c>
      <c r="I651" s="141" t="n">
        <v>0</v>
      </c>
      <c r="J651" s="141" t="n">
        <v>915.27</v>
      </c>
      <c r="K651" s="141" t="n">
        <v>724.4</v>
      </c>
      <c r="L651" s="141" t="n">
        <v>176.41</v>
      </c>
      <c r="M651" s="141" t="n">
        <v>915.27</v>
      </c>
      <c r="N651" s="141" t="n">
        <v>0</v>
      </c>
      <c r="O651" s="141" t="n">
        <v>4.03</v>
      </c>
    </row>
    <row r="652" customFormat="false" ht="15" hidden="false" customHeight="false" outlineLevel="0" collapsed="false">
      <c r="A652" s="138" t="s">
        <v>2240</v>
      </c>
      <c r="B652" s="138" t="s">
        <v>2241</v>
      </c>
      <c r="C652" s="138" t="n">
        <v>568</v>
      </c>
      <c r="D652" s="138" t="n">
        <v>569</v>
      </c>
      <c r="E652" s="141" t="n">
        <f aca="false">F652/Parâmetros!$C$22</f>
        <v>312.1</v>
      </c>
      <c r="F652" s="141" t="n">
        <v>62.42</v>
      </c>
      <c r="G652" s="141" t="n">
        <v>0</v>
      </c>
      <c r="H652" s="141" t="n">
        <v>0</v>
      </c>
      <c r="I652" s="141" t="n">
        <v>0</v>
      </c>
      <c r="J652" s="141" t="n">
        <v>851.64</v>
      </c>
      <c r="K652" s="141" t="n">
        <v>687.56</v>
      </c>
      <c r="L652" s="141" t="n">
        <v>175.12</v>
      </c>
      <c r="M652" s="141" t="n">
        <v>851.64</v>
      </c>
      <c r="N652" s="141" t="n">
        <v>0</v>
      </c>
      <c r="O652" s="141" t="n">
        <v>4.03</v>
      </c>
    </row>
    <row r="653" customFormat="false" ht="15" hidden="false" customHeight="false" outlineLevel="0" collapsed="false">
      <c r="A653" s="138" t="s">
        <v>2241</v>
      </c>
      <c r="B653" s="138" t="s">
        <v>2242</v>
      </c>
      <c r="C653" s="138" t="n">
        <v>569</v>
      </c>
      <c r="D653" s="138" t="n">
        <v>570</v>
      </c>
      <c r="E653" s="141" t="n">
        <f aca="false">F653/Parâmetros!$C$22</f>
        <v>277.1</v>
      </c>
      <c r="F653" s="141" t="n">
        <v>55.42</v>
      </c>
      <c r="G653" s="141" t="n">
        <v>0</v>
      </c>
      <c r="H653" s="141" t="n">
        <v>0</v>
      </c>
      <c r="I653" s="141" t="n">
        <v>0</v>
      </c>
      <c r="J653" s="141" t="n">
        <v>556.65</v>
      </c>
      <c r="K653" s="141" t="n">
        <v>699.21</v>
      </c>
      <c r="L653" s="141" t="n">
        <v>175.12</v>
      </c>
      <c r="M653" s="141" t="n">
        <v>556.65</v>
      </c>
      <c r="N653" s="141" t="n">
        <v>0</v>
      </c>
      <c r="O653" s="141" t="n">
        <v>4.03</v>
      </c>
    </row>
    <row r="654" customFormat="false" ht="15" hidden="false" customHeight="false" outlineLevel="0" collapsed="false">
      <c r="A654" s="138" t="s">
        <v>2242</v>
      </c>
      <c r="B654" s="138" t="s">
        <v>2243</v>
      </c>
      <c r="C654" s="138" t="n">
        <v>570</v>
      </c>
      <c r="D654" s="138" t="n">
        <v>571</v>
      </c>
      <c r="E654" s="141" t="n">
        <f aca="false">F654/Parâmetros!$C$22</f>
        <v>279.05</v>
      </c>
      <c r="F654" s="141" t="n">
        <v>55.81</v>
      </c>
      <c r="G654" s="141" t="n">
        <v>0</v>
      </c>
      <c r="H654" s="141" t="n">
        <v>0</v>
      </c>
      <c r="I654" s="141" t="n">
        <v>0</v>
      </c>
      <c r="J654" s="141" t="n">
        <v>177.35</v>
      </c>
      <c r="K654" s="141" t="n">
        <v>652.19</v>
      </c>
      <c r="L654" s="141" t="n">
        <v>176.41</v>
      </c>
      <c r="M654" s="141" t="n">
        <v>177.35</v>
      </c>
      <c r="N654" s="141" t="n">
        <v>0</v>
      </c>
      <c r="O654" s="141" t="n">
        <v>4.03</v>
      </c>
    </row>
    <row r="655" customFormat="false" ht="15" hidden="false" customHeight="false" outlineLevel="0" collapsed="false">
      <c r="A655" s="138" t="s">
        <v>2243</v>
      </c>
      <c r="B655" s="138" t="s">
        <v>2244</v>
      </c>
      <c r="C655" s="138" t="n">
        <v>571</v>
      </c>
      <c r="D655" s="138" t="n">
        <v>572</v>
      </c>
      <c r="E655" s="141" t="n">
        <f aca="false">F655/Parâmetros!$C$22</f>
        <v>489.45</v>
      </c>
      <c r="F655" s="141" t="n">
        <v>97.89</v>
      </c>
      <c r="G655" s="141" t="n">
        <v>9.92</v>
      </c>
      <c r="H655" s="141" t="n">
        <v>0</v>
      </c>
      <c r="I655" s="141" t="n">
        <v>0</v>
      </c>
      <c r="J655" s="141" t="n">
        <v>0</v>
      </c>
      <c r="K655" s="141" t="n">
        <v>680.35</v>
      </c>
      <c r="L655" s="141" t="n">
        <v>166.41</v>
      </c>
      <c r="M655" s="141" t="n">
        <v>0</v>
      </c>
      <c r="N655" s="141" t="n">
        <v>0</v>
      </c>
      <c r="O655" s="141" t="n">
        <v>3.02</v>
      </c>
    </row>
    <row r="656" customFormat="false" ht="15" hidden="false" customHeight="false" outlineLevel="0" collapsed="false">
      <c r="A656" s="138" t="s">
        <v>2244</v>
      </c>
      <c r="B656" s="138" t="s">
        <v>2246</v>
      </c>
      <c r="C656" s="138" t="n">
        <v>572</v>
      </c>
      <c r="D656" s="138" t="n">
        <v>573</v>
      </c>
      <c r="E656" s="141" t="n">
        <f aca="false">F656/Parâmetros!$C$22</f>
        <v>476.65</v>
      </c>
      <c r="F656" s="141" t="n">
        <v>95.33</v>
      </c>
      <c r="G656" s="141" t="n">
        <v>9.92</v>
      </c>
      <c r="H656" s="141" t="n">
        <v>0</v>
      </c>
      <c r="I656" s="141" t="n">
        <v>0</v>
      </c>
      <c r="J656" s="141" t="n">
        <v>0</v>
      </c>
      <c r="K656" s="141" t="n">
        <v>561.24</v>
      </c>
      <c r="L656" s="141" t="n">
        <v>164.72</v>
      </c>
      <c r="M656" s="141" t="n">
        <v>0</v>
      </c>
      <c r="N656" s="141" t="n">
        <v>0</v>
      </c>
      <c r="O656" s="141" t="n">
        <v>3.02</v>
      </c>
    </row>
    <row r="657" customFormat="false" ht="15" hidden="false" customHeight="false" outlineLevel="0" collapsed="false">
      <c r="A657" s="138" t="s">
        <v>2246</v>
      </c>
      <c r="B657" s="138" t="s">
        <v>2247</v>
      </c>
      <c r="C657" s="138" t="n">
        <v>573</v>
      </c>
      <c r="D657" s="138" t="n">
        <v>574</v>
      </c>
      <c r="E657" s="141" t="n">
        <f aca="false">F657/Parâmetros!$C$22</f>
        <v>249.9</v>
      </c>
      <c r="F657" s="141" t="n">
        <v>49.98</v>
      </c>
      <c r="G657" s="141" t="n">
        <v>0</v>
      </c>
      <c r="H657" s="141" t="n">
        <v>0</v>
      </c>
      <c r="I657" s="141" t="n">
        <v>0</v>
      </c>
      <c r="J657" s="141" t="n">
        <v>0</v>
      </c>
      <c r="K657" s="141" t="n">
        <v>315.18</v>
      </c>
      <c r="L657" s="141" t="n">
        <v>174.38</v>
      </c>
      <c r="M657" s="141" t="n">
        <v>0</v>
      </c>
      <c r="N657" s="141" t="n">
        <v>0</v>
      </c>
      <c r="O657" s="141" t="n">
        <v>4.03</v>
      </c>
    </row>
    <row r="658" customFormat="false" ht="15" hidden="false" customHeight="false" outlineLevel="0" collapsed="false">
      <c r="A658" s="138" t="s">
        <v>2247</v>
      </c>
      <c r="B658" s="138" t="s">
        <v>2248</v>
      </c>
      <c r="C658" s="138" t="n">
        <v>574</v>
      </c>
      <c r="D658" s="138" t="n">
        <v>575</v>
      </c>
      <c r="E658" s="141" t="n">
        <f aca="false">F658/Parâmetros!$C$22</f>
        <v>263.55</v>
      </c>
      <c r="F658" s="141" t="n">
        <v>52.71</v>
      </c>
      <c r="G658" s="141" t="n">
        <v>0</v>
      </c>
      <c r="H658" s="141" t="n">
        <v>0</v>
      </c>
      <c r="I658" s="141" t="n">
        <v>0</v>
      </c>
      <c r="J658" s="141" t="n">
        <v>0</v>
      </c>
      <c r="K658" s="141" t="n">
        <v>295.78</v>
      </c>
      <c r="L658" s="141" t="n">
        <v>176.07</v>
      </c>
      <c r="M658" s="141" t="n">
        <v>0</v>
      </c>
      <c r="N658" s="141" t="n">
        <v>0</v>
      </c>
      <c r="O658" s="141" t="n">
        <v>4.03</v>
      </c>
    </row>
    <row r="659" customFormat="false" ht="15" hidden="false" customHeight="false" outlineLevel="0" collapsed="false">
      <c r="A659" s="138" t="s">
        <v>2248</v>
      </c>
      <c r="B659" s="138" t="s">
        <v>3847</v>
      </c>
      <c r="C659" s="138" t="n">
        <v>575</v>
      </c>
      <c r="D659" s="138" t="n">
        <v>575.206</v>
      </c>
      <c r="E659" s="141" t="n">
        <f aca="false">F659/Parâmetros!$C$22</f>
        <v>54.35</v>
      </c>
      <c r="F659" s="141" t="n">
        <v>10.87</v>
      </c>
      <c r="G659" s="141" t="n">
        <v>0</v>
      </c>
      <c r="H659" s="141" t="n">
        <v>0</v>
      </c>
      <c r="I659" s="141" t="n">
        <v>0</v>
      </c>
      <c r="J659" s="141" t="n">
        <v>0</v>
      </c>
      <c r="K659" s="141" t="n">
        <v>59.6</v>
      </c>
      <c r="L659" s="141" t="n">
        <v>36.3</v>
      </c>
      <c r="M659" s="141" t="n">
        <v>0</v>
      </c>
      <c r="N659" s="141" t="n">
        <v>0</v>
      </c>
      <c r="O659" s="141" t="n">
        <v>0.83</v>
      </c>
    </row>
    <row r="660" customFormat="false" ht="15" hidden="false" customHeight="false" outlineLevel="0" collapsed="false">
      <c r="A660" s="138" t="s">
        <v>3847</v>
      </c>
      <c r="B660" s="138" t="s">
        <v>2249</v>
      </c>
      <c r="C660" s="138" t="n">
        <v>575.206</v>
      </c>
      <c r="D660" s="138" t="n">
        <v>576</v>
      </c>
      <c r="E660" s="141" t="n">
        <f aca="false">F660/Parâmetros!$C$22</f>
        <v>205.2</v>
      </c>
      <c r="F660" s="141" t="n">
        <v>41.04</v>
      </c>
      <c r="G660" s="141" t="n">
        <v>0</v>
      </c>
      <c r="H660" s="141" t="n">
        <v>0</v>
      </c>
      <c r="I660" s="141" t="n">
        <v>0</v>
      </c>
      <c r="J660" s="141" t="n">
        <v>0</v>
      </c>
      <c r="K660" s="141" t="n">
        <v>207.79</v>
      </c>
      <c r="L660" s="141" t="n">
        <v>139.3</v>
      </c>
      <c r="M660" s="141" t="n">
        <v>0</v>
      </c>
      <c r="N660" s="141" t="n">
        <v>0</v>
      </c>
      <c r="O660" s="141" t="n">
        <v>3.2</v>
      </c>
    </row>
    <row r="661" customFormat="false" ht="15" hidden="false" customHeight="false" outlineLevel="0" collapsed="false">
      <c r="A661" s="138" t="s">
        <v>2249</v>
      </c>
      <c r="B661" s="138" t="s">
        <v>3848</v>
      </c>
      <c r="C661" s="138" t="n">
        <v>576</v>
      </c>
      <c r="D661" s="138" t="n">
        <v>576.602</v>
      </c>
      <c r="E661" s="141" t="n">
        <f aca="false">F661/Parâmetros!$C$22</f>
        <v>153.4</v>
      </c>
      <c r="F661" s="141" t="n">
        <v>30.68</v>
      </c>
      <c r="G661" s="141" t="n">
        <v>0</v>
      </c>
      <c r="H661" s="141" t="n">
        <v>0</v>
      </c>
      <c r="I661" s="141" t="n">
        <v>0</v>
      </c>
      <c r="J661" s="141" t="n">
        <v>0</v>
      </c>
      <c r="K661" s="141" t="n">
        <v>148.31</v>
      </c>
      <c r="L661" s="141" t="n">
        <v>102.32</v>
      </c>
      <c r="M661" s="141" t="n">
        <v>0</v>
      </c>
      <c r="N661" s="141" t="n">
        <v>0</v>
      </c>
      <c r="O661" s="141" t="n">
        <v>2.43</v>
      </c>
    </row>
    <row r="662" customFormat="false" ht="15" hidden="false" customHeight="false" outlineLevel="0" collapsed="false">
      <c r="A662" s="138" t="s">
        <v>3848</v>
      </c>
      <c r="B662" s="138" t="s">
        <v>2250</v>
      </c>
      <c r="C662" s="138" t="n">
        <v>576.602</v>
      </c>
      <c r="D662" s="138" t="n">
        <v>577</v>
      </c>
      <c r="E662" s="141" t="n">
        <f aca="false">F662/Parâmetros!$C$22</f>
        <v>102.3</v>
      </c>
      <c r="F662" s="141" t="n">
        <v>20.46</v>
      </c>
      <c r="G662" s="141" t="n">
        <v>0</v>
      </c>
      <c r="H662" s="141" t="n">
        <v>0</v>
      </c>
      <c r="I662" s="141" t="n">
        <v>0</v>
      </c>
      <c r="J662" s="141" t="n">
        <v>0</v>
      </c>
      <c r="K662" s="141" t="n">
        <v>99.26</v>
      </c>
      <c r="L662" s="141" t="n">
        <v>68.07</v>
      </c>
      <c r="M662" s="141" t="n">
        <v>0</v>
      </c>
      <c r="N662" s="141" t="n">
        <v>0</v>
      </c>
      <c r="O662" s="141" t="n">
        <v>1.6</v>
      </c>
    </row>
    <row r="663" customFormat="false" ht="15" hidden="false" customHeight="false" outlineLevel="0" collapsed="false">
      <c r="A663" s="138" t="s">
        <v>2250</v>
      </c>
      <c r="B663" s="138" t="s">
        <v>3849</v>
      </c>
      <c r="C663" s="138" t="n">
        <v>577</v>
      </c>
      <c r="D663" s="138" t="n">
        <v>577.998</v>
      </c>
      <c r="E663" s="141" t="n">
        <f aca="false">F663/Parâmetros!$C$22</f>
        <v>256.6</v>
      </c>
      <c r="F663" s="141" t="n">
        <v>51.32</v>
      </c>
      <c r="G663" s="141" t="n">
        <v>0</v>
      </c>
      <c r="H663" s="141" t="n">
        <v>0</v>
      </c>
      <c r="I663" s="141" t="n">
        <v>0</v>
      </c>
      <c r="J663" s="141" t="n">
        <v>0</v>
      </c>
      <c r="K663" s="141" t="n">
        <v>246.56</v>
      </c>
      <c r="L663" s="141" t="n">
        <v>175.17</v>
      </c>
      <c r="M663" s="141" t="n">
        <v>0</v>
      </c>
      <c r="N663" s="141" t="n">
        <v>0</v>
      </c>
      <c r="O663" s="141" t="n">
        <v>4.02</v>
      </c>
    </row>
    <row r="664" customFormat="false" ht="15" hidden="false" customHeight="false" outlineLevel="0" collapsed="false">
      <c r="A664" s="138" t="s">
        <v>3849</v>
      </c>
      <c r="B664" s="138" t="s">
        <v>2251</v>
      </c>
      <c r="C664" s="138" t="n">
        <v>577.998</v>
      </c>
      <c r="D664" s="138" t="n">
        <v>578</v>
      </c>
      <c r="E664" s="141" t="n">
        <f aca="false">F664/Parâmetros!$C$22</f>
        <v>0.5</v>
      </c>
      <c r="F664" s="141" t="n">
        <v>0.1</v>
      </c>
      <c r="G664" s="141" t="n">
        <v>0</v>
      </c>
      <c r="H664" s="141" t="n">
        <v>0</v>
      </c>
      <c r="I664" s="141" t="n">
        <v>0</v>
      </c>
      <c r="J664" s="141" t="n">
        <v>0</v>
      </c>
      <c r="K664" s="141" t="n">
        <v>0.48</v>
      </c>
      <c r="L664" s="141" t="n">
        <v>0.34</v>
      </c>
      <c r="M664" s="141" t="n">
        <v>0</v>
      </c>
      <c r="N664" s="141" t="n">
        <v>0</v>
      </c>
      <c r="O664" s="141" t="n">
        <v>0.01</v>
      </c>
    </row>
    <row r="665" customFormat="false" ht="15" hidden="false" customHeight="false" outlineLevel="0" collapsed="false">
      <c r="A665" s="138" t="s">
        <v>2251</v>
      </c>
      <c r="B665" s="138" t="s">
        <v>2252</v>
      </c>
      <c r="C665" s="138" t="n">
        <v>578</v>
      </c>
      <c r="D665" s="138" t="n">
        <v>579</v>
      </c>
      <c r="E665" s="141" t="n">
        <f aca="false">F665/Parâmetros!$C$22</f>
        <v>260.85</v>
      </c>
      <c r="F665" s="141" t="n">
        <v>52.17</v>
      </c>
      <c r="G665" s="141" t="n">
        <v>0</v>
      </c>
      <c r="H665" s="141" t="n">
        <v>0</v>
      </c>
      <c r="I665" s="141" t="n">
        <v>0</v>
      </c>
      <c r="J665" s="141" t="n">
        <v>0</v>
      </c>
      <c r="K665" s="141" t="n">
        <v>253.03</v>
      </c>
      <c r="L665" s="141" t="n">
        <v>170.1</v>
      </c>
      <c r="M665" s="141" t="n">
        <v>0</v>
      </c>
      <c r="N665" s="141" t="n">
        <v>0</v>
      </c>
      <c r="O665" s="141" t="n">
        <v>4.03</v>
      </c>
    </row>
    <row r="666" customFormat="false" ht="15" hidden="false" customHeight="false" outlineLevel="0" collapsed="false">
      <c r="A666" s="138" t="s">
        <v>2252</v>
      </c>
      <c r="B666" s="138" t="s">
        <v>2253</v>
      </c>
      <c r="C666" s="138" t="n">
        <v>579</v>
      </c>
      <c r="D666" s="138" t="n">
        <v>580</v>
      </c>
      <c r="E666" s="141" t="n">
        <f aca="false">F666/Parâmetros!$C$22</f>
        <v>292.9</v>
      </c>
      <c r="F666" s="141" t="n">
        <v>58.58</v>
      </c>
      <c r="G666" s="141" t="n">
        <v>0</v>
      </c>
      <c r="H666" s="141" t="n">
        <v>0</v>
      </c>
      <c r="I666" s="141" t="n">
        <v>0</v>
      </c>
      <c r="J666" s="141" t="n">
        <v>0</v>
      </c>
      <c r="K666" s="141" t="n">
        <v>354.91</v>
      </c>
      <c r="L666" s="141" t="n">
        <v>171</v>
      </c>
      <c r="M666" s="141" t="n">
        <v>0</v>
      </c>
      <c r="N666" s="141" t="n">
        <v>0</v>
      </c>
      <c r="O666" s="141" t="n">
        <v>4.03</v>
      </c>
    </row>
    <row r="667" customFormat="false" ht="15" hidden="false" customHeight="false" outlineLevel="0" collapsed="false">
      <c r="A667" s="138" t="s">
        <v>2253</v>
      </c>
      <c r="B667" s="138" t="s">
        <v>2254</v>
      </c>
      <c r="C667" s="138" t="n">
        <v>580</v>
      </c>
      <c r="D667" s="138" t="n">
        <v>581</v>
      </c>
      <c r="E667" s="141" t="n">
        <f aca="false">F667/Parâmetros!$C$22</f>
        <v>282.65</v>
      </c>
      <c r="F667" s="141" t="n">
        <v>56.53</v>
      </c>
      <c r="G667" s="141" t="n">
        <v>0</v>
      </c>
      <c r="H667" s="141" t="n">
        <v>0</v>
      </c>
      <c r="I667" s="141" t="n">
        <v>0</v>
      </c>
      <c r="J667" s="141" t="n">
        <v>0</v>
      </c>
      <c r="K667" s="141" t="n">
        <v>361.56</v>
      </c>
      <c r="L667" s="141" t="n">
        <v>176.41</v>
      </c>
      <c r="M667" s="141" t="n">
        <v>0</v>
      </c>
      <c r="N667" s="141" t="n">
        <v>0</v>
      </c>
      <c r="O667" s="141" t="n">
        <v>4.03</v>
      </c>
    </row>
    <row r="668" customFormat="false" ht="15" hidden="false" customHeight="false" outlineLevel="0" collapsed="false">
      <c r="A668" s="138" t="s">
        <v>2254</v>
      </c>
      <c r="B668" s="138" t="s">
        <v>2255</v>
      </c>
      <c r="C668" s="138" t="n">
        <v>581</v>
      </c>
      <c r="D668" s="138" t="n">
        <v>582</v>
      </c>
      <c r="E668" s="141" t="n">
        <f aca="false">F668/Parâmetros!$C$22</f>
        <v>252.9</v>
      </c>
      <c r="F668" s="141" t="n">
        <v>50.58</v>
      </c>
      <c r="G668" s="141" t="n">
        <v>7.07</v>
      </c>
      <c r="H668" s="141" t="n">
        <v>0</v>
      </c>
      <c r="I668" s="141" t="n">
        <v>0</v>
      </c>
      <c r="J668" s="141" t="n">
        <v>0</v>
      </c>
      <c r="K668" s="141" t="n">
        <v>259.71</v>
      </c>
      <c r="L668" s="141" t="n">
        <v>165.98</v>
      </c>
      <c r="M668" s="141" t="n">
        <v>0</v>
      </c>
      <c r="N668" s="141" t="n">
        <v>0</v>
      </c>
      <c r="O668" s="141" t="n">
        <v>3.02</v>
      </c>
    </row>
    <row r="669" customFormat="false" ht="15" hidden="false" customHeight="false" outlineLevel="0" collapsed="false">
      <c r="A669" s="138" t="s">
        <v>2255</v>
      </c>
      <c r="B669" s="138" t="s">
        <v>2256</v>
      </c>
      <c r="C669" s="138" t="n">
        <v>582</v>
      </c>
      <c r="D669" s="138" t="n">
        <v>583</v>
      </c>
      <c r="E669" s="141" t="n">
        <f aca="false">F669/Parâmetros!$C$22</f>
        <v>246.4</v>
      </c>
      <c r="F669" s="141" t="n">
        <v>49.28</v>
      </c>
      <c r="G669" s="141" t="n">
        <v>8.5</v>
      </c>
      <c r="H669" s="141" t="n">
        <v>0</v>
      </c>
      <c r="I669" s="141" t="n">
        <v>0</v>
      </c>
      <c r="J669" s="141" t="n">
        <v>0</v>
      </c>
      <c r="K669" s="141" t="n">
        <v>179.04</v>
      </c>
      <c r="L669" s="141" t="n">
        <v>163.31</v>
      </c>
      <c r="M669" s="141" t="n">
        <v>0</v>
      </c>
      <c r="N669" s="141" t="n">
        <v>0</v>
      </c>
      <c r="O669" s="141" t="n">
        <v>3.02</v>
      </c>
    </row>
    <row r="670" customFormat="false" ht="15" hidden="false" customHeight="false" outlineLevel="0" collapsed="false">
      <c r="A670" s="138" t="s">
        <v>2256</v>
      </c>
      <c r="B670" s="138" t="s">
        <v>2257</v>
      </c>
      <c r="C670" s="138" t="n">
        <v>583</v>
      </c>
      <c r="D670" s="138" t="n">
        <v>584</v>
      </c>
      <c r="E670" s="141" t="n">
        <f aca="false">F670/Parâmetros!$C$22</f>
        <v>222.25</v>
      </c>
      <c r="F670" s="141" t="n">
        <v>44.45</v>
      </c>
      <c r="G670" s="141" t="n">
        <v>8.75</v>
      </c>
      <c r="H670" s="141" t="n">
        <v>0</v>
      </c>
      <c r="I670" s="141" t="n">
        <v>0</v>
      </c>
      <c r="J670" s="141" t="n">
        <v>0</v>
      </c>
      <c r="K670" s="141" t="n">
        <v>73.57</v>
      </c>
      <c r="L670" s="141" t="n">
        <v>163.04</v>
      </c>
      <c r="M670" s="141" t="n">
        <v>0</v>
      </c>
      <c r="N670" s="141" t="n">
        <v>0</v>
      </c>
      <c r="O670" s="141" t="n">
        <v>4</v>
      </c>
    </row>
    <row r="671" customFormat="false" ht="15" hidden="false" customHeight="false" outlineLevel="0" collapsed="false">
      <c r="A671" s="138" t="s">
        <v>2257</v>
      </c>
      <c r="B671" s="138" t="s">
        <v>3850</v>
      </c>
      <c r="C671" s="138" t="n">
        <v>584</v>
      </c>
      <c r="D671" s="138" t="n">
        <v>584.928</v>
      </c>
      <c r="E671" s="141" t="n">
        <f aca="false">F671/Parâmetros!$C$22</f>
        <v>229</v>
      </c>
      <c r="F671" s="141" t="n">
        <v>45.8</v>
      </c>
      <c r="G671" s="141" t="n">
        <v>55.99</v>
      </c>
      <c r="H671" s="141" t="n">
        <v>0</v>
      </c>
      <c r="I671" s="141" t="n">
        <v>0</v>
      </c>
      <c r="J671" s="141" t="n">
        <v>0</v>
      </c>
      <c r="K671" s="141" t="n">
        <v>21.27</v>
      </c>
      <c r="L671" s="141" t="n">
        <v>143.73</v>
      </c>
      <c r="M671" s="141" t="n">
        <v>0</v>
      </c>
      <c r="N671" s="141" t="n">
        <v>0</v>
      </c>
      <c r="O671" s="141" t="n">
        <v>3.81</v>
      </c>
    </row>
    <row r="672" customFormat="false" ht="15" hidden="false" customHeight="false" outlineLevel="0" collapsed="false">
      <c r="A672" s="138" t="s">
        <v>3850</v>
      </c>
      <c r="B672" s="138" t="s">
        <v>2258</v>
      </c>
      <c r="C672" s="138" t="n">
        <v>584.928</v>
      </c>
      <c r="D672" s="138" t="n">
        <v>585</v>
      </c>
      <c r="E672" s="141" t="n">
        <f aca="false">F672/Parâmetros!$C$22</f>
        <v>20.35</v>
      </c>
      <c r="F672" s="141" t="n">
        <v>4.07</v>
      </c>
      <c r="G672" s="141" t="n">
        <v>7.92</v>
      </c>
      <c r="H672" s="141" t="n">
        <v>0</v>
      </c>
      <c r="I672" s="141" t="n">
        <v>0</v>
      </c>
      <c r="J672" s="141" t="n">
        <v>0</v>
      </c>
      <c r="K672" s="141" t="n">
        <v>0.52</v>
      </c>
      <c r="L672" s="141" t="n">
        <v>11.11</v>
      </c>
      <c r="M672" s="141" t="n">
        <v>0</v>
      </c>
      <c r="N672" s="141" t="n">
        <v>0</v>
      </c>
      <c r="O672" s="141" t="n">
        <v>0.3</v>
      </c>
    </row>
    <row r="673" customFormat="false" ht="15" hidden="false" customHeight="false" outlineLevel="0" collapsed="false">
      <c r="A673" s="138" t="s">
        <v>2258</v>
      </c>
      <c r="B673" s="138" t="s">
        <v>2259</v>
      </c>
      <c r="C673" s="138" t="n">
        <v>585</v>
      </c>
      <c r="D673" s="138" t="n">
        <v>586</v>
      </c>
      <c r="E673" s="141" t="n">
        <f aca="false">F673/Parâmetros!$C$22</f>
        <v>290.75</v>
      </c>
      <c r="F673" s="141" t="n">
        <v>58.15</v>
      </c>
      <c r="G673" s="141" t="n">
        <v>197.57</v>
      </c>
      <c r="H673" s="141" t="n">
        <v>0</v>
      </c>
      <c r="I673" s="141" t="n">
        <v>0</v>
      </c>
      <c r="J673" s="141" t="n">
        <v>0</v>
      </c>
      <c r="K673" s="141" t="n">
        <v>3.93</v>
      </c>
      <c r="L673" s="141" t="n">
        <v>154.66</v>
      </c>
      <c r="M673" s="141" t="n">
        <v>0</v>
      </c>
      <c r="N673" s="141" t="n">
        <v>0</v>
      </c>
      <c r="O673" s="141" t="n">
        <v>4.23</v>
      </c>
    </row>
    <row r="674" customFormat="false" ht="15" hidden="false" customHeight="false" outlineLevel="0" collapsed="false">
      <c r="A674" s="138" t="s">
        <v>2259</v>
      </c>
      <c r="B674" s="138" t="s">
        <v>2260</v>
      </c>
      <c r="C674" s="138" t="n">
        <v>586</v>
      </c>
      <c r="D674" s="138" t="n">
        <v>587</v>
      </c>
      <c r="E674" s="141" t="n">
        <f aca="false">F674/Parâmetros!$C$22</f>
        <v>303.9</v>
      </c>
      <c r="F674" s="141" t="n">
        <v>60.78</v>
      </c>
      <c r="G674" s="141" t="n">
        <v>374.01</v>
      </c>
      <c r="H674" s="141" t="n">
        <v>0</v>
      </c>
      <c r="I674" s="141" t="n">
        <v>0</v>
      </c>
      <c r="J674" s="141" t="n">
        <v>0</v>
      </c>
      <c r="K674" s="141" t="n">
        <v>0</v>
      </c>
      <c r="L674" s="141" t="n">
        <v>154.66</v>
      </c>
      <c r="M674" s="141" t="n">
        <v>0</v>
      </c>
      <c r="N674" s="141" t="n">
        <v>0</v>
      </c>
      <c r="O674" s="141" t="n">
        <v>4.23</v>
      </c>
    </row>
    <row r="675" customFormat="false" ht="15" hidden="false" customHeight="false" outlineLevel="0" collapsed="false">
      <c r="A675" s="138" t="s">
        <v>2260</v>
      </c>
      <c r="B675" s="138" t="s">
        <v>2261</v>
      </c>
      <c r="C675" s="138" t="n">
        <v>587</v>
      </c>
      <c r="D675" s="138" t="n">
        <v>588</v>
      </c>
      <c r="E675" s="141" t="n">
        <f aca="false">F675/Parâmetros!$C$22</f>
        <v>306.95</v>
      </c>
      <c r="F675" s="141" t="n">
        <v>61.39</v>
      </c>
      <c r="G675" s="141" t="n">
        <v>470.2</v>
      </c>
      <c r="H675" s="141" t="n">
        <v>0</v>
      </c>
      <c r="I675" s="141" t="n">
        <v>0</v>
      </c>
      <c r="J675" s="141" t="n">
        <v>0</v>
      </c>
      <c r="K675" s="141" t="n">
        <v>0</v>
      </c>
      <c r="L675" s="141" t="n">
        <v>154.66</v>
      </c>
      <c r="M675" s="141" t="n">
        <v>0</v>
      </c>
      <c r="N675" s="141" t="n">
        <v>0</v>
      </c>
      <c r="O675" s="141" t="n">
        <v>4.23</v>
      </c>
    </row>
    <row r="676" customFormat="false" ht="15" hidden="false" customHeight="false" outlineLevel="0" collapsed="false">
      <c r="A676" s="138" t="s">
        <v>2261</v>
      </c>
      <c r="B676" s="138" t="s">
        <v>2262</v>
      </c>
      <c r="C676" s="138" t="n">
        <v>588</v>
      </c>
      <c r="D676" s="138" t="n">
        <v>589</v>
      </c>
      <c r="E676" s="141" t="n">
        <f aca="false">F676/Parâmetros!$C$22</f>
        <v>295.35</v>
      </c>
      <c r="F676" s="141" t="n">
        <v>59.07</v>
      </c>
      <c r="G676" s="141" t="n">
        <v>405.96</v>
      </c>
      <c r="H676" s="141" t="n">
        <v>0</v>
      </c>
      <c r="I676" s="141" t="n">
        <v>0</v>
      </c>
      <c r="J676" s="141" t="n">
        <v>0</v>
      </c>
      <c r="K676" s="141" t="n">
        <v>0</v>
      </c>
      <c r="L676" s="141" t="n">
        <v>154.66</v>
      </c>
      <c r="M676" s="141" t="n">
        <v>0</v>
      </c>
      <c r="N676" s="141" t="n">
        <v>0</v>
      </c>
      <c r="O676" s="141" t="n">
        <v>4.23</v>
      </c>
    </row>
    <row r="677" customFormat="false" ht="15" hidden="false" customHeight="false" outlineLevel="0" collapsed="false">
      <c r="A677" s="138" t="s">
        <v>2262</v>
      </c>
      <c r="B677" s="138" t="s">
        <v>3851</v>
      </c>
      <c r="C677" s="138" t="n">
        <v>589</v>
      </c>
      <c r="D677" s="138" t="n">
        <v>589.395</v>
      </c>
      <c r="E677" s="141" t="n">
        <f aca="false">F677/Parâmetros!$C$22</f>
        <v>112</v>
      </c>
      <c r="F677" s="141" t="n">
        <v>22.4</v>
      </c>
      <c r="G677" s="141" t="n">
        <v>121.06</v>
      </c>
      <c r="H677" s="141" t="n">
        <v>0</v>
      </c>
      <c r="I677" s="141" t="n">
        <v>0</v>
      </c>
      <c r="J677" s="141" t="n">
        <v>0</v>
      </c>
      <c r="K677" s="141" t="n">
        <v>0</v>
      </c>
      <c r="L677" s="141" t="n">
        <v>61.07</v>
      </c>
      <c r="M677" s="141" t="n">
        <v>0</v>
      </c>
      <c r="N677" s="141" t="n">
        <v>0</v>
      </c>
      <c r="O677" s="141" t="n">
        <v>1.67</v>
      </c>
    </row>
    <row r="678" customFormat="false" ht="15" hidden="false" customHeight="false" outlineLevel="0" collapsed="false">
      <c r="A678" s="138" t="s">
        <v>3851</v>
      </c>
      <c r="B678" s="138" t="s">
        <v>2263</v>
      </c>
      <c r="C678" s="138" t="n">
        <v>589.395</v>
      </c>
      <c r="D678" s="138" t="n">
        <v>590</v>
      </c>
      <c r="E678" s="141" t="n">
        <f aca="false">F678/Parâmetros!$C$22</f>
        <v>166.2</v>
      </c>
      <c r="F678" s="141" t="n">
        <v>33.24</v>
      </c>
      <c r="G678" s="141" t="n">
        <v>140.37</v>
      </c>
      <c r="H678" s="141" t="n">
        <v>0</v>
      </c>
      <c r="I678" s="141" t="n">
        <v>0</v>
      </c>
      <c r="J678" s="141" t="n">
        <v>0</v>
      </c>
      <c r="K678" s="141" t="n">
        <v>0</v>
      </c>
      <c r="L678" s="141" t="n">
        <v>93.59</v>
      </c>
      <c r="M678" s="141" t="n">
        <v>0</v>
      </c>
      <c r="N678" s="141" t="n">
        <v>0</v>
      </c>
      <c r="O678" s="141" t="n">
        <v>2.56</v>
      </c>
    </row>
    <row r="679" customFormat="false" ht="15" hidden="false" customHeight="false" outlineLevel="0" collapsed="false">
      <c r="A679" s="138" t="s">
        <v>2263</v>
      </c>
      <c r="B679" s="138" t="s">
        <v>2264</v>
      </c>
      <c r="C679" s="138" t="n">
        <v>590</v>
      </c>
      <c r="D679" s="138" t="n">
        <v>591</v>
      </c>
      <c r="E679" s="141" t="n">
        <f aca="false">F679/Parâmetros!$C$22</f>
        <v>355.25</v>
      </c>
      <c r="F679" s="141" t="n">
        <v>71.05</v>
      </c>
      <c r="G679" s="141" t="n">
        <v>141.86</v>
      </c>
      <c r="H679" s="141" t="n">
        <v>0</v>
      </c>
      <c r="I679" s="141" t="n">
        <v>0</v>
      </c>
      <c r="J679" s="141" t="n">
        <v>0</v>
      </c>
      <c r="K679" s="141" t="n">
        <v>11.88</v>
      </c>
      <c r="L679" s="141" t="n">
        <v>149.67</v>
      </c>
      <c r="M679" s="141" t="n">
        <v>0</v>
      </c>
      <c r="N679" s="141" t="n">
        <v>0</v>
      </c>
      <c r="O679" s="141" t="n">
        <v>3.07</v>
      </c>
    </row>
    <row r="680" customFormat="false" ht="15" hidden="false" customHeight="false" outlineLevel="0" collapsed="false">
      <c r="A680" s="138" t="s">
        <v>2264</v>
      </c>
      <c r="B680" s="138" t="s">
        <v>2265</v>
      </c>
      <c r="C680" s="138" t="n">
        <v>591</v>
      </c>
      <c r="D680" s="138" t="n">
        <v>592</v>
      </c>
      <c r="E680" s="141" t="n">
        <f aca="false">F680/Parâmetros!$C$22</f>
        <v>336</v>
      </c>
      <c r="F680" s="141" t="n">
        <v>67.2</v>
      </c>
      <c r="G680" s="141" t="n">
        <v>77.52</v>
      </c>
      <c r="H680" s="141" t="n">
        <v>0</v>
      </c>
      <c r="I680" s="141" t="n">
        <v>0</v>
      </c>
      <c r="J680" s="141" t="n">
        <v>0</v>
      </c>
      <c r="K680" s="141" t="n">
        <v>28.3</v>
      </c>
      <c r="L680" s="141" t="n">
        <v>154.86</v>
      </c>
      <c r="M680" s="141" t="n">
        <v>0</v>
      </c>
      <c r="N680" s="141" t="n">
        <v>0</v>
      </c>
      <c r="O680" s="141" t="n">
        <v>2.82</v>
      </c>
    </row>
    <row r="681" customFormat="false" ht="15" hidden="false" customHeight="false" outlineLevel="0" collapsed="false">
      <c r="A681" s="138" t="s">
        <v>2265</v>
      </c>
      <c r="B681" s="138" t="s">
        <v>2266</v>
      </c>
      <c r="C681" s="138" t="n">
        <v>592</v>
      </c>
      <c r="D681" s="138" t="n">
        <v>593</v>
      </c>
      <c r="E681" s="141" t="n">
        <f aca="false">F681/Parâmetros!$C$22</f>
        <v>235.45</v>
      </c>
      <c r="F681" s="141" t="n">
        <v>47.09</v>
      </c>
      <c r="G681" s="141" t="n">
        <v>130.01</v>
      </c>
      <c r="H681" s="141" t="n">
        <v>0</v>
      </c>
      <c r="I681" s="141" t="n">
        <v>0</v>
      </c>
      <c r="J681" s="141" t="n">
        <v>0</v>
      </c>
      <c r="K681" s="141" t="n">
        <v>17.23</v>
      </c>
      <c r="L681" s="141" t="n">
        <v>159.85</v>
      </c>
      <c r="M681" s="141" t="n">
        <v>0</v>
      </c>
      <c r="N681" s="141" t="n">
        <v>0</v>
      </c>
      <c r="O681" s="141" t="n">
        <v>3.97</v>
      </c>
    </row>
    <row r="682" customFormat="false" ht="15" hidden="false" customHeight="false" outlineLevel="0" collapsed="false">
      <c r="A682" s="138" t="s">
        <v>2266</v>
      </c>
      <c r="B682" s="138" t="s">
        <v>3852</v>
      </c>
      <c r="C682" s="138" t="n">
        <v>593</v>
      </c>
      <c r="D682" s="138" t="n">
        <v>593.8615</v>
      </c>
      <c r="E682" s="141" t="n">
        <f aca="false">F682/Parâmetros!$C$22</f>
        <v>233.15</v>
      </c>
      <c r="F682" s="141" t="n">
        <v>46.63</v>
      </c>
      <c r="G682" s="141" t="n">
        <v>223.05</v>
      </c>
      <c r="H682" s="141" t="n">
        <v>0</v>
      </c>
      <c r="I682" s="141" t="n">
        <v>0</v>
      </c>
      <c r="J682" s="141" t="n">
        <v>0</v>
      </c>
      <c r="K682" s="141" t="n">
        <v>0.72</v>
      </c>
      <c r="L682" s="141" t="n">
        <v>133.25</v>
      </c>
      <c r="M682" s="141" t="n">
        <v>0</v>
      </c>
      <c r="N682" s="141" t="n">
        <v>0</v>
      </c>
      <c r="O682" s="141" t="n">
        <v>3.64</v>
      </c>
    </row>
    <row r="683" customFormat="false" ht="15" hidden="false" customHeight="false" outlineLevel="0" collapsed="false">
      <c r="A683" s="138" t="s">
        <v>3852</v>
      </c>
      <c r="B683" s="138" t="s">
        <v>2267</v>
      </c>
      <c r="C683" s="138" t="n">
        <v>593.8615</v>
      </c>
      <c r="D683" s="138" t="n">
        <v>594</v>
      </c>
      <c r="E683" s="141" t="n">
        <f aca="false">F683/Parâmetros!$C$22</f>
        <v>41.95</v>
      </c>
      <c r="F683" s="141" t="n">
        <v>8.39</v>
      </c>
      <c r="G683" s="141" t="n">
        <v>45.81</v>
      </c>
      <c r="H683" s="141" t="n">
        <v>0</v>
      </c>
      <c r="I683" s="141" t="n">
        <v>0</v>
      </c>
      <c r="J683" s="141" t="n">
        <v>0</v>
      </c>
      <c r="K683" s="141" t="n">
        <v>0</v>
      </c>
      <c r="L683" s="141" t="n">
        <v>21.41</v>
      </c>
      <c r="M683" s="141" t="n">
        <v>0</v>
      </c>
      <c r="N683" s="141" t="n">
        <v>0</v>
      </c>
      <c r="O683" s="141" t="n">
        <v>0.58</v>
      </c>
    </row>
    <row r="684" customFormat="false" ht="15" hidden="false" customHeight="false" outlineLevel="0" collapsed="false">
      <c r="A684" s="138" t="s">
        <v>2267</v>
      </c>
      <c r="B684" s="138" t="s">
        <v>2268</v>
      </c>
      <c r="C684" s="138" t="n">
        <v>594</v>
      </c>
      <c r="D684" s="138" t="n">
        <v>595</v>
      </c>
      <c r="E684" s="141" t="n">
        <f aca="false">F684/Parâmetros!$C$22</f>
        <v>308.85</v>
      </c>
      <c r="F684" s="141" t="n">
        <v>61.77</v>
      </c>
      <c r="G684" s="141" t="n">
        <v>354.03</v>
      </c>
      <c r="H684" s="141" t="n">
        <v>0</v>
      </c>
      <c r="I684" s="141" t="n">
        <v>0</v>
      </c>
      <c r="J684" s="141" t="n">
        <v>0</v>
      </c>
      <c r="K684" s="141" t="n">
        <v>0</v>
      </c>
      <c r="L684" s="141" t="n">
        <v>154.68</v>
      </c>
      <c r="M684" s="141" t="n">
        <v>0</v>
      </c>
      <c r="N684" s="141" t="n">
        <v>0</v>
      </c>
      <c r="O684" s="141" t="n">
        <v>4.29</v>
      </c>
    </row>
    <row r="685" customFormat="false" ht="15" hidden="false" customHeight="false" outlineLevel="0" collapsed="false">
      <c r="A685" s="138" t="s">
        <v>2268</v>
      </c>
      <c r="B685" s="138" t="s">
        <v>2269</v>
      </c>
      <c r="C685" s="138" t="n">
        <v>595</v>
      </c>
      <c r="D685" s="138" t="n">
        <v>596</v>
      </c>
      <c r="E685" s="141" t="n">
        <f aca="false">F685/Parâmetros!$C$22</f>
        <v>317.75</v>
      </c>
      <c r="F685" s="141" t="n">
        <v>63.55</v>
      </c>
      <c r="G685" s="141" t="n">
        <v>360.02</v>
      </c>
      <c r="H685" s="141" t="n">
        <v>0</v>
      </c>
      <c r="I685" s="141" t="n">
        <v>0</v>
      </c>
      <c r="J685" s="141" t="n">
        <v>0</v>
      </c>
      <c r="K685" s="141" t="n">
        <v>0</v>
      </c>
      <c r="L685" s="141" t="n">
        <v>154.75</v>
      </c>
      <c r="M685" s="141" t="n">
        <v>0</v>
      </c>
      <c r="N685" s="141" t="n">
        <v>0</v>
      </c>
      <c r="O685" s="141" t="n">
        <v>4.48</v>
      </c>
    </row>
    <row r="686" customFormat="false" ht="15" hidden="false" customHeight="false" outlineLevel="0" collapsed="false">
      <c r="A686" s="138" t="s">
        <v>2269</v>
      </c>
      <c r="B686" s="138" t="s">
        <v>2270</v>
      </c>
      <c r="C686" s="138" t="n">
        <v>596</v>
      </c>
      <c r="D686" s="138" t="n">
        <v>597</v>
      </c>
      <c r="E686" s="141" t="n">
        <f aca="false">F686/Parâmetros!$C$22</f>
        <v>319.35</v>
      </c>
      <c r="F686" s="141" t="n">
        <v>63.87</v>
      </c>
      <c r="G686" s="141" t="n">
        <v>349.61</v>
      </c>
      <c r="H686" s="141" t="n">
        <v>0</v>
      </c>
      <c r="I686" s="141" t="n">
        <v>0</v>
      </c>
      <c r="J686" s="141" t="n">
        <v>0</v>
      </c>
      <c r="K686" s="141" t="n">
        <v>0</v>
      </c>
      <c r="L686" s="141" t="n">
        <v>154.8</v>
      </c>
      <c r="M686" s="141" t="n">
        <v>0</v>
      </c>
      <c r="N686" s="141" t="n">
        <v>0</v>
      </c>
      <c r="O686" s="141" t="n">
        <v>4.61</v>
      </c>
    </row>
    <row r="687" customFormat="false" ht="15" hidden="false" customHeight="false" outlineLevel="0" collapsed="false">
      <c r="A687" s="138" t="s">
        <v>2270</v>
      </c>
      <c r="B687" s="138" t="s">
        <v>1595</v>
      </c>
      <c r="C687" s="138" t="n">
        <v>597</v>
      </c>
      <c r="D687" s="138" t="n">
        <v>598</v>
      </c>
      <c r="E687" s="141" t="n">
        <f aca="false">F687/Parâmetros!$C$22</f>
        <v>305.6</v>
      </c>
      <c r="F687" s="141" t="n">
        <v>61.12</v>
      </c>
      <c r="G687" s="141" t="n">
        <v>294.99</v>
      </c>
      <c r="H687" s="141" t="n">
        <v>0</v>
      </c>
      <c r="I687" s="141" t="n">
        <v>0</v>
      </c>
      <c r="J687" s="141" t="n">
        <v>0</v>
      </c>
      <c r="K687" s="141" t="n">
        <v>0</v>
      </c>
      <c r="L687" s="141" t="n">
        <v>154.8</v>
      </c>
      <c r="M687" s="141" t="n">
        <v>0</v>
      </c>
      <c r="N687" s="141" t="n">
        <v>0</v>
      </c>
      <c r="O687" s="141" t="n">
        <v>4.61</v>
      </c>
    </row>
    <row r="688" customFormat="false" ht="15" hidden="false" customHeight="false" outlineLevel="0" collapsed="false">
      <c r="A688" s="138" t="s">
        <v>1595</v>
      </c>
      <c r="B688" s="138" t="s">
        <v>2271</v>
      </c>
      <c r="C688" s="138" t="n">
        <v>598</v>
      </c>
      <c r="D688" s="138" t="n">
        <v>599</v>
      </c>
      <c r="E688" s="141" t="n">
        <f aca="false">F688/Parâmetros!$C$22</f>
        <v>199.35</v>
      </c>
      <c r="F688" s="141" t="n">
        <v>39.87</v>
      </c>
      <c r="G688" s="141" t="n">
        <v>182.44</v>
      </c>
      <c r="H688" s="141" t="n">
        <v>0</v>
      </c>
      <c r="I688" s="141" t="n">
        <v>0</v>
      </c>
      <c r="J688" s="141" t="n">
        <v>0</v>
      </c>
      <c r="K688" s="141" t="n">
        <v>23.45</v>
      </c>
      <c r="L688" s="141" t="n">
        <v>149.18</v>
      </c>
      <c r="M688" s="141" t="n">
        <v>0</v>
      </c>
      <c r="N688" s="141" t="n">
        <v>0</v>
      </c>
      <c r="O688" s="141" t="n">
        <v>3.45</v>
      </c>
    </row>
    <row r="689" customFormat="false" ht="15" hidden="false" customHeight="false" outlineLevel="0" collapsed="false">
      <c r="A689" s="138" t="s">
        <v>2271</v>
      </c>
      <c r="B689" s="138" t="s">
        <v>2272</v>
      </c>
      <c r="C689" s="138" t="n">
        <v>599</v>
      </c>
      <c r="D689" s="138" t="n">
        <v>600</v>
      </c>
      <c r="E689" s="141" t="n">
        <f aca="false">F689/Parâmetros!$C$22</f>
        <v>193.85</v>
      </c>
      <c r="F689" s="141" t="n">
        <v>38.77</v>
      </c>
      <c r="G689" s="141" t="n">
        <v>80.74</v>
      </c>
      <c r="H689" s="141" t="n">
        <v>0</v>
      </c>
      <c r="I689" s="141" t="n">
        <v>0</v>
      </c>
      <c r="J689" s="141" t="n">
        <v>0</v>
      </c>
      <c r="K689" s="141" t="n">
        <v>67.66</v>
      </c>
      <c r="L689" s="141" t="n">
        <v>143.55</v>
      </c>
      <c r="M689" s="141" t="n">
        <v>0</v>
      </c>
      <c r="N689" s="141" t="n">
        <v>0</v>
      </c>
      <c r="O689" s="141" t="n">
        <v>2.3</v>
      </c>
    </row>
    <row r="690" customFormat="false" ht="15" hidden="false" customHeight="false" outlineLevel="0" collapsed="false">
      <c r="A690" s="138" t="s">
        <v>2272</v>
      </c>
      <c r="B690" s="138" t="s">
        <v>3853</v>
      </c>
      <c r="C690" s="138" t="n">
        <v>600</v>
      </c>
      <c r="D690" s="138" t="n">
        <v>600.5775</v>
      </c>
      <c r="E690" s="141" t="n">
        <f aca="false">F690/Parâmetros!$C$22</f>
        <v>165.75</v>
      </c>
      <c r="F690" s="141" t="n">
        <v>33.15</v>
      </c>
      <c r="G690" s="141" t="n">
        <v>22.87</v>
      </c>
      <c r="H690" s="141" t="n">
        <v>0</v>
      </c>
      <c r="I690" s="141" t="n">
        <v>0</v>
      </c>
      <c r="J690" s="141" t="n">
        <v>0</v>
      </c>
      <c r="K690" s="141" t="n">
        <v>53.13</v>
      </c>
      <c r="L690" s="141" t="n">
        <v>82.87</v>
      </c>
      <c r="M690" s="141" t="n">
        <v>0</v>
      </c>
      <c r="N690" s="141" t="n">
        <v>0</v>
      </c>
      <c r="O690" s="141" t="n">
        <v>1.33</v>
      </c>
    </row>
    <row r="691" customFormat="false" ht="15" hidden="false" customHeight="false" outlineLevel="0" collapsed="false">
      <c r="A691" s="138" t="s">
        <v>3853</v>
      </c>
      <c r="B691" s="138" t="s">
        <v>2273</v>
      </c>
      <c r="C691" s="138" t="n">
        <v>600.5775</v>
      </c>
      <c r="D691" s="138" t="n">
        <v>601</v>
      </c>
      <c r="E691" s="141" t="n">
        <f aca="false">F691/Parâmetros!$C$22</f>
        <v>122.15</v>
      </c>
      <c r="F691" s="141" t="n">
        <v>24.43</v>
      </c>
      <c r="G691" s="141" t="n">
        <v>16.55</v>
      </c>
      <c r="H691" s="141" t="n">
        <v>0</v>
      </c>
      <c r="I691" s="141" t="n">
        <v>0</v>
      </c>
      <c r="J691" s="141" t="n">
        <v>0</v>
      </c>
      <c r="K691" s="141" t="n">
        <v>39.77</v>
      </c>
      <c r="L691" s="141" t="n">
        <v>60.69</v>
      </c>
      <c r="M691" s="141" t="n">
        <v>0</v>
      </c>
      <c r="N691" s="141" t="n">
        <v>0</v>
      </c>
      <c r="O691" s="141" t="n">
        <v>0.97</v>
      </c>
    </row>
    <row r="692" customFormat="false" ht="15" hidden="false" customHeight="false" outlineLevel="0" collapsed="false">
      <c r="A692" s="138" t="s">
        <v>2273</v>
      </c>
      <c r="B692" s="138" t="s">
        <v>1599</v>
      </c>
      <c r="C692" s="138" t="n">
        <v>601</v>
      </c>
      <c r="D692" s="138" t="n">
        <v>602</v>
      </c>
      <c r="E692" s="141" t="n">
        <f aca="false">F692/Parâmetros!$C$22</f>
        <v>371.35</v>
      </c>
      <c r="F692" s="141" t="n">
        <v>74.27</v>
      </c>
      <c r="G692" s="141" t="n">
        <v>49.11</v>
      </c>
      <c r="H692" s="141" t="n">
        <v>0</v>
      </c>
      <c r="I692" s="141" t="n">
        <v>0</v>
      </c>
      <c r="J692" s="141" t="n">
        <v>0</v>
      </c>
      <c r="K692" s="141" t="n">
        <v>113.96</v>
      </c>
      <c r="L692" s="141" t="n">
        <v>138.25</v>
      </c>
      <c r="M692" s="141" t="n">
        <v>0</v>
      </c>
      <c r="N692" s="141" t="n">
        <v>0</v>
      </c>
      <c r="O692" s="141" t="n">
        <v>1.15</v>
      </c>
    </row>
    <row r="693" customFormat="false" ht="15" hidden="false" customHeight="false" outlineLevel="0" collapsed="false">
      <c r="A693" s="138" t="s">
        <v>1599</v>
      </c>
      <c r="B693" s="138" t="s">
        <v>3854</v>
      </c>
      <c r="C693" s="138" t="n">
        <v>602</v>
      </c>
      <c r="D693" s="138" t="n">
        <v>602.4775</v>
      </c>
      <c r="E693" s="141" t="n">
        <f aca="false">F693/Parâmetros!$C$22</f>
        <v>186.15</v>
      </c>
      <c r="F693" s="141" t="n">
        <v>37.23</v>
      </c>
      <c r="G693" s="141" t="n">
        <v>21.31</v>
      </c>
      <c r="H693" s="141" t="n">
        <v>0</v>
      </c>
      <c r="I693" s="141" t="n">
        <v>0</v>
      </c>
      <c r="J693" s="141" t="n">
        <v>0</v>
      </c>
      <c r="K693" s="141" t="n">
        <v>71.16</v>
      </c>
      <c r="L693" s="141" t="n">
        <v>63.33</v>
      </c>
      <c r="M693" s="141" t="n">
        <v>0</v>
      </c>
      <c r="N693" s="141" t="n">
        <v>0</v>
      </c>
      <c r="O693" s="141" t="n">
        <v>0</v>
      </c>
    </row>
    <row r="694" customFormat="false" ht="15" hidden="false" customHeight="false" outlineLevel="0" collapsed="false">
      <c r="A694" s="138" t="s">
        <v>3854</v>
      </c>
      <c r="B694" s="138" t="s">
        <v>2275</v>
      </c>
      <c r="C694" s="138" t="n">
        <v>602.4775</v>
      </c>
      <c r="D694" s="138" t="n">
        <v>603</v>
      </c>
      <c r="E694" s="141" t="n">
        <f aca="false">F694/Parâmetros!$C$22</f>
        <v>169.1</v>
      </c>
      <c r="F694" s="141" t="n">
        <v>33.82</v>
      </c>
      <c r="G694" s="141" t="n">
        <v>12.52</v>
      </c>
      <c r="H694" s="141" t="n">
        <v>0</v>
      </c>
      <c r="I694" s="141" t="n">
        <v>0</v>
      </c>
      <c r="J694" s="141" t="n">
        <v>0</v>
      </c>
      <c r="K694" s="141" t="n">
        <v>96.08</v>
      </c>
      <c r="L694" s="141" t="n">
        <v>69.13</v>
      </c>
      <c r="M694" s="141" t="n">
        <v>0</v>
      </c>
      <c r="N694" s="141" t="n">
        <v>0</v>
      </c>
      <c r="O694" s="141" t="n">
        <v>0</v>
      </c>
    </row>
    <row r="695" customFormat="false" ht="15" hidden="false" customHeight="false" outlineLevel="0" collapsed="false">
      <c r="A695" s="138" t="s">
        <v>2275</v>
      </c>
      <c r="B695" s="138" t="s">
        <v>2276</v>
      </c>
      <c r="C695" s="138" t="n">
        <v>603</v>
      </c>
      <c r="D695" s="138" t="n">
        <v>604</v>
      </c>
      <c r="E695" s="141" t="n">
        <f aca="false">F695/Parâmetros!$C$22</f>
        <v>326.45</v>
      </c>
      <c r="F695" s="141" t="n">
        <v>65.29</v>
      </c>
      <c r="G695" s="141" t="n">
        <v>9.35</v>
      </c>
      <c r="H695" s="141" t="n">
        <v>0</v>
      </c>
      <c r="I695" s="141" t="n">
        <v>0</v>
      </c>
      <c r="J695" s="141" t="n">
        <v>0</v>
      </c>
      <c r="K695" s="141" t="n">
        <v>219.47</v>
      </c>
      <c r="L695" s="141" t="n">
        <v>132.3</v>
      </c>
      <c r="M695" s="141" t="n">
        <v>0</v>
      </c>
      <c r="N695" s="141" t="n">
        <v>0</v>
      </c>
      <c r="O695" s="141" t="n">
        <v>0</v>
      </c>
    </row>
    <row r="696" customFormat="false" ht="15" hidden="false" customHeight="false" outlineLevel="0" collapsed="false">
      <c r="A696" s="138" t="s">
        <v>2276</v>
      </c>
      <c r="B696" s="138" t="s">
        <v>3855</v>
      </c>
      <c r="C696" s="138" t="n">
        <v>604</v>
      </c>
      <c r="D696" s="138" t="n">
        <v>604.378</v>
      </c>
      <c r="E696" s="141" t="n">
        <f aca="false">F696/Parâmetros!$C$22</f>
        <v>125.45</v>
      </c>
      <c r="F696" s="141" t="n">
        <v>25.09</v>
      </c>
      <c r="G696" s="141" t="n">
        <v>0.64</v>
      </c>
      <c r="H696" s="141" t="n">
        <v>0</v>
      </c>
      <c r="I696" s="141" t="n">
        <v>0</v>
      </c>
      <c r="J696" s="141" t="n">
        <v>0</v>
      </c>
      <c r="K696" s="141" t="n">
        <v>98.68</v>
      </c>
      <c r="L696" s="141" t="n">
        <v>49.98</v>
      </c>
      <c r="M696" s="141" t="n">
        <v>0</v>
      </c>
      <c r="N696" s="141" t="n">
        <v>0</v>
      </c>
      <c r="O696" s="141" t="n">
        <v>0</v>
      </c>
    </row>
    <row r="697" customFormat="false" ht="15" hidden="false" customHeight="false" outlineLevel="0" collapsed="false">
      <c r="A697" s="138" t="s">
        <v>3855</v>
      </c>
      <c r="B697" s="138" t="s">
        <v>2277</v>
      </c>
      <c r="C697" s="138" t="n">
        <v>604.378</v>
      </c>
      <c r="D697" s="138" t="n">
        <v>605</v>
      </c>
      <c r="E697" s="141" t="n">
        <f aca="false">F697/Parâmetros!$C$22</f>
        <v>201.15</v>
      </c>
      <c r="F697" s="141" t="n">
        <v>40.23</v>
      </c>
      <c r="G697" s="141" t="n">
        <v>0</v>
      </c>
      <c r="H697" s="141" t="n">
        <v>0</v>
      </c>
      <c r="I697" s="141" t="n">
        <v>0</v>
      </c>
      <c r="J697" s="141" t="n">
        <v>0</v>
      </c>
      <c r="K697" s="141" t="n">
        <v>193.76</v>
      </c>
      <c r="L697" s="141" t="n">
        <v>82.32</v>
      </c>
      <c r="M697" s="141" t="n">
        <v>0</v>
      </c>
      <c r="N697" s="141" t="n">
        <v>0</v>
      </c>
      <c r="O697" s="141" t="n">
        <v>0</v>
      </c>
    </row>
    <row r="698" customFormat="false" ht="15" hidden="false" customHeight="false" outlineLevel="0" collapsed="false">
      <c r="A698" s="138" t="s">
        <v>2277</v>
      </c>
      <c r="B698" s="138" t="s">
        <v>2278</v>
      </c>
      <c r="C698" s="138" t="n">
        <v>605</v>
      </c>
      <c r="D698" s="138" t="n">
        <v>606</v>
      </c>
      <c r="E698" s="141" t="n">
        <f aca="false">F698/Parâmetros!$C$22</f>
        <v>349.65</v>
      </c>
      <c r="F698" s="141" t="n">
        <v>69.93</v>
      </c>
      <c r="G698" s="141" t="n">
        <v>0.01</v>
      </c>
      <c r="H698" s="141" t="n">
        <v>0</v>
      </c>
      <c r="I698" s="141" t="n">
        <v>0</v>
      </c>
      <c r="J698" s="141" t="n">
        <v>247.07</v>
      </c>
      <c r="K698" s="141" t="n">
        <v>409.89</v>
      </c>
      <c r="L698" s="141" t="n">
        <v>132.3</v>
      </c>
      <c r="M698" s="141" t="n">
        <v>247.07</v>
      </c>
      <c r="N698" s="141" t="n">
        <v>0</v>
      </c>
      <c r="O698" s="141" t="n">
        <v>0</v>
      </c>
    </row>
    <row r="699" customFormat="false" ht="15" hidden="false" customHeight="false" outlineLevel="0" collapsed="false">
      <c r="A699" s="138" t="s">
        <v>2278</v>
      </c>
      <c r="B699" s="138" t="s">
        <v>2279</v>
      </c>
      <c r="C699" s="138" t="n">
        <v>606</v>
      </c>
      <c r="D699" s="138" t="n">
        <v>607</v>
      </c>
      <c r="E699" s="141" t="n">
        <f aca="false">F699/Parâmetros!$C$22</f>
        <v>392.7</v>
      </c>
      <c r="F699" s="141" t="n">
        <v>78.54</v>
      </c>
      <c r="G699" s="141" t="n">
        <v>0</v>
      </c>
      <c r="H699" s="141" t="n">
        <v>0</v>
      </c>
      <c r="I699" s="141" t="n">
        <v>0</v>
      </c>
      <c r="J699" s="141" t="n">
        <v>507.38</v>
      </c>
      <c r="K699" s="141" t="n">
        <v>525.38</v>
      </c>
      <c r="L699" s="141" t="n">
        <v>132.3</v>
      </c>
      <c r="M699" s="141" t="n">
        <v>507.38</v>
      </c>
      <c r="N699" s="141" t="n">
        <v>0</v>
      </c>
      <c r="O699" s="141" t="n">
        <v>0</v>
      </c>
    </row>
    <row r="700" customFormat="false" ht="15" hidden="false" customHeight="false" outlineLevel="0" collapsed="false">
      <c r="A700" s="138" t="s">
        <v>2279</v>
      </c>
      <c r="B700" s="138" t="s">
        <v>2280</v>
      </c>
      <c r="C700" s="138" t="n">
        <v>607</v>
      </c>
      <c r="D700" s="138" t="n">
        <v>608</v>
      </c>
      <c r="E700" s="141" t="n">
        <f aca="false">F700/Parâmetros!$C$22</f>
        <v>419.1</v>
      </c>
      <c r="F700" s="141" t="n">
        <v>83.82</v>
      </c>
      <c r="G700" s="141" t="n">
        <v>0</v>
      </c>
      <c r="H700" s="141" t="n">
        <v>0</v>
      </c>
      <c r="I700" s="141" t="n">
        <v>0</v>
      </c>
      <c r="J700" s="141" t="n">
        <v>537.35</v>
      </c>
      <c r="K700" s="141" t="n">
        <v>642.41</v>
      </c>
      <c r="L700" s="141" t="n">
        <v>132.3</v>
      </c>
      <c r="M700" s="141" t="n">
        <v>537.35</v>
      </c>
      <c r="N700" s="141" t="n">
        <v>0</v>
      </c>
      <c r="O700" s="141" t="n">
        <v>0</v>
      </c>
    </row>
    <row r="701" customFormat="false" ht="15" hidden="false" customHeight="false" outlineLevel="0" collapsed="false">
      <c r="A701" s="138" t="s">
        <v>2280</v>
      </c>
      <c r="B701" s="138" t="s">
        <v>3856</v>
      </c>
      <c r="C701" s="138" t="n">
        <v>608</v>
      </c>
      <c r="D701" s="138" t="n">
        <v>608.903</v>
      </c>
      <c r="E701" s="141" t="n">
        <f aca="false">F701/Parâmetros!$C$22</f>
        <v>372.5</v>
      </c>
      <c r="F701" s="141" t="n">
        <v>74.5</v>
      </c>
      <c r="G701" s="141" t="n">
        <v>0</v>
      </c>
      <c r="H701" s="141" t="n">
        <v>0</v>
      </c>
      <c r="I701" s="141" t="n">
        <v>0</v>
      </c>
      <c r="J701" s="141" t="n">
        <v>250.16</v>
      </c>
      <c r="K701" s="141" t="n">
        <v>553.94</v>
      </c>
      <c r="L701" s="141" t="n">
        <v>111.29</v>
      </c>
      <c r="M701" s="141" t="n">
        <v>250.16</v>
      </c>
      <c r="N701" s="141" t="n">
        <v>0</v>
      </c>
      <c r="O701" s="141" t="n">
        <v>0</v>
      </c>
    </row>
    <row r="702" customFormat="false" ht="15" hidden="false" customHeight="false" outlineLevel="0" collapsed="false">
      <c r="A702" s="138" t="s">
        <v>3856</v>
      </c>
      <c r="B702" s="138" t="s">
        <v>2281</v>
      </c>
      <c r="C702" s="138" t="n">
        <v>608.903</v>
      </c>
      <c r="D702" s="138" t="n">
        <v>609</v>
      </c>
      <c r="E702" s="141" t="n">
        <f aca="false">F702/Parâmetros!$C$22</f>
        <v>37.5</v>
      </c>
      <c r="F702" s="141" t="n">
        <v>7.5</v>
      </c>
      <c r="G702" s="141" t="n">
        <v>0</v>
      </c>
      <c r="H702" s="141" t="n">
        <v>0</v>
      </c>
      <c r="I702" s="141" t="n">
        <v>0</v>
      </c>
      <c r="J702" s="141" t="n">
        <v>0</v>
      </c>
      <c r="K702" s="141" t="n">
        <v>48.99</v>
      </c>
      <c r="L702" s="141" t="n">
        <v>11.08</v>
      </c>
      <c r="M702" s="141" t="n">
        <v>0</v>
      </c>
      <c r="N702" s="141" t="n">
        <v>0</v>
      </c>
      <c r="O702" s="141" t="n">
        <v>0</v>
      </c>
    </row>
    <row r="703" customFormat="false" ht="15" hidden="false" customHeight="false" outlineLevel="0" collapsed="false">
      <c r="A703" s="138" t="s">
        <v>2281</v>
      </c>
      <c r="B703" s="138" t="s">
        <v>2282</v>
      </c>
      <c r="C703" s="138" t="n">
        <v>609</v>
      </c>
      <c r="D703" s="138" t="n">
        <v>610</v>
      </c>
      <c r="E703" s="141" t="n">
        <f aca="false">F703/Parâmetros!$C$22</f>
        <v>383.7</v>
      </c>
      <c r="F703" s="141" t="n">
        <v>76.74</v>
      </c>
      <c r="G703" s="141" t="n">
        <v>0</v>
      </c>
      <c r="H703" s="141" t="n">
        <v>0</v>
      </c>
      <c r="I703" s="141" t="n">
        <v>0</v>
      </c>
      <c r="J703" s="141" t="n">
        <v>0</v>
      </c>
      <c r="K703" s="141" t="n">
        <v>472.04</v>
      </c>
      <c r="L703" s="141" t="n">
        <v>114.19</v>
      </c>
      <c r="M703" s="141" t="n">
        <v>0</v>
      </c>
      <c r="N703" s="141" t="n">
        <v>0</v>
      </c>
      <c r="O703" s="141" t="n">
        <v>0</v>
      </c>
    </row>
    <row r="704" customFormat="false" ht="15" hidden="false" customHeight="false" outlineLevel="0" collapsed="false">
      <c r="A704" s="138" t="s">
        <v>2282</v>
      </c>
      <c r="B704" s="138" t="s">
        <v>3857</v>
      </c>
      <c r="C704" s="138" t="n">
        <v>610</v>
      </c>
      <c r="D704" s="138" t="n">
        <v>610.6535</v>
      </c>
      <c r="E704" s="141" t="n">
        <f aca="false">F704/Parâmetros!$C$22</f>
        <v>231.55</v>
      </c>
      <c r="F704" s="141" t="n">
        <v>46.31</v>
      </c>
      <c r="G704" s="141" t="n">
        <v>0</v>
      </c>
      <c r="H704" s="141" t="n">
        <v>0</v>
      </c>
      <c r="I704" s="141" t="n">
        <v>0</v>
      </c>
      <c r="J704" s="141" t="n">
        <v>0</v>
      </c>
      <c r="K704" s="141" t="n">
        <v>273.59</v>
      </c>
      <c r="L704" s="141" t="n">
        <v>74.65</v>
      </c>
      <c r="M704" s="141" t="n">
        <v>0</v>
      </c>
      <c r="N704" s="141" t="n">
        <v>0</v>
      </c>
      <c r="O704" s="141" t="n">
        <v>0</v>
      </c>
    </row>
    <row r="705" customFormat="false" ht="15" hidden="false" customHeight="false" outlineLevel="0" collapsed="false">
      <c r="A705" s="138" t="s">
        <v>3857</v>
      </c>
      <c r="B705" s="138" t="s">
        <v>2283</v>
      </c>
      <c r="C705" s="138" t="n">
        <v>610.6535</v>
      </c>
      <c r="D705" s="138" t="n">
        <v>611</v>
      </c>
      <c r="E705" s="141" t="n">
        <f aca="false">F705/Parâmetros!$C$22</f>
        <v>97.45</v>
      </c>
      <c r="F705" s="141" t="n">
        <v>19.49</v>
      </c>
      <c r="G705" s="141" t="n">
        <v>1.93</v>
      </c>
      <c r="H705" s="141" t="n">
        <v>0</v>
      </c>
      <c r="I705" s="141" t="n">
        <v>0</v>
      </c>
      <c r="J705" s="141" t="n">
        <v>2.08</v>
      </c>
      <c r="K705" s="141" t="n">
        <v>126.07</v>
      </c>
      <c r="L705" s="141" t="n">
        <v>42.68</v>
      </c>
      <c r="M705" s="141" t="n">
        <v>0</v>
      </c>
      <c r="N705" s="141" t="n">
        <v>0</v>
      </c>
      <c r="O705" s="141" t="n">
        <v>0</v>
      </c>
    </row>
    <row r="706" customFormat="false" ht="15" hidden="false" customHeight="false" outlineLevel="0" collapsed="false">
      <c r="A706" s="138" t="s">
        <v>2283</v>
      </c>
      <c r="B706" s="138" t="s">
        <v>2284</v>
      </c>
      <c r="C706" s="138" t="n">
        <v>611</v>
      </c>
      <c r="D706" s="138" t="n">
        <v>612</v>
      </c>
      <c r="E706" s="141" t="n">
        <f aca="false">F706/Parâmetros!$C$22</f>
        <v>277.15</v>
      </c>
      <c r="F706" s="141" t="n">
        <v>55.43</v>
      </c>
      <c r="G706" s="141" t="n">
        <v>25.3</v>
      </c>
      <c r="H706" s="141" t="n">
        <v>0</v>
      </c>
      <c r="I706" s="141" t="n">
        <v>0</v>
      </c>
      <c r="J706" s="141" t="n">
        <v>207.73</v>
      </c>
      <c r="K706" s="141" t="n">
        <v>288.15</v>
      </c>
      <c r="L706" s="141" t="n">
        <v>132.3</v>
      </c>
      <c r="M706" s="141" t="n">
        <v>181.19</v>
      </c>
      <c r="N706" s="141" t="n">
        <v>0</v>
      </c>
      <c r="O706" s="141" t="n">
        <v>0</v>
      </c>
    </row>
    <row r="707" customFormat="false" ht="15" hidden="false" customHeight="false" outlineLevel="0" collapsed="false">
      <c r="A707" s="138" t="s">
        <v>2284</v>
      </c>
      <c r="B707" s="138" t="s">
        <v>3858</v>
      </c>
      <c r="C707" s="138" t="n">
        <v>612</v>
      </c>
      <c r="D707" s="138" t="n">
        <v>612.4045</v>
      </c>
      <c r="E707" s="141" t="n">
        <f aca="false">F707/Parâmetros!$C$22</f>
        <v>107.35</v>
      </c>
      <c r="F707" s="141" t="n">
        <v>21.47</v>
      </c>
      <c r="G707" s="141" t="n">
        <v>20.19</v>
      </c>
      <c r="H707" s="141" t="n">
        <v>0</v>
      </c>
      <c r="I707" s="141" t="n">
        <v>0</v>
      </c>
      <c r="J707" s="141" t="n">
        <v>526.58</v>
      </c>
      <c r="K707" s="141" t="n">
        <v>90.18</v>
      </c>
      <c r="L707" s="141" t="n">
        <v>53.51</v>
      </c>
      <c r="M707" s="141" t="n">
        <v>510.09</v>
      </c>
      <c r="N707" s="141" t="n">
        <v>0</v>
      </c>
      <c r="O707" s="141" t="n">
        <v>0</v>
      </c>
    </row>
    <row r="708" customFormat="false" ht="15" hidden="false" customHeight="false" outlineLevel="0" collapsed="false">
      <c r="A708" s="138" t="s">
        <v>3858</v>
      </c>
      <c r="B708" s="138" t="s">
        <v>2285</v>
      </c>
      <c r="C708" s="138" t="n">
        <v>612.4045</v>
      </c>
      <c r="D708" s="138" t="n">
        <v>613</v>
      </c>
      <c r="E708" s="141" t="n">
        <f aca="false">F708/Parâmetros!$C$22</f>
        <v>124</v>
      </c>
      <c r="F708" s="141" t="n">
        <v>24.8</v>
      </c>
      <c r="G708" s="141" t="n">
        <v>45.22</v>
      </c>
      <c r="H708" s="141" t="n">
        <v>0</v>
      </c>
      <c r="I708" s="141" t="n">
        <v>0</v>
      </c>
      <c r="J708" s="141" t="n">
        <v>827.87</v>
      </c>
      <c r="K708" s="141" t="n">
        <v>120.35</v>
      </c>
      <c r="L708" s="141" t="n">
        <v>78.8</v>
      </c>
      <c r="M708" s="141" t="n">
        <v>795.12</v>
      </c>
      <c r="N708" s="141" t="n">
        <v>0</v>
      </c>
      <c r="O708" s="141" t="n">
        <v>0</v>
      </c>
    </row>
    <row r="709" customFormat="false" ht="15" hidden="false" customHeight="false" outlineLevel="0" collapsed="false">
      <c r="A709" s="138" t="s">
        <v>2285</v>
      </c>
      <c r="B709" s="138" t="s">
        <v>2286</v>
      </c>
      <c r="C709" s="138" t="n">
        <v>613</v>
      </c>
      <c r="D709" s="138" t="n">
        <v>614</v>
      </c>
      <c r="E709" s="141" t="n">
        <f aca="false">F709/Parâmetros!$C$22</f>
        <v>258.2</v>
      </c>
      <c r="F709" s="141" t="n">
        <v>51.64</v>
      </c>
      <c r="G709" s="141" t="n">
        <v>123.61</v>
      </c>
      <c r="H709" s="141" t="n">
        <v>0</v>
      </c>
      <c r="I709" s="141" t="n">
        <v>0</v>
      </c>
      <c r="J709" s="141" t="n">
        <v>797.1</v>
      </c>
      <c r="K709" s="141" t="n">
        <v>149.03</v>
      </c>
      <c r="L709" s="141" t="n">
        <v>132.3</v>
      </c>
      <c r="M709" s="141" t="n">
        <v>683.37</v>
      </c>
      <c r="N709" s="141" t="n">
        <v>0</v>
      </c>
      <c r="O709" s="141" t="n">
        <v>0</v>
      </c>
    </row>
    <row r="710" customFormat="false" ht="15" hidden="false" customHeight="false" outlineLevel="0" collapsed="false">
      <c r="A710" s="138" t="s">
        <v>2286</v>
      </c>
      <c r="B710" s="138" t="s">
        <v>2287</v>
      </c>
      <c r="C710" s="138" t="n">
        <v>614</v>
      </c>
      <c r="D710" s="138" t="n">
        <v>615</v>
      </c>
      <c r="E710" s="141" t="n">
        <f aca="false">F710/Parâmetros!$C$22</f>
        <v>282.6</v>
      </c>
      <c r="F710" s="141" t="n">
        <v>56.52</v>
      </c>
      <c r="G710" s="141" t="n">
        <v>225.45</v>
      </c>
      <c r="H710" s="141" t="n">
        <v>0</v>
      </c>
      <c r="I710" s="141" t="n">
        <v>0</v>
      </c>
      <c r="J710" s="141" t="n">
        <v>524.28</v>
      </c>
      <c r="K710" s="141" t="n">
        <v>60.79</v>
      </c>
      <c r="L710" s="141" t="n">
        <v>123.25</v>
      </c>
      <c r="M710" s="141" t="n">
        <v>296.77</v>
      </c>
      <c r="N710" s="141" t="n">
        <v>0</v>
      </c>
      <c r="O710" s="141" t="n">
        <v>0</v>
      </c>
    </row>
    <row r="711" customFormat="false" ht="15" hidden="false" customHeight="false" outlineLevel="0" collapsed="false">
      <c r="A711" s="138" t="s">
        <v>2287</v>
      </c>
      <c r="B711" s="138" t="s">
        <v>2288</v>
      </c>
      <c r="C711" s="138" t="n">
        <v>615</v>
      </c>
      <c r="D711" s="138" t="n">
        <v>616</v>
      </c>
      <c r="E711" s="141" t="n">
        <f aca="false">F711/Parâmetros!$C$22</f>
        <v>252.25</v>
      </c>
      <c r="F711" s="141" t="n">
        <v>50.45</v>
      </c>
      <c r="G711" s="141" t="n">
        <v>393.98</v>
      </c>
      <c r="H711" s="141" t="n">
        <v>0</v>
      </c>
      <c r="I711" s="141" t="n">
        <v>0</v>
      </c>
      <c r="J711" s="141" t="n">
        <v>0</v>
      </c>
      <c r="K711" s="141" t="n">
        <v>12.62</v>
      </c>
      <c r="L711" s="141" t="n">
        <v>114.19</v>
      </c>
      <c r="M711" s="141" t="n">
        <v>0</v>
      </c>
      <c r="N711" s="141" t="n">
        <v>0</v>
      </c>
      <c r="O711" s="141" t="n">
        <v>0</v>
      </c>
    </row>
    <row r="712" customFormat="false" ht="15" hidden="false" customHeight="false" outlineLevel="0" collapsed="false">
      <c r="A712" s="138" t="s">
        <v>2288</v>
      </c>
      <c r="B712" s="138" t="s">
        <v>2289</v>
      </c>
      <c r="C712" s="138" t="n">
        <v>616</v>
      </c>
      <c r="D712" s="138" t="n">
        <v>617</v>
      </c>
      <c r="E712" s="141" t="n">
        <f aca="false">F712/Parâmetros!$C$22</f>
        <v>252.15</v>
      </c>
      <c r="F712" s="141" t="n">
        <v>50.43</v>
      </c>
      <c r="G712" s="141" t="n">
        <v>565.95</v>
      </c>
      <c r="H712" s="141" t="n">
        <v>0</v>
      </c>
      <c r="I712" s="141" t="n">
        <v>0</v>
      </c>
      <c r="J712" s="141" t="n">
        <v>0</v>
      </c>
      <c r="K712" s="141" t="n">
        <v>0</v>
      </c>
      <c r="L712" s="141" t="n">
        <v>114.19</v>
      </c>
      <c r="M712" s="141" t="n">
        <v>0</v>
      </c>
      <c r="N712" s="141" t="n">
        <v>0</v>
      </c>
      <c r="O712" s="141" t="n">
        <v>0</v>
      </c>
    </row>
    <row r="713" customFormat="false" ht="15" hidden="false" customHeight="false" outlineLevel="0" collapsed="false">
      <c r="A713" s="138" t="s">
        <v>2289</v>
      </c>
      <c r="B713" s="138" t="s">
        <v>2290</v>
      </c>
      <c r="C713" s="138" t="n">
        <v>617</v>
      </c>
      <c r="D713" s="138" t="n">
        <v>618</v>
      </c>
      <c r="E713" s="141" t="n">
        <f aca="false">F713/Parâmetros!$C$22</f>
        <v>258.35</v>
      </c>
      <c r="F713" s="141" t="n">
        <v>51.67</v>
      </c>
      <c r="G713" s="141" t="n">
        <v>669.11</v>
      </c>
      <c r="H713" s="141" t="n">
        <v>0</v>
      </c>
      <c r="I713" s="141" t="n">
        <v>0</v>
      </c>
      <c r="J713" s="141" t="n">
        <v>0</v>
      </c>
      <c r="K713" s="141" t="n">
        <v>0</v>
      </c>
      <c r="L713" s="141" t="n">
        <v>114.19</v>
      </c>
      <c r="M713" s="141" t="n">
        <v>0</v>
      </c>
      <c r="N713" s="141" t="n">
        <v>0</v>
      </c>
      <c r="O713" s="141" t="n">
        <v>0</v>
      </c>
    </row>
    <row r="714" customFormat="false" ht="15" hidden="false" customHeight="false" outlineLevel="0" collapsed="false">
      <c r="A714" s="138" t="s">
        <v>2290</v>
      </c>
      <c r="B714" s="138" t="s">
        <v>3859</v>
      </c>
      <c r="C714" s="138" t="n">
        <v>618</v>
      </c>
      <c r="D714" s="138" t="n">
        <v>618.081</v>
      </c>
      <c r="E714" s="141" t="n">
        <f aca="false">F714/Parâmetros!$C$22</f>
        <v>21.45</v>
      </c>
      <c r="F714" s="141" t="n">
        <v>4.29</v>
      </c>
      <c r="G714" s="141" t="n">
        <v>56.13</v>
      </c>
      <c r="H714" s="141" t="n">
        <v>0</v>
      </c>
      <c r="I714" s="141" t="n">
        <v>0</v>
      </c>
      <c r="J714" s="141" t="n">
        <v>0</v>
      </c>
      <c r="K714" s="141" t="n">
        <v>0</v>
      </c>
      <c r="L714" s="141" t="n">
        <v>9.23</v>
      </c>
      <c r="M714" s="141" t="n">
        <v>0</v>
      </c>
      <c r="N714" s="141" t="n">
        <v>0</v>
      </c>
      <c r="O714" s="141" t="n">
        <v>0</v>
      </c>
    </row>
    <row r="715" customFormat="false" ht="15" hidden="false" customHeight="false" outlineLevel="0" collapsed="false">
      <c r="A715" s="138" t="s">
        <v>3859</v>
      </c>
      <c r="B715" s="138" t="s">
        <v>2291</v>
      </c>
      <c r="C715" s="138" t="n">
        <v>618.081</v>
      </c>
      <c r="D715" s="138" t="n">
        <v>619</v>
      </c>
      <c r="E715" s="141" t="n">
        <f aca="false">F715/Parâmetros!$C$22</f>
        <v>232.95</v>
      </c>
      <c r="F715" s="141" t="n">
        <v>46.59</v>
      </c>
      <c r="G715" s="141" t="n">
        <v>566.21</v>
      </c>
      <c r="H715" s="141" t="n">
        <v>0</v>
      </c>
      <c r="I715" s="141" t="n">
        <v>0</v>
      </c>
      <c r="J715" s="141" t="n">
        <v>0</v>
      </c>
      <c r="K715" s="141" t="n">
        <v>0</v>
      </c>
      <c r="L715" s="141" t="n">
        <v>104.96</v>
      </c>
      <c r="M715" s="141" t="n">
        <v>0</v>
      </c>
      <c r="N715" s="141" t="n">
        <v>0</v>
      </c>
      <c r="O715" s="141" t="n">
        <v>0</v>
      </c>
    </row>
    <row r="716" customFormat="false" ht="15" hidden="false" customHeight="false" outlineLevel="0" collapsed="false">
      <c r="A716" s="138" t="s">
        <v>2291</v>
      </c>
      <c r="B716" s="138" t="s">
        <v>3860</v>
      </c>
      <c r="C716" s="138" t="n">
        <v>619</v>
      </c>
      <c r="D716" s="138" t="n">
        <v>619.7555</v>
      </c>
      <c r="E716" s="141" t="n">
        <f aca="false">F716/Parâmetros!$C$22</f>
        <v>177.65</v>
      </c>
      <c r="F716" s="141" t="n">
        <v>35.53</v>
      </c>
      <c r="G716" s="141" t="n">
        <v>363.93</v>
      </c>
      <c r="H716" s="141" t="n">
        <v>0</v>
      </c>
      <c r="I716" s="141" t="n">
        <v>0</v>
      </c>
      <c r="J716" s="141" t="n">
        <v>0</v>
      </c>
      <c r="K716" s="141" t="n">
        <v>0</v>
      </c>
      <c r="L716" s="141" t="n">
        <v>86.29</v>
      </c>
      <c r="M716" s="141" t="n">
        <v>0</v>
      </c>
      <c r="N716" s="141" t="n">
        <v>0</v>
      </c>
      <c r="O716" s="141" t="n">
        <v>0</v>
      </c>
    </row>
    <row r="717" customFormat="false" ht="15" hidden="false" customHeight="false" outlineLevel="0" collapsed="false">
      <c r="A717" s="138" t="s">
        <v>3860</v>
      </c>
      <c r="B717" s="138" t="s">
        <v>2292</v>
      </c>
      <c r="C717" s="138" t="n">
        <v>619.7555</v>
      </c>
      <c r="D717" s="138" t="n">
        <v>620</v>
      </c>
      <c r="E717" s="141" t="n">
        <f aca="false">F717/Parâmetros!$C$22</f>
        <v>55.45</v>
      </c>
      <c r="F717" s="141" t="n">
        <v>11.09</v>
      </c>
      <c r="G717" s="141" t="n">
        <v>98</v>
      </c>
      <c r="H717" s="141" t="n">
        <v>0</v>
      </c>
      <c r="I717" s="141" t="n">
        <v>0</v>
      </c>
      <c r="J717" s="141" t="n">
        <v>0</v>
      </c>
      <c r="K717" s="141" t="n">
        <v>0</v>
      </c>
      <c r="L717" s="141" t="n">
        <v>27.9</v>
      </c>
      <c r="M717" s="141" t="n">
        <v>0</v>
      </c>
      <c r="N717" s="141" t="n">
        <v>0</v>
      </c>
      <c r="O717" s="141" t="n">
        <v>0</v>
      </c>
    </row>
    <row r="718" customFormat="false" ht="15" hidden="false" customHeight="false" outlineLevel="0" collapsed="false">
      <c r="A718" s="138" t="s">
        <v>2292</v>
      </c>
      <c r="B718" s="138" t="s">
        <v>2293</v>
      </c>
      <c r="C718" s="138" t="n">
        <v>620</v>
      </c>
      <c r="D718" s="138" t="n">
        <v>621</v>
      </c>
      <c r="E718" s="141" t="n">
        <f aca="false">F718/Parâmetros!$C$22</f>
        <v>167.45</v>
      </c>
      <c r="F718" s="141" t="n">
        <v>33.49</v>
      </c>
      <c r="G718" s="141" t="n">
        <v>290.55</v>
      </c>
      <c r="H718" s="141" t="n">
        <v>0</v>
      </c>
      <c r="I718" s="141" t="n">
        <v>0</v>
      </c>
      <c r="J718" s="141" t="n">
        <v>0</v>
      </c>
      <c r="K718" s="141" t="n">
        <v>15.96</v>
      </c>
      <c r="L718" s="141" t="n">
        <v>108.77</v>
      </c>
      <c r="M718" s="141" t="n">
        <v>0</v>
      </c>
      <c r="N718" s="141" t="n">
        <v>0</v>
      </c>
      <c r="O718" s="141" t="n">
        <v>0</v>
      </c>
    </row>
    <row r="719" customFormat="false" ht="15" hidden="false" customHeight="false" outlineLevel="0" collapsed="false">
      <c r="A719" s="138" t="s">
        <v>2293</v>
      </c>
      <c r="B719" s="138" t="s">
        <v>3861</v>
      </c>
      <c r="C719" s="138" t="n">
        <v>621</v>
      </c>
      <c r="D719" s="138" t="n">
        <v>621.4305</v>
      </c>
      <c r="E719" s="141" t="n">
        <f aca="false">F719/Parâmetros!$C$22</f>
        <v>66.85</v>
      </c>
      <c r="F719" s="141" t="n">
        <v>13.37</v>
      </c>
      <c r="G719" s="141" t="n">
        <v>77.91</v>
      </c>
      <c r="H719" s="141" t="n">
        <v>0</v>
      </c>
      <c r="I719" s="141" t="n">
        <v>0</v>
      </c>
      <c r="J719" s="141" t="n">
        <v>0</v>
      </c>
      <c r="K719" s="141" t="n">
        <v>17.27</v>
      </c>
      <c r="L719" s="141" t="n">
        <v>46.83</v>
      </c>
      <c r="M719" s="141" t="n">
        <v>0</v>
      </c>
      <c r="N719" s="141" t="n">
        <v>0</v>
      </c>
      <c r="O719" s="141" t="n">
        <v>0</v>
      </c>
    </row>
    <row r="720" customFormat="false" ht="15" hidden="false" customHeight="false" outlineLevel="0" collapsed="false">
      <c r="A720" s="138" t="s">
        <v>3861</v>
      </c>
      <c r="B720" s="138" t="s">
        <v>2294</v>
      </c>
      <c r="C720" s="138" t="n">
        <v>621.4305</v>
      </c>
      <c r="D720" s="138" t="n">
        <v>622</v>
      </c>
      <c r="E720" s="141" t="n">
        <f aca="false">F720/Parâmetros!$C$22</f>
        <v>124.75</v>
      </c>
      <c r="F720" s="141" t="n">
        <v>24.95</v>
      </c>
      <c r="G720" s="141" t="n">
        <v>67.87</v>
      </c>
      <c r="H720" s="141" t="n">
        <v>0</v>
      </c>
      <c r="I720" s="141" t="n">
        <v>0</v>
      </c>
      <c r="J720" s="141" t="n">
        <v>0</v>
      </c>
      <c r="K720" s="141" t="n">
        <v>52.84</v>
      </c>
      <c r="L720" s="141" t="n">
        <v>59.87</v>
      </c>
      <c r="M720" s="141" t="n">
        <v>0</v>
      </c>
      <c r="N720" s="141" t="n">
        <v>0</v>
      </c>
      <c r="O720" s="141" t="n">
        <v>0</v>
      </c>
    </row>
    <row r="721" customFormat="false" ht="15" hidden="false" customHeight="false" outlineLevel="0" collapsed="false">
      <c r="A721" s="138" t="s">
        <v>2294</v>
      </c>
      <c r="B721" s="138" t="s">
        <v>2295</v>
      </c>
      <c r="C721" s="138" t="n">
        <v>622</v>
      </c>
      <c r="D721" s="138" t="n">
        <v>623</v>
      </c>
      <c r="E721" s="141" t="n">
        <f aca="false">F721/Parâmetros!$C$22</f>
        <v>345.65</v>
      </c>
      <c r="F721" s="141" t="n">
        <v>69.13</v>
      </c>
      <c r="G721" s="141" t="n">
        <v>71.81</v>
      </c>
      <c r="H721" s="141" t="n">
        <v>0</v>
      </c>
      <c r="I721" s="141" t="n">
        <v>0</v>
      </c>
      <c r="J721" s="141" t="n">
        <v>0</v>
      </c>
      <c r="K721" s="141" t="n">
        <v>199.43</v>
      </c>
      <c r="L721" s="141" t="n">
        <v>124.14</v>
      </c>
      <c r="M721" s="141" t="n">
        <v>0</v>
      </c>
      <c r="N721" s="141" t="n">
        <v>0</v>
      </c>
      <c r="O721" s="141" t="n">
        <v>0</v>
      </c>
    </row>
    <row r="722" customFormat="false" ht="15" hidden="false" customHeight="false" outlineLevel="0" collapsed="false">
      <c r="A722" s="138" t="s">
        <v>2295</v>
      </c>
      <c r="B722" s="138" t="s">
        <v>2297</v>
      </c>
      <c r="C722" s="138" t="n">
        <v>623</v>
      </c>
      <c r="D722" s="138" t="n">
        <v>624</v>
      </c>
      <c r="E722" s="141" t="n">
        <f aca="false">F722/Parâmetros!$C$22</f>
        <v>387.85</v>
      </c>
      <c r="F722" s="141" t="n">
        <v>77.57</v>
      </c>
      <c r="G722" s="141" t="n">
        <v>80.07</v>
      </c>
      <c r="H722" s="141" t="n">
        <v>0</v>
      </c>
      <c r="I722" s="141" t="n">
        <v>0</v>
      </c>
      <c r="J722" s="141" t="n">
        <v>0</v>
      </c>
      <c r="K722" s="141" t="n">
        <v>255.11</v>
      </c>
      <c r="L722" s="141" t="n">
        <v>133.19</v>
      </c>
      <c r="M722" s="141" t="n">
        <v>0</v>
      </c>
      <c r="N722" s="141" t="n">
        <v>0</v>
      </c>
      <c r="O722" s="141" t="n">
        <v>0</v>
      </c>
    </row>
    <row r="723" customFormat="false" ht="15" hidden="false" customHeight="false" outlineLevel="0" collapsed="false">
      <c r="A723" s="138" t="s">
        <v>2297</v>
      </c>
      <c r="B723" s="138" t="s">
        <v>2298</v>
      </c>
      <c r="C723" s="138" t="n">
        <v>624</v>
      </c>
      <c r="D723" s="138" t="n">
        <v>625</v>
      </c>
      <c r="E723" s="141" t="n">
        <f aca="false">F723/Parâmetros!$C$22</f>
        <v>309.7</v>
      </c>
      <c r="F723" s="141" t="n">
        <v>61.94</v>
      </c>
      <c r="G723" s="141" t="n">
        <v>93.85</v>
      </c>
      <c r="H723" s="141" t="n">
        <v>0</v>
      </c>
      <c r="I723" s="141" t="n">
        <v>0</v>
      </c>
      <c r="J723" s="141" t="n">
        <v>0</v>
      </c>
      <c r="K723" s="141" t="n">
        <v>213.36</v>
      </c>
      <c r="L723" s="141" t="n">
        <v>114.19</v>
      </c>
      <c r="M723" s="141" t="n">
        <v>0</v>
      </c>
      <c r="N723" s="141" t="n">
        <v>0</v>
      </c>
      <c r="O723" s="141" t="n">
        <v>0</v>
      </c>
    </row>
    <row r="724" customFormat="false" ht="15" hidden="false" customHeight="false" outlineLevel="0" collapsed="false">
      <c r="A724" s="138" t="s">
        <v>2298</v>
      </c>
      <c r="B724" s="138" t="s">
        <v>2299</v>
      </c>
      <c r="C724" s="138" t="n">
        <v>625</v>
      </c>
      <c r="D724" s="138" t="n">
        <v>626</v>
      </c>
      <c r="E724" s="141" t="n">
        <f aca="false">F724/Parâmetros!$C$22</f>
        <v>294.8</v>
      </c>
      <c r="F724" s="141" t="n">
        <v>58.96</v>
      </c>
      <c r="G724" s="141" t="n">
        <v>96.53</v>
      </c>
      <c r="H724" s="141" t="n">
        <v>0</v>
      </c>
      <c r="I724" s="141" t="n">
        <v>0</v>
      </c>
      <c r="J724" s="141" t="n">
        <v>0</v>
      </c>
      <c r="K724" s="141" t="n">
        <v>180.58</v>
      </c>
      <c r="L724" s="141" t="n">
        <v>114.19</v>
      </c>
      <c r="M724" s="141" t="n">
        <v>0</v>
      </c>
      <c r="N724" s="141" t="n">
        <v>0</v>
      </c>
      <c r="O724" s="141" t="n">
        <v>0</v>
      </c>
    </row>
    <row r="725" customFormat="false" ht="15" hidden="false" customHeight="false" outlineLevel="0" collapsed="false">
      <c r="A725" s="138" t="s">
        <v>2299</v>
      </c>
      <c r="B725" s="138" t="s">
        <v>2300</v>
      </c>
      <c r="C725" s="138" t="n">
        <v>626</v>
      </c>
      <c r="D725" s="138" t="n">
        <v>627</v>
      </c>
      <c r="E725" s="141" t="n">
        <f aca="false">F725/Parâmetros!$C$22</f>
        <v>289.3</v>
      </c>
      <c r="F725" s="141" t="n">
        <v>57.86</v>
      </c>
      <c r="G725" s="141" t="n">
        <v>108.42</v>
      </c>
      <c r="H725" s="141" t="n">
        <v>0</v>
      </c>
      <c r="I725" s="141" t="n">
        <v>0</v>
      </c>
      <c r="J725" s="141" t="n">
        <v>0</v>
      </c>
      <c r="K725" s="141" t="n">
        <v>171.77</v>
      </c>
      <c r="L725" s="141" t="n">
        <v>114.19</v>
      </c>
      <c r="M725" s="141" t="n">
        <v>0</v>
      </c>
      <c r="N725" s="141" t="n">
        <v>0</v>
      </c>
      <c r="O725" s="141" t="n">
        <v>0</v>
      </c>
    </row>
    <row r="726" customFormat="false" ht="15" hidden="false" customHeight="false" outlineLevel="0" collapsed="false">
      <c r="A726" s="138" t="s">
        <v>2300</v>
      </c>
      <c r="B726" s="138" t="s">
        <v>2301</v>
      </c>
      <c r="C726" s="138" t="n">
        <v>627</v>
      </c>
      <c r="D726" s="138" t="n">
        <v>628</v>
      </c>
      <c r="E726" s="141" t="n">
        <f aca="false">F726/Parâmetros!$C$22</f>
        <v>281.85</v>
      </c>
      <c r="F726" s="141" t="n">
        <v>56.37</v>
      </c>
      <c r="G726" s="141" t="n">
        <v>134.38</v>
      </c>
      <c r="H726" s="141" t="n">
        <v>0</v>
      </c>
      <c r="I726" s="141" t="n">
        <v>0</v>
      </c>
      <c r="J726" s="141" t="n">
        <v>0</v>
      </c>
      <c r="K726" s="141" t="n">
        <v>140.58</v>
      </c>
      <c r="L726" s="141" t="n">
        <v>114.19</v>
      </c>
      <c r="M726" s="141" t="n">
        <v>0</v>
      </c>
      <c r="N726" s="141" t="n">
        <v>0</v>
      </c>
      <c r="O726" s="141" t="n">
        <v>0</v>
      </c>
    </row>
    <row r="727" customFormat="false" ht="15" hidden="false" customHeight="false" outlineLevel="0" collapsed="false">
      <c r="A727" s="138" t="s">
        <v>2301</v>
      </c>
      <c r="B727" s="138" t="s">
        <v>2302</v>
      </c>
      <c r="C727" s="138" t="n">
        <v>628</v>
      </c>
      <c r="D727" s="138" t="n">
        <v>629</v>
      </c>
      <c r="E727" s="141" t="n">
        <f aca="false">F727/Parâmetros!$C$22</f>
        <v>272.35</v>
      </c>
      <c r="F727" s="141" t="n">
        <v>54.47</v>
      </c>
      <c r="G727" s="141" t="n">
        <v>164.32</v>
      </c>
      <c r="H727" s="141" t="n">
        <v>0</v>
      </c>
      <c r="I727" s="141" t="n">
        <v>0</v>
      </c>
      <c r="J727" s="141" t="n">
        <v>0</v>
      </c>
      <c r="K727" s="141" t="n">
        <v>87.53</v>
      </c>
      <c r="L727" s="141" t="n">
        <v>114.19</v>
      </c>
      <c r="M727" s="141" t="n">
        <v>0</v>
      </c>
      <c r="N727" s="141" t="n">
        <v>0</v>
      </c>
      <c r="O727" s="141" t="n">
        <v>0</v>
      </c>
    </row>
    <row r="728" customFormat="false" ht="15" hidden="false" customHeight="false" outlineLevel="0" collapsed="false">
      <c r="A728" s="138" t="s">
        <v>2302</v>
      </c>
      <c r="B728" s="138" t="s">
        <v>2303</v>
      </c>
      <c r="C728" s="138" t="n">
        <v>629</v>
      </c>
      <c r="D728" s="138" t="n">
        <v>630</v>
      </c>
      <c r="E728" s="141" t="n">
        <f aca="false">F728/Parâmetros!$C$22</f>
        <v>258.4</v>
      </c>
      <c r="F728" s="141" t="n">
        <v>51.68</v>
      </c>
      <c r="G728" s="141" t="n">
        <v>182.61</v>
      </c>
      <c r="H728" s="141" t="n">
        <v>0</v>
      </c>
      <c r="I728" s="141" t="n">
        <v>0</v>
      </c>
      <c r="J728" s="141" t="n">
        <v>0</v>
      </c>
      <c r="K728" s="141" t="n">
        <v>57.5</v>
      </c>
      <c r="L728" s="141" t="n">
        <v>114.19</v>
      </c>
      <c r="M728" s="141" t="n">
        <v>0</v>
      </c>
      <c r="N728" s="141" t="n">
        <v>0</v>
      </c>
      <c r="O728" s="141" t="n">
        <v>0</v>
      </c>
    </row>
    <row r="729" customFormat="false" ht="15" hidden="false" customHeight="false" outlineLevel="0" collapsed="false">
      <c r="A729" s="138" t="s">
        <v>2303</v>
      </c>
      <c r="B729" s="138" t="s">
        <v>2304</v>
      </c>
      <c r="C729" s="138" t="n">
        <v>630</v>
      </c>
      <c r="D729" s="138" t="n">
        <v>631</v>
      </c>
      <c r="E729" s="141" t="n">
        <f aca="false">F729/Parâmetros!$C$22</f>
        <v>243.2</v>
      </c>
      <c r="F729" s="141" t="n">
        <v>48.64</v>
      </c>
      <c r="G729" s="141" t="n">
        <v>193.45</v>
      </c>
      <c r="H729" s="141" t="n">
        <v>0</v>
      </c>
      <c r="I729" s="141" t="n">
        <v>0</v>
      </c>
      <c r="J729" s="141" t="n">
        <v>0</v>
      </c>
      <c r="K729" s="141" t="n">
        <v>38.42</v>
      </c>
      <c r="L729" s="141" t="n">
        <v>114.19</v>
      </c>
      <c r="M729" s="141" t="n">
        <v>0</v>
      </c>
      <c r="N729" s="141" t="n">
        <v>0</v>
      </c>
      <c r="O729" s="141" t="n">
        <v>0</v>
      </c>
    </row>
    <row r="730" customFormat="false" ht="15" hidden="false" customHeight="false" outlineLevel="0" collapsed="false">
      <c r="A730" s="138" t="s">
        <v>2304</v>
      </c>
      <c r="B730" s="138" t="s">
        <v>2305</v>
      </c>
      <c r="C730" s="138" t="n">
        <v>631</v>
      </c>
      <c r="D730" s="138" t="n">
        <v>632</v>
      </c>
      <c r="E730" s="141" t="n">
        <f aca="false">F730/Parâmetros!$C$22</f>
        <v>241.45</v>
      </c>
      <c r="F730" s="141" t="n">
        <v>48.29</v>
      </c>
      <c r="G730" s="141" t="n">
        <v>211.28</v>
      </c>
      <c r="H730" s="141" t="n">
        <v>0</v>
      </c>
      <c r="I730" s="141" t="n">
        <v>0</v>
      </c>
      <c r="J730" s="141" t="n">
        <v>0</v>
      </c>
      <c r="K730" s="141" t="n">
        <v>25.04</v>
      </c>
      <c r="L730" s="141" t="n">
        <v>114.19</v>
      </c>
      <c r="M730" s="141" t="n">
        <v>0</v>
      </c>
      <c r="N730" s="141" t="n">
        <v>0</v>
      </c>
      <c r="O730" s="141" t="n">
        <v>0</v>
      </c>
    </row>
    <row r="731" customFormat="false" ht="15" hidden="false" customHeight="false" outlineLevel="0" collapsed="false">
      <c r="A731" s="138" t="s">
        <v>2305</v>
      </c>
      <c r="B731" s="138" t="s">
        <v>2306</v>
      </c>
      <c r="C731" s="138" t="n">
        <v>632</v>
      </c>
      <c r="D731" s="138" t="n">
        <v>633</v>
      </c>
      <c r="E731" s="141" t="n">
        <f aca="false">F731/Parâmetros!$C$22</f>
        <v>168.35</v>
      </c>
      <c r="F731" s="141" t="n">
        <v>33.67</v>
      </c>
      <c r="G731" s="141" t="n">
        <v>263.79</v>
      </c>
      <c r="H731" s="141" t="n">
        <v>0</v>
      </c>
      <c r="I731" s="141" t="n">
        <v>0</v>
      </c>
      <c r="J731" s="141" t="n">
        <v>0</v>
      </c>
      <c r="K731" s="141" t="n">
        <v>19.2</v>
      </c>
      <c r="L731" s="141" t="n">
        <v>115.78</v>
      </c>
      <c r="M731" s="141" t="n">
        <v>0</v>
      </c>
      <c r="N731" s="141" t="n">
        <v>0</v>
      </c>
      <c r="O731" s="141" t="n">
        <v>0</v>
      </c>
    </row>
    <row r="732" customFormat="false" ht="15" hidden="false" customHeight="false" outlineLevel="0" collapsed="false">
      <c r="A732" s="138" t="s">
        <v>2306</v>
      </c>
      <c r="B732" s="138" t="s">
        <v>2308</v>
      </c>
      <c r="C732" s="138" t="n">
        <v>633</v>
      </c>
      <c r="D732" s="138" t="n">
        <v>634</v>
      </c>
      <c r="E732" s="141" t="n">
        <f aca="false">F732/Parâmetros!$C$22</f>
        <v>101.85</v>
      </c>
      <c r="F732" s="141" t="n">
        <v>20.37</v>
      </c>
      <c r="G732" s="141" t="n">
        <v>276.91</v>
      </c>
      <c r="H732" s="141" t="n">
        <v>0</v>
      </c>
      <c r="I732" s="141" t="n">
        <v>0</v>
      </c>
      <c r="J732" s="141" t="n">
        <v>0</v>
      </c>
      <c r="K732" s="141" t="n">
        <v>5.9</v>
      </c>
      <c r="L732" s="141" t="n">
        <v>121.99</v>
      </c>
      <c r="M732" s="141" t="n">
        <v>0</v>
      </c>
      <c r="N732" s="141" t="n">
        <v>0</v>
      </c>
      <c r="O732" s="141" t="n">
        <v>0</v>
      </c>
    </row>
    <row r="733" customFormat="false" ht="15" hidden="false" customHeight="false" outlineLevel="0" collapsed="false">
      <c r="A733" s="138" t="s">
        <v>2308</v>
      </c>
      <c r="B733" s="138" t="s">
        <v>2310</v>
      </c>
      <c r="C733" s="138" t="n">
        <v>634</v>
      </c>
      <c r="D733" s="138" t="n">
        <v>635</v>
      </c>
      <c r="E733" s="141" t="n">
        <f aca="false">F733/Parâmetros!$C$22</f>
        <v>83.6</v>
      </c>
      <c r="F733" s="141" t="n">
        <v>16.72</v>
      </c>
      <c r="G733" s="141" t="n">
        <v>377.26</v>
      </c>
      <c r="H733" s="141" t="n">
        <v>0</v>
      </c>
      <c r="I733" s="141" t="n">
        <v>0</v>
      </c>
      <c r="J733" s="141" t="n">
        <v>0</v>
      </c>
      <c r="K733" s="141" t="n">
        <v>5.75</v>
      </c>
      <c r="L733" s="141" t="n">
        <v>132.91</v>
      </c>
      <c r="M733" s="141" t="n">
        <v>0</v>
      </c>
      <c r="N733" s="141" t="n">
        <v>0</v>
      </c>
      <c r="O733" s="141" t="n">
        <v>0</v>
      </c>
    </row>
    <row r="734" customFormat="false" ht="15" hidden="false" customHeight="false" outlineLevel="0" collapsed="false">
      <c r="A734" s="138" t="s">
        <v>2310</v>
      </c>
      <c r="B734" s="138" t="s">
        <v>3862</v>
      </c>
      <c r="C734" s="138" t="n">
        <v>635</v>
      </c>
      <c r="D734" s="138" t="n">
        <v>635.852</v>
      </c>
      <c r="E734" s="141" t="n">
        <f aca="false">F734/Parâmetros!$C$22</f>
        <v>143.3</v>
      </c>
      <c r="F734" s="141" t="n">
        <v>28.66</v>
      </c>
      <c r="G734" s="141" t="n">
        <v>339.42</v>
      </c>
      <c r="H734" s="141" t="n">
        <v>0</v>
      </c>
      <c r="I734" s="141" t="n">
        <v>0</v>
      </c>
      <c r="J734" s="141" t="n">
        <v>0</v>
      </c>
      <c r="K734" s="141" t="n">
        <v>11.54</v>
      </c>
      <c r="L734" s="141" t="n">
        <v>115.69</v>
      </c>
      <c r="M734" s="141" t="n">
        <v>0</v>
      </c>
      <c r="N734" s="141" t="n">
        <v>0</v>
      </c>
      <c r="O734" s="141" t="n">
        <v>0</v>
      </c>
    </row>
    <row r="735" customFormat="false" ht="15" hidden="false" customHeight="false" outlineLevel="0" collapsed="false">
      <c r="A735" s="138" t="s">
        <v>3862</v>
      </c>
      <c r="B735" s="138" t="s">
        <v>2311</v>
      </c>
      <c r="C735" s="138" t="n">
        <v>635.852</v>
      </c>
      <c r="D735" s="138" t="n">
        <v>636</v>
      </c>
      <c r="E735" s="141" t="n">
        <f aca="false">F735/Parâmetros!$C$22</f>
        <v>42.55</v>
      </c>
      <c r="F735" s="141" t="n">
        <v>8.51</v>
      </c>
      <c r="G735" s="141" t="n">
        <v>41.96</v>
      </c>
      <c r="H735" s="141" t="n">
        <v>0</v>
      </c>
      <c r="I735" s="141" t="n">
        <v>0</v>
      </c>
      <c r="J735" s="141" t="n">
        <v>0</v>
      </c>
      <c r="K735" s="141" t="n">
        <v>2.46</v>
      </c>
      <c r="L735" s="141" t="n">
        <v>19.55</v>
      </c>
      <c r="M735" s="141" t="n">
        <v>0</v>
      </c>
      <c r="N735" s="141" t="n">
        <v>0</v>
      </c>
      <c r="O735" s="141" t="n">
        <v>0</v>
      </c>
    </row>
    <row r="736" customFormat="false" ht="15" hidden="false" customHeight="false" outlineLevel="0" collapsed="false">
      <c r="A736" s="138" t="s">
        <v>2311</v>
      </c>
      <c r="B736" s="138" t="s">
        <v>3863</v>
      </c>
      <c r="C736" s="138" t="n">
        <v>636</v>
      </c>
      <c r="D736" s="138" t="n">
        <v>636.98</v>
      </c>
      <c r="E736" s="141" t="n">
        <f aca="false">F736/Parâmetros!$C$22</f>
        <v>291</v>
      </c>
      <c r="F736" s="141" t="n">
        <v>58.2</v>
      </c>
      <c r="G736" s="141" t="n">
        <v>266.81</v>
      </c>
      <c r="H736" s="141" t="n">
        <v>0</v>
      </c>
      <c r="I736" s="141" t="n">
        <v>0</v>
      </c>
      <c r="J736" s="141" t="n">
        <v>0</v>
      </c>
      <c r="K736" s="141" t="n">
        <v>16.61</v>
      </c>
      <c r="L736" s="141" t="n">
        <v>129.65</v>
      </c>
      <c r="M736" s="141" t="n">
        <v>0</v>
      </c>
      <c r="N736" s="141" t="n">
        <v>0</v>
      </c>
      <c r="O736" s="141" t="n">
        <v>0</v>
      </c>
    </row>
    <row r="737" customFormat="false" ht="15" hidden="false" customHeight="false" outlineLevel="0" collapsed="false">
      <c r="A737" s="138" t="s">
        <v>3863</v>
      </c>
      <c r="B737" s="138" t="s">
        <v>2312</v>
      </c>
      <c r="C737" s="138" t="n">
        <v>636.98</v>
      </c>
      <c r="D737" s="138" t="n">
        <v>637</v>
      </c>
      <c r="E737" s="141" t="n">
        <f aca="false">F737/Parâmetros!$C$22</f>
        <v>6.05</v>
      </c>
      <c r="F737" s="141" t="n">
        <v>1.21</v>
      </c>
      <c r="G737" s="141" t="n">
        <v>5.34</v>
      </c>
      <c r="H737" s="141" t="n">
        <v>0</v>
      </c>
      <c r="I737" s="141" t="n">
        <v>0</v>
      </c>
      <c r="J737" s="141" t="n">
        <v>0</v>
      </c>
      <c r="K737" s="141" t="n">
        <v>0.45</v>
      </c>
      <c r="L737" s="141" t="n">
        <v>2.65</v>
      </c>
      <c r="M737" s="141" t="n">
        <v>0</v>
      </c>
      <c r="N737" s="141" t="n">
        <v>0</v>
      </c>
      <c r="O737" s="141" t="n">
        <v>0</v>
      </c>
    </row>
    <row r="738" customFormat="false" ht="15" hidden="false" customHeight="false" outlineLevel="0" collapsed="false">
      <c r="A738" s="138" t="s">
        <v>2312</v>
      </c>
      <c r="B738" s="138" t="s">
        <v>2313</v>
      </c>
      <c r="C738" s="138" t="n">
        <v>637</v>
      </c>
      <c r="D738" s="138" t="n">
        <v>638</v>
      </c>
      <c r="E738" s="141" t="n">
        <f aca="false">F738/Parâmetros!$C$22</f>
        <v>303.35</v>
      </c>
      <c r="F738" s="141" t="n">
        <v>60.67</v>
      </c>
      <c r="G738" s="141" t="n">
        <v>268.61</v>
      </c>
      <c r="H738" s="141" t="n">
        <v>0</v>
      </c>
      <c r="I738" s="141" t="n">
        <v>0</v>
      </c>
      <c r="J738" s="141" t="n">
        <v>0</v>
      </c>
      <c r="K738" s="141" t="n">
        <v>22.59</v>
      </c>
      <c r="L738" s="141" t="n">
        <v>132.3</v>
      </c>
      <c r="M738" s="141" t="n">
        <v>0</v>
      </c>
      <c r="N738" s="141" t="n">
        <v>0</v>
      </c>
      <c r="O738" s="141" t="n">
        <v>0</v>
      </c>
    </row>
    <row r="739" customFormat="false" ht="15" hidden="false" customHeight="false" outlineLevel="0" collapsed="false">
      <c r="A739" s="138" t="s">
        <v>2313</v>
      </c>
      <c r="B739" s="138" t="s">
        <v>3864</v>
      </c>
      <c r="C739" s="138" t="n">
        <v>638</v>
      </c>
      <c r="D739" s="138" t="n">
        <v>638.1075</v>
      </c>
      <c r="E739" s="141" t="n">
        <f aca="false">F739/Parâmetros!$C$22</f>
        <v>32.9</v>
      </c>
      <c r="F739" s="141" t="n">
        <v>6.58</v>
      </c>
      <c r="G739" s="141" t="n">
        <v>29.21</v>
      </c>
      <c r="H739" s="141" t="n">
        <v>0</v>
      </c>
      <c r="I739" s="141" t="n">
        <v>0</v>
      </c>
      <c r="J739" s="141" t="n">
        <v>0</v>
      </c>
      <c r="K739" s="141" t="n">
        <v>2.44</v>
      </c>
      <c r="L739" s="141" t="n">
        <v>14.24</v>
      </c>
      <c r="M739" s="141" t="n">
        <v>0</v>
      </c>
      <c r="N739" s="141" t="n">
        <v>0</v>
      </c>
      <c r="O739" s="141" t="n">
        <v>0</v>
      </c>
    </row>
    <row r="740" customFormat="false" ht="15" hidden="false" customHeight="false" outlineLevel="0" collapsed="false">
      <c r="A740" s="138" t="s">
        <v>3864</v>
      </c>
      <c r="B740" s="138" t="s">
        <v>2314</v>
      </c>
      <c r="C740" s="138" t="n">
        <v>638.1075</v>
      </c>
      <c r="D740" s="138" t="n">
        <v>639</v>
      </c>
      <c r="E740" s="141" t="n">
        <f aca="false">F740/Parâmetros!$C$22</f>
        <v>300.05</v>
      </c>
      <c r="F740" s="141" t="n">
        <v>60.01</v>
      </c>
      <c r="G740" s="141" t="n">
        <v>239.23</v>
      </c>
      <c r="H740" s="141" t="n">
        <v>0</v>
      </c>
      <c r="I740" s="141" t="n">
        <v>0</v>
      </c>
      <c r="J740" s="141" t="n">
        <v>0</v>
      </c>
      <c r="K740" s="141" t="n">
        <v>22.06</v>
      </c>
      <c r="L740" s="141" t="n">
        <v>124.86</v>
      </c>
      <c r="M740" s="141" t="n">
        <v>0</v>
      </c>
      <c r="N740" s="141" t="n">
        <v>0</v>
      </c>
      <c r="O740" s="141" t="n">
        <v>0</v>
      </c>
    </row>
    <row r="741" customFormat="false" ht="15" hidden="false" customHeight="false" outlineLevel="0" collapsed="false">
      <c r="A741" s="138" t="s">
        <v>2314</v>
      </c>
      <c r="B741" s="138" t="s">
        <v>2316</v>
      </c>
      <c r="C741" s="138" t="n">
        <v>639</v>
      </c>
      <c r="D741" s="138" t="n">
        <v>640</v>
      </c>
      <c r="E741" s="141" t="n">
        <f aca="false">F741/Parâmetros!$C$22</f>
        <v>334.55</v>
      </c>
      <c r="F741" s="141" t="n">
        <v>66.91</v>
      </c>
      <c r="G741" s="141" t="n">
        <v>265.73</v>
      </c>
      <c r="H741" s="141" t="n">
        <v>0</v>
      </c>
      <c r="I741" s="141" t="n">
        <v>0</v>
      </c>
      <c r="J741" s="141" t="n">
        <v>0</v>
      </c>
      <c r="K741" s="141" t="n">
        <v>25.04</v>
      </c>
      <c r="L741" s="141" t="n">
        <v>139.92</v>
      </c>
      <c r="M741" s="141" t="n">
        <v>0</v>
      </c>
      <c r="N741" s="141" t="n">
        <v>0</v>
      </c>
      <c r="O741" s="141" t="n">
        <v>0</v>
      </c>
    </row>
    <row r="742" customFormat="false" ht="15" hidden="false" customHeight="false" outlineLevel="0" collapsed="false">
      <c r="A742" s="138" t="s">
        <v>2316</v>
      </c>
      <c r="B742" s="138" t="s">
        <v>2317</v>
      </c>
      <c r="C742" s="138" t="n">
        <v>640</v>
      </c>
      <c r="D742" s="138" t="n">
        <v>641</v>
      </c>
      <c r="E742" s="141" t="n">
        <f aca="false">F742/Parâmetros!$C$22</f>
        <v>302.05</v>
      </c>
      <c r="F742" s="141" t="n">
        <v>60.41</v>
      </c>
      <c r="G742" s="141" t="n">
        <v>271.31</v>
      </c>
      <c r="H742" s="141" t="n">
        <v>0</v>
      </c>
      <c r="I742" s="141" t="n">
        <v>0</v>
      </c>
      <c r="J742" s="141" t="n">
        <v>0</v>
      </c>
      <c r="K742" s="141" t="n">
        <v>13.21</v>
      </c>
      <c r="L742" s="141" t="n">
        <v>132.3</v>
      </c>
      <c r="M742" s="141" t="n">
        <v>0</v>
      </c>
      <c r="N742" s="141" t="n">
        <v>0</v>
      </c>
      <c r="O742" s="141" t="n">
        <v>0</v>
      </c>
    </row>
    <row r="743" customFormat="false" ht="15" hidden="false" customHeight="false" outlineLevel="0" collapsed="false">
      <c r="A743" s="138" t="s">
        <v>2317</v>
      </c>
      <c r="B743" s="138" t="s">
        <v>1607</v>
      </c>
      <c r="C743" s="138" t="n">
        <v>641</v>
      </c>
      <c r="D743" s="138" t="n">
        <v>642</v>
      </c>
      <c r="E743" s="141" t="n">
        <f aca="false">F743/Parâmetros!$C$22</f>
        <v>309.65</v>
      </c>
      <c r="F743" s="141" t="n">
        <v>61.93</v>
      </c>
      <c r="G743" s="141" t="n">
        <v>275.75</v>
      </c>
      <c r="H743" s="141" t="n">
        <v>0</v>
      </c>
      <c r="I743" s="141" t="n">
        <v>0</v>
      </c>
      <c r="J743" s="141" t="n">
        <v>0</v>
      </c>
      <c r="K743" s="141" t="n">
        <v>13.58</v>
      </c>
      <c r="L743" s="141" t="n">
        <v>132.3</v>
      </c>
      <c r="M743" s="141" t="n">
        <v>0</v>
      </c>
      <c r="N743" s="141" t="n">
        <v>0</v>
      </c>
      <c r="O743" s="141" t="n">
        <v>0</v>
      </c>
    </row>
    <row r="744" customFormat="false" ht="15" hidden="false" customHeight="false" outlineLevel="0" collapsed="false">
      <c r="A744" s="138" t="s">
        <v>1607</v>
      </c>
      <c r="B744" s="138" t="s">
        <v>3151</v>
      </c>
      <c r="C744" s="138" t="n">
        <v>642</v>
      </c>
      <c r="D744" s="138" t="n">
        <v>642.791</v>
      </c>
      <c r="E744" s="141" t="n">
        <f aca="false">F744/Parâmetros!$C$22</f>
        <v>247.25</v>
      </c>
      <c r="F744" s="141" t="n">
        <v>49.45</v>
      </c>
      <c r="G744" s="141" t="n">
        <v>201.79</v>
      </c>
      <c r="H744" s="141" t="n">
        <v>0</v>
      </c>
      <c r="I744" s="141" t="n">
        <v>0</v>
      </c>
      <c r="J744" s="141" t="n">
        <v>0</v>
      </c>
      <c r="K744" s="141" t="n">
        <v>23.95</v>
      </c>
      <c r="L744" s="141" t="n">
        <v>104.63</v>
      </c>
      <c r="M744" s="141" t="n">
        <v>0</v>
      </c>
      <c r="N744" s="141" t="n">
        <v>0</v>
      </c>
      <c r="O744" s="141" t="n">
        <v>0</v>
      </c>
    </row>
  </sheetData>
  <autoFilter ref="A1:O7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30"/>
    <col collapsed="false" customWidth="true" hidden="false" outlineLevel="0" max="6" min="5" style="0" width="10"/>
    <col collapsed="false" customWidth="true" hidden="false" outlineLevel="0" max="11" min="7" style="0" width="11"/>
  </cols>
  <sheetData>
    <row r="1" customFormat="false" ht="48" hidden="false" customHeight="true" outlineLevel="0" collapsed="false">
      <c r="A1" s="133" t="s">
        <v>1496</v>
      </c>
      <c r="B1" s="133" t="s">
        <v>3865</v>
      </c>
      <c r="C1" s="133" t="s">
        <v>3866</v>
      </c>
      <c r="D1" s="133" t="s">
        <v>3867</v>
      </c>
      <c r="E1" s="133" t="s">
        <v>3756</v>
      </c>
      <c r="F1" s="133" t="s">
        <v>3757</v>
      </c>
      <c r="G1" s="133" t="s">
        <v>3761</v>
      </c>
      <c r="H1" s="133" t="s">
        <v>3762</v>
      </c>
      <c r="I1" s="133" t="s">
        <v>3868</v>
      </c>
      <c r="J1" s="133" t="s">
        <v>3869</v>
      </c>
      <c r="K1" s="133" t="s">
        <v>3870</v>
      </c>
    </row>
    <row r="2" customFormat="false" ht="15" hidden="false" customHeight="false" outlineLevel="0" collapsed="false">
      <c r="A2" s="138" t="s">
        <v>3871</v>
      </c>
      <c r="B2" s="138" t="n">
        <v>326</v>
      </c>
      <c r="C2" s="138" t="n">
        <v>326.0005</v>
      </c>
      <c r="D2" s="138" t="s">
        <v>3872</v>
      </c>
      <c r="E2" s="141" t="n">
        <v>339.99</v>
      </c>
      <c r="F2" s="141" t="n">
        <v>0</v>
      </c>
      <c r="G2" s="141" t="n">
        <v>1651.93</v>
      </c>
      <c r="H2" s="141" t="n">
        <v>419.46</v>
      </c>
      <c r="I2" s="141" t="n">
        <v>5.39</v>
      </c>
      <c r="J2" s="141" t="n">
        <v>0</v>
      </c>
      <c r="K2" s="141" t="n">
        <v>0</v>
      </c>
    </row>
    <row r="3" customFormat="false" ht="15" hidden="false" customHeight="false" outlineLevel="0" collapsed="false">
      <c r="A3" s="138" t="s">
        <v>3873</v>
      </c>
      <c r="B3" s="138" t="n">
        <v>326</v>
      </c>
      <c r="C3" s="138" t="n">
        <v>326.0005</v>
      </c>
      <c r="D3" s="138" t="s">
        <v>3872</v>
      </c>
      <c r="E3" s="141" t="n">
        <v>334.66</v>
      </c>
      <c r="F3" s="141" t="n">
        <v>0</v>
      </c>
      <c r="G3" s="141" t="n">
        <v>1116.56</v>
      </c>
      <c r="H3" s="141" t="n">
        <v>384.45</v>
      </c>
      <c r="I3" s="141" t="n">
        <v>4.48</v>
      </c>
      <c r="J3" s="141" t="n">
        <v>0</v>
      </c>
      <c r="K3" s="141" t="n">
        <v>0</v>
      </c>
    </row>
    <row r="4" customFormat="false" ht="15" hidden="false" customHeight="false" outlineLevel="0" collapsed="false">
      <c r="A4" s="138" t="s">
        <v>3874</v>
      </c>
      <c r="B4" s="138" t="n">
        <v>326</v>
      </c>
      <c r="C4" s="138" t="n">
        <v>326.0005</v>
      </c>
      <c r="D4" s="138" t="s">
        <v>3872</v>
      </c>
      <c r="E4" s="141" t="n">
        <v>122.89</v>
      </c>
      <c r="F4" s="141" t="n">
        <v>367.88</v>
      </c>
      <c r="G4" s="141" t="n">
        <v>146.09</v>
      </c>
      <c r="H4" s="141" t="n">
        <v>376.74</v>
      </c>
      <c r="I4" s="141" t="n">
        <v>10.34</v>
      </c>
      <c r="J4" s="141" t="n">
        <v>0</v>
      </c>
      <c r="K4" s="141" t="n">
        <v>0</v>
      </c>
    </row>
    <row r="5" customFormat="false" ht="15" hidden="false" customHeight="false" outlineLevel="0" collapsed="false">
      <c r="A5" s="138" t="s">
        <v>3875</v>
      </c>
      <c r="B5" s="138" t="n">
        <v>2</v>
      </c>
      <c r="C5" s="138" t="n">
        <v>4.5</v>
      </c>
      <c r="D5" s="138" t="s">
        <v>3876</v>
      </c>
      <c r="E5" s="141" t="n">
        <v>0</v>
      </c>
      <c r="F5" s="141" t="n">
        <v>0</v>
      </c>
      <c r="G5" s="141" t="n">
        <v>0</v>
      </c>
      <c r="H5" s="141" t="n">
        <v>0</v>
      </c>
      <c r="I5" s="141" t="n">
        <v>0</v>
      </c>
      <c r="J5" s="141" t="n">
        <v>238.975</v>
      </c>
      <c r="K5" s="141" t="n">
        <v>47.795</v>
      </c>
    </row>
    <row r="6" customFormat="false" ht="15" hidden="false" customHeight="false" outlineLevel="0" collapsed="false">
      <c r="A6" s="138" t="s">
        <v>3877</v>
      </c>
      <c r="B6" s="138" t="n">
        <v>112.5</v>
      </c>
      <c r="C6" s="138" t="n">
        <v>115</v>
      </c>
      <c r="D6" s="138" t="s">
        <v>3878</v>
      </c>
      <c r="E6" s="141" t="n">
        <v>0</v>
      </c>
      <c r="F6" s="141" t="n">
        <v>0</v>
      </c>
      <c r="G6" s="141" t="n">
        <v>0</v>
      </c>
      <c r="H6" s="141" t="n">
        <v>0</v>
      </c>
      <c r="I6" s="141" t="n">
        <v>0</v>
      </c>
      <c r="J6" s="141" t="n">
        <v>478.5</v>
      </c>
      <c r="K6" s="141" t="n">
        <v>95.7</v>
      </c>
    </row>
    <row r="7" customFormat="false" ht="15" hidden="false" customHeight="false" outlineLevel="0" collapsed="false">
      <c r="A7" s="138" t="s">
        <v>3879</v>
      </c>
      <c r="B7" s="138" t="n">
        <v>157</v>
      </c>
      <c r="C7" s="138" t="n">
        <v>159</v>
      </c>
      <c r="D7" s="138" t="s">
        <v>3880</v>
      </c>
      <c r="E7" s="141" t="n">
        <v>0</v>
      </c>
      <c r="F7" s="141" t="n">
        <v>0</v>
      </c>
      <c r="G7" s="141" t="n">
        <v>0</v>
      </c>
      <c r="H7" s="141" t="n">
        <v>0</v>
      </c>
      <c r="I7" s="141" t="n">
        <v>0</v>
      </c>
      <c r="J7" s="141" t="n">
        <v>162.25</v>
      </c>
      <c r="K7" s="141" t="n">
        <v>32.45</v>
      </c>
    </row>
    <row r="8" customFormat="false" ht="15" hidden="false" customHeight="false" outlineLevel="0" collapsed="false">
      <c r="A8" s="138" t="s">
        <v>3881</v>
      </c>
      <c r="B8" s="138" t="n">
        <v>323</v>
      </c>
      <c r="C8" s="138" t="n">
        <v>325</v>
      </c>
      <c r="D8" s="138" t="s">
        <v>3882</v>
      </c>
      <c r="E8" s="141" t="n">
        <v>0</v>
      </c>
      <c r="F8" s="141" t="n">
        <v>0</v>
      </c>
      <c r="G8" s="141" t="n">
        <v>0</v>
      </c>
      <c r="H8" s="141" t="n">
        <v>0</v>
      </c>
      <c r="I8" s="141" t="n">
        <v>0</v>
      </c>
      <c r="J8" s="141" t="n">
        <v>1388.75</v>
      </c>
      <c r="K8" s="141" t="n">
        <v>277.75</v>
      </c>
    </row>
    <row r="9" customFormat="false" ht="15" hidden="false" customHeight="false" outlineLevel="0" collapsed="false">
      <c r="A9" s="138" t="s">
        <v>3883</v>
      </c>
      <c r="B9" s="138" t="n">
        <v>429</v>
      </c>
      <c r="C9" s="138" t="n">
        <v>431</v>
      </c>
      <c r="D9" s="138" t="s">
        <v>3884</v>
      </c>
      <c r="E9" s="141" t="n">
        <v>0</v>
      </c>
      <c r="F9" s="141" t="n">
        <v>0</v>
      </c>
      <c r="G9" s="141" t="n">
        <v>0</v>
      </c>
      <c r="H9" s="141" t="n">
        <v>0</v>
      </c>
      <c r="I9" s="141" t="n">
        <v>0</v>
      </c>
      <c r="J9" s="141" t="n">
        <v>656.7</v>
      </c>
      <c r="K9" s="141" t="n">
        <v>131.34</v>
      </c>
    </row>
    <row r="10" customFormat="false" ht="15" hidden="false" customHeight="false" outlineLevel="0" collapsed="false">
      <c r="A10" s="138" t="s">
        <v>3885</v>
      </c>
      <c r="B10" s="138" t="n">
        <v>436.75</v>
      </c>
      <c r="C10" s="138" t="n">
        <v>437.25</v>
      </c>
      <c r="D10" s="138" t="s">
        <v>2101</v>
      </c>
      <c r="E10" s="141" t="n">
        <v>0</v>
      </c>
      <c r="F10" s="141" t="n">
        <v>0</v>
      </c>
      <c r="G10" s="141" t="n">
        <v>0</v>
      </c>
      <c r="H10" s="141" t="n">
        <v>0</v>
      </c>
      <c r="I10" s="141" t="n">
        <v>0</v>
      </c>
      <c r="J10" s="141" t="n">
        <v>292.325</v>
      </c>
      <c r="K10" s="141" t="n">
        <v>58.465</v>
      </c>
    </row>
    <row r="11" customFormat="false" ht="15" hidden="false" customHeight="false" outlineLevel="0" collapsed="false">
      <c r="A11" s="138" t="s">
        <v>3886</v>
      </c>
      <c r="B11" s="138" t="n">
        <v>439</v>
      </c>
      <c r="C11" s="138" t="n">
        <v>443</v>
      </c>
      <c r="D11" s="138" t="s">
        <v>3887</v>
      </c>
      <c r="E11" s="141" t="n">
        <v>0</v>
      </c>
      <c r="F11" s="141" t="n">
        <v>0</v>
      </c>
      <c r="G11" s="141" t="n">
        <v>0</v>
      </c>
      <c r="H11" s="141" t="n">
        <v>0</v>
      </c>
      <c r="I11" s="141" t="n">
        <v>0</v>
      </c>
      <c r="J11" s="141" t="n">
        <v>671</v>
      </c>
      <c r="K11" s="141" t="n">
        <v>134.2</v>
      </c>
    </row>
    <row r="12" customFormat="false" ht="15" hidden="false" customHeight="false" outlineLevel="0" collapsed="false">
      <c r="A12" s="138" t="s">
        <v>3888</v>
      </c>
      <c r="B12" s="138" t="n">
        <v>561</v>
      </c>
      <c r="C12" s="138" t="n">
        <v>570</v>
      </c>
      <c r="D12" s="138" t="s">
        <v>3889</v>
      </c>
      <c r="E12" s="141" t="n">
        <v>0</v>
      </c>
      <c r="F12" s="141" t="n">
        <v>0</v>
      </c>
      <c r="G12" s="141" t="n">
        <v>0</v>
      </c>
      <c r="H12" s="141" t="n">
        <v>0</v>
      </c>
      <c r="I12" s="141" t="n">
        <v>0</v>
      </c>
      <c r="J12" s="141" t="n">
        <v>1901.075</v>
      </c>
      <c r="K12" s="141" t="n">
        <v>380.215</v>
      </c>
    </row>
    <row r="13" customFormat="false" ht="15" hidden="false" customHeight="false" outlineLevel="0" collapsed="false">
      <c r="A13" s="138" t="s">
        <v>3890</v>
      </c>
      <c r="B13" s="138" t="n">
        <v>605.5</v>
      </c>
      <c r="C13" s="138" t="n">
        <v>608</v>
      </c>
      <c r="D13" s="138" t="s">
        <v>3891</v>
      </c>
      <c r="E13" s="141" t="n">
        <v>0</v>
      </c>
      <c r="F13" s="141" t="n">
        <v>0</v>
      </c>
      <c r="G13" s="141" t="n">
        <v>0</v>
      </c>
      <c r="H13" s="141" t="n">
        <v>0</v>
      </c>
      <c r="I13" s="141" t="n">
        <v>0</v>
      </c>
      <c r="J13" s="141" t="n">
        <v>283.25</v>
      </c>
      <c r="K13" s="141" t="n">
        <v>56.65</v>
      </c>
    </row>
    <row r="14" customFormat="false" ht="15" hidden="false" customHeight="false" outlineLevel="0" collapsed="false">
      <c r="A14" s="138" t="s">
        <v>3892</v>
      </c>
      <c r="B14" s="138" t="n">
        <v>612</v>
      </c>
      <c r="C14" s="138" t="n">
        <v>618.5</v>
      </c>
      <c r="D14" s="138" t="s">
        <v>3893</v>
      </c>
      <c r="E14" s="141" t="n">
        <v>0</v>
      </c>
      <c r="F14" s="141" t="n">
        <v>0</v>
      </c>
      <c r="G14" s="141" t="n">
        <v>0</v>
      </c>
      <c r="H14" s="141" t="n">
        <v>0</v>
      </c>
      <c r="I14" s="141" t="n">
        <v>0</v>
      </c>
      <c r="J14" s="141" t="n">
        <v>561</v>
      </c>
      <c r="K14" s="141" t="n">
        <v>112.2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1"/>
    <col collapsed="false" customWidth="true" hidden="false" outlineLevel="0" max="4" min="4" style="0" width="70"/>
    <col collapsed="false" customWidth="true" hidden="false" outlineLevel="0" max="5" min="5" style="0" width="7"/>
    <col collapsed="false" customWidth="true" hidden="false" outlineLevel="0" max="8" min="6" style="0" width="12"/>
  </cols>
  <sheetData>
    <row r="1" customFormat="false" ht="48" hidden="false" customHeight="true" outlineLevel="0" collapsed="false">
      <c r="A1" s="133" t="s">
        <v>1496</v>
      </c>
      <c r="B1" s="133" t="s">
        <v>56</v>
      </c>
      <c r="C1" s="133" t="s">
        <v>3894</v>
      </c>
      <c r="D1" s="133" t="s">
        <v>1367</v>
      </c>
      <c r="E1" s="133" t="s">
        <v>3453</v>
      </c>
      <c r="F1" s="133" t="s">
        <v>3895</v>
      </c>
      <c r="G1" s="133" t="s">
        <v>3896</v>
      </c>
      <c r="H1" s="133" t="s">
        <v>50</v>
      </c>
    </row>
    <row r="2" customFormat="false" ht="15" hidden="false" customHeight="false" outlineLevel="0" collapsed="false">
      <c r="A2" s="142" t="s">
        <v>3897</v>
      </c>
      <c r="B2" s="142"/>
      <c r="C2" s="142"/>
      <c r="D2" s="142" t="s">
        <v>1547</v>
      </c>
      <c r="E2" s="142"/>
      <c r="F2" s="153"/>
      <c r="G2" s="153"/>
      <c r="H2" s="153"/>
    </row>
    <row r="3" customFormat="false" ht="15" hidden="false" customHeight="false" outlineLevel="0" collapsed="false">
      <c r="A3" s="138" t="s">
        <v>3898</v>
      </c>
      <c r="B3" s="138" t="n">
        <v>400000</v>
      </c>
      <c r="C3" s="138" t="s">
        <v>3899</v>
      </c>
      <c r="D3" s="138" t="s">
        <v>3900</v>
      </c>
      <c r="E3" s="138" t="s">
        <v>3901</v>
      </c>
      <c r="F3" s="141" t="n">
        <v>232329.7</v>
      </c>
      <c r="G3" s="141"/>
      <c r="H3" s="141" t="n">
        <v>232329.7</v>
      </c>
    </row>
    <row r="4" customFormat="false" ht="15" hidden="false" customHeight="false" outlineLevel="0" collapsed="false">
      <c r="A4" s="138" t="s">
        <v>3902</v>
      </c>
      <c r="B4" s="138" t="n">
        <v>410200</v>
      </c>
      <c r="C4" s="138" t="s">
        <v>3899</v>
      </c>
      <c r="D4" s="138" t="s">
        <v>3903</v>
      </c>
      <c r="E4" s="138" t="s">
        <v>3904</v>
      </c>
      <c r="F4" s="141" t="n">
        <v>100926.41</v>
      </c>
      <c r="G4" s="141" t="n">
        <v>367.88</v>
      </c>
      <c r="H4" s="141" t="n">
        <v>101294.29</v>
      </c>
    </row>
    <row r="5" customFormat="false" ht="15" hidden="false" customHeight="false" outlineLevel="0" collapsed="false">
      <c r="A5" s="138" t="s">
        <v>3905</v>
      </c>
      <c r="B5" s="138" t="n">
        <v>410400</v>
      </c>
      <c r="C5" s="138" t="s">
        <v>3899</v>
      </c>
      <c r="D5" s="138" t="s">
        <v>3906</v>
      </c>
      <c r="E5" s="138" t="s">
        <v>3904</v>
      </c>
      <c r="F5" s="141" t="n">
        <v>13280.16</v>
      </c>
      <c r="G5" s="141"/>
      <c r="H5" s="141" t="n">
        <v>13280.16</v>
      </c>
    </row>
    <row r="6" customFormat="false" ht="15" hidden="false" customHeight="false" outlineLevel="0" collapsed="false">
      <c r="A6" s="138"/>
      <c r="B6" s="138" t="n">
        <v>410600</v>
      </c>
      <c r="C6" s="138" t="s">
        <v>3899</v>
      </c>
      <c r="D6" s="138" t="s">
        <v>3907</v>
      </c>
      <c r="E6" s="138" t="s">
        <v>3904</v>
      </c>
      <c r="F6" s="141" t="n">
        <v>0</v>
      </c>
      <c r="G6" s="141"/>
      <c r="H6" s="141" t="n">
        <v>0</v>
      </c>
    </row>
    <row r="7" customFormat="false" ht="15" hidden="false" customHeight="false" outlineLevel="0" collapsed="false">
      <c r="A7" s="138" t="s">
        <v>3908</v>
      </c>
      <c r="B7" s="138" t="n">
        <v>410800</v>
      </c>
      <c r="C7" s="138" t="s">
        <v>3899</v>
      </c>
      <c r="D7" s="138" t="s">
        <v>3909</v>
      </c>
      <c r="E7" s="138" t="s">
        <v>3904</v>
      </c>
      <c r="F7" s="141" t="n">
        <v>4653.93</v>
      </c>
      <c r="G7" s="141"/>
      <c r="H7" s="141" t="n">
        <v>4653.93</v>
      </c>
    </row>
    <row r="8" customFormat="false" ht="15" hidden="false" customHeight="false" outlineLevel="0" collapsed="false">
      <c r="A8" s="138" t="s">
        <v>3910</v>
      </c>
      <c r="B8" s="138" t="n">
        <v>411000</v>
      </c>
      <c r="C8" s="138" t="s">
        <v>3899</v>
      </c>
      <c r="D8" s="138" t="s">
        <v>3911</v>
      </c>
      <c r="E8" s="138" t="s">
        <v>3904</v>
      </c>
      <c r="F8" s="141" t="n">
        <v>517.3</v>
      </c>
      <c r="G8" s="141" t="n">
        <v>1125.47</v>
      </c>
      <c r="H8" s="141" t="n">
        <v>1642.77</v>
      </c>
    </row>
    <row r="9" customFormat="false" ht="15" hidden="false" customHeight="false" outlineLevel="0" collapsed="false">
      <c r="A9" s="138" t="s">
        <v>3912</v>
      </c>
      <c r="B9" s="138" t="n">
        <v>411200</v>
      </c>
      <c r="C9" s="138" t="s">
        <v>3899</v>
      </c>
      <c r="D9" s="138" t="s">
        <v>3913</v>
      </c>
      <c r="E9" s="138" t="s">
        <v>3904</v>
      </c>
      <c r="F9" s="141" t="n">
        <v>19198.55</v>
      </c>
      <c r="G9" s="141" t="n">
        <v>0</v>
      </c>
      <c r="H9" s="141" t="n">
        <v>19198.55</v>
      </c>
    </row>
    <row r="10" customFormat="false" ht="15" hidden="false" customHeight="false" outlineLevel="0" collapsed="false">
      <c r="A10" s="138" t="s">
        <v>3914</v>
      </c>
      <c r="B10" s="138" t="n">
        <v>411400</v>
      </c>
      <c r="C10" s="138" t="s">
        <v>3899</v>
      </c>
      <c r="D10" s="138" t="s">
        <v>3915</v>
      </c>
      <c r="E10" s="138" t="s">
        <v>3904</v>
      </c>
      <c r="F10" s="141" t="n">
        <v>5665.84</v>
      </c>
      <c r="G10" s="141"/>
      <c r="H10" s="141" t="n">
        <v>5665.84</v>
      </c>
    </row>
    <row r="11" customFormat="false" ht="15" hidden="false" customHeight="false" outlineLevel="0" collapsed="false">
      <c r="A11" s="138" t="s">
        <v>3916</v>
      </c>
      <c r="B11" s="138" t="n">
        <v>411600</v>
      </c>
      <c r="C11" s="138" t="s">
        <v>3899</v>
      </c>
      <c r="D11" s="138" t="s">
        <v>3917</v>
      </c>
      <c r="E11" s="138" t="s">
        <v>3904</v>
      </c>
      <c r="F11" s="141" t="n">
        <v>601.86</v>
      </c>
      <c r="G11" s="141"/>
      <c r="H11" s="141" t="n">
        <v>601.86</v>
      </c>
    </row>
    <row r="12" customFormat="false" ht="15" hidden="false" customHeight="false" outlineLevel="0" collapsed="false">
      <c r="A12" s="138" t="s">
        <v>3918</v>
      </c>
      <c r="B12" s="138" t="n">
        <v>412000</v>
      </c>
      <c r="C12" s="138" t="s">
        <v>3899</v>
      </c>
      <c r="D12" s="138" t="s">
        <v>3919</v>
      </c>
      <c r="E12" s="138" t="s">
        <v>3904</v>
      </c>
      <c r="F12" s="141" t="n">
        <v>6926.57</v>
      </c>
      <c r="G12" s="141"/>
      <c r="H12" s="141" t="n">
        <v>6926.57</v>
      </c>
    </row>
    <row r="13" customFormat="false" ht="15" hidden="false" customHeight="false" outlineLevel="0" collapsed="false">
      <c r="A13" s="138" t="s">
        <v>3920</v>
      </c>
      <c r="B13" s="138" t="n">
        <v>413000</v>
      </c>
      <c r="C13" s="138" t="s">
        <v>3899</v>
      </c>
      <c r="D13" s="138" t="s">
        <v>3921</v>
      </c>
      <c r="E13" s="138" t="s">
        <v>3904</v>
      </c>
      <c r="F13" s="141" t="n">
        <v>12978.99</v>
      </c>
      <c r="G13" s="141" t="n">
        <v>4239.98</v>
      </c>
      <c r="H13" s="141" t="n">
        <v>17218.97</v>
      </c>
    </row>
    <row r="14" customFormat="false" ht="15" hidden="false" customHeight="false" outlineLevel="0" collapsed="false">
      <c r="A14" s="138" t="s">
        <v>3922</v>
      </c>
      <c r="B14" s="138" t="n">
        <v>414000</v>
      </c>
      <c r="C14" s="138" t="s">
        <v>3899</v>
      </c>
      <c r="D14" s="138" t="s">
        <v>3923</v>
      </c>
      <c r="E14" s="138" t="s">
        <v>3904</v>
      </c>
      <c r="F14" s="141" t="n">
        <v>34344.1</v>
      </c>
      <c r="G14" s="141"/>
      <c r="H14" s="141" t="n">
        <v>34344.1</v>
      </c>
    </row>
    <row r="15" customFormat="false" ht="15" hidden="false" customHeight="false" outlineLevel="0" collapsed="false">
      <c r="A15" s="138" t="s">
        <v>3924</v>
      </c>
      <c r="B15" s="138" t="n">
        <v>415000</v>
      </c>
      <c r="C15" s="138" t="s">
        <v>3899</v>
      </c>
      <c r="D15" s="138" t="s">
        <v>3925</v>
      </c>
      <c r="E15" s="138" t="s">
        <v>3904</v>
      </c>
      <c r="F15" s="141" t="n">
        <v>39996.26</v>
      </c>
      <c r="G15" s="141"/>
      <c r="H15" s="141" t="n">
        <v>39996.26</v>
      </c>
    </row>
    <row r="16" customFormat="false" ht="15" hidden="false" customHeight="false" outlineLevel="0" collapsed="false">
      <c r="A16" s="138" t="s">
        <v>3926</v>
      </c>
      <c r="B16" s="138" t="n">
        <v>416010</v>
      </c>
      <c r="C16" s="138" t="s">
        <v>3899</v>
      </c>
      <c r="D16" s="138" t="s">
        <v>3927</v>
      </c>
      <c r="E16" s="138" t="s">
        <v>3904</v>
      </c>
      <c r="F16" s="141" t="n">
        <v>13777.85</v>
      </c>
      <c r="G16" s="141"/>
      <c r="H16" s="141" t="n">
        <v>13777.85</v>
      </c>
    </row>
    <row r="17" customFormat="false" ht="15" hidden="false" customHeight="false" outlineLevel="0" collapsed="false">
      <c r="A17" s="138" t="s">
        <v>3928</v>
      </c>
      <c r="B17" s="138" t="n">
        <v>418000</v>
      </c>
      <c r="C17" s="138" t="s">
        <v>3899</v>
      </c>
      <c r="D17" s="138" t="s">
        <v>3929</v>
      </c>
      <c r="E17" s="138" t="s">
        <v>3904</v>
      </c>
      <c r="F17" s="141" t="n">
        <v>3362.77</v>
      </c>
      <c r="G17" s="141"/>
      <c r="H17" s="141" t="n">
        <v>3362.77</v>
      </c>
    </row>
    <row r="18" customFormat="false" ht="15" hidden="false" customHeight="false" outlineLevel="0" collapsed="false">
      <c r="A18" s="138" t="s">
        <v>3930</v>
      </c>
      <c r="B18" s="138" t="n">
        <v>420400</v>
      </c>
      <c r="C18" s="138" t="s">
        <v>3899</v>
      </c>
      <c r="D18" s="138" t="s">
        <v>3931</v>
      </c>
      <c r="E18" s="138" t="s">
        <v>3904</v>
      </c>
      <c r="F18" s="141" t="n">
        <v>5535</v>
      </c>
      <c r="G18" s="141"/>
      <c r="H18" s="141" t="n">
        <v>5535</v>
      </c>
    </row>
    <row r="19" customFormat="false" ht="15" hidden="false" customHeight="false" outlineLevel="0" collapsed="false">
      <c r="A19" s="138" t="s">
        <v>3932</v>
      </c>
      <c r="B19" s="138" t="n">
        <v>420800</v>
      </c>
      <c r="C19" s="138" t="s">
        <v>3899</v>
      </c>
      <c r="D19" s="138" t="s">
        <v>3933</v>
      </c>
      <c r="E19" s="138" t="s">
        <v>3904</v>
      </c>
      <c r="F19" s="141" t="n">
        <v>267.12</v>
      </c>
      <c r="G19" s="141"/>
      <c r="H19" s="141" t="n">
        <v>267.12</v>
      </c>
    </row>
    <row r="20" customFormat="false" ht="15" hidden="false" customHeight="false" outlineLevel="0" collapsed="false">
      <c r="A20" s="138" t="s">
        <v>3934</v>
      </c>
      <c r="B20" s="138" t="n">
        <v>422000</v>
      </c>
      <c r="C20" s="138" t="s">
        <v>3899</v>
      </c>
      <c r="D20" s="138" t="s">
        <v>3935</v>
      </c>
      <c r="E20" s="138" t="s">
        <v>3904</v>
      </c>
      <c r="F20" s="141" t="n">
        <v>8489.19</v>
      </c>
      <c r="G20" s="141"/>
      <c r="H20" s="141" t="n">
        <v>8489.19</v>
      </c>
    </row>
    <row r="21" customFormat="false" ht="15" hidden="false" customHeight="false" outlineLevel="0" collapsed="false">
      <c r="A21" s="138" t="s">
        <v>3936</v>
      </c>
      <c r="B21" s="138" t="n">
        <v>423000</v>
      </c>
      <c r="C21" s="138" t="s">
        <v>3899</v>
      </c>
      <c r="D21" s="138" t="s">
        <v>3937</v>
      </c>
      <c r="E21" s="138" t="s">
        <v>3904</v>
      </c>
      <c r="F21" s="141" t="n">
        <v>17346.27</v>
      </c>
      <c r="G21" s="141"/>
      <c r="H21" s="141" t="n">
        <v>17346.27</v>
      </c>
    </row>
    <row r="22" customFormat="false" ht="15" hidden="false" customHeight="false" outlineLevel="0" collapsed="false">
      <c r="A22" s="138" t="s">
        <v>3938</v>
      </c>
      <c r="B22" s="138" t="n">
        <v>430210</v>
      </c>
      <c r="C22" s="138" t="s">
        <v>3899</v>
      </c>
      <c r="D22" s="138" t="s">
        <v>3939</v>
      </c>
      <c r="E22" s="138" t="s">
        <v>3904</v>
      </c>
      <c r="F22" s="141"/>
      <c r="G22" s="141"/>
      <c r="H22" s="141" t="n">
        <v>0</v>
      </c>
    </row>
    <row r="23" customFormat="false" ht="15" hidden="false" customHeight="false" outlineLevel="0" collapsed="false">
      <c r="A23" s="138" t="s">
        <v>3940</v>
      </c>
      <c r="B23" s="138" t="n">
        <v>430410</v>
      </c>
      <c r="C23" s="138" t="s">
        <v>3899</v>
      </c>
      <c r="D23" s="138" t="s">
        <v>3941</v>
      </c>
      <c r="E23" s="138" t="s">
        <v>3904</v>
      </c>
      <c r="F23" s="141" t="n">
        <v>2271.55</v>
      </c>
      <c r="G23" s="141"/>
      <c r="H23" s="141" t="n">
        <v>2271.55</v>
      </c>
    </row>
    <row r="24" customFormat="false" ht="15" hidden="false" customHeight="false" outlineLevel="0" collapsed="false">
      <c r="A24" s="138" t="s">
        <v>3942</v>
      </c>
      <c r="B24" s="138" t="n">
        <v>431410</v>
      </c>
      <c r="C24" s="138" t="s">
        <v>3899</v>
      </c>
      <c r="D24" s="138" t="s">
        <v>3943</v>
      </c>
      <c r="E24" s="138" t="s">
        <v>3904</v>
      </c>
      <c r="F24" s="141" t="n">
        <v>435.13</v>
      </c>
      <c r="G24" s="141"/>
      <c r="H24" s="141" t="n">
        <v>435.13</v>
      </c>
    </row>
    <row r="25" customFormat="false" ht="15" hidden="false" customHeight="false" outlineLevel="0" collapsed="false">
      <c r="A25" s="138" t="s">
        <v>3944</v>
      </c>
      <c r="B25" s="138" t="n">
        <v>432010</v>
      </c>
      <c r="C25" s="138" t="s">
        <v>3899</v>
      </c>
      <c r="D25" s="138" t="s">
        <v>3945</v>
      </c>
      <c r="E25" s="138" t="s">
        <v>3904</v>
      </c>
      <c r="F25" s="141" t="n">
        <v>763.27</v>
      </c>
      <c r="G25" s="141"/>
      <c r="H25" s="141" t="n">
        <v>763.27</v>
      </c>
    </row>
    <row r="26" customFormat="false" ht="15" hidden="false" customHeight="false" outlineLevel="0" collapsed="false">
      <c r="A26" s="138" t="s">
        <v>3946</v>
      </c>
      <c r="B26" s="138" t="n">
        <v>433010</v>
      </c>
      <c r="C26" s="138" t="s">
        <v>3899</v>
      </c>
      <c r="D26" s="138" t="s">
        <v>3947</v>
      </c>
      <c r="E26" s="138" t="s">
        <v>3904</v>
      </c>
      <c r="F26" s="141" t="n">
        <v>1070.38</v>
      </c>
      <c r="G26" s="141"/>
      <c r="H26" s="141" t="n">
        <v>1070.38</v>
      </c>
    </row>
    <row r="27" customFormat="false" ht="15" hidden="false" customHeight="false" outlineLevel="0" collapsed="false">
      <c r="A27" s="138" t="s">
        <v>3948</v>
      </c>
      <c r="B27" s="138" t="n">
        <v>434010</v>
      </c>
      <c r="C27" s="138" t="s">
        <v>3899</v>
      </c>
      <c r="D27" s="138" t="s">
        <v>3949</v>
      </c>
      <c r="E27" s="138" t="s">
        <v>3904</v>
      </c>
      <c r="F27" s="141" t="n">
        <v>8445.73</v>
      </c>
      <c r="G27" s="141"/>
      <c r="H27" s="141" t="n">
        <v>8445.73</v>
      </c>
    </row>
    <row r="28" customFormat="false" ht="15" hidden="false" customHeight="false" outlineLevel="0" collapsed="false">
      <c r="A28" s="138" t="s">
        <v>3950</v>
      </c>
      <c r="B28" s="138" t="s">
        <v>3951</v>
      </c>
      <c r="C28" s="138" t="s">
        <v>3899</v>
      </c>
      <c r="D28" s="138" t="s">
        <v>3952</v>
      </c>
      <c r="E28" s="138" t="s">
        <v>3904</v>
      </c>
      <c r="F28" s="141" t="n">
        <v>6892.91</v>
      </c>
      <c r="G28" s="141"/>
      <c r="H28" s="141" t="n">
        <v>6892.91</v>
      </c>
    </row>
    <row r="29" customFormat="false" ht="15" hidden="false" customHeight="false" outlineLevel="0" collapsed="false">
      <c r="A29" s="138" t="s">
        <v>3953</v>
      </c>
      <c r="B29" s="138" t="s">
        <v>3954</v>
      </c>
      <c r="C29" s="138" t="s">
        <v>3899</v>
      </c>
      <c r="D29" s="138" t="s">
        <v>3955</v>
      </c>
      <c r="E29" s="138" t="s">
        <v>3904</v>
      </c>
      <c r="F29" s="141" t="n">
        <v>13221.52</v>
      </c>
      <c r="G29" s="141"/>
      <c r="H29" s="141" t="n">
        <v>13221.52</v>
      </c>
    </row>
    <row r="30" customFormat="false" ht="15" hidden="false" customHeight="false" outlineLevel="0" collapsed="false">
      <c r="A30" s="138" t="s">
        <v>3956</v>
      </c>
      <c r="B30" s="138" t="s">
        <v>3957</v>
      </c>
      <c r="C30" s="138" t="s">
        <v>3899</v>
      </c>
      <c r="D30" s="138" t="s">
        <v>3958</v>
      </c>
      <c r="E30" s="138" t="s">
        <v>3904</v>
      </c>
      <c r="F30" s="141" t="n">
        <v>4427.6</v>
      </c>
      <c r="G30" s="141"/>
      <c r="H30" s="141" t="n">
        <v>4427.6</v>
      </c>
    </row>
    <row r="31" customFormat="false" ht="15" hidden="false" customHeight="false" outlineLevel="0" collapsed="false">
      <c r="A31" s="138" t="s">
        <v>3959</v>
      </c>
      <c r="B31" s="138" t="s">
        <v>3960</v>
      </c>
      <c r="C31" s="138" t="s">
        <v>3899</v>
      </c>
      <c r="D31" s="138" t="s">
        <v>3961</v>
      </c>
      <c r="E31" s="138" t="s">
        <v>3904</v>
      </c>
      <c r="F31" s="141" t="n">
        <v>458.2</v>
      </c>
      <c r="G31" s="141"/>
      <c r="H31" s="141" t="n">
        <v>458.2</v>
      </c>
    </row>
    <row r="32" customFormat="false" ht="15" hidden="false" customHeight="false" outlineLevel="0" collapsed="false">
      <c r="A32" s="138" t="s">
        <v>3962</v>
      </c>
      <c r="B32" s="138" t="s">
        <v>3963</v>
      </c>
      <c r="C32" s="138" t="s">
        <v>3899</v>
      </c>
      <c r="D32" s="138" t="s">
        <v>3964</v>
      </c>
      <c r="E32" s="138" t="s">
        <v>3904</v>
      </c>
      <c r="F32" s="141" t="n">
        <v>2126.33</v>
      </c>
      <c r="G32" s="141"/>
      <c r="H32" s="141" t="n">
        <v>2126.33</v>
      </c>
    </row>
    <row r="33" customFormat="false" ht="15" hidden="false" customHeight="false" outlineLevel="0" collapsed="false">
      <c r="A33" s="138" t="s">
        <v>3965</v>
      </c>
      <c r="B33" s="138" t="s">
        <v>3966</v>
      </c>
      <c r="C33" s="138" t="s">
        <v>3899</v>
      </c>
      <c r="D33" s="138" t="s">
        <v>3967</v>
      </c>
      <c r="E33" s="138" t="s">
        <v>3904</v>
      </c>
      <c r="F33" s="141" t="n">
        <v>1494.51</v>
      </c>
      <c r="G33" s="141"/>
      <c r="H33" s="141" t="n">
        <v>1494.51</v>
      </c>
    </row>
    <row r="34" customFormat="false" ht="15" hidden="false" customHeight="false" outlineLevel="0" collapsed="false">
      <c r="A34" s="138" t="s">
        <v>3968</v>
      </c>
      <c r="B34" s="138" t="s">
        <v>3969</v>
      </c>
      <c r="C34" s="138" t="s">
        <v>3970</v>
      </c>
      <c r="D34" s="138" t="s">
        <v>3971</v>
      </c>
      <c r="E34" s="138" t="s">
        <v>3904</v>
      </c>
      <c r="F34" s="141" t="n">
        <v>46465.9399999999</v>
      </c>
      <c r="G34" s="141"/>
      <c r="H34" s="141" t="n">
        <v>46465.9399999999</v>
      </c>
    </row>
    <row r="35" customFormat="false" ht="15" hidden="false" customHeight="false" outlineLevel="0" collapsed="false">
      <c r="A35" s="138" t="s">
        <v>3972</v>
      </c>
      <c r="B35" s="138" t="n">
        <v>516100</v>
      </c>
      <c r="C35" s="138" t="s">
        <v>3899</v>
      </c>
      <c r="D35" s="138" t="s">
        <v>3973</v>
      </c>
      <c r="E35" s="138" t="s">
        <v>3904</v>
      </c>
      <c r="F35" s="141" t="n">
        <v>25822.9485</v>
      </c>
      <c r="G35" s="141"/>
      <c r="H35" s="141" t="n">
        <v>25822.9485</v>
      </c>
    </row>
    <row r="36" customFormat="false" ht="15" hidden="false" customHeight="false" outlineLevel="0" collapsed="false">
      <c r="A36" s="138" t="s">
        <v>3974</v>
      </c>
      <c r="B36" s="138" t="n">
        <v>516100</v>
      </c>
      <c r="C36" s="138" t="s">
        <v>3899</v>
      </c>
      <c r="D36" s="138" t="s">
        <v>3975</v>
      </c>
      <c r="E36" s="138" t="s">
        <v>3904</v>
      </c>
      <c r="F36" s="141" t="n">
        <v>1412.3455</v>
      </c>
      <c r="G36" s="141"/>
      <c r="H36" s="141" t="n">
        <v>1412.3455</v>
      </c>
    </row>
    <row r="37" customFormat="false" ht="15" hidden="false" customHeight="false" outlineLevel="0" collapsed="false">
      <c r="A37" s="138" t="s">
        <v>3976</v>
      </c>
      <c r="B37" s="138" t="s">
        <v>3977</v>
      </c>
      <c r="C37" s="138" t="s">
        <v>3970</v>
      </c>
      <c r="D37" s="138" t="s">
        <v>3978</v>
      </c>
      <c r="E37" s="138" t="s">
        <v>3904</v>
      </c>
      <c r="F37" s="141" t="n">
        <v>3519.614</v>
      </c>
      <c r="G37" s="141"/>
      <c r="H37" s="141" t="n">
        <v>3519.614</v>
      </c>
    </row>
    <row r="38" customFormat="false" ht="15" hidden="false" customHeight="false" outlineLevel="0" collapsed="false">
      <c r="A38" s="138" t="s">
        <v>3979</v>
      </c>
      <c r="B38" s="138" t="n">
        <v>400500</v>
      </c>
      <c r="C38" s="138" t="s">
        <v>3899</v>
      </c>
      <c r="D38" s="138" t="s">
        <v>3980</v>
      </c>
      <c r="E38" s="138" t="s">
        <v>3904</v>
      </c>
      <c r="F38" s="141" t="n">
        <v>6633.825</v>
      </c>
      <c r="G38" s="141"/>
      <c r="H38" s="141" t="n">
        <v>6633.825</v>
      </c>
    </row>
    <row r="39" customFormat="false" ht="15" hidden="false" customHeight="false" outlineLevel="0" collapsed="false">
      <c r="A39" s="138" t="s">
        <v>3981</v>
      </c>
      <c r="B39" s="138" t="n">
        <v>516000</v>
      </c>
      <c r="C39" s="138" t="s">
        <v>3899</v>
      </c>
      <c r="D39" s="138" t="s">
        <v>3982</v>
      </c>
      <c r="E39" s="138" t="s">
        <v>3904</v>
      </c>
      <c r="F39" s="141" t="n">
        <v>1326.765</v>
      </c>
      <c r="G39" s="141"/>
      <c r="H39" s="141" t="n">
        <v>1326.765</v>
      </c>
    </row>
    <row r="40" customFormat="false" ht="15" hidden="false" customHeight="false" outlineLevel="0" collapsed="false">
      <c r="A40" s="138" t="s">
        <v>3983</v>
      </c>
      <c r="B40" s="138" t="n">
        <v>401200</v>
      </c>
      <c r="C40" s="138" t="s">
        <v>3899</v>
      </c>
      <c r="D40" s="138" t="s">
        <v>3984</v>
      </c>
      <c r="E40" s="138" t="s">
        <v>3904</v>
      </c>
      <c r="F40" s="141" t="n">
        <v>2514.01</v>
      </c>
      <c r="G40" s="141"/>
      <c r="H40" s="141" t="n">
        <v>2514.01</v>
      </c>
    </row>
    <row r="41" customFormat="false" ht="15" hidden="false" customHeight="false" outlineLevel="0" collapsed="false">
      <c r="A41" s="138" t="s">
        <v>3985</v>
      </c>
      <c r="B41" s="138" t="n">
        <v>403000</v>
      </c>
      <c r="C41" s="138" t="s">
        <v>3899</v>
      </c>
      <c r="D41" s="138" t="s">
        <v>3986</v>
      </c>
      <c r="E41" s="138" t="s">
        <v>3904</v>
      </c>
      <c r="F41" s="141" t="n">
        <v>16881.878</v>
      </c>
      <c r="G41" s="141"/>
      <c r="H41" s="141" t="n">
        <v>16881.878</v>
      </c>
    </row>
    <row r="42" customFormat="false" ht="15" hidden="false" customHeight="false" outlineLevel="0" collapsed="false">
      <c r="A42" s="138" t="s">
        <v>3987</v>
      </c>
      <c r="B42" s="138" t="n">
        <v>416300</v>
      </c>
      <c r="C42" s="138" t="s">
        <v>3899</v>
      </c>
      <c r="D42" s="138" t="s">
        <v>3988</v>
      </c>
      <c r="E42" s="138" t="s">
        <v>3904</v>
      </c>
      <c r="F42" s="141" t="n">
        <v>3079.10275</v>
      </c>
      <c r="G42" s="141"/>
      <c r="H42" s="141" t="n">
        <v>3079.10275</v>
      </c>
    </row>
    <row r="43" customFormat="false" ht="15" hidden="false" customHeight="false" outlineLevel="0" collapsed="false">
      <c r="A43" s="138" t="s">
        <v>3989</v>
      </c>
      <c r="B43" s="138" t="n">
        <v>401100</v>
      </c>
      <c r="C43" s="138" t="s">
        <v>3899</v>
      </c>
      <c r="D43" s="138" t="s">
        <v>3990</v>
      </c>
      <c r="E43" s="138" t="s">
        <v>3904</v>
      </c>
      <c r="F43" s="141" t="n">
        <v>99884.69075</v>
      </c>
      <c r="G43" s="141" t="n">
        <v>1180.65</v>
      </c>
      <c r="H43" s="141" t="n">
        <v>101065.34075</v>
      </c>
    </row>
    <row r="44" customFormat="false" ht="15" hidden="false" customHeight="false" outlineLevel="0" collapsed="false">
      <c r="A44" s="138" t="s">
        <v>3991</v>
      </c>
      <c r="B44" s="138" t="n">
        <v>401950</v>
      </c>
      <c r="C44" s="138" t="s">
        <v>3899</v>
      </c>
      <c r="D44" s="138" t="s">
        <v>3992</v>
      </c>
      <c r="E44" s="138" t="s">
        <v>3904</v>
      </c>
      <c r="F44" s="141" t="n">
        <v>122600.47</v>
      </c>
      <c r="G44" s="141" t="n">
        <v>2914.58</v>
      </c>
      <c r="H44" s="141" t="n">
        <v>125515.05</v>
      </c>
    </row>
    <row r="45" customFormat="false" ht="15" hidden="false" customHeight="false" outlineLevel="0" collapsed="false">
      <c r="A45" s="138" t="s">
        <v>3993</v>
      </c>
      <c r="B45" s="138" t="n">
        <v>404300</v>
      </c>
      <c r="C45" s="138" t="s">
        <v>3899</v>
      </c>
      <c r="D45" s="138" t="s">
        <v>3994</v>
      </c>
      <c r="E45" s="138" t="s">
        <v>3904</v>
      </c>
      <c r="F45" s="141" t="n">
        <v>75087.0099999999</v>
      </c>
      <c r="G45" s="141"/>
      <c r="H45" s="141" t="n">
        <v>75087.0099999999</v>
      </c>
    </row>
    <row r="46" customFormat="false" ht="15" hidden="false" customHeight="false" outlineLevel="0" collapsed="false">
      <c r="A46" s="142" t="s">
        <v>3995</v>
      </c>
      <c r="B46" s="142"/>
      <c r="C46" s="142"/>
      <c r="D46" s="142" t="s">
        <v>3996</v>
      </c>
      <c r="E46" s="142"/>
      <c r="F46" s="153"/>
      <c r="G46" s="153"/>
      <c r="H46" s="153" t="n">
        <v>0</v>
      </c>
    </row>
    <row r="47" customFormat="false" ht="15" hidden="false" customHeight="false" outlineLevel="0" collapsed="false">
      <c r="A47" s="138" t="s">
        <v>3997</v>
      </c>
      <c r="B47" s="138" t="n">
        <v>1207711</v>
      </c>
      <c r="C47" s="138" t="s">
        <v>3998</v>
      </c>
      <c r="D47" s="138" t="s">
        <v>3999</v>
      </c>
      <c r="E47" s="138" t="s">
        <v>3904</v>
      </c>
      <c r="F47" s="141" t="n">
        <v>201.435</v>
      </c>
      <c r="G47" s="141"/>
      <c r="H47" s="141" t="n">
        <v>201.435</v>
      </c>
    </row>
    <row r="48" customFormat="false" ht="15" hidden="false" customHeight="false" outlineLevel="0" collapsed="false">
      <c r="A48" s="138" t="s">
        <v>4000</v>
      </c>
      <c r="B48" s="138" t="n">
        <v>1513945</v>
      </c>
      <c r="C48" s="138" t="s">
        <v>3998</v>
      </c>
      <c r="D48" s="138" t="s">
        <v>4001</v>
      </c>
      <c r="E48" s="138" t="s">
        <v>173</v>
      </c>
      <c r="F48" s="141" t="n">
        <v>2928.555</v>
      </c>
      <c r="G48" s="141"/>
      <c r="H48" s="141" t="n">
        <v>2928.555</v>
      </c>
    </row>
    <row r="49" customFormat="false" ht="15" hidden="false" customHeight="false" outlineLevel="0" collapsed="false">
      <c r="A49" s="138" t="s">
        <v>4002</v>
      </c>
      <c r="B49" s="138" t="n">
        <v>2003820</v>
      </c>
      <c r="C49" s="138" t="s">
        <v>3998</v>
      </c>
      <c r="D49" s="138" t="s">
        <v>4003</v>
      </c>
      <c r="E49" s="138" t="s">
        <v>4004</v>
      </c>
      <c r="F49" s="141" t="n">
        <v>179</v>
      </c>
      <c r="G49" s="141"/>
      <c r="H49" s="141" t="n">
        <v>179</v>
      </c>
    </row>
    <row r="50" customFormat="false" ht="15" hidden="false" customHeight="false" outlineLevel="0" collapsed="false">
      <c r="A50" s="138" t="s">
        <v>4005</v>
      </c>
      <c r="B50" s="138" t="n">
        <v>5605934</v>
      </c>
      <c r="C50" s="138" t="s">
        <v>3998</v>
      </c>
      <c r="D50" s="138" t="s">
        <v>4006</v>
      </c>
      <c r="E50" s="138" t="s">
        <v>176</v>
      </c>
      <c r="F50" s="141" t="n">
        <v>1162.125</v>
      </c>
      <c r="G50" s="141"/>
      <c r="H50" s="141" t="n">
        <v>1162.125</v>
      </c>
    </row>
    <row r="51" customFormat="false" ht="15" hidden="false" customHeight="false" outlineLevel="0" collapsed="false">
      <c r="A51" s="138" t="s">
        <v>4007</v>
      </c>
      <c r="B51" s="138"/>
      <c r="C51" s="138"/>
      <c r="D51" s="138" t="s">
        <v>4008</v>
      </c>
      <c r="E51" s="138" t="s">
        <v>73</v>
      </c>
      <c r="F51" s="141" t="n">
        <v>3099</v>
      </c>
      <c r="G51" s="141"/>
      <c r="H51" s="141" t="n">
        <v>3099</v>
      </c>
    </row>
    <row r="53" customFormat="false" ht="15" hidden="false" customHeight="false" outlineLevel="0" collapsed="false">
      <c r="A53" s="136" t="s">
        <v>4009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</cols>
  <sheetData>
    <row r="1" customFormat="false" ht="48" hidden="false" customHeight="true" outlineLevel="0" collapsed="false">
      <c r="A1" s="133" t="s">
        <v>9</v>
      </c>
      <c r="B1" s="133" t="s">
        <v>3158</v>
      </c>
      <c r="C1" s="133" t="s">
        <v>4010</v>
      </c>
      <c r="D1" s="133" t="s">
        <v>4011</v>
      </c>
      <c r="E1" s="133" t="s">
        <v>4012</v>
      </c>
      <c r="F1" s="133" t="s">
        <v>907</v>
      </c>
      <c r="G1" s="133" t="s">
        <v>4013</v>
      </c>
      <c r="H1" s="133" t="s">
        <v>4014</v>
      </c>
      <c r="I1" s="133" t="s">
        <v>4015</v>
      </c>
      <c r="J1" s="133" t="s">
        <v>4016</v>
      </c>
      <c r="K1" s="133" t="s">
        <v>4017</v>
      </c>
      <c r="L1" s="133" t="s">
        <v>4018</v>
      </c>
      <c r="M1" s="133" t="s">
        <v>4019</v>
      </c>
    </row>
    <row r="2" customFormat="false" ht="15" hidden="false" customHeight="false" outlineLevel="0" collapsed="false">
      <c r="A2" s="138" t="s">
        <v>1568</v>
      </c>
      <c r="B2" s="138" t="n">
        <v>0</v>
      </c>
      <c r="C2" s="146" t="n">
        <v>846.29</v>
      </c>
      <c r="D2" s="146" t="n">
        <v>846.29</v>
      </c>
      <c r="E2" s="146" t="n">
        <f aca="false">D2-C2</f>
        <v>0</v>
      </c>
      <c r="F2" s="138" t="str">
        <f aca="false">IF(E2&gt;=0,"Aterro","Corte")</f>
        <v>Aterro</v>
      </c>
      <c r="G2" s="138" t="n">
        <v>-6.762</v>
      </c>
      <c r="H2" s="138" t="s">
        <v>4020</v>
      </c>
      <c r="I2" s="138" t="s">
        <v>4021</v>
      </c>
      <c r="J2" s="138" t="n">
        <v>7.938</v>
      </c>
      <c r="K2" s="138"/>
      <c r="L2" s="138"/>
      <c r="M2" s="138" t="s">
        <v>4022</v>
      </c>
    </row>
    <row r="3" customFormat="false" ht="15" hidden="false" customHeight="false" outlineLevel="0" collapsed="false">
      <c r="A3" s="138" t="s">
        <v>1643</v>
      </c>
      <c r="B3" s="138" t="n">
        <v>1</v>
      </c>
      <c r="C3" s="146" t="n">
        <v>845.11</v>
      </c>
      <c r="D3" s="146" t="n">
        <v>845.19</v>
      </c>
      <c r="E3" s="146" t="n">
        <f aca="false">D3-C3</f>
        <v>0.0800000000000409</v>
      </c>
      <c r="F3" s="138" t="str">
        <f aca="false">IF(E3&gt;=0,"Aterro","Corte")</f>
        <v>Aterro</v>
      </c>
      <c r="G3" s="138" t="n">
        <v>-6.762</v>
      </c>
      <c r="H3" s="138" t="s">
        <v>4020</v>
      </c>
      <c r="I3" s="138" t="s">
        <v>4021</v>
      </c>
      <c r="J3" s="138" t="n">
        <v>7.938</v>
      </c>
      <c r="K3" s="138"/>
      <c r="L3" s="138"/>
      <c r="M3" s="138" t="s">
        <v>4022</v>
      </c>
    </row>
    <row r="4" customFormat="false" ht="15" hidden="false" customHeight="false" outlineLevel="0" collapsed="false">
      <c r="A4" s="138" t="s">
        <v>1644</v>
      </c>
      <c r="B4" s="138" t="n">
        <v>2</v>
      </c>
      <c r="C4" s="146" t="n">
        <v>844.485</v>
      </c>
      <c r="D4" s="146" t="n">
        <v>844.593</v>
      </c>
      <c r="E4" s="146" t="n">
        <f aca="false">D4-C4</f>
        <v>0.107999999999947</v>
      </c>
      <c r="F4" s="138" t="str">
        <f aca="false">IF(E4&gt;=0,"Aterro","Corte")</f>
        <v>Aterro</v>
      </c>
      <c r="G4" s="138" t="n">
        <v>-6.762</v>
      </c>
      <c r="H4" s="138" t="s">
        <v>4020</v>
      </c>
      <c r="I4" s="138" t="s">
        <v>4021</v>
      </c>
      <c r="J4" s="138" t="n">
        <v>7.938</v>
      </c>
      <c r="K4" s="138"/>
      <c r="L4" s="138"/>
      <c r="M4" s="138" t="s">
        <v>4022</v>
      </c>
    </row>
    <row r="5" customFormat="false" ht="15" hidden="false" customHeight="false" outlineLevel="0" collapsed="false">
      <c r="A5" s="138" t="s">
        <v>1645</v>
      </c>
      <c r="B5" s="138" t="n">
        <v>3</v>
      </c>
      <c r="C5" s="146" t="n">
        <v>844.335</v>
      </c>
      <c r="D5" s="146" t="n">
        <v>844.501</v>
      </c>
      <c r="E5" s="146" t="n">
        <f aca="false">D5-C5</f>
        <v>0.16599999999994</v>
      </c>
      <c r="F5" s="138" t="str">
        <f aca="false">IF(E5&gt;=0,"Aterro","Corte")</f>
        <v>Aterro</v>
      </c>
      <c r="G5" s="138" t="n">
        <v>4.577</v>
      </c>
      <c r="H5" s="138" t="s">
        <v>4020</v>
      </c>
      <c r="I5" s="138" t="s">
        <v>4021</v>
      </c>
      <c r="J5" s="138" t="n">
        <v>7.938</v>
      </c>
      <c r="K5" s="138"/>
      <c r="L5" s="138"/>
      <c r="M5" s="138" t="s">
        <v>4022</v>
      </c>
    </row>
    <row r="6" customFormat="false" ht="15" hidden="false" customHeight="false" outlineLevel="0" collapsed="false">
      <c r="A6" s="138" t="s">
        <v>1646</v>
      </c>
      <c r="B6" s="138" t="n">
        <v>4</v>
      </c>
      <c r="C6" s="146" t="n">
        <v>844.607</v>
      </c>
      <c r="D6" s="146" t="n">
        <v>844.912</v>
      </c>
      <c r="E6" s="146" t="n">
        <f aca="false">D6-C6</f>
        <v>0.305000000000064</v>
      </c>
      <c r="F6" s="138" t="str">
        <f aca="false">IF(E6&gt;=0,"Aterro","Corte")</f>
        <v>Aterro</v>
      </c>
      <c r="G6" s="138" t="n">
        <v>4.577</v>
      </c>
      <c r="H6" s="138" t="s">
        <v>4020</v>
      </c>
      <c r="I6" s="138" t="s">
        <v>4021</v>
      </c>
      <c r="J6" s="138" t="n">
        <v>7.938</v>
      </c>
      <c r="K6" s="138"/>
      <c r="L6" s="138"/>
      <c r="M6" s="138" t="s">
        <v>4022</v>
      </c>
    </row>
    <row r="7" customFormat="false" ht="15" hidden="false" customHeight="false" outlineLevel="0" collapsed="false">
      <c r="A7" s="138" t="s">
        <v>1647</v>
      </c>
      <c r="B7" s="138" t="n">
        <v>5</v>
      </c>
      <c r="C7" s="146" t="n">
        <v>845.274</v>
      </c>
      <c r="D7" s="146" t="n">
        <v>845.764</v>
      </c>
      <c r="E7" s="146" t="n">
        <f aca="false">D7-C7</f>
        <v>0.490000000000009</v>
      </c>
      <c r="F7" s="138" t="str">
        <f aca="false">IF(E7&gt;=0,"Aterro","Corte")</f>
        <v>Aterro</v>
      </c>
      <c r="G7" s="138" t="n">
        <v>4.577</v>
      </c>
      <c r="H7" s="138"/>
      <c r="I7" s="138"/>
      <c r="J7" s="138"/>
      <c r="K7" s="138"/>
      <c r="L7" s="138"/>
      <c r="M7" s="138" t="s">
        <v>4022</v>
      </c>
    </row>
    <row r="8" customFormat="false" ht="15" hidden="false" customHeight="false" outlineLevel="0" collapsed="false">
      <c r="A8" s="138" t="s">
        <v>1648</v>
      </c>
      <c r="B8" s="138" t="n">
        <v>6</v>
      </c>
      <c r="C8" s="146" t="n">
        <v>846.298</v>
      </c>
      <c r="D8" s="146" t="n">
        <v>846.68</v>
      </c>
      <c r="E8" s="146" t="n">
        <f aca="false">D8-C8</f>
        <v>0.381999999999948</v>
      </c>
      <c r="F8" s="138" t="str">
        <f aca="false">IF(E8&gt;=0,"Aterro","Corte")</f>
        <v>Aterro</v>
      </c>
      <c r="G8" s="138" t="n">
        <v>4.577</v>
      </c>
      <c r="H8" s="138"/>
      <c r="I8" s="138"/>
      <c r="J8" s="138"/>
      <c r="K8" s="138"/>
      <c r="L8" s="138"/>
      <c r="M8" s="138" t="s">
        <v>4022</v>
      </c>
    </row>
    <row r="9" customFormat="false" ht="15" hidden="false" customHeight="false" outlineLevel="0" collapsed="false">
      <c r="A9" s="138" t="s">
        <v>1649</v>
      </c>
      <c r="B9" s="138" t="n">
        <v>7</v>
      </c>
      <c r="C9" s="146" t="n">
        <v>847.647</v>
      </c>
      <c r="D9" s="146" t="n">
        <v>847.595</v>
      </c>
      <c r="E9" s="146" t="n">
        <f aca="false">D9-C9</f>
        <v>-0.0520000000000209</v>
      </c>
      <c r="F9" s="138" t="str">
        <f aca="false">IF(E9&gt;=0,"Aterro","Corte")</f>
        <v>Corte</v>
      </c>
      <c r="G9" s="138" t="n">
        <v>4.577</v>
      </c>
      <c r="H9" s="138"/>
      <c r="I9" s="138"/>
      <c r="J9" s="138"/>
      <c r="K9" s="138"/>
      <c r="L9" s="138"/>
      <c r="M9" s="138" t="s">
        <v>4022</v>
      </c>
    </row>
    <row r="10" customFormat="false" ht="15" hidden="false" customHeight="false" outlineLevel="0" collapsed="false">
      <c r="A10" s="138" t="s">
        <v>1650</v>
      </c>
      <c r="B10" s="138" t="n">
        <v>8</v>
      </c>
      <c r="C10" s="146" t="n">
        <v>849.012</v>
      </c>
      <c r="D10" s="146" t="n">
        <v>848.51</v>
      </c>
      <c r="E10" s="146" t="n">
        <f aca="false">D10-C10</f>
        <v>-0.501999999999953</v>
      </c>
      <c r="F10" s="138" t="str">
        <f aca="false">IF(E10&gt;=0,"Aterro","Corte")</f>
        <v>Corte</v>
      </c>
      <c r="G10" s="138" t="n">
        <v>4.577</v>
      </c>
      <c r="H10" s="138"/>
      <c r="I10" s="138"/>
      <c r="J10" s="138"/>
      <c r="K10" s="138"/>
      <c r="L10" s="138"/>
      <c r="M10" s="138" t="s">
        <v>4022</v>
      </c>
    </row>
    <row r="11" customFormat="false" ht="15" hidden="false" customHeight="false" outlineLevel="0" collapsed="false">
      <c r="A11" s="138" t="s">
        <v>1651</v>
      </c>
      <c r="B11" s="138" t="n">
        <v>9</v>
      </c>
      <c r="C11" s="146" t="n">
        <v>850.207</v>
      </c>
      <c r="D11" s="146" t="n">
        <v>849.426</v>
      </c>
      <c r="E11" s="146" t="n">
        <f aca="false">D11-C11</f>
        <v>-0.780999999999949</v>
      </c>
      <c r="F11" s="138" t="str">
        <f aca="false">IF(E11&gt;=0,"Aterro","Corte")</f>
        <v>Corte</v>
      </c>
      <c r="G11" s="138" t="n">
        <v>4.577</v>
      </c>
      <c r="H11" s="138"/>
      <c r="I11" s="138"/>
      <c r="J11" s="138"/>
      <c r="K11" s="138"/>
      <c r="L11" s="138"/>
      <c r="M11" s="138" t="s">
        <v>4022</v>
      </c>
    </row>
    <row r="12" customFormat="false" ht="15" hidden="false" customHeight="false" outlineLevel="0" collapsed="false">
      <c r="A12" s="138" t="s">
        <v>1652</v>
      </c>
      <c r="B12" s="138" t="n">
        <v>10</v>
      </c>
      <c r="C12" s="146" t="n">
        <v>851.177</v>
      </c>
      <c r="D12" s="146" t="n">
        <v>850.341</v>
      </c>
      <c r="E12" s="146" t="n">
        <f aca="false">D12-C12</f>
        <v>-0.836000000000013</v>
      </c>
      <c r="F12" s="138" t="str">
        <f aca="false">IF(E12&gt;=0,"Aterro","Corte")</f>
        <v>Corte</v>
      </c>
      <c r="G12" s="138" t="n">
        <v>4.577</v>
      </c>
      <c r="H12" s="138"/>
      <c r="I12" s="138"/>
      <c r="J12" s="138"/>
      <c r="K12" s="138"/>
      <c r="L12" s="138"/>
      <c r="M12" s="138" t="s">
        <v>4022</v>
      </c>
    </row>
    <row r="13" customFormat="false" ht="15" hidden="false" customHeight="false" outlineLevel="0" collapsed="false">
      <c r="A13" s="138" t="s">
        <v>1653</v>
      </c>
      <c r="B13" s="138" t="n">
        <v>11</v>
      </c>
      <c r="C13" s="146" t="n">
        <v>851.957</v>
      </c>
      <c r="D13" s="146" t="n">
        <v>851.248</v>
      </c>
      <c r="E13" s="146" t="n">
        <f aca="false">D13-C13</f>
        <v>-0.708999999999946</v>
      </c>
      <c r="F13" s="138" t="str">
        <f aca="false">IF(E13&gt;=0,"Aterro","Corte")</f>
        <v>Corte</v>
      </c>
      <c r="G13" s="138" t="n">
        <v>4.577</v>
      </c>
      <c r="H13" s="138" t="s">
        <v>4023</v>
      </c>
      <c r="I13" s="138" t="s">
        <v>4024</v>
      </c>
      <c r="J13" s="138" t="n">
        <v>33.733</v>
      </c>
      <c r="K13" s="138"/>
      <c r="L13" s="138"/>
      <c r="M13" s="138" t="s">
        <v>4022</v>
      </c>
    </row>
    <row r="14" customFormat="false" ht="15" hidden="false" customHeight="false" outlineLevel="0" collapsed="false">
      <c r="A14" s="138" t="s">
        <v>1654</v>
      </c>
      <c r="B14" s="138" t="n">
        <v>12</v>
      </c>
      <c r="C14" s="146" t="n">
        <v>852.633</v>
      </c>
      <c r="D14" s="146" t="n">
        <v>852.058</v>
      </c>
      <c r="E14" s="146" t="n">
        <f aca="false">D14-C14</f>
        <v>-0.575000000000046</v>
      </c>
      <c r="F14" s="138" t="str">
        <f aca="false">IF(E14&gt;=0,"Aterro","Corte")</f>
        <v>Corte</v>
      </c>
      <c r="G14" s="138" t="n">
        <v>4.577</v>
      </c>
      <c r="H14" s="138" t="s">
        <v>4023</v>
      </c>
      <c r="I14" s="138" t="s">
        <v>4024</v>
      </c>
      <c r="J14" s="138" t="n">
        <v>33.733</v>
      </c>
      <c r="K14" s="138"/>
      <c r="L14" s="138"/>
      <c r="M14" s="138" t="s">
        <v>4022</v>
      </c>
    </row>
    <row r="15" customFormat="false" ht="15" hidden="false" customHeight="false" outlineLevel="0" collapsed="false">
      <c r="A15" s="138" t="s">
        <v>1655</v>
      </c>
      <c r="B15" s="138" t="n">
        <v>13</v>
      </c>
      <c r="C15" s="146" t="n">
        <v>853.113</v>
      </c>
      <c r="D15" s="146" t="n">
        <v>852.75</v>
      </c>
      <c r="E15" s="146" t="n">
        <f aca="false">D15-C15</f>
        <v>-0.363000000000056</v>
      </c>
      <c r="F15" s="138" t="str">
        <f aca="false">IF(E15&gt;=0,"Aterro","Corte")</f>
        <v>Corte</v>
      </c>
      <c r="G15" s="138" t="n">
        <v>4.577</v>
      </c>
      <c r="H15" s="138" t="s">
        <v>4023</v>
      </c>
      <c r="I15" s="138" t="s">
        <v>4024</v>
      </c>
      <c r="J15" s="138" t="n">
        <v>33.733</v>
      </c>
      <c r="K15" s="138"/>
      <c r="L15" s="138"/>
      <c r="M15" s="138" t="s">
        <v>4022</v>
      </c>
    </row>
    <row r="16" customFormat="false" ht="15" hidden="false" customHeight="false" outlineLevel="0" collapsed="false">
      <c r="A16" s="138" t="s">
        <v>1656</v>
      </c>
      <c r="B16" s="138" t="n">
        <v>14</v>
      </c>
      <c r="C16" s="146" t="n">
        <v>853.481</v>
      </c>
      <c r="D16" s="146" t="n">
        <v>853.323</v>
      </c>
      <c r="E16" s="146" t="n">
        <f aca="false">D16-C16</f>
        <v>-0.158000000000015</v>
      </c>
      <c r="F16" s="138" t="str">
        <f aca="false">IF(E16&gt;=0,"Aterro","Corte")</f>
        <v>Corte</v>
      </c>
      <c r="G16" s="138" t="n">
        <v>1.613</v>
      </c>
      <c r="H16" s="138" t="s">
        <v>4023</v>
      </c>
      <c r="I16" s="138" t="s">
        <v>4024</v>
      </c>
      <c r="J16" s="138" t="n">
        <v>33.733</v>
      </c>
      <c r="K16" s="138"/>
      <c r="L16" s="138"/>
      <c r="M16" s="138" t="s">
        <v>4022</v>
      </c>
    </row>
    <row r="17" customFormat="false" ht="15" hidden="false" customHeight="false" outlineLevel="0" collapsed="false">
      <c r="A17" s="138" t="s">
        <v>1657</v>
      </c>
      <c r="B17" s="138" t="n">
        <v>15</v>
      </c>
      <c r="C17" s="146" t="n">
        <v>853.808</v>
      </c>
      <c r="D17" s="146" t="n">
        <v>853.777</v>
      </c>
      <c r="E17" s="146" t="n">
        <f aca="false">D17-C17</f>
        <v>-0.0309999999999491</v>
      </c>
      <c r="F17" s="138" t="str">
        <f aca="false">IF(E17&gt;=0,"Aterro","Corte")</f>
        <v>Corte</v>
      </c>
      <c r="G17" s="138" t="n">
        <v>1.613</v>
      </c>
      <c r="H17" s="138" t="s">
        <v>4023</v>
      </c>
      <c r="I17" s="138" t="s">
        <v>4024</v>
      </c>
      <c r="J17" s="138" t="n">
        <v>33.733</v>
      </c>
      <c r="K17" s="138"/>
      <c r="L17" s="138"/>
      <c r="M17" s="138" t="s">
        <v>4022</v>
      </c>
    </row>
    <row r="18" customFormat="false" ht="15" hidden="false" customHeight="false" outlineLevel="0" collapsed="false">
      <c r="A18" s="138" t="s">
        <v>1658</v>
      </c>
      <c r="B18" s="138" t="n">
        <v>16</v>
      </c>
      <c r="C18" s="146" t="n">
        <v>854.121</v>
      </c>
      <c r="D18" s="146" t="n">
        <v>854.125</v>
      </c>
      <c r="E18" s="146" t="n">
        <f aca="false">D18-C18</f>
        <v>0.0040000000000191</v>
      </c>
      <c r="F18" s="138" t="str">
        <f aca="false">IF(E18&gt;=0,"Aterro","Corte")</f>
        <v>Aterro</v>
      </c>
      <c r="G18" s="138" t="n">
        <v>1.613</v>
      </c>
      <c r="H18" s="138" t="s">
        <v>4025</v>
      </c>
      <c r="I18" s="138" t="s">
        <v>4021</v>
      </c>
      <c r="J18" s="138" t="n">
        <v>15.953</v>
      </c>
      <c r="K18" s="138"/>
      <c r="L18" s="138"/>
      <c r="M18" s="138" t="s">
        <v>4022</v>
      </c>
    </row>
    <row r="19" customFormat="false" ht="15" hidden="false" customHeight="false" outlineLevel="0" collapsed="false">
      <c r="A19" s="138" t="s">
        <v>1659</v>
      </c>
      <c r="B19" s="138" t="n">
        <v>17</v>
      </c>
      <c r="C19" s="146" t="n">
        <v>854.563</v>
      </c>
      <c r="D19" s="146" t="n">
        <v>854.615</v>
      </c>
      <c r="E19" s="146" t="n">
        <f aca="false">D19-C19</f>
        <v>0.0520000000000209</v>
      </c>
      <c r="F19" s="138" t="str">
        <f aca="false">IF(E19&gt;=0,"Aterro","Corte")</f>
        <v>Aterro</v>
      </c>
      <c r="G19" s="138" t="n">
        <v>1.613</v>
      </c>
      <c r="H19" s="138" t="s">
        <v>4025</v>
      </c>
      <c r="I19" s="138" t="s">
        <v>4021</v>
      </c>
      <c r="J19" s="138" t="n">
        <v>15.953</v>
      </c>
      <c r="K19" s="138"/>
      <c r="L19" s="138"/>
      <c r="M19" s="138" t="s">
        <v>4022</v>
      </c>
    </row>
    <row r="20" customFormat="false" ht="15" hidden="false" customHeight="false" outlineLevel="0" collapsed="false">
      <c r="A20" s="138" t="s">
        <v>1660</v>
      </c>
      <c r="B20" s="138" t="n">
        <v>18</v>
      </c>
      <c r="C20" s="146" t="n">
        <v>855.247</v>
      </c>
      <c r="D20" s="146" t="n">
        <v>855.355</v>
      </c>
      <c r="E20" s="146" t="n">
        <f aca="false">D20-C20</f>
        <v>0.108000000000061</v>
      </c>
      <c r="F20" s="138" t="str">
        <f aca="false">IF(E20&gt;=0,"Aterro","Corte")</f>
        <v>Aterro</v>
      </c>
      <c r="G20" s="138" t="n">
        <v>6</v>
      </c>
      <c r="H20" s="138" t="s">
        <v>4025</v>
      </c>
      <c r="I20" s="138" t="s">
        <v>4021</v>
      </c>
      <c r="J20" s="138" t="n">
        <v>15.953</v>
      </c>
      <c r="K20" s="138"/>
      <c r="L20" s="138"/>
      <c r="M20" s="138" t="s">
        <v>4022</v>
      </c>
    </row>
    <row r="21" customFormat="false" ht="15" hidden="false" customHeight="false" outlineLevel="0" collapsed="false">
      <c r="A21" s="138" t="s">
        <v>1661</v>
      </c>
      <c r="B21" s="138" t="n">
        <v>19</v>
      </c>
      <c r="C21" s="146" t="n">
        <v>856.224</v>
      </c>
      <c r="D21" s="146" t="n">
        <v>856.346</v>
      </c>
      <c r="E21" s="146" t="n">
        <f aca="false">D21-C21</f>
        <v>0.121999999999957</v>
      </c>
      <c r="F21" s="138" t="str">
        <f aca="false">IF(E21&gt;=0,"Aterro","Corte")</f>
        <v>Aterro</v>
      </c>
      <c r="G21" s="138" t="n">
        <v>6</v>
      </c>
      <c r="H21" s="138" t="s">
        <v>4025</v>
      </c>
      <c r="I21" s="138" t="s">
        <v>4021</v>
      </c>
      <c r="J21" s="138" t="n">
        <v>15.953</v>
      </c>
      <c r="K21" s="138"/>
      <c r="L21" s="138"/>
      <c r="M21" s="138" t="s">
        <v>4022</v>
      </c>
    </row>
    <row r="22" customFormat="false" ht="15" hidden="false" customHeight="false" outlineLevel="0" collapsed="false">
      <c r="A22" s="138" t="s">
        <v>1662</v>
      </c>
      <c r="B22" s="138" t="n">
        <v>20</v>
      </c>
      <c r="C22" s="146" t="n">
        <v>857.574</v>
      </c>
      <c r="D22" s="146" t="n">
        <v>857.532</v>
      </c>
      <c r="E22" s="146" t="n">
        <f aca="false">D22-C22</f>
        <v>-0.0419999999999163</v>
      </c>
      <c r="F22" s="138" t="str">
        <f aca="false">IF(E22&gt;=0,"Aterro","Corte")</f>
        <v>Corte</v>
      </c>
      <c r="G22" s="138" t="n">
        <v>6</v>
      </c>
      <c r="H22" s="138"/>
      <c r="I22" s="138"/>
      <c r="J22" s="138"/>
      <c r="K22" s="138"/>
      <c r="L22" s="138"/>
      <c r="M22" s="138" t="s">
        <v>4022</v>
      </c>
    </row>
    <row r="23" customFormat="false" ht="15" hidden="false" customHeight="false" outlineLevel="0" collapsed="false">
      <c r="A23" s="138" t="s">
        <v>1663</v>
      </c>
      <c r="B23" s="138" t="n">
        <v>21</v>
      </c>
      <c r="C23" s="146" t="n">
        <v>859.074</v>
      </c>
      <c r="D23" s="146" t="n">
        <v>858.732</v>
      </c>
      <c r="E23" s="146" t="n">
        <f aca="false">D23-C23</f>
        <v>-0.341999999999985</v>
      </c>
      <c r="F23" s="138" t="str">
        <f aca="false">IF(E23&gt;=0,"Aterro","Corte")</f>
        <v>Corte</v>
      </c>
      <c r="G23" s="138" t="n">
        <v>6</v>
      </c>
      <c r="H23" s="138"/>
      <c r="I23" s="138"/>
      <c r="J23" s="138"/>
      <c r="K23" s="138" t="s">
        <v>4026</v>
      </c>
      <c r="L23" s="138" t="n">
        <v>2100</v>
      </c>
      <c r="M23" s="138" t="s">
        <v>4022</v>
      </c>
    </row>
    <row r="24" customFormat="false" ht="15" hidden="false" customHeight="false" outlineLevel="0" collapsed="false">
      <c r="A24" s="138" t="s">
        <v>1664</v>
      </c>
      <c r="B24" s="138" t="n">
        <v>22</v>
      </c>
      <c r="C24" s="146" t="n">
        <v>860.694</v>
      </c>
      <c r="D24" s="146" t="n">
        <v>859.932</v>
      </c>
      <c r="E24" s="146" t="n">
        <f aca="false">D24-C24</f>
        <v>-0.761999999999944</v>
      </c>
      <c r="F24" s="138" t="str">
        <f aca="false">IF(E24&gt;=0,"Aterro","Corte")</f>
        <v>Corte</v>
      </c>
      <c r="G24" s="138" t="n">
        <v>6</v>
      </c>
      <c r="H24" s="138"/>
      <c r="I24" s="138"/>
      <c r="J24" s="138"/>
      <c r="K24" s="138" t="s">
        <v>4026</v>
      </c>
      <c r="L24" s="138" t="n">
        <v>2100</v>
      </c>
      <c r="M24" s="138" t="s">
        <v>4022</v>
      </c>
    </row>
    <row r="25" customFormat="false" ht="15" hidden="false" customHeight="false" outlineLevel="0" collapsed="false">
      <c r="A25" s="138" t="s">
        <v>1665</v>
      </c>
      <c r="B25" s="138" t="n">
        <v>23</v>
      </c>
      <c r="C25" s="146" t="n">
        <v>862.456</v>
      </c>
      <c r="D25" s="146" t="n">
        <v>861.092</v>
      </c>
      <c r="E25" s="146" t="n">
        <f aca="false">D25-C25</f>
        <v>-1.36400000000003</v>
      </c>
      <c r="F25" s="138" t="str">
        <f aca="false">IF(E25&gt;=0,"Aterro","Corte")</f>
        <v>Corte</v>
      </c>
      <c r="G25" s="138" t="n">
        <v>6</v>
      </c>
      <c r="H25" s="138" t="s">
        <v>4027</v>
      </c>
      <c r="I25" s="138" t="s">
        <v>4024</v>
      </c>
      <c r="J25" s="138" t="n">
        <v>19.156</v>
      </c>
      <c r="K25" s="138" t="s">
        <v>4026</v>
      </c>
      <c r="L25" s="138" t="n">
        <v>2100</v>
      </c>
      <c r="M25" s="138" t="s">
        <v>4022</v>
      </c>
    </row>
    <row r="26" customFormat="false" ht="15" hidden="false" customHeight="false" outlineLevel="0" collapsed="false">
      <c r="A26" s="138" t="s">
        <v>1666</v>
      </c>
      <c r="B26" s="138" t="n">
        <v>24</v>
      </c>
      <c r="C26" s="146" t="n">
        <v>863.989</v>
      </c>
      <c r="D26" s="146" t="n">
        <v>862.06</v>
      </c>
      <c r="E26" s="146" t="n">
        <f aca="false">D26-C26</f>
        <v>-1.92900000000009</v>
      </c>
      <c r="F26" s="138" t="str">
        <f aca="false">IF(E26&gt;=0,"Aterro","Corte")</f>
        <v>Corte</v>
      </c>
      <c r="G26" s="138" t="n">
        <v>6</v>
      </c>
      <c r="H26" s="138" t="s">
        <v>4027</v>
      </c>
      <c r="I26" s="138" t="s">
        <v>4024</v>
      </c>
      <c r="J26" s="138" t="n">
        <v>19.156</v>
      </c>
      <c r="K26" s="138" t="s">
        <v>4026</v>
      </c>
      <c r="L26" s="138" t="n">
        <v>2100</v>
      </c>
      <c r="M26" s="138" t="s">
        <v>4022</v>
      </c>
    </row>
    <row r="27" customFormat="false" ht="15" hidden="false" customHeight="false" outlineLevel="0" collapsed="false">
      <c r="A27" s="138" t="s">
        <v>1667</v>
      </c>
      <c r="B27" s="138" t="n">
        <v>25</v>
      </c>
      <c r="C27" s="146" t="n">
        <v>864.994</v>
      </c>
      <c r="D27" s="146" t="n">
        <v>862.818</v>
      </c>
      <c r="E27" s="146" t="n">
        <f aca="false">D27-C27</f>
        <v>-2.17600000000004</v>
      </c>
      <c r="F27" s="138" t="str">
        <f aca="false">IF(E27&gt;=0,"Aterro","Corte")</f>
        <v>Corte</v>
      </c>
      <c r="G27" s="138" t="n">
        <v>6</v>
      </c>
      <c r="H27" s="138" t="s">
        <v>4027</v>
      </c>
      <c r="I27" s="138" t="s">
        <v>4024</v>
      </c>
      <c r="J27" s="138" t="n">
        <v>19.156</v>
      </c>
      <c r="K27" s="138" t="s">
        <v>4026</v>
      </c>
      <c r="L27" s="138" t="n">
        <v>2100</v>
      </c>
      <c r="M27" s="138" t="s">
        <v>4022</v>
      </c>
    </row>
    <row r="28" customFormat="false" ht="15" hidden="false" customHeight="false" outlineLevel="0" collapsed="false">
      <c r="A28" s="138" t="s">
        <v>1668</v>
      </c>
      <c r="B28" s="138" t="n">
        <v>26</v>
      </c>
      <c r="C28" s="146" t="n">
        <v>865.464</v>
      </c>
      <c r="D28" s="146" t="n">
        <v>863.368</v>
      </c>
      <c r="E28" s="146" t="n">
        <f aca="false">D28-C28</f>
        <v>-2.096</v>
      </c>
      <c r="F28" s="138" t="str">
        <f aca="false">IF(E28&gt;=0,"Aterro","Corte")</f>
        <v>Corte</v>
      </c>
      <c r="G28" s="138" t="n">
        <v>6</v>
      </c>
      <c r="H28" s="138" t="s">
        <v>4027</v>
      </c>
      <c r="I28" s="138" t="s">
        <v>4024</v>
      </c>
      <c r="J28" s="138" t="n">
        <v>19.156</v>
      </c>
      <c r="K28" s="138" t="s">
        <v>4026</v>
      </c>
      <c r="L28" s="138" t="n">
        <v>2100</v>
      </c>
      <c r="M28" s="138" t="s">
        <v>4022</v>
      </c>
    </row>
    <row r="29" customFormat="false" ht="15" hidden="false" customHeight="false" outlineLevel="0" collapsed="false">
      <c r="A29" s="138" t="s">
        <v>1669</v>
      </c>
      <c r="B29" s="138" t="n">
        <v>27</v>
      </c>
      <c r="C29" s="146" t="n">
        <v>865.47</v>
      </c>
      <c r="D29" s="146" t="n">
        <v>863.709</v>
      </c>
      <c r="E29" s="146" t="n">
        <f aca="false">D29-C29</f>
        <v>-1.76100000000008</v>
      </c>
      <c r="F29" s="138" t="str">
        <f aca="false">IF(E29&gt;=0,"Aterro","Corte")</f>
        <v>Corte</v>
      </c>
      <c r="G29" s="138" t="n">
        <v>-3.396</v>
      </c>
      <c r="H29" s="138" t="s">
        <v>4027</v>
      </c>
      <c r="I29" s="138" t="s">
        <v>4024</v>
      </c>
      <c r="J29" s="138" t="n">
        <v>19.156</v>
      </c>
      <c r="K29" s="138" t="s">
        <v>4026</v>
      </c>
      <c r="L29" s="138" t="n">
        <v>2100</v>
      </c>
      <c r="M29" s="138" t="s">
        <v>4022</v>
      </c>
    </row>
    <row r="30" customFormat="false" ht="15" hidden="false" customHeight="false" outlineLevel="0" collapsed="false">
      <c r="A30" s="138" t="s">
        <v>1670</v>
      </c>
      <c r="B30" s="138" t="n">
        <v>28</v>
      </c>
      <c r="C30" s="146" t="n">
        <v>865.001</v>
      </c>
      <c r="D30" s="146" t="n">
        <v>863.841</v>
      </c>
      <c r="E30" s="146" t="n">
        <f aca="false">D30-C30</f>
        <v>-1.15999999999997</v>
      </c>
      <c r="F30" s="138" t="str">
        <f aca="false">IF(E30&gt;=0,"Aterro","Corte")</f>
        <v>Corte</v>
      </c>
      <c r="G30" s="138" t="n">
        <v>-3.396</v>
      </c>
      <c r="H30" s="138" t="s">
        <v>4027</v>
      </c>
      <c r="I30" s="138" t="s">
        <v>4024</v>
      </c>
      <c r="J30" s="138" t="n">
        <v>19.156</v>
      </c>
      <c r="K30" s="138" t="s">
        <v>4026</v>
      </c>
      <c r="L30" s="138" t="n">
        <v>2100</v>
      </c>
      <c r="M30" s="138" t="s">
        <v>4022</v>
      </c>
    </row>
    <row r="31" customFormat="false" ht="15" hidden="false" customHeight="false" outlineLevel="0" collapsed="false">
      <c r="A31" s="138" t="s">
        <v>1671</v>
      </c>
      <c r="B31" s="138" t="n">
        <v>29</v>
      </c>
      <c r="C31" s="146" t="n">
        <v>864.213</v>
      </c>
      <c r="D31" s="146" t="n">
        <v>863.764</v>
      </c>
      <c r="E31" s="146" t="n">
        <f aca="false">D31-C31</f>
        <v>-0.448999999999955</v>
      </c>
      <c r="F31" s="138" t="str">
        <f aca="false">IF(E31&gt;=0,"Aterro","Corte")</f>
        <v>Corte</v>
      </c>
      <c r="G31" s="138" t="n">
        <v>-3.396</v>
      </c>
      <c r="H31" s="138" t="s">
        <v>4027</v>
      </c>
      <c r="I31" s="138" t="s">
        <v>4024</v>
      </c>
      <c r="J31" s="138" t="n">
        <v>19.156</v>
      </c>
      <c r="K31" s="138" t="s">
        <v>4026</v>
      </c>
      <c r="L31" s="138" t="n">
        <v>2100</v>
      </c>
      <c r="M31" s="138" t="s">
        <v>4022</v>
      </c>
    </row>
    <row r="32" customFormat="false" ht="15" hidden="false" customHeight="false" outlineLevel="0" collapsed="false">
      <c r="A32" s="138" t="s">
        <v>1672</v>
      </c>
      <c r="B32" s="138" t="n">
        <v>30</v>
      </c>
      <c r="C32" s="146" t="n">
        <v>863.335</v>
      </c>
      <c r="D32" s="146" t="n">
        <v>863.478</v>
      </c>
      <c r="E32" s="146" t="n">
        <f aca="false">D32-C32</f>
        <v>0.142999999999915</v>
      </c>
      <c r="F32" s="138" t="str">
        <f aca="false">IF(E32&gt;=0,"Aterro","Corte")</f>
        <v>Aterro</v>
      </c>
      <c r="G32" s="138" t="n">
        <v>-3.396</v>
      </c>
      <c r="H32" s="138" t="s">
        <v>4027</v>
      </c>
      <c r="I32" s="138" t="s">
        <v>4024</v>
      </c>
      <c r="J32" s="138" t="n">
        <v>19.156</v>
      </c>
      <c r="K32" s="138" t="s">
        <v>4026</v>
      </c>
      <c r="L32" s="138" t="n">
        <v>2100</v>
      </c>
      <c r="M32" s="138" t="s">
        <v>4022</v>
      </c>
    </row>
    <row r="33" customFormat="false" ht="15" hidden="false" customHeight="false" outlineLevel="0" collapsed="false">
      <c r="A33" s="138" t="s">
        <v>1673</v>
      </c>
      <c r="B33" s="138" t="n">
        <v>31</v>
      </c>
      <c r="C33" s="146" t="n">
        <v>862.521</v>
      </c>
      <c r="D33" s="146" t="n">
        <v>862.984</v>
      </c>
      <c r="E33" s="146" t="n">
        <f aca="false">D33-C33</f>
        <v>0.463000000000079</v>
      </c>
      <c r="F33" s="138" t="str">
        <f aca="false">IF(E33&gt;=0,"Aterro","Corte")</f>
        <v>Aterro</v>
      </c>
      <c r="G33" s="138" t="n">
        <v>-3.396</v>
      </c>
      <c r="H33" s="138" t="s">
        <v>4027</v>
      </c>
      <c r="I33" s="138" t="s">
        <v>4024</v>
      </c>
      <c r="J33" s="138" t="n">
        <v>19.156</v>
      </c>
      <c r="K33" s="138"/>
      <c r="L33" s="138"/>
      <c r="M33" s="138" t="s">
        <v>4022</v>
      </c>
    </row>
    <row r="34" customFormat="false" ht="15" hidden="false" customHeight="false" outlineLevel="0" collapsed="false">
      <c r="A34" s="138" t="s">
        <v>1674</v>
      </c>
      <c r="B34" s="138" t="n">
        <v>32</v>
      </c>
      <c r="C34" s="146" t="n">
        <v>861.818</v>
      </c>
      <c r="D34" s="146" t="n">
        <v>862.32</v>
      </c>
      <c r="E34" s="146" t="n">
        <f aca="false">D34-C34</f>
        <v>0.502000000000066</v>
      </c>
      <c r="F34" s="138" t="str">
        <f aca="false">IF(E34&gt;=0,"Aterro","Corte")</f>
        <v>Aterro</v>
      </c>
      <c r="G34" s="138" t="n">
        <v>-3.396</v>
      </c>
      <c r="H34" s="138"/>
      <c r="I34" s="138"/>
      <c r="J34" s="138"/>
      <c r="K34" s="138"/>
      <c r="L34" s="138"/>
      <c r="M34" s="138" t="s">
        <v>4022</v>
      </c>
    </row>
    <row r="35" customFormat="false" ht="15" hidden="false" customHeight="false" outlineLevel="0" collapsed="false">
      <c r="A35" s="138" t="s">
        <v>1675</v>
      </c>
      <c r="B35" s="138" t="n">
        <v>33</v>
      </c>
      <c r="C35" s="146" t="n">
        <v>861.12</v>
      </c>
      <c r="D35" s="146" t="n">
        <v>861.641</v>
      </c>
      <c r="E35" s="146" t="n">
        <f aca="false">D35-C35</f>
        <v>0.520999999999958</v>
      </c>
      <c r="F35" s="138" t="str">
        <f aca="false">IF(E35&gt;=0,"Aterro","Corte")</f>
        <v>Aterro</v>
      </c>
      <c r="G35" s="138" t="n">
        <v>-3.396</v>
      </c>
      <c r="H35" s="138"/>
      <c r="I35" s="138"/>
      <c r="J35" s="138"/>
      <c r="K35" s="138"/>
      <c r="L35" s="138"/>
      <c r="M35" s="138" t="s">
        <v>4022</v>
      </c>
    </row>
    <row r="36" customFormat="false" ht="15" hidden="false" customHeight="false" outlineLevel="0" collapsed="false">
      <c r="A36" s="138" t="s">
        <v>1676</v>
      </c>
      <c r="B36" s="138" t="n">
        <v>34</v>
      </c>
      <c r="C36" s="146" t="n">
        <v>860.331</v>
      </c>
      <c r="D36" s="146" t="n">
        <v>860.961</v>
      </c>
      <c r="E36" s="146" t="n">
        <f aca="false">D36-C36</f>
        <v>0.629999999999996</v>
      </c>
      <c r="F36" s="138" t="str">
        <f aca="false">IF(E36&gt;=0,"Aterro","Corte")</f>
        <v>Aterro</v>
      </c>
      <c r="G36" s="138" t="n">
        <v>-3.396</v>
      </c>
      <c r="H36" s="138"/>
      <c r="I36" s="138"/>
      <c r="J36" s="138"/>
      <c r="K36" s="138"/>
      <c r="L36" s="138"/>
      <c r="M36" s="138" t="s">
        <v>4022</v>
      </c>
    </row>
    <row r="37" customFormat="false" ht="15" hidden="false" customHeight="false" outlineLevel="0" collapsed="false">
      <c r="A37" s="138" t="s">
        <v>1677</v>
      </c>
      <c r="B37" s="138" t="n">
        <v>35</v>
      </c>
      <c r="C37" s="146" t="n">
        <v>859.492</v>
      </c>
      <c r="D37" s="146" t="n">
        <v>860.282</v>
      </c>
      <c r="E37" s="146" t="n">
        <f aca="false">D37-C37</f>
        <v>0.790000000000077</v>
      </c>
      <c r="F37" s="138" t="str">
        <f aca="false">IF(E37&gt;=0,"Aterro","Corte")</f>
        <v>Aterro</v>
      </c>
      <c r="G37" s="138" t="n">
        <v>-3.396</v>
      </c>
      <c r="H37" s="138"/>
      <c r="I37" s="138"/>
      <c r="J37" s="138"/>
      <c r="K37" s="138"/>
      <c r="L37" s="138"/>
      <c r="M37" s="138" t="s">
        <v>4022</v>
      </c>
    </row>
    <row r="38" customFormat="false" ht="15" hidden="false" customHeight="false" outlineLevel="0" collapsed="false">
      <c r="A38" s="138" t="s">
        <v>1678</v>
      </c>
      <c r="B38" s="138" t="n">
        <v>36</v>
      </c>
      <c r="C38" s="146" t="n">
        <v>858.823</v>
      </c>
      <c r="D38" s="146" t="n">
        <v>859.701</v>
      </c>
      <c r="E38" s="146" t="n">
        <f aca="false">D38-C38</f>
        <v>0.878000000000043</v>
      </c>
      <c r="F38" s="138" t="str">
        <f aca="false">IF(E38&gt;=0,"Aterro","Corte")</f>
        <v>Aterro</v>
      </c>
      <c r="G38" s="138" t="n">
        <v>-3.396</v>
      </c>
      <c r="H38" s="138" t="s">
        <v>4028</v>
      </c>
      <c r="I38" s="138" t="s">
        <v>4021</v>
      </c>
      <c r="J38" s="138" t="n">
        <v>17.447</v>
      </c>
      <c r="K38" s="138"/>
      <c r="L38" s="138"/>
      <c r="M38" s="138" t="s">
        <v>4022</v>
      </c>
    </row>
    <row r="39" customFormat="false" ht="15" hidden="false" customHeight="false" outlineLevel="0" collapsed="false">
      <c r="A39" s="138" t="s">
        <v>1679</v>
      </c>
      <c r="B39" s="138" t="n">
        <v>37</v>
      </c>
      <c r="C39" s="146" t="n">
        <v>858.458</v>
      </c>
      <c r="D39" s="146" t="n">
        <v>859.349</v>
      </c>
      <c r="E39" s="146" t="n">
        <f aca="false">D39-C39</f>
        <v>0.891000000000076</v>
      </c>
      <c r="F39" s="138" t="str">
        <f aca="false">IF(E39&gt;=0,"Aterro","Corte")</f>
        <v>Aterro</v>
      </c>
      <c r="G39" s="138" t="n">
        <v>-3.396</v>
      </c>
      <c r="H39" s="138" t="s">
        <v>4028</v>
      </c>
      <c r="I39" s="138" t="s">
        <v>4021</v>
      </c>
      <c r="J39" s="138" t="n">
        <v>17.447</v>
      </c>
      <c r="K39" s="138"/>
      <c r="L39" s="138"/>
      <c r="M39" s="138" t="s">
        <v>4029</v>
      </c>
    </row>
    <row r="40" customFormat="false" ht="15" hidden="false" customHeight="false" outlineLevel="0" collapsed="false">
      <c r="A40" s="138" t="s">
        <v>1680</v>
      </c>
      <c r="B40" s="138" t="n">
        <v>38</v>
      </c>
      <c r="C40" s="146" t="n">
        <v>858.278</v>
      </c>
      <c r="D40" s="146" t="n">
        <v>859.225</v>
      </c>
      <c r="E40" s="146" t="n">
        <f aca="false">D40-C40</f>
        <v>0.947000000000003</v>
      </c>
      <c r="F40" s="138" t="str">
        <f aca="false">IF(E40&gt;=0,"Aterro","Corte")</f>
        <v>Aterro</v>
      </c>
      <c r="G40" s="138" t="n">
        <v>-3.396</v>
      </c>
      <c r="H40" s="138" t="s">
        <v>4028</v>
      </c>
      <c r="I40" s="138" t="s">
        <v>4021</v>
      </c>
      <c r="J40" s="138" t="n">
        <v>17.447</v>
      </c>
      <c r="K40" s="138"/>
      <c r="L40" s="138"/>
      <c r="M40" s="138" t="s">
        <v>4029</v>
      </c>
    </row>
    <row r="41" customFormat="false" ht="15" hidden="false" customHeight="false" outlineLevel="0" collapsed="false">
      <c r="A41" s="138" t="s">
        <v>1681</v>
      </c>
      <c r="B41" s="138" t="n">
        <v>39</v>
      </c>
      <c r="C41" s="146" t="n">
        <v>858.379</v>
      </c>
      <c r="D41" s="146" t="n">
        <v>859.331</v>
      </c>
      <c r="E41" s="146" t="n">
        <f aca="false">D41-C41</f>
        <v>0.951999999999998</v>
      </c>
      <c r="F41" s="138" t="str">
        <f aca="false">IF(E41&gt;=0,"Aterro","Corte")</f>
        <v>Aterro</v>
      </c>
      <c r="G41" s="138" t="n">
        <v>4.054</v>
      </c>
      <c r="H41" s="138" t="s">
        <v>4028</v>
      </c>
      <c r="I41" s="138" t="s">
        <v>4021</v>
      </c>
      <c r="J41" s="138" t="n">
        <v>17.447</v>
      </c>
      <c r="K41" s="138"/>
      <c r="L41" s="138"/>
      <c r="M41" s="138" t="s">
        <v>4029</v>
      </c>
    </row>
    <row r="42" customFormat="false" ht="15" hidden="false" customHeight="false" outlineLevel="0" collapsed="false">
      <c r="A42" s="138" t="s">
        <v>1682</v>
      </c>
      <c r="B42" s="138" t="n">
        <v>40</v>
      </c>
      <c r="C42" s="146" t="n">
        <v>858.837</v>
      </c>
      <c r="D42" s="146" t="n">
        <v>859.667</v>
      </c>
      <c r="E42" s="146" t="n">
        <f aca="false">D42-C42</f>
        <v>0.830000000000041</v>
      </c>
      <c r="F42" s="138" t="str">
        <f aca="false">IF(E42&gt;=0,"Aterro","Corte")</f>
        <v>Aterro</v>
      </c>
      <c r="G42" s="138" t="n">
        <v>4.054</v>
      </c>
      <c r="H42" s="138" t="s">
        <v>4028</v>
      </c>
      <c r="I42" s="138" t="s">
        <v>4021</v>
      </c>
      <c r="J42" s="138" t="n">
        <v>17.447</v>
      </c>
      <c r="K42" s="138"/>
      <c r="L42" s="138"/>
      <c r="M42" s="138" t="s">
        <v>4029</v>
      </c>
    </row>
    <row r="43" customFormat="false" ht="15" hidden="false" customHeight="false" outlineLevel="0" collapsed="false">
      <c r="A43" s="138" t="s">
        <v>1683</v>
      </c>
      <c r="B43" s="138" t="n">
        <v>41</v>
      </c>
      <c r="C43" s="146" t="n">
        <v>859.543</v>
      </c>
      <c r="D43" s="146" t="n">
        <v>860.231</v>
      </c>
      <c r="E43" s="146" t="n">
        <f aca="false">D43-C43</f>
        <v>0.687999999999988</v>
      </c>
      <c r="F43" s="138" t="str">
        <f aca="false">IF(E43&gt;=0,"Aterro","Corte")</f>
        <v>Aterro</v>
      </c>
      <c r="G43" s="138" t="n">
        <v>4.054</v>
      </c>
      <c r="H43" s="138" t="s">
        <v>4028</v>
      </c>
      <c r="I43" s="138" t="s">
        <v>4021</v>
      </c>
      <c r="J43" s="138" t="n">
        <v>17.447</v>
      </c>
      <c r="K43" s="138"/>
      <c r="L43" s="138"/>
      <c r="M43" s="138" t="s">
        <v>4029</v>
      </c>
    </row>
    <row r="44" customFormat="false" ht="15" hidden="false" customHeight="false" outlineLevel="0" collapsed="false">
      <c r="A44" s="138" t="s">
        <v>1684</v>
      </c>
      <c r="B44" s="138" t="n">
        <v>42</v>
      </c>
      <c r="C44" s="146" t="n">
        <v>860.485</v>
      </c>
      <c r="D44" s="146" t="n">
        <v>860.986</v>
      </c>
      <c r="E44" s="146" t="n">
        <f aca="false">D44-C44</f>
        <v>0.500999999999976</v>
      </c>
      <c r="F44" s="138" t="str">
        <f aca="false">IF(E44&gt;=0,"Aterro","Corte")</f>
        <v>Aterro</v>
      </c>
      <c r="G44" s="138" t="n">
        <v>4.054</v>
      </c>
      <c r="H44" s="138" t="s">
        <v>4030</v>
      </c>
      <c r="I44" s="138" t="s">
        <v>4024</v>
      </c>
      <c r="J44" s="138" t="n">
        <v>15.913</v>
      </c>
      <c r="K44" s="138"/>
      <c r="L44" s="138"/>
      <c r="M44" s="138" t="s">
        <v>4029</v>
      </c>
    </row>
    <row r="45" customFormat="false" ht="15" hidden="false" customHeight="false" outlineLevel="0" collapsed="false">
      <c r="A45" s="138" t="s">
        <v>1686</v>
      </c>
      <c r="B45" s="138" t="n">
        <v>43</v>
      </c>
      <c r="C45" s="146" t="n">
        <v>861.419</v>
      </c>
      <c r="D45" s="146" t="n">
        <v>861.574</v>
      </c>
      <c r="E45" s="146" t="n">
        <f aca="false">D45-C45</f>
        <v>0.154999999999973</v>
      </c>
      <c r="F45" s="138" t="str">
        <f aca="false">IF(E45&gt;=0,"Aterro","Corte")</f>
        <v>Aterro</v>
      </c>
      <c r="G45" s="138" t="n">
        <v>4.054</v>
      </c>
      <c r="H45" s="138" t="s">
        <v>4030</v>
      </c>
      <c r="I45" s="138" t="s">
        <v>4024</v>
      </c>
      <c r="J45" s="138" t="n">
        <v>15.913</v>
      </c>
      <c r="K45" s="138"/>
      <c r="L45" s="138"/>
      <c r="M45" s="138" t="s">
        <v>4029</v>
      </c>
    </row>
    <row r="46" customFormat="false" ht="15" hidden="false" customHeight="false" outlineLevel="0" collapsed="false">
      <c r="A46" s="138" t="s">
        <v>1687</v>
      </c>
      <c r="B46" s="138" t="n">
        <v>44</v>
      </c>
      <c r="C46" s="146" t="n">
        <v>862.176</v>
      </c>
      <c r="D46" s="146" t="n">
        <v>861.911</v>
      </c>
      <c r="E46" s="146" t="n">
        <f aca="false">D46-C46</f>
        <v>-0.2650000000001</v>
      </c>
      <c r="F46" s="138" t="str">
        <f aca="false">IF(E46&gt;=0,"Aterro","Corte")</f>
        <v>Corte</v>
      </c>
      <c r="G46" s="138" t="n">
        <v>4.054</v>
      </c>
      <c r="H46" s="138" t="s">
        <v>4030</v>
      </c>
      <c r="I46" s="138" t="s">
        <v>4024</v>
      </c>
      <c r="J46" s="138" t="n">
        <v>15.913</v>
      </c>
      <c r="K46" s="138"/>
      <c r="L46" s="138"/>
      <c r="M46" s="138" t="s">
        <v>4029</v>
      </c>
    </row>
    <row r="47" customFormat="false" ht="15" hidden="false" customHeight="false" outlineLevel="0" collapsed="false">
      <c r="A47" s="138" t="s">
        <v>1688</v>
      </c>
      <c r="B47" s="138" t="n">
        <v>45</v>
      </c>
      <c r="C47" s="146" t="n">
        <v>862.562</v>
      </c>
      <c r="D47" s="146" t="n">
        <v>861.996</v>
      </c>
      <c r="E47" s="146" t="n">
        <f aca="false">D47-C47</f>
        <v>-0.566000000000031</v>
      </c>
      <c r="F47" s="138" t="str">
        <f aca="false">IF(E47&gt;=0,"Aterro","Corte")</f>
        <v>Corte</v>
      </c>
      <c r="G47" s="138" t="n">
        <v>4.054</v>
      </c>
      <c r="H47" s="138" t="s">
        <v>4030</v>
      </c>
      <c r="I47" s="138" t="s">
        <v>4024</v>
      </c>
      <c r="J47" s="138" t="n">
        <v>15.913</v>
      </c>
      <c r="K47" s="138"/>
      <c r="L47" s="138"/>
      <c r="M47" s="138" t="s">
        <v>4029</v>
      </c>
    </row>
    <row r="48" customFormat="false" ht="15" hidden="false" customHeight="false" outlineLevel="0" collapsed="false">
      <c r="A48" s="138" t="s">
        <v>1689</v>
      </c>
      <c r="B48" s="138" t="n">
        <v>46</v>
      </c>
      <c r="C48" s="146" t="n">
        <v>862.424</v>
      </c>
      <c r="D48" s="146" t="n">
        <v>861.831</v>
      </c>
      <c r="E48" s="146" t="n">
        <f aca="false">D48-C48</f>
        <v>-0.592999999999961</v>
      </c>
      <c r="F48" s="138" t="str">
        <f aca="false">IF(E48&gt;=0,"Aterro","Corte")</f>
        <v>Corte</v>
      </c>
      <c r="G48" s="138" t="n">
        <v>-6</v>
      </c>
      <c r="H48" s="138" t="s">
        <v>4030</v>
      </c>
      <c r="I48" s="138" t="s">
        <v>4024</v>
      </c>
      <c r="J48" s="138" t="n">
        <v>15.913</v>
      </c>
      <c r="K48" s="138"/>
      <c r="L48" s="138"/>
      <c r="M48" s="138" t="s">
        <v>4029</v>
      </c>
    </row>
    <row r="49" customFormat="false" ht="15" hidden="false" customHeight="false" outlineLevel="0" collapsed="false">
      <c r="A49" s="138" t="s">
        <v>1690</v>
      </c>
      <c r="B49" s="138" t="n">
        <v>47</v>
      </c>
      <c r="C49" s="146" t="n">
        <v>861.688</v>
      </c>
      <c r="D49" s="146" t="n">
        <v>861.413</v>
      </c>
      <c r="E49" s="146" t="n">
        <f aca="false">D49-C49</f>
        <v>-0.274999999999977</v>
      </c>
      <c r="F49" s="138" t="str">
        <f aca="false">IF(E49&gt;=0,"Aterro","Corte")</f>
        <v>Corte</v>
      </c>
      <c r="G49" s="138" t="n">
        <v>-6</v>
      </c>
      <c r="H49" s="138" t="s">
        <v>4030</v>
      </c>
      <c r="I49" s="138" t="s">
        <v>4024</v>
      </c>
      <c r="J49" s="138" t="n">
        <v>15.913</v>
      </c>
      <c r="K49" s="138"/>
      <c r="L49" s="138"/>
      <c r="M49" s="138" t="s">
        <v>4029</v>
      </c>
    </row>
    <row r="50" customFormat="false" ht="15" hidden="false" customHeight="false" outlineLevel="0" collapsed="false">
      <c r="A50" s="138" t="s">
        <v>1691</v>
      </c>
      <c r="B50" s="138" t="n">
        <v>48</v>
      </c>
      <c r="C50" s="146" t="n">
        <v>860.473</v>
      </c>
      <c r="D50" s="146" t="n">
        <v>860.745</v>
      </c>
      <c r="E50" s="146" t="n">
        <f aca="false">D50-C50</f>
        <v>0.272000000000048</v>
      </c>
      <c r="F50" s="138" t="str">
        <f aca="false">IF(E50&gt;=0,"Aterro","Corte")</f>
        <v>Aterro</v>
      </c>
      <c r="G50" s="138" t="n">
        <v>-6</v>
      </c>
      <c r="H50" s="138" t="s">
        <v>4030</v>
      </c>
      <c r="I50" s="138" t="s">
        <v>4024</v>
      </c>
      <c r="J50" s="138" t="n">
        <v>15.913</v>
      </c>
      <c r="K50" s="138"/>
      <c r="L50" s="138"/>
      <c r="M50" s="138" t="s">
        <v>4029</v>
      </c>
    </row>
    <row r="51" customFormat="false" ht="15" hidden="false" customHeight="false" outlineLevel="0" collapsed="false">
      <c r="A51" s="138" t="s">
        <v>1692</v>
      </c>
      <c r="B51" s="138" t="n">
        <v>49</v>
      </c>
      <c r="C51" s="146" t="n">
        <v>859.142</v>
      </c>
      <c r="D51" s="146" t="n">
        <v>859.825</v>
      </c>
      <c r="E51" s="146" t="n">
        <f aca="false">D51-C51</f>
        <v>0.682999999999993</v>
      </c>
      <c r="F51" s="138" t="str">
        <f aca="false">IF(E51&gt;=0,"Aterro","Corte")</f>
        <v>Aterro</v>
      </c>
      <c r="G51" s="138" t="n">
        <v>-6</v>
      </c>
      <c r="H51" s="138" t="s">
        <v>4030</v>
      </c>
      <c r="I51" s="138" t="s">
        <v>4024</v>
      </c>
      <c r="J51" s="138" t="n">
        <v>15.913</v>
      </c>
      <c r="K51" s="138"/>
      <c r="L51" s="138"/>
      <c r="M51" s="138" t="s">
        <v>4029</v>
      </c>
    </row>
    <row r="52" customFormat="false" ht="15" hidden="false" customHeight="false" outlineLevel="0" collapsed="false">
      <c r="A52" s="138" t="s">
        <v>1693</v>
      </c>
      <c r="B52" s="138" t="n">
        <v>50</v>
      </c>
      <c r="C52" s="146" t="n">
        <v>857.617</v>
      </c>
      <c r="D52" s="146" t="n">
        <v>858.672</v>
      </c>
      <c r="E52" s="146" t="n">
        <f aca="false">D52-C52</f>
        <v>1.05500000000006</v>
      </c>
      <c r="F52" s="138" t="str">
        <f aca="false">IF(E52&gt;=0,"Aterro","Corte")</f>
        <v>Aterro</v>
      </c>
      <c r="G52" s="138" t="n">
        <v>-6</v>
      </c>
      <c r="H52" s="138"/>
      <c r="I52" s="138"/>
      <c r="J52" s="138"/>
      <c r="K52" s="138"/>
      <c r="L52" s="138"/>
      <c r="M52" s="138" t="s">
        <v>4029</v>
      </c>
    </row>
    <row r="53" customFormat="false" ht="15" hidden="false" customHeight="false" outlineLevel="0" collapsed="false">
      <c r="A53" s="138" t="s">
        <v>1694</v>
      </c>
      <c r="B53" s="138" t="n">
        <v>51</v>
      </c>
      <c r="C53" s="146" t="n">
        <v>855.918</v>
      </c>
      <c r="D53" s="146" t="n">
        <v>857.472</v>
      </c>
      <c r="E53" s="146" t="n">
        <f aca="false">D53-C53</f>
        <v>1.55399999999997</v>
      </c>
      <c r="F53" s="138" t="str">
        <f aca="false">IF(E53&gt;=0,"Aterro","Corte")</f>
        <v>Aterro</v>
      </c>
      <c r="G53" s="138" t="n">
        <v>-6</v>
      </c>
      <c r="H53" s="138"/>
      <c r="I53" s="138"/>
      <c r="J53" s="138"/>
      <c r="K53" s="138"/>
      <c r="L53" s="138"/>
      <c r="M53" s="138" t="s">
        <v>4029</v>
      </c>
    </row>
    <row r="54" customFormat="false" ht="15" hidden="false" customHeight="false" outlineLevel="0" collapsed="false">
      <c r="A54" s="138" t="s">
        <v>1695</v>
      </c>
      <c r="B54" s="138" t="n">
        <v>52</v>
      </c>
      <c r="C54" s="146" t="n">
        <v>854.156</v>
      </c>
      <c r="D54" s="146" t="n">
        <v>856.272</v>
      </c>
      <c r="E54" s="146" t="n">
        <f aca="false">D54-C54</f>
        <v>2.1160000000001</v>
      </c>
      <c r="F54" s="138" t="str">
        <f aca="false">IF(E54&gt;=0,"Aterro","Corte")</f>
        <v>Aterro</v>
      </c>
      <c r="G54" s="138" t="n">
        <v>-6</v>
      </c>
      <c r="H54" s="138"/>
      <c r="I54" s="138"/>
      <c r="J54" s="138"/>
      <c r="K54" s="138"/>
      <c r="L54" s="138"/>
      <c r="M54" s="138" t="s">
        <v>4029</v>
      </c>
    </row>
    <row r="55" customFormat="false" ht="15" hidden="false" customHeight="false" outlineLevel="0" collapsed="false">
      <c r="A55" s="138" t="s">
        <v>1696</v>
      </c>
      <c r="B55" s="138" t="n">
        <v>53</v>
      </c>
      <c r="C55" s="146" t="n">
        <v>852.335</v>
      </c>
      <c r="D55" s="146" t="n">
        <v>855.072</v>
      </c>
      <c r="E55" s="146" t="n">
        <f aca="false">D55-C55</f>
        <v>2.73699999999997</v>
      </c>
      <c r="F55" s="138" t="str">
        <f aca="false">IF(E55&gt;=0,"Aterro","Corte")</f>
        <v>Aterro</v>
      </c>
      <c r="G55" s="138" t="n">
        <v>-6</v>
      </c>
      <c r="H55" s="138"/>
      <c r="I55" s="138"/>
      <c r="J55" s="138"/>
      <c r="K55" s="138"/>
      <c r="L55" s="138"/>
      <c r="M55" s="138" t="s">
        <v>4029</v>
      </c>
    </row>
    <row r="56" customFormat="false" ht="15" hidden="false" customHeight="false" outlineLevel="0" collapsed="false">
      <c r="A56" s="138" t="s">
        <v>1697</v>
      </c>
      <c r="B56" s="138" t="n">
        <v>54</v>
      </c>
      <c r="C56" s="146" t="n">
        <v>850.555</v>
      </c>
      <c r="D56" s="146" t="n">
        <v>853.872</v>
      </c>
      <c r="E56" s="146" t="n">
        <f aca="false">D56-C56</f>
        <v>3.31700000000001</v>
      </c>
      <c r="F56" s="138" t="str">
        <f aca="false">IF(E56&gt;=0,"Aterro","Corte")</f>
        <v>Aterro</v>
      </c>
      <c r="G56" s="138" t="n">
        <v>-6</v>
      </c>
      <c r="H56" s="138"/>
      <c r="I56" s="138"/>
      <c r="J56" s="138"/>
      <c r="K56" s="138"/>
      <c r="L56" s="138"/>
      <c r="M56" s="138" t="s">
        <v>4029</v>
      </c>
    </row>
    <row r="57" customFormat="false" ht="15" hidden="false" customHeight="false" outlineLevel="0" collapsed="false">
      <c r="A57" s="138" t="s">
        <v>1698</v>
      </c>
      <c r="B57" s="138" t="n">
        <v>55</v>
      </c>
      <c r="C57" s="146" t="n">
        <v>848.825</v>
      </c>
      <c r="D57" s="146" t="n">
        <v>852.672</v>
      </c>
      <c r="E57" s="146" t="n">
        <f aca="false">D57-C57</f>
        <v>3.84699999999998</v>
      </c>
      <c r="F57" s="138" t="str">
        <f aca="false">IF(E57&gt;=0,"Aterro","Corte")</f>
        <v>Aterro</v>
      </c>
      <c r="G57" s="138" t="n">
        <v>-6</v>
      </c>
      <c r="H57" s="138"/>
      <c r="I57" s="138"/>
      <c r="J57" s="138"/>
      <c r="K57" s="138"/>
      <c r="L57" s="138"/>
      <c r="M57" s="138" t="s">
        <v>4029</v>
      </c>
    </row>
    <row r="58" customFormat="false" ht="15" hidden="false" customHeight="false" outlineLevel="0" collapsed="false">
      <c r="A58" s="138" t="s">
        <v>1699</v>
      </c>
      <c r="B58" s="138" t="n">
        <v>56</v>
      </c>
      <c r="C58" s="146" t="n">
        <v>847.282</v>
      </c>
      <c r="D58" s="146" t="n">
        <v>851.472</v>
      </c>
      <c r="E58" s="146" t="n">
        <f aca="false">D58-C58</f>
        <v>4.18999999999994</v>
      </c>
      <c r="F58" s="138" t="str">
        <f aca="false">IF(E58&gt;=0,"Aterro","Corte")</f>
        <v>Aterro</v>
      </c>
      <c r="G58" s="138" t="n">
        <v>-6</v>
      </c>
      <c r="H58" s="138"/>
      <c r="I58" s="138"/>
      <c r="J58" s="138"/>
      <c r="K58" s="138"/>
      <c r="L58" s="138"/>
      <c r="M58" s="138" t="s">
        <v>4029</v>
      </c>
    </row>
    <row r="59" customFormat="false" ht="15" hidden="false" customHeight="false" outlineLevel="0" collapsed="false">
      <c r="A59" s="138" t="s">
        <v>1700</v>
      </c>
      <c r="B59" s="138" t="n">
        <v>57</v>
      </c>
      <c r="C59" s="146" t="n">
        <v>846.015</v>
      </c>
      <c r="D59" s="146" t="n">
        <v>850.272</v>
      </c>
      <c r="E59" s="146" t="n">
        <f aca="false">D59-C59</f>
        <v>4.25700000000006</v>
      </c>
      <c r="F59" s="138" t="str">
        <f aca="false">IF(E59&gt;=0,"Aterro","Corte")</f>
        <v>Aterro</v>
      </c>
      <c r="G59" s="138" t="n">
        <v>-6</v>
      </c>
      <c r="H59" s="138"/>
      <c r="I59" s="138"/>
      <c r="J59" s="138"/>
      <c r="K59" s="138"/>
      <c r="L59" s="138"/>
      <c r="M59" s="138" t="s">
        <v>4029</v>
      </c>
    </row>
    <row r="60" customFormat="false" ht="15" hidden="false" customHeight="false" outlineLevel="0" collapsed="false">
      <c r="A60" s="138" t="s">
        <v>1701</v>
      </c>
      <c r="B60" s="138" t="n">
        <v>58</v>
      </c>
      <c r="C60" s="146" t="n">
        <v>844.993</v>
      </c>
      <c r="D60" s="146" t="n">
        <v>849.072</v>
      </c>
      <c r="E60" s="146" t="n">
        <f aca="false">D60-C60</f>
        <v>4.07899999999995</v>
      </c>
      <c r="F60" s="138" t="str">
        <f aca="false">IF(E60&gt;=0,"Aterro","Corte")</f>
        <v>Aterro</v>
      </c>
      <c r="G60" s="138" t="n">
        <v>-6</v>
      </c>
      <c r="H60" s="138"/>
      <c r="I60" s="138"/>
      <c r="J60" s="138"/>
      <c r="K60" s="138"/>
      <c r="L60" s="138"/>
      <c r="M60" s="138" t="s">
        <v>4029</v>
      </c>
    </row>
    <row r="61" customFormat="false" ht="15" hidden="false" customHeight="false" outlineLevel="0" collapsed="false">
      <c r="A61" s="138" t="s">
        <v>1702</v>
      </c>
      <c r="B61" s="138" t="n">
        <v>59</v>
      </c>
      <c r="C61" s="146" t="n">
        <v>844.237</v>
      </c>
      <c r="D61" s="146" t="n">
        <v>847.872</v>
      </c>
      <c r="E61" s="146" t="n">
        <f aca="false">D61-C61</f>
        <v>3.63499999999999</v>
      </c>
      <c r="F61" s="138" t="str">
        <f aca="false">IF(E61&gt;=0,"Aterro","Corte")</f>
        <v>Aterro</v>
      </c>
      <c r="G61" s="138" t="n">
        <v>-6</v>
      </c>
      <c r="H61" s="138"/>
      <c r="I61" s="138"/>
      <c r="J61" s="138"/>
      <c r="K61" s="138"/>
      <c r="L61" s="138"/>
      <c r="M61" s="138" t="s">
        <v>4029</v>
      </c>
    </row>
    <row r="62" customFormat="false" ht="15" hidden="false" customHeight="false" outlineLevel="0" collapsed="false">
      <c r="A62" s="138" t="s">
        <v>1703</v>
      </c>
      <c r="B62" s="138" t="n">
        <v>60</v>
      </c>
      <c r="C62" s="146" t="n">
        <v>843.679</v>
      </c>
      <c r="D62" s="146" t="n">
        <v>846.679</v>
      </c>
      <c r="E62" s="146" t="n">
        <f aca="false">D62-C62</f>
        <v>3</v>
      </c>
      <c r="F62" s="138" t="str">
        <f aca="false">IF(E62&gt;=0,"Aterro","Corte")</f>
        <v>Aterro</v>
      </c>
      <c r="G62" s="138" t="n">
        <v>-6</v>
      </c>
      <c r="H62" s="138" t="s">
        <v>4031</v>
      </c>
      <c r="I62" s="138" t="s">
        <v>4021</v>
      </c>
      <c r="J62" s="138" t="n">
        <v>16.667</v>
      </c>
      <c r="K62" s="138"/>
      <c r="L62" s="138"/>
      <c r="M62" s="138" t="s">
        <v>4029</v>
      </c>
    </row>
    <row r="63" customFormat="false" ht="15" hidden="false" customHeight="false" outlineLevel="0" collapsed="false">
      <c r="A63" s="138" t="s">
        <v>1704</v>
      </c>
      <c r="B63" s="138" t="n">
        <v>61</v>
      </c>
      <c r="C63" s="146" t="n">
        <v>843.231</v>
      </c>
      <c r="D63" s="146" t="n">
        <v>845.658</v>
      </c>
      <c r="E63" s="146" t="n">
        <f aca="false">D63-C63</f>
        <v>2.42700000000002</v>
      </c>
      <c r="F63" s="138" t="str">
        <f aca="false">IF(E63&gt;=0,"Aterro","Corte")</f>
        <v>Aterro</v>
      </c>
      <c r="G63" s="138" t="n">
        <v>-6</v>
      </c>
      <c r="H63" s="138" t="s">
        <v>4031</v>
      </c>
      <c r="I63" s="138" t="s">
        <v>4021</v>
      </c>
      <c r="J63" s="138" t="n">
        <v>16.667</v>
      </c>
      <c r="K63" s="138"/>
      <c r="L63" s="138"/>
      <c r="M63" s="138" t="s">
        <v>4029</v>
      </c>
    </row>
    <row r="64" customFormat="false" ht="15" hidden="false" customHeight="false" outlineLevel="0" collapsed="false">
      <c r="A64" s="138" t="s">
        <v>1705</v>
      </c>
      <c r="B64" s="138" t="n">
        <v>62</v>
      </c>
      <c r="C64" s="146" t="n">
        <v>842.846</v>
      </c>
      <c r="D64" s="146" t="n">
        <v>844.877</v>
      </c>
      <c r="E64" s="146" t="n">
        <f aca="false">D64-C64</f>
        <v>2.03099999999995</v>
      </c>
      <c r="F64" s="138" t="str">
        <f aca="false">IF(E64&gt;=0,"Aterro","Corte")</f>
        <v>Aterro</v>
      </c>
      <c r="G64" s="138" t="n">
        <v>-6</v>
      </c>
      <c r="H64" s="138" t="s">
        <v>4031</v>
      </c>
      <c r="I64" s="138" t="s">
        <v>4021</v>
      </c>
      <c r="J64" s="138" t="n">
        <v>16.667</v>
      </c>
      <c r="K64" s="138"/>
      <c r="L64" s="138"/>
      <c r="M64" s="138" t="s">
        <v>4029</v>
      </c>
    </row>
    <row r="65" customFormat="false" ht="15" hidden="false" customHeight="false" outlineLevel="0" collapsed="false">
      <c r="A65" s="138" t="s">
        <v>1706</v>
      </c>
      <c r="B65" s="138" t="n">
        <v>63</v>
      </c>
      <c r="C65" s="146" t="n">
        <v>842.575</v>
      </c>
      <c r="D65" s="146" t="n">
        <v>844.336</v>
      </c>
      <c r="E65" s="146" t="n">
        <f aca="false">D65-C65</f>
        <v>1.76099999999997</v>
      </c>
      <c r="F65" s="138" t="str">
        <f aca="false">IF(E65&gt;=0,"Aterro","Corte")</f>
        <v>Aterro</v>
      </c>
      <c r="G65" s="138" t="n">
        <v>-6</v>
      </c>
      <c r="H65" s="138" t="s">
        <v>4031</v>
      </c>
      <c r="I65" s="138" t="s">
        <v>4021</v>
      </c>
      <c r="J65" s="138" t="n">
        <v>16.667</v>
      </c>
      <c r="K65" s="138"/>
      <c r="L65" s="138"/>
      <c r="M65" s="138" t="s">
        <v>4029</v>
      </c>
    </row>
    <row r="66" customFormat="false" ht="15" hidden="false" customHeight="false" outlineLevel="0" collapsed="false">
      <c r="A66" s="138" t="s">
        <v>1707</v>
      </c>
      <c r="B66" s="138" t="n">
        <v>64</v>
      </c>
      <c r="C66" s="146" t="n">
        <v>842.398</v>
      </c>
      <c r="D66" s="146" t="n">
        <v>844.035</v>
      </c>
      <c r="E66" s="146" t="n">
        <f aca="false">D66-C66</f>
        <v>1.63699999999994</v>
      </c>
      <c r="F66" s="138" t="str">
        <f aca="false">IF(E66&gt;=0,"Aterro","Corte")</f>
        <v>Aterro</v>
      </c>
      <c r="G66" s="138" t="n">
        <v>-6</v>
      </c>
      <c r="H66" s="138" t="s">
        <v>4031</v>
      </c>
      <c r="I66" s="138" t="s">
        <v>4021</v>
      </c>
      <c r="J66" s="138" t="n">
        <v>16.667</v>
      </c>
      <c r="K66" s="138"/>
      <c r="L66" s="138"/>
      <c r="M66" s="138" t="s">
        <v>4029</v>
      </c>
    </row>
    <row r="67" customFormat="false" ht="15" hidden="false" customHeight="false" outlineLevel="0" collapsed="false">
      <c r="A67" s="138" t="s">
        <v>1708</v>
      </c>
      <c r="B67" s="138" t="n">
        <v>65</v>
      </c>
      <c r="C67" s="146" t="n">
        <v>842.355</v>
      </c>
      <c r="D67" s="146" t="n">
        <v>843.974</v>
      </c>
      <c r="E67" s="146" t="n">
        <f aca="false">D67-C67</f>
        <v>1.61900000000003</v>
      </c>
      <c r="F67" s="138" t="str">
        <f aca="false">IF(E67&gt;=0,"Aterro","Corte")</f>
        <v>Aterro</v>
      </c>
      <c r="G67" s="138" t="n">
        <v>6</v>
      </c>
      <c r="H67" s="138" t="s">
        <v>4031</v>
      </c>
      <c r="I67" s="138" t="s">
        <v>4021</v>
      </c>
      <c r="J67" s="138" t="n">
        <v>16.667</v>
      </c>
      <c r="K67" s="138"/>
      <c r="L67" s="138"/>
      <c r="M67" s="138" t="s">
        <v>4029</v>
      </c>
    </row>
    <row r="68" customFormat="false" ht="15" hidden="false" customHeight="false" outlineLevel="0" collapsed="false">
      <c r="A68" s="138" t="s">
        <v>1709</v>
      </c>
      <c r="B68" s="138" t="n">
        <v>66</v>
      </c>
      <c r="C68" s="146" t="n">
        <v>842.687</v>
      </c>
      <c r="D68" s="146" t="n">
        <v>844.153</v>
      </c>
      <c r="E68" s="146" t="n">
        <f aca="false">D68-C68</f>
        <v>1.46600000000001</v>
      </c>
      <c r="F68" s="138" t="str">
        <f aca="false">IF(E68&gt;=0,"Aterro","Corte")</f>
        <v>Aterro</v>
      </c>
      <c r="G68" s="138" t="n">
        <v>6</v>
      </c>
      <c r="H68" s="138" t="s">
        <v>4031</v>
      </c>
      <c r="I68" s="138" t="s">
        <v>4021</v>
      </c>
      <c r="J68" s="138" t="n">
        <v>16.667</v>
      </c>
      <c r="K68" s="138"/>
      <c r="L68" s="138"/>
      <c r="M68" s="138" t="s">
        <v>4029</v>
      </c>
    </row>
    <row r="69" customFormat="false" ht="15" hidden="false" customHeight="false" outlineLevel="0" collapsed="false">
      <c r="A69" s="138" t="s">
        <v>1710</v>
      </c>
      <c r="B69" s="138" t="n">
        <v>67</v>
      </c>
      <c r="C69" s="146" t="n">
        <v>843.603</v>
      </c>
      <c r="D69" s="146" t="n">
        <v>844.572</v>
      </c>
      <c r="E69" s="146" t="n">
        <f aca="false">D69-C69</f>
        <v>0.969000000000051</v>
      </c>
      <c r="F69" s="138" t="str">
        <f aca="false">IF(E69&gt;=0,"Aterro","Corte")</f>
        <v>Aterro</v>
      </c>
      <c r="G69" s="138" t="n">
        <v>6</v>
      </c>
      <c r="H69" s="138" t="s">
        <v>4031</v>
      </c>
      <c r="I69" s="138" t="s">
        <v>4021</v>
      </c>
      <c r="J69" s="138" t="n">
        <v>16.667</v>
      </c>
      <c r="K69" s="138"/>
      <c r="L69" s="138"/>
      <c r="M69" s="138" t="s">
        <v>4029</v>
      </c>
    </row>
    <row r="70" customFormat="false" ht="15" hidden="false" customHeight="false" outlineLevel="0" collapsed="false">
      <c r="A70" s="138" t="s">
        <v>1711</v>
      </c>
      <c r="B70" s="138" t="n">
        <v>68</v>
      </c>
      <c r="C70" s="146" t="n">
        <v>845.007</v>
      </c>
      <c r="D70" s="146" t="n">
        <v>845.231</v>
      </c>
      <c r="E70" s="146" t="n">
        <f aca="false">D70-C70</f>
        <v>0.224000000000046</v>
      </c>
      <c r="F70" s="138" t="str">
        <f aca="false">IF(E70&gt;=0,"Aterro","Corte")</f>
        <v>Aterro</v>
      </c>
      <c r="G70" s="138" t="n">
        <v>6</v>
      </c>
      <c r="H70" s="138" t="s">
        <v>4031</v>
      </c>
      <c r="I70" s="138" t="s">
        <v>4021</v>
      </c>
      <c r="J70" s="138" t="n">
        <v>16.667</v>
      </c>
      <c r="K70" s="138"/>
      <c r="L70" s="138"/>
      <c r="M70" s="138" t="s">
        <v>4029</v>
      </c>
    </row>
    <row r="71" customFormat="false" ht="15" hidden="false" customHeight="false" outlineLevel="0" collapsed="false">
      <c r="A71" s="138" t="s">
        <v>1712</v>
      </c>
      <c r="B71" s="138" t="n">
        <v>69</v>
      </c>
      <c r="C71" s="146" t="n">
        <v>846.683</v>
      </c>
      <c r="D71" s="146" t="n">
        <v>846.13</v>
      </c>
      <c r="E71" s="146" t="n">
        <f aca="false">D71-C71</f>
        <v>-0.552999999999997</v>
      </c>
      <c r="F71" s="138" t="str">
        <f aca="false">IF(E71&gt;=0,"Aterro","Corte")</f>
        <v>Corte</v>
      </c>
      <c r="G71" s="138" t="n">
        <v>6</v>
      </c>
      <c r="H71" s="138" t="s">
        <v>4031</v>
      </c>
      <c r="I71" s="138" t="s">
        <v>4021</v>
      </c>
      <c r="J71" s="138" t="n">
        <v>16.667</v>
      </c>
      <c r="K71" s="138"/>
      <c r="L71" s="138"/>
      <c r="M71" s="138" t="s">
        <v>4029</v>
      </c>
    </row>
    <row r="72" customFormat="false" ht="15" hidden="false" customHeight="false" outlineLevel="0" collapsed="false">
      <c r="A72" s="138" t="s">
        <v>1713</v>
      </c>
      <c r="B72" s="138" t="n">
        <v>70</v>
      </c>
      <c r="C72" s="146" t="n">
        <v>848.396</v>
      </c>
      <c r="D72" s="146" t="n">
        <v>847.262</v>
      </c>
      <c r="E72" s="146" t="n">
        <f aca="false">D72-C72</f>
        <v>-1.13400000000001</v>
      </c>
      <c r="F72" s="138" t="str">
        <f aca="false">IF(E72&gt;=0,"Aterro","Corte")</f>
        <v>Corte</v>
      </c>
      <c r="G72" s="138" t="n">
        <v>6</v>
      </c>
      <c r="H72" s="138"/>
      <c r="I72" s="138"/>
      <c r="J72" s="138"/>
      <c r="K72" s="138"/>
      <c r="L72" s="138"/>
      <c r="M72" s="138" t="s">
        <v>4029</v>
      </c>
    </row>
    <row r="73" customFormat="false" ht="15" hidden="false" customHeight="false" outlineLevel="0" collapsed="false">
      <c r="A73" s="138" t="s">
        <v>1714</v>
      </c>
      <c r="B73" s="138" t="n">
        <v>71</v>
      </c>
      <c r="C73" s="146" t="n">
        <v>849.911</v>
      </c>
      <c r="D73" s="146" t="n">
        <v>848.46</v>
      </c>
      <c r="E73" s="146" t="n">
        <f aca="false">D73-C73</f>
        <v>-1.45099999999991</v>
      </c>
      <c r="F73" s="138" t="str">
        <f aca="false">IF(E73&gt;=0,"Aterro","Corte")</f>
        <v>Corte</v>
      </c>
      <c r="G73" s="138" t="n">
        <v>6</v>
      </c>
      <c r="H73" s="138" t="s">
        <v>4032</v>
      </c>
      <c r="I73" s="138" t="s">
        <v>4024</v>
      </c>
      <c r="J73" s="138" t="n">
        <v>26.67</v>
      </c>
      <c r="K73" s="138"/>
      <c r="L73" s="138"/>
      <c r="M73" s="138" t="s">
        <v>4029</v>
      </c>
    </row>
    <row r="74" customFormat="false" ht="15" hidden="false" customHeight="false" outlineLevel="0" collapsed="false">
      <c r="A74" s="138" t="s">
        <v>1715</v>
      </c>
      <c r="B74" s="138" t="n">
        <v>72</v>
      </c>
      <c r="C74" s="146" t="n">
        <v>851.193</v>
      </c>
      <c r="D74" s="146" t="n">
        <v>849.559</v>
      </c>
      <c r="E74" s="146" t="n">
        <f aca="false">D74-C74</f>
        <v>-1.63400000000001</v>
      </c>
      <c r="F74" s="138" t="str">
        <f aca="false">IF(E74&gt;=0,"Aterro","Corte")</f>
        <v>Corte</v>
      </c>
      <c r="G74" s="138" t="n">
        <v>6</v>
      </c>
      <c r="H74" s="138" t="s">
        <v>4032</v>
      </c>
      <c r="I74" s="138" t="s">
        <v>4024</v>
      </c>
      <c r="J74" s="138" t="n">
        <v>26.67</v>
      </c>
      <c r="K74" s="138"/>
      <c r="L74" s="138"/>
      <c r="M74" s="138" t="s">
        <v>4029</v>
      </c>
    </row>
    <row r="75" customFormat="false" ht="15" hidden="false" customHeight="false" outlineLevel="0" collapsed="false">
      <c r="A75" s="138" t="s">
        <v>1716</v>
      </c>
      <c r="B75" s="138" t="n">
        <v>73</v>
      </c>
      <c r="C75" s="146" t="n">
        <v>852.312</v>
      </c>
      <c r="D75" s="146" t="n">
        <v>850.509</v>
      </c>
      <c r="E75" s="146" t="n">
        <f aca="false">D75-C75</f>
        <v>-1.803</v>
      </c>
      <c r="F75" s="138" t="str">
        <f aca="false">IF(E75&gt;=0,"Aterro","Corte")</f>
        <v>Corte</v>
      </c>
      <c r="G75" s="138" t="n">
        <v>6</v>
      </c>
      <c r="H75" s="138" t="s">
        <v>4032</v>
      </c>
      <c r="I75" s="138" t="s">
        <v>4024</v>
      </c>
      <c r="J75" s="138" t="n">
        <v>26.67</v>
      </c>
      <c r="K75" s="138"/>
      <c r="L75" s="138"/>
      <c r="M75" s="138" t="s">
        <v>4033</v>
      </c>
    </row>
    <row r="76" customFormat="false" ht="15" hidden="false" customHeight="false" outlineLevel="0" collapsed="false">
      <c r="A76" s="138" t="s">
        <v>1717</v>
      </c>
      <c r="B76" s="138" t="n">
        <v>74</v>
      </c>
      <c r="C76" s="146" t="n">
        <v>853.171</v>
      </c>
      <c r="D76" s="146" t="n">
        <v>851.308</v>
      </c>
      <c r="E76" s="146" t="n">
        <f aca="false">D76-C76</f>
        <v>-1.86300000000006</v>
      </c>
      <c r="F76" s="138" t="str">
        <f aca="false">IF(E76&gt;=0,"Aterro","Corte")</f>
        <v>Corte</v>
      </c>
      <c r="G76" s="138" t="n">
        <v>6</v>
      </c>
      <c r="H76" s="138" t="s">
        <v>4032</v>
      </c>
      <c r="I76" s="138" t="s">
        <v>4024</v>
      </c>
      <c r="J76" s="138" t="n">
        <v>26.67</v>
      </c>
      <c r="K76" s="138"/>
      <c r="L76" s="138"/>
      <c r="M76" s="138" t="s">
        <v>4033</v>
      </c>
    </row>
    <row r="77" customFormat="false" ht="15" hidden="false" customHeight="false" outlineLevel="0" collapsed="false">
      <c r="A77" s="138" t="s">
        <v>1718</v>
      </c>
      <c r="B77" s="138" t="n">
        <v>75</v>
      </c>
      <c r="C77" s="146" t="n">
        <v>853.721</v>
      </c>
      <c r="D77" s="146" t="n">
        <v>851.958</v>
      </c>
      <c r="E77" s="146" t="n">
        <f aca="false">D77-C77</f>
        <v>-1.76300000000003</v>
      </c>
      <c r="F77" s="138" t="str">
        <f aca="false">IF(E77&gt;=0,"Aterro","Corte")</f>
        <v>Corte</v>
      </c>
      <c r="G77" s="138" t="n">
        <v>6</v>
      </c>
      <c r="H77" s="138" t="s">
        <v>4032</v>
      </c>
      <c r="I77" s="138" t="s">
        <v>4024</v>
      </c>
      <c r="J77" s="138" t="n">
        <v>26.67</v>
      </c>
      <c r="K77" s="138"/>
      <c r="L77" s="138"/>
      <c r="M77" s="138" t="s">
        <v>4033</v>
      </c>
    </row>
    <row r="78" customFormat="false" ht="15" hidden="false" customHeight="false" outlineLevel="0" collapsed="false">
      <c r="A78" s="138" t="s">
        <v>1719</v>
      </c>
      <c r="B78" s="138" t="n">
        <v>76</v>
      </c>
      <c r="C78" s="146" t="n">
        <v>853.943</v>
      </c>
      <c r="D78" s="146" t="n">
        <v>852.458</v>
      </c>
      <c r="E78" s="146" t="n">
        <f aca="false">D78-C78</f>
        <v>-1.48500000000001</v>
      </c>
      <c r="F78" s="138" t="str">
        <f aca="false">IF(E78&gt;=0,"Aterro","Corte")</f>
        <v>Corte</v>
      </c>
      <c r="G78" s="138" t="n">
        <v>6</v>
      </c>
      <c r="H78" s="138" t="s">
        <v>4032</v>
      </c>
      <c r="I78" s="138" t="s">
        <v>4024</v>
      </c>
      <c r="J78" s="138" t="n">
        <v>26.67</v>
      </c>
      <c r="K78" s="138"/>
      <c r="L78" s="138"/>
      <c r="M78" s="138" t="s">
        <v>4033</v>
      </c>
    </row>
    <row r="79" customFormat="false" ht="15" hidden="false" customHeight="false" outlineLevel="0" collapsed="false">
      <c r="A79" s="138" t="s">
        <v>1720</v>
      </c>
      <c r="B79" s="138" t="n">
        <v>77</v>
      </c>
      <c r="C79" s="146" t="n">
        <v>853.77</v>
      </c>
      <c r="D79" s="146" t="n">
        <v>852.807</v>
      </c>
      <c r="E79" s="146" t="n">
        <f aca="false">D79-C79</f>
        <v>-0.962999999999965</v>
      </c>
      <c r="F79" s="138" t="str">
        <f aca="false">IF(E79&gt;=0,"Aterro","Corte")</f>
        <v>Corte</v>
      </c>
      <c r="G79" s="138" t="n">
        <v>6</v>
      </c>
      <c r="H79" s="138" t="s">
        <v>4032</v>
      </c>
      <c r="I79" s="138" t="s">
        <v>4024</v>
      </c>
      <c r="J79" s="138" t="n">
        <v>26.67</v>
      </c>
      <c r="K79" s="138"/>
      <c r="L79" s="138"/>
      <c r="M79" s="138" t="s">
        <v>4033</v>
      </c>
    </row>
    <row r="80" customFormat="false" ht="15" hidden="false" customHeight="false" outlineLevel="0" collapsed="false">
      <c r="A80" s="138" t="s">
        <v>1721</v>
      </c>
      <c r="B80" s="138" t="n">
        <v>78</v>
      </c>
      <c r="C80" s="146" t="n">
        <v>853.234</v>
      </c>
      <c r="D80" s="146" t="n">
        <v>853.007</v>
      </c>
      <c r="E80" s="146" t="n">
        <f aca="false">D80-C80</f>
        <v>-0.227000000000089</v>
      </c>
      <c r="F80" s="138" t="str">
        <f aca="false">IF(E80&gt;=0,"Aterro","Corte")</f>
        <v>Corte</v>
      </c>
      <c r="G80" s="138" t="n">
        <v>6</v>
      </c>
      <c r="H80" s="138" t="s">
        <v>4032</v>
      </c>
      <c r="I80" s="138" t="s">
        <v>4024</v>
      </c>
      <c r="J80" s="138" t="n">
        <v>26.67</v>
      </c>
      <c r="K80" s="138"/>
      <c r="L80" s="138"/>
      <c r="M80" s="138" t="s">
        <v>4033</v>
      </c>
    </row>
    <row r="81" customFormat="false" ht="15" hidden="false" customHeight="false" outlineLevel="0" collapsed="false">
      <c r="A81" s="138" t="s">
        <v>1722</v>
      </c>
      <c r="B81" s="138" t="n">
        <v>79</v>
      </c>
      <c r="C81" s="146" t="n">
        <v>852.52</v>
      </c>
      <c r="D81" s="146" t="n">
        <v>853.057</v>
      </c>
      <c r="E81" s="146" t="n">
        <f aca="false">D81-C81</f>
        <v>0.537000000000035</v>
      </c>
      <c r="F81" s="138" t="str">
        <f aca="false">IF(E81&gt;=0,"Aterro","Corte")</f>
        <v>Aterro</v>
      </c>
      <c r="G81" s="138" t="n">
        <v>-5.998</v>
      </c>
      <c r="H81" s="138" t="s">
        <v>4032</v>
      </c>
      <c r="I81" s="138" t="s">
        <v>4024</v>
      </c>
      <c r="J81" s="138" t="n">
        <v>26.67</v>
      </c>
      <c r="K81" s="138"/>
      <c r="L81" s="138"/>
      <c r="M81" s="138" t="s">
        <v>4033</v>
      </c>
    </row>
    <row r="82" customFormat="false" ht="15" hidden="false" customHeight="false" outlineLevel="0" collapsed="false">
      <c r="A82" s="138" t="s">
        <v>1723</v>
      </c>
      <c r="B82" s="138" t="n">
        <v>80</v>
      </c>
      <c r="C82" s="146" t="n">
        <v>851.861</v>
      </c>
      <c r="D82" s="146" t="n">
        <v>852.956</v>
      </c>
      <c r="E82" s="146" t="n">
        <f aca="false">D82-C82</f>
        <v>1.09500000000003</v>
      </c>
      <c r="F82" s="138" t="str">
        <f aca="false">IF(E82&gt;=0,"Aterro","Corte")</f>
        <v>Aterro</v>
      </c>
      <c r="G82" s="138" t="n">
        <v>-5.998</v>
      </c>
      <c r="H82" s="138" t="s">
        <v>4032</v>
      </c>
      <c r="I82" s="138" t="s">
        <v>4024</v>
      </c>
      <c r="J82" s="138" t="n">
        <v>26.67</v>
      </c>
      <c r="K82" s="138"/>
      <c r="L82" s="138"/>
      <c r="M82" s="138" t="s">
        <v>4033</v>
      </c>
    </row>
    <row r="83" customFormat="false" ht="15" hidden="false" customHeight="false" outlineLevel="0" collapsed="false">
      <c r="A83" s="138" t="s">
        <v>1724</v>
      </c>
      <c r="B83" s="138" t="n">
        <v>81</v>
      </c>
      <c r="C83" s="146" t="n">
        <v>851.276</v>
      </c>
      <c r="D83" s="146" t="n">
        <v>852.706</v>
      </c>
      <c r="E83" s="146" t="n">
        <f aca="false">D83-C83</f>
        <v>1.43000000000006</v>
      </c>
      <c r="F83" s="138" t="str">
        <f aca="false">IF(E83&gt;=0,"Aterro","Corte")</f>
        <v>Aterro</v>
      </c>
      <c r="G83" s="138" t="n">
        <v>-5.998</v>
      </c>
      <c r="H83" s="138" t="s">
        <v>4032</v>
      </c>
      <c r="I83" s="138" t="s">
        <v>4024</v>
      </c>
      <c r="J83" s="138" t="n">
        <v>26.67</v>
      </c>
      <c r="K83" s="138"/>
      <c r="L83" s="138"/>
      <c r="M83" s="138" t="s">
        <v>4033</v>
      </c>
    </row>
    <row r="84" customFormat="false" ht="15" hidden="false" customHeight="false" outlineLevel="0" collapsed="false">
      <c r="A84" s="138" t="s">
        <v>1725</v>
      </c>
      <c r="B84" s="138" t="n">
        <v>82</v>
      </c>
      <c r="C84" s="146" t="n">
        <v>850.814</v>
      </c>
      <c r="D84" s="146" t="n">
        <v>852.306</v>
      </c>
      <c r="E84" s="146" t="n">
        <f aca="false">D84-C84</f>
        <v>1.49200000000008</v>
      </c>
      <c r="F84" s="138" t="str">
        <f aca="false">IF(E84&gt;=0,"Aterro","Corte")</f>
        <v>Aterro</v>
      </c>
      <c r="G84" s="138" t="n">
        <v>-5.998</v>
      </c>
      <c r="H84" s="138" t="s">
        <v>4032</v>
      </c>
      <c r="I84" s="138" t="s">
        <v>4024</v>
      </c>
      <c r="J84" s="138" t="n">
        <v>26.67</v>
      </c>
      <c r="K84" s="138"/>
      <c r="L84" s="138"/>
      <c r="M84" s="138" t="s">
        <v>4033</v>
      </c>
    </row>
    <row r="85" customFormat="false" ht="15" hidden="false" customHeight="false" outlineLevel="0" collapsed="false">
      <c r="A85" s="138" t="s">
        <v>1726</v>
      </c>
      <c r="B85" s="138" t="n">
        <v>83</v>
      </c>
      <c r="C85" s="146" t="n">
        <v>850.461</v>
      </c>
      <c r="D85" s="146" t="n">
        <v>851.755</v>
      </c>
      <c r="E85" s="146" t="n">
        <f aca="false">D85-C85</f>
        <v>1.29399999999998</v>
      </c>
      <c r="F85" s="138" t="str">
        <f aca="false">IF(E85&gt;=0,"Aterro","Corte")</f>
        <v>Aterro</v>
      </c>
      <c r="G85" s="138" t="n">
        <v>-5.998</v>
      </c>
      <c r="H85" s="138" t="s">
        <v>4032</v>
      </c>
      <c r="I85" s="138" t="s">
        <v>4024</v>
      </c>
      <c r="J85" s="138" t="n">
        <v>26.67</v>
      </c>
      <c r="K85" s="138"/>
      <c r="L85" s="138"/>
      <c r="M85" s="138" t="s">
        <v>4033</v>
      </c>
    </row>
    <row r="86" customFormat="false" ht="15" hidden="false" customHeight="false" outlineLevel="0" collapsed="false">
      <c r="A86" s="138" t="s">
        <v>1727</v>
      </c>
      <c r="B86" s="138" t="n">
        <v>84</v>
      </c>
      <c r="C86" s="146" t="n">
        <v>850.145</v>
      </c>
      <c r="D86" s="146" t="n">
        <v>851.055</v>
      </c>
      <c r="E86" s="146" t="n">
        <f aca="false">D86-C86</f>
        <v>0.909999999999968</v>
      </c>
      <c r="F86" s="138" t="str">
        <f aca="false">IF(E86&gt;=0,"Aterro","Corte")</f>
        <v>Aterro</v>
      </c>
      <c r="G86" s="138" t="n">
        <v>-5.998</v>
      </c>
      <c r="H86" s="138" t="s">
        <v>4032</v>
      </c>
      <c r="I86" s="138" t="s">
        <v>4024</v>
      </c>
      <c r="J86" s="138" t="n">
        <v>26.67</v>
      </c>
      <c r="K86" s="138"/>
      <c r="L86" s="138"/>
      <c r="M86" s="138" t="s">
        <v>4033</v>
      </c>
    </row>
    <row r="87" customFormat="false" ht="15" hidden="false" customHeight="false" outlineLevel="0" collapsed="false">
      <c r="A87" s="138" t="s">
        <v>1728</v>
      </c>
      <c r="B87" s="138" t="n">
        <v>85</v>
      </c>
      <c r="C87" s="146" t="n">
        <v>849.908</v>
      </c>
      <c r="D87" s="146" t="n">
        <v>850.205</v>
      </c>
      <c r="E87" s="146" t="n">
        <f aca="false">D87-C87</f>
        <v>0.297000000000025</v>
      </c>
      <c r="F87" s="138" t="str">
        <f aca="false">IF(E87&gt;=0,"Aterro","Corte")</f>
        <v>Aterro</v>
      </c>
      <c r="G87" s="138" t="n">
        <v>-5.998</v>
      </c>
      <c r="H87" s="138" t="s">
        <v>4032</v>
      </c>
      <c r="I87" s="138" t="s">
        <v>4024</v>
      </c>
      <c r="J87" s="138" t="n">
        <v>26.67</v>
      </c>
      <c r="K87" s="138"/>
      <c r="L87" s="138"/>
      <c r="M87" s="138" t="s">
        <v>4033</v>
      </c>
    </row>
    <row r="88" customFormat="false" ht="15" hidden="false" customHeight="false" outlineLevel="0" collapsed="false">
      <c r="A88" s="138" t="s">
        <v>1729</v>
      </c>
      <c r="B88" s="138" t="n">
        <v>86</v>
      </c>
      <c r="C88" s="146" t="n">
        <v>849.837</v>
      </c>
      <c r="D88" s="146" t="n">
        <v>849.205</v>
      </c>
      <c r="E88" s="146" t="n">
        <f aca="false">D88-C88</f>
        <v>-0.631999999999948</v>
      </c>
      <c r="F88" s="138" t="str">
        <f aca="false">IF(E88&gt;=0,"Aterro","Corte")</f>
        <v>Corte</v>
      </c>
      <c r="G88" s="138" t="n">
        <v>-5.998</v>
      </c>
      <c r="H88" s="138" t="s">
        <v>4032</v>
      </c>
      <c r="I88" s="138" t="s">
        <v>4024</v>
      </c>
      <c r="J88" s="138" t="n">
        <v>26.67</v>
      </c>
      <c r="K88" s="138"/>
      <c r="L88" s="138"/>
      <c r="M88" s="138" t="s">
        <v>4033</v>
      </c>
    </row>
    <row r="89" customFormat="false" ht="15" hidden="false" customHeight="false" outlineLevel="0" collapsed="false">
      <c r="A89" s="138" t="s">
        <v>1730</v>
      </c>
      <c r="B89" s="138" t="n">
        <v>87</v>
      </c>
      <c r="C89" s="146" t="n">
        <v>849.75</v>
      </c>
      <c r="D89" s="146" t="n">
        <v>848.057</v>
      </c>
      <c r="E89" s="146" t="n">
        <f aca="false">D89-C89</f>
        <v>-1.69299999999998</v>
      </c>
      <c r="F89" s="138" t="str">
        <f aca="false">IF(E89&gt;=0,"Aterro","Corte")</f>
        <v>Corte</v>
      </c>
      <c r="G89" s="138" t="n">
        <v>-5.998</v>
      </c>
      <c r="H89" s="138"/>
      <c r="I89" s="138"/>
      <c r="J89" s="138"/>
      <c r="K89" s="138"/>
      <c r="L89" s="138"/>
      <c r="M89" s="138" t="s">
        <v>4033</v>
      </c>
    </row>
    <row r="90" customFormat="false" ht="15" hidden="false" customHeight="false" outlineLevel="0" collapsed="false">
      <c r="A90" s="138" t="s">
        <v>1731</v>
      </c>
      <c r="B90" s="138" t="n">
        <v>88</v>
      </c>
      <c r="C90" s="146" t="n">
        <v>849.481</v>
      </c>
      <c r="D90" s="146" t="n">
        <v>846.857</v>
      </c>
      <c r="E90" s="146" t="n">
        <f aca="false">D90-C90</f>
        <v>-2.62400000000002</v>
      </c>
      <c r="F90" s="138" t="str">
        <f aca="false">IF(E90&gt;=0,"Aterro","Corte")</f>
        <v>Corte</v>
      </c>
      <c r="G90" s="138" t="n">
        <v>-5.998</v>
      </c>
      <c r="H90" s="138"/>
      <c r="I90" s="138"/>
      <c r="J90" s="138"/>
      <c r="K90" s="138"/>
      <c r="L90" s="138"/>
      <c r="M90" s="138" t="s">
        <v>4033</v>
      </c>
    </row>
    <row r="91" customFormat="false" ht="15" hidden="false" customHeight="false" outlineLevel="0" collapsed="false">
      <c r="A91" s="138" t="s">
        <v>1732</v>
      </c>
      <c r="B91" s="138" t="n">
        <v>89</v>
      </c>
      <c r="C91" s="146" t="n">
        <v>848.989</v>
      </c>
      <c r="D91" s="146" t="n">
        <v>845.658</v>
      </c>
      <c r="E91" s="146" t="n">
        <f aca="false">D91-C91</f>
        <v>-3.33100000000002</v>
      </c>
      <c r="F91" s="138" t="str">
        <f aca="false">IF(E91&gt;=0,"Aterro","Corte")</f>
        <v>Corte</v>
      </c>
      <c r="G91" s="138" t="n">
        <v>-5.998</v>
      </c>
      <c r="H91" s="138"/>
      <c r="I91" s="138"/>
      <c r="J91" s="138"/>
      <c r="K91" s="138"/>
      <c r="L91" s="138"/>
      <c r="M91" s="138" t="s">
        <v>4033</v>
      </c>
    </row>
    <row r="92" customFormat="false" ht="15" hidden="false" customHeight="false" outlineLevel="0" collapsed="false">
      <c r="A92" s="138" t="s">
        <v>1733</v>
      </c>
      <c r="B92" s="138" t="n">
        <v>90</v>
      </c>
      <c r="C92" s="146" t="n">
        <v>848.143</v>
      </c>
      <c r="D92" s="146" t="n">
        <v>844.458</v>
      </c>
      <c r="E92" s="146" t="n">
        <f aca="false">D92-C92</f>
        <v>-3.68500000000006</v>
      </c>
      <c r="F92" s="138" t="str">
        <f aca="false">IF(E92&gt;=0,"Aterro","Corte")</f>
        <v>Corte</v>
      </c>
      <c r="G92" s="138" t="n">
        <v>-5.998</v>
      </c>
      <c r="H92" s="138"/>
      <c r="I92" s="138"/>
      <c r="J92" s="138"/>
      <c r="K92" s="138"/>
      <c r="L92" s="138"/>
      <c r="M92" s="138" t="s">
        <v>4033</v>
      </c>
    </row>
    <row r="93" customFormat="false" ht="15" hidden="false" customHeight="false" outlineLevel="0" collapsed="false">
      <c r="A93" s="138" t="s">
        <v>1734</v>
      </c>
      <c r="B93" s="138" t="n">
        <v>91</v>
      </c>
      <c r="C93" s="146" t="n">
        <v>846.954</v>
      </c>
      <c r="D93" s="146" t="n">
        <v>843.258</v>
      </c>
      <c r="E93" s="146" t="n">
        <f aca="false">D93-C93</f>
        <v>-3.69599999999991</v>
      </c>
      <c r="F93" s="138" t="str">
        <f aca="false">IF(E93&gt;=0,"Aterro","Corte")</f>
        <v>Corte</v>
      </c>
      <c r="G93" s="138" t="n">
        <v>-5.998</v>
      </c>
      <c r="H93" s="138"/>
      <c r="I93" s="138"/>
      <c r="J93" s="138"/>
      <c r="K93" s="138"/>
      <c r="L93" s="138"/>
      <c r="M93" s="138" t="s">
        <v>4033</v>
      </c>
    </row>
    <row r="94" customFormat="false" ht="15" hidden="false" customHeight="false" outlineLevel="0" collapsed="false">
      <c r="A94" s="138" t="s">
        <v>1735</v>
      </c>
      <c r="B94" s="138" t="n">
        <v>92</v>
      </c>
      <c r="C94" s="146" t="n">
        <v>845.746</v>
      </c>
      <c r="D94" s="146" t="n">
        <v>842.059</v>
      </c>
      <c r="E94" s="146" t="n">
        <f aca="false">D94-C94</f>
        <v>-3.68700000000001</v>
      </c>
      <c r="F94" s="138" t="str">
        <f aca="false">IF(E94&gt;=0,"Aterro","Corte")</f>
        <v>Corte</v>
      </c>
      <c r="G94" s="138" t="n">
        <v>-5.998</v>
      </c>
      <c r="H94" s="138"/>
      <c r="I94" s="138"/>
      <c r="J94" s="138"/>
      <c r="K94" s="138"/>
      <c r="L94" s="138"/>
      <c r="M94" s="138" t="s">
        <v>4033</v>
      </c>
    </row>
    <row r="95" customFormat="false" ht="15" hidden="false" customHeight="false" outlineLevel="0" collapsed="false">
      <c r="A95" s="138" t="s">
        <v>1736</v>
      </c>
      <c r="B95" s="138" t="n">
        <v>93</v>
      </c>
      <c r="C95" s="146" t="n">
        <v>844.495</v>
      </c>
      <c r="D95" s="146" t="n">
        <v>840.859</v>
      </c>
      <c r="E95" s="146" t="n">
        <f aca="false">D95-C95</f>
        <v>-3.63599999999997</v>
      </c>
      <c r="F95" s="138" t="str">
        <f aca="false">IF(E95&gt;=0,"Aterro","Corte")</f>
        <v>Corte</v>
      </c>
      <c r="G95" s="138" t="n">
        <v>-5.998</v>
      </c>
      <c r="H95" s="138"/>
      <c r="I95" s="138"/>
      <c r="J95" s="138"/>
      <c r="K95" s="138" t="s">
        <v>4034</v>
      </c>
      <c r="L95" s="138" t="n">
        <v>3000</v>
      </c>
      <c r="M95" s="138" t="s">
        <v>4033</v>
      </c>
    </row>
    <row r="96" customFormat="false" ht="15" hidden="false" customHeight="false" outlineLevel="0" collapsed="false">
      <c r="A96" s="138" t="s">
        <v>1737</v>
      </c>
      <c r="B96" s="138" t="n">
        <v>94</v>
      </c>
      <c r="C96" s="146" t="n">
        <v>843.134</v>
      </c>
      <c r="D96" s="146" t="n">
        <v>839.659</v>
      </c>
      <c r="E96" s="146" t="n">
        <f aca="false">D96-C96</f>
        <v>-3.47500000000002</v>
      </c>
      <c r="F96" s="138" t="str">
        <f aca="false">IF(E96&gt;=0,"Aterro","Corte")</f>
        <v>Corte</v>
      </c>
      <c r="G96" s="138" t="n">
        <v>-5.998</v>
      </c>
      <c r="H96" s="138"/>
      <c r="I96" s="138"/>
      <c r="J96" s="138"/>
      <c r="K96" s="138" t="s">
        <v>4034</v>
      </c>
      <c r="L96" s="138" t="n">
        <v>3000</v>
      </c>
      <c r="M96" s="138" t="s">
        <v>4033</v>
      </c>
    </row>
    <row r="97" customFormat="false" ht="15" hidden="false" customHeight="false" outlineLevel="0" collapsed="false">
      <c r="A97" s="138" t="s">
        <v>1738</v>
      </c>
      <c r="B97" s="138" t="n">
        <v>95</v>
      </c>
      <c r="C97" s="146" t="n">
        <v>841.649</v>
      </c>
      <c r="D97" s="146" t="n">
        <v>838.459</v>
      </c>
      <c r="E97" s="146" t="n">
        <f aca="false">D97-C97</f>
        <v>-3.19000000000005</v>
      </c>
      <c r="F97" s="138" t="str">
        <f aca="false">IF(E97&gt;=0,"Aterro","Corte")</f>
        <v>Corte</v>
      </c>
      <c r="G97" s="138" t="n">
        <v>-5.998</v>
      </c>
      <c r="H97" s="138"/>
      <c r="I97" s="138"/>
      <c r="J97" s="138"/>
      <c r="K97" s="138"/>
      <c r="L97" s="138"/>
      <c r="M97" s="138" t="s">
        <v>4033</v>
      </c>
    </row>
    <row r="98" customFormat="false" ht="15" hidden="false" customHeight="false" outlineLevel="0" collapsed="false">
      <c r="A98" s="138" t="s">
        <v>1740</v>
      </c>
      <c r="B98" s="138" t="n">
        <v>96</v>
      </c>
      <c r="C98" s="146" t="n">
        <v>839.997</v>
      </c>
      <c r="D98" s="146" t="n">
        <v>837.26</v>
      </c>
      <c r="E98" s="146" t="n">
        <f aca="false">D98-C98</f>
        <v>-2.73699999999997</v>
      </c>
      <c r="F98" s="138" t="str">
        <f aca="false">IF(E98&gt;=0,"Aterro","Corte")</f>
        <v>Corte</v>
      </c>
      <c r="G98" s="138" t="n">
        <v>-5.998</v>
      </c>
      <c r="H98" s="138"/>
      <c r="I98" s="138"/>
      <c r="J98" s="138"/>
      <c r="K98" s="138"/>
      <c r="L98" s="138"/>
      <c r="M98" s="138" t="s">
        <v>4033</v>
      </c>
    </row>
    <row r="99" customFormat="false" ht="15" hidden="false" customHeight="false" outlineLevel="0" collapsed="false">
      <c r="A99" s="138" t="s">
        <v>1741</v>
      </c>
      <c r="B99" s="138" t="n">
        <v>97</v>
      </c>
      <c r="C99" s="146" t="n">
        <v>838.276</v>
      </c>
      <c r="D99" s="146" t="n">
        <v>836.06</v>
      </c>
      <c r="E99" s="146" t="n">
        <f aca="false">D99-C99</f>
        <v>-2.21600000000001</v>
      </c>
      <c r="F99" s="138" t="str">
        <f aca="false">IF(E99&gt;=0,"Aterro","Corte")</f>
        <v>Corte</v>
      </c>
      <c r="G99" s="138" t="n">
        <v>-5.998</v>
      </c>
      <c r="H99" s="138"/>
      <c r="I99" s="138"/>
      <c r="J99" s="138"/>
      <c r="K99" s="138"/>
      <c r="L99" s="138"/>
      <c r="M99" s="138" t="s">
        <v>4033</v>
      </c>
    </row>
    <row r="100" customFormat="false" ht="15" hidden="false" customHeight="false" outlineLevel="0" collapsed="false">
      <c r="A100" s="138" t="s">
        <v>1742</v>
      </c>
      <c r="B100" s="138" t="n">
        <v>98</v>
      </c>
      <c r="C100" s="146" t="n">
        <v>836.63</v>
      </c>
      <c r="D100" s="146" t="n">
        <v>834.86</v>
      </c>
      <c r="E100" s="146" t="n">
        <f aca="false">D100-C100</f>
        <v>-1.76999999999998</v>
      </c>
      <c r="F100" s="138" t="str">
        <f aca="false">IF(E100&gt;=0,"Aterro","Corte")</f>
        <v>Corte</v>
      </c>
      <c r="G100" s="138" t="n">
        <v>-5.998</v>
      </c>
      <c r="H100" s="138"/>
      <c r="I100" s="138"/>
      <c r="J100" s="138"/>
      <c r="K100" s="138"/>
      <c r="L100" s="138"/>
      <c r="M100" s="138" t="s">
        <v>4033</v>
      </c>
    </row>
    <row r="101" customFormat="false" ht="15" hidden="false" customHeight="false" outlineLevel="0" collapsed="false">
      <c r="A101" s="138" t="s">
        <v>1743</v>
      </c>
      <c r="B101" s="138" t="n">
        <v>99</v>
      </c>
      <c r="C101" s="146" t="n">
        <v>835.023</v>
      </c>
      <c r="D101" s="146" t="n">
        <v>833.661</v>
      </c>
      <c r="E101" s="146" t="n">
        <f aca="false">D101-C101</f>
        <v>-1.36200000000008</v>
      </c>
      <c r="F101" s="138" t="str">
        <f aca="false">IF(E101&gt;=0,"Aterro","Corte")</f>
        <v>Corte</v>
      </c>
      <c r="G101" s="138" t="n">
        <v>-5.998</v>
      </c>
      <c r="H101" s="138"/>
      <c r="I101" s="138"/>
      <c r="J101" s="138"/>
      <c r="K101" s="138"/>
      <c r="L101" s="138"/>
      <c r="M101" s="138" t="s">
        <v>4033</v>
      </c>
    </row>
    <row r="102" customFormat="false" ht="15" hidden="false" customHeight="false" outlineLevel="0" collapsed="false">
      <c r="A102" s="138" t="s">
        <v>1744</v>
      </c>
      <c r="B102" s="138" t="n">
        <v>100</v>
      </c>
      <c r="C102" s="146" t="n">
        <v>833.502</v>
      </c>
      <c r="D102" s="146" t="n">
        <v>832.461</v>
      </c>
      <c r="E102" s="146" t="n">
        <f aca="false">D102-C102</f>
        <v>-1.04099999999994</v>
      </c>
      <c r="F102" s="138" t="str">
        <f aca="false">IF(E102&gt;=0,"Aterro","Corte")</f>
        <v>Corte</v>
      </c>
      <c r="G102" s="138" t="n">
        <v>-5.998</v>
      </c>
      <c r="H102" s="138"/>
      <c r="I102" s="138"/>
      <c r="J102" s="138"/>
      <c r="K102" s="138"/>
      <c r="L102" s="138"/>
      <c r="M102" s="138" t="s">
        <v>4033</v>
      </c>
    </row>
    <row r="103" customFormat="false" ht="15" hidden="false" customHeight="false" outlineLevel="0" collapsed="false">
      <c r="A103" s="138" t="s">
        <v>1745</v>
      </c>
      <c r="B103" s="138" t="n">
        <v>101</v>
      </c>
      <c r="C103" s="146" t="n">
        <v>831.997</v>
      </c>
      <c r="D103" s="146" t="n">
        <v>831.261</v>
      </c>
      <c r="E103" s="146" t="n">
        <f aca="false">D103-C103</f>
        <v>-0.73599999999999</v>
      </c>
      <c r="F103" s="138" t="str">
        <f aca="false">IF(E103&gt;=0,"Aterro","Corte")</f>
        <v>Corte</v>
      </c>
      <c r="G103" s="138" t="n">
        <v>-5.998</v>
      </c>
      <c r="H103" s="138"/>
      <c r="I103" s="138"/>
      <c r="J103" s="138"/>
      <c r="K103" s="138"/>
      <c r="L103" s="138"/>
      <c r="M103" s="138" t="s">
        <v>4033</v>
      </c>
    </row>
    <row r="104" customFormat="false" ht="15" hidden="false" customHeight="false" outlineLevel="0" collapsed="false">
      <c r="A104" s="138" t="s">
        <v>1746</v>
      </c>
      <c r="B104" s="138" t="n">
        <v>102</v>
      </c>
      <c r="C104" s="146" t="n">
        <v>830.355</v>
      </c>
      <c r="D104" s="146" t="n">
        <v>830.062</v>
      </c>
      <c r="E104" s="146" t="n">
        <f aca="false">D104-C104</f>
        <v>-0.293000000000006</v>
      </c>
      <c r="F104" s="138" t="str">
        <f aca="false">IF(E104&gt;=0,"Aterro","Corte")</f>
        <v>Corte</v>
      </c>
      <c r="G104" s="138" t="n">
        <v>-5.998</v>
      </c>
      <c r="H104" s="138"/>
      <c r="I104" s="138"/>
      <c r="J104" s="138"/>
      <c r="K104" s="138"/>
      <c r="L104" s="138"/>
      <c r="M104" s="138" t="s">
        <v>4033</v>
      </c>
    </row>
    <row r="105" customFormat="false" ht="15" hidden="false" customHeight="false" outlineLevel="0" collapsed="false">
      <c r="A105" s="138" t="s">
        <v>1747</v>
      </c>
      <c r="B105" s="138" t="n">
        <v>103</v>
      </c>
      <c r="C105" s="146" t="n">
        <v>828.632</v>
      </c>
      <c r="D105" s="146" t="n">
        <v>828.862</v>
      </c>
      <c r="E105" s="146" t="n">
        <f aca="false">D105-C105</f>
        <v>0.230000000000018</v>
      </c>
      <c r="F105" s="138" t="str">
        <f aca="false">IF(E105&gt;=0,"Aterro","Corte")</f>
        <v>Aterro</v>
      </c>
      <c r="G105" s="138" t="n">
        <v>-5.998</v>
      </c>
      <c r="H105" s="138"/>
      <c r="I105" s="138"/>
      <c r="J105" s="138"/>
      <c r="K105" s="138"/>
      <c r="L105" s="138"/>
      <c r="M105" s="138" t="s">
        <v>4033</v>
      </c>
    </row>
    <row r="106" customFormat="false" ht="15" hidden="false" customHeight="false" outlineLevel="0" collapsed="false">
      <c r="A106" s="138" t="s">
        <v>1748</v>
      </c>
      <c r="B106" s="138" t="n">
        <v>104</v>
      </c>
      <c r="C106" s="146" t="n">
        <v>826.852</v>
      </c>
      <c r="D106" s="146" t="n">
        <v>827.662</v>
      </c>
      <c r="E106" s="146" t="n">
        <f aca="false">D106-C106</f>
        <v>0.810000000000059</v>
      </c>
      <c r="F106" s="138" t="str">
        <f aca="false">IF(E106&gt;=0,"Aterro","Corte")</f>
        <v>Aterro</v>
      </c>
      <c r="G106" s="138" t="n">
        <v>-5.998</v>
      </c>
      <c r="H106" s="138"/>
      <c r="I106" s="138"/>
      <c r="J106" s="138"/>
      <c r="K106" s="138"/>
      <c r="L106" s="138"/>
      <c r="M106" s="138" t="s">
        <v>4033</v>
      </c>
    </row>
    <row r="107" customFormat="false" ht="15" hidden="false" customHeight="false" outlineLevel="0" collapsed="false">
      <c r="A107" s="138" t="s">
        <v>1749</v>
      </c>
      <c r="B107" s="138" t="n">
        <v>105</v>
      </c>
      <c r="C107" s="146" t="n">
        <v>825.006</v>
      </c>
      <c r="D107" s="146" t="n">
        <v>826.463</v>
      </c>
      <c r="E107" s="146" t="n">
        <f aca="false">D107-C107</f>
        <v>1.45699999999999</v>
      </c>
      <c r="F107" s="138" t="str">
        <f aca="false">IF(E107&gt;=0,"Aterro","Corte")</f>
        <v>Aterro</v>
      </c>
      <c r="G107" s="138" t="n">
        <v>-5.998</v>
      </c>
      <c r="H107" s="138"/>
      <c r="I107" s="138"/>
      <c r="J107" s="138"/>
      <c r="K107" s="138"/>
      <c r="L107" s="138"/>
      <c r="M107" s="138" t="s">
        <v>4033</v>
      </c>
    </row>
    <row r="108" customFormat="false" ht="15" hidden="false" customHeight="false" outlineLevel="0" collapsed="false">
      <c r="A108" s="138" t="s">
        <v>1750</v>
      </c>
      <c r="B108" s="138" t="n">
        <v>106</v>
      </c>
      <c r="C108" s="146" t="n">
        <v>823.09</v>
      </c>
      <c r="D108" s="146" t="n">
        <v>825.263</v>
      </c>
      <c r="E108" s="146" t="n">
        <f aca="false">D108-C108</f>
        <v>2.173</v>
      </c>
      <c r="F108" s="138" t="str">
        <f aca="false">IF(E108&gt;=0,"Aterro","Corte")</f>
        <v>Aterro</v>
      </c>
      <c r="G108" s="138" t="n">
        <v>-5.998</v>
      </c>
      <c r="H108" s="138"/>
      <c r="I108" s="138"/>
      <c r="J108" s="138"/>
      <c r="K108" s="138"/>
      <c r="L108" s="138"/>
      <c r="M108" s="138" t="s">
        <v>4033</v>
      </c>
    </row>
    <row r="109" customFormat="false" ht="15" hidden="false" customHeight="false" outlineLevel="0" collapsed="false">
      <c r="A109" s="138" t="s">
        <v>1751</v>
      </c>
      <c r="B109" s="138" t="n">
        <v>107</v>
      </c>
      <c r="C109" s="146" t="n">
        <v>821.368</v>
      </c>
      <c r="D109" s="146" t="n">
        <v>824.063</v>
      </c>
      <c r="E109" s="146" t="n">
        <f aca="false">D109-C109</f>
        <v>2.69499999999994</v>
      </c>
      <c r="F109" s="138" t="str">
        <f aca="false">IF(E109&gt;=0,"Aterro","Corte")</f>
        <v>Aterro</v>
      </c>
      <c r="G109" s="138" t="n">
        <v>-5.998</v>
      </c>
      <c r="H109" s="138"/>
      <c r="I109" s="138"/>
      <c r="J109" s="138"/>
      <c r="K109" s="138"/>
      <c r="L109" s="138"/>
      <c r="M109" s="138" t="s">
        <v>4033</v>
      </c>
    </row>
    <row r="110" customFormat="false" ht="15" hidden="false" customHeight="false" outlineLevel="0" collapsed="false">
      <c r="A110" s="138" t="s">
        <v>1752</v>
      </c>
      <c r="B110" s="138" t="n">
        <v>108</v>
      </c>
      <c r="C110" s="146" t="n">
        <v>819.882</v>
      </c>
      <c r="D110" s="146" t="n">
        <v>822.864</v>
      </c>
      <c r="E110" s="146" t="n">
        <f aca="false">D110-C110</f>
        <v>2.98200000000008</v>
      </c>
      <c r="F110" s="138" t="str">
        <f aca="false">IF(E110&gt;=0,"Aterro","Corte")</f>
        <v>Aterro</v>
      </c>
      <c r="G110" s="138" t="n">
        <v>-5.998</v>
      </c>
      <c r="H110" s="138"/>
      <c r="I110" s="138"/>
      <c r="J110" s="138"/>
      <c r="K110" s="138"/>
      <c r="L110" s="138"/>
      <c r="M110" s="138" t="s">
        <v>4033</v>
      </c>
    </row>
    <row r="111" customFormat="false" ht="15" hidden="false" customHeight="false" outlineLevel="0" collapsed="false">
      <c r="A111" s="138" t="s">
        <v>1753</v>
      </c>
      <c r="B111" s="138" t="n">
        <v>109</v>
      </c>
      <c r="C111" s="146" t="n">
        <v>818.531</v>
      </c>
      <c r="D111" s="146" t="n">
        <v>821.664</v>
      </c>
      <c r="E111" s="146" t="n">
        <f aca="false">D111-C111</f>
        <v>3.13300000000004</v>
      </c>
      <c r="F111" s="138" t="str">
        <f aca="false">IF(E111&gt;=0,"Aterro","Corte")</f>
        <v>Aterro</v>
      </c>
      <c r="G111" s="138" t="n">
        <v>-5.998</v>
      </c>
      <c r="H111" s="138"/>
      <c r="I111" s="138"/>
      <c r="J111" s="138"/>
      <c r="K111" s="138"/>
      <c r="L111" s="138"/>
      <c r="M111" s="138" t="s">
        <v>4035</v>
      </c>
    </row>
    <row r="112" customFormat="false" ht="15" hidden="false" customHeight="false" outlineLevel="0" collapsed="false">
      <c r="A112" s="138" t="s">
        <v>1754</v>
      </c>
      <c r="B112" s="138" t="n">
        <v>110</v>
      </c>
      <c r="C112" s="146" t="n">
        <v>817.484</v>
      </c>
      <c r="D112" s="146" t="n">
        <v>820.466</v>
      </c>
      <c r="E112" s="146" t="n">
        <f aca="false">D112-C112</f>
        <v>2.98199999999997</v>
      </c>
      <c r="F112" s="138" t="str">
        <f aca="false">IF(E112&gt;=0,"Aterro","Corte")</f>
        <v>Aterro</v>
      </c>
      <c r="G112" s="138" t="n">
        <v>-5.998</v>
      </c>
      <c r="H112" s="138" t="s">
        <v>4036</v>
      </c>
      <c r="I112" s="138" t="s">
        <v>4021</v>
      </c>
      <c r="J112" s="138" t="n">
        <v>15.217</v>
      </c>
      <c r="K112" s="138"/>
      <c r="L112" s="138"/>
      <c r="M112" s="138" t="s">
        <v>4035</v>
      </c>
    </row>
    <row r="113" customFormat="false" ht="15" hidden="false" customHeight="false" outlineLevel="0" collapsed="false">
      <c r="A113" s="138" t="s">
        <v>1755</v>
      </c>
      <c r="B113" s="138" t="n">
        <v>111</v>
      </c>
      <c r="C113" s="146" t="n">
        <v>816.828</v>
      </c>
      <c r="D113" s="146" t="n">
        <v>819.432</v>
      </c>
      <c r="E113" s="146" t="n">
        <f aca="false">D113-C113</f>
        <v>2.60400000000004</v>
      </c>
      <c r="F113" s="138" t="str">
        <f aca="false">IF(E113&gt;=0,"Aterro","Corte")</f>
        <v>Aterro</v>
      </c>
      <c r="G113" s="138" t="n">
        <v>-5.998</v>
      </c>
      <c r="H113" s="138" t="s">
        <v>4036</v>
      </c>
      <c r="I113" s="138" t="s">
        <v>4021</v>
      </c>
      <c r="J113" s="138" t="n">
        <v>15.217</v>
      </c>
      <c r="K113" s="138"/>
      <c r="L113" s="138"/>
      <c r="M113" s="138" t="s">
        <v>4035</v>
      </c>
    </row>
    <row r="114" customFormat="false" ht="15" hidden="false" customHeight="false" outlineLevel="0" collapsed="false">
      <c r="A114" s="138" t="s">
        <v>1756</v>
      </c>
      <c r="B114" s="138" t="n">
        <v>112</v>
      </c>
      <c r="C114" s="146" t="n">
        <v>816.38</v>
      </c>
      <c r="D114" s="146" t="n">
        <v>818.659</v>
      </c>
      <c r="E114" s="146" t="n">
        <f aca="false">D114-C114</f>
        <v>2.279</v>
      </c>
      <c r="F114" s="138" t="str">
        <f aca="false">IF(E114&gt;=0,"Aterro","Corte")</f>
        <v>Aterro</v>
      </c>
      <c r="G114" s="138" t="n">
        <v>-5.998</v>
      </c>
      <c r="H114" s="138" t="s">
        <v>4036</v>
      </c>
      <c r="I114" s="138" t="s">
        <v>4021</v>
      </c>
      <c r="J114" s="138" t="n">
        <v>15.217</v>
      </c>
      <c r="K114" s="138"/>
      <c r="L114" s="138"/>
      <c r="M114" s="138" t="s">
        <v>4035</v>
      </c>
    </row>
    <row r="115" customFormat="false" ht="15" hidden="false" customHeight="false" outlineLevel="0" collapsed="false">
      <c r="A115" s="138" t="s">
        <v>1757</v>
      </c>
      <c r="B115" s="138" t="n">
        <v>113</v>
      </c>
      <c r="C115" s="146" t="n">
        <v>816.116</v>
      </c>
      <c r="D115" s="146" t="n">
        <v>818.15</v>
      </c>
      <c r="E115" s="146" t="n">
        <f aca="false">D115-C115</f>
        <v>2.03399999999999</v>
      </c>
      <c r="F115" s="138" t="str">
        <f aca="false">IF(E115&gt;=0,"Aterro","Corte")</f>
        <v>Aterro</v>
      </c>
      <c r="G115" s="138" t="n">
        <v>-5.998</v>
      </c>
      <c r="H115" s="138" t="s">
        <v>4036</v>
      </c>
      <c r="I115" s="138" t="s">
        <v>4021</v>
      </c>
      <c r="J115" s="138" t="n">
        <v>15.217</v>
      </c>
      <c r="K115" s="138"/>
      <c r="L115" s="138"/>
      <c r="M115" s="138" t="s">
        <v>4035</v>
      </c>
    </row>
    <row r="116" customFormat="false" ht="15" hidden="false" customHeight="false" outlineLevel="0" collapsed="false">
      <c r="A116" s="138" t="s">
        <v>1758</v>
      </c>
      <c r="B116" s="138" t="n">
        <v>114</v>
      </c>
      <c r="C116" s="146" t="n">
        <v>815.982</v>
      </c>
      <c r="D116" s="146" t="n">
        <v>817.904</v>
      </c>
      <c r="E116" s="146" t="n">
        <f aca="false">D116-C116</f>
        <v>1.92200000000003</v>
      </c>
      <c r="F116" s="138" t="str">
        <f aca="false">IF(E116&gt;=0,"Aterro","Corte")</f>
        <v>Aterro</v>
      </c>
      <c r="G116" s="138" t="n">
        <v>3.859</v>
      </c>
      <c r="H116" s="138" t="s">
        <v>4036</v>
      </c>
      <c r="I116" s="138" t="s">
        <v>4021</v>
      </c>
      <c r="J116" s="138" t="n">
        <v>15.217</v>
      </c>
      <c r="K116" s="138"/>
      <c r="L116" s="138"/>
      <c r="M116" s="138" t="s">
        <v>4035</v>
      </c>
    </row>
    <row r="117" customFormat="false" ht="15" hidden="false" customHeight="false" outlineLevel="0" collapsed="false">
      <c r="A117" s="138" t="s">
        <v>1759</v>
      </c>
      <c r="B117" s="138" t="n">
        <v>115</v>
      </c>
      <c r="C117" s="146" t="n">
        <v>816.133</v>
      </c>
      <c r="D117" s="146" t="n">
        <v>817.92</v>
      </c>
      <c r="E117" s="146" t="n">
        <f aca="false">D117-C117</f>
        <v>1.78699999999992</v>
      </c>
      <c r="F117" s="138" t="str">
        <f aca="false">IF(E117&gt;=0,"Aterro","Corte")</f>
        <v>Aterro</v>
      </c>
      <c r="G117" s="138" t="n">
        <v>3.859</v>
      </c>
      <c r="H117" s="138" t="s">
        <v>4036</v>
      </c>
      <c r="I117" s="138" t="s">
        <v>4021</v>
      </c>
      <c r="J117" s="138" t="n">
        <v>15.217</v>
      </c>
      <c r="K117" s="138"/>
      <c r="L117" s="138"/>
      <c r="M117" s="138" t="s">
        <v>4035</v>
      </c>
    </row>
    <row r="118" customFormat="false" ht="15" hidden="false" customHeight="false" outlineLevel="0" collapsed="false">
      <c r="A118" s="138" t="s">
        <v>1760</v>
      </c>
      <c r="B118" s="138" t="n">
        <v>116</v>
      </c>
      <c r="C118" s="146" t="n">
        <v>816.635</v>
      </c>
      <c r="D118" s="146" t="n">
        <v>818.2</v>
      </c>
      <c r="E118" s="146" t="n">
        <f aca="false">D118-C118</f>
        <v>1.56500000000005</v>
      </c>
      <c r="F118" s="138" t="str">
        <f aca="false">IF(E118&gt;=0,"Aterro","Corte")</f>
        <v>Aterro</v>
      </c>
      <c r="G118" s="138" t="n">
        <v>3.859</v>
      </c>
      <c r="H118" s="138" t="s">
        <v>4036</v>
      </c>
      <c r="I118" s="138" t="s">
        <v>4021</v>
      </c>
      <c r="J118" s="138" t="n">
        <v>15.217</v>
      </c>
      <c r="K118" s="138"/>
      <c r="L118" s="138"/>
      <c r="M118" s="138" t="s">
        <v>4035</v>
      </c>
    </row>
    <row r="119" customFormat="false" ht="15" hidden="false" customHeight="false" outlineLevel="0" collapsed="false">
      <c r="A119" s="138" t="s">
        <v>1761</v>
      </c>
      <c r="B119" s="138" t="n">
        <v>117</v>
      </c>
      <c r="C119" s="146" t="n">
        <v>817.548</v>
      </c>
      <c r="D119" s="146" t="n">
        <v>818.742</v>
      </c>
      <c r="E119" s="146" t="n">
        <f aca="false">D119-C119</f>
        <v>1.19399999999996</v>
      </c>
      <c r="F119" s="138" t="str">
        <f aca="false">IF(E119&gt;=0,"Aterro","Corte")</f>
        <v>Aterro</v>
      </c>
      <c r="G119" s="138" t="n">
        <v>3.859</v>
      </c>
      <c r="H119" s="138" t="s">
        <v>4036</v>
      </c>
      <c r="I119" s="138" t="s">
        <v>4021</v>
      </c>
      <c r="J119" s="138" t="n">
        <v>15.217</v>
      </c>
      <c r="K119" s="138"/>
      <c r="L119" s="138"/>
      <c r="M119" s="138" t="s">
        <v>4035</v>
      </c>
    </row>
    <row r="120" customFormat="false" ht="15" hidden="false" customHeight="false" outlineLevel="0" collapsed="false">
      <c r="A120" s="138" t="s">
        <v>1762</v>
      </c>
      <c r="B120" s="138" t="n">
        <v>118</v>
      </c>
      <c r="C120" s="146" t="n">
        <v>818.737</v>
      </c>
      <c r="D120" s="146" t="n">
        <v>819.464</v>
      </c>
      <c r="E120" s="146" t="n">
        <f aca="false">D120-C120</f>
        <v>0.727000000000089</v>
      </c>
      <c r="F120" s="138" t="str">
        <f aca="false">IF(E120&gt;=0,"Aterro","Corte")</f>
        <v>Aterro</v>
      </c>
      <c r="G120" s="138" t="n">
        <v>3.859</v>
      </c>
      <c r="H120" s="138" t="s">
        <v>1767</v>
      </c>
      <c r="I120" s="138" t="s">
        <v>4024</v>
      </c>
      <c r="J120" s="138" t="n">
        <v>24.662</v>
      </c>
      <c r="K120" s="138"/>
      <c r="L120" s="138"/>
      <c r="M120" s="138" t="s">
        <v>4035</v>
      </c>
    </row>
    <row r="121" customFormat="false" ht="15" hidden="false" customHeight="false" outlineLevel="0" collapsed="false">
      <c r="A121" s="138" t="s">
        <v>1763</v>
      </c>
      <c r="B121" s="138" t="n">
        <v>119</v>
      </c>
      <c r="C121" s="146" t="n">
        <v>820.005</v>
      </c>
      <c r="D121" s="146" t="n">
        <v>820.053</v>
      </c>
      <c r="E121" s="146" t="n">
        <f aca="false">D121-C121</f>
        <v>0.0480000000000018</v>
      </c>
      <c r="F121" s="138" t="str">
        <f aca="false">IF(E121&gt;=0,"Aterro","Corte")</f>
        <v>Aterro</v>
      </c>
      <c r="G121" s="138" t="n">
        <v>3.859</v>
      </c>
      <c r="H121" s="138" t="s">
        <v>1767</v>
      </c>
      <c r="I121" s="138" t="s">
        <v>4024</v>
      </c>
      <c r="J121" s="138" t="n">
        <v>24.662</v>
      </c>
      <c r="K121" s="138"/>
      <c r="L121" s="138"/>
      <c r="M121" s="138" t="s">
        <v>4035</v>
      </c>
    </row>
    <row r="122" customFormat="false" ht="15" hidden="false" customHeight="false" outlineLevel="0" collapsed="false">
      <c r="A122" s="138" t="s">
        <v>1765</v>
      </c>
      <c r="B122" s="138" t="n">
        <v>120</v>
      </c>
      <c r="C122" s="146" t="n">
        <v>821.004</v>
      </c>
      <c r="D122" s="146" t="n">
        <v>820.48</v>
      </c>
      <c r="E122" s="146" t="n">
        <f aca="false">D122-C122</f>
        <v>-0.524000000000001</v>
      </c>
      <c r="F122" s="138" t="str">
        <f aca="false">IF(E122&gt;=0,"Aterro","Corte")</f>
        <v>Corte</v>
      </c>
      <c r="G122" s="138" t="n">
        <v>3.859</v>
      </c>
      <c r="H122" s="138" t="s">
        <v>1767</v>
      </c>
      <c r="I122" s="138" t="s">
        <v>4024</v>
      </c>
      <c r="J122" s="138" t="n">
        <v>24.662</v>
      </c>
      <c r="K122" s="138"/>
      <c r="L122" s="138"/>
      <c r="M122" s="138" t="s">
        <v>4035</v>
      </c>
    </row>
    <row r="123" customFormat="false" ht="15" hidden="false" customHeight="false" outlineLevel="0" collapsed="false">
      <c r="A123" s="138" t="s">
        <v>1767</v>
      </c>
      <c r="B123" s="138" t="n">
        <v>121</v>
      </c>
      <c r="C123" s="146" t="n">
        <v>821.281</v>
      </c>
      <c r="D123" s="146" t="n">
        <v>820.745</v>
      </c>
      <c r="E123" s="146" t="n">
        <f aca="false">D123-C123</f>
        <v>-0.535999999999945</v>
      </c>
      <c r="F123" s="138" t="str">
        <f aca="false">IF(E123&gt;=0,"Aterro","Corte")</f>
        <v>Corte</v>
      </c>
      <c r="G123" s="138" t="n">
        <v>3.859</v>
      </c>
      <c r="H123" s="138" t="s">
        <v>1767</v>
      </c>
      <c r="I123" s="138" t="s">
        <v>4024</v>
      </c>
      <c r="J123" s="138" t="n">
        <v>24.662</v>
      </c>
      <c r="K123" s="138"/>
      <c r="L123" s="138"/>
      <c r="M123" s="138" t="s">
        <v>4035</v>
      </c>
    </row>
    <row r="124" customFormat="false" ht="15" hidden="false" customHeight="false" outlineLevel="0" collapsed="false">
      <c r="A124" s="138" t="s">
        <v>1768</v>
      </c>
      <c r="B124" s="138" t="n">
        <v>122</v>
      </c>
      <c r="C124" s="146" t="n">
        <v>820.86</v>
      </c>
      <c r="D124" s="146" t="n">
        <v>820.848</v>
      </c>
      <c r="E124" s="146" t="n">
        <f aca="false">D124-C124</f>
        <v>-0.0120000000000573</v>
      </c>
      <c r="F124" s="138" t="str">
        <f aca="false">IF(E124&gt;=0,"Aterro","Corte")</f>
        <v>Corte</v>
      </c>
      <c r="G124" s="138" t="n">
        <v>-2.021</v>
      </c>
      <c r="H124" s="138" t="s">
        <v>1767</v>
      </c>
      <c r="I124" s="138" t="s">
        <v>4024</v>
      </c>
      <c r="J124" s="138" t="n">
        <v>24.662</v>
      </c>
      <c r="K124" s="138"/>
      <c r="L124" s="138"/>
      <c r="M124" s="138" t="s">
        <v>4035</v>
      </c>
    </row>
    <row r="125" customFormat="false" ht="15" hidden="false" customHeight="false" outlineLevel="0" collapsed="false">
      <c r="A125" s="138" t="s">
        <v>1770</v>
      </c>
      <c r="B125" s="138" t="n">
        <v>123</v>
      </c>
      <c r="C125" s="146" t="n">
        <v>820.117</v>
      </c>
      <c r="D125" s="146" t="n">
        <v>820.788</v>
      </c>
      <c r="E125" s="146" t="n">
        <f aca="false">D125-C125</f>
        <v>0.671000000000049</v>
      </c>
      <c r="F125" s="138" t="str">
        <f aca="false">IF(E125&gt;=0,"Aterro","Corte")</f>
        <v>Aterro</v>
      </c>
      <c r="G125" s="138" t="n">
        <v>-2.021</v>
      </c>
      <c r="H125" s="138" t="s">
        <v>1767</v>
      </c>
      <c r="I125" s="138" t="s">
        <v>4024</v>
      </c>
      <c r="J125" s="138" t="n">
        <v>24.662</v>
      </c>
      <c r="K125" s="138"/>
      <c r="L125" s="138"/>
      <c r="M125" s="138" t="s">
        <v>4035</v>
      </c>
    </row>
    <row r="126" customFormat="false" ht="15" hidden="false" customHeight="false" outlineLevel="0" collapsed="false">
      <c r="A126" s="138" t="s">
        <v>1772</v>
      </c>
      <c r="B126" s="138" t="n">
        <v>124</v>
      </c>
      <c r="C126" s="146" t="n">
        <v>819.211</v>
      </c>
      <c r="D126" s="146" t="n">
        <v>820.567</v>
      </c>
      <c r="E126" s="146" t="n">
        <f aca="false">D126-C126</f>
        <v>1.35599999999999</v>
      </c>
      <c r="F126" s="138" t="str">
        <f aca="false">IF(E126&gt;=0,"Aterro","Corte")</f>
        <v>Aterro</v>
      </c>
      <c r="G126" s="138" t="n">
        <v>-2.021</v>
      </c>
      <c r="H126" s="138" t="s">
        <v>1767</v>
      </c>
      <c r="I126" s="138" t="s">
        <v>4024</v>
      </c>
      <c r="J126" s="138" t="n">
        <v>24.662</v>
      </c>
      <c r="K126" s="138"/>
      <c r="L126" s="138"/>
      <c r="M126" s="138" t="s">
        <v>4035</v>
      </c>
    </row>
    <row r="127" customFormat="false" ht="15" hidden="false" customHeight="false" outlineLevel="0" collapsed="false">
      <c r="A127" s="138" t="s">
        <v>1774</v>
      </c>
      <c r="B127" s="138" t="n">
        <v>125</v>
      </c>
      <c r="C127" s="146" t="n">
        <v>818.514</v>
      </c>
      <c r="D127" s="146" t="n">
        <v>820.194</v>
      </c>
      <c r="E127" s="146" t="n">
        <f aca="false">D127-C127</f>
        <v>1.67999999999995</v>
      </c>
      <c r="F127" s="138" t="str">
        <f aca="false">IF(E127&gt;=0,"Aterro","Corte")</f>
        <v>Aterro</v>
      </c>
      <c r="G127" s="138" t="n">
        <v>-2.021</v>
      </c>
      <c r="H127" s="138"/>
      <c r="I127" s="138"/>
      <c r="J127" s="138"/>
      <c r="K127" s="138"/>
      <c r="L127" s="138"/>
      <c r="M127" s="138" t="s">
        <v>4035</v>
      </c>
    </row>
    <row r="128" customFormat="false" ht="15" hidden="false" customHeight="false" outlineLevel="0" collapsed="false">
      <c r="A128" s="138" t="s">
        <v>1775</v>
      </c>
      <c r="B128" s="138" t="n">
        <v>126</v>
      </c>
      <c r="C128" s="146" t="n">
        <v>818.134</v>
      </c>
      <c r="D128" s="146" t="n">
        <v>819.79</v>
      </c>
      <c r="E128" s="146" t="n">
        <f aca="false">D128-C128</f>
        <v>1.65599999999995</v>
      </c>
      <c r="F128" s="138" t="str">
        <f aca="false">IF(E128&gt;=0,"Aterro","Corte")</f>
        <v>Aterro</v>
      </c>
      <c r="G128" s="138" t="n">
        <v>-2.021</v>
      </c>
      <c r="H128" s="138"/>
      <c r="I128" s="138"/>
      <c r="J128" s="138"/>
      <c r="K128" s="138"/>
      <c r="L128" s="138"/>
      <c r="M128" s="138" t="s">
        <v>4035</v>
      </c>
    </row>
    <row r="129" customFormat="false" ht="15" hidden="false" customHeight="false" outlineLevel="0" collapsed="false">
      <c r="A129" s="138" t="s">
        <v>1776</v>
      </c>
      <c r="B129" s="138" t="n">
        <v>127</v>
      </c>
      <c r="C129" s="146" t="n">
        <v>817.888</v>
      </c>
      <c r="D129" s="146" t="n">
        <v>819.386</v>
      </c>
      <c r="E129" s="146" t="n">
        <f aca="false">D129-C129</f>
        <v>1.49799999999993</v>
      </c>
      <c r="F129" s="138" t="str">
        <f aca="false">IF(E129&gt;=0,"Aterro","Corte")</f>
        <v>Aterro</v>
      </c>
      <c r="G129" s="138" t="n">
        <v>-2.021</v>
      </c>
      <c r="H129" s="138"/>
      <c r="I129" s="138"/>
      <c r="J129" s="138"/>
      <c r="K129" s="138"/>
      <c r="L129" s="138"/>
      <c r="M129" s="138" t="s">
        <v>4035</v>
      </c>
    </row>
    <row r="130" customFormat="false" ht="15" hidden="false" customHeight="false" outlineLevel="0" collapsed="false">
      <c r="A130" s="138" t="s">
        <v>1777</v>
      </c>
      <c r="B130" s="138" t="n">
        <v>128</v>
      </c>
      <c r="C130" s="146" t="n">
        <v>817.873</v>
      </c>
      <c r="D130" s="146" t="n">
        <v>818.982</v>
      </c>
      <c r="E130" s="146" t="n">
        <f aca="false">D130-C130</f>
        <v>1.10899999999992</v>
      </c>
      <c r="F130" s="138" t="str">
        <f aca="false">IF(E130&gt;=0,"Aterro","Corte")</f>
        <v>Aterro</v>
      </c>
      <c r="G130" s="138" t="n">
        <v>-2.021</v>
      </c>
      <c r="H130" s="138"/>
      <c r="I130" s="138"/>
      <c r="J130" s="138"/>
      <c r="K130" s="138"/>
      <c r="L130" s="138"/>
      <c r="M130" s="138" t="s">
        <v>4035</v>
      </c>
    </row>
    <row r="131" customFormat="false" ht="15" hidden="false" customHeight="false" outlineLevel="0" collapsed="false">
      <c r="A131" s="138" t="s">
        <v>1778</v>
      </c>
      <c r="B131" s="138" t="n">
        <v>129</v>
      </c>
      <c r="C131" s="146" t="n">
        <v>818.115</v>
      </c>
      <c r="D131" s="146" t="n">
        <v>818.578</v>
      </c>
      <c r="E131" s="146" t="n">
        <f aca="false">D131-C131</f>
        <v>0.462999999999965</v>
      </c>
      <c r="F131" s="138" t="str">
        <f aca="false">IF(E131&gt;=0,"Aterro","Corte")</f>
        <v>Aterro</v>
      </c>
      <c r="G131" s="138" t="n">
        <v>-2.021</v>
      </c>
      <c r="H131" s="138"/>
      <c r="I131" s="138"/>
      <c r="J131" s="138"/>
      <c r="K131" s="138"/>
      <c r="L131" s="138"/>
      <c r="M131" s="138" t="s">
        <v>4035</v>
      </c>
    </row>
    <row r="132" customFormat="false" ht="15" hidden="false" customHeight="false" outlineLevel="0" collapsed="false">
      <c r="A132" s="138" t="s">
        <v>1779</v>
      </c>
      <c r="B132" s="138" t="n">
        <v>130</v>
      </c>
      <c r="C132" s="146" t="n">
        <v>818.595</v>
      </c>
      <c r="D132" s="146" t="n">
        <v>818.173</v>
      </c>
      <c r="E132" s="146" t="n">
        <f aca="false">D132-C132</f>
        <v>-0.422000000000025</v>
      </c>
      <c r="F132" s="138" t="str">
        <f aca="false">IF(E132&gt;=0,"Aterro","Corte")</f>
        <v>Corte</v>
      </c>
      <c r="G132" s="138" t="n">
        <v>-2.021</v>
      </c>
      <c r="H132" s="138"/>
      <c r="I132" s="138"/>
      <c r="J132" s="138"/>
      <c r="K132" s="138"/>
      <c r="L132" s="138"/>
      <c r="M132" s="138" t="s">
        <v>4035</v>
      </c>
    </row>
    <row r="133" customFormat="false" ht="15" hidden="false" customHeight="false" outlineLevel="0" collapsed="false">
      <c r="A133" s="138" t="s">
        <v>1780</v>
      </c>
      <c r="B133" s="138" t="n">
        <v>131</v>
      </c>
      <c r="C133" s="146" t="n">
        <v>818.924</v>
      </c>
      <c r="D133" s="146" t="n">
        <v>817.769</v>
      </c>
      <c r="E133" s="146" t="n">
        <f aca="false">D133-C133</f>
        <v>-1.15499999999997</v>
      </c>
      <c r="F133" s="138" t="str">
        <f aca="false">IF(E133&gt;=0,"Aterro","Corte")</f>
        <v>Corte</v>
      </c>
      <c r="G133" s="138" t="n">
        <v>-2.021</v>
      </c>
      <c r="H133" s="138"/>
      <c r="I133" s="138"/>
      <c r="J133" s="138"/>
      <c r="K133" s="138"/>
      <c r="L133" s="138"/>
      <c r="M133" s="138" t="s">
        <v>4035</v>
      </c>
    </row>
    <row r="134" customFormat="false" ht="15" hidden="false" customHeight="false" outlineLevel="0" collapsed="false">
      <c r="A134" s="138" t="s">
        <v>1781</v>
      </c>
      <c r="B134" s="138" t="n">
        <v>132</v>
      </c>
      <c r="C134" s="146" t="n">
        <v>818.791</v>
      </c>
      <c r="D134" s="146" t="n">
        <v>817.365</v>
      </c>
      <c r="E134" s="146" t="n">
        <f aca="false">D134-C134</f>
        <v>-1.42600000000004</v>
      </c>
      <c r="F134" s="138" t="str">
        <f aca="false">IF(E134&gt;=0,"Aterro","Corte")</f>
        <v>Corte</v>
      </c>
      <c r="G134" s="138" t="n">
        <v>-2.021</v>
      </c>
      <c r="H134" s="138"/>
      <c r="I134" s="138"/>
      <c r="J134" s="138"/>
      <c r="K134" s="138"/>
      <c r="L134" s="138"/>
      <c r="M134" s="138" t="s">
        <v>4035</v>
      </c>
    </row>
    <row r="135" customFormat="false" ht="15" hidden="false" customHeight="false" outlineLevel="0" collapsed="false">
      <c r="A135" s="138" t="s">
        <v>1782</v>
      </c>
      <c r="B135" s="138" t="n">
        <v>133</v>
      </c>
      <c r="C135" s="146" t="n">
        <v>818.166</v>
      </c>
      <c r="D135" s="146" t="n">
        <v>816.961</v>
      </c>
      <c r="E135" s="146" t="n">
        <f aca="false">D135-C135</f>
        <v>-1.20500000000004</v>
      </c>
      <c r="F135" s="138" t="str">
        <f aca="false">IF(E135&gt;=0,"Aterro","Corte")</f>
        <v>Corte</v>
      </c>
      <c r="G135" s="138" t="n">
        <v>-2.021</v>
      </c>
      <c r="H135" s="138"/>
      <c r="I135" s="138"/>
      <c r="J135" s="138"/>
      <c r="K135" s="138"/>
      <c r="L135" s="138"/>
      <c r="M135" s="138" t="s">
        <v>4035</v>
      </c>
    </row>
    <row r="136" customFormat="false" ht="15" hidden="false" customHeight="false" outlineLevel="0" collapsed="false">
      <c r="A136" s="138" t="s">
        <v>1783</v>
      </c>
      <c r="B136" s="138" t="n">
        <v>134</v>
      </c>
      <c r="C136" s="146" t="n">
        <v>817.155</v>
      </c>
      <c r="D136" s="146" t="n">
        <v>816.557</v>
      </c>
      <c r="E136" s="146" t="n">
        <f aca="false">D136-C136</f>
        <v>-0.597999999999956</v>
      </c>
      <c r="F136" s="138" t="str">
        <f aca="false">IF(E136&gt;=0,"Aterro","Corte")</f>
        <v>Corte</v>
      </c>
      <c r="G136" s="138" t="n">
        <v>-2.021</v>
      </c>
      <c r="H136" s="138"/>
      <c r="I136" s="138"/>
      <c r="J136" s="138"/>
      <c r="K136" s="138"/>
      <c r="L136" s="138"/>
      <c r="M136" s="138" t="s">
        <v>4035</v>
      </c>
    </row>
    <row r="137" customFormat="false" ht="15" hidden="false" customHeight="false" outlineLevel="0" collapsed="false">
      <c r="A137" s="138" t="s">
        <v>1784</v>
      </c>
      <c r="B137" s="138" t="n">
        <v>135</v>
      </c>
      <c r="C137" s="146" t="n">
        <v>815.967</v>
      </c>
      <c r="D137" s="146" t="n">
        <v>816.153</v>
      </c>
      <c r="E137" s="146" t="n">
        <f aca="false">D137-C137</f>
        <v>0.186000000000035</v>
      </c>
      <c r="F137" s="138" t="str">
        <f aca="false">IF(E137&gt;=0,"Aterro","Corte")</f>
        <v>Aterro</v>
      </c>
      <c r="G137" s="138" t="n">
        <v>-2.021</v>
      </c>
      <c r="H137" s="138"/>
      <c r="I137" s="138"/>
      <c r="J137" s="138"/>
      <c r="K137" s="138"/>
      <c r="L137" s="138"/>
      <c r="M137" s="138" t="s">
        <v>4035</v>
      </c>
    </row>
    <row r="138" customFormat="false" ht="15" hidden="false" customHeight="false" outlineLevel="0" collapsed="false">
      <c r="A138" s="138" t="s">
        <v>1785</v>
      </c>
      <c r="B138" s="138" t="n">
        <v>136</v>
      </c>
      <c r="C138" s="146" t="n">
        <v>814.769</v>
      </c>
      <c r="D138" s="146" t="n">
        <v>815.748</v>
      </c>
      <c r="E138" s="146" t="n">
        <f aca="false">D138-C138</f>
        <v>0.979000000000042</v>
      </c>
      <c r="F138" s="138" t="str">
        <f aca="false">IF(E138&gt;=0,"Aterro","Corte")</f>
        <v>Aterro</v>
      </c>
      <c r="G138" s="138" t="n">
        <v>-2.021</v>
      </c>
      <c r="H138" s="138"/>
      <c r="I138" s="138"/>
      <c r="J138" s="138"/>
      <c r="K138" s="138"/>
      <c r="L138" s="138"/>
      <c r="M138" s="138" t="s">
        <v>4035</v>
      </c>
    </row>
    <row r="139" customFormat="false" ht="15" hidden="false" customHeight="false" outlineLevel="0" collapsed="false">
      <c r="A139" s="138" t="s">
        <v>1786</v>
      </c>
      <c r="B139" s="138" t="n">
        <v>137</v>
      </c>
      <c r="C139" s="146" t="n">
        <v>813.813</v>
      </c>
      <c r="D139" s="146" t="n">
        <v>815.344</v>
      </c>
      <c r="E139" s="146" t="n">
        <f aca="false">D139-C139</f>
        <v>1.53100000000006</v>
      </c>
      <c r="F139" s="138" t="str">
        <f aca="false">IF(E139&gt;=0,"Aterro","Corte")</f>
        <v>Aterro</v>
      </c>
      <c r="G139" s="138" t="n">
        <v>-2.021</v>
      </c>
      <c r="H139" s="138"/>
      <c r="I139" s="138"/>
      <c r="J139" s="138"/>
      <c r="K139" s="138"/>
      <c r="L139" s="138"/>
      <c r="M139" s="138" t="s">
        <v>4035</v>
      </c>
    </row>
    <row r="140" customFormat="false" ht="15" hidden="false" customHeight="false" outlineLevel="0" collapsed="false">
      <c r="A140" s="138" t="s">
        <v>1787</v>
      </c>
      <c r="B140" s="138" t="n">
        <v>138</v>
      </c>
      <c r="C140" s="146" t="n">
        <v>813.218</v>
      </c>
      <c r="D140" s="146" t="n">
        <v>814.94</v>
      </c>
      <c r="E140" s="146" t="n">
        <f aca="false">D140-C140</f>
        <v>1.72200000000009</v>
      </c>
      <c r="F140" s="138" t="str">
        <f aca="false">IF(E140&gt;=0,"Aterro","Corte")</f>
        <v>Aterro</v>
      </c>
      <c r="G140" s="138" t="n">
        <v>-2.021</v>
      </c>
      <c r="H140" s="138"/>
      <c r="I140" s="138"/>
      <c r="J140" s="138"/>
      <c r="K140" s="138"/>
      <c r="L140" s="138"/>
      <c r="M140" s="138" t="s">
        <v>4035</v>
      </c>
    </row>
    <row r="141" customFormat="false" ht="15" hidden="false" customHeight="false" outlineLevel="0" collapsed="false">
      <c r="A141" s="138" t="s">
        <v>1788</v>
      </c>
      <c r="B141" s="138" t="n">
        <v>139</v>
      </c>
      <c r="C141" s="146" t="n">
        <v>812.959</v>
      </c>
      <c r="D141" s="146" t="n">
        <v>814.536</v>
      </c>
      <c r="E141" s="146" t="n">
        <f aca="false">D141-C141</f>
        <v>1.577</v>
      </c>
      <c r="F141" s="138" t="str">
        <f aca="false">IF(E141&gt;=0,"Aterro","Corte")</f>
        <v>Aterro</v>
      </c>
      <c r="G141" s="138" t="n">
        <v>-2.021</v>
      </c>
      <c r="H141" s="138"/>
      <c r="I141" s="138"/>
      <c r="J141" s="138"/>
      <c r="K141" s="138"/>
      <c r="L141" s="138"/>
      <c r="M141" s="138" t="s">
        <v>4035</v>
      </c>
    </row>
    <row r="142" customFormat="false" ht="15" hidden="false" customHeight="false" outlineLevel="0" collapsed="false">
      <c r="A142" s="138" t="s">
        <v>1789</v>
      </c>
      <c r="B142" s="138" t="n">
        <v>140</v>
      </c>
      <c r="C142" s="146" t="n">
        <v>813.001</v>
      </c>
      <c r="D142" s="146" t="n">
        <v>814.132</v>
      </c>
      <c r="E142" s="146" t="n">
        <f aca="false">D142-C142</f>
        <v>1.13099999999997</v>
      </c>
      <c r="F142" s="138" t="str">
        <f aca="false">IF(E142&gt;=0,"Aterro","Corte")</f>
        <v>Aterro</v>
      </c>
      <c r="G142" s="138" t="n">
        <v>-2.021</v>
      </c>
      <c r="H142" s="138"/>
      <c r="I142" s="138"/>
      <c r="J142" s="138"/>
      <c r="K142" s="138"/>
      <c r="L142" s="138"/>
      <c r="M142" s="138" t="s">
        <v>4035</v>
      </c>
    </row>
    <row r="143" customFormat="false" ht="15" hidden="false" customHeight="false" outlineLevel="0" collapsed="false">
      <c r="A143" s="138" t="s">
        <v>1790</v>
      </c>
      <c r="B143" s="138" t="n">
        <v>141</v>
      </c>
      <c r="C143" s="146" t="n">
        <v>813.228</v>
      </c>
      <c r="D143" s="146" t="n">
        <v>813.728</v>
      </c>
      <c r="E143" s="146" t="n">
        <f aca="false">D143-C143</f>
        <v>0.5</v>
      </c>
      <c r="F143" s="138" t="str">
        <f aca="false">IF(E143&gt;=0,"Aterro","Corte")</f>
        <v>Aterro</v>
      </c>
      <c r="G143" s="138" t="n">
        <v>-2.021</v>
      </c>
      <c r="H143" s="138"/>
      <c r="I143" s="138"/>
      <c r="J143" s="138"/>
      <c r="K143" s="138"/>
      <c r="L143" s="138"/>
      <c r="M143" s="138" t="s">
        <v>4035</v>
      </c>
    </row>
    <row r="144" customFormat="false" ht="15" hidden="false" customHeight="false" outlineLevel="0" collapsed="false">
      <c r="A144" s="138" t="s">
        <v>1791</v>
      </c>
      <c r="B144" s="138" t="n">
        <v>142</v>
      </c>
      <c r="C144" s="146" t="n">
        <v>813.41</v>
      </c>
      <c r="D144" s="146" t="n">
        <v>813.324</v>
      </c>
      <c r="E144" s="146" t="n">
        <f aca="false">D144-C144</f>
        <v>-0.0860000000000127</v>
      </c>
      <c r="F144" s="138" t="str">
        <f aca="false">IF(E144&gt;=0,"Aterro","Corte")</f>
        <v>Corte</v>
      </c>
      <c r="G144" s="138" t="n">
        <v>-2.021</v>
      </c>
      <c r="H144" s="138"/>
      <c r="I144" s="138"/>
      <c r="J144" s="138"/>
      <c r="K144" s="138"/>
      <c r="L144" s="138"/>
      <c r="M144" s="138" t="s">
        <v>4035</v>
      </c>
    </row>
    <row r="145" customFormat="false" ht="15" hidden="false" customHeight="false" outlineLevel="0" collapsed="false">
      <c r="A145" s="138" t="s">
        <v>1792</v>
      </c>
      <c r="B145" s="138" t="n">
        <v>143</v>
      </c>
      <c r="C145" s="146" t="n">
        <v>813.423</v>
      </c>
      <c r="D145" s="146" t="n">
        <v>812.919</v>
      </c>
      <c r="E145" s="146" t="n">
        <f aca="false">D145-C145</f>
        <v>-0.504000000000019</v>
      </c>
      <c r="F145" s="138" t="str">
        <f aca="false">IF(E145&gt;=0,"Aterro","Corte")</f>
        <v>Corte</v>
      </c>
      <c r="G145" s="138" t="n">
        <v>-2.021</v>
      </c>
      <c r="H145" s="138"/>
      <c r="I145" s="138"/>
      <c r="J145" s="138"/>
      <c r="K145" s="138"/>
      <c r="L145" s="138"/>
      <c r="M145" s="138" t="s">
        <v>4035</v>
      </c>
    </row>
    <row r="146" customFormat="false" ht="15" hidden="false" customHeight="false" outlineLevel="0" collapsed="false">
      <c r="A146" s="138" t="s">
        <v>1793</v>
      </c>
      <c r="B146" s="138" t="n">
        <v>144</v>
      </c>
      <c r="C146" s="146" t="n">
        <v>813.241</v>
      </c>
      <c r="D146" s="146" t="n">
        <v>812.515</v>
      </c>
      <c r="E146" s="146" t="n">
        <f aca="false">D146-C146</f>
        <v>-0.725999999999999</v>
      </c>
      <c r="F146" s="138" t="str">
        <f aca="false">IF(E146&gt;=0,"Aterro","Corte")</f>
        <v>Corte</v>
      </c>
      <c r="G146" s="138" t="n">
        <v>-2.021</v>
      </c>
      <c r="H146" s="138"/>
      <c r="I146" s="138"/>
      <c r="J146" s="138"/>
      <c r="K146" s="138"/>
      <c r="L146" s="138"/>
      <c r="M146" s="138" t="s">
        <v>4035</v>
      </c>
    </row>
    <row r="147" customFormat="false" ht="15" hidden="false" customHeight="false" outlineLevel="0" collapsed="false">
      <c r="A147" s="138" t="s">
        <v>1794</v>
      </c>
      <c r="B147" s="138" t="n">
        <v>145</v>
      </c>
      <c r="C147" s="146" t="n">
        <v>812.817</v>
      </c>
      <c r="D147" s="146" t="n">
        <v>812.111</v>
      </c>
      <c r="E147" s="146" t="n">
        <f aca="false">D147-C147</f>
        <v>-0.706000000000017</v>
      </c>
      <c r="F147" s="138" t="str">
        <f aca="false">IF(E147&gt;=0,"Aterro","Corte")</f>
        <v>Corte</v>
      </c>
      <c r="G147" s="138" t="n">
        <v>-2.021</v>
      </c>
      <c r="H147" s="138"/>
      <c r="I147" s="138"/>
      <c r="J147" s="138"/>
      <c r="K147" s="138"/>
      <c r="L147" s="138"/>
      <c r="M147" s="138" t="s">
        <v>4037</v>
      </c>
    </row>
    <row r="148" customFormat="false" ht="15" hidden="false" customHeight="false" outlineLevel="0" collapsed="false">
      <c r="A148" s="138" t="s">
        <v>1795</v>
      </c>
      <c r="B148" s="138" t="n">
        <v>146</v>
      </c>
      <c r="C148" s="146" t="n">
        <v>812.157</v>
      </c>
      <c r="D148" s="146" t="n">
        <v>811.634</v>
      </c>
      <c r="E148" s="146" t="n">
        <f aca="false">D148-C148</f>
        <v>-0.523000000000025</v>
      </c>
      <c r="F148" s="138" t="str">
        <f aca="false">IF(E148&gt;=0,"Aterro","Corte")</f>
        <v>Corte</v>
      </c>
      <c r="G148" s="138" t="n">
        <v>-2.021</v>
      </c>
      <c r="H148" s="138" t="s">
        <v>4038</v>
      </c>
      <c r="I148" s="138" t="s">
        <v>4024</v>
      </c>
      <c r="J148" s="138" t="n">
        <v>25.069</v>
      </c>
      <c r="K148" s="138"/>
      <c r="L148" s="138"/>
      <c r="M148" s="138" t="s">
        <v>4037</v>
      </c>
    </row>
    <row r="149" customFormat="false" ht="15" hidden="false" customHeight="false" outlineLevel="0" collapsed="false">
      <c r="A149" s="138" t="s">
        <v>1796</v>
      </c>
      <c r="B149" s="138" t="n">
        <v>147</v>
      </c>
      <c r="C149" s="146" t="n">
        <v>811.314</v>
      </c>
      <c r="D149" s="146" t="n">
        <v>810.997</v>
      </c>
      <c r="E149" s="146" t="n">
        <f aca="false">D149-C149</f>
        <v>-0.317000000000007</v>
      </c>
      <c r="F149" s="138" t="str">
        <f aca="false">IF(E149&gt;=0,"Aterro","Corte")</f>
        <v>Corte</v>
      </c>
      <c r="G149" s="138" t="n">
        <v>-2.021</v>
      </c>
      <c r="H149" s="138" t="s">
        <v>4038</v>
      </c>
      <c r="I149" s="138" t="s">
        <v>4024</v>
      </c>
      <c r="J149" s="138" t="n">
        <v>25.069</v>
      </c>
      <c r="K149" s="138"/>
      <c r="L149" s="138"/>
      <c r="M149" s="138" t="s">
        <v>4037</v>
      </c>
    </row>
    <row r="150" customFormat="false" ht="15" hidden="false" customHeight="false" outlineLevel="0" collapsed="false">
      <c r="A150" s="138" t="s">
        <v>1797</v>
      </c>
      <c r="B150" s="138" t="n">
        <v>148</v>
      </c>
      <c r="C150" s="146" t="n">
        <v>810.403</v>
      </c>
      <c r="D150" s="146" t="n">
        <v>810.2</v>
      </c>
      <c r="E150" s="146" t="n">
        <f aca="false">D150-C150</f>
        <v>-0.202999999999975</v>
      </c>
      <c r="F150" s="138" t="str">
        <f aca="false">IF(E150&gt;=0,"Aterro","Corte")</f>
        <v>Corte</v>
      </c>
      <c r="G150" s="138" t="n">
        <v>-5.212</v>
      </c>
      <c r="H150" s="138" t="s">
        <v>4038</v>
      </c>
      <c r="I150" s="138" t="s">
        <v>4024</v>
      </c>
      <c r="J150" s="138" t="n">
        <v>25.069</v>
      </c>
      <c r="K150" s="138"/>
      <c r="L150" s="138"/>
      <c r="M150" s="138" t="s">
        <v>4037</v>
      </c>
    </row>
    <row r="151" customFormat="false" ht="15" hidden="false" customHeight="false" outlineLevel="0" collapsed="false">
      <c r="A151" s="138" t="s">
        <v>1798</v>
      </c>
      <c r="B151" s="138" t="n">
        <v>149</v>
      </c>
      <c r="C151" s="146" t="n">
        <v>809.433</v>
      </c>
      <c r="D151" s="146" t="n">
        <v>809.244</v>
      </c>
      <c r="E151" s="146" t="n">
        <f aca="false">D151-C151</f>
        <v>-0.188999999999965</v>
      </c>
      <c r="F151" s="138" t="str">
        <f aca="false">IF(E151&gt;=0,"Aterro","Corte")</f>
        <v>Corte</v>
      </c>
      <c r="G151" s="138" t="n">
        <v>-5.212</v>
      </c>
      <c r="H151" s="138" t="s">
        <v>4038</v>
      </c>
      <c r="I151" s="138" t="s">
        <v>4024</v>
      </c>
      <c r="J151" s="138" t="n">
        <v>25.069</v>
      </c>
      <c r="K151" s="138"/>
      <c r="L151" s="138"/>
      <c r="M151" s="138" t="s">
        <v>4037</v>
      </c>
    </row>
    <row r="152" customFormat="false" ht="15" hidden="false" customHeight="false" outlineLevel="0" collapsed="false">
      <c r="A152" s="138" t="s">
        <v>1799</v>
      </c>
      <c r="B152" s="138" t="n">
        <v>150</v>
      </c>
      <c r="C152" s="146" t="n">
        <v>808.444</v>
      </c>
      <c r="D152" s="146" t="n">
        <v>808.202</v>
      </c>
      <c r="E152" s="146" t="n">
        <f aca="false">D152-C152</f>
        <v>-0.241999999999962</v>
      </c>
      <c r="F152" s="138" t="str">
        <f aca="false">IF(E152&gt;=0,"Aterro","Corte")</f>
        <v>Corte</v>
      </c>
      <c r="G152" s="138" t="n">
        <v>-5.212</v>
      </c>
      <c r="H152" s="138"/>
      <c r="I152" s="138"/>
      <c r="J152" s="138"/>
      <c r="K152" s="138"/>
      <c r="L152" s="138"/>
      <c r="M152" s="138" t="s">
        <v>4037</v>
      </c>
    </row>
    <row r="153" customFormat="false" ht="15" hidden="false" customHeight="false" outlineLevel="0" collapsed="false">
      <c r="A153" s="138" t="s">
        <v>1800</v>
      </c>
      <c r="B153" s="138" t="n">
        <v>151</v>
      </c>
      <c r="C153" s="146" t="n">
        <v>807.362</v>
      </c>
      <c r="D153" s="146" t="n">
        <v>807.159</v>
      </c>
      <c r="E153" s="146" t="n">
        <f aca="false">D153-C153</f>
        <v>-0.202999999999975</v>
      </c>
      <c r="F153" s="138" t="str">
        <f aca="false">IF(E153&gt;=0,"Aterro","Corte")</f>
        <v>Corte</v>
      </c>
      <c r="G153" s="138" t="n">
        <v>-5.212</v>
      </c>
      <c r="H153" s="138"/>
      <c r="I153" s="138"/>
      <c r="J153" s="138"/>
      <c r="K153" s="138"/>
      <c r="L153" s="138"/>
      <c r="M153" s="138" t="s">
        <v>4037</v>
      </c>
    </row>
    <row r="154" customFormat="false" ht="15" hidden="false" customHeight="false" outlineLevel="0" collapsed="false">
      <c r="A154" s="138" t="s">
        <v>1801</v>
      </c>
      <c r="B154" s="138" t="n">
        <v>152</v>
      </c>
      <c r="C154" s="146" t="n">
        <v>806.195</v>
      </c>
      <c r="D154" s="146" t="n">
        <v>806.117</v>
      </c>
      <c r="E154" s="146" t="n">
        <f aca="false">D154-C154</f>
        <v>-0.0780000000000882</v>
      </c>
      <c r="F154" s="138" t="str">
        <f aca="false">IF(E154&gt;=0,"Aterro","Corte")</f>
        <v>Corte</v>
      </c>
      <c r="G154" s="138" t="n">
        <v>-5.212</v>
      </c>
      <c r="H154" s="138"/>
      <c r="I154" s="138"/>
      <c r="J154" s="138"/>
      <c r="K154" s="138"/>
      <c r="L154" s="138"/>
      <c r="M154" s="138" t="s">
        <v>4037</v>
      </c>
    </row>
    <row r="155" customFormat="false" ht="15" hidden="false" customHeight="false" outlineLevel="0" collapsed="false">
      <c r="A155" s="138" t="s">
        <v>1802</v>
      </c>
      <c r="B155" s="138" t="n">
        <v>153</v>
      </c>
      <c r="C155" s="146" t="n">
        <v>805.105</v>
      </c>
      <c r="D155" s="146" t="n">
        <v>805.075</v>
      </c>
      <c r="E155" s="146" t="n">
        <f aca="false">D155-C155</f>
        <v>-0.0299999999999727</v>
      </c>
      <c r="F155" s="138" t="str">
        <f aca="false">IF(E155&gt;=0,"Aterro","Corte")</f>
        <v>Corte</v>
      </c>
      <c r="G155" s="138" t="n">
        <v>-5.212</v>
      </c>
      <c r="H155" s="138"/>
      <c r="I155" s="138"/>
      <c r="J155" s="138"/>
      <c r="K155" s="138"/>
      <c r="L155" s="138"/>
      <c r="M155" s="138" t="s">
        <v>4037</v>
      </c>
    </row>
    <row r="156" customFormat="false" ht="15" hidden="false" customHeight="false" outlineLevel="0" collapsed="false">
      <c r="A156" s="138" t="s">
        <v>1803</v>
      </c>
      <c r="B156" s="138" t="n">
        <v>154</v>
      </c>
      <c r="C156" s="146" t="n">
        <v>803.837</v>
      </c>
      <c r="D156" s="146" t="n">
        <v>804.033</v>
      </c>
      <c r="E156" s="146" t="n">
        <f aca="false">D156-C156</f>
        <v>0.196000000000026</v>
      </c>
      <c r="F156" s="138" t="str">
        <f aca="false">IF(E156&gt;=0,"Aterro","Corte")</f>
        <v>Aterro</v>
      </c>
      <c r="G156" s="138" t="n">
        <v>-5.212</v>
      </c>
      <c r="H156" s="138" t="s">
        <v>4039</v>
      </c>
      <c r="I156" s="138" t="s">
        <v>4021</v>
      </c>
      <c r="J156" s="138" t="n">
        <v>20.222</v>
      </c>
      <c r="K156" s="138"/>
      <c r="L156" s="138"/>
      <c r="M156" s="138" t="s">
        <v>4037</v>
      </c>
    </row>
    <row r="157" customFormat="false" ht="15" hidden="false" customHeight="false" outlineLevel="0" collapsed="false">
      <c r="A157" s="138" t="s">
        <v>1804</v>
      </c>
      <c r="B157" s="138" t="n">
        <v>155</v>
      </c>
      <c r="C157" s="146" t="n">
        <v>802.38</v>
      </c>
      <c r="D157" s="146" t="n">
        <v>803.11</v>
      </c>
      <c r="E157" s="146" t="n">
        <f aca="false">D157-C157</f>
        <v>0.730000000000018</v>
      </c>
      <c r="F157" s="138" t="str">
        <f aca="false">IF(E157&gt;=0,"Aterro","Corte")</f>
        <v>Aterro</v>
      </c>
      <c r="G157" s="138" t="n">
        <v>-5.212</v>
      </c>
      <c r="H157" s="138" t="s">
        <v>4039</v>
      </c>
      <c r="I157" s="138" t="s">
        <v>4021</v>
      </c>
      <c r="J157" s="138" t="n">
        <v>20.222</v>
      </c>
      <c r="K157" s="138"/>
      <c r="L157" s="138"/>
      <c r="M157" s="138" t="s">
        <v>4037</v>
      </c>
    </row>
    <row r="158" customFormat="false" ht="15" hidden="false" customHeight="false" outlineLevel="0" collapsed="false">
      <c r="A158" s="138" t="s">
        <v>1805</v>
      </c>
      <c r="B158" s="138" t="n">
        <v>156</v>
      </c>
      <c r="C158" s="146" t="n">
        <v>800.966</v>
      </c>
      <c r="D158" s="146" t="n">
        <v>802.385</v>
      </c>
      <c r="E158" s="146" t="n">
        <f aca="false">D158-C158</f>
        <v>1.41899999999998</v>
      </c>
      <c r="F158" s="138" t="str">
        <f aca="false">IF(E158&gt;=0,"Aterro","Corte")</f>
        <v>Aterro</v>
      </c>
      <c r="G158" s="138" t="n">
        <v>-5.212</v>
      </c>
      <c r="H158" s="138" t="s">
        <v>4039</v>
      </c>
      <c r="I158" s="138" t="s">
        <v>4021</v>
      </c>
      <c r="J158" s="138" t="n">
        <v>20.222</v>
      </c>
      <c r="K158" s="138"/>
      <c r="L158" s="138"/>
      <c r="M158" s="138" t="s">
        <v>4037</v>
      </c>
    </row>
    <row r="159" customFormat="false" ht="15" hidden="false" customHeight="false" outlineLevel="0" collapsed="false">
      <c r="A159" s="138" t="s">
        <v>1806</v>
      </c>
      <c r="B159" s="138" t="n">
        <v>157</v>
      </c>
      <c r="C159" s="146" t="n">
        <v>800.013</v>
      </c>
      <c r="D159" s="146" t="n">
        <v>801.858</v>
      </c>
      <c r="E159" s="146" t="n">
        <f aca="false">D159-C159</f>
        <v>1.84499999999991</v>
      </c>
      <c r="F159" s="138" t="str">
        <f aca="false">IF(E159&gt;=0,"Aterro","Corte")</f>
        <v>Aterro</v>
      </c>
      <c r="G159" s="138" t="n">
        <v>-5.212</v>
      </c>
      <c r="H159" s="138" t="s">
        <v>4039</v>
      </c>
      <c r="I159" s="138" t="s">
        <v>4021</v>
      </c>
      <c r="J159" s="138" t="n">
        <v>20.222</v>
      </c>
      <c r="K159" s="138"/>
      <c r="L159" s="138"/>
      <c r="M159" s="138" t="s">
        <v>4037</v>
      </c>
    </row>
    <row r="160" customFormat="false" ht="15" hidden="false" customHeight="false" outlineLevel="0" collapsed="false">
      <c r="A160" s="138" t="s">
        <v>1807</v>
      </c>
      <c r="B160" s="138" t="n">
        <v>158</v>
      </c>
      <c r="C160" s="146" t="n">
        <v>799.591</v>
      </c>
      <c r="D160" s="146" t="n">
        <v>801.528</v>
      </c>
      <c r="E160" s="146" t="n">
        <f aca="false">D160-C160</f>
        <v>1.93700000000001</v>
      </c>
      <c r="F160" s="138" t="str">
        <f aca="false">IF(E160&gt;=0,"Aterro","Corte")</f>
        <v>Aterro</v>
      </c>
      <c r="G160" s="138" t="n">
        <v>2.206</v>
      </c>
      <c r="H160" s="138" t="s">
        <v>4039</v>
      </c>
      <c r="I160" s="138" t="s">
        <v>4021</v>
      </c>
      <c r="J160" s="138" t="n">
        <v>20.222</v>
      </c>
      <c r="K160" s="138"/>
      <c r="L160" s="138"/>
      <c r="M160" s="138" t="s">
        <v>4037</v>
      </c>
    </row>
    <row r="161" customFormat="false" ht="15" hidden="false" customHeight="false" outlineLevel="0" collapsed="false">
      <c r="A161" s="138" t="s">
        <v>1808</v>
      </c>
      <c r="B161" s="138" t="n">
        <v>159</v>
      </c>
      <c r="C161" s="146" t="n">
        <v>799.323</v>
      </c>
      <c r="D161" s="146" t="n">
        <v>801.396</v>
      </c>
      <c r="E161" s="146" t="n">
        <f aca="false">D161-C161</f>
        <v>2.07299999999998</v>
      </c>
      <c r="F161" s="138" t="str">
        <f aca="false">IF(E161&gt;=0,"Aterro","Corte")</f>
        <v>Aterro</v>
      </c>
      <c r="G161" s="138" t="n">
        <v>2.206</v>
      </c>
      <c r="H161" s="138" t="s">
        <v>4039</v>
      </c>
      <c r="I161" s="138" t="s">
        <v>4021</v>
      </c>
      <c r="J161" s="138" t="n">
        <v>20.222</v>
      </c>
      <c r="K161" s="138" t="s">
        <v>4040</v>
      </c>
      <c r="L161" s="138" t="n">
        <v>2000</v>
      </c>
      <c r="M161" s="138" t="s">
        <v>4037</v>
      </c>
    </row>
    <row r="162" customFormat="false" ht="15" hidden="false" customHeight="false" outlineLevel="0" collapsed="false">
      <c r="A162" s="138" t="s">
        <v>1809</v>
      </c>
      <c r="B162" s="138" t="n">
        <v>160</v>
      </c>
      <c r="C162" s="146" t="n">
        <v>799.361</v>
      </c>
      <c r="D162" s="146" t="n">
        <v>801.462</v>
      </c>
      <c r="E162" s="146" t="n">
        <f aca="false">D162-C162</f>
        <v>2.101</v>
      </c>
      <c r="F162" s="138" t="str">
        <f aca="false">IF(E162&gt;=0,"Aterro","Corte")</f>
        <v>Aterro</v>
      </c>
      <c r="G162" s="138" t="n">
        <v>2.206</v>
      </c>
      <c r="H162" s="138" t="s">
        <v>4039</v>
      </c>
      <c r="I162" s="138" t="s">
        <v>4021</v>
      </c>
      <c r="J162" s="138" t="n">
        <v>20.222</v>
      </c>
      <c r="K162" s="138"/>
      <c r="L162" s="138"/>
      <c r="M162" s="138" t="s">
        <v>4037</v>
      </c>
    </row>
    <row r="163" customFormat="false" ht="15" hidden="false" customHeight="false" outlineLevel="0" collapsed="false">
      <c r="A163" s="138" t="s">
        <v>1810</v>
      </c>
      <c r="B163" s="138" t="n">
        <v>161</v>
      </c>
      <c r="C163" s="146" t="n">
        <v>799.742</v>
      </c>
      <c r="D163" s="146" t="n">
        <v>801.726</v>
      </c>
      <c r="E163" s="146" t="n">
        <f aca="false">D163-C163</f>
        <v>1.98400000000004</v>
      </c>
      <c r="F163" s="138" t="str">
        <f aca="false">IF(E163&gt;=0,"Aterro","Corte")</f>
        <v>Aterro</v>
      </c>
      <c r="G163" s="138" t="n">
        <v>2.206</v>
      </c>
      <c r="H163" s="138" t="s">
        <v>4039</v>
      </c>
      <c r="I163" s="138" t="s">
        <v>4021</v>
      </c>
      <c r="J163" s="138" t="n">
        <v>20.222</v>
      </c>
      <c r="K163" s="138"/>
      <c r="L163" s="138"/>
      <c r="M163" s="138" t="s">
        <v>4037</v>
      </c>
    </row>
    <row r="164" customFormat="false" ht="15" hidden="false" customHeight="false" outlineLevel="0" collapsed="false">
      <c r="A164" s="138" t="s">
        <v>1811</v>
      </c>
      <c r="B164" s="138" t="n">
        <v>162</v>
      </c>
      <c r="C164" s="146" t="n">
        <v>800.463</v>
      </c>
      <c r="D164" s="146" t="n">
        <v>802.152</v>
      </c>
      <c r="E164" s="146" t="n">
        <f aca="false">D164-C164</f>
        <v>1.68900000000008</v>
      </c>
      <c r="F164" s="138" t="str">
        <f aca="false">IF(E164&gt;=0,"Aterro","Corte")</f>
        <v>Aterro</v>
      </c>
      <c r="G164" s="138" t="n">
        <v>2.206</v>
      </c>
      <c r="H164" s="138"/>
      <c r="I164" s="138"/>
      <c r="J164" s="138"/>
      <c r="K164" s="138"/>
      <c r="L164" s="138"/>
      <c r="M164" s="138" t="s">
        <v>4037</v>
      </c>
    </row>
    <row r="165" customFormat="false" ht="15" hidden="false" customHeight="false" outlineLevel="0" collapsed="false">
      <c r="A165" s="138" t="s">
        <v>1812</v>
      </c>
      <c r="B165" s="138" t="n">
        <v>163</v>
      </c>
      <c r="C165" s="146" t="n">
        <v>801.577</v>
      </c>
      <c r="D165" s="146" t="n">
        <v>802.593</v>
      </c>
      <c r="E165" s="146" t="n">
        <f aca="false">D165-C165</f>
        <v>1.01599999999996</v>
      </c>
      <c r="F165" s="138" t="str">
        <f aca="false">IF(E165&gt;=0,"Aterro","Corte")</f>
        <v>Aterro</v>
      </c>
      <c r="G165" s="138" t="n">
        <v>2.206</v>
      </c>
      <c r="H165" s="138"/>
      <c r="I165" s="138"/>
      <c r="J165" s="138"/>
      <c r="K165" s="138"/>
      <c r="L165" s="138"/>
      <c r="M165" s="138" t="s">
        <v>4037</v>
      </c>
    </row>
    <row r="166" customFormat="false" ht="15" hidden="false" customHeight="false" outlineLevel="0" collapsed="false">
      <c r="A166" s="138" t="s">
        <v>1813</v>
      </c>
      <c r="B166" s="138" t="n">
        <v>164</v>
      </c>
      <c r="C166" s="146" t="n">
        <v>802.599</v>
      </c>
      <c r="D166" s="146" t="n">
        <v>803.034</v>
      </c>
      <c r="E166" s="146" t="n">
        <f aca="false">D166-C166</f>
        <v>0.434999999999945</v>
      </c>
      <c r="F166" s="138" t="str">
        <f aca="false">IF(E166&gt;=0,"Aterro","Corte")</f>
        <v>Aterro</v>
      </c>
      <c r="G166" s="138" t="n">
        <v>2.206</v>
      </c>
      <c r="H166" s="138"/>
      <c r="I166" s="138"/>
      <c r="J166" s="138"/>
      <c r="K166" s="138"/>
      <c r="L166" s="138"/>
      <c r="M166" s="138" t="s">
        <v>4037</v>
      </c>
    </row>
    <row r="167" customFormat="false" ht="15" hidden="false" customHeight="false" outlineLevel="0" collapsed="false">
      <c r="A167" s="138" t="s">
        <v>1814</v>
      </c>
      <c r="B167" s="138" t="n">
        <v>165</v>
      </c>
      <c r="C167" s="146" t="n">
        <v>803.387</v>
      </c>
      <c r="D167" s="146" t="n">
        <v>803.475</v>
      </c>
      <c r="E167" s="146" t="n">
        <f aca="false">D167-C167</f>
        <v>0.0880000000000791</v>
      </c>
      <c r="F167" s="138" t="str">
        <f aca="false">IF(E167&gt;=0,"Aterro","Corte")</f>
        <v>Aterro</v>
      </c>
      <c r="G167" s="138" t="n">
        <v>2.206</v>
      </c>
      <c r="H167" s="138"/>
      <c r="I167" s="138"/>
      <c r="J167" s="138"/>
      <c r="K167" s="138" t="s">
        <v>4041</v>
      </c>
      <c r="L167" s="138" t="n">
        <v>400</v>
      </c>
      <c r="M167" s="138" t="s">
        <v>4037</v>
      </c>
    </row>
    <row r="168" customFormat="false" ht="15" hidden="false" customHeight="false" outlineLevel="0" collapsed="false">
      <c r="A168" s="138" t="s">
        <v>1815</v>
      </c>
      <c r="B168" s="138" t="n">
        <v>166</v>
      </c>
      <c r="C168" s="146" t="n">
        <v>804.015</v>
      </c>
      <c r="D168" s="146" t="n">
        <v>803.916</v>
      </c>
      <c r="E168" s="146" t="n">
        <f aca="false">D168-C168</f>
        <v>-0.0989999999999327</v>
      </c>
      <c r="F168" s="138" t="str">
        <f aca="false">IF(E168&gt;=0,"Aterro","Corte")</f>
        <v>Corte</v>
      </c>
      <c r="G168" s="138" t="n">
        <v>2.206</v>
      </c>
      <c r="H168" s="138"/>
      <c r="I168" s="138"/>
      <c r="J168" s="138"/>
      <c r="K168" s="138" t="s">
        <v>4041</v>
      </c>
      <c r="L168" s="138" t="n">
        <v>400</v>
      </c>
      <c r="M168" s="138" t="s">
        <v>4037</v>
      </c>
    </row>
    <row r="169" customFormat="false" ht="15" hidden="false" customHeight="false" outlineLevel="0" collapsed="false">
      <c r="A169" s="138" t="s">
        <v>1816</v>
      </c>
      <c r="B169" s="138" t="n">
        <v>167</v>
      </c>
      <c r="C169" s="146" t="n">
        <v>804.507</v>
      </c>
      <c r="D169" s="146" t="n">
        <v>804.357</v>
      </c>
      <c r="E169" s="146" t="n">
        <f aca="false">D169-C169</f>
        <v>-0.149999999999977</v>
      </c>
      <c r="F169" s="138" t="str">
        <f aca="false">IF(E169&gt;=0,"Aterro","Corte")</f>
        <v>Corte</v>
      </c>
      <c r="G169" s="138" t="n">
        <v>2.206</v>
      </c>
      <c r="H169" s="138"/>
      <c r="I169" s="138"/>
      <c r="J169" s="138"/>
      <c r="K169" s="138"/>
      <c r="L169" s="138"/>
      <c r="M169" s="138" t="s">
        <v>4037</v>
      </c>
    </row>
    <row r="170" customFormat="false" ht="15" hidden="false" customHeight="false" outlineLevel="0" collapsed="false">
      <c r="A170" s="138" t="s">
        <v>1817</v>
      </c>
      <c r="B170" s="138" t="n">
        <v>168</v>
      </c>
      <c r="C170" s="146" t="n">
        <v>804.809</v>
      </c>
      <c r="D170" s="146" t="n">
        <v>804.799</v>
      </c>
      <c r="E170" s="146" t="n">
        <f aca="false">D170-C170</f>
        <v>-0.00999999999999091</v>
      </c>
      <c r="F170" s="138" t="str">
        <f aca="false">IF(E170&gt;=0,"Aterro","Corte")</f>
        <v>Corte</v>
      </c>
      <c r="G170" s="138" t="n">
        <v>2.206</v>
      </c>
      <c r="H170" s="138"/>
      <c r="I170" s="138"/>
      <c r="J170" s="138"/>
      <c r="K170" s="138"/>
      <c r="L170" s="138"/>
      <c r="M170" s="138" t="s">
        <v>4037</v>
      </c>
    </row>
    <row r="171" customFormat="false" ht="15" hidden="false" customHeight="false" outlineLevel="0" collapsed="false">
      <c r="A171" s="138" t="s">
        <v>1818</v>
      </c>
      <c r="B171" s="138" t="n">
        <v>169</v>
      </c>
      <c r="C171" s="146" t="n">
        <v>805.142</v>
      </c>
      <c r="D171" s="146" t="n">
        <v>805.24</v>
      </c>
      <c r="E171" s="146" t="n">
        <f aca="false">D171-C171</f>
        <v>0.0979999999999563</v>
      </c>
      <c r="F171" s="138" t="str">
        <f aca="false">IF(E171&gt;=0,"Aterro","Corte")</f>
        <v>Aterro</v>
      </c>
      <c r="G171" s="138" t="n">
        <v>2.206</v>
      </c>
      <c r="H171" s="138" t="s">
        <v>4042</v>
      </c>
      <c r="I171" s="138" t="s">
        <v>4021</v>
      </c>
      <c r="J171" s="138" t="n">
        <v>26.356</v>
      </c>
      <c r="K171" s="138"/>
      <c r="L171" s="138"/>
      <c r="M171" s="138" t="s">
        <v>4037</v>
      </c>
    </row>
    <row r="172" customFormat="false" ht="15" hidden="false" customHeight="false" outlineLevel="0" collapsed="false">
      <c r="A172" s="138" t="s">
        <v>1819</v>
      </c>
      <c r="B172" s="138" t="n">
        <v>170</v>
      </c>
      <c r="C172" s="146" t="n">
        <v>805.649</v>
      </c>
      <c r="D172" s="146" t="n">
        <v>805.757</v>
      </c>
      <c r="E172" s="146" t="n">
        <f aca="false">D172-C172</f>
        <v>0.107999999999947</v>
      </c>
      <c r="F172" s="138" t="str">
        <f aca="false">IF(E172&gt;=0,"Aterro","Corte")</f>
        <v>Aterro</v>
      </c>
      <c r="G172" s="138" t="n">
        <v>2.206</v>
      </c>
      <c r="H172" s="138" t="s">
        <v>4042</v>
      </c>
      <c r="I172" s="138" t="s">
        <v>4021</v>
      </c>
      <c r="J172" s="138" t="n">
        <v>26.356</v>
      </c>
      <c r="K172" s="138"/>
      <c r="L172" s="138"/>
      <c r="M172" s="138" t="s">
        <v>4037</v>
      </c>
    </row>
    <row r="173" customFormat="false" ht="15" hidden="false" customHeight="false" outlineLevel="0" collapsed="false">
      <c r="A173" s="138" t="s">
        <v>1820</v>
      </c>
      <c r="B173" s="138" t="n">
        <v>171</v>
      </c>
      <c r="C173" s="146" t="n">
        <v>806.321</v>
      </c>
      <c r="D173" s="146" t="n">
        <v>806.426</v>
      </c>
      <c r="E173" s="146" t="n">
        <f aca="false">D173-C173</f>
        <v>0.105000000000018</v>
      </c>
      <c r="F173" s="138" t="str">
        <f aca="false">IF(E173&gt;=0,"Aterro","Corte")</f>
        <v>Aterro</v>
      </c>
      <c r="G173" s="138" t="n">
        <v>2.206</v>
      </c>
      <c r="H173" s="138" t="s">
        <v>4042</v>
      </c>
      <c r="I173" s="138" t="s">
        <v>4021</v>
      </c>
      <c r="J173" s="138" t="n">
        <v>26.356</v>
      </c>
      <c r="K173" s="138"/>
      <c r="L173" s="138"/>
      <c r="M173" s="138" t="s">
        <v>4037</v>
      </c>
    </row>
    <row r="174" customFormat="false" ht="15" hidden="false" customHeight="false" outlineLevel="0" collapsed="false">
      <c r="A174" s="138" t="s">
        <v>1821</v>
      </c>
      <c r="B174" s="138" t="n">
        <v>172</v>
      </c>
      <c r="C174" s="146" t="n">
        <v>807.368</v>
      </c>
      <c r="D174" s="146" t="n">
        <v>807.246</v>
      </c>
      <c r="E174" s="146" t="n">
        <f aca="false">D174-C174</f>
        <v>-0.122000000000071</v>
      </c>
      <c r="F174" s="138" t="str">
        <f aca="false">IF(E174&gt;=0,"Aterro","Corte")</f>
        <v>Corte</v>
      </c>
      <c r="G174" s="138" t="n">
        <v>6</v>
      </c>
      <c r="H174" s="138" t="s">
        <v>4042</v>
      </c>
      <c r="I174" s="138" t="s">
        <v>4021</v>
      </c>
      <c r="J174" s="138" t="n">
        <v>26.356</v>
      </c>
      <c r="K174" s="138"/>
      <c r="L174" s="138"/>
      <c r="M174" s="138" t="s">
        <v>4037</v>
      </c>
    </row>
    <row r="175" customFormat="false" ht="15" hidden="false" customHeight="false" outlineLevel="0" collapsed="false">
      <c r="A175" s="138" t="s">
        <v>1822</v>
      </c>
      <c r="B175" s="138" t="n">
        <v>173</v>
      </c>
      <c r="C175" s="146" t="n">
        <v>808.554</v>
      </c>
      <c r="D175" s="146" t="n">
        <v>808.218</v>
      </c>
      <c r="E175" s="146" t="n">
        <f aca="false">D175-C175</f>
        <v>-0.336000000000013</v>
      </c>
      <c r="F175" s="138" t="str">
        <f aca="false">IF(E175&gt;=0,"Aterro","Corte")</f>
        <v>Corte</v>
      </c>
      <c r="G175" s="138" t="n">
        <v>6</v>
      </c>
      <c r="H175" s="138" t="s">
        <v>4042</v>
      </c>
      <c r="I175" s="138" t="s">
        <v>4021</v>
      </c>
      <c r="J175" s="138" t="n">
        <v>26.356</v>
      </c>
      <c r="K175" s="138"/>
      <c r="L175" s="138"/>
      <c r="M175" s="138" t="s">
        <v>4037</v>
      </c>
    </row>
    <row r="176" customFormat="false" ht="15" hidden="false" customHeight="false" outlineLevel="0" collapsed="false">
      <c r="A176" s="138" t="s">
        <v>1823</v>
      </c>
      <c r="B176" s="138" t="n">
        <v>174</v>
      </c>
      <c r="C176" s="146" t="n">
        <v>809.723</v>
      </c>
      <c r="D176" s="146" t="n">
        <v>809.343</v>
      </c>
      <c r="E176" s="146" t="n">
        <f aca="false">D176-C176</f>
        <v>-0.379999999999995</v>
      </c>
      <c r="F176" s="138" t="str">
        <f aca="false">IF(E176&gt;=0,"Aterro","Corte")</f>
        <v>Corte</v>
      </c>
      <c r="G176" s="138" t="n">
        <v>6</v>
      </c>
      <c r="H176" s="138" t="s">
        <v>4042</v>
      </c>
      <c r="I176" s="138" t="s">
        <v>4021</v>
      </c>
      <c r="J176" s="138" t="n">
        <v>26.356</v>
      </c>
      <c r="K176" s="138"/>
      <c r="L176" s="138"/>
      <c r="M176" s="138" t="s">
        <v>4037</v>
      </c>
    </row>
    <row r="177" customFormat="false" ht="15" hidden="false" customHeight="false" outlineLevel="0" collapsed="false">
      <c r="A177" s="138" t="s">
        <v>1824</v>
      </c>
      <c r="B177" s="138" t="n">
        <v>175</v>
      </c>
      <c r="C177" s="146" t="n">
        <v>810.761</v>
      </c>
      <c r="D177" s="146" t="n">
        <v>810.543</v>
      </c>
      <c r="E177" s="146" t="n">
        <f aca="false">D177-C177</f>
        <v>-0.217999999999961</v>
      </c>
      <c r="F177" s="138" t="str">
        <f aca="false">IF(E177&gt;=0,"Aterro","Corte")</f>
        <v>Corte</v>
      </c>
      <c r="G177" s="138" t="n">
        <v>6</v>
      </c>
      <c r="H177" s="138"/>
      <c r="I177" s="138"/>
      <c r="J177" s="138"/>
      <c r="K177" s="138"/>
      <c r="L177" s="138"/>
      <c r="M177" s="138" t="s">
        <v>4037</v>
      </c>
    </row>
    <row r="178" customFormat="false" ht="15" hidden="false" customHeight="false" outlineLevel="0" collapsed="false">
      <c r="A178" s="138" t="s">
        <v>1825</v>
      </c>
      <c r="B178" s="138" t="n">
        <v>176</v>
      </c>
      <c r="C178" s="146" t="n">
        <v>811.695</v>
      </c>
      <c r="D178" s="146" t="n">
        <v>811.743</v>
      </c>
      <c r="E178" s="146" t="n">
        <f aca="false">D178-C178</f>
        <v>0.0480000000000018</v>
      </c>
      <c r="F178" s="138" t="str">
        <f aca="false">IF(E178&gt;=0,"Aterro","Corte")</f>
        <v>Aterro</v>
      </c>
      <c r="G178" s="138" t="n">
        <v>6</v>
      </c>
      <c r="H178" s="138"/>
      <c r="I178" s="138"/>
      <c r="J178" s="138"/>
      <c r="K178" s="138"/>
      <c r="L178" s="138"/>
      <c r="M178" s="138" t="s">
        <v>4037</v>
      </c>
    </row>
    <row r="179" customFormat="false" ht="15" hidden="false" customHeight="false" outlineLevel="0" collapsed="false">
      <c r="A179" s="138" t="s">
        <v>1826</v>
      </c>
      <c r="B179" s="138" t="n">
        <v>177</v>
      </c>
      <c r="C179" s="146" t="n">
        <v>812.9</v>
      </c>
      <c r="D179" s="146" t="n">
        <v>812.943</v>
      </c>
      <c r="E179" s="146" t="n">
        <f aca="false">D179-C179</f>
        <v>0.0430000000000064</v>
      </c>
      <c r="F179" s="138" t="str">
        <f aca="false">IF(E179&gt;=0,"Aterro","Corte")</f>
        <v>Aterro</v>
      </c>
      <c r="G179" s="138" t="n">
        <v>6</v>
      </c>
      <c r="H179" s="138"/>
      <c r="I179" s="138"/>
      <c r="J179" s="138"/>
      <c r="K179" s="138"/>
      <c r="L179" s="138"/>
      <c r="M179" s="138" t="s">
        <v>4037</v>
      </c>
    </row>
    <row r="180" customFormat="false" ht="15" hidden="false" customHeight="false" outlineLevel="0" collapsed="false">
      <c r="A180" s="138" t="s">
        <v>1827</v>
      </c>
      <c r="B180" s="138" t="n">
        <v>178</v>
      </c>
      <c r="C180" s="146" t="n">
        <v>814.045</v>
      </c>
      <c r="D180" s="146" t="n">
        <v>814.143</v>
      </c>
      <c r="E180" s="146" t="n">
        <f aca="false">D180-C180</f>
        <v>0.09800000000007</v>
      </c>
      <c r="F180" s="138" t="str">
        <f aca="false">IF(E180&gt;=0,"Aterro","Corte")</f>
        <v>Aterro</v>
      </c>
      <c r="G180" s="138" t="n">
        <v>6</v>
      </c>
      <c r="H180" s="138"/>
      <c r="I180" s="138"/>
      <c r="J180" s="138"/>
      <c r="K180" s="138"/>
      <c r="L180" s="138"/>
      <c r="M180" s="138" t="s">
        <v>4037</v>
      </c>
    </row>
    <row r="181" customFormat="false" ht="15" hidden="false" customHeight="false" outlineLevel="0" collapsed="false">
      <c r="A181" s="138" t="s">
        <v>1828</v>
      </c>
      <c r="B181" s="138" t="n">
        <v>179</v>
      </c>
      <c r="C181" s="146" t="n">
        <v>815.342</v>
      </c>
      <c r="D181" s="146" t="n">
        <v>815.343</v>
      </c>
      <c r="E181" s="146" t="n">
        <f aca="false">D181-C181</f>
        <v>0.000999999999976353</v>
      </c>
      <c r="F181" s="138" t="str">
        <f aca="false">IF(E181&gt;=0,"Aterro","Corte")</f>
        <v>Aterro</v>
      </c>
      <c r="G181" s="138" t="n">
        <v>6</v>
      </c>
      <c r="H181" s="138"/>
      <c r="I181" s="138"/>
      <c r="J181" s="138"/>
      <c r="K181" s="138"/>
      <c r="L181" s="138"/>
      <c r="M181" s="138" t="s">
        <v>4037</v>
      </c>
    </row>
    <row r="182" customFormat="false" ht="15" hidden="false" customHeight="false" outlineLevel="0" collapsed="false">
      <c r="A182" s="138" t="s">
        <v>1829</v>
      </c>
      <c r="B182" s="138" t="n">
        <v>180</v>
      </c>
      <c r="C182" s="146" t="n">
        <v>816.811</v>
      </c>
      <c r="D182" s="146" t="n">
        <v>816.543</v>
      </c>
      <c r="E182" s="146" t="n">
        <f aca="false">D182-C182</f>
        <v>-0.268000000000029</v>
      </c>
      <c r="F182" s="138" t="str">
        <f aca="false">IF(E182&gt;=0,"Aterro","Corte")</f>
        <v>Corte</v>
      </c>
      <c r="G182" s="138" t="n">
        <v>6</v>
      </c>
      <c r="H182" s="138"/>
      <c r="I182" s="138"/>
      <c r="J182" s="138"/>
      <c r="K182" s="138"/>
      <c r="L182" s="138"/>
      <c r="M182" s="138" t="s">
        <v>4037</v>
      </c>
    </row>
    <row r="183" customFormat="false" ht="15" hidden="false" customHeight="false" outlineLevel="0" collapsed="false">
      <c r="A183" s="138" t="s">
        <v>1830</v>
      </c>
      <c r="B183" s="138" t="n">
        <v>181</v>
      </c>
      <c r="C183" s="146" t="n">
        <v>818.352</v>
      </c>
      <c r="D183" s="146" t="n">
        <v>817.743</v>
      </c>
      <c r="E183" s="146" t="n">
        <f aca="false">D183-C183</f>
        <v>-0.608999999999924</v>
      </c>
      <c r="F183" s="138" t="str">
        <f aca="false">IF(E183&gt;=0,"Aterro","Corte")</f>
        <v>Corte</v>
      </c>
      <c r="G183" s="138" t="n">
        <v>6</v>
      </c>
      <c r="H183" s="138"/>
      <c r="I183" s="138"/>
      <c r="J183" s="138"/>
      <c r="K183" s="138"/>
      <c r="L183" s="138"/>
      <c r="M183" s="138" t="s">
        <v>4043</v>
      </c>
    </row>
    <row r="184" customFormat="false" ht="15" hidden="false" customHeight="false" outlineLevel="0" collapsed="false">
      <c r="A184" s="138" t="s">
        <v>1831</v>
      </c>
      <c r="B184" s="138" t="n">
        <v>182</v>
      </c>
      <c r="C184" s="146" t="n">
        <v>819.919</v>
      </c>
      <c r="D184" s="146" t="n">
        <v>818.859</v>
      </c>
      <c r="E184" s="146" t="n">
        <f aca="false">D184-C184</f>
        <v>-1.05999999999995</v>
      </c>
      <c r="F184" s="138" t="str">
        <f aca="false">IF(E184&gt;=0,"Aterro","Corte")</f>
        <v>Corte</v>
      </c>
      <c r="G184" s="138" t="n">
        <v>6</v>
      </c>
      <c r="H184" s="138" t="s">
        <v>4044</v>
      </c>
      <c r="I184" s="138" t="s">
        <v>4024</v>
      </c>
      <c r="J184" s="138" t="n">
        <v>17.5</v>
      </c>
      <c r="K184" s="138"/>
      <c r="L184" s="138"/>
      <c r="M184" s="138" t="s">
        <v>4043</v>
      </c>
    </row>
    <row r="185" customFormat="false" ht="15" hidden="false" customHeight="false" outlineLevel="0" collapsed="false">
      <c r="A185" s="138" t="s">
        <v>1832</v>
      </c>
      <c r="B185" s="138" t="n">
        <v>183</v>
      </c>
      <c r="C185" s="146" t="n">
        <v>821.305</v>
      </c>
      <c r="D185" s="146" t="n">
        <v>819.75</v>
      </c>
      <c r="E185" s="146" t="n">
        <f aca="false">D185-C185</f>
        <v>-1.55499999999995</v>
      </c>
      <c r="F185" s="138" t="str">
        <f aca="false">IF(E185&gt;=0,"Aterro","Corte")</f>
        <v>Corte</v>
      </c>
      <c r="G185" s="138" t="n">
        <v>6</v>
      </c>
      <c r="H185" s="138" t="s">
        <v>4044</v>
      </c>
      <c r="I185" s="138" t="s">
        <v>4024</v>
      </c>
      <c r="J185" s="138" t="n">
        <v>17.5</v>
      </c>
      <c r="K185" s="138"/>
      <c r="L185" s="138"/>
      <c r="M185" s="138" t="s">
        <v>4043</v>
      </c>
    </row>
    <row r="186" customFormat="false" ht="15" hidden="false" customHeight="false" outlineLevel="0" collapsed="false">
      <c r="A186" s="138" t="s">
        <v>1833</v>
      </c>
      <c r="B186" s="138" t="n">
        <v>184</v>
      </c>
      <c r="C186" s="146" t="n">
        <v>822.46</v>
      </c>
      <c r="D186" s="146" t="n">
        <v>820.413</v>
      </c>
      <c r="E186" s="146" t="n">
        <f aca="false">D186-C186</f>
        <v>-2.04700000000003</v>
      </c>
      <c r="F186" s="138" t="str">
        <f aca="false">IF(E186&gt;=0,"Aterro","Corte")</f>
        <v>Corte</v>
      </c>
      <c r="G186" s="138" t="n">
        <v>6</v>
      </c>
      <c r="H186" s="138" t="s">
        <v>4044</v>
      </c>
      <c r="I186" s="138" t="s">
        <v>4024</v>
      </c>
      <c r="J186" s="138" t="n">
        <v>17.5</v>
      </c>
      <c r="K186" s="138"/>
      <c r="L186" s="138"/>
      <c r="M186" s="138" t="s">
        <v>4043</v>
      </c>
    </row>
    <row r="187" customFormat="false" ht="15" hidden="false" customHeight="false" outlineLevel="0" collapsed="false">
      <c r="A187" s="138" t="s">
        <v>1834</v>
      </c>
      <c r="B187" s="138" t="n">
        <v>185</v>
      </c>
      <c r="C187" s="146" t="n">
        <v>823.424</v>
      </c>
      <c r="D187" s="146" t="n">
        <v>820.846</v>
      </c>
      <c r="E187" s="146" t="n">
        <f aca="false">D187-C187</f>
        <v>-2.57799999999997</v>
      </c>
      <c r="F187" s="138" t="str">
        <f aca="false">IF(E187&gt;=0,"Aterro","Corte")</f>
        <v>Corte</v>
      </c>
      <c r="G187" s="138" t="n">
        <v>6</v>
      </c>
      <c r="H187" s="138" t="s">
        <v>4044</v>
      </c>
      <c r="I187" s="138" t="s">
        <v>4024</v>
      </c>
      <c r="J187" s="138" t="n">
        <v>17.5</v>
      </c>
      <c r="K187" s="138"/>
      <c r="L187" s="138"/>
      <c r="M187" s="138" t="s">
        <v>4043</v>
      </c>
    </row>
    <row r="188" customFormat="false" ht="15" hidden="false" customHeight="false" outlineLevel="0" collapsed="false">
      <c r="A188" s="138" t="s">
        <v>1835</v>
      </c>
      <c r="B188" s="138" t="n">
        <v>186</v>
      </c>
      <c r="C188" s="146" t="n">
        <v>823.771</v>
      </c>
      <c r="D188" s="146" t="n">
        <v>821.051</v>
      </c>
      <c r="E188" s="146" t="n">
        <f aca="false">D188-C188</f>
        <v>-2.71999999999991</v>
      </c>
      <c r="F188" s="138" t="str">
        <f aca="false">IF(E188&gt;=0,"Aterro","Corte")</f>
        <v>Corte</v>
      </c>
      <c r="G188" s="138" t="n">
        <v>6</v>
      </c>
      <c r="H188" s="138" t="s">
        <v>4044</v>
      </c>
      <c r="I188" s="138" t="s">
        <v>4024</v>
      </c>
      <c r="J188" s="138" t="n">
        <v>17.5</v>
      </c>
      <c r="K188" s="138"/>
      <c r="L188" s="138"/>
      <c r="M188" s="138" t="s">
        <v>4043</v>
      </c>
    </row>
    <row r="189" customFormat="false" ht="15" hidden="false" customHeight="false" outlineLevel="0" collapsed="false">
      <c r="A189" s="138" t="s">
        <v>1836</v>
      </c>
      <c r="B189" s="138" t="n">
        <v>187</v>
      </c>
      <c r="C189" s="146" t="n">
        <v>823.407</v>
      </c>
      <c r="D189" s="146" t="n">
        <v>821.028</v>
      </c>
      <c r="E189" s="146" t="n">
        <f aca="false">D189-C189</f>
        <v>-2.37900000000002</v>
      </c>
      <c r="F189" s="138" t="str">
        <f aca="false">IF(E189&gt;=0,"Aterro","Corte")</f>
        <v>Corte</v>
      </c>
      <c r="G189" s="138" t="n">
        <v>-6</v>
      </c>
      <c r="H189" s="138" t="s">
        <v>4044</v>
      </c>
      <c r="I189" s="138" t="s">
        <v>4024</v>
      </c>
      <c r="J189" s="138" t="n">
        <v>17.5</v>
      </c>
      <c r="K189" s="138"/>
      <c r="L189" s="138"/>
      <c r="M189" s="138" t="s">
        <v>4043</v>
      </c>
    </row>
    <row r="190" customFormat="false" ht="15" hidden="false" customHeight="false" outlineLevel="0" collapsed="false">
      <c r="A190" s="138" t="s">
        <v>1837</v>
      </c>
      <c r="B190" s="138" t="n">
        <v>188</v>
      </c>
      <c r="C190" s="146" t="n">
        <v>822.461</v>
      </c>
      <c r="D190" s="146" t="n">
        <v>820.776</v>
      </c>
      <c r="E190" s="146" t="n">
        <f aca="false">D190-C190</f>
        <v>-1.68500000000006</v>
      </c>
      <c r="F190" s="138" t="str">
        <f aca="false">IF(E190&gt;=0,"Aterro","Corte")</f>
        <v>Corte</v>
      </c>
      <c r="G190" s="138" t="n">
        <v>-6</v>
      </c>
      <c r="H190" s="138" t="s">
        <v>4044</v>
      </c>
      <c r="I190" s="138" t="s">
        <v>4024</v>
      </c>
      <c r="J190" s="138" t="n">
        <v>17.5</v>
      </c>
      <c r="K190" s="138"/>
      <c r="L190" s="138"/>
      <c r="M190" s="138" t="s">
        <v>4043</v>
      </c>
    </row>
    <row r="191" customFormat="false" ht="15" hidden="false" customHeight="false" outlineLevel="0" collapsed="false">
      <c r="A191" s="138" t="s">
        <v>1838</v>
      </c>
      <c r="B191" s="138" t="n">
        <v>189</v>
      </c>
      <c r="C191" s="146" t="n">
        <v>821.199</v>
      </c>
      <c r="D191" s="146" t="n">
        <v>820.295</v>
      </c>
      <c r="E191" s="146" t="n">
        <f aca="false">D191-C191</f>
        <v>-0.903999999999996</v>
      </c>
      <c r="F191" s="138" t="str">
        <f aca="false">IF(E191&gt;=0,"Aterro","Corte")</f>
        <v>Corte</v>
      </c>
      <c r="G191" s="138" t="n">
        <v>-6</v>
      </c>
      <c r="H191" s="138" t="s">
        <v>4044</v>
      </c>
      <c r="I191" s="138" t="s">
        <v>4024</v>
      </c>
      <c r="J191" s="138" t="n">
        <v>17.5</v>
      </c>
      <c r="K191" s="138"/>
      <c r="L191" s="138"/>
      <c r="M191" s="138" t="s">
        <v>4043</v>
      </c>
    </row>
    <row r="192" customFormat="false" ht="15" hidden="false" customHeight="false" outlineLevel="0" collapsed="false">
      <c r="A192" s="138" t="s">
        <v>1839</v>
      </c>
      <c r="B192" s="138" t="n">
        <v>190</v>
      </c>
      <c r="C192" s="146" t="n">
        <v>819.933</v>
      </c>
      <c r="D192" s="146" t="n">
        <v>819.586</v>
      </c>
      <c r="E192" s="146" t="n">
        <f aca="false">D192-C192</f>
        <v>-0.34699999999998</v>
      </c>
      <c r="F192" s="138" t="str">
        <f aca="false">IF(E192&gt;=0,"Aterro","Corte")</f>
        <v>Corte</v>
      </c>
      <c r="G192" s="138" t="n">
        <v>-6</v>
      </c>
      <c r="H192" s="138" t="s">
        <v>4044</v>
      </c>
      <c r="I192" s="138" t="s">
        <v>4024</v>
      </c>
      <c r="J192" s="138" t="n">
        <v>17.5</v>
      </c>
      <c r="K192" s="138"/>
      <c r="L192" s="138"/>
      <c r="M192" s="138" t="s">
        <v>4043</v>
      </c>
    </row>
    <row r="193" customFormat="false" ht="15" hidden="false" customHeight="false" outlineLevel="0" collapsed="false">
      <c r="A193" s="138" t="s">
        <v>1840</v>
      </c>
      <c r="B193" s="138" t="n">
        <v>191</v>
      </c>
      <c r="C193" s="146" t="n">
        <v>818.704</v>
      </c>
      <c r="D193" s="146" t="n">
        <v>818.649</v>
      </c>
      <c r="E193" s="146" t="n">
        <f aca="false">D193-C193</f>
        <v>-0.05499999999995</v>
      </c>
      <c r="F193" s="138" t="str">
        <f aca="false">IF(E193&gt;=0,"Aterro","Corte")</f>
        <v>Corte</v>
      </c>
      <c r="G193" s="138" t="n">
        <v>-6</v>
      </c>
      <c r="H193" s="138" t="s">
        <v>4044</v>
      </c>
      <c r="I193" s="138" t="s">
        <v>4024</v>
      </c>
      <c r="J193" s="138" t="n">
        <v>17.5</v>
      </c>
      <c r="K193" s="138" t="s">
        <v>4045</v>
      </c>
      <c r="L193" s="138" t="n">
        <v>400</v>
      </c>
      <c r="M193" s="138" t="s">
        <v>4043</v>
      </c>
    </row>
    <row r="194" customFormat="false" ht="15" hidden="false" customHeight="false" outlineLevel="0" collapsed="false">
      <c r="A194" s="138" t="s">
        <v>1841</v>
      </c>
      <c r="B194" s="138" t="n">
        <v>192</v>
      </c>
      <c r="C194" s="146" t="n">
        <v>817.557</v>
      </c>
      <c r="D194" s="146" t="n">
        <v>817.504</v>
      </c>
      <c r="E194" s="146" t="n">
        <f aca="false">D194-C194</f>
        <v>-0.0529999999999973</v>
      </c>
      <c r="F194" s="138" t="str">
        <f aca="false">IF(E194&gt;=0,"Aterro","Corte")</f>
        <v>Corte</v>
      </c>
      <c r="G194" s="138" t="n">
        <v>-6</v>
      </c>
      <c r="H194" s="138" t="s">
        <v>4046</v>
      </c>
      <c r="I194" s="138" t="s">
        <v>4021</v>
      </c>
      <c r="J194" s="138" t="n">
        <v>17.077</v>
      </c>
      <c r="K194" s="138" t="s">
        <v>4045</v>
      </c>
      <c r="L194" s="138" t="n">
        <v>400</v>
      </c>
      <c r="M194" s="138" t="s">
        <v>4043</v>
      </c>
    </row>
    <row r="195" customFormat="false" ht="15" hidden="false" customHeight="false" outlineLevel="0" collapsed="false">
      <c r="A195" s="138" t="s">
        <v>1842</v>
      </c>
      <c r="B195" s="138" t="n">
        <v>193</v>
      </c>
      <c r="C195" s="146" t="n">
        <v>816.603</v>
      </c>
      <c r="D195" s="146" t="n">
        <v>816.48</v>
      </c>
      <c r="E195" s="146" t="n">
        <f aca="false">D195-C195</f>
        <v>-0.122999999999934</v>
      </c>
      <c r="F195" s="138" t="str">
        <f aca="false">IF(E195&gt;=0,"Aterro","Corte")</f>
        <v>Corte</v>
      </c>
      <c r="G195" s="138" t="n">
        <v>-6</v>
      </c>
      <c r="H195" s="138" t="s">
        <v>4046</v>
      </c>
      <c r="I195" s="138" t="s">
        <v>4021</v>
      </c>
      <c r="J195" s="138" t="n">
        <v>17.077</v>
      </c>
      <c r="K195" s="138" t="s">
        <v>4045</v>
      </c>
      <c r="L195" s="138" t="n">
        <v>400</v>
      </c>
      <c r="M195" s="138" t="s">
        <v>4043</v>
      </c>
    </row>
    <row r="196" customFormat="false" ht="15" hidden="false" customHeight="false" outlineLevel="0" collapsed="false">
      <c r="A196" s="138" t="s">
        <v>1843</v>
      </c>
      <c r="B196" s="138" t="n">
        <v>194</v>
      </c>
      <c r="C196" s="146" t="n">
        <v>815.823</v>
      </c>
      <c r="D196" s="146" t="n">
        <v>815.689</v>
      </c>
      <c r="E196" s="146" t="n">
        <f aca="false">D196-C196</f>
        <v>-0.134000000000015</v>
      </c>
      <c r="F196" s="138" t="str">
        <f aca="false">IF(E196&gt;=0,"Aterro","Corte")</f>
        <v>Corte</v>
      </c>
      <c r="G196" s="138" t="n">
        <v>-1.316</v>
      </c>
      <c r="H196" s="138" t="s">
        <v>4046</v>
      </c>
      <c r="I196" s="138" t="s">
        <v>4021</v>
      </c>
      <c r="J196" s="138" t="n">
        <v>17.077</v>
      </c>
      <c r="K196" s="138" t="s">
        <v>4045</v>
      </c>
      <c r="L196" s="138" t="n">
        <v>400</v>
      </c>
      <c r="M196" s="138" t="s">
        <v>4043</v>
      </c>
    </row>
    <row r="197" customFormat="false" ht="15" hidden="false" customHeight="false" outlineLevel="0" collapsed="false">
      <c r="A197" s="138" t="s">
        <v>1844</v>
      </c>
      <c r="B197" s="138" t="n">
        <v>195</v>
      </c>
      <c r="C197" s="146" t="n">
        <v>815.163</v>
      </c>
      <c r="D197" s="146" t="n">
        <v>815.134</v>
      </c>
      <c r="E197" s="146" t="n">
        <f aca="false">D197-C197</f>
        <v>-0.0289999999999964</v>
      </c>
      <c r="F197" s="138" t="str">
        <f aca="false">IF(E197&gt;=0,"Aterro","Corte")</f>
        <v>Corte</v>
      </c>
      <c r="G197" s="138" t="n">
        <v>-1.316</v>
      </c>
      <c r="H197" s="138" t="s">
        <v>4046</v>
      </c>
      <c r="I197" s="138" t="s">
        <v>4021</v>
      </c>
      <c r="J197" s="138" t="n">
        <v>17.077</v>
      </c>
      <c r="K197" s="138"/>
      <c r="L197" s="138"/>
      <c r="M197" s="138" t="s">
        <v>4043</v>
      </c>
    </row>
    <row r="198" customFormat="false" ht="15" hidden="false" customHeight="false" outlineLevel="0" collapsed="false">
      <c r="A198" s="138" t="s">
        <v>1845</v>
      </c>
      <c r="B198" s="138" t="n">
        <v>196</v>
      </c>
      <c r="C198" s="146" t="n">
        <v>814.626</v>
      </c>
      <c r="D198" s="146" t="n">
        <v>814.805</v>
      </c>
      <c r="E198" s="146" t="n">
        <f aca="false">D198-C198</f>
        <v>0.178999999999974</v>
      </c>
      <c r="F198" s="138" t="str">
        <f aca="false">IF(E198&gt;=0,"Aterro","Corte")</f>
        <v>Aterro</v>
      </c>
      <c r="G198" s="138" t="n">
        <v>-1.316</v>
      </c>
      <c r="H198" s="138"/>
      <c r="I198" s="138"/>
      <c r="J198" s="138"/>
      <c r="K198" s="138"/>
      <c r="L198" s="138"/>
      <c r="M198" s="138" t="s">
        <v>4043</v>
      </c>
    </row>
    <row r="199" customFormat="false" ht="15" hidden="false" customHeight="false" outlineLevel="0" collapsed="false">
      <c r="A199" s="138" t="s">
        <v>1846</v>
      </c>
      <c r="B199" s="138" t="n">
        <v>197</v>
      </c>
      <c r="C199" s="146" t="n">
        <v>814.136</v>
      </c>
      <c r="D199" s="146" t="n">
        <v>814.542</v>
      </c>
      <c r="E199" s="146" t="n">
        <f aca="false">D199-C199</f>
        <v>0.406000000000063</v>
      </c>
      <c r="F199" s="138" t="str">
        <f aca="false">IF(E199&gt;=0,"Aterro","Corte")</f>
        <v>Aterro</v>
      </c>
      <c r="G199" s="138" t="n">
        <v>-1.316</v>
      </c>
      <c r="H199" s="138"/>
      <c r="I199" s="138"/>
      <c r="J199" s="138"/>
      <c r="K199" s="138"/>
      <c r="L199" s="138"/>
      <c r="M199" s="138" t="s">
        <v>4043</v>
      </c>
    </row>
    <row r="200" customFormat="false" ht="15" hidden="false" customHeight="false" outlineLevel="0" collapsed="false">
      <c r="A200" s="138" t="s">
        <v>1847</v>
      </c>
      <c r="B200" s="138" t="n">
        <v>198</v>
      </c>
      <c r="C200" s="146" t="n">
        <v>813.516</v>
      </c>
      <c r="D200" s="146" t="n">
        <v>814.279</v>
      </c>
      <c r="E200" s="146" t="n">
        <f aca="false">D200-C200</f>
        <v>0.763000000000034</v>
      </c>
      <c r="F200" s="138" t="str">
        <f aca="false">IF(E200&gt;=0,"Aterro","Corte")</f>
        <v>Aterro</v>
      </c>
      <c r="G200" s="138" t="n">
        <v>-1.316</v>
      </c>
      <c r="H200" s="138"/>
      <c r="I200" s="138"/>
      <c r="J200" s="138"/>
      <c r="K200" s="138"/>
      <c r="L200" s="138"/>
      <c r="M200" s="138" t="s">
        <v>4043</v>
      </c>
    </row>
    <row r="201" customFormat="false" ht="15" hidden="false" customHeight="false" outlineLevel="0" collapsed="false">
      <c r="A201" s="138" t="s">
        <v>1848</v>
      </c>
      <c r="B201" s="138" t="n">
        <v>199</v>
      </c>
      <c r="C201" s="146" t="n">
        <v>812.874</v>
      </c>
      <c r="D201" s="146" t="n">
        <v>814.015</v>
      </c>
      <c r="E201" s="146" t="n">
        <f aca="false">D201-C201</f>
        <v>1.14099999999996</v>
      </c>
      <c r="F201" s="138" t="str">
        <f aca="false">IF(E201&gt;=0,"Aterro","Corte")</f>
        <v>Aterro</v>
      </c>
      <c r="G201" s="138" t="n">
        <v>-1.316</v>
      </c>
      <c r="H201" s="138"/>
      <c r="I201" s="138"/>
      <c r="J201" s="138"/>
      <c r="K201" s="138"/>
      <c r="L201" s="138"/>
      <c r="M201" s="138" t="s">
        <v>4043</v>
      </c>
    </row>
    <row r="202" customFormat="false" ht="15" hidden="false" customHeight="false" outlineLevel="0" collapsed="false">
      <c r="A202" s="138" t="s">
        <v>1849</v>
      </c>
      <c r="B202" s="138" t="n">
        <v>200</v>
      </c>
      <c r="C202" s="146" t="n">
        <v>812.369</v>
      </c>
      <c r="D202" s="146" t="n">
        <v>813.752</v>
      </c>
      <c r="E202" s="146" t="n">
        <f aca="false">D202-C202</f>
        <v>1.38299999999992</v>
      </c>
      <c r="F202" s="138" t="str">
        <f aca="false">IF(E202&gt;=0,"Aterro","Corte")</f>
        <v>Aterro</v>
      </c>
      <c r="G202" s="138" t="n">
        <v>-1.316</v>
      </c>
      <c r="H202" s="138"/>
      <c r="I202" s="138"/>
      <c r="J202" s="138"/>
      <c r="K202" s="138"/>
      <c r="L202" s="138"/>
      <c r="M202" s="138" t="s">
        <v>4043</v>
      </c>
    </row>
    <row r="203" customFormat="false" ht="15" hidden="false" customHeight="false" outlineLevel="0" collapsed="false">
      <c r="A203" s="138" t="s">
        <v>1850</v>
      </c>
      <c r="B203" s="138" t="n">
        <v>201</v>
      </c>
      <c r="C203" s="146" t="n">
        <v>812.042</v>
      </c>
      <c r="D203" s="146" t="n">
        <v>813.489</v>
      </c>
      <c r="E203" s="146" t="n">
        <f aca="false">D203-C203</f>
        <v>1.447</v>
      </c>
      <c r="F203" s="138" t="str">
        <f aca="false">IF(E203&gt;=0,"Aterro","Corte")</f>
        <v>Aterro</v>
      </c>
      <c r="G203" s="138" t="n">
        <v>-1.316</v>
      </c>
      <c r="H203" s="138"/>
      <c r="I203" s="138"/>
      <c r="J203" s="138"/>
      <c r="K203" s="138"/>
      <c r="L203" s="138"/>
      <c r="M203" s="138" t="s">
        <v>4043</v>
      </c>
    </row>
    <row r="204" customFormat="false" ht="15" hidden="false" customHeight="false" outlineLevel="0" collapsed="false">
      <c r="A204" s="138" t="s">
        <v>1851</v>
      </c>
      <c r="B204" s="138" t="n">
        <v>202</v>
      </c>
      <c r="C204" s="146" t="n">
        <v>811.889</v>
      </c>
      <c r="D204" s="146" t="n">
        <v>813.226</v>
      </c>
      <c r="E204" s="146" t="n">
        <f aca="false">D204-C204</f>
        <v>1.33699999999999</v>
      </c>
      <c r="F204" s="138" t="str">
        <f aca="false">IF(E204&gt;=0,"Aterro","Corte")</f>
        <v>Aterro</v>
      </c>
      <c r="G204" s="138" t="n">
        <v>-1.316</v>
      </c>
      <c r="H204" s="138"/>
      <c r="I204" s="138"/>
      <c r="J204" s="138"/>
      <c r="K204" s="138"/>
      <c r="L204" s="138"/>
      <c r="M204" s="138" t="s">
        <v>4043</v>
      </c>
    </row>
    <row r="205" customFormat="false" ht="15" hidden="false" customHeight="false" outlineLevel="0" collapsed="false">
      <c r="A205" s="138" t="s">
        <v>1852</v>
      </c>
      <c r="B205" s="138" t="n">
        <v>203</v>
      </c>
      <c r="C205" s="146" t="n">
        <v>811.938</v>
      </c>
      <c r="D205" s="146" t="n">
        <v>812.963</v>
      </c>
      <c r="E205" s="146" t="n">
        <f aca="false">D205-C205</f>
        <v>1.02499999999998</v>
      </c>
      <c r="F205" s="138" t="str">
        <f aca="false">IF(E205&gt;=0,"Aterro","Corte")</f>
        <v>Aterro</v>
      </c>
      <c r="G205" s="138" t="n">
        <v>-1.316</v>
      </c>
      <c r="H205" s="138"/>
      <c r="I205" s="138"/>
      <c r="J205" s="138"/>
      <c r="K205" s="138"/>
      <c r="L205" s="138"/>
      <c r="M205" s="138" t="s">
        <v>4043</v>
      </c>
    </row>
    <row r="206" customFormat="false" ht="15" hidden="false" customHeight="false" outlineLevel="0" collapsed="false">
      <c r="A206" s="138" t="s">
        <v>1853</v>
      </c>
      <c r="B206" s="138" t="n">
        <v>204</v>
      </c>
      <c r="C206" s="146" t="n">
        <v>812.103</v>
      </c>
      <c r="D206" s="146" t="n">
        <v>812.7</v>
      </c>
      <c r="E206" s="146" t="n">
        <f aca="false">D206-C206</f>
        <v>0.597000000000094</v>
      </c>
      <c r="F206" s="138" t="str">
        <f aca="false">IF(E206&gt;=0,"Aterro","Corte")</f>
        <v>Aterro</v>
      </c>
      <c r="G206" s="138" t="n">
        <v>-1.316</v>
      </c>
      <c r="H206" s="138"/>
      <c r="I206" s="138"/>
      <c r="J206" s="138"/>
      <c r="K206" s="138"/>
      <c r="L206" s="138"/>
      <c r="M206" s="138" t="s">
        <v>4043</v>
      </c>
    </row>
    <row r="207" customFormat="false" ht="15" hidden="false" customHeight="false" outlineLevel="0" collapsed="false">
      <c r="A207" s="138" t="s">
        <v>1854</v>
      </c>
      <c r="B207" s="138" t="n">
        <v>205</v>
      </c>
      <c r="C207" s="146" t="n">
        <v>812.349</v>
      </c>
      <c r="D207" s="146" t="n">
        <v>812.437</v>
      </c>
      <c r="E207" s="146" t="n">
        <f aca="false">D207-C207</f>
        <v>0.0879999999999654</v>
      </c>
      <c r="F207" s="138" t="str">
        <f aca="false">IF(E207&gt;=0,"Aterro","Corte")</f>
        <v>Aterro</v>
      </c>
      <c r="G207" s="138" t="n">
        <v>-1.316</v>
      </c>
      <c r="H207" s="138"/>
      <c r="I207" s="138"/>
      <c r="J207" s="138"/>
      <c r="K207" s="138"/>
      <c r="L207" s="138"/>
      <c r="M207" s="138" t="s">
        <v>4043</v>
      </c>
    </row>
    <row r="208" customFormat="false" ht="15" hidden="false" customHeight="false" outlineLevel="0" collapsed="false">
      <c r="A208" s="138" t="s">
        <v>1855</v>
      </c>
      <c r="B208" s="138" t="n">
        <v>206</v>
      </c>
      <c r="C208" s="146" t="n">
        <v>812.679</v>
      </c>
      <c r="D208" s="146" t="n">
        <v>812.174</v>
      </c>
      <c r="E208" s="146" t="n">
        <f aca="false">D208-C208</f>
        <v>-0.504999999999996</v>
      </c>
      <c r="F208" s="138" t="str">
        <f aca="false">IF(E208&gt;=0,"Aterro","Corte")</f>
        <v>Corte</v>
      </c>
      <c r="G208" s="138" t="n">
        <v>-1.316</v>
      </c>
      <c r="H208" s="138" t="s">
        <v>4047</v>
      </c>
      <c r="I208" s="138" t="s">
        <v>4024</v>
      </c>
      <c r="J208" s="138" t="n">
        <v>21.346</v>
      </c>
      <c r="K208" s="138"/>
      <c r="L208" s="138"/>
      <c r="M208" s="138" t="s">
        <v>4043</v>
      </c>
    </row>
    <row r="209" customFormat="false" ht="15" hidden="false" customHeight="false" outlineLevel="0" collapsed="false">
      <c r="A209" s="138" t="s">
        <v>1858</v>
      </c>
      <c r="B209" s="138" t="n">
        <v>207</v>
      </c>
      <c r="C209" s="146" t="n">
        <v>812.752</v>
      </c>
      <c r="D209" s="146" t="n">
        <v>811.817</v>
      </c>
      <c r="E209" s="146" t="n">
        <f aca="false">D209-C209</f>
        <v>-0.934999999999945</v>
      </c>
      <c r="F209" s="138" t="str">
        <f aca="false">IF(E209&gt;=0,"Aterro","Corte")</f>
        <v>Corte</v>
      </c>
      <c r="G209" s="138" t="n">
        <v>-1.316</v>
      </c>
      <c r="H209" s="138" t="s">
        <v>4047</v>
      </c>
      <c r="I209" s="138" t="s">
        <v>4024</v>
      </c>
      <c r="J209" s="138" t="n">
        <v>21.346</v>
      </c>
      <c r="K209" s="138"/>
      <c r="L209" s="138"/>
      <c r="M209" s="138" t="s">
        <v>4043</v>
      </c>
    </row>
    <row r="210" customFormat="false" ht="15" hidden="false" customHeight="false" outlineLevel="0" collapsed="false">
      <c r="A210" s="138" t="s">
        <v>1860</v>
      </c>
      <c r="B210" s="138" t="n">
        <v>208</v>
      </c>
      <c r="C210" s="146" t="n">
        <v>812.356</v>
      </c>
      <c r="D210" s="146" t="n">
        <v>811.273</v>
      </c>
      <c r="E210" s="146" t="n">
        <f aca="false">D210-C210</f>
        <v>-1.08299999999997</v>
      </c>
      <c r="F210" s="138" t="str">
        <f aca="false">IF(E210&gt;=0,"Aterro","Corte")</f>
        <v>Corte</v>
      </c>
      <c r="G210" s="138" t="n">
        <v>-1.316</v>
      </c>
      <c r="H210" s="138" t="s">
        <v>4047</v>
      </c>
      <c r="I210" s="138" t="s">
        <v>4024</v>
      </c>
      <c r="J210" s="138" t="n">
        <v>21.346</v>
      </c>
      <c r="K210" s="138"/>
      <c r="L210" s="138"/>
      <c r="M210" s="138" t="s">
        <v>4043</v>
      </c>
    </row>
    <row r="211" customFormat="false" ht="15" hidden="false" customHeight="false" outlineLevel="0" collapsed="false">
      <c r="A211" s="138" t="s">
        <v>1861</v>
      </c>
      <c r="B211" s="138" t="n">
        <v>209</v>
      </c>
      <c r="C211" s="146" t="n">
        <v>811.559</v>
      </c>
      <c r="D211" s="146" t="n">
        <v>810.542</v>
      </c>
      <c r="E211" s="146" t="n">
        <f aca="false">D211-C211</f>
        <v>-1.01699999999994</v>
      </c>
      <c r="F211" s="138" t="str">
        <f aca="false">IF(E211&gt;=0,"Aterro","Corte")</f>
        <v>Corte</v>
      </c>
      <c r="G211" s="138" t="n">
        <v>-6</v>
      </c>
      <c r="H211" s="138" t="s">
        <v>4047</v>
      </c>
      <c r="I211" s="138" t="s">
        <v>4024</v>
      </c>
      <c r="J211" s="138" t="n">
        <v>21.346</v>
      </c>
      <c r="K211" s="138"/>
      <c r="L211" s="138"/>
      <c r="M211" s="138" t="s">
        <v>4043</v>
      </c>
    </row>
    <row r="212" customFormat="false" ht="15" hidden="false" customHeight="false" outlineLevel="0" collapsed="false">
      <c r="A212" s="138" t="s">
        <v>1862</v>
      </c>
      <c r="B212" s="138" t="n">
        <v>210</v>
      </c>
      <c r="C212" s="146" t="n">
        <v>810.265</v>
      </c>
      <c r="D212" s="146" t="n">
        <v>809.623</v>
      </c>
      <c r="E212" s="146" t="n">
        <f aca="false">D212-C212</f>
        <v>-0.641999999999939</v>
      </c>
      <c r="F212" s="138" t="str">
        <f aca="false">IF(E212&gt;=0,"Aterro","Corte")</f>
        <v>Corte</v>
      </c>
      <c r="G212" s="138" t="n">
        <v>-6</v>
      </c>
      <c r="H212" s="138" t="s">
        <v>4047</v>
      </c>
      <c r="I212" s="138" t="s">
        <v>4024</v>
      </c>
      <c r="J212" s="138" t="n">
        <v>21.346</v>
      </c>
      <c r="K212" s="138"/>
      <c r="L212" s="138"/>
      <c r="M212" s="138" t="s">
        <v>4043</v>
      </c>
    </row>
    <row r="213" customFormat="false" ht="15" hidden="false" customHeight="false" outlineLevel="0" collapsed="false">
      <c r="A213" s="138" t="s">
        <v>1863</v>
      </c>
      <c r="B213" s="138" t="n">
        <v>211</v>
      </c>
      <c r="C213" s="146" t="n">
        <v>808.717</v>
      </c>
      <c r="D213" s="146" t="n">
        <v>808.516</v>
      </c>
      <c r="E213" s="146" t="n">
        <f aca="false">D213-C213</f>
        <v>-0.201000000000022</v>
      </c>
      <c r="F213" s="138" t="str">
        <f aca="false">IF(E213&gt;=0,"Aterro","Corte")</f>
        <v>Corte</v>
      </c>
      <c r="G213" s="138" t="n">
        <v>-6</v>
      </c>
      <c r="H213" s="138" t="s">
        <v>4047</v>
      </c>
      <c r="I213" s="138" t="s">
        <v>4024</v>
      </c>
      <c r="J213" s="138" t="n">
        <v>21.346</v>
      </c>
      <c r="K213" s="138"/>
      <c r="L213" s="138"/>
      <c r="M213" s="138" t="s">
        <v>4043</v>
      </c>
    </row>
    <row r="214" customFormat="false" ht="15" hidden="false" customHeight="false" outlineLevel="0" collapsed="false">
      <c r="A214" s="138" t="s">
        <v>1864</v>
      </c>
      <c r="B214" s="138" t="n">
        <v>212</v>
      </c>
      <c r="C214" s="146" t="n">
        <v>807.276</v>
      </c>
      <c r="D214" s="146" t="n">
        <v>807.316</v>
      </c>
      <c r="E214" s="146" t="n">
        <f aca="false">D214-C214</f>
        <v>0.0400000000000773</v>
      </c>
      <c r="F214" s="138" t="str">
        <f aca="false">IF(E214&gt;=0,"Aterro","Corte")</f>
        <v>Aterro</v>
      </c>
      <c r="G214" s="138" t="n">
        <v>-6</v>
      </c>
      <c r="H214" s="138"/>
      <c r="I214" s="138"/>
      <c r="J214" s="138"/>
      <c r="K214" s="138"/>
      <c r="L214" s="138"/>
      <c r="M214" s="138" t="s">
        <v>4043</v>
      </c>
    </row>
    <row r="215" customFormat="false" ht="15" hidden="false" customHeight="false" outlineLevel="0" collapsed="false">
      <c r="A215" s="138" t="s">
        <v>1865</v>
      </c>
      <c r="B215" s="138" t="n">
        <v>213</v>
      </c>
      <c r="C215" s="146" t="n">
        <v>806.047</v>
      </c>
      <c r="D215" s="146" t="n">
        <v>806.185</v>
      </c>
      <c r="E215" s="146" t="n">
        <f aca="false">D215-C215</f>
        <v>0.13799999999992</v>
      </c>
      <c r="F215" s="138" t="str">
        <f aca="false">IF(E215&gt;=0,"Aterro","Corte")</f>
        <v>Aterro</v>
      </c>
      <c r="G215" s="138" t="n">
        <v>-6</v>
      </c>
      <c r="H215" s="138" t="s">
        <v>4048</v>
      </c>
      <c r="I215" s="138" t="s">
        <v>4021</v>
      </c>
      <c r="J215" s="138" t="n">
        <v>18.314</v>
      </c>
      <c r="K215" s="138"/>
      <c r="L215" s="138"/>
      <c r="M215" s="138" t="s">
        <v>4043</v>
      </c>
    </row>
    <row r="216" customFormat="false" ht="15" hidden="false" customHeight="false" outlineLevel="0" collapsed="false">
      <c r="A216" s="138" t="s">
        <v>1866</v>
      </c>
      <c r="B216" s="138" t="n">
        <v>214</v>
      </c>
      <c r="C216" s="146" t="n">
        <v>805.128</v>
      </c>
      <c r="D216" s="146" t="n">
        <v>805.267</v>
      </c>
      <c r="E216" s="146" t="n">
        <f aca="false">D216-C216</f>
        <v>0.13900000000001</v>
      </c>
      <c r="F216" s="138" t="str">
        <f aca="false">IF(E216&gt;=0,"Aterro","Corte")</f>
        <v>Aterro</v>
      </c>
      <c r="G216" s="138" t="n">
        <v>-2.178</v>
      </c>
      <c r="H216" s="138" t="s">
        <v>4048</v>
      </c>
      <c r="I216" s="138" t="s">
        <v>4021</v>
      </c>
      <c r="J216" s="138" t="n">
        <v>18.314</v>
      </c>
      <c r="K216" s="138"/>
      <c r="L216" s="138"/>
      <c r="M216" s="138" t="s">
        <v>4043</v>
      </c>
    </row>
    <row r="217" customFormat="false" ht="15" hidden="false" customHeight="false" outlineLevel="0" collapsed="false">
      <c r="A217" s="138" t="s">
        <v>1867</v>
      </c>
      <c r="B217" s="138" t="n">
        <v>215</v>
      </c>
      <c r="C217" s="146" t="n">
        <v>804.489</v>
      </c>
      <c r="D217" s="146" t="n">
        <v>804.567</v>
      </c>
      <c r="E217" s="146" t="n">
        <f aca="false">D217-C217</f>
        <v>0.0779999999999745</v>
      </c>
      <c r="F217" s="138" t="str">
        <f aca="false">IF(E217&gt;=0,"Aterro","Corte")</f>
        <v>Aterro</v>
      </c>
      <c r="G217" s="138" t="n">
        <v>-2.178</v>
      </c>
      <c r="H217" s="138" t="s">
        <v>4048</v>
      </c>
      <c r="I217" s="138" t="s">
        <v>4021</v>
      </c>
      <c r="J217" s="138" t="n">
        <v>18.314</v>
      </c>
      <c r="K217" s="138"/>
      <c r="L217" s="138"/>
      <c r="M217" s="138" t="s">
        <v>4043</v>
      </c>
    </row>
    <row r="218" customFormat="false" ht="15" hidden="false" customHeight="false" outlineLevel="0" collapsed="false">
      <c r="A218" s="138" t="s">
        <v>1868</v>
      </c>
      <c r="B218" s="138" t="n">
        <v>216</v>
      </c>
      <c r="C218" s="146" t="n">
        <v>804.046</v>
      </c>
      <c r="D218" s="146" t="n">
        <v>804.077</v>
      </c>
      <c r="E218" s="146" t="n">
        <f aca="false">D218-C218</f>
        <v>0.0309999999999491</v>
      </c>
      <c r="F218" s="138" t="str">
        <f aca="false">IF(E218&gt;=0,"Aterro","Corte")</f>
        <v>Aterro</v>
      </c>
      <c r="G218" s="138" t="n">
        <v>-2.178</v>
      </c>
      <c r="H218" s="138"/>
      <c r="I218" s="138"/>
      <c r="J218" s="138"/>
      <c r="K218" s="138"/>
      <c r="L218" s="138"/>
      <c r="M218" s="138" t="s">
        <v>4043</v>
      </c>
    </row>
    <row r="219" customFormat="false" ht="15" hidden="false" customHeight="false" outlineLevel="0" collapsed="false">
      <c r="A219" s="138" t="s">
        <v>1869</v>
      </c>
      <c r="B219" s="138" t="n">
        <v>217</v>
      </c>
      <c r="C219" s="146" t="n">
        <v>803.636</v>
      </c>
      <c r="D219" s="146" t="n">
        <v>803.632</v>
      </c>
      <c r="E219" s="146" t="n">
        <f aca="false">D219-C219</f>
        <v>-0.0040000000000191</v>
      </c>
      <c r="F219" s="138" t="str">
        <f aca="false">IF(E219&gt;=0,"Aterro","Corte")</f>
        <v>Corte</v>
      </c>
      <c r="G219" s="138" t="n">
        <v>-2.178</v>
      </c>
      <c r="H219" s="138" t="s">
        <v>4049</v>
      </c>
      <c r="I219" s="138" t="s">
        <v>4024</v>
      </c>
      <c r="J219" s="138" t="n">
        <v>26.163</v>
      </c>
      <c r="K219" s="138"/>
      <c r="L219" s="138"/>
      <c r="M219" s="138" t="s">
        <v>4050</v>
      </c>
    </row>
    <row r="220" customFormat="false" ht="15" hidden="false" customHeight="false" outlineLevel="0" collapsed="false">
      <c r="A220" s="138" t="s">
        <v>1870</v>
      </c>
      <c r="B220" s="138" t="n">
        <v>218</v>
      </c>
      <c r="C220" s="146" t="n">
        <v>803.081</v>
      </c>
      <c r="D220" s="146" t="n">
        <v>803.066</v>
      </c>
      <c r="E220" s="146" t="n">
        <f aca="false">D220-C220</f>
        <v>-0.0149999999999864</v>
      </c>
      <c r="F220" s="138" t="str">
        <f aca="false">IF(E220&gt;=0,"Aterro","Corte")</f>
        <v>Corte</v>
      </c>
      <c r="G220" s="138" t="n">
        <v>-2.178</v>
      </c>
      <c r="H220" s="138" t="s">
        <v>4049</v>
      </c>
      <c r="I220" s="138" t="s">
        <v>4024</v>
      </c>
      <c r="J220" s="138" t="n">
        <v>26.163</v>
      </c>
      <c r="K220" s="138"/>
      <c r="L220" s="138"/>
      <c r="M220" s="138" t="s">
        <v>4050</v>
      </c>
    </row>
    <row r="221" customFormat="false" ht="15" hidden="false" customHeight="false" outlineLevel="0" collapsed="false">
      <c r="A221" s="138" t="s">
        <v>1871</v>
      </c>
      <c r="B221" s="138" t="n">
        <v>219</v>
      </c>
      <c r="C221" s="146" t="n">
        <v>802.346</v>
      </c>
      <c r="D221" s="146" t="n">
        <v>802.347</v>
      </c>
      <c r="E221" s="146" t="n">
        <f aca="false">D221-C221</f>
        <v>0.000999999999976353</v>
      </c>
      <c r="F221" s="138" t="str">
        <f aca="false">IF(E221&gt;=0,"Aterro","Corte")</f>
        <v>Aterro</v>
      </c>
      <c r="G221" s="138" t="n">
        <v>-2.178</v>
      </c>
      <c r="H221" s="138" t="s">
        <v>4049</v>
      </c>
      <c r="I221" s="138" t="s">
        <v>4024</v>
      </c>
      <c r="J221" s="138" t="n">
        <v>26.163</v>
      </c>
      <c r="K221" s="138"/>
      <c r="L221" s="138"/>
      <c r="M221" s="138" t="s">
        <v>4050</v>
      </c>
    </row>
    <row r="222" customFormat="false" ht="15" hidden="false" customHeight="false" outlineLevel="0" collapsed="false">
      <c r="A222" s="138" t="s">
        <v>1872</v>
      </c>
      <c r="B222" s="138" t="n">
        <v>220</v>
      </c>
      <c r="C222" s="146" t="n">
        <v>801.448</v>
      </c>
      <c r="D222" s="146" t="n">
        <v>801.476</v>
      </c>
      <c r="E222" s="146" t="n">
        <f aca="false">D222-C222</f>
        <v>0.02800000000002</v>
      </c>
      <c r="F222" s="138" t="str">
        <f aca="false">IF(E222&gt;=0,"Aterro","Corte")</f>
        <v>Aterro</v>
      </c>
      <c r="G222" s="138" t="n">
        <v>-6</v>
      </c>
      <c r="H222" s="138" t="s">
        <v>4049</v>
      </c>
      <c r="I222" s="138" t="s">
        <v>4024</v>
      </c>
      <c r="J222" s="138" t="n">
        <v>26.163</v>
      </c>
      <c r="K222" s="138"/>
      <c r="L222" s="138"/>
      <c r="M222" s="138" t="s">
        <v>4050</v>
      </c>
    </row>
    <row r="223" customFormat="false" ht="15" hidden="false" customHeight="false" outlineLevel="0" collapsed="false">
      <c r="A223" s="138" t="s">
        <v>1873</v>
      </c>
      <c r="B223" s="138" t="n">
        <v>221</v>
      </c>
      <c r="C223" s="146" t="n">
        <v>800.498</v>
      </c>
      <c r="D223" s="146" t="n">
        <v>800.451</v>
      </c>
      <c r="E223" s="146" t="n">
        <f aca="false">D223-C223</f>
        <v>-0.0470000000000255</v>
      </c>
      <c r="F223" s="138" t="str">
        <f aca="false">IF(E223&gt;=0,"Aterro","Corte")</f>
        <v>Corte</v>
      </c>
      <c r="G223" s="138" t="n">
        <v>-6</v>
      </c>
      <c r="H223" s="138" t="s">
        <v>4049</v>
      </c>
      <c r="I223" s="138" t="s">
        <v>4024</v>
      </c>
      <c r="J223" s="138" t="n">
        <v>26.163</v>
      </c>
      <c r="K223" s="138"/>
      <c r="L223" s="138"/>
      <c r="M223" s="138" t="s">
        <v>4050</v>
      </c>
    </row>
    <row r="224" customFormat="false" ht="15" hidden="false" customHeight="false" outlineLevel="0" collapsed="false">
      <c r="A224" s="138" t="s">
        <v>1874</v>
      </c>
      <c r="B224" s="138" t="n">
        <v>222</v>
      </c>
      <c r="C224" s="146" t="n">
        <v>799.374</v>
      </c>
      <c r="D224" s="146" t="n">
        <v>799.283</v>
      </c>
      <c r="E224" s="146" t="n">
        <f aca="false">D224-C224</f>
        <v>-0.0910000000000082</v>
      </c>
      <c r="F224" s="138" t="str">
        <f aca="false">IF(E224&gt;=0,"Aterro","Corte")</f>
        <v>Corte</v>
      </c>
      <c r="G224" s="138" t="n">
        <v>-6</v>
      </c>
      <c r="H224" s="138"/>
      <c r="I224" s="138"/>
      <c r="J224" s="138"/>
      <c r="K224" s="138"/>
      <c r="L224" s="138"/>
      <c r="M224" s="138" t="s">
        <v>4050</v>
      </c>
    </row>
    <row r="225" customFormat="false" ht="15" hidden="false" customHeight="false" outlineLevel="0" collapsed="false">
      <c r="A225" s="138" t="s">
        <v>1875</v>
      </c>
      <c r="B225" s="138" t="n">
        <v>223</v>
      </c>
      <c r="C225" s="146" t="n">
        <v>798.098</v>
      </c>
      <c r="D225" s="146" t="n">
        <v>798.114</v>
      </c>
      <c r="E225" s="146" t="n">
        <f aca="false">D225-C225</f>
        <v>0.0160000000000764</v>
      </c>
      <c r="F225" s="138" t="str">
        <f aca="false">IF(E225&gt;=0,"Aterro","Corte")</f>
        <v>Aterro</v>
      </c>
      <c r="G225" s="138" t="n">
        <v>-6</v>
      </c>
      <c r="H225" s="138" t="s">
        <v>4051</v>
      </c>
      <c r="I225" s="138" t="s">
        <v>4021</v>
      </c>
      <c r="J225" s="138" t="n">
        <v>38.47</v>
      </c>
      <c r="K225" s="138"/>
      <c r="L225" s="138"/>
      <c r="M225" s="138" t="s">
        <v>4050</v>
      </c>
    </row>
    <row r="226" customFormat="false" ht="15" hidden="false" customHeight="false" outlineLevel="0" collapsed="false">
      <c r="A226" s="138" t="s">
        <v>1876</v>
      </c>
      <c r="B226" s="138" t="n">
        <v>224</v>
      </c>
      <c r="C226" s="146" t="n">
        <v>796.87</v>
      </c>
      <c r="D226" s="146" t="n">
        <v>797.045</v>
      </c>
      <c r="E226" s="146" t="n">
        <f aca="false">D226-C226</f>
        <v>0.174999999999955</v>
      </c>
      <c r="F226" s="138" t="str">
        <f aca="false">IF(E226&gt;=0,"Aterro","Corte")</f>
        <v>Aterro</v>
      </c>
      <c r="G226" s="138" t="n">
        <v>-6</v>
      </c>
      <c r="H226" s="138" t="s">
        <v>4051</v>
      </c>
      <c r="I226" s="138" t="s">
        <v>4021</v>
      </c>
      <c r="J226" s="138" t="n">
        <v>38.47</v>
      </c>
      <c r="K226" s="138"/>
      <c r="L226" s="138"/>
      <c r="M226" s="138" t="s">
        <v>4050</v>
      </c>
    </row>
    <row r="227" customFormat="false" ht="15" hidden="false" customHeight="false" outlineLevel="0" collapsed="false">
      <c r="A227" s="138" t="s">
        <v>1877</v>
      </c>
      <c r="B227" s="138" t="n">
        <v>225</v>
      </c>
      <c r="C227" s="146" t="n">
        <v>795.786</v>
      </c>
      <c r="D227" s="146" t="n">
        <v>796.08</v>
      </c>
      <c r="E227" s="146" t="n">
        <f aca="false">D227-C227</f>
        <v>0.294000000000096</v>
      </c>
      <c r="F227" s="138" t="str">
        <f aca="false">IF(E227&gt;=0,"Aterro","Corte")</f>
        <v>Aterro</v>
      </c>
      <c r="G227" s="138" t="n">
        <v>-3.4</v>
      </c>
      <c r="H227" s="138" t="s">
        <v>4051</v>
      </c>
      <c r="I227" s="138" t="s">
        <v>4021</v>
      </c>
      <c r="J227" s="138" t="n">
        <v>38.47</v>
      </c>
      <c r="K227" s="138"/>
      <c r="L227" s="138"/>
      <c r="M227" s="138" t="s">
        <v>4050</v>
      </c>
    </row>
    <row r="228" customFormat="false" ht="15" hidden="false" customHeight="false" outlineLevel="0" collapsed="false">
      <c r="A228" s="138" t="s">
        <v>1878</v>
      </c>
      <c r="B228" s="138" t="n">
        <v>226</v>
      </c>
      <c r="C228" s="146" t="n">
        <v>794.949</v>
      </c>
      <c r="D228" s="146" t="n">
        <v>795.22</v>
      </c>
      <c r="E228" s="146" t="n">
        <f aca="false">D228-C228</f>
        <v>0.271000000000072</v>
      </c>
      <c r="F228" s="138" t="str">
        <f aca="false">IF(E228&gt;=0,"Aterro","Corte")</f>
        <v>Aterro</v>
      </c>
      <c r="G228" s="138" t="n">
        <v>-3.4</v>
      </c>
      <c r="H228" s="138" t="s">
        <v>4051</v>
      </c>
      <c r="I228" s="138" t="s">
        <v>4021</v>
      </c>
      <c r="J228" s="138" t="n">
        <v>38.47</v>
      </c>
      <c r="K228" s="138"/>
      <c r="L228" s="138"/>
      <c r="M228" s="138" t="s">
        <v>4050</v>
      </c>
    </row>
    <row r="229" customFormat="false" ht="15" hidden="false" customHeight="false" outlineLevel="0" collapsed="false">
      <c r="A229" s="138" t="s">
        <v>1879</v>
      </c>
      <c r="B229" s="138" t="n">
        <v>227</v>
      </c>
      <c r="C229" s="146" t="n">
        <v>794.441</v>
      </c>
      <c r="D229" s="146" t="n">
        <v>794.463</v>
      </c>
      <c r="E229" s="146" t="n">
        <f aca="false">D229-C229</f>
        <v>0.0219999999999345</v>
      </c>
      <c r="F229" s="138" t="str">
        <f aca="false">IF(E229&gt;=0,"Aterro","Corte")</f>
        <v>Aterro</v>
      </c>
      <c r="G229" s="138" t="n">
        <v>-3.4</v>
      </c>
      <c r="H229" s="138" t="s">
        <v>4051</v>
      </c>
      <c r="I229" s="138" t="s">
        <v>4021</v>
      </c>
      <c r="J229" s="138" t="n">
        <v>38.47</v>
      </c>
      <c r="K229" s="138"/>
      <c r="L229" s="138"/>
      <c r="M229" s="138" t="s">
        <v>4050</v>
      </c>
    </row>
    <row r="230" customFormat="false" ht="15" hidden="false" customHeight="false" outlineLevel="0" collapsed="false">
      <c r="A230" s="138" t="s">
        <v>1880</v>
      </c>
      <c r="B230" s="138" t="n">
        <v>228</v>
      </c>
      <c r="C230" s="146" t="n">
        <v>794.049</v>
      </c>
      <c r="D230" s="146" t="n">
        <v>793.78</v>
      </c>
      <c r="E230" s="146" t="n">
        <f aca="false">D230-C230</f>
        <v>-0.269000000000005</v>
      </c>
      <c r="F230" s="138" t="str">
        <f aca="false">IF(E230&gt;=0,"Aterro","Corte")</f>
        <v>Corte</v>
      </c>
      <c r="G230" s="138" t="n">
        <v>-3.4</v>
      </c>
      <c r="H230" s="138"/>
      <c r="I230" s="138"/>
      <c r="J230" s="138"/>
      <c r="K230" s="138"/>
      <c r="L230" s="138"/>
      <c r="M230" s="138" t="s">
        <v>4050</v>
      </c>
    </row>
    <row r="231" customFormat="false" ht="15" hidden="false" customHeight="false" outlineLevel="0" collapsed="false">
      <c r="A231" s="138" t="s">
        <v>1881</v>
      </c>
      <c r="B231" s="138" t="n">
        <v>229</v>
      </c>
      <c r="C231" s="146" t="n">
        <v>793.606</v>
      </c>
      <c r="D231" s="146" t="n">
        <v>793.1</v>
      </c>
      <c r="E231" s="146" t="n">
        <f aca="false">D231-C231</f>
        <v>-0.505999999999972</v>
      </c>
      <c r="F231" s="138" t="str">
        <f aca="false">IF(E231&gt;=0,"Aterro","Corte")</f>
        <v>Corte</v>
      </c>
      <c r="G231" s="138" t="n">
        <v>-3.4</v>
      </c>
      <c r="H231" s="138"/>
      <c r="I231" s="138"/>
      <c r="J231" s="138"/>
      <c r="K231" s="138"/>
      <c r="L231" s="138"/>
      <c r="M231" s="138" t="s">
        <v>4050</v>
      </c>
    </row>
    <row r="232" customFormat="false" ht="15" hidden="false" customHeight="false" outlineLevel="0" collapsed="false">
      <c r="A232" s="138" t="s">
        <v>1882</v>
      </c>
      <c r="B232" s="138" t="n">
        <v>230</v>
      </c>
      <c r="C232" s="146" t="n">
        <v>792.975</v>
      </c>
      <c r="D232" s="146" t="n">
        <v>792.42</v>
      </c>
      <c r="E232" s="146" t="n">
        <f aca="false">D232-C232</f>
        <v>-0.555000000000064</v>
      </c>
      <c r="F232" s="138" t="str">
        <f aca="false">IF(E232&gt;=0,"Aterro","Corte")</f>
        <v>Corte</v>
      </c>
      <c r="G232" s="138" t="n">
        <v>-3.4</v>
      </c>
      <c r="H232" s="138"/>
      <c r="I232" s="138"/>
      <c r="J232" s="138"/>
      <c r="K232" s="138"/>
      <c r="L232" s="138"/>
      <c r="M232" s="138" t="s">
        <v>4050</v>
      </c>
    </row>
    <row r="233" customFormat="false" ht="15" hidden="false" customHeight="false" outlineLevel="0" collapsed="false">
      <c r="A233" s="138" t="s">
        <v>1883</v>
      </c>
      <c r="B233" s="138" t="n">
        <v>231</v>
      </c>
      <c r="C233" s="146" t="n">
        <v>792.114</v>
      </c>
      <c r="D233" s="146" t="n">
        <v>791.74</v>
      </c>
      <c r="E233" s="146" t="n">
        <f aca="false">D233-C233</f>
        <v>-0.374000000000024</v>
      </c>
      <c r="F233" s="138" t="str">
        <f aca="false">IF(E233&gt;=0,"Aterro","Corte")</f>
        <v>Corte</v>
      </c>
      <c r="G233" s="138" t="n">
        <v>-3.4</v>
      </c>
      <c r="H233" s="138"/>
      <c r="I233" s="138"/>
      <c r="J233" s="138"/>
      <c r="K233" s="138"/>
      <c r="L233" s="138"/>
      <c r="M233" s="138" t="s">
        <v>4050</v>
      </c>
    </row>
    <row r="234" customFormat="false" ht="15" hidden="false" customHeight="false" outlineLevel="0" collapsed="false">
      <c r="A234" s="138" t="s">
        <v>1884</v>
      </c>
      <c r="B234" s="138" t="n">
        <v>232</v>
      </c>
      <c r="C234" s="146" t="n">
        <v>791.161</v>
      </c>
      <c r="D234" s="146" t="n">
        <v>791.06</v>
      </c>
      <c r="E234" s="146" t="n">
        <f aca="false">D234-C234</f>
        <v>-0.100999999999999</v>
      </c>
      <c r="F234" s="138" t="str">
        <f aca="false">IF(E234&gt;=0,"Aterro","Corte")</f>
        <v>Corte</v>
      </c>
      <c r="G234" s="138" t="n">
        <v>-3.4</v>
      </c>
      <c r="H234" s="138"/>
      <c r="I234" s="138"/>
      <c r="J234" s="138"/>
      <c r="K234" s="138"/>
      <c r="L234" s="138"/>
      <c r="M234" s="138" t="s">
        <v>4050</v>
      </c>
    </row>
    <row r="235" customFormat="false" ht="15" hidden="false" customHeight="false" outlineLevel="0" collapsed="false">
      <c r="A235" s="138" t="s">
        <v>1885</v>
      </c>
      <c r="B235" s="138" t="n">
        <v>233</v>
      </c>
      <c r="C235" s="146" t="n">
        <v>789.97</v>
      </c>
      <c r="D235" s="146" t="n">
        <v>790.454</v>
      </c>
      <c r="E235" s="146" t="n">
        <f aca="false">D235-C235</f>
        <v>0.483999999999924</v>
      </c>
      <c r="F235" s="138" t="str">
        <f aca="false">IF(E235&gt;=0,"Aterro","Corte")</f>
        <v>Aterro</v>
      </c>
      <c r="G235" s="138" t="n">
        <v>-3.4</v>
      </c>
      <c r="H235" s="138" t="s">
        <v>4052</v>
      </c>
      <c r="I235" s="138" t="s">
        <v>4021</v>
      </c>
      <c r="J235" s="138" t="n">
        <v>15.998</v>
      </c>
      <c r="K235" s="138"/>
      <c r="L235" s="138"/>
      <c r="M235" s="138" t="s">
        <v>4050</v>
      </c>
    </row>
    <row r="236" customFormat="false" ht="15" hidden="false" customHeight="false" outlineLevel="0" collapsed="false">
      <c r="A236" s="138" t="s">
        <v>1886</v>
      </c>
      <c r="B236" s="138" t="n">
        <v>234</v>
      </c>
      <c r="C236" s="146" t="n">
        <v>788.725</v>
      </c>
      <c r="D236" s="146" t="n">
        <v>790.092</v>
      </c>
      <c r="E236" s="146" t="n">
        <f aca="false">D236-C236</f>
        <v>1.36699999999996</v>
      </c>
      <c r="F236" s="138" t="str">
        <f aca="false">IF(E236&gt;=0,"Aterro","Corte")</f>
        <v>Aterro</v>
      </c>
      <c r="G236" s="138" t="n">
        <v>0.35</v>
      </c>
      <c r="H236" s="138" t="s">
        <v>4052</v>
      </c>
      <c r="I236" s="138" t="s">
        <v>4021</v>
      </c>
      <c r="J236" s="138" t="n">
        <v>15.998</v>
      </c>
      <c r="K236" s="138"/>
      <c r="L236" s="138"/>
      <c r="M236" s="138" t="s">
        <v>4050</v>
      </c>
    </row>
    <row r="237" customFormat="false" ht="15" hidden="false" customHeight="false" outlineLevel="0" collapsed="false">
      <c r="A237" s="138" t="s">
        <v>1887</v>
      </c>
      <c r="B237" s="138" t="n">
        <v>235</v>
      </c>
      <c r="C237" s="146" t="n">
        <v>788.008</v>
      </c>
      <c r="D237" s="146" t="n">
        <v>789.98</v>
      </c>
      <c r="E237" s="146" t="n">
        <f aca="false">D237-C237</f>
        <v>1.97199999999998</v>
      </c>
      <c r="F237" s="138" t="str">
        <f aca="false">IF(E237&gt;=0,"Aterro","Corte")</f>
        <v>Aterro</v>
      </c>
      <c r="G237" s="138" t="n">
        <v>0.35</v>
      </c>
      <c r="H237" s="138" t="s">
        <v>4052</v>
      </c>
      <c r="I237" s="138" t="s">
        <v>4021</v>
      </c>
      <c r="J237" s="138" t="n">
        <v>15.998</v>
      </c>
      <c r="K237" s="138"/>
      <c r="L237" s="138"/>
      <c r="M237" s="138" t="s">
        <v>4050</v>
      </c>
    </row>
    <row r="238" customFormat="false" ht="15" hidden="false" customHeight="false" outlineLevel="0" collapsed="false">
      <c r="A238" s="138" t="s">
        <v>1889</v>
      </c>
      <c r="B238" s="138" t="n">
        <v>236</v>
      </c>
      <c r="C238" s="146" t="n">
        <v>783.471</v>
      </c>
      <c r="D238" s="146" t="n">
        <v>790.044</v>
      </c>
      <c r="E238" s="146" t="n">
        <f aca="false">D238-C238</f>
        <v>6.57299999999998</v>
      </c>
      <c r="F238" s="138" t="str">
        <f aca="false">IF(E238&gt;=0,"Aterro","Corte")</f>
        <v>Aterro</v>
      </c>
      <c r="G238" s="138" t="n">
        <v>0.35</v>
      </c>
      <c r="H238" s="138"/>
      <c r="I238" s="138"/>
      <c r="J238" s="138"/>
      <c r="K238" s="138"/>
      <c r="L238" s="138"/>
      <c r="M238" s="138" t="s">
        <v>4050</v>
      </c>
    </row>
    <row r="239" customFormat="false" ht="15" hidden="false" customHeight="false" outlineLevel="0" collapsed="false">
      <c r="A239" s="138" t="s">
        <v>1890</v>
      </c>
      <c r="B239" s="138" t="n">
        <v>237</v>
      </c>
      <c r="C239" s="146" t="n">
        <v>787.742</v>
      </c>
      <c r="D239" s="146" t="n">
        <v>790.114</v>
      </c>
      <c r="E239" s="146" t="n">
        <f aca="false">D239-C239</f>
        <v>2.37200000000007</v>
      </c>
      <c r="F239" s="138" t="str">
        <f aca="false">IF(E239&gt;=0,"Aterro","Corte")</f>
        <v>Aterro</v>
      </c>
      <c r="G239" s="138" t="n">
        <v>0.35</v>
      </c>
      <c r="H239" s="138"/>
      <c r="I239" s="138"/>
      <c r="J239" s="138"/>
      <c r="K239" s="138"/>
      <c r="L239" s="138"/>
      <c r="M239" s="138" t="s">
        <v>4050</v>
      </c>
    </row>
    <row r="240" customFormat="false" ht="15" hidden="false" customHeight="false" outlineLevel="0" collapsed="false">
      <c r="A240" s="138" t="s">
        <v>1891</v>
      </c>
      <c r="B240" s="138" t="n">
        <v>238</v>
      </c>
      <c r="C240" s="146" t="n">
        <v>788.156</v>
      </c>
      <c r="D240" s="146" t="n">
        <v>790.211</v>
      </c>
      <c r="E240" s="146" t="n">
        <f aca="false">D240-C240</f>
        <v>2.05500000000006</v>
      </c>
      <c r="F240" s="138" t="str">
        <f aca="false">IF(E240&gt;=0,"Aterro","Corte")</f>
        <v>Aterro</v>
      </c>
      <c r="G240" s="138" t="n">
        <v>0.35</v>
      </c>
      <c r="H240" s="138" t="s">
        <v>4053</v>
      </c>
      <c r="I240" s="138" t="s">
        <v>4021</v>
      </c>
      <c r="J240" s="138" t="n">
        <v>16.778</v>
      </c>
      <c r="K240" s="138"/>
      <c r="L240" s="138"/>
      <c r="M240" s="138" t="s">
        <v>4050</v>
      </c>
    </row>
    <row r="241" customFormat="false" ht="15" hidden="false" customHeight="false" outlineLevel="0" collapsed="false">
      <c r="A241" s="138" t="s">
        <v>1892</v>
      </c>
      <c r="B241" s="138" t="n">
        <v>239</v>
      </c>
      <c r="C241" s="146" t="n">
        <v>789.048</v>
      </c>
      <c r="D241" s="146" t="n">
        <v>790.515</v>
      </c>
      <c r="E241" s="146" t="n">
        <f aca="false">D241-C241</f>
        <v>1.46699999999998</v>
      </c>
      <c r="F241" s="138" t="str">
        <f aca="false">IF(E241&gt;=0,"Aterro","Corte")</f>
        <v>Aterro</v>
      </c>
      <c r="G241" s="138" t="n">
        <v>0.35</v>
      </c>
      <c r="H241" s="138" t="s">
        <v>4053</v>
      </c>
      <c r="I241" s="138" t="s">
        <v>4021</v>
      </c>
      <c r="J241" s="138" t="n">
        <v>16.778</v>
      </c>
      <c r="K241" s="138"/>
      <c r="L241" s="138"/>
      <c r="M241" s="138" t="s">
        <v>4050</v>
      </c>
    </row>
    <row r="242" customFormat="false" ht="15" hidden="false" customHeight="false" outlineLevel="0" collapsed="false">
      <c r="A242" s="138" t="s">
        <v>1893</v>
      </c>
      <c r="B242" s="138" t="n">
        <v>240</v>
      </c>
      <c r="C242" s="146" t="n">
        <v>790.366</v>
      </c>
      <c r="D242" s="146" t="n">
        <v>791.058</v>
      </c>
      <c r="E242" s="146" t="n">
        <f aca="false">D242-C242</f>
        <v>0.692000000000007</v>
      </c>
      <c r="F242" s="138" t="str">
        <f aca="false">IF(E242&gt;=0,"Aterro","Corte")</f>
        <v>Aterro</v>
      </c>
      <c r="G242" s="138" t="n">
        <v>5.714</v>
      </c>
      <c r="H242" s="138" t="s">
        <v>4053</v>
      </c>
      <c r="I242" s="138" t="s">
        <v>4021</v>
      </c>
      <c r="J242" s="138" t="n">
        <v>16.778</v>
      </c>
      <c r="K242" s="138"/>
      <c r="L242" s="138"/>
      <c r="M242" s="138" t="s">
        <v>4050</v>
      </c>
    </row>
    <row r="243" customFormat="false" ht="15" hidden="false" customHeight="false" outlineLevel="0" collapsed="false">
      <c r="A243" s="138" t="s">
        <v>1894</v>
      </c>
      <c r="B243" s="138" t="n">
        <v>241</v>
      </c>
      <c r="C243" s="146" t="n">
        <v>791.763</v>
      </c>
      <c r="D243" s="146" t="n">
        <v>791.838</v>
      </c>
      <c r="E243" s="146" t="n">
        <f aca="false">D243-C243</f>
        <v>0.0749999999999318</v>
      </c>
      <c r="F243" s="138" t="str">
        <f aca="false">IF(E243&gt;=0,"Aterro","Corte")</f>
        <v>Aterro</v>
      </c>
      <c r="G243" s="138" t="n">
        <v>5.714</v>
      </c>
      <c r="H243" s="138" t="s">
        <v>4053</v>
      </c>
      <c r="I243" s="138" t="s">
        <v>4021</v>
      </c>
      <c r="J243" s="138" t="n">
        <v>16.778</v>
      </c>
      <c r="K243" s="138"/>
      <c r="L243" s="138"/>
      <c r="M243" s="138" t="s">
        <v>4050</v>
      </c>
    </row>
    <row r="244" customFormat="false" ht="15" hidden="false" customHeight="false" outlineLevel="0" collapsed="false">
      <c r="A244" s="138" t="s">
        <v>1895</v>
      </c>
      <c r="B244" s="138" t="n">
        <v>242</v>
      </c>
      <c r="C244" s="146" t="n">
        <v>793.008</v>
      </c>
      <c r="D244" s="146" t="n">
        <v>792.857</v>
      </c>
      <c r="E244" s="146" t="n">
        <f aca="false">D244-C244</f>
        <v>-0.151000000000067</v>
      </c>
      <c r="F244" s="138" t="str">
        <f aca="false">IF(E244&gt;=0,"Aterro","Corte")</f>
        <v>Corte</v>
      </c>
      <c r="G244" s="138" t="n">
        <v>5.714</v>
      </c>
      <c r="H244" s="138" t="s">
        <v>4053</v>
      </c>
      <c r="I244" s="138" t="s">
        <v>4021</v>
      </c>
      <c r="J244" s="138" t="n">
        <v>16.778</v>
      </c>
      <c r="K244" s="138"/>
      <c r="L244" s="138"/>
      <c r="M244" s="138" t="s">
        <v>4050</v>
      </c>
    </row>
    <row r="245" customFormat="false" ht="15" hidden="false" customHeight="false" outlineLevel="0" collapsed="false">
      <c r="A245" s="138" t="s">
        <v>1896</v>
      </c>
      <c r="B245" s="138" t="n">
        <v>243</v>
      </c>
      <c r="C245" s="146" t="n">
        <v>794.287</v>
      </c>
      <c r="D245" s="146" t="n">
        <v>794</v>
      </c>
      <c r="E245" s="146" t="n">
        <f aca="false">D245-C245</f>
        <v>-0.287000000000035</v>
      </c>
      <c r="F245" s="138" t="str">
        <f aca="false">IF(E245&gt;=0,"Aterro","Corte")</f>
        <v>Corte</v>
      </c>
      <c r="G245" s="138" t="n">
        <v>5.714</v>
      </c>
      <c r="H245" s="138"/>
      <c r="I245" s="138"/>
      <c r="J245" s="138"/>
      <c r="K245" s="138"/>
      <c r="L245" s="138"/>
      <c r="M245" s="138" t="s">
        <v>4050</v>
      </c>
    </row>
    <row r="246" customFormat="false" ht="15" hidden="false" customHeight="false" outlineLevel="0" collapsed="false">
      <c r="A246" s="138" t="s">
        <v>1897</v>
      </c>
      <c r="B246" s="138" t="n">
        <v>244</v>
      </c>
      <c r="C246" s="146" t="n">
        <v>795.404</v>
      </c>
      <c r="D246" s="146" t="n">
        <v>795.143</v>
      </c>
      <c r="E246" s="146" t="n">
        <f aca="false">D246-C246</f>
        <v>-0.260999999999967</v>
      </c>
      <c r="F246" s="138" t="str">
        <f aca="false">IF(E246&gt;=0,"Aterro","Corte")</f>
        <v>Corte</v>
      </c>
      <c r="G246" s="138" t="n">
        <v>5.714</v>
      </c>
      <c r="H246" s="138"/>
      <c r="I246" s="138"/>
      <c r="J246" s="138"/>
      <c r="K246" s="138"/>
      <c r="L246" s="138"/>
      <c r="M246" s="138" t="s">
        <v>4050</v>
      </c>
    </row>
    <row r="247" customFormat="false" ht="15" hidden="false" customHeight="false" outlineLevel="0" collapsed="false">
      <c r="A247" s="138" t="s">
        <v>1898</v>
      </c>
      <c r="B247" s="138" t="n">
        <v>245</v>
      </c>
      <c r="C247" s="146" t="n">
        <v>796.232</v>
      </c>
      <c r="D247" s="146" t="n">
        <v>796.286</v>
      </c>
      <c r="E247" s="146" t="n">
        <f aca="false">D247-C247</f>
        <v>0.0539999999999736</v>
      </c>
      <c r="F247" s="138" t="str">
        <f aca="false">IF(E247&gt;=0,"Aterro","Corte")</f>
        <v>Aterro</v>
      </c>
      <c r="G247" s="138" t="n">
        <v>5.714</v>
      </c>
      <c r="H247" s="138"/>
      <c r="I247" s="138"/>
      <c r="J247" s="138"/>
      <c r="K247" s="138"/>
      <c r="L247" s="138"/>
      <c r="M247" s="138" t="s">
        <v>4050</v>
      </c>
    </row>
    <row r="248" customFormat="false" ht="15" hidden="false" customHeight="false" outlineLevel="0" collapsed="false">
      <c r="A248" s="138" t="s">
        <v>1899</v>
      </c>
      <c r="B248" s="138" t="n">
        <v>246</v>
      </c>
      <c r="C248" s="146" t="n">
        <v>796.874</v>
      </c>
      <c r="D248" s="146" t="n">
        <v>797.429</v>
      </c>
      <c r="E248" s="146" t="n">
        <f aca="false">D248-C248</f>
        <v>0.55499999999995</v>
      </c>
      <c r="F248" s="138" t="str">
        <f aca="false">IF(E248&gt;=0,"Aterro","Corte")</f>
        <v>Aterro</v>
      </c>
      <c r="G248" s="138" t="n">
        <v>5.714</v>
      </c>
      <c r="H248" s="138"/>
      <c r="I248" s="138"/>
      <c r="J248" s="138"/>
      <c r="K248" s="138"/>
      <c r="L248" s="138"/>
      <c r="M248" s="138" t="s">
        <v>4050</v>
      </c>
    </row>
    <row r="249" customFormat="false" ht="15" hidden="false" customHeight="false" outlineLevel="0" collapsed="false">
      <c r="A249" s="138" t="s">
        <v>1900</v>
      </c>
      <c r="B249" s="138" t="n">
        <v>247</v>
      </c>
      <c r="C249" s="146" t="n">
        <v>797.436</v>
      </c>
      <c r="D249" s="146" t="n">
        <v>798.571</v>
      </c>
      <c r="E249" s="146" t="n">
        <f aca="false">D249-C249</f>
        <v>1.13499999999999</v>
      </c>
      <c r="F249" s="138" t="str">
        <f aca="false">IF(E249&gt;=0,"Aterro","Corte")</f>
        <v>Aterro</v>
      </c>
      <c r="G249" s="138" t="n">
        <v>5.714</v>
      </c>
      <c r="H249" s="138"/>
      <c r="I249" s="138"/>
      <c r="J249" s="138"/>
      <c r="K249" s="138"/>
      <c r="L249" s="138"/>
      <c r="M249" s="138" t="s">
        <v>4050</v>
      </c>
    </row>
    <row r="250" customFormat="false" ht="15" hidden="false" customHeight="false" outlineLevel="0" collapsed="false">
      <c r="A250" s="138" t="s">
        <v>1901</v>
      </c>
      <c r="B250" s="138" t="n">
        <v>248</v>
      </c>
      <c r="C250" s="146" t="n">
        <v>798.079</v>
      </c>
      <c r="D250" s="146" t="n">
        <v>799.714</v>
      </c>
      <c r="E250" s="146" t="n">
        <f aca="false">D250-C250</f>
        <v>1.6350000000001</v>
      </c>
      <c r="F250" s="138" t="str">
        <f aca="false">IF(E250&gt;=0,"Aterro","Corte")</f>
        <v>Aterro</v>
      </c>
      <c r="G250" s="138" t="n">
        <v>5.714</v>
      </c>
      <c r="H250" s="138"/>
      <c r="I250" s="138"/>
      <c r="J250" s="138"/>
      <c r="K250" s="138"/>
      <c r="L250" s="138"/>
      <c r="M250" s="138" t="s">
        <v>4050</v>
      </c>
    </row>
    <row r="251" customFormat="false" ht="15" hidden="false" customHeight="false" outlineLevel="0" collapsed="false">
      <c r="A251" s="138" t="s">
        <v>1902</v>
      </c>
      <c r="B251" s="138" t="n">
        <v>249</v>
      </c>
      <c r="C251" s="146" t="n">
        <v>798.948</v>
      </c>
      <c r="D251" s="146" t="n">
        <v>800.857</v>
      </c>
      <c r="E251" s="146" t="n">
        <f aca="false">D251-C251</f>
        <v>1.90899999999999</v>
      </c>
      <c r="F251" s="138" t="str">
        <f aca="false">IF(E251&gt;=0,"Aterro","Corte")</f>
        <v>Aterro</v>
      </c>
      <c r="G251" s="138" t="n">
        <v>5.714</v>
      </c>
      <c r="H251" s="138"/>
      <c r="I251" s="138"/>
      <c r="J251" s="138"/>
      <c r="K251" s="138"/>
      <c r="L251" s="138"/>
      <c r="M251" s="138" t="s">
        <v>4050</v>
      </c>
    </row>
    <row r="252" customFormat="false" ht="15" hidden="false" customHeight="false" outlineLevel="0" collapsed="false">
      <c r="A252" s="138" t="s">
        <v>1903</v>
      </c>
      <c r="B252" s="138" t="n">
        <v>250</v>
      </c>
      <c r="C252" s="146" t="n">
        <v>800.032</v>
      </c>
      <c r="D252" s="146" t="n">
        <v>802</v>
      </c>
      <c r="E252" s="146" t="n">
        <f aca="false">D252-C252</f>
        <v>1.96799999999996</v>
      </c>
      <c r="F252" s="138" t="str">
        <f aca="false">IF(E252&gt;=0,"Aterro","Corte")</f>
        <v>Aterro</v>
      </c>
      <c r="G252" s="138" t="n">
        <v>5.714</v>
      </c>
      <c r="H252" s="138"/>
      <c r="I252" s="138"/>
      <c r="J252" s="138"/>
      <c r="K252" s="138"/>
      <c r="L252" s="138"/>
      <c r="M252" s="138" t="s">
        <v>4050</v>
      </c>
    </row>
    <row r="253" customFormat="false" ht="15" hidden="false" customHeight="false" outlineLevel="0" collapsed="false">
      <c r="A253" s="138" t="s">
        <v>1904</v>
      </c>
      <c r="B253" s="138" t="n">
        <v>251</v>
      </c>
      <c r="C253" s="146" t="n">
        <v>801.218</v>
      </c>
      <c r="D253" s="146" t="n">
        <v>803.143</v>
      </c>
      <c r="E253" s="146" t="n">
        <f aca="false">D253-C253</f>
        <v>1.92500000000007</v>
      </c>
      <c r="F253" s="138" t="str">
        <f aca="false">IF(E253&gt;=0,"Aterro","Corte")</f>
        <v>Aterro</v>
      </c>
      <c r="G253" s="138" t="n">
        <v>5.714</v>
      </c>
      <c r="H253" s="138"/>
      <c r="I253" s="138"/>
      <c r="J253" s="138"/>
      <c r="K253" s="138"/>
      <c r="L253" s="138"/>
      <c r="M253" s="138" t="s">
        <v>4050</v>
      </c>
    </row>
    <row r="254" customFormat="false" ht="15" hidden="false" customHeight="false" outlineLevel="0" collapsed="false">
      <c r="A254" s="138" t="s">
        <v>1905</v>
      </c>
      <c r="B254" s="138" t="n">
        <v>252</v>
      </c>
      <c r="C254" s="146" t="n">
        <v>802.443</v>
      </c>
      <c r="D254" s="146" t="n">
        <v>804.286</v>
      </c>
      <c r="E254" s="146" t="n">
        <f aca="false">D254-C254</f>
        <v>1.84299999999996</v>
      </c>
      <c r="F254" s="138" t="str">
        <f aca="false">IF(E254&gt;=0,"Aterro","Corte")</f>
        <v>Aterro</v>
      </c>
      <c r="G254" s="138" t="n">
        <v>5.714</v>
      </c>
      <c r="H254" s="138"/>
      <c r="I254" s="138"/>
      <c r="J254" s="138"/>
      <c r="K254" s="138"/>
      <c r="L254" s="138"/>
      <c r="M254" s="138" t="s">
        <v>4050</v>
      </c>
    </row>
    <row r="255" customFormat="false" ht="15" hidden="false" customHeight="false" outlineLevel="0" collapsed="false">
      <c r="A255" s="138" t="s">
        <v>1906</v>
      </c>
      <c r="B255" s="138" t="n">
        <v>253</v>
      </c>
      <c r="C255" s="146" t="n">
        <v>803.757</v>
      </c>
      <c r="D255" s="146" t="n">
        <v>805.429</v>
      </c>
      <c r="E255" s="146" t="n">
        <f aca="false">D255-C255</f>
        <v>1.67200000000003</v>
      </c>
      <c r="F255" s="138" t="str">
        <f aca="false">IF(E255&gt;=0,"Aterro","Corte")</f>
        <v>Aterro</v>
      </c>
      <c r="G255" s="138" t="n">
        <v>5.714</v>
      </c>
      <c r="H255" s="138"/>
      <c r="I255" s="138"/>
      <c r="J255" s="138"/>
      <c r="K255" s="138"/>
      <c r="L255" s="138"/>
      <c r="M255" s="138" t="s">
        <v>4054</v>
      </c>
    </row>
    <row r="256" customFormat="false" ht="15" hidden="false" customHeight="false" outlineLevel="0" collapsed="false">
      <c r="A256" s="138" t="s">
        <v>1907</v>
      </c>
      <c r="B256" s="138" t="n">
        <v>254</v>
      </c>
      <c r="C256" s="146" t="n">
        <v>805.232</v>
      </c>
      <c r="D256" s="146" t="n">
        <v>806.571</v>
      </c>
      <c r="E256" s="146" t="n">
        <f aca="false">D256-C256</f>
        <v>1.33900000000006</v>
      </c>
      <c r="F256" s="138" t="str">
        <f aca="false">IF(E256&gt;=0,"Aterro","Corte")</f>
        <v>Aterro</v>
      </c>
      <c r="G256" s="138" t="n">
        <v>5.714</v>
      </c>
      <c r="H256" s="138"/>
      <c r="I256" s="138"/>
      <c r="J256" s="138"/>
      <c r="K256" s="138"/>
      <c r="L256" s="138"/>
      <c r="M256" s="138" t="s">
        <v>4054</v>
      </c>
    </row>
    <row r="257" customFormat="false" ht="15" hidden="false" customHeight="false" outlineLevel="0" collapsed="false">
      <c r="A257" s="138" t="s">
        <v>1908</v>
      </c>
      <c r="B257" s="138" t="n">
        <v>255</v>
      </c>
      <c r="C257" s="146" t="n">
        <v>806.858</v>
      </c>
      <c r="D257" s="146" t="n">
        <v>807.714</v>
      </c>
      <c r="E257" s="146" t="n">
        <f aca="false">D257-C257</f>
        <v>0.856000000000108</v>
      </c>
      <c r="F257" s="138" t="str">
        <f aca="false">IF(E257&gt;=0,"Aterro","Corte")</f>
        <v>Aterro</v>
      </c>
      <c r="G257" s="138" t="n">
        <v>5.714</v>
      </c>
      <c r="H257" s="138" t="s">
        <v>1910</v>
      </c>
      <c r="I257" s="138" t="s">
        <v>4024</v>
      </c>
      <c r="J257" s="138" t="n">
        <v>17.299</v>
      </c>
      <c r="K257" s="138"/>
      <c r="L257" s="138"/>
      <c r="M257" s="138" t="s">
        <v>4054</v>
      </c>
    </row>
    <row r="258" customFormat="false" ht="15" hidden="false" customHeight="false" outlineLevel="0" collapsed="false">
      <c r="A258" s="138" t="s">
        <v>1909</v>
      </c>
      <c r="B258" s="138" t="n">
        <v>256</v>
      </c>
      <c r="C258" s="146" t="n">
        <v>808.348</v>
      </c>
      <c r="D258" s="146" t="n">
        <v>808.742</v>
      </c>
      <c r="E258" s="146" t="n">
        <f aca="false">D258-C258</f>
        <v>0.394000000000005</v>
      </c>
      <c r="F258" s="138" t="str">
        <f aca="false">IF(E258&gt;=0,"Aterro","Corte")</f>
        <v>Aterro</v>
      </c>
      <c r="G258" s="138" t="n">
        <v>5.714</v>
      </c>
      <c r="H258" s="138" t="s">
        <v>1910</v>
      </c>
      <c r="I258" s="138" t="s">
        <v>4024</v>
      </c>
      <c r="J258" s="138" t="n">
        <v>17.299</v>
      </c>
      <c r="K258" s="138"/>
      <c r="L258" s="138"/>
      <c r="M258" s="138" t="s">
        <v>4054</v>
      </c>
    </row>
    <row r="259" customFormat="false" ht="15" hidden="false" customHeight="false" outlineLevel="0" collapsed="false">
      <c r="A259" s="138" t="s">
        <v>1910</v>
      </c>
      <c r="B259" s="138" t="n">
        <v>257</v>
      </c>
      <c r="C259" s="146" t="n">
        <v>809.327</v>
      </c>
      <c r="D259" s="146" t="n">
        <v>809.538</v>
      </c>
      <c r="E259" s="146" t="n">
        <f aca="false">D259-C259</f>
        <v>0.211000000000013</v>
      </c>
      <c r="F259" s="138" t="str">
        <f aca="false">IF(E259&gt;=0,"Aterro","Corte")</f>
        <v>Aterro</v>
      </c>
      <c r="G259" s="138" t="n">
        <v>5.714</v>
      </c>
      <c r="H259" s="138" t="s">
        <v>1910</v>
      </c>
      <c r="I259" s="138" t="s">
        <v>4024</v>
      </c>
      <c r="J259" s="138" t="n">
        <v>17.299</v>
      </c>
      <c r="K259" s="138"/>
      <c r="L259" s="138"/>
      <c r="M259" s="138" t="s">
        <v>4054</v>
      </c>
    </row>
    <row r="260" customFormat="false" ht="15" hidden="false" customHeight="false" outlineLevel="0" collapsed="false">
      <c r="A260" s="138" t="s">
        <v>1911</v>
      </c>
      <c r="B260" s="138" t="n">
        <v>258</v>
      </c>
      <c r="C260" s="146" t="n">
        <v>809.631</v>
      </c>
      <c r="D260" s="146" t="n">
        <v>810.102</v>
      </c>
      <c r="E260" s="146" t="n">
        <f aca="false">D260-C260</f>
        <v>0.471000000000004</v>
      </c>
      <c r="F260" s="138" t="str">
        <f aca="false">IF(E260&gt;=0,"Aterro","Corte")</f>
        <v>Aterro</v>
      </c>
      <c r="G260" s="138" t="n">
        <v>0.954</v>
      </c>
      <c r="H260" s="138" t="s">
        <v>1910</v>
      </c>
      <c r="I260" s="138" t="s">
        <v>4024</v>
      </c>
      <c r="J260" s="138" t="n">
        <v>17.299</v>
      </c>
      <c r="K260" s="138"/>
      <c r="L260" s="138"/>
      <c r="M260" s="138" t="s">
        <v>4054</v>
      </c>
    </row>
    <row r="261" customFormat="false" ht="15" hidden="false" customHeight="false" outlineLevel="0" collapsed="false">
      <c r="A261" s="138" t="s">
        <v>1912</v>
      </c>
      <c r="B261" s="138" t="n">
        <v>259</v>
      </c>
      <c r="C261" s="146" t="n">
        <v>809.487</v>
      </c>
      <c r="D261" s="146" t="n">
        <v>810.436</v>
      </c>
      <c r="E261" s="146" t="n">
        <f aca="false">D261-C261</f>
        <v>0.949000000000069</v>
      </c>
      <c r="F261" s="138" t="str">
        <f aca="false">IF(E261&gt;=0,"Aterro","Corte")</f>
        <v>Aterro</v>
      </c>
      <c r="G261" s="138" t="n">
        <v>0.954</v>
      </c>
      <c r="H261" s="138" t="s">
        <v>1910</v>
      </c>
      <c r="I261" s="138" t="s">
        <v>4024</v>
      </c>
      <c r="J261" s="138" t="n">
        <v>17.299</v>
      </c>
      <c r="K261" s="138"/>
      <c r="L261" s="138"/>
      <c r="M261" s="138" t="s">
        <v>4054</v>
      </c>
    </row>
    <row r="262" customFormat="false" ht="15" hidden="false" customHeight="false" outlineLevel="0" collapsed="false">
      <c r="A262" s="138" t="s">
        <v>1914</v>
      </c>
      <c r="B262" s="138" t="n">
        <v>260</v>
      </c>
      <c r="C262" s="146" t="n">
        <v>809.579</v>
      </c>
      <c r="D262" s="146" t="n">
        <v>810.767</v>
      </c>
      <c r="E262" s="146" t="n">
        <f aca="false">D262-C262</f>
        <v>1.1880000000001</v>
      </c>
      <c r="F262" s="138" t="str">
        <f aca="false">IF(E262&gt;=0,"Aterro","Corte")</f>
        <v>Aterro</v>
      </c>
      <c r="G262" s="138" t="n">
        <v>0.954</v>
      </c>
      <c r="H262" s="138" t="s">
        <v>1916</v>
      </c>
      <c r="I262" s="138" t="s">
        <v>4021</v>
      </c>
      <c r="J262" s="138" t="n">
        <v>17.7</v>
      </c>
      <c r="K262" s="138"/>
      <c r="L262" s="138"/>
      <c r="M262" s="138" t="s">
        <v>4054</v>
      </c>
    </row>
    <row r="263" customFormat="false" ht="15" hidden="false" customHeight="false" outlineLevel="0" collapsed="false">
      <c r="A263" s="138" t="s">
        <v>1916</v>
      </c>
      <c r="B263" s="138" t="n">
        <v>261</v>
      </c>
      <c r="C263" s="146" t="n">
        <v>810.023</v>
      </c>
      <c r="D263" s="146" t="n">
        <v>811.324</v>
      </c>
      <c r="E263" s="146" t="n">
        <f aca="false">D263-C263</f>
        <v>1.30099999999993</v>
      </c>
      <c r="F263" s="138" t="str">
        <f aca="false">IF(E263&gt;=0,"Aterro","Corte")</f>
        <v>Aterro</v>
      </c>
      <c r="G263" s="138" t="n">
        <v>0.954</v>
      </c>
      <c r="H263" s="138" t="s">
        <v>1916</v>
      </c>
      <c r="I263" s="138" t="s">
        <v>4021</v>
      </c>
      <c r="J263" s="138" t="n">
        <v>17.7</v>
      </c>
      <c r="K263" s="138"/>
      <c r="L263" s="138"/>
      <c r="M263" s="138" t="s">
        <v>4054</v>
      </c>
    </row>
    <row r="264" customFormat="false" ht="15" hidden="false" customHeight="false" outlineLevel="0" collapsed="false">
      <c r="A264" s="138" t="s">
        <v>1917</v>
      </c>
      <c r="B264" s="138" t="n">
        <v>262</v>
      </c>
      <c r="C264" s="146" t="n">
        <v>810.67</v>
      </c>
      <c r="D264" s="146" t="n">
        <v>812.107</v>
      </c>
      <c r="E264" s="146" t="n">
        <f aca="false">D264-C264</f>
        <v>1.43700000000001</v>
      </c>
      <c r="F264" s="138" t="str">
        <f aca="false">IF(E264&gt;=0,"Aterro","Corte")</f>
        <v>Aterro</v>
      </c>
      <c r="G264" s="138" t="n">
        <v>4.596</v>
      </c>
      <c r="H264" s="138" t="s">
        <v>1916</v>
      </c>
      <c r="I264" s="138" t="s">
        <v>4021</v>
      </c>
      <c r="J264" s="138" t="n">
        <v>17.7</v>
      </c>
      <c r="K264" s="138"/>
      <c r="L264" s="138"/>
      <c r="M264" s="138" t="s">
        <v>4054</v>
      </c>
    </row>
    <row r="265" customFormat="false" ht="15" hidden="false" customHeight="false" outlineLevel="0" collapsed="false">
      <c r="A265" s="138" t="s">
        <v>1918</v>
      </c>
      <c r="B265" s="138" t="n">
        <v>263</v>
      </c>
      <c r="C265" s="146" t="n">
        <v>811.732</v>
      </c>
      <c r="D265" s="146" t="n">
        <v>813.003</v>
      </c>
      <c r="E265" s="146" t="n">
        <f aca="false">D265-C265</f>
        <v>1.27100000000007</v>
      </c>
      <c r="F265" s="138" t="str">
        <f aca="false">IF(E265&gt;=0,"Aterro","Corte")</f>
        <v>Aterro</v>
      </c>
      <c r="G265" s="138" t="n">
        <v>4.596</v>
      </c>
      <c r="H265" s="138"/>
      <c r="I265" s="138"/>
      <c r="J265" s="138"/>
      <c r="K265" s="138"/>
      <c r="L265" s="138"/>
      <c r="M265" s="138" t="s">
        <v>4054</v>
      </c>
    </row>
    <row r="266" customFormat="false" ht="15" hidden="false" customHeight="false" outlineLevel="0" collapsed="false">
      <c r="A266" s="138" t="s">
        <v>1919</v>
      </c>
      <c r="B266" s="138" t="n">
        <v>264</v>
      </c>
      <c r="C266" s="146" t="n">
        <v>812.985</v>
      </c>
      <c r="D266" s="146" t="n">
        <v>813.898</v>
      </c>
      <c r="E266" s="146" t="n">
        <f aca="false">D266-C266</f>
        <v>0.913000000000011</v>
      </c>
      <c r="F266" s="138" t="str">
        <f aca="false">IF(E266&gt;=0,"Aterro","Corte")</f>
        <v>Aterro</v>
      </c>
      <c r="G266" s="138" t="n">
        <v>4.596</v>
      </c>
      <c r="H266" s="138"/>
      <c r="I266" s="138"/>
      <c r="J266" s="138"/>
      <c r="K266" s="138"/>
      <c r="L266" s="138"/>
      <c r="M266" s="138" t="s">
        <v>4054</v>
      </c>
    </row>
    <row r="267" customFormat="false" ht="15" hidden="false" customHeight="false" outlineLevel="0" collapsed="false">
      <c r="A267" s="138" t="s">
        <v>1920</v>
      </c>
      <c r="B267" s="138" t="n">
        <v>265</v>
      </c>
      <c r="C267" s="146" t="n">
        <v>814.794</v>
      </c>
      <c r="D267" s="146" t="n">
        <v>814.136</v>
      </c>
      <c r="E267" s="146" t="n">
        <f aca="false">D267-C267</f>
        <v>-0.658000000000016</v>
      </c>
      <c r="F267" s="138" t="str">
        <f aca="false">IF(E267&gt;=0,"Aterro","Corte")</f>
        <v>Corte</v>
      </c>
      <c r="G267" s="138" t="n">
        <v>4.596</v>
      </c>
      <c r="H267" s="138"/>
      <c r="I267" s="138"/>
      <c r="J267" s="138"/>
      <c r="K267" s="138"/>
      <c r="L267" s="138"/>
      <c r="M267" s="138" t="s">
        <v>4054</v>
      </c>
    </row>
    <row r="268" customFormat="false" ht="15" hidden="false" customHeight="false" outlineLevel="0" collapsed="false">
      <c r="A268" s="138" t="s">
        <v>1921</v>
      </c>
      <c r="B268" s="138" t="n">
        <v>266</v>
      </c>
      <c r="C268" s="146" t="n">
        <v>815.69</v>
      </c>
      <c r="D268" s="146" t="n">
        <v>815.031</v>
      </c>
      <c r="E268" s="146" t="n">
        <f aca="false">D268-C268</f>
        <v>-0.659000000000106</v>
      </c>
      <c r="F268" s="138" t="str">
        <f aca="false">IF(E268&gt;=0,"Aterro","Corte")</f>
        <v>Corte</v>
      </c>
      <c r="G268" s="138" t="n">
        <v>4.596</v>
      </c>
      <c r="H268" s="138"/>
      <c r="I268" s="138"/>
      <c r="J268" s="138"/>
      <c r="K268" s="138"/>
      <c r="L268" s="138"/>
      <c r="M268" s="138" t="s">
        <v>4054</v>
      </c>
    </row>
    <row r="269" customFormat="false" ht="15" hidden="false" customHeight="false" outlineLevel="0" collapsed="false">
      <c r="A269" s="138" t="s">
        <v>1922</v>
      </c>
      <c r="B269" s="138" t="n">
        <v>267</v>
      </c>
      <c r="C269" s="146" t="n">
        <v>815.642</v>
      </c>
      <c r="D269" s="146" t="n">
        <v>816.586</v>
      </c>
      <c r="E269" s="146" t="n">
        <f aca="false">D269-C269</f>
        <v>0.94399999999996</v>
      </c>
      <c r="F269" s="138" t="str">
        <f aca="false">IF(E269&gt;=0,"Aterro","Corte")</f>
        <v>Aterro</v>
      </c>
      <c r="G269" s="138" t="n">
        <v>4.596</v>
      </c>
      <c r="H269" s="138"/>
      <c r="I269" s="138"/>
      <c r="J269" s="138"/>
      <c r="K269" s="138"/>
      <c r="L269" s="138"/>
      <c r="M269" s="138" t="s">
        <v>4054</v>
      </c>
    </row>
    <row r="270" customFormat="false" ht="15" hidden="false" customHeight="false" outlineLevel="0" collapsed="false">
      <c r="A270" s="138" t="s">
        <v>1923</v>
      </c>
      <c r="B270" s="138" t="n">
        <v>268</v>
      </c>
      <c r="C270" s="146" t="n">
        <v>815.972</v>
      </c>
      <c r="D270" s="146" t="n">
        <v>817.482</v>
      </c>
      <c r="E270" s="146" t="n">
        <f aca="false">D270-C270</f>
        <v>1.50999999999999</v>
      </c>
      <c r="F270" s="138" t="str">
        <f aca="false">IF(E270&gt;=0,"Aterro","Corte")</f>
        <v>Aterro</v>
      </c>
      <c r="G270" s="138" t="n">
        <v>4.596</v>
      </c>
      <c r="H270" s="138"/>
      <c r="I270" s="138"/>
      <c r="J270" s="138"/>
      <c r="K270" s="138"/>
      <c r="L270" s="138"/>
      <c r="M270" s="138" t="s">
        <v>4054</v>
      </c>
    </row>
    <row r="271" customFormat="false" ht="15" hidden="false" customHeight="false" outlineLevel="0" collapsed="false">
      <c r="A271" s="138" t="s">
        <v>1924</v>
      </c>
      <c r="B271" s="138" t="n">
        <v>269</v>
      </c>
      <c r="C271" s="146" t="n">
        <v>816.234</v>
      </c>
      <c r="D271" s="146" t="n">
        <v>818.378</v>
      </c>
      <c r="E271" s="146" t="n">
        <f aca="false">D271-C271</f>
        <v>2.14400000000001</v>
      </c>
      <c r="F271" s="138" t="str">
        <f aca="false">IF(E271&gt;=0,"Aterro","Corte")</f>
        <v>Aterro</v>
      </c>
      <c r="G271" s="138" t="n">
        <v>4.596</v>
      </c>
      <c r="H271" s="138"/>
      <c r="I271" s="138"/>
      <c r="J271" s="138"/>
      <c r="K271" s="138"/>
      <c r="L271" s="138"/>
      <c r="M271" s="138" t="s">
        <v>4054</v>
      </c>
    </row>
    <row r="272" customFormat="false" ht="15" hidden="false" customHeight="false" outlineLevel="0" collapsed="false">
      <c r="A272" s="138" t="s">
        <v>1925</v>
      </c>
      <c r="B272" s="138" t="n">
        <v>270</v>
      </c>
      <c r="C272" s="146" t="n">
        <v>816.672</v>
      </c>
      <c r="D272" s="146" t="n">
        <v>819.274</v>
      </c>
      <c r="E272" s="146" t="n">
        <f aca="false">D272-C272</f>
        <v>2.60199999999998</v>
      </c>
      <c r="F272" s="138" t="str">
        <f aca="false">IF(E272&gt;=0,"Aterro","Corte")</f>
        <v>Aterro</v>
      </c>
      <c r="G272" s="138" t="n">
        <v>4.596</v>
      </c>
      <c r="H272" s="138"/>
      <c r="I272" s="138"/>
      <c r="J272" s="138"/>
      <c r="K272" s="138"/>
      <c r="L272" s="138"/>
      <c r="M272" s="138" t="s">
        <v>4054</v>
      </c>
    </row>
    <row r="273" customFormat="false" ht="15" hidden="false" customHeight="false" outlineLevel="0" collapsed="false">
      <c r="A273" s="138" t="s">
        <v>1926</v>
      </c>
      <c r="B273" s="138" t="n">
        <v>271</v>
      </c>
      <c r="C273" s="146" t="n">
        <v>817.537</v>
      </c>
      <c r="D273" s="146" t="n">
        <v>820.17</v>
      </c>
      <c r="E273" s="146" t="n">
        <f aca="false">D273-C273</f>
        <v>2.63299999999992</v>
      </c>
      <c r="F273" s="138" t="str">
        <f aca="false">IF(E273&gt;=0,"Aterro","Corte")</f>
        <v>Aterro</v>
      </c>
      <c r="G273" s="138" t="n">
        <v>4.596</v>
      </c>
      <c r="H273" s="138"/>
      <c r="I273" s="138"/>
      <c r="J273" s="138"/>
      <c r="K273" s="138"/>
      <c r="L273" s="138"/>
      <c r="M273" s="138" t="s">
        <v>4054</v>
      </c>
    </row>
    <row r="274" customFormat="false" ht="15" hidden="false" customHeight="false" outlineLevel="0" collapsed="false">
      <c r="A274" s="138" t="s">
        <v>1927</v>
      </c>
      <c r="B274" s="138" t="n">
        <v>272</v>
      </c>
      <c r="C274" s="146" t="n">
        <v>818.845</v>
      </c>
      <c r="D274" s="146" t="n">
        <v>821.062</v>
      </c>
      <c r="E274" s="146" t="n">
        <f aca="false">D274-C274</f>
        <v>2.21699999999998</v>
      </c>
      <c r="F274" s="138" t="str">
        <f aca="false">IF(E274&gt;=0,"Aterro","Corte")</f>
        <v>Aterro</v>
      </c>
      <c r="G274" s="138" t="n">
        <v>4.596</v>
      </c>
      <c r="H274" s="138" t="s">
        <v>4055</v>
      </c>
      <c r="I274" s="138" t="s">
        <v>4024</v>
      </c>
      <c r="J274" s="138" t="n">
        <v>32.442</v>
      </c>
      <c r="K274" s="138"/>
      <c r="L274" s="138"/>
      <c r="M274" s="138" t="s">
        <v>4054</v>
      </c>
    </row>
    <row r="275" customFormat="false" ht="15" hidden="false" customHeight="false" outlineLevel="0" collapsed="false">
      <c r="A275" s="138" t="s">
        <v>1928</v>
      </c>
      <c r="B275" s="138" t="n">
        <v>273</v>
      </c>
      <c r="C275" s="146" t="n">
        <v>820.346</v>
      </c>
      <c r="D275" s="146" t="n">
        <v>821.865</v>
      </c>
      <c r="E275" s="146" t="n">
        <f aca="false">D275-C275</f>
        <v>1.51900000000001</v>
      </c>
      <c r="F275" s="138" t="str">
        <f aca="false">IF(E275&gt;=0,"Aterro","Corte")</f>
        <v>Aterro</v>
      </c>
      <c r="G275" s="138" t="n">
        <v>4.596</v>
      </c>
      <c r="H275" s="138" t="s">
        <v>4055</v>
      </c>
      <c r="I275" s="138" t="s">
        <v>4024</v>
      </c>
      <c r="J275" s="138" t="n">
        <v>32.442</v>
      </c>
      <c r="K275" s="138"/>
      <c r="L275" s="138"/>
      <c r="M275" s="138" t="s">
        <v>4054</v>
      </c>
    </row>
    <row r="276" customFormat="false" ht="15" hidden="false" customHeight="false" outlineLevel="0" collapsed="false">
      <c r="A276" s="138" t="s">
        <v>1929</v>
      </c>
      <c r="B276" s="138" t="n">
        <v>274</v>
      </c>
      <c r="C276" s="146" t="n">
        <v>821.849</v>
      </c>
      <c r="D276" s="146" t="n">
        <v>822.545</v>
      </c>
      <c r="E276" s="146" t="n">
        <f aca="false">D276-C276</f>
        <v>0.695999999999913</v>
      </c>
      <c r="F276" s="138" t="str">
        <f aca="false">IF(E276&gt;=0,"Aterro","Corte")</f>
        <v>Aterro</v>
      </c>
      <c r="G276" s="138" t="n">
        <v>4.596</v>
      </c>
      <c r="H276" s="138" t="s">
        <v>4055</v>
      </c>
      <c r="I276" s="138" t="s">
        <v>4024</v>
      </c>
      <c r="J276" s="138" t="n">
        <v>32.442</v>
      </c>
      <c r="K276" s="138"/>
      <c r="L276" s="138"/>
      <c r="M276" s="138" t="s">
        <v>4054</v>
      </c>
    </row>
    <row r="277" customFormat="false" ht="15" hidden="false" customHeight="false" outlineLevel="0" collapsed="false">
      <c r="A277" s="138" t="s">
        <v>1930</v>
      </c>
      <c r="B277" s="138" t="n">
        <v>275</v>
      </c>
      <c r="C277" s="146" t="n">
        <v>823.38</v>
      </c>
      <c r="D277" s="146" t="n">
        <v>823.102</v>
      </c>
      <c r="E277" s="146" t="n">
        <f aca="false">D277-C277</f>
        <v>-0.27800000000002</v>
      </c>
      <c r="F277" s="138" t="str">
        <f aca="false">IF(E277&gt;=0,"Aterro","Corte")</f>
        <v>Corte</v>
      </c>
      <c r="G277" s="138" t="n">
        <v>4.596</v>
      </c>
      <c r="H277" s="138" t="s">
        <v>4055</v>
      </c>
      <c r="I277" s="138" t="s">
        <v>4024</v>
      </c>
      <c r="J277" s="138" t="n">
        <v>32.442</v>
      </c>
      <c r="K277" s="138"/>
      <c r="L277" s="138"/>
      <c r="M277" s="138" t="s">
        <v>4054</v>
      </c>
    </row>
    <row r="278" customFormat="false" ht="15" hidden="false" customHeight="false" outlineLevel="0" collapsed="false">
      <c r="A278" s="138" t="s">
        <v>1931</v>
      </c>
      <c r="B278" s="138" t="n">
        <v>276</v>
      </c>
      <c r="C278" s="146" t="n">
        <v>824.855</v>
      </c>
      <c r="D278" s="146" t="n">
        <v>823.536</v>
      </c>
      <c r="E278" s="146" t="n">
        <f aca="false">D278-C278</f>
        <v>-1.31900000000007</v>
      </c>
      <c r="F278" s="138" t="str">
        <f aca="false">IF(E278&gt;=0,"Aterro","Corte")</f>
        <v>Corte</v>
      </c>
      <c r="G278" s="138" t="n">
        <v>4.596</v>
      </c>
      <c r="H278" s="138" t="s">
        <v>4055</v>
      </c>
      <c r="I278" s="138" t="s">
        <v>4024</v>
      </c>
      <c r="J278" s="138" t="n">
        <v>32.442</v>
      </c>
      <c r="K278" s="138"/>
      <c r="L278" s="138"/>
      <c r="M278" s="138" t="s">
        <v>4054</v>
      </c>
    </row>
    <row r="279" customFormat="false" ht="15" hidden="false" customHeight="false" outlineLevel="0" collapsed="false">
      <c r="A279" s="138" t="s">
        <v>1932</v>
      </c>
      <c r="B279" s="138" t="n">
        <v>277</v>
      </c>
      <c r="C279" s="146" t="n">
        <v>826.235</v>
      </c>
      <c r="D279" s="146" t="n">
        <v>823.846</v>
      </c>
      <c r="E279" s="146" t="n">
        <f aca="false">D279-C279</f>
        <v>-2.38900000000001</v>
      </c>
      <c r="F279" s="138" t="str">
        <f aca="false">IF(E279&gt;=0,"Aterro","Corte")</f>
        <v>Corte</v>
      </c>
      <c r="G279" s="138" t="n">
        <v>4.596</v>
      </c>
      <c r="H279" s="138" t="s">
        <v>4055</v>
      </c>
      <c r="I279" s="138" t="s">
        <v>4024</v>
      </c>
      <c r="J279" s="138" t="n">
        <v>32.442</v>
      </c>
      <c r="K279" s="138"/>
      <c r="L279" s="138"/>
      <c r="M279" s="138" t="s">
        <v>4054</v>
      </c>
    </row>
    <row r="280" customFormat="false" ht="15" hidden="false" customHeight="false" outlineLevel="0" collapsed="false">
      <c r="A280" s="138" t="s">
        <v>1933</v>
      </c>
      <c r="B280" s="138" t="n">
        <v>278</v>
      </c>
      <c r="C280" s="146" t="n">
        <v>827.466</v>
      </c>
      <c r="D280" s="146" t="n">
        <v>824.033</v>
      </c>
      <c r="E280" s="146" t="n">
        <f aca="false">D280-C280</f>
        <v>-3.43299999999999</v>
      </c>
      <c r="F280" s="138" t="str">
        <f aca="false">IF(E280&gt;=0,"Aterro","Corte")</f>
        <v>Corte</v>
      </c>
      <c r="G280" s="138" t="n">
        <v>4.596</v>
      </c>
      <c r="H280" s="138" t="s">
        <v>4055</v>
      </c>
      <c r="I280" s="138" t="s">
        <v>4024</v>
      </c>
      <c r="J280" s="138" t="n">
        <v>32.442</v>
      </c>
      <c r="K280" s="138"/>
      <c r="L280" s="138"/>
      <c r="M280" s="138" t="s">
        <v>4054</v>
      </c>
    </row>
    <row r="281" customFormat="false" ht="15" hidden="false" customHeight="false" outlineLevel="0" collapsed="false">
      <c r="A281" s="138" t="s">
        <v>1934</v>
      </c>
      <c r="B281" s="138" t="n">
        <v>279</v>
      </c>
      <c r="C281" s="146" t="n">
        <v>828.324</v>
      </c>
      <c r="D281" s="146" t="n">
        <v>824.097</v>
      </c>
      <c r="E281" s="146" t="n">
        <f aca="false">D281-C281</f>
        <v>-4.22699999999998</v>
      </c>
      <c r="F281" s="138" t="str">
        <f aca="false">IF(E281&gt;=0,"Aterro","Corte")</f>
        <v>Corte</v>
      </c>
      <c r="G281" s="138" t="n">
        <v>4.596</v>
      </c>
      <c r="H281" s="138" t="s">
        <v>4055</v>
      </c>
      <c r="I281" s="138" t="s">
        <v>4024</v>
      </c>
      <c r="J281" s="138" t="n">
        <v>32.442</v>
      </c>
      <c r="K281" s="138"/>
      <c r="L281" s="138"/>
      <c r="M281" s="138" t="s">
        <v>4054</v>
      </c>
    </row>
    <row r="282" customFormat="false" ht="15" hidden="false" customHeight="false" outlineLevel="0" collapsed="false">
      <c r="A282" s="138" t="s">
        <v>1935</v>
      </c>
      <c r="B282" s="138" t="n">
        <v>280</v>
      </c>
      <c r="C282" s="146" t="n">
        <v>828.421</v>
      </c>
      <c r="D282" s="146" t="n">
        <v>824.037</v>
      </c>
      <c r="E282" s="146" t="n">
        <f aca="false">D282-C282</f>
        <v>-4.38400000000001</v>
      </c>
      <c r="F282" s="138" t="str">
        <f aca="false">IF(E282&gt;=0,"Aterro","Corte")</f>
        <v>Corte</v>
      </c>
      <c r="G282" s="138" t="n">
        <v>4.596</v>
      </c>
      <c r="H282" s="138" t="s">
        <v>4055</v>
      </c>
      <c r="I282" s="138" t="s">
        <v>4024</v>
      </c>
      <c r="J282" s="138" t="n">
        <v>32.442</v>
      </c>
      <c r="K282" s="138"/>
      <c r="L282" s="138"/>
      <c r="M282" s="138" t="s">
        <v>4054</v>
      </c>
    </row>
    <row r="283" customFormat="false" ht="15" hidden="false" customHeight="false" outlineLevel="0" collapsed="false">
      <c r="A283" s="138" t="s">
        <v>1936</v>
      </c>
      <c r="B283" s="138" t="n">
        <v>281</v>
      </c>
      <c r="C283" s="146" t="n">
        <v>828.002</v>
      </c>
      <c r="D283" s="146" t="n">
        <v>823.854</v>
      </c>
      <c r="E283" s="146" t="n">
        <f aca="false">D283-C283</f>
        <v>-4.14799999999991</v>
      </c>
      <c r="F283" s="138" t="str">
        <f aca="false">IF(E283&gt;=0,"Aterro","Corte")</f>
        <v>Corte</v>
      </c>
      <c r="G283" s="138" t="n">
        <v>-6.001</v>
      </c>
      <c r="H283" s="138" t="s">
        <v>4055</v>
      </c>
      <c r="I283" s="138" t="s">
        <v>4024</v>
      </c>
      <c r="J283" s="138" t="n">
        <v>32.442</v>
      </c>
      <c r="K283" s="138"/>
      <c r="L283" s="138"/>
      <c r="M283" s="138" t="s">
        <v>4054</v>
      </c>
    </row>
    <row r="284" customFormat="false" ht="15" hidden="false" customHeight="false" outlineLevel="0" collapsed="false">
      <c r="A284" s="138" t="s">
        <v>1937</v>
      </c>
      <c r="B284" s="138" t="n">
        <v>282</v>
      </c>
      <c r="C284" s="146" t="n">
        <v>827.394</v>
      </c>
      <c r="D284" s="146" t="n">
        <v>823.548</v>
      </c>
      <c r="E284" s="146" t="n">
        <f aca="false">D284-C284</f>
        <v>-3.846</v>
      </c>
      <c r="F284" s="138" t="str">
        <f aca="false">IF(E284&gt;=0,"Aterro","Corte")</f>
        <v>Corte</v>
      </c>
      <c r="G284" s="138" t="n">
        <v>-6.001</v>
      </c>
      <c r="H284" s="138" t="s">
        <v>4055</v>
      </c>
      <c r="I284" s="138" t="s">
        <v>4024</v>
      </c>
      <c r="J284" s="138" t="n">
        <v>32.442</v>
      </c>
      <c r="K284" s="138"/>
      <c r="L284" s="138"/>
      <c r="M284" s="138" t="s">
        <v>4054</v>
      </c>
    </row>
    <row r="285" customFormat="false" ht="15" hidden="false" customHeight="false" outlineLevel="0" collapsed="false">
      <c r="A285" s="138" t="s">
        <v>1938</v>
      </c>
      <c r="B285" s="138" t="n">
        <v>283</v>
      </c>
      <c r="C285" s="146" t="n">
        <v>826.571</v>
      </c>
      <c r="D285" s="146" t="n">
        <v>823.118</v>
      </c>
      <c r="E285" s="146" t="n">
        <f aca="false">D285-C285</f>
        <v>-3.45299999999997</v>
      </c>
      <c r="F285" s="138" t="str">
        <f aca="false">IF(E285&gt;=0,"Aterro","Corte")</f>
        <v>Corte</v>
      </c>
      <c r="G285" s="138" t="n">
        <v>-6.001</v>
      </c>
      <c r="H285" s="138" t="s">
        <v>4055</v>
      </c>
      <c r="I285" s="138" t="s">
        <v>4024</v>
      </c>
      <c r="J285" s="138" t="n">
        <v>32.442</v>
      </c>
      <c r="K285" s="138"/>
      <c r="L285" s="138"/>
      <c r="M285" s="138" t="s">
        <v>4054</v>
      </c>
    </row>
    <row r="286" customFormat="false" ht="15" hidden="false" customHeight="false" outlineLevel="0" collapsed="false">
      <c r="A286" s="138" t="s">
        <v>1939</v>
      </c>
      <c r="B286" s="138" t="n">
        <v>284</v>
      </c>
      <c r="C286" s="146" t="n">
        <v>825.487</v>
      </c>
      <c r="D286" s="146" t="n">
        <v>822.565</v>
      </c>
      <c r="E286" s="146" t="n">
        <f aca="false">D286-C286</f>
        <v>-2.92199999999991</v>
      </c>
      <c r="F286" s="138" t="str">
        <f aca="false">IF(E286&gt;=0,"Aterro","Corte")</f>
        <v>Corte</v>
      </c>
      <c r="G286" s="138" t="n">
        <v>-6.001</v>
      </c>
      <c r="H286" s="138" t="s">
        <v>4055</v>
      </c>
      <c r="I286" s="138" t="s">
        <v>4024</v>
      </c>
      <c r="J286" s="138" t="n">
        <v>32.442</v>
      </c>
      <c r="K286" s="138"/>
      <c r="L286" s="138"/>
      <c r="M286" s="138" t="s">
        <v>4054</v>
      </c>
    </row>
    <row r="287" customFormat="false" ht="15" hidden="false" customHeight="false" outlineLevel="0" collapsed="false">
      <c r="A287" s="138" t="s">
        <v>1940</v>
      </c>
      <c r="B287" s="138" t="n">
        <v>285</v>
      </c>
      <c r="C287" s="146" t="n">
        <v>824.24</v>
      </c>
      <c r="D287" s="146" t="n">
        <v>821.889</v>
      </c>
      <c r="E287" s="146" t="n">
        <f aca="false">D287-C287</f>
        <v>-2.351</v>
      </c>
      <c r="F287" s="138" t="str">
        <f aca="false">IF(E287&gt;=0,"Aterro","Corte")</f>
        <v>Corte</v>
      </c>
      <c r="G287" s="138" t="n">
        <v>-6.001</v>
      </c>
      <c r="H287" s="138" t="s">
        <v>4055</v>
      </c>
      <c r="I287" s="138" t="s">
        <v>4024</v>
      </c>
      <c r="J287" s="138" t="n">
        <v>32.442</v>
      </c>
      <c r="K287" s="138"/>
      <c r="L287" s="138"/>
      <c r="M287" s="138" t="s">
        <v>4054</v>
      </c>
    </row>
    <row r="288" customFormat="false" ht="15" hidden="false" customHeight="false" outlineLevel="0" collapsed="false">
      <c r="A288" s="138" t="s">
        <v>1941</v>
      </c>
      <c r="B288" s="138" t="n">
        <v>286</v>
      </c>
      <c r="C288" s="146" t="n">
        <v>823.077</v>
      </c>
      <c r="D288" s="146" t="n">
        <v>821.09</v>
      </c>
      <c r="E288" s="146" t="n">
        <f aca="false">D288-C288</f>
        <v>-1.98699999999997</v>
      </c>
      <c r="F288" s="138" t="str">
        <f aca="false">IF(E288&gt;=0,"Aterro","Corte")</f>
        <v>Corte</v>
      </c>
      <c r="G288" s="138" t="n">
        <v>-6.001</v>
      </c>
      <c r="H288" s="138" t="s">
        <v>4055</v>
      </c>
      <c r="I288" s="138" t="s">
        <v>4024</v>
      </c>
      <c r="J288" s="138" t="n">
        <v>32.442</v>
      </c>
      <c r="K288" s="138"/>
      <c r="L288" s="138"/>
      <c r="M288" s="138" t="s">
        <v>4054</v>
      </c>
    </row>
    <row r="289" customFormat="false" ht="15" hidden="false" customHeight="false" outlineLevel="0" collapsed="false">
      <c r="A289" s="138" t="s">
        <v>1942</v>
      </c>
      <c r="B289" s="138" t="n">
        <v>287</v>
      </c>
      <c r="C289" s="146" t="n">
        <v>821.795</v>
      </c>
      <c r="D289" s="146" t="n">
        <v>820.167</v>
      </c>
      <c r="E289" s="146" t="n">
        <f aca="false">D289-C289</f>
        <v>-1.62799999999993</v>
      </c>
      <c r="F289" s="138" t="str">
        <f aca="false">IF(E289&gt;=0,"Aterro","Corte")</f>
        <v>Corte</v>
      </c>
      <c r="G289" s="138" t="n">
        <v>-6.001</v>
      </c>
      <c r="H289" s="138" t="s">
        <v>4055</v>
      </c>
      <c r="I289" s="138" t="s">
        <v>4024</v>
      </c>
      <c r="J289" s="138" t="n">
        <v>32.442</v>
      </c>
      <c r="K289" s="138"/>
      <c r="L289" s="138"/>
      <c r="M289" s="138" t="s">
        <v>4054</v>
      </c>
    </row>
    <row r="290" customFormat="false" ht="15" hidden="false" customHeight="false" outlineLevel="0" collapsed="false">
      <c r="A290" s="138" t="s">
        <v>1943</v>
      </c>
      <c r="B290" s="138" t="n">
        <v>288</v>
      </c>
      <c r="C290" s="146" t="n">
        <v>820.398</v>
      </c>
      <c r="D290" s="146" t="n">
        <v>819.121</v>
      </c>
      <c r="E290" s="146" t="n">
        <f aca="false">D290-C290</f>
        <v>-1.27700000000004</v>
      </c>
      <c r="F290" s="138" t="str">
        <f aca="false">IF(E290&gt;=0,"Aterro","Corte")</f>
        <v>Corte</v>
      </c>
      <c r="G290" s="138" t="n">
        <v>-6.001</v>
      </c>
      <c r="H290" s="138" t="s">
        <v>4055</v>
      </c>
      <c r="I290" s="138" t="s">
        <v>4024</v>
      </c>
      <c r="J290" s="138" t="n">
        <v>32.442</v>
      </c>
      <c r="K290" s="138"/>
      <c r="L290" s="138"/>
      <c r="M290" s="138" t="s">
        <v>4054</v>
      </c>
    </row>
    <row r="291" customFormat="false" ht="15" hidden="false" customHeight="false" outlineLevel="0" collapsed="false">
      <c r="A291" s="138" t="s">
        <v>1944</v>
      </c>
      <c r="B291" s="138" t="n">
        <v>289</v>
      </c>
      <c r="C291" s="146" t="n">
        <v>818.974</v>
      </c>
      <c r="D291" s="146" t="n">
        <v>817.955</v>
      </c>
      <c r="E291" s="146" t="n">
        <f aca="false">D291-C291</f>
        <v>-1.01900000000001</v>
      </c>
      <c r="F291" s="138" t="str">
        <f aca="false">IF(E291&gt;=0,"Aterro","Corte")</f>
        <v>Corte</v>
      </c>
      <c r="G291" s="138" t="n">
        <v>-6.001</v>
      </c>
      <c r="H291" s="138"/>
      <c r="I291" s="138"/>
      <c r="J291" s="138"/>
      <c r="K291" s="138"/>
      <c r="L291" s="138"/>
      <c r="M291" s="138" t="s">
        <v>4056</v>
      </c>
    </row>
    <row r="292" customFormat="false" ht="15" hidden="false" customHeight="false" outlineLevel="0" collapsed="false">
      <c r="A292" s="138" t="s">
        <v>1945</v>
      </c>
      <c r="B292" s="138" t="n">
        <v>290</v>
      </c>
      <c r="C292" s="146" t="n">
        <v>817.399</v>
      </c>
      <c r="D292" s="146" t="n">
        <v>816.755</v>
      </c>
      <c r="E292" s="146" t="n">
        <f aca="false">D292-C292</f>
        <v>-0.644000000000006</v>
      </c>
      <c r="F292" s="138" t="str">
        <f aca="false">IF(E292&gt;=0,"Aterro","Corte")</f>
        <v>Corte</v>
      </c>
      <c r="G292" s="138" t="n">
        <v>-6.001</v>
      </c>
      <c r="H292" s="138"/>
      <c r="I292" s="138"/>
      <c r="J292" s="138"/>
      <c r="K292" s="138"/>
      <c r="L292" s="138"/>
      <c r="M292" s="138" t="s">
        <v>4056</v>
      </c>
    </row>
    <row r="293" customFormat="false" ht="15" hidden="false" customHeight="false" outlineLevel="0" collapsed="false">
      <c r="A293" s="138" t="s">
        <v>1946</v>
      </c>
      <c r="B293" s="138" t="n">
        <v>291</v>
      </c>
      <c r="C293" s="146" t="n">
        <v>815.737</v>
      </c>
      <c r="D293" s="146" t="n">
        <v>815.555</v>
      </c>
      <c r="E293" s="146" t="n">
        <f aca="false">D293-C293</f>
        <v>-0.182000000000016</v>
      </c>
      <c r="F293" s="138" t="str">
        <f aca="false">IF(E293&gt;=0,"Aterro","Corte")</f>
        <v>Corte</v>
      </c>
      <c r="G293" s="138" t="n">
        <v>-6.001</v>
      </c>
      <c r="H293" s="138"/>
      <c r="I293" s="138"/>
      <c r="J293" s="138"/>
      <c r="K293" s="138"/>
      <c r="L293" s="138"/>
      <c r="M293" s="138" t="s">
        <v>4056</v>
      </c>
    </row>
    <row r="294" customFormat="false" ht="15" hidden="false" customHeight="false" outlineLevel="0" collapsed="false">
      <c r="A294" s="138" t="s">
        <v>1947</v>
      </c>
      <c r="B294" s="138" t="n">
        <v>292</v>
      </c>
      <c r="C294" s="146" t="n">
        <v>814.278</v>
      </c>
      <c r="D294" s="146" t="n">
        <v>814.355</v>
      </c>
      <c r="E294" s="146" t="n">
        <f aca="false">D294-C294</f>
        <v>0.0769999999999982</v>
      </c>
      <c r="F294" s="138" t="str">
        <f aca="false">IF(E294&gt;=0,"Aterro","Corte")</f>
        <v>Aterro</v>
      </c>
      <c r="G294" s="138" t="n">
        <v>-6.001</v>
      </c>
      <c r="H294" s="138"/>
      <c r="I294" s="138"/>
      <c r="J294" s="138"/>
      <c r="K294" s="138"/>
      <c r="L294" s="138"/>
      <c r="M294" s="138" t="s">
        <v>4056</v>
      </c>
    </row>
    <row r="295" customFormat="false" ht="15" hidden="false" customHeight="false" outlineLevel="0" collapsed="false">
      <c r="A295" s="138" t="s">
        <v>1948</v>
      </c>
      <c r="B295" s="138" t="n">
        <v>293</v>
      </c>
      <c r="C295" s="146" t="n">
        <v>813.028</v>
      </c>
      <c r="D295" s="146" t="n">
        <v>813.155</v>
      </c>
      <c r="E295" s="146" t="n">
        <f aca="false">D295-C295</f>
        <v>0.126999999999953</v>
      </c>
      <c r="F295" s="138" t="str">
        <f aca="false">IF(E295&gt;=0,"Aterro","Corte")</f>
        <v>Aterro</v>
      </c>
      <c r="G295" s="138" t="n">
        <v>-6.001</v>
      </c>
      <c r="H295" s="138"/>
      <c r="I295" s="138"/>
      <c r="J295" s="138"/>
      <c r="K295" s="138"/>
      <c r="L295" s="138"/>
      <c r="M295" s="138" t="s">
        <v>4056</v>
      </c>
    </row>
    <row r="296" customFormat="false" ht="15" hidden="false" customHeight="false" outlineLevel="0" collapsed="false">
      <c r="A296" s="138" t="s">
        <v>1949</v>
      </c>
      <c r="B296" s="138" t="n">
        <v>294</v>
      </c>
      <c r="C296" s="146" t="n">
        <v>811.878</v>
      </c>
      <c r="D296" s="146" t="n">
        <v>811.955</v>
      </c>
      <c r="E296" s="146" t="n">
        <f aca="false">D296-C296</f>
        <v>0.0769999999999982</v>
      </c>
      <c r="F296" s="138" t="str">
        <f aca="false">IF(E296&gt;=0,"Aterro","Corte")</f>
        <v>Aterro</v>
      </c>
      <c r="G296" s="138" t="n">
        <v>-6.001</v>
      </c>
      <c r="H296" s="138"/>
      <c r="I296" s="138"/>
      <c r="J296" s="138"/>
      <c r="K296" s="138"/>
      <c r="L296" s="138"/>
      <c r="M296" s="138" t="s">
        <v>4056</v>
      </c>
    </row>
    <row r="297" customFormat="false" ht="15" hidden="false" customHeight="false" outlineLevel="0" collapsed="false">
      <c r="A297" s="138" t="s">
        <v>1950</v>
      </c>
      <c r="B297" s="138" t="n">
        <v>295</v>
      </c>
      <c r="C297" s="146" t="n">
        <v>810.771</v>
      </c>
      <c r="D297" s="146" t="n">
        <v>810.754</v>
      </c>
      <c r="E297" s="146" t="n">
        <f aca="false">D297-C297</f>
        <v>-0.0169999999999391</v>
      </c>
      <c r="F297" s="138" t="str">
        <f aca="false">IF(E297&gt;=0,"Aterro","Corte")</f>
        <v>Corte</v>
      </c>
      <c r="G297" s="138" t="n">
        <v>-6.001</v>
      </c>
      <c r="H297" s="138"/>
      <c r="I297" s="138"/>
      <c r="J297" s="138"/>
      <c r="K297" s="138"/>
      <c r="L297" s="138"/>
      <c r="M297" s="138" t="s">
        <v>4056</v>
      </c>
    </row>
    <row r="298" customFormat="false" ht="15" hidden="false" customHeight="false" outlineLevel="0" collapsed="false">
      <c r="A298" s="138" t="s">
        <v>1951</v>
      </c>
      <c r="B298" s="138" t="n">
        <v>296</v>
      </c>
      <c r="C298" s="146" t="n">
        <v>809.638</v>
      </c>
      <c r="D298" s="146" t="n">
        <v>809.554</v>
      </c>
      <c r="E298" s="146" t="n">
        <f aca="false">D298-C298</f>
        <v>-0.08400000000006</v>
      </c>
      <c r="F298" s="138" t="str">
        <f aca="false">IF(E298&gt;=0,"Aterro","Corte")</f>
        <v>Corte</v>
      </c>
      <c r="G298" s="138" t="n">
        <v>-6.001</v>
      </c>
      <c r="H298" s="138"/>
      <c r="I298" s="138"/>
      <c r="J298" s="138"/>
      <c r="K298" s="138"/>
      <c r="L298" s="138"/>
      <c r="M298" s="138" t="s">
        <v>4056</v>
      </c>
    </row>
    <row r="299" customFormat="false" ht="15" hidden="false" customHeight="false" outlineLevel="0" collapsed="false">
      <c r="A299" s="138" t="s">
        <v>1952</v>
      </c>
      <c r="B299" s="138" t="n">
        <v>297</v>
      </c>
      <c r="C299" s="146" t="n">
        <v>808.494</v>
      </c>
      <c r="D299" s="146" t="n">
        <v>808.354</v>
      </c>
      <c r="E299" s="146" t="n">
        <f aca="false">D299-C299</f>
        <v>-0.139999999999986</v>
      </c>
      <c r="F299" s="138" t="str">
        <f aca="false">IF(E299&gt;=0,"Aterro","Corte")</f>
        <v>Corte</v>
      </c>
      <c r="G299" s="138" t="n">
        <v>-6.001</v>
      </c>
      <c r="H299" s="138"/>
      <c r="I299" s="138"/>
      <c r="J299" s="138"/>
      <c r="K299" s="138"/>
      <c r="L299" s="138"/>
      <c r="M299" s="138" t="s">
        <v>4056</v>
      </c>
    </row>
    <row r="300" customFormat="false" ht="15" hidden="false" customHeight="false" outlineLevel="0" collapsed="false">
      <c r="A300" s="138" t="s">
        <v>1953</v>
      </c>
      <c r="B300" s="138" t="n">
        <v>298</v>
      </c>
      <c r="C300" s="146" t="n">
        <v>807.362</v>
      </c>
      <c r="D300" s="146" t="n">
        <v>807.154</v>
      </c>
      <c r="E300" s="146" t="n">
        <f aca="false">D300-C300</f>
        <v>-0.20799999999997</v>
      </c>
      <c r="F300" s="138" t="str">
        <f aca="false">IF(E300&gt;=0,"Aterro","Corte")</f>
        <v>Corte</v>
      </c>
      <c r="G300" s="138" t="n">
        <v>-6.001</v>
      </c>
      <c r="H300" s="138"/>
      <c r="I300" s="138"/>
      <c r="J300" s="138"/>
      <c r="K300" s="138"/>
      <c r="L300" s="138"/>
      <c r="M300" s="138" t="s">
        <v>4056</v>
      </c>
    </row>
    <row r="301" customFormat="false" ht="15" hidden="false" customHeight="false" outlineLevel="0" collapsed="false">
      <c r="A301" s="138" t="s">
        <v>1954</v>
      </c>
      <c r="B301" s="138" t="n">
        <v>299</v>
      </c>
      <c r="C301" s="146" t="n">
        <v>806.262</v>
      </c>
      <c r="D301" s="146" t="n">
        <v>805.954</v>
      </c>
      <c r="E301" s="146" t="n">
        <f aca="false">D301-C301</f>
        <v>-0.307999999999993</v>
      </c>
      <c r="F301" s="138" t="str">
        <f aca="false">IF(E301&gt;=0,"Aterro","Corte")</f>
        <v>Corte</v>
      </c>
      <c r="G301" s="138" t="n">
        <v>-6.001</v>
      </c>
      <c r="H301" s="138"/>
      <c r="I301" s="138"/>
      <c r="J301" s="138"/>
      <c r="K301" s="138"/>
      <c r="L301" s="138"/>
      <c r="M301" s="138" t="s">
        <v>4056</v>
      </c>
    </row>
    <row r="302" customFormat="false" ht="15" hidden="false" customHeight="false" outlineLevel="0" collapsed="false">
      <c r="A302" s="138" t="s">
        <v>1955</v>
      </c>
      <c r="B302" s="138" t="n">
        <v>300</v>
      </c>
      <c r="C302" s="146" t="n">
        <v>805.02</v>
      </c>
      <c r="D302" s="146" t="n">
        <v>804.754</v>
      </c>
      <c r="E302" s="146" t="n">
        <f aca="false">D302-C302</f>
        <v>-0.265999999999963</v>
      </c>
      <c r="F302" s="138" t="str">
        <f aca="false">IF(E302&gt;=0,"Aterro","Corte")</f>
        <v>Corte</v>
      </c>
      <c r="G302" s="138" t="n">
        <v>-6.001</v>
      </c>
      <c r="H302" s="138"/>
      <c r="I302" s="138"/>
      <c r="J302" s="138"/>
      <c r="K302" s="138"/>
      <c r="L302" s="138"/>
      <c r="M302" s="138" t="s">
        <v>4056</v>
      </c>
    </row>
    <row r="303" customFormat="false" ht="15" hidden="false" customHeight="false" outlineLevel="0" collapsed="false">
      <c r="A303" s="138" t="s">
        <v>1956</v>
      </c>
      <c r="B303" s="138" t="n">
        <v>301</v>
      </c>
      <c r="C303" s="146" t="n">
        <v>803.622</v>
      </c>
      <c r="D303" s="146" t="n">
        <v>803.553</v>
      </c>
      <c r="E303" s="146" t="n">
        <f aca="false">D303-C303</f>
        <v>-0.06899999999996</v>
      </c>
      <c r="F303" s="138" t="str">
        <f aca="false">IF(E303&gt;=0,"Aterro","Corte")</f>
        <v>Corte</v>
      </c>
      <c r="G303" s="138" t="n">
        <v>-6.001</v>
      </c>
      <c r="H303" s="138"/>
      <c r="I303" s="138"/>
      <c r="J303" s="138"/>
      <c r="K303" s="138"/>
      <c r="L303" s="138"/>
      <c r="M303" s="138" t="s">
        <v>4056</v>
      </c>
    </row>
    <row r="304" customFormat="false" ht="15" hidden="false" customHeight="false" outlineLevel="0" collapsed="false">
      <c r="A304" s="138" t="s">
        <v>1957</v>
      </c>
      <c r="B304" s="138" t="n">
        <v>302</v>
      </c>
      <c r="C304" s="146" t="n">
        <v>802.183</v>
      </c>
      <c r="D304" s="146" t="n">
        <v>802.353</v>
      </c>
      <c r="E304" s="146" t="n">
        <f aca="false">D304-C304</f>
        <v>0.169999999999959</v>
      </c>
      <c r="F304" s="138" t="str">
        <f aca="false">IF(E304&gt;=0,"Aterro","Corte")</f>
        <v>Aterro</v>
      </c>
      <c r="G304" s="138" t="n">
        <v>-6.001</v>
      </c>
      <c r="H304" s="138"/>
      <c r="I304" s="138"/>
      <c r="J304" s="138"/>
      <c r="K304" s="138"/>
      <c r="L304" s="138"/>
      <c r="M304" s="138" t="s">
        <v>4056</v>
      </c>
    </row>
    <row r="305" customFormat="false" ht="15" hidden="false" customHeight="false" outlineLevel="0" collapsed="false">
      <c r="A305" s="138" t="s">
        <v>1958</v>
      </c>
      <c r="B305" s="138" t="n">
        <v>303</v>
      </c>
      <c r="C305" s="146" t="n">
        <v>800.816</v>
      </c>
      <c r="D305" s="146" t="n">
        <v>801.153</v>
      </c>
      <c r="E305" s="146" t="n">
        <f aca="false">D305-C305</f>
        <v>0.336999999999989</v>
      </c>
      <c r="F305" s="138" t="str">
        <f aca="false">IF(E305&gt;=0,"Aterro","Corte")</f>
        <v>Aterro</v>
      </c>
      <c r="G305" s="138" t="n">
        <v>-6.001</v>
      </c>
      <c r="H305" s="138"/>
      <c r="I305" s="138"/>
      <c r="J305" s="138"/>
      <c r="K305" s="138"/>
      <c r="L305" s="138"/>
      <c r="M305" s="138" t="s">
        <v>4056</v>
      </c>
    </row>
    <row r="306" customFormat="false" ht="15" hidden="false" customHeight="false" outlineLevel="0" collapsed="false">
      <c r="A306" s="138" t="s">
        <v>1959</v>
      </c>
      <c r="B306" s="138" t="n">
        <v>304</v>
      </c>
      <c r="C306" s="146" t="n">
        <v>799.637</v>
      </c>
      <c r="D306" s="146" t="n">
        <v>799.953</v>
      </c>
      <c r="E306" s="146" t="n">
        <f aca="false">D306-C306</f>
        <v>0.316000000000031</v>
      </c>
      <c r="F306" s="138" t="str">
        <f aca="false">IF(E306&gt;=0,"Aterro","Corte")</f>
        <v>Aterro</v>
      </c>
      <c r="G306" s="138" t="n">
        <v>-6.001</v>
      </c>
      <c r="H306" s="138"/>
      <c r="I306" s="138"/>
      <c r="J306" s="138"/>
      <c r="K306" s="138"/>
      <c r="L306" s="138"/>
      <c r="M306" s="138" t="s">
        <v>4056</v>
      </c>
    </row>
    <row r="307" customFormat="false" ht="15" hidden="false" customHeight="false" outlineLevel="0" collapsed="false">
      <c r="A307" s="138" t="s">
        <v>1960</v>
      </c>
      <c r="B307" s="138" t="n">
        <v>305</v>
      </c>
      <c r="C307" s="146" t="n">
        <v>798.451</v>
      </c>
      <c r="D307" s="146" t="n">
        <v>798.753</v>
      </c>
      <c r="E307" s="146" t="n">
        <f aca="false">D307-C307</f>
        <v>0.302000000000021</v>
      </c>
      <c r="F307" s="138" t="str">
        <f aca="false">IF(E307&gt;=0,"Aterro","Corte")</f>
        <v>Aterro</v>
      </c>
      <c r="G307" s="138" t="n">
        <v>-6.001</v>
      </c>
      <c r="H307" s="138"/>
      <c r="I307" s="138"/>
      <c r="J307" s="138"/>
      <c r="K307" s="138"/>
      <c r="L307" s="138"/>
      <c r="M307" s="138" t="s">
        <v>4056</v>
      </c>
    </row>
    <row r="308" customFormat="false" ht="15" hidden="false" customHeight="false" outlineLevel="0" collapsed="false">
      <c r="A308" s="138" t="s">
        <v>1961</v>
      </c>
      <c r="B308" s="138" t="n">
        <v>306</v>
      </c>
      <c r="C308" s="146" t="n">
        <v>797.032</v>
      </c>
      <c r="D308" s="146" t="n">
        <v>797.553</v>
      </c>
      <c r="E308" s="146" t="n">
        <f aca="false">D308-C308</f>
        <v>0.520999999999958</v>
      </c>
      <c r="F308" s="138" t="str">
        <f aca="false">IF(E308&gt;=0,"Aterro","Corte")</f>
        <v>Aterro</v>
      </c>
      <c r="G308" s="138" t="n">
        <v>-6.001</v>
      </c>
      <c r="H308" s="138"/>
      <c r="I308" s="138"/>
      <c r="J308" s="138"/>
      <c r="K308" s="138"/>
      <c r="L308" s="138"/>
      <c r="M308" s="138" t="s">
        <v>4056</v>
      </c>
    </row>
    <row r="309" customFormat="false" ht="15" hidden="false" customHeight="false" outlineLevel="0" collapsed="false">
      <c r="A309" s="138" t="s">
        <v>1962</v>
      </c>
      <c r="B309" s="138" t="n">
        <v>307</v>
      </c>
      <c r="C309" s="146" t="n">
        <v>795.335</v>
      </c>
      <c r="D309" s="146" t="n">
        <v>796.352</v>
      </c>
      <c r="E309" s="146" t="n">
        <f aca="false">D309-C309</f>
        <v>1.01699999999994</v>
      </c>
      <c r="F309" s="138" t="str">
        <f aca="false">IF(E309&gt;=0,"Aterro","Corte")</f>
        <v>Aterro</v>
      </c>
      <c r="G309" s="138" t="n">
        <v>-6.001</v>
      </c>
      <c r="H309" s="138"/>
      <c r="I309" s="138"/>
      <c r="J309" s="138"/>
      <c r="K309" s="138"/>
      <c r="L309" s="138"/>
      <c r="M309" s="138" t="s">
        <v>4056</v>
      </c>
    </row>
    <row r="310" customFormat="false" ht="15" hidden="false" customHeight="false" outlineLevel="0" collapsed="false">
      <c r="A310" s="138" t="s">
        <v>1963</v>
      </c>
      <c r="B310" s="138" t="n">
        <v>308</v>
      </c>
      <c r="C310" s="146" t="n">
        <v>793.599</v>
      </c>
      <c r="D310" s="146" t="n">
        <v>795.152</v>
      </c>
      <c r="E310" s="146" t="n">
        <f aca="false">D310-C310</f>
        <v>1.553</v>
      </c>
      <c r="F310" s="138" t="str">
        <f aca="false">IF(E310&gt;=0,"Aterro","Corte")</f>
        <v>Aterro</v>
      </c>
      <c r="G310" s="138" t="n">
        <v>-6.001</v>
      </c>
      <c r="H310" s="138"/>
      <c r="I310" s="138"/>
      <c r="J310" s="138"/>
      <c r="K310" s="138"/>
      <c r="L310" s="138"/>
      <c r="M310" s="138" t="s">
        <v>4056</v>
      </c>
    </row>
    <row r="311" customFormat="false" ht="15" hidden="false" customHeight="false" outlineLevel="0" collapsed="false">
      <c r="A311" s="138" t="s">
        <v>1964</v>
      </c>
      <c r="B311" s="138" t="n">
        <v>309</v>
      </c>
      <c r="C311" s="146" t="n">
        <v>792.049</v>
      </c>
      <c r="D311" s="146" t="n">
        <v>793.952</v>
      </c>
      <c r="E311" s="146" t="n">
        <f aca="false">D311-C311</f>
        <v>1.90300000000002</v>
      </c>
      <c r="F311" s="138" t="str">
        <f aca="false">IF(E311&gt;=0,"Aterro","Corte")</f>
        <v>Aterro</v>
      </c>
      <c r="G311" s="138" t="n">
        <v>-6.001</v>
      </c>
      <c r="H311" s="138"/>
      <c r="I311" s="138"/>
      <c r="J311" s="138"/>
      <c r="K311" s="138"/>
      <c r="L311" s="138"/>
      <c r="M311" s="138" t="s">
        <v>4056</v>
      </c>
    </row>
    <row r="312" customFormat="false" ht="15" hidden="false" customHeight="false" outlineLevel="0" collapsed="false">
      <c r="A312" s="138" t="s">
        <v>1965</v>
      </c>
      <c r="B312" s="138" t="n">
        <v>310</v>
      </c>
      <c r="C312" s="146" t="n">
        <v>790.676</v>
      </c>
      <c r="D312" s="146" t="n">
        <v>792.752</v>
      </c>
      <c r="E312" s="146" t="n">
        <f aca="false">D312-C312</f>
        <v>2.07599999999991</v>
      </c>
      <c r="F312" s="138" t="str">
        <f aca="false">IF(E312&gt;=0,"Aterro","Corte")</f>
        <v>Aterro</v>
      </c>
      <c r="G312" s="138" t="n">
        <v>-6.001</v>
      </c>
      <c r="H312" s="138"/>
      <c r="I312" s="138"/>
      <c r="J312" s="138"/>
      <c r="K312" s="138"/>
      <c r="L312" s="138"/>
      <c r="M312" s="138" t="s">
        <v>4056</v>
      </c>
    </row>
    <row r="313" customFormat="false" ht="15" hidden="false" customHeight="false" outlineLevel="0" collapsed="false">
      <c r="A313" s="138" t="s">
        <v>1966</v>
      </c>
      <c r="B313" s="138" t="n">
        <v>311</v>
      </c>
      <c r="C313" s="146" t="n">
        <v>789.44</v>
      </c>
      <c r="D313" s="146" t="n">
        <v>791.552</v>
      </c>
      <c r="E313" s="146" t="n">
        <f aca="false">D313-C313</f>
        <v>2.11199999999997</v>
      </c>
      <c r="F313" s="138" t="str">
        <f aca="false">IF(E313&gt;=0,"Aterro","Corte")</f>
        <v>Aterro</v>
      </c>
      <c r="G313" s="138" t="n">
        <v>-6.001</v>
      </c>
      <c r="H313" s="138"/>
      <c r="I313" s="138"/>
      <c r="J313" s="138"/>
      <c r="K313" s="138"/>
      <c r="L313" s="138"/>
      <c r="M313" s="138" t="s">
        <v>4056</v>
      </c>
    </row>
    <row r="314" customFormat="false" ht="15" hidden="false" customHeight="false" outlineLevel="0" collapsed="false">
      <c r="A314" s="138" t="s">
        <v>1967</v>
      </c>
      <c r="B314" s="138" t="n">
        <v>312</v>
      </c>
      <c r="C314" s="146" t="n">
        <v>788.287</v>
      </c>
      <c r="D314" s="146" t="n">
        <v>790.352</v>
      </c>
      <c r="E314" s="146" t="n">
        <f aca="false">D314-C314</f>
        <v>2.06499999999994</v>
      </c>
      <c r="F314" s="138" t="str">
        <f aca="false">IF(E314&gt;=0,"Aterro","Corte")</f>
        <v>Aterro</v>
      </c>
      <c r="G314" s="138" t="n">
        <v>-6.001</v>
      </c>
      <c r="H314" s="138"/>
      <c r="I314" s="138"/>
      <c r="J314" s="138"/>
      <c r="K314" s="138"/>
      <c r="L314" s="138"/>
      <c r="M314" s="138" t="s">
        <v>4056</v>
      </c>
    </row>
    <row r="315" customFormat="false" ht="15" hidden="false" customHeight="false" outlineLevel="0" collapsed="false">
      <c r="A315" s="138" t="s">
        <v>1969</v>
      </c>
      <c r="B315" s="138" t="n">
        <v>313</v>
      </c>
      <c r="C315" s="146" t="n">
        <v>787.169</v>
      </c>
      <c r="D315" s="146" t="n">
        <v>789.168</v>
      </c>
      <c r="E315" s="146" t="n">
        <f aca="false">D315-C315</f>
        <v>1.99900000000002</v>
      </c>
      <c r="F315" s="138" t="str">
        <f aca="false">IF(E315&gt;=0,"Aterro","Corte")</f>
        <v>Aterro</v>
      </c>
      <c r="G315" s="138" t="n">
        <v>-6.001</v>
      </c>
      <c r="H315" s="138" t="s">
        <v>4057</v>
      </c>
      <c r="I315" s="138" t="s">
        <v>4021</v>
      </c>
      <c r="J315" s="138" t="n">
        <v>30.433</v>
      </c>
      <c r="K315" s="138"/>
      <c r="L315" s="138"/>
      <c r="M315" s="138" t="s">
        <v>4056</v>
      </c>
    </row>
    <row r="316" customFormat="false" ht="15" hidden="false" customHeight="false" outlineLevel="0" collapsed="false">
      <c r="A316" s="138" t="s">
        <v>1970</v>
      </c>
      <c r="B316" s="138" t="n">
        <v>314</v>
      </c>
      <c r="C316" s="146" t="n">
        <v>786.198</v>
      </c>
      <c r="D316" s="146" t="n">
        <v>788.099</v>
      </c>
      <c r="E316" s="146" t="n">
        <f aca="false">D316-C316</f>
        <v>1.90100000000007</v>
      </c>
      <c r="F316" s="138" t="str">
        <f aca="false">IF(E316&gt;=0,"Aterro","Corte")</f>
        <v>Aterro</v>
      </c>
      <c r="G316" s="138" t="n">
        <v>-6.001</v>
      </c>
      <c r="H316" s="138" t="s">
        <v>4057</v>
      </c>
      <c r="I316" s="138" t="s">
        <v>4021</v>
      </c>
      <c r="J316" s="138" t="n">
        <v>30.433</v>
      </c>
      <c r="K316" s="138"/>
      <c r="L316" s="138"/>
      <c r="M316" s="138" t="s">
        <v>4056</v>
      </c>
    </row>
    <row r="317" customFormat="false" ht="15" hidden="false" customHeight="false" outlineLevel="0" collapsed="false">
      <c r="A317" s="138" t="s">
        <v>1971</v>
      </c>
      <c r="B317" s="138" t="n">
        <v>315</v>
      </c>
      <c r="C317" s="146" t="n">
        <v>785.463</v>
      </c>
      <c r="D317" s="146" t="n">
        <v>787.162</v>
      </c>
      <c r="E317" s="146" t="n">
        <f aca="false">D317-C317</f>
        <v>1.69900000000007</v>
      </c>
      <c r="F317" s="138" t="str">
        <f aca="false">IF(E317&gt;=0,"Aterro","Corte")</f>
        <v>Aterro</v>
      </c>
      <c r="G317" s="138" t="n">
        <v>-6.001</v>
      </c>
      <c r="H317" s="138" t="s">
        <v>4057</v>
      </c>
      <c r="I317" s="138" t="s">
        <v>4021</v>
      </c>
      <c r="J317" s="138" t="n">
        <v>30.433</v>
      </c>
      <c r="K317" s="138"/>
      <c r="L317" s="138"/>
      <c r="M317" s="138" t="s">
        <v>4056</v>
      </c>
    </row>
    <row r="318" customFormat="false" ht="15" hidden="false" customHeight="false" outlineLevel="0" collapsed="false">
      <c r="A318" s="138" t="s">
        <v>1972</v>
      </c>
      <c r="B318" s="138" t="n">
        <v>316</v>
      </c>
      <c r="C318" s="146" t="n">
        <v>784.911</v>
      </c>
      <c r="D318" s="146" t="n">
        <v>786.356</v>
      </c>
      <c r="E318" s="146" t="n">
        <f aca="false">D318-C318</f>
        <v>1.44500000000005</v>
      </c>
      <c r="F318" s="138" t="str">
        <f aca="false">IF(E318&gt;=0,"Aterro","Corte")</f>
        <v>Aterro</v>
      </c>
      <c r="G318" s="138" t="n">
        <v>-6.001</v>
      </c>
      <c r="H318" s="138" t="s">
        <v>4057</v>
      </c>
      <c r="I318" s="138" t="s">
        <v>4021</v>
      </c>
      <c r="J318" s="138" t="n">
        <v>30.433</v>
      </c>
      <c r="K318" s="138" t="s">
        <v>4058</v>
      </c>
      <c r="L318" s="138" t="n">
        <v>1800</v>
      </c>
      <c r="M318" s="138" t="s">
        <v>4056</v>
      </c>
    </row>
    <row r="319" customFormat="false" ht="15" hidden="false" customHeight="false" outlineLevel="0" collapsed="false">
      <c r="A319" s="138" t="s">
        <v>1973</v>
      </c>
      <c r="B319" s="138" t="n">
        <v>317</v>
      </c>
      <c r="C319" s="146" t="n">
        <v>784.467</v>
      </c>
      <c r="D319" s="146" t="n">
        <v>785.682</v>
      </c>
      <c r="E319" s="146" t="n">
        <f aca="false">D319-C319</f>
        <v>1.21500000000003</v>
      </c>
      <c r="F319" s="138" t="str">
        <f aca="false">IF(E319&gt;=0,"Aterro","Corte")</f>
        <v>Aterro</v>
      </c>
      <c r="G319" s="138" t="n">
        <v>-6.001</v>
      </c>
      <c r="H319" s="138" t="s">
        <v>4057</v>
      </c>
      <c r="I319" s="138" t="s">
        <v>4021</v>
      </c>
      <c r="J319" s="138" t="n">
        <v>30.433</v>
      </c>
      <c r="K319" s="138" t="s">
        <v>4058</v>
      </c>
      <c r="L319" s="138" t="n">
        <v>1800</v>
      </c>
      <c r="M319" s="138" t="s">
        <v>4056</v>
      </c>
    </row>
    <row r="320" customFormat="false" ht="15" hidden="false" customHeight="false" outlineLevel="0" collapsed="false">
      <c r="A320" s="138" t="s">
        <v>1975</v>
      </c>
      <c r="B320" s="138" t="n">
        <v>318</v>
      </c>
      <c r="C320" s="146" t="n">
        <v>784.033</v>
      </c>
      <c r="D320" s="146" t="n">
        <v>785.139</v>
      </c>
      <c r="E320" s="146" t="n">
        <f aca="false">D320-C320</f>
        <v>1.10599999999999</v>
      </c>
      <c r="F320" s="138" t="str">
        <f aca="false">IF(E320&gt;=0,"Aterro","Corte")</f>
        <v>Aterro</v>
      </c>
      <c r="G320" s="138" t="n">
        <v>-6.001</v>
      </c>
      <c r="H320" s="138" t="s">
        <v>4057</v>
      </c>
      <c r="I320" s="138" t="s">
        <v>4021</v>
      </c>
      <c r="J320" s="138" t="n">
        <v>30.433</v>
      </c>
      <c r="K320" s="138" t="s">
        <v>4058</v>
      </c>
      <c r="L320" s="138" t="n">
        <v>1800</v>
      </c>
      <c r="M320" s="138" t="s">
        <v>4056</v>
      </c>
    </row>
    <row r="321" customFormat="false" ht="15" hidden="false" customHeight="false" outlineLevel="0" collapsed="false">
      <c r="A321" s="138" t="s">
        <v>1569</v>
      </c>
      <c r="B321" s="138" t="n">
        <v>319</v>
      </c>
      <c r="C321" s="146" t="n">
        <v>783.447</v>
      </c>
      <c r="D321" s="146" t="n">
        <v>784.727</v>
      </c>
      <c r="E321" s="146" t="n">
        <f aca="false">D321-C321</f>
        <v>1.27999999999997</v>
      </c>
      <c r="F321" s="138" t="str">
        <f aca="false">IF(E321&gt;=0,"Aterro","Corte")</f>
        <v>Aterro</v>
      </c>
      <c r="G321" s="138" t="n">
        <v>-6.001</v>
      </c>
      <c r="H321" s="138" t="s">
        <v>4057</v>
      </c>
      <c r="I321" s="138" t="s">
        <v>4021</v>
      </c>
      <c r="J321" s="138" t="n">
        <v>30.433</v>
      </c>
      <c r="K321" s="138"/>
      <c r="L321" s="138"/>
      <c r="M321" s="138" t="s">
        <v>4056</v>
      </c>
    </row>
    <row r="322" customFormat="false" ht="15" hidden="false" customHeight="false" outlineLevel="0" collapsed="false">
      <c r="A322" s="138" t="s">
        <v>1976</v>
      </c>
      <c r="B322" s="138" t="n">
        <v>320</v>
      </c>
      <c r="C322" s="146" t="n">
        <v>782.732</v>
      </c>
      <c r="D322" s="146" t="n">
        <v>784.447</v>
      </c>
      <c r="E322" s="146" t="n">
        <f aca="false">D322-C322</f>
        <v>1.71500000000003</v>
      </c>
      <c r="F322" s="138" t="str">
        <f aca="false">IF(E322&gt;=0,"Aterro","Corte")</f>
        <v>Aterro</v>
      </c>
      <c r="G322" s="138" t="n">
        <v>-6.001</v>
      </c>
      <c r="H322" s="138" t="s">
        <v>4057</v>
      </c>
      <c r="I322" s="138" t="s">
        <v>4021</v>
      </c>
      <c r="J322" s="138" t="n">
        <v>30.433</v>
      </c>
      <c r="K322" s="138"/>
      <c r="L322" s="138"/>
      <c r="M322" s="138" t="s">
        <v>4056</v>
      </c>
    </row>
    <row r="323" customFormat="false" ht="15" hidden="false" customHeight="false" outlineLevel="0" collapsed="false">
      <c r="A323" s="138" t="s">
        <v>1977</v>
      </c>
      <c r="B323" s="138" t="n">
        <v>321</v>
      </c>
      <c r="C323" s="146" t="n">
        <v>782.265</v>
      </c>
      <c r="D323" s="146" t="n">
        <v>784.298</v>
      </c>
      <c r="E323" s="146" t="n">
        <f aca="false">D323-C323</f>
        <v>2.03300000000002</v>
      </c>
      <c r="F323" s="138" t="str">
        <f aca="false">IF(E323&gt;=0,"Aterro","Corte")</f>
        <v>Aterro</v>
      </c>
      <c r="G323" s="138" t="n">
        <v>-6.001</v>
      </c>
      <c r="H323" s="138" t="s">
        <v>4057</v>
      </c>
      <c r="I323" s="138" t="s">
        <v>4021</v>
      </c>
      <c r="J323" s="138" t="n">
        <v>30.433</v>
      </c>
      <c r="K323" s="138"/>
      <c r="L323" s="138"/>
      <c r="M323" s="138" t="s">
        <v>4056</v>
      </c>
    </row>
    <row r="324" customFormat="false" ht="15" hidden="false" customHeight="false" outlineLevel="0" collapsed="false">
      <c r="A324" s="138" t="s">
        <v>1978</v>
      </c>
      <c r="B324" s="138" t="n">
        <v>322</v>
      </c>
      <c r="C324" s="146" t="n">
        <v>781.751</v>
      </c>
      <c r="D324" s="146" t="n">
        <v>784.281</v>
      </c>
      <c r="E324" s="146" t="n">
        <f aca="false">D324-C324</f>
        <v>2.52999999999997</v>
      </c>
      <c r="F324" s="138" t="str">
        <f aca="false">IF(E324&gt;=0,"Aterro","Corte")</f>
        <v>Aterro</v>
      </c>
      <c r="G324" s="138" t="n">
        <v>5.5</v>
      </c>
      <c r="H324" s="138" t="s">
        <v>4057</v>
      </c>
      <c r="I324" s="138" t="s">
        <v>4021</v>
      </c>
      <c r="J324" s="138" t="n">
        <v>30.433</v>
      </c>
      <c r="K324" s="138"/>
      <c r="L324" s="138"/>
      <c r="M324" s="138" t="s">
        <v>4056</v>
      </c>
    </row>
    <row r="325" customFormat="false" ht="15" hidden="false" customHeight="false" outlineLevel="0" collapsed="false">
      <c r="A325" s="138" t="s">
        <v>1979</v>
      </c>
      <c r="B325" s="138" t="n">
        <v>323</v>
      </c>
      <c r="C325" s="146" t="n">
        <v>781.752</v>
      </c>
      <c r="D325" s="146" t="n">
        <v>784.395</v>
      </c>
      <c r="E325" s="146" t="n">
        <f aca="false">D325-C325</f>
        <v>2.64300000000003</v>
      </c>
      <c r="F325" s="138" t="str">
        <f aca="false">IF(E325&gt;=0,"Aterro","Corte")</f>
        <v>Aterro</v>
      </c>
      <c r="G325" s="138" t="n">
        <v>5.5</v>
      </c>
      <c r="H325" s="138" t="s">
        <v>4057</v>
      </c>
      <c r="I325" s="138" t="s">
        <v>4021</v>
      </c>
      <c r="J325" s="138" t="n">
        <v>30.433</v>
      </c>
      <c r="K325" s="138"/>
      <c r="L325" s="138"/>
      <c r="M325" s="138" t="s">
        <v>4056</v>
      </c>
    </row>
    <row r="326" customFormat="false" ht="15" hidden="false" customHeight="false" outlineLevel="0" collapsed="false">
      <c r="A326" s="138" t="s">
        <v>1980</v>
      </c>
      <c r="B326" s="138" t="n">
        <v>324</v>
      </c>
      <c r="C326" s="146" t="n">
        <v>782.307</v>
      </c>
      <c r="D326" s="146" t="n">
        <v>784.641</v>
      </c>
      <c r="E326" s="146" t="n">
        <f aca="false">D326-C326</f>
        <v>2.33399999999995</v>
      </c>
      <c r="F326" s="138" t="str">
        <f aca="false">IF(E326&gt;=0,"Aterro","Corte")</f>
        <v>Aterro</v>
      </c>
      <c r="G326" s="138" t="n">
        <v>5.5</v>
      </c>
      <c r="H326" s="138" t="s">
        <v>4057</v>
      </c>
      <c r="I326" s="138" t="s">
        <v>4021</v>
      </c>
      <c r="J326" s="138" t="n">
        <v>30.433</v>
      </c>
      <c r="K326" s="138"/>
      <c r="L326" s="138"/>
      <c r="M326" s="138" t="s">
        <v>4056</v>
      </c>
    </row>
    <row r="327" customFormat="false" ht="15" hidden="false" customHeight="false" outlineLevel="0" collapsed="false">
      <c r="A327" s="138" t="s">
        <v>1981</v>
      </c>
      <c r="B327" s="138" t="n">
        <v>325</v>
      </c>
      <c r="C327" s="146" t="n">
        <v>782.17</v>
      </c>
      <c r="D327" s="146" t="n">
        <v>785.018</v>
      </c>
      <c r="E327" s="146" t="n">
        <f aca="false">D327-C327</f>
        <v>2.84800000000007</v>
      </c>
      <c r="F327" s="138" t="str">
        <f aca="false">IF(E327&gt;=0,"Aterro","Corte")</f>
        <v>Aterro</v>
      </c>
      <c r="G327" s="138" t="n">
        <v>5.5</v>
      </c>
      <c r="H327" s="138" t="s">
        <v>4057</v>
      </c>
      <c r="I327" s="138" t="s">
        <v>4021</v>
      </c>
      <c r="J327" s="138" t="n">
        <v>30.433</v>
      </c>
      <c r="K327" s="138"/>
      <c r="L327" s="138"/>
      <c r="M327" s="138" t="s">
        <v>4059</v>
      </c>
    </row>
    <row r="328" customFormat="false" ht="15" hidden="false" customHeight="false" outlineLevel="0" collapsed="false">
      <c r="A328" s="138" t="s">
        <v>1984</v>
      </c>
      <c r="B328" s="138" t="n">
        <v>326</v>
      </c>
      <c r="C328" s="146" t="n">
        <v>782.307</v>
      </c>
      <c r="D328" s="146" t="n">
        <v>785.527</v>
      </c>
      <c r="E328" s="146" t="n">
        <f aca="false">D328-C328</f>
        <v>3.22000000000003</v>
      </c>
      <c r="F328" s="138" t="str">
        <f aca="false">IF(E328&gt;=0,"Aterro","Corte")</f>
        <v>Aterro</v>
      </c>
      <c r="G328" s="138" t="n">
        <v>5.5</v>
      </c>
      <c r="H328" s="138" t="s">
        <v>4057</v>
      </c>
      <c r="I328" s="138" t="s">
        <v>4021</v>
      </c>
      <c r="J328" s="138" t="n">
        <v>30.433</v>
      </c>
      <c r="K328" s="138"/>
      <c r="L328" s="138"/>
      <c r="M328" s="138" t="s">
        <v>4059</v>
      </c>
    </row>
    <row r="329" customFormat="false" ht="15" hidden="false" customHeight="false" outlineLevel="0" collapsed="false">
      <c r="A329" s="138" t="s">
        <v>1986</v>
      </c>
      <c r="B329" s="138" t="n">
        <v>327</v>
      </c>
      <c r="C329" s="146" t="n">
        <v>782.997</v>
      </c>
      <c r="D329" s="146" t="n">
        <v>786.166</v>
      </c>
      <c r="E329" s="146" t="n">
        <f aca="false">D329-C329</f>
        <v>3.1690000000001</v>
      </c>
      <c r="F329" s="138" t="str">
        <f aca="false">IF(E329&gt;=0,"Aterro","Corte")</f>
        <v>Aterro</v>
      </c>
      <c r="G329" s="138" t="n">
        <v>5.5</v>
      </c>
      <c r="H329" s="138" t="s">
        <v>4057</v>
      </c>
      <c r="I329" s="138" t="s">
        <v>4021</v>
      </c>
      <c r="J329" s="138" t="n">
        <v>30.433</v>
      </c>
      <c r="K329" s="138"/>
      <c r="L329" s="138"/>
      <c r="M329" s="138" t="s">
        <v>4059</v>
      </c>
    </row>
    <row r="330" customFormat="false" ht="15" hidden="false" customHeight="false" outlineLevel="0" collapsed="false">
      <c r="A330" s="138" t="s">
        <v>1988</v>
      </c>
      <c r="B330" s="138" t="n">
        <v>328</v>
      </c>
      <c r="C330" s="146" t="n">
        <v>783.995</v>
      </c>
      <c r="D330" s="146" t="n">
        <v>786.938</v>
      </c>
      <c r="E330" s="146" t="n">
        <f aca="false">D330-C330</f>
        <v>2.94299999999998</v>
      </c>
      <c r="F330" s="138" t="str">
        <f aca="false">IF(E330&gt;=0,"Aterro","Corte")</f>
        <v>Aterro</v>
      </c>
      <c r="G330" s="138" t="n">
        <v>5.5</v>
      </c>
      <c r="H330" s="138" t="s">
        <v>4057</v>
      </c>
      <c r="I330" s="138" t="s">
        <v>4021</v>
      </c>
      <c r="J330" s="138" t="n">
        <v>30.433</v>
      </c>
      <c r="K330" s="138"/>
      <c r="L330" s="138"/>
      <c r="M330" s="138" t="s">
        <v>4059</v>
      </c>
    </row>
    <row r="331" customFormat="false" ht="15" hidden="false" customHeight="false" outlineLevel="0" collapsed="false">
      <c r="A331" s="138" t="s">
        <v>1989</v>
      </c>
      <c r="B331" s="138" t="n">
        <v>329</v>
      </c>
      <c r="C331" s="146" t="n">
        <v>784.982</v>
      </c>
      <c r="D331" s="146" t="n">
        <v>787.841</v>
      </c>
      <c r="E331" s="146" t="n">
        <f aca="false">D331-C331</f>
        <v>2.85900000000004</v>
      </c>
      <c r="F331" s="138" t="str">
        <f aca="false">IF(E331&gt;=0,"Aterro","Corte")</f>
        <v>Aterro</v>
      </c>
      <c r="G331" s="138" t="n">
        <v>5.5</v>
      </c>
      <c r="H331" s="138" t="s">
        <v>4057</v>
      </c>
      <c r="I331" s="138" t="s">
        <v>4021</v>
      </c>
      <c r="J331" s="138" t="n">
        <v>30.433</v>
      </c>
      <c r="K331" s="138"/>
      <c r="L331" s="138"/>
      <c r="M331" s="138" t="s">
        <v>4059</v>
      </c>
    </row>
    <row r="332" customFormat="false" ht="15" hidden="false" customHeight="false" outlineLevel="0" collapsed="false">
      <c r="A332" s="138" t="s">
        <v>1990</v>
      </c>
      <c r="B332" s="138" t="n">
        <v>330</v>
      </c>
      <c r="C332" s="146" t="n">
        <v>786.106</v>
      </c>
      <c r="D332" s="146" t="n">
        <v>788.875</v>
      </c>
      <c r="E332" s="146" t="n">
        <f aca="false">D332-C332</f>
        <v>2.76900000000001</v>
      </c>
      <c r="F332" s="138" t="str">
        <f aca="false">IF(E332&gt;=0,"Aterro","Corte")</f>
        <v>Aterro</v>
      </c>
      <c r="G332" s="138" t="n">
        <v>5.5</v>
      </c>
      <c r="H332" s="138" t="s">
        <v>4057</v>
      </c>
      <c r="I332" s="138" t="s">
        <v>4021</v>
      </c>
      <c r="J332" s="138" t="n">
        <v>30.433</v>
      </c>
      <c r="K332" s="138" t="s">
        <v>4060</v>
      </c>
      <c r="L332" s="138" t="n">
        <v>460</v>
      </c>
      <c r="M332" s="138" t="s">
        <v>4059</v>
      </c>
    </row>
    <row r="333" customFormat="false" ht="15" hidden="false" customHeight="false" outlineLevel="0" collapsed="false">
      <c r="A333" s="138" t="s">
        <v>1991</v>
      </c>
      <c r="B333" s="138" t="n">
        <v>331</v>
      </c>
      <c r="C333" s="146" t="n">
        <v>787.624</v>
      </c>
      <c r="D333" s="146" t="n">
        <v>789.975</v>
      </c>
      <c r="E333" s="146" t="n">
        <f aca="false">D333-C333</f>
        <v>2.351</v>
      </c>
      <c r="F333" s="138" t="str">
        <f aca="false">IF(E333&gt;=0,"Aterro","Corte")</f>
        <v>Aterro</v>
      </c>
      <c r="G333" s="138" t="n">
        <v>5.5</v>
      </c>
      <c r="H333" s="138"/>
      <c r="I333" s="138"/>
      <c r="J333" s="138"/>
      <c r="K333" s="138" t="s">
        <v>4060</v>
      </c>
      <c r="L333" s="138" t="n">
        <v>460</v>
      </c>
      <c r="M333" s="138" t="s">
        <v>4059</v>
      </c>
    </row>
    <row r="334" customFormat="false" ht="15" hidden="false" customHeight="false" outlineLevel="0" collapsed="false">
      <c r="A334" s="138" t="s">
        <v>1573</v>
      </c>
      <c r="B334" s="138" t="n">
        <v>332</v>
      </c>
      <c r="C334" s="146" t="n">
        <v>789.188</v>
      </c>
      <c r="D334" s="146" t="n">
        <v>791.075</v>
      </c>
      <c r="E334" s="146" t="n">
        <f aca="false">D334-C334</f>
        <v>1.88700000000006</v>
      </c>
      <c r="F334" s="138" t="str">
        <f aca="false">IF(E334&gt;=0,"Aterro","Corte")</f>
        <v>Aterro</v>
      </c>
      <c r="G334" s="138" t="n">
        <v>5.5</v>
      </c>
      <c r="H334" s="138"/>
      <c r="I334" s="138"/>
      <c r="J334" s="138"/>
      <c r="K334" s="138" t="s">
        <v>4060</v>
      </c>
      <c r="L334" s="138" t="n">
        <v>460</v>
      </c>
      <c r="M334" s="138" t="s">
        <v>4059</v>
      </c>
    </row>
    <row r="335" customFormat="false" ht="15" hidden="false" customHeight="false" outlineLevel="0" collapsed="false">
      <c r="A335" s="138" t="s">
        <v>1992</v>
      </c>
      <c r="B335" s="138" t="n">
        <v>333</v>
      </c>
      <c r="C335" s="146" t="n">
        <v>790.885</v>
      </c>
      <c r="D335" s="146" t="n">
        <v>792.175</v>
      </c>
      <c r="E335" s="146" t="n">
        <f aca="false">D335-C335</f>
        <v>1.28999999999996</v>
      </c>
      <c r="F335" s="138" t="str">
        <f aca="false">IF(E335&gt;=0,"Aterro","Corte")</f>
        <v>Aterro</v>
      </c>
      <c r="G335" s="138" t="n">
        <v>5.5</v>
      </c>
      <c r="H335" s="138"/>
      <c r="I335" s="138"/>
      <c r="J335" s="138"/>
      <c r="K335" s="138" t="s">
        <v>4060</v>
      </c>
      <c r="L335" s="138" t="n">
        <v>460</v>
      </c>
      <c r="M335" s="138" t="s">
        <v>4059</v>
      </c>
    </row>
    <row r="336" customFormat="false" ht="15" hidden="false" customHeight="false" outlineLevel="0" collapsed="false">
      <c r="A336" s="138" t="s">
        <v>1993</v>
      </c>
      <c r="B336" s="138" t="n">
        <v>334</v>
      </c>
      <c r="C336" s="146" t="n">
        <v>792.956</v>
      </c>
      <c r="D336" s="146" t="n">
        <v>793.275</v>
      </c>
      <c r="E336" s="146" t="n">
        <f aca="false">D336-C336</f>
        <v>0.31899999999996</v>
      </c>
      <c r="F336" s="138" t="str">
        <f aca="false">IF(E336&gt;=0,"Aterro","Corte")</f>
        <v>Aterro</v>
      </c>
      <c r="G336" s="138" t="n">
        <v>5.5</v>
      </c>
      <c r="H336" s="138"/>
      <c r="I336" s="138"/>
      <c r="J336" s="138"/>
      <c r="K336" s="138"/>
      <c r="L336" s="138"/>
      <c r="M336" s="138" t="s">
        <v>4059</v>
      </c>
    </row>
    <row r="337" customFormat="false" ht="15" hidden="false" customHeight="false" outlineLevel="0" collapsed="false">
      <c r="A337" s="138" t="s">
        <v>1995</v>
      </c>
      <c r="B337" s="138" t="n">
        <v>335</v>
      </c>
      <c r="C337" s="146" t="n">
        <v>794.993</v>
      </c>
      <c r="D337" s="146" t="n">
        <v>794.375</v>
      </c>
      <c r="E337" s="146" t="n">
        <f aca="false">D337-C337</f>
        <v>-0.618000000000052</v>
      </c>
      <c r="F337" s="138" t="str">
        <f aca="false">IF(E337&gt;=0,"Aterro","Corte")</f>
        <v>Corte</v>
      </c>
      <c r="G337" s="138" t="n">
        <v>5.5</v>
      </c>
      <c r="H337" s="138"/>
      <c r="I337" s="138"/>
      <c r="J337" s="138"/>
      <c r="K337" s="138"/>
      <c r="L337" s="138"/>
      <c r="M337" s="138" t="s">
        <v>4059</v>
      </c>
    </row>
    <row r="338" customFormat="false" ht="15" hidden="false" customHeight="false" outlineLevel="0" collapsed="false">
      <c r="A338" s="138" t="s">
        <v>1996</v>
      </c>
      <c r="B338" s="138" t="n">
        <v>336</v>
      </c>
      <c r="C338" s="146" t="n">
        <v>796.637</v>
      </c>
      <c r="D338" s="146" t="n">
        <v>795.475</v>
      </c>
      <c r="E338" s="146" t="n">
        <f aca="false">D338-C338</f>
        <v>-1.16199999999992</v>
      </c>
      <c r="F338" s="138" t="str">
        <f aca="false">IF(E338&gt;=0,"Aterro","Corte")</f>
        <v>Corte</v>
      </c>
      <c r="G338" s="138" t="n">
        <v>5.5</v>
      </c>
      <c r="H338" s="138"/>
      <c r="I338" s="138"/>
      <c r="J338" s="138"/>
      <c r="K338" s="138"/>
      <c r="L338" s="138"/>
      <c r="M338" s="138" t="s">
        <v>4059</v>
      </c>
    </row>
    <row r="339" customFormat="false" ht="15" hidden="false" customHeight="false" outlineLevel="0" collapsed="false">
      <c r="A339" s="138" t="s">
        <v>1997</v>
      </c>
      <c r="B339" s="138" t="n">
        <v>337</v>
      </c>
      <c r="C339" s="146" t="n">
        <v>797.89</v>
      </c>
      <c r="D339" s="146" t="n">
        <v>796.575</v>
      </c>
      <c r="E339" s="146" t="n">
        <f aca="false">D339-C339</f>
        <v>-1.31499999999994</v>
      </c>
      <c r="F339" s="138" t="str">
        <f aca="false">IF(E339&gt;=0,"Aterro","Corte")</f>
        <v>Corte</v>
      </c>
      <c r="G339" s="138" t="n">
        <v>5.5</v>
      </c>
      <c r="H339" s="138"/>
      <c r="I339" s="138"/>
      <c r="J339" s="138"/>
      <c r="K339" s="138"/>
      <c r="L339" s="138"/>
      <c r="M339" s="138" t="s">
        <v>4059</v>
      </c>
    </row>
    <row r="340" customFormat="false" ht="15" hidden="false" customHeight="false" outlineLevel="0" collapsed="false">
      <c r="A340" s="138" t="s">
        <v>1998</v>
      </c>
      <c r="B340" s="138" t="n">
        <v>338</v>
      </c>
      <c r="C340" s="146" t="n">
        <v>798.867</v>
      </c>
      <c r="D340" s="146" t="n">
        <v>797.675</v>
      </c>
      <c r="E340" s="146" t="n">
        <f aca="false">D340-C340</f>
        <v>-1.19200000000001</v>
      </c>
      <c r="F340" s="138" t="str">
        <f aca="false">IF(E340&gt;=0,"Aterro","Corte")</f>
        <v>Corte</v>
      </c>
      <c r="G340" s="138" t="n">
        <v>5.5</v>
      </c>
      <c r="H340" s="138"/>
      <c r="I340" s="138"/>
      <c r="J340" s="138"/>
      <c r="K340" s="138"/>
      <c r="L340" s="138"/>
      <c r="M340" s="138" t="s">
        <v>4059</v>
      </c>
    </row>
    <row r="341" customFormat="false" ht="15" hidden="false" customHeight="false" outlineLevel="0" collapsed="false">
      <c r="A341" s="138" t="s">
        <v>1999</v>
      </c>
      <c r="B341" s="138" t="n">
        <v>339</v>
      </c>
      <c r="C341" s="146" t="n">
        <v>799.763</v>
      </c>
      <c r="D341" s="146" t="n">
        <v>798.775</v>
      </c>
      <c r="E341" s="146" t="n">
        <f aca="false">D341-C341</f>
        <v>-0.988000000000056</v>
      </c>
      <c r="F341" s="138" t="str">
        <f aca="false">IF(E341&gt;=0,"Aterro","Corte")</f>
        <v>Corte</v>
      </c>
      <c r="G341" s="138" t="n">
        <v>5.5</v>
      </c>
      <c r="H341" s="138"/>
      <c r="I341" s="138"/>
      <c r="J341" s="138"/>
      <c r="K341" s="138"/>
      <c r="L341" s="138"/>
      <c r="M341" s="138" t="s">
        <v>4059</v>
      </c>
    </row>
    <row r="342" customFormat="false" ht="15" hidden="false" customHeight="false" outlineLevel="0" collapsed="false">
      <c r="A342" s="138" t="s">
        <v>2000</v>
      </c>
      <c r="B342" s="138" t="n">
        <v>340</v>
      </c>
      <c r="C342" s="146" t="n">
        <v>800.645</v>
      </c>
      <c r="D342" s="146" t="n">
        <v>799.875</v>
      </c>
      <c r="E342" s="146" t="n">
        <f aca="false">D342-C342</f>
        <v>-0.769999999999982</v>
      </c>
      <c r="F342" s="138" t="str">
        <f aca="false">IF(E342&gt;=0,"Aterro","Corte")</f>
        <v>Corte</v>
      </c>
      <c r="G342" s="138" t="n">
        <v>5.5</v>
      </c>
      <c r="H342" s="138"/>
      <c r="I342" s="138"/>
      <c r="J342" s="138"/>
      <c r="K342" s="138"/>
      <c r="L342" s="138"/>
      <c r="M342" s="138" t="s">
        <v>4059</v>
      </c>
    </row>
    <row r="343" customFormat="false" ht="15" hidden="false" customHeight="false" outlineLevel="0" collapsed="false">
      <c r="A343" s="138" t="s">
        <v>2001</v>
      </c>
      <c r="B343" s="138" t="n">
        <v>341</v>
      </c>
      <c r="C343" s="146" t="n">
        <v>801.488</v>
      </c>
      <c r="D343" s="146" t="n">
        <v>800.975</v>
      </c>
      <c r="E343" s="146" t="n">
        <f aca="false">D343-C343</f>
        <v>-0.513000000000034</v>
      </c>
      <c r="F343" s="138" t="str">
        <f aca="false">IF(E343&gt;=0,"Aterro","Corte")</f>
        <v>Corte</v>
      </c>
      <c r="G343" s="138" t="n">
        <v>5.5</v>
      </c>
      <c r="H343" s="138"/>
      <c r="I343" s="138"/>
      <c r="J343" s="138"/>
      <c r="K343" s="138"/>
      <c r="L343" s="138"/>
      <c r="M343" s="138" t="s">
        <v>4059</v>
      </c>
    </row>
    <row r="344" customFormat="false" ht="15" hidden="false" customHeight="false" outlineLevel="0" collapsed="false">
      <c r="A344" s="138" t="s">
        <v>2002</v>
      </c>
      <c r="B344" s="138" t="n">
        <v>342</v>
      </c>
      <c r="C344" s="146" t="n">
        <v>802.413</v>
      </c>
      <c r="D344" s="146" t="n">
        <v>802.075</v>
      </c>
      <c r="E344" s="146" t="n">
        <f aca="false">D344-C344</f>
        <v>-0.337999999999965</v>
      </c>
      <c r="F344" s="138" t="str">
        <f aca="false">IF(E344&gt;=0,"Aterro","Corte")</f>
        <v>Corte</v>
      </c>
      <c r="G344" s="138" t="n">
        <v>5.5</v>
      </c>
      <c r="H344" s="138"/>
      <c r="I344" s="138"/>
      <c r="J344" s="138"/>
      <c r="K344" s="138"/>
      <c r="L344" s="138"/>
      <c r="M344" s="138" t="s">
        <v>4059</v>
      </c>
    </row>
    <row r="345" customFormat="false" ht="15" hidden="false" customHeight="false" outlineLevel="0" collapsed="false">
      <c r="A345" s="138" t="s">
        <v>2003</v>
      </c>
      <c r="B345" s="138" t="n">
        <v>343</v>
      </c>
      <c r="C345" s="146" t="n">
        <v>803.323</v>
      </c>
      <c r="D345" s="146" t="n">
        <v>803.175</v>
      </c>
      <c r="E345" s="146" t="n">
        <f aca="false">D345-C345</f>
        <v>-0.148000000000025</v>
      </c>
      <c r="F345" s="138" t="str">
        <f aca="false">IF(E345&gt;=0,"Aterro","Corte")</f>
        <v>Corte</v>
      </c>
      <c r="G345" s="138" t="n">
        <v>5.5</v>
      </c>
      <c r="H345" s="138"/>
      <c r="I345" s="138"/>
      <c r="J345" s="138"/>
      <c r="K345" s="138"/>
      <c r="L345" s="138"/>
      <c r="M345" s="138" t="s">
        <v>4059</v>
      </c>
    </row>
    <row r="346" customFormat="false" ht="15" hidden="false" customHeight="false" outlineLevel="0" collapsed="false">
      <c r="A346" s="138" t="s">
        <v>2004</v>
      </c>
      <c r="B346" s="138" t="n">
        <v>344</v>
      </c>
      <c r="C346" s="146" t="n">
        <v>804.26</v>
      </c>
      <c r="D346" s="146" t="n">
        <v>804.275</v>
      </c>
      <c r="E346" s="146" t="n">
        <f aca="false">D346-C346</f>
        <v>0.0149999999999864</v>
      </c>
      <c r="F346" s="138" t="str">
        <f aca="false">IF(E346&gt;=0,"Aterro","Corte")</f>
        <v>Aterro</v>
      </c>
      <c r="G346" s="138" t="n">
        <v>5.5</v>
      </c>
      <c r="H346" s="138"/>
      <c r="I346" s="138"/>
      <c r="J346" s="138"/>
      <c r="K346" s="138"/>
      <c r="L346" s="138"/>
      <c r="M346" s="138" t="s">
        <v>4059</v>
      </c>
    </row>
    <row r="347" customFormat="false" ht="15" hidden="false" customHeight="false" outlineLevel="0" collapsed="false">
      <c r="A347" s="138" t="s">
        <v>2005</v>
      </c>
      <c r="B347" s="138" t="n">
        <v>345</v>
      </c>
      <c r="C347" s="146" t="n">
        <v>805.318</v>
      </c>
      <c r="D347" s="146" t="n">
        <v>805.375</v>
      </c>
      <c r="E347" s="146" t="n">
        <f aca="false">D347-C347</f>
        <v>0.0570000000000164</v>
      </c>
      <c r="F347" s="138" t="str">
        <f aca="false">IF(E347&gt;=0,"Aterro","Corte")</f>
        <v>Aterro</v>
      </c>
      <c r="G347" s="138" t="n">
        <v>5.5</v>
      </c>
      <c r="H347" s="138"/>
      <c r="I347" s="138"/>
      <c r="J347" s="138"/>
      <c r="K347" s="138"/>
      <c r="L347" s="138"/>
      <c r="M347" s="138" t="s">
        <v>4059</v>
      </c>
    </row>
    <row r="348" customFormat="false" ht="15" hidden="false" customHeight="false" outlineLevel="0" collapsed="false">
      <c r="A348" s="138" t="s">
        <v>2006</v>
      </c>
      <c r="B348" s="138" t="n">
        <v>346</v>
      </c>
      <c r="C348" s="146" t="n">
        <v>806.384</v>
      </c>
      <c r="D348" s="146" t="n">
        <v>806.475</v>
      </c>
      <c r="E348" s="146" t="n">
        <f aca="false">D348-C348</f>
        <v>0.0910000000000082</v>
      </c>
      <c r="F348" s="138" t="str">
        <f aca="false">IF(E348&gt;=0,"Aterro","Corte")</f>
        <v>Aterro</v>
      </c>
      <c r="G348" s="138" t="n">
        <v>5.5</v>
      </c>
      <c r="H348" s="138"/>
      <c r="I348" s="138"/>
      <c r="J348" s="138"/>
      <c r="K348" s="138"/>
      <c r="L348" s="138"/>
      <c r="M348" s="138" t="s">
        <v>4059</v>
      </c>
    </row>
    <row r="349" customFormat="false" ht="15" hidden="false" customHeight="false" outlineLevel="0" collapsed="false">
      <c r="A349" s="138" t="s">
        <v>2007</v>
      </c>
      <c r="B349" s="138" t="n">
        <v>347</v>
      </c>
      <c r="C349" s="146" t="n">
        <v>807.476</v>
      </c>
      <c r="D349" s="146" t="n">
        <v>807.546</v>
      </c>
      <c r="E349" s="146" t="n">
        <f aca="false">D349-C349</f>
        <v>0.07000000000005</v>
      </c>
      <c r="F349" s="138" t="str">
        <f aca="false">IF(E349&gt;=0,"Aterro","Corte")</f>
        <v>Aterro</v>
      </c>
      <c r="G349" s="138" t="n">
        <v>5.5</v>
      </c>
      <c r="H349" s="138" t="s">
        <v>4061</v>
      </c>
      <c r="I349" s="138" t="s">
        <v>4024</v>
      </c>
      <c r="J349" s="138" t="n">
        <v>40</v>
      </c>
      <c r="K349" s="138"/>
      <c r="L349" s="138"/>
      <c r="M349" s="138" t="s">
        <v>4059</v>
      </c>
    </row>
    <row r="350" customFormat="false" ht="15" hidden="false" customHeight="false" outlineLevel="0" collapsed="false">
      <c r="A350" s="138" t="s">
        <v>2008</v>
      </c>
      <c r="B350" s="138" t="n">
        <v>348</v>
      </c>
      <c r="C350" s="146" t="n">
        <v>808.521</v>
      </c>
      <c r="D350" s="146" t="n">
        <v>808.52</v>
      </c>
      <c r="E350" s="146" t="n">
        <f aca="false">D350-C350</f>
        <v>-0.000999999999976353</v>
      </c>
      <c r="F350" s="138" t="str">
        <f aca="false">IF(E350&gt;=0,"Aterro","Corte")</f>
        <v>Corte</v>
      </c>
      <c r="G350" s="138" t="n">
        <v>5.5</v>
      </c>
      <c r="H350" s="138" t="s">
        <v>4061</v>
      </c>
      <c r="I350" s="138" t="s">
        <v>4024</v>
      </c>
      <c r="J350" s="138" t="n">
        <v>40</v>
      </c>
      <c r="K350" s="138"/>
      <c r="L350" s="138"/>
      <c r="M350" s="138" t="s">
        <v>4059</v>
      </c>
    </row>
    <row r="351" customFormat="false" ht="15" hidden="false" customHeight="false" outlineLevel="0" collapsed="false">
      <c r="A351" s="138" t="s">
        <v>2009</v>
      </c>
      <c r="B351" s="138" t="n">
        <v>349</v>
      </c>
      <c r="C351" s="146" t="n">
        <v>809.593</v>
      </c>
      <c r="D351" s="146" t="n">
        <v>809.393</v>
      </c>
      <c r="E351" s="146" t="n">
        <f aca="false">D351-C351</f>
        <v>-0.199999999999932</v>
      </c>
      <c r="F351" s="138" t="str">
        <f aca="false">IF(E351&gt;=0,"Aterro","Corte")</f>
        <v>Corte</v>
      </c>
      <c r="G351" s="138" t="n">
        <v>3.5</v>
      </c>
      <c r="H351" s="138" t="s">
        <v>4061</v>
      </c>
      <c r="I351" s="138" t="s">
        <v>4024</v>
      </c>
      <c r="J351" s="138" t="n">
        <v>40</v>
      </c>
      <c r="K351" s="138"/>
      <c r="L351" s="138"/>
      <c r="M351" s="138" t="s">
        <v>4059</v>
      </c>
    </row>
    <row r="352" customFormat="false" ht="15" hidden="false" customHeight="false" outlineLevel="0" collapsed="false">
      <c r="A352" s="138" t="s">
        <v>2010</v>
      </c>
      <c r="B352" s="138" t="n">
        <v>350</v>
      </c>
      <c r="C352" s="146" t="n">
        <v>810.475</v>
      </c>
      <c r="D352" s="146" t="n">
        <v>810.167</v>
      </c>
      <c r="E352" s="146" t="n">
        <f aca="false">D352-C352</f>
        <v>-0.307999999999993</v>
      </c>
      <c r="F352" s="138" t="str">
        <f aca="false">IF(E352&gt;=0,"Aterro","Corte")</f>
        <v>Corte</v>
      </c>
      <c r="G352" s="138" t="n">
        <v>3.5</v>
      </c>
      <c r="H352" s="138" t="s">
        <v>4061</v>
      </c>
      <c r="I352" s="138" t="s">
        <v>4024</v>
      </c>
      <c r="J352" s="138" t="n">
        <v>40</v>
      </c>
      <c r="K352" s="138" t="s">
        <v>4062</v>
      </c>
      <c r="L352" s="138" t="n">
        <v>550</v>
      </c>
      <c r="M352" s="138" t="s">
        <v>4059</v>
      </c>
    </row>
    <row r="353" customFormat="false" ht="15" hidden="false" customHeight="false" outlineLevel="0" collapsed="false">
      <c r="A353" s="138" t="s">
        <v>2011</v>
      </c>
      <c r="B353" s="138" t="n">
        <v>351</v>
      </c>
      <c r="C353" s="146" t="n">
        <v>811.014</v>
      </c>
      <c r="D353" s="146" t="n">
        <v>810.87</v>
      </c>
      <c r="E353" s="146" t="n">
        <f aca="false">D353-C353</f>
        <v>-0.144000000000005</v>
      </c>
      <c r="F353" s="138" t="str">
        <f aca="false">IF(E353&gt;=0,"Aterro","Corte")</f>
        <v>Corte</v>
      </c>
      <c r="G353" s="138" t="n">
        <v>3.5</v>
      </c>
      <c r="H353" s="138"/>
      <c r="I353" s="138"/>
      <c r="J353" s="138"/>
      <c r="K353" s="138" t="s">
        <v>4062</v>
      </c>
      <c r="L353" s="138" t="n">
        <v>550</v>
      </c>
      <c r="M353" s="138" t="s">
        <v>4059</v>
      </c>
    </row>
    <row r="354" customFormat="false" ht="15" hidden="false" customHeight="false" outlineLevel="0" collapsed="false">
      <c r="A354" s="138" t="s">
        <v>2012</v>
      </c>
      <c r="B354" s="138" t="n">
        <v>352</v>
      </c>
      <c r="C354" s="146" t="n">
        <v>811.628</v>
      </c>
      <c r="D354" s="146" t="n">
        <v>811.57</v>
      </c>
      <c r="E354" s="146" t="n">
        <f aca="false">D354-C354</f>
        <v>-0.0579999999999927</v>
      </c>
      <c r="F354" s="138" t="str">
        <f aca="false">IF(E354&gt;=0,"Aterro","Corte")</f>
        <v>Corte</v>
      </c>
      <c r="G354" s="138" t="n">
        <v>3.5</v>
      </c>
      <c r="H354" s="138"/>
      <c r="I354" s="138"/>
      <c r="J354" s="138"/>
      <c r="K354" s="138" t="s">
        <v>4062</v>
      </c>
      <c r="L354" s="138" t="n">
        <v>550</v>
      </c>
      <c r="M354" s="138" t="s">
        <v>4059</v>
      </c>
    </row>
    <row r="355" customFormat="false" ht="15" hidden="false" customHeight="false" outlineLevel="0" collapsed="false">
      <c r="A355" s="138" t="s">
        <v>2013</v>
      </c>
      <c r="B355" s="138" t="n">
        <v>353</v>
      </c>
      <c r="C355" s="146" t="n">
        <v>812.403</v>
      </c>
      <c r="D355" s="146" t="n">
        <v>812.27</v>
      </c>
      <c r="E355" s="146" t="n">
        <f aca="false">D355-C355</f>
        <v>-0.133000000000038</v>
      </c>
      <c r="F355" s="138" t="str">
        <f aca="false">IF(E355&gt;=0,"Aterro","Corte")</f>
        <v>Corte</v>
      </c>
      <c r="G355" s="138" t="n">
        <v>3.5</v>
      </c>
      <c r="H355" s="138"/>
      <c r="I355" s="138"/>
      <c r="J355" s="138"/>
      <c r="K355" s="138" t="s">
        <v>4062</v>
      </c>
      <c r="L355" s="138" t="n">
        <v>550</v>
      </c>
      <c r="M355" s="138" t="s">
        <v>4059</v>
      </c>
    </row>
    <row r="356" customFormat="false" ht="15" hidden="false" customHeight="false" outlineLevel="0" collapsed="false">
      <c r="A356" s="138" t="s">
        <v>2014</v>
      </c>
      <c r="B356" s="138" t="n">
        <v>354</v>
      </c>
      <c r="C356" s="146" t="n">
        <v>813.13</v>
      </c>
      <c r="D356" s="146" t="n">
        <v>812.97</v>
      </c>
      <c r="E356" s="146" t="n">
        <f aca="false">D356-C356</f>
        <v>-0.159999999999968</v>
      </c>
      <c r="F356" s="138" t="str">
        <f aca="false">IF(E356&gt;=0,"Aterro","Corte")</f>
        <v>Corte</v>
      </c>
      <c r="G356" s="138" t="n">
        <v>3.5</v>
      </c>
      <c r="H356" s="138"/>
      <c r="I356" s="138"/>
      <c r="J356" s="138"/>
      <c r="K356" s="138" t="s">
        <v>4062</v>
      </c>
      <c r="L356" s="138" t="n">
        <v>550</v>
      </c>
      <c r="M356" s="138" t="s">
        <v>4059</v>
      </c>
    </row>
    <row r="357" customFormat="false" ht="15" hidden="false" customHeight="false" outlineLevel="0" collapsed="false">
      <c r="A357" s="138" t="s">
        <v>2015</v>
      </c>
      <c r="B357" s="138" t="n">
        <v>355</v>
      </c>
      <c r="C357" s="146" t="n">
        <v>813.715</v>
      </c>
      <c r="D357" s="146" t="n">
        <v>813.67</v>
      </c>
      <c r="E357" s="146" t="n">
        <f aca="false">D357-C357</f>
        <v>-0.0450000000000728</v>
      </c>
      <c r="F357" s="138" t="str">
        <f aca="false">IF(E357&gt;=0,"Aterro","Corte")</f>
        <v>Corte</v>
      </c>
      <c r="G357" s="138" t="n">
        <v>3.5</v>
      </c>
      <c r="H357" s="138"/>
      <c r="I357" s="138"/>
      <c r="J357" s="138"/>
      <c r="K357" s="138" t="s">
        <v>4062</v>
      </c>
      <c r="L357" s="138" t="n">
        <v>550</v>
      </c>
      <c r="M357" s="138" t="s">
        <v>4059</v>
      </c>
    </row>
    <row r="358" customFormat="false" ht="15" hidden="false" customHeight="false" outlineLevel="0" collapsed="false">
      <c r="A358" s="138" t="s">
        <v>2016</v>
      </c>
      <c r="B358" s="138" t="n">
        <v>356</v>
      </c>
      <c r="C358" s="146" t="n">
        <v>814.142</v>
      </c>
      <c r="D358" s="146" t="n">
        <v>814.388</v>
      </c>
      <c r="E358" s="146" t="n">
        <f aca="false">D358-C358</f>
        <v>0.245999999999981</v>
      </c>
      <c r="F358" s="138" t="str">
        <f aca="false">IF(E358&gt;=0,"Aterro","Corte")</f>
        <v>Aterro</v>
      </c>
      <c r="G358" s="138" t="n">
        <v>3.5</v>
      </c>
      <c r="H358" s="138" t="s">
        <v>2017</v>
      </c>
      <c r="I358" s="138" t="s">
        <v>4021</v>
      </c>
      <c r="J358" s="138" t="n">
        <v>27.815</v>
      </c>
      <c r="K358" s="138" t="s">
        <v>4062</v>
      </c>
      <c r="L358" s="138" t="n">
        <v>550</v>
      </c>
      <c r="M358" s="138" t="s">
        <v>4059</v>
      </c>
    </row>
    <row r="359" customFormat="false" ht="15" hidden="false" customHeight="false" outlineLevel="0" collapsed="false">
      <c r="A359" s="138" t="s">
        <v>2017</v>
      </c>
      <c r="B359" s="138" t="n">
        <v>357</v>
      </c>
      <c r="C359" s="146" t="n">
        <v>814.555</v>
      </c>
      <c r="D359" s="146" t="n">
        <v>815.232</v>
      </c>
      <c r="E359" s="146" t="n">
        <f aca="false">D359-C359</f>
        <v>0.677000000000021</v>
      </c>
      <c r="F359" s="138" t="str">
        <f aca="false">IF(E359&gt;=0,"Aterro","Corte")</f>
        <v>Aterro</v>
      </c>
      <c r="G359" s="138" t="n">
        <v>3.5</v>
      </c>
      <c r="H359" s="138" t="s">
        <v>2017</v>
      </c>
      <c r="I359" s="138" t="s">
        <v>4021</v>
      </c>
      <c r="J359" s="138" t="n">
        <v>27.815</v>
      </c>
      <c r="K359" s="138"/>
      <c r="L359" s="138"/>
      <c r="M359" s="138" t="s">
        <v>4059</v>
      </c>
    </row>
    <row r="360" customFormat="false" ht="15" hidden="false" customHeight="false" outlineLevel="0" collapsed="false">
      <c r="A360" s="138" t="s">
        <v>2018</v>
      </c>
      <c r="B360" s="138" t="n">
        <v>358</v>
      </c>
      <c r="C360" s="146" t="n">
        <v>815.218</v>
      </c>
      <c r="D360" s="146" t="n">
        <v>816.219</v>
      </c>
      <c r="E360" s="146" t="n">
        <f aca="false">D360-C360</f>
        <v>1.00100000000009</v>
      </c>
      <c r="F360" s="138" t="str">
        <f aca="false">IF(E360&gt;=0,"Aterro","Corte")</f>
        <v>Aterro</v>
      </c>
      <c r="G360" s="138" t="n">
        <v>5.657</v>
      </c>
      <c r="H360" s="138" t="s">
        <v>2017</v>
      </c>
      <c r="I360" s="138" t="s">
        <v>4021</v>
      </c>
      <c r="J360" s="138" t="n">
        <v>27.815</v>
      </c>
      <c r="K360" s="138"/>
      <c r="L360" s="138"/>
      <c r="M360" s="138" t="s">
        <v>4059</v>
      </c>
    </row>
    <row r="361" customFormat="false" ht="15" hidden="false" customHeight="false" outlineLevel="0" collapsed="false">
      <c r="A361" s="138" t="s">
        <v>2019</v>
      </c>
      <c r="B361" s="138" t="n">
        <v>359</v>
      </c>
      <c r="C361" s="146" t="n">
        <v>816.337</v>
      </c>
      <c r="D361" s="146" t="n">
        <v>817.313</v>
      </c>
      <c r="E361" s="146" t="n">
        <f aca="false">D361-C361</f>
        <v>0.975999999999999</v>
      </c>
      <c r="F361" s="138" t="str">
        <f aca="false">IF(E361&gt;=0,"Aterro","Corte")</f>
        <v>Aterro</v>
      </c>
      <c r="G361" s="138" t="n">
        <v>5.657</v>
      </c>
      <c r="H361" s="138" t="s">
        <v>4063</v>
      </c>
      <c r="I361" s="138" t="s">
        <v>4024</v>
      </c>
      <c r="J361" s="138" t="n">
        <v>24.877</v>
      </c>
      <c r="K361" s="138"/>
      <c r="L361" s="138"/>
      <c r="M361" s="138" t="s">
        <v>4059</v>
      </c>
    </row>
    <row r="362" customFormat="false" ht="15" hidden="false" customHeight="false" outlineLevel="0" collapsed="false">
      <c r="A362" s="138" t="s">
        <v>2021</v>
      </c>
      <c r="B362" s="138" t="n">
        <v>360</v>
      </c>
      <c r="C362" s="146" t="n">
        <v>817.839</v>
      </c>
      <c r="D362" s="146" t="n">
        <v>818.283</v>
      </c>
      <c r="E362" s="146" t="n">
        <f aca="false">D362-C362</f>
        <v>0.44399999999996</v>
      </c>
      <c r="F362" s="138" t="str">
        <f aca="false">IF(E362&gt;=0,"Aterro","Corte")</f>
        <v>Aterro</v>
      </c>
      <c r="G362" s="138" t="n">
        <v>5.657</v>
      </c>
      <c r="H362" s="138" t="s">
        <v>4063</v>
      </c>
      <c r="I362" s="138" t="s">
        <v>4024</v>
      </c>
      <c r="J362" s="138" t="n">
        <v>24.877</v>
      </c>
      <c r="K362" s="138"/>
      <c r="L362" s="138"/>
      <c r="M362" s="138" t="s">
        <v>4059</v>
      </c>
    </row>
    <row r="363" customFormat="false" ht="15" hidden="false" customHeight="false" outlineLevel="0" collapsed="false">
      <c r="A363" s="138" t="s">
        <v>2022</v>
      </c>
      <c r="B363" s="138" t="n">
        <v>361</v>
      </c>
      <c r="C363" s="146" t="n">
        <v>819.524</v>
      </c>
      <c r="D363" s="146" t="n">
        <v>819.093</v>
      </c>
      <c r="E363" s="146" t="n">
        <f aca="false">D363-C363</f>
        <v>-0.43100000000004</v>
      </c>
      <c r="F363" s="138" t="str">
        <f aca="false">IF(E363&gt;=0,"Aterro","Corte")</f>
        <v>Corte</v>
      </c>
      <c r="G363" s="138" t="n">
        <v>5.657</v>
      </c>
      <c r="H363" s="138" t="s">
        <v>4063</v>
      </c>
      <c r="I363" s="138" t="s">
        <v>4024</v>
      </c>
      <c r="J363" s="138" t="n">
        <v>24.877</v>
      </c>
      <c r="K363" s="138"/>
      <c r="L363" s="138"/>
      <c r="M363" s="138" t="s">
        <v>4064</v>
      </c>
    </row>
    <row r="364" customFormat="false" ht="15" hidden="false" customHeight="false" outlineLevel="0" collapsed="false">
      <c r="A364" s="138" t="s">
        <v>2023</v>
      </c>
      <c r="B364" s="138" t="n">
        <v>362</v>
      </c>
      <c r="C364" s="146" t="n">
        <v>821.351</v>
      </c>
      <c r="D364" s="146" t="n">
        <v>819.742</v>
      </c>
      <c r="E364" s="146" t="n">
        <f aca="false">D364-C364</f>
        <v>-1.60900000000004</v>
      </c>
      <c r="F364" s="138" t="str">
        <f aca="false">IF(E364&gt;=0,"Aterro","Corte")</f>
        <v>Corte</v>
      </c>
      <c r="G364" s="138" t="n">
        <v>5.657</v>
      </c>
      <c r="H364" s="138" t="s">
        <v>4063</v>
      </c>
      <c r="I364" s="138" t="s">
        <v>4024</v>
      </c>
      <c r="J364" s="138" t="n">
        <v>24.877</v>
      </c>
      <c r="K364" s="138"/>
      <c r="L364" s="138"/>
      <c r="M364" s="138" t="s">
        <v>4064</v>
      </c>
    </row>
    <row r="365" customFormat="false" ht="15" hidden="false" customHeight="false" outlineLevel="0" collapsed="false">
      <c r="A365" s="138" t="s">
        <v>2024</v>
      </c>
      <c r="B365" s="138" t="n">
        <v>363</v>
      </c>
      <c r="C365" s="146" t="n">
        <v>823.125</v>
      </c>
      <c r="D365" s="146" t="n">
        <v>820.231</v>
      </c>
      <c r="E365" s="146" t="n">
        <f aca="false">D365-C365</f>
        <v>-2.89400000000001</v>
      </c>
      <c r="F365" s="138" t="str">
        <f aca="false">IF(E365&gt;=0,"Aterro","Corte")</f>
        <v>Corte</v>
      </c>
      <c r="G365" s="138" t="n">
        <v>5.657</v>
      </c>
      <c r="H365" s="138" t="s">
        <v>4063</v>
      </c>
      <c r="I365" s="138" t="s">
        <v>4024</v>
      </c>
      <c r="J365" s="138" t="n">
        <v>24.877</v>
      </c>
      <c r="K365" s="138"/>
      <c r="L365" s="138"/>
      <c r="M365" s="138" t="s">
        <v>4064</v>
      </c>
    </row>
    <row r="366" customFormat="false" ht="15" hidden="false" customHeight="false" outlineLevel="0" collapsed="false">
      <c r="A366" s="138" t="s">
        <v>2025</v>
      </c>
      <c r="B366" s="138" t="n">
        <v>364</v>
      </c>
      <c r="C366" s="146" t="n">
        <v>824.648</v>
      </c>
      <c r="D366" s="146" t="n">
        <v>820.558</v>
      </c>
      <c r="E366" s="146" t="n">
        <f aca="false">D366-C366</f>
        <v>-4.09000000000003</v>
      </c>
      <c r="F366" s="138" t="str">
        <f aca="false">IF(E366&gt;=0,"Aterro","Corte")</f>
        <v>Corte</v>
      </c>
      <c r="G366" s="138" t="n">
        <v>5.657</v>
      </c>
      <c r="H366" s="138" t="s">
        <v>4063</v>
      </c>
      <c r="I366" s="138" t="s">
        <v>4024</v>
      </c>
      <c r="J366" s="138" t="n">
        <v>24.877</v>
      </c>
      <c r="K366" s="138" t="s">
        <v>4065</v>
      </c>
      <c r="L366" s="138" t="n">
        <v>2200</v>
      </c>
      <c r="M366" s="138" t="s">
        <v>4064</v>
      </c>
    </row>
    <row r="367" customFormat="false" ht="15" hidden="false" customHeight="false" outlineLevel="0" collapsed="false">
      <c r="A367" s="138" t="s">
        <v>2026</v>
      </c>
      <c r="B367" s="138" t="n">
        <v>365</v>
      </c>
      <c r="C367" s="146" t="n">
        <v>825.63</v>
      </c>
      <c r="D367" s="146" t="n">
        <v>820.725</v>
      </c>
      <c r="E367" s="146" t="n">
        <f aca="false">D367-C367</f>
        <v>-4.90499999999997</v>
      </c>
      <c r="F367" s="138" t="str">
        <f aca="false">IF(E367&gt;=0,"Aterro","Corte")</f>
        <v>Corte</v>
      </c>
      <c r="G367" s="138" t="n">
        <v>5.657</v>
      </c>
      <c r="H367" s="138" t="s">
        <v>4063</v>
      </c>
      <c r="I367" s="138" t="s">
        <v>4024</v>
      </c>
      <c r="J367" s="138" t="n">
        <v>24.877</v>
      </c>
      <c r="K367" s="138" t="s">
        <v>4065</v>
      </c>
      <c r="L367" s="138" t="n">
        <v>2200</v>
      </c>
      <c r="M367" s="138" t="s">
        <v>4064</v>
      </c>
    </row>
    <row r="368" customFormat="false" ht="15" hidden="false" customHeight="false" outlineLevel="0" collapsed="false">
      <c r="A368" s="138" t="s">
        <v>2027</v>
      </c>
      <c r="B368" s="138" t="n">
        <v>366</v>
      </c>
      <c r="C368" s="146" t="n">
        <v>825.421</v>
      </c>
      <c r="D368" s="146" t="n">
        <v>820.731</v>
      </c>
      <c r="E368" s="146" t="n">
        <f aca="false">D368-C368</f>
        <v>-4.69000000000006</v>
      </c>
      <c r="F368" s="138" t="str">
        <f aca="false">IF(E368&gt;=0,"Aterro","Corte")</f>
        <v>Corte</v>
      </c>
      <c r="G368" s="138" t="n">
        <v>-6</v>
      </c>
      <c r="H368" s="138" t="s">
        <v>4063</v>
      </c>
      <c r="I368" s="138" t="s">
        <v>4024</v>
      </c>
      <c r="J368" s="138" t="n">
        <v>24.877</v>
      </c>
      <c r="K368" s="138" t="s">
        <v>4065</v>
      </c>
      <c r="L368" s="138" t="n">
        <v>2200</v>
      </c>
      <c r="M368" s="138" t="s">
        <v>4064</v>
      </c>
    </row>
    <row r="369" customFormat="false" ht="15" hidden="false" customHeight="false" outlineLevel="0" collapsed="false">
      <c r="A369" s="138" t="s">
        <v>2028</v>
      </c>
      <c r="B369" s="138" t="n">
        <v>367</v>
      </c>
      <c r="C369" s="146" t="n">
        <v>824.247</v>
      </c>
      <c r="D369" s="146" t="n">
        <v>820.576</v>
      </c>
      <c r="E369" s="146" t="n">
        <f aca="false">D369-C369</f>
        <v>-3.67099999999994</v>
      </c>
      <c r="F369" s="138" t="str">
        <f aca="false">IF(E369&gt;=0,"Aterro","Corte")</f>
        <v>Corte</v>
      </c>
      <c r="G369" s="138" t="n">
        <v>-6</v>
      </c>
      <c r="H369" s="138" t="s">
        <v>4063</v>
      </c>
      <c r="I369" s="138" t="s">
        <v>4024</v>
      </c>
      <c r="J369" s="138" t="n">
        <v>24.877</v>
      </c>
      <c r="K369" s="138" t="s">
        <v>4065</v>
      </c>
      <c r="L369" s="138" t="n">
        <v>2200</v>
      </c>
      <c r="M369" s="138" t="s">
        <v>4064</v>
      </c>
    </row>
    <row r="370" customFormat="false" ht="15" hidden="false" customHeight="false" outlineLevel="0" collapsed="false">
      <c r="A370" s="138" t="s">
        <v>2029</v>
      </c>
      <c r="B370" s="138" t="n">
        <v>368</v>
      </c>
      <c r="C370" s="146" t="n">
        <v>822.837</v>
      </c>
      <c r="D370" s="146" t="n">
        <v>820.26</v>
      </c>
      <c r="E370" s="146" t="n">
        <f aca="false">D370-C370</f>
        <v>-2.577</v>
      </c>
      <c r="F370" s="138" t="str">
        <f aca="false">IF(E370&gt;=0,"Aterro","Corte")</f>
        <v>Corte</v>
      </c>
      <c r="G370" s="138" t="n">
        <v>-6</v>
      </c>
      <c r="H370" s="138" t="s">
        <v>4063</v>
      </c>
      <c r="I370" s="138" t="s">
        <v>4024</v>
      </c>
      <c r="J370" s="138" t="n">
        <v>24.877</v>
      </c>
      <c r="K370" s="138" t="s">
        <v>4065</v>
      </c>
      <c r="L370" s="138" t="n">
        <v>2200</v>
      </c>
      <c r="M370" s="138" t="s">
        <v>4064</v>
      </c>
    </row>
    <row r="371" customFormat="false" ht="15" hidden="false" customHeight="false" outlineLevel="0" collapsed="false">
      <c r="A371" s="138" t="s">
        <v>2030</v>
      </c>
      <c r="B371" s="138" t="n">
        <v>369</v>
      </c>
      <c r="C371" s="146" t="n">
        <v>821.333</v>
      </c>
      <c r="D371" s="146" t="n">
        <v>819.784</v>
      </c>
      <c r="E371" s="146" t="n">
        <f aca="false">D371-C371</f>
        <v>-1.54899999999998</v>
      </c>
      <c r="F371" s="138" t="str">
        <f aca="false">IF(E371&gt;=0,"Aterro","Corte")</f>
        <v>Corte</v>
      </c>
      <c r="G371" s="138" t="n">
        <v>-6</v>
      </c>
      <c r="H371" s="138" t="s">
        <v>4063</v>
      </c>
      <c r="I371" s="138" t="s">
        <v>4024</v>
      </c>
      <c r="J371" s="138" t="n">
        <v>24.877</v>
      </c>
      <c r="K371" s="138"/>
      <c r="L371" s="138"/>
      <c r="M371" s="138" t="s">
        <v>4064</v>
      </c>
    </row>
    <row r="372" customFormat="false" ht="15" hidden="false" customHeight="false" outlineLevel="0" collapsed="false">
      <c r="A372" s="138" t="s">
        <v>2031</v>
      </c>
      <c r="B372" s="138" t="n">
        <v>370</v>
      </c>
      <c r="C372" s="146" t="n">
        <v>819.734</v>
      </c>
      <c r="D372" s="146" t="n">
        <v>819.146</v>
      </c>
      <c r="E372" s="146" t="n">
        <f aca="false">D372-C372</f>
        <v>-0.588000000000079</v>
      </c>
      <c r="F372" s="138" t="str">
        <f aca="false">IF(E372&gt;=0,"Aterro","Corte")</f>
        <v>Corte</v>
      </c>
      <c r="G372" s="138" t="n">
        <v>-6</v>
      </c>
      <c r="H372" s="138" t="s">
        <v>4063</v>
      </c>
      <c r="I372" s="138" t="s">
        <v>4024</v>
      </c>
      <c r="J372" s="138" t="n">
        <v>24.877</v>
      </c>
      <c r="K372" s="138"/>
      <c r="L372" s="138"/>
      <c r="M372" s="138" t="s">
        <v>4064</v>
      </c>
    </row>
    <row r="373" customFormat="false" ht="15" hidden="false" customHeight="false" outlineLevel="0" collapsed="false">
      <c r="A373" s="138" t="s">
        <v>2032</v>
      </c>
      <c r="B373" s="138" t="n">
        <v>371</v>
      </c>
      <c r="C373" s="146" t="n">
        <v>818.099</v>
      </c>
      <c r="D373" s="146" t="n">
        <v>818.348</v>
      </c>
      <c r="E373" s="146" t="n">
        <f aca="false">D373-C373</f>
        <v>0.24899999999991</v>
      </c>
      <c r="F373" s="138" t="str">
        <f aca="false">IF(E373&gt;=0,"Aterro","Corte")</f>
        <v>Aterro</v>
      </c>
      <c r="G373" s="138" t="n">
        <v>-6</v>
      </c>
      <c r="H373" s="138" t="s">
        <v>4063</v>
      </c>
      <c r="I373" s="138" t="s">
        <v>4024</v>
      </c>
      <c r="J373" s="138" t="n">
        <v>24.877</v>
      </c>
      <c r="K373" s="138"/>
      <c r="L373" s="138"/>
      <c r="M373" s="138" t="s">
        <v>4064</v>
      </c>
    </row>
    <row r="374" customFormat="false" ht="15" hidden="false" customHeight="false" outlineLevel="0" collapsed="false">
      <c r="A374" s="138" t="s">
        <v>2033</v>
      </c>
      <c r="B374" s="138" t="n">
        <v>372</v>
      </c>
      <c r="C374" s="146" t="n">
        <v>816.526</v>
      </c>
      <c r="D374" s="146" t="n">
        <v>817.39</v>
      </c>
      <c r="E374" s="146" t="n">
        <f aca="false">D374-C374</f>
        <v>0.864000000000033</v>
      </c>
      <c r="F374" s="138" t="str">
        <f aca="false">IF(E374&gt;=0,"Aterro","Corte")</f>
        <v>Aterro</v>
      </c>
      <c r="G374" s="138" t="n">
        <v>-6</v>
      </c>
      <c r="H374" s="138" t="s">
        <v>4063</v>
      </c>
      <c r="I374" s="138" t="s">
        <v>4024</v>
      </c>
      <c r="J374" s="138" t="n">
        <v>24.877</v>
      </c>
      <c r="K374" s="138"/>
      <c r="L374" s="138"/>
      <c r="M374" s="138" t="s">
        <v>4064</v>
      </c>
    </row>
    <row r="375" customFormat="false" ht="15" hidden="false" customHeight="false" outlineLevel="0" collapsed="false">
      <c r="A375" s="138" t="s">
        <v>2034</v>
      </c>
      <c r="B375" s="138" t="n">
        <v>373</v>
      </c>
      <c r="C375" s="146" t="n">
        <v>815.15</v>
      </c>
      <c r="D375" s="146" t="n">
        <v>816.27</v>
      </c>
      <c r="E375" s="146" t="n">
        <f aca="false">D375-C375</f>
        <v>1.12</v>
      </c>
      <c r="F375" s="138" t="str">
        <f aca="false">IF(E375&gt;=0,"Aterro","Corte")</f>
        <v>Aterro</v>
      </c>
      <c r="G375" s="138" t="n">
        <v>-6</v>
      </c>
      <c r="H375" s="138" t="s">
        <v>4063</v>
      </c>
      <c r="I375" s="138" t="s">
        <v>4024</v>
      </c>
      <c r="J375" s="138" t="n">
        <v>24.877</v>
      </c>
      <c r="K375" s="138"/>
      <c r="L375" s="138"/>
      <c r="M375" s="138" t="s">
        <v>4064</v>
      </c>
    </row>
    <row r="376" customFormat="false" ht="15" hidden="false" customHeight="false" outlineLevel="0" collapsed="false">
      <c r="A376" s="138" t="s">
        <v>2035</v>
      </c>
      <c r="B376" s="138" t="n">
        <v>374</v>
      </c>
      <c r="C376" s="146" t="n">
        <v>814.107</v>
      </c>
      <c r="D376" s="146" t="n">
        <v>815.176</v>
      </c>
      <c r="E376" s="146" t="n">
        <f aca="false">D376-C376</f>
        <v>1.06900000000007</v>
      </c>
      <c r="F376" s="138" t="str">
        <f aca="false">IF(E376&gt;=0,"Aterro","Corte")</f>
        <v>Aterro</v>
      </c>
      <c r="G376" s="138" t="n">
        <v>-6</v>
      </c>
      <c r="H376" s="138" t="s">
        <v>4066</v>
      </c>
      <c r="I376" s="138" t="s">
        <v>4021</v>
      </c>
      <c r="J376" s="138" t="n">
        <v>16.159</v>
      </c>
      <c r="K376" s="138"/>
      <c r="L376" s="138"/>
      <c r="M376" s="138" t="s">
        <v>4064</v>
      </c>
    </row>
    <row r="377" customFormat="false" ht="15" hidden="false" customHeight="false" outlineLevel="0" collapsed="false">
      <c r="A377" s="138" t="s">
        <v>2036</v>
      </c>
      <c r="B377" s="138" t="n">
        <v>375</v>
      </c>
      <c r="C377" s="146" t="n">
        <v>813.379</v>
      </c>
      <c r="D377" s="146" t="n">
        <v>814.329</v>
      </c>
      <c r="E377" s="146" t="n">
        <f aca="false">D377-C377</f>
        <v>0.949999999999932</v>
      </c>
      <c r="F377" s="138" t="str">
        <f aca="false">IF(E377&gt;=0,"Aterro","Corte")</f>
        <v>Aterro</v>
      </c>
      <c r="G377" s="138" t="n">
        <v>-6</v>
      </c>
      <c r="H377" s="138" t="s">
        <v>4066</v>
      </c>
      <c r="I377" s="138" t="s">
        <v>4021</v>
      </c>
      <c r="J377" s="138" t="n">
        <v>16.159</v>
      </c>
      <c r="K377" s="138"/>
      <c r="L377" s="138"/>
      <c r="M377" s="138" t="s">
        <v>4064</v>
      </c>
    </row>
    <row r="378" customFormat="false" ht="15" hidden="false" customHeight="false" outlineLevel="0" collapsed="false">
      <c r="A378" s="138" t="s">
        <v>2037</v>
      </c>
      <c r="B378" s="138" t="n">
        <v>376</v>
      </c>
      <c r="C378" s="146" t="n">
        <v>812.859</v>
      </c>
      <c r="D378" s="146" t="n">
        <v>813.73</v>
      </c>
      <c r="E378" s="146" t="n">
        <f aca="false">D378-C378</f>
        <v>0.870999999999981</v>
      </c>
      <c r="F378" s="138" t="str">
        <f aca="false">IF(E378&gt;=0,"Aterro","Corte")</f>
        <v>Aterro</v>
      </c>
      <c r="G378" s="138" t="n">
        <v>-1.049</v>
      </c>
      <c r="H378" s="138" t="s">
        <v>4066</v>
      </c>
      <c r="I378" s="138" t="s">
        <v>4021</v>
      </c>
      <c r="J378" s="138" t="n">
        <v>16.159</v>
      </c>
      <c r="K378" s="138"/>
      <c r="L378" s="138"/>
      <c r="M378" s="138" t="s">
        <v>4064</v>
      </c>
    </row>
    <row r="379" customFormat="false" ht="15" hidden="false" customHeight="false" outlineLevel="0" collapsed="false">
      <c r="A379" s="138" t="s">
        <v>2038</v>
      </c>
      <c r="B379" s="138" t="n">
        <v>377</v>
      </c>
      <c r="C379" s="146" t="n">
        <v>812.515</v>
      </c>
      <c r="D379" s="146" t="n">
        <v>813.378</v>
      </c>
      <c r="E379" s="146" t="n">
        <f aca="false">D379-C379</f>
        <v>0.863000000000056</v>
      </c>
      <c r="F379" s="138" t="str">
        <f aca="false">IF(E379&gt;=0,"Aterro","Corte")</f>
        <v>Aterro</v>
      </c>
      <c r="G379" s="138" t="n">
        <v>-1.049</v>
      </c>
      <c r="H379" s="138" t="s">
        <v>4066</v>
      </c>
      <c r="I379" s="138" t="s">
        <v>4021</v>
      </c>
      <c r="J379" s="138" t="n">
        <v>16.159</v>
      </c>
      <c r="K379" s="138"/>
      <c r="L379" s="138"/>
      <c r="M379" s="138" t="s">
        <v>4064</v>
      </c>
    </row>
    <row r="380" customFormat="false" ht="15" hidden="false" customHeight="false" outlineLevel="0" collapsed="false">
      <c r="A380" s="138" t="s">
        <v>2039</v>
      </c>
      <c r="B380" s="138" t="n">
        <v>378</v>
      </c>
      <c r="C380" s="146" t="n">
        <v>812.277</v>
      </c>
      <c r="D380" s="146" t="n">
        <v>813.167</v>
      </c>
      <c r="E380" s="146" t="n">
        <f aca="false">D380-C380</f>
        <v>0.889999999999986</v>
      </c>
      <c r="F380" s="138" t="str">
        <f aca="false">IF(E380&gt;=0,"Aterro","Corte")</f>
        <v>Aterro</v>
      </c>
      <c r="G380" s="138" t="n">
        <v>-1.049</v>
      </c>
      <c r="H380" s="138"/>
      <c r="I380" s="138"/>
      <c r="J380" s="138"/>
      <c r="K380" s="138"/>
      <c r="L380" s="138"/>
      <c r="M380" s="138" t="s">
        <v>4064</v>
      </c>
    </row>
    <row r="381" customFormat="false" ht="15" hidden="false" customHeight="false" outlineLevel="0" collapsed="false">
      <c r="A381" s="138" t="s">
        <v>2040</v>
      </c>
      <c r="B381" s="138" t="n">
        <v>379</v>
      </c>
      <c r="C381" s="146" t="n">
        <v>812.273</v>
      </c>
      <c r="D381" s="146" t="n">
        <v>812.957</v>
      </c>
      <c r="E381" s="146" t="n">
        <f aca="false">D381-C381</f>
        <v>0.683999999999969</v>
      </c>
      <c r="F381" s="138" t="str">
        <f aca="false">IF(E381&gt;=0,"Aterro","Corte")</f>
        <v>Aterro</v>
      </c>
      <c r="G381" s="138" t="n">
        <v>-1.049</v>
      </c>
      <c r="H381" s="138"/>
      <c r="I381" s="138"/>
      <c r="J381" s="138"/>
      <c r="K381" s="138"/>
      <c r="L381" s="138"/>
      <c r="M381" s="138" t="s">
        <v>4064</v>
      </c>
    </row>
    <row r="382" customFormat="false" ht="15" hidden="false" customHeight="false" outlineLevel="0" collapsed="false">
      <c r="A382" s="138" t="s">
        <v>2041</v>
      </c>
      <c r="B382" s="138" t="n">
        <v>380</v>
      </c>
      <c r="C382" s="146" t="n">
        <v>812.555</v>
      </c>
      <c r="D382" s="146" t="n">
        <v>812.747</v>
      </c>
      <c r="E382" s="146" t="n">
        <f aca="false">D382-C382</f>
        <v>0.192000000000007</v>
      </c>
      <c r="F382" s="138" t="str">
        <f aca="false">IF(E382&gt;=0,"Aterro","Corte")</f>
        <v>Aterro</v>
      </c>
      <c r="G382" s="138" t="n">
        <v>-1.049</v>
      </c>
      <c r="H382" s="138"/>
      <c r="I382" s="138"/>
      <c r="J382" s="138"/>
      <c r="K382" s="138"/>
      <c r="L382" s="138"/>
      <c r="M382" s="138" t="s">
        <v>4064</v>
      </c>
    </row>
    <row r="383" customFormat="false" ht="15" hidden="false" customHeight="false" outlineLevel="0" collapsed="false">
      <c r="A383" s="138" t="s">
        <v>2042</v>
      </c>
      <c r="B383" s="138" t="n">
        <v>381</v>
      </c>
      <c r="C383" s="146" t="n">
        <v>812.937</v>
      </c>
      <c r="D383" s="146" t="n">
        <v>812.537</v>
      </c>
      <c r="E383" s="146" t="n">
        <f aca="false">D383-C383</f>
        <v>-0.399999999999977</v>
      </c>
      <c r="F383" s="138" t="str">
        <f aca="false">IF(E383&gt;=0,"Aterro","Corte")</f>
        <v>Corte</v>
      </c>
      <c r="G383" s="138" t="n">
        <v>-1.049</v>
      </c>
      <c r="H383" s="138"/>
      <c r="I383" s="138"/>
      <c r="J383" s="138"/>
      <c r="K383" s="138" t="s">
        <v>4067</v>
      </c>
      <c r="L383" s="138" t="n">
        <v>3000</v>
      </c>
      <c r="M383" s="138" t="s">
        <v>4064</v>
      </c>
    </row>
    <row r="384" customFormat="false" ht="15" hidden="false" customHeight="false" outlineLevel="0" collapsed="false">
      <c r="A384" s="138" t="s">
        <v>2043</v>
      </c>
      <c r="B384" s="138" t="n">
        <v>382</v>
      </c>
      <c r="C384" s="146" t="n">
        <v>813.244</v>
      </c>
      <c r="D384" s="146" t="n">
        <v>812.308</v>
      </c>
      <c r="E384" s="146" t="n">
        <f aca="false">D384-C384</f>
        <v>-0.936000000000036</v>
      </c>
      <c r="F384" s="138" t="str">
        <f aca="false">IF(E384&gt;=0,"Aterro","Corte")</f>
        <v>Corte</v>
      </c>
      <c r="G384" s="138" t="n">
        <v>-1.049</v>
      </c>
      <c r="H384" s="138" t="s">
        <v>4068</v>
      </c>
      <c r="I384" s="138" t="s">
        <v>4024</v>
      </c>
      <c r="J384" s="138" t="n">
        <v>24.239</v>
      </c>
      <c r="K384" s="138" t="s">
        <v>4067</v>
      </c>
      <c r="L384" s="138" t="n">
        <v>3000</v>
      </c>
      <c r="M384" s="138" t="s">
        <v>4064</v>
      </c>
    </row>
    <row r="385" customFormat="false" ht="15" hidden="false" customHeight="false" outlineLevel="0" collapsed="false">
      <c r="A385" s="138" t="s">
        <v>2044</v>
      </c>
      <c r="B385" s="138" t="n">
        <v>383</v>
      </c>
      <c r="C385" s="146" t="n">
        <v>813.441</v>
      </c>
      <c r="D385" s="146" t="n">
        <v>811.935</v>
      </c>
      <c r="E385" s="146" t="n">
        <f aca="false">D385-C385</f>
        <v>-1.50600000000009</v>
      </c>
      <c r="F385" s="138" t="str">
        <f aca="false">IF(E385&gt;=0,"Aterro","Corte")</f>
        <v>Corte</v>
      </c>
      <c r="G385" s="138" t="n">
        <v>-1.049</v>
      </c>
      <c r="H385" s="138" t="s">
        <v>4068</v>
      </c>
      <c r="I385" s="138" t="s">
        <v>4024</v>
      </c>
      <c r="J385" s="138" t="n">
        <v>24.239</v>
      </c>
      <c r="K385" s="138" t="s">
        <v>4067</v>
      </c>
      <c r="L385" s="138" t="n">
        <v>3000</v>
      </c>
      <c r="M385" s="138" t="s">
        <v>4064</v>
      </c>
    </row>
    <row r="386" customFormat="false" ht="15" hidden="false" customHeight="false" outlineLevel="0" collapsed="false">
      <c r="A386" s="138" t="s">
        <v>2045</v>
      </c>
      <c r="B386" s="138" t="n">
        <v>384</v>
      </c>
      <c r="C386" s="146" t="n">
        <v>813.539</v>
      </c>
      <c r="D386" s="146" t="n">
        <v>811.398</v>
      </c>
      <c r="E386" s="146" t="n">
        <f aca="false">D386-C386</f>
        <v>-2.14099999999996</v>
      </c>
      <c r="F386" s="138" t="str">
        <f aca="false">IF(E386&gt;=0,"Aterro","Corte")</f>
        <v>Corte</v>
      </c>
      <c r="G386" s="138" t="n">
        <v>-1.049</v>
      </c>
      <c r="H386" s="138" t="s">
        <v>4068</v>
      </c>
      <c r="I386" s="138" t="s">
        <v>4024</v>
      </c>
      <c r="J386" s="138" t="n">
        <v>24.239</v>
      </c>
      <c r="K386" s="138" t="s">
        <v>4067</v>
      </c>
      <c r="L386" s="138" t="n">
        <v>3000</v>
      </c>
      <c r="M386" s="138" t="s">
        <v>4064</v>
      </c>
    </row>
    <row r="387" customFormat="false" ht="15" hidden="false" customHeight="false" outlineLevel="0" collapsed="false">
      <c r="A387" s="138" t="s">
        <v>2046</v>
      </c>
      <c r="B387" s="138" t="n">
        <v>385</v>
      </c>
      <c r="C387" s="146" t="n">
        <v>813.36</v>
      </c>
      <c r="D387" s="146" t="n">
        <v>810.695</v>
      </c>
      <c r="E387" s="146" t="n">
        <f aca="false">D387-C387</f>
        <v>-2.66499999999996</v>
      </c>
      <c r="F387" s="138" t="str">
        <f aca="false">IF(E387&gt;=0,"Aterro","Corte")</f>
        <v>Corte</v>
      </c>
      <c r="G387" s="138" t="n">
        <v>-6</v>
      </c>
      <c r="H387" s="138" t="s">
        <v>4068</v>
      </c>
      <c r="I387" s="138" t="s">
        <v>4024</v>
      </c>
      <c r="J387" s="138" t="n">
        <v>24.239</v>
      </c>
      <c r="K387" s="138" t="s">
        <v>4067</v>
      </c>
      <c r="L387" s="138" t="n">
        <v>3000</v>
      </c>
      <c r="M387" s="138" t="s">
        <v>4064</v>
      </c>
    </row>
    <row r="388" customFormat="false" ht="15" hidden="false" customHeight="false" outlineLevel="0" collapsed="false">
      <c r="A388" s="138" t="s">
        <v>2047</v>
      </c>
      <c r="B388" s="138" t="n">
        <v>386</v>
      </c>
      <c r="C388" s="146" t="n">
        <v>812.67</v>
      </c>
      <c r="D388" s="146" t="n">
        <v>809.827</v>
      </c>
      <c r="E388" s="146" t="n">
        <f aca="false">D388-C388</f>
        <v>-2.84299999999996</v>
      </c>
      <c r="F388" s="138" t="str">
        <f aca="false">IF(E388&gt;=0,"Aterro","Corte")</f>
        <v>Corte</v>
      </c>
      <c r="G388" s="138" t="n">
        <v>-6</v>
      </c>
      <c r="H388" s="138" t="s">
        <v>4068</v>
      </c>
      <c r="I388" s="138" t="s">
        <v>4024</v>
      </c>
      <c r="J388" s="138" t="n">
        <v>24.239</v>
      </c>
      <c r="K388" s="138" t="s">
        <v>4067</v>
      </c>
      <c r="L388" s="138" t="n">
        <v>3000</v>
      </c>
      <c r="M388" s="138" t="s">
        <v>4064</v>
      </c>
    </row>
    <row r="389" customFormat="false" ht="15" hidden="false" customHeight="false" outlineLevel="0" collapsed="false">
      <c r="A389" s="138" t="s">
        <v>2048</v>
      </c>
      <c r="B389" s="138" t="n">
        <v>387</v>
      </c>
      <c r="C389" s="146" t="n">
        <v>811.554</v>
      </c>
      <c r="D389" s="146" t="n">
        <v>808.795</v>
      </c>
      <c r="E389" s="146" t="n">
        <f aca="false">D389-C389</f>
        <v>-2.75900000000001</v>
      </c>
      <c r="F389" s="138" t="str">
        <f aca="false">IF(E389&gt;=0,"Aterro","Corte")</f>
        <v>Corte</v>
      </c>
      <c r="G389" s="138" t="n">
        <v>-6</v>
      </c>
      <c r="H389" s="138" t="s">
        <v>4068</v>
      </c>
      <c r="I389" s="138" t="s">
        <v>4024</v>
      </c>
      <c r="J389" s="138" t="n">
        <v>24.239</v>
      </c>
      <c r="K389" s="138"/>
      <c r="L389" s="138"/>
      <c r="M389" s="138" t="s">
        <v>4064</v>
      </c>
    </row>
    <row r="390" customFormat="false" ht="15" hidden="false" customHeight="false" outlineLevel="0" collapsed="false">
      <c r="A390" s="138" t="s">
        <v>2049</v>
      </c>
      <c r="B390" s="138" t="n">
        <v>388</v>
      </c>
      <c r="C390" s="146" t="n">
        <v>810.129</v>
      </c>
      <c r="D390" s="146" t="n">
        <v>807.616</v>
      </c>
      <c r="E390" s="146" t="n">
        <f aca="false">D390-C390</f>
        <v>-2.51300000000003</v>
      </c>
      <c r="F390" s="138" t="str">
        <f aca="false">IF(E390&gt;=0,"Aterro","Corte")</f>
        <v>Corte</v>
      </c>
      <c r="G390" s="138" t="n">
        <v>-6</v>
      </c>
      <c r="H390" s="138"/>
      <c r="I390" s="138"/>
      <c r="J390" s="138"/>
      <c r="K390" s="138"/>
      <c r="L390" s="138"/>
      <c r="M390" s="138" t="s">
        <v>4064</v>
      </c>
    </row>
    <row r="391" customFormat="false" ht="15" hidden="false" customHeight="false" outlineLevel="0" collapsed="false">
      <c r="A391" s="138" t="s">
        <v>2050</v>
      </c>
      <c r="B391" s="138" t="n">
        <v>389</v>
      </c>
      <c r="C391" s="146" t="n">
        <v>808.55</v>
      </c>
      <c r="D391" s="146" t="n">
        <v>806.416</v>
      </c>
      <c r="E391" s="146" t="n">
        <f aca="false">D391-C391</f>
        <v>-2.1339999999999</v>
      </c>
      <c r="F391" s="138" t="str">
        <f aca="false">IF(E391&gt;=0,"Aterro","Corte")</f>
        <v>Corte</v>
      </c>
      <c r="G391" s="138" t="n">
        <v>-6</v>
      </c>
      <c r="H391" s="138"/>
      <c r="I391" s="138"/>
      <c r="J391" s="138"/>
      <c r="K391" s="138"/>
      <c r="L391" s="138"/>
      <c r="M391" s="138" t="s">
        <v>4064</v>
      </c>
    </row>
    <row r="392" customFormat="false" ht="15" hidden="false" customHeight="false" outlineLevel="0" collapsed="false">
      <c r="A392" s="138" t="s">
        <v>2051</v>
      </c>
      <c r="B392" s="138" t="n">
        <v>390</v>
      </c>
      <c r="C392" s="146" t="n">
        <v>806.892</v>
      </c>
      <c r="D392" s="146" t="n">
        <v>805.216</v>
      </c>
      <c r="E392" s="146" t="n">
        <f aca="false">D392-C392</f>
        <v>-1.67600000000004</v>
      </c>
      <c r="F392" s="138" t="str">
        <f aca="false">IF(E392&gt;=0,"Aterro","Corte")</f>
        <v>Corte</v>
      </c>
      <c r="G392" s="138" t="n">
        <v>-6</v>
      </c>
      <c r="H392" s="138"/>
      <c r="I392" s="138"/>
      <c r="J392" s="138"/>
      <c r="K392" s="138"/>
      <c r="L392" s="138"/>
      <c r="M392" s="138" t="s">
        <v>4064</v>
      </c>
    </row>
    <row r="393" customFormat="false" ht="15" hidden="false" customHeight="false" outlineLevel="0" collapsed="false">
      <c r="A393" s="138" t="s">
        <v>2052</v>
      </c>
      <c r="B393" s="138" t="n">
        <v>391</v>
      </c>
      <c r="C393" s="146" t="n">
        <v>805.217</v>
      </c>
      <c r="D393" s="146" t="n">
        <v>804.016</v>
      </c>
      <c r="E393" s="146" t="n">
        <f aca="false">D393-C393</f>
        <v>-1.20100000000002</v>
      </c>
      <c r="F393" s="138" t="str">
        <f aca="false">IF(E393&gt;=0,"Aterro","Corte")</f>
        <v>Corte</v>
      </c>
      <c r="G393" s="138" t="n">
        <v>-6</v>
      </c>
      <c r="H393" s="138"/>
      <c r="I393" s="138"/>
      <c r="J393" s="138"/>
      <c r="K393" s="138"/>
      <c r="L393" s="138"/>
      <c r="M393" s="138" t="s">
        <v>4064</v>
      </c>
    </row>
    <row r="394" customFormat="false" ht="15" hidden="false" customHeight="false" outlineLevel="0" collapsed="false">
      <c r="A394" s="138" t="s">
        <v>2053</v>
      </c>
      <c r="B394" s="138" t="n">
        <v>392</v>
      </c>
      <c r="C394" s="146" t="n">
        <v>803.592</v>
      </c>
      <c r="D394" s="146" t="n">
        <v>802.816</v>
      </c>
      <c r="E394" s="146" t="n">
        <f aca="false">D394-C394</f>
        <v>-0.775999999999954</v>
      </c>
      <c r="F394" s="138" t="str">
        <f aca="false">IF(E394&gt;=0,"Aterro","Corte")</f>
        <v>Corte</v>
      </c>
      <c r="G394" s="138" t="n">
        <v>-6</v>
      </c>
      <c r="H394" s="138"/>
      <c r="I394" s="138"/>
      <c r="J394" s="138"/>
      <c r="K394" s="138"/>
      <c r="L394" s="138"/>
      <c r="M394" s="138" t="s">
        <v>4064</v>
      </c>
    </row>
    <row r="395" customFormat="false" ht="15" hidden="false" customHeight="false" outlineLevel="0" collapsed="false">
      <c r="A395" s="138" t="s">
        <v>2055</v>
      </c>
      <c r="B395" s="138" t="n">
        <v>393</v>
      </c>
      <c r="C395" s="146" t="n">
        <v>801.982</v>
      </c>
      <c r="D395" s="146" t="n">
        <v>801.616</v>
      </c>
      <c r="E395" s="146" t="n">
        <f aca="false">D395-C395</f>
        <v>-0.365999999999985</v>
      </c>
      <c r="F395" s="138" t="str">
        <f aca="false">IF(E395&gt;=0,"Aterro","Corte")</f>
        <v>Corte</v>
      </c>
      <c r="G395" s="138" t="n">
        <v>-6</v>
      </c>
      <c r="H395" s="138"/>
      <c r="I395" s="138"/>
      <c r="J395" s="138"/>
      <c r="K395" s="138"/>
      <c r="L395" s="138"/>
      <c r="M395" s="138" t="s">
        <v>4064</v>
      </c>
    </row>
    <row r="396" customFormat="false" ht="15" hidden="false" customHeight="false" outlineLevel="0" collapsed="false">
      <c r="A396" s="138" t="s">
        <v>2056</v>
      </c>
      <c r="B396" s="138" t="n">
        <v>394</v>
      </c>
      <c r="C396" s="146" t="n">
        <v>800.545</v>
      </c>
      <c r="D396" s="146" t="n">
        <v>800.416</v>
      </c>
      <c r="E396" s="146" t="n">
        <f aca="false">D396-C396</f>
        <v>-0.128999999999905</v>
      </c>
      <c r="F396" s="138" t="str">
        <f aca="false">IF(E396&gt;=0,"Aterro","Corte")</f>
        <v>Corte</v>
      </c>
      <c r="G396" s="138" t="n">
        <v>-6</v>
      </c>
      <c r="H396" s="138"/>
      <c r="I396" s="138"/>
      <c r="J396" s="138"/>
      <c r="K396" s="138"/>
      <c r="L396" s="138"/>
      <c r="M396" s="138" t="s">
        <v>4064</v>
      </c>
    </row>
    <row r="397" customFormat="false" ht="15" hidden="false" customHeight="false" outlineLevel="0" collapsed="false">
      <c r="A397" s="138" t="s">
        <v>2057</v>
      </c>
      <c r="B397" s="138" t="n">
        <v>395</v>
      </c>
      <c r="C397" s="146" t="n">
        <v>799.235</v>
      </c>
      <c r="D397" s="146" t="n">
        <v>799.216</v>
      </c>
      <c r="E397" s="146" t="n">
        <f aca="false">D397-C397</f>
        <v>-0.0190000000000055</v>
      </c>
      <c r="F397" s="138" t="str">
        <f aca="false">IF(E397&gt;=0,"Aterro","Corte")</f>
        <v>Corte</v>
      </c>
      <c r="G397" s="138" t="n">
        <v>-6</v>
      </c>
      <c r="H397" s="138"/>
      <c r="I397" s="138"/>
      <c r="J397" s="138"/>
      <c r="K397" s="138"/>
      <c r="L397" s="138"/>
      <c r="M397" s="138" t="s">
        <v>4064</v>
      </c>
    </row>
    <row r="398" customFormat="false" ht="15" hidden="false" customHeight="false" outlineLevel="0" collapsed="false">
      <c r="A398" s="138" t="s">
        <v>2058</v>
      </c>
      <c r="B398" s="138" t="n">
        <v>396</v>
      </c>
      <c r="C398" s="146" t="n">
        <v>797.918</v>
      </c>
      <c r="D398" s="146" t="n">
        <v>798.016</v>
      </c>
      <c r="E398" s="146" t="n">
        <f aca="false">D398-C398</f>
        <v>0.0979999999999563</v>
      </c>
      <c r="F398" s="138" t="str">
        <f aca="false">IF(E398&gt;=0,"Aterro","Corte")</f>
        <v>Aterro</v>
      </c>
      <c r="G398" s="138" t="n">
        <v>-6</v>
      </c>
      <c r="H398" s="138"/>
      <c r="I398" s="138"/>
      <c r="J398" s="138"/>
      <c r="K398" s="138"/>
      <c r="L398" s="138"/>
      <c r="M398" s="138" t="s">
        <v>4064</v>
      </c>
    </row>
    <row r="399" customFormat="false" ht="15" hidden="false" customHeight="false" outlineLevel="0" collapsed="false">
      <c r="A399" s="138" t="s">
        <v>2059</v>
      </c>
      <c r="B399" s="138" t="n">
        <v>397</v>
      </c>
      <c r="C399" s="146" t="n">
        <v>796.699</v>
      </c>
      <c r="D399" s="146" t="n">
        <v>796.816</v>
      </c>
      <c r="E399" s="146" t="n">
        <f aca="false">D399-C399</f>
        <v>0.117000000000075</v>
      </c>
      <c r="F399" s="138" t="str">
        <f aca="false">IF(E399&gt;=0,"Aterro","Corte")</f>
        <v>Aterro</v>
      </c>
      <c r="G399" s="138" t="n">
        <v>-6</v>
      </c>
      <c r="H399" s="138"/>
      <c r="I399" s="138"/>
      <c r="J399" s="138"/>
      <c r="K399" s="138"/>
      <c r="L399" s="138"/>
      <c r="M399" s="138" t="s">
        <v>4069</v>
      </c>
    </row>
    <row r="400" customFormat="false" ht="15" hidden="false" customHeight="false" outlineLevel="0" collapsed="false">
      <c r="A400" s="138" t="s">
        <v>2061</v>
      </c>
      <c r="B400" s="138" t="n">
        <v>398</v>
      </c>
      <c r="C400" s="146" t="n">
        <v>795.565</v>
      </c>
      <c r="D400" s="146" t="n">
        <v>795.616</v>
      </c>
      <c r="E400" s="146" t="n">
        <f aca="false">D400-C400</f>
        <v>0.0509999999999309</v>
      </c>
      <c r="F400" s="138" t="str">
        <f aca="false">IF(E400&gt;=0,"Aterro","Corte")</f>
        <v>Aterro</v>
      </c>
      <c r="G400" s="138" t="n">
        <v>-6</v>
      </c>
      <c r="H400" s="138" t="s">
        <v>2066</v>
      </c>
      <c r="I400" s="138" t="s">
        <v>4021</v>
      </c>
      <c r="J400" s="138" t="n">
        <v>40.415</v>
      </c>
      <c r="K400" s="138"/>
      <c r="L400" s="138"/>
      <c r="M400" s="138" t="s">
        <v>4069</v>
      </c>
    </row>
    <row r="401" customFormat="false" ht="15" hidden="false" customHeight="false" outlineLevel="0" collapsed="false">
      <c r="A401" s="138" t="s">
        <v>2063</v>
      </c>
      <c r="B401" s="138" t="n">
        <v>399</v>
      </c>
      <c r="C401" s="146" t="n">
        <v>794.478</v>
      </c>
      <c r="D401" s="146" t="n">
        <v>794.466</v>
      </c>
      <c r="E401" s="146" t="n">
        <f aca="false">D401-C401</f>
        <v>-0.0119999999999436</v>
      </c>
      <c r="F401" s="138" t="str">
        <f aca="false">IF(E401&gt;=0,"Aterro","Corte")</f>
        <v>Corte</v>
      </c>
      <c r="G401" s="138" t="n">
        <v>-6</v>
      </c>
      <c r="H401" s="138" t="s">
        <v>2066</v>
      </c>
      <c r="I401" s="138" t="s">
        <v>4021</v>
      </c>
      <c r="J401" s="138" t="n">
        <v>40.415</v>
      </c>
      <c r="K401" s="138"/>
      <c r="L401" s="138"/>
      <c r="M401" s="138" t="s">
        <v>4069</v>
      </c>
    </row>
    <row r="402" customFormat="false" ht="15" hidden="false" customHeight="false" outlineLevel="0" collapsed="false">
      <c r="A402" s="138" t="s">
        <v>2064</v>
      </c>
      <c r="B402" s="138" t="n">
        <v>400</v>
      </c>
      <c r="C402" s="146" t="n">
        <v>793.571</v>
      </c>
      <c r="D402" s="146" t="n">
        <v>793.414</v>
      </c>
      <c r="E402" s="146" t="n">
        <f aca="false">D402-C402</f>
        <v>-0.157000000000039</v>
      </c>
      <c r="F402" s="138" t="str">
        <f aca="false">IF(E402&gt;=0,"Aterro","Corte")</f>
        <v>Corte</v>
      </c>
      <c r="G402" s="138" t="n">
        <v>-6</v>
      </c>
      <c r="H402" s="138" t="s">
        <v>2066</v>
      </c>
      <c r="I402" s="138" t="s">
        <v>4021</v>
      </c>
      <c r="J402" s="138" t="n">
        <v>40.415</v>
      </c>
      <c r="K402" s="138"/>
      <c r="L402" s="138"/>
      <c r="M402" s="138" t="s">
        <v>4069</v>
      </c>
    </row>
    <row r="403" customFormat="false" ht="15" hidden="false" customHeight="false" outlineLevel="0" collapsed="false">
      <c r="A403" s="138" t="s">
        <v>2065</v>
      </c>
      <c r="B403" s="138" t="n">
        <v>401</v>
      </c>
      <c r="C403" s="146" t="n">
        <v>792.806</v>
      </c>
      <c r="D403" s="146" t="n">
        <v>792.462</v>
      </c>
      <c r="E403" s="146" t="n">
        <f aca="false">D403-C403</f>
        <v>-0.344000000000051</v>
      </c>
      <c r="F403" s="138" t="str">
        <f aca="false">IF(E403&gt;=0,"Aterro","Corte")</f>
        <v>Corte</v>
      </c>
      <c r="G403" s="138" t="n">
        <v>-6</v>
      </c>
      <c r="H403" s="138" t="s">
        <v>2066</v>
      </c>
      <c r="I403" s="138" t="s">
        <v>4021</v>
      </c>
      <c r="J403" s="138" t="n">
        <v>40.415</v>
      </c>
      <c r="K403" s="138"/>
      <c r="L403" s="138"/>
      <c r="M403" s="138" t="s">
        <v>4069</v>
      </c>
    </row>
    <row r="404" customFormat="false" ht="15" hidden="false" customHeight="false" outlineLevel="0" collapsed="false">
      <c r="A404" s="138" t="s">
        <v>1579</v>
      </c>
      <c r="B404" s="138" t="n">
        <v>402</v>
      </c>
      <c r="C404" s="146" t="n">
        <v>791.946</v>
      </c>
      <c r="D404" s="146" t="n">
        <v>791.608</v>
      </c>
      <c r="E404" s="146" t="n">
        <f aca="false">D404-C404</f>
        <v>-0.338000000000079</v>
      </c>
      <c r="F404" s="138" t="str">
        <f aca="false">IF(E404&gt;=0,"Aterro","Corte")</f>
        <v>Corte</v>
      </c>
      <c r="G404" s="138" t="n">
        <v>-6</v>
      </c>
      <c r="H404" s="138" t="s">
        <v>2066</v>
      </c>
      <c r="I404" s="138" t="s">
        <v>4021</v>
      </c>
      <c r="J404" s="138" t="n">
        <v>40.415</v>
      </c>
      <c r="K404" s="138"/>
      <c r="L404" s="138"/>
      <c r="M404" s="138" t="s">
        <v>4069</v>
      </c>
    </row>
    <row r="405" customFormat="false" ht="15" hidden="false" customHeight="false" outlineLevel="0" collapsed="false">
      <c r="A405" s="138" t="s">
        <v>2066</v>
      </c>
      <c r="B405" s="138" t="n">
        <v>403</v>
      </c>
      <c r="C405" s="146" t="n">
        <v>791.063</v>
      </c>
      <c r="D405" s="146" t="n">
        <v>790.854</v>
      </c>
      <c r="E405" s="146" t="n">
        <f aca="false">D405-C405</f>
        <v>-0.208999999999946</v>
      </c>
      <c r="F405" s="138" t="str">
        <f aca="false">IF(E405&gt;=0,"Aterro","Corte")</f>
        <v>Corte</v>
      </c>
      <c r="G405" s="138" t="n">
        <v>-6</v>
      </c>
      <c r="H405" s="138" t="s">
        <v>2066</v>
      </c>
      <c r="I405" s="138" t="s">
        <v>4021</v>
      </c>
      <c r="J405" s="138" t="n">
        <v>40.415</v>
      </c>
      <c r="K405" s="138"/>
      <c r="L405" s="138"/>
      <c r="M405" s="138" t="s">
        <v>4069</v>
      </c>
    </row>
    <row r="406" customFormat="false" ht="15" hidden="false" customHeight="false" outlineLevel="0" collapsed="false">
      <c r="A406" s="138" t="s">
        <v>2067</v>
      </c>
      <c r="B406" s="138" t="n">
        <v>404</v>
      </c>
      <c r="C406" s="146" t="n">
        <v>790.251</v>
      </c>
      <c r="D406" s="146" t="n">
        <v>790.198</v>
      </c>
      <c r="E406" s="146" t="n">
        <f aca="false">D406-C406</f>
        <v>-0.0529999999999973</v>
      </c>
      <c r="F406" s="138" t="str">
        <f aca="false">IF(E406&gt;=0,"Aterro","Corte")</f>
        <v>Corte</v>
      </c>
      <c r="G406" s="138" t="n">
        <v>-1.051</v>
      </c>
      <c r="H406" s="138" t="s">
        <v>2066</v>
      </c>
      <c r="I406" s="138" t="s">
        <v>4021</v>
      </c>
      <c r="J406" s="138" t="n">
        <v>40.415</v>
      </c>
      <c r="K406" s="138"/>
      <c r="L406" s="138"/>
      <c r="M406" s="138" t="s">
        <v>4069</v>
      </c>
    </row>
    <row r="407" customFormat="false" ht="15" hidden="false" customHeight="false" outlineLevel="0" collapsed="false">
      <c r="A407" s="138" t="s">
        <v>2068</v>
      </c>
      <c r="B407" s="138" t="n">
        <v>405</v>
      </c>
      <c r="C407" s="146" t="n">
        <v>789.497</v>
      </c>
      <c r="D407" s="146" t="n">
        <v>789.641</v>
      </c>
      <c r="E407" s="146" t="n">
        <f aca="false">D407-C407</f>
        <v>0.144000000000005</v>
      </c>
      <c r="F407" s="138" t="str">
        <f aca="false">IF(E407&gt;=0,"Aterro","Corte")</f>
        <v>Aterro</v>
      </c>
      <c r="G407" s="138" t="n">
        <v>-1.051</v>
      </c>
      <c r="H407" s="138" t="s">
        <v>2066</v>
      </c>
      <c r="I407" s="138" t="s">
        <v>4021</v>
      </c>
      <c r="J407" s="138" t="n">
        <v>40.415</v>
      </c>
      <c r="K407" s="138"/>
      <c r="L407" s="138"/>
      <c r="M407" s="138" t="s">
        <v>4069</v>
      </c>
    </row>
    <row r="408" customFormat="false" ht="15" hidden="false" customHeight="false" outlineLevel="0" collapsed="false">
      <c r="A408" s="138" t="s">
        <v>2069</v>
      </c>
      <c r="B408" s="138" t="n">
        <v>406</v>
      </c>
      <c r="C408" s="146" t="n">
        <v>788.816</v>
      </c>
      <c r="D408" s="146" t="n">
        <v>789.184</v>
      </c>
      <c r="E408" s="146" t="n">
        <f aca="false">D408-C408</f>
        <v>0.367999999999938</v>
      </c>
      <c r="F408" s="138" t="str">
        <f aca="false">IF(E408&gt;=0,"Aterro","Corte")</f>
        <v>Aterro</v>
      </c>
      <c r="G408" s="138" t="n">
        <v>-1.051</v>
      </c>
      <c r="H408" s="138" t="s">
        <v>2066</v>
      </c>
      <c r="I408" s="138" t="s">
        <v>4021</v>
      </c>
      <c r="J408" s="138" t="n">
        <v>40.415</v>
      </c>
      <c r="K408" s="138"/>
      <c r="L408" s="138"/>
      <c r="M408" s="138" t="s">
        <v>4069</v>
      </c>
    </row>
    <row r="409" customFormat="false" ht="15" hidden="false" customHeight="false" outlineLevel="0" collapsed="false">
      <c r="A409" s="138" t="s">
        <v>2070</v>
      </c>
      <c r="B409" s="138" t="n">
        <v>407</v>
      </c>
      <c r="C409" s="146" t="n">
        <v>788.165</v>
      </c>
      <c r="D409" s="146" t="n">
        <v>788.825</v>
      </c>
      <c r="E409" s="146" t="n">
        <f aca="false">D409-C409</f>
        <v>0.660000000000082</v>
      </c>
      <c r="F409" s="138" t="str">
        <f aca="false">IF(E409&gt;=0,"Aterro","Corte")</f>
        <v>Aterro</v>
      </c>
      <c r="G409" s="138" t="n">
        <v>-1.051</v>
      </c>
      <c r="H409" s="138" t="s">
        <v>2066</v>
      </c>
      <c r="I409" s="138" t="s">
        <v>4021</v>
      </c>
      <c r="J409" s="138" t="n">
        <v>40.415</v>
      </c>
      <c r="K409" s="138"/>
      <c r="L409" s="138"/>
      <c r="M409" s="138" t="s">
        <v>4069</v>
      </c>
    </row>
    <row r="410" customFormat="false" ht="15" hidden="false" customHeight="false" outlineLevel="0" collapsed="false">
      <c r="A410" s="138" t="s">
        <v>2071</v>
      </c>
      <c r="B410" s="138" t="n">
        <v>408</v>
      </c>
      <c r="C410" s="146" t="n">
        <v>787.608</v>
      </c>
      <c r="D410" s="146" t="n">
        <v>788.565</v>
      </c>
      <c r="E410" s="146" t="n">
        <f aca="false">D410-C410</f>
        <v>0.957000000000107</v>
      </c>
      <c r="F410" s="138" t="str">
        <f aca="false">IF(E410&gt;=0,"Aterro","Corte")</f>
        <v>Aterro</v>
      </c>
      <c r="G410" s="138" t="n">
        <v>-1.051</v>
      </c>
      <c r="H410" s="138" t="s">
        <v>2066</v>
      </c>
      <c r="I410" s="138" t="s">
        <v>4021</v>
      </c>
      <c r="J410" s="138" t="n">
        <v>40.415</v>
      </c>
      <c r="K410" s="138"/>
      <c r="L410" s="138"/>
      <c r="M410" s="138" t="s">
        <v>4069</v>
      </c>
    </row>
    <row r="411" customFormat="false" ht="15" hidden="false" customHeight="false" outlineLevel="0" collapsed="false">
      <c r="A411" s="138" t="s">
        <v>2072</v>
      </c>
      <c r="B411" s="138" t="n">
        <v>409</v>
      </c>
      <c r="C411" s="146" t="n">
        <v>787.102</v>
      </c>
      <c r="D411" s="146" t="n">
        <v>788.355</v>
      </c>
      <c r="E411" s="146" t="n">
        <f aca="false">D411-C411</f>
        <v>1.25300000000004</v>
      </c>
      <c r="F411" s="138" t="str">
        <f aca="false">IF(E411&gt;=0,"Aterro","Corte")</f>
        <v>Aterro</v>
      </c>
      <c r="G411" s="138" t="n">
        <v>-1.051</v>
      </c>
      <c r="H411" s="138"/>
      <c r="I411" s="138"/>
      <c r="J411" s="138"/>
      <c r="K411" s="138"/>
      <c r="L411" s="138"/>
      <c r="M411" s="138" t="s">
        <v>4069</v>
      </c>
    </row>
    <row r="412" customFormat="false" ht="15" hidden="false" customHeight="false" outlineLevel="0" collapsed="false">
      <c r="A412" s="138" t="s">
        <v>2073</v>
      </c>
      <c r="B412" s="138" t="n">
        <v>410</v>
      </c>
      <c r="C412" s="146" t="n">
        <v>786.643</v>
      </c>
      <c r="D412" s="146" t="n">
        <v>788.145</v>
      </c>
      <c r="E412" s="146" t="n">
        <f aca="false">D412-C412</f>
        <v>1.50199999999995</v>
      </c>
      <c r="F412" s="138" t="str">
        <f aca="false">IF(E412&gt;=0,"Aterro","Corte")</f>
        <v>Aterro</v>
      </c>
      <c r="G412" s="138" t="n">
        <v>-1.051</v>
      </c>
      <c r="H412" s="138"/>
      <c r="I412" s="138"/>
      <c r="J412" s="138"/>
      <c r="K412" s="138"/>
      <c r="L412" s="138"/>
      <c r="M412" s="138" t="s">
        <v>4069</v>
      </c>
    </row>
    <row r="413" customFormat="false" ht="15" hidden="false" customHeight="false" outlineLevel="0" collapsed="false">
      <c r="A413" s="138" t="s">
        <v>2074</v>
      </c>
      <c r="B413" s="138" t="n">
        <v>411</v>
      </c>
      <c r="C413" s="146" t="n">
        <v>786.18</v>
      </c>
      <c r="D413" s="146" t="n">
        <v>787.876</v>
      </c>
      <c r="E413" s="146" t="n">
        <f aca="false">D413-C413</f>
        <v>1.69600000000003</v>
      </c>
      <c r="F413" s="138" t="str">
        <f aca="false">IF(E413&gt;=0,"Aterro","Corte")</f>
        <v>Aterro</v>
      </c>
      <c r="G413" s="138" t="n">
        <v>-1.051</v>
      </c>
      <c r="H413" s="138" t="s">
        <v>4070</v>
      </c>
      <c r="I413" s="138" t="s">
        <v>4024</v>
      </c>
      <c r="J413" s="138" t="n">
        <v>19.425</v>
      </c>
      <c r="K413" s="138"/>
      <c r="L413" s="138"/>
      <c r="M413" s="138" t="s">
        <v>4069</v>
      </c>
    </row>
    <row r="414" customFormat="false" ht="15" hidden="false" customHeight="false" outlineLevel="0" collapsed="false">
      <c r="A414" s="138" t="s">
        <v>2075</v>
      </c>
      <c r="B414" s="138" t="n">
        <v>412</v>
      </c>
      <c r="C414" s="146" t="n">
        <v>785.827</v>
      </c>
      <c r="D414" s="146" t="n">
        <v>787.409</v>
      </c>
      <c r="E414" s="146" t="n">
        <f aca="false">D414-C414</f>
        <v>1.58199999999999</v>
      </c>
      <c r="F414" s="138" t="str">
        <f aca="false">IF(E414&gt;=0,"Aterro","Corte")</f>
        <v>Aterro</v>
      </c>
      <c r="G414" s="138" t="n">
        <v>-1.051</v>
      </c>
      <c r="H414" s="138" t="s">
        <v>4070</v>
      </c>
      <c r="I414" s="138" t="s">
        <v>4024</v>
      </c>
      <c r="J414" s="138" t="n">
        <v>19.425</v>
      </c>
      <c r="K414" s="138"/>
      <c r="L414" s="138"/>
      <c r="M414" s="138" t="s">
        <v>4069</v>
      </c>
    </row>
    <row r="415" customFormat="false" ht="15" hidden="false" customHeight="false" outlineLevel="0" collapsed="false">
      <c r="A415" s="138" t="s">
        <v>2076</v>
      </c>
      <c r="B415" s="138" t="n">
        <v>413</v>
      </c>
      <c r="C415" s="146" t="n">
        <v>785.5</v>
      </c>
      <c r="D415" s="146" t="n">
        <v>786.735</v>
      </c>
      <c r="E415" s="146" t="n">
        <f aca="false">D415-C415</f>
        <v>1.23500000000001</v>
      </c>
      <c r="F415" s="138" t="str">
        <f aca="false">IF(E415&gt;=0,"Aterro","Corte")</f>
        <v>Aterro</v>
      </c>
      <c r="G415" s="138" t="n">
        <v>-5.684</v>
      </c>
      <c r="H415" s="138" t="s">
        <v>4070</v>
      </c>
      <c r="I415" s="138" t="s">
        <v>4024</v>
      </c>
      <c r="J415" s="138" t="n">
        <v>19.425</v>
      </c>
      <c r="K415" s="138"/>
      <c r="L415" s="138"/>
      <c r="M415" s="138" t="s">
        <v>4069</v>
      </c>
    </row>
    <row r="416" customFormat="false" ht="15" hidden="false" customHeight="false" outlineLevel="0" collapsed="false">
      <c r="A416" s="138" t="s">
        <v>2077</v>
      </c>
      <c r="B416" s="138" t="n">
        <v>414</v>
      </c>
      <c r="C416" s="146" t="n">
        <v>785.072</v>
      </c>
      <c r="D416" s="146" t="n">
        <v>785.856</v>
      </c>
      <c r="E416" s="146" t="n">
        <f aca="false">D416-C416</f>
        <v>0.783999999999992</v>
      </c>
      <c r="F416" s="138" t="str">
        <f aca="false">IF(E416&gt;=0,"Aterro","Corte")</f>
        <v>Aterro</v>
      </c>
      <c r="G416" s="138" t="n">
        <v>-5.684</v>
      </c>
      <c r="H416" s="138" t="s">
        <v>4070</v>
      </c>
      <c r="I416" s="138" t="s">
        <v>4024</v>
      </c>
      <c r="J416" s="138" t="n">
        <v>19.425</v>
      </c>
      <c r="K416" s="138"/>
      <c r="L416" s="138"/>
      <c r="M416" s="138" t="s">
        <v>4069</v>
      </c>
    </row>
    <row r="417" customFormat="false" ht="15" hidden="false" customHeight="false" outlineLevel="0" collapsed="false">
      <c r="A417" s="138" t="s">
        <v>2078</v>
      </c>
      <c r="B417" s="138" t="n">
        <v>415</v>
      </c>
      <c r="C417" s="146" t="n">
        <v>784.57</v>
      </c>
      <c r="D417" s="146" t="n">
        <v>784.777</v>
      </c>
      <c r="E417" s="146" t="n">
        <f aca="false">D417-C417</f>
        <v>0.206999999999994</v>
      </c>
      <c r="F417" s="138" t="str">
        <f aca="false">IF(E417&gt;=0,"Aterro","Corte")</f>
        <v>Aterro</v>
      </c>
      <c r="G417" s="138" t="n">
        <v>-5.684</v>
      </c>
      <c r="H417" s="138" t="s">
        <v>2089</v>
      </c>
      <c r="I417" s="138" t="s">
        <v>4021</v>
      </c>
      <c r="J417" s="138" t="n">
        <v>34.234</v>
      </c>
      <c r="K417" s="138"/>
      <c r="L417" s="138"/>
      <c r="M417" s="138" t="s">
        <v>4069</v>
      </c>
    </row>
    <row r="418" customFormat="false" ht="15" hidden="false" customHeight="false" outlineLevel="0" collapsed="false">
      <c r="A418" s="138" t="s">
        <v>2079</v>
      </c>
      <c r="B418" s="138" t="n">
        <v>416</v>
      </c>
      <c r="C418" s="146" t="n">
        <v>783.976</v>
      </c>
      <c r="D418" s="146" t="n">
        <v>783.698</v>
      </c>
      <c r="E418" s="146" t="n">
        <f aca="false">D418-C418</f>
        <v>-0.27800000000002</v>
      </c>
      <c r="F418" s="138" t="str">
        <f aca="false">IF(E418&gt;=0,"Aterro","Corte")</f>
        <v>Corte</v>
      </c>
      <c r="G418" s="138" t="n">
        <v>-5.684</v>
      </c>
      <c r="H418" s="138" t="s">
        <v>2089</v>
      </c>
      <c r="I418" s="138" t="s">
        <v>4021</v>
      </c>
      <c r="J418" s="138" t="n">
        <v>34.234</v>
      </c>
      <c r="K418" s="138"/>
      <c r="L418" s="138"/>
      <c r="M418" s="138" t="s">
        <v>4069</v>
      </c>
    </row>
    <row r="419" customFormat="false" ht="15" hidden="false" customHeight="false" outlineLevel="0" collapsed="false">
      <c r="A419" s="138" t="s">
        <v>2080</v>
      </c>
      <c r="B419" s="138" t="n">
        <v>417</v>
      </c>
      <c r="C419" s="146" t="n">
        <v>783.453</v>
      </c>
      <c r="D419" s="146" t="n">
        <v>782.737</v>
      </c>
      <c r="E419" s="146" t="n">
        <f aca="false">D419-C419</f>
        <v>-0.716000000000008</v>
      </c>
      <c r="F419" s="138" t="str">
        <f aca="false">IF(E419&gt;=0,"Aterro","Corte")</f>
        <v>Corte</v>
      </c>
      <c r="G419" s="138" t="n">
        <v>-5.684</v>
      </c>
      <c r="H419" s="138" t="s">
        <v>2089</v>
      </c>
      <c r="I419" s="138" t="s">
        <v>4021</v>
      </c>
      <c r="J419" s="138" t="n">
        <v>34.234</v>
      </c>
      <c r="K419" s="138"/>
      <c r="L419" s="138"/>
      <c r="M419" s="138" t="s">
        <v>4069</v>
      </c>
    </row>
    <row r="420" customFormat="false" ht="15" hidden="false" customHeight="false" outlineLevel="0" collapsed="false">
      <c r="A420" s="138" t="s">
        <v>2081</v>
      </c>
      <c r="B420" s="138" t="n">
        <v>418</v>
      </c>
      <c r="C420" s="146" t="n">
        <v>782.952</v>
      </c>
      <c r="D420" s="146" t="n">
        <v>781.892</v>
      </c>
      <c r="E420" s="146" t="n">
        <f aca="false">D420-C420</f>
        <v>-1.05999999999995</v>
      </c>
      <c r="F420" s="138" t="str">
        <f aca="false">IF(E420&gt;=0,"Aterro","Corte")</f>
        <v>Corte</v>
      </c>
      <c r="G420" s="138" t="n">
        <v>-5.684</v>
      </c>
      <c r="H420" s="138" t="s">
        <v>2089</v>
      </c>
      <c r="I420" s="138" t="s">
        <v>4021</v>
      </c>
      <c r="J420" s="138" t="n">
        <v>34.234</v>
      </c>
      <c r="K420" s="138"/>
      <c r="L420" s="138"/>
      <c r="M420" s="138" t="s">
        <v>4069</v>
      </c>
    </row>
    <row r="421" customFormat="false" ht="15" hidden="false" customHeight="false" outlineLevel="0" collapsed="false">
      <c r="A421" s="138" t="s">
        <v>2082</v>
      </c>
      <c r="B421" s="138" t="n">
        <v>419</v>
      </c>
      <c r="C421" s="146" t="n">
        <v>782.23</v>
      </c>
      <c r="D421" s="146" t="n">
        <v>781.164</v>
      </c>
      <c r="E421" s="146" t="n">
        <f aca="false">D421-C421</f>
        <v>-1.06600000000003</v>
      </c>
      <c r="F421" s="138" t="str">
        <f aca="false">IF(E421&gt;=0,"Aterro","Corte")</f>
        <v>Corte</v>
      </c>
      <c r="G421" s="138" t="n">
        <v>-5.684</v>
      </c>
      <c r="H421" s="138" t="s">
        <v>2089</v>
      </c>
      <c r="I421" s="138" t="s">
        <v>4021</v>
      </c>
      <c r="J421" s="138" t="n">
        <v>34.234</v>
      </c>
      <c r="K421" s="138"/>
      <c r="L421" s="138"/>
      <c r="M421" s="138" t="s">
        <v>4069</v>
      </c>
    </row>
    <row r="422" customFormat="false" ht="15" hidden="false" customHeight="false" outlineLevel="0" collapsed="false">
      <c r="A422" s="138" t="s">
        <v>2084</v>
      </c>
      <c r="B422" s="138" t="n">
        <v>420</v>
      </c>
      <c r="C422" s="146" t="n">
        <v>781.222</v>
      </c>
      <c r="D422" s="146" t="n">
        <v>780.553</v>
      </c>
      <c r="E422" s="146" t="n">
        <f aca="false">D422-C422</f>
        <v>-0.668999999999983</v>
      </c>
      <c r="F422" s="138" t="str">
        <f aca="false">IF(E422&gt;=0,"Aterro","Corte")</f>
        <v>Corte</v>
      </c>
      <c r="G422" s="138" t="n">
        <v>-5.684</v>
      </c>
      <c r="H422" s="138" t="s">
        <v>2089</v>
      </c>
      <c r="I422" s="138" t="s">
        <v>4021</v>
      </c>
      <c r="J422" s="138" t="n">
        <v>34.234</v>
      </c>
      <c r="K422" s="138" t="s">
        <v>4071</v>
      </c>
      <c r="L422" s="138" t="n">
        <v>500</v>
      </c>
      <c r="M422" s="138" t="s">
        <v>4069</v>
      </c>
    </row>
    <row r="423" customFormat="false" ht="15" hidden="false" customHeight="false" outlineLevel="0" collapsed="false">
      <c r="A423" s="138" t="s">
        <v>2085</v>
      </c>
      <c r="B423" s="138" t="n">
        <v>421</v>
      </c>
      <c r="C423" s="146" t="n">
        <v>779.862</v>
      </c>
      <c r="D423" s="146" t="n">
        <v>780.059</v>
      </c>
      <c r="E423" s="146" t="n">
        <f aca="false">D423-C423</f>
        <v>0.197000000000003</v>
      </c>
      <c r="F423" s="138" t="str">
        <f aca="false">IF(E423&gt;=0,"Aterro","Corte")</f>
        <v>Aterro</v>
      </c>
      <c r="G423" s="138" t="n">
        <v>-5.684</v>
      </c>
      <c r="H423" s="138" t="s">
        <v>2089</v>
      </c>
      <c r="I423" s="138" t="s">
        <v>4021</v>
      </c>
      <c r="J423" s="138" t="n">
        <v>34.234</v>
      </c>
      <c r="K423" s="138" t="s">
        <v>4071</v>
      </c>
      <c r="L423" s="138" t="n">
        <v>500</v>
      </c>
      <c r="M423" s="138" t="s">
        <v>4069</v>
      </c>
    </row>
    <row r="424" customFormat="false" ht="15" hidden="false" customHeight="false" outlineLevel="0" collapsed="false">
      <c r="A424" s="138" t="s">
        <v>2086</v>
      </c>
      <c r="B424" s="138" t="n">
        <v>422</v>
      </c>
      <c r="C424" s="146" t="n">
        <v>778.676</v>
      </c>
      <c r="D424" s="146" t="n">
        <v>779.681</v>
      </c>
      <c r="E424" s="146" t="n">
        <f aca="false">D424-C424</f>
        <v>1.005</v>
      </c>
      <c r="F424" s="138" t="str">
        <f aca="false">IF(E424&gt;=0,"Aterro","Corte")</f>
        <v>Aterro</v>
      </c>
      <c r="G424" s="138" t="n">
        <v>-5.684</v>
      </c>
      <c r="H424" s="138" t="s">
        <v>2089</v>
      </c>
      <c r="I424" s="138" t="s">
        <v>4021</v>
      </c>
      <c r="J424" s="138" t="n">
        <v>34.234</v>
      </c>
      <c r="K424" s="138" t="s">
        <v>4071</v>
      </c>
      <c r="L424" s="138" t="n">
        <v>500</v>
      </c>
      <c r="M424" s="138" t="s">
        <v>4069</v>
      </c>
    </row>
    <row r="425" customFormat="false" ht="15" hidden="false" customHeight="false" outlineLevel="0" collapsed="false">
      <c r="A425" s="138" t="s">
        <v>2087</v>
      </c>
      <c r="B425" s="138" t="n">
        <v>423</v>
      </c>
      <c r="C425" s="146" t="n">
        <v>778.037</v>
      </c>
      <c r="D425" s="146" t="n">
        <v>779.421</v>
      </c>
      <c r="E425" s="146" t="n">
        <f aca="false">D425-C425</f>
        <v>1.38400000000001</v>
      </c>
      <c r="F425" s="138" t="str">
        <f aca="false">IF(E425&gt;=0,"Aterro","Corte")</f>
        <v>Aterro</v>
      </c>
      <c r="G425" s="138" t="n">
        <v>-5.684</v>
      </c>
      <c r="H425" s="138" t="s">
        <v>2089</v>
      </c>
      <c r="I425" s="138" t="s">
        <v>4021</v>
      </c>
      <c r="J425" s="138" t="n">
        <v>34.234</v>
      </c>
      <c r="K425" s="138"/>
      <c r="L425" s="138"/>
      <c r="M425" s="138" t="s">
        <v>4069</v>
      </c>
    </row>
    <row r="426" customFormat="false" ht="15" hidden="false" customHeight="false" outlineLevel="0" collapsed="false">
      <c r="A426" s="138" t="s">
        <v>2088</v>
      </c>
      <c r="B426" s="138" t="n">
        <v>424</v>
      </c>
      <c r="C426" s="146" t="n">
        <v>777.707</v>
      </c>
      <c r="D426" s="146" t="n">
        <v>779.277</v>
      </c>
      <c r="E426" s="146" t="n">
        <f aca="false">D426-C426</f>
        <v>1.57000000000005</v>
      </c>
      <c r="F426" s="138" t="str">
        <f aca="false">IF(E426&gt;=0,"Aterro","Corte")</f>
        <v>Aterro</v>
      </c>
      <c r="G426" s="138" t="n">
        <v>-5.684</v>
      </c>
      <c r="H426" s="138" t="s">
        <v>2089</v>
      </c>
      <c r="I426" s="138" t="s">
        <v>4021</v>
      </c>
      <c r="J426" s="138" t="n">
        <v>34.234</v>
      </c>
      <c r="K426" s="138"/>
      <c r="L426" s="138"/>
      <c r="M426" s="138" t="s">
        <v>4069</v>
      </c>
    </row>
    <row r="427" customFormat="false" ht="15" hidden="false" customHeight="false" outlineLevel="0" collapsed="false">
      <c r="A427" s="138" t="s">
        <v>2089</v>
      </c>
      <c r="B427" s="138" t="n">
        <v>425</v>
      </c>
      <c r="C427" s="146" t="n">
        <v>777.603</v>
      </c>
      <c r="D427" s="146" t="n">
        <v>779.25</v>
      </c>
      <c r="E427" s="146" t="n">
        <f aca="false">D427-C427</f>
        <v>1.64700000000005</v>
      </c>
      <c r="F427" s="138" t="str">
        <f aca="false">IF(E427&gt;=0,"Aterro","Corte")</f>
        <v>Aterro</v>
      </c>
      <c r="G427" s="138" t="n">
        <v>-5.684</v>
      </c>
      <c r="H427" s="138" t="s">
        <v>2089</v>
      </c>
      <c r="I427" s="138" t="s">
        <v>4021</v>
      </c>
      <c r="J427" s="138" t="n">
        <v>34.234</v>
      </c>
      <c r="K427" s="138"/>
      <c r="L427" s="138"/>
      <c r="M427" s="138" t="s">
        <v>4069</v>
      </c>
    </row>
    <row r="428" customFormat="false" ht="15" hidden="false" customHeight="false" outlineLevel="0" collapsed="false">
      <c r="A428" s="138" t="s">
        <v>2090</v>
      </c>
      <c r="B428" s="138" t="n">
        <v>426</v>
      </c>
      <c r="C428" s="146" t="n">
        <v>777.497</v>
      </c>
      <c r="D428" s="146" t="n">
        <v>779.34</v>
      </c>
      <c r="E428" s="146" t="n">
        <f aca="false">D428-C428</f>
        <v>1.84300000000007</v>
      </c>
      <c r="F428" s="138" t="str">
        <f aca="false">IF(E428&gt;=0,"Aterro","Corte")</f>
        <v>Aterro</v>
      </c>
      <c r="G428" s="138" t="n">
        <v>6</v>
      </c>
      <c r="H428" s="138" t="s">
        <v>2089</v>
      </c>
      <c r="I428" s="138" t="s">
        <v>4021</v>
      </c>
      <c r="J428" s="138" t="n">
        <v>34.234</v>
      </c>
      <c r="K428" s="138"/>
      <c r="L428" s="138"/>
      <c r="M428" s="138" t="s">
        <v>4069</v>
      </c>
    </row>
    <row r="429" customFormat="false" ht="15" hidden="false" customHeight="false" outlineLevel="0" collapsed="false">
      <c r="A429" s="138" t="s">
        <v>2091</v>
      </c>
      <c r="B429" s="138" t="n">
        <v>427</v>
      </c>
      <c r="C429" s="146" t="n">
        <v>777.35</v>
      </c>
      <c r="D429" s="146" t="n">
        <v>779.547</v>
      </c>
      <c r="E429" s="146" t="n">
        <f aca="false">D429-C429</f>
        <v>2.197</v>
      </c>
      <c r="F429" s="138" t="str">
        <f aca="false">IF(E429&gt;=0,"Aterro","Corte")</f>
        <v>Aterro</v>
      </c>
      <c r="G429" s="138" t="n">
        <v>6</v>
      </c>
      <c r="H429" s="138" t="s">
        <v>2089</v>
      </c>
      <c r="I429" s="138" t="s">
        <v>4021</v>
      </c>
      <c r="J429" s="138" t="n">
        <v>34.234</v>
      </c>
      <c r="K429" s="138"/>
      <c r="L429" s="138"/>
      <c r="M429" s="138" t="s">
        <v>4069</v>
      </c>
    </row>
    <row r="430" customFormat="false" ht="15" hidden="false" customHeight="false" outlineLevel="0" collapsed="false">
      <c r="A430" s="138" t="s">
        <v>2092</v>
      </c>
      <c r="B430" s="138" t="n">
        <v>428</v>
      </c>
      <c r="C430" s="146" t="n">
        <v>777.21</v>
      </c>
      <c r="D430" s="146" t="n">
        <v>779.87</v>
      </c>
      <c r="E430" s="146" t="n">
        <f aca="false">D430-C430</f>
        <v>2.65999999999997</v>
      </c>
      <c r="F430" s="138" t="str">
        <f aca="false">IF(E430&gt;=0,"Aterro","Corte")</f>
        <v>Aterro</v>
      </c>
      <c r="G430" s="138" t="n">
        <v>6</v>
      </c>
      <c r="H430" s="138" t="s">
        <v>2089</v>
      </c>
      <c r="I430" s="138" t="s">
        <v>4021</v>
      </c>
      <c r="J430" s="138" t="n">
        <v>34.234</v>
      </c>
      <c r="K430" s="138"/>
      <c r="L430" s="138"/>
      <c r="M430" s="138" t="s">
        <v>4069</v>
      </c>
    </row>
    <row r="431" customFormat="false" ht="15" hidden="false" customHeight="false" outlineLevel="0" collapsed="false">
      <c r="A431" s="138" t="s">
        <v>2093</v>
      </c>
      <c r="B431" s="138" t="n">
        <v>429</v>
      </c>
      <c r="C431" s="146" t="n">
        <v>777.322</v>
      </c>
      <c r="D431" s="146" t="n">
        <v>780.311</v>
      </c>
      <c r="E431" s="146" t="n">
        <f aca="false">D431-C431</f>
        <v>2.98900000000003</v>
      </c>
      <c r="F431" s="138" t="str">
        <f aca="false">IF(E431&gt;=0,"Aterro","Corte")</f>
        <v>Aterro</v>
      </c>
      <c r="G431" s="138" t="n">
        <v>6</v>
      </c>
      <c r="H431" s="138" t="s">
        <v>2089</v>
      </c>
      <c r="I431" s="138" t="s">
        <v>4021</v>
      </c>
      <c r="J431" s="138" t="n">
        <v>34.234</v>
      </c>
      <c r="K431" s="138"/>
      <c r="L431" s="138"/>
      <c r="M431" s="138" t="s">
        <v>4069</v>
      </c>
    </row>
    <row r="432" customFormat="false" ht="15" hidden="false" customHeight="false" outlineLevel="0" collapsed="false">
      <c r="A432" s="138" t="s">
        <v>2094</v>
      </c>
      <c r="B432" s="138" t="n">
        <v>430</v>
      </c>
      <c r="C432" s="146" t="n">
        <v>777.543</v>
      </c>
      <c r="D432" s="146" t="n">
        <v>780.868</v>
      </c>
      <c r="E432" s="146" t="n">
        <f aca="false">D432-C432</f>
        <v>3.32500000000005</v>
      </c>
      <c r="F432" s="138" t="str">
        <f aca="false">IF(E432&gt;=0,"Aterro","Corte")</f>
        <v>Aterro</v>
      </c>
      <c r="G432" s="138" t="n">
        <v>6</v>
      </c>
      <c r="H432" s="138" t="s">
        <v>2089</v>
      </c>
      <c r="I432" s="138" t="s">
        <v>4021</v>
      </c>
      <c r="J432" s="138" t="n">
        <v>34.234</v>
      </c>
      <c r="K432" s="138"/>
      <c r="L432" s="138"/>
      <c r="M432" s="138" t="s">
        <v>4069</v>
      </c>
    </row>
    <row r="433" customFormat="false" ht="15" hidden="false" customHeight="false" outlineLevel="0" collapsed="false">
      <c r="A433" s="138" t="s">
        <v>2095</v>
      </c>
      <c r="B433" s="138" t="n">
        <v>431</v>
      </c>
      <c r="C433" s="146" t="n">
        <v>777.614</v>
      </c>
      <c r="D433" s="146" t="n">
        <v>781.543</v>
      </c>
      <c r="E433" s="146" t="n">
        <f aca="false">D433-C433</f>
        <v>3.92899999999997</v>
      </c>
      <c r="F433" s="138" t="str">
        <f aca="false">IF(E433&gt;=0,"Aterro","Corte")</f>
        <v>Aterro</v>
      </c>
      <c r="G433" s="138" t="n">
        <v>6</v>
      </c>
      <c r="H433" s="138" t="s">
        <v>2089</v>
      </c>
      <c r="I433" s="138" t="s">
        <v>4021</v>
      </c>
      <c r="J433" s="138" t="n">
        <v>34.234</v>
      </c>
      <c r="K433" s="138"/>
      <c r="L433" s="138"/>
      <c r="M433" s="138" t="s">
        <v>4069</v>
      </c>
    </row>
    <row r="434" customFormat="false" ht="15" hidden="false" customHeight="false" outlineLevel="0" collapsed="false">
      <c r="A434" s="138" t="s">
        <v>2096</v>
      </c>
      <c r="B434" s="138" t="n">
        <v>432</v>
      </c>
      <c r="C434" s="146" t="n">
        <v>777.662</v>
      </c>
      <c r="D434" s="146" t="n">
        <v>782.334</v>
      </c>
      <c r="E434" s="146" t="n">
        <f aca="false">D434-C434</f>
        <v>4.67199999999991</v>
      </c>
      <c r="F434" s="138" t="str">
        <f aca="false">IF(E434&gt;=0,"Aterro","Corte")</f>
        <v>Aterro</v>
      </c>
      <c r="G434" s="138" t="n">
        <v>6</v>
      </c>
      <c r="H434" s="138" t="s">
        <v>2089</v>
      </c>
      <c r="I434" s="138" t="s">
        <v>4021</v>
      </c>
      <c r="J434" s="138" t="n">
        <v>34.234</v>
      </c>
      <c r="K434" s="138"/>
      <c r="L434" s="138"/>
      <c r="M434" s="138" t="s">
        <v>4069</v>
      </c>
    </row>
    <row r="435" customFormat="false" ht="15" hidden="false" customHeight="false" outlineLevel="0" collapsed="false">
      <c r="A435" s="138" t="s">
        <v>2097</v>
      </c>
      <c r="B435" s="138" t="n">
        <v>433</v>
      </c>
      <c r="C435" s="146" t="n">
        <v>777.741</v>
      </c>
      <c r="D435" s="146" t="n">
        <v>783.241</v>
      </c>
      <c r="E435" s="146" t="n">
        <f aca="false">D435-C435</f>
        <v>5.5</v>
      </c>
      <c r="F435" s="138" t="str">
        <f aca="false">IF(E435&gt;=0,"Aterro","Corte")</f>
        <v>Aterro</v>
      </c>
      <c r="G435" s="138" t="n">
        <v>6</v>
      </c>
      <c r="H435" s="138" t="s">
        <v>2089</v>
      </c>
      <c r="I435" s="138" t="s">
        <v>4021</v>
      </c>
      <c r="J435" s="138" t="n">
        <v>34.234</v>
      </c>
      <c r="K435" s="138"/>
      <c r="L435" s="138"/>
      <c r="M435" s="138" t="s">
        <v>4072</v>
      </c>
    </row>
    <row r="436" customFormat="false" ht="15" hidden="false" customHeight="false" outlineLevel="0" collapsed="false">
      <c r="A436" s="138" t="s">
        <v>2098</v>
      </c>
      <c r="B436" s="138" t="n">
        <v>434</v>
      </c>
      <c r="C436" s="146" t="n">
        <v>777.974</v>
      </c>
      <c r="D436" s="146" t="n">
        <v>784.266</v>
      </c>
      <c r="E436" s="146" t="n">
        <f aca="false">D436-C436</f>
        <v>6.29199999999992</v>
      </c>
      <c r="F436" s="138" t="str">
        <f aca="false">IF(E436&gt;=0,"Aterro","Corte")</f>
        <v>Aterro</v>
      </c>
      <c r="G436" s="138" t="n">
        <v>6</v>
      </c>
      <c r="H436" s="138" t="s">
        <v>2089</v>
      </c>
      <c r="I436" s="138" t="s">
        <v>4021</v>
      </c>
      <c r="J436" s="138" t="n">
        <v>34.234</v>
      </c>
      <c r="K436" s="138"/>
      <c r="L436" s="138"/>
      <c r="M436" s="138" t="s">
        <v>4072</v>
      </c>
    </row>
    <row r="437" customFormat="false" ht="15" hidden="false" customHeight="false" outlineLevel="0" collapsed="false">
      <c r="A437" s="138" t="s">
        <v>2099</v>
      </c>
      <c r="B437" s="138" t="n">
        <v>435</v>
      </c>
      <c r="C437" s="146" t="n">
        <v>778.463</v>
      </c>
      <c r="D437" s="146" t="n">
        <v>785.408</v>
      </c>
      <c r="E437" s="146" t="n">
        <f aca="false">D437-C437</f>
        <v>6.94500000000005</v>
      </c>
      <c r="F437" s="138" t="str">
        <f aca="false">IF(E437&gt;=0,"Aterro","Corte")</f>
        <v>Aterro</v>
      </c>
      <c r="G437" s="138" t="n">
        <v>6</v>
      </c>
      <c r="H437" s="138" t="s">
        <v>2089</v>
      </c>
      <c r="I437" s="138" t="s">
        <v>4021</v>
      </c>
      <c r="J437" s="138" t="n">
        <v>34.234</v>
      </c>
      <c r="K437" s="138"/>
      <c r="L437" s="138"/>
      <c r="M437" s="138" t="s">
        <v>4072</v>
      </c>
    </row>
    <row r="438" customFormat="false" ht="15" hidden="false" customHeight="false" outlineLevel="0" collapsed="false">
      <c r="A438" s="138" t="s">
        <v>2100</v>
      </c>
      <c r="B438" s="138" t="n">
        <v>436</v>
      </c>
      <c r="C438" s="146" t="n">
        <v>779.163</v>
      </c>
      <c r="D438" s="146" t="n">
        <v>786.608</v>
      </c>
      <c r="E438" s="146" t="n">
        <f aca="false">D438-C438</f>
        <v>7.44499999999994</v>
      </c>
      <c r="F438" s="138" t="str">
        <f aca="false">IF(E438&gt;=0,"Aterro","Corte")</f>
        <v>Aterro</v>
      </c>
      <c r="G438" s="138" t="n">
        <v>6</v>
      </c>
      <c r="H438" s="138"/>
      <c r="I438" s="138"/>
      <c r="J438" s="138"/>
      <c r="K438" s="138"/>
      <c r="L438" s="138"/>
      <c r="M438" s="138" t="s">
        <v>4072</v>
      </c>
    </row>
    <row r="439" customFormat="false" ht="15" hidden="false" customHeight="false" outlineLevel="0" collapsed="false">
      <c r="A439" s="138" t="s">
        <v>2101</v>
      </c>
      <c r="B439" s="138" t="n">
        <v>437</v>
      </c>
      <c r="C439" s="146" t="n">
        <v>779.951</v>
      </c>
      <c r="D439" s="146" t="n">
        <v>787.808</v>
      </c>
      <c r="E439" s="146" t="n">
        <f aca="false">D439-C439</f>
        <v>7.85699999999997</v>
      </c>
      <c r="F439" s="138" t="str">
        <f aca="false">IF(E439&gt;=0,"Aterro","Corte")</f>
        <v>Aterro</v>
      </c>
      <c r="G439" s="138" t="n">
        <v>6</v>
      </c>
      <c r="H439" s="138"/>
      <c r="I439" s="138"/>
      <c r="J439" s="138"/>
      <c r="K439" s="138"/>
      <c r="L439" s="138"/>
      <c r="M439" s="138" t="s">
        <v>4072</v>
      </c>
    </row>
    <row r="440" customFormat="false" ht="15" hidden="false" customHeight="false" outlineLevel="0" collapsed="false">
      <c r="A440" s="138" t="s">
        <v>2102</v>
      </c>
      <c r="B440" s="138" t="n">
        <v>438</v>
      </c>
      <c r="C440" s="146" t="n">
        <v>780.95</v>
      </c>
      <c r="D440" s="146" t="n">
        <v>789.008</v>
      </c>
      <c r="E440" s="146" t="n">
        <f aca="false">D440-C440</f>
        <v>8.05799999999999</v>
      </c>
      <c r="F440" s="138" t="str">
        <f aca="false">IF(E440&gt;=0,"Aterro","Corte")</f>
        <v>Aterro</v>
      </c>
      <c r="G440" s="138" t="n">
        <v>6</v>
      </c>
      <c r="H440" s="138"/>
      <c r="I440" s="138"/>
      <c r="J440" s="138"/>
      <c r="K440" s="138"/>
      <c r="L440" s="138"/>
      <c r="M440" s="138" t="s">
        <v>4072</v>
      </c>
    </row>
    <row r="441" customFormat="false" ht="15" hidden="false" customHeight="false" outlineLevel="0" collapsed="false">
      <c r="A441" s="138" t="s">
        <v>2103</v>
      </c>
      <c r="B441" s="138" t="n">
        <v>439</v>
      </c>
      <c r="C441" s="146" t="n">
        <v>781.806</v>
      </c>
      <c r="D441" s="146" t="n">
        <v>790.208</v>
      </c>
      <c r="E441" s="146" t="n">
        <f aca="false">D441-C441</f>
        <v>8.40199999999993</v>
      </c>
      <c r="F441" s="138" t="str">
        <f aca="false">IF(E441&gt;=0,"Aterro","Corte")</f>
        <v>Aterro</v>
      </c>
      <c r="G441" s="138" t="n">
        <v>6</v>
      </c>
      <c r="H441" s="138"/>
      <c r="I441" s="138"/>
      <c r="J441" s="138"/>
      <c r="K441" s="138"/>
      <c r="L441" s="138"/>
      <c r="M441" s="138" t="s">
        <v>4072</v>
      </c>
    </row>
    <row r="442" customFormat="false" ht="15" hidden="false" customHeight="false" outlineLevel="0" collapsed="false">
      <c r="A442" s="138" t="s">
        <v>2104</v>
      </c>
      <c r="B442" s="138" t="n">
        <v>440</v>
      </c>
      <c r="C442" s="146" t="n">
        <v>782.499</v>
      </c>
      <c r="D442" s="146" t="n">
        <v>791.408</v>
      </c>
      <c r="E442" s="146" t="n">
        <f aca="false">D442-C442</f>
        <v>8.90899999999999</v>
      </c>
      <c r="F442" s="138" t="str">
        <f aca="false">IF(E442&gt;=0,"Aterro","Corte")</f>
        <v>Aterro</v>
      </c>
      <c r="G442" s="138" t="n">
        <v>6</v>
      </c>
      <c r="H442" s="138"/>
      <c r="I442" s="138"/>
      <c r="J442" s="138"/>
      <c r="K442" s="138"/>
      <c r="L442" s="138"/>
      <c r="M442" s="138" t="s">
        <v>4072</v>
      </c>
    </row>
    <row r="443" customFormat="false" ht="15" hidden="false" customHeight="false" outlineLevel="0" collapsed="false">
      <c r="A443" s="138" t="s">
        <v>2105</v>
      </c>
      <c r="B443" s="138" t="n">
        <v>441</v>
      </c>
      <c r="C443" s="146" t="n">
        <v>783.436</v>
      </c>
      <c r="D443" s="146" t="n">
        <v>792.608</v>
      </c>
      <c r="E443" s="146" t="n">
        <f aca="false">D443-C443</f>
        <v>9.17199999999991</v>
      </c>
      <c r="F443" s="138" t="str">
        <f aca="false">IF(E443&gt;=0,"Aterro","Corte")</f>
        <v>Aterro</v>
      </c>
      <c r="G443" s="138" t="n">
        <v>6</v>
      </c>
      <c r="H443" s="138"/>
      <c r="I443" s="138"/>
      <c r="J443" s="138"/>
      <c r="K443" s="138" t="s">
        <v>4073</v>
      </c>
      <c r="L443" s="138" t="n">
        <v>400</v>
      </c>
      <c r="M443" s="138" t="s">
        <v>4072</v>
      </c>
    </row>
    <row r="444" customFormat="false" ht="15" hidden="false" customHeight="false" outlineLevel="0" collapsed="false">
      <c r="A444" s="138" t="s">
        <v>2106</v>
      </c>
      <c r="B444" s="138" t="n">
        <v>442</v>
      </c>
      <c r="C444" s="146" t="n">
        <v>784.698</v>
      </c>
      <c r="D444" s="146" t="n">
        <v>793.808</v>
      </c>
      <c r="E444" s="146" t="n">
        <f aca="false">D444-C444</f>
        <v>9.11000000000001</v>
      </c>
      <c r="F444" s="138" t="str">
        <f aca="false">IF(E444&gt;=0,"Aterro","Corte")</f>
        <v>Aterro</v>
      </c>
      <c r="G444" s="138" t="n">
        <v>6</v>
      </c>
      <c r="H444" s="138"/>
      <c r="I444" s="138"/>
      <c r="J444" s="138"/>
      <c r="K444" s="138"/>
      <c r="L444" s="138"/>
      <c r="M444" s="138" t="s">
        <v>4072</v>
      </c>
    </row>
    <row r="445" customFormat="false" ht="15" hidden="false" customHeight="false" outlineLevel="0" collapsed="false">
      <c r="A445" s="138" t="s">
        <v>2107</v>
      </c>
      <c r="B445" s="138" t="n">
        <v>443</v>
      </c>
      <c r="C445" s="146" t="n">
        <v>786.311</v>
      </c>
      <c r="D445" s="146" t="n">
        <v>795.008</v>
      </c>
      <c r="E445" s="146" t="n">
        <f aca="false">D445-C445</f>
        <v>8.697</v>
      </c>
      <c r="F445" s="138" t="str">
        <f aca="false">IF(E445&gt;=0,"Aterro","Corte")</f>
        <v>Aterro</v>
      </c>
      <c r="G445" s="138" t="n">
        <v>6</v>
      </c>
      <c r="H445" s="138"/>
      <c r="I445" s="138"/>
      <c r="J445" s="138"/>
      <c r="K445" s="138"/>
      <c r="L445" s="138"/>
      <c r="M445" s="138" t="s">
        <v>4072</v>
      </c>
    </row>
    <row r="446" customFormat="false" ht="15" hidden="false" customHeight="false" outlineLevel="0" collapsed="false">
      <c r="A446" s="138" t="s">
        <v>2108</v>
      </c>
      <c r="B446" s="138" t="n">
        <v>444</v>
      </c>
      <c r="C446" s="146" t="n">
        <v>788.405</v>
      </c>
      <c r="D446" s="146" t="n">
        <v>796.208</v>
      </c>
      <c r="E446" s="146" t="n">
        <f aca="false">D446-C446</f>
        <v>7.803</v>
      </c>
      <c r="F446" s="138" t="str">
        <f aca="false">IF(E446&gt;=0,"Aterro","Corte")</f>
        <v>Aterro</v>
      </c>
      <c r="G446" s="138" t="n">
        <v>6</v>
      </c>
      <c r="H446" s="138"/>
      <c r="I446" s="138"/>
      <c r="J446" s="138"/>
      <c r="K446" s="138"/>
      <c r="L446" s="138"/>
      <c r="M446" s="138" t="s">
        <v>4072</v>
      </c>
    </row>
    <row r="447" customFormat="false" ht="15" hidden="false" customHeight="false" outlineLevel="0" collapsed="false">
      <c r="A447" s="138" t="s">
        <v>2109</v>
      </c>
      <c r="B447" s="138" t="n">
        <v>445</v>
      </c>
      <c r="C447" s="146" t="n">
        <v>790.603</v>
      </c>
      <c r="D447" s="146" t="n">
        <v>797.408</v>
      </c>
      <c r="E447" s="146" t="n">
        <f aca="false">D447-C447</f>
        <v>6.80500000000006</v>
      </c>
      <c r="F447" s="138" t="str">
        <f aca="false">IF(E447&gt;=0,"Aterro","Corte")</f>
        <v>Aterro</v>
      </c>
      <c r="G447" s="138" t="n">
        <v>6</v>
      </c>
      <c r="H447" s="138"/>
      <c r="I447" s="138"/>
      <c r="J447" s="138"/>
      <c r="K447" s="138"/>
      <c r="L447" s="138"/>
      <c r="M447" s="138" t="s">
        <v>4072</v>
      </c>
    </row>
    <row r="448" customFormat="false" ht="15" hidden="false" customHeight="false" outlineLevel="0" collapsed="false">
      <c r="A448" s="138" t="s">
        <v>2110</v>
      </c>
      <c r="B448" s="138" t="n">
        <v>446</v>
      </c>
      <c r="C448" s="146" t="n">
        <v>792.63</v>
      </c>
      <c r="D448" s="146" t="n">
        <v>798.608</v>
      </c>
      <c r="E448" s="146" t="n">
        <f aca="false">D448-C448</f>
        <v>5.97799999999995</v>
      </c>
      <c r="F448" s="138" t="str">
        <f aca="false">IF(E448&gt;=0,"Aterro","Corte")</f>
        <v>Aterro</v>
      </c>
      <c r="G448" s="138" t="n">
        <v>6</v>
      </c>
      <c r="H448" s="138"/>
      <c r="I448" s="138"/>
      <c r="J448" s="138"/>
      <c r="K448" s="138"/>
      <c r="L448" s="138"/>
      <c r="M448" s="138" t="s">
        <v>4072</v>
      </c>
    </row>
    <row r="449" customFormat="false" ht="15" hidden="false" customHeight="false" outlineLevel="0" collapsed="false">
      <c r="A449" s="138" t="s">
        <v>2111</v>
      </c>
      <c r="B449" s="138" t="n">
        <v>447</v>
      </c>
      <c r="C449" s="146" t="n">
        <v>794.596</v>
      </c>
      <c r="D449" s="146" t="n">
        <v>799.808</v>
      </c>
      <c r="E449" s="146" t="n">
        <f aca="false">D449-C449</f>
        <v>5.21199999999999</v>
      </c>
      <c r="F449" s="138" t="str">
        <f aca="false">IF(E449&gt;=0,"Aterro","Corte")</f>
        <v>Aterro</v>
      </c>
      <c r="G449" s="138" t="n">
        <v>6</v>
      </c>
      <c r="H449" s="138"/>
      <c r="I449" s="138"/>
      <c r="J449" s="138"/>
      <c r="K449" s="138"/>
      <c r="L449" s="138"/>
      <c r="M449" s="138" t="s">
        <v>4072</v>
      </c>
    </row>
    <row r="450" customFormat="false" ht="15" hidden="false" customHeight="false" outlineLevel="0" collapsed="false">
      <c r="A450" s="138" t="s">
        <v>2112</v>
      </c>
      <c r="B450" s="138" t="n">
        <v>448</v>
      </c>
      <c r="C450" s="146" t="n">
        <v>796.985</v>
      </c>
      <c r="D450" s="146" t="n">
        <v>801.008</v>
      </c>
      <c r="E450" s="146" t="n">
        <f aca="false">D450-C450</f>
        <v>4.02300000000003</v>
      </c>
      <c r="F450" s="138" t="str">
        <f aca="false">IF(E450&gt;=0,"Aterro","Corte")</f>
        <v>Aterro</v>
      </c>
      <c r="G450" s="138" t="n">
        <v>6</v>
      </c>
      <c r="H450" s="138"/>
      <c r="I450" s="138"/>
      <c r="J450" s="138"/>
      <c r="K450" s="138" t="s">
        <v>4074</v>
      </c>
      <c r="L450" s="138" t="n">
        <v>240</v>
      </c>
      <c r="M450" s="138" t="s">
        <v>4072</v>
      </c>
    </row>
    <row r="451" customFormat="false" ht="15" hidden="false" customHeight="false" outlineLevel="0" collapsed="false">
      <c r="A451" s="138" t="s">
        <v>2113</v>
      </c>
      <c r="B451" s="138" t="n">
        <v>449</v>
      </c>
      <c r="C451" s="146" t="n">
        <v>799.097</v>
      </c>
      <c r="D451" s="146" t="n">
        <v>802.208</v>
      </c>
      <c r="E451" s="146" t="n">
        <f aca="false">D451-C451</f>
        <v>3.11099999999999</v>
      </c>
      <c r="F451" s="138" t="str">
        <f aca="false">IF(E451&gt;=0,"Aterro","Corte")</f>
        <v>Aterro</v>
      </c>
      <c r="G451" s="138" t="n">
        <v>6</v>
      </c>
      <c r="H451" s="138"/>
      <c r="I451" s="138"/>
      <c r="J451" s="138"/>
      <c r="K451" s="138" t="s">
        <v>4074</v>
      </c>
      <c r="L451" s="138" t="n">
        <v>240</v>
      </c>
      <c r="M451" s="138" t="s">
        <v>4072</v>
      </c>
    </row>
    <row r="452" customFormat="false" ht="15" hidden="false" customHeight="false" outlineLevel="0" collapsed="false">
      <c r="A452" s="138" t="s">
        <v>2114</v>
      </c>
      <c r="B452" s="138" t="n">
        <v>450</v>
      </c>
      <c r="C452" s="146" t="n">
        <v>800.828</v>
      </c>
      <c r="D452" s="146" t="n">
        <v>803.408</v>
      </c>
      <c r="E452" s="146" t="n">
        <f aca="false">D452-C452</f>
        <v>2.58000000000004</v>
      </c>
      <c r="F452" s="138" t="str">
        <f aca="false">IF(E452&gt;=0,"Aterro","Corte")</f>
        <v>Aterro</v>
      </c>
      <c r="G452" s="138" t="n">
        <v>6</v>
      </c>
      <c r="H452" s="138"/>
      <c r="I452" s="138"/>
      <c r="J452" s="138"/>
      <c r="K452" s="138" t="s">
        <v>4074</v>
      </c>
      <c r="L452" s="138" t="n">
        <v>240</v>
      </c>
      <c r="M452" s="138" t="s">
        <v>4072</v>
      </c>
    </row>
    <row r="453" customFormat="false" ht="15" hidden="false" customHeight="false" outlineLevel="0" collapsed="false">
      <c r="A453" s="138" t="s">
        <v>2115</v>
      </c>
      <c r="B453" s="138" t="n">
        <v>451</v>
      </c>
      <c r="C453" s="146" t="n">
        <v>802.363</v>
      </c>
      <c r="D453" s="146" t="n">
        <v>804.608</v>
      </c>
      <c r="E453" s="146" t="n">
        <f aca="false">D453-C453</f>
        <v>2.24499999999989</v>
      </c>
      <c r="F453" s="138" t="str">
        <f aca="false">IF(E453&gt;=0,"Aterro","Corte")</f>
        <v>Aterro</v>
      </c>
      <c r="G453" s="138" t="n">
        <v>6</v>
      </c>
      <c r="H453" s="138"/>
      <c r="I453" s="138"/>
      <c r="J453" s="138"/>
      <c r="K453" s="138" t="s">
        <v>4074</v>
      </c>
      <c r="L453" s="138" t="n">
        <v>240</v>
      </c>
      <c r="M453" s="138" t="s">
        <v>4072</v>
      </c>
    </row>
    <row r="454" customFormat="false" ht="15" hidden="false" customHeight="false" outlineLevel="0" collapsed="false">
      <c r="A454" s="138" t="s">
        <v>2116</v>
      </c>
      <c r="B454" s="138" t="n">
        <v>452</v>
      </c>
      <c r="C454" s="146" t="n">
        <v>803.981</v>
      </c>
      <c r="D454" s="146" t="n">
        <v>805.808</v>
      </c>
      <c r="E454" s="146" t="n">
        <f aca="false">D454-C454</f>
        <v>1.827</v>
      </c>
      <c r="F454" s="138" t="str">
        <f aca="false">IF(E454&gt;=0,"Aterro","Corte")</f>
        <v>Aterro</v>
      </c>
      <c r="G454" s="138" t="n">
        <v>6</v>
      </c>
      <c r="H454" s="138"/>
      <c r="I454" s="138"/>
      <c r="J454" s="138"/>
      <c r="K454" s="138" t="s">
        <v>4074</v>
      </c>
      <c r="L454" s="138" t="n">
        <v>240</v>
      </c>
      <c r="M454" s="138" t="s">
        <v>4072</v>
      </c>
    </row>
    <row r="455" customFormat="false" ht="15" hidden="false" customHeight="false" outlineLevel="0" collapsed="false">
      <c r="A455" s="138" t="s">
        <v>2117</v>
      </c>
      <c r="B455" s="138" t="n">
        <v>453</v>
      </c>
      <c r="C455" s="146" t="n">
        <v>805.377</v>
      </c>
      <c r="D455" s="146" t="n">
        <v>807.008</v>
      </c>
      <c r="E455" s="146" t="n">
        <f aca="false">D455-C455</f>
        <v>1.63100000000009</v>
      </c>
      <c r="F455" s="138" t="str">
        <f aca="false">IF(E455&gt;=0,"Aterro","Corte")</f>
        <v>Aterro</v>
      </c>
      <c r="G455" s="138" t="n">
        <v>6</v>
      </c>
      <c r="H455" s="138"/>
      <c r="I455" s="138"/>
      <c r="J455" s="138"/>
      <c r="K455" s="138" t="s">
        <v>4074</v>
      </c>
      <c r="L455" s="138" t="n">
        <v>240</v>
      </c>
      <c r="M455" s="138" t="s">
        <v>4072</v>
      </c>
    </row>
    <row r="456" customFormat="false" ht="15" hidden="false" customHeight="false" outlineLevel="0" collapsed="false">
      <c r="A456" s="138" t="s">
        <v>2118</v>
      </c>
      <c r="B456" s="138" t="n">
        <v>454</v>
      </c>
      <c r="C456" s="146" t="n">
        <v>807.581</v>
      </c>
      <c r="D456" s="146" t="n">
        <v>808.208</v>
      </c>
      <c r="E456" s="146" t="n">
        <f aca="false">D456-C456</f>
        <v>0.626999999999953</v>
      </c>
      <c r="F456" s="138" t="str">
        <f aca="false">IF(E456&gt;=0,"Aterro","Corte")</f>
        <v>Aterro</v>
      </c>
      <c r="G456" s="138" t="n">
        <v>6</v>
      </c>
      <c r="H456" s="138"/>
      <c r="I456" s="138"/>
      <c r="J456" s="138"/>
      <c r="K456" s="138" t="s">
        <v>4074</v>
      </c>
      <c r="L456" s="138" t="n">
        <v>240</v>
      </c>
      <c r="M456" s="138" t="s">
        <v>4072</v>
      </c>
    </row>
    <row r="457" customFormat="false" ht="15" hidden="false" customHeight="false" outlineLevel="0" collapsed="false">
      <c r="A457" s="138" t="s">
        <v>2119</v>
      </c>
      <c r="B457" s="138" t="n">
        <v>455</v>
      </c>
      <c r="C457" s="146" t="n">
        <v>809.606</v>
      </c>
      <c r="D457" s="146" t="n">
        <v>809.408</v>
      </c>
      <c r="E457" s="146" t="n">
        <f aca="false">D457-C457</f>
        <v>-0.197999999999979</v>
      </c>
      <c r="F457" s="138" t="str">
        <f aca="false">IF(E457&gt;=0,"Aterro","Corte")</f>
        <v>Corte</v>
      </c>
      <c r="G457" s="138" t="n">
        <v>6</v>
      </c>
      <c r="H457" s="138"/>
      <c r="I457" s="138"/>
      <c r="J457" s="138"/>
      <c r="K457" s="138" t="s">
        <v>4074</v>
      </c>
      <c r="L457" s="138" t="n">
        <v>240</v>
      </c>
      <c r="M457" s="138" t="s">
        <v>4072</v>
      </c>
    </row>
    <row r="458" customFormat="false" ht="15" hidden="false" customHeight="false" outlineLevel="0" collapsed="false">
      <c r="A458" s="138" t="s">
        <v>2121</v>
      </c>
      <c r="B458" s="138" t="n">
        <v>456</v>
      </c>
      <c r="C458" s="146" t="n">
        <v>811.668</v>
      </c>
      <c r="D458" s="146" t="n">
        <v>810.608</v>
      </c>
      <c r="E458" s="146" t="n">
        <f aca="false">D458-C458</f>
        <v>-1.06000000000006</v>
      </c>
      <c r="F458" s="138" t="str">
        <f aca="false">IF(E458&gt;=0,"Aterro","Corte")</f>
        <v>Corte</v>
      </c>
      <c r="G458" s="138" t="n">
        <v>6</v>
      </c>
      <c r="H458" s="138"/>
      <c r="I458" s="138"/>
      <c r="J458" s="138"/>
      <c r="K458" s="138" t="s">
        <v>4074</v>
      </c>
      <c r="L458" s="138" t="n">
        <v>240</v>
      </c>
      <c r="M458" s="138" t="s">
        <v>4072</v>
      </c>
    </row>
    <row r="459" customFormat="false" ht="15" hidden="false" customHeight="false" outlineLevel="0" collapsed="false">
      <c r="A459" s="138" t="s">
        <v>2122</v>
      </c>
      <c r="B459" s="138" t="n">
        <v>457</v>
      </c>
      <c r="C459" s="146" t="n">
        <v>815.321</v>
      </c>
      <c r="D459" s="146" t="n">
        <v>811.808</v>
      </c>
      <c r="E459" s="146" t="n">
        <f aca="false">D459-C459</f>
        <v>-3.51300000000003</v>
      </c>
      <c r="F459" s="138" t="str">
        <f aca="false">IF(E459&gt;=0,"Aterro","Corte")</f>
        <v>Corte</v>
      </c>
      <c r="G459" s="138" t="n">
        <v>6</v>
      </c>
      <c r="H459" s="138"/>
      <c r="I459" s="138"/>
      <c r="J459" s="138"/>
      <c r="K459" s="138" t="s">
        <v>4074</v>
      </c>
      <c r="L459" s="138" t="n">
        <v>240</v>
      </c>
      <c r="M459" s="138" t="s">
        <v>4072</v>
      </c>
    </row>
    <row r="460" customFormat="false" ht="15" hidden="false" customHeight="false" outlineLevel="0" collapsed="false">
      <c r="A460" s="138" t="s">
        <v>2123</v>
      </c>
      <c r="B460" s="138" t="n">
        <v>458</v>
      </c>
      <c r="C460" s="146" t="n">
        <v>818.397</v>
      </c>
      <c r="D460" s="146" t="n">
        <v>813.008</v>
      </c>
      <c r="E460" s="146" t="n">
        <f aca="false">D460-C460</f>
        <v>-5.38900000000001</v>
      </c>
      <c r="F460" s="138" t="str">
        <f aca="false">IF(E460&gt;=0,"Aterro","Corte")</f>
        <v>Corte</v>
      </c>
      <c r="G460" s="138" t="n">
        <v>6</v>
      </c>
      <c r="H460" s="138"/>
      <c r="I460" s="138"/>
      <c r="J460" s="138"/>
      <c r="K460" s="138" t="s">
        <v>4074</v>
      </c>
      <c r="L460" s="138" t="n">
        <v>240</v>
      </c>
      <c r="M460" s="138" t="s">
        <v>4072</v>
      </c>
    </row>
    <row r="461" customFormat="false" ht="15" hidden="false" customHeight="false" outlineLevel="0" collapsed="false">
      <c r="A461" s="138" t="s">
        <v>2124</v>
      </c>
      <c r="B461" s="138" t="n">
        <v>459</v>
      </c>
      <c r="C461" s="146" t="n">
        <v>818.136</v>
      </c>
      <c r="D461" s="146" t="n">
        <v>814.208</v>
      </c>
      <c r="E461" s="146" t="n">
        <f aca="false">D461-C461</f>
        <v>-3.928</v>
      </c>
      <c r="F461" s="138" t="str">
        <f aca="false">IF(E461&gt;=0,"Aterro","Corte")</f>
        <v>Corte</v>
      </c>
      <c r="G461" s="138" t="n">
        <v>6</v>
      </c>
      <c r="H461" s="138"/>
      <c r="I461" s="138"/>
      <c r="J461" s="138"/>
      <c r="K461" s="138" t="s">
        <v>4074</v>
      </c>
      <c r="L461" s="138" t="n">
        <v>240</v>
      </c>
      <c r="M461" s="138" t="s">
        <v>4072</v>
      </c>
    </row>
    <row r="462" customFormat="false" ht="15" hidden="false" customHeight="false" outlineLevel="0" collapsed="false">
      <c r="A462" s="138" t="s">
        <v>2125</v>
      </c>
      <c r="B462" s="138" t="n">
        <v>460</v>
      </c>
      <c r="C462" s="146" t="n">
        <v>818.059</v>
      </c>
      <c r="D462" s="146" t="n">
        <v>815.408</v>
      </c>
      <c r="E462" s="146" t="n">
        <f aca="false">D462-C462</f>
        <v>-2.65099999999995</v>
      </c>
      <c r="F462" s="138" t="str">
        <f aca="false">IF(E462&gt;=0,"Aterro","Corte")</f>
        <v>Corte</v>
      </c>
      <c r="G462" s="138" t="n">
        <v>6</v>
      </c>
      <c r="H462" s="138"/>
      <c r="I462" s="138"/>
      <c r="J462" s="138"/>
      <c r="K462" s="138" t="s">
        <v>4074</v>
      </c>
      <c r="L462" s="138" t="n">
        <v>240</v>
      </c>
      <c r="M462" s="138" t="s">
        <v>4072</v>
      </c>
    </row>
    <row r="463" customFormat="false" ht="15" hidden="false" customHeight="false" outlineLevel="0" collapsed="false">
      <c r="A463" s="138" t="s">
        <v>2127</v>
      </c>
      <c r="B463" s="138" t="n">
        <v>461</v>
      </c>
      <c r="C463" s="146" t="n">
        <v>818.774</v>
      </c>
      <c r="D463" s="146" t="n">
        <v>816.608</v>
      </c>
      <c r="E463" s="146" t="n">
        <f aca="false">D463-C463</f>
        <v>-2.16600000000005</v>
      </c>
      <c r="F463" s="138" t="str">
        <f aca="false">IF(E463&gt;=0,"Aterro","Corte")</f>
        <v>Corte</v>
      </c>
      <c r="G463" s="138" t="n">
        <v>6</v>
      </c>
      <c r="H463" s="138"/>
      <c r="I463" s="138"/>
      <c r="J463" s="138"/>
      <c r="K463" s="138"/>
      <c r="L463" s="138"/>
      <c r="M463" s="138" t="s">
        <v>4072</v>
      </c>
    </row>
    <row r="464" customFormat="false" ht="15" hidden="false" customHeight="false" outlineLevel="0" collapsed="false">
      <c r="A464" s="138" t="s">
        <v>2128</v>
      </c>
      <c r="B464" s="138" t="n">
        <v>462</v>
      </c>
      <c r="C464" s="146" t="n">
        <v>819.345</v>
      </c>
      <c r="D464" s="146" t="n">
        <v>817.808</v>
      </c>
      <c r="E464" s="146" t="n">
        <f aca="false">D464-C464</f>
        <v>-1.53700000000003</v>
      </c>
      <c r="F464" s="138" t="str">
        <f aca="false">IF(E464&gt;=0,"Aterro","Corte")</f>
        <v>Corte</v>
      </c>
      <c r="G464" s="138" t="n">
        <v>6</v>
      </c>
      <c r="H464" s="138"/>
      <c r="I464" s="138"/>
      <c r="J464" s="138"/>
      <c r="K464" s="138"/>
      <c r="L464" s="138"/>
      <c r="M464" s="138" t="s">
        <v>4072</v>
      </c>
    </row>
    <row r="465" customFormat="false" ht="15" hidden="false" customHeight="false" outlineLevel="0" collapsed="false">
      <c r="A465" s="138" t="s">
        <v>2129</v>
      </c>
      <c r="B465" s="138" t="n">
        <v>463</v>
      </c>
      <c r="C465" s="146" t="n">
        <v>819.83</v>
      </c>
      <c r="D465" s="146" t="n">
        <v>819.008</v>
      </c>
      <c r="E465" s="146" t="n">
        <f aca="false">D465-C465</f>
        <v>-0.822000000000003</v>
      </c>
      <c r="F465" s="138" t="str">
        <f aca="false">IF(E465&gt;=0,"Aterro","Corte")</f>
        <v>Corte</v>
      </c>
      <c r="G465" s="138" t="n">
        <v>6</v>
      </c>
      <c r="H465" s="138"/>
      <c r="I465" s="138"/>
      <c r="J465" s="138"/>
      <c r="K465" s="138"/>
      <c r="L465" s="138"/>
      <c r="M465" s="138" t="s">
        <v>4072</v>
      </c>
    </row>
    <row r="466" customFormat="false" ht="15" hidden="false" customHeight="false" outlineLevel="0" collapsed="false">
      <c r="A466" s="138" t="s">
        <v>2130</v>
      </c>
      <c r="B466" s="138" t="n">
        <v>464</v>
      </c>
      <c r="C466" s="146" t="n">
        <v>820.2</v>
      </c>
      <c r="D466" s="146" t="n">
        <v>820.208</v>
      </c>
      <c r="E466" s="146" t="n">
        <f aca="false">D466-C466</f>
        <v>0.00799999999992451</v>
      </c>
      <c r="F466" s="138" t="str">
        <f aca="false">IF(E466&gt;=0,"Aterro","Corte")</f>
        <v>Aterro</v>
      </c>
      <c r="G466" s="138" t="n">
        <v>6</v>
      </c>
      <c r="H466" s="138"/>
      <c r="I466" s="138"/>
      <c r="J466" s="138"/>
      <c r="K466" s="138"/>
      <c r="L466" s="138"/>
      <c r="M466" s="138" t="s">
        <v>4072</v>
      </c>
    </row>
    <row r="467" customFormat="false" ht="15" hidden="false" customHeight="false" outlineLevel="0" collapsed="false">
      <c r="A467" s="138" t="s">
        <v>2131</v>
      </c>
      <c r="B467" s="138" t="n">
        <v>465</v>
      </c>
      <c r="C467" s="146" t="n">
        <v>820.858</v>
      </c>
      <c r="D467" s="146" t="n">
        <v>821.408</v>
      </c>
      <c r="E467" s="146" t="n">
        <f aca="false">D467-C467</f>
        <v>0.550000000000068</v>
      </c>
      <c r="F467" s="138" t="str">
        <f aca="false">IF(E467&gt;=0,"Aterro","Corte")</f>
        <v>Aterro</v>
      </c>
      <c r="G467" s="138" t="n">
        <v>6</v>
      </c>
      <c r="H467" s="138"/>
      <c r="I467" s="138"/>
      <c r="J467" s="138"/>
      <c r="K467" s="138"/>
      <c r="L467" s="138"/>
      <c r="M467" s="138" t="s">
        <v>4072</v>
      </c>
    </row>
    <row r="468" customFormat="false" ht="15" hidden="false" customHeight="false" outlineLevel="0" collapsed="false">
      <c r="A468" s="138" t="s">
        <v>2133</v>
      </c>
      <c r="B468" s="138" t="n">
        <v>466</v>
      </c>
      <c r="C468" s="146" t="n">
        <v>821.717</v>
      </c>
      <c r="D468" s="146" t="n">
        <v>822.608</v>
      </c>
      <c r="E468" s="146" t="n">
        <f aca="false">D468-C468</f>
        <v>0.890999999999963</v>
      </c>
      <c r="F468" s="138" t="str">
        <f aca="false">IF(E468&gt;=0,"Aterro","Corte")</f>
        <v>Aterro</v>
      </c>
      <c r="G468" s="138" t="n">
        <v>6</v>
      </c>
      <c r="H468" s="138"/>
      <c r="I468" s="138"/>
      <c r="J468" s="138"/>
      <c r="K468" s="138"/>
      <c r="L468" s="138"/>
      <c r="M468" s="138" t="s">
        <v>4072</v>
      </c>
    </row>
    <row r="469" customFormat="false" ht="15" hidden="false" customHeight="false" outlineLevel="0" collapsed="false">
      <c r="A469" s="138" t="s">
        <v>2135</v>
      </c>
      <c r="B469" s="138" t="n">
        <v>467</v>
      </c>
      <c r="C469" s="146" t="n">
        <v>822.519</v>
      </c>
      <c r="D469" s="146" t="n">
        <v>823.808</v>
      </c>
      <c r="E469" s="146" t="n">
        <f aca="false">D469-C469</f>
        <v>1.28899999999999</v>
      </c>
      <c r="F469" s="138" t="str">
        <f aca="false">IF(E469&gt;=0,"Aterro","Corte")</f>
        <v>Aterro</v>
      </c>
      <c r="G469" s="138" t="n">
        <v>6</v>
      </c>
      <c r="H469" s="138"/>
      <c r="I469" s="138"/>
      <c r="J469" s="138"/>
      <c r="K469" s="138" t="s">
        <v>4075</v>
      </c>
      <c r="L469" s="138" t="n">
        <v>250</v>
      </c>
      <c r="M469" s="138" t="s">
        <v>4072</v>
      </c>
    </row>
    <row r="470" customFormat="false" ht="15" hidden="false" customHeight="false" outlineLevel="0" collapsed="false">
      <c r="A470" s="138" t="s">
        <v>2136</v>
      </c>
      <c r="B470" s="138" t="n">
        <v>468</v>
      </c>
      <c r="C470" s="146" t="n">
        <v>823.311</v>
      </c>
      <c r="D470" s="146" t="n">
        <v>825.008</v>
      </c>
      <c r="E470" s="146" t="n">
        <f aca="false">D470-C470</f>
        <v>1.697</v>
      </c>
      <c r="F470" s="138" t="str">
        <f aca="false">IF(E470&gt;=0,"Aterro","Corte")</f>
        <v>Aterro</v>
      </c>
      <c r="G470" s="138" t="n">
        <v>6</v>
      </c>
      <c r="H470" s="138"/>
      <c r="I470" s="138"/>
      <c r="J470" s="138"/>
      <c r="K470" s="138" t="s">
        <v>4075</v>
      </c>
      <c r="L470" s="138" t="n">
        <v>250</v>
      </c>
      <c r="M470" s="138" t="s">
        <v>4072</v>
      </c>
    </row>
    <row r="471" customFormat="false" ht="15" hidden="false" customHeight="false" outlineLevel="0" collapsed="false">
      <c r="A471" s="138" t="s">
        <v>2137</v>
      </c>
      <c r="B471" s="138" t="n">
        <v>469</v>
      </c>
      <c r="C471" s="146" t="n">
        <v>824.115</v>
      </c>
      <c r="D471" s="146" t="n">
        <v>826.208</v>
      </c>
      <c r="E471" s="146" t="n">
        <f aca="false">D471-C471</f>
        <v>2.09299999999996</v>
      </c>
      <c r="F471" s="138" t="str">
        <f aca="false">IF(E471&gt;=0,"Aterro","Corte")</f>
        <v>Aterro</v>
      </c>
      <c r="G471" s="138" t="n">
        <v>6</v>
      </c>
      <c r="H471" s="138"/>
      <c r="I471" s="138"/>
      <c r="J471" s="138"/>
      <c r="K471" s="138"/>
      <c r="L471" s="138"/>
      <c r="M471" s="138" t="s">
        <v>4076</v>
      </c>
    </row>
    <row r="472" customFormat="false" ht="15" hidden="false" customHeight="false" outlineLevel="0" collapsed="false">
      <c r="A472" s="138" t="s">
        <v>2138</v>
      </c>
      <c r="B472" s="138" t="n">
        <v>470</v>
      </c>
      <c r="C472" s="146" t="n">
        <v>825.066</v>
      </c>
      <c r="D472" s="146" t="n">
        <v>827.408</v>
      </c>
      <c r="E472" s="146" t="n">
        <f aca="false">D472-C472</f>
        <v>2.34199999999998</v>
      </c>
      <c r="F472" s="138" t="str">
        <f aca="false">IF(E472&gt;=0,"Aterro","Corte")</f>
        <v>Aterro</v>
      </c>
      <c r="G472" s="138" t="n">
        <v>6</v>
      </c>
      <c r="H472" s="138"/>
      <c r="I472" s="138"/>
      <c r="J472" s="138"/>
      <c r="K472" s="138"/>
      <c r="L472" s="138"/>
      <c r="M472" s="138" t="s">
        <v>4076</v>
      </c>
    </row>
    <row r="473" customFormat="false" ht="15" hidden="false" customHeight="false" outlineLevel="0" collapsed="false">
      <c r="A473" s="138" t="s">
        <v>2139</v>
      </c>
      <c r="B473" s="138" t="n">
        <v>471</v>
      </c>
      <c r="C473" s="146" t="n">
        <v>826.368</v>
      </c>
      <c r="D473" s="146" t="n">
        <v>828.608</v>
      </c>
      <c r="E473" s="146" t="n">
        <f aca="false">D473-C473</f>
        <v>2.2399999999999</v>
      </c>
      <c r="F473" s="138" t="str">
        <f aca="false">IF(E473&gt;=0,"Aterro","Corte")</f>
        <v>Aterro</v>
      </c>
      <c r="G473" s="138" t="n">
        <v>6</v>
      </c>
      <c r="H473" s="138"/>
      <c r="I473" s="138"/>
      <c r="J473" s="138"/>
      <c r="K473" s="138"/>
      <c r="L473" s="138"/>
      <c r="M473" s="138" t="s">
        <v>4076</v>
      </c>
    </row>
    <row r="474" customFormat="false" ht="15" hidden="false" customHeight="false" outlineLevel="0" collapsed="false">
      <c r="A474" s="138" t="s">
        <v>2140</v>
      </c>
      <c r="B474" s="138" t="n">
        <v>472</v>
      </c>
      <c r="C474" s="146" t="n">
        <v>827.765</v>
      </c>
      <c r="D474" s="146" t="n">
        <v>829.808</v>
      </c>
      <c r="E474" s="146" t="n">
        <f aca="false">D474-C474</f>
        <v>2.04300000000001</v>
      </c>
      <c r="F474" s="138" t="str">
        <f aca="false">IF(E474&gt;=0,"Aterro","Corte")</f>
        <v>Aterro</v>
      </c>
      <c r="G474" s="138" t="n">
        <v>6</v>
      </c>
      <c r="H474" s="138"/>
      <c r="I474" s="138"/>
      <c r="J474" s="138"/>
      <c r="K474" s="138"/>
      <c r="L474" s="138"/>
      <c r="M474" s="138" t="s">
        <v>4076</v>
      </c>
    </row>
    <row r="475" customFormat="false" ht="15" hidden="false" customHeight="false" outlineLevel="0" collapsed="false">
      <c r="A475" s="138" t="s">
        <v>2141</v>
      </c>
      <c r="B475" s="138" t="n">
        <v>473</v>
      </c>
      <c r="C475" s="146" t="n">
        <v>829.173</v>
      </c>
      <c r="D475" s="146" t="n">
        <v>831.008</v>
      </c>
      <c r="E475" s="146" t="n">
        <f aca="false">D475-C475</f>
        <v>1.83500000000004</v>
      </c>
      <c r="F475" s="138" t="str">
        <f aca="false">IF(E475&gt;=0,"Aterro","Corte")</f>
        <v>Aterro</v>
      </c>
      <c r="G475" s="138" t="n">
        <v>6</v>
      </c>
      <c r="H475" s="138"/>
      <c r="I475" s="138"/>
      <c r="J475" s="138"/>
      <c r="K475" s="138"/>
      <c r="L475" s="138"/>
      <c r="M475" s="138" t="s">
        <v>4076</v>
      </c>
    </row>
    <row r="476" customFormat="false" ht="15" hidden="false" customHeight="false" outlineLevel="0" collapsed="false">
      <c r="A476" s="138" t="s">
        <v>2142</v>
      </c>
      <c r="B476" s="138" t="n">
        <v>474</v>
      </c>
      <c r="C476" s="146" t="n">
        <v>830.178</v>
      </c>
      <c r="D476" s="146" t="n">
        <v>832.208</v>
      </c>
      <c r="E476" s="146" t="n">
        <f aca="false">D476-C476</f>
        <v>2.02999999999997</v>
      </c>
      <c r="F476" s="138" t="str">
        <f aca="false">IF(E476&gt;=0,"Aterro","Corte")</f>
        <v>Aterro</v>
      </c>
      <c r="G476" s="138" t="n">
        <v>6</v>
      </c>
      <c r="H476" s="138"/>
      <c r="I476" s="138"/>
      <c r="J476" s="138"/>
      <c r="K476" s="138"/>
      <c r="L476" s="138"/>
      <c r="M476" s="138" t="s">
        <v>4076</v>
      </c>
    </row>
    <row r="477" customFormat="false" ht="15" hidden="false" customHeight="false" outlineLevel="0" collapsed="false">
      <c r="A477" s="138" t="s">
        <v>2143</v>
      </c>
      <c r="B477" s="138" t="n">
        <v>475</v>
      </c>
      <c r="C477" s="146" t="n">
        <v>831.093</v>
      </c>
      <c r="D477" s="146" t="n">
        <v>833.408</v>
      </c>
      <c r="E477" s="146" t="n">
        <f aca="false">D477-C477</f>
        <v>2.31500000000005</v>
      </c>
      <c r="F477" s="138" t="str">
        <f aca="false">IF(E477&gt;=0,"Aterro","Corte")</f>
        <v>Aterro</v>
      </c>
      <c r="G477" s="138" t="n">
        <v>6</v>
      </c>
      <c r="H477" s="138"/>
      <c r="I477" s="138"/>
      <c r="J477" s="138"/>
      <c r="K477" s="138"/>
      <c r="L477" s="138"/>
      <c r="M477" s="138" t="s">
        <v>4076</v>
      </c>
    </row>
    <row r="478" customFormat="false" ht="15" hidden="false" customHeight="false" outlineLevel="0" collapsed="false">
      <c r="A478" s="138" t="s">
        <v>2144</v>
      </c>
      <c r="B478" s="138" t="n">
        <v>476</v>
      </c>
      <c r="C478" s="146" t="n">
        <v>832.082</v>
      </c>
      <c r="D478" s="146" t="n">
        <v>834.608</v>
      </c>
      <c r="E478" s="146" t="n">
        <f aca="false">D478-C478</f>
        <v>2.52599999999995</v>
      </c>
      <c r="F478" s="138" t="str">
        <f aca="false">IF(E478&gt;=0,"Aterro","Corte")</f>
        <v>Aterro</v>
      </c>
      <c r="G478" s="138" t="n">
        <v>6</v>
      </c>
      <c r="H478" s="138"/>
      <c r="I478" s="138"/>
      <c r="J478" s="138"/>
      <c r="K478" s="138"/>
      <c r="L478" s="138"/>
      <c r="M478" s="138" t="s">
        <v>4076</v>
      </c>
    </row>
    <row r="479" customFormat="false" ht="15" hidden="false" customHeight="false" outlineLevel="0" collapsed="false">
      <c r="A479" s="138" t="s">
        <v>2146</v>
      </c>
      <c r="B479" s="138" t="n">
        <v>477</v>
      </c>
      <c r="C479" s="146" t="n">
        <v>833.354</v>
      </c>
      <c r="D479" s="146" t="n">
        <v>835.808</v>
      </c>
      <c r="E479" s="146" t="n">
        <f aca="false">D479-C479</f>
        <v>2.45399999999995</v>
      </c>
      <c r="F479" s="138" t="str">
        <f aca="false">IF(E479&gt;=0,"Aterro","Corte")</f>
        <v>Aterro</v>
      </c>
      <c r="G479" s="138" t="n">
        <v>6</v>
      </c>
      <c r="H479" s="138"/>
      <c r="I479" s="138"/>
      <c r="J479" s="138"/>
      <c r="K479" s="138"/>
      <c r="L479" s="138"/>
      <c r="M479" s="138" t="s">
        <v>4076</v>
      </c>
    </row>
    <row r="480" customFormat="false" ht="15" hidden="false" customHeight="false" outlineLevel="0" collapsed="false">
      <c r="A480" s="138" t="s">
        <v>2147</v>
      </c>
      <c r="B480" s="138" t="n">
        <v>478</v>
      </c>
      <c r="C480" s="146" t="n">
        <v>834.552</v>
      </c>
      <c r="D480" s="146" t="n">
        <v>837.008</v>
      </c>
      <c r="E480" s="146" t="n">
        <f aca="false">D480-C480</f>
        <v>2.45600000000002</v>
      </c>
      <c r="F480" s="138" t="str">
        <f aca="false">IF(E480&gt;=0,"Aterro","Corte")</f>
        <v>Aterro</v>
      </c>
      <c r="G480" s="138" t="n">
        <v>6</v>
      </c>
      <c r="H480" s="138"/>
      <c r="I480" s="138"/>
      <c r="J480" s="138"/>
      <c r="K480" s="138"/>
      <c r="L480" s="138"/>
      <c r="M480" s="138" t="s">
        <v>4076</v>
      </c>
    </row>
    <row r="481" customFormat="false" ht="15" hidden="false" customHeight="false" outlineLevel="0" collapsed="false">
      <c r="A481" s="138" t="s">
        <v>2148</v>
      </c>
      <c r="B481" s="138" t="n">
        <v>479</v>
      </c>
      <c r="C481" s="146" t="n">
        <v>836.447</v>
      </c>
      <c r="D481" s="146" t="n">
        <v>838.208</v>
      </c>
      <c r="E481" s="146" t="n">
        <f aca="false">D481-C481</f>
        <v>1.76099999999997</v>
      </c>
      <c r="F481" s="138" t="str">
        <f aca="false">IF(E481&gt;=0,"Aterro","Corte")</f>
        <v>Aterro</v>
      </c>
      <c r="G481" s="138" t="n">
        <v>6</v>
      </c>
      <c r="H481" s="138"/>
      <c r="I481" s="138"/>
      <c r="J481" s="138"/>
      <c r="K481" s="138"/>
      <c r="L481" s="138"/>
      <c r="M481" s="138" t="s">
        <v>4076</v>
      </c>
    </row>
    <row r="482" customFormat="false" ht="15" hidden="false" customHeight="false" outlineLevel="0" collapsed="false">
      <c r="A482" s="138" t="s">
        <v>2149</v>
      </c>
      <c r="B482" s="138" t="n">
        <v>480</v>
      </c>
      <c r="C482" s="146" t="n">
        <v>838.463</v>
      </c>
      <c r="D482" s="146" t="n">
        <v>839.408</v>
      </c>
      <c r="E482" s="146" t="n">
        <f aca="false">D482-C482</f>
        <v>0.94500000000005</v>
      </c>
      <c r="F482" s="138" t="str">
        <f aca="false">IF(E482&gt;=0,"Aterro","Corte")</f>
        <v>Aterro</v>
      </c>
      <c r="G482" s="138" t="n">
        <v>6</v>
      </c>
      <c r="H482" s="138"/>
      <c r="I482" s="138"/>
      <c r="J482" s="138"/>
      <c r="K482" s="138" t="s">
        <v>4077</v>
      </c>
      <c r="L482" s="138" t="n">
        <v>320</v>
      </c>
      <c r="M482" s="138" t="s">
        <v>4076</v>
      </c>
    </row>
    <row r="483" customFormat="false" ht="15" hidden="false" customHeight="false" outlineLevel="0" collapsed="false">
      <c r="A483" s="138" t="s">
        <v>2150</v>
      </c>
      <c r="B483" s="138" t="n">
        <v>481</v>
      </c>
      <c r="C483" s="146" t="n">
        <v>840.798</v>
      </c>
      <c r="D483" s="146" t="n">
        <v>840.608</v>
      </c>
      <c r="E483" s="146" t="n">
        <f aca="false">D483-C483</f>
        <v>-0.190000000000055</v>
      </c>
      <c r="F483" s="138" t="str">
        <f aca="false">IF(E483&gt;=0,"Aterro","Corte")</f>
        <v>Corte</v>
      </c>
      <c r="G483" s="138" t="n">
        <v>6</v>
      </c>
      <c r="H483" s="138" t="s">
        <v>4078</v>
      </c>
      <c r="I483" s="138" t="s">
        <v>4024</v>
      </c>
      <c r="J483" s="138" t="n">
        <v>46.864</v>
      </c>
      <c r="K483" s="138" t="s">
        <v>4077</v>
      </c>
      <c r="L483" s="138" t="n">
        <v>320</v>
      </c>
      <c r="M483" s="138" t="s">
        <v>4076</v>
      </c>
    </row>
    <row r="484" customFormat="false" ht="15" hidden="false" customHeight="false" outlineLevel="0" collapsed="false">
      <c r="A484" s="138" t="s">
        <v>2151</v>
      </c>
      <c r="B484" s="138" t="n">
        <v>482</v>
      </c>
      <c r="C484" s="146" t="n">
        <v>842.136</v>
      </c>
      <c r="D484" s="146" t="n">
        <v>841.762</v>
      </c>
      <c r="E484" s="146" t="n">
        <f aca="false">D484-C484</f>
        <v>-0.374000000000024</v>
      </c>
      <c r="F484" s="138" t="str">
        <f aca="false">IF(E484&gt;=0,"Aterro","Corte")</f>
        <v>Corte</v>
      </c>
      <c r="G484" s="138" t="n">
        <v>6</v>
      </c>
      <c r="H484" s="138" t="s">
        <v>4078</v>
      </c>
      <c r="I484" s="138" t="s">
        <v>4024</v>
      </c>
      <c r="J484" s="138" t="n">
        <v>46.864</v>
      </c>
      <c r="K484" s="138" t="s">
        <v>4077</v>
      </c>
      <c r="L484" s="138" t="n">
        <v>320</v>
      </c>
      <c r="M484" s="138" t="s">
        <v>4076</v>
      </c>
    </row>
    <row r="485" customFormat="false" ht="15" hidden="false" customHeight="false" outlineLevel="0" collapsed="false">
      <c r="A485" s="138" t="s">
        <v>2152</v>
      </c>
      <c r="B485" s="138" t="n">
        <v>483</v>
      </c>
      <c r="C485" s="146" t="n">
        <v>844.601</v>
      </c>
      <c r="D485" s="146" t="n">
        <v>842.83</v>
      </c>
      <c r="E485" s="146" t="n">
        <f aca="false">D485-C485</f>
        <v>-1.77099999999996</v>
      </c>
      <c r="F485" s="138" t="str">
        <f aca="false">IF(E485&gt;=0,"Aterro","Corte")</f>
        <v>Corte</v>
      </c>
      <c r="G485" s="138" t="n">
        <v>6</v>
      </c>
      <c r="H485" s="138" t="s">
        <v>4078</v>
      </c>
      <c r="I485" s="138" t="s">
        <v>4024</v>
      </c>
      <c r="J485" s="138" t="n">
        <v>46.864</v>
      </c>
      <c r="K485" s="138" t="s">
        <v>4077</v>
      </c>
      <c r="L485" s="138" t="n">
        <v>320</v>
      </c>
      <c r="M485" s="138" t="s">
        <v>4076</v>
      </c>
    </row>
    <row r="486" customFormat="false" ht="15" hidden="false" customHeight="false" outlineLevel="0" collapsed="false">
      <c r="A486" s="138" t="s">
        <v>2153</v>
      </c>
      <c r="B486" s="138" t="n">
        <v>484</v>
      </c>
      <c r="C486" s="146" t="n">
        <v>845.495</v>
      </c>
      <c r="D486" s="146" t="n">
        <v>843.813</v>
      </c>
      <c r="E486" s="146" t="n">
        <f aca="false">D486-C486</f>
        <v>-1.68200000000002</v>
      </c>
      <c r="F486" s="138" t="str">
        <f aca="false">IF(E486&gt;=0,"Aterro","Corte")</f>
        <v>Corte</v>
      </c>
      <c r="G486" s="138" t="n">
        <v>6</v>
      </c>
      <c r="H486" s="138" t="s">
        <v>4078</v>
      </c>
      <c r="I486" s="138" t="s">
        <v>4024</v>
      </c>
      <c r="J486" s="138" t="n">
        <v>46.864</v>
      </c>
      <c r="K486" s="138"/>
      <c r="L486" s="138"/>
      <c r="M486" s="138" t="s">
        <v>4076</v>
      </c>
    </row>
    <row r="487" customFormat="false" ht="15" hidden="false" customHeight="false" outlineLevel="0" collapsed="false">
      <c r="A487" s="138" t="s">
        <v>2155</v>
      </c>
      <c r="B487" s="138" t="n">
        <v>485</v>
      </c>
      <c r="C487" s="146" t="n">
        <v>846.114</v>
      </c>
      <c r="D487" s="146" t="n">
        <v>844.711</v>
      </c>
      <c r="E487" s="146" t="n">
        <f aca="false">D487-C487</f>
        <v>-1.40300000000002</v>
      </c>
      <c r="F487" s="138" t="str">
        <f aca="false">IF(E487&gt;=0,"Aterro","Corte")</f>
        <v>Corte</v>
      </c>
      <c r="G487" s="138" t="n">
        <v>6</v>
      </c>
      <c r="H487" s="138" t="s">
        <v>4078</v>
      </c>
      <c r="I487" s="138" t="s">
        <v>4024</v>
      </c>
      <c r="J487" s="138" t="n">
        <v>46.864</v>
      </c>
      <c r="K487" s="138"/>
      <c r="L487" s="138"/>
      <c r="M487" s="138" t="s">
        <v>4076</v>
      </c>
    </row>
    <row r="488" customFormat="false" ht="15" hidden="false" customHeight="false" outlineLevel="0" collapsed="false">
      <c r="A488" s="138" t="s">
        <v>2156</v>
      </c>
      <c r="B488" s="138" t="n">
        <v>486</v>
      </c>
      <c r="C488" s="146" t="n">
        <v>845.933</v>
      </c>
      <c r="D488" s="146" t="n">
        <v>845.524</v>
      </c>
      <c r="E488" s="146" t="n">
        <f aca="false">D488-C488</f>
        <v>-0.408999999999992</v>
      </c>
      <c r="F488" s="138" t="str">
        <f aca="false">IF(E488&gt;=0,"Aterro","Corte")</f>
        <v>Corte</v>
      </c>
      <c r="G488" s="138" t="n">
        <v>6</v>
      </c>
      <c r="H488" s="138" t="s">
        <v>4078</v>
      </c>
      <c r="I488" s="138" t="s">
        <v>4024</v>
      </c>
      <c r="J488" s="138" t="n">
        <v>46.864</v>
      </c>
      <c r="K488" s="138"/>
      <c r="L488" s="138"/>
      <c r="M488" s="138" t="s">
        <v>4076</v>
      </c>
    </row>
    <row r="489" customFormat="false" ht="15" hidden="false" customHeight="false" outlineLevel="0" collapsed="false">
      <c r="A489" s="138" t="s">
        <v>2157</v>
      </c>
      <c r="B489" s="138" t="n">
        <v>487</v>
      </c>
      <c r="C489" s="146" t="n">
        <v>845.805</v>
      </c>
      <c r="D489" s="146" t="n">
        <v>846.251</v>
      </c>
      <c r="E489" s="146" t="n">
        <f aca="false">D489-C489</f>
        <v>0.446000000000026</v>
      </c>
      <c r="F489" s="138" t="str">
        <f aca="false">IF(E489&gt;=0,"Aterro","Corte")</f>
        <v>Aterro</v>
      </c>
      <c r="G489" s="138" t="n">
        <v>6</v>
      </c>
      <c r="H489" s="138" t="s">
        <v>4078</v>
      </c>
      <c r="I489" s="138" t="s">
        <v>4024</v>
      </c>
      <c r="J489" s="138" t="n">
        <v>46.864</v>
      </c>
      <c r="K489" s="138"/>
      <c r="L489" s="138"/>
      <c r="M489" s="138" t="s">
        <v>4076</v>
      </c>
    </row>
    <row r="490" customFormat="false" ht="15" hidden="false" customHeight="false" outlineLevel="0" collapsed="false">
      <c r="A490" s="138" t="s">
        <v>2158</v>
      </c>
      <c r="B490" s="138" t="n">
        <v>488</v>
      </c>
      <c r="C490" s="146" t="n">
        <v>845.489</v>
      </c>
      <c r="D490" s="146" t="n">
        <v>846.893</v>
      </c>
      <c r="E490" s="146" t="n">
        <f aca="false">D490-C490</f>
        <v>1.404</v>
      </c>
      <c r="F490" s="138" t="str">
        <f aca="false">IF(E490&gt;=0,"Aterro","Corte")</f>
        <v>Aterro</v>
      </c>
      <c r="G490" s="138" t="n">
        <v>6</v>
      </c>
      <c r="H490" s="138" t="s">
        <v>4078</v>
      </c>
      <c r="I490" s="138" t="s">
        <v>4024</v>
      </c>
      <c r="J490" s="138" t="n">
        <v>46.864</v>
      </c>
      <c r="K490" s="138"/>
      <c r="L490" s="138"/>
      <c r="M490" s="138" t="s">
        <v>4076</v>
      </c>
    </row>
    <row r="491" customFormat="false" ht="15" hidden="false" customHeight="false" outlineLevel="0" collapsed="false">
      <c r="A491" s="138" t="s">
        <v>2159</v>
      </c>
      <c r="B491" s="138" t="n">
        <v>489</v>
      </c>
      <c r="C491" s="146" t="n">
        <v>845.854</v>
      </c>
      <c r="D491" s="146" t="n">
        <v>847.449</v>
      </c>
      <c r="E491" s="146" t="n">
        <f aca="false">D491-C491</f>
        <v>1.59499999999991</v>
      </c>
      <c r="F491" s="138" t="str">
        <f aca="false">IF(E491&gt;=0,"Aterro","Corte")</f>
        <v>Aterro</v>
      </c>
      <c r="G491" s="138" t="n">
        <v>6</v>
      </c>
      <c r="H491" s="138" t="s">
        <v>4078</v>
      </c>
      <c r="I491" s="138" t="s">
        <v>4024</v>
      </c>
      <c r="J491" s="138" t="n">
        <v>46.864</v>
      </c>
      <c r="K491" s="138"/>
      <c r="L491" s="138"/>
      <c r="M491" s="138" t="s">
        <v>4076</v>
      </c>
    </row>
    <row r="492" customFormat="false" ht="15" hidden="false" customHeight="false" outlineLevel="0" collapsed="false">
      <c r="A492" s="138" t="s">
        <v>2160</v>
      </c>
      <c r="B492" s="138" t="n">
        <v>490</v>
      </c>
      <c r="C492" s="146" t="n">
        <v>846.406</v>
      </c>
      <c r="D492" s="146" t="n">
        <v>847.92</v>
      </c>
      <c r="E492" s="146" t="n">
        <f aca="false">D492-C492</f>
        <v>1.51400000000001</v>
      </c>
      <c r="F492" s="138" t="str">
        <f aca="false">IF(E492&gt;=0,"Aterro","Corte")</f>
        <v>Aterro</v>
      </c>
      <c r="G492" s="138" t="n">
        <v>6</v>
      </c>
      <c r="H492" s="138" t="s">
        <v>4078</v>
      </c>
      <c r="I492" s="138" t="s">
        <v>4024</v>
      </c>
      <c r="J492" s="138" t="n">
        <v>46.864</v>
      </c>
      <c r="K492" s="138"/>
      <c r="L492" s="138"/>
      <c r="M492" s="138" t="s">
        <v>4076</v>
      </c>
    </row>
    <row r="493" customFormat="false" ht="15" hidden="false" customHeight="false" outlineLevel="0" collapsed="false">
      <c r="A493" s="138" t="s">
        <v>2161</v>
      </c>
      <c r="B493" s="138" t="n">
        <v>491</v>
      </c>
      <c r="C493" s="146" t="n">
        <v>846.308</v>
      </c>
      <c r="D493" s="146" t="n">
        <v>848.306</v>
      </c>
      <c r="E493" s="146" t="n">
        <f aca="false">D493-C493</f>
        <v>1.99800000000005</v>
      </c>
      <c r="F493" s="138" t="str">
        <f aca="false">IF(E493&gt;=0,"Aterro","Corte")</f>
        <v>Aterro</v>
      </c>
      <c r="G493" s="138" t="n">
        <v>6</v>
      </c>
      <c r="H493" s="138" t="s">
        <v>4078</v>
      </c>
      <c r="I493" s="138" t="s">
        <v>4024</v>
      </c>
      <c r="J493" s="138" t="n">
        <v>46.864</v>
      </c>
      <c r="K493" s="138" t="s">
        <v>4079</v>
      </c>
      <c r="L493" s="138" t="n">
        <v>240</v>
      </c>
      <c r="M493" s="138" t="s">
        <v>4076</v>
      </c>
    </row>
    <row r="494" customFormat="false" ht="15" hidden="false" customHeight="false" outlineLevel="0" collapsed="false">
      <c r="A494" s="138" t="s">
        <v>1585</v>
      </c>
      <c r="B494" s="138" t="n">
        <v>492</v>
      </c>
      <c r="C494" s="146" t="n">
        <v>846.631</v>
      </c>
      <c r="D494" s="146" t="n">
        <v>848.606</v>
      </c>
      <c r="E494" s="146" t="n">
        <f aca="false">D494-C494</f>
        <v>1.97500000000002</v>
      </c>
      <c r="F494" s="138" t="str">
        <f aca="false">IF(E494&gt;=0,"Aterro","Corte")</f>
        <v>Aterro</v>
      </c>
      <c r="G494" s="138" t="n">
        <v>6</v>
      </c>
      <c r="H494" s="138" t="s">
        <v>4078</v>
      </c>
      <c r="I494" s="138" t="s">
        <v>4024</v>
      </c>
      <c r="J494" s="138" t="n">
        <v>46.864</v>
      </c>
      <c r="K494" s="138"/>
      <c r="L494" s="138"/>
      <c r="M494" s="138" t="s">
        <v>4076</v>
      </c>
    </row>
    <row r="495" customFormat="false" ht="15" hidden="false" customHeight="false" outlineLevel="0" collapsed="false">
      <c r="A495" s="138" t="s">
        <v>2162</v>
      </c>
      <c r="B495" s="138" t="n">
        <v>493</v>
      </c>
      <c r="C495" s="146" t="n">
        <v>846.867</v>
      </c>
      <c r="D495" s="146" t="n">
        <v>848.821</v>
      </c>
      <c r="E495" s="146" t="n">
        <f aca="false">D495-C495</f>
        <v>1.95400000000006</v>
      </c>
      <c r="F495" s="138" t="str">
        <f aca="false">IF(E495&gt;=0,"Aterro","Corte")</f>
        <v>Aterro</v>
      </c>
      <c r="G495" s="138" t="n">
        <v>6</v>
      </c>
      <c r="H495" s="138" t="s">
        <v>4078</v>
      </c>
      <c r="I495" s="138" t="s">
        <v>4024</v>
      </c>
      <c r="J495" s="138" t="n">
        <v>46.864</v>
      </c>
      <c r="K495" s="138"/>
      <c r="L495" s="138"/>
      <c r="M495" s="138" t="s">
        <v>4076</v>
      </c>
    </row>
    <row r="496" customFormat="false" ht="15" hidden="false" customHeight="false" outlineLevel="0" collapsed="false">
      <c r="A496" s="138" t="s">
        <v>2163</v>
      </c>
      <c r="B496" s="138" t="n">
        <v>494</v>
      </c>
      <c r="C496" s="146" t="n">
        <v>847.157</v>
      </c>
      <c r="D496" s="146" t="n">
        <v>848.951</v>
      </c>
      <c r="E496" s="146" t="n">
        <f aca="false">D496-C496</f>
        <v>1.79399999999998</v>
      </c>
      <c r="F496" s="138" t="str">
        <f aca="false">IF(E496&gt;=0,"Aterro","Corte")</f>
        <v>Aterro</v>
      </c>
      <c r="G496" s="138" t="n">
        <v>6</v>
      </c>
      <c r="H496" s="138" t="s">
        <v>4078</v>
      </c>
      <c r="I496" s="138" t="s">
        <v>4024</v>
      </c>
      <c r="J496" s="138" t="n">
        <v>46.864</v>
      </c>
      <c r="K496" s="138"/>
      <c r="L496" s="138"/>
      <c r="M496" s="138" t="s">
        <v>4076</v>
      </c>
    </row>
    <row r="497" customFormat="false" ht="15" hidden="false" customHeight="false" outlineLevel="0" collapsed="false">
      <c r="A497" s="138" t="s">
        <v>2164</v>
      </c>
      <c r="B497" s="138" t="n">
        <v>495</v>
      </c>
      <c r="C497" s="146" t="n">
        <v>847.416</v>
      </c>
      <c r="D497" s="146" t="n">
        <v>848.995</v>
      </c>
      <c r="E497" s="146" t="n">
        <f aca="false">D497-C497</f>
        <v>1.57899999999995</v>
      </c>
      <c r="F497" s="138" t="str">
        <f aca="false">IF(E497&gt;=0,"Aterro","Corte")</f>
        <v>Aterro</v>
      </c>
      <c r="G497" s="138" t="n">
        <v>-5.95</v>
      </c>
      <c r="H497" s="138" t="s">
        <v>4078</v>
      </c>
      <c r="I497" s="138" t="s">
        <v>4024</v>
      </c>
      <c r="J497" s="138" t="n">
        <v>46.864</v>
      </c>
      <c r="K497" s="138"/>
      <c r="L497" s="138"/>
      <c r="M497" s="138" t="s">
        <v>4076</v>
      </c>
    </row>
    <row r="498" customFormat="false" ht="15" hidden="false" customHeight="false" outlineLevel="0" collapsed="false">
      <c r="A498" s="138" t="s">
        <v>1589</v>
      </c>
      <c r="B498" s="138" t="n">
        <v>496</v>
      </c>
      <c r="C498" s="146" t="n">
        <v>847.585</v>
      </c>
      <c r="D498" s="146" t="n">
        <v>848.954</v>
      </c>
      <c r="E498" s="146" t="n">
        <f aca="false">D498-C498</f>
        <v>1.36899999999991</v>
      </c>
      <c r="F498" s="138" t="str">
        <f aca="false">IF(E498&gt;=0,"Aterro","Corte")</f>
        <v>Aterro</v>
      </c>
      <c r="G498" s="138" t="n">
        <v>-5.95</v>
      </c>
      <c r="H498" s="138" t="s">
        <v>4078</v>
      </c>
      <c r="I498" s="138" t="s">
        <v>4024</v>
      </c>
      <c r="J498" s="138" t="n">
        <v>46.864</v>
      </c>
      <c r="K498" s="138"/>
      <c r="L498" s="138"/>
      <c r="M498" s="138" t="s">
        <v>4076</v>
      </c>
    </row>
    <row r="499" customFormat="false" ht="15" hidden="false" customHeight="false" outlineLevel="0" collapsed="false">
      <c r="A499" s="138" t="s">
        <v>2167</v>
      </c>
      <c r="B499" s="138" t="n">
        <v>497</v>
      </c>
      <c r="C499" s="146" t="n">
        <v>847.61</v>
      </c>
      <c r="D499" s="146" t="n">
        <v>848.828</v>
      </c>
      <c r="E499" s="146" t="n">
        <f aca="false">D499-C499</f>
        <v>1.21799999999996</v>
      </c>
      <c r="F499" s="138" t="str">
        <f aca="false">IF(E499&gt;=0,"Aterro","Corte")</f>
        <v>Aterro</v>
      </c>
      <c r="G499" s="138" t="n">
        <v>-5.95</v>
      </c>
      <c r="H499" s="138" t="s">
        <v>4078</v>
      </c>
      <c r="I499" s="138" t="s">
        <v>4024</v>
      </c>
      <c r="J499" s="138" t="n">
        <v>46.864</v>
      </c>
      <c r="K499" s="138"/>
      <c r="L499" s="138"/>
      <c r="M499" s="138" t="s">
        <v>4076</v>
      </c>
    </row>
    <row r="500" customFormat="false" ht="15" hidden="false" customHeight="false" outlineLevel="0" collapsed="false">
      <c r="A500" s="138" t="s">
        <v>2168</v>
      </c>
      <c r="B500" s="138" t="n">
        <v>498</v>
      </c>
      <c r="C500" s="146" t="n">
        <v>847.786</v>
      </c>
      <c r="D500" s="146" t="n">
        <v>848.616</v>
      </c>
      <c r="E500" s="146" t="n">
        <f aca="false">D500-C500</f>
        <v>0.830000000000041</v>
      </c>
      <c r="F500" s="138" t="str">
        <f aca="false">IF(E500&gt;=0,"Aterro","Corte")</f>
        <v>Aterro</v>
      </c>
      <c r="G500" s="138" t="n">
        <v>-5.95</v>
      </c>
      <c r="H500" s="138" t="s">
        <v>4078</v>
      </c>
      <c r="I500" s="138" t="s">
        <v>4024</v>
      </c>
      <c r="J500" s="138" t="n">
        <v>46.864</v>
      </c>
      <c r="K500" s="138" t="s">
        <v>4080</v>
      </c>
      <c r="L500" s="138" t="n">
        <v>610</v>
      </c>
      <c r="M500" s="138" t="s">
        <v>4076</v>
      </c>
    </row>
    <row r="501" customFormat="false" ht="15" hidden="false" customHeight="false" outlineLevel="0" collapsed="false">
      <c r="A501" s="138" t="s">
        <v>2169</v>
      </c>
      <c r="B501" s="138" t="n">
        <v>499</v>
      </c>
      <c r="C501" s="146" t="n">
        <v>848.044</v>
      </c>
      <c r="D501" s="146" t="n">
        <v>848.319</v>
      </c>
      <c r="E501" s="146" t="n">
        <f aca="false">D501-C501</f>
        <v>0.274999999999977</v>
      </c>
      <c r="F501" s="138" t="str">
        <f aca="false">IF(E501&gt;=0,"Aterro","Corte")</f>
        <v>Aterro</v>
      </c>
      <c r="G501" s="138" t="n">
        <v>-5.95</v>
      </c>
      <c r="H501" s="138" t="s">
        <v>4078</v>
      </c>
      <c r="I501" s="138" t="s">
        <v>4024</v>
      </c>
      <c r="J501" s="138" t="n">
        <v>46.864</v>
      </c>
      <c r="K501" s="138" t="s">
        <v>4080</v>
      </c>
      <c r="L501" s="138" t="n">
        <v>610</v>
      </c>
      <c r="M501" s="138" t="s">
        <v>4076</v>
      </c>
    </row>
    <row r="502" customFormat="false" ht="15" hidden="false" customHeight="false" outlineLevel="0" collapsed="false">
      <c r="A502" s="138" t="s">
        <v>2170</v>
      </c>
      <c r="B502" s="138" t="n">
        <v>500</v>
      </c>
      <c r="C502" s="146" t="n">
        <v>848.25</v>
      </c>
      <c r="D502" s="146" t="n">
        <v>847.936</v>
      </c>
      <c r="E502" s="146" t="n">
        <f aca="false">D502-C502</f>
        <v>-0.313999999999965</v>
      </c>
      <c r="F502" s="138" t="str">
        <f aca="false">IF(E502&gt;=0,"Aterro","Corte")</f>
        <v>Corte</v>
      </c>
      <c r="G502" s="138" t="n">
        <v>-5.95</v>
      </c>
      <c r="H502" s="138" t="s">
        <v>4078</v>
      </c>
      <c r="I502" s="138" t="s">
        <v>4024</v>
      </c>
      <c r="J502" s="138" t="n">
        <v>46.864</v>
      </c>
      <c r="K502" s="138" t="s">
        <v>4080</v>
      </c>
      <c r="L502" s="138" t="n">
        <v>610</v>
      </c>
      <c r="M502" s="138" t="s">
        <v>4076</v>
      </c>
    </row>
    <row r="503" customFormat="false" ht="15" hidden="false" customHeight="false" outlineLevel="0" collapsed="false">
      <c r="A503" s="138" t="s">
        <v>2171</v>
      </c>
      <c r="B503" s="138" t="n">
        <v>501</v>
      </c>
      <c r="C503" s="146" t="n">
        <v>848.189</v>
      </c>
      <c r="D503" s="146" t="n">
        <v>847.469</v>
      </c>
      <c r="E503" s="146" t="n">
        <f aca="false">D503-C503</f>
        <v>-0.719999999999914</v>
      </c>
      <c r="F503" s="138" t="str">
        <f aca="false">IF(E503&gt;=0,"Aterro","Corte")</f>
        <v>Corte</v>
      </c>
      <c r="G503" s="138" t="n">
        <v>-5.95</v>
      </c>
      <c r="H503" s="138" t="s">
        <v>4078</v>
      </c>
      <c r="I503" s="138" t="s">
        <v>4024</v>
      </c>
      <c r="J503" s="138" t="n">
        <v>46.864</v>
      </c>
      <c r="K503" s="138" t="s">
        <v>4080</v>
      </c>
      <c r="L503" s="138" t="n">
        <v>610</v>
      </c>
      <c r="M503" s="138" t="s">
        <v>4076</v>
      </c>
    </row>
    <row r="504" customFormat="false" ht="15" hidden="false" customHeight="false" outlineLevel="0" collapsed="false">
      <c r="A504" s="138" t="s">
        <v>2172</v>
      </c>
      <c r="B504" s="138" t="n">
        <v>502</v>
      </c>
      <c r="C504" s="146" t="n">
        <v>848.185</v>
      </c>
      <c r="D504" s="146" t="n">
        <v>846.916</v>
      </c>
      <c r="E504" s="146" t="n">
        <f aca="false">D504-C504</f>
        <v>-1.26899999999989</v>
      </c>
      <c r="F504" s="138" t="str">
        <f aca="false">IF(E504&gt;=0,"Aterro","Corte")</f>
        <v>Corte</v>
      </c>
      <c r="G504" s="138" t="n">
        <v>-5.95</v>
      </c>
      <c r="H504" s="138" t="s">
        <v>4078</v>
      </c>
      <c r="I504" s="138" t="s">
        <v>4024</v>
      </c>
      <c r="J504" s="138" t="n">
        <v>46.864</v>
      </c>
      <c r="K504" s="138" t="s">
        <v>4080</v>
      </c>
      <c r="L504" s="138" t="n">
        <v>610</v>
      </c>
      <c r="M504" s="138" t="s">
        <v>4076</v>
      </c>
    </row>
    <row r="505" customFormat="false" ht="15" hidden="false" customHeight="false" outlineLevel="0" collapsed="false">
      <c r="A505" s="138" t="s">
        <v>2173</v>
      </c>
      <c r="B505" s="138" t="n">
        <v>503</v>
      </c>
      <c r="C505" s="146" t="n">
        <v>848.136</v>
      </c>
      <c r="D505" s="146" t="n">
        <v>846.277</v>
      </c>
      <c r="E505" s="146" t="n">
        <f aca="false">D505-C505</f>
        <v>-1.85899999999992</v>
      </c>
      <c r="F505" s="138" t="str">
        <f aca="false">IF(E505&gt;=0,"Aterro","Corte")</f>
        <v>Corte</v>
      </c>
      <c r="G505" s="138" t="n">
        <v>-5.95</v>
      </c>
      <c r="H505" s="138" t="s">
        <v>4078</v>
      </c>
      <c r="I505" s="138" t="s">
        <v>4024</v>
      </c>
      <c r="J505" s="138" t="n">
        <v>46.864</v>
      </c>
      <c r="K505" s="138" t="s">
        <v>4080</v>
      </c>
      <c r="L505" s="138" t="n">
        <v>610</v>
      </c>
      <c r="M505" s="138" t="s">
        <v>4076</v>
      </c>
    </row>
    <row r="506" customFormat="false" ht="15" hidden="false" customHeight="false" outlineLevel="0" collapsed="false">
      <c r="A506" s="138" t="s">
        <v>2174</v>
      </c>
      <c r="B506" s="138" t="n">
        <v>504</v>
      </c>
      <c r="C506" s="146" t="n">
        <v>847.959</v>
      </c>
      <c r="D506" s="146" t="n">
        <v>845.553</v>
      </c>
      <c r="E506" s="146" t="n">
        <f aca="false">D506-C506</f>
        <v>-2.40599999999995</v>
      </c>
      <c r="F506" s="138" t="str">
        <f aca="false">IF(E506&gt;=0,"Aterro","Corte")</f>
        <v>Corte</v>
      </c>
      <c r="G506" s="138" t="n">
        <v>-5.95</v>
      </c>
      <c r="H506" s="138" t="s">
        <v>4078</v>
      </c>
      <c r="I506" s="138" t="s">
        <v>4024</v>
      </c>
      <c r="J506" s="138" t="n">
        <v>46.864</v>
      </c>
      <c r="K506" s="138" t="s">
        <v>4080</v>
      </c>
      <c r="L506" s="138" t="n">
        <v>610</v>
      </c>
      <c r="M506" s="138" t="s">
        <v>4076</v>
      </c>
    </row>
    <row r="507" customFormat="false" ht="15" hidden="false" customHeight="false" outlineLevel="0" collapsed="false">
      <c r="A507" s="138" t="s">
        <v>2175</v>
      </c>
      <c r="B507" s="138" t="n">
        <v>505</v>
      </c>
      <c r="C507" s="146" t="n">
        <v>847.537</v>
      </c>
      <c r="D507" s="146" t="n">
        <v>844.744</v>
      </c>
      <c r="E507" s="146" t="n">
        <f aca="false">D507-C507</f>
        <v>-2.79300000000001</v>
      </c>
      <c r="F507" s="138" t="str">
        <f aca="false">IF(E507&gt;=0,"Aterro","Corte")</f>
        <v>Corte</v>
      </c>
      <c r="G507" s="138" t="n">
        <v>-5.95</v>
      </c>
      <c r="H507" s="138" t="s">
        <v>4078</v>
      </c>
      <c r="I507" s="138" t="s">
        <v>4024</v>
      </c>
      <c r="J507" s="138" t="n">
        <v>46.864</v>
      </c>
      <c r="K507" s="138" t="s">
        <v>4080</v>
      </c>
      <c r="L507" s="138" t="n">
        <v>610</v>
      </c>
      <c r="M507" s="138" t="s">
        <v>4081</v>
      </c>
    </row>
    <row r="508" customFormat="false" ht="15" hidden="false" customHeight="false" outlineLevel="0" collapsed="false">
      <c r="A508" s="138" t="s">
        <v>2176</v>
      </c>
      <c r="B508" s="138" t="n">
        <v>506</v>
      </c>
      <c r="C508" s="146" t="n">
        <v>846.467</v>
      </c>
      <c r="D508" s="146" t="n">
        <v>843.849</v>
      </c>
      <c r="E508" s="146" t="n">
        <f aca="false">D508-C508</f>
        <v>-2.61799999999994</v>
      </c>
      <c r="F508" s="138" t="str">
        <f aca="false">IF(E508&gt;=0,"Aterro","Corte")</f>
        <v>Corte</v>
      </c>
      <c r="G508" s="138" t="n">
        <v>-5.95</v>
      </c>
      <c r="H508" s="138" t="s">
        <v>4078</v>
      </c>
      <c r="I508" s="138" t="s">
        <v>4024</v>
      </c>
      <c r="J508" s="138" t="n">
        <v>46.864</v>
      </c>
      <c r="K508" s="138" t="s">
        <v>4080</v>
      </c>
      <c r="L508" s="138" t="n">
        <v>610</v>
      </c>
      <c r="M508" s="138" t="s">
        <v>4081</v>
      </c>
    </row>
    <row r="509" customFormat="false" ht="15" hidden="false" customHeight="false" outlineLevel="0" collapsed="false">
      <c r="A509" s="138" t="s">
        <v>2177</v>
      </c>
      <c r="B509" s="138" t="n">
        <v>507</v>
      </c>
      <c r="C509" s="146" t="n">
        <v>844.905</v>
      </c>
      <c r="D509" s="146" t="n">
        <v>842.869</v>
      </c>
      <c r="E509" s="146" t="n">
        <f aca="false">D509-C509</f>
        <v>-2.03599999999994</v>
      </c>
      <c r="F509" s="138" t="str">
        <f aca="false">IF(E509&gt;=0,"Aterro","Corte")</f>
        <v>Corte</v>
      </c>
      <c r="G509" s="138" t="n">
        <v>-5.95</v>
      </c>
      <c r="H509" s="138" t="s">
        <v>4078</v>
      </c>
      <c r="I509" s="138" t="s">
        <v>4024</v>
      </c>
      <c r="J509" s="138" t="n">
        <v>46.864</v>
      </c>
      <c r="K509" s="138" t="s">
        <v>4080</v>
      </c>
      <c r="L509" s="138" t="n">
        <v>610</v>
      </c>
      <c r="M509" s="138" t="s">
        <v>4081</v>
      </c>
    </row>
    <row r="510" customFormat="false" ht="15" hidden="false" customHeight="false" outlineLevel="0" collapsed="false">
      <c r="A510" s="138" t="s">
        <v>2178</v>
      </c>
      <c r="B510" s="138" t="n">
        <v>508</v>
      </c>
      <c r="C510" s="146" t="n">
        <v>843.256</v>
      </c>
      <c r="D510" s="146" t="n">
        <v>841.804</v>
      </c>
      <c r="E510" s="146" t="n">
        <f aca="false">D510-C510</f>
        <v>-1.452</v>
      </c>
      <c r="F510" s="138" t="str">
        <f aca="false">IF(E510&gt;=0,"Aterro","Corte")</f>
        <v>Corte</v>
      </c>
      <c r="G510" s="138" t="n">
        <v>-5.95</v>
      </c>
      <c r="H510" s="138" t="s">
        <v>4078</v>
      </c>
      <c r="I510" s="138" t="s">
        <v>4024</v>
      </c>
      <c r="J510" s="138" t="n">
        <v>46.864</v>
      </c>
      <c r="K510" s="138" t="s">
        <v>4080</v>
      </c>
      <c r="L510" s="138" t="n">
        <v>610</v>
      </c>
      <c r="M510" s="138" t="s">
        <v>4081</v>
      </c>
    </row>
    <row r="511" customFormat="false" ht="15" hidden="false" customHeight="false" outlineLevel="0" collapsed="false">
      <c r="A511" s="138" t="s">
        <v>2179</v>
      </c>
      <c r="B511" s="138" t="n">
        <v>509</v>
      </c>
      <c r="C511" s="146" t="n">
        <v>841.343</v>
      </c>
      <c r="D511" s="146" t="n">
        <v>840.654</v>
      </c>
      <c r="E511" s="146" t="n">
        <f aca="false">D511-C511</f>
        <v>-0.688999999999965</v>
      </c>
      <c r="F511" s="138" t="str">
        <f aca="false">IF(E511&gt;=0,"Aterro","Corte")</f>
        <v>Corte</v>
      </c>
      <c r="G511" s="138" t="n">
        <v>-5.95</v>
      </c>
      <c r="H511" s="138"/>
      <c r="I511" s="138"/>
      <c r="J511" s="138"/>
      <c r="K511" s="138" t="s">
        <v>4080</v>
      </c>
      <c r="L511" s="138" t="n">
        <v>610</v>
      </c>
      <c r="M511" s="138" t="s">
        <v>4081</v>
      </c>
    </row>
    <row r="512" customFormat="false" ht="15" hidden="false" customHeight="false" outlineLevel="0" collapsed="false">
      <c r="A512" s="138" t="s">
        <v>2180</v>
      </c>
      <c r="B512" s="138" t="n">
        <v>510</v>
      </c>
      <c r="C512" s="146" t="n">
        <v>839.501</v>
      </c>
      <c r="D512" s="146" t="n">
        <v>839.464</v>
      </c>
      <c r="E512" s="146" t="n">
        <f aca="false">D512-C512</f>
        <v>-0.0369999999999209</v>
      </c>
      <c r="F512" s="138" t="str">
        <f aca="false">IF(E512&gt;=0,"Aterro","Corte")</f>
        <v>Corte</v>
      </c>
      <c r="G512" s="138" t="n">
        <v>-5.95</v>
      </c>
      <c r="H512" s="138"/>
      <c r="I512" s="138"/>
      <c r="J512" s="138"/>
      <c r="K512" s="138" t="s">
        <v>4080</v>
      </c>
      <c r="L512" s="138" t="n">
        <v>610</v>
      </c>
      <c r="M512" s="138" t="s">
        <v>4081</v>
      </c>
    </row>
    <row r="513" customFormat="false" ht="15" hidden="false" customHeight="false" outlineLevel="0" collapsed="false">
      <c r="A513" s="138" t="s">
        <v>2182</v>
      </c>
      <c r="B513" s="138" t="n">
        <v>511</v>
      </c>
      <c r="C513" s="146" t="n">
        <v>837.783</v>
      </c>
      <c r="D513" s="146" t="n">
        <v>838.306</v>
      </c>
      <c r="E513" s="146" t="n">
        <f aca="false">D513-C513</f>
        <v>0.523000000000025</v>
      </c>
      <c r="F513" s="138" t="str">
        <f aca="false">IF(E513&gt;=0,"Aterro","Corte")</f>
        <v>Aterro</v>
      </c>
      <c r="G513" s="138" t="n">
        <v>-5.95</v>
      </c>
      <c r="H513" s="138" t="s">
        <v>4082</v>
      </c>
      <c r="I513" s="138" t="s">
        <v>4021</v>
      </c>
      <c r="J513" s="138" t="n">
        <v>47.015</v>
      </c>
      <c r="K513" s="138" t="s">
        <v>4080</v>
      </c>
      <c r="L513" s="138" t="n">
        <v>610</v>
      </c>
      <c r="M513" s="138" t="s">
        <v>4081</v>
      </c>
    </row>
    <row r="514" customFormat="false" ht="15" hidden="false" customHeight="false" outlineLevel="0" collapsed="false">
      <c r="A514" s="138" t="s">
        <v>2183</v>
      </c>
      <c r="B514" s="138" t="n">
        <v>512</v>
      </c>
      <c r="C514" s="146" t="n">
        <v>836.544</v>
      </c>
      <c r="D514" s="146" t="n">
        <v>837.234</v>
      </c>
      <c r="E514" s="146" t="n">
        <f aca="false">D514-C514</f>
        <v>0.690000000000055</v>
      </c>
      <c r="F514" s="138" t="str">
        <f aca="false">IF(E514&gt;=0,"Aterro","Corte")</f>
        <v>Aterro</v>
      </c>
      <c r="G514" s="138" t="n">
        <v>-5.95</v>
      </c>
      <c r="H514" s="138" t="s">
        <v>4082</v>
      </c>
      <c r="I514" s="138" t="s">
        <v>4021</v>
      </c>
      <c r="J514" s="138" t="n">
        <v>47.015</v>
      </c>
      <c r="K514" s="138" t="s">
        <v>4080</v>
      </c>
      <c r="L514" s="138" t="n">
        <v>610</v>
      </c>
      <c r="M514" s="138" t="s">
        <v>4081</v>
      </c>
    </row>
    <row r="515" customFormat="false" ht="15" hidden="false" customHeight="false" outlineLevel="0" collapsed="false">
      <c r="A515" s="138" t="s">
        <v>2184</v>
      </c>
      <c r="B515" s="138" t="n">
        <v>513</v>
      </c>
      <c r="C515" s="146" t="n">
        <v>835.395</v>
      </c>
      <c r="D515" s="146" t="n">
        <v>836.246</v>
      </c>
      <c r="E515" s="146" t="n">
        <f aca="false">D515-C515</f>
        <v>0.850999999999999</v>
      </c>
      <c r="F515" s="138" t="str">
        <f aca="false">IF(E515&gt;=0,"Aterro","Corte")</f>
        <v>Aterro</v>
      </c>
      <c r="G515" s="138" t="n">
        <v>-5.95</v>
      </c>
      <c r="H515" s="138" t="s">
        <v>4082</v>
      </c>
      <c r="I515" s="138" t="s">
        <v>4021</v>
      </c>
      <c r="J515" s="138" t="n">
        <v>47.015</v>
      </c>
      <c r="K515" s="138"/>
      <c r="L515" s="138"/>
      <c r="M515" s="138" t="s">
        <v>4081</v>
      </c>
    </row>
    <row r="516" customFormat="false" ht="15" hidden="false" customHeight="false" outlineLevel="0" collapsed="false">
      <c r="A516" s="138" t="s">
        <v>2185</v>
      </c>
      <c r="B516" s="138" t="n">
        <v>514</v>
      </c>
      <c r="C516" s="146" t="n">
        <v>834.487</v>
      </c>
      <c r="D516" s="146" t="n">
        <v>835.343</v>
      </c>
      <c r="E516" s="146" t="n">
        <f aca="false">D516-C516</f>
        <v>0.855999999999995</v>
      </c>
      <c r="F516" s="138" t="str">
        <f aca="false">IF(E516&gt;=0,"Aterro","Corte")</f>
        <v>Aterro</v>
      </c>
      <c r="G516" s="138" t="n">
        <v>-2.759</v>
      </c>
      <c r="H516" s="138" t="s">
        <v>4082</v>
      </c>
      <c r="I516" s="138" t="s">
        <v>4021</v>
      </c>
      <c r="J516" s="138" t="n">
        <v>47.015</v>
      </c>
      <c r="K516" s="138"/>
      <c r="L516" s="138"/>
      <c r="M516" s="138" t="s">
        <v>4081</v>
      </c>
    </row>
    <row r="517" customFormat="false" ht="15" hidden="false" customHeight="false" outlineLevel="0" collapsed="false">
      <c r="A517" s="138" t="s">
        <v>2186</v>
      </c>
      <c r="B517" s="138" t="n">
        <v>515</v>
      </c>
      <c r="C517" s="146" t="n">
        <v>833.762</v>
      </c>
      <c r="D517" s="146" t="n">
        <v>834.525</v>
      </c>
      <c r="E517" s="146" t="n">
        <f aca="false">D517-C517</f>
        <v>0.763000000000034</v>
      </c>
      <c r="F517" s="138" t="str">
        <f aca="false">IF(E517&gt;=0,"Aterro","Corte")</f>
        <v>Aterro</v>
      </c>
      <c r="G517" s="138" t="n">
        <v>-2.759</v>
      </c>
      <c r="H517" s="138" t="s">
        <v>4082</v>
      </c>
      <c r="I517" s="138" t="s">
        <v>4021</v>
      </c>
      <c r="J517" s="138" t="n">
        <v>47.015</v>
      </c>
      <c r="K517" s="138"/>
      <c r="L517" s="138"/>
      <c r="M517" s="138" t="s">
        <v>4081</v>
      </c>
    </row>
    <row r="518" customFormat="false" ht="15" hidden="false" customHeight="false" outlineLevel="0" collapsed="false">
      <c r="A518" s="138" t="s">
        <v>2187</v>
      </c>
      <c r="B518" s="138" t="n">
        <v>516</v>
      </c>
      <c r="C518" s="146" t="n">
        <v>833.069</v>
      </c>
      <c r="D518" s="146" t="n">
        <v>833.793</v>
      </c>
      <c r="E518" s="146" t="n">
        <f aca="false">D518-C518</f>
        <v>0.724000000000046</v>
      </c>
      <c r="F518" s="138" t="str">
        <f aca="false">IF(E518&gt;=0,"Aterro","Corte")</f>
        <v>Aterro</v>
      </c>
      <c r="G518" s="138" t="n">
        <v>-2.759</v>
      </c>
      <c r="H518" s="138" t="s">
        <v>4082</v>
      </c>
      <c r="I518" s="138" t="s">
        <v>4021</v>
      </c>
      <c r="J518" s="138" t="n">
        <v>47.015</v>
      </c>
      <c r="K518" s="138"/>
      <c r="L518" s="138"/>
      <c r="M518" s="138" t="s">
        <v>4081</v>
      </c>
    </row>
    <row r="519" customFormat="false" ht="15" hidden="false" customHeight="false" outlineLevel="0" collapsed="false">
      <c r="A519" s="138" t="s">
        <v>2188</v>
      </c>
      <c r="B519" s="138" t="n">
        <v>517</v>
      </c>
      <c r="C519" s="146" t="n">
        <v>832.662</v>
      </c>
      <c r="D519" s="146" t="n">
        <v>833.145</v>
      </c>
      <c r="E519" s="146" t="n">
        <f aca="false">D519-C519</f>
        <v>0.482999999999947</v>
      </c>
      <c r="F519" s="138" t="str">
        <f aca="false">IF(E519&gt;=0,"Aterro","Corte")</f>
        <v>Aterro</v>
      </c>
      <c r="G519" s="138" t="n">
        <v>-2.759</v>
      </c>
      <c r="H519" s="138" t="s">
        <v>4082</v>
      </c>
      <c r="I519" s="138" t="s">
        <v>4021</v>
      </c>
      <c r="J519" s="138" t="n">
        <v>47.015</v>
      </c>
      <c r="K519" s="138"/>
      <c r="L519" s="138"/>
      <c r="M519" s="138" t="s">
        <v>4081</v>
      </c>
    </row>
    <row r="520" customFormat="false" ht="15" hidden="false" customHeight="false" outlineLevel="0" collapsed="false">
      <c r="A520" s="138" t="s">
        <v>2189</v>
      </c>
      <c r="B520" s="138" t="n">
        <v>518</v>
      </c>
      <c r="C520" s="146" t="n">
        <v>832.397</v>
      </c>
      <c r="D520" s="146" t="n">
        <v>832.577</v>
      </c>
      <c r="E520" s="146" t="n">
        <f aca="false">D520-C520</f>
        <v>0.17999999999995</v>
      </c>
      <c r="F520" s="138" t="str">
        <f aca="false">IF(E520&gt;=0,"Aterro","Corte")</f>
        <v>Aterro</v>
      </c>
      <c r="G520" s="138" t="n">
        <v>-2.759</v>
      </c>
      <c r="H520" s="138"/>
      <c r="I520" s="138"/>
      <c r="J520" s="138"/>
      <c r="K520" s="138"/>
      <c r="L520" s="138"/>
      <c r="M520" s="138" t="s">
        <v>4081</v>
      </c>
    </row>
    <row r="521" customFormat="false" ht="15" hidden="false" customHeight="false" outlineLevel="0" collapsed="false">
      <c r="A521" s="138" t="s">
        <v>2190</v>
      </c>
      <c r="B521" s="138" t="n">
        <v>519</v>
      </c>
      <c r="C521" s="146" t="n">
        <v>832.135</v>
      </c>
      <c r="D521" s="146" t="n">
        <v>832.025</v>
      </c>
      <c r="E521" s="146" t="n">
        <f aca="false">D521-C521</f>
        <v>-0.110000000000014</v>
      </c>
      <c r="F521" s="138" t="str">
        <f aca="false">IF(E521&gt;=0,"Aterro","Corte")</f>
        <v>Corte</v>
      </c>
      <c r="G521" s="138" t="n">
        <v>-2.759</v>
      </c>
      <c r="H521" s="138"/>
      <c r="I521" s="138"/>
      <c r="J521" s="138"/>
      <c r="K521" s="138"/>
      <c r="L521" s="138"/>
      <c r="M521" s="138" t="s">
        <v>4081</v>
      </c>
    </row>
    <row r="522" customFormat="false" ht="15" hidden="false" customHeight="false" outlineLevel="0" collapsed="false">
      <c r="A522" s="138" t="s">
        <v>2191</v>
      </c>
      <c r="B522" s="138" t="n">
        <v>520</v>
      </c>
      <c r="C522" s="146" t="n">
        <v>831.838</v>
      </c>
      <c r="D522" s="146" t="n">
        <v>831.473</v>
      </c>
      <c r="E522" s="146" t="n">
        <f aca="false">D522-C522</f>
        <v>-0.365000000000009</v>
      </c>
      <c r="F522" s="138" t="str">
        <f aca="false">IF(E522&gt;=0,"Aterro","Corte")</f>
        <v>Corte</v>
      </c>
      <c r="G522" s="138" t="n">
        <v>-2.759</v>
      </c>
      <c r="H522" s="138"/>
      <c r="I522" s="138"/>
      <c r="J522" s="138"/>
      <c r="K522" s="138"/>
      <c r="L522" s="138"/>
      <c r="M522" s="138" t="s">
        <v>4081</v>
      </c>
    </row>
    <row r="523" customFormat="false" ht="15" hidden="false" customHeight="false" outlineLevel="0" collapsed="false">
      <c r="A523" s="138" t="s">
        <v>2192</v>
      </c>
      <c r="B523" s="138" t="n">
        <v>521</v>
      </c>
      <c r="C523" s="146" t="n">
        <v>831.27</v>
      </c>
      <c r="D523" s="146" t="n">
        <v>830.922</v>
      </c>
      <c r="E523" s="146" t="n">
        <f aca="false">D523-C523</f>
        <v>-0.347999999999956</v>
      </c>
      <c r="F523" s="138" t="str">
        <f aca="false">IF(E523&gt;=0,"Aterro","Corte")</f>
        <v>Corte</v>
      </c>
      <c r="G523" s="138" t="n">
        <v>-2.759</v>
      </c>
      <c r="H523" s="138"/>
      <c r="I523" s="138"/>
      <c r="J523" s="138"/>
      <c r="K523" s="138"/>
      <c r="L523" s="138"/>
      <c r="M523" s="138" t="s">
        <v>4081</v>
      </c>
    </row>
    <row r="524" customFormat="false" ht="15" hidden="false" customHeight="false" outlineLevel="0" collapsed="false">
      <c r="A524" s="138" t="s">
        <v>2193</v>
      </c>
      <c r="B524" s="138" t="n">
        <v>522</v>
      </c>
      <c r="C524" s="146" t="n">
        <v>830.645</v>
      </c>
      <c r="D524" s="146" t="n">
        <v>830.37</v>
      </c>
      <c r="E524" s="146" t="n">
        <f aca="false">D524-C524</f>
        <v>-0.274999999999977</v>
      </c>
      <c r="F524" s="138" t="str">
        <f aca="false">IF(E524&gt;=0,"Aterro","Corte")</f>
        <v>Corte</v>
      </c>
      <c r="G524" s="138" t="n">
        <v>-2.759</v>
      </c>
      <c r="H524" s="138"/>
      <c r="I524" s="138"/>
      <c r="J524" s="138"/>
      <c r="K524" s="138"/>
      <c r="L524" s="138"/>
      <c r="M524" s="138" t="s">
        <v>4081</v>
      </c>
    </row>
    <row r="525" customFormat="false" ht="15" hidden="false" customHeight="false" outlineLevel="0" collapsed="false">
      <c r="A525" s="138" t="s">
        <v>2194</v>
      </c>
      <c r="B525" s="138" t="n">
        <v>523</v>
      </c>
      <c r="C525" s="146" t="n">
        <v>829.878</v>
      </c>
      <c r="D525" s="146" t="n">
        <v>829.818</v>
      </c>
      <c r="E525" s="146" t="n">
        <f aca="false">D525-C525</f>
        <v>-0.0600000000000591</v>
      </c>
      <c r="F525" s="138" t="str">
        <f aca="false">IF(E525&gt;=0,"Aterro","Corte")</f>
        <v>Corte</v>
      </c>
      <c r="G525" s="138" t="n">
        <v>-2.759</v>
      </c>
      <c r="H525" s="138"/>
      <c r="I525" s="138"/>
      <c r="J525" s="138"/>
      <c r="K525" s="138"/>
      <c r="L525" s="138"/>
      <c r="M525" s="138" t="s">
        <v>4081</v>
      </c>
    </row>
    <row r="526" customFormat="false" ht="15" hidden="false" customHeight="false" outlineLevel="0" collapsed="false">
      <c r="A526" s="138" t="s">
        <v>2195</v>
      </c>
      <c r="B526" s="138" t="n">
        <v>524</v>
      </c>
      <c r="C526" s="146" t="n">
        <v>829.062</v>
      </c>
      <c r="D526" s="146" t="n">
        <v>829.266</v>
      </c>
      <c r="E526" s="146" t="n">
        <f aca="false">D526-C526</f>
        <v>0.203999999999951</v>
      </c>
      <c r="F526" s="138" t="str">
        <f aca="false">IF(E526&gt;=0,"Aterro","Corte")</f>
        <v>Aterro</v>
      </c>
      <c r="G526" s="138" t="n">
        <v>-2.759</v>
      </c>
      <c r="H526" s="138"/>
      <c r="I526" s="138"/>
      <c r="J526" s="138"/>
      <c r="K526" s="138"/>
      <c r="L526" s="138"/>
      <c r="M526" s="138" t="s">
        <v>4081</v>
      </c>
    </row>
    <row r="527" customFormat="false" ht="15" hidden="false" customHeight="false" outlineLevel="0" collapsed="false">
      <c r="A527" s="138" t="s">
        <v>2196</v>
      </c>
      <c r="B527" s="138" t="n">
        <v>525</v>
      </c>
      <c r="C527" s="146" t="n">
        <v>828.382</v>
      </c>
      <c r="D527" s="146" t="n">
        <v>828.716</v>
      </c>
      <c r="E527" s="146" t="n">
        <f aca="false">D527-C527</f>
        <v>0.33400000000006</v>
      </c>
      <c r="F527" s="138" t="str">
        <f aca="false">IF(E527&gt;=0,"Aterro","Corte")</f>
        <v>Aterro</v>
      </c>
      <c r="G527" s="138" t="n">
        <v>-2.759</v>
      </c>
      <c r="H527" s="138" t="s">
        <v>4083</v>
      </c>
      <c r="I527" s="138" t="s">
        <v>4021</v>
      </c>
      <c r="J527" s="138" t="n">
        <v>18.089</v>
      </c>
      <c r="K527" s="138"/>
      <c r="L527" s="138"/>
      <c r="M527" s="138" t="s">
        <v>4081</v>
      </c>
    </row>
    <row r="528" customFormat="false" ht="15" hidden="false" customHeight="false" outlineLevel="0" collapsed="false">
      <c r="A528" s="138" t="s">
        <v>2197</v>
      </c>
      <c r="B528" s="138" t="n">
        <v>526</v>
      </c>
      <c r="C528" s="146" t="n">
        <v>828.145</v>
      </c>
      <c r="D528" s="146" t="n">
        <v>828.298</v>
      </c>
      <c r="E528" s="146" t="n">
        <f aca="false">D528-C528</f>
        <v>0.15300000000002</v>
      </c>
      <c r="F528" s="138" t="str">
        <f aca="false">IF(E528&gt;=0,"Aterro","Corte")</f>
        <v>Aterro</v>
      </c>
      <c r="G528" s="138" t="n">
        <v>-2.759</v>
      </c>
      <c r="H528" s="138" t="s">
        <v>4083</v>
      </c>
      <c r="I528" s="138" t="s">
        <v>4021</v>
      </c>
      <c r="J528" s="138" t="n">
        <v>18.089</v>
      </c>
      <c r="K528" s="138" t="s">
        <v>4084</v>
      </c>
      <c r="L528" s="138" t="n">
        <v>1800</v>
      </c>
      <c r="M528" s="138" t="s">
        <v>4081</v>
      </c>
    </row>
    <row r="529" customFormat="false" ht="15" hidden="false" customHeight="false" outlineLevel="0" collapsed="false">
      <c r="A529" s="138" t="s">
        <v>2198</v>
      </c>
      <c r="B529" s="138" t="n">
        <v>527</v>
      </c>
      <c r="C529" s="146" t="n">
        <v>827.926</v>
      </c>
      <c r="D529" s="146" t="n">
        <v>828.101</v>
      </c>
      <c r="E529" s="146" t="n">
        <f aca="false">D529-C529</f>
        <v>0.174999999999955</v>
      </c>
      <c r="F529" s="138" t="str">
        <f aca="false">IF(E529&gt;=0,"Aterro","Corte")</f>
        <v>Aterro</v>
      </c>
      <c r="G529" s="138" t="n">
        <v>1.663</v>
      </c>
      <c r="H529" s="138" t="s">
        <v>4083</v>
      </c>
      <c r="I529" s="138" t="s">
        <v>4021</v>
      </c>
      <c r="J529" s="138" t="n">
        <v>18.089</v>
      </c>
      <c r="K529" s="138" t="s">
        <v>4084</v>
      </c>
      <c r="L529" s="138" t="n">
        <v>1800</v>
      </c>
      <c r="M529" s="138" t="s">
        <v>4081</v>
      </c>
    </row>
    <row r="530" customFormat="false" ht="15" hidden="false" customHeight="false" outlineLevel="0" collapsed="false">
      <c r="A530" s="138" t="s">
        <v>2199</v>
      </c>
      <c r="B530" s="138" t="n">
        <v>528</v>
      </c>
      <c r="C530" s="146" t="n">
        <v>827.95</v>
      </c>
      <c r="D530" s="146" t="n">
        <v>828.125</v>
      </c>
      <c r="E530" s="146" t="n">
        <f aca="false">D530-C530</f>
        <v>0.174999999999955</v>
      </c>
      <c r="F530" s="138" t="str">
        <f aca="false">IF(E530&gt;=0,"Aterro","Corte")</f>
        <v>Aterro</v>
      </c>
      <c r="G530" s="138" t="n">
        <v>1.663</v>
      </c>
      <c r="H530" s="138" t="s">
        <v>4083</v>
      </c>
      <c r="I530" s="138" t="s">
        <v>4021</v>
      </c>
      <c r="J530" s="138" t="n">
        <v>18.089</v>
      </c>
      <c r="K530" s="138"/>
      <c r="L530" s="138"/>
      <c r="M530" s="138" t="s">
        <v>4081</v>
      </c>
    </row>
    <row r="531" customFormat="false" ht="15" hidden="false" customHeight="false" outlineLevel="0" collapsed="false">
      <c r="A531" s="138" t="s">
        <v>2200</v>
      </c>
      <c r="B531" s="138" t="n">
        <v>529</v>
      </c>
      <c r="C531" s="146" t="n">
        <v>828.267</v>
      </c>
      <c r="D531" s="146" t="n">
        <v>828.369</v>
      </c>
      <c r="E531" s="146" t="n">
        <f aca="false">D531-C531</f>
        <v>0.101999999999975</v>
      </c>
      <c r="F531" s="138" t="str">
        <f aca="false">IF(E531&gt;=0,"Aterro","Corte")</f>
        <v>Aterro</v>
      </c>
      <c r="G531" s="138" t="n">
        <v>1.663</v>
      </c>
      <c r="H531" s="138"/>
      <c r="I531" s="138"/>
      <c r="J531" s="138"/>
      <c r="K531" s="138"/>
      <c r="L531" s="138"/>
      <c r="M531" s="138" t="s">
        <v>4081</v>
      </c>
    </row>
    <row r="532" customFormat="false" ht="15" hidden="false" customHeight="false" outlineLevel="0" collapsed="false">
      <c r="A532" s="138" t="s">
        <v>2201</v>
      </c>
      <c r="B532" s="138" t="n">
        <v>530</v>
      </c>
      <c r="C532" s="146" t="n">
        <v>828.609</v>
      </c>
      <c r="D532" s="146" t="n">
        <v>828.694</v>
      </c>
      <c r="E532" s="146" t="n">
        <f aca="false">D532-C532</f>
        <v>0.0849999999999227</v>
      </c>
      <c r="F532" s="138" t="str">
        <f aca="false">IF(E532&gt;=0,"Aterro","Corte")</f>
        <v>Aterro</v>
      </c>
      <c r="G532" s="138" t="n">
        <v>1.663</v>
      </c>
      <c r="H532" s="138" t="s">
        <v>4085</v>
      </c>
      <c r="I532" s="138" t="s">
        <v>4024</v>
      </c>
      <c r="J532" s="138" t="n">
        <v>15.658</v>
      </c>
      <c r="K532" s="138"/>
      <c r="L532" s="138"/>
      <c r="M532" s="138" t="s">
        <v>4081</v>
      </c>
    </row>
    <row r="533" customFormat="false" ht="15" hidden="false" customHeight="false" outlineLevel="0" collapsed="false">
      <c r="A533" s="138" t="s">
        <v>2202</v>
      </c>
      <c r="B533" s="138" t="n">
        <v>531</v>
      </c>
      <c r="C533" s="146" t="n">
        <v>828.936</v>
      </c>
      <c r="D533" s="146" t="n">
        <v>828.833</v>
      </c>
      <c r="E533" s="146" t="n">
        <f aca="false">D533-C533</f>
        <v>-0.103000000000065</v>
      </c>
      <c r="F533" s="138" t="str">
        <f aca="false">IF(E533&gt;=0,"Aterro","Corte")</f>
        <v>Corte</v>
      </c>
      <c r="G533" s="138" t="n">
        <v>1.663</v>
      </c>
      <c r="H533" s="138" t="s">
        <v>4085</v>
      </c>
      <c r="I533" s="138" t="s">
        <v>4024</v>
      </c>
      <c r="J533" s="138" t="n">
        <v>15.658</v>
      </c>
      <c r="K533" s="138"/>
      <c r="L533" s="138"/>
      <c r="M533" s="138" t="s">
        <v>4081</v>
      </c>
    </row>
    <row r="534" customFormat="false" ht="15" hidden="false" customHeight="false" outlineLevel="0" collapsed="false">
      <c r="A534" s="138" t="s">
        <v>2203</v>
      </c>
      <c r="B534" s="138" t="n">
        <v>532</v>
      </c>
      <c r="C534" s="146" t="n">
        <v>828.901</v>
      </c>
      <c r="D534" s="146" t="n">
        <v>828.718</v>
      </c>
      <c r="E534" s="146" t="n">
        <f aca="false">D534-C534</f>
        <v>-0.182999999999993</v>
      </c>
      <c r="F534" s="138" t="str">
        <f aca="false">IF(E534&gt;=0,"Aterro","Corte")</f>
        <v>Corte</v>
      </c>
      <c r="G534" s="138" t="n">
        <v>1.663</v>
      </c>
      <c r="H534" s="138" t="s">
        <v>4085</v>
      </c>
      <c r="I534" s="138" t="s">
        <v>4024</v>
      </c>
      <c r="J534" s="138" t="n">
        <v>15.658</v>
      </c>
      <c r="K534" s="138"/>
      <c r="L534" s="138"/>
      <c r="M534" s="138" t="s">
        <v>4081</v>
      </c>
    </row>
    <row r="535" customFormat="false" ht="15" hidden="false" customHeight="false" outlineLevel="0" collapsed="false">
      <c r="A535" s="138" t="s">
        <v>2204</v>
      </c>
      <c r="B535" s="138" t="n">
        <v>533</v>
      </c>
      <c r="C535" s="146" t="n">
        <v>828.598</v>
      </c>
      <c r="D535" s="146" t="n">
        <v>828.346</v>
      </c>
      <c r="E535" s="146" t="n">
        <f aca="false">D535-C535</f>
        <v>-0.251999999999953</v>
      </c>
      <c r="F535" s="138" t="str">
        <f aca="false">IF(E535&gt;=0,"Aterro","Corte")</f>
        <v>Corte</v>
      </c>
      <c r="G535" s="138" t="n">
        <v>-6</v>
      </c>
      <c r="H535" s="138" t="s">
        <v>4085</v>
      </c>
      <c r="I535" s="138" t="s">
        <v>4024</v>
      </c>
      <c r="J535" s="138" t="n">
        <v>15.658</v>
      </c>
      <c r="K535" s="138"/>
      <c r="L535" s="138"/>
      <c r="M535" s="138" t="s">
        <v>4081</v>
      </c>
    </row>
    <row r="536" customFormat="false" ht="15" hidden="false" customHeight="false" outlineLevel="0" collapsed="false">
      <c r="A536" s="138" t="s">
        <v>2205</v>
      </c>
      <c r="B536" s="138" t="n">
        <v>534</v>
      </c>
      <c r="C536" s="146" t="n">
        <v>827.85</v>
      </c>
      <c r="D536" s="146" t="n">
        <v>827.72</v>
      </c>
      <c r="E536" s="146" t="n">
        <f aca="false">D536-C536</f>
        <v>-0.129999999999995</v>
      </c>
      <c r="F536" s="138" t="str">
        <f aca="false">IF(E536&gt;=0,"Aterro","Corte")</f>
        <v>Corte</v>
      </c>
      <c r="G536" s="138" t="n">
        <v>-6</v>
      </c>
      <c r="H536" s="138" t="s">
        <v>4085</v>
      </c>
      <c r="I536" s="138" t="s">
        <v>4024</v>
      </c>
      <c r="J536" s="138" t="n">
        <v>15.658</v>
      </c>
      <c r="K536" s="138"/>
      <c r="L536" s="138"/>
      <c r="M536" s="138" t="s">
        <v>4081</v>
      </c>
    </row>
    <row r="537" customFormat="false" ht="15" hidden="false" customHeight="false" outlineLevel="0" collapsed="false">
      <c r="A537" s="138" t="s">
        <v>2206</v>
      </c>
      <c r="B537" s="138" t="n">
        <v>535</v>
      </c>
      <c r="C537" s="146" t="n">
        <v>826.945</v>
      </c>
      <c r="D537" s="146" t="n">
        <v>826.837</v>
      </c>
      <c r="E537" s="146" t="n">
        <f aca="false">D537-C537</f>
        <v>-0.108000000000061</v>
      </c>
      <c r="F537" s="138" t="str">
        <f aca="false">IF(E537&gt;=0,"Aterro","Corte")</f>
        <v>Corte</v>
      </c>
      <c r="G537" s="138" t="n">
        <v>-6</v>
      </c>
      <c r="H537" s="138" t="s">
        <v>4085</v>
      </c>
      <c r="I537" s="138" t="s">
        <v>4024</v>
      </c>
      <c r="J537" s="138" t="n">
        <v>15.658</v>
      </c>
      <c r="K537" s="138"/>
      <c r="L537" s="138"/>
      <c r="M537" s="138" t="s">
        <v>4081</v>
      </c>
    </row>
    <row r="538" customFormat="false" ht="15" hidden="false" customHeight="false" outlineLevel="0" collapsed="false">
      <c r="A538" s="138" t="s">
        <v>2207</v>
      </c>
      <c r="B538" s="138" t="n">
        <v>536</v>
      </c>
      <c r="C538" s="146" t="n">
        <v>826.085</v>
      </c>
      <c r="D538" s="146" t="n">
        <v>825.708</v>
      </c>
      <c r="E538" s="146" t="n">
        <f aca="false">D538-C538</f>
        <v>-0.377000000000066</v>
      </c>
      <c r="F538" s="138" t="str">
        <f aca="false">IF(E538&gt;=0,"Aterro","Corte")</f>
        <v>Corte</v>
      </c>
      <c r="G538" s="138" t="n">
        <v>-6</v>
      </c>
      <c r="H538" s="138"/>
      <c r="I538" s="138"/>
      <c r="J538" s="138"/>
      <c r="K538" s="138"/>
      <c r="L538" s="138"/>
      <c r="M538" s="138" t="s">
        <v>4081</v>
      </c>
    </row>
    <row r="539" customFormat="false" ht="15" hidden="false" customHeight="false" outlineLevel="0" collapsed="false">
      <c r="A539" s="138" t="s">
        <v>2208</v>
      </c>
      <c r="B539" s="138" t="n">
        <v>537</v>
      </c>
      <c r="C539" s="146" t="n">
        <v>825.29</v>
      </c>
      <c r="D539" s="146" t="n">
        <v>824.508</v>
      </c>
      <c r="E539" s="146" t="n">
        <f aca="false">D539-C539</f>
        <v>-0.781999999999925</v>
      </c>
      <c r="F539" s="138" t="str">
        <f aca="false">IF(E539&gt;=0,"Aterro","Corte")</f>
        <v>Corte</v>
      </c>
      <c r="G539" s="138" t="n">
        <v>-6</v>
      </c>
      <c r="H539" s="138"/>
      <c r="I539" s="138"/>
      <c r="J539" s="138"/>
      <c r="K539" s="138"/>
      <c r="L539" s="138"/>
      <c r="M539" s="138" t="s">
        <v>4081</v>
      </c>
    </row>
    <row r="540" customFormat="false" ht="15" hidden="false" customHeight="false" outlineLevel="0" collapsed="false">
      <c r="A540" s="138" t="s">
        <v>2209</v>
      </c>
      <c r="B540" s="138" t="n">
        <v>538</v>
      </c>
      <c r="C540" s="146" t="n">
        <v>824.625</v>
      </c>
      <c r="D540" s="146" t="n">
        <v>823.308</v>
      </c>
      <c r="E540" s="146" t="n">
        <f aca="false">D540-C540</f>
        <v>-1.31700000000001</v>
      </c>
      <c r="F540" s="138" t="str">
        <f aca="false">IF(E540&gt;=0,"Aterro","Corte")</f>
        <v>Corte</v>
      </c>
      <c r="G540" s="138" t="n">
        <v>-6</v>
      </c>
      <c r="H540" s="138"/>
      <c r="I540" s="138"/>
      <c r="J540" s="138"/>
      <c r="K540" s="138"/>
      <c r="L540" s="138"/>
      <c r="M540" s="138" t="s">
        <v>4081</v>
      </c>
    </row>
    <row r="541" customFormat="false" ht="15" hidden="false" customHeight="false" outlineLevel="0" collapsed="false">
      <c r="A541" s="138" t="s">
        <v>2210</v>
      </c>
      <c r="B541" s="138" t="n">
        <v>539</v>
      </c>
      <c r="C541" s="146" t="n">
        <v>823.883</v>
      </c>
      <c r="D541" s="146" t="n">
        <v>822.108</v>
      </c>
      <c r="E541" s="146" t="n">
        <f aca="false">D541-C541</f>
        <v>-1.77500000000009</v>
      </c>
      <c r="F541" s="138" t="str">
        <f aca="false">IF(E541&gt;=0,"Aterro","Corte")</f>
        <v>Corte</v>
      </c>
      <c r="G541" s="138" t="n">
        <v>-6</v>
      </c>
      <c r="H541" s="138"/>
      <c r="I541" s="138"/>
      <c r="J541" s="138"/>
      <c r="K541" s="138"/>
      <c r="L541" s="138"/>
      <c r="M541" s="138" t="s">
        <v>4081</v>
      </c>
    </row>
    <row r="542" customFormat="false" ht="15" hidden="false" customHeight="false" outlineLevel="0" collapsed="false">
      <c r="A542" s="138" t="s">
        <v>2211</v>
      </c>
      <c r="B542" s="138" t="n">
        <v>540</v>
      </c>
      <c r="C542" s="146" t="n">
        <v>823.202</v>
      </c>
      <c r="D542" s="146" t="n">
        <v>820.908</v>
      </c>
      <c r="E542" s="146" t="n">
        <f aca="false">D542-C542</f>
        <v>-2.29399999999998</v>
      </c>
      <c r="F542" s="138" t="str">
        <f aca="false">IF(E542&gt;=0,"Aterro","Corte")</f>
        <v>Corte</v>
      </c>
      <c r="G542" s="138" t="n">
        <v>-6</v>
      </c>
      <c r="H542" s="138"/>
      <c r="I542" s="138"/>
      <c r="J542" s="138"/>
      <c r="K542" s="138"/>
      <c r="L542" s="138"/>
      <c r="M542" s="138" t="s">
        <v>4081</v>
      </c>
    </row>
    <row r="543" customFormat="false" ht="15" hidden="false" customHeight="false" outlineLevel="0" collapsed="false">
      <c r="A543" s="138" t="s">
        <v>2212</v>
      </c>
      <c r="B543" s="138" t="n">
        <v>541</v>
      </c>
      <c r="C543" s="146" t="n">
        <v>822.374</v>
      </c>
      <c r="D543" s="146" t="n">
        <v>819.708</v>
      </c>
      <c r="E543" s="146" t="n">
        <f aca="false">D543-C543</f>
        <v>-2.66600000000005</v>
      </c>
      <c r="F543" s="138" t="str">
        <f aca="false">IF(E543&gt;=0,"Aterro","Corte")</f>
        <v>Corte</v>
      </c>
      <c r="G543" s="138" t="n">
        <v>-6</v>
      </c>
      <c r="H543" s="138"/>
      <c r="I543" s="138"/>
      <c r="J543" s="138"/>
      <c r="K543" s="138"/>
      <c r="L543" s="138"/>
      <c r="M543" s="138" t="s">
        <v>4086</v>
      </c>
    </row>
    <row r="544" customFormat="false" ht="15" hidden="false" customHeight="false" outlineLevel="0" collapsed="false">
      <c r="A544" s="138" t="s">
        <v>2213</v>
      </c>
      <c r="B544" s="138" t="n">
        <v>542</v>
      </c>
      <c r="C544" s="146" t="n">
        <v>821.325</v>
      </c>
      <c r="D544" s="146" t="n">
        <v>818.508</v>
      </c>
      <c r="E544" s="146" t="n">
        <f aca="false">D544-C544</f>
        <v>-2.81700000000001</v>
      </c>
      <c r="F544" s="138" t="str">
        <f aca="false">IF(E544&gt;=0,"Aterro","Corte")</f>
        <v>Corte</v>
      </c>
      <c r="G544" s="138" t="n">
        <v>-6</v>
      </c>
      <c r="H544" s="138"/>
      <c r="I544" s="138"/>
      <c r="J544" s="138"/>
      <c r="K544" s="138"/>
      <c r="L544" s="138"/>
      <c r="M544" s="138" t="s">
        <v>4086</v>
      </c>
    </row>
    <row r="545" customFormat="false" ht="15" hidden="false" customHeight="false" outlineLevel="0" collapsed="false">
      <c r="A545" s="138" t="s">
        <v>2214</v>
      </c>
      <c r="B545" s="138" t="n">
        <v>543</v>
      </c>
      <c r="C545" s="146" t="n">
        <v>820.071</v>
      </c>
      <c r="D545" s="146" t="n">
        <v>817.308</v>
      </c>
      <c r="E545" s="146" t="n">
        <f aca="false">D545-C545</f>
        <v>-2.76300000000003</v>
      </c>
      <c r="F545" s="138" t="str">
        <f aca="false">IF(E545&gt;=0,"Aterro","Corte")</f>
        <v>Corte</v>
      </c>
      <c r="G545" s="138" t="n">
        <v>-6</v>
      </c>
      <c r="H545" s="138"/>
      <c r="I545" s="138"/>
      <c r="J545" s="138"/>
      <c r="K545" s="138"/>
      <c r="L545" s="138"/>
      <c r="M545" s="138" t="s">
        <v>4086</v>
      </c>
    </row>
    <row r="546" customFormat="false" ht="15" hidden="false" customHeight="false" outlineLevel="0" collapsed="false">
      <c r="A546" s="138" t="s">
        <v>2215</v>
      </c>
      <c r="B546" s="138" t="n">
        <v>544</v>
      </c>
      <c r="C546" s="146" t="n">
        <v>818.674</v>
      </c>
      <c r="D546" s="146" t="n">
        <v>816.108</v>
      </c>
      <c r="E546" s="146" t="n">
        <f aca="false">D546-C546</f>
        <v>-2.56600000000003</v>
      </c>
      <c r="F546" s="138" t="str">
        <f aca="false">IF(E546&gt;=0,"Aterro","Corte")</f>
        <v>Corte</v>
      </c>
      <c r="G546" s="138" t="n">
        <v>-6</v>
      </c>
      <c r="H546" s="138"/>
      <c r="I546" s="138"/>
      <c r="J546" s="138"/>
      <c r="K546" s="138"/>
      <c r="L546" s="138"/>
      <c r="M546" s="138" t="s">
        <v>4086</v>
      </c>
    </row>
    <row r="547" customFormat="false" ht="15" hidden="false" customHeight="false" outlineLevel="0" collapsed="false">
      <c r="A547" s="138" t="s">
        <v>2216</v>
      </c>
      <c r="B547" s="138" t="n">
        <v>545</v>
      </c>
      <c r="C547" s="146" t="n">
        <v>817.125</v>
      </c>
      <c r="D547" s="146" t="n">
        <v>814.908</v>
      </c>
      <c r="E547" s="146" t="n">
        <f aca="false">D547-C547</f>
        <v>-2.21699999999998</v>
      </c>
      <c r="F547" s="138" t="str">
        <f aca="false">IF(E547&gt;=0,"Aterro","Corte")</f>
        <v>Corte</v>
      </c>
      <c r="G547" s="138" t="n">
        <v>-6</v>
      </c>
      <c r="H547" s="138"/>
      <c r="I547" s="138"/>
      <c r="J547" s="138"/>
      <c r="K547" s="138"/>
      <c r="L547" s="138"/>
      <c r="M547" s="138" t="s">
        <v>4086</v>
      </c>
    </row>
    <row r="548" customFormat="false" ht="15" hidden="false" customHeight="false" outlineLevel="0" collapsed="false">
      <c r="A548" s="138" t="s">
        <v>2217</v>
      </c>
      <c r="B548" s="138" t="n">
        <v>546</v>
      </c>
      <c r="C548" s="146" t="n">
        <v>815.56</v>
      </c>
      <c r="D548" s="146" t="n">
        <v>813.708</v>
      </c>
      <c r="E548" s="146" t="n">
        <f aca="false">D548-C548</f>
        <v>-1.85199999999998</v>
      </c>
      <c r="F548" s="138" t="str">
        <f aca="false">IF(E548&gt;=0,"Aterro","Corte")</f>
        <v>Corte</v>
      </c>
      <c r="G548" s="138" t="n">
        <v>-6</v>
      </c>
      <c r="H548" s="138"/>
      <c r="I548" s="138"/>
      <c r="J548" s="138"/>
      <c r="K548" s="138"/>
      <c r="L548" s="138"/>
      <c r="M548" s="138" t="s">
        <v>4086</v>
      </c>
    </row>
    <row r="549" customFormat="false" ht="15" hidden="false" customHeight="false" outlineLevel="0" collapsed="false">
      <c r="A549" s="138" t="s">
        <v>2218</v>
      </c>
      <c r="B549" s="138" t="n">
        <v>547</v>
      </c>
      <c r="C549" s="146" t="n">
        <v>814.175</v>
      </c>
      <c r="D549" s="146" t="n">
        <v>812.508</v>
      </c>
      <c r="E549" s="146" t="n">
        <f aca="false">D549-C549</f>
        <v>-1.66699999999992</v>
      </c>
      <c r="F549" s="138" t="str">
        <f aca="false">IF(E549&gt;=0,"Aterro","Corte")</f>
        <v>Corte</v>
      </c>
      <c r="G549" s="138" t="n">
        <v>-6</v>
      </c>
      <c r="H549" s="138"/>
      <c r="I549" s="138"/>
      <c r="J549" s="138"/>
      <c r="K549" s="138"/>
      <c r="L549" s="138"/>
      <c r="M549" s="138" t="s">
        <v>4086</v>
      </c>
    </row>
    <row r="550" customFormat="false" ht="15" hidden="false" customHeight="false" outlineLevel="0" collapsed="false">
      <c r="A550" s="138" t="s">
        <v>2219</v>
      </c>
      <c r="B550" s="138" t="n">
        <v>548</v>
      </c>
      <c r="C550" s="146" t="n">
        <v>812.372</v>
      </c>
      <c r="D550" s="146" t="n">
        <v>811.308</v>
      </c>
      <c r="E550" s="146" t="n">
        <f aca="false">D550-C550</f>
        <v>-1.06399999999996</v>
      </c>
      <c r="F550" s="138" t="str">
        <f aca="false">IF(E550&gt;=0,"Aterro","Corte")</f>
        <v>Corte</v>
      </c>
      <c r="G550" s="138" t="n">
        <v>-6</v>
      </c>
      <c r="H550" s="138"/>
      <c r="I550" s="138"/>
      <c r="J550" s="138"/>
      <c r="K550" s="138" t="s">
        <v>4087</v>
      </c>
      <c r="L550" s="138" t="n">
        <v>2500</v>
      </c>
      <c r="M550" s="138" t="s">
        <v>4086</v>
      </c>
    </row>
    <row r="551" customFormat="false" ht="15" hidden="false" customHeight="false" outlineLevel="0" collapsed="false">
      <c r="A551" s="138" t="s">
        <v>2220</v>
      </c>
      <c r="B551" s="138" t="n">
        <v>549</v>
      </c>
      <c r="C551" s="146" t="n">
        <v>810.899</v>
      </c>
      <c r="D551" s="146" t="n">
        <v>810.108</v>
      </c>
      <c r="E551" s="146" t="n">
        <f aca="false">D551-C551</f>
        <v>-0.791000000000054</v>
      </c>
      <c r="F551" s="138" t="str">
        <f aca="false">IF(E551&gt;=0,"Aterro","Corte")</f>
        <v>Corte</v>
      </c>
      <c r="G551" s="138" t="n">
        <v>-6</v>
      </c>
      <c r="H551" s="138"/>
      <c r="I551" s="138"/>
      <c r="J551" s="138"/>
      <c r="K551" s="138" t="s">
        <v>4087</v>
      </c>
      <c r="L551" s="138" t="n">
        <v>2500</v>
      </c>
      <c r="M551" s="138" t="s">
        <v>4086</v>
      </c>
    </row>
    <row r="552" customFormat="false" ht="15" hidden="false" customHeight="false" outlineLevel="0" collapsed="false">
      <c r="A552" s="138" t="s">
        <v>2221</v>
      </c>
      <c r="B552" s="138" t="n">
        <v>550</v>
      </c>
      <c r="C552" s="146" t="n">
        <v>809.561</v>
      </c>
      <c r="D552" s="146" t="n">
        <v>808.908</v>
      </c>
      <c r="E552" s="146" t="n">
        <f aca="false">D552-C552</f>
        <v>-0.65300000000002</v>
      </c>
      <c r="F552" s="138" t="str">
        <f aca="false">IF(E552&gt;=0,"Aterro","Corte")</f>
        <v>Corte</v>
      </c>
      <c r="G552" s="138" t="n">
        <v>-6</v>
      </c>
      <c r="H552" s="138"/>
      <c r="I552" s="138"/>
      <c r="J552" s="138"/>
      <c r="K552" s="138"/>
      <c r="L552" s="138"/>
      <c r="M552" s="138" t="s">
        <v>4086</v>
      </c>
    </row>
    <row r="553" customFormat="false" ht="15" hidden="false" customHeight="false" outlineLevel="0" collapsed="false">
      <c r="A553" s="138" t="s">
        <v>2222</v>
      </c>
      <c r="B553" s="138" t="n">
        <v>551</v>
      </c>
      <c r="C553" s="146" t="n">
        <v>808.262</v>
      </c>
      <c r="D553" s="146" t="n">
        <v>807.708</v>
      </c>
      <c r="E553" s="146" t="n">
        <f aca="false">D553-C553</f>
        <v>-0.553999999999974</v>
      </c>
      <c r="F553" s="138" t="str">
        <f aca="false">IF(E553&gt;=0,"Aterro","Corte")</f>
        <v>Corte</v>
      </c>
      <c r="G553" s="138" t="n">
        <v>-6</v>
      </c>
      <c r="H553" s="138"/>
      <c r="I553" s="138"/>
      <c r="J553" s="138"/>
      <c r="K553" s="138"/>
      <c r="L553" s="138"/>
      <c r="M553" s="138" t="s">
        <v>4086</v>
      </c>
    </row>
    <row r="554" customFormat="false" ht="15" hidden="false" customHeight="false" outlineLevel="0" collapsed="false">
      <c r="A554" s="138" t="s">
        <v>2223</v>
      </c>
      <c r="B554" s="138" t="n">
        <v>552</v>
      </c>
      <c r="C554" s="146" t="n">
        <v>807.085</v>
      </c>
      <c r="D554" s="146" t="n">
        <v>806.508</v>
      </c>
      <c r="E554" s="146" t="n">
        <f aca="false">D554-C554</f>
        <v>-0.576999999999998</v>
      </c>
      <c r="F554" s="138" t="str">
        <f aca="false">IF(E554&gt;=0,"Aterro","Corte")</f>
        <v>Corte</v>
      </c>
      <c r="G554" s="138" t="n">
        <v>-6</v>
      </c>
      <c r="H554" s="138"/>
      <c r="I554" s="138"/>
      <c r="J554" s="138"/>
      <c r="K554" s="138"/>
      <c r="L554" s="138"/>
      <c r="M554" s="138" t="s">
        <v>4086</v>
      </c>
    </row>
    <row r="555" customFormat="false" ht="15" hidden="false" customHeight="false" outlineLevel="0" collapsed="false">
      <c r="A555" s="138" t="s">
        <v>2224</v>
      </c>
      <c r="B555" s="138" t="n">
        <v>553</v>
      </c>
      <c r="C555" s="146" t="n">
        <v>805.96</v>
      </c>
      <c r="D555" s="146" t="n">
        <v>805.308</v>
      </c>
      <c r="E555" s="146" t="n">
        <f aca="false">D555-C555</f>
        <v>-0.652000000000044</v>
      </c>
      <c r="F555" s="138" t="str">
        <f aca="false">IF(E555&gt;=0,"Aterro","Corte")</f>
        <v>Corte</v>
      </c>
      <c r="G555" s="138" t="n">
        <v>-6</v>
      </c>
      <c r="H555" s="138"/>
      <c r="I555" s="138"/>
      <c r="J555" s="138"/>
      <c r="K555" s="138"/>
      <c r="L555" s="138"/>
      <c r="M555" s="138" t="s">
        <v>4086</v>
      </c>
    </row>
    <row r="556" customFormat="false" ht="15" hidden="false" customHeight="false" outlineLevel="0" collapsed="false">
      <c r="A556" s="138" t="s">
        <v>2225</v>
      </c>
      <c r="B556" s="138" t="n">
        <v>554</v>
      </c>
      <c r="C556" s="146" t="n">
        <v>804.588</v>
      </c>
      <c r="D556" s="146" t="n">
        <v>804.108</v>
      </c>
      <c r="E556" s="146" t="n">
        <f aca="false">D556-C556</f>
        <v>-0.480000000000018</v>
      </c>
      <c r="F556" s="138" t="str">
        <f aca="false">IF(E556&gt;=0,"Aterro","Corte")</f>
        <v>Corte</v>
      </c>
      <c r="G556" s="138" t="n">
        <v>-6</v>
      </c>
      <c r="H556" s="138"/>
      <c r="I556" s="138"/>
      <c r="J556" s="138"/>
      <c r="K556" s="138"/>
      <c r="L556" s="138"/>
      <c r="M556" s="138" t="s">
        <v>4086</v>
      </c>
    </row>
    <row r="557" customFormat="false" ht="15" hidden="false" customHeight="false" outlineLevel="0" collapsed="false">
      <c r="A557" s="138" t="s">
        <v>2226</v>
      </c>
      <c r="B557" s="138" t="n">
        <v>555</v>
      </c>
      <c r="C557" s="146" t="n">
        <v>803.137</v>
      </c>
      <c r="D557" s="146" t="n">
        <v>802.908</v>
      </c>
      <c r="E557" s="146" t="n">
        <f aca="false">D557-C557</f>
        <v>-0.228999999999928</v>
      </c>
      <c r="F557" s="138" t="str">
        <f aca="false">IF(E557&gt;=0,"Aterro","Corte")</f>
        <v>Corte</v>
      </c>
      <c r="G557" s="138" t="n">
        <v>-6</v>
      </c>
      <c r="H557" s="138"/>
      <c r="I557" s="138"/>
      <c r="J557" s="138"/>
      <c r="K557" s="138"/>
      <c r="L557" s="138"/>
      <c r="M557" s="138" t="s">
        <v>4086</v>
      </c>
    </row>
    <row r="558" customFormat="false" ht="15" hidden="false" customHeight="false" outlineLevel="0" collapsed="false">
      <c r="A558" s="138" t="s">
        <v>2227</v>
      </c>
      <c r="B558" s="138" t="n">
        <v>556</v>
      </c>
      <c r="C558" s="146" t="n">
        <v>801.709</v>
      </c>
      <c r="D558" s="146" t="n">
        <v>801.708</v>
      </c>
      <c r="E558" s="146" t="n">
        <f aca="false">D558-C558</f>
        <v>-0.000999999999976353</v>
      </c>
      <c r="F558" s="138" t="str">
        <f aca="false">IF(E558&gt;=0,"Aterro","Corte")</f>
        <v>Corte</v>
      </c>
      <c r="G558" s="138" t="n">
        <v>-6</v>
      </c>
      <c r="H558" s="138"/>
      <c r="I558" s="138"/>
      <c r="J558" s="138"/>
      <c r="K558" s="138"/>
      <c r="L558" s="138"/>
      <c r="M558" s="138" t="s">
        <v>4086</v>
      </c>
    </row>
    <row r="559" customFormat="false" ht="15" hidden="false" customHeight="false" outlineLevel="0" collapsed="false">
      <c r="A559" s="138" t="s">
        <v>2228</v>
      </c>
      <c r="B559" s="138" t="n">
        <v>557</v>
      </c>
      <c r="C559" s="146" t="n">
        <v>800.334</v>
      </c>
      <c r="D559" s="146" t="n">
        <v>800.508</v>
      </c>
      <c r="E559" s="146" t="n">
        <f aca="false">D559-C559</f>
        <v>0.174000000000092</v>
      </c>
      <c r="F559" s="138" t="str">
        <f aca="false">IF(E559&gt;=0,"Aterro","Corte")</f>
        <v>Aterro</v>
      </c>
      <c r="G559" s="138" t="n">
        <v>-6</v>
      </c>
      <c r="H559" s="138" t="s">
        <v>4088</v>
      </c>
      <c r="I559" s="138" t="s">
        <v>4021</v>
      </c>
      <c r="J559" s="138" t="n">
        <v>21.819</v>
      </c>
      <c r="K559" s="138"/>
      <c r="L559" s="138"/>
      <c r="M559" s="138" t="s">
        <v>4086</v>
      </c>
    </row>
    <row r="560" customFormat="false" ht="15" hidden="false" customHeight="false" outlineLevel="0" collapsed="false">
      <c r="A560" s="138" t="s">
        <v>2229</v>
      </c>
      <c r="B560" s="138" t="n">
        <v>558</v>
      </c>
      <c r="C560" s="146" t="n">
        <v>798.638</v>
      </c>
      <c r="D560" s="146" t="n">
        <v>799.405</v>
      </c>
      <c r="E560" s="146" t="n">
        <f aca="false">D560-C560</f>
        <v>0.766999999999939</v>
      </c>
      <c r="F560" s="138" t="str">
        <f aca="false">IF(E560&gt;=0,"Aterro","Corte")</f>
        <v>Aterro</v>
      </c>
      <c r="G560" s="138" t="n">
        <v>-6</v>
      </c>
      <c r="H560" s="138" t="s">
        <v>4088</v>
      </c>
      <c r="I560" s="138" t="s">
        <v>4021</v>
      </c>
      <c r="J560" s="138" t="n">
        <v>21.819</v>
      </c>
      <c r="K560" s="138"/>
      <c r="L560" s="138"/>
      <c r="M560" s="138" t="s">
        <v>4086</v>
      </c>
    </row>
    <row r="561" customFormat="false" ht="15" hidden="false" customHeight="false" outlineLevel="0" collapsed="false">
      <c r="A561" s="138" t="s">
        <v>2230</v>
      </c>
      <c r="B561" s="138" t="n">
        <v>559</v>
      </c>
      <c r="C561" s="146" t="n">
        <v>796.99</v>
      </c>
      <c r="D561" s="146" t="n">
        <v>798.486</v>
      </c>
      <c r="E561" s="146" t="n">
        <f aca="false">D561-C561</f>
        <v>1.49599999999998</v>
      </c>
      <c r="F561" s="138" t="str">
        <f aca="false">IF(E561&gt;=0,"Aterro","Corte")</f>
        <v>Aterro</v>
      </c>
      <c r="G561" s="138" t="n">
        <v>-6</v>
      </c>
      <c r="H561" s="138" t="s">
        <v>4088</v>
      </c>
      <c r="I561" s="138" t="s">
        <v>4021</v>
      </c>
      <c r="J561" s="138" t="n">
        <v>21.819</v>
      </c>
      <c r="K561" s="138"/>
      <c r="L561" s="138"/>
      <c r="M561" s="138" t="s">
        <v>4086</v>
      </c>
    </row>
    <row r="562" customFormat="false" ht="15" hidden="false" customHeight="false" outlineLevel="0" collapsed="false">
      <c r="A562" s="138" t="s">
        <v>2231</v>
      </c>
      <c r="B562" s="138" t="n">
        <v>560</v>
      </c>
      <c r="C562" s="146" t="n">
        <v>795.608</v>
      </c>
      <c r="D562" s="146" t="n">
        <v>797.75</v>
      </c>
      <c r="E562" s="146" t="n">
        <f aca="false">D562-C562</f>
        <v>2.14200000000005</v>
      </c>
      <c r="F562" s="138" t="str">
        <f aca="false">IF(E562&gt;=0,"Aterro","Corte")</f>
        <v>Aterro</v>
      </c>
      <c r="G562" s="138" t="n">
        <v>-0.5</v>
      </c>
      <c r="H562" s="138" t="s">
        <v>4088</v>
      </c>
      <c r="I562" s="138" t="s">
        <v>4021</v>
      </c>
      <c r="J562" s="138" t="n">
        <v>21.819</v>
      </c>
      <c r="K562" s="138"/>
      <c r="L562" s="138"/>
      <c r="M562" s="138" t="s">
        <v>4086</v>
      </c>
    </row>
    <row r="563" customFormat="false" ht="15" hidden="false" customHeight="false" outlineLevel="0" collapsed="false">
      <c r="A563" s="138" t="s">
        <v>2232</v>
      </c>
      <c r="B563" s="138" t="n">
        <v>561</v>
      </c>
      <c r="C563" s="146" t="n">
        <v>794.601</v>
      </c>
      <c r="D563" s="146" t="n">
        <v>797.197</v>
      </c>
      <c r="E563" s="146" t="n">
        <f aca="false">D563-C563</f>
        <v>2.596</v>
      </c>
      <c r="F563" s="138" t="str">
        <f aca="false">IF(E563&gt;=0,"Aterro","Corte")</f>
        <v>Aterro</v>
      </c>
      <c r="G563" s="138" t="n">
        <v>-0.5</v>
      </c>
      <c r="H563" s="138" t="s">
        <v>4088</v>
      </c>
      <c r="I563" s="138" t="s">
        <v>4021</v>
      </c>
      <c r="J563" s="138" t="n">
        <v>21.819</v>
      </c>
      <c r="K563" s="138"/>
      <c r="L563" s="138"/>
      <c r="M563" s="138" t="s">
        <v>4086</v>
      </c>
    </row>
    <row r="564" customFormat="false" ht="15" hidden="false" customHeight="false" outlineLevel="0" collapsed="false">
      <c r="A564" s="138" t="s">
        <v>2234</v>
      </c>
      <c r="B564" s="138" t="n">
        <v>562</v>
      </c>
      <c r="C564" s="146" t="n">
        <v>794.075</v>
      </c>
      <c r="D564" s="146" t="n">
        <v>796.828</v>
      </c>
      <c r="E564" s="146" t="n">
        <f aca="false">D564-C564</f>
        <v>2.75299999999993</v>
      </c>
      <c r="F564" s="138" t="str">
        <f aca="false">IF(E564&gt;=0,"Aterro","Corte")</f>
        <v>Aterro</v>
      </c>
      <c r="G564" s="138" t="n">
        <v>-0.5</v>
      </c>
      <c r="H564" s="138" t="s">
        <v>4088</v>
      </c>
      <c r="I564" s="138" t="s">
        <v>4021</v>
      </c>
      <c r="J564" s="138" t="n">
        <v>21.819</v>
      </c>
      <c r="K564" s="138"/>
      <c r="L564" s="138"/>
      <c r="M564" s="138" t="s">
        <v>4086</v>
      </c>
    </row>
    <row r="565" customFormat="false" ht="15" hidden="false" customHeight="false" outlineLevel="0" collapsed="false">
      <c r="A565" s="138" t="s">
        <v>2235</v>
      </c>
      <c r="B565" s="138" t="n">
        <v>563</v>
      </c>
      <c r="C565" s="146" t="n">
        <v>793.635</v>
      </c>
      <c r="D565" s="146" t="n">
        <v>796.642</v>
      </c>
      <c r="E565" s="146" t="n">
        <f aca="false">D565-C565</f>
        <v>3.00700000000006</v>
      </c>
      <c r="F565" s="138" t="str">
        <f aca="false">IF(E565&gt;=0,"Aterro","Corte")</f>
        <v>Aterro</v>
      </c>
      <c r="G565" s="138" t="n">
        <v>-0.5</v>
      </c>
      <c r="H565" s="138"/>
      <c r="I565" s="138"/>
      <c r="J565" s="138"/>
      <c r="K565" s="138"/>
      <c r="L565" s="138"/>
      <c r="M565" s="138" t="s">
        <v>4086</v>
      </c>
    </row>
    <row r="566" customFormat="false" ht="15" hidden="false" customHeight="false" outlineLevel="0" collapsed="false">
      <c r="A566" s="138" t="s">
        <v>2236</v>
      </c>
      <c r="B566" s="138" t="n">
        <v>564</v>
      </c>
      <c r="C566" s="146" t="n">
        <v>793.327</v>
      </c>
      <c r="D566" s="146" t="n">
        <v>796.542</v>
      </c>
      <c r="E566" s="146" t="n">
        <f aca="false">D566-C566</f>
        <v>3.21500000000003</v>
      </c>
      <c r="F566" s="138" t="str">
        <f aca="false">IF(E566&gt;=0,"Aterro","Corte")</f>
        <v>Aterro</v>
      </c>
      <c r="G566" s="138" t="n">
        <v>-0.5</v>
      </c>
      <c r="H566" s="138"/>
      <c r="I566" s="138"/>
      <c r="J566" s="138"/>
      <c r="K566" s="138"/>
      <c r="L566" s="138"/>
      <c r="M566" s="138" t="s">
        <v>4086</v>
      </c>
    </row>
    <row r="567" customFormat="false" ht="15" hidden="false" customHeight="false" outlineLevel="0" collapsed="false">
      <c r="A567" s="138" t="s">
        <v>2237</v>
      </c>
      <c r="B567" s="138" t="n">
        <v>565</v>
      </c>
      <c r="C567" s="146" t="n">
        <v>793.082</v>
      </c>
      <c r="D567" s="146" t="n">
        <v>796.442</v>
      </c>
      <c r="E567" s="146" t="n">
        <f aca="false">D567-C567</f>
        <v>3.36000000000001</v>
      </c>
      <c r="F567" s="138" t="str">
        <f aca="false">IF(E567&gt;=0,"Aterro","Corte")</f>
        <v>Aterro</v>
      </c>
      <c r="G567" s="138" t="n">
        <v>-0.5</v>
      </c>
      <c r="H567" s="138"/>
      <c r="I567" s="138"/>
      <c r="J567" s="138"/>
      <c r="K567" s="138"/>
      <c r="L567" s="138"/>
      <c r="M567" s="138" t="s">
        <v>4086</v>
      </c>
    </row>
    <row r="568" customFormat="false" ht="15" hidden="false" customHeight="false" outlineLevel="0" collapsed="false">
      <c r="A568" s="138" t="s">
        <v>2238</v>
      </c>
      <c r="B568" s="138" t="n">
        <v>566</v>
      </c>
      <c r="C568" s="146" t="n">
        <v>792.965</v>
      </c>
      <c r="D568" s="146" t="n">
        <v>796.342</v>
      </c>
      <c r="E568" s="146" t="n">
        <f aca="false">D568-C568</f>
        <v>3.37699999999995</v>
      </c>
      <c r="F568" s="138" t="str">
        <f aca="false">IF(E568&gt;=0,"Aterro","Corte")</f>
        <v>Aterro</v>
      </c>
      <c r="G568" s="138" t="n">
        <v>-0.5</v>
      </c>
      <c r="H568" s="138"/>
      <c r="I568" s="138"/>
      <c r="J568" s="138"/>
      <c r="K568" s="138"/>
      <c r="L568" s="138"/>
      <c r="M568" s="138" t="s">
        <v>4086</v>
      </c>
    </row>
    <row r="569" customFormat="false" ht="15" hidden="false" customHeight="false" outlineLevel="0" collapsed="false">
      <c r="A569" s="138" t="s">
        <v>2239</v>
      </c>
      <c r="B569" s="138" t="n">
        <v>567</v>
      </c>
      <c r="C569" s="146" t="n">
        <v>792.832</v>
      </c>
      <c r="D569" s="146" t="n">
        <v>796.241</v>
      </c>
      <c r="E569" s="146" t="n">
        <f aca="false">D569-C569</f>
        <v>3.40899999999999</v>
      </c>
      <c r="F569" s="138" t="str">
        <f aca="false">IF(E569&gt;=0,"Aterro","Corte")</f>
        <v>Aterro</v>
      </c>
      <c r="G569" s="138" t="n">
        <v>-0.5</v>
      </c>
      <c r="H569" s="138"/>
      <c r="I569" s="138"/>
      <c r="J569" s="138"/>
      <c r="K569" s="138"/>
      <c r="L569" s="138"/>
      <c r="M569" s="138" t="s">
        <v>4086</v>
      </c>
    </row>
    <row r="570" customFormat="false" ht="15" hidden="false" customHeight="false" outlineLevel="0" collapsed="false">
      <c r="A570" s="138" t="s">
        <v>2240</v>
      </c>
      <c r="B570" s="138" t="n">
        <v>568</v>
      </c>
      <c r="C570" s="146" t="n">
        <v>792.753</v>
      </c>
      <c r="D570" s="146" t="n">
        <v>796.141</v>
      </c>
      <c r="E570" s="146" t="n">
        <f aca="false">D570-C570</f>
        <v>3.38799999999992</v>
      </c>
      <c r="F570" s="138" t="str">
        <f aca="false">IF(E570&gt;=0,"Aterro","Corte")</f>
        <v>Aterro</v>
      </c>
      <c r="G570" s="138" t="n">
        <v>-0.5</v>
      </c>
      <c r="H570" s="138"/>
      <c r="I570" s="138"/>
      <c r="J570" s="138"/>
      <c r="K570" s="138"/>
      <c r="L570" s="138"/>
      <c r="M570" s="138" t="s">
        <v>4086</v>
      </c>
    </row>
    <row r="571" customFormat="false" ht="15" hidden="false" customHeight="false" outlineLevel="0" collapsed="false">
      <c r="A571" s="138" t="s">
        <v>2241</v>
      </c>
      <c r="B571" s="138" t="n">
        <v>569</v>
      </c>
      <c r="C571" s="146" t="n">
        <v>792.772</v>
      </c>
      <c r="D571" s="146" t="n">
        <v>796.041</v>
      </c>
      <c r="E571" s="146" t="n">
        <f aca="false">D571-C571</f>
        <v>3.26900000000001</v>
      </c>
      <c r="F571" s="138" t="str">
        <f aca="false">IF(E571&gt;=0,"Aterro","Corte")</f>
        <v>Aterro</v>
      </c>
      <c r="G571" s="138" t="n">
        <v>-0.5</v>
      </c>
      <c r="H571" s="138"/>
      <c r="I571" s="138"/>
      <c r="J571" s="138"/>
      <c r="K571" s="138"/>
      <c r="L571" s="138"/>
      <c r="M571" s="138" t="s">
        <v>4086</v>
      </c>
    </row>
    <row r="572" customFormat="false" ht="15" hidden="false" customHeight="false" outlineLevel="0" collapsed="false">
      <c r="A572" s="138" t="s">
        <v>2242</v>
      </c>
      <c r="B572" s="138" t="n">
        <v>570</v>
      </c>
      <c r="C572" s="146" t="n">
        <v>792.747</v>
      </c>
      <c r="D572" s="146" t="n">
        <v>795.941</v>
      </c>
      <c r="E572" s="146" t="n">
        <f aca="false">D572-C572</f>
        <v>3.19400000000007</v>
      </c>
      <c r="F572" s="138" t="str">
        <f aca="false">IF(E572&gt;=0,"Aterro","Corte")</f>
        <v>Aterro</v>
      </c>
      <c r="G572" s="138" t="n">
        <v>-0.5</v>
      </c>
      <c r="H572" s="138"/>
      <c r="I572" s="138"/>
      <c r="J572" s="138"/>
      <c r="K572" s="138"/>
      <c r="L572" s="138"/>
      <c r="M572" s="138" t="s">
        <v>4086</v>
      </c>
    </row>
    <row r="573" customFormat="false" ht="15" hidden="false" customHeight="false" outlineLevel="0" collapsed="false">
      <c r="A573" s="138" t="s">
        <v>2243</v>
      </c>
      <c r="B573" s="138" t="n">
        <v>571</v>
      </c>
      <c r="C573" s="146" t="n">
        <v>792.867</v>
      </c>
      <c r="D573" s="146" t="n">
        <v>795.841</v>
      </c>
      <c r="E573" s="146" t="n">
        <f aca="false">D573-C573</f>
        <v>2.97400000000005</v>
      </c>
      <c r="F573" s="138" t="str">
        <f aca="false">IF(E573&gt;=0,"Aterro","Corte")</f>
        <v>Aterro</v>
      </c>
      <c r="G573" s="138" t="n">
        <v>-0.5</v>
      </c>
      <c r="H573" s="138"/>
      <c r="I573" s="138"/>
      <c r="J573" s="138"/>
      <c r="K573" s="138"/>
      <c r="L573" s="138"/>
      <c r="M573" s="138" t="s">
        <v>4086</v>
      </c>
    </row>
    <row r="574" customFormat="false" ht="15" hidden="false" customHeight="false" outlineLevel="0" collapsed="false">
      <c r="A574" s="138" t="s">
        <v>2244</v>
      </c>
      <c r="B574" s="138" t="n">
        <v>572</v>
      </c>
      <c r="C574" s="146" t="n">
        <v>793.112</v>
      </c>
      <c r="D574" s="146" t="n">
        <v>795.741</v>
      </c>
      <c r="E574" s="146" t="n">
        <f aca="false">D574-C574</f>
        <v>2.62900000000002</v>
      </c>
      <c r="F574" s="138" t="str">
        <f aca="false">IF(E574&gt;=0,"Aterro","Corte")</f>
        <v>Aterro</v>
      </c>
      <c r="G574" s="138" t="n">
        <v>-0.5</v>
      </c>
      <c r="H574" s="138"/>
      <c r="I574" s="138"/>
      <c r="J574" s="138"/>
      <c r="K574" s="138"/>
      <c r="L574" s="138"/>
      <c r="M574" s="138" t="s">
        <v>4086</v>
      </c>
    </row>
    <row r="575" customFormat="false" ht="15" hidden="false" customHeight="false" outlineLevel="0" collapsed="false">
      <c r="A575" s="138" t="s">
        <v>2246</v>
      </c>
      <c r="B575" s="138" t="n">
        <v>573</v>
      </c>
      <c r="C575" s="146" t="n">
        <v>793.095</v>
      </c>
      <c r="D575" s="146" t="n">
        <v>795.641</v>
      </c>
      <c r="E575" s="146" t="n">
        <f aca="false">D575-C575</f>
        <v>2.54599999999994</v>
      </c>
      <c r="F575" s="138" t="str">
        <f aca="false">IF(E575&gt;=0,"Aterro","Corte")</f>
        <v>Aterro</v>
      </c>
      <c r="G575" s="138" t="n">
        <v>-0.5</v>
      </c>
      <c r="H575" s="138"/>
      <c r="I575" s="138"/>
      <c r="J575" s="138"/>
      <c r="K575" s="138"/>
      <c r="L575" s="138"/>
      <c r="M575" s="138" t="s">
        <v>4086</v>
      </c>
    </row>
    <row r="576" customFormat="false" ht="15" hidden="false" customHeight="false" outlineLevel="0" collapsed="false">
      <c r="A576" s="138" t="s">
        <v>2247</v>
      </c>
      <c r="B576" s="138" t="n">
        <v>574</v>
      </c>
      <c r="C576" s="146" t="n">
        <v>793.14</v>
      </c>
      <c r="D576" s="146" t="n">
        <v>795.541</v>
      </c>
      <c r="E576" s="146" t="n">
        <f aca="false">D576-C576</f>
        <v>2.40100000000007</v>
      </c>
      <c r="F576" s="138" t="str">
        <f aca="false">IF(E576&gt;=0,"Aterro","Corte")</f>
        <v>Aterro</v>
      </c>
      <c r="G576" s="138" t="n">
        <v>-0.5</v>
      </c>
      <c r="H576" s="138"/>
      <c r="I576" s="138"/>
      <c r="J576" s="138"/>
      <c r="K576" s="138"/>
      <c r="L576" s="138"/>
      <c r="M576" s="138" t="s">
        <v>4086</v>
      </c>
    </row>
    <row r="577" customFormat="false" ht="15" hidden="false" customHeight="false" outlineLevel="0" collapsed="false">
      <c r="A577" s="138" t="s">
        <v>2248</v>
      </c>
      <c r="B577" s="138" t="n">
        <v>575</v>
      </c>
      <c r="C577" s="146" t="n">
        <v>793.245</v>
      </c>
      <c r="D577" s="146" t="n">
        <v>795.441</v>
      </c>
      <c r="E577" s="146" t="n">
        <f aca="false">D577-C577</f>
        <v>2.19600000000003</v>
      </c>
      <c r="F577" s="138" t="str">
        <f aca="false">IF(E577&gt;=0,"Aterro","Corte")</f>
        <v>Aterro</v>
      </c>
      <c r="G577" s="138" t="n">
        <v>-0.5</v>
      </c>
      <c r="H577" s="138"/>
      <c r="I577" s="138"/>
      <c r="J577" s="138"/>
      <c r="K577" s="138"/>
      <c r="L577" s="138"/>
      <c r="M577" s="138" t="s">
        <v>4086</v>
      </c>
    </row>
    <row r="578" customFormat="false" ht="15" hidden="false" customHeight="false" outlineLevel="0" collapsed="false">
      <c r="A578" s="138" t="s">
        <v>2249</v>
      </c>
      <c r="B578" s="138" t="n">
        <v>576</v>
      </c>
      <c r="C578" s="146" t="n">
        <v>793.292</v>
      </c>
      <c r="D578" s="146" t="n">
        <v>795.341</v>
      </c>
      <c r="E578" s="146" t="n">
        <f aca="false">D578-C578</f>
        <v>2.04899999999998</v>
      </c>
      <c r="F578" s="138" t="str">
        <f aca="false">IF(E578&gt;=0,"Aterro","Corte")</f>
        <v>Aterro</v>
      </c>
      <c r="G578" s="138" t="n">
        <v>-0.5</v>
      </c>
      <c r="H578" s="138"/>
      <c r="I578" s="138"/>
      <c r="J578" s="138"/>
      <c r="K578" s="138" t="s">
        <v>4089</v>
      </c>
      <c r="L578" s="138" t="n">
        <v>2500</v>
      </c>
      <c r="M578" s="138" t="s">
        <v>4086</v>
      </c>
    </row>
    <row r="579" customFormat="false" ht="15" hidden="false" customHeight="false" outlineLevel="0" collapsed="false">
      <c r="A579" s="138" t="s">
        <v>2250</v>
      </c>
      <c r="B579" s="138" t="n">
        <v>577</v>
      </c>
      <c r="C579" s="146" t="n">
        <v>793.182</v>
      </c>
      <c r="D579" s="146" t="n">
        <v>795.241</v>
      </c>
      <c r="E579" s="146" t="n">
        <f aca="false">D579-C579</f>
        <v>2.05899999999997</v>
      </c>
      <c r="F579" s="138" t="str">
        <f aca="false">IF(E579&gt;=0,"Aterro","Corte")</f>
        <v>Aterro</v>
      </c>
      <c r="G579" s="138" t="n">
        <v>-0.5</v>
      </c>
      <c r="H579" s="138"/>
      <c r="I579" s="138"/>
      <c r="J579" s="138"/>
      <c r="K579" s="138" t="s">
        <v>4089</v>
      </c>
      <c r="L579" s="138" t="n">
        <v>2500</v>
      </c>
      <c r="M579" s="138" t="s">
        <v>4090</v>
      </c>
    </row>
    <row r="580" customFormat="false" ht="15" hidden="false" customHeight="false" outlineLevel="0" collapsed="false">
      <c r="A580" s="138" t="s">
        <v>2251</v>
      </c>
      <c r="B580" s="138" t="n">
        <v>578</v>
      </c>
      <c r="C580" s="146" t="n">
        <v>792.977</v>
      </c>
      <c r="D580" s="146" t="n">
        <v>795.141</v>
      </c>
      <c r="E580" s="146" t="n">
        <f aca="false">D580-C580</f>
        <v>2.16399999999999</v>
      </c>
      <c r="F580" s="138" t="str">
        <f aca="false">IF(E580&gt;=0,"Aterro","Corte")</f>
        <v>Aterro</v>
      </c>
      <c r="G580" s="138" t="n">
        <v>-0.5</v>
      </c>
      <c r="H580" s="138"/>
      <c r="I580" s="138"/>
      <c r="J580" s="138"/>
      <c r="K580" s="138"/>
      <c r="L580" s="138"/>
      <c r="M580" s="138" t="s">
        <v>4090</v>
      </c>
    </row>
    <row r="581" customFormat="false" ht="15" hidden="false" customHeight="false" outlineLevel="0" collapsed="false">
      <c r="A581" s="138" t="s">
        <v>2252</v>
      </c>
      <c r="B581" s="138" t="n">
        <v>579</v>
      </c>
      <c r="C581" s="146" t="n">
        <v>792.864</v>
      </c>
      <c r="D581" s="146" t="n">
        <v>795.041</v>
      </c>
      <c r="E581" s="146" t="n">
        <f aca="false">D581-C581</f>
        <v>2.17700000000002</v>
      </c>
      <c r="F581" s="138" t="str">
        <f aca="false">IF(E581&gt;=0,"Aterro","Corte")</f>
        <v>Aterro</v>
      </c>
      <c r="G581" s="138" t="n">
        <v>-0.5</v>
      </c>
      <c r="H581" s="138"/>
      <c r="I581" s="138"/>
      <c r="J581" s="138"/>
      <c r="K581" s="138"/>
      <c r="L581" s="138"/>
      <c r="M581" s="138" t="s">
        <v>4090</v>
      </c>
    </row>
    <row r="582" customFormat="false" ht="15" hidden="false" customHeight="false" outlineLevel="0" collapsed="false">
      <c r="A582" s="138" t="s">
        <v>2253</v>
      </c>
      <c r="B582" s="138" t="n">
        <v>580</v>
      </c>
      <c r="C582" s="146" t="n">
        <v>792.779</v>
      </c>
      <c r="D582" s="146" t="n">
        <v>794.941</v>
      </c>
      <c r="E582" s="146" t="n">
        <f aca="false">D582-C582</f>
        <v>2.16200000000003</v>
      </c>
      <c r="F582" s="138" t="str">
        <f aca="false">IF(E582&gt;=0,"Aterro","Corte")</f>
        <v>Aterro</v>
      </c>
      <c r="G582" s="138" t="n">
        <v>-0.5</v>
      </c>
      <c r="H582" s="138"/>
      <c r="I582" s="138"/>
      <c r="J582" s="138"/>
      <c r="K582" s="138"/>
      <c r="L582" s="138"/>
      <c r="M582" s="138" t="s">
        <v>4090</v>
      </c>
    </row>
    <row r="583" customFormat="false" ht="15" hidden="false" customHeight="false" outlineLevel="0" collapsed="false">
      <c r="A583" s="138" t="s">
        <v>2254</v>
      </c>
      <c r="B583" s="138" t="n">
        <v>581</v>
      </c>
      <c r="C583" s="146" t="n">
        <v>792.76</v>
      </c>
      <c r="D583" s="146" t="n">
        <v>794.841</v>
      </c>
      <c r="E583" s="146" t="n">
        <f aca="false">D583-C583</f>
        <v>2.08100000000002</v>
      </c>
      <c r="F583" s="138" t="str">
        <f aca="false">IF(E583&gt;=0,"Aterro","Corte")</f>
        <v>Aterro</v>
      </c>
      <c r="G583" s="138" t="n">
        <v>-0.5</v>
      </c>
      <c r="H583" s="138"/>
      <c r="I583" s="138"/>
      <c r="J583" s="138"/>
      <c r="K583" s="138"/>
      <c r="L583" s="138"/>
      <c r="M583" s="138" t="s">
        <v>4090</v>
      </c>
    </row>
    <row r="584" customFormat="false" ht="15" hidden="false" customHeight="false" outlineLevel="0" collapsed="false">
      <c r="A584" s="138" t="s">
        <v>2255</v>
      </c>
      <c r="B584" s="138" t="n">
        <v>582</v>
      </c>
      <c r="C584" s="146" t="n">
        <v>792.882</v>
      </c>
      <c r="D584" s="146" t="n">
        <v>794.741</v>
      </c>
      <c r="E584" s="146" t="n">
        <f aca="false">D584-C584</f>
        <v>1.85900000000004</v>
      </c>
      <c r="F584" s="138" t="str">
        <f aca="false">IF(E584&gt;=0,"Aterro","Corte")</f>
        <v>Aterro</v>
      </c>
      <c r="G584" s="138" t="n">
        <v>-0.5</v>
      </c>
      <c r="H584" s="138"/>
      <c r="I584" s="138"/>
      <c r="J584" s="138"/>
      <c r="K584" s="138"/>
      <c r="L584" s="138"/>
      <c r="M584" s="138" t="s">
        <v>4090</v>
      </c>
    </row>
    <row r="585" customFormat="false" ht="15" hidden="false" customHeight="false" outlineLevel="0" collapsed="false">
      <c r="A585" s="138" t="s">
        <v>2256</v>
      </c>
      <c r="B585" s="138" t="n">
        <v>583</v>
      </c>
      <c r="C585" s="146" t="n">
        <v>793.083</v>
      </c>
      <c r="D585" s="146" t="n">
        <v>794.641</v>
      </c>
      <c r="E585" s="146" t="n">
        <f aca="false">D585-C585</f>
        <v>1.55799999999999</v>
      </c>
      <c r="F585" s="138" t="str">
        <f aca="false">IF(E585&gt;=0,"Aterro","Corte")</f>
        <v>Aterro</v>
      </c>
      <c r="G585" s="138" t="n">
        <v>-0.5</v>
      </c>
      <c r="H585" s="138"/>
      <c r="I585" s="138"/>
      <c r="J585" s="138"/>
      <c r="K585" s="138"/>
      <c r="L585" s="138"/>
      <c r="M585" s="138" t="s">
        <v>4090</v>
      </c>
    </row>
    <row r="586" customFormat="false" ht="15" hidden="false" customHeight="false" outlineLevel="0" collapsed="false">
      <c r="A586" s="138" t="s">
        <v>2257</v>
      </c>
      <c r="B586" s="138" t="n">
        <v>584</v>
      </c>
      <c r="C586" s="146" t="n">
        <v>793.24</v>
      </c>
      <c r="D586" s="146" t="n">
        <v>794.541</v>
      </c>
      <c r="E586" s="146" t="n">
        <f aca="false">D586-C586</f>
        <v>1.30100000000004</v>
      </c>
      <c r="F586" s="138" t="str">
        <f aca="false">IF(E586&gt;=0,"Aterro","Corte")</f>
        <v>Aterro</v>
      </c>
      <c r="G586" s="138" t="n">
        <v>-0.5</v>
      </c>
      <c r="H586" s="138"/>
      <c r="I586" s="138"/>
      <c r="J586" s="138"/>
      <c r="K586" s="138"/>
      <c r="L586" s="138"/>
      <c r="M586" s="138" t="s">
        <v>4090</v>
      </c>
    </row>
    <row r="587" customFormat="false" ht="15" hidden="false" customHeight="false" outlineLevel="0" collapsed="false">
      <c r="A587" s="138" t="s">
        <v>2258</v>
      </c>
      <c r="B587" s="138" t="n">
        <v>585</v>
      </c>
      <c r="C587" s="146" t="n">
        <v>793.45</v>
      </c>
      <c r="D587" s="146" t="n">
        <v>794.441</v>
      </c>
      <c r="E587" s="146" t="n">
        <f aca="false">D587-C587</f>
        <v>0.990999999999985</v>
      </c>
      <c r="F587" s="138" t="str">
        <f aca="false">IF(E587&gt;=0,"Aterro","Corte")</f>
        <v>Aterro</v>
      </c>
      <c r="G587" s="138" t="n">
        <v>-0.5</v>
      </c>
      <c r="H587" s="138"/>
      <c r="I587" s="138"/>
      <c r="J587" s="138"/>
      <c r="K587" s="138" t="s">
        <v>4091</v>
      </c>
      <c r="L587" s="138" t="n">
        <v>1400</v>
      </c>
      <c r="M587" s="138" t="s">
        <v>4090</v>
      </c>
    </row>
    <row r="588" customFormat="false" ht="15" hidden="false" customHeight="false" outlineLevel="0" collapsed="false">
      <c r="A588" s="138" t="s">
        <v>2259</v>
      </c>
      <c r="B588" s="138" t="n">
        <v>586</v>
      </c>
      <c r="C588" s="146" t="n">
        <v>793.816</v>
      </c>
      <c r="D588" s="146" t="n">
        <v>794.341</v>
      </c>
      <c r="E588" s="146" t="n">
        <f aca="false">D588-C588</f>
        <v>0.524999999999977</v>
      </c>
      <c r="F588" s="138" t="str">
        <f aca="false">IF(E588&gt;=0,"Aterro","Corte")</f>
        <v>Aterro</v>
      </c>
      <c r="G588" s="138" t="n">
        <v>-0.5</v>
      </c>
      <c r="H588" s="138"/>
      <c r="I588" s="138"/>
      <c r="J588" s="138"/>
      <c r="K588" s="138" t="s">
        <v>4091</v>
      </c>
      <c r="L588" s="138" t="n">
        <v>1400</v>
      </c>
      <c r="M588" s="138" t="s">
        <v>4090</v>
      </c>
    </row>
    <row r="589" customFormat="false" ht="15" hidden="false" customHeight="false" outlineLevel="0" collapsed="false">
      <c r="A589" s="138" t="s">
        <v>2260</v>
      </c>
      <c r="B589" s="138" t="n">
        <v>587</v>
      </c>
      <c r="C589" s="146" t="n">
        <v>794.219</v>
      </c>
      <c r="D589" s="146" t="n">
        <v>794.24</v>
      </c>
      <c r="E589" s="146" t="n">
        <f aca="false">D589-C589</f>
        <v>0.0209999999999582</v>
      </c>
      <c r="F589" s="138" t="str">
        <f aca="false">IF(E589&gt;=0,"Aterro","Corte")</f>
        <v>Aterro</v>
      </c>
      <c r="G589" s="138" t="n">
        <v>-0.5</v>
      </c>
      <c r="H589" s="138"/>
      <c r="I589" s="138"/>
      <c r="J589" s="138"/>
      <c r="K589" s="138" t="s">
        <v>4091</v>
      </c>
      <c r="L589" s="138" t="n">
        <v>1400</v>
      </c>
      <c r="M589" s="138" t="s">
        <v>4090</v>
      </c>
    </row>
    <row r="590" customFormat="false" ht="15" hidden="false" customHeight="false" outlineLevel="0" collapsed="false">
      <c r="A590" s="138" t="s">
        <v>2261</v>
      </c>
      <c r="B590" s="138" t="n">
        <v>588</v>
      </c>
      <c r="C590" s="146" t="n">
        <v>794.195</v>
      </c>
      <c r="D590" s="146" t="n">
        <v>794.14</v>
      </c>
      <c r="E590" s="146" t="n">
        <f aca="false">D590-C590</f>
        <v>-0.0550000000000637</v>
      </c>
      <c r="F590" s="138" t="str">
        <f aca="false">IF(E590&gt;=0,"Aterro","Corte")</f>
        <v>Corte</v>
      </c>
      <c r="G590" s="138" t="n">
        <v>-0.5</v>
      </c>
      <c r="H590" s="138"/>
      <c r="I590" s="138"/>
      <c r="J590" s="138"/>
      <c r="K590" s="138" t="s">
        <v>4091</v>
      </c>
      <c r="L590" s="138" t="n">
        <v>1400</v>
      </c>
      <c r="M590" s="138" t="s">
        <v>4090</v>
      </c>
    </row>
    <row r="591" customFormat="false" ht="15" hidden="false" customHeight="false" outlineLevel="0" collapsed="false">
      <c r="A591" s="138" t="s">
        <v>2262</v>
      </c>
      <c r="B591" s="138" t="n">
        <v>589</v>
      </c>
      <c r="C591" s="146" t="n">
        <v>793.799</v>
      </c>
      <c r="D591" s="146" t="n">
        <v>794.04</v>
      </c>
      <c r="E591" s="146" t="n">
        <f aca="false">D591-C591</f>
        <v>0.240999999999985</v>
      </c>
      <c r="F591" s="138" t="str">
        <f aca="false">IF(E591&gt;=0,"Aterro","Corte")</f>
        <v>Aterro</v>
      </c>
      <c r="G591" s="138" t="n">
        <v>-0.5</v>
      </c>
      <c r="H591" s="138"/>
      <c r="I591" s="138"/>
      <c r="J591" s="138"/>
      <c r="K591" s="138" t="s">
        <v>4091</v>
      </c>
      <c r="L591" s="138" t="n">
        <v>1400</v>
      </c>
      <c r="M591" s="138" t="s">
        <v>4090</v>
      </c>
    </row>
    <row r="592" customFormat="false" ht="15" hidden="false" customHeight="false" outlineLevel="0" collapsed="false">
      <c r="A592" s="138" t="s">
        <v>2263</v>
      </c>
      <c r="B592" s="138" t="n">
        <v>590</v>
      </c>
      <c r="C592" s="146" t="n">
        <v>793.362</v>
      </c>
      <c r="D592" s="146" t="n">
        <v>793.94</v>
      </c>
      <c r="E592" s="146" t="n">
        <f aca="false">D592-C592</f>
        <v>0.578000000000088</v>
      </c>
      <c r="F592" s="138" t="str">
        <f aca="false">IF(E592&gt;=0,"Aterro","Corte")</f>
        <v>Aterro</v>
      </c>
      <c r="G592" s="138" t="n">
        <v>-0.5</v>
      </c>
      <c r="H592" s="138"/>
      <c r="I592" s="138"/>
      <c r="J592" s="138"/>
      <c r="K592" s="138" t="s">
        <v>4091</v>
      </c>
      <c r="L592" s="138" t="n">
        <v>1400</v>
      </c>
      <c r="M592" s="138" t="s">
        <v>4090</v>
      </c>
    </row>
    <row r="593" customFormat="false" ht="15" hidden="false" customHeight="false" outlineLevel="0" collapsed="false">
      <c r="A593" s="138" t="s">
        <v>2264</v>
      </c>
      <c r="B593" s="138" t="n">
        <v>591</v>
      </c>
      <c r="C593" s="146" t="n">
        <v>792.977</v>
      </c>
      <c r="D593" s="146" t="n">
        <v>793.83</v>
      </c>
      <c r="E593" s="146" t="n">
        <f aca="false">D593-C593</f>
        <v>0.853000000000066</v>
      </c>
      <c r="F593" s="138" t="str">
        <f aca="false">IF(E593&gt;=0,"Aterro","Corte")</f>
        <v>Aterro</v>
      </c>
      <c r="G593" s="138" t="n">
        <v>-0.5</v>
      </c>
      <c r="H593" s="138" t="s">
        <v>4092</v>
      </c>
      <c r="I593" s="138" t="s">
        <v>4024</v>
      </c>
      <c r="J593" s="138" t="n">
        <v>50.599</v>
      </c>
      <c r="K593" s="138" t="s">
        <v>4091</v>
      </c>
      <c r="L593" s="138" t="n">
        <v>1400</v>
      </c>
      <c r="M593" s="138" t="s">
        <v>4090</v>
      </c>
    </row>
    <row r="594" customFormat="false" ht="15" hidden="false" customHeight="false" outlineLevel="0" collapsed="false">
      <c r="A594" s="138" t="s">
        <v>2265</v>
      </c>
      <c r="B594" s="138" t="n">
        <v>592</v>
      </c>
      <c r="C594" s="146" t="n">
        <v>792.815</v>
      </c>
      <c r="D594" s="146" t="n">
        <v>793.651</v>
      </c>
      <c r="E594" s="146" t="n">
        <f aca="false">D594-C594</f>
        <v>0.835999999999899</v>
      </c>
      <c r="F594" s="138" t="str">
        <f aca="false">IF(E594&gt;=0,"Aterro","Corte")</f>
        <v>Aterro</v>
      </c>
      <c r="G594" s="138" t="n">
        <v>-0.5</v>
      </c>
      <c r="H594" s="138" t="s">
        <v>4092</v>
      </c>
      <c r="I594" s="138" t="s">
        <v>4024</v>
      </c>
      <c r="J594" s="138" t="n">
        <v>50.599</v>
      </c>
      <c r="K594" s="138" t="s">
        <v>4091</v>
      </c>
      <c r="L594" s="138" t="n">
        <v>1400</v>
      </c>
      <c r="M594" s="138" t="s">
        <v>4090</v>
      </c>
    </row>
    <row r="595" customFormat="false" ht="15" hidden="false" customHeight="false" outlineLevel="0" collapsed="false">
      <c r="A595" s="138" t="s">
        <v>2266</v>
      </c>
      <c r="B595" s="138" t="n">
        <v>593</v>
      </c>
      <c r="C595" s="146" t="n">
        <v>792.934</v>
      </c>
      <c r="D595" s="146" t="n">
        <v>793.393</v>
      </c>
      <c r="E595" s="146" t="n">
        <f aca="false">D595-C595</f>
        <v>0.45900000000006</v>
      </c>
      <c r="F595" s="138" t="str">
        <f aca="false">IF(E595&gt;=0,"Aterro","Corte")</f>
        <v>Aterro</v>
      </c>
      <c r="G595" s="138" t="n">
        <v>-2.279</v>
      </c>
      <c r="H595" s="138" t="s">
        <v>4092</v>
      </c>
      <c r="I595" s="138" t="s">
        <v>4024</v>
      </c>
      <c r="J595" s="138" t="n">
        <v>50.599</v>
      </c>
      <c r="K595" s="138" t="s">
        <v>4091</v>
      </c>
      <c r="L595" s="138" t="n">
        <v>1400</v>
      </c>
      <c r="M595" s="138" t="s">
        <v>4090</v>
      </c>
    </row>
    <row r="596" customFormat="false" ht="15" hidden="false" customHeight="false" outlineLevel="0" collapsed="false">
      <c r="A596" s="138" t="s">
        <v>2267</v>
      </c>
      <c r="B596" s="138" t="n">
        <v>594</v>
      </c>
      <c r="C596" s="146" t="n">
        <v>792.833</v>
      </c>
      <c r="D596" s="146" t="n">
        <v>793.056</v>
      </c>
      <c r="E596" s="146" t="n">
        <f aca="false">D596-C596</f>
        <v>0.22300000000007</v>
      </c>
      <c r="F596" s="138" t="str">
        <f aca="false">IF(E596&gt;=0,"Aterro","Corte")</f>
        <v>Aterro</v>
      </c>
      <c r="G596" s="138" t="n">
        <v>-2.279</v>
      </c>
      <c r="H596" s="138" t="s">
        <v>4092</v>
      </c>
      <c r="I596" s="138" t="s">
        <v>4024</v>
      </c>
      <c r="J596" s="138" t="n">
        <v>50.599</v>
      </c>
      <c r="K596" s="138"/>
      <c r="L596" s="138"/>
      <c r="M596" s="138" t="s">
        <v>4090</v>
      </c>
    </row>
    <row r="597" customFormat="false" ht="15" hidden="false" customHeight="false" outlineLevel="0" collapsed="false">
      <c r="A597" s="138" t="s">
        <v>2268</v>
      </c>
      <c r="B597" s="138" t="n">
        <v>595</v>
      </c>
      <c r="C597" s="146" t="n">
        <v>792.496</v>
      </c>
      <c r="D597" s="146" t="n">
        <v>792.64</v>
      </c>
      <c r="E597" s="146" t="n">
        <f aca="false">D597-C597</f>
        <v>0.144000000000005</v>
      </c>
      <c r="F597" s="138" t="str">
        <f aca="false">IF(E597&gt;=0,"Aterro","Corte")</f>
        <v>Aterro</v>
      </c>
      <c r="G597" s="138" t="n">
        <v>-2.279</v>
      </c>
      <c r="H597" s="138" t="s">
        <v>4092</v>
      </c>
      <c r="I597" s="138" t="s">
        <v>4024</v>
      </c>
      <c r="J597" s="138" t="n">
        <v>50.599</v>
      </c>
      <c r="K597" s="138"/>
      <c r="L597" s="138"/>
      <c r="M597" s="138" t="s">
        <v>4090</v>
      </c>
    </row>
    <row r="598" customFormat="false" ht="15" hidden="false" customHeight="false" outlineLevel="0" collapsed="false">
      <c r="A598" s="138" t="s">
        <v>2269</v>
      </c>
      <c r="B598" s="138" t="n">
        <v>596</v>
      </c>
      <c r="C598" s="146" t="n">
        <v>791.978</v>
      </c>
      <c r="D598" s="146" t="n">
        <v>792.218</v>
      </c>
      <c r="E598" s="146" t="n">
        <f aca="false">D598-C598</f>
        <v>0.240000000000009</v>
      </c>
      <c r="F598" s="138" t="str">
        <f aca="false">IF(E598&gt;=0,"Aterro","Corte")</f>
        <v>Aterro</v>
      </c>
      <c r="G598" s="138" t="n">
        <v>-2.279</v>
      </c>
      <c r="H598" s="138" t="s">
        <v>4093</v>
      </c>
      <c r="I598" s="138" t="s">
        <v>4021</v>
      </c>
      <c r="J598" s="138" t="n">
        <v>44.971</v>
      </c>
      <c r="K598" s="138"/>
      <c r="L598" s="138"/>
      <c r="M598" s="138" t="s">
        <v>4090</v>
      </c>
    </row>
    <row r="599" customFormat="false" ht="15" hidden="false" customHeight="false" outlineLevel="0" collapsed="false">
      <c r="A599" s="138" t="s">
        <v>2270</v>
      </c>
      <c r="B599" s="138" t="n">
        <v>597</v>
      </c>
      <c r="C599" s="146" t="n">
        <v>791.542</v>
      </c>
      <c r="D599" s="146" t="n">
        <v>791.884</v>
      </c>
      <c r="E599" s="146" t="n">
        <f aca="false">D599-C599</f>
        <v>0.341999999999985</v>
      </c>
      <c r="F599" s="138" t="str">
        <f aca="false">IF(E599&gt;=0,"Aterro","Corte")</f>
        <v>Aterro</v>
      </c>
      <c r="G599" s="138" t="n">
        <v>-2.279</v>
      </c>
      <c r="H599" s="138" t="s">
        <v>4093</v>
      </c>
      <c r="I599" s="138" t="s">
        <v>4021</v>
      </c>
      <c r="J599" s="138" t="n">
        <v>44.971</v>
      </c>
      <c r="K599" s="138"/>
      <c r="L599" s="138"/>
      <c r="M599" s="138" t="s">
        <v>4090</v>
      </c>
    </row>
    <row r="600" customFormat="false" ht="15" hidden="false" customHeight="false" outlineLevel="0" collapsed="false">
      <c r="A600" s="138" t="s">
        <v>1595</v>
      </c>
      <c r="B600" s="138" t="n">
        <v>598</v>
      </c>
      <c r="C600" s="146" t="n">
        <v>791.15</v>
      </c>
      <c r="D600" s="146" t="n">
        <v>791.64</v>
      </c>
      <c r="E600" s="146" t="n">
        <f aca="false">D600-C600</f>
        <v>0.490000000000009</v>
      </c>
      <c r="F600" s="138" t="str">
        <f aca="false">IF(E600&gt;=0,"Aterro","Corte")</f>
        <v>Aterro</v>
      </c>
      <c r="G600" s="138" t="n">
        <v>-0.5</v>
      </c>
      <c r="H600" s="138" t="s">
        <v>4093</v>
      </c>
      <c r="I600" s="138" t="s">
        <v>4021</v>
      </c>
      <c r="J600" s="138" t="n">
        <v>44.971</v>
      </c>
      <c r="K600" s="138"/>
      <c r="L600" s="138"/>
      <c r="M600" s="138" t="s">
        <v>4090</v>
      </c>
    </row>
    <row r="601" customFormat="false" ht="15" hidden="false" customHeight="false" outlineLevel="0" collapsed="false">
      <c r="A601" s="138" t="s">
        <v>2271</v>
      </c>
      <c r="B601" s="138" t="n">
        <v>599</v>
      </c>
      <c r="C601" s="146" t="n">
        <v>790.747</v>
      </c>
      <c r="D601" s="146" t="n">
        <v>791.484</v>
      </c>
      <c r="E601" s="146" t="n">
        <f aca="false">D601-C601</f>
        <v>0.73700000000008</v>
      </c>
      <c r="F601" s="138" t="str">
        <f aca="false">IF(E601&gt;=0,"Aterro","Corte")</f>
        <v>Aterro</v>
      </c>
      <c r="G601" s="138" t="n">
        <v>-0.5</v>
      </c>
      <c r="H601" s="138" t="s">
        <v>4093</v>
      </c>
      <c r="I601" s="138" t="s">
        <v>4021</v>
      </c>
      <c r="J601" s="138" t="n">
        <v>44.971</v>
      </c>
      <c r="K601" s="138"/>
      <c r="L601" s="138"/>
      <c r="M601" s="138" t="s">
        <v>4090</v>
      </c>
    </row>
    <row r="602" customFormat="false" ht="15" hidden="false" customHeight="false" outlineLevel="0" collapsed="false">
      <c r="A602" s="138" t="s">
        <v>2272</v>
      </c>
      <c r="B602" s="138" t="n">
        <v>600</v>
      </c>
      <c r="C602" s="146" t="n">
        <v>790.306</v>
      </c>
      <c r="D602" s="146" t="n">
        <v>791.384</v>
      </c>
      <c r="E602" s="146" t="n">
        <f aca="false">D602-C602</f>
        <v>1.07799999999997</v>
      </c>
      <c r="F602" s="138" t="str">
        <f aca="false">IF(E602&gt;=0,"Aterro","Corte")</f>
        <v>Aterro</v>
      </c>
      <c r="G602" s="138" t="n">
        <v>-0.5</v>
      </c>
      <c r="H602" s="138"/>
      <c r="I602" s="138"/>
      <c r="J602" s="138"/>
      <c r="K602" s="138"/>
      <c r="L602" s="138"/>
      <c r="M602" s="138" t="s">
        <v>4090</v>
      </c>
    </row>
    <row r="603" customFormat="false" ht="15" hidden="false" customHeight="false" outlineLevel="0" collapsed="false">
      <c r="A603" s="138" t="s">
        <v>2273</v>
      </c>
      <c r="B603" s="138" t="n">
        <v>601</v>
      </c>
      <c r="C603" s="146" t="n">
        <v>790.142</v>
      </c>
      <c r="D603" s="146" t="n">
        <v>791.284</v>
      </c>
      <c r="E603" s="146" t="n">
        <f aca="false">D603-C603</f>
        <v>1.14199999999994</v>
      </c>
      <c r="F603" s="138" t="str">
        <f aca="false">IF(E603&gt;=0,"Aterro","Corte")</f>
        <v>Aterro</v>
      </c>
      <c r="G603" s="138" t="n">
        <v>-0.5</v>
      </c>
      <c r="H603" s="138"/>
      <c r="I603" s="138"/>
      <c r="J603" s="138"/>
      <c r="K603" s="138" t="s">
        <v>4094</v>
      </c>
      <c r="L603" s="138" t="n">
        <v>2000</v>
      </c>
      <c r="M603" s="138" t="s">
        <v>4090</v>
      </c>
    </row>
    <row r="604" customFormat="false" ht="15" hidden="false" customHeight="false" outlineLevel="0" collapsed="false">
      <c r="A604" s="138" t="s">
        <v>1599</v>
      </c>
      <c r="B604" s="138" t="n">
        <v>602</v>
      </c>
      <c r="C604" s="146" t="n">
        <v>790.056</v>
      </c>
      <c r="D604" s="146" t="n">
        <v>791.184</v>
      </c>
      <c r="E604" s="146" t="n">
        <f aca="false">D604-C604</f>
        <v>1.12799999999993</v>
      </c>
      <c r="F604" s="138" t="str">
        <f aca="false">IF(E604&gt;=0,"Aterro","Corte")</f>
        <v>Aterro</v>
      </c>
      <c r="G604" s="138" t="n">
        <v>-0.5</v>
      </c>
      <c r="H604" s="138"/>
      <c r="I604" s="138"/>
      <c r="J604" s="138"/>
      <c r="K604" s="138" t="s">
        <v>4094</v>
      </c>
      <c r="L604" s="138" t="n">
        <v>2000</v>
      </c>
      <c r="M604" s="138" t="s">
        <v>4090</v>
      </c>
    </row>
    <row r="605" customFormat="false" ht="15" hidden="false" customHeight="false" outlineLevel="0" collapsed="false">
      <c r="A605" s="138" t="s">
        <v>2275</v>
      </c>
      <c r="B605" s="138" t="n">
        <v>603</v>
      </c>
      <c r="C605" s="146" t="n">
        <v>789.912</v>
      </c>
      <c r="D605" s="146" t="n">
        <v>791.084</v>
      </c>
      <c r="E605" s="146" t="n">
        <f aca="false">D605-C605</f>
        <v>1.17199999999991</v>
      </c>
      <c r="F605" s="138" t="str">
        <f aca="false">IF(E605&gt;=0,"Aterro","Corte")</f>
        <v>Aterro</v>
      </c>
      <c r="G605" s="138" t="n">
        <v>-0.5</v>
      </c>
      <c r="H605" s="138"/>
      <c r="I605" s="138"/>
      <c r="J605" s="138"/>
      <c r="K605" s="138" t="s">
        <v>4094</v>
      </c>
      <c r="L605" s="138" t="n">
        <v>2000</v>
      </c>
      <c r="M605" s="138" t="s">
        <v>4090</v>
      </c>
    </row>
    <row r="606" customFormat="false" ht="15" hidden="false" customHeight="false" outlineLevel="0" collapsed="false">
      <c r="A606" s="138" t="s">
        <v>2276</v>
      </c>
      <c r="B606" s="138" t="n">
        <v>604</v>
      </c>
      <c r="C606" s="146" t="n">
        <v>789.665</v>
      </c>
      <c r="D606" s="146" t="n">
        <v>790.984</v>
      </c>
      <c r="E606" s="146" t="n">
        <f aca="false">D606-C606</f>
        <v>1.31900000000007</v>
      </c>
      <c r="F606" s="138" t="str">
        <f aca="false">IF(E606&gt;=0,"Aterro","Corte")</f>
        <v>Aterro</v>
      </c>
      <c r="G606" s="138" t="n">
        <v>-0.5</v>
      </c>
      <c r="H606" s="138"/>
      <c r="I606" s="138"/>
      <c r="J606" s="138"/>
      <c r="K606" s="138" t="s">
        <v>4094</v>
      </c>
      <c r="L606" s="138" t="n">
        <v>2000</v>
      </c>
      <c r="M606" s="138" t="s">
        <v>4090</v>
      </c>
    </row>
    <row r="607" customFormat="false" ht="15" hidden="false" customHeight="false" outlineLevel="0" collapsed="false">
      <c r="A607" s="138" t="s">
        <v>2277</v>
      </c>
      <c r="B607" s="138" t="n">
        <v>605</v>
      </c>
      <c r="C607" s="146" t="n">
        <v>789.483</v>
      </c>
      <c r="D607" s="146" t="n">
        <v>790.884</v>
      </c>
      <c r="E607" s="146" t="n">
        <f aca="false">D607-C607</f>
        <v>1.40100000000007</v>
      </c>
      <c r="F607" s="138" t="str">
        <f aca="false">IF(E607&gt;=0,"Aterro","Corte")</f>
        <v>Aterro</v>
      </c>
      <c r="G607" s="138" t="n">
        <v>-0.5</v>
      </c>
      <c r="H607" s="138"/>
      <c r="I607" s="138"/>
      <c r="J607" s="138"/>
      <c r="K607" s="138"/>
      <c r="L607" s="138"/>
      <c r="M607" s="138" t="s">
        <v>4090</v>
      </c>
    </row>
    <row r="608" customFormat="false" ht="15" hidden="false" customHeight="false" outlineLevel="0" collapsed="false">
      <c r="A608" s="138" t="s">
        <v>2278</v>
      </c>
      <c r="B608" s="138" t="n">
        <v>606</v>
      </c>
      <c r="C608" s="146" t="n">
        <v>789.061</v>
      </c>
      <c r="D608" s="146" t="n">
        <v>790.784</v>
      </c>
      <c r="E608" s="146" t="n">
        <f aca="false">D608-C608</f>
        <v>1.72299999999996</v>
      </c>
      <c r="F608" s="138" t="str">
        <f aca="false">IF(E608&gt;=0,"Aterro","Corte")</f>
        <v>Aterro</v>
      </c>
      <c r="G608" s="138" t="n">
        <v>-0.5</v>
      </c>
      <c r="H608" s="138"/>
      <c r="I608" s="138"/>
      <c r="J608" s="138"/>
      <c r="K608" s="138"/>
      <c r="L608" s="138"/>
      <c r="M608" s="138" t="s">
        <v>4090</v>
      </c>
    </row>
    <row r="609" customFormat="false" ht="15" hidden="false" customHeight="false" outlineLevel="0" collapsed="false">
      <c r="A609" s="138" t="s">
        <v>2279</v>
      </c>
      <c r="B609" s="138" t="n">
        <v>607</v>
      </c>
      <c r="C609" s="146" t="n">
        <v>788.849</v>
      </c>
      <c r="D609" s="146" t="n">
        <v>790.684</v>
      </c>
      <c r="E609" s="146" t="n">
        <f aca="false">D609-C609</f>
        <v>1.83499999999992</v>
      </c>
      <c r="F609" s="138" t="str">
        <f aca="false">IF(E609&gt;=0,"Aterro","Corte")</f>
        <v>Aterro</v>
      </c>
      <c r="G609" s="138" t="n">
        <v>-0.5</v>
      </c>
      <c r="H609" s="138"/>
      <c r="I609" s="138"/>
      <c r="J609" s="138"/>
      <c r="K609" s="138"/>
      <c r="L609" s="138"/>
      <c r="M609" s="138" t="s">
        <v>4090</v>
      </c>
    </row>
    <row r="610" customFormat="false" ht="15" hidden="false" customHeight="false" outlineLevel="0" collapsed="false">
      <c r="A610" s="138" t="s">
        <v>2280</v>
      </c>
      <c r="B610" s="138" t="n">
        <v>608</v>
      </c>
      <c r="C610" s="146" t="n">
        <v>788.757</v>
      </c>
      <c r="D610" s="146" t="n">
        <v>790.584</v>
      </c>
      <c r="E610" s="146" t="n">
        <f aca="false">D610-C610</f>
        <v>1.827</v>
      </c>
      <c r="F610" s="138" t="str">
        <f aca="false">IF(E610&gt;=0,"Aterro","Corte")</f>
        <v>Aterro</v>
      </c>
      <c r="G610" s="138" t="n">
        <v>-0.5</v>
      </c>
      <c r="H610" s="138"/>
      <c r="I610" s="138"/>
      <c r="J610" s="138"/>
      <c r="K610" s="138"/>
      <c r="L610" s="138"/>
      <c r="M610" s="138" t="s">
        <v>4090</v>
      </c>
    </row>
    <row r="611" customFormat="false" ht="15" hidden="false" customHeight="false" outlineLevel="0" collapsed="false">
      <c r="A611" s="138" t="s">
        <v>2281</v>
      </c>
      <c r="B611" s="138" t="n">
        <v>609</v>
      </c>
      <c r="C611" s="146" t="n">
        <v>788.925</v>
      </c>
      <c r="D611" s="146" t="n">
        <v>790.484</v>
      </c>
      <c r="E611" s="146" t="n">
        <f aca="false">D611-C611</f>
        <v>1.55900000000008</v>
      </c>
      <c r="F611" s="138" t="str">
        <f aca="false">IF(E611&gt;=0,"Aterro","Corte")</f>
        <v>Aterro</v>
      </c>
      <c r="G611" s="138" t="n">
        <v>-0.5</v>
      </c>
      <c r="H611" s="138"/>
      <c r="I611" s="138"/>
      <c r="J611" s="138"/>
      <c r="K611" s="138" t="s">
        <v>4095</v>
      </c>
      <c r="L611" s="138" t="n">
        <v>2000</v>
      </c>
      <c r="M611" s="138" t="s">
        <v>4090</v>
      </c>
    </row>
    <row r="612" customFormat="false" ht="15" hidden="false" customHeight="false" outlineLevel="0" collapsed="false">
      <c r="A612" s="138" t="s">
        <v>2282</v>
      </c>
      <c r="B612" s="138" t="n">
        <v>610</v>
      </c>
      <c r="C612" s="146" t="n">
        <v>788.88</v>
      </c>
      <c r="D612" s="146" t="n">
        <v>790.384</v>
      </c>
      <c r="E612" s="146" t="n">
        <f aca="false">D612-C612</f>
        <v>1.50400000000002</v>
      </c>
      <c r="F612" s="138" t="str">
        <f aca="false">IF(E612&gt;=0,"Aterro","Corte")</f>
        <v>Aterro</v>
      </c>
      <c r="G612" s="138" t="n">
        <v>-0.5</v>
      </c>
      <c r="H612" s="138"/>
      <c r="I612" s="138"/>
      <c r="J612" s="138"/>
      <c r="K612" s="138" t="s">
        <v>4095</v>
      </c>
      <c r="L612" s="138" t="n">
        <v>2000</v>
      </c>
      <c r="M612" s="138" t="s">
        <v>4090</v>
      </c>
    </row>
    <row r="613" customFormat="false" ht="15" hidden="false" customHeight="false" outlineLevel="0" collapsed="false">
      <c r="A613" s="138" t="s">
        <v>2283</v>
      </c>
      <c r="B613" s="138" t="n">
        <v>611</v>
      </c>
      <c r="C613" s="146" t="n">
        <v>788.932</v>
      </c>
      <c r="D613" s="146" t="n">
        <v>790.284</v>
      </c>
      <c r="E613" s="146" t="n">
        <f aca="false">D613-C613</f>
        <v>1.35199999999998</v>
      </c>
      <c r="F613" s="138" t="str">
        <f aca="false">IF(E613&gt;=0,"Aterro","Corte")</f>
        <v>Aterro</v>
      </c>
      <c r="G613" s="138" t="n">
        <v>-0.5</v>
      </c>
      <c r="H613" s="138"/>
      <c r="I613" s="138"/>
      <c r="J613" s="138"/>
      <c r="K613" s="138" t="s">
        <v>4095</v>
      </c>
      <c r="L613" s="138" t="n">
        <v>2000</v>
      </c>
      <c r="M613" s="138" t="s">
        <v>4090</v>
      </c>
    </row>
    <row r="614" customFormat="false" ht="15" hidden="false" customHeight="false" outlineLevel="0" collapsed="false">
      <c r="A614" s="138" t="s">
        <v>2284</v>
      </c>
      <c r="B614" s="138" t="n">
        <v>612</v>
      </c>
      <c r="C614" s="146" t="n">
        <v>789.077</v>
      </c>
      <c r="D614" s="146" t="n">
        <v>790.184</v>
      </c>
      <c r="E614" s="146" t="n">
        <f aca="false">D614-C614</f>
        <v>1.10699999999997</v>
      </c>
      <c r="F614" s="138" t="str">
        <f aca="false">IF(E614&gt;=0,"Aterro","Corte")</f>
        <v>Aterro</v>
      </c>
      <c r="G614" s="138" t="n">
        <v>-0.5</v>
      </c>
      <c r="H614" s="138"/>
      <c r="I614" s="138"/>
      <c r="J614" s="138"/>
      <c r="K614" s="138" t="s">
        <v>4095</v>
      </c>
      <c r="L614" s="138" t="n">
        <v>2000</v>
      </c>
      <c r="M614" s="138" t="s">
        <v>4090</v>
      </c>
    </row>
    <row r="615" customFormat="false" ht="15" hidden="false" customHeight="false" outlineLevel="0" collapsed="false">
      <c r="A615" s="138" t="s">
        <v>2285</v>
      </c>
      <c r="B615" s="138" t="n">
        <v>613</v>
      </c>
      <c r="C615" s="146" t="n">
        <v>789.228</v>
      </c>
      <c r="D615" s="146" t="n">
        <v>790.084</v>
      </c>
      <c r="E615" s="146" t="n">
        <f aca="false">D615-C615</f>
        <v>0.855999999999995</v>
      </c>
      <c r="F615" s="138" t="str">
        <f aca="false">IF(E615&gt;=0,"Aterro","Corte")</f>
        <v>Aterro</v>
      </c>
      <c r="G615" s="138" t="n">
        <v>-0.5</v>
      </c>
      <c r="H615" s="138"/>
      <c r="I615" s="138"/>
      <c r="J615" s="138"/>
      <c r="K615" s="138"/>
      <c r="L615" s="138"/>
      <c r="M615" s="138" t="s">
        <v>4096</v>
      </c>
    </row>
    <row r="616" customFormat="false" ht="15" hidden="false" customHeight="false" outlineLevel="0" collapsed="false">
      <c r="A616" s="138" t="s">
        <v>2286</v>
      </c>
      <c r="B616" s="138" t="n">
        <v>614</v>
      </c>
      <c r="C616" s="146" t="n">
        <v>789.4</v>
      </c>
      <c r="D616" s="146" t="n">
        <v>789.984</v>
      </c>
      <c r="E616" s="146" t="n">
        <f aca="false">D616-C616</f>
        <v>0.58400000000006</v>
      </c>
      <c r="F616" s="138" t="str">
        <f aca="false">IF(E616&gt;=0,"Aterro","Corte")</f>
        <v>Aterro</v>
      </c>
      <c r="G616" s="138" t="n">
        <v>-0.5</v>
      </c>
      <c r="H616" s="138"/>
      <c r="I616" s="138"/>
      <c r="J616" s="138"/>
      <c r="K616" s="138"/>
      <c r="L616" s="138"/>
      <c r="M616" s="138" t="s">
        <v>4096</v>
      </c>
    </row>
    <row r="617" customFormat="false" ht="15" hidden="false" customHeight="false" outlineLevel="0" collapsed="false">
      <c r="A617" s="138" t="s">
        <v>2287</v>
      </c>
      <c r="B617" s="138" t="n">
        <v>615</v>
      </c>
      <c r="C617" s="146" t="n">
        <v>789.988</v>
      </c>
      <c r="D617" s="146" t="n">
        <v>789.884</v>
      </c>
      <c r="E617" s="146" t="n">
        <f aca="false">D617-C617</f>
        <v>-0.104000000000042</v>
      </c>
      <c r="F617" s="138" t="str">
        <f aca="false">IF(E617&gt;=0,"Aterro","Corte")</f>
        <v>Corte</v>
      </c>
      <c r="G617" s="138" t="n">
        <v>-0.5</v>
      </c>
      <c r="H617" s="138" t="s">
        <v>4097</v>
      </c>
      <c r="I617" s="138" t="s">
        <v>4021</v>
      </c>
      <c r="J617" s="138" t="n">
        <v>135.851</v>
      </c>
      <c r="K617" s="138"/>
      <c r="L617" s="138"/>
      <c r="M617" s="138" t="s">
        <v>4096</v>
      </c>
    </row>
    <row r="618" customFormat="false" ht="15" hidden="false" customHeight="false" outlineLevel="0" collapsed="false">
      <c r="A618" s="138" t="s">
        <v>2288</v>
      </c>
      <c r="B618" s="138" t="n">
        <v>616</v>
      </c>
      <c r="C618" s="146" t="n">
        <v>790.651</v>
      </c>
      <c r="D618" s="146" t="n">
        <v>789.807</v>
      </c>
      <c r="E618" s="146" t="n">
        <f aca="false">D618-C618</f>
        <v>-0.843999999999937</v>
      </c>
      <c r="F618" s="138" t="str">
        <f aca="false">IF(E618&gt;=0,"Aterro","Corte")</f>
        <v>Corte</v>
      </c>
      <c r="G618" s="138" t="n">
        <v>-0.5</v>
      </c>
      <c r="H618" s="138" t="s">
        <v>4097</v>
      </c>
      <c r="I618" s="138" t="s">
        <v>4021</v>
      </c>
      <c r="J618" s="138" t="n">
        <v>135.851</v>
      </c>
      <c r="K618" s="138"/>
      <c r="L618" s="138"/>
      <c r="M618" s="138" t="s">
        <v>4096</v>
      </c>
    </row>
    <row r="619" customFormat="false" ht="15" hidden="false" customHeight="false" outlineLevel="0" collapsed="false">
      <c r="A619" s="138" t="s">
        <v>2289</v>
      </c>
      <c r="B619" s="138" t="n">
        <v>617</v>
      </c>
      <c r="C619" s="146" t="n">
        <v>790.944</v>
      </c>
      <c r="D619" s="146" t="n">
        <v>789.758</v>
      </c>
      <c r="E619" s="146" t="n">
        <f aca="false">D619-C619</f>
        <v>-1.18599999999992</v>
      </c>
      <c r="F619" s="138" t="str">
        <f aca="false">IF(E619&gt;=0,"Aterro","Corte")</f>
        <v>Corte</v>
      </c>
      <c r="G619" s="138" t="n">
        <v>-0.5</v>
      </c>
      <c r="H619" s="138" t="s">
        <v>4097</v>
      </c>
      <c r="I619" s="138" t="s">
        <v>4021</v>
      </c>
      <c r="J619" s="138" t="n">
        <v>135.851</v>
      </c>
      <c r="K619" s="138"/>
      <c r="L619" s="138"/>
      <c r="M619" s="138" t="s">
        <v>4096</v>
      </c>
    </row>
    <row r="620" customFormat="false" ht="15" hidden="false" customHeight="false" outlineLevel="0" collapsed="false">
      <c r="A620" s="138" t="s">
        <v>2290</v>
      </c>
      <c r="B620" s="138" t="n">
        <v>618</v>
      </c>
      <c r="C620" s="146" t="n">
        <v>790.977</v>
      </c>
      <c r="D620" s="146" t="n">
        <v>789.739</v>
      </c>
      <c r="E620" s="146" t="n">
        <f aca="false">D620-C620</f>
        <v>-1.23799999999994</v>
      </c>
      <c r="F620" s="138" t="str">
        <f aca="false">IF(E620&gt;=0,"Aterro","Corte")</f>
        <v>Corte</v>
      </c>
      <c r="G620" s="138" t="n">
        <v>-0.5</v>
      </c>
      <c r="H620" s="138" t="s">
        <v>4097</v>
      </c>
      <c r="I620" s="138" t="s">
        <v>4021</v>
      </c>
      <c r="J620" s="138" t="n">
        <v>135.851</v>
      </c>
      <c r="K620" s="138"/>
      <c r="L620" s="138"/>
      <c r="M620" s="138" t="s">
        <v>4096</v>
      </c>
    </row>
    <row r="621" customFormat="false" ht="15" hidden="false" customHeight="false" outlineLevel="0" collapsed="false">
      <c r="A621" s="138" t="s">
        <v>2291</v>
      </c>
      <c r="B621" s="138" t="n">
        <v>619</v>
      </c>
      <c r="C621" s="146" t="n">
        <v>790.719</v>
      </c>
      <c r="D621" s="146" t="n">
        <v>789.749</v>
      </c>
      <c r="E621" s="146" t="n">
        <f aca="false">D621-C621</f>
        <v>-0.970000000000027</v>
      </c>
      <c r="F621" s="138" t="str">
        <f aca="false">IF(E621&gt;=0,"Aterro","Corte")</f>
        <v>Corte</v>
      </c>
      <c r="G621" s="138" t="n">
        <v>0.604</v>
      </c>
      <c r="H621" s="138" t="s">
        <v>4097</v>
      </c>
      <c r="I621" s="138" t="s">
        <v>4021</v>
      </c>
      <c r="J621" s="138" t="n">
        <v>135.851</v>
      </c>
      <c r="K621" s="138" t="s">
        <v>4098</v>
      </c>
      <c r="L621" s="138" t="n">
        <v>2500</v>
      </c>
      <c r="M621" s="138" t="s">
        <v>4096</v>
      </c>
    </row>
    <row r="622" customFormat="false" ht="15" hidden="false" customHeight="false" outlineLevel="0" collapsed="false">
      <c r="A622" s="138" t="s">
        <v>2292</v>
      </c>
      <c r="B622" s="138" t="n">
        <v>620</v>
      </c>
      <c r="C622" s="146" t="n">
        <v>790.31</v>
      </c>
      <c r="D622" s="146" t="n">
        <v>789.789</v>
      </c>
      <c r="E622" s="146" t="n">
        <f aca="false">D622-C622</f>
        <v>-0.520999999999958</v>
      </c>
      <c r="F622" s="138" t="str">
        <f aca="false">IF(E622&gt;=0,"Aterro","Corte")</f>
        <v>Corte</v>
      </c>
      <c r="G622" s="138" t="n">
        <v>0.604</v>
      </c>
      <c r="H622" s="138" t="s">
        <v>4097</v>
      </c>
      <c r="I622" s="138" t="s">
        <v>4021</v>
      </c>
      <c r="J622" s="138" t="n">
        <v>135.851</v>
      </c>
      <c r="K622" s="138" t="s">
        <v>4098</v>
      </c>
      <c r="L622" s="138" t="n">
        <v>2500</v>
      </c>
      <c r="M622" s="138" t="s">
        <v>4096</v>
      </c>
    </row>
    <row r="623" customFormat="false" ht="15" hidden="false" customHeight="false" outlineLevel="0" collapsed="false">
      <c r="A623" s="138" t="s">
        <v>2293</v>
      </c>
      <c r="B623" s="138" t="n">
        <v>621</v>
      </c>
      <c r="C623" s="146" t="n">
        <v>789.714</v>
      </c>
      <c r="D623" s="146" t="n">
        <v>789.859</v>
      </c>
      <c r="E623" s="146" t="n">
        <f aca="false">D623-C623</f>
        <v>0.144999999999982</v>
      </c>
      <c r="F623" s="138" t="str">
        <f aca="false">IF(E623&gt;=0,"Aterro","Corte")</f>
        <v>Aterro</v>
      </c>
      <c r="G623" s="138" t="n">
        <v>0.604</v>
      </c>
      <c r="H623" s="138" t="s">
        <v>4097</v>
      </c>
      <c r="I623" s="138" t="s">
        <v>4021</v>
      </c>
      <c r="J623" s="138" t="n">
        <v>135.851</v>
      </c>
      <c r="K623" s="138" t="s">
        <v>4098</v>
      </c>
      <c r="L623" s="138" t="n">
        <v>2500</v>
      </c>
      <c r="M623" s="138" t="s">
        <v>4096</v>
      </c>
    </row>
    <row r="624" customFormat="false" ht="15" hidden="false" customHeight="false" outlineLevel="0" collapsed="false">
      <c r="A624" s="138" t="s">
        <v>2294</v>
      </c>
      <c r="B624" s="138" t="n">
        <v>622</v>
      </c>
      <c r="C624" s="146" t="n">
        <v>789.187</v>
      </c>
      <c r="D624" s="146" t="n">
        <v>789.957</v>
      </c>
      <c r="E624" s="146" t="n">
        <f aca="false">D624-C624</f>
        <v>0.769999999999982</v>
      </c>
      <c r="F624" s="138" t="str">
        <f aca="false">IF(E624&gt;=0,"Aterro","Corte")</f>
        <v>Aterro</v>
      </c>
      <c r="G624" s="138" t="n">
        <v>0.604</v>
      </c>
      <c r="H624" s="138" t="s">
        <v>4097</v>
      </c>
      <c r="I624" s="138" t="s">
        <v>4021</v>
      </c>
      <c r="J624" s="138" t="n">
        <v>135.851</v>
      </c>
      <c r="K624" s="138"/>
      <c r="L624" s="138"/>
      <c r="M624" s="138" t="s">
        <v>4096</v>
      </c>
    </row>
    <row r="625" customFormat="false" ht="15" hidden="false" customHeight="false" outlineLevel="0" collapsed="false">
      <c r="A625" s="138" t="s">
        <v>2295</v>
      </c>
      <c r="B625" s="138" t="n">
        <v>623</v>
      </c>
      <c r="C625" s="146" t="n">
        <v>789.211</v>
      </c>
      <c r="D625" s="146" t="n">
        <v>790.077</v>
      </c>
      <c r="E625" s="146" t="n">
        <f aca="false">D625-C625</f>
        <v>0.865999999999985</v>
      </c>
      <c r="F625" s="138" t="str">
        <f aca="false">IF(E625&gt;=0,"Aterro","Corte")</f>
        <v>Aterro</v>
      </c>
      <c r="G625" s="138" t="n">
        <v>0.604</v>
      </c>
      <c r="H625" s="138"/>
      <c r="I625" s="138"/>
      <c r="J625" s="138"/>
      <c r="K625" s="138"/>
      <c r="L625" s="138"/>
      <c r="M625" s="138" t="s">
        <v>4096</v>
      </c>
    </row>
    <row r="626" customFormat="false" ht="15" hidden="false" customHeight="false" outlineLevel="0" collapsed="false">
      <c r="A626" s="138" t="s">
        <v>2297</v>
      </c>
      <c r="B626" s="138" t="n">
        <v>624</v>
      </c>
      <c r="C626" s="146" t="n">
        <v>789.471</v>
      </c>
      <c r="D626" s="146" t="n">
        <v>790.198</v>
      </c>
      <c r="E626" s="146" t="n">
        <f aca="false">D626-C626</f>
        <v>0.726999999999975</v>
      </c>
      <c r="F626" s="138" t="str">
        <f aca="false">IF(E626&gt;=0,"Aterro","Corte")</f>
        <v>Aterro</v>
      </c>
      <c r="G626" s="138" t="n">
        <v>0.604</v>
      </c>
      <c r="H626" s="138"/>
      <c r="I626" s="138"/>
      <c r="J626" s="138"/>
      <c r="K626" s="138"/>
      <c r="L626" s="138"/>
      <c r="M626" s="138" t="s">
        <v>4096</v>
      </c>
    </row>
    <row r="627" customFormat="false" ht="15" hidden="false" customHeight="false" outlineLevel="0" collapsed="false">
      <c r="A627" s="138" t="s">
        <v>2298</v>
      </c>
      <c r="B627" s="138" t="n">
        <v>625</v>
      </c>
      <c r="C627" s="146" t="n">
        <v>789.604</v>
      </c>
      <c r="D627" s="146" t="n">
        <v>790.319</v>
      </c>
      <c r="E627" s="146" t="n">
        <f aca="false">D627-C627</f>
        <v>0.714999999999918</v>
      </c>
      <c r="F627" s="138" t="str">
        <f aca="false">IF(E627&gt;=0,"Aterro","Corte")</f>
        <v>Aterro</v>
      </c>
      <c r="G627" s="138" t="n">
        <v>0.604</v>
      </c>
      <c r="H627" s="138"/>
      <c r="I627" s="138"/>
      <c r="J627" s="138"/>
      <c r="K627" s="138"/>
      <c r="L627" s="138"/>
      <c r="M627" s="138" t="s">
        <v>4096</v>
      </c>
    </row>
    <row r="628" customFormat="false" ht="15" hidden="false" customHeight="false" outlineLevel="0" collapsed="false">
      <c r="A628" s="138" t="s">
        <v>2299</v>
      </c>
      <c r="B628" s="138" t="n">
        <v>626</v>
      </c>
      <c r="C628" s="146" t="n">
        <v>789.748</v>
      </c>
      <c r="D628" s="146" t="n">
        <v>790.44</v>
      </c>
      <c r="E628" s="146" t="n">
        <f aca="false">D628-C628</f>
        <v>0.692000000000007</v>
      </c>
      <c r="F628" s="138" t="str">
        <f aca="false">IF(E628&gt;=0,"Aterro","Corte")</f>
        <v>Aterro</v>
      </c>
      <c r="G628" s="138" t="n">
        <v>0.604</v>
      </c>
      <c r="H628" s="138"/>
      <c r="I628" s="138"/>
      <c r="J628" s="138"/>
      <c r="K628" s="138"/>
      <c r="L628" s="138"/>
      <c r="M628" s="138" t="s">
        <v>4096</v>
      </c>
    </row>
    <row r="629" customFormat="false" ht="15" hidden="false" customHeight="false" outlineLevel="0" collapsed="false">
      <c r="A629" s="138" t="s">
        <v>2300</v>
      </c>
      <c r="B629" s="138" t="n">
        <v>627</v>
      </c>
      <c r="C629" s="146" t="n">
        <v>790.001</v>
      </c>
      <c r="D629" s="146" t="n">
        <v>790.561</v>
      </c>
      <c r="E629" s="146" t="n">
        <f aca="false">D629-C629</f>
        <v>0.560000000000059</v>
      </c>
      <c r="F629" s="138" t="str">
        <f aca="false">IF(E629&gt;=0,"Aterro","Corte")</f>
        <v>Aterro</v>
      </c>
      <c r="G629" s="138" t="n">
        <v>0.604</v>
      </c>
      <c r="H629" s="138"/>
      <c r="I629" s="138"/>
      <c r="J629" s="138"/>
      <c r="K629" s="138"/>
      <c r="L629" s="138"/>
      <c r="M629" s="138" t="s">
        <v>4096</v>
      </c>
    </row>
    <row r="630" customFormat="false" ht="15" hidden="false" customHeight="false" outlineLevel="0" collapsed="false">
      <c r="A630" s="138" t="s">
        <v>2301</v>
      </c>
      <c r="B630" s="138" t="n">
        <v>628</v>
      </c>
      <c r="C630" s="146" t="n">
        <v>790.253</v>
      </c>
      <c r="D630" s="146" t="n">
        <v>790.681</v>
      </c>
      <c r="E630" s="146" t="n">
        <f aca="false">D630-C630</f>
        <v>0.427999999999997</v>
      </c>
      <c r="F630" s="138" t="str">
        <f aca="false">IF(E630&gt;=0,"Aterro","Corte")</f>
        <v>Aterro</v>
      </c>
      <c r="G630" s="138" t="n">
        <v>0.604</v>
      </c>
      <c r="H630" s="138"/>
      <c r="I630" s="138"/>
      <c r="J630" s="138"/>
      <c r="K630" s="138"/>
      <c r="L630" s="138"/>
      <c r="M630" s="138" t="s">
        <v>4096</v>
      </c>
    </row>
    <row r="631" customFormat="false" ht="15" hidden="false" customHeight="false" outlineLevel="0" collapsed="false">
      <c r="A631" s="138" t="s">
        <v>2302</v>
      </c>
      <c r="B631" s="138" t="n">
        <v>629</v>
      </c>
      <c r="C631" s="146" t="n">
        <v>790.55</v>
      </c>
      <c r="D631" s="146" t="n">
        <v>790.804</v>
      </c>
      <c r="E631" s="146" t="n">
        <f aca="false">D631-C631</f>
        <v>0.254000000000019</v>
      </c>
      <c r="F631" s="138" t="str">
        <f aca="false">IF(E631&gt;=0,"Aterro","Corte")</f>
        <v>Aterro</v>
      </c>
      <c r="G631" s="138" t="n">
        <v>0.604</v>
      </c>
      <c r="H631" s="138" t="s">
        <v>4099</v>
      </c>
      <c r="I631" s="138" t="s">
        <v>4021</v>
      </c>
      <c r="J631" s="138" t="n">
        <v>16.224</v>
      </c>
      <c r="K631" s="138"/>
      <c r="L631" s="138"/>
      <c r="M631" s="138" t="s">
        <v>4096</v>
      </c>
    </row>
    <row r="632" customFormat="false" ht="15" hidden="false" customHeight="false" outlineLevel="0" collapsed="false">
      <c r="A632" s="138" t="s">
        <v>2303</v>
      </c>
      <c r="B632" s="138" t="n">
        <v>630</v>
      </c>
      <c r="C632" s="146" t="n">
        <v>790.873</v>
      </c>
      <c r="D632" s="146" t="n">
        <v>791.079</v>
      </c>
      <c r="E632" s="146" t="n">
        <f aca="false">D632-C632</f>
        <v>0.205999999999904</v>
      </c>
      <c r="F632" s="138" t="str">
        <f aca="false">IF(E632&gt;=0,"Aterro","Corte")</f>
        <v>Aterro</v>
      </c>
      <c r="G632" s="138" t="n">
        <v>0.604</v>
      </c>
      <c r="H632" s="138" t="s">
        <v>4099</v>
      </c>
      <c r="I632" s="138" t="s">
        <v>4021</v>
      </c>
      <c r="J632" s="138" t="n">
        <v>16.224</v>
      </c>
      <c r="K632" s="138"/>
      <c r="L632" s="138"/>
      <c r="M632" s="138" t="s">
        <v>4096</v>
      </c>
    </row>
    <row r="633" customFormat="false" ht="15" hidden="false" customHeight="false" outlineLevel="0" collapsed="false">
      <c r="A633" s="138" t="s">
        <v>2304</v>
      </c>
      <c r="B633" s="138" t="n">
        <v>631</v>
      </c>
      <c r="C633" s="146" t="n">
        <v>791.459</v>
      </c>
      <c r="D633" s="146" t="n">
        <v>791.601</v>
      </c>
      <c r="E633" s="146" t="n">
        <f aca="false">D633-C633</f>
        <v>0.142000000000053</v>
      </c>
      <c r="F633" s="138" t="str">
        <f aca="false">IF(E633&gt;=0,"Aterro","Corte")</f>
        <v>Aterro</v>
      </c>
      <c r="G633" s="138" t="n">
        <v>4.611</v>
      </c>
      <c r="H633" s="138" t="s">
        <v>4099</v>
      </c>
      <c r="I633" s="138" t="s">
        <v>4021</v>
      </c>
      <c r="J633" s="138" t="n">
        <v>16.224</v>
      </c>
      <c r="K633" s="138"/>
      <c r="L633" s="138"/>
      <c r="M633" s="138" t="s">
        <v>4096</v>
      </c>
    </row>
    <row r="634" customFormat="false" ht="15" hidden="false" customHeight="false" outlineLevel="0" collapsed="false">
      <c r="A634" s="138" t="s">
        <v>2305</v>
      </c>
      <c r="B634" s="138" t="n">
        <v>632</v>
      </c>
      <c r="C634" s="146" t="n">
        <v>792.358</v>
      </c>
      <c r="D634" s="146" t="n">
        <v>792.369</v>
      </c>
      <c r="E634" s="146" t="n">
        <f aca="false">D634-C634</f>
        <v>0.0110000000000809</v>
      </c>
      <c r="F634" s="138" t="str">
        <f aca="false">IF(E634&gt;=0,"Aterro","Corte")</f>
        <v>Aterro</v>
      </c>
      <c r="G634" s="138" t="n">
        <v>4.611</v>
      </c>
      <c r="H634" s="138" t="s">
        <v>4099</v>
      </c>
      <c r="I634" s="138" t="s">
        <v>4021</v>
      </c>
      <c r="J634" s="138" t="n">
        <v>16.224</v>
      </c>
      <c r="K634" s="138"/>
      <c r="L634" s="138"/>
      <c r="M634" s="138" t="s">
        <v>4096</v>
      </c>
    </row>
    <row r="635" customFormat="false" ht="15" hidden="false" customHeight="false" outlineLevel="0" collapsed="false">
      <c r="A635" s="138" t="s">
        <v>2306</v>
      </c>
      <c r="B635" s="138" t="n">
        <v>633</v>
      </c>
      <c r="C635" s="146" t="n">
        <v>793.281</v>
      </c>
      <c r="D635" s="146" t="n">
        <v>793.272</v>
      </c>
      <c r="E635" s="146" t="n">
        <f aca="false">D635-C635</f>
        <v>-0.00899999999990087</v>
      </c>
      <c r="F635" s="138" t="str">
        <f aca="false">IF(E635&gt;=0,"Aterro","Corte")</f>
        <v>Corte</v>
      </c>
      <c r="G635" s="138" t="n">
        <v>4.611</v>
      </c>
      <c r="H635" s="138" t="s">
        <v>4100</v>
      </c>
      <c r="I635" s="138" t="s">
        <v>4024</v>
      </c>
      <c r="J635" s="138" t="n">
        <v>12.436</v>
      </c>
      <c r="K635" s="138"/>
      <c r="L635" s="138"/>
      <c r="M635" s="138" t="s">
        <v>4096</v>
      </c>
    </row>
    <row r="636" customFormat="false" ht="15" hidden="false" customHeight="false" outlineLevel="0" collapsed="false">
      <c r="A636" s="138" t="s">
        <v>2308</v>
      </c>
      <c r="B636" s="138" t="n">
        <v>634</v>
      </c>
      <c r="C636" s="146" t="n">
        <v>793.882</v>
      </c>
      <c r="D636" s="146" t="n">
        <v>793.931</v>
      </c>
      <c r="E636" s="146" t="n">
        <f aca="false">D636-C636</f>
        <v>0.0490000000000919</v>
      </c>
      <c r="F636" s="138" t="str">
        <f aca="false">IF(E636&gt;=0,"Aterro","Corte")</f>
        <v>Aterro</v>
      </c>
      <c r="G636" s="138" t="n">
        <v>0.992</v>
      </c>
      <c r="H636" s="138" t="s">
        <v>4100</v>
      </c>
      <c r="I636" s="138" t="s">
        <v>4024</v>
      </c>
      <c r="J636" s="138" t="n">
        <v>12.436</v>
      </c>
      <c r="K636" s="138"/>
      <c r="L636" s="138"/>
      <c r="M636" s="138" t="s">
        <v>4096</v>
      </c>
    </row>
    <row r="637" customFormat="false" ht="15" hidden="false" customHeight="false" outlineLevel="0" collapsed="false">
      <c r="A637" s="138" t="s">
        <v>2310</v>
      </c>
      <c r="B637" s="138" t="n">
        <v>635</v>
      </c>
      <c r="C637" s="146" t="n">
        <v>794.247</v>
      </c>
      <c r="D637" s="146" t="n">
        <v>794.268</v>
      </c>
      <c r="E637" s="146" t="n">
        <f aca="false">D637-C637</f>
        <v>0.0210000000000719</v>
      </c>
      <c r="F637" s="138" t="str">
        <f aca="false">IF(E637&gt;=0,"Aterro","Corte")</f>
        <v>Aterro</v>
      </c>
      <c r="G637" s="138" t="n">
        <v>0.992</v>
      </c>
      <c r="H637" s="138"/>
      <c r="I637" s="138"/>
      <c r="J637" s="138"/>
      <c r="K637" s="138"/>
      <c r="L637" s="138"/>
      <c r="M637" s="138" t="s">
        <v>4096</v>
      </c>
    </row>
    <row r="638" customFormat="false" ht="15" hidden="false" customHeight="false" outlineLevel="0" collapsed="false">
      <c r="A638" s="138" t="s">
        <v>2311</v>
      </c>
      <c r="B638" s="138" t="n">
        <v>636</v>
      </c>
      <c r="C638" s="146" t="n">
        <v>794.476</v>
      </c>
      <c r="D638" s="146" t="n">
        <v>794.466</v>
      </c>
      <c r="E638" s="146" t="n">
        <f aca="false">D638-C638</f>
        <v>-0.00999999999999091</v>
      </c>
      <c r="F638" s="138" t="str">
        <f aca="false">IF(E638&gt;=0,"Aterro","Corte")</f>
        <v>Corte</v>
      </c>
      <c r="G638" s="138" t="n">
        <v>0.992</v>
      </c>
      <c r="H638" s="138"/>
      <c r="I638" s="138"/>
      <c r="J638" s="138"/>
      <c r="K638" s="138" t="s">
        <v>4101</v>
      </c>
      <c r="L638" s="138" t="n">
        <v>2500</v>
      </c>
      <c r="M638" s="138" t="s">
        <v>4096</v>
      </c>
    </row>
    <row r="639" customFormat="false" ht="15" hidden="false" customHeight="false" outlineLevel="0" collapsed="false">
      <c r="A639" s="138" t="s">
        <v>2312</v>
      </c>
      <c r="B639" s="138" t="n">
        <v>637</v>
      </c>
      <c r="C639" s="146" t="n">
        <v>794.663</v>
      </c>
      <c r="D639" s="146" t="n">
        <v>794.665</v>
      </c>
      <c r="E639" s="146" t="n">
        <f aca="false">D639-C639</f>
        <v>0.00199999999995271</v>
      </c>
      <c r="F639" s="138" t="str">
        <f aca="false">IF(E639&gt;=0,"Aterro","Corte")</f>
        <v>Aterro</v>
      </c>
      <c r="G639" s="138" t="n">
        <v>0.992</v>
      </c>
      <c r="H639" s="138"/>
      <c r="I639" s="138"/>
      <c r="J639" s="138"/>
      <c r="K639" s="138" t="s">
        <v>4101</v>
      </c>
      <c r="L639" s="138" t="n">
        <v>2500</v>
      </c>
      <c r="M639" s="138" t="s">
        <v>4096</v>
      </c>
    </row>
    <row r="640" customFormat="false" ht="15" hidden="false" customHeight="false" outlineLevel="0" collapsed="false">
      <c r="A640" s="138" t="s">
        <v>2313</v>
      </c>
      <c r="B640" s="138" t="n">
        <v>638</v>
      </c>
      <c r="C640" s="146" t="n">
        <v>794.877</v>
      </c>
      <c r="D640" s="146" t="n">
        <v>794.864</v>
      </c>
      <c r="E640" s="146" t="n">
        <f aca="false">D640-C640</f>
        <v>-0.01299999999992</v>
      </c>
      <c r="F640" s="138" t="str">
        <f aca="false">IF(E640&gt;=0,"Aterro","Corte")</f>
        <v>Corte</v>
      </c>
      <c r="G640" s="138" t="n">
        <v>0.992</v>
      </c>
      <c r="H640" s="138" t="s">
        <v>4102</v>
      </c>
      <c r="I640" s="138" t="s">
        <v>4021</v>
      </c>
      <c r="J640" s="138" t="n">
        <v>46.312</v>
      </c>
      <c r="K640" s="138" t="s">
        <v>4101</v>
      </c>
      <c r="L640" s="138" t="n">
        <v>2500</v>
      </c>
      <c r="M640" s="138" t="s">
        <v>4096</v>
      </c>
    </row>
    <row r="641" customFormat="false" ht="15" hidden="false" customHeight="false" outlineLevel="0" collapsed="false">
      <c r="A641" s="138" t="s">
        <v>2314</v>
      </c>
      <c r="B641" s="138" t="n">
        <v>639</v>
      </c>
      <c r="C641" s="146" t="n">
        <v>795.12</v>
      </c>
      <c r="D641" s="146" t="n">
        <v>795.121</v>
      </c>
      <c r="E641" s="146" t="n">
        <f aca="false">D641-C641</f>
        <v>0.000999999999976353</v>
      </c>
      <c r="F641" s="138" t="str">
        <f aca="false">IF(E641&gt;=0,"Aterro","Corte")</f>
        <v>Aterro</v>
      </c>
      <c r="G641" s="138" t="n">
        <v>0.992</v>
      </c>
      <c r="H641" s="138" t="s">
        <v>4102</v>
      </c>
      <c r="I641" s="138" t="s">
        <v>4021</v>
      </c>
      <c r="J641" s="138" t="n">
        <v>46.312</v>
      </c>
      <c r="K641" s="138"/>
      <c r="L641" s="138"/>
      <c r="M641" s="138" t="s">
        <v>4096</v>
      </c>
    </row>
    <row r="642" customFormat="false" ht="15" hidden="false" customHeight="false" outlineLevel="0" collapsed="false">
      <c r="A642" s="138" t="s">
        <v>2316</v>
      </c>
      <c r="B642" s="138" t="n">
        <v>640</v>
      </c>
      <c r="C642" s="146" t="n">
        <v>795.455</v>
      </c>
      <c r="D642" s="146" t="n">
        <v>795.463</v>
      </c>
      <c r="E642" s="146" t="n">
        <f aca="false">D642-C642</f>
        <v>0.00799999999992451</v>
      </c>
      <c r="F642" s="138" t="str">
        <f aca="false">IF(E642&gt;=0,"Aterro","Corte")</f>
        <v>Aterro</v>
      </c>
      <c r="G642" s="138" t="n">
        <v>2.072</v>
      </c>
      <c r="H642" s="138" t="s">
        <v>4102</v>
      </c>
      <c r="I642" s="138" t="s">
        <v>4021</v>
      </c>
      <c r="J642" s="138" t="n">
        <v>46.312</v>
      </c>
      <c r="K642" s="138"/>
      <c r="L642" s="138"/>
      <c r="M642" s="138" t="s">
        <v>4096</v>
      </c>
    </row>
    <row r="643" customFormat="false" ht="15" hidden="false" customHeight="false" outlineLevel="0" collapsed="false">
      <c r="A643" s="138" t="s">
        <v>2317</v>
      </c>
      <c r="B643" s="138" t="n">
        <v>641</v>
      </c>
      <c r="C643" s="146" t="n">
        <v>795.876</v>
      </c>
      <c r="D643" s="146" t="n">
        <v>795.873</v>
      </c>
      <c r="E643" s="146" t="n">
        <f aca="false">D643-C643</f>
        <v>-0.00299999999992906</v>
      </c>
      <c r="F643" s="138" t="str">
        <f aca="false">IF(E643&gt;=0,"Aterro","Corte")</f>
        <v>Corte</v>
      </c>
      <c r="G643" s="138" t="n">
        <v>2.072</v>
      </c>
      <c r="H643" s="138"/>
      <c r="I643" s="138"/>
      <c r="J643" s="138"/>
      <c r="K643" s="138"/>
      <c r="L643" s="138"/>
      <c r="M643" s="138" t="s">
        <v>4096</v>
      </c>
    </row>
    <row r="644" customFormat="false" ht="15" hidden="false" customHeight="false" outlineLevel="0" collapsed="false">
      <c r="A644" s="138" t="s">
        <v>1607</v>
      </c>
      <c r="B644" s="138" t="n">
        <v>642</v>
      </c>
      <c r="C644" s="146" t="n">
        <v>796.261</v>
      </c>
      <c r="D644" s="146" t="n">
        <v>796.287</v>
      </c>
      <c r="E644" s="146" t="n">
        <f aca="false">D644-C644</f>
        <v>0.0260000000000673</v>
      </c>
      <c r="F644" s="138" t="str">
        <f aca="false">IF(E644&gt;=0,"Aterro","Corte")</f>
        <v>Aterro</v>
      </c>
      <c r="G644" s="138" t="n">
        <v>2.072</v>
      </c>
      <c r="H644" s="138"/>
      <c r="I644" s="138"/>
      <c r="J644" s="138"/>
      <c r="K644" s="138"/>
      <c r="L644" s="138"/>
      <c r="M644" s="138" t="s">
        <v>4096</v>
      </c>
    </row>
    <row r="645" customFormat="false" ht="15" hidden="false" customHeight="false" outlineLevel="0" collapsed="false">
      <c r="A645" s="138" t="s">
        <v>3151</v>
      </c>
      <c r="B645" s="138" t="n">
        <v>642.791</v>
      </c>
      <c r="C645" s="146" t="n">
        <v>796.615</v>
      </c>
      <c r="D645" s="146" t="n">
        <v>796.615</v>
      </c>
      <c r="E645" s="146" t="n">
        <f aca="false">D645-C645</f>
        <v>0</v>
      </c>
      <c r="F645" s="138" t="str">
        <f aca="false">IF(E645&gt;=0,"Aterro","Corte")</f>
        <v>Aterro</v>
      </c>
      <c r="G645" s="138" t="n">
        <v>2.072</v>
      </c>
      <c r="H645" s="138"/>
      <c r="I645" s="138"/>
      <c r="J645" s="138"/>
      <c r="K645" s="138"/>
      <c r="L645" s="138"/>
      <c r="M645" s="138" t="s">
        <v>4096</v>
      </c>
    </row>
  </sheetData>
  <autoFilter ref="A1:M6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8" min="7" style="0" width="11"/>
    <col collapsed="false" customWidth="true" hidden="false" outlineLevel="0" max="9" min="9" style="0" width="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4" min="14" style="0" width="8"/>
    <col collapsed="false" customWidth="true" hidden="false" outlineLevel="0" max="17" min="15" style="0" width="9"/>
  </cols>
  <sheetData>
    <row r="1" customFormat="false" ht="48" hidden="false" customHeight="true" outlineLevel="0" collapsed="false">
      <c r="A1" s="133" t="s">
        <v>4017</v>
      </c>
      <c r="B1" s="133" t="s">
        <v>4018</v>
      </c>
      <c r="C1" s="133" t="s">
        <v>4103</v>
      </c>
      <c r="D1" s="133" t="s">
        <v>4104</v>
      </c>
      <c r="E1" s="133" t="s">
        <v>4105</v>
      </c>
      <c r="F1" s="133" t="s">
        <v>4106</v>
      </c>
      <c r="G1" s="133" t="s">
        <v>4107</v>
      </c>
      <c r="H1" s="133" t="s">
        <v>4108</v>
      </c>
      <c r="I1" s="133"/>
      <c r="J1" s="133" t="s">
        <v>4109</v>
      </c>
      <c r="K1" s="133" t="s">
        <v>4110</v>
      </c>
      <c r="L1" s="133" t="s">
        <v>4111</v>
      </c>
      <c r="M1" s="133" t="s">
        <v>4112</v>
      </c>
      <c r="N1" s="133" t="s">
        <v>4016</v>
      </c>
      <c r="O1" s="133" t="s">
        <v>4113</v>
      </c>
      <c r="P1" s="133" t="s">
        <v>4114</v>
      </c>
      <c r="Q1" s="133" t="s">
        <v>4115</v>
      </c>
    </row>
    <row r="2" customFormat="false" ht="15" hidden="false" customHeight="false" outlineLevel="0" collapsed="false">
      <c r="A2" s="138" t="s">
        <v>4026</v>
      </c>
      <c r="B2" s="138" t="n">
        <v>2100</v>
      </c>
      <c r="C2" s="138" t="n">
        <v>200.501</v>
      </c>
      <c r="D2" s="138" t="s">
        <v>4116</v>
      </c>
      <c r="E2" s="138" t="n">
        <v>20.3692</v>
      </c>
      <c r="F2" s="138" t="n">
        <v>30.3943</v>
      </c>
      <c r="G2" s="138" t="s">
        <v>3766</v>
      </c>
      <c r="H2" s="138" t="s">
        <v>3768</v>
      </c>
      <c r="J2" s="138" t="n">
        <v>2.25</v>
      </c>
      <c r="K2" s="138" t="s">
        <v>4020</v>
      </c>
      <c r="L2" s="138" t="n">
        <v>843.247</v>
      </c>
      <c r="M2" s="138" t="n">
        <v>90</v>
      </c>
      <c r="N2" s="138" t="n">
        <v>7.938</v>
      </c>
      <c r="O2" s="138" t="n">
        <v>1.276</v>
      </c>
      <c r="P2" s="138" t="n">
        <v>0</v>
      </c>
      <c r="Q2" s="138" t="n">
        <v>4.5</v>
      </c>
    </row>
    <row r="3" customFormat="false" ht="15" hidden="false" customHeight="false" outlineLevel="0" collapsed="false">
      <c r="A3" s="138" t="s">
        <v>4034</v>
      </c>
      <c r="B3" s="138" t="n">
        <v>3000</v>
      </c>
      <c r="C3" s="138" t="n">
        <v>44.301</v>
      </c>
      <c r="D3" s="138" t="s">
        <v>4117</v>
      </c>
      <c r="E3" s="138" t="n">
        <v>92.35465</v>
      </c>
      <c r="F3" s="138" t="n">
        <v>94.5697</v>
      </c>
      <c r="G3" s="138" t="s">
        <v>3769</v>
      </c>
      <c r="H3" s="138" t="s">
        <v>3771</v>
      </c>
      <c r="J3" s="138" t="n">
        <v>13.114</v>
      </c>
      <c r="K3" s="138" t="s">
        <v>4023</v>
      </c>
      <c r="L3" s="138" t="n">
        <v>853.191</v>
      </c>
      <c r="M3" s="138" t="n">
        <v>100</v>
      </c>
      <c r="N3" s="138" t="n">
        <v>33.733</v>
      </c>
      <c r="O3" s="138" t="n">
        <v>0.371</v>
      </c>
      <c r="P3" s="138" t="n">
        <v>10.614</v>
      </c>
      <c r="Q3" s="138" t="n">
        <v>15.614</v>
      </c>
    </row>
    <row r="4" customFormat="false" ht="15" hidden="false" customHeight="false" outlineLevel="0" collapsed="false">
      <c r="A4" s="138" t="s">
        <v>4040</v>
      </c>
      <c r="B4" s="138" t="n">
        <v>2000</v>
      </c>
      <c r="C4" s="138" t="n">
        <v>29.2</v>
      </c>
      <c r="D4" s="138" t="s">
        <v>4118</v>
      </c>
      <c r="E4" s="138" t="n">
        <v>158.0692</v>
      </c>
      <c r="F4" s="138" t="n">
        <v>159.5292</v>
      </c>
      <c r="G4" s="138" t="s">
        <v>3772</v>
      </c>
      <c r="H4" s="138" t="s">
        <v>3774</v>
      </c>
      <c r="J4" s="138" t="n">
        <v>17.584</v>
      </c>
      <c r="K4" s="138" t="s">
        <v>4025</v>
      </c>
      <c r="L4" s="138" t="n">
        <v>854.633</v>
      </c>
      <c r="M4" s="138" t="n">
        <v>70</v>
      </c>
      <c r="N4" s="138" t="n">
        <v>15.953</v>
      </c>
      <c r="O4" s="138" t="n">
        <v>0.384</v>
      </c>
      <c r="P4" s="138" t="n">
        <v>15.834</v>
      </c>
      <c r="Q4" s="138" t="n">
        <v>19.334</v>
      </c>
    </row>
    <row r="5" customFormat="false" ht="15" hidden="false" customHeight="false" outlineLevel="0" collapsed="false">
      <c r="A5" s="138" t="s">
        <v>4041</v>
      </c>
      <c r="B5" s="138" t="n">
        <v>400</v>
      </c>
      <c r="C5" s="138" t="n">
        <v>32.506</v>
      </c>
      <c r="D5" s="138" t="s">
        <v>4119</v>
      </c>
      <c r="E5" s="138" t="n">
        <v>164.85915</v>
      </c>
      <c r="F5" s="138" t="n">
        <v>166.48445</v>
      </c>
      <c r="G5" s="138" t="s">
        <v>3776</v>
      </c>
      <c r="H5" s="138" t="s">
        <v>3778</v>
      </c>
      <c r="J5" s="138" t="n">
        <v>26.8855</v>
      </c>
      <c r="K5" s="138" t="s">
        <v>4027</v>
      </c>
      <c r="L5" s="138" t="n">
        <v>865.794</v>
      </c>
      <c r="M5" s="138" t="n">
        <v>180</v>
      </c>
      <c r="N5" s="138" t="n">
        <v>19.156</v>
      </c>
      <c r="O5" s="138" t="n">
        <v>2.114</v>
      </c>
      <c r="P5" s="138" t="n">
        <v>22.3855</v>
      </c>
      <c r="Q5" s="138" t="n">
        <v>31.3855</v>
      </c>
    </row>
    <row r="6" customFormat="false" ht="15" hidden="false" customHeight="false" outlineLevel="0" collapsed="false">
      <c r="A6" s="138" t="s">
        <v>4045</v>
      </c>
      <c r="B6" s="138" t="n">
        <v>400</v>
      </c>
      <c r="C6" s="138" t="n">
        <v>78.394</v>
      </c>
      <c r="D6" s="138" t="s">
        <v>4120</v>
      </c>
      <c r="E6" s="138" t="n">
        <v>190.67915</v>
      </c>
      <c r="F6" s="138" t="n">
        <v>194.59885</v>
      </c>
      <c r="G6" s="138" t="s">
        <v>3781</v>
      </c>
      <c r="H6" s="138" t="s">
        <v>3783</v>
      </c>
      <c r="J6" s="138" t="n">
        <v>38.3245</v>
      </c>
      <c r="K6" s="138" t="s">
        <v>4028</v>
      </c>
      <c r="L6" s="138" t="n">
        <v>858.024</v>
      </c>
      <c r="M6" s="138" t="n">
        <v>130</v>
      </c>
      <c r="N6" s="138" t="n">
        <v>17.447</v>
      </c>
      <c r="O6" s="138" t="n">
        <v>1.211</v>
      </c>
      <c r="P6" s="138" t="n">
        <v>35.0745</v>
      </c>
      <c r="Q6" s="138" t="n">
        <v>41.5745</v>
      </c>
    </row>
    <row r="7" customFormat="false" ht="15" hidden="false" customHeight="false" outlineLevel="0" collapsed="false">
      <c r="A7" s="138" t="s">
        <v>4058</v>
      </c>
      <c r="B7" s="138" t="n">
        <v>1800</v>
      </c>
      <c r="C7" s="138" t="n">
        <v>62.772</v>
      </c>
      <c r="D7" s="138" t="s">
        <v>4121</v>
      </c>
      <c r="E7" s="138" t="n">
        <v>315.593</v>
      </c>
      <c r="F7" s="138" t="n">
        <v>318.7316</v>
      </c>
      <c r="G7" s="138" t="s">
        <v>3788</v>
      </c>
      <c r="H7" s="138" t="s">
        <v>3790</v>
      </c>
      <c r="J7" s="138" t="n">
        <v>45.614</v>
      </c>
      <c r="K7" s="138" t="s">
        <v>4030</v>
      </c>
      <c r="L7" s="138" t="n">
        <v>863.935</v>
      </c>
      <c r="M7" s="138" t="n">
        <v>160</v>
      </c>
      <c r="N7" s="138" t="n">
        <v>15.913</v>
      </c>
      <c r="O7" s="138" t="n">
        <v>2.011</v>
      </c>
      <c r="P7" s="138" t="n">
        <v>41.614</v>
      </c>
      <c r="Q7" s="138" t="n">
        <v>49.614</v>
      </c>
    </row>
    <row r="8" customFormat="false" ht="15" hidden="false" customHeight="false" outlineLevel="0" collapsed="false">
      <c r="A8" s="138" t="s">
        <v>4060</v>
      </c>
      <c r="B8" s="138" t="n">
        <v>460</v>
      </c>
      <c r="C8" s="138" t="n">
        <v>85.958</v>
      </c>
      <c r="D8" s="138" t="s">
        <v>4122</v>
      </c>
      <c r="E8" s="138" t="n">
        <v>329.3261</v>
      </c>
      <c r="F8" s="138" t="n">
        <v>333.62405</v>
      </c>
      <c r="G8" s="138" t="s">
        <v>3792</v>
      </c>
      <c r="H8" s="138" t="s">
        <v>3794</v>
      </c>
      <c r="J8" s="138" t="n">
        <v>64.7545</v>
      </c>
      <c r="K8" s="138" t="s">
        <v>4031</v>
      </c>
      <c r="L8" s="138" t="n">
        <v>840.967</v>
      </c>
      <c r="M8" s="138" t="n">
        <v>200</v>
      </c>
      <c r="N8" s="138" t="n">
        <v>16.667</v>
      </c>
      <c r="O8" s="138" t="n">
        <v>3</v>
      </c>
      <c r="P8" s="138" t="n">
        <v>59.7545</v>
      </c>
      <c r="Q8" s="138" t="n">
        <v>69.7545</v>
      </c>
    </row>
    <row r="9" customFormat="false" ht="15" hidden="false" customHeight="false" outlineLevel="0" collapsed="false">
      <c r="A9" s="138" t="s">
        <v>4062</v>
      </c>
      <c r="B9" s="138" t="n">
        <v>550</v>
      </c>
      <c r="C9" s="138" t="n">
        <v>153.276</v>
      </c>
      <c r="D9" s="138" t="s">
        <v>4123</v>
      </c>
      <c r="E9" s="138" t="n">
        <v>349.25265</v>
      </c>
      <c r="F9" s="138" t="n">
        <v>356.91645</v>
      </c>
      <c r="G9" s="138" t="s">
        <v>3796</v>
      </c>
      <c r="H9" s="138" t="s">
        <v>3798</v>
      </c>
      <c r="J9" s="138" t="n">
        <v>78.83</v>
      </c>
      <c r="K9" s="138" t="s">
        <v>4032</v>
      </c>
      <c r="L9" s="138" t="n">
        <v>857.858</v>
      </c>
      <c r="M9" s="138" t="n">
        <v>320</v>
      </c>
      <c r="N9" s="138" t="n">
        <v>26.67</v>
      </c>
      <c r="O9" s="138" t="n">
        <v>4.799</v>
      </c>
      <c r="P9" s="138" t="n">
        <v>70.83</v>
      </c>
      <c r="Q9" s="138" t="n">
        <v>86.83</v>
      </c>
    </row>
    <row r="10" customFormat="false" ht="15" hidden="false" customHeight="false" outlineLevel="0" collapsed="false">
      <c r="A10" s="138" t="s">
        <v>4065</v>
      </c>
      <c r="B10" s="138" t="n">
        <v>2200</v>
      </c>
      <c r="C10" s="138" t="n">
        <v>110.93</v>
      </c>
      <c r="D10" s="138" t="s">
        <v>4124</v>
      </c>
      <c r="E10" s="138" t="n">
        <v>363.08685</v>
      </c>
      <c r="F10" s="138" t="n">
        <v>368.63335</v>
      </c>
      <c r="G10" s="138" t="s">
        <v>3800</v>
      </c>
      <c r="H10" s="138" t="s">
        <v>3802</v>
      </c>
      <c r="J10" s="138" t="n">
        <v>113.6235</v>
      </c>
      <c r="K10" s="138" t="s">
        <v>4036</v>
      </c>
      <c r="L10" s="138" t="n">
        <v>816.118</v>
      </c>
      <c r="M10" s="138" t="n">
        <v>150</v>
      </c>
      <c r="N10" s="138" t="n">
        <v>15.217</v>
      </c>
      <c r="O10" s="138" t="n">
        <v>1.848</v>
      </c>
      <c r="P10" s="138" t="n">
        <v>109.8735</v>
      </c>
      <c r="Q10" s="138" t="n">
        <v>117.3735</v>
      </c>
    </row>
    <row r="11" customFormat="false" ht="15" hidden="false" customHeight="false" outlineLevel="0" collapsed="false">
      <c r="A11" s="138" t="s">
        <v>4067</v>
      </c>
      <c r="B11" s="138" t="n">
        <v>3000</v>
      </c>
      <c r="C11" s="138" t="n">
        <v>114.274</v>
      </c>
      <c r="D11" s="138" t="s">
        <v>4125</v>
      </c>
      <c r="E11" s="138" t="n">
        <v>380.8493</v>
      </c>
      <c r="F11" s="138" t="n">
        <v>386.56295</v>
      </c>
      <c r="G11" s="138" t="s">
        <v>3803</v>
      </c>
      <c r="H11" s="138" t="s">
        <v>3805</v>
      </c>
      <c r="J11" s="138" t="n">
        <v>121</v>
      </c>
      <c r="K11" s="138" t="s">
        <v>1767</v>
      </c>
      <c r="L11" s="138" t="n">
        <v>821.811</v>
      </c>
      <c r="M11" s="138" t="n">
        <v>145</v>
      </c>
      <c r="N11" s="138" t="n">
        <v>24.662</v>
      </c>
      <c r="O11" s="138" t="n">
        <v>1.066</v>
      </c>
      <c r="P11" s="138" t="n">
        <v>117.375</v>
      </c>
      <c r="Q11" s="138" t="n">
        <v>124.625</v>
      </c>
    </row>
    <row r="12" customFormat="false" ht="15" hidden="false" customHeight="false" outlineLevel="0" collapsed="false">
      <c r="A12" s="138" t="s">
        <v>4071</v>
      </c>
      <c r="B12" s="138" t="n">
        <v>500</v>
      </c>
      <c r="C12" s="138" t="n">
        <v>55.526</v>
      </c>
      <c r="D12" s="138" t="s">
        <v>4126</v>
      </c>
      <c r="E12" s="138" t="n">
        <v>419.9362</v>
      </c>
      <c r="F12" s="138" t="n">
        <v>422.7125</v>
      </c>
      <c r="G12" s="138" t="s">
        <v>3807</v>
      </c>
      <c r="H12" s="138" t="s">
        <v>3809</v>
      </c>
      <c r="J12" s="138" t="n">
        <v>147.0405</v>
      </c>
      <c r="K12" s="138" t="s">
        <v>4038</v>
      </c>
      <c r="L12" s="138" t="n">
        <v>811.286</v>
      </c>
      <c r="M12" s="138" t="n">
        <v>80</v>
      </c>
      <c r="N12" s="138" t="n">
        <v>25.069</v>
      </c>
      <c r="O12" s="138" t="n">
        <v>0.319</v>
      </c>
      <c r="P12" s="138" t="n">
        <v>145.0405</v>
      </c>
      <c r="Q12" s="138" t="n">
        <v>149.0405</v>
      </c>
    </row>
    <row r="13" customFormat="false" ht="15" hidden="false" customHeight="false" outlineLevel="0" collapsed="false">
      <c r="A13" s="138" t="s">
        <v>4073</v>
      </c>
      <c r="B13" s="138" t="n">
        <v>400</v>
      </c>
      <c r="C13" s="138" t="n">
        <v>31.309</v>
      </c>
      <c r="D13" s="138" t="s">
        <v>4127</v>
      </c>
      <c r="E13" s="138" t="n">
        <v>440.27985</v>
      </c>
      <c r="F13" s="138" t="n">
        <v>441.84525</v>
      </c>
      <c r="G13" s="138" t="s">
        <v>3812</v>
      </c>
      <c r="H13" s="138" t="s">
        <v>3814</v>
      </c>
      <c r="J13" s="138" t="n">
        <v>157.6465</v>
      </c>
      <c r="K13" s="138" t="s">
        <v>4039</v>
      </c>
      <c r="L13" s="138" t="n">
        <v>800.231</v>
      </c>
      <c r="M13" s="138" t="n">
        <v>150</v>
      </c>
      <c r="N13" s="138" t="n">
        <v>20.222</v>
      </c>
      <c r="O13" s="138" t="n">
        <v>1.391</v>
      </c>
      <c r="P13" s="138" t="n">
        <v>153.8965</v>
      </c>
      <c r="Q13" s="138" t="n">
        <v>161.3965</v>
      </c>
    </row>
    <row r="14" customFormat="false" ht="15" hidden="false" customHeight="false" outlineLevel="0" collapsed="false">
      <c r="A14" s="138" t="s">
        <v>4074</v>
      </c>
      <c r="B14" s="138" t="n">
        <v>240</v>
      </c>
      <c r="C14" s="138" t="n">
        <v>251.795</v>
      </c>
      <c r="D14" s="138" t="s">
        <v>4128</v>
      </c>
      <c r="E14" s="138" t="n">
        <v>447.609</v>
      </c>
      <c r="F14" s="138" t="n">
        <v>460.1988</v>
      </c>
      <c r="G14" s="138" t="s">
        <v>3817</v>
      </c>
      <c r="H14" s="138" t="s">
        <v>3819</v>
      </c>
      <c r="J14" s="138" t="n">
        <v>171.5</v>
      </c>
      <c r="K14" s="138" t="s">
        <v>4042</v>
      </c>
      <c r="L14" s="138" t="n">
        <v>806.343</v>
      </c>
      <c r="M14" s="138" t="n">
        <v>100</v>
      </c>
      <c r="N14" s="138" t="n">
        <v>26.356</v>
      </c>
      <c r="O14" s="138" t="n">
        <v>0.474</v>
      </c>
      <c r="P14" s="138" t="n">
        <v>169</v>
      </c>
      <c r="Q14" s="138" t="n">
        <v>174</v>
      </c>
    </row>
    <row r="15" customFormat="false" ht="15" hidden="false" customHeight="false" outlineLevel="0" collapsed="false">
      <c r="A15" s="138" t="s">
        <v>4075</v>
      </c>
      <c r="B15" s="138" t="n">
        <v>250</v>
      </c>
      <c r="C15" s="138" t="n">
        <v>32.66</v>
      </c>
      <c r="D15" s="138" t="s">
        <v>4129</v>
      </c>
      <c r="E15" s="138" t="n">
        <v>466.74405</v>
      </c>
      <c r="F15" s="138" t="n">
        <v>468.37705</v>
      </c>
      <c r="G15" s="138" t="s">
        <v>3822</v>
      </c>
      <c r="H15" s="138" t="s">
        <v>3824</v>
      </c>
      <c r="J15" s="138" t="n">
        <v>186.3975</v>
      </c>
      <c r="K15" s="138" t="s">
        <v>4044</v>
      </c>
      <c r="L15" s="138" t="n">
        <v>824.22</v>
      </c>
      <c r="M15" s="138" t="n">
        <v>210</v>
      </c>
      <c r="N15" s="138" t="n">
        <v>17.5</v>
      </c>
      <c r="O15" s="138" t="n">
        <v>3.15</v>
      </c>
      <c r="P15" s="138" t="n">
        <v>181.1475</v>
      </c>
      <c r="Q15" s="138" t="n">
        <v>191.6475</v>
      </c>
    </row>
    <row r="16" customFormat="false" ht="15" hidden="false" customHeight="false" outlineLevel="0" collapsed="false">
      <c r="A16" s="138" t="s">
        <v>4077</v>
      </c>
      <c r="B16" s="138" t="n">
        <v>320</v>
      </c>
      <c r="C16" s="138" t="n">
        <v>76.808</v>
      </c>
      <c r="D16" s="138" t="s">
        <v>4130</v>
      </c>
      <c r="E16" s="138" t="n">
        <v>479.52125</v>
      </c>
      <c r="F16" s="138" t="n">
        <v>483.36165</v>
      </c>
      <c r="G16" s="138" t="s">
        <v>3827</v>
      </c>
      <c r="H16" s="138" t="s">
        <v>3829</v>
      </c>
      <c r="J16" s="138" t="n">
        <v>193.75</v>
      </c>
      <c r="K16" s="138" t="s">
        <v>4046</v>
      </c>
      <c r="L16" s="138" t="n">
        <v>815.397</v>
      </c>
      <c r="M16" s="138" t="n">
        <v>80</v>
      </c>
      <c r="N16" s="138" t="n">
        <v>17.077</v>
      </c>
      <c r="O16" s="138" t="n">
        <v>0.468</v>
      </c>
      <c r="P16" s="138" t="n">
        <v>191.75</v>
      </c>
      <c r="Q16" s="138" t="n">
        <v>195.75</v>
      </c>
    </row>
    <row r="17" customFormat="false" ht="15" hidden="false" customHeight="false" outlineLevel="0" collapsed="false">
      <c r="A17" s="138" t="s">
        <v>4079</v>
      </c>
      <c r="B17" s="138" t="n">
        <v>240</v>
      </c>
      <c r="C17" s="138" t="n">
        <v>30.958</v>
      </c>
      <c r="D17" s="138" t="s">
        <v>4131</v>
      </c>
      <c r="E17" s="138" t="n">
        <v>490.1992</v>
      </c>
      <c r="F17" s="138" t="n">
        <v>491.7471</v>
      </c>
      <c r="G17" s="138" t="s">
        <v>3832</v>
      </c>
      <c r="H17" s="138" t="s">
        <v>3834</v>
      </c>
      <c r="J17" s="138" t="n">
        <v>208.5</v>
      </c>
      <c r="K17" s="138" t="s">
        <v>4047</v>
      </c>
      <c r="L17" s="138" t="n">
        <v>811.516</v>
      </c>
      <c r="M17" s="138" t="n">
        <v>100</v>
      </c>
      <c r="N17" s="138" t="n">
        <v>21.346</v>
      </c>
      <c r="O17" s="138" t="n">
        <v>0.586</v>
      </c>
      <c r="P17" s="138" t="n">
        <v>206</v>
      </c>
      <c r="Q17" s="138" t="n">
        <v>211</v>
      </c>
    </row>
    <row r="18" customFormat="false" ht="15" hidden="false" customHeight="false" outlineLevel="0" collapsed="false">
      <c r="A18" s="138" t="s">
        <v>4080</v>
      </c>
      <c r="B18" s="138" t="n">
        <v>610</v>
      </c>
      <c r="C18" s="138" t="n">
        <v>302.328</v>
      </c>
      <c r="D18" s="138" t="s">
        <v>4132</v>
      </c>
      <c r="E18" s="138" t="n">
        <v>497.76285</v>
      </c>
      <c r="F18" s="138" t="n">
        <v>512.87925</v>
      </c>
      <c r="G18" s="138" t="s">
        <v>3837</v>
      </c>
      <c r="H18" s="138" t="s">
        <v>4133</v>
      </c>
      <c r="J18" s="138" t="n">
        <v>213.9585</v>
      </c>
      <c r="K18" s="138" t="s">
        <v>4048</v>
      </c>
      <c r="L18" s="138" t="n">
        <v>804.966</v>
      </c>
      <c r="M18" s="138" t="n">
        <v>70</v>
      </c>
      <c r="N18" s="138" t="n">
        <v>18.314</v>
      </c>
      <c r="O18" s="138" t="n">
        <v>0.334</v>
      </c>
      <c r="P18" s="138" t="n">
        <v>212.2085</v>
      </c>
      <c r="Q18" s="138" t="n">
        <v>215.7085</v>
      </c>
    </row>
    <row r="19" customFormat="false" ht="15" hidden="false" customHeight="false" outlineLevel="0" collapsed="false">
      <c r="A19" s="138" t="s">
        <v>4084</v>
      </c>
      <c r="B19" s="138" t="n">
        <v>1800</v>
      </c>
      <c r="C19" s="138" t="n">
        <v>56.215</v>
      </c>
      <c r="D19" s="138" t="s">
        <v>4134</v>
      </c>
      <c r="E19" s="138" t="n">
        <v>525.18715</v>
      </c>
      <c r="F19" s="138" t="n">
        <v>527.99785</v>
      </c>
      <c r="G19" s="138" t="s">
        <v>3841</v>
      </c>
      <c r="H19" s="138" t="s">
        <v>3843</v>
      </c>
      <c r="J19" s="138" t="n">
        <v>219.1475</v>
      </c>
      <c r="K19" s="138" t="s">
        <v>4049</v>
      </c>
      <c r="L19" s="138" t="n">
        <v>802.706</v>
      </c>
      <c r="M19" s="138" t="n">
        <v>100</v>
      </c>
      <c r="N19" s="138" t="n">
        <v>26.163</v>
      </c>
      <c r="O19" s="138" t="n">
        <v>0.478</v>
      </c>
      <c r="P19" s="138" t="n">
        <v>216.6475</v>
      </c>
      <c r="Q19" s="138" t="n">
        <v>221.6475</v>
      </c>
    </row>
    <row r="20" customFormat="false" ht="15" hidden="false" customHeight="false" outlineLevel="0" collapsed="false">
      <c r="A20" s="138" t="s">
        <v>4087</v>
      </c>
      <c r="B20" s="138" t="n">
        <v>2500</v>
      </c>
      <c r="C20" s="138" t="n">
        <v>55.859</v>
      </c>
      <c r="D20" s="138" t="s">
        <v>4135</v>
      </c>
      <c r="E20" s="138" t="n">
        <v>547.18265</v>
      </c>
      <c r="F20" s="138" t="n">
        <v>549.9756</v>
      </c>
      <c r="G20" s="138" t="s">
        <v>3844</v>
      </c>
      <c r="H20" s="138" t="s">
        <v>3846</v>
      </c>
      <c r="J20" s="138" t="n">
        <v>224.736</v>
      </c>
      <c r="K20" s="138" t="s">
        <v>4051</v>
      </c>
      <c r="L20" s="138" t="n">
        <v>796</v>
      </c>
      <c r="M20" s="138" t="n">
        <v>100</v>
      </c>
      <c r="N20" s="138" t="n">
        <v>38.47</v>
      </c>
      <c r="O20" s="138" t="n">
        <v>0.325</v>
      </c>
      <c r="P20" s="138" t="n">
        <v>222.236</v>
      </c>
      <c r="Q20" s="138" t="n">
        <v>227.236</v>
      </c>
    </row>
    <row r="21" customFormat="false" ht="15" hidden="false" customHeight="false" outlineLevel="0" collapsed="false">
      <c r="A21" s="138" t="s">
        <v>4089</v>
      </c>
      <c r="B21" s="138" t="n">
        <v>2500</v>
      </c>
      <c r="C21" s="138" t="n">
        <v>55.846</v>
      </c>
      <c r="D21" s="138" t="s">
        <v>4136</v>
      </c>
      <c r="E21" s="138" t="n">
        <v>575.2058</v>
      </c>
      <c r="F21" s="138" t="n">
        <v>577.9981</v>
      </c>
      <c r="G21" s="138" t="s">
        <v>3847</v>
      </c>
      <c r="H21" s="138" t="s">
        <v>3849</v>
      </c>
      <c r="J21" s="138" t="n">
        <v>233.7275</v>
      </c>
      <c r="K21" s="138" t="s">
        <v>4052</v>
      </c>
      <c r="L21" s="138" t="n">
        <v>789.885</v>
      </c>
      <c r="M21" s="138" t="n">
        <v>60</v>
      </c>
      <c r="N21" s="138" t="n">
        <v>15.998</v>
      </c>
      <c r="O21" s="138" t="n">
        <v>0.281</v>
      </c>
      <c r="P21" s="138" t="n">
        <v>232.2275</v>
      </c>
      <c r="Q21" s="138" t="n">
        <v>235.2275</v>
      </c>
    </row>
    <row r="22" customFormat="false" ht="15" hidden="false" customHeight="false" outlineLevel="0" collapsed="false">
      <c r="A22" s="138" t="s">
        <v>4091</v>
      </c>
      <c r="B22" s="138" t="n">
        <v>1400</v>
      </c>
      <c r="C22" s="138" t="n">
        <v>178.668</v>
      </c>
      <c r="D22" s="138" t="s">
        <v>4137</v>
      </c>
      <c r="E22" s="138" t="n">
        <v>584.9282</v>
      </c>
      <c r="F22" s="138" t="n">
        <v>593.86155</v>
      </c>
      <c r="G22" s="138" t="s">
        <v>3850</v>
      </c>
      <c r="H22" s="138" t="s">
        <v>3852</v>
      </c>
      <c r="J22" s="138" t="n">
        <v>239.7695</v>
      </c>
      <c r="K22" s="138" t="s">
        <v>4053</v>
      </c>
      <c r="L22" s="138" t="n">
        <v>790.308</v>
      </c>
      <c r="M22" s="138" t="n">
        <v>90</v>
      </c>
      <c r="N22" s="138" t="n">
        <v>16.778</v>
      </c>
      <c r="O22" s="138" t="n">
        <v>0.603</v>
      </c>
      <c r="P22" s="138" t="n">
        <v>237.5195</v>
      </c>
      <c r="Q22" s="138" t="n">
        <v>242.0195</v>
      </c>
    </row>
    <row r="23" customFormat="false" ht="15" hidden="false" customHeight="false" outlineLevel="0" collapsed="false">
      <c r="A23" s="138" t="s">
        <v>4094</v>
      </c>
      <c r="B23" s="138" t="n">
        <v>2000</v>
      </c>
      <c r="C23" s="138" t="n">
        <v>76.011</v>
      </c>
      <c r="D23" s="138" t="s">
        <v>4138</v>
      </c>
      <c r="E23" s="138" t="n">
        <v>600.57725</v>
      </c>
      <c r="F23" s="138" t="n">
        <v>604.3778</v>
      </c>
      <c r="G23" s="138" t="s">
        <v>3853</v>
      </c>
      <c r="H23" s="138" t="s">
        <v>3855</v>
      </c>
      <c r="J23" s="138" t="n">
        <v>257</v>
      </c>
      <c r="K23" s="138" t="s">
        <v>1910</v>
      </c>
      <c r="L23" s="138" t="n">
        <v>810</v>
      </c>
      <c r="M23" s="138" t="n">
        <v>80</v>
      </c>
      <c r="N23" s="138" t="n">
        <v>17.299</v>
      </c>
      <c r="O23" s="138" t="n">
        <v>0.462</v>
      </c>
      <c r="P23" s="138" t="n">
        <v>255</v>
      </c>
      <c r="Q23" s="138" t="n">
        <v>259</v>
      </c>
    </row>
    <row r="24" customFormat="false" ht="15" hidden="false" customHeight="false" outlineLevel="0" collapsed="false">
      <c r="A24" s="138" t="s">
        <v>4095</v>
      </c>
      <c r="B24" s="138" t="n">
        <v>2000</v>
      </c>
      <c r="C24" s="138" t="n">
        <v>70.03</v>
      </c>
      <c r="D24" s="138" t="s">
        <v>4139</v>
      </c>
      <c r="E24" s="138" t="n">
        <v>608.90295</v>
      </c>
      <c r="F24" s="138" t="n">
        <v>612.40445</v>
      </c>
      <c r="G24" s="138" t="s">
        <v>3856</v>
      </c>
      <c r="H24" s="138" t="s">
        <v>3858</v>
      </c>
      <c r="J24" s="138" t="n">
        <v>261</v>
      </c>
      <c r="K24" s="138" t="s">
        <v>1916</v>
      </c>
      <c r="L24" s="138" t="n">
        <v>810.763</v>
      </c>
      <c r="M24" s="138" t="n">
        <v>60</v>
      </c>
      <c r="N24" s="138" t="n">
        <v>17.7</v>
      </c>
      <c r="O24" s="138" t="n">
        <v>0.254</v>
      </c>
      <c r="P24" s="138" t="n">
        <v>259.5</v>
      </c>
      <c r="Q24" s="138" t="n">
        <v>262.5</v>
      </c>
    </row>
    <row r="25" customFormat="false" ht="15" hidden="false" customHeight="false" outlineLevel="0" collapsed="false">
      <c r="A25" s="138" t="s">
        <v>4098</v>
      </c>
      <c r="B25" s="138" t="n">
        <v>2500</v>
      </c>
      <c r="C25" s="138" t="n">
        <v>66.993</v>
      </c>
      <c r="D25" s="138" t="s">
        <v>4140</v>
      </c>
      <c r="E25" s="138" t="n">
        <v>618.08085</v>
      </c>
      <c r="F25" s="138" t="n">
        <v>621.4305</v>
      </c>
      <c r="G25" s="138" t="s">
        <v>3859</v>
      </c>
      <c r="H25" s="138" t="s">
        <v>3861</v>
      </c>
      <c r="J25" s="138" t="n">
        <v>280.25</v>
      </c>
      <c r="K25" s="138" t="s">
        <v>4055</v>
      </c>
      <c r="L25" s="138" t="n">
        <v>828.457</v>
      </c>
      <c r="M25" s="138" t="n">
        <v>340</v>
      </c>
      <c r="N25" s="138" t="n">
        <v>32.442</v>
      </c>
      <c r="O25" s="138" t="n">
        <v>4.454</v>
      </c>
      <c r="P25" s="138" t="n">
        <v>271.75</v>
      </c>
      <c r="Q25" s="138" t="n">
        <v>288.75</v>
      </c>
    </row>
    <row r="26" customFormat="false" ht="15" hidden="false" customHeight="false" outlineLevel="0" collapsed="false">
      <c r="A26" s="138" t="s">
        <v>4101</v>
      </c>
      <c r="B26" s="138" t="n">
        <v>2500</v>
      </c>
      <c r="C26" s="138" t="n">
        <v>45.108</v>
      </c>
      <c r="D26" s="138" t="s">
        <v>4141</v>
      </c>
      <c r="E26" s="138" t="n">
        <v>635.85225</v>
      </c>
      <c r="F26" s="138" t="n">
        <v>638.10765</v>
      </c>
      <c r="G26" s="138" t="s">
        <v>4142</v>
      </c>
      <c r="H26" s="138" t="s">
        <v>3864</v>
      </c>
      <c r="J26" s="138" t="n">
        <v>321.25</v>
      </c>
      <c r="K26" s="138" t="s">
        <v>4057</v>
      </c>
      <c r="L26" s="138" t="n">
        <v>779.25</v>
      </c>
      <c r="M26" s="138" t="n">
        <v>350</v>
      </c>
      <c r="N26" s="138" t="n">
        <v>30.433</v>
      </c>
      <c r="O26" s="138" t="n">
        <v>5.032</v>
      </c>
      <c r="P26" s="138" t="n">
        <v>312.5</v>
      </c>
      <c r="Q26" s="138" t="n">
        <v>330</v>
      </c>
    </row>
    <row r="27" customFormat="false" ht="15" hidden="false" customHeight="false" outlineLevel="0" collapsed="false">
      <c r="J27" s="138" t="n">
        <v>348.2375</v>
      </c>
      <c r="K27" s="138" t="s">
        <v>4061</v>
      </c>
      <c r="L27" s="138" t="n">
        <v>808.936</v>
      </c>
      <c r="M27" s="138" t="n">
        <v>80</v>
      </c>
      <c r="N27" s="138" t="n">
        <v>40</v>
      </c>
      <c r="O27" s="138" t="n">
        <v>0.2</v>
      </c>
      <c r="P27" s="138" t="n">
        <v>346.2375</v>
      </c>
      <c r="Q27" s="138" t="n">
        <v>350.2375</v>
      </c>
    </row>
    <row r="28" customFormat="false" ht="15" hidden="false" customHeight="false" outlineLevel="0" collapsed="false">
      <c r="J28" s="138" t="n">
        <v>357</v>
      </c>
      <c r="K28" s="138" t="s">
        <v>2017</v>
      </c>
      <c r="L28" s="138" t="n">
        <v>815.07</v>
      </c>
      <c r="M28" s="138" t="n">
        <v>60</v>
      </c>
      <c r="N28" s="138" t="n">
        <v>27.815</v>
      </c>
      <c r="O28" s="138" t="n">
        <v>0.162</v>
      </c>
      <c r="P28" s="138" t="n">
        <v>355.5</v>
      </c>
      <c r="Q28" s="138" t="n">
        <v>358.5</v>
      </c>
    </row>
    <row r="29" customFormat="false" ht="15" hidden="false" customHeight="false" outlineLevel="0" collapsed="false">
      <c r="J29" s="138" t="n">
        <v>365.75</v>
      </c>
      <c r="K29" s="138" t="s">
        <v>4063</v>
      </c>
      <c r="L29" s="138" t="n">
        <v>824.97</v>
      </c>
      <c r="M29" s="138" t="n">
        <v>290</v>
      </c>
      <c r="N29" s="138" t="n">
        <v>24.877</v>
      </c>
      <c r="O29" s="138" t="n">
        <v>4.226</v>
      </c>
      <c r="P29" s="138" t="n">
        <v>358.5</v>
      </c>
      <c r="Q29" s="138" t="n">
        <v>373</v>
      </c>
    </row>
    <row r="30" customFormat="false" ht="15" hidden="false" customHeight="false" outlineLevel="0" collapsed="false">
      <c r="J30" s="138" t="n">
        <v>375.074</v>
      </c>
      <c r="K30" s="138" t="s">
        <v>4066</v>
      </c>
      <c r="L30" s="138" t="n">
        <v>813.781</v>
      </c>
      <c r="M30" s="138" t="n">
        <v>80</v>
      </c>
      <c r="N30" s="138" t="n">
        <v>16.159</v>
      </c>
      <c r="O30" s="138" t="n">
        <v>0.495</v>
      </c>
      <c r="P30" s="138" t="n">
        <v>373.074</v>
      </c>
      <c r="Q30" s="138" t="n">
        <v>377.074</v>
      </c>
    </row>
    <row r="31" customFormat="false" ht="15" hidden="false" customHeight="false" outlineLevel="0" collapsed="false">
      <c r="J31" s="138" t="n">
        <v>384.5135</v>
      </c>
      <c r="K31" s="138" t="s">
        <v>4068</v>
      </c>
      <c r="L31" s="138" t="n">
        <v>811.8</v>
      </c>
      <c r="M31" s="138" t="n">
        <v>120</v>
      </c>
      <c r="N31" s="138" t="n">
        <v>24.239</v>
      </c>
      <c r="O31" s="138" t="n">
        <v>0.743</v>
      </c>
      <c r="P31" s="138" t="n">
        <v>381.5135</v>
      </c>
      <c r="Q31" s="138" t="n">
        <v>387.5135</v>
      </c>
    </row>
    <row r="32" customFormat="false" ht="15" hidden="false" customHeight="false" outlineLevel="0" collapsed="false">
      <c r="J32" s="138" t="n">
        <v>403</v>
      </c>
      <c r="K32" s="138" t="s">
        <v>2066</v>
      </c>
      <c r="L32" s="138" t="n">
        <v>789.616</v>
      </c>
      <c r="M32" s="138" t="n">
        <v>200</v>
      </c>
      <c r="N32" s="138" t="n">
        <v>40.415</v>
      </c>
      <c r="O32" s="138" t="n">
        <v>1.237</v>
      </c>
      <c r="P32" s="138" t="n">
        <v>398</v>
      </c>
      <c r="Q32" s="138" t="n">
        <v>408</v>
      </c>
    </row>
    <row r="33" customFormat="false" ht="15" hidden="false" customHeight="false" outlineLevel="0" collapsed="false">
      <c r="J33" s="138" t="n">
        <v>412.5</v>
      </c>
      <c r="K33" s="138" t="s">
        <v>4070</v>
      </c>
      <c r="L33" s="138" t="n">
        <v>787.619</v>
      </c>
      <c r="M33" s="138" t="n">
        <v>90</v>
      </c>
      <c r="N33" s="138" t="n">
        <v>19.425</v>
      </c>
      <c r="O33" s="138" t="n">
        <v>0.521</v>
      </c>
      <c r="P33" s="138" t="n">
        <v>410.25</v>
      </c>
      <c r="Q33" s="138" t="n">
        <v>414.75</v>
      </c>
    </row>
    <row r="34" customFormat="false" ht="15" hidden="false" customHeight="false" outlineLevel="0" collapsed="false">
      <c r="J34" s="138" t="n">
        <v>425</v>
      </c>
      <c r="K34" s="138" t="s">
        <v>2089</v>
      </c>
      <c r="L34" s="138" t="n">
        <v>773.408</v>
      </c>
      <c r="M34" s="138" t="n">
        <v>400</v>
      </c>
      <c r="N34" s="138" t="n">
        <v>34.234</v>
      </c>
      <c r="O34" s="138" t="n">
        <v>5.842</v>
      </c>
      <c r="P34" s="138" t="n">
        <v>415</v>
      </c>
      <c r="Q34" s="138" t="n">
        <v>435</v>
      </c>
    </row>
    <row r="35" customFormat="false" ht="15" hidden="false" customHeight="false" outlineLevel="0" collapsed="false">
      <c r="J35" s="138" t="n">
        <v>494.96</v>
      </c>
      <c r="K35" s="138" t="s">
        <v>4078</v>
      </c>
      <c r="L35" s="138" t="n">
        <v>857.36</v>
      </c>
      <c r="M35" s="138" t="n">
        <v>560</v>
      </c>
      <c r="N35" s="138" t="n">
        <v>46.864</v>
      </c>
      <c r="O35" s="138" t="n">
        <v>8.365</v>
      </c>
      <c r="P35" s="138" t="n">
        <v>480.96</v>
      </c>
      <c r="Q35" s="138" t="n">
        <v>508.96</v>
      </c>
    </row>
    <row r="36" customFormat="false" ht="15" hidden="false" customHeight="false" outlineLevel="0" collapsed="false">
      <c r="J36" s="138" t="n">
        <v>513.875</v>
      </c>
      <c r="K36" s="138" t="s">
        <v>4082</v>
      </c>
      <c r="L36" s="138" t="n">
        <v>834.853</v>
      </c>
      <c r="M36" s="138" t="n">
        <v>150</v>
      </c>
      <c r="N36" s="138" t="n">
        <v>47.015</v>
      </c>
      <c r="O36" s="138" t="n">
        <v>0.598</v>
      </c>
      <c r="P36" s="138" t="n">
        <v>510.125</v>
      </c>
      <c r="Q36" s="138" t="n">
        <v>517.625</v>
      </c>
    </row>
    <row r="37" customFormat="false" ht="15" hidden="false" customHeight="false" outlineLevel="0" collapsed="false">
      <c r="J37" s="138" t="n">
        <v>526.8945</v>
      </c>
      <c r="K37" s="138" t="s">
        <v>4083</v>
      </c>
      <c r="L37" s="138" t="n">
        <v>827.669</v>
      </c>
      <c r="M37" s="138" t="n">
        <v>80</v>
      </c>
      <c r="N37" s="138" t="n">
        <v>18.089</v>
      </c>
      <c r="O37" s="138" t="n">
        <v>0.442</v>
      </c>
      <c r="P37" s="138" t="n">
        <v>524.8945</v>
      </c>
      <c r="Q37" s="138" t="n">
        <v>528.8945</v>
      </c>
    </row>
    <row r="38" customFormat="false" ht="15" hidden="false" customHeight="false" outlineLevel="0" collapsed="false">
      <c r="J38" s="138" t="n">
        <v>532.744</v>
      </c>
      <c r="K38" s="138" t="s">
        <v>4085</v>
      </c>
      <c r="L38" s="138" t="n">
        <v>829.615</v>
      </c>
      <c r="M38" s="138" t="n">
        <v>120</v>
      </c>
      <c r="N38" s="138" t="n">
        <v>15.658</v>
      </c>
      <c r="O38" s="138" t="n">
        <v>1.15</v>
      </c>
      <c r="P38" s="138" t="n">
        <v>529.744</v>
      </c>
      <c r="Q38" s="138" t="n">
        <v>535.744</v>
      </c>
    </row>
    <row r="39" customFormat="false" ht="15" hidden="false" customHeight="false" outlineLevel="0" collapsed="false">
      <c r="J39" s="138" t="n">
        <v>559.9695</v>
      </c>
      <c r="K39" s="138" t="s">
        <v>4088</v>
      </c>
      <c r="L39" s="138" t="n">
        <v>796.945</v>
      </c>
      <c r="M39" s="138" t="n">
        <v>120</v>
      </c>
      <c r="N39" s="138" t="n">
        <v>21.819</v>
      </c>
      <c r="O39" s="138" t="n">
        <v>0.825</v>
      </c>
      <c r="P39" s="138" t="n">
        <v>556.9695</v>
      </c>
      <c r="Q39" s="138" t="n">
        <v>562.9695</v>
      </c>
    </row>
    <row r="40" customFormat="false" ht="15" hidden="false" customHeight="false" outlineLevel="0" collapsed="false">
      <c r="J40" s="138" t="n">
        <v>592.75</v>
      </c>
      <c r="K40" s="138" t="s">
        <v>4092</v>
      </c>
      <c r="L40" s="138" t="n">
        <v>793.665</v>
      </c>
      <c r="M40" s="138" t="n">
        <v>90</v>
      </c>
      <c r="N40" s="138" t="n">
        <v>50.599</v>
      </c>
      <c r="O40" s="138" t="n">
        <v>0.2</v>
      </c>
      <c r="P40" s="138" t="n">
        <v>590.5</v>
      </c>
      <c r="Q40" s="138" t="n">
        <v>595</v>
      </c>
    </row>
    <row r="41" customFormat="false" ht="15" hidden="false" customHeight="false" outlineLevel="0" collapsed="false">
      <c r="J41" s="138" t="n">
        <v>597.1255</v>
      </c>
      <c r="K41" s="138" t="s">
        <v>4093</v>
      </c>
      <c r="L41" s="138" t="n">
        <v>791.671</v>
      </c>
      <c r="M41" s="138" t="n">
        <v>80</v>
      </c>
      <c r="N41" s="138" t="n">
        <v>44.971</v>
      </c>
      <c r="O41" s="138" t="n">
        <v>0.178</v>
      </c>
      <c r="P41" s="138" t="n">
        <v>595.1255</v>
      </c>
      <c r="Q41" s="138" t="n">
        <v>599.1255</v>
      </c>
    </row>
    <row r="42" customFormat="false" ht="15" hidden="false" customHeight="false" outlineLevel="0" collapsed="false">
      <c r="J42" s="138" t="n">
        <v>618.5</v>
      </c>
      <c r="K42" s="138" t="s">
        <v>4097</v>
      </c>
      <c r="L42" s="138" t="n">
        <v>789.534</v>
      </c>
      <c r="M42" s="138" t="n">
        <v>150</v>
      </c>
      <c r="N42" s="138" t="n">
        <v>135.851</v>
      </c>
      <c r="O42" s="138" t="n">
        <v>0.207</v>
      </c>
      <c r="P42" s="138" t="n">
        <v>614.75</v>
      </c>
      <c r="Q42" s="138" t="n">
        <v>622.25</v>
      </c>
    </row>
    <row r="43" customFormat="false" ht="15" hidden="false" customHeight="false" outlineLevel="0" collapsed="false">
      <c r="J43" s="138" t="n">
        <v>630.5</v>
      </c>
      <c r="K43" s="138" t="s">
        <v>4099</v>
      </c>
      <c r="L43" s="138" t="n">
        <v>790.983</v>
      </c>
      <c r="M43" s="138" t="n">
        <v>65</v>
      </c>
      <c r="N43" s="138" t="n">
        <v>16.224</v>
      </c>
      <c r="O43" s="138" t="n">
        <v>0.326</v>
      </c>
      <c r="P43" s="138" t="n">
        <v>628.875</v>
      </c>
      <c r="Q43" s="138" t="n">
        <v>632.125</v>
      </c>
    </row>
    <row r="44" customFormat="false" ht="15" hidden="false" customHeight="false" outlineLevel="0" collapsed="false">
      <c r="J44" s="138" t="n">
        <v>633.805</v>
      </c>
      <c r="K44" s="138" t="s">
        <v>4100</v>
      </c>
      <c r="L44" s="138" t="n">
        <v>794.031</v>
      </c>
      <c r="M44" s="138" t="n">
        <v>45</v>
      </c>
      <c r="N44" s="138" t="n">
        <v>12.436</v>
      </c>
      <c r="O44" s="138" t="n">
        <v>0.204</v>
      </c>
      <c r="P44" s="138" t="n">
        <v>632.68</v>
      </c>
      <c r="Q44" s="138" t="n">
        <v>634.93</v>
      </c>
    </row>
    <row r="45" customFormat="false" ht="15" hidden="false" customHeight="false" outlineLevel="0" collapsed="false">
      <c r="J45" s="138" t="n">
        <v>639.079</v>
      </c>
      <c r="K45" s="138" t="s">
        <v>4102</v>
      </c>
      <c r="L45" s="138" t="n">
        <v>795.077</v>
      </c>
      <c r="M45" s="138" t="n">
        <v>50</v>
      </c>
      <c r="N45" s="138" t="n">
        <v>46.312</v>
      </c>
      <c r="O45" s="138" t="n">
        <v>0.067</v>
      </c>
      <c r="P45" s="138" t="n">
        <v>637.829</v>
      </c>
      <c r="Q45" s="138" t="n">
        <v>640.329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0"/>
    <col collapsed="false" customWidth="true" hidden="false" outlineLevel="0" max="6" min="5" style="0" width="11"/>
    <col collapsed="false" customWidth="true" hidden="false" outlineLevel="0" max="7" min="7" style="0" width="6"/>
    <col collapsed="false" customWidth="true" hidden="false" outlineLevel="0" max="9" min="8" style="0" width="10"/>
    <col collapsed="false" customWidth="true" hidden="false" outlineLevel="0" max="10" min="10" style="0" width="60"/>
  </cols>
  <sheetData>
    <row r="1" customFormat="false" ht="48" hidden="false" customHeight="true" outlineLevel="0" collapsed="false">
      <c r="A1" s="133" t="s">
        <v>57</v>
      </c>
      <c r="B1" s="133" t="s">
        <v>3484</v>
      </c>
      <c r="C1" s="133" t="s">
        <v>3865</v>
      </c>
      <c r="D1" s="133" t="s">
        <v>3866</v>
      </c>
      <c r="E1" s="133" t="s">
        <v>14</v>
      </c>
      <c r="F1" s="133" t="s">
        <v>17</v>
      </c>
      <c r="G1" s="133" t="s">
        <v>2370</v>
      </c>
      <c r="H1" s="133" t="s">
        <v>4143</v>
      </c>
      <c r="I1" s="133" t="s">
        <v>4144</v>
      </c>
      <c r="J1" s="133" t="s">
        <v>1332</v>
      </c>
    </row>
    <row r="2" customFormat="false" ht="15" hidden="false" customHeight="false" outlineLevel="0" collapsed="false">
      <c r="A2" s="138" t="s">
        <v>4145</v>
      </c>
      <c r="B2" s="141" t="n">
        <v>2556</v>
      </c>
      <c r="C2" s="138" t="n">
        <v>0.04525</v>
      </c>
      <c r="D2" s="138" t="n">
        <v>1.03078</v>
      </c>
      <c r="E2" s="138" t="s">
        <v>4146</v>
      </c>
      <c r="F2" s="138" t="s">
        <v>4147</v>
      </c>
      <c r="G2" s="138" t="s">
        <v>59</v>
      </c>
      <c r="H2" s="138" t="s">
        <v>4148</v>
      </c>
      <c r="I2" s="138" t="s">
        <v>4149</v>
      </c>
      <c r="J2" s="138" t="s">
        <v>4150</v>
      </c>
    </row>
    <row r="3" customFormat="false" ht="15" hidden="false" customHeight="false" outlineLevel="0" collapsed="false">
      <c r="A3" s="138" t="s">
        <v>4145</v>
      </c>
      <c r="B3" s="141" t="n">
        <v>1937</v>
      </c>
      <c r="C3" s="138" t="n">
        <v>41.02814</v>
      </c>
      <c r="D3" s="138" t="n">
        <v>41.02864</v>
      </c>
      <c r="E3" s="138" t="s">
        <v>4151</v>
      </c>
      <c r="F3" s="138" t="s">
        <v>4152</v>
      </c>
      <c r="G3" s="138" t="s">
        <v>60</v>
      </c>
      <c r="H3" s="138" t="s">
        <v>4148</v>
      </c>
      <c r="I3" s="138" t="s">
        <v>4149</v>
      </c>
      <c r="J3" s="138" t="s">
        <v>4153</v>
      </c>
    </row>
    <row r="4" customFormat="false" ht="15" hidden="false" customHeight="false" outlineLevel="0" collapsed="false">
      <c r="A4" s="138" t="s">
        <v>4145</v>
      </c>
      <c r="B4" s="141" t="n">
        <v>2885</v>
      </c>
      <c r="C4" s="138" t="n">
        <v>50.27982</v>
      </c>
      <c r="D4" s="138" t="n">
        <v>66.78947</v>
      </c>
      <c r="E4" s="138" t="s">
        <v>4154</v>
      </c>
      <c r="F4" s="138" t="s">
        <v>4155</v>
      </c>
      <c r="G4" s="138" t="s">
        <v>59</v>
      </c>
      <c r="H4" s="138" t="s">
        <v>4148</v>
      </c>
      <c r="I4" s="138" t="s">
        <v>4149</v>
      </c>
      <c r="J4" s="138" t="s">
        <v>4150</v>
      </c>
    </row>
    <row r="5" customFormat="false" ht="15" hidden="false" customHeight="false" outlineLevel="0" collapsed="false">
      <c r="A5" s="138" t="s">
        <v>4156</v>
      </c>
      <c r="B5" s="141" t="n">
        <v>2312</v>
      </c>
      <c r="C5" s="138" t="n">
        <v>51.29536</v>
      </c>
      <c r="D5" s="138" t="n">
        <v>51.29586</v>
      </c>
      <c r="E5" s="138" t="s">
        <v>4157</v>
      </c>
      <c r="F5" s="138" t="s">
        <v>4158</v>
      </c>
      <c r="G5" s="138" t="s">
        <v>60</v>
      </c>
      <c r="H5" s="138" t="s">
        <v>4148</v>
      </c>
      <c r="I5" s="138" t="s">
        <v>4149</v>
      </c>
      <c r="J5" s="138" t="s">
        <v>4153</v>
      </c>
    </row>
    <row r="6" customFormat="false" ht="15" hidden="false" customHeight="false" outlineLevel="0" collapsed="false">
      <c r="A6" s="138" t="s">
        <v>4156</v>
      </c>
      <c r="B6" s="141" t="n">
        <v>1301</v>
      </c>
      <c r="C6" s="138" t="n">
        <v>101.9435</v>
      </c>
      <c r="D6" s="138" t="n">
        <v>101.944</v>
      </c>
      <c r="E6" s="138" t="s">
        <v>4159</v>
      </c>
      <c r="F6" s="138" t="s">
        <v>4160</v>
      </c>
      <c r="G6" s="138" t="s">
        <v>60</v>
      </c>
      <c r="H6" s="138" t="s">
        <v>4161</v>
      </c>
      <c r="I6" s="138" t="s">
        <v>4149</v>
      </c>
      <c r="J6" s="138" t="s">
        <v>4153</v>
      </c>
    </row>
    <row r="7" customFormat="false" ht="15" hidden="false" customHeight="false" outlineLevel="0" collapsed="false">
      <c r="A7" s="138" t="s">
        <v>4162</v>
      </c>
      <c r="B7" s="141" t="n">
        <v>2885</v>
      </c>
      <c r="C7" s="138" t="n">
        <v>118.16137</v>
      </c>
      <c r="D7" s="138" t="n">
        <v>118.16187</v>
      </c>
      <c r="E7" s="138" t="s">
        <v>4163</v>
      </c>
      <c r="F7" s="138" t="s">
        <v>4164</v>
      </c>
      <c r="G7" s="138" t="s">
        <v>59</v>
      </c>
      <c r="H7" s="138" t="s">
        <v>4161</v>
      </c>
      <c r="I7" s="138" t="s">
        <v>4165</v>
      </c>
      <c r="J7" s="138" t="s">
        <v>4166</v>
      </c>
    </row>
    <row r="8" customFormat="false" ht="15" hidden="false" customHeight="false" outlineLevel="0" collapsed="false">
      <c r="A8" s="138" t="s">
        <v>4156</v>
      </c>
      <c r="B8" s="141" t="n">
        <v>235</v>
      </c>
      <c r="C8" s="138" t="n">
        <v>120.96943</v>
      </c>
      <c r="D8" s="138" t="n">
        <v>120.96993</v>
      </c>
      <c r="E8" s="138" t="s">
        <v>4167</v>
      </c>
      <c r="F8" s="138" t="s">
        <v>4168</v>
      </c>
      <c r="G8" s="138" t="s">
        <v>59</v>
      </c>
      <c r="H8" s="138" t="s">
        <v>4161</v>
      </c>
      <c r="I8" s="138" t="s">
        <v>4149</v>
      </c>
      <c r="J8" s="138" t="s">
        <v>4166</v>
      </c>
    </row>
    <row r="9" customFormat="false" ht="15" hidden="false" customHeight="false" outlineLevel="0" collapsed="false">
      <c r="A9" s="138" t="s">
        <v>4169</v>
      </c>
      <c r="B9" s="141" t="n">
        <v>2530</v>
      </c>
      <c r="C9" s="138" t="n">
        <v>150.06289</v>
      </c>
      <c r="D9" s="138" t="n">
        <v>152.99247</v>
      </c>
      <c r="E9" s="138" t="s">
        <v>4170</v>
      </c>
      <c r="F9" s="138" t="s">
        <v>4171</v>
      </c>
      <c r="G9" s="138" t="s">
        <v>59</v>
      </c>
      <c r="H9" s="138" t="s">
        <v>4172</v>
      </c>
      <c r="I9" s="138" t="s">
        <v>4149</v>
      </c>
      <c r="J9" s="138" t="s">
        <v>4150</v>
      </c>
    </row>
    <row r="10" customFormat="false" ht="15" hidden="false" customHeight="false" outlineLevel="0" collapsed="false">
      <c r="A10" s="138" t="s">
        <v>4169</v>
      </c>
      <c r="B10" s="141" t="n">
        <v>1536</v>
      </c>
      <c r="C10" s="138" t="n">
        <v>152.78199</v>
      </c>
      <c r="D10" s="138" t="n">
        <v>153.91517</v>
      </c>
      <c r="E10" s="138" t="s">
        <v>4173</v>
      </c>
      <c r="F10" s="138" t="s">
        <v>4174</v>
      </c>
      <c r="G10" s="138" t="s">
        <v>60</v>
      </c>
      <c r="H10" s="138" t="s">
        <v>4172</v>
      </c>
      <c r="I10" s="138" t="s">
        <v>4149</v>
      </c>
      <c r="J10" s="138" t="s">
        <v>4150</v>
      </c>
    </row>
    <row r="11" customFormat="false" ht="15" hidden="false" customHeight="false" outlineLevel="0" collapsed="false">
      <c r="A11" s="138" t="s">
        <v>4156</v>
      </c>
      <c r="B11" s="141" t="n">
        <v>658</v>
      </c>
      <c r="C11" s="138" t="n">
        <v>163.53784</v>
      </c>
      <c r="D11" s="138" t="n">
        <v>168.04119</v>
      </c>
      <c r="E11" s="138" t="s">
        <v>4175</v>
      </c>
      <c r="F11" s="138" t="s">
        <v>4176</v>
      </c>
      <c r="G11" s="138" t="s">
        <v>60</v>
      </c>
      <c r="H11" s="138" t="s">
        <v>4172</v>
      </c>
      <c r="I11" s="138" t="s">
        <v>4149</v>
      </c>
      <c r="J11" s="138" t="s">
        <v>4177</v>
      </c>
    </row>
    <row r="12" customFormat="false" ht="15" hidden="false" customHeight="false" outlineLevel="0" collapsed="false">
      <c r="A12" s="138" t="s">
        <v>4156</v>
      </c>
      <c r="B12" s="141" t="n">
        <v>1776</v>
      </c>
      <c r="C12" s="138" t="n">
        <v>170.58554</v>
      </c>
      <c r="D12" s="138" t="n">
        <v>182.42458</v>
      </c>
      <c r="E12" s="138" t="s">
        <v>4178</v>
      </c>
      <c r="F12" s="138" t="s">
        <v>4179</v>
      </c>
      <c r="G12" s="138" t="s">
        <v>60</v>
      </c>
      <c r="H12" s="138" t="s">
        <v>4172</v>
      </c>
      <c r="I12" s="138" t="s">
        <v>4149</v>
      </c>
      <c r="J12" s="138" t="s">
        <v>4150</v>
      </c>
    </row>
    <row r="13" customFormat="false" ht="15" hidden="false" customHeight="false" outlineLevel="0" collapsed="false">
      <c r="A13" s="138" t="s">
        <v>4156</v>
      </c>
      <c r="B13" s="141" t="n">
        <v>326</v>
      </c>
      <c r="C13" s="138" t="n">
        <v>177.48718</v>
      </c>
      <c r="D13" s="138" t="n">
        <v>195.4097</v>
      </c>
      <c r="E13" s="138" t="s">
        <v>4180</v>
      </c>
      <c r="F13" s="138" t="s">
        <v>4181</v>
      </c>
      <c r="G13" s="138" t="s">
        <v>59</v>
      </c>
      <c r="H13" s="138" t="s">
        <v>4172</v>
      </c>
      <c r="I13" s="138" t="s">
        <v>4149</v>
      </c>
      <c r="J13" s="138" t="s">
        <v>4182</v>
      </c>
    </row>
    <row r="14" customFormat="false" ht="15" hidden="false" customHeight="false" outlineLevel="0" collapsed="false">
      <c r="A14" s="138" t="s">
        <v>4169</v>
      </c>
      <c r="B14" s="141" t="n">
        <v>842</v>
      </c>
      <c r="C14" s="138" t="n">
        <v>184.1145</v>
      </c>
      <c r="D14" s="138" t="n">
        <v>186.01392</v>
      </c>
      <c r="E14" s="138" t="s">
        <v>4183</v>
      </c>
      <c r="F14" s="138" t="s">
        <v>4184</v>
      </c>
      <c r="G14" s="138" t="s">
        <v>59</v>
      </c>
      <c r="H14" s="138" t="s">
        <v>4172</v>
      </c>
      <c r="I14" s="138" t="s">
        <v>4149</v>
      </c>
      <c r="J14" s="138" t="s">
        <v>4177</v>
      </c>
    </row>
    <row r="15" customFormat="false" ht="15" hidden="false" customHeight="false" outlineLevel="0" collapsed="false">
      <c r="A15" s="138" t="s">
        <v>4156</v>
      </c>
      <c r="B15" s="141" t="n">
        <v>577</v>
      </c>
      <c r="C15" s="138" t="n">
        <v>195.83398</v>
      </c>
      <c r="D15" s="138" t="n">
        <v>199.53765</v>
      </c>
      <c r="E15" s="138" t="s">
        <v>4185</v>
      </c>
      <c r="F15" s="138" t="s">
        <v>4186</v>
      </c>
      <c r="G15" s="138" t="s">
        <v>59</v>
      </c>
      <c r="H15" s="138" t="s">
        <v>4172</v>
      </c>
      <c r="I15" s="138" t="s">
        <v>4149</v>
      </c>
      <c r="J15" s="138" t="s">
        <v>4177</v>
      </c>
    </row>
    <row r="16" customFormat="false" ht="15" hidden="false" customHeight="false" outlineLevel="0" collapsed="false">
      <c r="A16" s="138" t="s">
        <v>4156</v>
      </c>
      <c r="B16" s="141" t="n">
        <v>346</v>
      </c>
      <c r="C16" s="138" t="n">
        <v>208.85699</v>
      </c>
      <c r="D16" s="138" t="n">
        <v>208.85749</v>
      </c>
      <c r="E16" s="138" t="s">
        <v>4187</v>
      </c>
      <c r="F16" s="138" t="s">
        <v>4188</v>
      </c>
      <c r="G16" s="138" t="s">
        <v>60</v>
      </c>
      <c r="H16" s="138" t="s">
        <v>4172</v>
      </c>
      <c r="I16" s="138" t="s">
        <v>4149</v>
      </c>
      <c r="J16" s="138" t="s">
        <v>4166</v>
      </c>
    </row>
    <row r="17" customFormat="false" ht="15" hidden="false" customHeight="false" outlineLevel="0" collapsed="false">
      <c r="A17" s="138" t="s">
        <v>4156</v>
      </c>
      <c r="B17" s="141" t="n">
        <v>880</v>
      </c>
      <c r="C17" s="138" t="n">
        <v>222.97737</v>
      </c>
      <c r="D17" s="138" t="n">
        <v>222.97787</v>
      </c>
      <c r="E17" s="138" t="s">
        <v>4189</v>
      </c>
      <c r="F17" s="138" t="s">
        <v>4190</v>
      </c>
      <c r="G17" s="138" t="s">
        <v>60</v>
      </c>
      <c r="H17" s="138" t="s">
        <v>4191</v>
      </c>
      <c r="I17" s="138" t="s">
        <v>4149</v>
      </c>
      <c r="J17" s="138" t="s">
        <v>4153</v>
      </c>
    </row>
    <row r="18" customFormat="false" ht="15" hidden="false" customHeight="false" outlineLevel="0" collapsed="false">
      <c r="A18" s="138" t="s">
        <v>4156</v>
      </c>
      <c r="B18" s="141" t="n">
        <v>201</v>
      </c>
      <c r="C18" s="138" t="n">
        <v>229.41764</v>
      </c>
      <c r="D18" s="138" t="n">
        <v>229.41814</v>
      </c>
      <c r="E18" s="138" t="s">
        <v>4192</v>
      </c>
      <c r="F18" s="138" t="s">
        <v>4193</v>
      </c>
      <c r="G18" s="138" t="s">
        <v>60</v>
      </c>
      <c r="H18" s="138" t="s">
        <v>4191</v>
      </c>
      <c r="I18" s="138" t="s">
        <v>4149</v>
      </c>
      <c r="J18" s="138" t="s">
        <v>4166</v>
      </c>
    </row>
    <row r="19" customFormat="false" ht="15" hidden="false" customHeight="false" outlineLevel="0" collapsed="false">
      <c r="A19" s="138" t="s">
        <v>4156</v>
      </c>
      <c r="B19" s="141" t="n">
        <v>1638</v>
      </c>
      <c r="C19" s="138" t="n">
        <v>230.02605</v>
      </c>
      <c r="D19" s="138" t="n">
        <v>230.02655</v>
      </c>
      <c r="E19" s="138" t="s">
        <v>4194</v>
      </c>
      <c r="F19" s="138" t="s">
        <v>4195</v>
      </c>
      <c r="G19" s="138" t="s">
        <v>59</v>
      </c>
      <c r="H19" s="138" t="s">
        <v>4191</v>
      </c>
      <c r="I19" s="138" t="s">
        <v>4149</v>
      </c>
      <c r="J19" s="138" t="s">
        <v>4153</v>
      </c>
    </row>
    <row r="20" customFormat="false" ht="15" hidden="false" customHeight="false" outlineLevel="0" collapsed="false">
      <c r="A20" s="138" t="s">
        <v>4156</v>
      </c>
      <c r="B20" s="141" t="n">
        <v>97</v>
      </c>
      <c r="C20" s="138" t="n">
        <v>232.02605</v>
      </c>
      <c r="D20" s="138" t="n">
        <v>232.02655</v>
      </c>
      <c r="E20" s="138" t="s">
        <v>4196</v>
      </c>
      <c r="F20" s="138" t="s">
        <v>4197</v>
      </c>
      <c r="G20" s="138" t="s">
        <v>60</v>
      </c>
      <c r="H20" s="138" t="s">
        <v>4191</v>
      </c>
      <c r="I20" s="138" t="s">
        <v>4149</v>
      </c>
      <c r="J20" s="138" t="s">
        <v>4166</v>
      </c>
    </row>
    <row r="21" customFormat="false" ht="15" hidden="false" customHeight="false" outlineLevel="0" collapsed="false">
      <c r="A21" s="138" t="s">
        <v>4156</v>
      </c>
      <c r="B21" s="141" t="n">
        <v>110</v>
      </c>
      <c r="C21" s="138" t="n">
        <v>233.38589</v>
      </c>
      <c r="D21" s="138" t="n">
        <v>233.38639</v>
      </c>
      <c r="E21" s="138" t="s">
        <v>4198</v>
      </c>
      <c r="F21" s="138" t="s">
        <v>4199</v>
      </c>
      <c r="G21" s="138" t="s">
        <v>60</v>
      </c>
      <c r="H21" s="138" t="s">
        <v>4191</v>
      </c>
      <c r="I21" s="138" t="s">
        <v>4149</v>
      </c>
      <c r="J21" s="138" t="s">
        <v>4166</v>
      </c>
    </row>
    <row r="22" customFormat="false" ht="15" hidden="false" customHeight="false" outlineLevel="0" collapsed="false">
      <c r="A22" s="138" t="s">
        <v>4156</v>
      </c>
      <c r="B22" s="141" t="n">
        <v>715</v>
      </c>
      <c r="C22" s="138" t="n">
        <v>242.55916</v>
      </c>
      <c r="D22" s="138" t="n">
        <v>242.55966</v>
      </c>
      <c r="E22" s="138" t="s">
        <v>4200</v>
      </c>
      <c r="F22" s="138" t="s">
        <v>4201</v>
      </c>
      <c r="G22" s="138" t="s">
        <v>60</v>
      </c>
      <c r="H22" s="138" t="s">
        <v>4191</v>
      </c>
      <c r="I22" s="138" t="s">
        <v>4149</v>
      </c>
      <c r="J22" s="138" t="s">
        <v>4166</v>
      </c>
    </row>
    <row r="23" customFormat="false" ht="15" hidden="false" customHeight="false" outlineLevel="0" collapsed="false">
      <c r="A23" s="138" t="s">
        <v>4156</v>
      </c>
      <c r="B23" s="141" t="n">
        <v>662</v>
      </c>
      <c r="C23" s="138" t="n">
        <v>245.79267</v>
      </c>
      <c r="D23" s="138" t="n">
        <v>245.79317</v>
      </c>
      <c r="E23" s="138" t="s">
        <v>4202</v>
      </c>
      <c r="F23" s="138" t="s">
        <v>4203</v>
      </c>
      <c r="G23" s="138" t="s">
        <v>59</v>
      </c>
      <c r="H23" s="138" t="s">
        <v>4191</v>
      </c>
      <c r="I23" s="138" t="s">
        <v>4149</v>
      </c>
      <c r="J23" s="138" t="s">
        <v>4166</v>
      </c>
    </row>
    <row r="24" customFormat="false" ht="15" hidden="false" customHeight="false" outlineLevel="0" collapsed="false">
      <c r="A24" s="138" t="s">
        <v>4156</v>
      </c>
      <c r="B24" s="141" t="n">
        <v>278</v>
      </c>
      <c r="C24" s="138" t="n">
        <v>255.59544</v>
      </c>
      <c r="D24" s="138" t="n">
        <v>255.59594</v>
      </c>
      <c r="E24" s="138" t="s">
        <v>4204</v>
      </c>
      <c r="F24" s="138" t="s">
        <v>4205</v>
      </c>
      <c r="G24" s="138" t="s">
        <v>59</v>
      </c>
      <c r="H24" s="138" t="s">
        <v>4191</v>
      </c>
      <c r="I24" s="138" t="s">
        <v>4149</v>
      </c>
      <c r="J24" s="138" t="s">
        <v>4166</v>
      </c>
    </row>
    <row r="25" customFormat="false" ht="15" hidden="false" customHeight="false" outlineLevel="0" collapsed="false">
      <c r="A25" s="138" t="s">
        <v>4156</v>
      </c>
      <c r="B25" s="141" t="n">
        <v>240</v>
      </c>
      <c r="C25" s="138" t="n">
        <v>257.18904</v>
      </c>
      <c r="D25" s="138" t="n">
        <v>257.18954</v>
      </c>
      <c r="E25" s="138" t="s">
        <v>4206</v>
      </c>
      <c r="F25" s="138" t="s">
        <v>4207</v>
      </c>
      <c r="G25" s="138" t="s">
        <v>60</v>
      </c>
      <c r="H25" s="138" t="s">
        <v>4191</v>
      </c>
      <c r="I25" s="138" t="s">
        <v>4149</v>
      </c>
      <c r="J25" s="138" t="s">
        <v>4166</v>
      </c>
    </row>
    <row r="26" customFormat="false" ht="15" hidden="false" customHeight="false" outlineLevel="0" collapsed="false">
      <c r="A26" s="138" t="s">
        <v>4156</v>
      </c>
      <c r="B26" s="141" t="n">
        <v>51</v>
      </c>
      <c r="C26" s="138" t="n">
        <v>258.44092</v>
      </c>
      <c r="D26" s="138" t="n">
        <v>258.44142</v>
      </c>
      <c r="E26" s="138" t="s">
        <v>4208</v>
      </c>
      <c r="F26" s="138" t="s">
        <v>4209</v>
      </c>
      <c r="G26" s="138" t="s">
        <v>59</v>
      </c>
      <c r="H26" s="138" t="s">
        <v>4191</v>
      </c>
      <c r="I26" s="138" t="s">
        <v>4149</v>
      </c>
      <c r="J26" s="138" t="s">
        <v>4166</v>
      </c>
    </row>
    <row r="27" customFormat="false" ht="15" hidden="false" customHeight="false" outlineLevel="0" collapsed="false">
      <c r="A27" s="138" t="s">
        <v>4156</v>
      </c>
      <c r="B27" s="141" t="n">
        <v>46</v>
      </c>
      <c r="C27" s="138" t="n">
        <v>259.24195</v>
      </c>
      <c r="D27" s="138" t="n">
        <v>259.24245</v>
      </c>
      <c r="E27" s="138" t="s">
        <v>4210</v>
      </c>
      <c r="F27" s="138" t="s">
        <v>4211</v>
      </c>
      <c r="G27" s="138" t="s">
        <v>59</v>
      </c>
      <c r="H27" s="138" t="s">
        <v>4191</v>
      </c>
      <c r="I27" s="138" t="s">
        <v>4149</v>
      </c>
      <c r="J27" s="138" t="s">
        <v>4166</v>
      </c>
    </row>
    <row r="28" customFormat="false" ht="15" hidden="false" customHeight="false" outlineLevel="0" collapsed="false">
      <c r="A28" s="138" t="s">
        <v>4145</v>
      </c>
      <c r="B28" s="141" t="n">
        <v>2714</v>
      </c>
      <c r="C28" s="138" t="n">
        <v>259.66105</v>
      </c>
      <c r="D28" s="138" t="n">
        <v>262.78687</v>
      </c>
      <c r="E28" s="138" t="s">
        <v>4212</v>
      </c>
      <c r="F28" s="138" t="s">
        <v>4213</v>
      </c>
      <c r="G28" s="138" t="s">
        <v>59</v>
      </c>
      <c r="H28" s="138" t="s">
        <v>4191</v>
      </c>
      <c r="I28" s="138" t="s">
        <v>4149</v>
      </c>
      <c r="J28" s="138" t="s">
        <v>4150</v>
      </c>
    </row>
    <row r="29" customFormat="false" ht="15" hidden="false" customHeight="false" outlineLevel="0" collapsed="false">
      <c r="A29" s="138" t="s">
        <v>4156</v>
      </c>
      <c r="B29" s="141" t="n">
        <v>54</v>
      </c>
      <c r="C29" s="138" t="n">
        <v>259.68857</v>
      </c>
      <c r="D29" s="138" t="n">
        <v>259.68907</v>
      </c>
      <c r="E29" s="138" t="s">
        <v>4214</v>
      </c>
      <c r="F29" s="138" t="s">
        <v>4215</v>
      </c>
      <c r="G29" s="138" t="s">
        <v>59</v>
      </c>
      <c r="H29" s="138" t="s">
        <v>4191</v>
      </c>
      <c r="I29" s="138" t="s">
        <v>4149</v>
      </c>
      <c r="J29" s="138" t="s">
        <v>4166</v>
      </c>
    </row>
    <row r="30" customFormat="false" ht="15" hidden="false" customHeight="false" outlineLevel="0" collapsed="false">
      <c r="A30" s="138" t="s">
        <v>4156</v>
      </c>
      <c r="B30" s="141" t="n">
        <v>2516</v>
      </c>
      <c r="C30" s="138" t="n">
        <v>300.74325</v>
      </c>
      <c r="D30" s="138" t="n">
        <v>300.74375</v>
      </c>
      <c r="E30" s="138" t="s">
        <v>4216</v>
      </c>
      <c r="F30" s="138" t="s">
        <v>4217</v>
      </c>
      <c r="G30" s="138" t="s">
        <v>60</v>
      </c>
      <c r="H30" s="138" t="s">
        <v>4218</v>
      </c>
      <c r="I30" s="138" t="s">
        <v>4149</v>
      </c>
      <c r="J30" s="138" t="s">
        <v>4153</v>
      </c>
    </row>
    <row r="31" customFormat="false" ht="15" hidden="false" customHeight="false" outlineLevel="0" collapsed="false">
      <c r="A31" s="138" t="s">
        <v>4145</v>
      </c>
      <c r="B31" s="141" t="n">
        <v>172</v>
      </c>
      <c r="C31" s="138" t="n">
        <v>313.36646</v>
      </c>
      <c r="D31" s="138" t="n">
        <v>313.36696</v>
      </c>
      <c r="E31" s="138" t="s">
        <v>4219</v>
      </c>
      <c r="F31" s="138" t="s">
        <v>4220</v>
      </c>
      <c r="G31" s="138" t="s">
        <v>60</v>
      </c>
      <c r="H31" s="138" t="s">
        <v>4218</v>
      </c>
      <c r="I31" s="138" t="s">
        <v>4149</v>
      </c>
      <c r="J31" s="138" t="s">
        <v>4166</v>
      </c>
    </row>
    <row r="32" customFormat="false" ht="15" hidden="false" customHeight="false" outlineLevel="0" collapsed="false">
      <c r="A32" s="138" t="s">
        <v>4156</v>
      </c>
      <c r="B32" s="141" t="n">
        <v>2713</v>
      </c>
      <c r="C32" s="138" t="n">
        <v>323.22448</v>
      </c>
      <c r="D32" s="138" t="n">
        <v>323.22498</v>
      </c>
      <c r="E32" s="138" t="s">
        <v>4221</v>
      </c>
      <c r="F32" s="138" t="s">
        <v>4222</v>
      </c>
      <c r="G32" s="138" t="s">
        <v>59</v>
      </c>
      <c r="H32" s="138" t="s">
        <v>4218</v>
      </c>
      <c r="I32" s="138" t="s">
        <v>4149</v>
      </c>
      <c r="J32" s="138" t="s">
        <v>4153</v>
      </c>
    </row>
    <row r="33" customFormat="false" ht="15" hidden="false" customHeight="false" outlineLevel="0" collapsed="false">
      <c r="A33" s="138" t="s">
        <v>4156</v>
      </c>
      <c r="B33" s="141" t="n">
        <v>1788</v>
      </c>
      <c r="C33" s="138" t="n">
        <v>336.52598</v>
      </c>
      <c r="D33" s="138" t="n">
        <v>345.01827</v>
      </c>
      <c r="E33" s="138" t="s">
        <v>4223</v>
      </c>
      <c r="F33" s="138" t="s">
        <v>4224</v>
      </c>
      <c r="G33" s="138" t="s">
        <v>59</v>
      </c>
      <c r="H33" s="138" t="s">
        <v>4218</v>
      </c>
      <c r="I33" s="138" t="s">
        <v>4149</v>
      </c>
      <c r="J33" s="138" t="s">
        <v>4177</v>
      </c>
    </row>
    <row r="34" customFormat="false" ht="15" hidden="false" customHeight="false" outlineLevel="0" collapsed="false">
      <c r="A34" s="138" t="s">
        <v>4156</v>
      </c>
      <c r="B34" s="141" t="n">
        <v>977</v>
      </c>
      <c r="C34" s="138" t="n">
        <v>336.73693</v>
      </c>
      <c r="D34" s="138" t="n">
        <v>336.73743</v>
      </c>
      <c r="E34" s="138" t="s">
        <v>4225</v>
      </c>
      <c r="F34" s="138" t="s">
        <v>4226</v>
      </c>
      <c r="G34" s="138" t="s">
        <v>60</v>
      </c>
      <c r="H34" s="138" t="s">
        <v>4218</v>
      </c>
      <c r="I34" s="138" t="s">
        <v>4149</v>
      </c>
      <c r="J34" s="138" t="s">
        <v>4153</v>
      </c>
    </row>
    <row r="35" customFormat="false" ht="15" hidden="false" customHeight="false" outlineLevel="0" collapsed="false">
      <c r="A35" s="138" t="s">
        <v>4156</v>
      </c>
      <c r="B35" s="141" t="n">
        <v>475</v>
      </c>
      <c r="C35" s="138" t="n">
        <v>343.61897</v>
      </c>
      <c r="D35" s="138" t="n">
        <v>343.61947</v>
      </c>
      <c r="E35" s="138" t="s">
        <v>4227</v>
      </c>
      <c r="F35" s="138" t="s">
        <v>4228</v>
      </c>
      <c r="G35" s="138" t="s">
        <v>60</v>
      </c>
      <c r="H35" s="138" t="s">
        <v>4218</v>
      </c>
      <c r="I35" s="138" t="s">
        <v>4149</v>
      </c>
      <c r="J35" s="138" t="s">
        <v>4166</v>
      </c>
    </row>
    <row r="36" customFormat="false" ht="15" hidden="false" customHeight="false" outlineLevel="0" collapsed="false">
      <c r="A36" s="138" t="s">
        <v>4169</v>
      </c>
      <c r="B36" s="141" t="n">
        <v>721</v>
      </c>
      <c r="C36" s="138" t="n">
        <v>354.13865</v>
      </c>
      <c r="D36" s="138" t="n">
        <v>354.13915</v>
      </c>
      <c r="E36" s="138" t="s">
        <v>4229</v>
      </c>
      <c r="F36" s="138" t="s">
        <v>4230</v>
      </c>
      <c r="G36" s="138" t="s">
        <v>60</v>
      </c>
      <c r="H36" s="138" t="s">
        <v>4218</v>
      </c>
      <c r="I36" s="138" t="s">
        <v>4149</v>
      </c>
      <c r="J36" s="138" t="s">
        <v>4166</v>
      </c>
    </row>
    <row r="37" customFormat="false" ht="15" hidden="false" customHeight="false" outlineLevel="0" collapsed="false">
      <c r="A37" s="138" t="s">
        <v>4156</v>
      </c>
      <c r="B37" s="141" t="n">
        <v>201</v>
      </c>
      <c r="C37" s="138" t="n">
        <v>360.03561</v>
      </c>
      <c r="D37" s="138" t="n">
        <v>363.43899</v>
      </c>
      <c r="E37" s="138" t="s">
        <v>4231</v>
      </c>
      <c r="F37" s="138" t="s">
        <v>4232</v>
      </c>
      <c r="G37" s="138" t="s">
        <v>59</v>
      </c>
      <c r="H37" s="138" t="s">
        <v>4233</v>
      </c>
      <c r="I37" s="138" t="s">
        <v>4149</v>
      </c>
      <c r="J37" s="138" t="s">
        <v>4150</v>
      </c>
    </row>
    <row r="38" customFormat="false" ht="15" hidden="false" customHeight="false" outlineLevel="0" collapsed="false">
      <c r="A38" s="138" t="s">
        <v>4169</v>
      </c>
      <c r="B38" s="141" t="n">
        <v>720</v>
      </c>
      <c r="C38" s="138" t="n">
        <v>361.67829</v>
      </c>
      <c r="D38" s="138" t="n">
        <v>361.67879</v>
      </c>
      <c r="E38" s="138" t="s">
        <v>4234</v>
      </c>
      <c r="F38" s="138" t="s">
        <v>4235</v>
      </c>
      <c r="G38" s="138" t="s">
        <v>60</v>
      </c>
      <c r="H38" s="138" t="s">
        <v>4233</v>
      </c>
      <c r="I38" s="138" t="s">
        <v>4149</v>
      </c>
      <c r="J38" s="138" t="s">
        <v>4153</v>
      </c>
    </row>
    <row r="39" customFormat="false" ht="15" hidden="false" customHeight="false" outlineLevel="0" collapsed="false">
      <c r="A39" s="138" t="s">
        <v>4156</v>
      </c>
      <c r="B39" s="141" t="n">
        <v>1496</v>
      </c>
      <c r="C39" s="138" t="n">
        <v>370.06534</v>
      </c>
      <c r="D39" s="138" t="n">
        <v>370.06584</v>
      </c>
      <c r="E39" s="138" t="s">
        <v>4236</v>
      </c>
      <c r="F39" s="138" t="s">
        <v>4237</v>
      </c>
      <c r="G39" s="138" t="s">
        <v>60</v>
      </c>
      <c r="H39" s="138" t="s">
        <v>4233</v>
      </c>
      <c r="I39" s="138" t="s">
        <v>4149</v>
      </c>
      <c r="J39" s="138" t="s">
        <v>4166</v>
      </c>
    </row>
    <row r="40" customFormat="false" ht="15" hidden="false" customHeight="false" outlineLevel="0" collapsed="false">
      <c r="A40" s="138" t="s">
        <v>4156</v>
      </c>
      <c r="B40" s="141" t="n">
        <v>2419</v>
      </c>
      <c r="C40" s="138" t="n">
        <v>370.69007</v>
      </c>
      <c r="D40" s="138" t="n">
        <v>370.69057</v>
      </c>
      <c r="E40" s="138" t="s">
        <v>4238</v>
      </c>
      <c r="F40" s="138" t="s">
        <v>4239</v>
      </c>
      <c r="G40" s="138" t="s">
        <v>59</v>
      </c>
      <c r="H40" s="138" t="s">
        <v>4233</v>
      </c>
      <c r="I40" s="138" t="s">
        <v>4149</v>
      </c>
      <c r="J40" s="138" t="s">
        <v>4153</v>
      </c>
    </row>
    <row r="41" customFormat="false" ht="15" hidden="false" customHeight="false" outlineLevel="0" collapsed="false">
      <c r="A41" s="138" t="s">
        <v>4156</v>
      </c>
      <c r="B41" s="141" t="n">
        <v>588</v>
      </c>
      <c r="C41" s="138" t="n">
        <v>405.11197</v>
      </c>
      <c r="D41" s="138" t="n">
        <v>405.11247</v>
      </c>
      <c r="E41" s="138" t="s">
        <v>4240</v>
      </c>
      <c r="F41" s="138" t="s">
        <v>4241</v>
      </c>
      <c r="G41" s="138" t="s">
        <v>60</v>
      </c>
      <c r="H41" s="138" t="s">
        <v>4233</v>
      </c>
      <c r="I41" s="138" t="s">
        <v>4149</v>
      </c>
      <c r="J41" s="138" t="s">
        <v>4166</v>
      </c>
    </row>
    <row r="42" customFormat="false" ht="15" hidden="false" customHeight="false" outlineLevel="0" collapsed="false">
      <c r="A42" s="138" t="s">
        <v>4156</v>
      </c>
      <c r="B42" s="141" t="n">
        <v>386</v>
      </c>
      <c r="C42" s="138" t="n">
        <v>414.8127</v>
      </c>
      <c r="D42" s="138" t="n">
        <v>414.8132</v>
      </c>
      <c r="E42" s="138" t="s">
        <v>4242</v>
      </c>
      <c r="F42" s="138" t="s">
        <v>4243</v>
      </c>
      <c r="G42" s="138" t="s">
        <v>59</v>
      </c>
      <c r="H42" s="138" t="s">
        <v>4233</v>
      </c>
      <c r="I42" s="138" t="s">
        <v>4149</v>
      </c>
      <c r="J42" s="138" t="s">
        <v>4166</v>
      </c>
    </row>
    <row r="43" customFormat="false" ht="15" hidden="false" customHeight="false" outlineLevel="0" collapsed="false">
      <c r="A43" s="138" t="s">
        <v>4156</v>
      </c>
      <c r="B43" s="141" t="n">
        <v>304</v>
      </c>
      <c r="C43" s="138" t="n">
        <v>421.35562</v>
      </c>
      <c r="D43" s="138" t="n">
        <v>421.35612</v>
      </c>
      <c r="E43" s="138" t="s">
        <v>4244</v>
      </c>
      <c r="F43" s="138" t="s">
        <v>4245</v>
      </c>
      <c r="G43" s="138" t="s">
        <v>59</v>
      </c>
      <c r="H43" s="138" t="s">
        <v>4233</v>
      </c>
      <c r="I43" s="138" t="s">
        <v>4149</v>
      </c>
      <c r="J43" s="138" t="s">
        <v>4166</v>
      </c>
    </row>
    <row r="44" customFormat="false" ht="15" hidden="false" customHeight="false" outlineLevel="0" collapsed="false">
      <c r="A44" s="138" t="s">
        <v>4145</v>
      </c>
      <c r="B44" s="141" t="n">
        <v>1506</v>
      </c>
      <c r="C44" s="138" t="n">
        <v>421.73909</v>
      </c>
      <c r="D44" s="138" t="n">
        <v>434.40686</v>
      </c>
      <c r="E44" s="138" t="s">
        <v>4246</v>
      </c>
      <c r="F44" s="138" t="s">
        <v>4247</v>
      </c>
      <c r="G44" s="138" t="s">
        <v>60</v>
      </c>
      <c r="H44" s="138" t="s">
        <v>4233</v>
      </c>
      <c r="I44" s="138" t="s">
        <v>4149</v>
      </c>
      <c r="J44" s="138" t="s">
        <v>4182</v>
      </c>
    </row>
    <row r="45" customFormat="false" ht="15" hidden="false" customHeight="false" outlineLevel="0" collapsed="false">
      <c r="A45" s="138" t="s">
        <v>4145</v>
      </c>
      <c r="B45" s="141" t="n">
        <v>883</v>
      </c>
      <c r="C45" s="138" t="n">
        <v>427.1797</v>
      </c>
      <c r="D45" s="138" t="n">
        <v>427.1802</v>
      </c>
      <c r="E45" s="138" t="s">
        <v>4248</v>
      </c>
      <c r="F45" s="138" t="s">
        <v>4249</v>
      </c>
      <c r="G45" s="138" t="s">
        <v>59</v>
      </c>
      <c r="H45" s="138" t="s">
        <v>4233</v>
      </c>
      <c r="I45" s="138" t="s">
        <v>4149</v>
      </c>
      <c r="J45" s="138" t="s">
        <v>4250</v>
      </c>
    </row>
    <row r="46" customFormat="false" ht="15" hidden="false" customHeight="false" outlineLevel="0" collapsed="false">
      <c r="A46" s="138" t="s">
        <v>4145</v>
      </c>
      <c r="B46" s="141" t="n">
        <v>241</v>
      </c>
      <c r="C46" s="138" t="n">
        <v>438.31966</v>
      </c>
      <c r="D46" s="138" t="n">
        <v>438.32016</v>
      </c>
      <c r="E46" s="138" t="s">
        <v>4251</v>
      </c>
      <c r="F46" s="138" t="s">
        <v>4252</v>
      </c>
      <c r="G46" s="138" t="s">
        <v>60</v>
      </c>
      <c r="H46" s="138" t="s">
        <v>4253</v>
      </c>
      <c r="I46" s="138" t="s">
        <v>4149</v>
      </c>
      <c r="J46" s="138" t="s">
        <v>4166</v>
      </c>
    </row>
    <row r="47" customFormat="false" ht="15" hidden="false" customHeight="false" outlineLevel="0" collapsed="false">
      <c r="A47" s="138" t="s">
        <v>4156</v>
      </c>
      <c r="B47" s="141" t="n">
        <v>1818</v>
      </c>
      <c r="C47" s="138" t="n">
        <v>442.23858</v>
      </c>
      <c r="D47" s="138" t="n">
        <v>454.29434</v>
      </c>
      <c r="E47" s="138" t="s">
        <v>4254</v>
      </c>
      <c r="F47" s="138" t="s">
        <v>4255</v>
      </c>
      <c r="G47" s="138" t="s">
        <v>59</v>
      </c>
      <c r="H47" s="138" t="s">
        <v>4253</v>
      </c>
      <c r="I47" s="138" t="s">
        <v>4149</v>
      </c>
      <c r="J47" s="138" t="s">
        <v>4177</v>
      </c>
    </row>
    <row r="48" customFormat="false" ht="15" hidden="false" customHeight="false" outlineLevel="0" collapsed="false">
      <c r="A48" s="138" t="s">
        <v>4156</v>
      </c>
      <c r="B48" s="141" t="n">
        <v>293</v>
      </c>
      <c r="C48" s="138" t="n">
        <v>455.77689</v>
      </c>
      <c r="D48" s="138" t="n">
        <v>459.05653</v>
      </c>
      <c r="E48" s="138" t="s">
        <v>4256</v>
      </c>
      <c r="F48" s="138" t="s">
        <v>4257</v>
      </c>
      <c r="G48" s="138" t="s">
        <v>60</v>
      </c>
      <c r="H48" s="138" t="s">
        <v>4253</v>
      </c>
      <c r="I48" s="138" t="s">
        <v>4149</v>
      </c>
      <c r="J48" s="138" t="s">
        <v>4177</v>
      </c>
    </row>
    <row r="49" customFormat="false" ht="15" hidden="false" customHeight="false" outlineLevel="0" collapsed="false">
      <c r="A49" s="138" t="s">
        <v>4156</v>
      </c>
      <c r="B49" s="141" t="n">
        <v>386</v>
      </c>
      <c r="C49" s="138" t="n">
        <v>463.27168</v>
      </c>
      <c r="D49" s="138" t="n">
        <v>464.18172</v>
      </c>
      <c r="E49" s="138" t="s">
        <v>4258</v>
      </c>
      <c r="F49" s="138" t="s">
        <v>4259</v>
      </c>
      <c r="G49" s="138" t="s">
        <v>60</v>
      </c>
      <c r="H49" s="138" t="s">
        <v>4253</v>
      </c>
      <c r="I49" s="138" t="s">
        <v>4149</v>
      </c>
      <c r="J49" s="138" t="s">
        <v>4177</v>
      </c>
    </row>
    <row r="50" customFormat="false" ht="15" hidden="false" customHeight="false" outlineLevel="0" collapsed="false">
      <c r="A50" s="138" t="s">
        <v>4156</v>
      </c>
      <c r="B50" s="141" t="n">
        <v>427</v>
      </c>
      <c r="C50" s="138" t="n">
        <v>464.25082</v>
      </c>
      <c r="D50" s="138" t="n">
        <v>467.83184</v>
      </c>
      <c r="E50" s="138" t="s">
        <v>4260</v>
      </c>
      <c r="F50" s="138" t="s">
        <v>4261</v>
      </c>
      <c r="G50" s="138" t="s">
        <v>59</v>
      </c>
      <c r="H50" s="138" t="s">
        <v>4253</v>
      </c>
      <c r="I50" s="138" t="s">
        <v>4149</v>
      </c>
      <c r="J50" s="138" t="s">
        <v>4262</v>
      </c>
    </row>
    <row r="51" customFormat="false" ht="15" hidden="false" customHeight="false" outlineLevel="0" collapsed="false">
      <c r="A51" s="138" t="s">
        <v>4145</v>
      </c>
      <c r="B51" s="141" t="n">
        <v>240</v>
      </c>
      <c r="C51" s="138" t="n">
        <v>470.8343</v>
      </c>
      <c r="D51" s="138" t="n">
        <v>470.8348</v>
      </c>
      <c r="E51" s="138" t="s">
        <v>4263</v>
      </c>
      <c r="F51" s="138" t="s">
        <v>4264</v>
      </c>
      <c r="G51" s="138" t="s">
        <v>60</v>
      </c>
      <c r="H51" s="138" t="s">
        <v>4253</v>
      </c>
      <c r="I51" s="138" t="s">
        <v>4149</v>
      </c>
      <c r="J51" s="138" t="s">
        <v>4265</v>
      </c>
    </row>
    <row r="52" customFormat="false" ht="15" hidden="false" customHeight="false" outlineLevel="0" collapsed="false">
      <c r="A52" s="138" t="s">
        <v>4145</v>
      </c>
      <c r="B52" s="141" t="n">
        <v>495</v>
      </c>
      <c r="C52" s="138" t="n">
        <v>474.45575</v>
      </c>
      <c r="D52" s="138" t="n">
        <v>480.03571</v>
      </c>
      <c r="E52" s="138" t="s">
        <v>4266</v>
      </c>
      <c r="F52" s="138" t="s">
        <v>4267</v>
      </c>
      <c r="G52" s="138" t="s">
        <v>60</v>
      </c>
      <c r="H52" s="138" t="s">
        <v>4253</v>
      </c>
      <c r="I52" s="138" t="s">
        <v>4149</v>
      </c>
      <c r="J52" s="138" t="s">
        <v>4177</v>
      </c>
    </row>
    <row r="53" customFormat="false" ht="15" hidden="false" customHeight="false" outlineLevel="0" collapsed="false">
      <c r="A53" s="138" t="s">
        <v>4145</v>
      </c>
      <c r="B53" s="141" t="n">
        <v>455</v>
      </c>
      <c r="C53" s="138" t="n">
        <v>488.0011</v>
      </c>
      <c r="D53" s="138" t="n">
        <v>494.48899</v>
      </c>
      <c r="E53" s="138" t="s">
        <v>4268</v>
      </c>
      <c r="F53" s="138" t="s">
        <v>4269</v>
      </c>
      <c r="G53" s="138" t="s">
        <v>60</v>
      </c>
      <c r="H53" s="138" t="s">
        <v>4253</v>
      </c>
      <c r="I53" s="138" t="s">
        <v>4149</v>
      </c>
      <c r="J53" s="138" t="s">
        <v>4177</v>
      </c>
    </row>
    <row r="54" customFormat="false" ht="15" hidden="false" customHeight="false" outlineLevel="0" collapsed="false">
      <c r="A54" s="138" t="s">
        <v>4156</v>
      </c>
      <c r="B54" s="141" t="n">
        <v>134</v>
      </c>
      <c r="C54" s="138" t="n">
        <v>498.19943</v>
      </c>
      <c r="D54" s="138" t="n">
        <v>498.19993</v>
      </c>
      <c r="E54" s="138" t="s">
        <v>4270</v>
      </c>
      <c r="F54" s="138" t="s">
        <v>4271</v>
      </c>
      <c r="G54" s="138" t="s">
        <v>60</v>
      </c>
      <c r="H54" s="138" t="s">
        <v>4253</v>
      </c>
      <c r="I54" s="138" t="s">
        <v>4149</v>
      </c>
      <c r="J54" s="138" t="s">
        <v>4166</v>
      </c>
    </row>
    <row r="55" customFormat="false" ht="15" hidden="false" customHeight="false" outlineLevel="0" collapsed="false">
      <c r="A55" s="138" t="s">
        <v>4169</v>
      </c>
      <c r="B55" s="141" t="n">
        <v>1587</v>
      </c>
      <c r="C55" s="138" t="n">
        <v>502.00577</v>
      </c>
      <c r="D55" s="138" t="n">
        <v>508.2716</v>
      </c>
      <c r="E55" s="138" t="s">
        <v>4272</v>
      </c>
      <c r="F55" s="138" t="s">
        <v>4273</v>
      </c>
      <c r="G55" s="138" t="s">
        <v>59</v>
      </c>
      <c r="H55" s="138" t="s">
        <v>4274</v>
      </c>
      <c r="I55" s="138" t="s">
        <v>4149</v>
      </c>
      <c r="J55" s="138" t="s">
        <v>4150</v>
      </c>
    </row>
    <row r="56" customFormat="false" ht="15" hidden="false" customHeight="false" outlineLevel="0" collapsed="false">
      <c r="A56" s="138" t="s">
        <v>4156</v>
      </c>
      <c r="B56" s="141" t="n">
        <v>3463</v>
      </c>
      <c r="C56" s="138" t="n">
        <v>502.48862</v>
      </c>
      <c r="D56" s="138" t="n">
        <v>509.85853</v>
      </c>
      <c r="E56" s="138" t="s">
        <v>4275</v>
      </c>
      <c r="F56" s="138" t="s">
        <v>4276</v>
      </c>
      <c r="G56" s="138" t="s">
        <v>60</v>
      </c>
      <c r="H56" s="138" t="s">
        <v>4274</v>
      </c>
      <c r="I56" s="138" t="s">
        <v>4149</v>
      </c>
      <c r="J56" s="138" t="s">
        <v>4182</v>
      </c>
    </row>
    <row r="57" customFormat="false" ht="15" hidden="false" customHeight="false" outlineLevel="0" collapsed="false">
      <c r="A57" s="138" t="s">
        <v>4156</v>
      </c>
      <c r="B57" s="141" t="n">
        <v>683</v>
      </c>
      <c r="C57" s="138" t="n">
        <v>517.37792</v>
      </c>
      <c r="D57" s="138" t="n">
        <v>517.37842</v>
      </c>
      <c r="E57" s="138" t="s">
        <v>4277</v>
      </c>
      <c r="F57" s="138" t="s">
        <v>4278</v>
      </c>
      <c r="G57" s="138" t="s">
        <v>59</v>
      </c>
      <c r="H57" s="138" t="s">
        <v>4274</v>
      </c>
      <c r="I57" s="138" t="s">
        <v>4149</v>
      </c>
      <c r="J57" s="138" t="s">
        <v>4166</v>
      </c>
    </row>
    <row r="58" customFormat="false" ht="15" hidden="false" customHeight="false" outlineLevel="0" collapsed="false">
      <c r="A58" s="138" t="s">
        <v>4169</v>
      </c>
      <c r="B58" s="141" t="n">
        <v>862</v>
      </c>
      <c r="C58" s="138" t="n">
        <v>529.60007</v>
      </c>
      <c r="D58" s="138" t="n">
        <v>533.39935</v>
      </c>
      <c r="E58" s="138" t="s">
        <v>4279</v>
      </c>
      <c r="F58" s="138" t="s">
        <v>4280</v>
      </c>
      <c r="G58" s="138" t="s">
        <v>59</v>
      </c>
      <c r="H58" s="138" t="s">
        <v>4274</v>
      </c>
      <c r="I58" s="138" t="s">
        <v>4149</v>
      </c>
      <c r="J58" s="138" t="s">
        <v>4177</v>
      </c>
    </row>
    <row r="59" customFormat="false" ht="15" hidden="false" customHeight="false" outlineLevel="0" collapsed="false">
      <c r="A59" s="138" t="s">
        <v>4156</v>
      </c>
      <c r="B59" s="141" t="n">
        <v>3462</v>
      </c>
      <c r="C59" s="138" t="n">
        <v>550.38892</v>
      </c>
      <c r="D59" s="138" t="n">
        <v>550.38942</v>
      </c>
      <c r="E59" s="138" t="s">
        <v>4281</v>
      </c>
      <c r="F59" s="138" t="s">
        <v>4282</v>
      </c>
      <c r="G59" s="138" t="s">
        <v>60</v>
      </c>
      <c r="H59" s="138" t="s">
        <v>4274</v>
      </c>
      <c r="I59" s="138" t="s">
        <v>4149</v>
      </c>
      <c r="J59" s="138" t="s">
        <v>4166</v>
      </c>
    </row>
    <row r="60" customFormat="false" ht="15" hidden="false" customHeight="false" outlineLevel="0" collapsed="false">
      <c r="A60" s="138" t="s">
        <v>4156</v>
      </c>
      <c r="B60" s="141" t="n">
        <v>1675</v>
      </c>
      <c r="C60" s="138" t="n">
        <v>551.98222</v>
      </c>
      <c r="D60" s="138" t="n">
        <v>551.98272</v>
      </c>
      <c r="E60" s="138" t="s">
        <v>4283</v>
      </c>
      <c r="F60" s="138" t="s">
        <v>4284</v>
      </c>
      <c r="G60" s="138" t="s">
        <v>59</v>
      </c>
      <c r="H60" s="138" t="s">
        <v>4274</v>
      </c>
      <c r="I60" s="138" t="s">
        <v>4149</v>
      </c>
      <c r="J60" s="138" t="s">
        <v>4166</v>
      </c>
    </row>
    <row r="61" customFormat="false" ht="15" hidden="false" customHeight="false" outlineLevel="0" collapsed="false">
      <c r="A61" s="138" t="s">
        <v>4145</v>
      </c>
      <c r="B61" s="141" t="n">
        <v>1173</v>
      </c>
      <c r="C61" s="138" t="n">
        <v>566.1579</v>
      </c>
      <c r="D61" s="138" t="n">
        <v>566.1584</v>
      </c>
      <c r="E61" s="138" t="s">
        <v>4285</v>
      </c>
      <c r="F61" s="138" t="s">
        <v>4286</v>
      </c>
      <c r="G61" s="138" t="s">
        <v>60</v>
      </c>
      <c r="H61" s="138" t="s">
        <v>4274</v>
      </c>
      <c r="I61" s="138" t="s">
        <v>4149</v>
      </c>
      <c r="J61" s="138" t="s">
        <v>4166</v>
      </c>
    </row>
    <row r="62" customFormat="false" ht="15" hidden="false" customHeight="false" outlineLevel="0" collapsed="false">
      <c r="A62" s="138" t="s">
        <v>4145</v>
      </c>
      <c r="B62" s="141" t="n">
        <v>366</v>
      </c>
      <c r="C62" s="138" t="n">
        <v>573.89783</v>
      </c>
      <c r="D62" s="138" t="n">
        <v>581.59801</v>
      </c>
      <c r="E62" s="138" t="s">
        <v>4287</v>
      </c>
      <c r="F62" s="138" t="s">
        <v>4288</v>
      </c>
      <c r="G62" s="138" t="s">
        <v>59</v>
      </c>
      <c r="H62" s="138" t="s">
        <v>4289</v>
      </c>
      <c r="I62" s="138" t="s">
        <v>4149</v>
      </c>
      <c r="J62" s="138" t="s">
        <v>4262</v>
      </c>
    </row>
    <row r="63" customFormat="false" ht="15" hidden="false" customHeight="false" outlineLevel="0" collapsed="false">
      <c r="A63" s="138" t="s">
        <v>4156</v>
      </c>
      <c r="B63" s="141" t="n">
        <v>1172</v>
      </c>
      <c r="C63" s="138" t="n">
        <v>586.29966</v>
      </c>
      <c r="D63" s="138" t="n">
        <v>586.30016</v>
      </c>
      <c r="E63" s="138" t="s">
        <v>4290</v>
      </c>
      <c r="F63" s="138" t="s">
        <v>4291</v>
      </c>
      <c r="G63" s="138" t="s">
        <v>60</v>
      </c>
      <c r="H63" s="138" t="s">
        <v>4289</v>
      </c>
      <c r="I63" s="138" t="s">
        <v>4149</v>
      </c>
      <c r="J63" s="138" t="s">
        <v>4166</v>
      </c>
    </row>
    <row r="64" customFormat="false" ht="15" hidden="false" customHeight="false" outlineLevel="0" collapsed="false">
      <c r="A64" s="138" t="s">
        <v>4156</v>
      </c>
      <c r="B64" s="141" t="n">
        <v>955</v>
      </c>
      <c r="C64" s="138" t="n">
        <v>589.03539</v>
      </c>
      <c r="D64" s="138" t="n">
        <v>589.03589</v>
      </c>
      <c r="E64" s="138" t="s">
        <v>4292</v>
      </c>
      <c r="F64" s="138" t="s">
        <v>4293</v>
      </c>
      <c r="G64" s="138" t="s">
        <v>59</v>
      </c>
      <c r="H64" s="138" t="s">
        <v>4289</v>
      </c>
      <c r="I64" s="138" t="s">
        <v>4149</v>
      </c>
      <c r="J64" s="138" t="s">
        <v>4166</v>
      </c>
    </row>
    <row r="65" customFormat="false" ht="15" hidden="false" customHeight="false" outlineLevel="0" collapsed="false">
      <c r="A65" s="138" t="s">
        <v>4156</v>
      </c>
      <c r="B65" s="141" t="n">
        <v>406</v>
      </c>
      <c r="C65" s="138" t="n">
        <v>595.43494</v>
      </c>
      <c r="D65" s="138" t="n">
        <v>595.43544</v>
      </c>
      <c r="E65" s="138" t="s">
        <v>4294</v>
      </c>
      <c r="F65" s="138" t="s">
        <v>4295</v>
      </c>
      <c r="G65" s="138" t="s">
        <v>60</v>
      </c>
      <c r="H65" s="138" t="s">
        <v>4289</v>
      </c>
      <c r="I65" s="138" t="s">
        <v>4149</v>
      </c>
      <c r="J65" s="138" t="s">
        <v>4166</v>
      </c>
    </row>
    <row r="66" customFormat="false" ht="15" hidden="false" customHeight="false" outlineLevel="0" collapsed="false">
      <c r="A66" s="138" t="s">
        <v>4145</v>
      </c>
      <c r="B66" s="141" t="n">
        <v>250</v>
      </c>
      <c r="C66" s="138" t="n">
        <v>599.49261</v>
      </c>
      <c r="D66" s="138" t="n">
        <v>604.70445</v>
      </c>
      <c r="E66" s="138" t="s">
        <v>4296</v>
      </c>
      <c r="F66" s="138" t="s">
        <v>4297</v>
      </c>
      <c r="G66" s="138" t="s">
        <v>60</v>
      </c>
      <c r="H66" s="138" t="s">
        <v>4289</v>
      </c>
      <c r="I66" s="138" t="s">
        <v>4149</v>
      </c>
      <c r="J66" s="138" t="s">
        <v>4150</v>
      </c>
    </row>
    <row r="67" customFormat="false" ht="15" hidden="false" customHeight="false" outlineLevel="0" collapsed="false">
      <c r="A67" s="138" t="s">
        <v>4145</v>
      </c>
      <c r="B67" s="141" t="n">
        <v>84</v>
      </c>
      <c r="C67" s="138" t="n">
        <v>604.45925</v>
      </c>
      <c r="D67" s="138" t="n">
        <v>604.45975</v>
      </c>
      <c r="E67" s="138" t="s">
        <v>4298</v>
      </c>
      <c r="F67" s="138" t="s">
        <v>4299</v>
      </c>
      <c r="G67" s="138" t="s">
        <v>59</v>
      </c>
      <c r="H67" s="138" t="s">
        <v>4289</v>
      </c>
      <c r="I67" s="138" t="s">
        <v>4149</v>
      </c>
      <c r="J67" s="138" t="s">
        <v>4166</v>
      </c>
    </row>
    <row r="68" customFormat="false" ht="15" hidden="false" customHeight="false" outlineLevel="0" collapsed="false">
      <c r="A68" s="138" t="s">
        <v>4162</v>
      </c>
      <c r="B68" s="141" t="n">
        <v>36</v>
      </c>
      <c r="C68" s="138" t="n">
        <v>610.0553</v>
      </c>
      <c r="D68" s="138" t="n">
        <v>610.0558</v>
      </c>
      <c r="E68" s="138" t="s">
        <v>4300</v>
      </c>
      <c r="F68" s="138" t="s">
        <v>4301</v>
      </c>
      <c r="G68" s="138" t="s">
        <v>59</v>
      </c>
      <c r="H68" s="138" t="s">
        <v>4289</v>
      </c>
      <c r="I68" s="138" t="s">
        <v>4165</v>
      </c>
      <c r="J68" s="138" t="s">
        <v>4153</v>
      </c>
    </row>
    <row r="69" customFormat="false" ht="15" hidden="false" customHeight="false" outlineLevel="0" collapsed="false">
      <c r="A69" s="138" t="s">
        <v>4156</v>
      </c>
      <c r="B69" s="141" t="n">
        <v>41</v>
      </c>
      <c r="C69" s="138" t="n">
        <v>616.30161</v>
      </c>
      <c r="D69" s="138" t="n">
        <v>616.30211</v>
      </c>
      <c r="E69" s="138" t="s">
        <v>4302</v>
      </c>
      <c r="F69" s="138" t="s">
        <v>4303</v>
      </c>
      <c r="G69" s="138" t="s">
        <v>59</v>
      </c>
      <c r="H69" s="138" t="s">
        <v>4289</v>
      </c>
      <c r="I69" s="138" t="s">
        <v>4149</v>
      </c>
      <c r="J69" s="138" t="s">
        <v>4166</v>
      </c>
    </row>
    <row r="70" customFormat="false" ht="15" hidden="false" customHeight="false" outlineLevel="0" collapsed="false">
      <c r="A70" s="138" t="s">
        <v>4156</v>
      </c>
      <c r="B70" s="141" t="n">
        <v>30</v>
      </c>
      <c r="C70" s="138" t="n">
        <v>617.73873</v>
      </c>
      <c r="D70" s="138" t="n">
        <v>620.57647</v>
      </c>
      <c r="E70" s="138" t="s">
        <v>4304</v>
      </c>
      <c r="F70" s="138" t="s">
        <v>4305</v>
      </c>
      <c r="G70" s="138" t="s">
        <v>59</v>
      </c>
      <c r="H70" s="138" t="s">
        <v>4289</v>
      </c>
      <c r="I70" s="138" t="s">
        <v>4149</v>
      </c>
      <c r="J70" s="138" t="s">
        <v>4177</v>
      </c>
    </row>
    <row r="71" customFormat="false" ht="15" hidden="false" customHeight="false" outlineLevel="0" collapsed="false">
      <c r="A71" s="138" t="s">
        <v>4145</v>
      </c>
      <c r="B71" s="141" t="n">
        <v>167</v>
      </c>
      <c r="C71" s="138" t="n">
        <v>621.15607</v>
      </c>
      <c r="D71" s="138" t="n">
        <v>627.47075</v>
      </c>
      <c r="E71" s="138" t="s">
        <v>4306</v>
      </c>
      <c r="F71" s="138" t="s">
        <v>4307</v>
      </c>
      <c r="G71" s="138" t="s">
        <v>59</v>
      </c>
      <c r="H71" s="138" t="s">
        <v>4289</v>
      </c>
      <c r="I71" s="138" t="s">
        <v>4149</v>
      </c>
      <c r="J71" s="138" t="s">
        <v>4177</v>
      </c>
    </row>
    <row r="72" customFormat="false" ht="15" hidden="false" customHeight="false" outlineLevel="0" collapsed="false">
      <c r="A72" s="138" t="s">
        <v>4145</v>
      </c>
      <c r="B72" s="141" t="n">
        <v>100</v>
      </c>
      <c r="C72" s="138" t="n">
        <v>627.80467</v>
      </c>
      <c r="D72" s="138" t="n">
        <v>627.80517</v>
      </c>
      <c r="E72" s="138" t="s">
        <v>4308</v>
      </c>
      <c r="F72" s="138" t="s">
        <v>4309</v>
      </c>
      <c r="G72" s="138" t="s">
        <v>60</v>
      </c>
      <c r="H72" s="138" t="s">
        <v>4289</v>
      </c>
      <c r="I72" s="138" t="s">
        <v>4149</v>
      </c>
      <c r="J72" s="138" t="s">
        <v>4166</v>
      </c>
    </row>
    <row r="73" customFormat="false" ht="15" hidden="false" customHeight="false" outlineLevel="0" collapsed="false">
      <c r="A73" s="138" t="s">
        <v>4145</v>
      </c>
      <c r="B73" s="141" t="n">
        <v>10</v>
      </c>
      <c r="C73" s="138" t="n">
        <v>633.98614</v>
      </c>
      <c r="D73" s="138" t="n">
        <v>633.98664</v>
      </c>
      <c r="E73" s="138" t="s">
        <v>4310</v>
      </c>
      <c r="F73" s="138" t="s">
        <v>4311</v>
      </c>
      <c r="G73" s="138" t="s">
        <v>60</v>
      </c>
      <c r="H73" s="138" t="s">
        <v>4289</v>
      </c>
      <c r="I73" s="138" t="s">
        <v>4149</v>
      </c>
      <c r="J73" s="138" t="s">
        <v>4166</v>
      </c>
    </row>
    <row r="74" customFormat="false" ht="15" hidden="false" customHeight="false" outlineLevel="0" collapsed="false">
      <c r="A74" s="138" t="s">
        <v>4145</v>
      </c>
      <c r="B74" s="141" t="n">
        <v>47</v>
      </c>
      <c r="C74" s="138" t="n">
        <v>638.19743</v>
      </c>
      <c r="D74" s="138" t="n">
        <v>638.19793</v>
      </c>
      <c r="E74" s="138" t="s">
        <v>4312</v>
      </c>
      <c r="F74" s="138" t="s">
        <v>4313</v>
      </c>
      <c r="G74" s="138" t="s">
        <v>60</v>
      </c>
      <c r="H74" s="138" t="s">
        <v>4289</v>
      </c>
      <c r="I74" s="138" t="s">
        <v>4149</v>
      </c>
      <c r="J74" s="138" t="s">
        <v>4166</v>
      </c>
    </row>
    <row r="75" customFormat="false" ht="15" hidden="false" customHeight="false" outlineLevel="0" collapsed="false">
      <c r="A75" s="138" t="s">
        <v>4156</v>
      </c>
      <c r="B75" s="141" t="n">
        <v>99</v>
      </c>
      <c r="C75" s="138" t="n">
        <v>638.20946</v>
      </c>
      <c r="D75" s="138" t="n">
        <v>638.20996</v>
      </c>
      <c r="E75" s="138" t="s">
        <v>4314</v>
      </c>
      <c r="F75" s="138" t="s">
        <v>4315</v>
      </c>
      <c r="G75" s="138" t="s">
        <v>59</v>
      </c>
      <c r="H75" s="138" t="s">
        <v>4289</v>
      </c>
      <c r="I75" s="138" t="s">
        <v>4149</v>
      </c>
      <c r="J75" s="138" t="s">
        <v>4166</v>
      </c>
    </row>
    <row r="76" customFormat="false" ht="15" hidden="false" customHeight="false" outlineLevel="0" collapsed="false">
      <c r="A76" s="138" t="s">
        <v>4162</v>
      </c>
      <c r="B76" s="141" t="n">
        <v>51</v>
      </c>
      <c r="C76" s="138" t="n">
        <v>640.62861</v>
      </c>
      <c r="D76" s="138" t="n">
        <v>640.62911</v>
      </c>
      <c r="E76" s="138" t="s">
        <v>4316</v>
      </c>
      <c r="F76" s="138" t="s">
        <v>4317</v>
      </c>
      <c r="G76" s="138" t="s">
        <v>60</v>
      </c>
      <c r="H76" s="138" t="s">
        <v>4289</v>
      </c>
      <c r="I76" s="138" t="s">
        <v>4165</v>
      </c>
      <c r="J76" s="138" t="s">
        <v>4166</v>
      </c>
    </row>
  </sheetData>
  <autoFilter ref="A1:J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5" min="4" style="0" width="13"/>
    <col collapsed="false" customWidth="true" hidden="false" outlineLevel="0" max="6" min="6" style="0" width="3"/>
    <col collapsed="false" customWidth="true" hidden="false" outlineLevel="0" max="7" min="7" style="0" width="13"/>
    <col collapsed="false" customWidth="true" hidden="false" outlineLevel="0" max="8" min="8" style="0" width="9"/>
    <col collapsed="false" customWidth="true" hidden="false" outlineLevel="0" max="9" min="9" style="0" width="6"/>
    <col collapsed="false" customWidth="true" hidden="false" outlineLevel="0" max="10" min="10" style="0" width="10"/>
  </cols>
  <sheetData>
    <row r="1" customFormat="false" ht="48" hidden="false" customHeight="true" outlineLevel="0" collapsed="false">
      <c r="A1" s="133" t="s">
        <v>9</v>
      </c>
      <c r="B1" s="133" t="s">
        <v>2367</v>
      </c>
      <c r="C1" s="133" t="s">
        <v>2368</v>
      </c>
      <c r="D1" s="133" t="s">
        <v>4318</v>
      </c>
      <c r="E1" s="133" t="s">
        <v>4319</v>
      </c>
      <c r="F1" s="133"/>
      <c r="G1" s="133" t="s">
        <v>4320</v>
      </c>
      <c r="H1" s="133" t="s">
        <v>3670</v>
      </c>
      <c r="I1" s="133" t="s">
        <v>2370</v>
      </c>
      <c r="J1" s="133" t="s">
        <v>4143</v>
      </c>
    </row>
    <row r="2" customFormat="false" ht="15" hidden="false" customHeight="false" outlineLevel="0" collapsed="false">
      <c r="A2" s="138" t="s">
        <v>1568</v>
      </c>
      <c r="B2" s="138" t="n">
        <v>0</v>
      </c>
      <c r="C2" s="138" t="n">
        <v>1</v>
      </c>
      <c r="D2" s="138" t="n">
        <v>45.75</v>
      </c>
      <c r="E2" s="138" t="n">
        <v>71</v>
      </c>
      <c r="G2" s="138" t="s">
        <v>4321</v>
      </c>
      <c r="H2" s="138" t="n">
        <v>154.18</v>
      </c>
      <c r="I2" s="138" t="s">
        <v>60</v>
      </c>
      <c r="J2" s="138" t="s">
        <v>4172</v>
      </c>
    </row>
    <row r="3" customFormat="false" ht="15" hidden="false" customHeight="false" outlineLevel="0" collapsed="false">
      <c r="A3" s="138" t="s">
        <v>1643</v>
      </c>
      <c r="B3" s="138" t="n">
        <v>1</v>
      </c>
      <c r="C3" s="138" t="n">
        <v>2</v>
      </c>
      <c r="D3" s="138" t="n">
        <v>54.75</v>
      </c>
      <c r="E3" s="138" t="n">
        <v>70.5</v>
      </c>
      <c r="G3" s="138" t="s">
        <v>4322</v>
      </c>
      <c r="H3" s="138" t="n">
        <v>154.264</v>
      </c>
      <c r="I3" s="138" t="s">
        <v>60</v>
      </c>
      <c r="J3" s="138" t="s">
        <v>4172</v>
      </c>
    </row>
    <row r="4" customFormat="false" ht="15" hidden="false" customHeight="false" outlineLevel="0" collapsed="false">
      <c r="A4" s="138" t="s">
        <v>1644</v>
      </c>
      <c r="B4" s="138" t="n">
        <v>2</v>
      </c>
      <c r="C4" s="138" t="n">
        <v>3</v>
      </c>
      <c r="D4" s="138" t="n">
        <v>58.5</v>
      </c>
      <c r="E4" s="138" t="n">
        <v>66.75</v>
      </c>
      <c r="G4" s="138" t="s">
        <v>4323</v>
      </c>
      <c r="H4" s="138" t="n">
        <v>157.869</v>
      </c>
      <c r="I4" s="138" t="s">
        <v>60</v>
      </c>
      <c r="J4" s="138" t="s">
        <v>4172</v>
      </c>
    </row>
    <row r="5" customFormat="false" ht="15" hidden="false" customHeight="false" outlineLevel="0" collapsed="false">
      <c r="A5" s="138" t="s">
        <v>1645</v>
      </c>
      <c r="B5" s="138" t="n">
        <v>3</v>
      </c>
      <c r="C5" s="138" t="n">
        <v>4</v>
      </c>
      <c r="D5" s="138" t="n">
        <v>59</v>
      </c>
      <c r="E5" s="138" t="n">
        <v>63</v>
      </c>
      <c r="G5" s="138" t="s">
        <v>4324</v>
      </c>
      <c r="H5" s="138" t="n">
        <v>157.966</v>
      </c>
      <c r="I5" s="138" t="s">
        <v>60</v>
      </c>
      <c r="J5" s="138" t="s">
        <v>4172</v>
      </c>
    </row>
    <row r="6" customFormat="false" ht="15" hidden="false" customHeight="false" outlineLevel="0" collapsed="false">
      <c r="A6" s="138" t="s">
        <v>1646</v>
      </c>
      <c r="B6" s="138" t="n">
        <v>4</v>
      </c>
      <c r="C6" s="138" t="n">
        <v>5</v>
      </c>
      <c r="D6" s="138" t="n">
        <v>69.75</v>
      </c>
      <c r="E6" s="138" t="n">
        <v>40.5</v>
      </c>
      <c r="G6" s="138" t="s">
        <v>4325</v>
      </c>
      <c r="H6" s="138" t="n">
        <v>167.351</v>
      </c>
      <c r="I6" s="138" t="s">
        <v>59</v>
      </c>
      <c r="J6" s="138" t="s">
        <v>4172</v>
      </c>
    </row>
    <row r="7" customFormat="false" ht="15" hidden="false" customHeight="false" outlineLevel="0" collapsed="false">
      <c r="A7" s="138" t="s">
        <v>1647</v>
      </c>
      <c r="B7" s="138" t="n">
        <v>5</v>
      </c>
      <c r="C7" s="138" t="n">
        <v>6</v>
      </c>
      <c r="D7" s="138" t="n">
        <v>53.25</v>
      </c>
      <c r="E7" s="138" t="n">
        <v>42.25</v>
      </c>
      <c r="G7" s="138" t="s">
        <v>4326</v>
      </c>
      <c r="H7" s="138" t="n">
        <v>183.078</v>
      </c>
      <c r="I7" s="138" t="s">
        <v>60</v>
      </c>
      <c r="J7" s="138" t="s">
        <v>4172</v>
      </c>
    </row>
    <row r="8" customFormat="false" ht="15" hidden="false" customHeight="false" outlineLevel="0" collapsed="false">
      <c r="A8" s="138" t="s">
        <v>1648</v>
      </c>
      <c r="B8" s="138" t="n">
        <v>6</v>
      </c>
      <c r="C8" s="138" t="n">
        <v>7</v>
      </c>
      <c r="D8" s="138" t="n">
        <v>58.25</v>
      </c>
      <c r="E8" s="138" t="n">
        <v>85.5</v>
      </c>
      <c r="G8" s="138" t="s">
        <v>4327</v>
      </c>
      <c r="H8" s="138" t="n">
        <v>183.246</v>
      </c>
      <c r="I8" s="138" t="s">
        <v>60</v>
      </c>
      <c r="J8" s="138" t="s">
        <v>4172</v>
      </c>
    </row>
    <row r="9" customFormat="false" ht="15" hidden="false" customHeight="false" outlineLevel="0" collapsed="false">
      <c r="A9" s="138" t="s">
        <v>1649</v>
      </c>
      <c r="B9" s="138" t="n">
        <v>7</v>
      </c>
      <c r="C9" s="138" t="n">
        <v>8</v>
      </c>
      <c r="D9" s="138" t="n">
        <v>79.75</v>
      </c>
      <c r="E9" s="138" t="n">
        <v>113</v>
      </c>
      <c r="G9" s="138" t="s">
        <v>4328</v>
      </c>
      <c r="H9" s="138" t="n">
        <v>186.437</v>
      </c>
      <c r="I9" s="138" t="s">
        <v>60</v>
      </c>
      <c r="J9" s="138" t="s">
        <v>4172</v>
      </c>
    </row>
    <row r="10" customFormat="false" ht="15" hidden="false" customHeight="false" outlineLevel="0" collapsed="false">
      <c r="A10" s="138" t="s">
        <v>1650</v>
      </c>
      <c r="B10" s="138" t="n">
        <v>8</v>
      </c>
      <c r="C10" s="138" t="n">
        <v>9</v>
      </c>
      <c r="D10" s="138" t="n">
        <v>94.25</v>
      </c>
      <c r="E10" s="138" t="n">
        <v>103.25</v>
      </c>
      <c r="G10" s="138" t="s">
        <v>4329</v>
      </c>
      <c r="H10" s="138" t="n">
        <v>191.6</v>
      </c>
      <c r="I10" s="138" t="s">
        <v>60</v>
      </c>
      <c r="J10" s="138" t="s">
        <v>4172</v>
      </c>
    </row>
    <row r="11" customFormat="false" ht="15" hidden="false" customHeight="false" outlineLevel="0" collapsed="false">
      <c r="A11" s="138" t="s">
        <v>1651</v>
      </c>
      <c r="B11" s="138" t="n">
        <v>9</v>
      </c>
      <c r="C11" s="138" t="n">
        <v>10</v>
      </c>
      <c r="D11" s="138" t="n">
        <v>112.5</v>
      </c>
      <c r="E11" s="138" t="n">
        <v>113.25</v>
      </c>
      <c r="G11" s="138" t="s">
        <v>4330</v>
      </c>
      <c r="H11" s="138" t="n">
        <v>207.361</v>
      </c>
      <c r="I11" s="138" t="s">
        <v>59</v>
      </c>
      <c r="J11" s="138" t="s">
        <v>4172</v>
      </c>
    </row>
    <row r="12" customFormat="false" ht="15" hidden="false" customHeight="false" outlineLevel="0" collapsed="false">
      <c r="A12" s="138" t="s">
        <v>1652</v>
      </c>
      <c r="B12" s="138" t="n">
        <v>10</v>
      </c>
      <c r="C12" s="138" t="n">
        <v>11</v>
      </c>
      <c r="D12" s="138" t="n">
        <v>125.25</v>
      </c>
      <c r="E12" s="138" t="n">
        <v>128</v>
      </c>
      <c r="G12" s="138" t="s">
        <v>4331</v>
      </c>
      <c r="H12" s="138" t="n">
        <v>210.131</v>
      </c>
      <c r="I12" s="138" t="s">
        <v>60</v>
      </c>
      <c r="J12" s="138" t="s">
        <v>4172</v>
      </c>
    </row>
    <row r="13" customFormat="false" ht="15" hidden="false" customHeight="false" outlineLevel="0" collapsed="false">
      <c r="A13" s="138" t="s">
        <v>1653</v>
      </c>
      <c r="B13" s="138" t="n">
        <v>11</v>
      </c>
      <c r="C13" s="138" t="n">
        <v>12</v>
      </c>
      <c r="D13" s="138" t="n">
        <v>135.5</v>
      </c>
      <c r="E13" s="138" t="n">
        <v>128.75</v>
      </c>
      <c r="G13" s="138" t="s">
        <v>4332</v>
      </c>
      <c r="H13" s="138" t="n">
        <v>239.391</v>
      </c>
      <c r="I13" s="138" t="s">
        <v>60</v>
      </c>
      <c r="J13" s="138" t="s">
        <v>4191</v>
      </c>
    </row>
    <row r="14" customFormat="false" ht="15" hidden="false" customHeight="false" outlineLevel="0" collapsed="false">
      <c r="A14" s="138" t="s">
        <v>1654</v>
      </c>
      <c r="B14" s="138" t="n">
        <v>12</v>
      </c>
      <c r="C14" s="138" t="n">
        <v>13</v>
      </c>
      <c r="D14" s="138" t="n">
        <v>137</v>
      </c>
      <c r="E14" s="138" t="n">
        <v>117</v>
      </c>
      <c r="G14" s="138" t="s">
        <v>4333</v>
      </c>
      <c r="H14" s="138" t="n">
        <v>328.112</v>
      </c>
      <c r="I14" s="138" t="s">
        <v>60</v>
      </c>
      <c r="J14" s="138" t="s">
        <v>4218</v>
      </c>
    </row>
    <row r="15" customFormat="false" ht="15" hidden="false" customHeight="false" outlineLevel="0" collapsed="false">
      <c r="A15" s="138" t="s">
        <v>1655</v>
      </c>
      <c r="B15" s="138" t="n">
        <v>13</v>
      </c>
      <c r="C15" s="138" t="n">
        <v>14</v>
      </c>
      <c r="D15" s="138" t="n">
        <v>104.5</v>
      </c>
      <c r="E15" s="138" t="n">
        <v>84.75</v>
      </c>
      <c r="G15" s="138" t="s">
        <v>4334</v>
      </c>
      <c r="H15" s="138" t="n">
        <v>384.54</v>
      </c>
      <c r="I15" s="138" t="s">
        <v>59</v>
      </c>
      <c r="J15" s="138" t="s">
        <v>4233</v>
      </c>
    </row>
    <row r="16" customFormat="false" ht="15" hidden="false" customHeight="false" outlineLevel="0" collapsed="false">
      <c r="A16" s="138" t="s">
        <v>1656</v>
      </c>
      <c r="B16" s="138" t="n">
        <v>14</v>
      </c>
      <c r="C16" s="138" t="n">
        <v>15</v>
      </c>
      <c r="D16" s="138" t="n">
        <v>73.75</v>
      </c>
      <c r="E16" s="138" t="n">
        <v>73.75</v>
      </c>
      <c r="G16" s="138" t="s">
        <v>4335</v>
      </c>
      <c r="H16" s="138" t="n">
        <v>384.864</v>
      </c>
      <c r="I16" s="138" t="s">
        <v>59</v>
      </c>
      <c r="J16" s="138" t="s">
        <v>4233</v>
      </c>
    </row>
    <row r="17" customFormat="false" ht="15" hidden="false" customHeight="false" outlineLevel="0" collapsed="false">
      <c r="A17" s="138" t="s">
        <v>1657</v>
      </c>
      <c r="B17" s="138" t="n">
        <v>15</v>
      </c>
      <c r="C17" s="138" t="n">
        <v>16</v>
      </c>
      <c r="D17" s="138" t="n">
        <v>61.5</v>
      </c>
      <c r="E17" s="138" t="n">
        <v>55.25</v>
      </c>
      <c r="G17" s="138" t="s">
        <v>4336</v>
      </c>
      <c r="H17" s="138" t="n">
        <v>473.355</v>
      </c>
      <c r="I17" s="138" t="s">
        <v>59</v>
      </c>
      <c r="J17" s="138" t="s">
        <v>4253</v>
      </c>
    </row>
    <row r="18" customFormat="false" ht="15" hidden="false" customHeight="false" outlineLevel="0" collapsed="false">
      <c r="A18" s="138" t="s">
        <v>1658</v>
      </c>
      <c r="B18" s="138" t="n">
        <v>16</v>
      </c>
      <c r="C18" s="138" t="n">
        <v>17</v>
      </c>
      <c r="D18" s="138" t="n">
        <v>61.75</v>
      </c>
      <c r="E18" s="138" t="n">
        <v>83.5</v>
      </c>
    </row>
    <row r="19" customFormat="false" ht="15" hidden="false" customHeight="false" outlineLevel="0" collapsed="false">
      <c r="A19" s="138" t="s">
        <v>1659</v>
      </c>
      <c r="B19" s="138" t="n">
        <v>17</v>
      </c>
      <c r="C19" s="138" t="n">
        <v>18</v>
      </c>
      <c r="D19" s="138" t="n">
        <v>65.25</v>
      </c>
      <c r="E19" s="138" t="n">
        <v>83</v>
      </c>
    </row>
    <row r="20" customFormat="false" ht="15" hidden="false" customHeight="false" outlineLevel="0" collapsed="false">
      <c r="A20" s="138" t="s">
        <v>1660</v>
      </c>
      <c r="B20" s="138" t="n">
        <v>18</v>
      </c>
      <c r="C20" s="138" t="n">
        <v>19</v>
      </c>
      <c r="D20" s="138" t="n">
        <v>82.25</v>
      </c>
      <c r="E20" s="138" t="n">
        <v>48</v>
      </c>
    </row>
    <row r="21" customFormat="false" ht="15" hidden="false" customHeight="false" outlineLevel="0" collapsed="false">
      <c r="A21" s="138" t="s">
        <v>1661</v>
      </c>
      <c r="B21" s="138" t="n">
        <v>19</v>
      </c>
      <c r="C21" s="138" t="n">
        <v>20</v>
      </c>
      <c r="D21" s="138" t="n">
        <v>92</v>
      </c>
      <c r="E21" s="138" t="n">
        <v>60.25</v>
      </c>
    </row>
    <row r="22" customFormat="false" ht="15" hidden="false" customHeight="false" outlineLevel="0" collapsed="false">
      <c r="A22" s="138" t="s">
        <v>1662</v>
      </c>
      <c r="B22" s="138" t="n">
        <v>20</v>
      </c>
      <c r="C22" s="138" t="n">
        <v>21</v>
      </c>
      <c r="D22" s="138" t="n">
        <v>99</v>
      </c>
      <c r="E22" s="138" t="n">
        <v>62.25</v>
      </c>
    </row>
    <row r="23" customFormat="false" ht="15" hidden="false" customHeight="false" outlineLevel="0" collapsed="false">
      <c r="A23" s="138" t="s">
        <v>1663</v>
      </c>
      <c r="B23" s="138" t="n">
        <v>21</v>
      </c>
      <c r="C23" s="138" t="n">
        <v>22</v>
      </c>
      <c r="D23" s="138" t="n">
        <v>101</v>
      </c>
      <c r="E23" s="138" t="n">
        <v>68.75</v>
      </c>
    </row>
    <row r="24" customFormat="false" ht="15" hidden="false" customHeight="false" outlineLevel="0" collapsed="false">
      <c r="A24" s="138" t="s">
        <v>1664</v>
      </c>
      <c r="B24" s="138" t="n">
        <v>22</v>
      </c>
      <c r="C24" s="138" t="n">
        <v>23</v>
      </c>
      <c r="D24" s="138" t="n">
        <v>111</v>
      </c>
      <c r="E24" s="138" t="n">
        <v>81.5</v>
      </c>
    </row>
    <row r="25" customFormat="false" ht="15" hidden="false" customHeight="false" outlineLevel="0" collapsed="false">
      <c r="A25" s="138" t="s">
        <v>1665</v>
      </c>
      <c r="B25" s="138" t="n">
        <v>23</v>
      </c>
      <c r="C25" s="138" t="n">
        <v>24</v>
      </c>
      <c r="D25" s="138" t="n">
        <v>104.25</v>
      </c>
      <c r="E25" s="138" t="n">
        <v>77.25</v>
      </c>
    </row>
    <row r="26" customFormat="false" ht="15" hidden="false" customHeight="false" outlineLevel="0" collapsed="false">
      <c r="A26" s="138" t="s">
        <v>1666</v>
      </c>
      <c r="B26" s="138" t="n">
        <v>24</v>
      </c>
      <c r="C26" s="138" t="n">
        <v>25</v>
      </c>
      <c r="D26" s="138" t="n">
        <v>121</v>
      </c>
      <c r="E26" s="138" t="n">
        <v>102.25</v>
      </c>
    </row>
    <row r="27" customFormat="false" ht="15" hidden="false" customHeight="false" outlineLevel="0" collapsed="false">
      <c r="A27" s="138" t="s">
        <v>1667</v>
      </c>
      <c r="B27" s="138" t="n">
        <v>25</v>
      </c>
      <c r="C27" s="138" t="n">
        <v>26</v>
      </c>
      <c r="D27" s="138" t="n">
        <v>128.75</v>
      </c>
      <c r="E27" s="138" t="n">
        <v>128.5</v>
      </c>
    </row>
    <row r="28" customFormat="false" ht="15" hidden="false" customHeight="false" outlineLevel="0" collapsed="false">
      <c r="A28" s="138" t="s">
        <v>1668</v>
      </c>
      <c r="B28" s="138" t="n">
        <v>26</v>
      </c>
      <c r="C28" s="138" t="n">
        <v>27</v>
      </c>
      <c r="D28" s="138" t="n">
        <v>114.25</v>
      </c>
      <c r="E28" s="138" t="n">
        <v>129.5</v>
      </c>
    </row>
    <row r="29" customFormat="false" ht="15" hidden="false" customHeight="false" outlineLevel="0" collapsed="false">
      <c r="A29" s="138" t="s">
        <v>1669</v>
      </c>
      <c r="B29" s="138" t="n">
        <v>27</v>
      </c>
      <c r="C29" s="138" t="n">
        <v>28</v>
      </c>
      <c r="D29" s="138" t="n">
        <v>91.25</v>
      </c>
      <c r="E29" s="138" t="n">
        <v>114.5</v>
      </c>
    </row>
    <row r="30" customFormat="false" ht="15" hidden="false" customHeight="false" outlineLevel="0" collapsed="false">
      <c r="A30" s="138" t="s">
        <v>1670</v>
      </c>
      <c r="B30" s="138" t="n">
        <v>28</v>
      </c>
      <c r="C30" s="138" t="n">
        <v>29</v>
      </c>
      <c r="D30" s="138" t="n">
        <v>95.25</v>
      </c>
      <c r="E30" s="138" t="n">
        <v>121.75</v>
      </c>
    </row>
    <row r="31" customFormat="false" ht="15" hidden="false" customHeight="false" outlineLevel="0" collapsed="false">
      <c r="A31" s="138" t="s">
        <v>1671</v>
      </c>
      <c r="B31" s="138" t="n">
        <v>29</v>
      </c>
      <c r="C31" s="138" t="n">
        <v>30</v>
      </c>
      <c r="D31" s="138" t="n">
        <v>71.5</v>
      </c>
      <c r="E31" s="138" t="n">
        <v>101</v>
      </c>
    </row>
    <row r="32" customFormat="false" ht="15" hidden="false" customHeight="false" outlineLevel="0" collapsed="false">
      <c r="A32" s="138" t="s">
        <v>1672</v>
      </c>
      <c r="B32" s="138" t="n">
        <v>30</v>
      </c>
      <c r="C32" s="138" t="n">
        <v>31</v>
      </c>
      <c r="D32" s="138" t="n">
        <v>56.25</v>
      </c>
      <c r="E32" s="138" t="n">
        <v>85.5</v>
      </c>
    </row>
    <row r="33" customFormat="false" ht="15" hidden="false" customHeight="false" outlineLevel="0" collapsed="false">
      <c r="A33" s="138" t="s">
        <v>1673</v>
      </c>
      <c r="B33" s="138" t="n">
        <v>31</v>
      </c>
      <c r="C33" s="138" t="n">
        <v>32</v>
      </c>
      <c r="D33" s="138" t="n">
        <v>67.5</v>
      </c>
      <c r="E33" s="138" t="n">
        <v>86</v>
      </c>
    </row>
    <row r="34" customFormat="false" ht="15" hidden="false" customHeight="false" outlineLevel="0" collapsed="false">
      <c r="A34" s="138" t="s">
        <v>1674</v>
      </c>
      <c r="B34" s="138" t="n">
        <v>32</v>
      </c>
      <c r="C34" s="138" t="n">
        <v>33</v>
      </c>
      <c r="D34" s="138" t="n">
        <v>57.75</v>
      </c>
      <c r="E34" s="138" t="n">
        <v>101.75</v>
      </c>
    </row>
    <row r="35" customFormat="false" ht="15" hidden="false" customHeight="false" outlineLevel="0" collapsed="false">
      <c r="A35" s="138" t="s">
        <v>1675</v>
      </c>
      <c r="B35" s="138" t="n">
        <v>33</v>
      </c>
      <c r="C35" s="138" t="n">
        <v>34</v>
      </c>
      <c r="D35" s="138" t="n">
        <v>73.5</v>
      </c>
      <c r="E35" s="138" t="n">
        <v>118.75</v>
      </c>
    </row>
    <row r="36" customFormat="false" ht="15" hidden="false" customHeight="false" outlineLevel="0" collapsed="false">
      <c r="A36" s="138" t="s">
        <v>1676</v>
      </c>
      <c r="B36" s="138" t="n">
        <v>34</v>
      </c>
      <c r="C36" s="138" t="n">
        <v>35</v>
      </c>
      <c r="D36" s="138" t="n">
        <v>70.25</v>
      </c>
      <c r="E36" s="138" t="n">
        <v>107.25</v>
      </c>
    </row>
    <row r="37" customFormat="false" ht="15" hidden="false" customHeight="false" outlineLevel="0" collapsed="false">
      <c r="A37" s="138" t="s">
        <v>1677</v>
      </c>
      <c r="B37" s="138" t="n">
        <v>35</v>
      </c>
      <c r="C37" s="138" t="n">
        <v>36</v>
      </c>
      <c r="D37" s="138" t="n">
        <v>46</v>
      </c>
      <c r="E37" s="138" t="n">
        <v>78.75</v>
      </c>
    </row>
    <row r="38" customFormat="false" ht="15" hidden="false" customHeight="false" outlineLevel="0" collapsed="false">
      <c r="A38" s="138" t="s">
        <v>1678</v>
      </c>
      <c r="B38" s="138" t="n">
        <v>36</v>
      </c>
      <c r="C38" s="138" t="n">
        <v>37</v>
      </c>
      <c r="D38" s="138" t="n">
        <v>69.75</v>
      </c>
      <c r="E38" s="138" t="n">
        <v>65.5</v>
      </c>
    </row>
    <row r="39" customFormat="false" ht="15" hidden="false" customHeight="false" outlineLevel="0" collapsed="false">
      <c r="A39" s="138" t="s">
        <v>1679</v>
      </c>
      <c r="B39" s="138" t="n">
        <v>37</v>
      </c>
      <c r="C39" s="138" t="n">
        <v>38</v>
      </c>
      <c r="D39" s="138" t="n">
        <v>62.25</v>
      </c>
      <c r="E39" s="138" t="n">
        <v>33.25</v>
      </c>
    </row>
    <row r="40" customFormat="false" ht="15" hidden="false" customHeight="false" outlineLevel="0" collapsed="false">
      <c r="A40" s="138" t="s">
        <v>1680</v>
      </c>
      <c r="B40" s="138" t="n">
        <v>38</v>
      </c>
      <c r="C40" s="138" t="n">
        <v>39</v>
      </c>
      <c r="D40" s="138" t="n">
        <v>57.5</v>
      </c>
      <c r="E40" s="138" t="n">
        <v>38</v>
      </c>
    </row>
    <row r="41" customFormat="false" ht="15" hidden="false" customHeight="false" outlineLevel="0" collapsed="false">
      <c r="A41" s="138" t="s">
        <v>1681</v>
      </c>
      <c r="B41" s="138" t="n">
        <v>39</v>
      </c>
      <c r="C41" s="138" t="n">
        <v>40</v>
      </c>
      <c r="D41" s="138" t="n">
        <v>48.5</v>
      </c>
      <c r="E41" s="138" t="n">
        <v>42.75</v>
      </c>
    </row>
    <row r="42" customFormat="false" ht="15" hidden="false" customHeight="false" outlineLevel="0" collapsed="false">
      <c r="A42" s="138" t="s">
        <v>1682</v>
      </c>
      <c r="B42" s="138" t="n">
        <v>40</v>
      </c>
      <c r="C42" s="138" t="n">
        <v>41</v>
      </c>
      <c r="D42" s="138" t="n">
        <v>58.75</v>
      </c>
      <c r="E42" s="138" t="n">
        <v>43.75</v>
      </c>
    </row>
    <row r="43" customFormat="false" ht="15" hidden="false" customHeight="false" outlineLevel="0" collapsed="false">
      <c r="A43" s="138" t="s">
        <v>1683</v>
      </c>
      <c r="B43" s="138" t="n">
        <v>41</v>
      </c>
      <c r="C43" s="138" t="n">
        <v>42</v>
      </c>
      <c r="D43" s="138" t="n">
        <v>61.5</v>
      </c>
      <c r="E43" s="138" t="n">
        <v>116.25</v>
      </c>
    </row>
    <row r="44" customFormat="false" ht="15" hidden="false" customHeight="false" outlineLevel="0" collapsed="false">
      <c r="A44" s="138" t="s">
        <v>1684</v>
      </c>
      <c r="B44" s="138" t="n">
        <v>42</v>
      </c>
      <c r="C44" s="138" t="n">
        <v>43</v>
      </c>
      <c r="D44" s="138" t="n">
        <v>64.75</v>
      </c>
      <c r="E44" s="138" t="n">
        <v>64.5</v>
      </c>
    </row>
    <row r="45" customFormat="false" ht="15" hidden="false" customHeight="false" outlineLevel="0" collapsed="false">
      <c r="A45" s="138" t="s">
        <v>1686</v>
      </c>
      <c r="B45" s="138" t="n">
        <v>43</v>
      </c>
      <c r="C45" s="138" t="n">
        <v>44</v>
      </c>
      <c r="D45" s="138" t="n">
        <v>90.25</v>
      </c>
      <c r="E45" s="138" t="n">
        <v>128.5</v>
      </c>
    </row>
    <row r="46" customFormat="false" ht="15" hidden="false" customHeight="false" outlineLevel="0" collapsed="false">
      <c r="A46" s="138" t="s">
        <v>1687</v>
      </c>
      <c r="B46" s="138" t="n">
        <v>44</v>
      </c>
      <c r="C46" s="138" t="n">
        <v>45</v>
      </c>
      <c r="D46" s="138" t="n">
        <v>94.25</v>
      </c>
      <c r="E46" s="138" t="n">
        <v>138.75</v>
      </c>
    </row>
    <row r="47" customFormat="false" ht="15" hidden="false" customHeight="false" outlineLevel="0" collapsed="false">
      <c r="A47" s="138" t="s">
        <v>1688</v>
      </c>
      <c r="B47" s="138" t="n">
        <v>45</v>
      </c>
      <c r="C47" s="138" t="n">
        <v>46</v>
      </c>
      <c r="D47" s="138" t="n">
        <v>98.25</v>
      </c>
      <c r="E47" s="138" t="n">
        <v>122.75</v>
      </c>
    </row>
    <row r="48" customFormat="false" ht="15" hidden="false" customHeight="false" outlineLevel="0" collapsed="false">
      <c r="A48" s="138" t="s">
        <v>1689</v>
      </c>
      <c r="B48" s="138" t="n">
        <v>46</v>
      </c>
      <c r="C48" s="138" t="n">
        <v>47</v>
      </c>
      <c r="D48" s="138" t="n">
        <v>86.75</v>
      </c>
      <c r="E48" s="138" t="n">
        <v>109.25</v>
      </c>
    </row>
    <row r="49" customFormat="false" ht="15" hidden="false" customHeight="false" outlineLevel="0" collapsed="false">
      <c r="A49" s="138" t="s">
        <v>1690</v>
      </c>
      <c r="B49" s="138" t="n">
        <v>47</v>
      </c>
      <c r="C49" s="138" t="n">
        <v>48</v>
      </c>
      <c r="D49" s="138" t="n">
        <v>76.75</v>
      </c>
      <c r="E49" s="138" t="n">
        <v>101.75</v>
      </c>
    </row>
    <row r="50" customFormat="false" ht="15" hidden="false" customHeight="false" outlineLevel="0" collapsed="false">
      <c r="A50" s="138" t="s">
        <v>1691</v>
      </c>
      <c r="B50" s="138" t="n">
        <v>48</v>
      </c>
      <c r="C50" s="138" t="n">
        <v>49</v>
      </c>
      <c r="D50" s="138" t="n">
        <v>78</v>
      </c>
      <c r="E50" s="138" t="n">
        <v>89.5</v>
      </c>
    </row>
    <row r="51" customFormat="false" ht="15" hidden="false" customHeight="false" outlineLevel="0" collapsed="false">
      <c r="A51" s="138" t="s">
        <v>1692</v>
      </c>
      <c r="B51" s="138" t="n">
        <v>49</v>
      </c>
      <c r="C51" s="138" t="n">
        <v>50</v>
      </c>
      <c r="D51" s="138" t="n">
        <v>119.5</v>
      </c>
      <c r="E51" s="138" t="n">
        <v>75.75</v>
      </c>
    </row>
    <row r="52" customFormat="false" ht="15" hidden="false" customHeight="false" outlineLevel="0" collapsed="false">
      <c r="A52" s="138" t="s">
        <v>1693</v>
      </c>
      <c r="B52" s="138" t="n">
        <v>50</v>
      </c>
      <c r="C52" s="138" t="n">
        <v>51</v>
      </c>
      <c r="D52" s="138" t="n">
        <v>67.25</v>
      </c>
      <c r="E52" s="138" t="n">
        <v>83.75</v>
      </c>
    </row>
    <row r="53" customFormat="false" ht="15" hidden="false" customHeight="false" outlineLevel="0" collapsed="false">
      <c r="A53" s="138" t="s">
        <v>1694</v>
      </c>
      <c r="B53" s="138" t="n">
        <v>51</v>
      </c>
      <c r="C53" s="138" t="n">
        <v>52</v>
      </c>
      <c r="D53" s="138" t="n">
        <v>57.75</v>
      </c>
      <c r="E53" s="138" t="n">
        <v>57.75</v>
      </c>
    </row>
    <row r="54" customFormat="false" ht="15" hidden="false" customHeight="false" outlineLevel="0" collapsed="false">
      <c r="A54" s="138" t="s">
        <v>1695</v>
      </c>
      <c r="B54" s="138" t="n">
        <v>52</v>
      </c>
      <c r="C54" s="138" t="n">
        <v>53</v>
      </c>
      <c r="D54" s="138" t="n">
        <v>75.25</v>
      </c>
      <c r="E54" s="138" t="n">
        <v>41.5</v>
      </c>
    </row>
    <row r="55" customFormat="false" ht="15" hidden="false" customHeight="false" outlineLevel="0" collapsed="false">
      <c r="A55" s="138" t="s">
        <v>1696</v>
      </c>
      <c r="B55" s="138" t="n">
        <v>53</v>
      </c>
      <c r="C55" s="138" t="n">
        <v>54</v>
      </c>
      <c r="D55" s="138" t="n">
        <v>96</v>
      </c>
      <c r="E55" s="138" t="n">
        <v>49.75</v>
      </c>
    </row>
    <row r="56" customFormat="false" ht="15" hidden="false" customHeight="false" outlineLevel="0" collapsed="false">
      <c r="A56" s="138" t="s">
        <v>1697</v>
      </c>
      <c r="B56" s="138" t="n">
        <v>54</v>
      </c>
      <c r="C56" s="138" t="n">
        <v>55</v>
      </c>
      <c r="D56" s="138" t="n">
        <v>107.25</v>
      </c>
      <c r="E56" s="138" t="n">
        <v>57.75</v>
      </c>
    </row>
    <row r="57" customFormat="false" ht="15" hidden="false" customHeight="false" outlineLevel="0" collapsed="false">
      <c r="A57" s="138" t="s">
        <v>1698</v>
      </c>
      <c r="B57" s="138" t="n">
        <v>55</v>
      </c>
      <c r="C57" s="138" t="n">
        <v>56</v>
      </c>
      <c r="D57" s="138" t="n">
        <v>128.25</v>
      </c>
      <c r="E57" s="138" t="n">
        <v>73.5</v>
      </c>
    </row>
    <row r="58" customFormat="false" ht="15" hidden="false" customHeight="false" outlineLevel="0" collapsed="false">
      <c r="A58" s="138" t="s">
        <v>1699</v>
      </c>
      <c r="B58" s="138" t="n">
        <v>56</v>
      </c>
      <c r="C58" s="138" t="n">
        <v>57</v>
      </c>
      <c r="D58" s="138" t="n">
        <v>155.75</v>
      </c>
      <c r="E58" s="138" t="n">
        <v>81.5</v>
      </c>
    </row>
    <row r="59" customFormat="false" ht="15" hidden="false" customHeight="false" outlineLevel="0" collapsed="false">
      <c r="A59" s="138" t="s">
        <v>1700</v>
      </c>
      <c r="B59" s="138" t="n">
        <v>57</v>
      </c>
      <c r="C59" s="138" t="n">
        <v>58</v>
      </c>
      <c r="D59" s="138" t="n">
        <v>176.25</v>
      </c>
      <c r="E59" s="138" t="n">
        <v>80.75</v>
      </c>
    </row>
    <row r="60" customFormat="false" ht="15" hidden="false" customHeight="false" outlineLevel="0" collapsed="false">
      <c r="A60" s="138" t="s">
        <v>1701</v>
      </c>
      <c r="B60" s="138" t="n">
        <v>58</v>
      </c>
      <c r="C60" s="138" t="n">
        <v>59</v>
      </c>
      <c r="D60" s="138" t="n">
        <v>191</v>
      </c>
      <c r="E60" s="138" t="n">
        <v>71.25</v>
      </c>
    </row>
    <row r="61" customFormat="false" ht="15" hidden="false" customHeight="false" outlineLevel="0" collapsed="false">
      <c r="A61" s="138" t="s">
        <v>1702</v>
      </c>
      <c r="B61" s="138" t="n">
        <v>59</v>
      </c>
      <c r="C61" s="138" t="n">
        <v>60</v>
      </c>
      <c r="D61" s="138" t="n">
        <v>180.75</v>
      </c>
      <c r="E61" s="138" t="n">
        <v>56.5</v>
      </c>
    </row>
    <row r="62" customFormat="false" ht="15" hidden="false" customHeight="false" outlineLevel="0" collapsed="false">
      <c r="A62" s="138" t="s">
        <v>1703</v>
      </c>
      <c r="B62" s="138" t="n">
        <v>60</v>
      </c>
      <c r="C62" s="138" t="n">
        <v>61</v>
      </c>
      <c r="D62" s="138" t="n">
        <v>156.25</v>
      </c>
      <c r="E62" s="138" t="n">
        <v>49.5</v>
      </c>
    </row>
    <row r="63" customFormat="false" ht="15" hidden="false" customHeight="false" outlineLevel="0" collapsed="false">
      <c r="A63" s="138" t="s">
        <v>1704</v>
      </c>
      <c r="B63" s="138" t="n">
        <v>61</v>
      </c>
      <c r="C63" s="138" t="n">
        <v>62</v>
      </c>
      <c r="D63" s="138" t="n">
        <v>111</v>
      </c>
      <c r="E63" s="138" t="n">
        <v>34.25</v>
      </c>
    </row>
    <row r="64" customFormat="false" ht="15" hidden="false" customHeight="false" outlineLevel="0" collapsed="false">
      <c r="A64" s="138" t="s">
        <v>1705</v>
      </c>
      <c r="B64" s="138" t="n">
        <v>62</v>
      </c>
      <c r="C64" s="138" t="n">
        <v>63</v>
      </c>
      <c r="D64" s="138" t="n">
        <v>47.5</v>
      </c>
      <c r="E64" s="138" t="n">
        <v>83</v>
      </c>
    </row>
    <row r="65" customFormat="false" ht="15" hidden="false" customHeight="false" outlineLevel="0" collapsed="false">
      <c r="A65" s="138" t="s">
        <v>1706</v>
      </c>
      <c r="B65" s="138" t="n">
        <v>63</v>
      </c>
      <c r="C65" s="138" t="n">
        <v>64</v>
      </c>
      <c r="D65" s="138" t="n">
        <v>68.5</v>
      </c>
      <c r="E65" s="138" t="n">
        <v>46.25</v>
      </c>
    </row>
    <row r="66" customFormat="false" ht="15" hidden="false" customHeight="false" outlineLevel="0" collapsed="false">
      <c r="A66" s="138" t="s">
        <v>1707</v>
      </c>
      <c r="B66" s="138" t="n">
        <v>64</v>
      </c>
      <c r="C66" s="138" t="n">
        <v>65</v>
      </c>
      <c r="D66" s="138" t="n">
        <v>114.75</v>
      </c>
      <c r="E66" s="138" t="n">
        <v>53.25</v>
      </c>
    </row>
    <row r="67" customFormat="false" ht="15" hidden="false" customHeight="false" outlineLevel="0" collapsed="false">
      <c r="A67" s="138" t="s">
        <v>1708</v>
      </c>
      <c r="B67" s="138" t="n">
        <v>65</v>
      </c>
      <c r="C67" s="138" t="n">
        <v>66</v>
      </c>
      <c r="D67" s="138" t="n">
        <v>102.75</v>
      </c>
      <c r="E67" s="138" t="n">
        <v>87.5</v>
      </c>
    </row>
    <row r="68" customFormat="false" ht="15" hidden="false" customHeight="false" outlineLevel="0" collapsed="false">
      <c r="A68" s="138" t="s">
        <v>1709</v>
      </c>
      <c r="B68" s="138" t="n">
        <v>66</v>
      </c>
      <c r="C68" s="138" t="n">
        <v>67</v>
      </c>
      <c r="D68" s="138" t="n">
        <v>44.75</v>
      </c>
      <c r="E68" s="138" t="n">
        <v>63.5</v>
      </c>
    </row>
    <row r="69" customFormat="false" ht="15" hidden="false" customHeight="false" outlineLevel="0" collapsed="false">
      <c r="A69" s="138" t="s">
        <v>1710</v>
      </c>
      <c r="B69" s="138" t="n">
        <v>67</v>
      </c>
      <c r="C69" s="138" t="n">
        <v>68</v>
      </c>
      <c r="D69" s="138" t="n">
        <v>71</v>
      </c>
      <c r="E69" s="138" t="n">
        <v>54.25</v>
      </c>
    </row>
    <row r="70" customFormat="false" ht="15" hidden="false" customHeight="false" outlineLevel="0" collapsed="false">
      <c r="A70" s="138" t="s">
        <v>1711</v>
      </c>
      <c r="B70" s="138" t="n">
        <v>68</v>
      </c>
      <c r="C70" s="138" t="n">
        <v>69</v>
      </c>
      <c r="D70" s="138" t="n">
        <v>89.25</v>
      </c>
      <c r="E70" s="138" t="n">
        <v>84.25</v>
      </c>
    </row>
    <row r="71" customFormat="false" ht="15" hidden="false" customHeight="false" outlineLevel="0" collapsed="false">
      <c r="A71" s="138" t="s">
        <v>1712</v>
      </c>
      <c r="B71" s="138" t="n">
        <v>69</v>
      </c>
      <c r="C71" s="138" t="n">
        <v>70</v>
      </c>
      <c r="D71" s="138" t="n">
        <v>93.5</v>
      </c>
      <c r="E71" s="138" t="n">
        <v>99</v>
      </c>
    </row>
    <row r="72" customFormat="false" ht="15" hidden="false" customHeight="false" outlineLevel="0" collapsed="false">
      <c r="A72" s="138" t="s">
        <v>1713</v>
      </c>
      <c r="B72" s="138" t="n">
        <v>70</v>
      </c>
      <c r="C72" s="138" t="n">
        <v>71</v>
      </c>
      <c r="D72" s="138" t="n">
        <v>97</v>
      </c>
      <c r="E72" s="138" t="n">
        <v>113.5</v>
      </c>
    </row>
    <row r="73" customFormat="false" ht="15" hidden="false" customHeight="false" outlineLevel="0" collapsed="false">
      <c r="A73" s="138" t="s">
        <v>1714</v>
      </c>
      <c r="B73" s="138" t="n">
        <v>71</v>
      </c>
      <c r="C73" s="138" t="n">
        <v>72</v>
      </c>
      <c r="D73" s="138" t="n">
        <v>102.25</v>
      </c>
      <c r="E73" s="138" t="n">
        <v>103.5</v>
      </c>
    </row>
    <row r="74" customFormat="false" ht="15" hidden="false" customHeight="false" outlineLevel="0" collapsed="false">
      <c r="A74" s="138" t="s">
        <v>1715</v>
      </c>
      <c r="B74" s="138" t="n">
        <v>72</v>
      </c>
      <c r="C74" s="138" t="n">
        <v>73</v>
      </c>
      <c r="D74" s="138" t="n">
        <v>100.25</v>
      </c>
      <c r="E74" s="138" t="n">
        <v>113.75</v>
      </c>
    </row>
    <row r="75" customFormat="false" ht="15" hidden="false" customHeight="false" outlineLevel="0" collapsed="false">
      <c r="A75" s="138" t="s">
        <v>1716</v>
      </c>
      <c r="B75" s="138" t="n">
        <v>73</v>
      </c>
      <c r="C75" s="138" t="n">
        <v>74</v>
      </c>
      <c r="D75" s="138" t="n">
        <v>104.5</v>
      </c>
      <c r="E75" s="138" t="n">
        <v>108.5</v>
      </c>
    </row>
    <row r="76" customFormat="false" ht="15" hidden="false" customHeight="false" outlineLevel="0" collapsed="false">
      <c r="A76" s="138" t="s">
        <v>1717</v>
      </c>
      <c r="B76" s="138" t="n">
        <v>74</v>
      </c>
      <c r="C76" s="138" t="n">
        <v>75</v>
      </c>
      <c r="D76" s="138" t="n">
        <v>95.5</v>
      </c>
      <c r="E76" s="138" t="n">
        <v>100.5</v>
      </c>
    </row>
    <row r="77" customFormat="false" ht="15" hidden="false" customHeight="false" outlineLevel="0" collapsed="false">
      <c r="A77" s="138" t="s">
        <v>1718</v>
      </c>
      <c r="B77" s="138" t="n">
        <v>75</v>
      </c>
      <c r="C77" s="138" t="n">
        <v>76</v>
      </c>
      <c r="D77" s="138" t="n">
        <v>99</v>
      </c>
      <c r="E77" s="138" t="n">
        <v>98.5</v>
      </c>
    </row>
    <row r="78" customFormat="false" ht="15" hidden="false" customHeight="false" outlineLevel="0" collapsed="false">
      <c r="A78" s="138" t="s">
        <v>1719</v>
      </c>
      <c r="B78" s="138" t="n">
        <v>76</v>
      </c>
      <c r="C78" s="138" t="n">
        <v>77</v>
      </c>
      <c r="D78" s="138" t="n">
        <v>95</v>
      </c>
      <c r="E78" s="138" t="n">
        <v>106.25</v>
      </c>
    </row>
    <row r="79" customFormat="false" ht="15" hidden="false" customHeight="false" outlineLevel="0" collapsed="false">
      <c r="A79" s="138" t="s">
        <v>1720</v>
      </c>
      <c r="B79" s="138" t="n">
        <v>77</v>
      </c>
      <c r="C79" s="138" t="n">
        <v>78</v>
      </c>
      <c r="D79" s="138" t="n">
        <v>90.5</v>
      </c>
      <c r="E79" s="138" t="n">
        <v>84.5</v>
      </c>
    </row>
    <row r="80" customFormat="false" ht="15" hidden="false" customHeight="false" outlineLevel="0" collapsed="false">
      <c r="A80" s="138" t="s">
        <v>1721</v>
      </c>
      <c r="B80" s="138" t="n">
        <v>78</v>
      </c>
      <c r="C80" s="138" t="n">
        <v>79</v>
      </c>
      <c r="D80" s="138" t="n">
        <v>74.5</v>
      </c>
      <c r="E80" s="138" t="n">
        <v>65.5</v>
      </c>
    </row>
    <row r="81" customFormat="false" ht="15" hidden="false" customHeight="false" outlineLevel="0" collapsed="false">
      <c r="A81" s="138" t="s">
        <v>1722</v>
      </c>
      <c r="B81" s="138" t="n">
        <v>79</v>
      </c>
      <c r="C81" s="138" t="n">
        <v>80</v>
      </c>
      <c r="D81" s="138" t="n">
        <v>52.25</v>
      </c>
      <c r="E81" s="138" t="n">
        <v>40</v>
      </c>
    </row>
    <row r="82" customFormat="false" ht="15" hidden="false" customHeight="false" outlineLevel="0" collapsed="false">
      <c r="A82" s="138" t="s">
        <v>1723</v>
      </c>
      <c r="B82" s="138" t="n">
        <v>80</v>
      </c>
      <c r="C82" s="138" t="n">
        <v>81</v>
      </c>
      <c r="D82" s="138" t="n">
        <v>38</v>
      </c>
      <c r="E82" s="138" t="n">
        <v>50.5</v>
      </c>
    </row>
    <row r="83" customFormat="false" ht="15" hidden="false" customHeight="false" outlineLevel="0" collapsed="false">
      <c r="A83" s="138" t="s">
        <v>1724</v>
      </c>
      <c r="B83" s="138" t="n">
        <v>81</v>
      </c>
      <c r="C83" s="138" t="n">
        <v>82</v>
      </c>
      <c r="D83" s="138" t="n">
        <v>44.75</v>
      </c>
      <c r="E83" s="138" t="n">
        <v>64.75</v>
      </c>
    </row>
    <row r="84" customFormat="false" ht="15" hidden="false" customHeight="false" outlineLevel="0" collapsed="false">
      <c r="A84" s="138" t="s">
        <v>1725</v>
      </c>
      <c r="B84" s="138" t="n">
        <v>82</v>
      </c>
      <c r="C84" s="138" t="n">
        <v>83</v>
      </c>
      <c r="D84" s="138" t="n">
        <v>48.75</v>
      </c>
      <c r="E84" s="138" t="n">
        <v>70</v>
      </c>
    </row>
    <row r="85" customFormat="false" ht="15" hidden="false" customHeight="false" outlineLevel="0" collapsed="false">
      <c r="A85" s="138" t="s">
        <v>1726</v>
      </c>
      <c r="B85" s="138" t="n">
        <v>83</v>
      </c>
      <c r="C85" s="138" t="n">
        <v>84</v>
      </c>
      <c r="D85" s="138" t="n">
        <v>49</v>
      </c>
      <c r="E85" s="138" t="n">
        <v>42.5</v>
      </c>
    </row>
    <row r="86" customFormat="false" ht="15" hidden="false" customHeight="false" outlineLevel="0" collapsed="false">
      <c r="A86" s="138" t="s">
        <v>1727</v>
      </c>
      <c r="B86" s="138" t="n">
        <v>84</v>
      </c>
      <c r="C86" s="138" t="n">
        <v>85</v>
      </c>
      <c r="D86" s="138" t="n">
        <v>40.75</v>
      </c>
      <c r="E86" s="138" t="n">
        <v>40.75</v>
      </c>
    </row>
    <row r="87" customFormat="false" ht="15" hidden="false" customHeight="false" outlineLevel="0" collapsed="false">
      <c r="A87" s="138" t="s">
        <v>1728</v>
      </c>
      <c r="B87" s="138" t="n">
        <v>85</v>
      </c>
      <c r="C87" s="138" t="n">
        <v>86</v>
      </c>
      <c r="D87" s="138" t="n">
        <v>64.5</v>
      </c>
      <c r="E87" s="138" t="n">
        <v>76.75</v>
      </c>
    </row>
    <row r="88" customFormat="false" ht="15" hidden="false" customHeight="false" outlineLevel="0" collapsed="false">
      <c r="A88" s="138" t="s">
        <v>1729</v>
      </c>
      <c r="B88" s="138" t="n">
        <v>86</v>
      </c>
      <c r="C88" s="138" t="n">
        <v>87</v>
      </c>
      <c r="D88" s="138" t="n">
        <v>86.5</v>
      </c>
      <c r="E88" s="138" t="n">
        <v>93.75</v>
      </c>
    </row>
    <row r="89" customFormat="false" ht="15" hidden="false" customHeight="false" outlineLevel="0" collapsed="false">
      <c r="A89" s="138" t="s">
        <v>1730</v>
      </c>
      <c r="B89" s="138" t="n">
        <v>87</v>
      </c>
      <c r="C89" s="138" t="n">
        <v>88</v>
      </c>
      <c r="D89" s="138" t="n">
        <v>107.5</v>
      </c>
      <c r="E89" s="138" t="n">
        <v>113</v>
      </c>
    </row>
    <row r="90" customFormat="false" ht="15" hidden="false" customHeight="false" outlineLevel="0" collapsed="false">
      <c r="A90" s="138" t="s">
        <v>1731</v>
      </c>
      <c r="B90" s="138" t="n">
        <v>88</v>
      </c>
      <c r="C90" s="138" t="n">
        <v>89</v>
      </c>
      <c r="D90" s="138" t="n">
        <v>102</v>
      </c>
      <c r="E90" s="138" t="n">
        <v>100.75</v>
      </c>
    </row>
    <row r="91" customFormat="false" ht="15" hidden="false" customHeight="false" outlineLevel="0" collapsed="false">
      <c r="A91" s="138" t="s">
        <v>1732</v>
      </c>
      <c r="B91" s="138" t="n">
        <v>89</v>
      </c>
      <c r="C91" s="138" t="n">
        <v>90</v>
      </c>
      <c r="D91" s="138" t="n">
        <v>110.5</v>
      </c>
      <c r="E91" s="138" t="n">
        <v>111</v>
      </c>
    </row>
    <row r="92" customFormat="false" ht="15" hidden="false" customHeight="false" outlineLevel="0" collapsed="false">
      <c r="A92" s="138" t="s">
        <v>1733</v>
      </c>
      <c r="B92" s="138" t="n">
        <v>90</v>
      </c>
      <c r="C92" s="138" t="n">
        <v>91</v>
      </c>
      <c r="D92" s="138" t="n">
        <v>115.25</v>
      </c>
      <c r="E92" s="138" t="n">
        <v>118.25</v>
      </c>
    </row>
    <row r="93" customFormat="false" ht="15" hidden="false" customHeight="false" outlineLevel="0" collapsed="false">
      <c r="A93" s="138" t="s">
        <v>1734</v>
      </c>
      <c r="B93" s="138" t="n">
        <v>91</v>
      </c>
      <c r="C93" s="138" t="n">
        <v>92</v>
      </c>
      <c r="D93" s="138" t="n">
        <v>115.5</v>
      </c>
      <c r="E93" s="138" t="n">
        <v>114.75</v>
      </c>
    </row>
    <row r="94" customFormat="false" ht="15" hidden="false" customHeight="false" outlineLevel="0" collapsed="false">
      <c r="A94" s="138" t="s">
        <v>1735</v>
      </c>
      <c r="B94" s="138" t="n">
        <v>92</v>
      </c>
      <c r="C94" s="138" t="n">
        <v>93</v>
      </c>
      <c r="D94" s="138" t="n">
        <v>116.75</v>
      </c>
      <c r="E94" s="138" t="n">
        <v>118</v>
      </c>
    </row>
    <row r="95" customFormat="false" ht="15" hidden="false" customHeight="false" outlineLevel="0" collapsed="false">
      <c r="A95" s="138" t="s">
        <v>1736</v>
      </c>
      <c r="B95" s="138" t="n">
        <v>93</v>
      </c>
      <c r="C95" s="138" t="n">
        <v>94</v>
      </c>
      <c r="D95" s="138" t="n">
        <v>115.75</v>
      </c>
      <c r="E95" s="138" t="n">
        <v>115.25</v>
      </c>
    </row>
    <row r="96" customFormat="false" ht="15" hidden="false" customHeight="false" outlineLevel="0" collapsed="false">
      <c r="A96" s="138" t="s">
        <v>1737</v>
      </c>
      <c r="B96" s="138" t="n">
        <v>94</v>
      </c>
      <c r="C96" s="138" t="n">
        <v>95</v>
      </c>
      <c r="D96" s="138" t="n">
        <v>118.5</v>
      </c>
      <c r="E96" s="138" t="n">
        <v>111.25</v>
      </c>
    </row>
    <row r="97" customFormat="false" ht="15" hidden="false" customHeight="false" outlineLevel="0" collapsed="false">
      <c r="A97" s="138" t="s">
        <v>1738</v>
      </c>
      <c r="B97" s="138" t="n">
        <v>95</v>
      </c>
      <c r="C97" s="138" t="n">
        <v>96</v>
      </c>
      <c r="D97" s="138" t="n">
        <v>137.75</v>
      </c>
      <c r="E97" s="138" t="n">
        <v>176</v>
      </c>
    </row>
    <row r="98" customFormat="false" ht="15" hidden="false" customHeight="false" outlineLevel="0" collapsed="false">
      <c r="A98" s="138" t="s">
        <v>1740</v>
      </c>
      <c r="B98" s="138" t="n">
        <v>96</v>
      </c>
      <c r="C98" s="138" t="n">
        <v>97</v>
      </c>
      <c r="D98" s="138" t="n">
        <v>126.75</v>
      </c>
      <c r="E98" s="138" t="n">
        <v>163.5</v>
      </c>
    </row>
    <row r="99" customFormat="false" ht="15" hidden="false" customHeight="false" outlineLevel="0" collapsed="false">
      <c r="A99" s="138" t="s">
        <v>1741</v>
      </c>
      <c r="B99" s="138" t="n">
        <v>97</v>
      </c>
      <c r="C99" s="138" t="n">
        <v>98</v>
      </c>
      <c r="D99" s="138" t="n">
        <v>123</v>
      </c>
      <c r="E99" s="138" t="n">
        <v>125</v>
      </c>
    </row>
    <row r="100" customFormat="false" ht="15" hidden="false" customHeight="false" outlineLevel="0" collapsed="false">
      <c r="A100" s="138" t="s">
        <v>1742</v>
      </c>
      <c r="B100" s="138" t="n">
        <v>98</v>
      </c>
      <c r="C100" s="138" t="n">
        <v>99</v>
      </c>
      <c r="D100" s="138" t="n">
        <v>121</v>
      </c>
      <c r="E100" s="138" t="n">
        <v>119</v>
      </c>
    </row>
    <row r="101" customFormat="false" ht="15" hidden="false" customHeight="false" outlineLevel="0" collapsed="false">
      <c r="A101" s="138" t="s">
        <v>1743</v>
      </c>
      <c r="B101" s="138" t="n">
        <v>99</v>
      </c>
      <c r="C101" s="138" t="n">
        <v>100</v>
      </c>
      <c r="D101" s="138" t="n">
        <v>112.75</v>
      </c>
      <c r="E101" s="138" t="n">
        <v>109.75</v>
      </c>
    </row>
    <row r="102" customFormat="false" ht="15" hidden="false" customHeight="false" outlineLevel="0" collapsed="false">
      <c r="A102" s="138" t="s">
        <v>1744</v>
      </c>
      <c r="B102" s="138" t="n">
        <v>100</v>
      </c>
      <c r="C102" s="138" t="n">
        <v>101</v>
      </c>
      <c r="D102" s="138" t="n">
        <v>105.75</v>
      </c>
      <c r="E102" s="138" t="n">
        <v>104.75</v>
      </c>
    </row>
    <row r="103" customFormat="false" ht="15" hidden="false" customHeight="false" outlineLevel="0" collapsed="false">
      <c r="A103" s="138" t="s">
        <v>1745</v>
      </c>
      <c r="B103" s="138" t="n">
        <v>101</v>
      </c>
      <c r="C103" s="138" t="n">
        <v>102</v>
      </c>
      <c r="D103" s="138" t="n">
        <v>99.75</v>
      </c>
      <c r="E103" s="138" t="n">
        <v>101.25</v>
      </c>
    </row>
    <row r="104" customFormat="false" ht="15" hidden="false" customHeight="false" outlineLevel="0" collapsed="false">
      <c r="A104" s="138" t="s">
        <v>1746</v>
      </c>
      <c r="B104" s="138" t="n">
        <v>102</v>
      </c>
      <c r="C104" s="138" t="n">
        <v>103</v>
      </c>
      <c r="D104" s="138" t="n">
        <v>93.5</v>
      </c>
      <c r="E104" s="138" t="n">
        <v>94.25</v>
      </c>
    </row>
    <row r="105" customFormat="false" ht="15" hidden="false" customHeight="false" outlineLevel="0" collapsed="false">
      <c r="A105" s="138" t="s">
        <v>1747</v>
      </c>
      <c r="B105" s="138" t="n">
        <v>103</v>
      </c>
      <c r="C105" s="138" t="n">
        <v>104</v>
      </c>
      <c r="D105" s="138" t="n">
        <v>84.75</v>
      </c>
      <c r="E105" s="138" t="n">
        <v>85</v>
      </c>
    </row>
    <row r="106" customFormat="false" ht="15" hidden="false" customHeight="false" outlineLevel="0" collapsed="false">
      <c r="A106" s="138" t="s">
        <v>1748</v>
      </c>
      <c r="B106" s="138" t="n">
        <v>104</v>
      </c>
      <c r="C106" s="138" t="n">
        <v>105</v>
      </c>
      <c r="D106" s="138" t="n">
        <v>58.5</v>
      </c>
      <c r="E106" s="138" t="n">
        <v>63.5</v>
      </c>
    </row>
    <row r="107" customFormat="false" ht="15" hidden="false" customHeight="false" outlineLevel="0" collapsed="false">
      <c r="A107" s="138" t="s">
        <v>1749</v>
      </c>
      <c r="B107" s="138" t="n">
        <v>105</v>
      </c>
      <c r="C107" s="138" t="n">
        <v>106</v>
      </c>
      <c r="D107" s="138" t="n">
        <v>50.75</v>
      </c>
      <c r="E107" s="138" t="n">
        <v>42.5</v>
      </c>
    </row>
    <row r="108" customFormat="false" ht="15" hidden="false" customHeight="false" outlineLevel="0" collapsed="false">
      <c r="A108" s="138" t="s">
        <v>1750</v>
      </c>
      <c r="B108" s="138" t="n">
        <v>106</v>
      </c>
      <c r="C108" s="138" t="n">
        <v>107</v>
      </c>
      <c r="D108" s="138" t="n">
        <v>76</v>
      </c>
      <c r="E108" s="138" t="n">
        <v>62</v>
      </c>
    </row>
    <row r="109" customFormat="false" ht="15" hidden="false" customHeight="false" outlineLevel="0" collapsed="false">
      <c r="A109" s="138" t="s">
        <v>1751</v>
      </c>
      <c r="B109" s="138" t="n">
        <v>107</v>
      </c>
      <c r="C109" s="138" t="n">
        <v>108</v>
      </c>
      <c r="D109" s="138" t="n">
        <v>93.25</v>
      </c>
      <c r="E109" s="138" t="n">
        <v>75.25</v>
      </c>
    </row>
    <row r="110" customFormat="false" ht="15" hidden="false" customHeight="false" outlineLevel="0" collapsed="false">
      <c r="A110" s="138" t="s">
        <v>1752</v>
      </c>
      <c r="B110" s="138" t="n">
        <v>108</v>
      </c>
      <c r="C110" s="138" t="n">
        <v>109</v>
      </c>
      <c r="D110" s="138" t="n">
        <v>98.25</v>
      </c>
      <c r="E110" s="138" t="n">
        <v>80.25</v>
      </c>
    </row>
    <row r="111" customFormat="false" ht="15" hidden="false" customHeight="false" outlineLevel="0" collapsed="false">
      <c r="A111" s="138" t="s">
        <v>1753</v>
      </c>
      <c r="B111" s="138" t="n">
        <v>109</v>
      </c>
      <c r="C111" s="138" t="n">
        <v>110</v>
      </c>
      <c r="D111" s="138" t="n">
        <v>89</v>
      </c>
      <c r="E111" s="138" t="n">
        <v>74.75</v>
      </c>
    </row>
    <row r="112" customFormat="false" ht="15" hidden="false" customHeight="false" outlineLevel="0" collapsed="false">
      <c r="A112" s="138" t="s">
        <v>1754</v>
      </c>
      <c r="B112" s="138" t="n">
        <v>110</v>
      </c>
      <c r="C112" s="138" t="n">
        <v>111</v>
      </c>
      <c r="D112" s="138" t="n">
        <v>75.75</v>
      </c>
      <c r="E112" s="138" t="n">
        <v>51.75</v>
      </c>
    </row>
    <row r="113" customFormat="false" ht="15" hidden="false" customHeight="false" outlineLevel="0" collapsed="false">
      <c r="A113" s="138" t="s">
        <v>1755</v>
      </c>
      <c r="B113" s="138" t="n">
        <v>111</v>
      </c>
      <c r="C113" s="138" t="n">
        <v>112</v>
      </c>
      <c r="D113" s="138" t="n">
        <v>69.5</v>
      </c>
      <c r="E113" s="138" t="n">
        <v>51</v>
      </c>
    </row>
    <row r="114" customFormat="false" ht="15" hidden="false" customHeight="false" outlineLevel="0" collapsed="false">
      <c r="A114" s="138" t="s">
        <v>1756</v>
      </c>
      <c r="B114" s="138" t="n">
        <v>112</v>
      </c>
      <c r="C114" s="138" t="n">
        <v>113</v>
      </c>
      <c r="D114" s="138" t="n">
        <v>61.75</v>
      </c>
      <c r="E114" s="138" t="n">
        <v>67.75</v>
      </c>
    </row>
    <row r="115" customFormat="false" ht="15" hidden="false" customHeight="false" outlineLevel="0" collapsed="false">
      <c r="A115" s="138" t="s">
        <v>1757</v>
      </c>
      <c r="B115" s="138" t="n">
        <v>113</v>
      </c>
      <c r="C115" s="138" t="n">
        <v>114</v>
      </c>
      <c r="D115" s="138" t="n">
        <v>66</v>
      </c>
      <c r="E115" s="138" t="n">
        <v>60.25</v>
      </c>
    </row>
    <row r="116" customFormat="false" ht="15" hidden="false" customHeight="false" outlineLevel="0" collapsed="false">
      <c r="A116" s="138" t="s">
        <v>1758</v>
      </c>
      <c r="B116" s="138" t="n">
        <v>114</v>
      </c>
      <c r="C116" s="138" t="n">
        <v>115</v>
      </c>
      <c r="D116" s="138" t="n">
        <v>72.5</v>
      </c>
      <c r="E116" s="138" t="n">
        <v>52.5</v>
      </c>
    </row>
    <row r="117" customFormat="false" ht="15" hidden="false" customHeight="false" outlineLevel="0" collapsed="false">
      <c r="A117" s="138" t="s">
        <v>1759</v>
      </c>
      <c r="B117" s="138" t="n">
        <v>115</v>
      </c>
      <c r="C117" s="138" t="n">
        <v>116</v>
      </c>
      <c r="D117" s="138" t="n">
        <v>75.75</v>
      </c>
      <c r="E117" s="138" t="n">
        <v>50.75</v>
      </c>
    </row>
    <row r="118" customFormat="false" ht="15" hidden="false" customHeight="false" outlineLevel="0" collapsed="false">
      <c r="A118" s="138" t="s">
        <v>1760</v>
      </c>
      <c r="B118" s="138" t="n">
        <v>116</v>
      </c>
      <c r="C118" s="138" t="n">
        <v>117</v>
      </c>
      <c r="D118" s="138" t="n">
        <v>77.75</v>
      </c>
      <c r="E118" s="138" t="n">
        <v>43.75</v>
      </c>
    </row>
    <row r="119" customFormat="false" ht="15" hidden="false" customHeight="false" outlineLevel="0" collapsed="false">
      <c r="A119" s="138" t="s">
        <v>1761</v>
      </c>
      <c r="B119" s="138" t="n">
        <v>117</v>
      </c>
      <c r="C119" s="138" t="n">
        <v>118</v>
      </c>
      <c r="D119" s="138" t="n">
        <v>53.25</v>
      </c>
      <c r="E119" s="138" t="n">
        <v>87</v>
      </c>
    </row>
    <row r="120" customFormat="false" ht="15" hidden="false" customHeight="false" outlineLevel="0" collapsed="false">
      <c r="A120" s="138" t="s">
        <v>1762</v>
      </c>
      <c r="B120" s="138" t="n">
        <v>118</v>
      </c>
      <c r="C120" s="138" t="n">
        <v>119</v>
      </c>
      <c r="D120" s="138" t="n">
        <v>58.5</v>
      </c>
      <c r="E120" s="138" t="n">
        <v>131.5</v>
      </c>
    </row>
    <row r="121" customFormat="false" ht="15" hidden="false" customHeight="false" outlineLevel="0" collapsed="false">
      <c r="A121" s="138" t="s">
        <v>1763</v>
      </c>
      <c r="B121" s="138" t="n">
        <v>119</v>
      </c>
      <c r="C121" s="138" t="n">
        <v>120</v>
      </c>
      <c r="D121" s="138" t="n">
        <v>88.25</v>
      </c>
      <c r="E121" s="138" t="n">
        <v>150.25</v>
      </c>
    </row>
    <row r="122" customFormat="false" ht="15" hidden="false" customHeight="false" outlineLevel="0" collapsed="false">
      <c r="A122" s="138" t="s">
        <v>1765</v>
      </c>
      <c r="B122" s="138" t="n">
        <v>120</v>
      </c>
      <c r="C122" s="138" t="n">
        <v>121</v>
      </c>
      <c r="D122" s="138" t="n">
        <v>98.75</v>
      </c>
      <c r="E122" s="138" t="n">
        <v>145.25</v>
      </c>
    </row>
    <row r="123" customFormat="false" ht="15" hidden="false" customHeight="false" outlineLevel="0" collapsed="false">
      <c r="A123" s="138" t="s">
        <v>1767</v>
      </c>
      <c r="B123" s="138" t="n">
        <v>121</v>
      </c>
      <c r="C123" s="138" t="n">
        <v>122</v>
      </c>
      <c r="D123" s="138" t="n">
        <v>112.75</v>
      </c>
      <c r="E123" s="138" t="n">
        <v>120.25</v>
      </c>
    </row>
    <row r="124" customFormat="false" ht="15" hidden="false" customHeight="false" outlineLevel="0" collapsed="false">
      <c r="A124" s="138" t="s">
        <v>1768</v>
      </c>
      <c r="B124" s="138" t="n">
        <v>122</v>
      </c>
      <c r="C124" s="138" t="n">
        <v>123</v>
      </c>
      <c r="D124" s="138" t="n">
        <v>96.75</v>
      </c>
      <c r="E124" s="138" t="n">
        <v>97</v>
      </c>
    </row>
    <row r="125" customFormat="false" ht="15" hidden="false" customHeight="false" outlineLevel="0" collapsed="false">
      <c r="A125" s="138" t="s">
        <v>1770</v>
      </c>
      <c r="B125" s="138" t="n">
        <v>123</v>
      </c>
      <c r="C125" s="138" t="n">
        <v>124</v>
      </c>
      <c r="D125" s="138" t="n">
        <v>49.25</v>
      </c>
      <c r="E125" s="138" t="n">
        <v>66.5</v>
      </c>
    </row>
    <row r="126" customFormat="false" ht="15" hidden="false" customHeight="false" outlineLevel="0" collapsed="false">
      <c r="A126" s="138" t="s">
        <v>1772</v>
      </c>
      <c r="B126" s="138" t="n">
        <v>124</v>
      </c>
      <c r="C126" s="138" t="n">
        <v>125</v>
      </c>
      <c r="D126" s="138" t="n">
        <v>58.75</v>
      </c>
      <c r="E126" s="138" t="n">
        <v>31</v>
      </c>
    </row>
    <row r="127" customFormat="false" ht="15" hidden="false" customHeight="false" outlineLevel="0" collapsed="false">
      <c r="A127" s="138" t="s">
        <v>1774</v>
      </c>
      <c r="B127" s="138" t="n">
        <v>125</v>
      </c>
      <c r="C127" s="138" t="n">
        <v>126</v>
      </c>
      <c r="D127" s="138" t="n">
        <v>71.75</v>
      </c>
      <c r="E127" s="138" t="n">
        <v>37</v>
      </c>
    </row>
    <row r="128" customFormat="false" ht="15" hidden="false" customHeight="false" outlineLevel="0" collapsed="false">
      <c r="A128" s="138" t="s">
        <v>1775</v>
      </c>
      <c r="B128" s="138" t="n">
        <v>126</v>
      </c>
      <c r="C128" s="138" t="n">
        <v>127</v>
      </c>
      <c r="D128" s="138" t="n">
        <v>88.25</v>
      </c>
      <c r="E128" s="138" t="n">
        <v>40.75</v>
      </c>
    </row>
    <row r="129" customFormat="false" ht="15" hidden="false" customHeight="false" outlineLevel="0" collapsed="false">
      <c r="A129" s="138" t="s">
        <v>1776</v>
      </c>
      <c r="B129" s="138" t="n">
        <v>127</v>
      </c>
      <c r="C129" s="138" t="n">
        <v>128</v>
      </c>
      <c r="D129" s="138" t="n">
        <v>82.25</v>
      </c>
      <c r="E129" s="138" t="n">
        <v>45.75</v>
      </c>
    </row>
    <row r="130" customFormat="false" ht="15" hidden="false" customHeight="false" outlineLevel="0" collapsed="false">
      <c r="A130" s="138" t="s">
        <v>1777</v>
      </c>
      <c r="B130" s="138" t="n">
        <v>128</v>
      </c>
      <c r="C130" s="138" t="n">
        <v>129</v>
      </c>
      <c r="D130" s="138" t="n">
        <v>55.5</v>
      </c>
      <c r="E130" s="138" t="n">
        <v>86.25</v>
      </c>
    </row>
    <row r="131" customFormat="false" ht="15" hidden="false" customHeight="false" outlineLevel="0" collapsed="false">
      <c r="A131" s="138" t="s">
        <v>1778</v>
      </c>
      <c r="B131" s="138" t="n">
        <v>129</v>
      </c>
      <c r="C131" s="138" t="n">
        <v>130</v>
      </c>
      <c r="D131" s="138" t="n">
        <v>76.25</v>
      </c>
      <c r="E131" s="138" t="n">
        <v>101</v>
      </c>
    </row>
    <row r="132" customFormat="false" ht="15" hidden="false" customHeight="false" outlineLevel="0" collapsed="false">
      <c r="A132" s="138" t="s">
        <v>1779</v>
      </c>
      <c r="B132" s="138" t="n">
        <v>130</v>
      </c>
      <c r="C132" s="138" t="n">
        <v>131</v>
      </c>
      <c r="D132" s="138" t="n">
        <v>99.5</v>
      </c>
      <c r="E132" s="138" t="n">
        <v>100.25</v>
      </c>
    </row>
    <row r="133" customFormat="false" ht="15" hidden="false" customHeight="false" outlineLevel="0" collapsed="false">
      <c r="A133" s="138" t="s">
        <v>1780</v>
      </c>
      <c r="B133" s="138" t="n">
        <v>131</v>
      </c>
      <c r="C133" s="138" t="n">
        <v>132</v>
      </c>
      <c r="D133" s="138" t="n">
        <v>109.75</v>
      </c>
      <c r="E133" s="138" t="n">
        <v>111.5</v>
      </c>
    </row>
    <row r="134" customFormat="false" ht="15" hidden="false" customHeight="false" outlineLevel="0" collapsed="false">
      <c r="A134" s="138" t="s">
        <v>1781</v>
      </c>
      <c r="B134" s="138" t="n">
        <v>132</v>
      </c>
      <c r="C134" s="138" t="n">
        <v>133</v>
      </c>
      <c r="D134" s="138" t="n">
        <v>106.25</v>
      </c>
      <c r="E134" s="138" t="n">
        <v>107.75</v>
      </c>
    </row>
    <row r="135" customFormat="false" ht="15" hidden="false" customHeight="false" outlineLevel="0" collapsed="false">
      <c r="A135" s="138" t="s">
        <v>1782</v>
      </c>
      <c r="B135" s="138" t="n">
        <v>133</v>
      </c>
      <c r="C135" s="138" t="n">
        <v>134</v>
      </c>
      <c r="D135" s="138" t="n">
        <v>99</v>
      </c>
      <c r="E135" s="138" t="n">
        <v>97</v>
      </c>
    </row>
    <row r="136" customFormat="false" ht="15" hidden="false" customHeight="false" outlineLevel="0" collapsed="false">
      <c r="A136" s="138" t="s">
        <v>1783</v>
      </c>
      <c r="B136" s="138" t="n">
        <v>134</v>
      </c>
      <c r="C136" s="138" t="n">
        <v>135</v>
      </c>
      <c r="D136" s="138" t="n">
        <v>88.5</v>
      </c>
      <c r="E136" s="138" t="n">
        <v>113</v>
      </c>
    </row>
    <row r="137" customFormat="false" ht="15" hidden="false" customHeight="false" outlineLevel="0" collapsed="false">
      <c r="A137" s="138" t="s">
        <v>1784</v>
      </c>
      <c r="B137" s="138" t="n">
        <v>135</v>
      </c>
      <c r="C137" s="138" t="n">
        <v>136</v>
      </c>
      <c r="D137" s="138" t="n">
        <v>68.5</v>
      </c>
      <c r="E137" s="138" t="n">
        <v>102.25</v>
      </c>
    </row>
    <row r="138" customFormat="false" ht="15" hidden="false" customHeight="false" outlineLevel="0" collapsed="false">
      <c r="A138" s="138" t="s">
        <v>1785</v>
      </c>
      <c r="B138" s="138" t="n">
        <v>136</v>
      </c>
      <c r="C138" s="138" t="n">
        <v>137</v>
      </c>
      <c r="D138" s="138" t="n">
        <v>49.5</v>
      </c>
      <c r="E138" s="138" t="n">
        <v>62.25</v>
      </c>
    </row>
    <row r="139" customFormat="false" ht="15" hidden="false" customHeight="false" outlineLevel="0" collapsed="false">
      <c r="A139" s="138" t="s">
        <v>1786</v>
      </c>
      <c r="B139" s="138" t="n">
        <v>137</v>
      </c>
      <c r="C139" s="138" t="n">
        <v>138</v>
      </c>
      <c r="D139" s="138" t="n">
        <v>77.5</v>
      </c>
      <c r="E139" s="138" t="n">
        <v>46.5</v>
      </c>
    </row>
    <row r="140" customFormat="false" ht="15" hidden="false" customHeight="false" outlineLevel="0" collapsed="false">
      <c r="A140" s="138" t="s">
        <v>1787</v>
      </c>
      <c r="B140" s="138" t="n">
        <v>138</v>
      </c>
      <c r="C140" s="138" t="n">
        <v>139</v>
      </c>
      <c r="D140" s="138" t="n">
        <v>104.75</v>
      </c>
      <c r="E140" s="138" t="n">
        <v>61.75</v>
      </c>
    </row>
    <row r="141" customFormat="false" ht="15" hidden="false" customHeight="false" outlineLevel="0" collapsed="false">
      <c r="A141" s="138" t="s">
        <v>1788</v>
      </c>
      <c r="B141" s="138" t="n">
        <v>139</v>
      </c>
      <c r="C141" s="138" t="n">
        <v>140</v>
      </c>
      <c r="D141" s="138" t="n">
        <v>107.75</v>
      </c>
      <c r="E141" s="138" t="n">
        <v>46.75</v>
      </c>
    </row>
    <row r="142" customFormat="false" ht="15" hidden="false" customHeight="false" outlineLevel="0" collapsed="false">
      <c r="A142" s="138" t="s">
        <v>1789</v>
      </c>
      <c r="B142" s="138" t="n">
        <v>140</v>
      </c>
      <c r="C142" s="138" t="n">
        <v>141</v>
      </c>
      <c r="D142" s="138" t="n">
        <v>55.5</v>
      </c>
      <c r="E142" s="138" t="n">
        <v>78.5</v>
      </c>
    </row>
    <row r="143" customFormat="false" ht="15" hidden="false" customHeight="false" outlineLevel="0" collapsed="false">
      <c r="A143" s="138" t="s">
        <v>1790</v>
      </c>
      <c r="B143" s="138" t="n">
        <v>141</v>
      </c>
      <c r="C143" s="138" t="n">
        <v>142</v>
      </c>
      <c r="D143" s="138" t="n">
        <v>68</v>
      </c>
      <c r="E143" s="138" t="n">
        <v>102.75</v>
      </c>
    </row>
    <row r="144" customFormat="false" ht="15" hidden="false" customHeight="false" outlineLevel="0" collapsed="false">
      <c r="A144" s="138" t="s">
        <v>1791</v>
      </c>
      <c r="B144" s="138" t="n">
        <v>142</v>
      </c>
      <c r="C144" s="138" t="n">
        <v>143</v>
      </c>
      <c r="D144" s="138" t="n">
        <v>86</v>
      </c>
      <c r="E144" s="138" t="n">
        <v>118.25</v>
      </c>
    </row>
    <row r="145" customFormat="false" ht="15" hidden="false" customHeight="false" outlineLevel="0" collapsed="false">
      <c r="A145" s="138" t="s">
        <v>1792</v>
      </c>
      <c r="B145" s="138" t="n">
        <v>143</v>
      </c>
      <c r="C145" s="138" t="n">
        <v>144</v>
      </c>
      <c r="D145" s="138" t="n">
        <v>95.5</v>
      </c>
      <c r="E145" s="138" t="n">
        <v>129.25</v>
      </c>
    </row>
    <row r="146" customFormat="false" ht="15" hidden="false" customHeight="false" outlineLevel="0" collapsed="false">
      <c r="A146" s="138" t="s">
        <v>1793</v>
      </c>
      <c r="B146" s="138" t="n">
        <v>144</v>
      </c>
      <c r="C146" s="138" t="n">
        <v>145</v>
      </c>
      <c r="D146" s="138" t="n">
        <v>97.75</v>
      </c>
      <c r="E146" s="138" t="n">
        <v>136.75</v>
      </c>
    </row>
    <row r="147" customFormat="false" ht="15" hidden="false" customHeight="false" outlineLevel="0" collapsed="false">
      <c r="A147" s="138" t="s">
        <v>1794</v>
      </c>
      <c r="B147" s="138" t="n">
        <v>145</v>
      </c>
      <c r="C147" s="138" t="n">
        <v>146</v>
      </c>
      <c r="D147" s="138" t="n">
        <v>94.5</v>
      </c>
      <c r="E147" s="138" t="n">
        <v>137</v>
      </c>
    </row>
    <row r="148" customFormat="false" ht="15" hidden="false" customHeight="false" outlineLevel="0" collapsed="false">
      <c r="A148" s="138" t="s">
        <v>1795</v>
      </c>
      <c r="B148" s="138" t="n">
        <v>146</v>
      </c>
      <c r="C148" s="138" t="n">
        <v>147</v>
      </c>
      <c r="D148" s="138" t="n">
        <v>86</v>
      </c>
      <c r="E148" s="138" t="n">
        <v>111.75</v>
      </c>
    </row>
    <row r="149" customFormat="false" ht="15" hidden="false" customHeight="false" outlineLevel="0" collapsed="false">
      <c r="A149" s="138" t="s">
        <v>1796</v>
      </c>
      <c r="B149" s="138" t="n">
        <v>147</v>
      </c>
      <c r="C149" s="138" t="n">
        <v>148</v>
      </c>
      <c r="D149" s="138" t="n">
        <v>78.25</v>
      </c>
      <c r="E149" s="138" t="n">
        <v>83.75</v>
      </c>
    </row>
    <row r="150" customFormat="false" ht="15" hidden="false" customHeight="false" outlineLevel="0" collapsed="false">
      <c r="A150" s="138" t="s">
        <v>1797</v>
      </c>
      <c r="B150" s="138" t="n">
        <v>148</v>
      </c>
      <c r="C150" s="138" t="n">
        <v>149</v>
      </c>
      <c r="D150" s="138" t="n">
        <v>79.25</v>
      </c>
      <c r="E150" s="138" t="n">
        <v>69.25</v>
      </c>
    </row>
    <row r="151" customFormat="false" ht="15" hidden="false" customHeight="false" outlineLevel="0" collapsed="false">
      <c r="A151" s="138" t="s">
        <v>1798</v>
      </c>
      <c r="B151" s="138" t="n">
        <v>149</v>
      </c>
      <c r="C151" s="138" t="n">
        <v>150</v>
      </c>
      <c r="D151" s="138" t="n">
        <v>92</v>
      </c>
      <c r="E151" s="138" t="n">
        <v>66.25</v>
      </c>
    </row>
    <row r="152" customFormat="false" ht="15" hidden="false" customHeight="false" outlineLevel="0" collapsed="false">
      <c r="A152" s="138" t="s">
        <v>1799</v>
      </c>
      <c r="B152" s="138" t="n">
        <v>150</v>
      </c>
      <c r="C152" s="138" t="n">
        <v>151</v>
      </c>
      <c r="D152" s="138" t="n">
        <v>115</v>
      </c>
      <c r="E152" s="138" t="n">
        <v>75.75</v>
      </c>
    </row>
    <row r="153" customFormat="false" ht="15" hidden="false" customHeight="false" outlineLevel="0" collapsed="false">
      <c r="A153" s="138" t="s">
        <v>1800</v>
      </c>
      <c r="B153" s="138" t="n">
        <v>151</v>
      </c>
      <c r="C153" s="138" t="n">
        <v>152</v>
      </c>
      <c r="D153" s="138" t="n">
        <v>129</v>
      </c>
      <c r="E153" s="138" t="n">
        <v>88.75</v>
      </c>
    </row>
    <row r="154" customFormat="false" ht="15" hidden="false" customHeight="false" outlineLevel="0" collapsed="false">
      <c r="A154" s="138" t="s">
        <v>1801</v>
      </c>
      <c r="B154" s="138" t="n">
        <v>152</v>
      </c>
      <c r="C154" s="138" t="n">
        <v>153</v>
      </c>
      <c r="D154" s="138" t="n">
        <v>121</v>
      </c>
      <c r="E154" s="138" t="n">
        <v>107.75</v>
      </c>
    </row>
    <row r="155" customFormat="false" ht="15" hidden="false" customHeight="false" outlineLevel="0" collapsed="false">
      <c r="A155" s="138" t="s">
        <v>1802</v>
      </c>
      <c r="B155" s="138" t="n">
        <v>153</v>
      </c>
      <c r="C155" s="138" t="n">
        <v>154</v>
      </c>
      <c r="D155" s="138" t="n">
        <v>101.25</v>
      </c>
      <c r="E155" s="138" t="n">
        <v>166.5</v>
      </c>
    </row>
    <row r="156" customFormat="false" ht="15" hidden="false" customHeight="false" outlineLevel="0" collapsed="false">
      <c r="A156" s="138" t="s">
        <v>1803</v>
      </c>
      <c r="B156" s="138" t="n">
        <v>154</v>
      </c>
      <c r="C156" s="138" t="n">
        <v>155</v>
      </c>
      <c r="D156" s="138" t="n">
        <v>78.25</v>
      </c>
      <c r="E156" s="138" t="n">
        <v>122.75</v>
      </c>
    </row>
    <row r="157" customFormat="false" ht="15" hidden="false" customHeight="false" outlineLevel="0" collapsed="false">
      <c r="A157" s="138" t="s">
        <v>1804</v>
      </c>
      <c r="B157" s="138" t="n">
        <v>155</v>
      </c>
      <c r="C157" s="138" t="n">
        <v>156</v>
      </c>
      <c r="D157" s="138" t="n">
        <v>61</v>
      </c>
      <c r="E157" s="138" t="n">
        <v>55</v>
      </c>
    </row>
    <row r="158" customFormat="false" ht="15" hidden="false" customHeight="false" outlineLevel="0" collapsed="false">
      <c r="A158" s="138" t="s">
        <v>1805</v>
      </c>
      <c r="B158" s="138" t="n">
        <v>156</v>
      </c>
      <c r="C158" s="138" t="n">
        <v>157</v>
      </c>
      <c r="D158" s="138" t="n">
        <v>85</v>
      </c>
      <c r="E158" s="138" t="n">
        <v>108.5</v>
      </c>
    </row>
    <row r="159" customFormat="false" ht="15" hidden="false" customHeight="false" outlineLevel="0" collapsed="false">
      <c r="A159" s="138" t="s">
        <v>1806</v>
      </c>
      <c r="B159" s="138" t="n">
        <v>157</v>
      </c>
      <c r="C159" s="138" t="n">
        <v>158</v>
      </c>
      <c r="D159" s="138" t="n">
        <v>81.25</v>
      </c>
      <c r="E159" s="138" t="n">
        <v>109.25</v>
      </c>
    </row>
    <row r="160" customFormat="false" ht="15" hidden="false" customHeight="false" outlineLevel="0" collapsed="false">
      <c r="A160" s="138" t="s">
        <v>1807</v>
      </c>
      <c r="B160" s="138" t="n">
        <v>158</v>
      </c>
      <c r="C160" s="138" t="n">
        <v>159</v>
      </c>
      <c r="D160" s="138" t="n">
        <v>73.25</v>
      </c>
      <c r="E160" s="138" t="n">
        <v>96.5</v>
      </c>
    </row>
    <row r="161" customFormat="false" ht="15" hidden="false" customHeight="false" outlineLevel="0" collapsed="false">
      <c r="A161" s="138" t="s">
        <v>1808</v>
      </c>
      <c r="B161" s="138" t="n">
        <v>159</v>
      </c>
      <c r="C161" s="138" t="n">
        <v>160</v>
      </c>
      <c r="D161" s="138" t="n">
        <v>88</v>
      </c>
      <c r="E161" s="138" t="n">
        <v>97</v>
      </c>
    </row>
    <row r="162" customFormat="false" ht="15" hidden="false" customHeight="false" outlineLevel="0" collapsed="false">
      <c r="A162" s="138" t="s">
        <v>1809</v>
      </c>
      <c r="B162" s="138" t="n">
        <v>160</v>
      </c>
      <c r="C162" s="138" t="n">
        <v>161</v>
      </c>
      <c r="D162" s="138" t="n">
        <v>138.5</v>
      </c>
      <c r="E162" s="138" t="n">
        <v>78.5</v>
      </c>
    </row>
    <row r="163" customFormat="false" ht="15" hidden="false" customHeight="false" outlineLevel="0" collapsed="false">
      <c r="A163" s="138" t="s">
        <v>1810</v>
      </c>
      <c r="B163" s="138" t="n">
        <v>161</v>
      </c>
      <c r="C163" s="138" t="n">
        <v>162</v>
      </c>
      <c r="D163" s="138" t="n">
        <v>86.25</v>
      </c>
      <c r="E163" s="138" t="n">
        <v>81</v>
      </c>
    </row>
    <row r="164" customFormat="false" ht="15" hidden="false" customHeight="false" outlineLevel="0" collapsed="false">
      <c r="A164" s="138" t="s">
        <v>1811</v>
      </c>
      <c r="B164" s="138" t="n">
        <v>162</v>
      </c>
      <c r="C164" s="138" t="n">
        <v>163</v>
      </c>
      <c r="D164" s="138" t="n">
        <v>50.75</v>
      </c>
      <c r="E164" s="138" t="n">
        <v>57.25</v>
      </c>
    </row>
    <row r="165" customFormat="false" ht="15" hidden="false" customHeight="false" outlineLevel="0" collapsed="false">
      <c r="A165" s="138" t="s">
        <v>1812</v>
      </c>
      <c r="B165" s="138" t="n">
        <v>163</v>
      </c>
      <c r="C165" s="138" t="n">
        <v>164</v>
      </c>
      <c r="D165" s="138" t="n">
        <v>63.75</v>
      </c>
      <c r="E165" s="138" t="n">
        <v>54.5</v>
      </c>
    </row>
    <row r="166" customFormat="false" ht="15" hidden="false" customHeight="false" outlineLevel="0" collapsed="false">
      <c r="A166" s="138" t="s">
        <v>1813</v>
      </c>
      <c r="B166" s="138" t="n">
        <v>164</v>
      </c>
      <c r="C166" s="138" t="n">
        <v>165</v>
      </c>
      <c r="D166" s="138" t="n">
        <v>119</v>
      </c>
      <c r="E166" s="138" t="n">
        <v>75</v>
      </c>
    </row>
    <row r="167" customFormat="false" ht="15" hidden="false" customHeight="false" outlineLevel="0" collapsed="false">
      <c r="A167" s="138" t="s">
        <v>1814</v>
      </c>
      <c r="B167" s="138" t="n">
        <v>165</v>
      </c>
      <c r="C167" s="138" t="n">
        <v>166</v>
      </c>
      <c r="D167" s="138" t="n">
        <v>131.75</v>
      </c>
      <c r="E167" s="138" t="n">
        <v>72</v>
      </c>
    </row>
    <row r="168" customFormat="false" ht="15" hidden="false" customHeight="false" outlineLevel="0" collapsed="false">
      <c r="A168" s="138" t="s">
        <v>1815</v>
      </c>
      <c r="B168" s="138" t="n">
        <v>166</v>
      </c>
      <c r="C168" s="138" t="n">
        <v>167</v>
      </c>
      <c r="D168" s="138" t="n">
        <v>125.75</v>
      </c>
      <c r="E168" s="138" t="n">
        <v>73.5</v>
      </c>
    </row>
    <row r="169" customFormat="false" ht="15" hidden="false" customHeight="false" outlineLevel="0" collapsed="false">
      <c r="A169" s="138" t="s">
        <v>1816</v>
      </c>
      <c r="B169" s="138" t="n">
        <v>167</v>
      </c>
      <c r="C169" s="138" t="n">
        <v>168</v>
      </c>
      <c r="D169" s="138" t="n">
        <v>97.75</v>
      </c>
      <c r="E169" s="138" t="n">
        <v>69.25</v>
      </c>
    </row>
    <row r="170" customFormat="false" ht="15" hidden="false" customHeight="false" outlineLevel="0" collapsed="false">
      <c r="A170" s="138" t="s">
        <v>1817</v>
      </c>
      <c r="B170" s="138" t="n">
        <v>168</v>
      </c>
      <c r="C170" s="138" t="n">
        <v>169</v>
      </c>
      <c r="D170" s="138" t="n">
        <v>86</v>
      </c>
      <c r="E170" s="138" t="n">
        <v>53.5</v>
      </c>
    </row>
    <row r="171" customFormat="false" ht="15" hidden="false" customHeight="false" outlineLevel="0" collapsed="false">
      <c r="A171" s="138" t="s">
        <v>1818</v>
      </c>
      <c r="B171" s="138" t="n">
        <v>169</v>
      </c>
      <c r="C171" s="138" t="n">
        <v>170</v>
      </c>
      <c r="D171" s="138" t="n">
        <v>73.5</v>
      </c>
      <c r="E171" s="138" t="n">
        <v>59</v>
      </c>
    </row>
    <row r="172" customFormat="false" ht="15" hidden="false" customHeight="false" outlineLevel="0" collapsed="false">
      <c r="A172" s="138" t="s">
        <v>1819</v>
      </c>
      <c r="B172" s="138" t="n">
        <v>170</v>
      </c>
      <c r="C172" s="138" t="n">
        <v>171</v>
      </c>
      <c r="D172" s="138" t="n">
        <v>70</v>
      </c>
      <c r="E172" s="138" t="n">
        <v>53.25</v>
      </c>
    </row>
    <row r="173" customFormat="false" ht="15" hidden="false" customHeight="false" outlineLevel="0" collapsed="false">
      <c r="A173" s="138" t="s">
        <v>1820</v>
      </c>
      <c r="B173" s="138" t="n">
        <v>171</v>
      </c>
      <c r="C173" s="138" t="n">
        <v>172</v>
      </c>
      <c r="D173" s="138" t="n">
        <v>73.25</v>
      </c>
      <c r="E173" s="138" t="n">
        <v>99.25</v>
      </c>
    </row>
    <row r="174" customFormat="false" ht="15" hidden="false" customHeight="false" outlineLevel="0" collapsed="false">
      <c r="A174" s="138" t="s">
        <v>1821</v>
      </c>
      <c r="B174" s="138" t="n">
        <v>172</v>
      </c>
      <c r="C174" s="138" t="n">
        <v>173</v>
      </c>
      <c r="D174" s="138" t="n">
        <v>94</v>
      </c>
      <c r="E174" s="138" t="n">
        <v>100.5</v>
      </c>
    </row>
    <row r="175" customFormat="false" ht="15" hidden="false" customHeight="false" outlineLevel="0" collapsed="false">
      <c r="A175" s="138" t="s">
        <v>1822</v>
      </c>
      <c r="B175" s="138" t="n">
        <v>173</v>
      </c>
      <c r="C175" s="138" t="n">
        <v>174</v>
      </c>
      <c r="D175" s="138" t="n">
        <v>95.25</v>
      </c>
      <c r="E175" s="138" t="n">
        <v>114</v>
      </c>
    </row>
    <row r="176" customFormat="false" ht="15" hidden="false" customHeight="false" outlineLevel="0" collapsed="false">
      <c r="A176" s="138" t="s">
        <v>1823</v>
      </c>
      <c r="B176" s="138" t="n">
        <v>174</v>
      </c>
      <c r="C176" s="138" t="n">
        <v>175</v>
      </c>
      <c r="D176" s="138" t="n">
        <v>93</v>
      </c>
      <c r="E176" s="138" t="n">
        <v>118.25</v>
      </c>
    </row>
    <row r="177" customFormat="false" ht="15" hidden="false" customHeight="false" outlineLevel="0" collapsed="false">
      <c r="A177" s="138" t="s">
        <v>1824</v>
      </c>
      <c r="B177" s="138" t="n">
        <v>175</v>
      </c>
      <c r="C177" s="138" t="n">
        <v>176</v>
      </c>
      <c r="D177" s="138" t="n">
        <v>73</v>
      </c>
      <c r="E177" s="138" t="n">
        <v>97.75</v>
      </c>
    </row>
    <row r="178" customFormat="false" ht="15" hidden="false" customHeight="false" outlineLevel="0" collapsed="false">
      <c r="A178" s="138" t="s">
        <v>1825</v>
      </c>
      <c r="B178" s="138" t="n">
        <v>176</v>
      </c>
      <c r="C178" s="138" t="n">
        <v>177</v>
      </c>
      <c r="D178" s="138" t="n">
        <v>67</v>
      </c>
      <c r="E178" s="138" t="n">
        <v>80.5</v>
      </c>
    </row>
    <row r="179" customFormat="false" ht="15" hidden="false" customHeight="false" outlineLevel="0" collapsed="false">
      <c r="A179" s="138" t="s">
        <v>1826</v>
      </c>
      <c r="B179" s="138" t="n">
        <v>177</v>
      </c>
      <c r="C179" s="138" t="n">
        <v>178</v>
      </c>
      <c r="D179" s="138" t="n">
        <v>68</v>
      </c>
      <c r="E179" s="138" t="n">
        <v>74.5</v>
      </c>
    </row>
    <row r="180" customFormat="false" ht="15" hidden="false" customHeight="false" outlineLevel="0" collapsed="false">
      <c r="A180" s="138" t="s">
        <v>1827</v>
      </c>
      <c r="B180" s="138" t="n">
        <v>178</v>
      </c>
      <c r="C180" s="138" t="n">
        <v>179</v>
      </c>
      <c r="D180" s="138" t="n">
        <v>68</v>
      </c>
      <c r="E180" s="138" t="n">
        <v>78.75</v>
      </c>
    </row>
    <row r="181" customFormat="false" ht="15" hidden="false" customHeight="false" outlineLevel="0" collapsed="false">
      <c r="A181" s="138" t="s">
        <v>1828</v>
      </c>
      <c r="B181" s="138" t="n">
        <v>179</v>
      </c>
      <c r="C181" s="138" t="n">
        <v>180</v>
      </c>
      <c r="D181" s="138" t="n">
        <v>82.75</v>
      </c>
      <c r="E181" s="138" t="n">
        <v>88.25</v>
      </c>
    </row>
    <row r="182" customFormat="false" ht="15" hidden="false" customHeight="false" outlineLevel="0" collapsed="false">
      <c r="A182" s="138" t="s">
        <v>1829</v>
      </c>
      <c r="B182" s="138" t="n">
        <v>180</v>
      </c>
      <c r="C182" s="138" t="n">
        <v>181</v>
      </c>
      <c r="D182" s="138" t="n">
        <v>94.25</v>
      </c>
      <c r="E182" s="138" t="n">
        <v>102</v>
      </c>
    </row>
    <row r="183" customFormat="false" ht="15" hidden="false" customHeight="false" outlineLevel="0" collapsed="false">
      <c r="A183" s="138" t="s">
        <v>1830</v>
      </c>
      <c r="B183" s="138" t="n">
        <v>181</v>
      </c>
      <c r="C183" s="138" t="n">
        <v>182</v>
      </c>
      <c r="D183" s="138" t="n">
        <v>104</v>
      </c>
      <c r="E183" s="138" t="n">
        <v>116</v>
      </c>
    </row>
    <row r="184" customFormat="false" ht="15" hidden="false" customHeight="false" outlineLevel="0" collapsed="false">
      <c r="A184" s="138" t="s">
        <v>1831</v>
      </c>
      <c r="B184" s="138" t="n">
        <v>182</v>
      </c>
      <c r="C184" s="138" t="n">
        <v>183</v>
      </c>
      <c r="D184" s="138" t="n">
        <v>113</v>
      </c>
      <c r="E184" s="138" t="n">
        <v>121.25</v>
      </c>
    </row>
    <row r="185" customFormat="false" ht="15" hidden="false" customHeight="false" outlineLevel="0" collapsed="false">
      <c r="A185" s="138" t="s">
        <v>1832</v>
      </c>
      <c r="B185" s="138" t="n">
        <v>183</v>
      </c>
      <c r="C185" s="138" t="n">
        <v>184</v>
      </c>
      <c r="D185" s="138" t="n">
        <v>111.75</v>
      </c>
      <c r="E185" s="138" t="n">
        <v>116.25</v>
      </c>
    </row>
    <row r="186" customFormat="false" ht="15" hidden="false" customHeight="false" outlineLevel="0" collapsed="false">
      <c r="A186" s="138" t="s">
        <v>1833</v>
      </c>
      <c r="B186" s="138" t="n">
        <v>184</v>
      </c>
      <c r="C186" s="138" t="n">
        <v>185</v>
      </c>
      <c r="D186" s="138" t="n">
        <v>122</v>
      </c>
      <c r="E186" s="138" t="n">
        <v>126</v>
      </c>
    </row>
    <row r="187" customFormat="false" ht="15" hidden="false" customHeight="false" outlineLevel="0" collapsed="false">
      <c r="A187" s="138" t="s">
        <v>1834</v>
      </c>
      <c r="B187" s="138" t="n">
        <v>185</v>
      </c>
      <c r="C187" s="138" t="n">
        <v>186</v>
      </c>
      <c r="D187" s="138" t="n">
        <v>126.5</v>
      </c>
      <c r="E187" s="138" t="n">
        <v>135.75</v>
      </c>
    </row>
    <row r="188" customFormat="false" ht="15" hidden="false" customHeight="false" outlineLevel="0" collapsed="false">
      <c r="A188" s="138" t="s">
        <v>1835</v>
      </c>
      <c r="B188" s="138" t="n">
        <v>186</v>
      </c>
      <c r="C188" s="138" t="n">
        <v>187</v>
      </c>
      <c r="D188" s="138" t="n">
        <v>118.75</v>
      </c>
      <c r="E188" s="138" t="n">
        <v>132</v>
      </c>
    </row>
    <row r="189" customFormat="false" ht="15" hidden="false" customHeight="false" outlineLevel="0" collapsed="false">
      <c r="A189" s="138" t="s">
        <v>1836</v>
      </c>
      <c r="B189" s="138" t="n">
        <v>187</v>
      </c>
      <c r="C189" s="138" t="n">
        <v>188</v>
      </c>
      <c r="D189" s="138" t="n">
        <v>114.25</v>
      </c>
      <c r="E189" s="138" t="n">
        <v>102.75</v>
      </c>
    </row>
    <row r="190" customFormat="false" ht="15" hidden="false" customHeight="false" outlineLevel="0" collapsed="false">
      <c r="A190" s="138" t="s">
        <v>1837</v>
      </c>
      <c r="B190" s="138" t="n">
        <v>188</v>
      </c>
      <c r="C190" s="138" t="n">
        <v>189</v>
      </c>
      <c r="D190" s="138" t="n">
        <v>134</v>
      </c>
      <c r="E190" s="138" t="n">
        <v>107.75</v>
      </c>
    </row>
    <row r="191" customFormat="false" ht="15" hidden="false" customHeight="false" outlineLevel="0" collapsed="false">
      <c r="A191" s="138" t="s">
        <v>1838</v>
      </c>
      <c r="B191" s="138" t="n">
        <v>189</v>
      </c>
      <c r="C191" s="138" t="n">
        <v>190</v>
      </c>
      <c r="D191" s="138" t="n">
        <v>115</v>
      </c>
      <c r="E191" s="138" t="n">
        <v>86.25</v>
      </c>
    </row>
    <row r="192" customFormat="false" ht="15" hidden="false" customHeight="false" outlineLevel="0" collapsed="false">
      <c r="A192" s="138" t="s">
        <v>1839</v>
      </c>
      <c r="B192" s="138" t="n">
        <v>190</v>
      </c>
      <c r="C192" s="138" t="n">
        <v>191</v>
      </c>
      <c r="D192" s="138" t="n">
        <v>107</v>
      </c>
      <c r="E192" s="138" t="n">
        <v>72.5</v>
      </c>
    </row>
    <row r="193" customFormat="false" ht="15" hidden="false" customHeight="false" outlineLevel="0" collapsed="false">
      <c r="A193" s="138" t="s">
        <v>1840</v>
      </c>
      <c r="B193" s="138" t="n">
        <v>191</v>
      </c>
      <c r="C193" s="138" t="n">
        <v>192</v>
      </c>
      <c r="D193" s="138" t="n">
        <v>94.25</v>
      </c>
      <c r="E193" s="138" t="n">
        <v>70.75</v>
      </c>
    </row>
    <row r="194" customFormat="false" ht="15" hidden="false" customHeight="false" outlineLevel="0" collapsed="false">
      <c r="A194" s="138" t="s">
        <v>1841</v>
      </c>
      <c r="B194" s="138" t="n">
        <v>192</v>
      </c>
      <c r="C194" s="138" t="n">
        <v>193</v>
      </c>
      <c r="D194" s="138" t="n">
        <v>87.75</v>
      </c>
      <c r="E194" s="138" t="n">
        <v>66.25</v>
      </c>
    </row>
    <row r="195" customFormat="false" ht="15" hidden="false" customHeight="false" outlineLevel="0" collapsed="false">
      <c r="A195" s="138" t="s">
        <v>1842</v>
      </c>
      <c r="B195" s="138" t="n">
        <v>193</v>
      </c>
      <c r="C195" s="138" t="n">
        <v>194</v>
      </c>
      <c r="D195" s="138" t="n">
        <v>90.25</v>
      </c>
      <c r="E195" s="138" t="n">
        <v>64.25</v>
      </c>
    </row>
    <row r="196" customFormat="false" ht="15" hidden="false" customHeight="false" outlineLevel="0" collapsed="false">
      <c r="A196" s="138" t="s">
        <v>1843</v>
      </c>
      <c r="B196" s="138" t="n">
        <v>194</v>
      </c>
      <c r="C196" s="138" t="n">
        <v>195</v>
      </c>
      <c r="D196" s="138" t="n">
        <v>92.25</v>
      </c>
      <c r="E196" s="138" t="n">
        <v>61.25</v>
      </c>
    </row>
    <row r="197" customFormat="false" ht="15" hidden="false" customHeight="false" outlineLevel="0" collapsed="false">
      <c r="A197" s="138" t="s">
        <v>1844</v>
      </c>
      <c r="B197" s="138" t="n">
        <v>195</v>
      </c>
      <c r="C197" s="138" t="n">
        <v>196</v>
      </c>
      <c r="D197" s="138" t="n">
        <v>52.25</v>
      </c>
      <c r="E197" s="138" t="n">
        <v>57.75</v>
      </c>
    </row>
    <row r="198" customFormat="false" ht="15" hidden="false" customHeight="false" outlineLevel="0" collapsed="false">
      <c r="A198" s="138" t="s">
        <v>1845</v>
      </c>
      <c r="B198" s="138" t="n">
        <v>196</v>
      </c>
      <c r="C198" s="138" t="n">
        <v>197</v>
      </c>
      <c r="D198" s="138" t="n">
        <v>88.25</v>
      </c>
      <c r="E198" s="138" t="n">
        <v>51.5</v>
      </c>
    </row>
    <row r="199" customFormat="false" ht="15" hidden="false" customHeight="false" outlineLevel="0" collapsed="false">
      <c r="A199" s="138" t="s">
        <v>1846</v>
      </c>
      <c r="B199" s="138" t="n">
        <v>197</v>
      </c>
      <c r="C199" s="138" t="n">
        <v>198</v>
      </c>
      <c r="D199" s="138" t="n">
        <v>86.75</v>
      </c>
      <c r="E199" s="138" t="n">
        <v>31.5</v>
      </c>
    </row>
    <row r="200" customFormat="false" ht="15" hidden="false" customHeight="false" outlineLevel="0" collapsed="false">
      <c r="A200" s="138" t="s">
        <v>1847</v>
      </c>
      <c r="B200" s="138" t="n">
        <v>198</v>
      </c>
      <c r="C200" s="138" t="n">
        <v>199</v>
      </c>
      <c r="D200" s="138" t="n">
        <v>73</v>
      </c>
      <c r="E200" s="138" t="n">
        <v>49</v>
      </c>
    </row>
    <row r="201" customFormat="false" ht="15" hidden="false" customHeight="false" outlineLevel="0" collapsed="false">
      <c r="A201" s="138" t="s">
        <v>1848</v>
      </c>
      <c r="B201" s="138" t="n">
        <v>199</v>
      </c>
      <c r="C201" s="138" t="n">
        <v>200</v>
      </c>
      <c r="D201" s="138" t="n">
        <v>48.25</v>
      </c>
      <c r="E201" s="138" t="n">
        <v>71.75</v>
      </c>
    </row>
    <row r="202" customFormat="false" ht="15" hidden="false" customHeight="false" outlineLevel="0" collapsed="false">
      <c r="A202" s="138" t="s">
        <v>1849</v>
      </c>
      <c r="B202" s="138" t="n">
        <v>200</v>
      </c>
      <c r="C202" s="138" t="n">
        <v>201</v>
      </c>
      <c r="D202" s="138" t="n">
        <v>47.75</v>
      </c>
      <c r="E202" s="138" t="n">
        <v>79.75</v>
      </c>
    </row>
    <row r="203" customFormat="false" ht="15" hidden="false" customHeight="false" outlineLevel="0" collapsed="false">
      <c r="A203" s="138" t="s">
        <v>1850</v>
      </c>
      <c r="B203" s="138" t="n">
        <v>201</v>
      </c>
      <c r="C203" s="138" t="n">
        <v>202</v>
      </c>
      <c r="D203" s="138" t="n">
        <v>39.75</v>
      </c>
      <c r="E203" s="138" t="n">
        <v>111.5</v>
      </c>
    </row>
    <row r="204" customFormat="false" ht="15" hidden="false" customHeight="false" outlineLevel="0" collapsed="false">
      <c r="A204" s="138" t="s">
        <v>1851</v>
      </c>
      <c r="B204" s="138" t="n">
        <v>202</v>
      </c>
      <c r="C204" s="138" t="n">
        <v>203</v>
      </c>
      <c r="D204" s="138" t="n">
        <v>61.25</v>
      </c>
      <c r="E204" s="138" t="n">
        <v>105</v>
      </c>
    </row>
    <row r="205" customFormat="false" ht="15" hidden="false" customHeight="false" outlineLevel="0" collapsed="false">
      <c r="A205" s="138" t="s">
        <v>1852</v>
      </c>
      <c r="B205" s="138" t="n">
        <v>203</v>
      </c>
      <c r="C205" s="138" t="n">
        <v>204</v>
      </c>
      <c r="D205" s="138" t="n">
        <v>76</v>
      </c>
      <c r="E205" s="138" t="n">
        <v>74.5</v>
      </c>
    </row>
    <row r="206" customFormat="false" ht="15" hidden="false" customHeight="false" outlineLevel="0" collapsed="false">
      <c r="A206" s="138" t="s">
        <v>1853</v>
      </c>
      <c r="B206" s="138" t="n">
        <v>204</v>
      </c>
      <c r="C206" s="138" t="n">
        <v>205</v>
      </c>
      <c r="D206" s="138" t="n">
        <v>74.25</v>
      </c>
      <c r="E206" s="138" t="n">
        <v>43.5</v>
      </c>
    </row>
    <row r="207" customFormat="false" ht="15" hidden="false" customHeight="false" outlineLevel="0" collapsed="false">
      <c r="A207" s="138" t="s">
        <v>1854</v>
      </c>
      <c r="B207" s="138" t="n">
        <v>205</v>
      </c>
      <c r="C207" s="138" t="n">
        <v>206</v>
      </c>
      <c r="D207" s="138" t="n">
        <v>68</v>
      </c>
      <c r="E207" s="138" t="n">
        <v>73.5</v>
      </c>
    </row>
    <row r="208" customFormat="false" ht="15" hidden="false" customHeight="false" outlineLevel="0" collapsed="false">
      <c r="A208" s="138" t="s">
        <v>1855</v>
      </c>
      <c r="B208" s="138" t="n">
        <v>206</v>
      </c>
      <c r="C208" s="138" t="n">
        <v>207</v>
      </c>
      <c r="D208" s="138" t="n">
        <v>76.75</v>
      </c>
      <c r="E208" s="138" t="n">
        <v>93</v>
      </c>
    </row>
    <row r="209" customFormat="false" ht="15" hidden="false" customHeight="false" outlineLevel="0" collapsed="false">
      <c r="A209" s="138" t="s">
        <v>1858</v>
      </c>
      <c r="B209" s="138" t="n">
        <v>207</v>
      </c>
      <c r="C209" s="138" t="n">
        <v>208</v>
      </c>
      <c r="D209" s="138" t="n">
        <v>134</v>
      </c>
      <c r="E209" s="138" t="n">
        <v>104</v>
      </c>
    </row>
    <row r="210" customFormat="false" ht="15" hidden="false" customHeight="false" outlineLevel="0" collapsed="false">
      <c r="A210" s="138" t="s">
        <v>1860</v>
      </c>
      <c r="B210" s="138" t="n">
        <v>208</v>
      </c>
      <c r="C210" s="138" t="n">
        <v>209</v>
      </c>
      <c r="D210" s="138" t="n">
        <v>124.75</v>
      </c>
      <c r="E210" s="138" t="n">
        <v>113.5</v>
      </c>
    </row>
    <row r="211" customFormat="false" ht="15" hidden="false" customHeight="false" outlineLevel="0" collapsed="false">
      <c r="A211" s="138" t="s">
        <v>1861</v>
      </c>
      <c r="B211" s="138" t="n">
        <v>209</v>
      </c>
      <c r="C211" s="138" t="n">
        <v>210</v>
      </c>
      <c r="D211" s="138" t="n">
        <v>119.5</v>
      </c>
      <c r="E211" s="138" t="n">
        <v>107.75</v>
      </c>
    </row>
    <row r="212" customFormat="false" ht="15" hidden="false" customHeight="false" outlineLevel="0" collapsed="false">
      <c r="A212" s="138" t="s">
        <v>1862</v>
      </c>
      <c r="B212" s="138" t="n">
        <v>210</v>
      </c>
      <c r="C212" s="138" t="n">
        <v>211</v>
      </c>
      <c r="D212" s="138" t="n">
        <v>96.75</v>
      </c>
      <c r="E212" s="138" t="n">
        <v>85.25</v>
      </c>
    </row>
    <row r="213" customFormat="false" ht="15" hidden="false" customHeight="false" outlineLevel="0" collapsed="false">
      <c r="A213" s="138" t="s">
        <v>1863</v>
      </c>
      <c r="B213" s="138" t="n">
        <v>211</v>
      </c>
      <c r="C213" s="138" t="n">
        <v>212</v>
      </c>
      <c r="D213" s="138" t="n">
        <v>79.5</v>
      </c>
      <c r="E213" s="138" t="n">
        <v>60.5</v>
      </c>
    </row>
    <row r="214" customFormat="false" ht="15" hidden="false" customHeight="false" outlineLevel="0" collapsed="false">
      <c r="A214" s="138" t="s">
        <v>1864</v>
      </c>
      <c r="B214" s="138" t="n">
        <v>212</v>
      </c>
      <c r="C214" s="138" t="n">
        <v>213</v>
      </c>
      <c r="D214" s="138" t="n">
        <v>61.75</v>
      </c>
      <c r="E214" s="138" t="n">
        <v>70.75</v>
      </c>
    </row>
    <row r="215" customFormat="false" ht="15" hidden="false" customHeight="false" outlineLevel="0" collapsed="false">
      <c r="A215" s="138" t="s">
        <v>1865</v>
      </c>
      <c r="B215" s="138" t="n">
        <v>213</v>
      </c>
      <c r="C215" s="138" t="n">
        <v>214</v>
      </c>
      <c r="D215" s="138" t="n">
        <v>61.25</v>
      </c>
      <c r="E215" s="138" t="n">
        <v>89.25</v>
      </c>
    </row>
    <row r="216" customFormat="false" ht="15" hidden="false" customHeight="false" outlineLevel="0" collapsed="false">
      <c r="A216" s="138" t="s">
        <v>1866</v>
      </c>
      <c r="B216" s="138" t="n">
        <v>214</v>
      </c>
      <c r="C216" s="138" t="n">
        <v>215</v>
      </c>
      <c r="D216" s="138" t="n">
        <v>63.75</v>
      </c>
      <c r="E216" s="138" t="n">
        <v>92</v>
      </c>
    </row>
    <row r="217" customFormat="false" ht="15" hidden="false" customHeight="false" outlineLevel="0" collapsed="false">
      <c r="A217" s="138" t="s">
        <v>1867</v>
      </c>
      <c r="B217" s="138" t="n">
        <v>215</v>
      </c>
      <c r="C217" s="138" t="n">
        <v>216</v>
      </c>
      <c r="D217" s="138" t="n">
        <v>65.75</v>
      </c>
      <c r="E217" s="138" t="n">
        <v>97</v>
      </c>
    </row>
    <row r="218" customFormat="false" ht="15" hidden="false" customHeight="false" outlineLevel="0" collapsed="false">
      <c r="A218" s="138" t="s">
        <v>1868</v>
      </c>
      <c r="B218" s="138" t="n">
        <v>216</v>
      </c>
      <c r="C218" s="138" t="n">
        <v>217</v>
      </c>
      <c r="D218" s="138" t="n">
        <v>65.25</v>
      </c>
      <c r="E218" s="138" t="n">
        <v>106</v>
      </c>
    </row>
    <row r="219" customFormat="false" ht="15" hidden="false" customHeight="false" outlineLevel="0" collapsed="false">
      <c r="A219" s="138" t="s">
        <v>1869</v>
      </c>
      <c r="B219" s="138" t="n">
        <v>217</v>
      </c>
      <c r="C219" s="138" t="n">
        <v>218</v>
      </c>
      <c r="D219" s="138" t="n">
        <v>66</v>
      </c>
      <c r="E219" s="138" t="n">
        <v>110.75</v>
      </c>
    </row>
    <row r="220" customFormat="false" ht="15" hidden="false" customHeight="false" outlineLevel="0" collapsed="false">
      <c r="A220" s="138" t="s">
        <v>1870</v>
      </c>
      <c r="B220" s="138" t="n">
        <v>218</v>
      </c>
      <c r="C220" s="138" t="n">
        <v>219</v>
      </c>
      <c r="D220" s="138" t="n">
        <v>73.75</v>
      </c>
      <c r="E220" s="138" t="n">
        <v>108.5</v>
      </c>
    </row>
    <row r="221" customFormat="false" ht="15" hidden="false" customHeight="false" outlineLevel="0" collapsed="false">
      <c r="A221" s="138" t="s">
        <v>1871</v>
      </c>
      <c r="B221" s="138" t="n">
        <v>219</v>
      </c>
      <c r="C221" s="138" t="n">
        <v>220</v>
      </c>
      <c r="D221" s="138" t="n">
        <v>80.75</v>
      </c>
      <c r="E221" s="138" t="n">
        <v>99.75</v>
      </c>
    </row>
    <row r="222" customFormat="false" ht="15" hidden="false" customHeight="false" outlineLevel="0" collapsed="false">
      <c r="A222" s="138" t="s">
        <v>1872</v>
      </c>
      <c r="B222" s="138" t="n">
        <v>220</v>
      </c>
      <c r="C222" s="138" t="n">
        <v>221</v>
      </c>
      <c r="D222" s="138" t="n">
        <v>87.25</v>
      </c>
      <c r="E222" s="138" t="n">
        <v>93</v>
      </c>
    </row>
    <row r="223" customFormat="false" ht="15" hidden="false" customHeight="false" outlineLevel="0" collapsed="false">
      <c r="A223" s="138" t="s">
        <v>1873</v>
      </c>
      <c r="B223" s="138" t="n">
        <v>221</v>
      </c>
      <c r="C223" s="138" t="n">
        <v>222</v>
      </c>
      <c r="D223" s="138" t="n">
        <v>81.25</v>
      </c>
      <c r="E223" s="138" t="n">
        <v>90</v>
      </c>
    </row>
    <row r="224" customFormat="false" ht="15" hidden="false" customHeight="false" outlineLevel="0" collapsed="false">
      <c r="A224" s="138" t="s">
        <v>1874</v>
      </c>
      <c r="B224" s="138" t="n">
        <v>222</v>
      </c>
      <c r="C224" s="138" t="n">
        <v>223</v>
      </c>
      <c r="D224" s="138" t="n">
        <v>79.75</v>
      </c>
      <c r="E224" s="138" t="n">
        <v>83.5</v>
      </c>
    </row>
    <row r="225" customFormat="false" ht="15" hidden="false" customHeight="false" outlineLevel="0" collapsed="false">
      <c r="A225" s="138" t="s">
        <v>1875</v>
      </c>
      <c r="B225" s="138" t="n">
        <v>223</v>
      </c>
      <c r="C225" s="138" t="n">
        <v>224</v>
      </c>
      <c r="D225" s="138" t="n">
        <v>73.75</v>
      </c>
      <c r="E225" s="138" t="n">
        <v>79</v>
      </c>
    </row>
    <row r="226" customFormat="false" ht="15" hidden="false" customHeight="false" outlineLevel="0" collapsed="false">
      <c r="A226" s="138" t="s">
        <v>1876</v>
      </c>
      <c r="B226" s="138" t="n">
        <v>224</v>
      </c>
      <c r="C226" s="138" t="n">
        <v>225</v>
      </c>
      <c r="D226" s="138" t="n">
        <v>64.25</v>
      </c>
      <c r="E226" s="138" t="n">
        <v>73.25</v>
      </c>
    </row>
    <row r="227" customFormat="false" ht="15" hidden="false" customHeight="false" outlineLevel="0" collapsed="false">
      <c r="A227" s="138" t="s">
        <v>1877</v>
      </c>
      <c r="B227" s="138" t="n">
        <v>225</v>
      </c>
      <c r="C227" s="138" t="n">
        <v>226</v>
      </c>
      <c r="D227" s="138" t="n">
        <v>54</v>
      </c>
      <c r="E227" s="138" t="n">
        <v>63.25</v>
      </c>
    </row>
    <row r="228" customFormat="false" ht="15" hidden="false" customHeight="false" outlineLevel="0" collapsed="false">
      <c r="A228" s="138" t="s">
        <v>1878</v>
      </c>
      <c r="B228" s="138" t="n">
        <v>226</v>
      </c>
      <c r="C228" s="138" t="n">
        <v>227</v>
      </c>
      <c r="D228" s="138" t="n">
        <v>54.5</v>
      </c>
      <c r="E228" s="138" t="n">
        <v>41.25</v>
      </c>
    </row>
    <row r="229" customFormat="false" ht="15" hidden="false" customHeight="false" outlineLevel="0" collapsed="false">
      <c r="A229" s="138" t="s">
        <v>1879</v>
      </c>
      <c r="B229" s="138" t="n">
        <v>227</v>
      </c>
      <c r="C229" s="138" t="n">
        <v>228</v>
      </c>
      <c r="D229" s="138" t="n">
        <v>58.25</v>
      </c>
      <c r="E229" s="138" t="n">
        <v>62</v>
      </c>
    </row>
    <row r="230" customFormat="false" ht="15" hidden="false" customHeight="false" outlineLevel="0" collapsed="false">
      <c r="A230" s="138" t="s">
        <v>1880</v>
      </c>
      <c r="B230" s="138" t="n">
        <v>228</v>
      </c>
      <c r="C230" s="138" t="n">
        <v>229</v>
      </c>
      <c r="D230" s="138" t="n">
        <v>67.5</v>
      </c>
      <c r="E230" s="138" t="n">
        <v>105.75</v>
      </c>
    </row>
    <row r="231" customFormat="false" ht="15" hidden="false" customHeight="false" outlineLevel="0" collapsed="false">
      <c r="A231" s="138" t="s">
        <v>1881</v>
      </c>
      <c r="B231" s="138" t="n">
        <v>229</v>
      </c>
      <c r="C231" s="138" t="n">
        <v>230</v>
      </c>
      <c r="D231" s="138" t="n">
        <v>75</v>
      </c>
      <c r="E231" s="138" t="n">
        <v>106.5</v>
      </c>
    </row>
    <row r="232" customFormat="false" ht="15" hidden="false" customHeight="false" outlineLevel="0" collapsed="false">
      <c r="A232" s="138" t="s">
        <v>1882</v>
      </c>
      <c r="B232" s="138" t="n">
        <v>230</v>
      </c>
      <c r="C232" s="138" t="n">
        <v>231</v>
      </c>
      <c r="D232" s="138" t="n">
        <v>77.75</v>
      </c>
      <c r="E232" s="138" t="n">
        <v>67.75</v>
      </c>
    </row>
    <row r="233" customFormat="false" ht="15" hidden="false" customHeight="false" outlineLevel="0" collapsed="false">
      <c r="A233" s="138" t="s">
        <v>1883</v>
      </c>
      <c r="B233" s="138" t="n">
        <v>231</v>
      </c>
      <c r="C233" s="138" t="n">
        <v>232</v>
      </c>
      <c r="D233" s="138" t="n">
        <v>78.25</v>
      </c>
      <c r="E233" s="138" t="n">
        <v>84.75</v>
      </c>
    </row>
    <row r="234" customFormat="false" ht="15" hidden="false" customHeight="false" outlineLevel="0" collapsed="false">
      <c r="A234" s="138" t="s">
        <v>1884</v>
      </c>
      <c r="B234" s="138" t="n">
        <v>232</v>
      </c>
      <c r="C234" s="138" t="n">
        <v>233</v>
      </c>
      <c r="D234" s="138" t="n">
        <v>67.5</v>
      </c>
      <c r="E234" s="138" t="n">
        <v>69.75</v>
      </c>
    </row>
    <row r="235" customFormat="false" ht="15" hidden="false" customHeight="false" outlineLevel="0" collapsed="false">
      <c r="A235" s="138" t="s">
        <v>1885</v>
      </c>
      <c r="B235" s="138" t="n">
        <v>233</v>
      </c>
      <c r="C235" s="138" t="n">
        <v>234</v>
      </c>
      <c r="D235" s="138" t="n">
        <v>42</v>
      </c>
      <c r="E235" s="138" t="n">
        <v>56.75</v>
      </c>
    </row>
    <row r="236" customFormat="false" ht="15" hidden="false" customHeight="false" outlineLevel="0" collapsed="false">
      <c r="A236" s="138" t="s">
        <v>1886</v>
      </c>
      <c r="B236" s="138" t="n">
        <v>234</v>
      </c>
      <c r="C236" s="138" t="n">
        <v>235</v>
      </c>
      <c r="D236" s="138" t="n">
        <v>66.5</v>
      </c>
      <c r="E236" s="138" t="n">
        <v>58.5</v>
      </c>
    </row>
    <row r="237" customFormat="false" ht="15" hidden="false" customHeight="false" outlineLevel="0" collapsed="false">
      <c r="A237" s="138" t="s">
        <v>1887</v>
      </c>
      <c r="B237" s="138" t="n">
        <v>235</v>
      </c>
      <c r="C237" s="138" t="n">
        <v>236</v>
      </c>
      <c r="D237" s="138" t="n">
        <v>159.75</v>
      </c>
      <c r="E237" s="138" t="n">
        <v>130.75</v>
      </c>
    </row>
    <row r="238" customFormat="false" ht="15" hidden="false" customHeight="false" outlineLevel="0" collapsed="false">
      <c r="A238" s="138" t="s">
        <v>1889</v>
      </c>
      <c r="B238" s="138" t="n">
        <v>236</v>
      </c>
      <c r="C238" s="138" t="n">
        <v>237</v>
      </c>
      <c r="D238" s="138" t="n">
        <v>20</v>
      </c>
      <c r="E238" s="138" t="n">
        <v>68.75</v>
      </c>
    </row>
    <row r="239" customFormat="false" ht="15" hidden="false" customHeight="false" outlineLevel="0" collapsed="false">
      <c r="A239" s="138" t="s">
        <v>1890</v>
      </c>
      <c r="B239" s="138" t="n">
        <v>237</v>
      </c>
      <c r="C239" s="138" t="n">
        <v>238</v>
      </c>
      <c r="D239" s="138" t="n">
        <v>83.25</v>
      </c>
      <c r="E239" s="138" t="n">
        <v>133.5</v>
      </c>
    </row>
    <row r="240" customFormat="false" ht="15" hidden="false" customHeight="false" outlineLevel="0" collapsed="false">
      <c r="A240" s="138" t="s">
        <v>1891</v>
      </c>
      <c r="B240" s="138" t="n">
        <v>238</v>
      </c>
      <c r="C240" s="138" t="n">
        <v>239</v>
      </c>
      <c r="D240" s="138" t="n">
        <v>52.25</v>
      </c>
      <c r="E240" s="138" t="n">
        <v>83</v>
      </c>
    </row>
    <row r="241" customFormat="false" ht="15" hidden="false" customHeight="false" outlineLevel="0" collapsed="false">
      <c r="A241" s="138" t="s">
        <v>1892</v>
      </c>
      <c r="B241" s="138" t="n">
        <v>239</v>
      </c>
      <c r="C241" s="138" t="n">
        <v>240</v>
      </c>
      <c r="D241" s="138" t="n">
        <v>45.25</v>
      </c>
      <c r="E241" s="138" t="n">
        <v>42.75</v>
      </c>
    </row>
    <row r="242" customFormat="false" ht="15" hidden="false" customHeight="false" outlineLevel="0" collapsed="false">
      <c r="A242" s="138" t="s">
        <v>1893</v>
      </c>
      <c r="B242" s="138" t="n">
        <v>240</v>
      </c>
      <c r="C242" s="138" t="n">
        <v>241</v>
      </c>
      <c r="D242" s="138" t="n">
        <v>89.5</v>
      </c>
      <c r="E242" s="138" t="n">
        <v>58</v>
      </c>
    </row>
    <row r="243" customFormat="false" ht="15" hidden="false" customHeight="false" outlineLevel="0" collapsed="false">
      <c r="A243" s="138" t="s">
        <v>1894</v>
      </c>
      <c r="B243" s="138" t="n">
        <v>241</v>
      </c>
      <c r="C243" s="138" t="n">
        <v>242</v>
      </c>
      <c r="D243" s="138" t="n">
        <v>94.75</v>
      </c>
      <c r="E243" s="138" t="n">
        <v>68.75</v>
      </c>
    </row>
    <row r="244" customFormat="false" ht="15" hidden="false" customHeight="false" outlineLevel="0" collapsed="false">
      <c r="A244" s="138" t="s">
        <v>1895</v>
      </c>
      <c r="B244" s="138" t="n">
        <v>242</v>
      </c>
      <c r="C244" s="138" t="n">
        <v>243</v>
      </c>
      <c r="D244" s="138" t="n">
        <v>89.25</v>
      </c>
      <c r="E244" s="138" t="n">
        <v>72.5</v>
      </c>
    </row>
    <row r="245" customFormat="false" ht="15" hidden="false" customHeight="false" outlineLevel="0" collapsed="false">
      <c r="A245" s="138" t="s">
        <v>1896</v>
      </c>
      <c r="B245" s="138" t="n">
        <v>243</v>
      </c>
      <c r="C245" s="138" t="n">
        <v>244</v>
      </c>
      <c r="D245" s="138" t="n">
        <v>84</v>
      </c>
      <c r="E245" s="138" t="n">
        <v>79.75</v>
      </c>
    </row>
    <row r="246" customFormat="false" ht="15" hidden="false" customHeight="false" outlineLevel="0" collapsed="false">
      <c r="A246" s="138" t="s">
        <v>1897</v>
      </c>
      <c r="B246" s="138" t="n">
        <v>244</v>
      </c>
      <c r="C246" s="138" t="n">
        <v>245</v>
      </c>
      <c r="D246" s="138" t="n">
        <v>90.25</v>
      </c>
      <c r="E246" s="138" t="n">
        <v>70.25</v>
      </c>
    </row>
    <row r="247" customFormat="false" ht="15" hidden="false" customHeight="false" outlineLevel="0" collapsed="false">
      <c r="A247" s="138" t="s">
        <v>1898</v>
      </c>
      <c r="B247" s="138" t="n">
        <v>245</v>
      </c>
      <c r="C247" s="138" t="n">
        <v>246</v>
      </c>
      <c r="D247" s="138" t="n">
        <v>83</v>
      </c>
      <c r="E247" s="138" t="n">
        <v>51.5</v>
      </c>
    </row>
    <row r="248" customFormat="false" ht="15" hidden="false" customHeight="false" outlineLevel="0" collapsed="false">
      <c r="A248" s="138" t="s">
        <v>1899</v>
      </c>
      <c r="B248" s="138" t="n">
        <v>246</v>
      </c>
      <c r="C248" s="138" t="n">
        <v>247</v>
      </c>
      <c r="D248" s="138" t="n">
        <v>38.75</v>
      </c>
      <c r="E248" s="138" t="n">
        <v>40.75</v>
      </c>
    </row>
    <row r="249" customFormat="false" ht="15" hidden="false" customHeight="false" outlineLevel="0" collapsed="false">
      <c r="A249" s="138" t="s">
        <v>1900</v>
      </c>
      <c r="B249" s="138" t="n">
        <v>247</v>
      </c>
      <c r="C249" s="138" t="n">
        <v>248</v>
      </c>
      <c r="D249" s="138" t="n">
        <v>45</v>
      </c>
      <c r="E249" s="138" t="n">
        <v>45.75</v>
      </c>
    </row>
    <row r="250" customFormat="false" ht="15" hidden="false" customHeight="false" outlineLevel="0" collapsed="false">
      <c r="A250" s="138" t="s">
        <v>1901</v>
      </c>
      <c r="B250" s="138" t="n">
        <v>248</v>
      </c>
      <c r="C250" s="138" t="n">
        <v>249</v>
      </c>
      <c r="D250" s="138" t="n">
        <v>52.5</v>
      </c>
      <c r="E250" s="138" t="n">
        <v>41.25</v>
      </c>
    </row>
    <row r="251" customFormat="false" ht="15" hidden="false" customHeight="false" outlineLevel="0" collapsed="false">
      <c r="A251" s="138" t="s">
        <v>1902</v>
      </c>
      <c r="B251" s="138" t="n">
        <v>249</v>
      </c>
      <c r="C251" s="138" t="n">
        <v>250</v>
      </c>
      <c r="D251" s="138" t="n">
        <v>58.5</v>
      </c>
      <c r="E251" s="138" t="n">
        <v>41.5</v>
      </c>
    </row>
    <row r="252" customFormat="false" ht="15" hidden="false" customHeight="false" outlineLevel="0" collapsed="false">
      <c r="A252" s="138" t="s">
        <v>1903</v>
      </c>
      <c r="B252" s="138" t="n">
        <v>250</v>
      </c>
      <c r="C252" s="138" t="n">
        <v>251</v>
      </c>
      <c r="D252" s="138" t="n">
        <v>52.5</v>
      </c>
      <c r="E252" s="138" t="n">
        <v>55.25</v>
      </c>
    </row>
    <row r="253" customFormat="false" ht="15" hidden="false" customHeight="false" outlineLevel="0" collapsed="false">
      <c r="A253" s="138" t="s">
        <v>1904</v>
      </c>
      <c r="B253" s="138" t="n">
        <v>251</v>
      </c>
      <c r="C253" s="138" t="n">
        <v>252</v>
      </c>
      <c r="D253" s="138" t="n">
        <v>45.25</v>
      </c>
      <c r="E253" s="138" t="n">
        <v>62</v>
      </c>
    </row>
    <row r="254" customFormat="false" ht="15" hidden="false" customHeight="false" outlineLevel="0" collapsed="false">
      <c r="A254" s="138" t="s">
        <v>1905</v>
      </c>
      <c r="B254" s="138" t="n">
        <v>252</v>
      </c>
      <c r="C254" s="138" t="n">
        <v>253</v>
      </c>
      <c r="D254" s="138" t="n">
        <v>53.25</v>
      </c>
      <c r="E254" s="138" t="n">
        <v>62.25</v>
      </c>
    </row>
    <row r="255" customFormat="false" ht="15" hidden="false" customHeight="false" outlineLevel="0" collapsed="false">
      <c r="A255" s="138" t="s">
        <v>1906</v>
      </c>
      <c r="B255" s="138" t="n">
        <v>253</v>
      </c>
      <c r="C255" s="138" t="n">
        <v>254</v>
      </c>
      <c r="D255" s="138" t="n">
        <v>36.25</v>
      </c>
      <c r="E255" s="138" t="n">
        <v>58.5</v>
      </c>
    </row>
    <row r="256" customFormat="false" ht="15" hidden="false" customHeight="false" outlineLevel="0" collapsed="false">
      <c r="A256" s="138" t="s">
        <v>1907</v>
      </c>
      <c r="B256" s="138" t="n">
        <v>254</v>
      </c>
      <c r="C256" s="138" t="n">
        <v>255</v>
      </c>
      <c r="D256" s="138" t="n">
        <v>37</v>
      </c>
      <c r="E256" s="138" t="n">
        <v>41</v>
      </c>
    </row>
    <row r="257" customFormat="false" ht="15" hidden="false" customHeight="false" outlineLevel="0" collapsed="false">
      <c r="A257" s="138" t="s">
        <v>1908</v>
      </c>
      <c r="B257" s="138" t="n">
        <v>255</v>
      </c>
      <c r="C257" s="138" t="n">
        <v>256</v>
      </c>
      <c r="D257" s="138" t="n">
        <v>73.25</v>
      </c>
      <c r="E257" s="138" t="n">
        <v>41.75</v>
      </c>
    </row>
    <row r="258" customFormat="false" ht="15" hidden="false" customHeight="false" outlineLevel="0" collapsed="false">
      <c r="A258" s="138" t="s">
        <v>1909</v>
      </c>
      <c r="B258" s="138" t="n">
        <v>256</v>
      </c>
      <c r="C258" s="138" t="n">
        <v>257</v>
      </c>
      <c r="D258" s="138" t="n">
        <v>66.25</v>
      </c>
      <c r="E258" s="138" t="n">
        <v>79.5</v>
      </c>
    </row>
    <row r="259" customFormat="false" ht="15" hidden="false" customHeight="false" outlineLevel="0" collapsed="false">
      <c r="A259" s="138" t="s">
        <v>1910</v>
      </c>
      <c r="B259" s="138" t="n">
        <v>257</v>
      </c>
      <c r="C259" s="138" t="n">
        <v>258</v>
      </c>
      <c r="D259" s="138" t="n">
        <v>57</v>
      </c>
      <c r="E259" s="138" t="n">
        <v>82.5</v>
      </c>
    </row>
    <row r="260" customFormat="false" ht="15" hidden="false" customHeight="false" outlineLevel="0" collapsed="false">
      <c r="A260" s="138" t="s">
        <v>1911</v>
      </c>
      <c r="B260" s="138" t="n">
        <v>258</v>
      </c>
      <c r="C260" s="138" t="n">
        <v>259</v>
      </c>
      <c r="D260" s="138" t="n">
        <v>102</v>
      </c>
      <c r="E260" s="138" t="n">
        <v>37.5</v>
      </c>
    </row>
    <row r="261" customFormat="false" ht="15" hidden="false" customHeight="false" outlineLevel="0" collapsed="false">
      <c r="A261" s="138" t="s">
        <v>1912</v>
      </c>
      <c r="B261" s="138" t="n">
        <v>259</v>
      </c>
      <c r="C261" s="138" t="n">
        <v>260</v>
      </c>
      <c r="D261" s="138" t="n">
        <v>128</v>
      </c>
      <c r="E261" s="138" t="n">
        <v>95.75</v>
      </c>
    </row>
    <row r="262" customFormat="false" ht="15" hidden="false" customHeight="false" outlineLevel="0" collapsed="false">
      <c r="A262" s="138" t="s">
        <v>1914</v>
      </c>
      <c r="B262" s="138" t="n">
        <v>260</v>
      </c>
      <c r="C262" s="138" t="n">
        <v>261</v>
      </c>
      <c r="D262" s="138" t="n">
        <v>74.75</v>
      </c>
      <c r="E262" s="138" t="n">
        <v>58.75</v>
      </c>
    </row>
    <row r="263" customFormat="false" ht="15" hidden="false" customHeight="false" outlineLevel="0" collapsed="false">
      <c r="A263" s="138" t="s">
        <v>1916</v>
      </c>
      <c r="B263" s="138" t="n">
        <v>261</v>
      </c>
      <c r="C263" s="138" t="n">
        <v>262</v>
      </c>
      <c r="D263" s="138" t="n">
        <v>78.25</v>
      </c>
      <c r="E263" s="138" t="n">
        <v>36.75</v>
      </c>
    </row>
    <row r="264" customFormat="false" ht="15" hidden="false" customHeight="false" outlineLevel="0" collapsed="false">
      <c r="A264" s="138" t="s">
        <v>1917</v>
      </c>
      <c r="B264" s="138" t="n">
        <v>262</v>
      </c>
      <c r="C264" s="138" t="n">
        <v>263</v>
      </c>
      <c r="D264" s="138" t="n">
        <v>55.75</v>
      </c>
      <c r="E264" s="138" t="n">
        <v>31.5</v>
      </c>
    </row>
    <row r="265" customFormat="false" ht="15" hidden="false" customHeight="false" outlineLevel="0" collapsed="false">
      <c r="A265" s="138" t="s">
        <v>1918</v>
      </c>
      <c r="B265" s="138" t="n">
        <v>263</v>
      </c>
      <c r="C265" s="138" t="n">
        <v>264</v>
      </c>
      <c r="D265" s="138" t="n">
        <v>23</v>
      </c>
      <c r="E265" s="138" t="n">
        <v>53.25</v>
      </c>
    </row>
    <row r="266" customFormat="false" ht="15" hidden="false" customHeight="false" outlineLevel="0" collapsed="false">
      <c r="A266" s="138" t="s">
        <v>1919</v>
      </c>
      <c r="B266" s="138" t="n">
        <v>264</v>
      </c>
      <c r="C266" s="138" t="n">
        <v>265</v>
      </c>
      <c r="D266" s="138" t="n">
        <v>24.5</v>
      </c>
      <c r="E266" s="138" t="n">
        <v>60</v>
      </c>
    </row>
    <row r="267" customFormat="false" ht="15" hidden="false" customHeight="false" outlineLevel="0" collapsed="false">
      <c r="A267" s="138" t="s">
        <v>1920</v>
      </c>
      <c r="B267" s="138" t="n">
        <v>265</v>
      </c>
      <c r="C267" s="138" t="n">
        <v>266</v>
      </c>
      <c r="D267" s="138" t="n">
        <v>26.25</v>
      </c>
      <c r="E267" s="138" t="n">
        <v>59</v>
      </c>
    </row>
    <row r="268" customFormat="false" ht="15" hidden="false" customHeight="false" outlineLevel="0" collapsed="false">
      <c r="A268" s="138" t="s">
        <v>1921</v>
      </c>
      <c r="B268" s="138" t="n">
        <v>266</v>
      </c>
      <c r="C268" s="138" t="n">
        <v>267</v>
      </c>
      <c r="D268" s="138" t="n">
        <v>23.5</v>
      </c>
      <c r="E268" s="138" t="n">
        <v>57.75</v>
      </c>
    </row>
    <row r="269" customFormat="false" ht="15" hidden="false" customHeight="false" outlineLevel="0" collapsed="false">
      <c r="A269" s="138" t="s">
        <v>1922</v>
      </c>
      <c r="B269" s="138" t="n">
        <v>267</v>
      </c>
      <c r="C269" s="138" t="n">
        <v>268</v>
      </c>
      <c r="D269" s="138" t="n">
        <v>47</v>
      </c>
      <c r="E269" s="138" t="n">
        <v>39.75</v>
      </c>
    </row>
    <row r="270" customFormat="false" ht="15" hidden="false" customHeight="false" outlineLevel="0" collapsed="false">
      <c r="A270" s="138" t="s">
        <v>1923</v>
      </c>
      <c r="B270" s="138" t="n">
        <v>268</v>
      </c>
      <c r="C270" s="138" t="n">
        <v>269</v>
      </c>
      <c r="D270" s="138" t="n">
        <v>107.25</v>
      </c>
      <c r="E270" s="138" t="n">
        <v>70.25</v>
      </c>
    </row>
    <row r="271" customFormat="false" ht="15" hidden="false" customHeight="false" outlineLevel="0" collapsed="false">
      <c r="A271" s="138" t="s">
        <v>1924</v>
      </c>
      <c r="B271" s="138" t="n">
        <v>269</v>
      </c>
      <c r="C271" s="138" t="n">
        <v>270</v>
      </c>
      <c r="D271" s="138" t="n">
        <v>132.75</v>
      </c>
      <c r="E271" s="138" t="n">
        <v>93</v>
      </c>
    </row>
    <row r="272" customFormat="false" ht="15" hidden="false" customHeight="false" outlineLevel="0" collapsed="false">
      <c r="A272" s="138" t="s">
        <v>1925</v>
      </c>
      <c r="B272" s="138" t="n">
        <v>270</v>
      </c>
      <c r="C272" s="138" t="n">
        <v>271</v>
      </c>
      <c r="D272" s="138" t="n">
        <v>112</v>
      </c>
      <c r="E272" s="138" t="n">
        <v>96</v>
      </c>
    </row>
    <row r="273" customFormat="false" ht="15" hidden="false" customHeight="false" outlineLevel="0" collapsed="false">
      <c r="A273" s="138" t="s">
        <v>1926</v>
      </c>
      <c r="B273" s="138" t="n">
        <v>271</v>
      </c>
      <c r="C273" s="138" t="n">
        <v>272</v>
      </c>
      <c r="D273" s="138" t="n">
        <v>76.5</v>
      </c>
      <c r="E273" s="138" t="n">
        <v>70.5</v>
      </c>
    </row>
    <row r="274" customFormat="false" ht="15" hidden="false" customHeight="false" outlineLevel="0" collapsed="false">
      <c r="A274" s="138" t="s">
        <v>1927</v>
      </c>
      <c r="B274" s="138" t="n">
        <v>272</v>
      </c>
      <c r="C274" s="138" t="n">
        <v>273</v>
      </c>
      <c r="D274" s="138" t="n">
        <v>45.5</v>
      </c>
      <c r="E274" s="138" t="n">
        <v>43.25</v>
      </c>
    </row>
    <row r="275" customFormat="false" ht="15" hidden="false" customHeight="false" outlineLevel="0" collapsed="false">
      <c r="A275" s="138" t="s">
        <v>1928</v>
      </c>
      <c r="B275" s="138" t="n">
        <v>273</v>
      </c>
      <c r="C275" s="138" t="n">
        <v>274</v>
      </c>
      <c r="D275" s="138" t="n">
        <v>43</v>
      </c>
      <c r="E275" s="138" t="n">
        <v>56.25</v>
      </c>
    </row>
    <row r="276" customFormat="false" ht="15" hidden="false" customHeight="false" outlineLevel="0" collapsed="false">
      <c r="A276" s="138" t="s">
        <v>1929</v>
      </c>
      <c r="B276" s="138" t="n">
        <v>274</v>
      </c>
      <c r="C276" s="138" t="n">
        <v>275</v>
      </c>
      <c r="D276" s="138" t="n">
        <v>89.25</v>
      </c>
      <c r="E276" s="138" t="n">
        <v>94.25</v>
      </c>
    </row>
    <row r="277" customFormat="false" ht="15" hidden="false" customHeight="false" outlineLevel="0" collapsed="false">
      <c r="A277" s="138" t="s">
        <v>1930</v>
      </c>
      <c r="B277" s="138" t="n">
        <v>275</v>
      </c>
      <c r="C277" s="138" t="n">
        <v>276</v>
      </c>
      <c r="D277" s="138" t="n">
        <v>92</v>
      </c>
      <c r="E277" s="138" t="n">
        <v>97</v>
      </c>
    </row>
    <row r="278" customFormat="false" ht="15" hidden="false" customHeight="false" outlineLevel="0" collapsed="false">
      <c r="A278" s="138" t="s">
        <v>1931</v>
      </c>
      <c r="B278" s="138" t="n">
        <v>276</v>
      </c>
      <c r="C278" s="138" t="n">
        <v>277</v>
      </c>
      <c r="D278" s="138" t="n">
        <v>84.75</v>
      </c>
      <c r="E278" s="138" t="n">
        <v>83.25</v>
      </c>
    </row>
    <row r="279" customFormat="false" ht="15" hidden="false" customHeight="false" outlineLevel="0" collapsed="false">
      <c r="A279" s="138" t="s">
        <v>1932</v>
      </c>
      <c r="B279" s="138" t="n">
        <v>277</v>
      </c>
      <c r="C279" s="138" t="n">
        <v>278</v>
      </c>
      <c r="D279" s="138" t="n">
        <v>82.25</v>
      </c>
      <c r="E279" s="138" t="n">
        <v>82</v>
      </c>
    </row>
    <row r="280" customFormat="false" ht="15" hidden="false" customHeight="false" outlineLevel="0" collapsed="false">
      <c r="A280" s="138" t="s">
        <v>1933</v>
      </c>
      <c r="B280" s="138" t="n">
        <v>278</v>
      </c>
      <c r="C280" s="138" t="n">
        <v>279</v>
      </c>
      <c r="D280" s="138" t="n">
        <v>83.75</v>
      </c>
      <c r="E280" s="138" t="n">
        <v>79</v>
      </c>
    </row>
    <row r="281" customFormat="false" ht="15" hidden="false" customHeight="false" outlineLevel="0" collapsed="false">
      <c r="A281" s="138" t="s">
        <v>1934</v>
      </c>
      <c r="B281" s="138" t="n">
        <v>279</v>
      </c>
      <c r="C281" s="138" t="n">
        <v>280</v>
      </c>
      <c r="D281" s="138" t="n">
        <v>85.25</v>
      </c>
      <c r="E281" s="138" t="n">
        <v>77.5</v>
      </c>
    </row>
    <row r="282" customFormat="false" ht="15" hidden="false" customHeight="false" outlineLevel="0" collapsed="false">
      <c r="A282" s="138" t="s">
        <v>1935</v>
      </c>
      <c r="B282" s="138" t="n">
        <v>280</v>
      </c>
      <c r="C282" s="138" t="n">
        <v>281</v>
      </c>
      <c r="D282" s="138" t="n">
        <v>80.5</v>
      </c>
      <c r="E282" s="138" t="n">
        <v>80</v>
      </c>
    </row>
    <row r="283" customFormat="false" ht="15" hidden="false" customHeight="false" outlineLevel="0" collapsed="false">
      <c r="A283" s="138" t="s">
        <v>1936</v>
      </c>
      <c r="B283" s="138" t="n">
        <v>281</v>
      </c>
      <c r="C283" s="138" t="n">
        <v>282</v>
      </c>
      <c r="D283" s="138" t="n">
        <v>80.5</v>
      </c>
      <c r="E283" s="138" t="n">
        <v>76.75</v>
      </c>
    </row>
    <row r="284" customFormat="false" ht="15" hidden="false" customHeight="false" outlineLevel="0" collapsed="false">
      <c r="A284" s="138" t="s">
        <v>1937</v>
      </c>
      <c r="B284" s="138" t="n">
        <v>282</v>
      </c>
      <c r="C284" s="138" t="n">
        <v>283</v>
      </c>
      <c r="D284" s="138" t="n">
        <v>78.75</v>
      </c>
      <c r="E284" s="138" t="n">
        <v>78</v>
      </c>
    </row>
    <row r="285" customFormat="false" ht="15" hidden="false" customHeight="false" outlineLevel="0" collapsed="false">
      <c r="A285" s="138" t="s">
        <v>1938</v>
      </c>
      <c r="B285" s="138" t="n">
        <v>283</v>
      </c>
      <c r="C285" s="138" t="n">
        <v>284</v>
      </c>
      <c r="D285" s="138" t="n">
        <v>75.5</v>
      </c>
      <c r="E285" s="138" t="n">
        <v>77.75</v>
      </c>
    </row>
    <row r="286" customFormat="false" ht="15" hidden="false" customHeight="false" outlineLevel="0" collapsed="false">
      <c r="A286" s="138" t="s">
        <v>1939</v>
      </c>
      <c r="B286" s="138" t="n">
        <v>284</v>
      </c>
      <c r="C286" s="138" t="n">
        <v>285</v>
      </c>
      <c r="D286" s="138" t="n">
        <v>75.75</v>
      </c>
      <c r="E286" s="138" t="n">
        <v>84.5</v>
      </c>
    </row>
    <row r="287" customFormat="false" ht="15" hidden="false" customHeight="false" outlineLevel="0" collapsed="false">
      <c r="A287" s="138" t="s">
        <v>1940</v>
      </c>
      <c r="B287" s="138" t="n">
        <v>285</v>
      </c>
      <c r="C287" s="138" t="n">
        <v>286</v>
      </c>
      <c r="D287" s="138" t="n">
        <v>73.25</v>
      </c>
      <c r="E287" s="138" t="n">
        <v>96.5</v>
      </c>
    </row>
    <row r="288" customFormat="false" ht="15" hidden="false" customHeight="false" outlineLevel="0" collapsed="false">
      <c r="A288" s="138" t="s">
        <v>1941</v>
      </c>
      <c r="B288" s="138" t="n">
        <v>286</v>
      </c>
      <c r="C288" s="138" t="n">
        <v>287</v>
      </c>
      <c r="D288" s="138" t="n">
        <v>73</v>
      </c>
      <c r="E288" s="138" t="n">
        <v>97.25</v>
      </c>
    </row>
    <row r="289" customFormat="false" ht="15" hidden="false" customHeight="false" outlineLevel="0" collapsed="false">
      <c r="A289" s="138" t="s">
        <v>1942</v>
      </c>
      <c r="B289" s="138" t="n">
        <v>287</v>
      </c>
      <c r="C289" s="138" t="n">
        <v>288</v>
      </c>
      <c r="D289" s="138" t="n">
        <v>71.25</v>
      </c>
      <c r="E289" s="138" t="n">
        <v>95</v>
      </c>
    </row>
    <row r="290" customFormat="false" ht="15" hidden="false" customHeight="false" outlineLevel="0" collapsed="false">
      <c r="A290" s="138" t="s">
        <v>1943</v>
      </c>
      <c r="B290" s="138" t="n">
        <v>288</v>
      </c>
      <c r="C290" s="138" t="n">
        <v>289</v>
      </c>
      <c r="D290" s="138" t="n">
        <v>72.25</v>
      </c>
      <c r="E290" s="138" t="n">
        <v>94.5</v>
      </c>
    </row>
    <row r="291" customFormat="false" ht="15" hidden="false" customHeight="false" outlineLevel="0" collapsed="false">
      <c r="A291" s="138" t="s">
        <v>1944</v>
      </c>
      <c r="B291" s="138" t="n">
        <v>289</v>
      </c>
      <c r="C291" s="138" t="n">
        <v>290</v>
      </c>
      <c r="D291" s="138" t="n">
        <v>71.75</v>
      </c>
      <c r="E291" s="138" t="n">
        <v>91.75</v>
      </c>
    </row>
    <row r="292" customFormat="false" ht="15" hidden="false" customHeight="false" outlineLevel="0" collapsed="false">
      <c r="A292" s="138" t="s">
        <v>1945</v>
      </c>
      <c r="B292" s="138" t="n">
        <v>290</v>
      </c>
      <c r="C292" s="138" t="n">
        <v>291</v>
      </c>
      <c r="D292" s="138" t="n">
        <v>70</v>
      </c>
      <c r="E292" s="138" t="n">
        <v>88.25</v>
      </c>
    </row>
    <row r="293" customFormat="false" ht="15" hidden="false" customHeight="false" outlineLevel="0" collapsed="false">
      <c r="A293" s="138" t="s">
        <v>1946</v>
      </c>
      <c r="B293" s="138" t="n">
        <v>291</v>
      </c>
      <c r="C293" s="138" t="n">
        <v>292</v>
      </c>
      <c r="D293" s="138" t="n">
        <v>73</v>
      </c>
      <c r="E293" s="138" t="n">
        <v>84.75</v>
      </c>
    </row>
    <row r="294" customFormat="false" ht="15" hidden="false" customHeight="false" outlineLevel="0" collapsed="false">
      <c r="A294" s="138" t="s">
        <v>1947</v>
      </c>
      <c r="B294" s="138" t="n">
        <v>292</v>
      </c>
      <c r="C294" s="138" t="n">
        <v>293</v>
      </c>
      <c r="D294" s="138" t="n">
        <v>66.25</v>
      </c>
      <c r="E294" s="138" t="n">
        <v>82.75</v>
      </c>
    </row>
    <row r="295" customFormat="false" ht="15" hidden="false" customHeight="false" outlineLevel="0" collapsed="false">
      <c r="A295" s="138" t="s">
        <v>1948</v>
      </c>
      <c r="B295" s="138" t="n">
        <v>293</v>
      </c>
      <c r="C295" s="138" t="n">
        <v>294</v>
      </c>
      <c r="D295" s="138" t="n">
        <v>61.5</v>
      </c>
      <c r="E295" s="138" t="n">
        <v>84.25</v>
      </c>
    </row>
    <row r="296" customFormat="false" ht="15" hidden="false" customHeight="false" outlineLevel="0" collapsed="false">
      <c r="A296" s="138" t="s">
        <v>1949</v>
      </c>
      <c r="B296" s="138" t="n">
        <v>294</v>
      </c>
      <c r="C296" s="138" t="n">
        <v>295</v>
      </c>
      <c r="D296" s="138" t="n">
        <v>66.25</v>
      </c>
      <c r="E296" s="138" t="n">
        <v>78</v>
      </c>
    </row>
    <row r="297" customFormat="false" ht="15" hidden="false" customHeight="false" outlineLevel="0" collapsed="false">
      <c r="A297" s="138" t="s">
        <v>1950</v>
      </c>
      <c r="B297" s="138" t="n">
        <v>295</v>
      </c>
      <c r="C297" s="138" t="n">
        <v>296</v>
      </c>
      <c r="D297" s="138" t="n">
        <v>70</v>
      </c>
      <c r="E297" s="138" t="n">
        <v>73.5</v>
      </c>
    </row>
    <row r="298" customFormat="false" ht="15" hidden="false" customHeight="false" outlineLevel="0" collapsed="false">
      <c r="A298" s="138" t="s">
        <v>1951</v>
      </c>
      <c r="B298" s="138" t="n">
        <v>296</v>
      </c>
      <c r="C298" s="138" t="n">
        <v>297</v>
      </c>
      <c r="D298" s="138" t="n">
        <v>68.25</v>
      </c>
      <c r="E298" s="138" t="n">
        <v>71</v>
      </c>
    </row>
    <row r="299" customFormat="false" ht="15" hidden="false" customHeight="false" outlineLevel="0" collapsed="false">
      <c r="A299" s="138" t="s">
        <v>1952</v>
      </c>
      <c r="B299" s="138" t="n">
        <v>297</v>
      </c>
      <c r="C299" s="138" t="n">
        <v>298</v>
      </c>
      <c r="D299" s="138" t="n">
        <v>67</v>
      </c>
      <c r="E299" s="138" t="n">
        <v>69.75</v>
      </c>
    </row>
    <row r="300" customFormat="false" ht="15" hidden="false" customHeight="false" outlineLevel="0" collapsed="false">
      <c r="A300" s="138" t="s">
        <v>1953</v>
      </c>
      <c r="B300" s="138" t="n">
        <v>298</v>
      </c>
      <c r="C300" s="138" t="n">
        <v>299</v>
      </c>
      <c r="D300" s="138" t="n">
        <v>60</v>
      </c>
      <c r="E300" s="138" t="n">
        <v>63</v>
      </c>
    </row>
    <row r="301" customFormat="false" ht="15" hidden="false" customHeight="false" outlineLevel="0" collapsed="false">
      <c r="A301" s="138" t="s">
        <v>1954</v>
      </c>
      <c r="B301" s="138" t="n">
        <v>299</v>
      </c>
      <c r="C301" s="138" t="n">
        <v>300</v>
      </c>
      <c r="D301" s="138" t="n">
        <v>58.5</v>
      </c>
      <c r="E301" s="138" t="n">
        <v>60.25</v>
      </c>
    </row>
    <row r="302" customFormat="false" ht="15" hidden="false" customHeight="false" outlineLevel="0" collapsed="false">
      <c r="A302" s="138" t="s">
        <v>1955</v>
      </c>
      <c r="B302" s="138" t="n">
        <v>300</v>
      </c>
      <c r="C302" s="138" t="n">
        <v>301</v>
      </c>
      <c r="D302" s="138" t="n">
        <v>58.5</v>
      </c>
      <c r="E302" s="138" t="n">
        <v>66</v>
      </c>
    </row>
    <row r="303" customFormat="false" ht="15" hidden="false" customHeight="false" outlineLevel="0" collapsed="false">
      <c r="A303" s="138" t="s">
        <v>1956</v>
      </c>
      <c r="B303" s="138" t="n">
        <v>301</v>
      </c>
      <c r="C303" s="138" t="n">
        <v>302</v>
      </c>
      <c r="D303" s="138" t="n">
        <v>63.25</v>
      </c>
      <c r="E303" s="138" t="n">
        <v>66.5</v>
      </c>
    </row>
    <row r="304" customFormat="false" ht="15" hidden="false" customHeight="false" outlineLevel="0" collapsed="false">
      <c r="A304" s="138" t="s">
        <v>1957</v>
      </c>
      <c r="B304" s="138" t="n">
        <v>302</v>
      </c>
      <c r="C304" s="138" t="n">
        <v>303</v>
      </c>
      <c r="D304" s="138" t="n">
        <v>43.75</v>
      </c>
      <c r="E304" s="138" t="n">
        <v>75.75</v>
      </c>
    </row>
    <row r="305" customFormat="false" ht="15" hidden="false" customHeight="false" outlineLevel="0" collapsed="false">
      <c r="A305" s="138" t="s">
        <v>1958</v>
      </c>
      <c r="B305" s="138" t="n">
        <v>303</v>
      </c>
      <c r="C305" s="138" t="n">
        <v>304</v>
      </c>
      <c r="D305" s="138" t="n">
        <v>35</v>
      </c>
      <c r="E305" s="138" t="n">
        <v>74.25</v>
      </c>
    </row>
    <row r="306" customFormat="false" ht="15" hidden="false" customHeight="false" outlineLevel="0" collapsed="false">
      <c r="A306" s="138" t="s">
        <v>1959</v>
      </c>
      <c r="B306" s="138" t="n">
        <v>304</v>
      </c>
      <c r="C306" s="138" t="n">
        <v>305</v>
      </c>
      <c r="D306" s="138" t="n">
        <v>41.5</v>
      </c>
      <c r="E306" s="138" t="n">
        <v>61.75</v>
      </c>
    </row>
    <row r="307" customFormat="false" ht="15" hidden="false" customHeight="false" outlineLevel="0" collapsed="false">
      <c r="A307" s="138" t="s">
        <v>1960</v>
      </c>
      <c r="B307" s="138" t="n">
        <v>305</v>
      </c>
      <c r="C307" s="138" t="n">
        <v>306</v>
      </c>
      <c r="D307" s="138" t="n">
        <v>54.75</v>
      </c>
      <c r="E307" s="138" t="n">
        <v>36</v>
      </c>
    </row>
    <row r="308" customFormat="false" ht="15" hidden="false" customHeight="false" outlineLevel="0" collapsed="false">
      <c r="A308" s="138" t="s">
        <v>1961</v>
      </c>
      <c r="B308" s="138" t="n">
        <v>306</v>
      </c>
      <c r="C308" s="138" t="n">
        <v>307</v>
      </c>
      <c r="D308" s="138" t="n">
        <v>63.5</v>
      </c>
      <c r="E308" s="138" t="n">
        <v>37.5</v>
      </c>
    </row>
    <row r="309" customFormat="false" ht="15" hidden="false" customHeight="false" outlineLevel="0" collapsed="false">
      <c r="A309" s="138" t="s">
        <v>1962</v>
      </c>
      <c r="B309" s="138" t="n">
        <v>307</v>
      </c>
      <c r="C309" s="138" t="n">
        <v>308</v>
      </c>
      <c r="D309" s="138" t="n">
        <v>42.25</v>
      </c>
      <c r="E309" s="138" t="n">
        <v>45.75</v>
      </c>
    </row>
    <row r="310" customFormat="false" ht="15" hidden="false" customHeight="false" outlineLevel="0" collapsed="false">
      <c r="A310" s="138" t="s">
        <v>1963</v>
      </c>
      <c r="B310" s="138" t="n">
        <v>308</v>
      </c>
      <c r="C310" s="138" t="n">
        <v>309</v>
      </c>
      <c r="D310" s="138" t="n">
        <v>44.75</v>
      </c>
      <c r="E310" s="138" t="n">
        <v>51.5</v>
      </c>
    </row>
    <row r="311" customFormat="false" ht="15" hidden="false" customHeight="false" outlineLevel="0" collapsed="false">
      <c r="A311" s="138" t="s">
        <v>1964</v>
      </c>
      <c r="B311" s="138" t="n">
        <v>309</v>
      </c>
      <c r="C311" s="138" t="n">
        <v>310</v>
      </c>
      <c r="D311" s="138" t="n">
        <v>56.75</v>
      </c>
      <c r="E311" s="138" t="n">
        <v>55.25</v>
      </c>
    </row>
    <row r="312" customFormat="false" ht="15" hidden="false" customHeight="false" outlineLevel="0" collapsed="false">
      <c r="A312" s="138" t="s">
        <v>1965</v>
      </c>
      <c r="B312" s="138" t="n">
        <v>310</v>
      </c>
      <c r="C312" s="138" t="n">
        <v>311</v>
      </c>
      <c r="D312" s="138" t="n">
        <v>60.25</v>
      </c>
      <c r="E312" s="138" t="n">
        <v>57.5</v>
      </c>
    </row>
    <row r="313" customFormat="false" ht="15" hidden="false" customHeight="false" outlineLevel="0" collapsed="false">
      <c r="A313" s="138" t="s">
        <v>1966</v>
      </c>
      <c r="B313" s="138" t="n">
        <v>311</v>
      </c>
      <c r="C313" s="138" t="n">
        <v>312</v>
      </c>
      <c r="D313" s="138" t="n">
        <v>70.25</v>
      </c>
      <c r="E313" s="138" t="n">
        <v>60.5</v>
      </c>
    </row>
    <row r="314" customFormat="false" ht="15" hidden="false" customHeight="false" outlineLevel="0" collapsed="false">
      <c r="A314" s="138" t="s">
        <v>1967</v>
      </c>
      <c r="B314" s="138" t="n">
        <v>312</v>
      </c>
      <c r="C314" s="138" t="n">
        <v>313</v>
      </c>
      <c r="D314" s="138" t="n">
        <v>76.5</v>
      </c>
      <c r="E314" s="138" t="n">
        <v>95.25</v>
      </c>
    </row>
    <row r="315" customFormat="false" ht="15" hidden="false" customHeight="false" outlineLevel="0" collapsed="false">
      <c r="A315" s="138" t="s">
        <v>1969</v>
      </c>
      <c r="B315" s="138" t="n">
        <v>313</v>
      </c>
      <c r="C315" s="138" t="n">
        <v>314</v>
      </c>
      <c r="D315" s="138" t="n">
        <v>88</v>
      </c>
      <c r="E315" s="138" t="n">
        <v>41.25</v>
      </c>
    </row>
    <row r="316" customFormat="false" ht="15" hidden="false" customHeight="false" outlineLevel="0" collapsed="false">
      <c r="A316" s="138" t="s">
        <v>1970</v>
      </c>
      <c r="B316" s="138" t="n">
        <v>314</v>
      </c>
      <c r="C316" s="138" t="n">
        <v>315</v>
      </c>
      <c r="D316" s="138" t="n">
        <v>74.25</v>
      </c>
      <c r="E316" s="138" t="n">
        <v>35.75</v>
      </c>
    </row>
    <row r="317" customFormat="false" ht="15" hidden="false" customHeight="false" outlineLevel="0" collapsed="false">
      <c r="A317" s="138" t="s">
        <v>1971</v>
      </c>
      <c r="B317" s="138" t="n">
        <v>315</v>
      </c>
      <c r="C317" s="138" t="n">
        <v>316</v>
      </c>
      <c r="D317" s="138" t="n">
        <v>57</v>
      </c>
      <c r="E317" s="138" t="n">
        <v>77.75</v>
      </c>
    </row>
    <row r="318" customFormat="false" ht="15" hidden="false" customHeight="false" outlineLevel="0" collapsed="false">
      <c r="A318" s="138" t="s">
        <v>1972</v>
      </c>
      <c r="B318" s="138" t="n">
        <v>316</v>
      </c>
      <c r="C318" s="138" t="n">
        <v>317</v>
      </c>
      <c r="D318" s="138" t="n">
        <v>43</v>
      </c>
      <c r="E318" s="138" t="n">
        <v>95.25</v>
      </c>
    </row>
    <row r="319" customFormat="false" ht="15" hidden="false" customHeight="false" outlineLevel="0" collapsed="false">
      <c r="A319" s="138" t="s">
        <v>1973</v>
      </c>
      <c r="B319" s="138" t="n">
        <v>317</v>
      </c>
      <c r="C319" s="138" t="n">
        <v>318</v>
      </c>
      <c r="D319" s="138" t="n">
        <v>51.5</v>
      </c>
      <c r="E319" s="138" t="n">
        <v>52.5</v>
      </c>
    </row>
    <row r="320" customFormat="false" ht="15" hidden="false" customHeight="false" outlineLevel="0" collapsed="false">
      <c r="A320" s="138" t="s">
        <v>1975</v>
      </c>
      <c r="B320" s="138" t="n">
        <v>318</v>
      </c>
      <c r="C320" s="138" t="n">
        <v>319</v>
      </c>
      <c r="D320" s="138" t="n">
        <v>75.75</v>
      </c>
      <c r="E320" s="138" t="n">
        <v>65.5</v>
      </c>
    </row>
    <row r="321" customFormat="false" ht="15" hidden="false" customHeight="false" outlineLevel="0" collapsed="false">
      <c r="A321" s="138" t="s">
        <v>1569</v>
      </c>
      <c r="B321" s="138" t="n">
        <v>319</v>
      </c>
      <c r="C321" s="138" t="n">
        <v>320</v>
      </c>
      <c r="D321" s="138" t="n">
        <v>75.75</v>
      </c>
      <c r="E321" s="138" t="n">
        <v>50.25</v>
      </c>
    </row>
    <row r="322" customFormat="false" ht="15" hidden="false" customHeight="false" outlineLevel="0" collapsed="false">
      <c r="A322" s="138" t="s">
        <v>1976</v>
      </c>
      <c r="B322" s="138" t="n">
        <v>320</v>
      </c>
      <c r="C322" s="138" t="n">
        <v>321</v>
      </c>
      <c r="D322" s="138" t="n">
        <v>69.5</v>
      </c>
      <c r="E322" s="138" t="n">
        <v>42.5</v>
      </c>
    </row>
    <row r="323" customFormat="false" ht="15" hidden="false" customHeight="false" outlineLevel="0" collapsed="false">
      <c r="A323" s="138" t="s">
        <v>1977</v>
      </c>
      <c r="B323" s="138" t="n">
        <v>321</v>
      </c>
      <c r="C323" s="138" t="n">
        <v>322</v>
      </c>
      <c r="D323" s="138" t="n">
        <v>62.5</v>
      </c>
      <c r="E323" s="138" t="n">
        <v>54.5</v>
      </c>
    </row>
    <row r="324" customFormat="false" ht="15" hidden="false" customHeight="false" outlineLevel="0" collapsed="false">
      <c r="A324" s="138" t="s">
        <v>1978</v>
      </c>
      <c r="B324" s="138" t="n">
        <v>322</v>
      </c>
      <c r="C324" s="138" t="n">
        <v>323</v>
      </c>
      <c r="D324" s="138" t="n">
        <v>72</v>
      </c>
      <c r="E324" s="138" t="n">
        <v>74</v>
      </c>
    </row>
    <row r="325" customFormat="false" ht="15" hidden="false" customHeight="false" outlineLevel="0" collapsed="false">
      <c r="A325" s="138" t="s">
        <v>1979</v>
      </c>
      <c r="B325" s="138" t="n">
        <v>323</v>
      </c>
      <c r="C325" s="138" t="n">
        <v>324</v>
      </c>
      <c r="D325" s="138" t="n">
        <v>97.25</v>
      </c>
      <c r="E325" s="138" t="n">
        <v>91</v>
      </c>
    </row>
    <row r="326" customFormat="false" ht="15" hidden="false" customHeight="false" outlineLevel="0" collapsed="false">
      <c r="A326" s="138" t="s">
        <v>1980</v>
      </c>
      <c r="B326" s="138" t="n">
        <v>324</v>
      </c>
      <c r="C326" s="138" t="n">
        <v>325</v>
      </c>
      <c r="D326" s="138" t="n">
        <v>110.75</v>
      </c>
      <c r="E326" s="138" t="n">
        <v>81</v>
      </c>
    </row>
    <row r="327" customFormat="false" ht="15" hidden="false" customHeight="false" outlineLevel="0" collapsed="false">
      <c r="A327" s="138" t="s">
        <v>1981</v>
      </c>
      <c r="B327" s="138" t="n">
        <v>325</v>
      </c>
      <c r="C327" s="138" t="n">
        <v>326</v>
      </c>
      <c r="D327" s="138" t="n">
        <v>144.25</v>
      </c>
      <c r="E327" s="138" t="n">
        <v>73.5</v>
      </c>
    </row>
    <row r="328" customFormat="false" ht="15" hidden="false" customHeight="false" outlineLevel="0" collapsed="false">
      <c r="A328" s="138" t="s">
        <v>1984</v>
      </c>
      <c r="B328" s="138" t="n">
        <v>326</v>
      </c>
      <c r="C328" s="138" t="n">
        <v>327</v>
      </c>
      <c r="D328" s="138" t="n">
        <v>155.25</v>
      </c>
      <c r="E328" s="138" t="n">
        <v>68</v>
      </c>
    </row>
    <row r="329" customFormat="false" ht="15" hidden="false" customHeight="false" outlineLevel="0" collapsed="false">
      <c r="A329" s="138" t="s">
        <v>1986</v>
      </c>
      <c r="B329" s="138" t="n">
        <v>327</v>
      </c>
      <c r="C329" s="138" t="n">
        <v>328</v>
      </c>
      <c r="D329" s="138" t="n">
        <v>112.5</v>
      </c>
      <c r="E329" s="138" t="n">
        <v>63.5</v>
      </c>
    </row>
    <row r="330" customFormat="false" ht="15" hidden="false" customHeight="false" outlineLevel="0" collapsed="false">
      <c r="A330" s="138" t="s">
        <v>1988</v>
      </c>
      <c r="B330" s="138" t="n">
        <v>328</v>
      </c>
      <c r="C330" s="138" t="n">
        <v>329</v>
      </c>
      <c r="D330" s="138" t="n">
        <v>115.25</v>
      </c>
      <c r="E330" s="138" t="n">
        <v>52.25</v>
      </c>
    </row>
    <row r="331" customFormat="false" ht="15" hidden="false" customHeight="false" outlineLevel="0" collapsed="false">
      <c r="A331" s="138" t="s">
        <v>1989</v>
      </c>
      <c r="B331" s="138" t="n">
        <v>329</v>
      </c>
      <c r="C331" s="138" t="n">
        <v>330</v>
      </c>
      <c r="D331" s="138" t="n">
        <v>126</v>
      </c>
      <c r="E331" s="138" t="n">
        <v>56.25</v>
      </c>
    </row>
    <row r="332" customFormat="false" ht="15" hidden="false" customHeight="false" outlineLevel="0" collapsed="false">
      <c r="A332" s="138" t="s">
        <v>1990</v>
      </c>
      <c r="B332" s="138" t="n">
        <v>330</v>
      </c>
      <c r="C332" s="138" t="n">
        <v>331</v>
      </c>
      <c r="D332" s="138" t="n">
        <v>113.5</v>
      </c>
      <c r="E332" s="138" t="n">
        <v>69</v>
      </c>
    </row>
    <row r="333" customFormat="false" ht="15" hidden="false" customHeight="false" outlineLevel="0" collapsed="false">
      <c r="A333" s="138" t="s">
        <v>1991</v>
      </c>
      <c r="B333" s="138" t="n">
        <v>331</v>
      </c>
      <c r="C333" s="138" t="n">
        <v>332</v>
      </c>
      <c r="D333" s="138" t="n">
        <v>108.75</v>
      </c>
      <c r="E333" s="138" t="n">
        <v>75.25</v>
      </c>
    </row>
    <row r="334" customFormat="false" ht="15" hidden="false" customHeight="false" outlineLevel="0" collapsed="false">
      <c r="A334" s="138" t="s">
        <v>1573</v>
      </c>
      <c r="B334" s="138" t="n">
        <v>332</v>
      </c>
      <c r="C334" s="138" t="n">
        <v>333</v>
      </c>
      <c r="D334" s="138" t="n">
        <v>84</v>
      </c>
      <c r="E334" s="138" t="n">
        <v>57</v>
      </c>
    </row>
    <row r="335" customFormat="false" ht="15" hidden="false" customHeight="false" outlineLevel="0" collapsed="false">
      <c r="A335" s="138" t="s">
        <v>1992</v>
      </c>
      <c r="B335" s="138" t="n">
        <v>333</v>
      </c>
      <c r="C335" s="138" t="n">
        <v>334</v>
      </c>
      <c r="D335" s="138" t="n">
        <v>50.25</v>
      </c>
      <c r="E335" s="138" t="n">
        <v>40</v>
      </c>
    </row>
    <row r="336" customFormat="false" ht="15" hidden="false" customHeight="false" outlineLevel="0" collapsed="false">
      <c r="A336" s="138" t="s">
        <v>1993</v>
      </c>
      <c r="B336" s="138" t="n">
        <v>334</v>
      </c>
      <c r="C336" s="138" t="n">
        <v>335</v>
      </c>
      <c r="D336" s="138" t="n">
        <v>83</v>
      </c>
      <c r="E336" s="138" t="n">
        <v>60.25</v>
      </c>
    </row>
    <row r="337" customFormat="false" ht="15" hidden="false" customHeight="false" outlineLevel="0" collapsed="false">
      <c r="A337" s="138" t="s">
        <v>1995</v>
      </c>
      <c r="B337" s="138" t="n">
        <v>335</v>
      </c>
      <c r="C337" s="138" t="n">
        <v>336</v>
      </c>
      <c r="D337" s="138" t="n">
        <v>88.25</v>
      </c>
      <c r="E337" s="138" t="n">
        <v>106.25</v>
      </c>
    </row>
    <row r="338" customFormat="false" ht="15" hidden="false" customHeight="false" outlineLevel="0" collapsed="false">
      <c r="A338" s="138" t="s">
        <v>1996</v>
      </c>
      <c r="B338" s="138" t="n">
        <v>336</v>
      </c>
      <c r="C338" s="138" t="n">
        <v>337</v>
      </c>
      <c r="D338" s="138" t="n">
        <v>84.75</v>
      </c>
      <c r="E338" s="138" t="n">
        <v>116.5</v>
      </c>
    </row>
    <row r="339" customFormat="false" ht="15" hidden="false" customHeight="false" outlineLevel="0" collapsed="false">
      <c r="A339" s="138" t="s">
        <v>1997</v>
      </c>
      <c r="B339" s="138" t="n">
        <v>337</v>
      </c>
      <c r="C339" s="138" t="n">
        <v>338</v>
      </c>
      <c r="D339" s="138" t="n">
        <v>77.75</v>
      </c>
      <c r="E339" s="138" t="n">
        <v>77.75</v>
      </c>
    </row>
    <row r="340" customFormat="false" ht="15" hidden="false" customHeight="false" outlineLevel="0" collapsed="false">
      <c r="A340" s="138" t="s">
        <v>1998</v>
      </c>
      <c r="B340" s="138" t="n">
        <v>338</v>
      </c>
      <c r="C340" s="138" t="n">
        <v>339</v>
      </c>
      <c r="D340" s="138" t="n">
        <v>78.5</v>
      </c>
      <c r="E340" s="138" t="n">
        <v>86.5</v>
      </c>
    </row>
    <row r="341" customFormat="false" ht="15" hidden="false" customHeight="false" outlineLevel="0" collapsed="false">
      <c r="A341" s="138" t="s">
        <v>1999</v>
      </c>
      <c r="B341" s="138" t="n">
        <v>339</v>
      </c>
      <c r="C341" s="138" t="n">
        <v>340</v>
      </c>
      <c r="D341" s="138" t="n">
        <v>77.75</v>
      </c>
      <c r="E341" s="138" t="n">
        <v>138.75</v>
      </c>
    </row>
    <row r="342" customFormat="false" ht="15" hidden="false" customHeight="false" outlineLevel="0" collapsed="false">
      <c r="A342" s="138" t="s">
        <v>2000</v>
      </c>
      <c r="B342" s="138" t="n">
        <v>340</v>
      </c>
      <c r="C342" s="138" t="n">
        <v>341</v>
      </c>
      <c r="D342" s="138" t="n">
        <v>73.75</v>
      </c>
      <c r="E342" s="138" t="n">
        <v>142.25</v>
      </c>
    </row>
    <row r="343" customFormat="false" ht="15" hidden="false" customHeight="false" outlineLevel="0" collapsed="false">
      <c r="A343" s="138" t="s">
        <v>2001</v>
      </c>
      <c r="B343" s="138" t="n">
        <v>341</v>
      </c>
      <c r="C343" s="138" t="n">
        <v>342</v>
      </c>
      <c r="D343" s="138" t="n">
        <v>76.25</v>
      </c>
      <c r="E343" s="138" t="n">
        <v>72.25</v>
      </c>
    </row>
    <row r="344" customFormat="false" ht="15" hidden="false" customHeight="false" outlineLevel="0" collapsed="false">
      <c r="A344" s="138" t="s">
        <v>2002</v>
      </c>
      <c r="B344" s="138" t="n">
        <v>342</v>
      </c>
      <c r="C344" s="138" t="n">
        <v>343</v>
      </c>
      <c r="D344" s="138" t="n">
        <v>74.25</v>
      </c>
      <c r="E344" s="138" t="n">
        <v>75</v>
      </c>
    </row>
    <row r="345" customFormat="false" ht="15" hidden="false" customHeight="false" outlineLevel="0" collapsed="false">
      <c r="A345" s="138" t="s">
        <v>2003</v>
      </c>
      <c r="B345" s="138" t="n">
        <v>343</v>
      </c>
      <c r="C345" s="138" t="n">
        <v>344</v>
      </c>
      <c r="D345" s="138" t="n">
        <v>68.75</v>
      </c>
      <c r="E345" s="138" t="n">
        <v>55.5</v>
      </c>
    </row>
    <row r="346" customFormat="false" ht="15" hidden="false" customHeight="false" outlineLevel="0" collapsed="false">
      <c r="A346" s="138" t="s">
        <v>2004</v>
      </c>
      <c r="B346" s="138" t="n">
        <v>344</v>
      </c>
      <c r="C346" s="138" t="n">
        <v>345</v>
      </c>
      <c r="D346" s="138" t="n">
        <v>62.75</v>
      </c>
      <c r="E346" s="138" t="n">
        <v>40</v>
      </c>
    </row>
    <row r="347" customFormat="false" ht="15" hidden="false" customHeight="false" outlineLevel="0" collapsed="false">
      <c r="A347" s="138" t="s">
        <v>2005</v>
      </c>
      <c r="B347" s="138" t="n">
        <v>345</v>
      </c>
      <c r="C347" s="138" t="n">
        <v>346</v>
      </c>
      <c r="D347" s="138" t="n">
        <v>59.25</v>
      </c>
      <c r="E347" s="138" t="n">
        <v>28.25</v>
      </c>
    </row>
    <row r="348" customFormat="false" ht="15" hidden="false" customHeight="false" outlineLevel="0" collapsed="false">
      <c r="A348" s="138" t="s">
        <v>2006</v>
      </c>
      <c r="B348" s="138" t="n">
        <v>346</v>
      </c>
      <c r="C348" s="138" t="n">
        <v>347</v>
      </c>
      <c r="D348" s="138" t="n">
        <v>76.5</v>
      </c>
      <c r="E348" s="138" t="n">
        <v>37</v>
      </c>
    </row>
    <row r="349" customFormat="false" ht="15" hidden="false" customHeight="false" outlineLevel="0" collapsed="false">
      <c r="A349" s="138" t="s">
        <v>2007</v>
      </c>
      <c r="B349" s="138" t="n">
        <v>347</v>
      </c>
      <c r="C349" s="138" t="n">
        <v>348</v>
      </c>
      <c r="D349" s="138" t="n">
        <v>77.5</v>
      </c>
      <c r="E349" s="138" t="n">
        <v>48</v>
      </c>
    </row>
    <row r="350" customFormat="false" ht="15" hidden="false" customHeight="false" outlineLevel="0" collapsed="false">
      <c r="A350" s="138" t="s">
        <v>2008</v>
      </c>
      <c r="B350" s="138" t="n">
        <v>348</v>
      </c>
      <c r="C350" s="138" t="n">
        <v>349</v>
      </c>
      <c r="D350" s="138" t="n">
        <v>78</v>
      </c>
      <c r="E350" s="138" t="n">
        <v>75.5</v>
      </c>
    </row>
    <row r="351" customFormat="false" ht="15" hidden="false" customHeight="false" outlineLevel="0" collapsed="false">
      <c r="A351" s="138" t="s">
        <v>2009</v>
      </c>
      <c r="B351" s="138" t="n">
        <v>349</v>
      </c>
      <c r="C351" s="138" t="n">
        <v>350</v>
      </c>
      <c r="D351" s="138" t="n">
        <v>72</v>
      </c>
      <c r="E351" s="138" t="n">
        <v>114.75</v>
      </c>
    </row>
    <row r="352" customFormat="false" ht="15" hidden="false" customHeight="false" outlineLevel="0" collapsed="false">
      <c r="A352" s="138" t="s">
        <v>2010</v>
      </c>
      <c r="B352" s="138" t="n">
        <v>350</v>
      </c>
      <c r="C352" s="138" t="n">
        <v>351</v>
      </c>
      <c r="D352" s="138" t="n">
        <v>66</v>
      </c>
      <c r="E352" s="138" t="n">
        <v>171.25</v>
      </c>
    </row>
    <row r="353" customFormat="false" ht="15" hidden="false" customHeight="false" outlineLevel="0" collapsed="false">
      <c r="A353" s="138" t="s">
        <v>2011</v>
      </c>
      <c r="B353" s="138" t="n">
        <v>351</v>
      </c>
      <c r="C353" s="138" t="n">
        <v>352</v>
      </c>
      <c r="D353" s="138" t="n">
        <v>65.25</v>
      </c>
      <c r="E353" s="138" t="n">
        <v>105.5</v>
      </c>
    </row>
    <row r="354" customFormat="false" ht="15" hidden="false" customHeight="false" outlineLevel="0" collapsed="false">
      <c r="A354" s="138" t="s">
        <v>2012</v>
      </c>
      <c r="B354" s="138" t="n">
        <v>352</v>
      </c>
      <c r="C354" s="138" t="n">
        <v>353</v>
      </c>
      <c r="D354" s="138" t="n">
        <v>68.25</v>
      </c>
      <c r="E354" s="138" t="n">
        <v>105.75</v>
      </c>
    </row>
    <row r="355" customFormat="false" ht="15" hidden="false" customHeight="false" outlineLevel="0" collapsed="false">
      <c r="A355" s="138" t="s">
        <v>2013</v>
      </c>
      <c r="B355" s="138" t="n">
        <v>353</v>
      </c>
      <c r="C355" s="138" t="n">
        <v>354</v>
      </c>
      <c r="D355" s="138" t="n">
        <v>68.25</v>
      </c>
      <c r="E355" s="138" t="n">
        <v>114.75</v>
      </c>
    </row>
    <row r="356" customFormat="false" ht="15" hidden="false" customHeight="false" outlineLevel="0" collapsed="false">
      <c r="A356" s="138" t="s">
        <v>2014</v>
      </c>
      <c r="B356" s="138" t="n">
        <v>354</v>
      </c>
      <c r="C356" s="138" t="n">
        <v>355</v>
      </c>
      <c r="D356" s="138" t="n">
        <v>45.25</v>
      </c>
      <c r="E356" s="138" t="n">
        <v>117</v>
      </c>
    </row>
    <row r="357" customFormat="false" ht="15" hidden="false" customHeight="false" outlineLevel="0" collapsed="false">
      <c r="A357" s="138" t="s">
        <v>2015</v>
      </c>
      <c r="B357" s="138" t="n">
        <v>355</v>
      </c>
      <c r="C357" s="138" t="n">
        <v>356</v>
      </c>
      <c r="D357" s="138" t="n">
        <v>52.25</v>
      </c>
      <c r="E357" s="138" t="n">
        <v>99.25</v>
      </c>
    </row>
    <row r="358" customFormat="false" ht="15" hidden="false" customHeight="false" outlineLevel="0" collapsed="false">
      <c r="A358" s="138" t="s">
        <v>2016</v>
      </c>
      <c r="B358" s="138" t="n">
        <v>356</v>
      </c>
      <c r="C358" s="138" t="n">
        <v>357</v>
      </c>
      <c r="D358" s="138" t="n">
        <v>49.75</v>
      </c>
      <c r="E358" s="138" t="n">
        <v>70</v>
      </c>
    </row>
    <row r="359" customFormat="false" ht="15" hidden="false" customHeight="false" outlineLevel="0" collapsed="false">
      <c r="A359" s="138" t="s">
        <v>2017</v>
      </c>
      <c r="B359" s="138" t="n">
        <v>357</v>
      </c>
      <c r="C359" s="138" t="n">
        <v>358</v>
      </c>
      <c r="D359" s="138" t="n">
        <v>46</v>
      </c>
      <c r="E359" s="138" t="n">
        <v>33.25</v>
      </c>
    </row>
    <row r="360" customFormat="false" ht="15" hidden="false" customHeight="false" outlineLevel="0" collapsed="false">
      <c r="A360" s="138" t="s">
        <v>2018</v>
      </c>
      <c r="B360" s="138" t="n">
        <v>358</v>
      </c>
      <c r="C360" s="138" t="n">
        <v>359</v>
      </c>
      <c r="D360" s="138" t="n">
        <v>61.25</v>
      </c>
      <c r="E360" s="138" t="n">
        <v>44</v>
      </c>
    </row>
    <row r="361" customFormat="false" ht="15" hidden="false" customHeight="false" outlineLevel="0" collapsed="false">
      <c r="A361" s="138" t="s">
        <v>2019</v>
      </c>
      <c r="B361" s="138" t="n">
        <v>359</v>
      </c>
      <c r="C361" s="138" t="n">
        <v>360</v>
      </c>
      <c r="D361" s="138" t="n">
        <v>96</v>
      </c>
      <c r="E361" s="138" t="n">
        <v>54.75</v>
      </c>
    </row>
    <row r="362" customFormat="false" ht="15" hidden="false" customHeight="false" outlineLevel="0" collapsed="false">
      <c r="A362" s="138" t="s">
        <v>2021</v>
      </c>
      <c r="B362" s="138" t="n">
        <v>360</v>
      </c>
      <c r="C362" s="138" t="n">
        <v>361</v>
      </c>
      <c r="D362" s="138" t="n">
        <v>70.5</v>
      </c>
      <c r="E362" s="138" t="n">
        <v>96</v>
      </c>
    </row>
    <row r="363" customFormat="false" ht="15" hidden="false" customHeight="false" outlineLevel="0" collapsed="false">
      <c r="A363" s="138" t="s">
        <v>2022</v>
      </c>
      <c r="B363" s="138" t="n">
        <v>361</v>
      </c>
      <c r="C363" s="138" t="n">
        <v>362</v>
      </c>
      <c r="D363" s="138" t="n">
        <v>90.5</v>
      </c>
      <c r="E363" s="138" t="n">
        <v>131.25</v>
      </c>
    </row>
    <row r="364" customFormat="false" ht="15" hidden="false" customHeight="false" outlineLevel="0" collapsed="false">
      <c r="A364" s="138" t="s">
        <v>2023</v>
      </c>
      <c r="B364" s="138" t="n">
        <v>362</v>
      </c>
      <c r="C364" s="138" t="n">
        <v>363</v>
      </c>
      <c r="D364" s="138" t="n">
        <v>111.75</v>
      </c>
      <c r="E364" s="138" t="n">
        <v>148.25</v>
      </c>
    </row>
    <row r="365" customFormat="false" ht="15" hidden="false" customHeight="false" outlineLevel="0" collapsed="false">
      <c r="A365" s="138" t="s">
        <v>2024</v>
      </c>
      <c r="B365" s="138" t="n">
        <v>363</v>
      </c>
      <c r="C365" s="138" t="n">
        <v>364</v>
      </c>
      <c r="D365" s="138" t="n">
        <v>151</v>
      </c>
      <c r="E365" s="138" t="n">
        <v>153.5</v>
      </c>
    </row>
    <row r="366" customFormat="false" ht="15" hidden="false" customHeight="false" outlineLevel="0" collapsed="false">
      <c r="A366" s="138" t="s">
        <v>2025</v>
      </c>
      <c r="B366" s="138" t="n">
        <v>364</v>
      </c>
      <c r="C366" s="138" t="n">
        <v>365</v>
      </c>
      <c r="D366" s="138" t="n">
        <v>172.25</v>
      </c>
      <c r="E366" s="138" t="n">
        <v>156.25</v>
      </c>
    </row>
    <row r="367" customFormat="false" ht="15" hidden="false" customHeight="false" outlineLevel="0" collapsed="false">
      <c r="A367" s="138" t="s">
        <v>2026</v>
      </c>
      <c r="B367" s="138" t="n">
        <v>365</v>
      </c>
      <c r="C367" s="138" t="n">
        <v>366</v>
      </c>
      <c r="D367" s="138" t="n">
        <v>176.75</v>
      </c>
      <c r="E367" s="138" t="n">
        <v>166.5</v>
      </c>
    </row>
    <row r="368" customFormat="false" ht="15" hidden="false" customHeight="false" outlineLevel="0" collapsed="false">
      <c r="A368" s="138" t="s">
        <v>2027</v>
      </c>
      <c r="B368" s="138" t="n">
        <v>366</v>
      </c>
      <c r="C368" s="138" t="n">
        <v>367</v>
      </c>
      <c r="D368" s="138" t="n">
        <v>178</v>
      </c>
      <c r="E368" s="138" t="n">
        <v>160</v>
      </c>
    </row>
    <row r="369" customFormat="false" ht="15" hidden="false" customHeight="false" outlineLevel="0" collapsed="false">
      <c r="A369" s="138" t="s">
        <v>2028</v>
      </c>
      <c r="B369" s="138" t="n">
        <v>367</v>
      </c>
      <c r="C369" s="138" t="n">
        <v>368</v>
      </c>
      <c r="D369" s="138" t="n">
        <v>162.75</v>
      </c>
      <c r="E369" s="138" t="n">
        <v>140.75</v>
      </c>
    </row>
    <row r="370" customFormat="false" ht="15" hidden="false" customHeight="false" outlineLevel="0" collapsed="false">
      <c r="A370" s="138" t="s">
        <v>2029</v>
      </c>
      <c r="B370" s="138" t="n">
        <v>368</v>
      </c>
      <c r="C370" s="138" t="n">
        <v>369</v>
      </c>
      <c r="D370" s="138" t="n">
        <v>139.25</v>
      </c>
      <c r="E370" s="138" t="n">
        <v>116.75</v>
      </c>
    </row>
    <row r="371" customFormat="false" ht="15" hidden="false" customHeight="false" outlineLevel="0" collapsed="false">
      <c r="A371" s="138" t="s">
        <v>2030</v>
      </c>
      <c r="B371" s="138" t="n">
        <v>369</v>
      </c>
      <c r="C371" s="138" t="n">
        <v>370</v>
      </c>
      <c r="D371" s="138" t="n">
        <v>113.75</v>
      </c>
      <c r="E371" s="138" t="n">
        <v>92.75</v>
      </c>
    </row>
    <row r="372" customFormat="false" ht="15" hidden="false" customHeight="false" outlineLevel="0" collapsed="false">
      <c r="A372" s="138" t="s">
        <v>2031</v>
      </c>
      <c r="B372" s="138" t="n">
        <v>370</v>
      </c>
      <c r="C372" s="138" t="n">
        <v>371</v>
      </c>
      <c r="D372" s="138" t="n">
        <v>89.25</v>
      </c>
      <c r="E372" s="138" t="n">
        <v>75.5</v>
      </c>
    </row>
    <row r="373" customFormat="false" ht="15" hidden="false" customHeight="false" outlineLevel="0" collapsed="false">
      <c r="A373" s="138" t="s">
        <v>2032</v>
      </c>
      <c r="B373" s="138" t="n">
        <v>371</v>
      </c>
      <c r="C373" s="138" t="n">
        <v>372</v>
      </c>
      <c r="D373" s="138" t="n">
        <v>75.75</v>
      </c>
      <c r="E373" s="138" t="n">
        <v>63.75</v>
      </c>
    </row>
    <row r="374" customFormat="false" ht="15" hidden="false" customHeight="false" outlineLevel="0" collapsed="false">
      <c r="A374" s="138" t="s">
        <v>2033</v>
      </c>
      <c r="B374" s="138" t="n">
        <v>372</v>
      </c>
      <c r="C374" s="138" t="n">
        <v>373</v>
      </c>
      <c r="D374" s="138" t="n">
        <v>40</v>
      </c>
      <c r="E374" s="138" t="n">
        <v>41.75</v>
      </c>
    </row>
    <row r="375" customFormat="false" ht="15" hidden="false" customHeight="false" outlineLevel="0" collapsed="false">
      <c r="A375" s="138" t="s">
        <v>2034</v>
      </c>
      <c r="B375" s="138" t="n">
        <v>373</v>
      </c>
      <c r="C375" s="138" t="n">
        <v>374</v>
      </c>
      <c r="D375" s="138" t="n">
        <v>35.25</v>
      </c>
      <c r="E375" s="138" t="n">
        <v>29.25</v>
      </c>
    </row>
    <row r="376" customFormat="false" ht="15" hidden="false" customHeight="false" outlineLevel="0" collapsed="false">
      <c r="A376" s="138" t="s">
        <v>2035</v>
      </c>
      <c r="B376" s="138" t="n">
        <v>374</v>
      </c>
      <c r="C376" s="138" t="n">
        <v>375</v>
      </c>
      <c r="D376" s="138" t="n">
        <v>37</v>
      </c>
      <c r="E376" s="138" t="n">
        <v>30.5</v>
      </c>
    </row>
    <row r="377" customFormat="false" ht="15" hidden="false" customHeight="false" outlineLevel="0" collapsed="false">
      <c r="A377" s="138" t="s">
        <v>2036</v>
      </c>
      <c r="B377" s="138" t="n">
        <v>375</v>
      </c>
      <c r="C377" s="138" t="n">
        <v>376</v>
      </c>
      <c r="D377" s="138" t="n">
        <v>36.5</v>
      </c>
      <c r="E377" s="138" t="n">
        <v>36.5</v>
      </c>
    </row>
    <row r="378" customFormat="false" ht="15" hidden="false" customHeight="false" outlineLevel="0" collapsed="false">
      <c r="A378" s="138" t="s">
        <v>2037</v>
      </c>
      <c r="B378" s="138" t="n">
        <v>376</v>
      </c>
      <c r="C378" s="138" t="n">
        <v>377</v>
      </c>
      <c r="D378" s="138" t="n">
        <v>44.75</v>
      </c>
      <c r="E378" s="138" t="n">
        <v>37.75</v>
      </c>
    </row>
    <row r="379" customFormat="false" ht="15" hidden="false" customHeight="false" outlineLevel="0" collapsed="false">
      <c r="A379" s="138" t="s">
        <v>2038</v>
      </c>
      <c r="B379" s="138" t="n">
        <v>377</v>
      </c>
      <c r="C379" s="138" t="n">
        <v>378</v>
      </c>
      <c r="D379" s="138" t="n">
        <v>44</v>
      </c>
      <c r="E379" s="138" t="n">
        <v>41</v>
      </c>
    </row>
    <row r="380" customFormat="false" ht="15" hidden="false" customHeight="false" outlineLevel="0" collapsed="false">
      <c r="A380" s="138" t="s">
        <v>2039</v>
      </c>
      <c r="B380" s="138" t="n">
        <v>378</v>
      </c>
      <c r="C380" s="138" t="n">
        <v>379</v>
      </c>
      <c r="D380" s="138" t="n">
        <v>39.5</v>
      </c>
      <c r="E380" s="138" t="n">
        <v>45.5</v>
      </c>
    </row>
    <row r="381" customFormat="false" ht="15" hidden="false" customHeight="false" outlineLevel="0" collapsed="false">
      <c r="A381" s="138" t="s">
        <v>2040</v>
      </c>
      <c r="B381" s="138" t="n">
        <v>379</v>
      </c>
      <c r="C381" s="138" t="n">
        <v>380</v>
      </c>
      <c r="D381" s="138" t="n">
        <v>69.75</v>
      </c>
      <c r="E381" s="138" t="n">
        <v>38.5</v>
      </c>
    </row>
    <row r="382" customFormat="false" ht="15" hidden="false" customHeight="false" outlineLevel="0" collapsed="false">
      <c r="A382" s="138" t="s">
        <v>2041</v>
      </c>
      <c r="B382" s="138" t="n">
        <v>380</v>
      </c>
      <c r="C382" s="138" t="n">
        <v>381</v>
      </c>
      <c r="D382" s="138" t="n">
        <v>96.5</v>
      </c>
      <c r="E382" s="138" t="n">
        <v>55.25</v>
      </c>
    </row>
    <row r="383" customFormat="false" ht="15" hidden="false" customHeight="false" outlineLevel="0" collapsed="false">
      <c r="A383" s="138" t="s">
        <v>2042</v>
      </c>
      <c r="B383" s="138" t="n">
        <v>381</v>
      </c>
      <c r="C383" s="138" t="n">
        <v>382</v>
      </c>
      <c r="D383" s="138" t="n">
        <v>96.75</v>
      </c>
      <c r="E383" s="138" t="n">
        <v>74.5</v>
      </c>
    </row>
    <row r="384" customFormat="false" ht="15" hidden="false" customHeight="false" outlineLevel="0" collapsed="false">
      <c r="A384" s="138" t="s">
        <v>2043</v>
      </c>
      <c r="B384" s="138" t="n">
        <v>382</v>
      </c>
      <c r="C384" s="138" t="n">
        <v>383</v>
      </c>
      <c r="D384" s="138" t="n">
        <v>100.25</v>
      </c>
      <c r="E384" s="138" t="n">
        <v>94.25</v>
      </c>
    </row>
    <row r="385" customFormat="false" ht="15" hidden="false" customHeight="false" outlineLevel="0" collapsed="false">
      <c r="A385" s="138" t="s">
        <v>2044</v>
      </c>
      <c r="B385" s="138" t="n">
        <v>383</v>
      </c>
      <c r="C385" s="138" t="n">
        <v>384</v>
      </c>
      <c r="D385" s="138" t="n">
        <v>111</v>
      </c>
      <c r="E385" s="138" t="n">
        <v>111</v>
      </c>
    </row>
    <row r="386" customFormat="false" ht="15" hidden="false" customHeight="false" outlineLevel="0" collapsed="false">
      <c r="A386" s="138" t="s">
        <v>2045</v>
      </c>
      <c r="B386" s="138" t="n">
        <v>384</v>
      </c>
      <c r="C386" s="138" t="n">
        <v>385</v>
      </c>
      <c r="D386" s="138" t="n">
        <v>120.75</v>
      </c>
      <c r="E386" s="138" t="n">
        <v>111.25</v>
      </c>
    </row>
    <row r="387" customFormat="false" ht="15" hidden="false" customHeight="false" outlineLevel="0" collapsed="false">
      <c r="A387" s="138" t="s">
        <v>2046</v>
      </c>
      <c r="B387" s="138" t="n">
        <v>385</v>
      </c>
      <c r="C387" s="138" t="n">
        <v>386</v>
      </c>
      <c r="D387" s="138" t="n">
        <v>127.75</v>
      </c>
      <c r="E387" s="138" t="n">
        <v>108.5</v>
      </c>
    </row>
    <row r="388" customFormat="false" ht="15" hidden="false" customHeight="false" outlineLevel="0" collapsed="false">
      <c r="A388" s="138" t="s">
        <v>2047</v>
      </c>
      <c r="B388" s="138" t="n">
        <v>386</v>
      </c>
      <c r="C388" s="138" t="n">
        <v>387</v>
      </c>
      <c r="D388" s="138" t="n">
        <v>122</v>
      </c>
      <c r="E388" s="138" t="n">
        <v>118.5</v>
      </c>
    </row>
    <row r="389" customFormat="false" ht="15" hidden="false" customHeight="false" outlineLevel="0" collapsed="false">
      <c r="A389" s="138" t="s">
        <v>2048</v>
      </c>
      <c r="B389" s="138" t="n">
        <v>387</v>
      </c>
      <c r="C389" s="138" t="n">
        <v>388</v>
      </c>
      <c r="D389" s="138" t="n">
        <v>115</v>
      </c>
      <c r="E389" s="138" t="n">
        <v>120.25</v>
      </c>
    </row>
    <row r="390" customFormat="false" ht="15" hidden="false" customHeight="false" outlineLevel="0" collapsed="false">
      <c r="A390" s="138" t="s">
        <v>2049</v>
      </c>
      <c r="B390" s="138" t="n">
        <v>388</v>
      </c>
      <c r="C390" s="138" t="n">
        <v>389</v>
      </c>
      <c r="D390" s="138" t="n">
        <v>104.5</v>
      </c>
      <c r="E390" s="138" t="n">
        <v>114.5</v>
      </c>
    </row>
    <row r="391" customFormat="false" ht="15" hidden="false" customHeight="false" outlineLevel="0" collapsed="false">
      <c r="A391" s="138" t="s">
        <v>2050</v>
      </c>
      <c r="B391" s="138" t="n">
        <v>389</v>
      </c>
      <c r="C391" s="138" t="n">
        <v>390</v>
      </c>
      <c r="D391" s="138" t="n">
        <v>99</v>
      </c>
      <c r="E391" s="138" t="n">
        <v>104.5</v>
      </c>
    </row>
    <row r="392" customFormat="false" ht="15" hidden="false" customHeight="false" outlineLevel="0" collapsed="false">
      <c r="A392" s="138" t="s">
        <v>2051</v>
      </c>
      <c r="B392" s="138" t="n">
        <v>390</v>
      </c>
      <c r="C392" s="138" t="n">
        <v>391</v>
      </c>
      <c r="D392" s="138" t="n">
        <v>99.5</v>
      </c>
      <c r="E392" s="138" t="n">
        <v>89</v>
      </c>
    </row>
    <row r="393" customFormat="false" ht="15" hidden="false" customHeight="false" outlineLevel="0" collapsed="false">
      <c r="A393" s="138" t="s">
        <v>2052</v>
      </c>
      <c r="B393" s="138" t="n">
        <v>391</v>
      </c>
      <c r="C393" s="138" t="n">
        <v>392</v>
      </c>
      <c r="D393" s="138" t="n">
        <v>85.75</v>
      </c>
      <c r="E393" s="138" t="n">
        <v>74.5</v>
      </c>
    </row>
    <row r="394" customFormat="false" ht="15" hidden="false" customHeight="false" outlineLevel="0" collapsed="false">
      <c r="A394" s="138" t="s">
        <v>2053</v>
      </c>
      <c r="B394" s="138" t="n">
        <v>392</v>
      </c>
      <c r="C394" s="138" t="n">
        <v>393</v>
      </c>
      <c r="D394" s="138" t="n">
        <v>79</v>
      </c>
      <c r="E394" s="138" t="n">
        <v>66.75</v>
      </c>
    </row>
    <row r="395" customFormat="false" ht="15" hidden="false" customHeight="false" outlineLevel="0" collapsed="false">
      <c r="A395" s="138" t="s">
        <v>2055</v>
      </c>
      <c r="B395" s="138" t="n">
        <v>393</v>
      </c>
      <c r="C395" s="138" t="n">
        <v>394</v>
      </c>
      <c r="D395" s="138" t="n">
        <v>73.75</v>
      </c>
      <c r="E395" s="138" t="n">
        <v>60.5</v>
      </c>
    </row>
    <row r="396" customFormat="false" ht="15" hidden="false" customHeight="false" outlineLevel="0" collapsed="false">
      <c r="A396" s="138" t="s">
        <v>2056</v>
      </c>
      <c r="B396" s="138" t="n">
        <v>394</v>
      </c>
      <c r="C396" s="138" t="n">
        <v>395</v>
      </c>
      <c r="D396" s="138" t="n">
        <v>80.25</v>
      </c>
      <c r="E396" s="138" t="n">
        <v>54.5</v>
      </c>
    </row>
    <row r="397" customFormat="false" ht="15" hidden="false" customHeight="false" outlineLevel="0" collapsed="false">
      <c r="A397" s="138" t="s">
        <v>2057</v>
      </c>
      <c r="B397" s="138" t="n">
        <v>395</v>
      </c>
      <c r="C397" s="138" t="n">
        <v>396</v>
      </c>
      <c r="D397" s="138" t="n">
        <v>89.5</v>
      </c>
      <c r="E397" s="138" t="n">
        <v>53.75</v>
      </c>
    </row>
    <row r="398" customFormat="false" ht="15" hidden="false" customHeight="false" outlineLevel="0" collapsed="false">
      <c r="A398" s="138" t="s">
        <v>2058</v>
      </c>
      <c r="B398" s="138" t="n">
        <v>396</v>
      </c>
      <c r="C398" s="138" t="n">
        <v>397</v>
      </c>
      <c r="D398" s="138" t="n">
        <v>97</v>
      </c>
      <c r="E398" s="138" t="n">
        <v>112.25</v>
      </c>
    </row>
    <row r="399" customFormat="false" ht="15" hidden="false" customHeight="false" outlineLevel="0" collapsed="false">
      <c r="A399" s="138" t="s">
        <v>2059</v>
      </c>
      <c r="B399" s="138" t="n">
        <v>397</v>
      </c>
      <c r="C399" s="138" t="n">
        <v>398</v>
      </c>
      <c r="D399" s="138" t="n">
        <v>107.75</v>
      </c>
      <c r="E399" s="138" t="n">
        <v>105</v>
      </c>
    </row>
    <row r="400" customFormat="false" ht="15" hidden="false" customHeight="false" outlineLevel="0" collapsed="false">
      <c r="A400" s="138" t="s">
        <v>2061</v>
      </c>
      <c r="B400" s="138" t="n">
        <v>398</v>
      </c>
      <c r="C400" s="138" t="n">
        <v>399</v>
      </c>
      <c r="D400" s="138" t="n">
        <v>99.75</v>
      </c>
      <c r="E400" s="138" t="n">
        <v>48</v>
      </c>
    </row>
    <row r="401" customFormat="false" ht="15" hidden="false" customHeight="false" outlineLevel="0" collapsed="false">
      <c r="A401" s="138" t="s">
        <v>2063</v>
      </c>
      <c r="B401" s="138" t="n">
        <v>399</v>
      </c>
      <c r="C401" s="138" t="n">
        <v>400</v>
      </c>
      <c r="D401" s="138" t="n">
        <v>94.5</v>
      </c>
      <c r="E401" s="138" t="n">
        <v>46.25</v>
      </c>
    </row>
    <row r="402" customFormat="false" ht="15" hidden="false" customHeight="false" outlineLevel="0" collapsed="false">
      <c r="A402" s="138" t="s">
        <v>2064</v>
      </c>
      <c r="B402" s="138" t="n">
        <v>400</v>
      </c>
      <c r="C402" s="138" t="n">
        <v>401</v>
      </c>
      <c r="D402" s="138" t="n">
        <v>94.75</v>
      </c>
      <c r="E402" s="138" t="n">
        <v>39.25</v>
      </c>
    </row>
    <row r="403" customFormat="false" ht="15" hidden="false" customHeight="false" outlineLevel="0" collapsed="false">
      <c r="A403" s="138" t="s">
        <v>2065</v>
      </c>
      <c r="B403" s="138" t="n">
        <v>401</v>
      </c>
      <c r="C403" s="138" t="n">
        <v>402</v>
      </c>
      <c r="D403" s="138" t="n">
        <v>101.5</v>
      </c>
      <c r="E403" s="138" t="n">
        <v>38.25</v>
      </c>
    </row>
    <row r="404" customFormat="false" ht="15" hidden="false" customHeight="false" outlineLevel="0" collapsed="false">
      <c r="A404" s="138" t="s">
        <v>1579</v>
      </c>
      <c r="B404" s="138" t="n">
        <v>402</v>
      </c>
      <c r="C404" s="138" t="n">
        <v>403</v>
      </c>
      <c r="D404" s="138" t="n">
        <v>105</v>
      </c>
      <c r="E404" s="138" t="n">
        <v>35</v>
      </c>
    </row>
    <row r="405" customFormat="false" ht="15" hidden="false" customHeight="false" outlineLevel="0" collapsed="false">
      <c r="A405" s="138" t="s">
        <v>2066</v>
      </c>
      <c r="B405" s="138" t="n">
        <v>403</v>
      </c>
      <c r="C405" s="138" t="n">
        <v>404</v>
      </c>
      <c r="D405" s="138" t="n">
        <v>98.25</v>
      </c>
      <c r="E405" s="138" t="n">
        <v>34</v>
      </c>
    </row>
    <row r="406" customFormat="false" ht="15" hidden="false" customHeight="false" outlineLevel="0" collapsed="false">
      <c r="A406" s="138" t="s">
        <v>2067</v>
      </c>
      <c r="B406" s="138" t="n">
        <v>404</v>
      </c>
      <c r="C406" s="138" t="n">
        <v>405</v>
      </c>
      <c r="D406" s="138" t="n">
        <v>92.5</v>
      </c>
      <c r="E406" s="138" t="n">
        <v>35</v>
      </c>
    </row>
    <row r="407" customFormat="false" ht="15" hidden="false" customHeight="false" outlineLevel="0" collapsed="false">
      <c r="A407" s="138" t="s">
        <v>2068</v>
      </c>
      <c r="B407" s="138" t="n">
        <v>405</v>
      </c>
      <c r="C407" s="138" t="n">
        <v>406</v>
      </c>
      <c r="D407" s="138" t="n">
        <v>86</v>
      </c>
      <c r="E407" s="138" t="n">
        <v>28.5</v>
      </c>
    </row>
    <row r="408" customFormat="false" ht="15" hidden="false" customHeight="false" outlineLevel="0" collapsed="false">
      <c r="A408" s="138" t="s">
        <v>2069</v>
      </c>
      <c r="B408" s="138" t="n">
        <v>406</v>
      </c>
      <c r="C408" s="138" t="n">
        <v>407</v>
      </c>
      <c r="D408" s="138" t="n">
        <v>79</v>
      </c>
      <c r="E408" s="138" t="n">
        <v>40.25</v>
      </c>
    </row>
    <row r="409" customFormat="false" ht="15" hidden="false" customHeight="false" outlineLevel="0" collapsed="false">
      <c r="A409" s="138" t="s">
        <v>2070</v>
      </c>
      <c r="B409" s="138" t="n">
        <v>407</v>
      </c>
      <c r="C409" s="138" t="n">
        <v>408</v>
      </c>
      <c r="D409" s="138" t="n">
        <v>42</v>
      </c>
      <c r="E409" s="138" t="n">
        <v>41.25</v>
      </c>
    </row>
    <row r="410" customFormat="false" ht="15" hidden="false" customHeight="false" outlineLevel="0" collapsed="false">
      <c r="A410" s="138" t="s">
        <v>2071</v>
      </c>
      <c r="B410" s="138" t="n">
        <v>408</v>
      </c>
      <c r="C410" s="138" t="n">
        <v>409</v>
      </c>
      <c r="D410" s="138" t="n">
        <v>31.5</v>
      </c>
      <c r="E410" s="138" t="n">
        <v>36.75</v>
      </c>
    </row>
    <row r="411" customFormat="false" ht="15" hidden="false" customHeight="false" outlineLevel="0" collapsed="false">
      <c r="A411" s="138" t="s">
        <v>2072</v>
      </c>
      <c r="B411" s="138" t="n">
        <v>409</v>
      </c>
      <c r="C411" s="138" t="n">
        <v>410</v>
      </c>
      <c r="D411" s="138" t="n">
        <v>41.25</v>
      </c>
      <c r="E411" s="138" t="n">
        <v>41</v>
      </c>
    </row>
    <row r="412" customFormat="false" ht="15" hidden="false" customHeight="false" outlineLevel="0" collapsed="false">
      <c r="A412" s="138" t="s">
        <v>2073</v>
      </c>
      <c r="B412" s="138" t="n">
        <v>410</v>
      </c>
      <c r="C412" s="138" t="n">
        <v>411</v>
      </c>
      <c r="D412" s="138" t="n">
        <v>108</v>
      </c>
      <c r="E412" s="138" t="n">
        <v>50.5</v>
      </c>
    </row>
    <row r="413" customFormat="false" ht="15" hidden="false" customHeight="false" outlineLevel="0" collapsed="false">
      <c r="A413" s="138" t="s">
        <v>2074</v>
      </c>
      <c r="B413" s="138" t="n">
        <v>411</v>
      </c>
      <c r="C413" s="138" t="n">
        <v>412</v>
      </c>
      <c r="D413" s="138" t="n">
        <v>52.5</v>
      </c>
      <c r="E413" s="138" t="n">
        <v>60.5</v>
      </c>
    </row>
    <row r="414" customFormat="false" ht="15" hidden="false" customHeight="false" outlineLevel="0" collapsed="false">
      <c r="A414" s="138" t="s">
        <v>2075</v>
      </c>
      <c r="B414" s="138" t="n">
        <v>412</v>
      </c>
      <c r="C414" s="138" t="n">
        <v>413</v>
      </c>
      <c r="D414" s="138" t="n">
        <v>41.5</v>
      </c>
      <c r="E414" s="138" t="n">
        <v>65.5</v>
      </c>
    </row>
    <row r="415" customFormat="false" ht="15" hidden="false" customHeight="false" outlineLevel="0" collapsed="false">
      <c r="A415" s="138" t="s">
        <v>2076</v>
      </c>
      <c r="B415" s="138" t="n">
        <v>413</v>
      </c>
      <c r="C415" s="138" t="n">
        <v>414</v>
      </c>
      <c r="D415" s="138" t="n">
        <v>33</v>
      </c>
      <c r="E415" s="138" t="n">
        <v>88.25</v>
      </c>
    </row>
    <row r="416" customFormat="false" ht="15" hidden="false" customHeight="false" outlineLevel="0" collapsed="false">
      <c r="A416" s="138" t="s">
        <v>2077</v>
      </c>
      <c r="B416" s="138" t="n">
        <v>414</v>
      </c>
      <c r="C416" s="138" t="n">
        <v>415</v>
      </c>
      <c r="D416" s="138" t="n">
        <v>86.5</v>
      </c>
      <c r="E416" s="138" t="n">
        <v>52.25</v>
      </c>
    </row>
    <row r="417" customFormat="false" ht="15" hidden="false" customHeight="false" outlineLevel="0" collapsed="false">
      <c r="A417" s="138" t="s">
        <v>2078</v>
      </c>
      <c r="B417" s="138" t="n">
        <v>415</v>
      </c>
      <c r="C417" s="138" t="n">
        <v>416</v>
      </c>
      <c r="D417" s="138" t="n">
        <v>97</v>
      </c>
      <c r="E417" s="138" t="n">
        <v>76</v>
      </c>
    </row>
    <row r="418" customFormat="false" ht="15" hidden="false" customHeight="false" outlineLevel="0" collapsed="false">
      <c r="A418" s="138" t="s">
        <v>2079</v>
      </c>
      <c r="B418" s="138" t="n">
        <v>416</v>
      </c>
      <c r="C418" s="138" t="n">
        <v>417</v>
      </c>
      <c r="D418" s="138" t="n">
        <v>85</v>
      </c>
      <c r="E418" s="138" t="n">
        <v>85.5</v>
      </c>
    </row>
    <row r="419" customFormat="false" ht="15" hidden="false" customHeight="false" outlineLevel="0" collapsed="false">
      <c r="A419" s="138" t="s">
        <v>2080</v>
      </c>
      <c r="B419" s="138" t="n">
        <v>417</v>
      </c>
      <c r="C419" s="138" t="n">
        <v>418</v>
      </c>
      <c r="D419" s="138" t="n">
        <v>85.5</v>
      </c>
      <c r="E419" s="138" t="n">
        <v>93.75</v>
      </c>
    </row>
    <row r="420" customFormat="false" ht="15" hidden="false" customHeight="false" outlineLevel="0" collapsed="false">
      <c r="A420" s="138" t="s">
        <v>2081</v>
      </c>
      <c r="B420" s="138" t="n">
        <v>418</v>
      </c>
      <c r="C420" s="138" t="n">
        <v>419</v>
      </c>
      <c r="D420" s="138" t="n">
        <v>95.75</v>
      </c>
      <c r="E420" s="138" t="n">
        <v>87.5</v>
      </c>
    </row>
    <row r="421" customFormat="false" ht="15" hidden="false" customHeight="false" outlineLevel="0" collapsed="false">
      <c r="A421" s="138" t="s">
        <v>2082</v>
      </c>
      <c r="B421" s="138" t="n">
        <v>419</v>
      </c>
      <c r="C421" s="138" t="n">
        <v>420</v>
      </c>
      <c r="D421" s="138" t="n">
        <v>165.5</v>
      </c>
      <c r="E421" s="138" t="n">
        <v>100.25</v>
      </c>
    </row>
    <row r="422" customFormat="false" ht="15" hidden="false" customHeight="false" outlineLevel="0" collapsed="false">
      <c r="A422" s="138" t="s">
        <v>2084</v>
      </c>
      <c r="B422" s="138" t="n">
        <v>420</v>
      </c>
      <c r="C422" s="138" t="n">
        <v>421</v>
      </c>
      <c r="D422" s="138" t="n">
        <v>96.25</v>
      </c>
      <c r="E422" s="138" t="n">
        <v>79.5</v>
      </c>
    </row>
    <row r="423" customFormat="false" ht="15" hidden="false" customHeight="false" outlineLevel="0" collapsed="false">
      <c r="A423" s="138" t="s">
        <v>2085</v>
      </c>
      <c r="B423" s="138" t="n">
        <v>421</v>
      </c>
      <c r="C423" s="138" t="n">
        <v>422</v>
      </c>
      <c r="D423" s="138" t="n">
        <v>55.75</v>
      </c>
      <c r="E423" s="138" t="n">
        <v>53</v>
      </c>
    </row>
    <row r="424" customFormat="false" ht="15" hidden="false" customHeight="false" outlineLevel="0" collapsed="false">
      <c r="A424" s="138" t="s">
        <v>2086</v>
      </c>
      <c r="B424" s="138" t="n">
        <v>422</v>
      </c>
      <c r="C424" s="138" t="n">
        <v>423</v>
      </c>
      <c r="D424" s="138" t="n">
        <v>43</v>
      </c>
      <c r="E424" s="138" t="n">
        <v>39.75</v>
      </c>
    </row>
    <row r="425" customFormat="false" ht="15" hidden="false" customHeight="false" outlineLevel="0" collapsed="false">
      <c r="A425" s="138" t="s">
        <v>2087</v>
      </c>
      <c r="B425" s="138" t="n">
        <v>423</v>
      </c>
      <c r="C425" s="138" t="n">
        <v>424</v>
      </c>
      <c r="D425" s="138" t="n">
        <v>56.25</v>
      </c>
      <c r="E425" s="138" t="n">
        <v>49.75</v>
      </c>
    </row>
    <row r="426" customFormat="false" ht="15" hidden="false" customHeight="false" outlineLevel="0" collapsed="false">
      <c r="A426" s="138" t="s">
        <v>2088</v>
      </c>
      <c r="B426" s="138" t="n">
        <v>424</v>
      </c>
      <c r="C426" s="138" t="n">
        <v>425</v>
      </c>
      <c r="D426" s="138" t="n">
        <v>77.75</v>
      </c>
      <c r="E426" s="138" t="n">
        <v>63.5</v>
      </c>
    </row>
    <row r="427" customFormat="false" ht="15" hidden="false" customHeight="false" outlineLevel="0" collapsed="false">
      <c r="A427" s="138" t="s">
        <v>2089</v>
      </c>
      <c r="B427" s="138" t="n">
        <v>425</v>
      </c>
      <c r="C427" s="138" t="n">
        <v>426</v>
      </c>
      <c r="D427" s="138" t="n">
        <v>105.5</v>
      </c>
      <c r="E427" s="138" t="n">
        <v>72.25</v>
      </c>
    </row>
    <row r="428" customFormat="false" ht="15" hidden="false" customHeight="false" outlineLevel="0" collapsed="false">
      <c r="A428" s="138" t="s">
        <v>2090</v>
      </c>
      <c r="B428" s="138" t="n">
        <v>426</v>
      </c>
      <c r="C428" s="138" t="n">
        <v>427</v>
      </c>
      <c r="D428" s="138" t="n">
        <v>97.5</v>
      </c>
      <c r="E428" s="138" t="n">
        <v>83.25</v>
      </c>
    </row>
    <row r="429" customFormat="false" ht="15" hidden="false" customHeight="false" outlineLevel="0" collapsed="false">
      <c r="A429" s="138" t="s">
        <v>2091</v>
      </c>
      <c r="B429" s="138" t="n">
        <v>427</v>
      </c>
      <c r="C429" s="138" t="n">
        <v>428</v>
      </c>
      <c r="D429" s="138" t="n">
        <v>104.5</v>
      </c>
      <c r="E429" s="138" t="n">
        <v>99.25</v>
      </c>
    </row>
    <row r="430" customFormat="false" ht="15" hidden="false" customHeight="false" outlineLevel="0" collapsed="false">
      <c r="A430" s="138" t="s">
        <v>2092</v>
      </c>
      <c r="B430" s="138" t="n">
        <v>428</v>
      </c>
      <c r="C430" s="138" t="n">
        <v>429</v>
      </c>
      <c r="D430" s="138" t="n">
        <v>117.5</v>
      </c>
      <c r="E430" s="138" t="n">
        <v>119</v>
      </c>
    </row>
    <row r="431" customFormat="false" ht="15" hidden="false" customHeight="false" outlineLevel="0" collapsed="false">
      <c r="A431" s="138" t="s">
        <v>2093</v>
      </c>
      <c r="B431" s="138" t="n">
        <v>429</v>
      </c>
      <c r="C431" s="138" t="n">
        <v>430</v>
      </c>
      <c r="D431" s="138" t="n">
        <v>132</v>
      </c>
      <c r="E431" s="138" t="n">
        <v>137.25</v>
      </c>
    </row>
    <row r="432" customFormat="false" ht="15" hidden="false" customHeight="false" outlineLevel="0" collapsed="false">
      <c r="A432" s="138" t="s">
        <v>2094</v>
      </c>
      <c r="B432" s="138" t="n">
        <v>430</v>
      </c>
      <c r="C432" s="138" t="n">
        <v>431</v>
      </c>
      <c r="D432" s="138" t="n">
        <v>157</v>
      </c>
      <c r="E432" s="138" t="n">
        <v>156.5</v>
      </c>
    </row>
    <row r="433" customFormat="false" ht="15" hidden="false" customHeight="false" outlineLevel="0" collapsed="false">
      <c r="A433" s="138" t="s">
        <v>2095</v>
      </c>
      <c r="B433" s="138" t="n">
        <v>431</v>
      </c>
      <c r="C433" s="138" t="n">
        <v>432</v>
      </c>
      <c r="D433" s="138" t="n">
        <v>184.25</v>
      </c>
      <c r="E433" s="138" t="n">
        <v>182</v>
      </c>
    </row>
    <row r="434" customFormat="false" ht="15" hidden="false" customHeight="false" outlineLevel="0" collapsed="false">
      <c r="A434" s="138" t="s">
        <v>2096</v>
      </c>
      <c r="B434" s="138" t="n">
        <v>432</v>
      </c>
      <c r="C434" s="138" t="n">
        <v>433</v>
      </c>
      <c r="D434" s="138" t="n">
        <v>205</v>
      </c>
      <c r="E434" s="138" t="n">
        <v>197.75</v>
      </c>
    </row>
    <row r="435" customFormat="false" ht="15" hidden="false" customHeight="false" outlineLevel="0" collapsed="false">
      <c r="A435" s="138" t="s">
        <v>2097</v>
      </c>
      <c r="B435" s="138" t="n">
        <v>433</v>
      </c>
      <c r="C435" s="138" t="n">
        <v>434</v>
      </c>
      <c r="D435" s="138" t="n">
        <v>243</v>
      </c>
      <c r="E435" s="138" t="n">
        <v>229</v>
      </c>
    </row>
    <row r="436" customFormat="false" ht="15" hidden="false" customHeight="false" outlineLevel="0" collapsed="false">
      <c r="A436" s="138" t="s">
        <v>2098</v>
      </c>
      <c r="B436" s="138" t="n">
        <v>434</v>
      </c>
      <c r="C436" s="138" t="n">
        <v>435</v>
      </c>
      <c r="D436" s="138" t="n">
        <v>452.5</v>
      </c>
      <c r="E436" s="138" t="n">
        <v>252.25</v>
      </c>
    </row>
    <row r="437" customFormat="false" ht="15" hidden="false" customHeight="false" outlineLevel="0" collapsed="false">
      <c r="A437" s="138" t="s">
        <v>2099</v>
      </c>
      <c r="B437" s="138" t="n">
        <v>435</v>
      </c>
      <c r="C437" s="138" t="n">
        <v>436</v>
      </c>
      <c r="D437" s="138" t="n">
        <v>406.25</v>
      </c>
      <c r="E437" s="138" t="n">
        <v>322.25</v>
      </c>
    </row>
    <row r="438" customFormat="false" ht="15" hidden="false" customHeight="false" outlineLevel="0" collapsed="false">
      <c r="A438" s="138" t="s">
        <v>2100</v>
      </c>
      <c r="B438" s="138" t="n">
        <v>436</v>
      </c>
      <c r="C438" s="138" t="n">
        <v>437</v>
      </c>
      <c r="D438" s="138" t="n">
        <v>378.5</v>
      </c>
      <c r="E438" s="138" t="n">
        <v>412.5</v>
      </c>
    </row>
    <row r="439" customFormat="false" ht="15" hidden="false" customHeight="false" outlineLevel="0" collapsed="false">
      <c r="A439" s="138" t="s">
        <v>2101</v>
      </c>
      <c r="B439" s="138" t="n">
        <v>437</v>
      </c>
      <c r="C439" s="138" t="n">
        <v>438</v>
      </c>
      <c r="D439" s="138" t="n">
        <v>62.75</v>
      </c>
      <c r="E439" s="138" t="n">
        <v>422.25</v>
      </c>
    </row>
    <row r="440" customFormat="false" ht="15" hidden="false" customHeight="false" outlineLevel="0" collapsed="false">
      <c r="A440" s="138" t="s">
        <v>2102</v>
      </c>
      <c r="B440" s="138" t="n">
        <v>438</v>
      </c>
      <c r="C440" s="138" t="n">
        <v>439</v>
      </c>
      <c r="D440" s="138" t="n">
        <v>213.75</v>
      </c>
      <c r="E440" s="138" t="n">
        <v>381.5</v>
      </c>
    </row>
    <row r="441" customFormat="false" ht="15" hidden="false" customHeight="false" outlineLevel="0" collapsed="false">
      <c r="A441" s="138" t="s">
        <v>2103</v>
      </c>
      <c r="B441" s="138" t="n">
        <v>439</v>
      </c>
      <c r="C441" s="138" t="n">
        <v>440</v>
      </c>
      <c r="D441" s="138" t="n">
        <v>228.75</v>
      </c>
      <c r="E441" s="138" t="n">
        <v>220.25</v>
      </c>
    </row>
    <row r="442" customFormat="false" ht="15" hidden="false" customHeight="false" outlineLevel="0" collapsed="false">
      <c r="A442" s="138" t="s">
        <v>2104</v>
      </c>
      <c r="B442" s="138" t="n">
        <v>440</v>
      </c>
      <c r="C442" s="138" t="n">
        <v>441</v>
      </c>
      <c r="D442" s="138" t="n">
        <v>240.75</v>
      </c>
      <c r="E442" s="138" t="n">
        <v>220.75</v>
      </c>
    </row>
    <row r="443" customFormat="false" ht="15" hidden="false" customHeight="false" outlineLevel="0" collapsed="false">
      <c r="A443" s="138" t="s">
        <v>2105</v>
      </c>
      <c r="B443" s="138" t="n">
        <v>441</v>
      </c>
      <c r="C443" s="138" t="n">
        <v>442</v>
      </c>
      <c r="D443" s="138" t="n">
        <v>261.25</v>
      </c>
      <c r="E443" s="138" t="n">
        <v>218.5</v>
      </c>
    </row>
    <row r="444" customFormat="false" ht="15" hidden="false" customHeight="false" outlineLevel="0" collapsed="false">
      <c r="A444" s="138" t="s">
        <v>2106</v>
      </c>
      <c r="B444" s="138" t="n">
        <v>442</v>
      </c>
      <c r="C444" s="138" t="n">
        <v>443</v>
      </c>
      <c r="D444" s="138" t="n">
        <v>266.25</v>
      </c>
      <c r="E444" s="138" t="n">
        <v>246.25</v>
      </c>
    </row>
    <row r="445" customFormat="false" ht="15" hidden="false" customHeight="false" outlineLevel="0" collapsed="false">
      <c r="A445" s="138" t="s">
        <v>2107</v>
      </c>
      <c r="B445" s="138" t="n">
        <v>443</v>
      </c>
      <c r="C445" s="138" t="n">
        <v>444</v>
      </c>
      <c r="D445" s="138" t="n">
        <v>232</v>
      </c>
      <c r="E445" s="138" t="n">
        <v>195.25</v>
      </c>
    </row>
    <row r="446" customFormat="false" ht="15" hidden="false" customHeight="false" outlineLevel="0" collapsed="false">
      <c r="A446" s="138" t="s">
        <v>2108</v>
      </c>
      <c r="B446" s="138" t="n">
        <v>444</v>
      </c>
      <c r="C446" s="138" t="n">
        <v>445</v>
      </c>
      <c r="D446" s="138" t="n">
        <v>188.25</v>
      </c>
      <c r="E446" s="138" t="n">
        <v>196.75</v>
      </c>
    </row>
    <row r="447" customFormat="false" ht="15" hidden="false" customHeight="false" outlineLevel="0" collapsed="false">
      <c r="A447" s="138" t="s">
        <v>2109</v>
      </c>
      <c r="B447" s="138" t="n">
        <v>445</v>
      </c>
      <c r="C447" s="138" t="n">
        <v>446</v>
      </c>
      <c r="D447" s="138" t="n">
        <v>150.75</v>
      </c>
      <c r="E447" s="138" t="n">
        <v>190</v>
      </c>
    </row>
    <row r="448" customFormat="false" ht="15" hidden="false" customHeight="false" outlineLevel="0" collapsed="false">
      <c r="A448" s="138" t="s">
        <v>2110</v>
      </c>
      <c r="B448" s="138" t="n">
        <v>446</v>
      </c>
      <c r="C448" s="138" t="n">
        <v>447</v>
      </c>
      <c r="D448" s="138" t="n">
        <v>85.75</v>
      </c>
      <c r="E448" s="138" t="n">
        <v>157.5</v>
      </c>
    </row>
    <row r="449" customFormat="false" ht="15" hidden="false" customHeight="false" outlineLevel="0" collapsed="false">
      <c r="A449" s="138" t="s">
        <v>2111</v>
      </c>
      <c r="B449" s="138" t="n">
        <v>447</v>
      </c>
      <c r="C449" s="138" t="n">
        <v>448</v>
      </c>
      <c r="D449" s="138" t="n">
        <v>53.75</v>
      </c>
      <c r="E449" s="138" t="n">
        <v>129.5</v>
      </c>
    </row>
    <row r="450" customFormat="false" ht="15" hidden="false" customHeight="false" outlineLevel="0" collapsed="false">
      <c r="A450" s="138" t="s">
        <v>2112</v>
      </c>
      <c r="B450" s="138" t="n">
        <v>448</v>
      </c>
      <c r="C450" s="138" t="n">
        <v>449</v>
      </c>
      <c r="D450" s="138" t="n">
        <v>82.5</v>
      </c>
      <c r="E450" s="138" t="n">
        <v>99.25</v>
      </c>
    </row>
    <row r="451" customFormat="false" ht="15" hidden="false" customHeight="false" outlineLevel="0" collapsed="false">
      <c r="A451" s="138" t="s">
        <v>2113</v>
      </c>
      <c r="B451" s="138" t="n">
        <v>449</v>
      </c>
      <c r="C451" s="138" t="n">
        <v>450</v>
      </c>
      <c r="D451" s="138" t="n">
        <v>91.25</v>
      </c>
      <c r="E451" s="138" t="n">
        <v>89.5</v>
      </c>
    </row>
    <row r="452" customFormat="false" ht="15" hidden="false" customHeight="false" outlineLevel="0" collapsed="false">
      <c r="A452" s="138" t="s">
        <v>2114</v>
      </c>
      <c r="B452" s="138" t="n">
        <v>450</v>
      </c>
      <c r="C452" s="138" t="n">
        <v>451</v>
      </c>
      <c r="D452" s="138" t="n">
        <v>98.5</v>
      </c>
      <c r="E452" s="138" t="n">
        <v>73.25</v>
      </c>
    </row>
    <row r="453" customFormat="false" ht="15" hidden="false" customHeight="false" outlineLevel="0" collapsed="false">
      <c r="A453" s="138" t="s">
        <v>2115</v>
      </c>
      <c r="B453" s="138" t="n">
        <v>451</v>
      </c>
      <c r="C453" s="138" t="n">
        <v>452</v>
      </c>
      <c r="D453" s="138" t="n">
        <v>99.25</v>
      </c>
      <c r="E453" s="138" t="n">
        <v>59.75</v>
      </c>
    </row>
    <row r="454" customFormat="false" ht="15" hidden="false" customHeight="false" outlineLevel="0" collapsed="false">
      <c r="A454" s="138" t="s">
        <v>2116</v>
      </c>
      <c r="B454" s="138" t="n">
        <v>452</v>
      </c>
      <c r="C454" s="138" t="n">
        <v>453</v>
      </c>
      <c r="D454" s="138" t="n">
        <v>99.75</v>
      </c>
      <c r="E454" s="138" t="n">
        <v>43.25</v>
      </c>
    </row>
    <row r="455" customFormat="false" ht="15" hidden="false" customHeight="false" outlineLevel="0" collapsed="false">
      <c r="A455" s="138" t="s">
        <v>2117</v>
      </c>
      <c r="B455" s="138" t="n">
        <v>453</v>
      </c>
      <c r="C455" s="138" t="n">
        <v>454</v>
      </c>
      <c r="D455" s="138" t="n">
        <v>97.25</v>
      </c>
      <c r="E455" s="138" t="n">
        <v>40.25</v>
      </c>
    </row>
    <row r="456" customFormat="false" ht="15" hidden="false" customHeight="false" outlineLevel="0" collapsed="false">
      <c r="A456" s="138" t="s">
        <v>2118</v>
      </c>
      <c r="B456" s="138" t="n">
        <v>454</v>
      </c>
      <c r="C456" s="138" t="n">
        <v>455</v>
      </c>
      <c r="D456" s="138" t="n">
        <v>93.75</v>
      </c>
      <c r="E456" s="138" t="n">
        <v>67.75</v>
      </c>
    </row>
    <row r="457" customFormat="false" ht="15" hidden="false" customHeight="false" outlineLevel="0" collapsed="false">
      <c r="A457" s="138" t="s">
        <v>2119</v>
      </c>
      <c r="B457" s="138" t="n">
        <v>455</v>
      </c>
      <c r="C457" s="138" t="n">
        <v>456</v>
      </c>
      <c r="D457" s="138" t="n">
        <v>101.75</v>
      </c>
      <c r="E457" s="138" t="n">
        <v>86.25</v>
      </c>
    </row>
    <row r="458" customFormat="false" ht="15" hidden="false" customHeight="false" outlineLevel="0" collapsed="false">
      <c r="A458" s="138" t="s">
        <v>2121</v>
      </c>
      <c r="B458" s="138" t="n">
        <v>456</v>
      </c>
      <c r="C458" s="138" t="n">
        <v>457</v>
      </c>
      <c r="D458" s="138" t="n">
        <v>114.25</v>
      </c>
      <c r="E458" s="138" t="n">
        <v>97.25</v>
      </c>
    </row>
    <row r="459" customFormat="false" ht="15" hidden="false" customHeight="false" outlineLevel="0" collapsed="false">
      <c r="A459" s="138" t="s">
        <v>2122</v>
      </c>
      <c r="B459" s="138" t="n">
        <v>457</v>
      </c>
      <c r="C459" s="138" t="n">
        <v>458</v>
      </c>
      <c r="D459" s="138" t="n">
        <v>110.25</v>
      </c>
      <c r="E459" s="138" t="n">
        <v>105.25</v>
      </c>
    </row>
    <row r="460" customFormat="false" ht="15" hidden="false" customHeight="false" outlineLevel="0" collapsed="false">
      <c r="A460" s="138" t="s">
        <v>2123</v>
      </c>
      <c r="B460" s="138" t="n">
        <v>458</v>
      </c>
      <c r="C460" s="138" t="n">
        <v>459</v>
      </c>
      <c r="D460" s="138" t="n">
        <v>110.25</v>
      </c>
      <c r="E460" s="138" t="n">
        <v>119</v>
      </c>
    </row>
    <row r="461" customFormat="false" ht="15" hidden="false" customHeight="false" outlineLevel="0" collapsed="false">
      <c r="A461" s="138" t="s">
        <v>2124</v>
      </c>
      <c r="B461" s="138" t="n">
        <v>459</v>
      </c>
      <c r="C461" s="138" t="n">
        <v>460</v>
      </c>
      <c r="D461" s="138" t="n">
        <v>109.25</v>
      </c>
      <c r="E461" s="138" t="n">
        <v>130.5</v>
      </c>
    </row>
    <row r="462" customFormat="false" ht="15" hidden="false" customHeight="false" outlineLevel="0" collapsed="false">
      <c r="A462" s="138" t="s">
        <v>2125</v>
      </c>
      <c r="B462" s="138" t="n">
        <v>460</v>
      </c>
      <c r="C462" s="138" t="n">
        <v>461</v>
      </c>
      <c r="D462" s="138" t="n">
        <v>134</v>
      </c>
      <c r="E462" s="138" t="n">
        <v>103</v>
      </c>
    </row>
    <row r="463" customFormat="false" ht="15" hidden="false" customHeight="false" outlineLevel="0" collapsed="false">
      <c r="A463" s="138" t="s">
        <v>2127</v>
      </c>
      <c r="B463" s="138" t="n">
        <v>461</v>
      </c>
      <c r="C463" s="138" t="n">
        <v>462</v>
      </c>
      <c r="D463" s="138" t="n">
        <v>162.25</v>
      </c>
      <c r="E463" s="138" t="n">
        <v>100</v>
      </c>
    </row>
    <row r="464" customFormat="false" ht="15" hidden="false" customHeight="false" outlineLevel="0" collapsed="false">
      <c r="A464" s="138" t="s">
        <v>2128</v>
      </c>
      <c r="B464" s="138" t="n">
        <v>462</v>
      </c>
      <c r="C464" s="138" t="n">
        <v>463</v>
      </c>
      <c r="D464" s="138" t="n">
        <v>166</v>
      </c>
      <c r="E464" s="138" t="n">
        <v>85.75</v>
      </c>
    </row>
    <row r="465" customFormat="false" ht="15" hidden="false" customHeight="false" outlineLevel="0" collapsed="false">
      <c r="A465" s="138" t="s">
        <v>2129</v>
      </c>
      <c r="B465" s="138" t="n">
        <v>463</v>
      </c>
      <c r="C465" s="138" t="n">
        <v>464</v>
      </c>
      <c r="D465" s="138" t="n">
        <v>158.75</v>
      </c>
      <c r="E465" s="138" t="n">
        <v>68.75</v>
      </c>
    </row>
    <row r="466" customFormat="false" ht="15" hidden="false" customHeight="false" outlineLevel="0" collapsed="false">
      <c r="A466" s="138" t="s">
        <v>2130</v>
      </c>
      <c r="B466" s="138" t="n">
        <v>464</v>
      </c>
      <c r="C466" s="138" t="n">
        <v>465</v>
      </c>
      <c r="D466" s="138" t="n">
        <v>147.5</v>
      </c>
      <c r="E466" s="138" t="n">
        <v>47</v>
      </c>
    </row>
    <row r="467" customFormat="false" ht="15" hidden="false" customHeight="false" outlineLevel="0" collapsed="false">
      <c r="A467" s="138" t="s">
        <v>2131</v>
      </c>
      <c r="B467" s="138" t="n">
        <v>465</v>
      </c>
      <c r="C467" s="138" t="n">
        <v>466</v>
      </c>
      <c r="D467" s="138" t="n">
        <v>77.75</v>
      </c>
      <c r="E467" s="138" t="n">
        <v>81.75</v>
      </c>
    </row>
    <row r="468" customFormat="false" ht="15" hidden="false" customHeight="false" outlineLevel="0" collapsed="false">
      <c r="A468" s="138" t="s">
        <v>2133</v>
      </c>
      <c r="B468" s="138" t="n">
        <v>466</v>
      </c>
      <c r="C468" s="138" t="n">
        <v>467</v>
      </c>
      <c r="D468" s="138" t="n">
        <v>75.25</v>
      </c>
      <c r="E468" s="138" t="n">
        <v>202</v>
      </c>
    </row>
    <row r="469" customFormat="false" ht="15" hidden="false" customHeight="false" outlineLevel="0" collapsed="false">
      <c r="A469" s="138" t="s">
        <v>2135</v>
      </c>
      <c r="B469" s="138" t="n">
        <v>467</v>
      </c>
      <c r="C469" s="138" t="n">
        <v>468</v>
      </c>
      <c r="D469" s="138" t="n">
        <v>48.5</v>
      </c>
      <c r="E469" s="138" t="n">
        <v>62.25</v>
      </c>
    </row>
    <row r="470" customFormat="false" ht="15" hidden="false" customHeight="false" outlineLevel="0" collapsed="false">
      <c r="A470" s="138" t="s">
        <v>2136</v>
      </c>
      <c r="B470" s="138" t="n">
        <v>468</v>
      </c>
      <c r="C470" s="138" t="n">
        <v>469</v>
      </c>
      <c r="D470" s="138" t="n">
        <v>45</v>
      </c>
      <c r="E470" s="138" t="n">
        <v>81.25</v>
      </c>
    </row>
    <row r="471" customFormat="false" ht="15" hidden="false" customHeight="false" outlineLevel="0" collapsed="false">
      <c r="A471" s="138" t="s">
        <v>2137</v>
      </c>
      <c r="B471" s="138" t="n">
        <v>469</v>
      </c>
      <c r="C471" s="138" t="n">
        <v>470</v>
      </c>
      <c r="D471" s="138" t="n">
        <v>66.75</v>
      </c>
      <c r="E471" s="138" t="n">
        <v>98.25</v>
      </c>
    </row>
    <row r="472" customFormat="false" ht="15" hidden="false" customHeight="false" outlineLevel="0" collapsed="false">
      <c r="A472" s="138" t="s">
        <v>2138</v>
      </c>
      <c r="B472" s="138" t="n">
        <v>470</v>
      </c>
      <c r="C472" s="138" t="n">
        <v>471</v>
      </c>
      <c r="D472" s="138" t="n">
        <v>55.25</v>
      </c>
      <c r="E472" s="138" t="n">
        <v>103</v>
      </c>
    </row>
    <row r="473" customFormat="false" ht="15" hidden="false" customHeight="false" outlineLevel="0" collapsed="false">
      <c r="A473" s="138" t="s">
        <v>2139</v>
      </c>
      <c r="B473" s="138" t="n">
        <v>471</v>
      </c>
      <c r="C473" s="138" t="n">
        <v>472</v>
      </c>
      <c r="D473" s="138" t="n">
        <v>83.25</v>
      </c>
      <c r="E473" s="138" t="n">
        <v>118.5</v>
      </c>
    </row>
    <row r="474" customFormat="false" ht="15" hidden="false" customHeight="false" outlineLevel="0" collapsed="false">
      <c r="A474" s="138" t="s">
        <v>2140</v>
      </c>
      <c r="B474" s="138" t="n">
        <v>472</v>
      </c>
      <c r="C474" s="138" t="n">
        <v>473</v>
      </c>
      <c r="D474" s="138" t="n">
        <v>118.25</v>
      </c>
      <c r="E474" s="138" t="n">
        <v>115.25</v>
      </c>
    </row>
    <row r="475" customFormat="false" ht="15" hidden="false" customHeight="false" outlineLevel="0" collapsed="false">
      <c r="A475" s="138" t="s">
        <v>2141</v>
      </c>
      <c r="B475" s="138" t="n">
        <v>473</v>
      </c>
      <c r="C475" s="138" t="n">
        <v>474</v>
      </c>
      <c r="D475" s="138" t="n">
        <v>92.25</v>
      </c>
      <c r="E475" s="138" t="n">
        <v>93.75</v>
      </c>
    </row>
    <row r="476" customFormat="false" ht="15" hidden="false" customHeight="false" outlineLevel="0" collapsed="false">
      <c r="A476" s="138" t="s">
        <v>2142</v>
      </c>
      <c r="B476" s="138" t="n">
        <v>474</v>
      </c>
      <c r="C476" s="138" t="n">
        <v>475</v>
      </c>
      <c r="D476" s="138" t="n">
        <v>117</v>
      </c>
      <c r="E476" s="138" t="n">
        <v>85</v>
      </c>
    </row>
    <row r="477" customFormat="false" ht="15" hidden="false" customHeight="false" outlineLevel="0" collapsed="false">
      <c r="A477" s="138" t="s">
        <v>2143</v>
      </c>
      <c r="B477" s="138" t="n">
        <v>475</v>
      </c>
      <c r="C477" s="138" t="n">
        <v>476</v>
      </c>
      <c r="D477" s="138" t="n">
        <v>108</v>
      </c>
      <c r="E477" s="138" t="n">
        <v>92.75</v>
      </c>
    </row>
    <row r="478" customFormat="false" ht="15" hidden="false" customHeight="false" outlineLevel="0" collapsed="false">
      <c r="A478" s="138" t="s">
        <v>2144</v>
      </c>
      <c r="B478" s="138" t="n">
        <v>476</v>
      </c>
      <c r="C478" s="138" t="n">
        <v>477</v>
      </c>
      <c r="D478" s="138" t="n">
        <v>53</v>
      </c>
      <c r="E478" s="138" t="n">
        <v>85</v>
      </c>
    </row>
    <row r="479" customFormat="false" ht="15" hidden="false" customHeight="false" outlineLevel="0" collapsed="false">
      <c r="A479" s="138" t="s">
        <v>2146</v>
      </c>
      <c r="B479" s="138" t="n">
        <v>477</v>
      </c>
      <c r="C479" s="138" t="n">
        <v>478</v>
      </c>
      <c r="D479" s="138" t="n">
        <v>67.5</v>
      </c>
      <c r="E479" s="138" t="n">
        <v>72</v>
      </c>
    </row>
    <row r="480" customFormat="false" ht="15" hidden="false" customHeight="false" outlineLevel="0" collapsed="false">
      <c r="A480" s="138" t="s">
        <v>2147</v>
      </c>
      <c r="B480" s="138" t="n">
        <v>478</v>
      </c>
      <c r="C480" s="138" t="n">
        <v>479</v>
      </c>
      <c r="D480" s="138" t="n">
        <v>70.25</v>
      </c>
      <c r="E480" s="138" t="n">
        <v>62.25</v>
      </c>
    </row>
    <row r="481" customFormat="false" ht="15" hidden="false" customHeight="false" outlineLevel="0" collapsed="false">
      <c r="A481" s="138" t="s">
        <v>2148</v>
      </c>
      <c r="B481" s="138" t="n">
        <v>479</v>
      </c>
      <c r="C481" s="138" t="n">
        <v>480</v>
      </c>
      <c r="D481" s="138" t="n">
        <v>57.5</v>
      </c>
      <c r="E481" s="138" t="n">
        <v>53.25</v>
      </c>
    </row>
    <row r="482" customFormat="false" ht="15" hidden="false" customHeight="false" outlineLevel="0" collapsed="false">
      <c r="A482" s="138" t="s">
        <v>2149</v>
      </c>
      <c r="B482" s="138" t="n">
        <v>480</v>
      </c>
      <c r="C482" s="138" t="n">
        <v>481</v>
      </c>
      <c r="D482" s="138" t="n">
        <v>39.5</v>
      </c>
      <c r="E482" s="138" t="n">
        <v>40.5</v>
      </c>
    </row>
    <row r="483" customFormat="false" ht="15" hidden="false" customHeight="false" outlineLevel="0" collapsed="false">
      <c r="A483" s="138" t="s">
        <v>2150</v>
      </c>
      <c r="B483" s="138" t="n">
        <v>481</v>
      </c>
      <c r="C483" s="138" t="n">
        <v>482</v>
      </c>
      <c r="D483" s="138" t="n">
        <v>100</v>
      </c>
      <c r="E483" s="138" t="n">
        <v>63.75</v>
      </c>
    </row>
    <row r="484" customFormat="false" ht="15" hidden="false" customHeight="false" outlineLevel="0" collapsed="false">
      <c r="A484" s="138" t="s">
        <v>2151</v>
      </c>
      <c r="B484" s="138" t="n">
        <v>482</v>
      </c>
      <c r="C484" s="138" t="n">
        <v>483</v>
      </c>
      <c r="D484" s="138" t="n">
        <v>112.25</v>
      </c>
      <c r="E484" s="138" t="n">
        <v>82.25</v>
      </c>
    </row>
    <row r="485" customFormat="false" ht="15" hidden="false" customHeight="false" outlineLevel="0" collapsed="false">
      <c r="A485" s="138" t="s">
        <v>2152</v>
      </c>
      <c r="B485" s="138" t="n">
        <v>483</v>
      </c>
      <c r="C485" s="138" t="n">
        <v>484</v>
      </c>
      <c r="D485" s="138" t="n">
        <v>110</v>
      </c>
      <c r="E485" s="138" t="n">
        <v>73.5</v>
      </c>
    </row>
    <row r="486" customFormat="false" ht="15" hidden="false" customHeight="false" outlineLevel="0" collapsed="false">
      <c r="A486" s="138" t="s">
        <v>2153</v>
      </c>
      <c r="B486" s="138" t="n">
        <v>484</v>
      </c>
      <c r="C486" s="138" t="n">
        <v>485</v>
      </c>
      <c r="D486" s="138" t="n">
        <v>92.5</v>
      </c>
      <c r="E486" s="138" t="n">
        <v>233.5</v>
      </c>
    </row>
    <row r="487" customFormat="false" ht="15" hidden="false" customHeight="false" outlineLevel="0" collapsed="false">
      <c r="A487" s="138" t="s">
        <v>2155</v>
      </c>
      <c r="B487" s="138" t="n">
        <v>485</v>
      </c>
      <c r="C487" s="138" t="n">
        <v>486</v>
      </c>
      <c r="D487" s="138" t="n">
        <v>74</v>
      </c>
      <c r="E487" s="138" t="n">
        <v>81</v>
      </c>
    </row>
    <row r="488" customFormat="false" ht="15" hidden="false" customHeight="false" outlineLevel="0" collapsed="false">
      <c r="A488" s="138" t="s">
        <v>2156</v>
      </c>
      <c r="B488" s="138" t="n">
        <v>486</v>
      </c>
      <c r="C488" s="138" t="n">
        <v>487</v>
      </c>
      <c r="D488" s="138" t="n">
        <v>48</v>
      </c>
      <c r="E488" s="138" t="n">
        <v>74.5</v>
      </c>
    </row>
    <row r="489" customFormat="false" ht="15" hidden="false" customHeight="false" outlineLevel="0" collapsed="false">
      <c r="A489" s="138" t="s">
        <v>2157</v>
      </c>
      <c r="B489" s="138" t="n">
        <v>487</v>
      </c>
      <c r="C489" s="138" t="n">
        <v>488</v>
      </c>
      <c r="D489" s="138" t="n">
        <v>148.25</v>
      </c>
      <c r="E489" s="138" t="n">
        <v>51.5</v>
      </c>
    </row>
    <row r="490" customFormat="false" ht="15" hidden="false" customHeight="false" outlineLevel="0" collapsed="false">
      <c r="A490" s="138" t="s">
        <v>2158</v>
      </c>
      <c r="B490" s="138" t="n">
        <v>488</v>
      </c>
      <c r="C490" s="138" t="n">
        <v>489</v>
      </c>
      <c r="D490" s="138" t="n">
        <v>164.75</v>
      </c>
      <c r="E490" s="138" t="n">
        <v>44</v>
      </c>
    </row>
    <row r="491" customFormat="false" ht="15" hidden="false" customHeight="false" outlineLevel="0" collapsed="false">
      <c r="A491" s="138" t="s">
        <v>2159</v>
      </c>
      <c r="B491" s="138" t="n">
        <v>489</v>
      </c>
      <c r="C491" s="138" t="n">
        <v>490</v>
      </c>
      <c r="D491" s="138" t="n">
        <v>84.75</v>
      </c>
      <c r="E491" s="138" t="n">
        <v>49.25</v>
      </c>
    </row>
    <row r="492" customFormat="false" ht="15" hidden="false" customHeight="false" outlineLevel="0" collapsed="false">
      <c r="A492" s="138" t="s">
        <v>2160</v>
      </c>
      <c r="B492" s="138" t="n">
        <v>490</v>
      </c>
      <c r="C492" s="138" t="n">
        <v>491</v>
      </c>
      <c r="D492" s="138" t="n">
        <v>86</v>
      </c>
      <c r="E492" s="138" t="n">
        <v>48.5</v>
      </c>
    </row>
    <row r="493" customFormat="false" ht="15" hidden="false" customHeight="false" outlineLevel="0" collapsed="false">
      <c r="A493" s="138" t="s">
        <v>2161</v>
      </c>
      <c r="B493" s="138" t="n">
        <v>491</v>
      </c>
      <c r="C493" s="138" t="n">
        <v>492</v>
      </c>
      <c r="D493" s="138" t="n">
        <v>119.5</v>
      </c>
      <c r="E493" s="138" t="n">
        <v>46</v>
      </c>
    </row>
    <row r="494" customFormat="false" ht="15" hidden="false" customHeight="false" outlineLevel="0" collapsed="false">
      <c r="A494" s="138" t="s">
        <v>1585</v>
      </c>
      <c r="B494" s="138" t="n">
        <v>492</v>
      </c>
      <c r="C494" s="138" t="n">
        <v>493</v>
      </c>
      <c r="D494" s="138" t="n">
        <v>134.75</v>
      </c>
      <c r="E494" s="138" t="n">
        <v>35.25</v>
      </c>
    </row>
    <row r="495" customFormat="false" ht="15" hidden="false" customHeight="false" outlineLevel="0" collapsed="false">
      <c r="A495" s="138" t="s">
        <v>2162</v>
      </c>
      <c r="B495" s="138" t="n">
        <v>493</v>
      </c>
      <c r="C495" s="138" t="n">
        <v>494</v>
      </c>
      <c r="D495" s="138" t="n">
        <v>173.75</v>
      </c>
      <c r="E495" s="138" t="n">
        <v>34.75</v>
      </c>
    </row>
    <row r="496" customFormat="false" ht="15" hidden="false" customHeight="false" outlineLevel="0" collapsed="false">
      <c r="A496" s="138" t="s">
        <v>2163</v>
      </c>
      <c r="B496" s="138" t="n">
        <v>494</v>
      </c>
      <c r="C496" s="138" t="n">
        <v>495</v>
      </c>
      <c r="D496" s="138" t="n">
        <v>165</v>
      </c>
      <c r="E496" s="138" t="n">
        <v>37</v>
      </c>
    </row>
    <row r="497" customFormat="false" ht="15" hidden="false" customHeight="false" outlineLevel="0" collapsed="false">
      <c r="A497" s="138" t="s">
        <v>2164</v>
      </c>
      <c r="B497" s="138" t="n">
        <v>495</v>
      </c>
      <c r="C497" s="138" t="n">
        <v>496</v>
      </c>
      <c r="D497" s="138" t="n">
        <v>164.5</v>
      </c>
      <c r="E497" s="138" t="n">
        <v>24.25</v>
      </c>
    </row>
    <row r="498" customFormat="false" ht="15" hidden="false" customHeight="false" outlineLevel="0" collapsed="false">
      <c r="A498" s="138" t="s">
        <v>1589</v>
      </c>
      <c r="B498" s="138" t="n">
        <v>496</v>
      </c>
      <c r="C498" s="138" t="n">
        <v>497</v>
      </c>
      <c r="D498" s="138" t="n">
        <v>165</v>
      </c>
      <c r="E498" s="138" t="n">
        <v>36.25</v>
      </c>
    </row>
    <row r="499" customFormat="false" ht="15" hidden="false" customHeight="false" outlineLevel="0" collapsed="false">
      <c r="A499" s="138" t="s">
        <v>2167</v>
      </c>
      <c r="B499" s="138" t="n">
        <v>497</v>
      </c>
      <c r="C499" s="138" t="n">
        <v>498</v>
      </c>
      <c r="D499" s="138" t="n">
        <v>168.25</v>
      </c>
      <c r="E499" s="138" t="n">
        <v>35</v>
      </c>
    </row>
    <row r="500" customFormat="false" ht="15" hidden="false" customHeight="false" outlineLevel="0" collapsed="false">
      <c r="A500" s="138" t="s">
        <v>2168</v>
      </c>
      <c r="B500" s="138" t="n">
        <v>498</v>
      </c>
      <c r="C500" s="138" t="n">
        <v>499</v>
      </c>
      <c r="D500" s="138" t="n">
        <v>102.5</v>
      </c>
      <c r="E500" s="138" t="n">
        <v>34.5</v>
      </c>
    </row>
    <row r="501" customFormat="false" ht="15" hidden="false" customHeight="false" outlineLevel="0" collapsed="false">
      <c r="A501" s="138" t="s">
        <v>2169</v>
      </c>
      <c r="B501" s="138" t="n">
        <v>499</v>
      </c>
      <c r="C501" s="138" t="n">
        <v>500</v>
      </c>
      <c r="D501" s="138" t="n">
        <v>53</v>
      </c>
      <c r="E501" s="138" t="n">
        <v>31.75</v>
      </c>
    </row>
    <row r="502" customFormat="false" ht="15" hidden="false" customHeight="false" outlineLevel="0" collapsed="false">
      <c r="A502" s="138" t="s">
        <v>2170</v>
      </c>
      <c r="B502" s="138" t="n">
        <v>500</v>
      </c>
      <c r="C502" s="138" t="n">
        <v>501</v>
      </c>
      <c r="D502" s="138" t="n">
        <v>90.75</v>
      </c>
      <c r="E502" s="138" t="n">
        <v>36.25</v>
      </c>
    </row>
    <row r="503" customFormat="false" ht="15" hidden="false" customHeight="false" outlineLevel="0" collapsed="false">
      <c r="A503" s="138" t="s">
        <v>2171</v>
      </c>
      <c r="B503" s="138" t="n">
        <v>501</v>
      </c>
      <c r="C503" s="138" t="n">
        <v>502</v>
      </c>
      <c r="D503" s="138" t="n">
        <v>113.75</v>
      </c>
      <c r="E503" s="138" t="n">
        <v>74.25</v>
      </c>
    </row>
    <row r="504" customFormat="false" ht="15" hidden="false" customHeight="false" outlineLevel="0" collapsed="false">
      <c r="A504" s="138" t="s">
        <v>2172</v>
      </c>
      <c r="B504" s="138" t="n">
        <v>502</v>
      </c>
      <c r="C504" s="138" t="n">
        <v>503</v>
      </c>
      <c r="D504" s="138" t="n">
        <v>133</v>
      </c>
      <c r="E504" s="138" t="n">
        <v>97.25</v>
      </c>
    </row>
    <row r="505" customFormat="false" ht="15" hidden="false" customHeight="false" outlineLevel="0" collapsed="false">
      <c r="A505" s="138" t="s">
        <v>2173</v>
      </c>
      <c r="B505" s="138" t="n">
        <v>503</v>
      </c>
      <c r="C505" s="138" t="n">
        <v>504</v>
      </c>
      <c r="D505" s="138" t="n">
        <v>152</v>
      </c>
      <c r="E505" s="138" t="n">
        <v>101.5</v>
      </c>
    </row>
    <row r="506" customFormat="false" ht="15" hidden="false" customHeight="false" outlineLevel="0" collapsed="false">
      <c r="A506" s="138" t="s">
        <v>2174</v>
      </c>
      <c r="B506" s="138" t="n">
        <v>504</v>
      </c>
      <c r="C506" s="138" t="n">
        <v>505</v>
      </c>
      <c r="D506" s="138" t="n">
        <v>168.5</v>
      </c>
      <c r="E506" s="138" t="n">
        <v>116.25</v>
      </c>
    </row>
    <row r="507" customFormat="false" ht="15" hidden="false" customHeight="false" outlineLevel="0" collapsed="false">
      <c r="A507" s="138" t="s">
        <v>2175</v>
      </c>
      <c r="B507" s="138" t="n">
        <v>505</v>
      </c>
      <c r="C507" s="138" t="n">
        <v>506</v>
      </c>
      <c r="D507" s="138" t="n">
        <v>182.75</v>
      </c>
      <c r="E507" s="138" t="n">
        <v>137.75</v>
      </c>
    </row>
    <row r="508" customFormat="false" ht="15" hidden="false" customHeight="false" outlineLevel="0" collapsed="false">
      <c r="A508" s="138" t="s">
        <v>2176</v>
      </c>
      <c r="B508" s="138" t="n">
        <v>506</v>
      </c>
      <c r="C508" s="138" t="n">
        <v>507</v>
      </c>
      <c r="D508" s="138" t="n">
        <v>154.25</v>
      </c>
      <c r="E508" s="138" t="n">
        <v>131</v>
      </c>
    </row>
    <row r="509" customFormat="false" ht="15" hidden="false" customHeight="false" outlineLevel="0" collapsed="false">
      <c r="A509" s="138" t="s">
        <v>2177</v>
      </c>
      <c r="B509" s="138" t="n">
        <v>507</v>
      </c>
      <c r="C509" s="138" t="n">
        <v>508</v>
      </c>
      <c r="D509" s="138" t="n">
        <v>129.5</v>
      </c>
      <c r="E509" s="138" t="n">
        <v>114</v>
      </c>
    </row>
    <row r="510" customFormat="false" ht="15" hidden="false" customHeight="false" outlineLevel="0" collapsed="false">
      <c r="A510" s="138" t="s">
        <v>2178</v>
      </c>
      <c r="B510" s="138" t="n">
        <v>508</v>
      </c>
      <c r="C510" s="138" t="n">
        <v>509</v>
      </c>
      <c r="D510" s="138" t="n">
        <v>133.75</v>
      </c>
      <c r="E510" s="138" t="n">
        <v>104.75</v>
      </c>
    </row>
    <row r="511" customFormat="false" ht="15" hidden="false" customHeight="false" outlineLevel="0" collapsed="false">
      <c r="A511" s="138" t="s">
        <v>2179</v>
      </c>
      <c r="B511" s="138" t="n">
        <v>509</v>
      </c>
      <c r="C511" s="138" t="n">
        <v>510</v>
      </c>
      <c r="D511" s="138" t="n">
        <v>117.75</v>
      </c>
      <c r="E511" s="138" t="n">
        <v>85.75</v>
      </c>
    </row>
    <row r="512" customFormat="false" ht="15" hidden="false" customHeight="false" outlineLevel="0" collapsed="false">
      <c r="A512" s="138" t="s">
        <v>2180</v>
      </c>
      <c r="B512" s="138" t="n">
        <v>510</v>
      </c>
      <c r="C512" s="138" t="n">
        <v>511</v>
      </c>
      <c r="D512" s="138" t="n">
        <v>69.75</v>
      </c>
      <c r="E512" s="138" t="n">
        <v>72</v>
      </c>
    </row>
    <row r="513" customFormat="false" ht="15" hidden="false" customHeight="false" outlineLevel="0" collapsed="false">
      <c r="A513" s="138" t="s">
        <v>2182</v>
      </c>
      <c r="B513" s="138" t="n">
        <v>511</v>
      </c>
      <c r="C513" s="138" t="n">
        <v>512</v>
      </c>
      <c r="D513" s="138" t="n">
        <v>59.5</v>
      </c>
      <c r="E513" s="138" t="n">
        <v>77</v>
      </c>
    </row>
    <row r="514" customFormat="false" ht="15" hidden="false" customHeight="false" outlineLevel="0" collapsed="false">
      <c r="A514" s="138" t="s">
        <v>2183</v>
      </c>
      <c r="B514" s="138" t="n">
        <v>512</v>
      </c>
      <c r="C514" s="138" t="n">
        <v>513</v>
      </c>
      <c r="D514" s="138" t="n">
        <v>41</v>
      </c>
      <c r="E514" s="138" t="n">
        <v>84.5</v>
      </c>
    </row>
    <row r="515" customFormat="false" ht="15" hidden="false" customHeight="false" outlineLevel="0" collapsed="false">
      <c r="A515" s="138" t="s">
        <v>2184</v>
      </c>
      <c r="B515" s="138" t="n">
        <v>513</v>
      </c>
      <c r="C515" s="138" t="n">
        <v>514</v>
      </c>
      <c r="D515" s="138" t="n">
        <v>62.5</v>
      </c>
      <c r="E515" s="138" t="n">
        <v>86.25</v>
      </c>
    </row>
    <row r="516" customFormat="false" ht="15" hidden="false" customHeight="false" outlineLevel="0" collapsed="false">
      <c r="A516" s="138" t="s">
        <v>2185</v>
      </c>
      <c r="B516" s="138" t="n">
        <v>514</v>
      </c>
      <c r="C516" s="138" t="n">
        <v>515</v>
      </c>
      <c r="D516" s="138" t="n">
        <v>59.75</v>
      </c>
      <c r="E516" s="138" t="n">
        <v>94.5</v>
      </c>
    </row>
    <row r="517" customFormat="false" ht="15" hidden="false" customHeight="false" outlineLevel="0" collapsed="false">
      <c r="A517" s="138" t="s">
        <v>2186</v>
      </c>
      <c r="B517" s="138" t="n">
        <v>515</v>
      </c>
      <c r="C517" s="138" t="n">
        <v>516</v>
      </c>
      <c r="D517" s="138" t="n">
        <v>44.25</v>
      </c>
      <c r="E517" s="138" t="n">
        <v>91</v>
      </c>
    </row>
    <row r="518" customFormat="false" ht="15" hidden="false" customHeight="false" outlineLevel="0" collapsed="false">
      <c r="A518" s="138" t="s">
        <v>2187</v>
      </c>
      <c r="B518" s="138" t="n">
        <v>516</v>
      </c>
      <c r="C518" s="138" t="n">
        <v>517</v>
      </c>
      <c r="D518" s="138" t="n">
        <v>39</v>
      </c>
      <c r="E518" s="138" t="n">
        <v>80.25</v>
      </c>
    </row>
    <row r="519" customFormat="false" ht="15" hidden="false" customHeight="false" outlineLevel="0" collapsed="false">
      <c r="A519" s="138" t="s">
        <v>2188</v>
      </c>
      <c r="B519" s="138" t="n">
        <v>517</v>
      </c>
      <c r="C519" s="138" t="n">
        <v>518</v>
      </c>
      <c r="D519" s="138" t="n">
        <v>56.5</v>
      </c>
      <c r="E519" s="138" t="n">
        <v>78</v>
      </c>
    </row>
    <row r="520" customFormat="false" ht="15" hidden="false" customHeight="false" outlineLevel="0" collapsed="false">
      <c r="A520" s="138" t="s">
        <v>2189</v>
      </c>
      <c r="B520" s="138" t="n">
        <v>518</v>
      </c>
      <c r="C520" s="138" t="n">
        <v>519</v>
      </c>
      <c r="D520" s="138" t="n">
        <v>65.5</v>
      </c>
      <c r="E520" s="138" t="n">
        <v>84.25</v>
      </c>
    </row>
    <row r="521" customFormat="false" ht="15" hidden="false" customHeight="false" outlineLevel="0" collapsed="false">
      <c r="A521" s="138" t="s">
        <v>2190</v>
      </c>
      <c r="B521" s="138" t="n">
        <v>519</v>
      </c>
      <c r="C521" s="138" t="n">
        <v>520</v>
      </c>
      <c r="D521" s="138" t="n">
        <v>72.25</v>
      </c>
      <c r="E521" s="138" t="n">
        <v>92.25</v>
      </c>
    </row>
    <row r="522" customFormat="false" ht="15" hidden="false" customHeight="false" outlineLevel="0" collapsed="false">
      <c r="A522" s="138" t="s">
        <v>2191</v>
      </c>
      <c r="B522" s="138" t="n">
        <v>520</v>
      </c>
      <c r="C522" s="138" t="n">
        <v>521</v>
      </c>
      <c r="D522" s="138" t="n">
        <v>99.5</v>
      </c>
      <c r="E522" s="138" t="n">
        <v>121.25</v>
      </c>
    </row>
    <row r="523" customFormat="false" ht="15" hidden="false" customHeight="false" outlineLevel="0" collapsed="false">
      <c r="A523" s="138" t="s">
        <v>2192</v>
      </c>
      <c r="B523" s="138" t="n">
        <v>521</v>
      </c>
      <c r="C523" s="138" t="n">
        <v>522</v>
      </c>
      <c r="D523" s="138" t="n">
        <v>115</v>
      </c>
      <c r="E523" s="138" t="n">
        <v>121.75</v>
      </c>
    </row>
    <row r="524" customFormat="false" ht="15" hidden="false" customHeight="false" outlineLevel="0" collapsed="false">
      <c r="A524" s="138" t="s">
        <v>2193</v>
      </c>
      <c r="B524" s="138" t="n">
        <v>522</v>
      </c>
      <c r="C524" s="138" t="n">
        <v>523</v>
      </c>
      <c r="D524" s="138" t="n">
        <v>116.25</v>
      </c>
      <c r="E524" s="138" t="n">
        <v>82.5</v>
      </c>
    </row>
    <row r="525" customFormat="false" ht="15" hidden="false" customHeight="false" outlineLevel="0" collapsed="false">
      <c r="A525" s="138" t="s">
        <v>2194</v>
      </c>
      <c r="B525" s="138" t="n">
        <v>523</v>
      </c>
      <c r="C525" s="138" t="n">
        <v>524</v>
      </c>
      <c r="D525" s="138" t="n">
        <v>102.75</v>
      </c>
      <c r="E525" s="138" t="n">
        <v>75.75</v>
      </c>
    </row>
    <row r="526" customFormat="false" ht="15" hidden="false" customHeight="false" outlineLevel="0" collapsed="false">
      <c r="A526" s="138" t="s">
        <v>2195</v>
      </c>
      <c r="B526" s="138" t="n">
        <v>524</v>
      </c>
      <c r="C526" s="138" t="n">
        <v>525</v>
      </c>
      <c r="D526" s="138" t="n">
        <v>92.75</v>
      </c>
      <c r="E526" s="138" t="n">
        <v>67</v>
      </c>
    </row>
    <row r="527" customFormat="false" ht="15" hidden="false" customHeight="false" outlineLevel="0" collapsed="false">
      <c r="A527" s="138" t="s">
        <v>2196</v>
      </c>
      <c r="B527" s="138" t="n">
        <v>525</v>
      </c>
      <c r="C527" s="138" t="n">
        <v>526</v>
      </c>
      <c r="D527" s="138" t="n">
        <v>76.75</v>
      </c>
      <c r="E527" s="138" t="n">
        <v>70.75</v>
      </c>
    </row>
    <row r="528" customFormat="false" ht="15" hidden="false" customHeight="false" outlineLevel="0" collapsed="false">
      <c r="A528" s="138" t="s">
        <v>2197</v>
      </c>
      <c r="B528" s="138" t="n">
        <v>526</v>
      </c>
      <c r="C528" s="138" t="n">
        <v>527</v>
      </c>
      <c r="D528" s="138" t="n">
        <v>82</v>
      </c>
      <c r="E528" s="138" t="n">
        <v>90</v>
      </c>
    </row>
    <row r="529" customFormat="false" ht="15" hidden="false" customHeight="false" outlineLevel="0" collapsed="false">
      <c r="A529" s="138" t="s">
        <v>2198</v>
      </c>
      <c r="B529" s="138" t="n">
        <v>527</v>
      </c>
      <c r="C529" s="138" t="n">
        <v>528</v>
      </c>
      <c r="D529" s="138" t="n">
        <v>79</v>
      </c>
      <c r="E529" s="138" t="n">
        <v>47</v>
      </c>
    </row>
    <row r="530" customFormat="false" ht="15" hidden="false" customHeight="false" outlineLevel="0" collapsed="false">
      <c r="A530" s="138" t="s">
        <v>2199</v>
      </c>
      <c r="B530" s="138" t="n">
        <v>528</v>
      </c>
      <c r="C530" s="138" t="n">
        <v>529</v>
      </c>
      <c r="D530" s="138" t="n">
        <v>87.5</v>
      </c>
      <c r="E530" s="138" t="n">
        <v>44.5</v>
      </c>
    </row>
    <row r="531" customFormat="false" ht="15" hidden="false" customHeight="false" outlineLevel="0" collapsed="false">
      <c r="A531" s="138" t="s">
        <v>2200</v>
      </c>
      <c r="B531" s="138" t="n">
        <v>529</v>
      </c>
      <c r="C531" s="138" t="n">
        <v>530</v>
      </c>
      <c r="D531" s="138" t="n">
        <v>113.75</v>
      </c>
      <c r="E531" s="138" t="n">
        <v>65</v>
      </c>
    </row>
    <row r="532" customFormat="false" ht="15" hidden="false" customHeight="false" outlineLevel="0" collapsed="false">
      <c r="A532" s="138" t="s">
        <v>2201</v>
      </c>
      <c r="B532" s="138" t="n">
        <v>530</v>
      </c>
      <c r="C532" s="138" t="n">
        <v>531</v>
      </c>
      <c r="D532" s="138" t="n">
        <v>130.75</v>
      </c>
      <c r="E532" s="138" t="n">
        <v>76.5</v>
      </c>
    </row>
    <row r="533" customFormat="false" ht="15" hidden="false" customHeight="false" outlineLevel="0" collapsed="false">
      <c r="A533" s="138" t="s">
        <v>2202</v>
      </c>
      <c r="B533" s="138" t="n">
        <v>531</v>
      </c>
      <c r="C533" s="138" t="n">
        <v>532</v>
      </c>
      <c r="D533" s="138" t="n">
        <v>136</v>
      </c>
      <c r="E533" s="138" t="n">
        <v>87.75</v>
      </c>
    </row>
    <row r="534" customFormat="false" ht="15" hidden="false" customHeight="false" outlineLevel="0" collapsed="false">
      <c r="A534" s="138" t="s">
        <v>2203</v>
      </c>
      <c r="B534" s="138" t="n">
        <v>532</v>
      </c>
      <c r="C534" s="138" t="n">
        <v>533</v>
      </c>
      <c r="D534" s="138" t="n">
        <v>131.25</v>
      </c>
      <c r="E534" s="138" t="n">
        <v>89.25</v>
      </c>
    </row>
    <row r="535" customFormat="false" ht="15" hidden="false" customHeight="false" outlineLevel="0" collapsed="false">
      <c r="A535" s="138" t="s">
        <v>2204</v>
      </c>
      <c r="B535" s="138" t="n">
        <v>533</v>
      </c>
      <c r="C535" s="138" t="n">
        <v>534</v>
      </c>
      <c r="D535" s="138" t="n">
        <v>115.25</v>
      </c>
      <c r="E535" s="138" t="n">
        <v>84.25</v>
      </c>
    </row>
    <row r="536" customFormat="false" ht="15" hidden="false" customHeight="false" outlineLevel="0" collapsed="false">
      <c r="A536" s="138" t="s">
        <v>2205</v>
      </c>
      <c r="B536" s="138" t="n">
        <v>534</v>
      </c>
      <c r="C536" s="138" t="n">
        <v>535</v>
      </c>
      <c r="D536" s="138" t="n">
        <v>105.5</v>
      </c>
      <c r="E536" s="138" t="n">
        <v>83</v>
      </c>
    </row>
    <row r="537" customFormat="false" ht="15" hidden="false" customHeight="false" outlineLevel="0" collapsed="false">
      <c r="A537" s="138" t="s">
        <v>2206</v>
      </c>
      <c r="B537" s="138" t="n">
        <v>535</v>
      </c>
      <c r="C537" s="138" t="n">
        <v>536</v>
      </c>
      <c r="D537" s="138" t="n">
        <v>94.25</v>
      </c>
      <c r="E537" s="138" t="n">
        <v>86.5</v>
      </c>
    </row>
    <row r="538" customFormat="false" ht="15" hidden="false" customHeight="false" outlineLevel="0" collapsed="false">
      <c r="A538" s="138" t="s">
        <v>2207</v>
      </c>
      <c r="B538" s="138" t="n">
        <v>536</v>
      </c>
      <c r="C538" s="138" t="n">
        <v>537</v>
      </c>
      <c r="D538" s="138" t="n">
        <v>106.5</v>
      </c>
      <c r="E538" s="138" t="n">
        <v>98</v>
      </c>
    </row>
    <row r="539" customFormat="false" ht="15" hidden="false" customHeight="false" outlineLevel="0" collapsed="false">
      <c r="A539" s="138" t="s">
        <v>2208</v>
      </c>
      <c r="B539" s="138" t="n">
        <v>537</v>
      </c>
      <c r="C539" s="138" t="n">
        <v>538</v>
      </c>
      <c r="D539" s="138" t="n">
        <v>72.75</v>
      </c>
      <c r="E539" s="138" t="n">
        <v>108</v>
      </c>
    </row>
    <row r="540" customFormat="false" ht="15" hidden="false" customHeight="false" outlineLevel="0" collapsed="false">
      <c r="A540" s="138" t="s">
        <v>2209</v>
      </c>
      <c r="B540" s="138" t="n">
        <v>538</v>
      </c>
      <c r="C540" s="138" t="n">
        <v>539</v>
      </c>
      <c r="D540" s="138" t="n">
        <v>95.25</v>
      </c>
      <c r="E540" s="138" t="n">
        <v>122.5</v>
      </c>
    </row>
    <row r="541" customFormat="false" ht="15" hidden="false" customHeight="false" outlineLevel="0" collapsed="false">
      <c r="A541" s="138" t="s">
        <v>2210</v>
      </c>
      <c r="B541" s="138" t="n">
        <v>539</v>
      </c>
      <c r="C541" s="138" t="n">
        <v>540</v>
      </c>
      <c r="D541" s="138" t="n">
        <v>110.25</v>
      </c>
      <c r="E541" s="138" t="n">
        <v>144.75</v>
      </c>
    </row>
    <row r="542" customFormat="false" ht="15" hidden="false" customHeight="false" outlineLevel="0" collapsed="false">
      <c r="A542" s="138" t="s">
        <v>2211</v>
      </c>
      <c r="B542" s="138" t="n">
        <v>540</v>
      </c>
      <c r="C542" s="138" t="n">
        <v>541</v>
      </c>
      <c r="D542" s="138" t="n">
        <v>121.5</v>
      </c>
      <c r="E542" s="138" t="n">
        <v>163</v>
      </c>
    </row>
    <row r="543" customFormat="false" ht="15" hidden="false" customHeight="false" outlineLevel="0" collapsed="false">
      <c r="A543" s="138" t="s">
        <v>2212</v>
      </c>
      <c r="B543" s="138" t="n">
        <v>541</v>
      </c>
      <c r="C543" s="138" t="n">
        <v>542</v>
      </c>
      <c r="D543" s="138" t="n">
        <v>132</v>
      </c>
      <c r="E543" s="138" t="n">
        <v>164.5</v>
      </c>
    </row>
    <row r="544" customFormat="false" ht="15" hidden="false" customHeight="false" outlineLevel="0" collapsed="false">
      <c r="A544" s="138" t="s">
        <v>2213</v>
      </c>
      <c r="B544" s="138" t="n">
        <v>542</v>
      </c>
      <c r="C544" s="138" t="n">
        <v>543</v>
      </c>
      <c r="D544" s="138" t="n">
        <v>131.5</v>
      </c>
      <c r="E544" s="138" t="n">
        <v>138.75</v>
      </c>
    </row>
    <row r="545" customFormat="false" ht="15" hidden="false" customHeight="false" outlineLevel="0" collapsed="false">
      <c r="A545" s="138" t="s">
        <v>2214</v>
      </c>
      <c r="B545" s="138" t="n">
        <v>543</v>
      </c>
      <c r="C545" s="138" t="n">
        <v>544</v>
      </c>
      <c r="D545" s="138" t="n">
        <v>138</v>
      </c>
      <c r="E545" s="138" t="n">
        <v>118.25</v>
      </c>
    </row>
    <row r="546" customFormat="false" ht="15" hidden="false" customHeight="false" outlineLevel="0" collapsed="false">
      <c r="A546" s="138" t="s">
        <v>2215</v>
      </c>
      <c r="B546" s="138" t="n">
        <v>544</v>
      </c>
      <c r="C546" s="138" t="n">
        <v>545</v>
      </c>
      <c r="D546" s="138" t="n">
        <v>144</v>
      </c>
      <c r="E546" s="138" t="n">
        <v>144</v>
      </c>
    </row>
    <row r="547" customFormat="false" ht="15" hidden="false" customHeight="false" outlineLevel="0" collapsed="false">
      <c r="A547" s="138" t="s">
        <v>2216</v>
      </c>
      <c r="B547" s="138" t="n">
        <v>545</v>
      </c>
      <c r="C547" s="138" t="n">
        <v>546</v>
      </c>
      <c r="D547" s="138" t="n">
        <v>143.75</v>
      </c>
      <c r="E547" s="138" t="n">
        <v>143.75</v>
      </c>
    </row>
    <row r="548" customFormat="false" ht="15" hidden="false" customHeight="false" outlineLevel="0" collapsed="false">
      <c r="A548" s="138" t="s">
        <v>2217</v>
      </c>
      <c r="B548" s="138" t="n">
        <v>546</v>
      </c>
      <c r="C548" s="138" t="n">
        <v>547</v>
      </c>
      <c r="D548" s="138" t="n">
        <v>128</v>
      </c>
      <c r="E548" s="138" t="n">
        <v>103</v>
      </c>
    </row>
    <row r="549" customFormat="false" ht="15" hidden="false" customHeight="false" outlineLevel="0" collapsed="false">
      <c r="A549" s="138" t="s">
        <v>2218</v>
      </c>
      <c r="B549" s="138" t="n">
        <v>547</v>
      </c>
      <c r="C549" s="138" t="n">
        <v>548</v>
      </c>
      <c r="D549" s="138" t="n">
        <v>108</v>
      </c>
      <c r="E549" s="138" t="n">
        <v>94.5</v>
      </c>
    </row>
    <row r="550" customFormat="false" ht="15" hidden="false" customHeight="false" outlineLevel="0" collapsed="false">
      <c r="A550" s="138" t="s">
        <v>2219</v>
      </c>
      <c r="B550" s="138" t="n">
        <v>548</v>
      </c>
      <c r="C550" s="138" t="n">
        <v>549</v>
      </c>
      <c r="D550" s="138" t="n">
        <v>90</v>
      </c>
      <c r="E550" s="138" t="n">
        <v>86.25</v>
      </c>
    </row>
    <row r="551" customFormat="false" ht="15" hidden="false" customHeight="false" outlineLevel="0" collapsed="false">
      <c r="A551" s="138" t="s">
        <v>2220</v>
      </c>
      <c r="B551" s="138" t="n">
        <v>549</v>
      </c>
      <c r="C551" s="138" t="n">
        <v>550</v>
      </c>
      <c r="D551" s="138" t="n">
        <v>81.25</v>
      </c>
      <c r="E551" s="138" t="n">
        <v>80.5</v>
      </c>
    </row>
    <row r="552" customFormat="false" ht="15" hidden="false" customHeight="false" outlineLevel="0" collapsed="false">
      <c r="A552" s="138" t="s">
        <v>2221</v>
      </c>
      <c r="B552" s="138" t="n">
        <v>550</v>
      </c>
      <c r="C552" s="138" t="n">
        <v>551</v>
      </c>
      <c r="D552" s="138" t="n">
        <v>78.5</v>
      </c>
      <c r="E552" s="138" t="n">
        <v>78.25</v>
      </c>
    </row>
    <row r="553" customFormat="false" ht="15" hidden="false" customHeight="false" outlineLevel="0" collapsed="false">
      <c r="A553" s="138" t="s">
        <v>2222</v>
      </c>
      <c r="B553" s="138" t="n">
        <v>551</v>
      </c>
      <c r="C553" s="138" t="n">
        <v>552</v>
      </c>
      <c r="D553" s="138" t="n">
        <v>75.25</v>
      </c>
      <c r="E553" s="138" t="n">
        <v>79</v>
      </c>
    </row>
    <row r="554" customFormat="false" ht="15" hidden="false" customHeight="false" outlineLevel="0" collapsed="false">
      <c r="A554" s="138" t="s">
        <v>2223</v>
      </c>
      <c r="B554" s="138" t="n">
        <v>552</v>
      </c>
      <c r="C554" s="138" t="n">
        <v>553</v>
      </c>
      <c r="D554" s="138" t="n">
        <v>79.75</v>
      </c>
      <c r="E554" s="138" t="n">
        <v>82.75</v>
      </c>
    </row>
    <row r="555" customFormat="false" ht="15" hidden="false" customHeight="false" outlineLevel="0" collapsed="false">
      <c r="A555" s="138" t="s">
        <v>2224</v>
      </c>
      <c r="B555" s="138" t="n">
        <v>553</v>
      </c>
      <c r="C555" s="138" t="n">
        <v>554</v>
      </c>
      <c r="D555" s="138" t="n">
        <v>86</v>
      </c>
      <c r="E555" s="138" t="n">
        <v>82.25</v>
      </c>
    </row>
    <row r="556" customFormat="false" ht="15" hidden="false" customHeight="false" outlineLevel="0" collapsed="false">
      <c r="A556" s="138" t="s">
        <v>2225</v>
      </c>
      <c r="B556" s="138" t="n">
        <v>554</v>
      </c>
      <c r="C556" s="138" t="n">
        <v>555</v>
      </c>
      <c r="D556" s="138" t="n">
        <v>87.75</v>
      </c>
      <c r="E556" s="138" t="n">
        <v>126.25</v>
      </c>
    </row>
    <row r="557" customFormat="false" ht="15" hidden="false" customHeight="false" outlineLevel="0" collapsed="false">
      <c r="A557" s="138" t="s">
        <v>2226</v>
      </c>
      <c r="B557" s="138" t="n">
        <v>555</v>
      </c>
      <c r="C557" s="138" t="n">
        <v>556</v>
      </c>
      <c r="D557" s="138" t="n">
        <v>82.5</v>
      </c>
      <c r="E557" s="138" t="n">
        <v>130.25</v>
      </c>
    </row>
    <row r="558" customFormat="false" ht="15" hidden="false" customHeight="false" outlineLevel="0" collapsed="false">
      <c r="A558" s="138" t="s">
        <v>2227</v>
      </c>
      <c r="B558" s="138" t="n">
        <v>556</v>
      </c>
      <c r="C558" s="138" t="n">
        <v>557</v>
      </c>
      <c r="D558" s="138" t="n">
        <v>44.5</v>
      </c>
      <c r="E558" s="138" t="n">
        <v>69.75</v>
      </c>
    </row>
    <row r="559" customFormat="false" ht="15" hidden="false" customHeight="false" outlineLevel="0" collapsed="false">
      <c r="A559" s="138" t="s">
        <v>2228</v>
      </c>
      <c r="B559" s="138" t="n">
        <v>557</v>
      </c>
      <c r="C559" s="138" t="n">
        <v>558</v>
      </c>
      <c r="D559" s="138" t="n">
        <v>36.5</v>
      </c>
      <c r="E559" s="138" t="n">
        <v>43.75</v>
      </c>
    </row>
    <row r="560" customFormat="false" ht="15" hidden="false" customHeight="false" outlineLevel="0" collapsed="false">
      <c r="A560" s="138" t="s">
        <v>2229</v>
      </c>
      <c r="B560" s="138" t="n">
        <v>558</v>
      </c>
      <c r="C560" s="138" t="n">
        <v>559</v>
      </c>
      <c r="D560" s="138" t="n">
        <v>45</v>
      </c>
      <c r="E560" s="138" t="n">
        <v>49.75</v>
      </c>
    </row>
    <row r="561" customFormat="false" ht="15" hidden="false" customHeight="false" outlineLevel="0" collapsed="false">
      <c r="A561" s="138" t="s">
        <v>2230</v>
      </c>
      <c r="B561" s="138" t="n">
        <v>559</v>
      </c>
      <c r="C561" s="138" t="n">
        <v>560</v>
      </c>
      <c r="D561" s="138" t="n">
        <v>67.5</v>
      </c>
      <c r="E561" s="138" t="n">
        <v>68</v>
      </c>
    </row>
    <row r="562" customFormat="false" ht="15" hidden="false" customHeight="false" outlineLevel="0" collapsed="false">
      <c r="A562" s="138" t="s">
        <v>2231</v>
      </c>
      <c r="B562" s="138" t="n">
        <v>560</v>
      </c>
      <c r="C562" s="138" t="n">
        <v>561</v>
      </c>
      <c r="D562" s="138" t="n">
        <v>81.5</v>
      </c>
      <c r="E562" s="138" t="n">
        <v>83.5</v>
      </c>
    </row>
    <row r="563" customFormat="false" ht="15" hidden="false" customHeight="false" outlineLevel="0" collapsed="false">
      <c r="A563" s="138" t="s">
        <v>2232</v>
      </c>
      <c r="B563" s="138" t="n">
        <v>561</v>
      </c>
      <c r="C563" s="138" t="n">
        <v>562</v>
      </c>
      <c r="D563" s="138" t="n">
        <v>88.25</v>
      </c>
      <c r="E563" s="138" t="n">
        <v>183.25</v>
      </c>
    </row>
    <row r="564" customFormat="false" ht="15" hidden="false" customHeight="false" outlineLevel="0" collapsed="false">
      <c r="A564" s="138" t="s">
        <v>2234</v>
      </c>
      <c r="B564" s="138" t="n">
        <v>562</v>
      </c>
      <c r="C564" s="138" t="n">
        <v>563</v>
      </c>
      <c r="D564" s="138" t="n">
        <v>96.5</v>
      </c>
      <c r="E564" s="138" t="n">
        <v>85.5</v>
      </c>
    </row>
    <row r="565" customFormat="false" ht="15" hidden="false" customHeight="false" outlineLevel="0" collapsed="false">
      <c r="A565" s="138" t="s">
        <v>2235</v>
      </c>
      <c r="B565" s="138" t="n">
        <v>563</v>
      </c>
      <c r="C565" s="138" t="n">
        <v>564</v>
      </c>
      <c r="D565" s="138" t="n">
        <v>105.75</v>
      </c>
      <c r="E565" s="138" t="n">
        <v>95.25</v>
      </c>
    </row>
    <row r="566" customFormat="false" ht="15" hidden="false" customHeight="false" outlineLevel="0" collapsed="false">
      <c r="A566" s="138" t="s">
        <v>2236</v>
      </c>
      <c r="B566" s="138" t="n">
        <v>564</v>
      </c>
      <c r="C566" s="138" t="n">
        <v>565</v>
      </c>
      <c r="D566" s="138" t="n">
        <v>114</v>
      </c>
      <c r="E566" s="138" t="n">
        <v>106.25</v>
      </c>
    </row>
    <row r="567" customFormat="false" ht="15" hidden="false" customHeight="false" outlineLevel="0" collapsed="false">
      <c r="A567" s="138" t="s">
        <v>2237</v>
      </c>
      <c r="B567" s="138" t="n">
        <v>565</v>
      </c>
      <c r="C567" s="138" t="n">
        <v>566</v>
      </c>
      <c r="D567" s="138" t="n">
        <v>118.25</v>
      </c>
      <c r="E567" s="138" t="n">
        <v>110.75</v>
      </c>
    </row>
    <row r="568" customFormat="false" ht="15" hidden="false" customHeight="false" outlineLevel="0" collapsed="false">
      <c r="A568" s="138" t="s">
        <v>2238</v>
      </c>
      <c r="B568" s="138" t="n">
        <v>566</v>
      </c>
      <c r="C568" s="138" t="n">
        <v>567</v>
      </c>
      <c r="D568" s="138" t="n">
        <v>111.5</v>
      </c>
      <c r="E568" s="138" t="n">
        <v>92</v>
      </c>
    </row>
    <row r="569" customFormat="false" ht="15" hidden="false" customHeight="false" outlineLevel="0" collapsed="false">
      <c r="A569" s="138" t="s">
        <v>2239</v>
      </c>
      <c r="B569" s="138" t="n">
        <v>567</v>
      </c>
      <c r="C569" s="138" t="n">
        <v>568</v>
      </c>
      <c r="D569" s="138" t="n">
        <v>116.25</v>
      </c>
      <c r="E569" s="138" t="n">
        <v>85</v>
      </c>
    </row>
    <row r="570" customFormat="false" ht="15" hidden="false" customHeight="false" outlineLevel="0" collapsed="false">
      <c r="A570" s="138" t="s">
        <v>2240</v>
      </c>
      <c r="B570" s="138" t="n">
        <v>568</v>
      </c>
      <c r="C570" s="138" t="n">
        <v>569</v>
      </c>
      <c r="D570" s="138" t="n">
        <v>107.25</v>
      </c>
      <c r="E570" s="138" t="n">
        <v>74.75</v>
      </c>
    </row>
    <row r="571" customFormat="false" ht="15" hidden="false" customHeight="false" outlineLevel="0" collapsed="false">
      <c r="A571" s="138" t="s">
        <v>2241</v>
      </c>
      <c r="B571" s="138" t="n">
        <v>569</v>
      </c>
      <c r="C571" s="138" t="n">
        <v>570</v>
      </c>
      <c r="D571" s="138" t="n">
        <v>85.5</v>
      </c>
      <c r="E571" s="138" t="n">
        <v>61.5</v>
      </c>
    </row>
    <row r="572" customFormat="false" ht="15" hidden="false" customHeight="false" outlineLevel="0" collapsed="false">
      <c r="A572" s="138" t="s">
        <v>2242</v>
      </c>
      <c r="B572" s="138" t="n">
        <v>570</v>
      </c>
      <c r="C572" s="138" t="n">
        <v>571</v>
      </c>
      <c r="D572" s="138" t="n">
        <v>75.25</v>
      </c>
      <c r="E572" s="138" t="n">
        <v>75.75</v>
      </c>
    </row>
    <row r="573" customFormat="false" ht="15" hidden="false" customHeight="false" outlineLevel="0" collapsed="false">
      <c r="A573" s="138" t="s">
        <v>2243</v>
      </c>
      <c r="B573" s="138" t="n">
        <v>571</v>
      </c>
      <c r="C573" s="138" t="n">
        <v>572</v>
      </c>
      <c r="D573" s="138" t="n">
        <v>81.75</v>
      </c>
      <c r="E573" s="138" t="n">
        <v>63.5</v>
      </c>
    </row>
    <row r="574" customFormat="false" ht="15" hidden="false" customHeight="false" outlineLevel="0" collapsed="false">
      <c r="A574" s="138" t="s">
        <v>2244</v>
      </c>
      <c r="B574" s="138" t="n">
        <v>572</v>
      </c>
      <c r="C574" s="138" t="n">
        <v>573</v>
      </c>
      <c r="D574" s="138" t="n">
        <v>152.75</v>
      </c>
      <c r="E574" s="138" t="n">
        <v>56.75</v>
      </c>
    </row>
    <row r="575" customFormat="false" ht="15" hidden="false" customHeight="false" outlineLevel="0" collapsed="false">
      <c r="A575" s="138" t="s">
        <v>2246</v>
      </c>
      <c r="B575" s="138" t="n">
        <v>573</v>
      </c>
      <c r="C575" s="138" t="n">
        <v>574</v>
      </c>
      <c r="D575" s="138" t="n">
        <v>49.75</v>
      </c>
      <c r="E575" s="138" t="n">
        <v>56.5</v>
      </c>
    </row>
    <row r="576" customFormat="false" ht="15" hidden="false" customHeight="false" outlineLevel="0" collapsed="false">
      <c r="A576" s="138" t="s">
        <v>2247</v>
      </c>
      <c r="B576" s="138" t="n">
        <v>574</v>
      </c>
      <c r="C576" s="138" t="n">
        <v>575</v>
      </c>
      <c r="D576" s="138" t="n">
        <v>59.5</v>
      </c>
      <c r="E576" s="138" t="n">
        <v>65.25</v>
      </c>
    </row>
    <row r="577" customFormat="false" ht="15" hidden="false" customHeight="false" outlineLevel="0" collapsed="false">
      <c r="A577" s="138" t="s">
        <v>2248</v>
      </c>
      <c r="B577" s="138" t="n">
        <v>575</v>
      </c>
      <c r="C577" s="138" t="n">
        <v>576</v>
      </c>
      <c r="D577" s="138" t="n">
        <v>68.75</v>
      </c>
      <c r="E577" s="138" t="n">
        <v>60.75</v>
      </c>
    </row>
    <row r="578" customFormat="false" ht="15" hidden="false" customHeight="false" outlineLevel="0" collapsed="false">
      <c r="A578" s="138" t="s">
        <v>2249</v>
      </c>
      <c r="B578" s="138" t="n">
        <v>576</v>
      </c>
      <c r="C578" s="138" t="n">
        <v>577</v>
      </c>
      <c r="D578" s="138" t="n">
        <v>69.75</v>
      </c>
      <c r="E578" s="138" t="n">
        <v>57.25</v>
      </c>
    </row>
    <row r="579" customFormat="false" ht="15" hidden="false" customHeight="false" outlineLevel="0" collapsed="false">
      <c r="A579" s="138" t="s">
        <v>2250</v>
      </c>
      <c r="B579" s="138" t="n">
        <v>577</v>
      </c>
      <c r="C579" s="138" t="n">
        <v>578</v>
      </c>
      <c r="D579" s="138" t="n">
        <v>70.5</v>
      </c>
      <c r="E579" s="138" t="n">
        <v>57.25</v>
      </c>
    </row>
    <row r="580" customFormat="false" ht="15" hidden="false" customHeight="false" outlineLevel="0" collapsed="false">
      <c r="A580" s="138" t="s">
        <v>2251</v>
      </c>
      <c r="B580" s="138" t="n">
        <v>578</v>
      </c>
      <c r="C580" s="138" t="n">
        <v>579</v>
      </c>
      <c r="D580" s="138" t="n">
        <v>63.5</v>
      </c>
      <c r="E580" s="138" t="n">
        <v>54.75</v>
      </c>
    </row>
    <row r="581" customFormat="false" ht="15" hidden="false" customHeight="false" outlineLevel="0" collapsed="false">
      <c r="A581" s="138" t="s">
        <v>2252</v>
      </c>
      <c r="B581" s="138" t="n">
        <v>579</v>
      </c>
      <c r="C581" s="138" t="n">
        <v>580</v>
      </c>
      <c r="D581" s="138" t="n">
        <v>66.5</v>
      </c>
      <c r="E581" s="138" t="n">
        <v>76.5</v>
      </c>
    </row>
    <row r="582" customFormat="false" ht="15" hidden="false" customHeight="false" outlineLevel="0" collapsed="false">
      <c r="A582" s="138" t="s">
        <v>2253</v>
      </c>
      <c r="B582" s="138" t="n">
        <v>580</v>
      </c>
      <c r="C582" s="138" t="n">
        <v>581</v>
      </c>
      <c r="D582" s="138" t="n">
        <v>64.75</v>
      </c>
      <c r="E582" s="138" t="n">
        <v>80.5</v>
      </c>
    </row>
    <row r="583" customFormat="false" ht="15" hidden="false" customHeight="false" outlineLevel="0" collapsed="false">
      <c r="A583" s="138" t="s">
        <v>2254</v>
      </c>
      <c r="B583" s="138" t="n">
        <v>581</v>
      </c>
      <c r="C583" s="138" t="n">
        <v>582</v>
      </c>
      <c r="D583" s="138" t="n">
        <v>77.5</v>
      </c>
      <c r="E583" s="138" t="n">
        <v>63.75</v>
      </c>
    </row>
    <row r="584" customFormat="false" ht="15" hidden="false" customHeight="false" outlineLevel="0" collapsed="false">
      <c r="A584" s="138" t="s">
        <v>2255</v>
      </c>
      <c r="B584" s="138" t="n">
        <v>582</v>
      </c>
      <c r="C584" s="138" t="n">
        <v>583</v>
      </c>
      <c r="D584" s="138" t="n">
        <v>67</v>
      </c>
      <c r="E584" s="138" t="n">
        <v>61</v>
      </c>
    </row>
    <row r="585" customFormat="false" ht="15" hidden="false" customHeight="false" outlineLevel="0" collapsed="false">
      <c r="A585" s="138" t="s">
        <v>2256</v>
      </c>
      <c r="B585" s="138" t="n">
        <v>583</v>
      </c>
      <c r="C585" s="138" t="n">
        <v>584</v>
      </c>
      <c r="D585" s="138" t="n">
        <v>39.75</v>
      </c>
      <c r="E585" s="138" t="n">
        <v>53</v>
      </c>
    </row>
    <row r="586" customFormat="false" ht="15" hidden="false" customHeight="false" outlineLevel="0" collapsed="false">
      <c r="A586" s="138" t="s">
        <v>2257</v>
      </c>
      <c r="B586" s="138" t="n">
        <v>584</v>
      </c>
      <c r="C586" s="138" t="n">
        <v>585</v>
      </c>
      <c r="D586" s="138" t="n">
        <v>37</v>
      </c>
      <c r="E586" s="138" t="n">
        <v>48</v>
      </c>
    </row>
    <row r="587" customFormat="false" ht="15" hidden="false" customHeight="false" outlineLevel="0" collapsed="false">
      <c r="A587" s="138" t="s">
        <v>2258</v>
      </c>
      <c r="B587" s="138" t="n">
        <v>585</v>
      </c>
      <c r="C587" s="138" t="n">
        <v>586</v>
      </c>
      <c r="D587" s="138" t="n">
        <v>73</v>
      </c>
      <c r="E587" s="138" t="n">
        <v>73</v>
      </c>
    </row>
    <row r="588" customFormat="false" ht="15" hidden="false" customHeight="false" outlineLevel="0" collapsed="false">
      <c r="A588" s="138" t="s">
        <v>2259</v>
      </c>
      <c r="B588" s="138" t="n">
        <v>586</v>
      </c>
      <c r="C588" s="138" t="n">
        <v>587</v>
      </c>
      <c r="D588" s="138" t="n">
        <v>83</v>
      </c>
      <c r="E588" s="138" t="n">
        <v>86.75</v>
      </c>
    </row>
    <row r="589" customFormat="false" ht="15" hidden="false" customHeight="false" outlineLevel="0" collapsed="false">
      <c r="A589" s="138" t="s">
        <v>2260</v>
      </c>
      <c r="B589" s="138" t="n">
        <v>587</v>
      </c>
      <c r="C589" s="138" t="n">
        <v>588</v>
      </c>
      <c r="D589" s="138" t="n">
        <v>87.75</v>
      </c>
      <c r="E589" s="138" t="n">
        <v>91</v>
      </c>
    </row>
    <row r="590" customFormat="false" ht="15" hidden="false" customHeight="false" outlineLevel="0" collapsed="false">
      <c r="A590" s="138" t="s">
        <v>2261</v>
      </c>
      <c r="B590" s="138" t="n">
        <v>588</v>
      </c>
      <c r="C590" s="138" t="n">
        <v>589</v>
      </c>
      <c r="D590" s="138" t="n">
        <v>82.25</v>
      </c>
      <c r="E590" s="138" t="n">
        <v>87</v>
      </c>
    </row>
    <row r="591" customFormat="false" ht="15" hidden="false" customHeight="false" outlineLevel="0" collapsed="false">
      <c r="A591" s="138" t="s">
        <v>2262</v>
      </c>
      <c r="B591" s="138" t="n">
        <v>589</v>
      </c>
      <c r="C591" s="138" t="n">
        <v>590</v>
      </c>
      <c r="D591" s="138" t="n">
        <v>73.5</v>
      </c>
      <c r="E591" s="138" t="n">
        <v>76.75</v>
      </c>
    </row>
    <row r="592" customFormat="false" ht="15" hidden="false" customHeight="false" outlineLevel="0" collapsed="false">
      <c r="A592" s="138" t="s">
        <v>2263</v>
      </c>
      <c r="B592" s="138" t="n">
        <v>590</v>
      </c>
      <c r="C592" s="138" t="n">
        <v>591</v>
      </c>
      <c r="D592" s="138" t="n">
        <v>55.5</v>
      </c>
      <c r="E592" s="138" t="n">
        <v>91</v>
      </c>
    </row>
    <row r="593" customFormat="false" ht="15" hidden="false" customHeight="false" outlineLevel="0" collapsed="false">
      <c r="A593" s="138" t="s">
        <v>2264</v>
      </c>
      <c r="B593" s="138" t="n">
        <v>591</v>
      </c>
      <c r="C593" s="138" t="n">
        <v>592</v>
      </c>
      <c r="D593" s="138" t="n">
        <v>58.5</v>
      </c>
      <c r="E593" s="138" t="n">
        <v>114.75</v>
      </c>
    </row>
    <row r="594" customFormat="false" ht="15" hidden="false" customHeight="false" outlineLevel="0" collapsed="false">
      <c r="A594" s="138" t="s">
        <v>2265</v>
      </c>
      <c r="B594" s="138" t="n">
        <v>592</v>
      </c>
      <c r="C594" s="138" t="n">
        <v>593</v>
      </c>
      <c r="D594" s="138" t="n">
        <v>45.25</v>
      </c>
      <c r="E594" s="138" t="n">
        <v>46.25</v>
      </c>
    </row>
    <row r="595" customFormat="false" ht="15" hidden="false" customHeight="false" outlineLevel="0" collapsed="false">
      <c r="A595" s="138" t="s">
        <v>2266</v>
      </c>
      <c r="B595" s="138" t="n">
        <v>593</v>
      </c>
      <c r="C595" s="138" t="n">
        <v>594</v>
      </c>
      <c r="D595" s="138" t="n">
        <v>60.5</v>
      </c>
      <c r="E595" s="138" t="n">
        <v>77.75</v>
      </c>
    </row>
    <row r="596" customFormat="false" ht="15" hidden="false" customHeight="false" outlineLevel="0" collapsed="false">
      <c r="A596" s="138" t="s">
        <v>2267</v>
      </c>
      <c r="B596" s="138" t="n">
        <v>594</v>
      </c>
      <c r="C596" s="138" t="n">
        <v>595</v>
      </c>
      <c r="D596" s="138" t="n">
        <v>85.25</v>
      </c>
      <c r="E596" s="138" t="n">
        <v>86.5</v>
      </c>
    </row>
    <row r="597" customFormat="false" ht="15" hidden="false" customHeight="false" outlineLevel="0" collapsed="false">
      <c r="A597" s="138" t="s">
        <v>2268</v>
      </c>
      <c r="B597" s="138" t="n">
        <v>595</v>
      </c>
      <c r="C597" s="138" t="n">
        <v>596</v>
      </c>
      <c r="D597" s="138" t="n">
        <v>82.5</v>
      </c>
      <c r="E597" s="138" t="n">
        <v>87.75</v>
      </c>
    </row>
    <row r="598" customFormat="false" ht="15" hidden="false" customHeight="false" outlineLevel="0" collapsed="false">
      <c r="A598" s="138" t="s">
        <v>2269</v>
      </c>
      <c r="B598" s="138" t="n">
        <v>596</v>
      </c>
      <c r="C598" s="138" t="n">
        <v>597</v>
      </c>
      <c r="D598" s="138" t="n">
        <v>84.25</v>
      </c>
      <c r="E598" s="138" t="n">
        <v>87.5</v>
      </c>
    </row>
    <row r="599" customFormat="false" ht="15" hidden="false" customHeight="false" outlineLevel="0" collapsed="false">
      <c r="A599" s="138" t="s">
        <v>2270</v>
      </c>
      <c r="B599" s="138" t="n">
        <v>597</v>
      </c>
      <c r="C599" s="138" t="n">
        <v>598</v>
      </c>
      <c r="D599" s="138" t="n">
        <v>80.5</v>
      </c>
      <c r="E599" s="138" t="n">
        <v>77.75</v>
      </c>
    </row>
    <row r="600" customFormat="false" ht="15" hidden="false" customHeight="false" outlineLevel="0" collapsed="false">
      <c r="A600" s="138" t="s">
        <v>1595</v>
      </c>
      <c r="B600" s="138" t="n">
        <v>598</v>
      </c>
      <c r="C600" s="138" t="n">
        <v>599</v>
      </c>
      <c r="D600" s="138" t="n">
        <v>39.25</v>
      </c>
      <c r="E600" s="138" t="n">
        <v>18.25</v>
      </c>
    </row>
    <row r="601" customFormat="false" ht="15" hidden="false" customHeight="false" outlineLevel="0" collapsed="false">
      <c r="A601" s="138" t="s">
        <v>2271</v>
      </c>
      <c r="B601" s="138" t="n">
        <v>599</v>
      </c>
      <c r="C601" s="138" t="n">
        <v>600</v>
      </c>
      <c r="D601" s="138" t="n">
        <v>31</v>
      </c>
      <c r="E601" s="138" t="n">
        <v>21.25</v>
      </c>
    </row>
    <row r="602" customFormat="false" ht="15" hidden="false" customHeight="false" outlineLevel="0" collapsed="false">
      <c r="A602" s="138" t="s">
        <v>2272</v>
      </c>
      <c r="B602" s="138" t="n">
        <v>600</v>
      </c>
      <c r="C602" s="138" t="n">
        <v>601</v>
      </c>
      <c r="D602" s="138" t="n">
        <v>39.5</v>
      </c>
      <c r="E602" s="138" t="n">
        <v>40.75</v>
      </c>
    </row>
    <row r="603" customFormat="false" ht="15" hidden="false" customHeight="false" outlineLevel="0" collapsed="false">
      <c r="A603" s="138" t="s">
        <v>2273</v>
      </c>
      <c r="B603" s="138" t="n">
        <v>601</v>
      </c>
      <c r="C603" s="138" t="n">
        <v>602</v>
      </c>
      <c r="D603" s="138" t="n">
        <v>57.25</v>
      </c>
      <c r="E603" s="138" t="n">
        <v>40</v>
      </c>
    </row>
    <row r="604" customFormat="false" ht="15" hidden="false" customHeight="false" outlineLevel="0" collapsed="false">
      <c r="A604" s="138" t="s">
        <v>1599</v>
      </c>
      <c r="B604" s="138" t="n">
        <v>602</v>
      </c>
      <c r="C604" s="138" t="n">
        <v>603</v>
      </c>
      <c r="D604" s="138" t="n">
        <v>54.75</v>
      </c>
      <c r="E604" s="138" t="n">
        <v>38.75</v>
      </c>
    </row>
    <row r="605" customFormat="false" ht="15" hidden="false" customHeight="false" outlineLevel="0" collapsed="false">
      <c r="A605" s="138" t="s">
        <v>2275</v>
      </c>
      <c r="B605" s="138" t="n">
        <v>603</v>
      </c>
      <c r="C605" s="138" t="n">
        <v>604</v>
      </c>
      <c r="D605" s="138" t="n">
        <v>27.25</v>
      </c>
      <c r="E605" s="138" t="n">
        <v>39</v>
      </c>
    </row>
    <row r="606" customFormat="false" ht="15" hidden="false" customHeight="false" outlineLevel="0" collapsed="false">
      <c r="A606" s="138" t="s">
        <v>2276</v>
      </c>
      <c r="B606" s="138" t="n">
        <v>604</v>
      </c>
      <c r="C606" s="138" t="n">
        <v>605</v>
      </c>
      <c r="D606" s="138" t="n">
        <v>33.75</v>
      </c>
      <c r="E606" s="138" t="n">
        <v>33.5</v>
      </c>
    </row>
    <row r="607" customFormat="false" ht="15" hidden="false" customHeight="false" outlineLevel="0" collapsed="false">
      <c r="A607" s="138" t="s">
        <v>2277</v>
      </c>
      <c r="B607" s="138" t="n">
        <v>605</v>
      </c>
      <c r="C607" s="138" t="n">
        <v>606</v>
      </c>
      <c r="D607" s="138" t="n">
        <v>43</v>
      </c>
      <c r="E607" s="138" t="n">
        <v>62.5</v>
      </c>
    </row>
    <row r="608" customFormat="false" ht="15" hidden="false" customHeight="false" outlineLevel="0" collapsed="false">
      <c r="A608" s="138" t="s">
        <v>2278</v>
      </c>
      <c r="B608" s="138" t="n">
        <v>606</v>
      </c>
      <c r="C608" s="138" t="n">
        <v>607</v>
      </c>
      <c r="D608" s="138" t="n">
        <v>50.75</v>
      </c>
      <c r="E608" s="138" t="n">
        <v>85.5</v>
      </c>
    </row>
    <row r="609" customFormat="false" ht="15" hidden="false" customHeight="false" outlineLevel="0" collapsed="false">
      <c r="A609" s="138" t="s">
        <v>2279</v>
      </c>
      <c r="B609" s="138" t="n">
        <v>607</v>
      </c>
      <c r="C609" s="138" t="n">
        <v>608</v>
      </c>
      <c r="D609" s="138" t="n">
        <v>64.75</v>
      </c>
      <c r="E609" s="138" t="n">
        <v>97.25</v>
      </c>
    </row>
    <row r="610" customFormat="false" ht="15" hidden="false" customHeight="false" outlineLevel="0" collapsed="false">
      <c r="A610" s="138" t="s">
        <v>2280</v>
      </c>
      <c r="B610" s="138" t="n">
        <v>608</v>
      </c>
      <c r="C610" s="138" t="n">
        <v>609</v>
      </c>
      <c r="D610" s="138" t="n">
        <v>43.5</v>
      </c>
      <c r="E610" s="138" t="n">
        <v>119.25</v>
      </c>
    </row>
    <row r="611" customFormat="false" ht="15" hidden="false" customHeight="false" outlineLevel="0" collapsed="false">
      <c r="A611" s="138" t="s">
        <v>2281</v>
      </c>
      <c r="B611" s="138" t="n">
        <v>609</v>
      </c>
      <c r="C611" s="138" t="n">
        <v>610</v>
      </c>
      <c r="D611" s="138" t="n">
        <v>37.75</v>
      </c>
      <c r="E611" s="138" t="n">
        <v>110.75</v>
      </c>
    </row>
    <row r="612" customFormat="false" ht="15" hidden="false" customHeight="false" outlineLevel="0" collapsed="false">
      <c r="A612" s="138" t="s">
        <v>2282</v>
      </c>
      <c r="B612" s="138" t="n">
        <v>610</v>
      </c>
      <c r="C612" s="138" t="n">
        <v>611</v>
      </c>
      <c r="D612" s="138" t="n">
        <v>20</v>
      </c>
      <c r="E612" s="138" t="n">
        <v>109.25</v>
      </c>
    </row>
    <row r="613" customFormat="false" ht="15" hidden="false" customHeight="false" outlineLevel="0" collapsed="false">
      <c r="A613" s="138" t="s">
        <v>2283</v>
      </c>
      <c r="B613" s="138" t="n">
        <v>611</v>
      </c>
      <c r="C613" s="138" t="n">
        <v>612</v>
      </c>
      <c r="D613" s="138" t="n">
        <v>32.25</v>
      </c>
      <c r="E613" s="138" t="n">
        <v>94.75</v>
      </c>
    </row>
    <row r="614" customFormat="false" ht="15" hidden="false" customHeight="false" outlineLevel="0" collapsed="false">
      <c r="A614" s="138" t="s">
        <v>2284</v>
      </c>
      <c r="B614" s="138" t="n">
        <v>612</v>
      </c>
      <c r="C614" s="138" t="n">
        <v>613</v>
      </c>
      <c r="D614" s="138" t="n">
        <v>8.75</v>
      </c>
      <c r="E614" s="138" t="n">
        <v>79</v>
      </c>
    </row>
    <row r="615" customFormat="false" ht="15" hidden="false" customHeight="false" outlineLevel="0" collapsed="false">
      <c r="A615" s="138" t="s">
        <v>2285</v>
      </c>
      <c r="B615" s="138" t="n">
        <v>613</v>
      </c>
      <c r="C615" s="138" t="n">
        <v>614</v>
      </c>
      <c r="D615" s="138" t="n">
        <v>14.25</v>
      </c>
      <c r="E615" s="138" t="n">
        <v>53</v>
      </c>
    </row>
    <row r="616" customFormat="false" ht="15" hidden="false" customHeight="false" outlineLevel="0" collapsed="false">
      <c r="A616" s="138" t="s">
        <v>2286</v>
      </c>
      <c r="B616" s="138" t="n">
        <v>614</v>
      </c>
      <c r="C616" s="138" t="n">
        <v>615</v>
      </c>
      <c r="D616" s="138" t="n">
        <v>16</v>
      </c>
      <c r="E616" s="138" t="n">
        <v>31</v>
      </c>
    </row>
    <row r="617" customFormat="false" ht="15" hidden="false" customHeight="false" outlineLevel="0" collapsed="false">
      <c r="A617" s="138" t="s">
        <v>2287</v>
      </c>
      <c r="B617" s="138" t="n">
        <v>615</v>
      </c>
      <c r="C617" s="138" t="n">
        <v>616</v>
      </c>
      <c r="D617" s="138" t="n">
        <v>22.25</v>
      </c>
      <c r="E617" s="138" t="n">
        <v>11.75</v>
      </c>
    </row>
    <row r="618" customFormat="false" ht="15" hidden="false" customHeight="false" outlineLevel="0" collapsed="false">
      <c r="A618" s="138" t="s">
        <v>2288</v>
      </c>
      <c r="B618" s="138" t="n">
        <v>616</v>
      </c>
      <c r="C618" s="138" t="n">
        <v>617</v>
      </c>
      <c r="D618" s="138" t="n">
        <v>34.5</v>
      </c>
      <c r="E618" s="138" t="n">
        <v>28.75</v>
      </c>
    </row>
    <row r="619" customFormat="false" ht="15" hidden="false" customHeight="false" outlineLevel="0" collapsed="false">
      <c r="A619" s="138" t="s">
        <v>2289</v>
      </c>
      <c r="B619" s="138" t="n">
        <v>617</v>
      </c>
      <c r="C619" s="138" t="n">
        <v>618</v>
      </c>
      <c r="D619" s="138" t="n">
        <v>19.25</v>
      </c>
      <c r="E619" s="138" t="n">
        <v>30.25</v>
      </c>
    </row>
    <row r="620" customFormat="false" ht="15" hidden="false" customHeight="false" outlineLevel="0" collapsed="false">
      <c r="A620" s="138" t="s">
        <v>2290</v>
      </c>
      <c r="B620" s="138" t="n">
        <v>618</v>
      </c>
      <c r="C620" s="138" t="n">
        <v>619</v>
      </c>
      <c r="D620" s="138" t="n">
        <v>44.5</v>
      </c>
      <c r="E620" s="138" t="n">
        <v>25.75</v>
      </c>
    </row>
    <row r="621" customFormat="false" ht="15" hidden="false" customHeight="false" outlineLevel="0" collapsed="false">
      <c r="A621" s="138" t="s">
        <v>2291</v>
      </c>
      <c r="B621" s="138" t="n">
        <v>619</v>
      </c>
      <c r="C621" s="138" t="n">
        <v>620</v>
      </c>
      <c r="D621" s="138" t="n">
        <v>29.5</v>
      </c>
      <c r="E621" s="138" t="n">
        <v>15.25</v>
      </c>
    </row>
    <row r="622" customFormat="false" ht="15" hidden="false" customHeight="false" outlineLevel="0" collapsed="false">
      <c r="A622" s="138" t="s">
        <v>2292</v>
      </c>
      <c r="B622" s="138" t="n">
        <v>620</v>
      </c>
      <c r="C622" s="138" t="n">
        <v>621</v>
      </c>
      <c r="D622" s="138" t="n">
        <v>13.75</v>
      </c>
      <c r="E622" s="138" t="n">
        <v>15.75</v>
      </c>
    </row>
    <row r="623" customFormat="false" ht="15" hidden="false" customHeight="false" outlineLevel="0" collapsed="false">
      <c r="A623" s="138" t="s">
        <v>2293</v>
      </c>
      <c r="B623" s="138" t="n">
        <v>621</v>
      </c>
      <c r="C623" s="138" t="n">
        <v>622</v>
      </c>
      <c r="D623" s="138" t="n">
        <v>17.5</v>
      </c>
      <c r="E623" s="138" t="n">
        <v>19.75</v>
      </c>
    </row>
    <row r="624" customFormat="false" ht="15" hidden="false" customHeight="false" outlineLevel="0" collapsed="false">
      <c r="A624" s="138" t="s">
        <v>2294</v>
      </c>
      <c r="B624" s="138" t="n">
        <v>622</v>
      </c>
      <c r="C624" s="138" t="n">
        <v>623</v>
      </c>
      <c r="D624" s="138" t="n">
        <v>30.75</v>
      </c>
      <c r="E624" s="138" t="n">
        <v>43.25</v>
      </c>
    </row>
    <row r="625" customFormat="false" ht="15" hidden="false" customHeight="false" outlineLevel="0" collapsed="false">
      <c r="A625" s="138" t="s">
        <v>2295</v>
      </c>
      <c r="B625" s="138" t="n">
        <v>623</v>
      </c>
      <c r="C625" s="138" t="n">
        <v>624</v>
      </c>
      <c r="D625" s="138" t="n">
        <v>51.75</v>
      </c>
      <c r="E625" s="138" t="n">
        <v>100.25</v>
      </c>
    </row>
    <row r="626" customFormat="false" ht="15" hidden="false" customHeight="false" outlineLevel="0" collapsed="false">
      <c r="A626" s="138" t="s">
        <v>2297</v>
      </c>
      <c r="B626" s="138" t="n">
        <v>624</v>
      </c>
      <c r="C626" s="138" t="n">
        <v>625</v>
      </c>
      <c r="D626" s="138" t="n">
        <v>36.75</v>
      </c>
      <c r="E626" s="138" t="n">
        <v>62.75</v>
      </c>
    </row>
    <row r="627" customFormat="false" ht="15" hidden="false" customHeight="false" outlineLevel="0" collapsed="false">
      <c r="A627" s="138" t="s">
        <v>2298</v>
      </c>
      <c r="B627" s="138" t="n">
        <v>625</v>
      </c>
      <c r="C627" s="138" t="n">
        <v>626</v>
      </c>
      <c r="D627" s="138" t="n">
        <v>34.5</v>
      </c>
      <c r="E627" s="138" t="n">
        <v>48.5</v>
      </c>
    </row>
    <row r="628" customFormat="false" ht="15" hidden="false" customHeight="false" outlineLevel="0" collapsed="false">
      <c r="A628" s="138" t="s">
        <v>2299</v>
      </c>
      <c r="B628" s="138" t="n">
        <v>626</v>
      </c>
      <c r="C628" s="138" t="n">
        <v>627</v>
      </c>
      <c r="D628" s="138" t="n">
        <v>35</v>
      </c>
      <c r="E628" s="138" t="n">
        <v>43</v>
      </c>
    </row>
    <row r="629" customFormat="false" ht="15" hidden="false" customHeight="false" outlineLevel="0" collapsed="false">
      <c r="A629" s="138" t="s">
        <v>2300</v>
      </c>
      <c r="B629" s="138" t="n">
        <v>627</v>
      </c>
      <c r="C629" s="138" t="n">
        <v>628</v>
      </c>
      <c r="D629" s="138" t="n">
        <v>24.25</v>
      </c>
      <c r="E629" s="138" t="n">
        <v>39.5</v>
      </c>
    </row>
    <row r="630" customFormat="false" ht="15" hidden="false" customHeight="false" outlineLevel="0" collapsed="false">
      <c r="A630" s="138" t="s">
        <v>2301</v>
      </c>
      <c r="B630" s="138" t="n">
        <v>628</v>
      </c>
      <c r="C630" s="138" t="n">
        <v>629</v>
      </c>
      <c r="D630" s="138" t="n">
        <v>25.25</v>
      </c>
      <c r="E630" s="138" t="n">
        <v>28.25</v>
      </c>
    </row>
    <row r="631" customFormat="false" ht="15" hidden="false" customHeight="false" outlineLevel="0" collapsed="false">
      <c r="A631" s="138" t="s">
        <v>2302</v>
      </c>
      <c r="B631" s="138" t="n">
        <v>629</v>
      </c>
      <c r="C631" s="138" t="n">
        <v>630</v>
      </c>
      <c r="D631" s="138" t="n">
        <v>15.5</v>
      </c>
      <c r="E631" s="138" t="n">
        <v>23</v>
      </c>
    </row>
    <row r="632" customFormat="false" ht="15" hidden="false" customHeight="false" outlineLevel="0" collapsed="false">
      <c r="A632" s="138" t="s">
        <v>2303</v>
      </c>
      <c r="B632" s="138" t="n">
        <v>630</v>
      </c>
      <c r="C632" s="138" t="n">
        <v>631</v>
      </c>
      <c r="D632" s="138" t="n">
        <v>16.25</v>
      </c>
      <c r="E632" s="138" t="n">
        <v>16.75</v>
      </c>
    </row>
    <row r="633" customFormat="false" ht="15" hidden="false" customHeight="false" outlineLevel="0" collapsed="false">
      <c r="A633" s="138" t="s">
        <v>2304</v>
      </c>
      <c r="B633" s="138" t="n">
        <v>631</v>
      </c>
      <c r="C633" s="138" t="n">
        <v>632</v>
      </c>
      <c r="D633" s="138" t="n">
        <v>10.75</v>
      </c>
      <c r="E633" s="138" t="n">
        <v>17.5</v>
      </c>
    </row>
    <row r="634" customFormat="false" ht="15" hidden="false" customHeight="false" outlineLevel="0" collapsed="false">
      <c r="A634" s="138" t="s">
        <v>2305</v>
      </c>
      <c r="B634" s="138" t="n">
        <v>632</v>
      </c>
      <c r="C634" s="138" t="n">
        <v>633</v>
      </c>
      <c r="D634" s="138" t="n">
        <v>11.75</v>
      </c>
      <c r="E634" s="138" t="n">
        <v>13</v>
      </c>
    </row>
    <row r="635" customFormat="false" ht="15" hidden="false" customHeight="false" outlineLevel="0" collapsed="false">
      <c r="A635" s="138" t="s">
        <v>2306</v>
      </c>
      <c r="B635" s="138" t="n">
        <v>633</v>
      </c>
      <c r="C635" s="138" t="n">
        <v>634</v>
      </c>
      <c r="D635" s="138" t="n">
        <v>12</v>
      </c>
      <c r="E635" s="138" t="n">
        <v>13.25</v>
      </c>
    </row>
    <row r="636" customFormat="false" ht="15" hidden="false" customHeight="false" outlineLevel="0" collapsed="false">
      <c r="A636" s="138" t="s">
        <v>2308</v>
      </c>
      <c r="B636" s="138" t="n">
        <v>634</v>
      </c>
      <c r="C636" s="138" t="n">
        <v>635</v>
      </c>
      <c r="D636" s="138" t="n">
        <v>53.25</v>
      </c>
      <c r="E636" s="138" t="n">
        <v>5.75</v>
      </c>
    </row>
    <row r="637" customFormat="false" ht="15" hidden="false" customHeight="false" outlineLevel="0" collapsed="false">
      <c r="A637" s="138" t="s">
        <v>2310</v>
      </c>
      <c r="B637" s="138" t="n">
        <v>635</v>
      </c>
      <c r="C637" s="138" t="n">
        <v>636</v>
      </c>
      <c r="D637" s="138" t="n">
        <v>53.75</v>
      </c>
      <c r="E637" s="138" t="n">
        <v>12.5</v>
      </c>
    </row>
    <row r="638" customFormat="false" ht="15" hidden="false" customHeight="false" outlineLevel="0" collapsed="false">
      <c r="A638" s="138" t="s">
        <v>2311</v>
      </c>
      <c r="B638" s="138" t="n">
        <v>636</v>
      </c>
      <c r="C638" s="138" t="n">
        <v>637</v>
      </c>
      <c r="D638" s="138" t="n">
        <v>17</v>
      </c>
      <c r="E638" s="138" t="n">
        <v>21</v>
      </c>
    </row>
    <row r="639" customFormat="false" ht="15" hidden="false" customHeight="false" outlineLevel="0" collapsed="false">
      <c r="A639" s="138" t="s">
        <v>2312</v>
      </c>
      <c r="B639" s="138" t="n">
        <v>637</v>
      </c>
      <c r="C639" s="138" t="n">
        <v>638</v>
      </c>
      <c r="D639" s="138" t="n">
        <v>17</v>
      </c>
      <c r="E639" s="138" t="n">
        <v>26.25</v>
      </c>
    </row>
    <row r="640" customFormat="false" ht="15" hidden="false" customHeight="false" outlineLevel="0" collapsed="false">
      <c r="A640" s="138" t="s">
        <v>2313</v>
      </c>
      <c r="B640" s="138" t="n">
        <v>638</v>
      </c>
      <c r="C640" s="138" t="n">
        <v>639</v>
      </c>
      <c r="D640" s="138" t="n">
        <v>19</v>
      </c>
      <c r="E640" s="138" t="n">
        <v>28.25</v>
      </c>
    </row>
    <row r="641" customFormat="false" ht="15" hidden="false" customHeight="false" outlineLevel="0" collapsed="false">
      <c r="A641" s="138" t="s">
        <v>2314</v>
      </c>
      <c r="B641" s="138" t="n">
        <v>639</v>
      </c>
      <c r="C641" s="138" t="n">
        <v>640</v>
      </c>
      <c r="D641" s="138" t="n">
        <v>19.25</v>
      </c>
      <c r="E641" s="138" t="n">
        <v>16.75</v>
      </c>
    </row>
    <row r="642" customFormat="false" ht="15" hidden="false" customHeight="false" outlineLevel="0" collapsed="false">
      <c r="A642" s="138" t="s">
        <v>2316</v>
      </c>
      <c r="B642" s="138" t="n">
        <v>640</v>
      </c>
      <c r="C642" s="138" t="n">
        <v>641</v>
      </c>
      <c r="D642" s="138" t="n">
        <v>19.5</v>
      </c>
      <c r="E642" s="138" t="n">
        <v>20.25</v>
      </c>
    </row>
    <row r="643" customFormat="false" ht="15" hidden="false" customHeight="false" outlineLevel="0" collapsed="false">
      <c r="A643" s="138" t="s">
        <v>2317</v>
      </c>
      <c r="B643" s="138" t="n">
        <v>641</v>
      </c>
      <c r="C643" s="138" t="n">
        <v>642</v>
      </c>
      <c r="D643" s="138" t="n">
        <v>24.75</v>
      </c>
      <c r="E643" s="138" t="n">
        <v>15.5</v>
      </c>
    </row>
    <row r="644" customFormat="false" ht="15" hidden="false" customHeight="false" outlineLevel="0" collapsed="false">
      <c r="A644" s="138" t="s">
        <v>1607</v>
      </c>
      <c r="B644" s="138" t="n">
        <v>642</v>
      </c>
      <c r="C644" s="138" t="n">
        <v>642.79085</v>
      </c>
      <c r="D644" s="138" t="n">
        <v>15.25</v>
      </c>
      <c r="E644" s="138" t="n">
        <v>24.75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0"/>
    <col collapsed="false" customWidth="true" hidden="false" outlineLevel="0" max="3" min="3" style="0" width="5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9" min="8" style="0" width="10"/>
  </cols>
  <sheetData>
    <row r="1" customFormat="false" ht="48" hidden="false" customHeight="true" outlineLevel="0" collapsed="false">
      <c r="A1" s="133" t="s">
        <v>56</v>
      </c>
      <c r="B1" s="133" t="s">
        <v>57</v>
      </c>
      <c r="C1" s="133" t="s">
        <v>58</v>
      </c>
      <c r="D1" s="133" t="s">
        <v>4337</v>
      </c>
      <c r="E1" s="133" t="s">
        <v>903</v>
      </c>
      <c r="F1" s="133" t="s">
        <v>4338</v>
      </c>
      <c r="G1" s="133" t="s">
        <v>4339</v>
      </c>
      <c r="H1" s="133" t="s">
        <v>2367</v>
      </c>
      <c r="I1" s="133" t="s">
        <v>2368</v>
      </c>
    </row>
    <row r="2" customFormat="false" ht="15" hidden="false" customHeight="false" outlineLevel="0" collapsed="false">
      <c r="A2" s="138" t="s">
        <v>498</v>
      </c>
      <c r="B2" s="138" t="s">
        <v>546</v>
      </c>
      <c r="C2" s="138" t="s">
        <v>173</v>
      </c>
      <c r="D2" s="141" t="n">
        <v>22922</v>
      </c>
      <c r="E2" s="141" t="n">
        <v>18.52</v>
      </c>
      <c r="F2" s="141" t="n">
        <f aca="false">D2*E2</f>
        <v>424515.44</v>
      </c>
      <c r="G2" s="138" t="s">
        <v>4340</v>
      </c>
      <c r="H2" s="138" t="n">
        <v>235.3</v>
      </c>
      <c r="I2" s="138" t="n">
        <v>237.05</v>
      </c>
    </row>
    <row r="3" customFormat="false" ht="15" hidden="false" customHeight="false" outlineLevel="0" collapsed="false">
      <c r="A3" s="138" t="s">
        <v>548</v>
      </c>
      <c r="B3" s="138" t="s">
        <v>549</v>
      </c>
      <c r="C3" s="138" t="s">
        <v>3904</v>
      </c>
      <c r="D3" s="141" t="n">
        <v>39.8</v>
      </c>
      <c r="E3" s="141" t="n">
        <v>1138.17</v>
      </c>
      <c r="F3" s="141" t="n">
        <f aca="false">D3*E3</f>
        <v>45299.166</v>
      </c>
      <c r="G3" s="138" t="s">
        <v>4341</v>
      </c>
      <c r="H3" s="138" t="n">
        <v>235.3</v>
      </c>
      <c r="I3" s="138" t="n">
        <v>237.05</v>
      </c>
    </row>
    <row r="4" customFormat="false" ht="15" hidden="false" customHeight="false" outlineLevel="0" collapsed="false">
      <c r="A4" s="138" t="s">
        <v>509</v>
      </c>
      <c r="B4" s="138" t="s">
        <v>550</v>
      </c>
      <c r="C4" s="138" t="s">
        <v>3904</v>
      </c>
      <c r="D4" s="141" t="n">
        <v>130.4</v>
      </c>
      <c r="E4" s="141" t="n">
        <v>42.33</v>
      </c>
      <c r="F4" s="141" t="n">
        <f aca="false">D4*E4</f>
        <v>5519.832</v>
      </c>
      <c r="G4" s="138" t="s">
        <v>4341</v>
      </c>
      <c r="H4" s="138" t="n">
        <v>235.3</v>
      </c>
      <c r="I4" s="138" t="n">
        <v>237.05</v>
      </c>
    </row>
    <row r="5" customFormat="false" ht="15" hidden="false" customHeight="false" outlineLevel="0" collapsed="false">
      <c r="A5" s="138" t="s">
        <v>551</v>
      </c>
      <c r="B5" s="138" t="s">
        <v>552</v>
      </c>
      <c r="C5" s="138" t="s">
        <v>3904</v>
      </c>
      <c r="D5" s="141" t="n">
        <v>116.44</v>
      </c>
      <c r="E5" s="141" t="n">
        <v>537.79</v>
      </c>
      <c r="F5" s="141" t="n">
        <f aca="false">D5*E5</f>
        <v>62620.2676</v>
      </c>
      <c r="G5" s="138" t="s">
        <v>4342</v>
      </c>
      <c r="H5" s="138" t="n">
        <v>235.3</v>
      </c>
      <c r="I5" s="138" t="n">
        <v>237.05</v>
      </c>
    </row>
    <row r="6" customFormat="false" ht="15" hidden="false" customHeight="false" outlineLevel="0" collapsed="false">
      <c r="A6" s="138" t="s">
        <v>553</v>
      </c>
      <c r="B6" s="138" t="s">
        <v>554</v>
      </c>
      <c r="C6" s="138" t="s">
        <v>3904</v>
      </c>
      <c r="D6" s="141" t="n">
        <v>13.96</v>
      </c>
      <c r="E6" s="141" t="n">
        <v>503.57</v>
      </c>
      <c r="F6" s="141" t="n">
        <f aca="false">D6*E6</f>
        <v>7029.8372</v>
      </c>
      <c r="G6" s="138" t="s">
        <v>4342</v>
      </c>
      <c r="H6" s="138" t="n">
        <v>235.3</v>
      </c>
      <c r="I6" s="138" t="n">
        <v>237.05</v>
      </c>
    </row>
    <row r="7" customFormat="false" ht="15" hidden="false" customHeight="false" outlineLevel="0" collapsed="false">
      <c r="A7" s="138" t="s">
        <v>555</v>
      </c>
      <c r="B7" s="138" t="s">
        <v>556</v>
      </c>
      <c r="C7" s="138" t="s">
        <v>176</v>
      </c>
      <c r="D7" s="141" t="n">
        <v>120</v>
      </c>
      <c r="E7" s="141" t="n">
        <v>1164.36</v>
      </c>
      <c r="F7" s="141" t="n">
        <f aca="false">D7*E7</f>
        <v>139723.2</v>
      </c>
      <c r="G7" s="138" t="s">
        <v>4343</v>
      </c>
      <c r="H7" s="138" t="n">
        <v>235.3</v>
      </c>
      <c r="I7" s="138" t="n">
        <v>237.05</v>
      </c>
    </row>
    <row r="8" customFormat="false" ht="15" hidden="false" customHeight="false" outlineLevel="0" collapsed="false">
      <c r="A8" s="138" t="s">
        <v>557</v>
      </c>
      <c r="B8" s="138" t="s">
        <v>558</v>
      </c>
      <c r="C8" s="138" t="s">
        <v>176</v>
      </c>
      <c r="D8" s="141" t="n">
        <v>168</v>
      </c>
      <c r="E8" s="141" t="n">
        <v>633.06</v>
      </c>
      <c r="F8" s="141" t="n">
        <f aca="false">D8*E8</f>
        <v>106354.08</v>
      </c>
      <c r="G8" s="138" t="s">
        <v>4343</v>
      </c>
      <c r="H8" s="138" t="n">
        <v>235.3</v>
      </c>
      <c r="I8" s="138" t="n">
        <v>237.05</v>
      </c>
    </row>
    <row r="9" customFormat="false" ht="15" hidden="false" customHeight="false" outlineLevel="0" collapsed="false">
      <c r="A9" s="138" t="s">
        <v>505</v>
      </c>
      <c r="B9" s="138" t="s">
        <v>559</v>
      </c>
      <c r="C9" s="138" t="s">
        <v>3901</v>
      </c>
      <c r="D9" s="141" t="n">
        <v>364.69</v>
      </c>
      <c r="E9" s="141" t="n">
        <v>88.88</v>
      </c>
      <c r="F9" s="141" t="n">
        <f aca="false">D9*E9</f>
        <v>32413.6472</v>
      </c>
      <c r="G9" s="138" t="s">
        <v>4344</v>
      </c>
      <c r="H9" s="138" t="n">
        <v>235.3</v>
      </c>
      <c r="I9" s="138" t="n">
        <v>237.05</v>
      </c>
    </row>
    <row r="10" customFormat="false" ht="15" hidden="false" customHeight="false" outlineLevel="0" collapsed="false">
      <c r="A10" s="138" t="s">
        <v>560</v>
      </c>
      <c r="B10" s="138" t="s">
        <v>561</v>
      </c>
      <c r="C10" s="138" t="s">
        <v>176</v>
      </c>
      <c r="D10" s="141" t="n">
        <v>23.6</v>
      </c>
      <c r="E10" s="141" t="n">
        <v>817.87</v>
      </c>
      <c r="F10" s="141" t="n">
        <f aca="false">D10*E10</f>
        <v>19301.732</v>
      </c>
      <c r="G10" s="138" t="s">
        <v>4341</v>
      </c>
      <c r="H10" s="138" t="n">
        <v>235.3</v>
      </c>
      <c r="I10" s="138" t="n">
        <v>237.05</v>
      </c>
    </row>
    <row r="11" customFormat="false" ht="15" hidden="false" customHeight="false" outlineLevel="0" collapsed="false">
      <c r="A11" s="138" t="s">
        <v>498</v>
      </c>
      <c r="B11" s="138" t="s">
        <v>546</v>
      </c>
      <c r="C11" s="138" t="s">
        <v>173</v>
      </c>
      <c r="D11" s="141" t="n">
        <v>37883</v>
      </c>
      <c r="E11" s="141" t="n">
        <v>18.52</v>
      </c>
      <c r="F11" s="141" t="n">
        <f aca="false">D11*E11</f>
        <v>701593.16</v>
      </c>
      <c r="G11" s="138" t="s">
        <v>4340</v>
      </c>
      <c r="H11" s="138" t="n">
        <v>235.3</v>
      </c>
      <c r="I11" s="138" t="n">
        <v>237.05</v>
      </c>
    </row>
    <row r="12" customFormat="false" ht="15" hidden="false" customHeight="false" outlineLevel="0" collapsed="false">
      <c r="A12" s="138" t="s">
        <v>563</v>
      </c>
      <c r="B12" s="138" t="s">
        <v>564</v>
      </c>
      <c r="C12" s="138" t="s">
        <v>173</v>
      </c>
      <c r="D12" s="141" t="n">
        <v>221.18</v>
      </c>
      <c r="E12" s="141" t="n">
        <v>97.45</v>
      </c>
      <c r="F12" s="141" t="n">
        <f aca="false">D12*E12</f>
        <v>21553.991</v>
      </c>
      <c r="G12" s="138" t="s">
        <v>4341</v>
      </c>
      <c r="H12" s="138" t="n">
        <v>235.3</v>
      </c>
      <c r="I12" s="138" t="n">
        <v>237.05</v>
      </c>
    </row>
    <row r="13" customFormat="false" ht="15" hidden="false" customHeight="false" outlineLevel="0" collapsed="false">
      <c r="A13" s="138" t="s">
        <v>509</v>
      </c>
      <c r="B13" s="138" t="s">
        <v>550</v>
      </c>
      <c r="C13" s="138" t="s">
        <v>3904</v>
      </c>
      <c r="D13" s="141" t="n">
        <v>156</v>
      </c>
      <c r="E13" s="141" t="n">
        <v>42.33</v>
      </c>
      <c r="F13" s="141" t="n">
        <f aca="false">D13*E13</f>
        <v>6603.48</v>
      </c>
      <c r="G13" s="138" t="s">
        <v>4341</v>
      </c>
      <c r="H13" s="138" t="n">
        <v>235.3</v>
      </c>
      <c r="I13" s="138" t="n">
        <v>237.05</v>
      </c>
    </row>
    <row r="14" customFormat="false" ht="15" hidden="false" customHeight="false" outlineLevel="0" collapsed="false">
      <c r="A14" s="138" t="s">
        <v>565</v>
      </c>
      <c r="B14" s="138" t="s">
        <v>566</v>
      </c>
      <c r="C14" s="138" t="s">
        <v>80</v>
      </c>
      <c r="D14" s="141" t="n">
        <v>52</v>
      </c>
      <c r="E14" s="141" t="n">
        <v>91.21</v>
      </c>
      <c r="F14" s="141" t="n">
        <f aca="false">D14*E14</f>
        <v>4742.92</v>
      </c>
      <c r="G14" s="138" t="s">
        <v>4345</v>
      </c>
      <c r="H14" s="138" t="n">
        <v>235.3</v>
      </c>
      <c r="I14" s="138" t="n">
        <v>237.05</v>
      </c>
    </row>
    <row r="15" customFormat="false" ht="15" hidden="false" customHeight="false" outlineLevel="0" collapsed="false">
      <c r="A15" s="138" t="s">
        <v>567</v>
      </c>
      <c r="B15" s="138" t="s">
        <v>568</v>
      </c>
      <c r="C15" s="138" t="s">
        <v>80</v>
      </c>
      <c r="D15" s="141" t="n">
        <v>104</v>
      </c>
      <c r="E15" s="141" t="n">
        <v>265.38</v>
      </c>
      <c r="F15" s="141" t="n">
        <f aca="false">D15*E15</f>
        <v>27599.52</v>
      </c>
      <c r="G15" s="138" t="s">
        <v>4345</v>
      </c>
      <c r="H15" s="138" t="n">
        <v>235.3</v>
      </c>
      <c r="I15" s="138" t="n">
        <v>237.05</v>
      </c>
    </row>
    <row r="16" customFormat="false" ht="15" hidden="false" customHeight="false" outlineLevel="0" collapsed="false">
      <c r="A16" s="138" t="s">
        <v>569</v>
      </c>
      <c r="B16" s="138" t="s">
        <v>570</v>
      </c>
      <c r="C16" s="138" t="s">
        <v>80</v>
      </c>
      <c r="D16" s="141" t="n">
        <v>4</v>
      </c>
      <c r="E16" s="141" t="n">
        <v>54233.55</v>
      </c>
      <c r="F16" s="141" t="n">
        <f aca="false">D16*E16</f>
        <v>216934.2</v>
      </c>
      <c r="G16" s="138" t="s">
        <v>4346</v>
      </c>
      <c r="H16" s="138" t="n">
        <v>235.3</v>
      </c>
      <c r="I16" s="138" t="n">
        <v>237.05</v>
      </c>
    </row>
    <row r="17" customFormat="false" ht="15" hidden="false" customHeight="false" outlineLevel="0" collapsed="false">
      <c r="A17" s="138" t="s">
        <v>553</v>
      </c>
      <c r="B17" s="138" t="s">
        <v>554</v>
      </c>
      <c r="C17" s="138" t="s">
        <v>3904</v>
      </c>
      <c r="D17" s="141" t="n">
        <v>16.75</v>
      </c>
      <c r="E17" s="141" t="n">
        <v>503.57</v>
      </c>
      <c r="F17" s="141" t="n">
        <f aca="false">D17*E17</f>
        <v>8434.7975</v>
      </c>
      <c r="G17" s="138" t="s">
        <v>4342</v>
      </c>
      <c r="H17" s="138" t="n">
        <v>235.3</v>
      </c>
      <c r="I17" s="138" t="n">
        <v>237.05</v>
      </c>
    </row>
    <row r="18" customFormat="false" ht="15" hidden="false" customHeight="false" outlineLevel="0" collapsed="false">
      <c r="A18" s="138" t="s">
        <v>571</v>
      </c>
      <c r="B18" s="138" t="s">
        <v>572</v>
      </c>
      <c r="C18" s="138" t="s">
        <v>3904</v>
      </c>
      <c r="D18" s="141" t="n">
        <v>227.6</v>
      </c>
      <c r="E18" s="141" t="n">
        <v>600.78</v>
      </c>
      <c r="F18" s="141" t="n">
        <f aca="false">D18*E18</f>
        <v>136737.528</v>
      </c>
      <c r="G18" s="138" t="s">
        <v>4342</v>
      </c>
      <c r="H18" s="138" t="n">
        <v>235.3</v>
      </c>
      <c r="I18" s="138" t="n">
        <v>237.05</v>
      </c>
    </row>
    <row r="19" customFormat="false" ht="15" hidden="false" customHeight="false" outlineLevel="0" collapsed="false">
      <c r="A19" s="138" t="s">
        <v>573</v>
      </c>
      <c r="B19" s="138" t="s">
        <v>574</v>
      </c>
      <c r="C19" s="138" t="s">
        <v>80</v>
      </c>
      <c r="D19" s="141" t="n">
        <v>18</v>
      </c>
      <c r="E19" s="141" t="n">
        <v>87.21</v>
      </c>
      <c r="F19" s="141" t="n">
        <f aca="false">D19*E19</f>
        <v>1569.78</v>
      </c>
      <c r="G19" s="138" t="s">
        <v>4341</v>
      </c>
      <c r="H19" s="138" t="n">
        <v>235.3</v>
      </c>
      <c r="I19" s="138" t="n">
        <v>237.05</v>
      </c>
    </row>
    <row r="20" customFormat="false" ht="15" hidden="false" customHeight="false" outlineLevel="0" collapsed="false">
      <c r="A20" s="138" t="s">
        <v>505</v>
      </c>
      <c r="B20" s="138" t="s">
        <v>559</v>
      </c>
      <c r="C20" s="138" t="s">
        <v>3901</v>
      </c>
      <c r="D20" s="141" t="n">
        <v>1245.63</v>
      </c>
      <c r="E20" s="141" t="n">
        <v>88.88</v>
      </c>
      <c r="F20" s="141" t="n">
        <f aca="false">D20*E20</f>
        <v>110711.5944</v>
      </c>
      <c r="G20" s="138" t="s">
        <v>4344</v>
      </c>
      <c r="H20" s="138" t="n">
        <v>235.3</v>
      </c>
      <c r="I20" s="138" t="n">
        <v>237.05</v>
      </c>
    </row>
    <row r="21" customFormat="false" ht="15" hidden="false" customHeight="false" outlineLevel="0" collapsed="false">
      <c r="A21" s="138" t="s">
        <v>575</v>
      </c>
      <c r="B21" s="138" t="s">
        <v>576</v>
      </c>
      <c r="C21" s="138" t="s">
        <v>173</v>
      </c>
      <c r="D21" s="141" t="n">
        <v>1302.08</v>
      </c>
      <c r="E21" s="141" t="n">
        <v>12.82</v>
      </c>
      <c r="F21" s="141" t="n">
        <f aca="false">D21*E21</f>
        <v>16692.6656</v>
      </c>
      <c r="G21" s="138" t="s">
        <v>4341</v>
      </c>
      <c r="H21" s="138" t="n">
        <v>235.3</v>
      </c>
      <c r="I21" s="138" t="n">
        <v>237.05</v>
      </c>
    </row>
    <row r="22" customFormat="false" ht="15" hidden="false" customHeight="false" outlineLevel="0" collapsed="false">
      <c r="A22" s="138" t="s">
        <v>577</v>
      </c>
      <c r="B22" s="138" t="s">
        <v>578</v>
      </c>
      <c r="C22" s="138" t="s">
        <v>80</v>
      </c>
      <c r="D22" s="141" t="n">
        <v>8</v>
      </c>
      <c r="E22" s="141" t="n">
        <v>432.63</v>
      </c>
      <c r="F22" s="141" t="n">
        <f aca="false">D22*E22</f>
        <v>3461.04</v>
      </c>
      <c r="G22" s="138" t="s">
        <v>4341</v>
      </c>
      <c r="H22" s="138" t="n">
        <v>235.3</v>
      </c>
      <c r="I22" s="138" t="n">
        <v>237.05</v>
      </c>
    </row>
    <row r="23" customFormat="false" ht="15" hidden="false" customHeight="false" outlineLevel="0" collapsed="false">
      <c r="A23" s="138" t="s">
        <v>579</v>
      </c>
      <c r="B23" s="138" t="s">
        <v>580</v>
      </c>
      <c r="C23" s="138" t="s">
        <v>80</v>
      </c>
      <c r="D23" s="141" t="n">
        <v>4</v>
      </c>
      <c r="E23" s="141" t="n">
        <v>319.59</v>
      </c>
      <c r="F23" s="141" t="n">
        <f aca="false">D23*E23</f>
        <v>1278.36</v>
      </c>
      <c r="G23" s="138" t="s">
        <v>4341</v>
      </c>
      <c r="H23" s="138" t="n">
        <v>235.3</v>
      </c>
      <c r="I23" s="138" t="n">
        <v>237.05</v>
      </c>
    </row>
    <row r="24" customFormat="false" ht="15" hidden="false" customHeight="false" outlineLevel="0" collapsed="false">
      <c r="A24" s="138" t="s">
        <v>581</v>
      </c>
      <c r="B24" s="138" t="s">
        <v>582</v>
      </c>
      <c r="C24" s="138" t="s">
        <v>80</v>
      </c>
      <c r="D24" s="141" t="n">
        <v>4</v>
      </c>
      <c r="E24" s="141" t="n">
        <v>324.24</v>
      </c>
      <c r="F24" s="141" t="n">
        <f aca="false">D24*E24</f>
        <v>1296.96</v>
      </c>
      <c r="G24" s="138" t="s">
        <v>4341</v>
      </c>
      <c r="H24" s="138" t="n">
        <v>235.3</v>
      </c>
      <c r="I24" s="138" t="n">
        <v>237.05</v>
      </c>
    </row>
    <row r="25" customFormat="false" ht="15" hidden="false" customHeight="false" outlineLevel="0" collapsed="false">
      <c r="A25" s="138" t="s">
        <v>583</v>
      </c>
      <c r="B25" s="138" t="s">
        <v>584</v>
      </c>
      <c r="C25" s="138" t="s">
        <v>173</v>
      </c>
      <c r="D25" s="141" t="n">
        <v>9727.92</v>
      </c>
      <c r="E25" s="141" t="n">
        <v>14.92</v>
      </c>
      <c r="F25" s="141" t="n">
        <f aca="false">D25*E25</f>
        <v>145140.5664</v>
      </c>
      <c r="G25" s="138" t="s">
        <v>4347</v>
      </c>
      <c r="H25" s="138" t="n">
        <v>235.3</v>
      </c>
      <c r="I25" s="138" t="n">
        <v>237.05</v>
      </c>
    </row>
    <row r="26" customFormat="false" ht="15" hidden="false" customHeight="false" outlineLevel="0" collapsed="false">
      <c r="A26" s="138" t="s">
        <v>585</v>
      </c>
      <c r="B26" s="138" t="s">
        <v>586</v>
      </c>
      <c r="C26" s="138" t="s">
        <v>80</v>
      </c>
      <c r="D26" s="141" t="n">
        <v>12</v>
      </c>
      <c r="E26" s="141" t="n">
        <v>950.59</v>
      </c>
      <c r="F26" s="141" t="n">
        <f aca="false">D26*E26</f>
        <v>11407.08</v>
      </c>
      <c r="G26" s="138" t="s">
        <v>4341</v>
      </c>
      <c r="H26" s="138" t="n">
        <v>235.3</v>
      </c>
      <c r="I26" s="138" t="n">
        <v>237.05</v>
      </c>
    </row>
    <row r="27" customFormat="false" ht="15" hidden="false" customHeight="false" outlineLevel="0" collapsed="false">
      <c r="A27" s="138" t="s">
        <v>587</v>
      </c>
      <c r="B27" s="138" t="s">
        <v>588</v>
      </c>
      <c r="C27" s="138" t="s">
        <v>176</v>
      </c>
      <c r="D27" s="141" t="n">
        <v>38</v>
      </c>
      <c r="E27" s="141" t="n">
        <v>74.23</v>
      </c>
      <c r="F27" s="141" t="n">
        <f aca="false">D27*E27</f>
        <v>2820.74</v>
      </c>
      <c r="G27" s="138" t="s">
        <v>4341</v>
      </c>
      <c r="H27" s="138" t="n">
        <v>235.3</v>
      </c>
      <c r="I27" s="138" t="n">
        <v>237.05</v>
      </c>
    </row>
    <row r="28" customFormat="false" ht="15" hidden="false" customHeight="false" outlineLevel="0" collapsed="false">
      <c r="A28" s="138" t="s">
        <v>589</v>
      </c>
      <c r="B28" s="138" t="s">
        <v>590</v>
      </c>
      <c r="C28" s="138" t="s">
        <v>176</v>
      </c>
      <c r="D28" s="141" t="n">
        <v>549.32</v>
      </c>
      <c r="E28" s="141" t="n">
        <v>21.85</v>
      </c>
      <c r="F28" s="141" t="n">
        <f aca="false">D28*E28</f>
        <v>12002.642</v>
      </c>
      <c r="G28" s="138" t="s">
        <v>4341</v>
      </c>
      <c r="H28" s="138" t="n">
        <v>235.3</v>
      </c>
      <c r="I28" s="138" t="n">
        <v>237.05</v>
      </c>
    </row>
    <row r="29" customFormat="false" ht="15" hidden="false" customHeight="false" outlineLevel="0" collapsed="false">
      <c r="A29" s="138" t="s">
        <v>591</v>
      </c>
      <c r="B29" s="138" t="s">
        <v>592</v>
      </c>
      <c r="C29" s="138" t="s">
        <v>80</v>
      </c>
      <c r="D29" s="141" t="n">
        <v>12</v>
      </c>
      <c r="E29" s="141" t="n">
        <v>931.05</v>
      </c>
      <c r="F29" s="141" t="n">
        <f aca="false">D29*E29</f>
        <v>11172.6</v>
      </c>
      <c r="G29" s="138" t="s">
        <v>4341</v>
      </c>
      <c r="H29" s="138" t="n">
        <v>235.3</v>
      </c>
      <c r="I29" s="138" t="n">
        <v>237.05</v>
      </c>
    </row>
    <row r="31" customFormat="false" ht="15" hidden="false" customHeight="false" outlineLevel="0" collapsed="false">
      <c r="A31" s="136" t="s">
        <v>4348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4" min="3" style="0" width="10"/>
    <col collapsed="false" customWidth="true" hidden="false" outlineLevel="0" max="6" min="5" style="0" width="11"/>
    <col collapsed="false" customWidth="true" hidden="false" outlineLevel="0" max="7" min="7" style="0" width="4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48" hidden="false" customHeight="true" outlineLevel="0" collapsed="false">
      <c r="A1" s="133" t="s">
        <v>4349</v>
      </c>
      <c r="B1" s="133" t="s">
        <v>2370</v>
      </c>
      <c r="C1" s="133" t="s">
        <v>2367</v>
      </c>
      <c r="D1" s="133" t="s">
        <v>2368</v>
      </c>
      <c r="E1" s="133" t="s">
        <v>14</v>
      </c>
      <c r="F1" s="133" t="s">
        <v>17</v>
      </c>
      <c r="G1" s="133" t="s">
        <v>4350</v>
      </c>
      <c r="H1" s="133" t="s">
        <v>4351</v>
      </c>
      <c r="I1" s="133" t="s">
        <v>63</v>
      </c>
      <c r="J1" s="133" t="s">
        <v>4352</v>
      </c>
    </row>
    <row r="2" customFormat="false" ht="15" hidden="false" customHeight="false" outlineLevel="0" collapsed="false">
      <c r="A2" s="138" t="s">
        <v>4353</v>
      </c>
      <c r="B2" s="138" t="s">
        <v>59</v>
      </c>
      <c r="C2" s="138" t="n">
        <v>436.15</v>
      </c>
      <c r="D2" s="138" t="n">
        <v>438.2</v>
      </c>
      <c r="E2" s="138" t="s">
        <v>4354</v>
      </c>
      <c r="F2" s="138" t="s">
        <v>4355</v>
      </c>
      <c r="G2" s="138" t="s">
        <v>4356</v>
      </c>
      <c r="H2" s="141" t="n">
        <v>36</v>
      </c>
      <c r="I2" s="141" t="n">
        <v>1284.24</v>
      </c>
      <c r="J2" s="141" t="n">
        <f aca="false">H2*I2</f>
        <v>46232.64</v>
      </c>
    </row>
    <row r="3" customFormat="false" ht="15" hidden="false" customHeight="false" outlineLevel="0" collapsed="false">
      <c r="A3" s="138" t="s">
        <v>4353</v>
      </c>
      <c r="B3" s="138" t="s">
        <v>59</v>
      </c>
      <c r="C3" s="138" t="n">
        <v>436.15</v>
      </c>
      <c r="D3" s="138" t="n">
        <v>438.2</v>
      </c>
      <c r="E3" s="138" t="s">
        <v>4354</v>
      </c>
      <c r="F3" s="138" t="s">
        <v>4355</v>
      </c>
      <c r="G3" s="138" t="s">
        <v>4357</v>
      </c>
      <c r="H3" s="141" t="n">
        <v>57</v>
      </c>
      <c r="I3" s="141" t="n">
        <v>1382.17</v>
      </c>
      <c r="J3" s="141" t="n">
        <f aca="false">H3*I3</f>
        <v>78783.69</v>
      </c>
    </row>
    <row r="4" customFormat="false" ht="15" hidden="false" customHeight="false" outlineLevel="0" collapsed="false">
      <c r="A4" s="138" t="s">
        <v>4353</v>
      </c>
      <c r="B4" s="138" t="s">
        <v>59</v>
      </c>
      <c r="C4" s="138" t="n">
        <v>436.15</v>
      </c>
      <c r="D4" s="138" t="n">
        <v>438.2</v>
      </c>
      <c r="E4" s="138" t="s">
        <v>4354</v>
      </c>
      <c r="F4" s="138" t="s">
        <v>4355</v>
      </c>
      <c r="G4" s="138" t="s">
        <v>4358</v>
      </c>
      <c r="H4" s="141" t="n">
        <v>19</v>
      </c>
      <c r="I4" s="141" t="n">
        <v>1844.25</v>
      </c>
      <c r="J4" s="141" t="n">
        <f aca="false">H4*I4</f>
        <v>35040.75</v>
      </c>
    </row>
    <row r="5" customFormat="false" ht="15" hidden="false" customHeight="false" outlineLevel="0" collapsed="false">
      <c r="A5" s="138" t="s">
        <v>4353</v>
      </c>
      <c r="B5" s="138" t="s">
        <v>59</v>
      </c>
      <c r="C5" s="138" t="n">
        <v>436.15</v>
      </c>
      <c r="D5" s="138" t="n">
        <v>438.2</v>
      </c>
      <c r="E5" s="138" t="s">
        <v>4354</v>
      </c>
      <c r="F5" s="138" t="s">
        <v>4355</v>
      </c>
      <c r="G5" s="138" t="s">
        <v>4359</v>
      </c>
      <c r="H5" s="141" t="n">
        <v>36</v>
      </c>
      <c r="I5" s="141" t="n">
        <v>1960.95</v>
      </c>
      <c r="J5" s="141" t="n">
        <f aca="false">H5*I5</f>
        <v>70594.2</v>
      </c>
    </row>
    <row r="6" customFormat="false" ht="15" hidden="false" customHeight="false" outlineLevel="0" collapsed="false">
      <c r="A6" s="138" t="s">
        <v>4353</v>
      </c>
      <c r="B6" s="138" t="s">
        <v>59</v>
      </c>
      <c r="C6" s="138" t="n">
        <v>436.15</v>
      </c>
      <c r="D6" s="138" t="n">
        <v>438.2</v>
      </c>
      <c r="E6" s="138" t="s">
        <v>4354</v>
      </c>
      <c r="F6" s="138" t="s">
        <v>4355</v>
      </c>
      <c r="G6" s="138" t="s">
        <v>4360</v>
      </c>
      <c r="H6" s="141" t="n">
        <v>2.5</v>
      </c>
      <c r="I6" s="141" t="n">
        <v>1017.57</v>
      </c>
      <c r="J6" s="141" t="n">
        <f aca="false">H6*I6</f>
        <v>2543.925</v>
      </c>
    </row>
    <row r="7" customFormat="false" ht="15" hidden="false" customHeight="false" outlineLevel="0" collapsed="false">
      <c r="A7" s="138" t="s">
        <v>4353</v>
      </c>
      <c r="B7" s="138" t="s">
        <v>59</v>
      </c>
      <c r="C7" s="138" t="n">
        <v>436.15</v>
      </c>
      <c r="D7" s="138" t="n">
        <v>438.2</v>
      </c>
      <c r="E7" s="138" t="s">
        <v>4354</v>
      </c>
      <c r="F7" s="138" t="s">
        <v>4355</v>
      </c>
      <c r="G7" s="138" t="s">
        <v>4361</v>
      </c>
      <c r="H7" s="141" t="n">
        <v>42</v>
      </c>
      <c r="I7" s="141" t="n">
        <v>823.68</v>
      </c>
      <c r="J7" s="141" t="n">
        <f aca="false">H7*I7</f>
        <v>34594.56</v>
      </c>
    </row>
    <row r="8" customFormat="false" ht="15" hidden="false" customHeight="false" outlineLevel="0" collapsed="false">
      <c r="A8" s="138" t="s">
        <v>4353</v>
      </c>
      <c r="B8" s="138" t="s">
        <v>59</v>
      </c>
      <c r="C8" s="138" t="n">
        <v>436.15</v>
      </c>
      <c r="D8" s="138" t="n">
        <v>438.2</v>
      </c>
      <c r="E8" s="138" t="s">
        <v>4354</v>
      </c>
      <c r="F8" s="138" t="s">
        <v>4355</v>
      </c>
      <c r="G8" s="138" t="s">
        <v>4362</v>
      </c>
      <c r="H8" s="141" t="n">
        <v>475</v>
      </c>
      <c r="I8" s="141" t="n">
        <v>10.13</v>
      </c>
      <c r="J8" s="141" t="n">
        <f aca="false">H8*I8</f>
        <v>4811.75</v>
      </c>
    </row>
    <row r="9" customFormat="false" ht="15" hidden="false" customHeight="false" outlineLevel="0" collapsed="false">
      <c r="A9" s="138" t="s">
        <v>4353</v>
      </c>
      <c r="B9" s="138" t="s">
        <v>59</v>
      </c>
      <c r="C9" s="138" t="n">
        <v>436.15</v>
      </c>
      <c r="D9" s="138" t="n">
        <v>438.2</v>
      </c>
      <c r="E9" s="138" t="s">
        <v>4354</v>
      </c>
      <c r="F9" s="138" t="s">
        <v>4355</v>
      </c>
      <c r="G9" s="138" t="s">
        <v>4363</v>
      </c>
      <c r="H9" s="141" t="n">
        <v>161</v>
      </c>
      <c r="I9" s="141"/>
      <c r="J9" s="154"/>
    </row>
    <row r="10" customFormat="false" ht="15" hidden="false" customHeight="false" outlineLevel="0" collapsed="false">
      <c r="A10" s="138" t="s">
        <v>4353</v>
      </c>
      <c r="B10" s="138" t="s">
        <v>59</v>
      </c>
      <c r="C10" s="138" t="n">
        <v>436.15</v>
      </c>
      <c r="D10" s="138" t="n">
        <v>438.2</v>
      </c>
      <c r="E10" s="138" t="s">
        <v>4354</v>
      </c>
      <c r="F10" s="138" t="s">
        <v>4355</v>
      </c>
      <c r="G10" s="138" t="s">
        <v>4364</v>
      </c>
      <c r="H10" s="141" t="n">
        <v>227.5</v>
      </c>
      <c r="I10" s="141"/>
      <c r="J10" s="154"/>
    </row>
    <row r="11" customFormat="false" ht="15" hidden="false" customHeight="false" outlineLevel="0" collapsed="false">
      <c r="A11" s="138" t="s">
        <v>4365</v>
      </c>
      <c r="B11" s="138" t="s">
        <v>60</v>
      </c>
      <c r="C11" s="138" t="n">
        <v>438.25</v>
      </c>
      <c r="D11" s="138" t="n">
        <v>442.25</v>
      </c>
      <c r="E11" s="138" t="s">
        <v>4366</v>
      </c>
      <c r="F11" s="138" t="s">
        <v>4367</v>
      </c>
      <c r="G11" s="138" t="s">
        <v>4356</v>
      </c>
      <c r="H11" s="141" t="n">
        <v>145</v>
      </c>
      <c r="I11" s="141" t="n">
        <v>1284.24</v>
      </c>
      <c r="J11" s="141" t="n">
        <f aca="false">H11*I11</f>
        <v>186214.8</v>
      </c>
    </row>
    <row r="12" customFormat="false" ht="15" hidden="false" customHeight="false" outlineLevel="0" collapsed="false">
      <c r="A12" s="138" t="s">
        <v>4365</v>
      </c>
      <c r="B12" s="138" t="s">
        <v>60</v>
      </c>
      <c r="C12" s="138" t="n">
        <v>438.25</v>
      </c>
      <c r="D12" s="138" t="n">
        <v>442.25</v>
      </c>
      <c r="E12" s="138" t="s">
        <v>4366</v>
      </c>
      <c r="F12" s="138" t="s">
        <v>4367</v>
      </c>
      <c r="G12" s="138" t="s">
        <v>4357</v>
      </c>
      <c r="H12" s="141" t="n">
        <v>0</v>
      </c>
      <c r="I12" s="141" t="n">
        <v>1382.17</v>
      </c>
      <c r="J12" s="141" t="n">
        <f aca="false">H12*I12</f>
        <v>0</v>
      </c>
    </row>
    <row r="13" customFormat="false" ht="15" hidden="false" customHeight="false" outlineLevel="0" collapsed="false">
      <c r="A13" s="138" t="s">
        <v>4365</v>
      </c>
      <c r="B13" s="138" t="s">
        <v>60</v>
      </c>
      <c r="C13" s="138" t="n">
        <v>438.25</v>
      </c>
      <c r="D13" s="138" t="n">
        <v>442.25</v>
      </c>
      <c r="E13" s="138" t="s">
        <v>4366</v>
      </c>
      <c r="F13" s="138" t="s">
        <v>4367</v>
      </c>
      <c r="G13" s="138" t="s">
        <v>4358</v>
      </c>
      <c r="H13" s="141" t="n">
        <v>83</v>
      </c>
      <c r="I13" s="141" t="n">
        <v>1844.25</v>
      </c>
      <c r="J13" s="141" t="n">
        <f aca="false">H13*I13</f>
        <v>153072.75</v>
      </c>
    </row>
    <row r="14" customFormat="false" ht="15" hidden="false" customHeight="false" outlineLevel="0" collapsed="false">
      <c r="A14" s="138" t="s">
        <v>4365</v>
      </c>
      <c r="B14" s="138" t="s">
        <v>60</v>
      </c>
      <c r="C14" s="138" t="n">
        <v>438.25</v>
      </c>
      <c r="D14" s="138" t="n">
        <v>442.25</v>
      </c>
      <c r="E14" s="138" t="s">
        <v>4366</v>
      </c>
      <c r="F14" s="138" t="s">
        <v>4367</v>
      </c>
      <c r="G14" s="138" t="s">
        <v>4359</v>
      </c>
      <c r="H14" s="141" t="n">
        <v>0</v>
      </c>
      <c r="I14" s="141" t="n">
        <v>1960.95</v>
      </c>
      <c r="J14" s="141" t="n">
        <f aca="false">H14*I14</f>
        <v>0</v>
      </c>
    </row>
    <row r="15" customFormat="false" ht="15" hidden="false" customHeight="false" outlineLevel="0" collapsed="false">
      <c r="A15" s="138" t="s">
        <v>4365</v>
      </c>
      <c r="B15" s="138" t="s">
        <v>60</v>
      </c>
      <c r="C15" s="138" t="n">
        <v>438.25</v>
      </c>
      <c r="D15" s="138" t="n">
        <v>442.25</v>
      </c>
      <c r="E15" s="138" t="s">
        <v>4366</v>
      </c>
      <c r="F15" s="138" t="s">
        <v>4367</v>
      </c>
      <c r="G15" s="138" t="s">
        <v>4360</v>
      </c>
      <c r="H15" s="141" t="n">
        <v>18</v>
      </c>
      <c r="I15" s="141" t="n">
        <v>1017.57</v>
      </c>
      <c r="J15" s="141" t="n">
        <f aca="false">H15*I15</f>
        <v>18316.26</v>
      </c>
    </row>
    <row r="16" customFormat="false" ht="15" hidden="false" customHeight="false" outlineLevel="0" collapsed="false">
      <c r="A16" s="138" t="s">
        <v>4365</v>
      </c>
      <c r="B16" s="138" t="s">
        <v>60</v>
      </c>
      <c r="C16" s="138" t="n">
        <v>438.25</v>
      </c>
      <c r="D16" s="138" t="n">
        <v>442.25</v>
      </c>
      <c r="E16" s="138" t="s">
        <v>4366</v>
      </c>
      <c r="F16" s="138" t="s">
        <v>4367</v>
      </c>
      <c r="G16" s="138" t="s">
        <v>4361</v>
      </c>
      <c r="H16" s="141" t="n">
        <v>59</v>
      </c>
      <c r="I16" s="141" t="n">
        <v>823.68</v>
      </c>
      <c r="J16" s="141" t="n">
        <f aca="false">H16*I16</f>
        <v>48597.12</v>
      </c>
    </row>
    <row r="17" customFormat="false" ht="15" hidden="false" customHeight="false" outlineLevel="0" collapsed="false">
      <c r="A17" s="138" t="s">
        <v>4365</v>
      </c>
      <c r="B17" s="138" t="s">
        <v>60</v>
      </c>
      <c r="C17" s="138" t="n">
        <v>438.25</v>
      </c>
      <c r="D17" s="138" t="n">
        <v>442.25</v>
      </c>
      <c r="E17" s="138" t="s">
        <v>4366</v>
      </c>
      <c r="F17" s="138" t="s">
        <v>4367</v>
      </c>
      <c r="G17" s="138" t="s">
        <v>4362</v>
      </c>
      <c r="H17" s="141" t="n">
        <v>740</v>
      </c>
      <c r="I17" s="141" t="n">
        <v>10.13</v>
      </c>
      <c r="J17" s="141" t="n">
        <f aca="false">H17*I17</f>
        <v>7496.2</v>
      </c>
    </row>
    <row r="18" customFormat="false" ht="15" hidden="false" customHeight="false" outlineLevel="0" collapsed="false">
      <c r="A18" s="138" t="s">
        <v>4365</v>
      </c>
      <c r="B18" s="138" t="s">
        <v>60</v>
      </c>
      <c r="C18" s="138" t="n">
        <v>438.25</v>
      </c>
      <c r="D18" s="138" t="n">
        <v>442.25</v>
      </c>
      <c r="E18" s="138" t="s">
        <v>4366</v>
      </c>
      <c r="F18" s="138" t="s">
        <v>4367</v>
      </c>
      <c r="G18" s="138" t="s">
        <v>4363</v>
      </c>
      <c r="H18" s="141" t="n">
        <v>269.5</v>
      </c>
      <c r="I18" s="141"/>
      <c r="J18" s="154"/>
    </row>
    <row r="19" customFormat="false" ht="15" hidden="false" customHeight="false" outlineLevel="0" collapsed="false">
      <c r="A19" s="138" t="s">
        <v>4365</v>
      </c>
      <c r="B19" s="138" t="s">
        <v>60</v>
      </c>
      <c r="C19" s="138" t="n">
        <v>438.25</v>
      </c>
      <c r="D19" s="138" t="n">
        <v>442.25</v>
      </c>
      <c r="E19" s="138" t="s">
        <v>4366</v>
      </c>
      <c r="F19" s="138" t="s">
        <v>4367</v>
      </c>
      <c r="G19" s="138" t="s">
        <v>4364</v>
      </c>
      <c r="H19" s="141" t="n">
        <v>349</v>
      </c>
      <c r="I19" s="141"/>
      <c r="J19" s="154"/>
    </row>
    <row r="21" customFormat="false" ht="15" hidden="false" customHeight="false" outlineLevel="0" collapsed="false">
      <c r="A21" s="136" t="s">
        <v>4368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12"/>
    <col collapsed="false" customWidth="true" hidden="false" outlineLevel="0" max="4" min="4" style="0" width="24"/>
    <col collapsed="false" customWidth="true" hidden="false" outlineLevel="0" max="5" min="5" style="0" width="16"/>
  </cols>
  <sheetData>
    <row r="1" customFormat="false" ht="48" hidden="false" customHeight="true" outlineLevel="0" collapsed="false">
      <c r="A1" s="133" t="s">
        <v>4369</v>
      </c>
      <c r="B1" s="133" t="s">
        <v>4370</v>
      </c>
      <c r="C1" s="133" t="s">
        <v>4371</v>
      </c>
      <c r="D1" s="133" t="s">
        <v>4372</v>
      </c>
      <c r="E1" s="133" t="s">
        <v>4373</v>
      </c>
    </row>
    <row r="2" customFormat="false" ht="15" hidden="false" customHeight="false" outlineLevel="0" collapsed="false">
      <c r="A2" s="138" t="n">
        <v>1</v>
      </c>
      <c r="B2" s="138" t="n">
        <v>316.517</v>
      </c>
      <c r="C2" s="138" t="s">
        <v>4374</v>
      </c>
      <c r="D2" s="138" t="s">
        <v>4375</v>
      </c>
      <c r="E2" s="141" t="n">
        <v>10379.96</v>
      </c>
    </row>
    <row r="3" customFormat="false" ht="15" hidden="false" customHeight="false" outlineLevel="0" collapsed="false">
      <c r="A3" s="138" t="n">
        <v>2</v>
      </c>
      <c r="B3" s="138" t="n">
        <v>317.423</v>
      </c>
      <c r="C3" s="138" t="s">
        <v>4374</v>
      </c>
      <c r="D3" s="138" t="s">
        <v>4375</v>
      </c>
      <c r="E3" s="141" t="n">
        <v>10379.96</v>
      </c>
    </row>
    <row r="4" customFormat="false" ht="15" hidden="false" customHeight="false" outlineLevel="0" collapsed="false">
      <c r="A4" s="138" t="n">
        <v>3</v>
      </c>
      <c r="B4" s="138" t="n">
        <v>318.338</v>
      </c>
      <c r="C4" s="138" t="s">
        <v>4374</v>
      </c>
      <c r="D4" s="138" t="s">
        <v>4375</v>
      </c>
      <c r="E4" s="141" t="n">
        <v>10379.96</v>
      </c>
    </row>
    <row r="5" customFormat="false" ht="15" hidden="false" customHeight="false" outlineLevel="0" collapsed="false">
      <c r="A5" s="138" t="n">
        <v>4</v>
      </c>
      <c r="B5" s="138" t="n">
        <v>319.289</v>
      </c>
      <c r="C5" s="138" t="s">
        <v>4374</v>
      </c>
      <c r="D5" s="138" t="s">
        <v>4375</v>
      </c>
      <c r="E5" s="141" t="n">
        <v>10379.96</v>
      </c>
    </row>
    <row r="6" customFormat="false" ht="15" hidden="false" customHeight="false" outlineLevel="0" collapsed="false">
      <c r="A6" s="138" t="n">
        <v>5</v>
      </c>
      <c r="B6" s="138" t="n">
        <v>320.161</v>
      </c>
      <c r="C6" s="138" t="s">
        <v>4374</v>
      </c>
      <c r="D6" s="138" t="s">
        <v>4375</v>
      </c>
      <c r="E6" s="141" t="n">
        <v>10379.96</v>
      </c>
    </row>
    <row r="7" customFormat="false" ht="15" hidden="false" customHeight="false" outlineLevel="0" collapsed="false">
      <c r="A7" s="138" t="n">
        <v>6</v>
      </c>
      <c r="B7" s="138" t="n">
        <v>321.114</v>
      </c>
      <c r="C7" s="138" t="s">
        <v>4374</v>
      </c>
      <c r="D7" s="138" t="s">
        <v>4375</v>
      </c>
      <c r="E7" s="141" t="n">
        <v>10379.96</v>
      </c>
    </row>
    <row r="8" customFormat="false" ht="15" hidden="false" customHeight="false" outlineLevel="0" collapsed="false">
      <c r="A8" s="138" t="n">
        <v>7</v>
      </c>
      <c r="B8" s="138" t="n">
        <v>322.008</v>
      </c>
      <c r="C8" s="138" t="s">
        <v>4374</v>
      </c>
      <c r="D8" s="138" t="s">
        <v>4375</v>
      </c>
      <c r="E8" s="141" t="n">
        <v>10379.96</v>
      </c>
    </row>
    <row r="9" customFormat="false" ht="15" hidden="false" customHeight="false" outlineLevel="0" collapsed="false">
      <c r="A9" s="138" t="n">
        <v>8</v>
      </c>
      <c r="B9" s="138" t="n">
        <v>322.418</v>
      </c>
      <c r="C9" s="138" t="s">
        <v>4374</v>
      </c>
      <c r="D9" s="138" t="s">
        <v>4376</v>
      </c>
      <c r="E9" s="141" t="n">
        <v>10379.96</v>
      </c>
    </row>
    <row r="10" customFormat="false" ht="15" hidden="false" customHeight="false" outlineLevel="0" collapsed="false">
      <c r="A10" s="138" t="n">
        <v>9</v>
      </c>
      <c r="B10" s="138" t="n">
        <v>322.725</v>
      </c>
      <c r="C10" s="138" t="s">
        <v>4377</v>
      </c>
      <c r="D10" s="138" t="s">
        <v>4375</v>
      </c>
      <c r="E10" s="141" t="n">
        <v>10379.96</v>
      </c>
    </row>
    <row r="11" customFormat="false" ht="15" hidden="false" customHeight="false" outlineLevel="0" collapsed="false">
      <c r="A11" s="138" t="n">
        <v>10</v>
      </c>
      <c r="B11" s="138" t="n">
        <v>323.13</v>
      </c>
      <c r="C11" s="138" t="s">
        <v>4374</v>
      </c>
      <c r="D11" s="138" t="s">
        <v>4376</v>
      </c>
      <c r="E11" s="141" t="n">
        <v>10379.96</v>
      </c>
    </row>
    <row r="12" customFormat="false" ht="15" hidden="false" customHeight="false" outlineLevel="0" collapsed="false">
      <c r="A12" s="138" t="n">
        <v>11</v>
      </c>
      <c r="B12" s="138" t="n">
        <v>323.831</v>
      </c>
      <c r="C12" s="138" t="s">
        <v>4377</v>
      </c>
      <c r="D12" s="138" t="s">
        <v>4375</v>
      </c>
      <c r="E12" s="141" t="n">
        <v>10379.96</v>
      </c>
    </row>
    <row r="13" customFormat="false" ht="15" hidden="false" customHeight="false" outlineLevel="0" collapsed="false">
      <c r="A13" s="138" t="n">
        <v>12</v>
      </c>
      <c r="B13" s="138" t="n">
        <v>324.006</v>
      </c>
      <c r="C13" s="138" t="s">
        <v>4374</v>
      </c>
      <c r="D13" s="138" t="s">
        <v>4376</v>
      </c>
      <c r="E13" s="141" t="n">
        <v>10379.96</v>
      </c>
    </row>
    <row r="14" customFormat="false" ht="15" hidden="false" customHeight="false" outlineLevel="0" collapsed="false">
      <c r="A14" s="138" t="n">
        <v>13</v>
      </c>
      <c r="B14" s="138" t="n">
        <v>324.766</v>
      </c>
      <c r="C14" s="138" t="s">
        <v>4377</v>
      </c>
      <c r="D14" s="138" t="s">
        <v>4375</v>
      </c>
      <c r="E14" s="141" t="n">
        <v>10379.96</v>
      </c>
    </row>
    <row r="15" customFormat="false" ht="15" hidden="false" customHeight="false" outlineLevel="0" collapsed="false">
      <c r="A15" s="138" t="n">
        <v>14</v>
      </c>
      <c r="B15" s="138" t="n">
        <v>325.029</v>
      </c>
      <c r="C15" s="138" t="s">
        <v>4377</v>
      </c>
      <c r="D15" s="138" t="s">
        <v>4376</v>
      </c>
      <c r="E15" s="141" t="n">
        <v>10379.96</v>
      </c>
    </row>
    <row r="16" customFormat="false" ht="15" hidden="false" customHeight="false" outlineLevel="0" collapsed="false">
      <c r="A16" s="138" t="n">
        <v>15</v>
      </c>
      <c r="B16" s="138" t="n">
        <v>325.531</v>
      </c>
      <c r="C16" s="138" t="s">
        <v>4377</v>
      </c>
      <c r="D16" s="138" t="s">
        <v>4376</v>
      </c>
      <c r="E16" s="141" t="n">
        <v>10379.96</v>
      </c>
    </row>
    <row r="17" customFormat="false" ht="15" hidden="false" customHeight="false" outlineLevel="0" collapsed="false">
      <c r="A17" s="138" t="n">
        <v>16</v>
      </c>
      <c r="B17" s="138" t="n">
        <v>325.595</v>
      </c>
      <c r="C17" s="138" t="s">
        <v>4377</v>
      </c>
      <c r="D17" s="138" t="s">
        <v>4375</v>
      </c>
      <c r="E17" s="141" t="n">
        <v>10379.96</v>
      </c>
    </row>
    <row r="18" customFormat="false" ht="15" hidden="false" customHeight="false" outlineLevel="0" collapsed="false">
      <c r="A18" s="138" t="n">
        <v>17</v>
      </c>
      <c r="B18" s="138" t="n">
        <v>326.605</v>
      </c>
      <c r="C18" s="138" t="s">
        <v>4377</v>
      </c>
      <c r="D18" s="138" t="s">
        <v>4375</v>
      </c>
      <c r="E18" s="141" t="n">
        <v>10379.96</v>
      </c>
    </row>
    <row r="19" customFormat="false" ht="15" hidden="false" customHeight="false" outlineLevel="0" collapsed="false">
      <c r="A19" s="138" t="n">
        <v>18</v>
      </c>
      <c r="B19" s="138" t="n">
        <v>327.58</v>
      </c>
      <c r="C19" s="138" t="s">
        <v>4377</v>
      </c>
      <c r="D19" s="138" t="s">
        <v>4375</v>
      </c>
      <c r="E19" s="141" t="n">
        <v>10379.96</v>
      </c>
    </row>
    <row r="20" customFormat="false" ht="15" hidden="false" customHeight="false" outlineLevel="0" collapsed="false">
      <c r="A20" s="138" t="n">
        <v>19</v>
      </c>
      <c r="B20" s="138" t="n">
        <v>328.486</v>
      </c>
      <c r="C20" s="138" t="s">
        <v>4377</v>
      </c>
      <c r="D20" s="138" t="s">
        <v>4375</v>
      </c>
      <c r="E20" s="141" t="n">
        <v>10379.96</v>
      </c>
    </row>
    <row r="21" customFormat="false" ht="15" hidden="false" customHeight="false" outlineLevel="0" collapsed="false">
      <c r="A21" s="138" t="n">
        <v>20</v>
      </c>
      <c r="B21" s="138" t="n">
        <v>329.369</v>
      </c>
      <c r="C21" s="138" t="s">
        <v>4374</v>
      </c>
      <c r="D21" s="138" t="s">
        <v>4375</v>
      </c>
      <c r="E21" s="141" t="n">
        <v>10379.96</v>
      </c>
    </row>
    <row r="22" customFormat="false" ht="15" hidden="false" customHeight="false" outlineLevel="0" collapsed="false">
      <c r="A22" s="138" t="n">
        <v>21</v>
      </c>
      <c r="B22" s="138" t="n">
        <v>330.343</v>
      </c>
      <c r="C22" s="138" t="s">
        <v>4374</v>
      </c>
      <c r="D22" s="138" t="s">
        <v>4375</v>
      </c>
      <c r="E22" s="141" t="n">
        <v>10379.96</v>
      </c>
    </row>
    <row r="23" customFormat="false" ht="15" hidden="false" customHeight="false" outlineLevel="0" collapsed="false">
      <c r="A23" s="138" t="n">
        <v>22</v>
      </c>
      <c r="B23" s="138" t="n">
        <v>331.166</v>
      </c>
      <c r="C23" s="138" t="s">
        <v>4374</v>
      </c>
      <c r="D23" s="138" t="s">
        <v>4375</v>
      </c>
      <c r="E23" s="141" t="n">
        <v>10379.96</v>
      </c>
    </row>
    <row r="24" customFormat="false" ht="15" hidden="false" customHeight="false" outlineLevel="0" collapsed="false">
      <c r="A24" s="138" t="n">
        <v>23</v>
      </c>
      <c r="B24" s="138" t="n">
        <v>332.18</v>
      </c>
      <c r="C24" s="138" t="s">
        <v>4374</v>
      </c>
      <c r="D24" s="138" t="s">
        <v>4375</v>
      </c>
      <c r="E24" s="141" t="n">
        <v>10379.96</v>
      </c>
    </row>
    <row r="25" customFormat="false" ht="15" hidden="false" customHeight="false" outlineLevel="0" collapsed="false">
      <c r="A25" s="138" t="n">
        <v>24</v>
      </c>
      <c r="B25" s="138" t="n">
        <v>333.022</v>
      </c>
      <c r="C25" s="138" t="s">
        <v>4374</v>
      </c>
      <c r="D25" s="138" t="s">
        <v>4375</v>
      </c>
      <c r="E25" s="141" t="n">
        <v>10379.96</v>
      </c>
    </row>
    <row r="26" customFormat="false" ht="15" hidden="false" customHeight="false" outlineLevel="0" collapsed="false">
      <c r="A26" s="138" t="n">
        <v>25</v>
      </c>
      <c r="B26" s="138" t="n">
        <v>333.968</v>
      </c>
      <c r="C26" s="138" t="s">
        <v>4374</v>
      </c>
      <c r="D26" s="138" t="s">
        <v>4375</v>
      </c>
      <c r="E26" s="141" t="n">
        <v>10379.96</v>
      </c>
    </row>
    <row r="27" customFormat="false" ht="15" hidden="false" customHeight="false" outlineLevel="0" collapsed="false">
      <c r="A27" s="138" t="n">
        <v>26</v>
      </c>
      <c r="B27" s="138" t="n">
        <v>334.736</v>
      </c>
      <c r="C27" s="138" t="s">
        <v>4374</v>
      </c>
      <c r="D27" s="138" t="s">
        <v>4375</v>
      </c>
      <c r="E27" s="141" t="n">
        <v>10379.96</v>
      </c>
    </row>
    <row r="29" customFormat="false" ht="15" hidden="false" customHeight="false" outlineLevel="0" collapsed="false">
      <c r="A29" s="136" t="s">
        <v>4378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9"/>
    <col collapsed="false" customWidth="true" hidden="false" outlineLevel="0" max="7" min="4" style="0" width="12"/>
  </cols>
  <sheetData>
    <row r="1" customFormat="false" ht="48" hidden="false" customHeight="true" outlineLevel="0" collapsed="false">
      <c r="A1" s="133" t="s">
        <v>9</v>
      </c>
      <c r="B1" s="133" t="s">
        <v>2367</v>
      </c>
      <c r="C1" s="133" t="s">
        <v>2368</v>
      </c>
      <c r="D1" s="133" t="s">
        <v>4379</v>
      </c>
      <c r="E1" s="133" t="s">
        <v>4380</v>
      </c>
      <c r="F1" s="133" t="s">
        <v>4381</v>
      </c>
      <c r="G1" s="133" t="s">
        <v>4382</v>
      </c>
    </row>
    <row r="2" customFormat="false" ht="15" hidden="false" customHeight="false" outlineLevel="0" collapsed="false">
      <c r="A2" s="138" t="s">
        <v>1568</v>
      </c>
      <c r="B2" s="138" t="n">
        <v>0</v>
      </c>
      <c r="C2" s="138" t="n">
        <v>1</v>
      </c>
      <c r="D2" s="138" t="n">
        <v>19</v>
      </c>
      <c r="E2" s="138" t="n">
        <v>20</v>
      </c>
      <c r="F2" s="138" t="n">
        <v>0</v>
      </c>
      <c r="G2" s="138" t="n">
        <v>0</v>
      </c>
    </row>
    <row r="3" customFormat="false" ht="15" hidden="false" customHeight="false" outlineLevel="0" collapsed="false">
      <c r="A3" s="138" t="s">
        <v>1643</v>
      </c>
      <c r="B3" s="138" t="n">
        <v>1</v>
      </c>
      <c r="C3" s="138" t="n">
        <v>2</v>
      </c>
      <c r="D3" s="138" t="n">
        <v>20</v>
      </c>
      <c r="E3" s="138" t="n">
        <v>20</v>
      </c>
      <c r="F3" s="138" t="n">
        <v>0</v>
      </c>
      <c r="G3" s="138" t="n">
        <v>0</v>
      </c>
    </row>
    <row r="4" customFormat="false" ht="15" hidden="false" customHeight="false" outlineLevel="0" collapsed="false">
      <c r="A4" s="138" t="s">
        <v>1644</v>
      </c>
      <c r="B4" s="138" t="n">
        <v>2</v>
      </c>
      <c r="C4" s="138" t="n">
        <v>3</v>
      </c>
      <c r="D4" s="138" t="n">
        <v>20</v>
      </c>
      <c r="E4" s="138" t="n">
        <v>20</v>
      </c>
      <c r="F4" s="138" t="n">
        <v>0</v>
      </c>
      <c r="G4" s="138" t="n">
        <v>0</v>
      </c>
    </row>
    <row r="5" customFormat="false" ht="15" hidden="false" customHeight="false" outlineLevel="0" collapsed="false">
      <c r="A5" s="138" t="s">
        <v>1645</v>
      </c>
      <c r="B5" s="138" t="n">
        <v>3</v>
      </c>
      <c r="C5" s="138" t="n">
        <v>4</v>
      </c>
      <c r="D5" s="138" t="n">
        <v>35</v>
      </c>
      <c r="E5" s="138" t="n">
        <v>27</v>
      </c>
      <c r="F5" s="138" t="n">
        <v>0</v>
      </c>
      <c r="G5" s="138" t="n">
        <v>0</v>
      </c>
    </row>
    <row r="6" customFormat="false" ht="15" hidden="false" customHeight="false" outlineLevel="0" collapsed="false">
      <c r="A6" s="138" t="s">
        <v>1646</v>
      </c>
      <c r="B6" s="138" t="n">
        <v>4</v>
      </c>
      <c r="C6" s="138" t="n">
        <v>5</v>
      </c>
      <c r="D6" s="138" t="n">
        <v>30</v>
      </c>
      <c r="E6" s="138" t="n">
        <v>26</v>
      </c>
      <c r="F6" s="138" t="n">
        <v>0</v>
      </c>
      <c r="G6" s="138" t="n">
        <v>0</v>
      </c>
    </row>
    <row r="7" customFormat="false" ht="15" hidden="false" customHeight="false" outlineLevel="0" collapsed="false">
      <c r="A7" s="138" t="s">
        <v>1647</v>
      </c>
      <c r="B7" s="138" t="n">
        <v>5</v>
      </c>
      <c r="C7" s="138" t="n">
        <v>6</v>
      </c>
      <c r="D7" s="138" t="n">
        <v>21</v>
      </c>
      <c r="E7" s="138" t="n">
        <v>20</v>
      </c>
      <c r="F7" s="138" t="n">
        <v>0</v>
      </c>
      <c r="G7" s="138" t="n">
        <v>0</v>
      </c>
    </row>
    <row r="8" customFormat="false" ht="15" hidden="false" customHeight="false" outlineLevel="0" collapsed="false">
      <c r="A8" s="138" t="s">
        <v>1648</v>
      </c>
      <c r="B8" s="138" t="n">
        <v>6</v>
      </c>
      <c r="C8" s="138" t="n">
        <v>7</v>
      </c>
      <c r="D8" s="138" t="n">
        <v>20</v>
      </c>
      <c r="E8" s="138" t="n">
        <v>20</v>
      </c>
      <c r="F8" s="138" t="n">
        <v>0</v>
      </c>
      <c r="G8" s="138" t="n">
        <v>0</v>
      </c>
    </row>
    <row r="9" customFormat="false" ht="15" hidden="false" customHeight="false" outlineLevel="0" collapsed="false">
      <c r="A9" s="138" t="s">
        <v>1649</v>
      </c>
      <c r="B9" s="138" t="n">
        <v>7</v>
      </c>
      <c r="C9" s="138" t="n">
        <v>8</v>
      </c>
      <c r="D9" s="138" t="n">
        <v>20</v>
      </c>
      <c r="E9" s="138" t="n">
        <v>20</v>
      </c>
      <c r="F9" s="138" t="n">
        <v>0</v>
      </c>
      <c r="G9" s="138" t="n">
        <v>0</v>
      </c>
    </row>
    <row r="10" customFormat="false" ht="15" hidden="false" customHeight="false" outlineLevel="0" collapsed="false">
      <c r="A10" s="138" t="s">
        <v>1650</v>
      </c>
      <c r="B10" s="138" t="n">
        <v>8</v>
      </c>
      <c r="C10" s="138" t="n">
        <v>9</v>
      </c>
      <c r="D10" s="138" t="n">
        <v>20</v>
      </c>
      <c r="E10" s="138" t="n">
        <v>20</v>
      </c>
      <c r="F10" s="138" t="n">
        <v>0</v>
      </c>
      <c r="G10" s="138" t="n">
        <v>0</v>
      </c>
    </row>
    <row r="11" customFormat="false" ht="15" hidden="false" customHeight="false" outlineLevel="0" collapsed="false">
      <c r="A11" s="138" t="s">
        <v>1651</v>
      </c>
      <c r="B11" s="138" t="n">
        <v>9</v>
      </c>
      <c r="C11" s="138" t="n">
        <v>10</v>
      </c>
      <c r="D11" s="138" t="n">
        <v>21</v>
      </c>
      <c r="E11" s="138" t="n">
        <v>20</v>
      </c>
      <c r="F11" s="138" t="n">
        <v>0</v>
      </c>
      <c r="G11" s="138" t="n">
        <v>0</v>
      </c>
    </row>
    <row r="12" customFormat="false" ht="15" hidden="false" customHeight="false" outlineLevel="0" collapsed="false">
      <c r="A12" s="138" t="s">
        <v>1652</v>
      </c>
      <c r="B12" s="138" t="n">
        <v>10</v>
      </c>
      <c r="C12" s="138" t="n">
        <v>11</v>
      </c>
      <c r="D12" s="138" t="n">
        <v>20</v>
      </c>
      <c r="E12" s="138" t="n">
        <v>20</v>
      </c>
      <c r="F12" s="138" t="n">
        <v>0</v>
      </c>
      <c r="G12" s="138" t="n">
        <v>0</v>
      </c>
    </row>
    <row r="13" customFormat="false" ht="15" hidden="false" customHeight="false" outlineLevel="0" collapsed="false">
      <c r="A13" s="138" t="s">
        <v>1653</v>
      </c>
      <c r="B13" s="138" t="n">
        <v>11</v>
      </c>
      <c r="C13" s="138" t="n">
        <v>12</v>
      </c>
      <c r="D13" s="138" t="n">
        <v>20</v>
      </c>
      <c r="E13" s="138" t="n">
        <v>21</v>
      </c>
      <c r="F13" s="138" t="n">
        <v>0</v>
      </c>
      <c r="G13" s="138" t="n">
        <v>0</v>
      </c>
    </row>
    <row r="14" customFormat="false" ht="15" hidden="false" customHeight="false" outlineLevel="0" collapsed="false">
      <c r="A14" s="138" t="s">
        <v>1654</v>
      </c>
      <c r="B14" s="138" t="n">
        <v>12</v>
      </c>
      <c r="C14" s="138" t="n">
        <v>13</v>
      </c>
      <c r="D14" s="138" t="n">
        <v>20</v>
      </c>
      <c r="E14" s="138" t="n">
        <v>24</v>
      </c>
      <c r="F14" s="138" t="n">
        <v>0</v>
      </c>
      <c r="G14" s="138" t="n">
        <v>0</v>
      </c>
    </row>
    <row r="15" customFormat="false" ht="15" hidden="false" customHeight="false" outlineLevel="0" collapsed="false">
      <c r="A15" s="138" t="s">
        <v>1655</v>
      </c>
      <c r="B15" s="138" t="n">
        <v>13</v>
      </c>
      <c r="C15" s="138" t="n">
        <v>14</v>
      </c>
      <c r="D15" s="138" t="n">
        <v>20</v>
      </c>
      <c r="E15" s="138" t="n">
        <v>20</v>
      </c>
      <c r="F15" s="138" t="n">
        <v>0</v>
      </c>
      <c r="G15" s="138" t="n">
        <v>0</v>
      </c>
    </row>
    <row r="16" customFormat="false" ht="15" hidden="false" customHeight="false" outlineLevel="0" collapsed="false">
      <c r="A16" s="138" t="s">
        <v>1656</v>
      </c>
      <c r="B16" s="138" t="n">
        <v>14</v>
      </c>
      <c r="C16" s="138" t="n">
        <v>15</v>
      </c>
      <c r="D16" s="138" t="n">
        <v>20</v>
      </c>
      <c r="E16" s="138" t="n">
        <v>21</v>
      </c>
      <c r="F16" s="138" t="n">
        <v>0</v>
      </c>
      <c r="G16" s="138" t="n">
        <v>0</v>
      </c>
    </row>
    <row r="17" customFormat="false" ht="15" hidden="false" customHeight="false" outlineLevel="0" collapsed="false">
      <c r="A17" s="138" t="s">
        <v>1657</v>
      </c>
      <c r="B17" s="138" t="n">
        <v>15</v>
      </c>
      <c r="C17" s="138" t="n">
        <v>16</v>
      </c>
      <c r="D17" s="138" t="n">
        <v>23</v>
      </c>
      <c r="E17" s="138" t="n">
        <v>21</v>
      </c>
      <c r="F17" s="138" t="n">
        <v>0</v>
      </c>
      <c r="G17" s="138" t="n">
        <v>0</v>
      </c>
    </row>
    <row r="18" customFormat="false" ht="15" hidden="false" customHeight="false" outlineLevel="0" collapsed="false">
      <c r="A18" s="138" t="s">
        <v>1658</v>
      </c>
      <c r="B18" s="138" t="n">
        <v>16</v>
      </c>
      <c r="C18" s="138" t="n">
        <v>17</v>
      </c>
      <c r="D18" s="138" t="n">
        <v>24</v>
      </c>
      <c r="E18" s="138" t="n">
        <v>20</v>
      </c>
      <c r="F18" s="138" t="n">
        <v>0</v>
      </c>
      <c r="G18" s="138" t="n">
        <v>0</v>
      </c>
    </row>
    <row r="19" customFormat="false" ht="15" hidden="false" customHeight="false" outlineLevel="0" collapsed="false">
      <c r="A19" s="138" t="s">
        <v>1659</v>
      </c>
      <c r="B19" s="138" t="n">
        <v>17</v>
      </c>
      <c r="C19" s="138" t="n">
        <v>18</v>
      </c>
      <c r="D19" s="138" t="n">
        <v>21</v>
      </c>
      <c r="E19" s="138" t="n">
        <v>20</v>
      </c>
      <c r="F19" s="138" t="n">
        <v>0</v>
      </c>
      <c r="G19" s="138" t="n">
        <v>0</v>
      </c>
    </row>
    <row r="20" customFormat="false" ht="15" hidden="false" customHeight="false" outlineLevel="0" collapsed="false">
      <c r="A20" s="138" t="s">
        <v>1660</v>
      </c>
      <c r="B20" s="138" t="n">
        <v>18</v>
      </c>
      <c r="C20" s="138" t="n">
        <v>19</v>
      </c>
      <c r="D20" s="138" t="n">
        <v>20</v>
      </c>
      <c r="E20" s="138" t="n">
        <v>21</v>
      </c>
      <c r="F20" s="138" t="n">
        <v>0</v>
      </c>
      <c r="G20" s="138" t="n">
        <v>0</v>
      </c>
    </row>
    <row r="21" customFormat="false" ht="15" hidden="false" customHeight="false" outlineLevel="0" collapsed="false">
      <c r="A21" s="138" t="s">
        <v>1661</v>
      </c>
      <c r="B21" s="138" t="n">
        <v>19</v>
      </c>
      <c r="C21" s="138" t="n">
        <v>20</v>
      </c>
      <c r="D21" s="138" t="n">
        <v>21</v>
      </c>
      <c r="E21" s="138" t="n">
        <v>21</v>
      </c>
      <c r="F21" s="138" t="n">
        <v>0</v>
      </c>
      <c r="G21" s="138" t="n">
        <v>0</v>
      </c>
    </row>
    <row r="22" customFormat="false" ht="15" hidden="false" customHeight="false" outlineLevel="0" collapsed="false">
      <c r="A22" s="138" t="s">
        <v>1662</v>
      </c>
      <c r="B22" s="138" t="n">
        <v>20</v>
      </c>
      <c r="C22" s="138" t="n">
        <v>21</v>
      </c>
      <c r="D22" s="138" t="n">
        <v>21</v>
      </c>
      <c r="E22" s="138" t="n">
        <v>20</v>
      </c>
      <c r="F22" s="138" t="n">
        <v>0</v>
      </c>
      <c r="G22" s="138" t="n">
        <v>0</v>
      </c>
    </row>
    <row r="23" customFormat="false" ht="15" hidden="false" customHeight="false" outlineLevel="0" collapsed="false">
      <c r="A23" s="138" t="s">
        <v>1663</v>
      </c>
      <c r="B23" s="138" t="n">
        <v>21</v>
      </c>
      <c r="C23" s="138" t="n">
        <v>22</v>
      </c>
      <c r="D23" s="138" t="n">
        <v>20</v>
      </c>
      <c r="E23" s="138" t="n">
        <v>20</v>
      </c>
      <c r="F23" s="138" t="n">
        <v>0</v>
      </c>
      <c r="G23" s="138" t="n">
        <v>0</v>
      </c>
    </row>
    <row r="24" customFormat="false" ht="15" hidden="false" customHeight="false" outlineLevel="0" collapsed="false">
      <c r="A24" s="138" t="s">
        <v>1664</v>
      </c>
      <c r="B24" s="138" t="n">
        <v>22</v>
      </c>
      <c r="C24" s="138" t="n">
        <v>23</v>
      </c>
      <c r="D24" s="138" t="n">
        <v>20</v>
      </c>
      <c r="E24" s="138" t="n">
        <v>20</v>
      </c>
      <c r="F24" s="138" t="n">
        <v>0</v>
      </c>
      <c r="G24" s="138" t="n">
        <v>0</v>
      </c>
    </row>
    <row r="25" customFormat="false" ht="15" hidden="false" customHeight="false" outlineLevel="0" collapsed="false">
      <c r="A25" s="138" t="s">
        <v>1665</v>
      </c>
      <c r="B25" s="138" t="n">
        <v>23</v>
      </c>
      <c r="C25" s="138" t="n">
        <v>24</v>
      </c>
      <c r="D25" s="138" t="n">
        <v>21</v>
      </c>
      <c r="E25" s="138" t="n">
        <v>20</v>
      </c>
      <c r="F25" s="138" t="n">
        <v>0</v>
      </c>
      <c r="G25" s="138" t="n">
        <v>0</v>
      </c>
    </row>
    <row r="26" customFormat="false" ht="15" hidden="false" customHeight="false" outlineLevel="0" collapsed="false">
      <c r="A26" s="138" t="s">
        <v>1666</v>
      </c>
      <c r="B26" s="138" t="n">
        <v>24</v>
      </c>
      <c r="C26" s="138" t="n">
        <v>25</v>
      </c>
      <c r="D26" s="138" t="n">
        <v>20</v>
      </c>
      <c r="E26" s="138" t="n">
        <v>21</v>
      </c>
      <c r="F26" s="138" t="n">
        <v>0</v>
      </c>
      <c r="G26" s="138" t="n">
        <v>0</v>
      </c>
    </row>
    <row r="27" customFormat="false" ht="15" hidden="false" customHeight="false" outlineLevel="0" collapsed="false">
      <c r="A27" s="138" t="s">
        <v>1667</v>
      </c>
      <c r="B27" s="138" t="n">
        <v>25</v>
      </c>
      <c r="C27" s="138" t="n">
        <v>26</v>
      </c>
      <c r="D27" s="138" t="n">
        <v>20</v>
      </c>
      <c r="E27" s="138" t="n">
        <v>20</v>
      </c>
      <c r="F27" s="138" t="n">
        <v>0</v>
      </c>
      <c r="G27" s="138" t="n">
        <v>0</v>
      </c>
    </row>
    <row r="28" customFormat="false" ht="15" hidden="false" customHeight="false" outlineLevel="0" collapsed="false">
      <c r="A28" s="138" t="s">
        <v>1668</v>
      </c>
      <c r="B28" s="138" t="n">
        <v>26</v>
      </c>
      <c r="C28" s="138" t="n">
        <v>27</v>
      </c>
      <c r="D28" s="138" t="n">
        <v>23</v>
      </c>
      <c r="E28" s="138" t="n">
        <v>26</v>
      </c>
      <c r="F28" s="138" t="n">
        <v>0</v>
      </c>
      <c r="G28" s="138" t="n">
        <v>0</v>
      </c>
    </row>
    <row r="29" customFormat="false" ht="15" hidden="false" customHeight="false" outlineLevel="0" collapsed="false">
      <c r="A29" s="138" t="s">
        <v>1669</v>
      </c>
      <c r="B29" s="138" t="n">
        <v>27</v>
      </c>
      <c r="C29" s="138" t="n">
        <v>28</v>
      </c>
      <c r="D29" s="138" t="n">
        <v>20</v>
      </c>
      <c r="E29" s="138" t="n">
        <v>21</v>
      </c>
      <c r="F29" s="138" t="n">
        <v>0</v>
      </c>
      <c r="G29" s="138" t="n">
        <v>0</v>
      </c>
    </row>
    <row r="30" customFormat="false" ht="15" hidden="false" customHeight="false" outlineLevel="0" collapsed="false">
      <c r="A30" s="138" t="s">
        <v>1670</v>
      </c>
      <c r="B30" s="138" t="n">
        <v>28</v>
      </c>
      <c r="C30" s="138" t="n">
        <v>29</v>
      </c>
      <c r="D30" s="138" t="n">
        <v>20</v>
      </c>
      <c r="E30" s="138" t="n">
        <v>20</v>
      </c>
      <c r="F30" s="138" t="n">
        <v>0</v>
      </c>
      <c r="G30" s="138" t="n">
        <v>0</v>
      </c>
    </row>
    <row r="31" customFormat="false" ht="15" hidden="false" customHeight="false" outlineLevel="0" collapsed="false">
      <c r="A31" s="138" t="s">
        <v>1671</v>
      </c>
      <c r="B31" s="138" t="n">
        <v>29</v>
      </c>
      <c r="C31" s="138" t="n">
        <v>30</v>
      </c>
      <c r="D31" s="138" t="n">
        <v>20</v>
      </c>
      <c r="E31" s="138" t="n">
        <v>20</v>
      </c>
      <c r="F31" s="138" t="n">
        <v>0</v>
      </c>
      <c r="G31" s="138" t="n">
        <v>0</v>
      </c>
    </row>
    <row r="32" customFormat="false" ht="15" hidden="false" customHeight="false" outlineLevel="0" collapsed="false">
      <c r="A32" s="138" t="s">
        <v>1672</v>
      </c>
      <c r="B32" s="138" t="n">
        <v>30</v>
      </c>
      <c r="C32" s="138" t="n">
        <v>31</v>
      </c>
      <c r="D32" s="138" t="n">
        <v>21</v>
      </c>
      <c r="E32" s="138" t="n">
        <v>20</v>
      </c>
      <c r="F32" s="138" t="n">
        <v>0</v>
      </c>
      <c r="G32" s="138" t="n">
        <v>0</v>
      </c>
    </row>
    <row r="33" customFormat="false" ht="15" hidden="false" customHeight="false" outlineLevel="0" collapsed="false">
      <c r="A33" s="138" t="s">
        <v>1673</v>
      </c>
      <c r="B33" s="138" t="n">
        <v>31</v>
      </c>
      <c r="C33" s="138" t="n">
        <v>32</v>
      </c>
      <c r="D33" s="138" t="n">
        <v>20</v>
      </c>
      <c r="E33" s="138" t="n">
        <v>20</v>
      </c>
      <c r="F33" s="138" t="n">
        <v>0</v>
      </c>
      <c r="G33" s="138" t="n">
        <v>0</v>
      </c>
    </row>
    <row r="34" customFormat="false" ht="15" hidden="false" customHeight="false" outlineLevel="0" collapsed="false">
      <c r="A34" s="138" t="s">
        <v>1674</v>
      </c>
      <c r="B34" s="138" t="n">
        <v>32</v>
      </c>
      <c r="C34" s="138" t="n">
        <v>33</v>
      </c>
      <c r="D34" s="138" t="n">
        <v>20</v>
      </c>
      <c r="E34" s="138" t="n">
        <v>20</v>
      </c>
      <c r="F34" s="138" t="n">
        <v>0</v>
      </c>
      <c r="G34" s="138" t="n">
        <v>0</v>
      </c>
    </row>
    <row r="35" customFormat="false" ht="15" hidden="false" customHeight="false" outlineLevel="0" collapsed="false">
      <c r="A35" s="138" t="s">
        <v>1675</v>
      </c>
      <c r="B35" s="138" t="n">
        <v>33</v>
      </c>
      <c r="C35" s="138" t="n">
        <v>34</v>
      </c>
      <c r="D35" s="138" t="n">
        <v>20</v>
      </c>
      <c r="E35" s="138" t="n">
        <v>20</v>
      </c>
      <c r="F35" s="138" t="n">
        <v>0</v>
      </c>
      <c r="G35" s="138" t="n">
        <v>0</v>
      </c>
    </row>
    <row r="36" customFormat="false" ht="15" hidden="false" customHeight="false" outlineLevel="0" collapsed="false">
      <c r="A36" s="138" t="s">
        <v>1676</v>
      </c>
      <c r="B36" s="138" t="n">
        <v>34</v>
      </c>
      <c r="C36" s="138" t="n">
        <v>35</v>
      </c>
      <c r="D36" s="138" t="n">
        <v>20</v>
      </c>
      <c r="E36" s="138" t="n">
        <v>20</v>
      </c>
      <c r="F36" s="138" t="n">
        <v>0</v>
      </c>
      <c r="G36" s="138" t="n">
        <v>0</v>
      </c>
    </row>
    <row r="37" customFormat="false" ht="15" hidden="false" customHeight="false" outlineLevel="0" collapsed="false">
      <c r="A37" s="138" t="s">
        <v>1677</v>
      </c>
      <c r="B37" s="138" t="n">
        <v>35</v>
      </c>
      <c r="C37" s="138" t="n">
        <v>36</v>
      </c>
      <c r="D37" s="138" t="n">
        <v>20</v>
      </c>
      <c r="E37" s="138" t="n">
        <v>22</v>
      </c>
      <c r="F37" s="138" t="n">
        <v>0</v>
      </c>
      <c r="G37" s="138" t="n">
        <v>0</v>
      </c>
    </row>
    <row r="38" customFormat="false" ht="15" hidden="false" customHeight="false" outlineLevel="0" collapsed="false">
      <c r="A38" s="138" t="s">
        <v>1678</v>
      </c>
      <c r="B38" s="138" t="n">
        <v>36</v>
      </c>
      <c r="C38" s="138" t="n">
        <v>37</v>
      </c>
      <c r="D38" s="138" t="n">
        <v>24</v>
      </c>
      <c r="E38" s="138" t="n">
        <v>22</v>
      </c>
      <c r="F38" s="138" t="n">
        <v>0</v>
      </c>
      <c r="G38" s="138" t="n">
        <v>0</v>
      </c>
    </row>
    <row r="39" customFormat="false" ht="15" hidden="false" customHeight="false" outlineLevel="0" collapsed="false">
      <c r="A39" s="138" t="s">
        <v>1679</v>
      </c>
      <c r="B39" s="138" t="n">
        <v>37</v>
      </c>
      <c r="C39" s="138" t="n">
        <v>38</v>
      </c>
      <c r="D39" s="138" t="n">
        <v>37</v>
      </c>
      <c r="E39" s="138" t="n">
        <v>20</v>
      </c>
      <c r="F39" s="138" t="n">
        <v>0</v>
      </c>
      <c r="G39" s="138" t="n">
        <v>0</v>
      </c>
    </row>
    <row r="40" customFormat="false" ht="15" hidden="false" customHeight="false" outlineLevel="0" collapsed="false">
      <c r="A40" s="138" t="s">
        <v>1680</v>
      </c>
      <c r="B40" s="138" t="n">
        <v>38</v>
      </c>
      <c r="C40" s="138" t="n">
        <v>39</v>
      </c>
      <c r="D40" s="138" t="n">
        <v>30</v>
      </c>
      <c r="E40" s="138" t="n">
        <v>20</v>
      </c>
      <c r="F40" s="138" t="n">
        <v>0</v>
      </c>
      <c r="G40" s="138" t="n">
        <v>0</v>
      </c>
    </row>
    <row r="41" customFormat="false" ht="15" hidden="false" customHeight="false" outlineLevel="0" collapsed="false">
      <c r="A41" s="138" t="s">
        <v>1681</v>
      </c>
      <c r="B41" s="138" t="n">
        <v>39</v>
      </c>
      <c r="C41" s="138" t="n">
        <v>40</v>
      </c>
      <c r="D41" s="138" t="n">
        <v>20</v>
      </c>
      <c r="E41" s="138" t="n">
        <v>20</v>
      </c>
      <c r="F41" s="138" t="n">
        <v>0</v>
      </c>
      <c r="G41" s="138" t="n">
        <v>0</v>
      </c>
    </row>
    <row r="42" customFormat="false" ht="15" hidden="false" customHeight="false" outlineLevel="0" collapsed="false">
      <c r="A42" s="138" t="s">
        <v>1682</v>
      </c>
      <c r="B42" s="138" t="n">
        <v>40</v>
      </c>
      <c r="C42" s="138" t="n">
        <v>41</v>
      </c>
      <c r="D42" s="138" t="n">
        <v>20</v>
      </c>
      <c r="E42" s="138" t="n">
        <v>25</v>
      </c>
      <c r="F42" s="138" t="n">
        <v>0</v>
      </c>
      <c r="G42" s="138" t="n">
        <v>0</v>
      </c>
    </row>
    <row r="43" customFormat="false" ht="15" hidden="false" customHeight="false" outlineLevel="0" collapsed="false">
      <c r="A43" s="138" t="s">
        <v>1683</v>
      </c>
      <c r="B43" s="138" t="n">
        <v>41</v>
      </c>
      <c r="C43" s="138" t="n">
        <v>42</v>
      </c>
      <c r="D43" s="138" t="n">
        <v>24</v>
      </c>
      <c r="E43" s="138" t="n">
        <v>16</v>
      </c>
      <c r="F43" s="138" t="n">
        <v>0</v>
      </c>
      <c r="G43" s="138" t="n">
        <v>0</v>
      </c>
    </row>
    <row r="44" customFormat="false" ht="15" hidden="false" customHeight="false" outlineLevel="0" collapsed="false">
      <c r="A44" s="138" t="s">
        <v>1684</v>
      </c>
      <c r="B44" s="138" t="n">
        <v>42</v>
      </c>
      <c r="C44" s="138" t="n">
        <v>43</v>
      </c>
      <c r="D44" s="138" t="n">
        <v>20</v>
      </c>
      <c r="E44" s="138" t="n">
        <v>27</v>
      </c>
      <c r="F44" s="138" t="n">
        <v>0</v>
      </c>
      <c r="G44" s="138" t="n">
        <v>0</v>
      </c>
    </row>
    <row r="45" customFormat="false" ht="15" hidden="false" customHeight="false" outlineLevel="0" collapsed="false">
      <c r="A45" s="138" t="s">
        <v>1686</v>
      </c>
      <c r="B45" s="138" t="n">
        <v>43</v>
      </c>
      <c r="C45" s="138" t="n">
        <v>44</v>
      </c>
      <c r="D45" s="138" t="n">
        <v>23</v>
      </c>
      <c r="E45" s="138" t="n">
        <v>20</v>
      </c>
      <c r="F45" s="138" t="n">
        <v>0</v>
      </c>
      <c r="G45" s="138" t="n">
        <v>0</v>
      </c>
    </row>
    <row r="46" customFormat="false" ht="15" hidden="false" customHeight="false" outlineLevel="0" collapsed="false">
      <c r="A46" s="138" t="s">
        <v>1687</v>
      </c>
      <c r="B46" s="138" t="n">
        <v>44</v>
      </c>
      <c r="C46" s="138" t="n">
        <v>45</v>
      </c>
      <c r="D46" s="138" t="n">
        <v>20</v>
      </c>
      <c r="E46" s="138" t="n">
        <v>23</v>
      </c>
      <c r="F46" s="138" t="n">
        <v>0</v>
      </c>
      <c r="G46" s="138" t="n">
        <v>0</v>
      </c>
    </row>
    <row r="47" customFormat="false" ht="15" hidden="false" customHeight="false" outlineLevel="0" collapsed="false">
      <c r="A47" s="138" t="s">
        <v>1688</v>
      </c>
      <c r="B47" s="138" t="n">
        <v>45</v>
      </c>
      <c r="C47" s="138" t="n">
        <v>46</v>
      </c>
      <c r="D47" s="138" t="n">
        <v>20</v>
      </c>
      <c r="E47" s="138" t="n">
        <v>20</v>
      </c>
      <c r="F47" s="138" t="n">
        <v>0</v>
      </c>
      <c r="G47" s="138" t="n">
        <v>0</v>
      </c>
    </row>
    <row r="48" customFormat="false" ht="15" hidden="false" customHeight="false" outlineLevel="0" collapsed="false">
      <c r="A48" s="138" t="s">
        <v>1689</v>
      </c>
      <c r="B48" s="138" t="n">
        <v>46</v>
      </c>
      <c r="C48" s="138" t="n">
        <v>47</v>
      </c>
      <c r="D48" s="138" t="n">
        <v>20</v>
      </c>
      <c r="E48" s="138" t="n">
        <v>20</v>
      </c>
      <c r="F48" s="138" t="n">
        <v>0</v>
      </c>
      <c r="G48" s="138" t="n">
        <v>0</v>
      </c>
    </row>
    <row r="49" customFormat="false" ht="15" hidden="false" customHeight="false" outlineLevel="0" collapsed="false">
      <c r="A49" s="138" t="s">
        <v>1690</v>
      </c>
      <c r="B49" s="138" t="n">
        <v>47</v>
      </c>
      <c r="C49" s="138" t="n">
        <v>48</v>
      </c>
      <c r="D49" s="138" t="n">
        <v>24</v>
      </c>
      <c r="E49" s="138" t="n">
        <v>20</v>
      </c>
      <c r="F49" s="138" t="n">
        <v>0</v>
      </c>
      <c r="G49" s="138" t="n">
        <v>0</v>
      </c>
    </row>
    <row r="50" customFormat="false" ht="15" hidden="false" customHeight="false" outlineLevel="0" collapsed="false">
      <c r="A50" s="138" t="s">
        <v>1691</v>
      </c>
      <c r="B50" s="138" t="n">
        <v>48</v>
      </c>
      <c r="C50" s="138" t="n">
        <v>49</v>
      </c>
      <c r="D50" s="138" t="n">
        <v>20</v>
      </c>
      <c r="E50" s="138" t="n">
        <v>20</v>
      </c>
      <c r="F50" s="138" t="n">
        <v>0</v>
      </c>
      <c r="G50" s="138" t="n">
        <v>0</v>
      </c>
    </row>
    <row r="51" customFormat="false" ht="15" hidden="false" customHeight="false" outlineLevel="0" collapsed="false">
      <c r="A51" s="138" t="s">
        <v>1692</v>
      </c>
      <c r="B51" s="138" t="n">
        <v>49</v>
      </c>
      <c r="C51" s="138" t="n">
        <v>50</v>
      </c>
      <c r="D51" s="138" t="n">
        <v>1</v>
      </c>
      <c r="E51" s="138" t="n">
        <v>20</v>
      </c>
      <c r="F51" s="138" t="n">
        <v>0</v>
      </c>
      <c r="G51" s="138" t="n">
        <v>0</v>
      </c>
    </row>
    <row r="52" customFormat="false" ht="15" hidden="false" customHeight="false" outlineLevel="0" collapsed="false">
      <c r="A52" s="138" t="s">
        <v>1693</v>
      </c>
      <c r="B52" s="138" t="n">
        <v>50</v>
      </c>
      <c r="C52" s="138" t="n">
        <v>51</v>
      </c>
      <c r="D52" s="138" t="n">
        <v>12</v>
      </c>
      <c r="E52" s="138" t="n">
        <v>20</v>
      </c>
      <c r="F52" s="138" t="n">
        <v>16</v>
      </c>
      <c r="G52" s="138" t="n">
        <v>0</v>
      </c>
    </row>
    <row r="53" customFormat="false" ht="15" hidden="false" customHeight="false" outlineLevel="0" collapsed="false">
      <c r="A53" s="138" t="s">
        <v>1694</v>
      </c>
      <c r="B53" s="138" t="n">
        <v>51</v>
      </c>
      <c r="C53" s="138" t="n">
        <v>52</v>
      </c>
      <c r="D53" s="138" t="n">
        <v>20</v>
      </c>
      <c r="E53" s="138" t="n">
        <v>20</v>
      </c>
      <c r="F53" s="138" t="n">
        <v>20</v>
      </c>
      <c r="G53" s="138" t="n">
        <v>0</v>
      </c>
    </row>
    <row r="54" customFormat="false" ht="15" hidden="false" customHeight="false" outlineLevel="0" collapsed="false">
      <c r="A54" s="138" t="s">
        <v>1695</v>
      </c>
      <c r="B54" s="138" t="n">
        <v>52</v>
      </c>
      <c r="C54" s="138" t="n">
        <v>53</v>
      </c>
      <c r="D54" s="138" t="n">
        <v>27</v>
      </c>
      <c r="E54" s="138" t="n">
        <v>20</v>
      </c>
      <c r="F54" s="138" t="n">
        <v>20</v>
      </c>
      <c r="G54" s="138" t="n">
        <v>0</v>
      </c>
    </row>
    <row r="55" customFormat="false" ht="15" hidden="false" customHeight="false" outlineLevel="0" collapsed="false">
      <c r="A55" s="138" t="s">
        <v>1696</v>
      </c>
      <c r="B55" s="138" t="n">
        <v>53</v>
      </c>
      <c r="C55" s="138" t="n">
        <v>54</v>
      </c>
      <c r="D55" s="138" t="n">
        <v>20</v>
      </c>
      <c r="E55" s="138" t="n">
        <v>20</v>
      </c>
      <c r="F55" s="138" t="n">
        <v>22</v>
      </c>
      <c r="G55" s="138" t="n">
        <v>0</v>
      </c>
    </row>
    <row r="56" customFormat="false" ht="15" hidden="false" customHeight="false" outlineLevel="0" collapsed="false">
      <c r="A56" s="138" t="s">
        <v>1697</v>
      </c>
      <c r="B56" s="138" t="n">
        <v>54</v>
      </c>
      <c r="C56" s="138" t="n">
        <v>55</v>
      </c>
      <c r="D56" s="138" t="n">
        <v>20</v>
      </c>
      <c r="E56" s="138" t="n">
        <v>20</v>
      </c>
      <c r="F56" s="138" t="n">
        <v>21</v>
      </c>
      <c r="G56" s="138" t="n">
        <v>0</v>
      </c>
    </row>
    <row r="57" customFormat="false" ht="15" hidden="false" customHeight="false" outlineLevel="0" collapsed="false">
      <c r="A57" s="138" t="s">
        <v>1698</v>
      </c>
      <c r="B57" s="138" t="n">
        <v>55</v>
      </c>
      <c r="C57" s="138" t="n">
        <v>56</v>
      </c>
      <c r="D57" s="138" t="n">
        <v>23</v>
      </c>
      <c r="E57" s="138" t="n">
        <v>20</v>
      </c>
      <c r="F57" s="138" t="n">
        <v>20</v>
      </c>
      <c r="G57" s="138" t="n">
        <v>0</v>
      </c>
    </row>
    <row r="58" customFormat="false" ht="15" hidden="false" customHeight="false" outlineLevel="0" collapsed="false">
      <c r="A58" s="138" t="s">
        <v>1699</v>
      </c>
      <c r="B58" s="138" t="n">
        <v>56</v>
      </c>
      <c r="C58" s="138" t="n">
        <v>57</v>
      </c>
      <c r="D58" s="138" t="n">
        <v>20</v>
      </c>
      <c r="E58" s="138" t="n">
        <v>20</v>
      </c>
      <c r="F58" s="138" t="n">
        <v>20</v>
      </c>
      <c r="G58" s="138" t="n">
        <v>0</v>
      </c>
    </row>
    <row r="59" customFormat="false" ht="15" hidden="false" customHeight="false" outlineLevel="0" collapsed="false">
      <c r="A59" s="138" t="s">
        <v>1700</v>
      </c>
      <c r="B59" s="138" t="n">
        <v>57</v>
      </c>
      <c r="C59" s="138" t="n">
        <v>58</v>
      </c>
      <c r="D59" s="138" t="n">
        <v>20</v>
      </c>
      <c r="E59" s="138" t="n">
        <v>20</v>
      </c>
      <c r="F59" s="138" t="n">
        <v>20</v>
      </c>
      <c r="G59" s="138" t="n">
        <v>0</v>
      </c>
    </row>
    <row r="60" customFormat="false" ht="15" hidden="false" customHeight="false" outlineLevel="0" collapsed="false">
      <c r="A60" s="138" t="s">
        <v>1701</v>
      </c>
      <c r="B60" s="138" t="n">
        <v>58</v>
      </c>
      <c r="C60" s="138" t="n">
        <v>59</v>
      </c>
      <c r="D60" s="138" t="n">
        <v>20</v>
      </c>
      <c r="E60" s="138" t="n">
        <v>20</v>
      </c>
      <c r="F60" s="138" t="n">
        <v>20</v>
      </c>
      <c r="G60" s="138" t="n">
        <v>0</v>
      </c>
    </row>
    <row r="61" customFormat="false" ht="15" hidden="false" customHeight="false" outlineLevel="0" collapsed="false">
      <c r="A61" s="138" t="s">
        <v>1702</v>
      </c>
      <c r="B61" s="138" t="n">
        <v>59</v>
      </c>
      <c r="C61" s="138" t="n">
        <v>60</v>
      </c>
      <c r="D61" s="138" t="n">
        <v>20</v>
      </c>
      <c r="E61" s="138" t="n">
        <v>20</v>
      </c>
      <c r="F61" s="138" t="n">
        <v>20</v>
      </c>
      <c r="G61" s="138" t="n">
        <v>0</v>
      </c>
    </row>
    <row r="62" customFormat="false" ht="15" hidden="false" customHeight="false" outlineLevel="0" collapsed="false">
      <c r="A62" s="138" t="s">
        <v>1703</v>
      </c>
      <c r="B62" s="138" t="n">
        <v>60</v>
      </c>
      <c r="C62" s="138" t="n">
        <v>61</v>
      </c>
      <c r="D62" s="138" t="n">
        <v>21</v>
      </c>
      <c r="E62" s="138" t="n">
        <v>20</v>
      </c>
      <c r="F62" s="138" t="n">
        <v>20</v>
      </c>
      <c r="G62" s="138" t="n">
        <v>0</v>
      </c>
    </row>
    <row r="63" customFormat="false" ht="15" hidden="false" customHeight="false" outlineLevel="0" collapsed="false">
      <c r="A63" s="138" t="s">
        <v>1704</v>
      </c>
      <c r="B63" s="138" t="n">
        <v>61</v>
      </c>
      <c r="C63" s="138" t="n">
        <v>62</v>
      </c>
      <c r="D63" s="138" t="n">
        <v>26</v>
      </c>
      <c r="E63" s="138" t="n">
        <v>24</v>
      </c>
      <c r="F63" s="138" t="n">
        <v>20</v>
      </c>
      <c r="G63" s="138" t="n">
        <v>0</v>
      </c>
    </row>
    <row r="64" customFormat="false" ht="15" hidden="false" customHeight="false" outlineLevel="0" collapsed="false">
      <c r="A64" s="138" t="s">
        <v>1705</v>
      </c>
      <c r="B64" s="138" t="n">
        <v>62</v>
      </c>
      <c r="C64" s="138" t="n">
        <v>63</v>
      </c>
      <c r="D64" s="138" t="n">
        <v>20</v>
      </c>
      <c r="E64" s="138" t="n">
        <v>20</v>
      </c>
      <c r="F64" s="138" t="n">
        <v>20</v>
      </c>
      <c r="G64" s="138" t="n">
        <v>0</v>
      </c>
    </row>
    <row r="65" customFormat="false" ht="15" hidden="false" customHeight="false" outlineLevel="0" collapsed="false">
      <c r="A65" s="138" t="s">
        <v>1706</v>
      </c>
      <c r="B65" s="138" t="n">
        <v>63</v>
      </c>
      <c r="C65" s="138" t="n">
        <v>64</v>
      </c>
      <c r="D65" s="138" t="n">
        <v>22</v>
      </c>
      <c r="E65" s="138" t="n">
        <v>25</v>
      </c>
      <c r="F65" s="138" t="n">
        <v>20</v>
      </c>
      <c r="G65" s="138" t="n">
        <v>0</v>
      </c>
    </row>
    <row r="66" customFormat="false" ht="15" hidden="false" customHeight="false" outlineLevel="0" collapsed="false">
      <c r="A66" s="138" t="s">
        <v>1707</v>
      </c>
      <c r="B66" s="138" t="n">
        <v>64</v>
      </c>
      <c r="C66" s="138" t="n">
        <v>65</v>
      </c>
      <c r="D66" s="138" t="n">
        <v>30</v>
      </c>
      <c r="E66" s="138" t="n">
        <v>24</v>
      </c>
      <c r="F66" s="138" t="n">
        <v>20</v>
      </c>
      <c r="G66" s="138" t="n">
        <v>0</v>
      </c>
    </row>
    <row r="67" customFormat="false" ht="15" hidden="false" customHeight="false" outlineLevel="0" collapsed="false">
      <c r="A67" s="138" t="s">
        <v>1708</v>
      </c>
      <c r="B67" s="138" t="n">
        <v>65</v>
      </c>
      <c r="C67" s="138" t="n">
        <v>66</v>
      </c>
      <c r="D67" s="138" t="n">
        <v>21</v>
      </c>
      <c r="E67" s="138" t="n">
        <v>24</v>
      </c>
      <c r="F67" s="138" t="n">
        <v>16</v>
      </c>
      <c r="G67" s="138" t="n">
        <v>0</v>
      </c>
    </row>
    <row r="68" customFormat="false" ht="15" hidden="false" customHeight="false" outlineLevel="0" collapsed="false">
      <c r="A68" s="138" t="s">
        <v>1709</v>
      </c>
      <c r="B68" s="138" t="n">
        <v>66</v>
      </c>
      <c r="C68" s="138" t="n">
        <v>67</v>
      </c>
      <c r="D68" s="138" t="n">
        <v>27</v>
      </c>
      <c r="E68" s="138" t="n">
        <v>26</v>
      </c>
      <c r="F68" s="138" t="n">
        <v>0</v>
      </c>
      <c r="G68" s="138" t="n">
        <v>0</v>
      </c>
    </row>
    <row r="69" customFormat="false" ht="15" hidden="false" customHeight="false" outlineLevel="0" collapsed="false">
      <c r="A69" s="138" t="s">
        <v>1710</v>
      </c>
      <c r="B69" s="138" t="n">
        <v>67</v>
      </c>
      <c r="C69" s="138" t="n">
        <v>68</v>
      </c>
      <c r="D69" s="138" t="n">
        <v>20</v>
      </c>
      <c r="E69" s="138" t="n">
        <v>20</v>
      </c>
      <c r="F69" s="138" t="n">
        <v>0</v>
      </c>
      <c r="G69" s="138" t="n">
        <v>0</v>
      </c>
    </row>
    <row r="70" customFormat="false" ht="15" hidden="false" customHeight="false" outlineLevel="0" collapsed="false">
      <c r="A70" s="138" t="s">
        <v>1711</v>
      </c>
      <c r="B70" s="138" t="n">
        <v>68</v>
      </c>
      <c r="C70" s="138" t="n">
        <v>69</v>
      </c>
      <c r="D70" s="138" t="n">
        <v>20</v>
      </c>
      <c r="E70" s="138" t="n">
        <v>20</v>
      </c>
      <c r="F70" s="138" t="n">
        <v>0</v>
      </c>
      <c r="G70" s="138" t="n">
        <v>0</v>
      </c>
    </row>
    <row r="71" customFormat="false" ht="15" hidden="false" customHeight="false" outlineLevel="0" collapsed="false">
      <c r="A71" s="138" t="s">
        <v>1712</v>
      </c>
      <c r="B71" s="138" t="n">
        <v>69</v>
      </c>
      <c r="C71" s="138" t="n">
        <v>70</v>
      </c>
      <c r="D71" s="138" t="n">
        <v>20</v>
      </c>
      <c r="E71" s="138" t="n">
        <v>20</v>
      </c>
      <c r="F71" s="138" t="n">
        <v>0</v>
      </c>
      <c r="G71" s="138" t="n">
        <v>0</v>
      </c>
    </row>
    <row r="72" customFormat="false" ht="15" hidden="false" customHeight="false" outlineLevel="0" collapsed="false">
      <c r="A72" s="138" t="s">
        <v>1713</v>
      </c>
      <c r="B72" s="138" t="n">
        <v>70</v>
      </c>
      <c r="C72" s="138" t="n">
        <v>71</v>
      </c>
      <c r="D72" s="138" t="n">
        <v>20</v>
      </c>
      <c r="E72" s="138" t="n">
        <v>20</v>
      </c>
      <c r="F72" s="138" t="n">
        <v>0</v>
      </c>
      <c r="G72" s="138" t="n">
        <v>0</v>
      </c>
    </row>
    <row r="73" customFormat="false" ht="15" hidden="false" customHeight="false" outlineLevel="0" collapsed="false">
      <c r="A73" s="138" t="s">
        <v>1714</v>
      </c>
      <c r="B73" s="138" t="n">
        <v>71</v>
      </c>
      <c r="C73" s="138" t="n">
        <v>72</v>
      </c>
      <c r="D73" s="138" t="n">
        <v>20</v>
      </c>
      <c r="E73" s="138" t="n">
        <v>20</v>
      </c>
      <c r="F73" s="138" t="n">
        <v>0</v>
      </c>
      <c r="G73" s="138" t="n">
        <v>0</v>
      </c>
    </row>
    <row r="74" customFormat="false" ht="15" hidden="false" customHeight="false" outlineLevel="0" collapsed="false">
      <c r="A74" s="138" t="s">
        <v>1715</v>
      </c>
      <c r="B74" s="138" t="n">
        <v>72</v>
      </c>
      <c r="C74" s="138" t="n">
        <v>73</v>
      </c>
      <c r="D74" s="138" t="n">
        <v>20</v>
      </c>
      <c r="E74" s="138" t="n">
        <v>20</v>
      </c>
      <c r="F74" s="138" t="n">
        <v>0</v>
      </c>
      <c r="G74" s="138" t="n">
        <v>0</v>
      </c>
    </row>
    <row r="75" customFormat="false" ht="15" hidden="false" customHeight="false" outlineLevel="0" collapsed="false">
      <c r="A75" s="138" t="s">
        <v>1716</v>
      </c>
      <c r="B75" s="138" t="n">
        <v>73</v>
      </c>
      <c r="C75" s="138" t="n">
        <v>74</v>
      </c>
      <c r="D75" s="138" t="n">
        <v>20</v>
      </c>
      <c r="E75" s="138" t="n">
        <v>20</v>
      </c>
      <c r="F75" s="138" t="n">
        <v>0</v>
      </c>
      <c r="G75" s="138" t="n">
        <v>0</v>
      </c>
    </row>
    <row r="76" customFormat="false" ht="15" hidden="false" customHeight="false" outlineLevel="0" collapsed="false">
      <c r="A76" s="138" t="s">
        <v>1717</v>
      </c>
      <c r="B76" s="138" t="n">
        <v>74</v>
      </c>
      <c r="C76" s="138" t="n">
        <v>75</v>
      </c>
      <c r="D76" s="138" t="n">
        <v>20</v>
      </c>
      <c r="E76" s="138" t="n">
        <v>20</v>
      </c>
      <c r="F76" s="138" t="n">
        <v>0</v>
      </c>
      <c r="G76" s="138" t="n">
        <v>0</v>
      </c>
    </row>
    <row r="77" customFormat="false" ht="15" hidden="false" customHeight="false" outlineLevel="0" collapsed="false">
      <c r="A77" s="138" t="s">
        <v>1718</v>
      </c>
      <c r="B77" s="138" t="n">
        <v>75</v>
      </c>
      <c r="C77" s="138" t="n">
        <v>76</v>
      </c>
      <c r="D77" s="138" t="n">
        <v>20</v>
      </c>
      <c r="E77" s="138" t="n">
        <v>20</v>
      </c>
      <c r="F77" s="138" t="n">
        <v>0</v>
      </c>
      <c r="G77" s="138" t="n">
        <v>0</v>
      </c>
    </row>
    <row r="78" customFormat="false" ht="15" hidden="false" customHeight="false" outlineLevel="0" collapsed="false">
      <c r="A78" s="138" t="s">
        <v>1719</v>
      </c>
      <c r="B78" s="138" t="n">
        <v>76</v>
      </c>
      <c r="C78" s="138" t="n">
        <v>77</v>
      </c>
      <c r="D78" s="138" t="n">
        <v>20</v>
      </c>
      <c r="E78" s="138" t="n">
        <v>20</v>
      </c>
      <c r="F78" s="138" t="n">
        <v>0</v>
      </c>
      <c r="G78" s="138" t="n">
        <v>0</v>
      </c>
    </row>
    <row r="79" customFormat="false" ht="15" hidden="false" customHeight="false" outlineLevel="0" collapsed="false">
      <c r="A79" s="138" t="s">
        <v>1720</v>
      </c>
      <c r="B79" s="138" t="n">
        <v>77</v>
      </c>
      <c r="C79" s="138" t="n">
        <v>78</v>
      </c>
      <c r="D79" s="138" t="n">
        <v>20</v>
      </c>
      <c r="E79" s="138" t="n">
        <v>20</v>
      </c>
      <c r="F79" s="138" t="n">
        <v>0</v>
      </c>
      <c r="G79" s="138" t="n">
        <v>0</v>
      </c>
    </row>
    <row r="80" customFormat="false" ht="15" hidden="false" customHeight="false" outlineLevel="0" collapsed="false">
      <c r="A80" s="138" t="s">
        <v>1721</v>
      </c>
      <c r="B80" s="138" t="n">
        <v>78</v>
      </c>
      <c r="C80" s="138" t="n">
        <v>79</v>
      </c>
      <c r="D80" s="138" t="n">
        <v>21</v>
      </c>
      <c r="E80" s="138" t="n">
        <v>20</v>
      </c>
      <c r="F80" s="138" t="n">
        <v>0</v>
      </c>
      <c r="G80" s="138" t="n">
        <v>0</v>
      </c>
    </row>
    <row r="81" customFormat="false" ht="15" hidden="false" customHeight="false" outlineLevel="0" collapsed="false">
      <c r="A81" s="138" t="s">
        <v>1722</v>
      </c>
      <c r="B81" s="138" t="n">
        <v>79</v>
      </c>
      <c r="C81" s="138" t="n">
        <v>80</v>
      </c>
      <c r="D81" s="138" t="n">
        <v>21</v>
      </c>
      <c r="E81" s="138" t="n">
        <v>21</v>
      </c>
      <c r="F81" s="138" t="n">
        <v>0</v>
      </c>
      <c r="G81" s="138" t="n">
        <v>0</v>
      </c>
    </row>
    <row r="82" customFormat="false" ht="15" hidden="false" customHeight="false" outlineLevel="0" collapsed="false">
      <c r="A82" s="138" t="s">
        <v>1723</v>
      </c>
      <c r="B82" s="138" t="n">
        <v>80</v>
      </c>
      <c r="C82" s="138" t="n">
        <v>81</v>
      </c>
      <c r="D82" s="138" t="n">
        <v>20</v>
      </c>
      <c r="E82" s="138" t="n">
        <v>20</v>
      </c>
      <c r="F82" s="138" t="n">
        <v>0</v>
      </c>
      <c r="G82" s="138" t="n">
        <v>0</v>
      </c>
    </row>
    <row r="83" customFormat="false" ht="15" hidden="false" customHeight="false" outlineLevel="0" collapsed="false">
      <c r="A83" s="138" t="s">
        <v>1724</v>
      </c>
      <c r="B83" s="138" t="n">
        <v>81</v>
      </c>
      <c r="C83" s="138" t="n">
        <v>82</v>
      </c>
      <c r="D83" s="138" t="n">
        <v>20</v>
      </c>
      <c r="E83" s="138" t="n">
        <v>20</v>
      </c>
      <c r="F83" s="138" t="n">
        <v>0</v>
      </c>
      <c r="G83" s="138" t="n">
        <v>0</v>
      </c>
    </row>
    <row r="84" customFormat="false" ht="15" hidden="false" customHeight="false" outlineLevel="0" collapsed="false">
      <c r="A84" s="138" t="s">
        <v>1725</v>
      </c>
      <c r="B84" s="138" t="n">
        <v>82</v>
      </c>
      <c r="C84" s="138" t="n">
        <v>83</v>
      </c>
      <c r="D84" s="138" t="n">
        <v>20</v>
      </c>
      <c r="E84" s="138" t="n">
        <v>20</v>
      </c>
      <c r="F84" s="138" t="n">
        <v>0</v>
      </c>
      <c r="G84" s="138" t="n">
        <v>0</v>
      </c>
    </row>
    <row r="85" customFormat="false" ht="15" hidden="false" customHeight="false" outlineLevel="0" collapsed="false">
      <c r="A85" s="138" t="s">
        <v>1726</v>
      </c>
      <c r="B85" s="138" t="n">
        <v>83</v>
      </c>
      <c r="C85" s="138" t="n">
        <v>84</v>
      </c>
      <c r="D85" s="138" t="n">
        <v>20</v>
      </c>
      <c r="E85" s="138" t="n">
        <v>20</v>
      </c>
      <c r="F85" s="138" t="n">
        <v>0</v>
      </c>
      <c r="G85" s="138" t="n">
        <v>0</v>
      </c>
    </row>
    <row r="86" customFormat="false" ht="15" hidden="false" customHeight="false" outlineLevel="0" collapsed="false">
      <c r="A86" s="138" t="s">
        <v>1727</v>
      </c>
      <c r="B86" s="138" t="n">
        <v>84</v>
      </c>
      <c r="C86" s="138" t="n">
        <v>85</v>
      </c>
      <c r="D86" s="138" t="n">
        <v>20</v>
      </c>
      <c r="E86" s="138" t="n">
        <v>30</v>
      </c>
      <c r="F86" s="138" t="n">
        <v>0</v>
      </c>
      <c r="G86" s="138" t="n">
        <v>0</v>
      </c>
    </row>
    <row r="87" customFormat="false" ht="15" hidden="false" customHeight="false" outlineLevel="0" collapsed="false">
      <c r="A87" s="138" t="s">
        <v>1728</v>
      </c>
      <c r="B87" s="138" t="n">
        <v>85</v>
      </c>
      <c r="C87" s="138" t="n">
        <v>86</v>
      </c>
      <c r="D87" s="138" t="n">
        <v>20</v>
      </c>
      <c r="E87" s="138" t="n">
        <v>20</v>
      </c>
      <c r="F87" s="138" t="n">
        <v>0</v>
      </c>
      <c r="G87" s="138" t="n">
        <v>0</v>
      </c>
    </row>
    <row r="88" customFormat="false" ht="15" hidden="false" customHeight="false" outlineLevel="0" collapsed="false">
      <c r="A88" s="138" t="s">
        <v>1729</v>
      </c>
      <c r="B88" s="138" t="n">
        <v>86</v>
      </c>
      <c r="C88" s="138" t="n">
        <v>87</v>
      </c>
      <c r="D88" s="138" t="n">
        <v>20</v>
      </c>
      <c r="E88" s="138" t="n">
        <v>20</v>
      </c>
      <c r="F88" s="138" t="n">
        <v>0</v>
      </c>
      <c r="G88" s="138" t="n">
        <v>0</v>
      </c>
    </row>
    <row r="89" customFormat="false" ht="15" hidden="false" customHeight="false" outlineLevel="0" collapsed="false">
      <c r="A89" s="138" t="s">
        <v>1730</v>
      </c>
      <c r="B89" s="138" t="n">
        <v>87</v>
      </c>
      <c r="C89" s="138" t="n">
        <v>88</v>
      </c>
      <c r="D89" s="138" t="n">
        <v>20</v>
      </c>
      <c r="E89" s="138" t="n">
        <v>20</v>
      </c>
      <c r="F89" s="138" t="n">
        <v>0</v>
      </c>
      <c r="G89" s="138" t="n">
        <v>0</v>
      </c>
    </row>
    <row r="90" customFormat="false" ht="15" hidden="false" customHeight="false" outlineLevel="0" collapsed="false">
      <c r="A90" s="138" t="s">
        <v>1731</v>
      </c>
      <c r="B90" s="138" t="n">
        <v>88</v>
      </c>
      <c r="C90" s="138" t="n">
        <v>89</v>
      </c>
      <c r="D90" s="138" t="n">
        <v>20</v>
      </c>
      <c r="E90" s="138" t="n">
        <v>20</v>
      </c>
      <c r="F90" s="138" t="n">
        <v>0</v>
      </c>
      <c r="G90" s="138" t="n">
        <v>0</v>
      </c>
    </row>
    <row r="91" customFormat="false" ht="15" hidden="false" customHeight="false" outlineLevel="0" collapsed="false">
      <c r="A91" s="138" t="s">
        <v>1732</v>
      </c>
      <c r="B91" s="138" t="n">
        <v>89</v>
      </c>
      <c r="C91" s="138" t="n">
        <v>90</v>
      </c>
      <c r="D91" s="138" t="n">
        <v>20</v>
      </c>
      <c r="E91" s="138" t="n">
        <v>20</v>
      </c>
      <c r="F91" s="138" t="n">
        <v>0</v>
      </c>
      <c r="G91" s="138" t="n">
        <v>0</v>
      </c>
    </row>
    <row r="92" customFormat="false" ht="15" hidden="false" customHeight="false" outlineLevel="0" collapsed="false">
      <c r="A92" s="138" t="s">
        <v>1733</v>
      </c>
      <c r="B92" s="138" t="n">
        <v>90</v>
      </c>
      <c r="C92" s="138" t="n">
        <v>91</v>
      </c>
      <c r="D92" s="138" t="n">
        <v>20</v>
      </c>
      <c r="E92" s="138" t="n">
        <v>20</v>
      </c>
      <c r="F92" s="138" t="n">
        <v>0</v>
      </c>
      <c r="G92" s="138" t="n">
        <v>0</v>
      </c>
    </row>
    <row r="93" customFormat="false" ht="15" hidden="false" customHeight="false" outlineLevel="0" collapsed="false">
      <c r="A93" s="138" t="s">
        <v>1734</v>
      </c>
      <c r="B93" s="138" t="n">
        <v>91</v>
      </c>
      <c r="C93" s="138" t="n">
        <v>92</v>
      </c>
      <c r="D93" s="138" t="n">
        <v>20</v>
      </c>
      <c r="E93" s="138" t="n">
        <v>20</v>
      </c>
      <c r="F93" s="138" t="n">
        <v>0</v>
      </c>
      <c r="G93" s="138" t="n">
        <v>0</v>
      </c>
    </row>
    <row r="94" customFormat="false" ht="15" hidden="false" customHeight="false" outlineLevel="0" collapsed="false">
      <c r="A94" s="138" t="s">
        <v>1735</v>
      </c>
      <c r="B94" s="138" t="n">
        <v>92</v>
      </c>
      <c r="C94" s="138" t="n">
        <v>93</v>
      </c>
      <c r="D94" s="138" t="n">
        <v>23</v>
      </c>
      <c r="E94" s="138" t="n">
        <v>20</v>
      </c>
      <c r="F94" s="138" t="n">
        <v>0</v>
      </c>
      <c r="G94" s="138" t="n">
        <v>0</v>
      </c>
    </row>
    <row r="95" customFormat="false" ht="15" hidden="false" customHeight="false" outlineLevel="0" collapsed="false">
      <c r="A95" s="138" t="s">
        <v>1736</v>
      </c>
      <c r="B95" s="138" t="n">
        <v>93</v>
      </c>
      <c r="C95" s="138" t="n">
        <v>94</v>
      </c>
      <c r="D95" s="138" t="n">
        <v>20</v>
      </c>
      <c r="E95" s="138" t="n">
        <v>20</v>
      </c>
      <c r="F95" s="138" t="n">
        <v>0</v>
      </c>
      <c r="G95" s="138" t="n">
        <v>0</v>
      </c>
    </row>
    <row r="96" customFormat="false" ht="15" hidden="false" customHeight="false" outlineLevel="0" collapsed="false">
      <c r="A96" s="138" t="s">
        <v>1737</v>
      </c>
      <c r="B96" s="138" t="n">
        <v>94</v>
      </c>
      <c r="C96" s="138" t="n">
        <v>95</v>
      </c>
      <c r="D96" s="138" t="n">
        <v>20</v>
      </c>
      <c r="E96" s="138" t="n">
        <v>22</v>
      </c>
      <c r="F96" s="138" t="n">
        <v>0</v>
      </c>
      <c r="G96" s="138" t="n">
        <v>0</v>
      </c>
    </row>
    <row r="97" customFormat="false" ht="15" hidden="false" customHeight="false" outlineLevel="0" collapsed="false">
      <c r="A97" s="138" t="s">
        <v>1738</v>
      </c>
      <c r="B97" s="138" t="n">
        <v>95</v>
      </c>
      <c r="C97" s="138" t="n">
        <v>96</v>
      </c>
      <c r="D97" s="138" t="n">
        <v>20</v>
      </c>
      <c r="E97" s="138" t="n">
        <v>29</v>
      </c>
      <c r="F97" s="138" t="n">
        <v>0</v>
      </c>
      <c r="G97" s="138" t="n">
        <v>0</v>
      </c>
    </row>
    <row r="98" customFormat="false" ht="15" hidden="false" customHeight="false" outlineLevel="0" collapsed="false">
      <c r="A98" s="138" t="s">
        <v>1740</v>
      </c>
      <c r="B98" s="138" t="n">
        <v>96</v>
      </c>
      <c r="C98" s="138" t="n">
        <v>97</v>
      </c>
      <c r="D98" s="138" t="n">
        <v>20</v>
      </c>
      <c r="E98" s="138" t="n">
        <v>10</v>
      </c>
      <c r="F98" s="138" t="n">
        <v>0</v>
      </c>
      <c r="G98" s="138" t="n">
        <v>0</v>
      </c>
    </row>
    <row r="99" customFormat="false" ht="15" hidden="false" customHeight="false" outlineLevel="0" collapsed="false">
      <c r="A99" s="138" t="s">
        <v>1741</v>
      </c>
      <c r="B99" s="138" t="n">
        <v>97</v>
      </c>
      <c r="C99" s="138" t="n">
        <v>98</v>
      </c>
      <c r="D99" s="138" t="n">
        <v>20</v>
      </c>
      <c r="E99" s="138" t="n">
        <v>20</v>
      </c>
      <c r="F99" s="138" t="n">
        <v>0</v>
      </c>
      <c r="G99" s="138" t="n">
        <v>0</v>
      </c>
    </row>
    <row r="100" customFormat="false" ht="15" hidden="false" customHeight="false" outlineLevel="0" collapsed="false">
      <c r="A100" s="138" t="s">
        <v>1742</v>
      </c>
      <c r="B100" s="138" t="n">
        <v>98</v>
      </c>
      <c r="C100" s="138" t="n">
        <v>99</v>
      </c>
      <c r="D100" s="138" t="n">
        <v>20</v>
      </c>
      <c r="E100" s="138" t="n">
        <v>20</v>
      </c>
      <c r="F100" s="138" t="n">
        <v>0</v>
      </c>
      <c r="G100" s="138" t="n">
        <v>0</v>
      </c>
    </row>
    <row r="101" customFormat="false" ht="15" hidden="false" customHeight="false" outlineLevel="0" collapsed="false">
      <c r="A101" s="138" t="s">
        <v>1743</v>
      </c>
      <c r="B101" s="138" t="n">
        <v>99</v>
      </c>
      <c r="C101" s="138" t="n">
        <v>100</v>
      </c>
      <c r="D101" s="138" t="n">
        <v>20</v>
      </c>
      <c r="E101" s="138" t="n">
        <v>20</v>
      </c>
      <c r="F101" s="138" t="n">
        <v>0</v>
      </c>
      <c r="G101" s="138" t="n">
        <v>0</v>
      </c>
    </row>
    <row r="102" customFormat="false" ht="15" hidden="false" customHeight="false" outlineLevel="0" collapsed="false">
      <c r="A102" s="138" t="s">
        <v>1744</v>
      </c>
      <c r="B102" s="138" t="n">
        <v>100</v>
      </c>
      <c r="C102" s="138" t="n">
        <v>101</v>
      </c>
      <c r="D102" s="138" t="n">
        <v>20</v>
      </c>
      <c r="E102" s="138" t="n">
        <v>20</v>
      </c>
      <c r="F102" s="138" t="n">
        <v>0</v>
      </c>
      <c r="G102" s="138" t="n">
        <v>0</v>
      </c>
    </row>
    <row r="103" customFormat="false" ht="15" hidden="false" customHeight="false" outlineLevel="0" collapsed="false">
      <c r="A103" s="138" t="s">
        <v>1745</v>
      </c>
      <c r="B103" s="138" t="n">
        <v>101</v>
      </c>
      <c r="C103" s="138" t="n">
        <v>102</v>
      </c>
      <c r="D103" s="138" t="n">
        <v>24</v>
      </c>
      <c r="E103" s="138" t="n">
        <v>20</v>
      </c>
      <c r="F103" s="138" t="n">
        <v>0</v>
      </c>
      <c r="G103" s="138" t="n">
        <v>0</v>
      </c>
    </row>
    <row r="104" customFormat="false" ht="15" hidden="false" customHeight="false" outlineLevel="0" collapsed="false">
      <c r="A104" s="138" t="s">
        <v>1746</v>
      </c>
      <c r="B104" s="138" t="n">
        <v>102</v>
      </c>
      <c r="C104" s="138" t="n">
        <v>103</v>
      </c>
      <c r="D104" s="138" t="n">
        <v>20</v>
      </c>
      <c r="E104" s="138" t="n">
        <v>20</v>
      </c>
      <c r="F104" s="138" t="n">
        <v>0</v>
      </c>
      <c r="G104" s="138" t="n">
        <v>0</v>
      </c>
    </row>
    <row r="105" customFormat="false" ht="15" hidden="false" customHeight="false" outlineLevel="0" collapsed="false">
      <c r="A105" s="138" t="s">
        <v>1747</v>
      </c>
      <c r="B105" s="138" t="n">
        <v>103</v>
      </c>
      <c r="C105" s="138" t="n">
        <v>104</v>
      </c>
      <c r="D105" s="138" t="n">
        <v>20</v>
      </c>
      <c r="E105" s="138" t="n">
        <v>20</v>
      </c>
      <c r="F105" s="138" t="n">
        <v>0</v>
      </c>
      <c r="G105" s="138" t="n">
        <v>0</v>
      </c>
    </row>
    <row r="106" customFormat="false" ht="15" hidden="false" customHeight="false" outlineLevel="0" collapsed="false">
      <c r="A106" s="138" t="s">
        <v>1748</v>
      </c>
      <c r="B106" s="138" t="n">
        <v>104</v>
      </c>
      <c r="C106" s="138" t="n">
        <v>105</v>
      </c>
      <c r="D106" s="138" t="n">
        <v>20</v>
      </c>
      <c r="E106" s="138" t="n">
        <v>20</v>
      </c>
      <c r="F106" s="138" t="n">
        <v>0</v>
      </c>
      <c r="G106" s="138" t="n">
        <v>0</v>
      </c>
    </row>
    <row r="107" customFormat="false" ht="15" hidden="false" customHeight="false" outlineLevel="0" collapsed="false">
      <c r="A107" s="138" t="s">
        <v>1749</v>
      </c>
      <c r="B107" s="138" t="n">
        <v>105</v>
      </c>
      <c r="C107" s="138" t="n">
        <v>106</v>
      </c>
      <c r="D107" s="138" t="n">
        <v>21</v>
      </c>
      <c r="E107" s="138" t="n">
        <v>20</v>
      </c>
      <c r="F107" s="138" t="n">
        <v>0</v>
      </c>
      <c r="G107" s="138" t="n">
        <v>0</v>
      </c>
    </row>
    <row r="108" customFormat="false" ht="15" hidden="false" customHeight="false" outlineLevel="0" collapsed="false">
      <c r="A108" s="138" t="s">
        <v>1750</v>
      </c>
      <c r="B108" s="138" t="n">
        <v>106</v>
      </c>
      <c r="C108" s="138" t="n">
        <v>107</v>
      </c>
      <c r="D108" s="138" t="n">
        <v>20</v>
      </c>
      <c r="E108" s="138" t="n">
        <v>22</v>
      </c>
      <c r="F108" s="138" t="n">
        <v>0</v>
      </c>
      <c r="G108" s="138" t="n">
        <v>0</v>
      </c>
    </row>
    <row r="109" customFormat="false" ht="15" hidden="false" customHeight="false" outlineLevel="0" collapsed="false">
      <c r="A109" s="138" t="s">
        <v>1751</v>
      </c>
      <c r="B109" s="138" t="n">
        <v>107</v>
      </c>
      <c r="C109" s="138" t="n">
        <v>108</v>
      </c>
      <c r="D109" s="138" t="n">
        <v>21</v>
      </c>
      <c r="E109" s="138" t="n">
        <v>20</v>
      </c>
      <c r="F109" s="138" t="n">
        <v>0</v>
      </c>
      <c r="G109" s="138" t="n">
        <v>0</v>
      </c>
    </row>
    <row r="110" customFormat="false" ht="15" hidden="false" customHeight="false" outlineLevel="0" collapsed="false">
      <c r="A110" s="138" t="s">
        <v>1752</v>
      </c>
      <c r="B110" s="138" t="n">
        <v>108</v>
      </c>
      <c r="C110" s="138" t="n">
        <v>109</v>
      </c>
      <c r="D110" s="138" t="n">
        <v>21</v>
      </c>
      <c r="E110" s="138" t="n">
        <v>20</v>
      </c>
      <c r="F110" s="138" t="n">
        <v>0</v>
      </c>
      <c r="G110" s="138" t="n">
        <v>0</v>
      </c>
    </row>
    <row r="111" customFormat="false" ht="15" hidden="false" customHeight="false" outlineLevel="0" collapsed="false">
      <c r="A111" s="138" t="s">
        <v>1753</v>
      </c>
      <c r="B111" s="138" t="n">
        <v>109</v>
      </c>
      <c r="C111" s="138" t="n">
        <v>110</v>
      </c>
      <c r="D111" s="138" t="n">
        <v>20</v>
      </c>
      <c r="E111" s="138" t="n">
        <v>20</v>
      </c>
      <c r="F111" s="138" t="n">
        <v>0</v>
      </c>
      <c r="G111" s="138" t="n">
        <v>0</v>
      </c>
    </row>
    <row r="112" customFormat="false" ht="15" hidden="false" customHeight="false" outlineLevel="0" collapsed="false">
      <c r="A112" s="138" t="s">
        <v>1754</v>
      </c>
      <c r="B112" s="138" t="n">
        <v>110</v>
      </c>
      <c r="C112" s="138" t="n">
        <v>111</v>
      </c>
      <c r="D112" s="138" t="n">
        <v>20</v>
      </c>
      <c r="E112" s="138" t="n">
        <v>21</v>
      </c>
      <c r="F112" s="138" t="n">
        <v>0</v>
      </c>
      <c r="G112" s="138" t="n">
        <v>0</v>
      </c>
    </row>
    <row r="113" customFormat="false" ht="15" hidden="false" customHeight="false" outlineLevel="0" collapsed="false">
      <c r="A113" s="138" t="s">
        <v>1755</v>
      </c>
      <c r="B113" s="138" t="n">
        <v>111</v>
      </c>
      <c r="C113" s="138" t="n">
        <v>112</v>
      </c>
      <c r="D113" s="138" t="n">
        <v>20</v>
      </c>
      <c r="E113" s="138" t="n">
        <v>20</v>
      </c>
      <c r="F113" s="138" t="n">
        <v>0</v>
      </c>
      <c r="G113" s="138" t="n">
        <v>0</v>
      </c>
    </row>
    <row r="114" customFormat="false" ht="15" hidden="false" customHeight="false" outlineLevel="0" collapsed="false">
      <c r="A114" s="138" t="s">
        <v>1756</v>
      </c>
      <c r="B114" s="138" t="n">
        <v>112</v>
      </c>
      <c r="C114" s="138" t="n">
        <v>113</v>
      </c>
      <c r="D114" s="138" t="n">
        <v>29</v>
      </c>
      <c r="E114" s="138" t="n">
        <v>30</v>
      </c>
      <c r="F114" s="138" t="n">
        <v>0</v>
      </c>
      <c r="G114" s="138" t="n">
        <v>0</v>
      </c>
    </row>
    <row r="115" customFormat="false" ht="15" hidden="false" customHeight="false" outlineLevel="0" collapsed="false">
      <c r="A115" s="138" t="s">
        <v>1757</v>
      </c>
      <c r="B115" s="138" t="n">
        <v>113</v>
      </c>
      <c r="C115" s="138" t="n">
        <v>114</v>
      </c>
      <c r="D115" s="138" t="n">
        <v>24</v>
      </c>
      <c r="E115" s="138" t="n">
        <v>29</v>
      </c>
      <c r="F115" s="138" t="n">
        <v>0</v>
      </c>
      <c r="G115" s="138" t="n">
        <v>0</v>
      </c>
    </row>
    <row r="116" customFormat="false" ht="15" hidden="false" customHeight="false" outlineLevel="0" collapsed="false">
      <c r="A116" s="138" t="s">
        <v>1758</v>
      </c>
      <c r="B116" s="138" t="n">
        <v>114</v>
      </c>
      <c r="C116" s="138" t="n">
        <v>115</v>
      </c>
      <c r="D116" s="138" t="n">
        <v>35</v>
      </c>
      <c r="E116" s="138" t="n">
        <v>20</v>
      </c>
      <c r="F116" s="138" t="n">
        <v>0</v>
      </c>
      <c r="G116" s="138" t="n">
        <v>0</v>
      </c>
    </row>
    <row r="117" customFormat="false" ht="15" hidden="false" customHeight="false" outlineLevel="0" collapsed="false">
      <c r="A117" s="138" t="s">
        <v>1759</v>
      </c>
      <c r="B117" s="138" t="n">
        <v>115</v>
      </c>
      <c r="C117" s="138" t="n">
        <v>116</v>
      </c>
      <c r="D117" s="138" t="n">
        <v>20</v>
      </c>
      <c r="E117" s="138" t="n">
        <v>20</v>
      </c>
      <c r="F117" s="138" t="n">
        <v>0</v>
      </c>
      <c r="G117" s="138" t="n">
        <v>0</v>
      </c>
    </row>
    <row r="118" customFormat="false" ht="15" hidden="false" customHeight="false" outlineLevel="0" collapsed="false">
      <c r="A118" s="138" t="s">
        <v>1760</v>
      </c>
      <c r="B118" s="138" t="n">
        <v>116</v>
      </c>
      <c r="C118" s="138" t="n">
        <v>117</v>
      </c>
      <c r="D118" s="138" t="n">
        <v>21</v>
      </c>
      <c r="E118" s="138" t="n">
        <v>26</v>
      </c>
      <c r="F118" s="138" t="n">
        <v>0</v>
      </c>
      <c r="G118" s="138" t="n">
        <v>0</v>
      </c>
    </row>
    <row r="119" customFormat="false" ht="15" hidden="false" customHeight="false" outlineLevel="0" collapsed="false">
      <c r="A119" s="138" t="s">
        <v>1761</v>
      </c>
      <c r="B119" s="138" t="n">
        <v>117</v>
      </c>
      <c r="C119" s="138" t="n">
        <v>118</v>
      </c>
      <c r="D119" s="138" t="n">
        <v>20</v>
      </c>
      <c r="E119" s="138" t="n">
        <v>22</v>
      </c>
      <c r="F119" s="138" t="n">
        <v>0</v>
      </c>
      <c r="G119" s="138" t="n">
        <v>0</v>
      </c>
    </row>
    <row r="120" customFormat="false" ht="15" hidden="false" customHeight="false" outlineLevel="0" collapsed="false">
      <c r="A120" s="138" t="s">
        <v>1762</v>
      </c>
      <c r="B120" s="138" t="n">
        <v>118</v>
      </c>
      <c r="C120" s="138" t="n">
        <v>119</v>
      </c>
      <c r="D120" s="138" t="n">
        <v>20</v>
      </c>
      <c r="E120" s="138" t="n">
        <v>21</v>
      </c>
      <c r="F120" s="138" t="n">
        <v>0</v>
      </c>
      <c r="G120" s="138" t="n">
        <v>0</v>
      </c>
    </row>
    <row r="121" customFormat="false" ht="15" hidden="false" customHeight="false" outlineLevel="0" collapsed="false">
      <c r="A121" s="138" t="s">
        <v>1763</v>
      </c>
      <c r="B121" s="138" t="n">
        <v>119</v>
      </c>
      <c r="C121" s="138" t="n">
        <v>120</v>
      </c>
      <c r="D121" s="138" t="n">
        <v>20</v>
      </c>
      <c r="E121" s="138" t="n">
        <v>20</v>
      </c>
      <c r="F121" s="138" t="n">
        <v>0</v>
      </c>
      <c r="G121" s="138" t="n">
        <v>0</v>
      </c>
    </row>
    <row r="122" customFormat="false" ht="15" hidden="false" customHeight="false" outlineLevel="0" collapsed="false">
      <c r="A122" s="138" t="s">
        <v>1765</v>
      </c>
      <c r="B122" s="138" t="n">
        <v>120</v>
      </c>
      <c r="C122" s="138" t="n">
        <v>121</v>
      </c>
      <c r="D122" s="138" t="n">
        <v>20</v>
      </c>
      <c r="E122" s="138" t="n">
        <v>20</v>
      </c>
      <c r="F122" s="138" t="n">
        <v>0</v>
      </c>
      <c r="G122" s="138" t="n">
        <v>0</v>
      </c>
    </row>
    <row r="123" customFormat="false" ht="15" hidden="false" customHeight="false" outlineLevel="0" collapsed="false">
      <c r="A123" s="138" t="s">
        <v>1767</v>
      </c>
      <c r="B123" s="138" t="n">
        <v>121</v>
      </c>
      <c r="C123" s="138" t="n">
        <v>122</v>
      </c>
      <c r="D123" s="138" t="n">
        <v>18</v>
      </c>
      <c r="E123" s="138" t="n">
        <v>23</v>
      </c>
      <c r="F123" s="138" t="n">
        <v>0</v>
      </c>
      <c r="G123" s="138" t="n">
        <v>0</v>
      </c>
    </row>
    <row r="124" customFormat="false" ht="15" hidden="false" customHeight="false" outlineLevel="0" collapsed="false">
      <c r="A124" s="138" t="s">
        <v>1768</v>
      </c>
      <c r="B124" s="138" t="n">
        <v>122</v>
      </c>
      <c r="C124" s="138" t="n">
        <v>123</v>
      </c>
      <c r="D124" s="138" t="n">
        <v>0</v>
      </c>
      <c r="E124" s="138" t="n">
        <v>11</v>
      </c>
      <c r="F124" s="138" t="n">
        <v>0</v>
      </c>
      <c r="G124" s="138" t="n">
        <v>0</v>
      </c>
    </row>
    <row r="125" customFormat="false" ht="15" hidden="false" customHeight="false" outlineLevel="0" collapsed="false">
      <c r="A125" s="138" t="s">
        <v>1770</v>
      </c>
      <c r="B125" s="138" t="n">
        <v>123</v>
      </c>
      <c r="C125" s="138" t="n">
        <v>124</v>
      </c>
      <c r="D125" s="138" t="n">
        <v>5</v>
      </c>
      <c r="E125" s="138" t="n">
        <v>2</v>
      </c>
      <c r="F125" s="138" t="n">
        <v>0</v>
      </c>
      <c r="G125" s="138" t="n">
        <v>0</v>
      </c>
    </row>
    <row r="126" customFormat="false" ht="15" hidden="false" customHeight="false" outlineLevel="0" collapsed="false">
      <c r="A126" s="138" t="s">
        <v>1772</v>
      </c>
      <c r="B126" s="138" t="n">
        <v>124</v>
      </c>
      <c r="C126" s="138" t="n">
        <v>125</v>
      </c>
      <c r="D126" s="138" t="n">
        <v>20</v>
      </c>
      <c r="E126" s="138" t="n">
        <v>20</v>
      </c>
      <c r="F126" s="138" t="n">
        <v>0</v>
      </c>
      <c r="G126" s="138" t="n">
        <v>0</v>
      </c>
    </row>
    <row r="127" customFormat="false" ht="15" hidden="false" customHeight="false" outlineLevel="0" collapsed="false">
      <c r="A127" s="138" t="s">
        <v>1774</v>
      </c>
      <c r="B127" s="138" t="n">
        <v>125</v>
      </c>
      <c r="C127" s="138" t="n">
        <v>126</v>
      </c>
      <c r="D127" s="138" t="n">
        <v>20</v>
      </c>
      <c r="E127" s="138" t="n">
        <v>20</v>
      </c>
      <c r="F127" s="138" t="n">
        <v>0</v>
      </c>
      <c r="G127" s="138" t="n">
        <v>0</v>
      </c>
    </row>
    <row r="128" customFormat="false" ht="15" hidden="false" customHeight="false" outlineLevel="0" collapsed="false">
      <c r="A128" s="138" t="s">
        <v>1775</v>
      </c>
      <c r="B128" s="138" t="n">
        <v>126</v>
      </c>
      <c r="C128" s="138" t="n">
        <v>127</v>
      </c>
      <c r="D128" s="138" t="n">
        <v>25</v>
      </c>
      <c r="E128" s="138" t="n">
        <v>29</v>
      </c>
      <c r="F128" s="138" t="n">
        <v>0</v>
      </c>
      <c r="G128" s="138" t="n">
        <v>0</v>
      </c>
    </row>
    <row r="129" customFormat="false" ht="15" hidden="false" customHeight="false" outlineLevel="0" collapsed="false">
      <c r="A129" s="138" t="s">
        <v>1776</v>
      </c>
      <c r="B129" s="138" t="n">
        <v>127</v>
      </c>
      <c r="C129" s="138" t="n">
        <v>128</v>
      </c>
      <c r="D129" s="138" t="n">
        <v>27</v>
      </c>
      <c r="E129" s="138" t="n">
        <v>21</v>
      </c>
      <c r="F129" s="138" t="n">
        <v>0</v>
      </c>
      <c r="G129" s="138" t="n">
        <v>0</v>
      </c>
    </row>
    <row r="130" customFormat="false" ht="15" hidden="false" customHeight="false" outlineLevel="0" collapsed="false">
      <c r="A130" s="138" t="s">
        <v>1777</v>
      </c>
      <c r="B130" s="138" t="n">
        <v>128</v>
      </c>
      <c r="C130" s="138" t="n">
        <v>129</v>
      </c>
      <c r="D130" s="138" t="n">
        <v>20</v>
      </c>
      <c r="E130" s="138" t="n">
        <v>20</v>
      </c>
      <c r="F130" s="138" t="n">
        <v>0</v>
      </c>
      <c r="G130" s="138" t="n">
        <v>0</v>
      </c>
    </row>
    <row r="131" customFormat="false" ht="15" hidden="false" customHeight="false" outlineLevel="0" collapsed="false">
      <c r="A131" s="138" t="s">
        <v>1778</v>
      </c>
      <c r="B131" s="138" t="n">
        <v>129</v>
      </c>
      <c r="C131" s="138" t="n">
        <v>130</v>
      </c>
      <c r="D131" s="138" t="n">
        <v>20</v>
      </c>
      <c r="E131" s="138" t="n">
        <v>22</v>
      </c>
      <c r="F131" s="138" t="n">
        <v>0</v>
      </c>
      <c r="G131" s="138" t="n">
        <v>0</v>
      </c>
    </row>
    <row r="132" customFormat="false" ht="15" hidden="false" customHeight="false" outlineLevel="0" collapsed="false">
      <c r="A132" s="138" t="s">
        <v>1779</v>
      </c>
      <c r="B132" s="138" t="n">
        <v>130</v>
      </c>
      <c r="C132" s="138" t="n">
        <v>131</v>
      </c>
      <c r="D132" s="138" t="n">
        <v>20</v>
      </c>
      <c r="E132" s="138" t="n">
        <v>20</v>
      </c>
      <c r="F132" s="138" t="n">
        <v>0</v>
      </c>
      <c r="G132" s="138" t="n">
        <v>0</v>
      </c>
    </row>
    <row r="133" customFormat="false" ht="15" hidden="false" customHeight="false" outlineLevel="0" collapsed="false">
      <c r="A133" s="138" t="s">
        <v>1780</v>
      </c>
      <c r="B133" s="138" t="n">
        <v>131</v>
      </c>
      <c r="C133" s="138" t="n">
        <v>132</v>
      </c>
      <c r="D133" s="138" t="n">
        <v>20</v>
      </c>
      <c r="E133" s="138" t="n">
        <v>20</v>
      </c>
      <c r="F133" s="138" t="n">
        <v>0</v>
      </c>
      <c r="G133" s="138" t="n">
        <v>0</v>
      </c>
    </row>
    <row r="134" customFormat="false" ht="15" hidden="false" customHeight="false" outlineLevel="0" collapsed="false">
      <c r="A134" s="138" t="s">
        <v>1781</v>
      </c>
      <c r="B134" s="138" t="n">
        <v>132</v>
      </c>
      <c r="C134" s="138" t="n">
        <v>133</v>
      </c>
      <c r="D134" s="138" t="n">
        <v>20</v>
      </c>
      <c r="E134" s="138" t="n">
        <v>20</v>
      </c>
      <c r="F134" s="138" t="n">
        <v>0</v>
      </c>
      <c r="G134" s="138" t="n">
        <v>0</v>
      </c>
    </row>
    <row r="135" customFormat="false" ht="15" hidden="false" customHeight="false" outlineLevel="0" collapsed="false">
      <c r="A135" s="138" t="s">
        <v>1782</v>
      </c>
      <c r="B135" s="138" t="n">
        <v>133</v>
      </c>
      <c r="C135" s="138" t="n">
        <v>134</v>
      </c>
      <c r="D135" s="138" t="n">
        <v>20</v>
      </c>
      <c r="E135" s="138" t="n">
        <v>20</v>
      </c>
      <c r="F135" s="138" t="n">
        <v>0</v>
      </c>
      <c r="G135" s="138" t="n">
        <v>0</v>
      </c>
    </row>
    <row r="136" customFormat="false" ht="15" hidden="false" customHeight="false" outlineLevel="0" collapsed="false">
      <c r="A136" s="138" t="s">
        <v>1783</v>
      </c>
      <c r="B136" s="138" t="n">
        <v>134</v>
      </c>
      <c r="C136" s="138" t="n">
        <v>135</v>
      </c>
      <c r="D136" s="138" t="n">
        <v>20</v>
      </c>
      <c r="E136" s="138" t="n">
        <v>20</v>
      </c>
      <c r="F136" s="138" t="n">
        <v>0</v>
      </c>
      <c r="G136" s="138" t="n">
        <v>0</v>
      </c>
    </row>
    <row r="137" customFormat="false" ht="15" hidden="false" customHeight="false" outlineLevel="0" collapsed="false">
      <c r="A137" s="138" t="s">
        <v>1784</v>
      </c>
      <c r="B137" s="138" t="n">
        <v>135</v>
      </c>
      <c r="C137" s="138" t="n">
        <v>136</v>
      </c>
      <c r="D137" s="138" t="n">
        <v>20</v>
      </c>
      <c r="E137" s="138" t="n">
        <v>20</v>
      </c>
      <c r="F137" s="138" t="n">
        <v>0</v>
      </c>
      <c r="G137" s="138" t="n">
        <v>0</v>
      </c>
    </row>
    <row r="138" customFormat="false" ht="15" hidden="false" customHeight="false" outlineLevel="0" collapsed="false">
      <c r="A138" s="138" t="s">
        <v>1785</v>
      </c>
      <c r="B138" s="138" t="n">
        <v>136</v>
      </c>
      <c r="C138" s="138" t="n">
        <v>137</v>
      </c>
      <c r="D138" s="138" t="n">
        <v>20</v>
      </c>
      <c r="E138" s="138" t="n">
        <v>24</v>
      </c>
      <c r="F138" s="138" t="n">
        <v>0</v>
      </c>
      <c r="G138" s="138" t="n">
        <v>0</v>
      </c>
    </row>
    <row r="139" customFormat="false" ht="15" hidden="false" customHeight="false" outlineLevel="0" collapsed="false">
      <c r="A139" s="138" t="s">
        <v>1786</v>
      </c>
      <c r="B139" s="138" t="n">
        <v>137</v>
      </c>
      <c r="C139" s="138" t="n">
        <v>138</v>
      </c>
      <c r="D139" s="138" t="n">
        <v>23</v>
      </c>
      <c r="E139" s="138" t="n">
        <v>21</v>
      </c>
      <c r="F139" s="138" t="n">
        <v>0</v>
      </c>
      <c r="G139" s="138" t="n">
        <v>0</v>
      </c>
    </row>
    <row r="140" customFormat="false" ht="15" hidden="false" customHeight="false" outlineLevel="0" collapsed="false">
      <c r="A140" s="138" t="s">
        <v>1787</v>
      </c>
      <c r="B140" s="138" t="n">
        <v>138</v>
      </c>
      <c r="C140" s="138" t="n">
        <v>139</v>
      </c>
      <c r="D140" s="138" t="n">
        <v>20</v>
      </c>
      <c r="E140" s="138" t="n">
        <v>20</v>
      </c>
      <c r="F140" s="138" t="n">
        <v>0</v>
      </c>
      <c r="G140" s="138" t="n">
        <v>0</v>
      </c>
    </row>
    <row r="141" customFormat="false" ht="15" hidden="false" customHeight="false" outlineLevel="0" collapsed="false">
      <c r="A141" s="138" t="s">
        <v>1788</v>
      </c>
      <c r="B141" s="138" t="n">
        <v>139</v>
      </c>
      <c r="C141" s="138" t="n">
        <v>140</v>
      </c>
      <c r="D141" s="138" t="n">
        <v>27</v>
      </c>
      <c r="E141" s="138" t="n">
        <v>25</v>
      </c>
      <c r="F141" s="138" t="n">
        <v>0</v>
      </c>
      <c r="G141" s="138" t="n">
        <v>0</v>
      </c>
    </row>
    <row r="142" customFormat="false" ht="15" hidden="false" customHeight="false" outlineLevel="0" collapsed="false">
      <c r="A142" s="138" t="s">
        <v>1789</v>
      </c>
      <c r="B142" s="138" t="n">
        <v>140</v>
      </c>
      <c r="C142" s="138" t="n">
        <v>141</v>
      </c>
      <c r="D142" s="138" t="n">
        <v>20</v>
      </c>
      <c r="E142" s="138" t="n">
        <v>21</v>
      </c>
      <c r="F142" s="138" t="n">
        <v>0</v>
      </c>
      <c r="G142" s="138" t="n">
        <v>0</v>
      </c>
    </row>
    <row r="143" customFormat="false" ht="15" hidden="false" customHeight="false" outlineLevel="0" collapsed="false">
      <c r="A143" s="138" t="s">
        <v>1790</v>
      </c>
      <c r="B143" s="138" t="n">
        <v>141</v>
      </c>
      <c r="C143" s="138" t="n">
        <v>142</v>
      </c>
      <c r="D143" s="138" t="n">
        <v>20</v>
      </c>
      <c r="E143" s="138" t="n">
        <v>20</v>
      </c>
      <c r="F143" s="138" t="n">
        <v>0</v>
      </c>
      <c r="G143" s="138" t="n">
        <v>0</v>
      </c>
    </row>
    <row r="144" customFormat="false" ht="15" hidden="false" customHeight="false" outlineLevel="0" collapsed="false">
      <c r="A144" s="138" t="s">
        <v>1791</v>
      </c>
      <c r="B144" s="138" t="n">
        <v>142</v>
      </c>
      <c r="C144" s="138" t="n">
        <v>143</v>
      </c>
      <c r="D144" s="138" t="n">
        <v>20</v>
      </c>
      <c r="E144" s="138" t="n">
        <v>20</v>
      </c>
      <c r="F144" s="138" t="n">
        <v>0</v>
      </c>
      <c r="G144" s="138" t="n">
        <v>0</v>
      </c>
    </row>
    <row r="145" customFormat="false" ht="15" hidden="false" customHeight="false" outlineLevel="0" collapsed="false">
      <c r="A145" s="138" t="s">
        <v>1792</v>
      </c>
      <c r="B145" s="138" t="n">
        <v>143</v>
      </c>
      <c r="C145" s="138" t="n">
        <v>144</v>
      </c>
      <c r="D145" s="138" t="n">
        <v>20</v>
      </c>
      <c r="E145" s="138" t="n">
        <v>20</v>
      </c>
      <c r="F145" s="138" t="n">
        <v>0</v>
      </c>
      <c r="G145" s="138" t="n">
        <v>0</v>
      </c>
    </row>
    <row r="146" customFormat="false" ht="15" hidden="false" customHeight="false" outlineLevel="0" collapsed="false">
      <c r="A146" s="138" t="s">
        <v>1793</v>
      </c>
      <c r="B146" s="138" t="n">
        <v>144</v>
      </c>
      <c r="C146" s="138" t="n">
        <v>145</v>
      </c>
      <c r="D146" s="138" t="n">
        <v>20</v>
      </c>
      <c r="E146" s="138" t="n">
        <v>20</v>
      </c>
      <c r="F146" s="138" t="n">
        <v>0</v>
      </c>
      <c r="G146" s="138" t="n">
        <v>0</v>
      </c>
    </row>
    <row r="147" customFormat="false" ht="15" hidden="false" customHeight="false" outlineLevel="0" collapsed="false">
      <c r="A147" s="138" t="s">
        <v>1794</v>
      </c>
      <c r="B147" s="138" t="n">
        <v>145</v>
      </c>
      <c r="C147" s="138" t="n">
        <v>146</v>
      </c>
      <c r="D147" s="138" t="n">
        <v>20</v>
      </c>
      <c r="E147" s="138" t="n">
        <v>20</v>
      </c>
      <c r="F147" s="138" t="n">
        <v>0</v>
      </c>
      <c r="G147" s="138" t="n">
        <v>0</v>
      </c>
    </row>
    <row r="148" customFormat="false" ht="15" hidden="false" customHeight="false" outlineLevel="0" collapsed="false">
      <c r="A148" s="138" t="s">
        <v>1795</v>
      </c>
      <c r="B148" s="138" t="n">
        <v>146</v>
      </c>
      <c r="C148" s="138" t="n">
        <v>147</v>
      </c>
      <c r="D148" s="138" t="n">
        <v>20</v>
      </c>
      <c r="E148" s="138" t="n">
        <v>20</v>
      </c>
      <c r="F148" s="138" t="n">
        <v>0</v>
      </c>
      <c r="G148" s="138" t="n">
        <v>0</v>
      </c>
    </row>
    <row r="149" customFormat="false" ht="15" hidden="false" customHeight="false" outlineLevel="0" collapsed="false">
      <c r="A149" s="138" t="s">
        <v>1796</v>
      </c>
      <c r="B149" s="138" t="n">
        <v>147</v>
      </c>
      <c r="C149" s="138" t="n">
        <v>148</v>
      </c>
      <c r="D149" s="138" t="n">
        <v>20</v>
      </c>
      <c r="E149" s="138" t="n">
        <v>20</v>
      </c>
      <c r="F149" s="138" t="n">
        <v>0</v>
      </c>
      <c r="G149" s="138" t="n">
        <v>0</v>
      </c>
    </row>
    <row r="150" customFormat="false" ht="15" hidden="false" customHeight="false" outlineLevel="0" collapsed="false">
      <c r="A150" s="138" t="s">
        <v>1797</v>
      </c>
      <c r="B150" s="138" t="n">
        <v>148</v>
      </c>
      <c r="C150" s="138" t="n">
        <v>149</v>
      </c>
      <c r="D150" s="138" t="n">
        <v>21</v>
      </c>
      <c r="E150" s="138" t="n">
        <v>20</v>
      </c>
      <c r="F150" s="138" t="n">
        <v>0</v>
      </c>
      <c r="G150" s="138" t="n">
        <v>0</v>
      </c>
    </row>
    <row r="151" customFormat="false" ht="15" hidden="false" customHeight="false" outlineLevel="0" collapsed="false">
      <c r="A151" s="138" t="s">
        <v>1798</v>
      </c>
      <c r="B151" s="138" t="n">
        <v>149</v>
      </c>
      <c r="C151" s="138" t="n">
        <v>150</v>
      </c>
      <c r="D151" s="138" t="n">
        <v>20</v>
      </c>
      <c r="E151" s="138" t="n">
        <v>20</v>
      </c>
      <c r="F151" s="138" t="n">
        <v>0</v>
      </c>
      <c r="G151" s="138" t="n">
        <v>0</v>
      </c>
    </row>
    <row r="152" customFormat="false" ht="15" hidden="false" customHeight="false" outlineLevel="0" collapsed="false">
      <c r="A152" s="138" t="s">
        <v>1799</v>
      </c>
      <c r="B152" s="138" t="n">
        <v>150</v>
      </c>
      <c r="C152" s="138" t="n">
        <v>151</v>
      </c>
      <c r="D152" s="138" t="n">
        <v>24</v>
      </c>
      <c r="E152" s="138" t="n">
        <v>20</v>
      </c>
      <c r="F152" s="138" t="n">
        <v>0</v>
      </c>
      <c r="G152" s="138" t="n">
        <v>0</v>
      </c>
    </row>
    <row r="153" customFormat="false" ht="15" hidden="false" customHeight="false" outlineLevel="0" collapsed="false">
      <c r="A153" s="138" t="s">
        <v>1800</v>
      </c>
      <c r="B153" s="138" t="n">
        <v>151</v>
      </c>
      <c r="C153" s="138" t="n">
        <v>152</v>
      </c>
      <c r="D153" s="138" t="n">
        <v>20</v>
      </c>
      <c r="E153" s="138" t="n">
        <v>20</v>
      </c>
      <c r="F153" s="138" t="n">
        <v>0</v>
      </c>
      <c r="G153" s="138" t="n">
        <v>0</v>
      </c>
    </row>
    <row r="154" customFormat="false" ht="15" hidden="false" customHeight="false" outlineLevel="0" collapsed="false">
      <c r="A154" s="138" t="s">
        <v>1801</v>
      </c>
      <c r="B154" s="138" t="n">
        <v>152</v>
      </c>
      <c r="C154" s="138" t="n">
        <v>153</v>
      </c>
      <c r="D154" s="138" t="n">
        <v>20</v>
      </c>
      <c r="E154" s="138" t="n">
        <v>20</v>
      </c>
      <c r="F154" s="138" t="n">
        <v>0</v>
      </c>
      <c r="G154" s="138" t="n">
        <v>0</v>
      </c>
    </row>
    <row r="155" customFormat="false" ht="15" hidden="false" customHeight="false" outlineLevel="0" collapsed="false">
      <c r="A155" s="138" t="s">
        <v>1802</v>
      </c>
      <c r="B155" s="138" t="n">
        <v>153</v>
      </c>
      <c r="C155" s="138" t="n">
        <v>154</v>
      </c>
      <c r="D155" s="138" t="n">
        <v>25</v>
      </c>
      <c r="E155" s="138" t="n">
        <v>17</v>
      </c>
      <c r="F155" s="138" t="n">
        <v>0</v>
      </c>
      <c r="G155" s="138" t="n">
        <v>0</v>
      </c>
    </row>
    <row r="156" customFormat="false" ht="15" hidden="false" customHeight="false" outlineLevel="0" collapsed="false">
      <c r="A156" s="138" t="s">
        <v>1803</v>
      </c>
      <c r="B156" s="138" t="n">
        <v>154</v>
      </c>
      <c r="C156" s="138" t="n">
        <v>155</v>
      </c>
      <c r="D156" s="138" t="n">
        <v>20</v>
      </c>
      <c r="E156" s="138" t="n">
        <v>25</v>
      </c>
      <c r="F156" s="138" t="n">
        <v>0</v>
      </c>
      <c r="G156" s="138" t="n">
        <v>24</v>
      </c>
    </row>
    <row r="157" customFormat="false" ht="15" hidden="false" customHeight="false" outlineLevel="0" collapsed="false">
      <c r="A157" s="138" t="s">
        <v>1804</v>
      </c>
      <c r="B157" s="138" t="n">
        <v>155</v>
      </c>
      <c r="C157" s="138" t="n">
        <v>156</v>
      </c>
      <c r="D157" s="138" t="n">
        <v>20</v>
      </c>
      <c r="E157" s="138" t="n">
        <v>20</v>
      </c>
      <c r="F157" s="138" t="n">
        <v>0</v>
      </c>
      <c r="G157" s="138" t="n">
        <v>21</v>
      </c>
    </row>
    <row r="158" customFormat="false" ht="15" hidden="false" customHeight="false" outlineLevel="0" collapsed="false">
      <c r="A158" s="138" t="s">
        <v>1805</v>
      </c>
      <c r="B158" s="138" t="n">
        <v>156</v>
      </c>
      <c r="C158" s="138" t="n">
        <v>157</v>
      </c>
      <c r="D158" s="138" t="n">
        <v>20</v>
      </c>
      <c r="E158" s="138" t="n">
        <v>27</v>
      </c>
      <c r="F158" s="138" t="n">
        <v>7</v>
      </c>
      <c r="G158" s="138" t="n">
        <v>21</v>
      </c>
    </row>
    <row r="159" customFormat="false" ht="15" hidden="false" customHeight="false" outlineLevel="0" collapsed="false">
      <c r="A159" s="138" t="s">
        <v>1806</v>
      </c>
      <c r="B159" s="138" t="n">
        <v>157</v>
      </c>
      <c r="C159" s="138" t="n">
        <v>158</v>
      </c>
      <c r="D159" s="138" t="n">
        <v>20</v>
      </c>
      <c r="E159" s="138" t="n">
        <v>28</v>
      </c>
      <c r="F159" s="138" t="n">
        <v>20</v>
      </c>
      <c r="G159" s="138" t="n">
        <v>21</v>
      </c>
    </row>
    <row r="160" customFormat="false" ht="15" hidden="false" customHeight="false" outlineLevel="0" collapsed="false">
      <c r="A160" s="138" t="s">
        <v>1807</v>
      </c>
      <c r="B160" s="138" t="n">
        <v>158</v>
      </c>
      <c r="C160" s="138" t="n">
        <v>159</v>
      </c>
      <c r="D160" s="138" t="n">
        <v>20</v>
      </c>
      <c r="E160" s="138" t="n">
        <v>20</v>
      </c>
      <c r="F160" s="138" t="n">
        <v>17</v>
      </c>
      <c r="G160" s="138" t="n">
        <v>20</v>
      </c>
    </row>
    <row r="161" customFormat="false" ht="15" hidden="false" customHeight="false" outlineLevel="0" collapsed="false">
      <c r="A161" s="138" t="s">
        <v>1808</v>
      </c>
      <c r="B161" s="138" t="n">
        <v>159</v>
      </c>
      <c r="C161" s="138" t="n">
        <v>160</v>
      </c>
      <c r="D161" s="138" t="n">
        <v>20</v>
      </c>
      <c r="E161" s="138" t="n">
        <v>37</v>
      </c>
      <c r="F161" s="138" t="n">
        <v>0</v>
      </c>
      <c r="G161" s="138" t="n">
        <v>7</v>
      </c>
    </row>
    <row r="162" customFormat="false" ht="15" hidden="false" customHeight="false" outlineLevel="0" collapsed="false">
      <c r="A162" s="138" t="s">
        <v>1809</v>
      </c>
      <c r="B162" s="138" t="n">
        <v>160</v>
      </c>
      <c r="C162" s="138" t="n">
        <v>161</v>
      </c>
      <c r="D162" s="138" t="n">
        <v>52</v>
      </c>
      <c r="E162" s="138" t="n">
        <v>27</v>
      </c>
      <c r="F162" s="138" t="n">
        <v>0</v>
      </c>
      <c r="G162" s="138" t="n">
        <v>0</v>
      </c>
    </row>
    <row r="163" customFormat="false" ht="15" hidden="false" customHeight="false" outlineLevel="0" collapsed="false">
      <c r="A163" s="138" t="s">
        <v>1810</v>
      </c>
      <c r="B163" s="138" t="n">
        <v>161</v>
      </c>
      <c r="C163" s="138" t="n">
        <v>162</v>
      </c>
      <c r="D163" s="138" t="n">
        <v>50</v>
      </c>
      <c r="E163" s="138" t="n">
        <v>23</v>
      </c>
      <c r="F163" s="138" t="n">
        <v>0</v>
      </c>
      <c r="G163" s="138" t="n">
        <v>0</v>
      </c>
    </row>
    <row r="164" customFormat="false" ht="15" hidden="false" customHeight="false" outlineLevel="0" collapsed="false">
      <c r="A164" s="138" t="s">
        <v>1811</v>
      </c>
      <c r="B164" s="138" t="n">
        <v>162</v>
      </c>
      <c r="C164" s="138" t="n">
        <v>163</v>
      </c>
      <c r="D164" s="138" t="n">
        <v>23</v>
      </c>
      <c r="E164" s="138" t="n">
        <v>23</v>
      </c>
      <c r="F164" s="138" t="n">
        <v>0</v>
      </c>
      <c r="G164" s="138" t="n">
        <v>0</v>
      </c>
    </row>
    <row r="165" customFormat="false" ht="15" hidden="false" customHeight="false" outlineLevel="0" collapsed="false">
      <c r="A165" s="138" t="s">
        <v>1812</v>
      </c>
      <c r="B165" s="138" t="n">
        <v>163</v>
      </c>
      <c r="C165" s="138" t="n">
        <v>164</v>
      </c>
      <c r="D165" s="138" t="n">
        <v>24</v>
      </c>
      <c r="E165" s="138" t="n">
        <v>20</v>
      </c>
      <c r="F165" s="138" t="n">
        <v>0</v>
      </c>
      <c r="G165" s="138" t="n">
        <v>0</v>
      </c>
    </row>
    <row r="166" customFormat="false" ht="15" hidden="false" customHeight="false" outlineLevel="0" collapsed="false">
      <c r="A166" s="138" t="s">
        <v>1813</v>
      </c>
      <c r="B166" s="138" t="n">
        <v>164</v>
      </c>
      <c r="C166" s="138" t="n">
        <v>165</v>
      </c>
      <c r="D166" s="138" t="n">
        <v>21</v>
      </c>
      <c r="E166" s="138" t="n">
        <v>20</v>
      </c>
      <c r="F166" s="138" t="n">
        <v>0</v>
      </c>
      <c r="G166" s="138" t="n">
        <v>0</v>
      </c>
    </row>
    <row r="167" customFormat="false" ht="15" hidden="false" customHeight="false" outlineLevel="0" collapsed="false">
      <c r="A167" s="138" t="s">
        <v>1814</v>
      </c>
      <c r="B167" s="138" t="n">
        <v>165</v>
      </c>
      <c r="C167" s="138" t="n">
        <v>166</v>
      </c>
      <c r="D167" s="138" t="n">
        <v>21</v>
      </c>
      <c r="E167" s="138" t="n">
        <v>20</v>
      </c>
      <c r="F167" s="138" t="n">
        <v>0</v>
      </c>
      <c r="G167" s="138" t="n">
        <v>0</v>
      </c>
    </row>
    <row r="168" customFormat="false" ht="15" hidden="false" customHeight="false" outlineLevel="0" collapsed="false">
      <c r="A168" s="138" t="s">
        <v>1815</v>
      </c>
      <c r="B168" s="138" t="n">
        <v>166</v>
      </c>
      <c r="C168" s="138" t="n">
        <v>167</v>
      </c>
      <c r="D168" s="138" t="n">
        <v>22</v>
      </c>
      <c r="E168" s="138" t="n">
        <v>21</v>
      </c>
      <c r="F168" s="138" t="n">
        <v>0</v>
      </c>
      <c r="G168" s="138" t="n">
        <v>0</v>
      </c>
    </row>
    <row r="169" customFormat="false" ht="15" hidden="false" customHeight="false" outlineLevel="0" collapsed="false">
      <c r="A169" s="138" t="s">
        <v>1816</v>
      </c>
      <c r="B169" s="138" t="n">
        <v>167</v>
      </c>
      <c r="C169" s="138" t="n">
        <v>168</v>
      </c>
      <c r="D169" s="138" t="n">
        <v>21</v>
      </c>
      <c r="E169" s="138" t="n">
        <v>20</v>
      </c>
      <c r="F169" s="138" t="n">
        <v>0</v>
      </c>
      <c r="G169" s="138" t="n">
        <v>0</v>
      </c>
    </row>
    <row r="170" customFormat="false" ht="15" hidden="false" customHeight="false" outlineLevel="0" collapsed="false">
      <c r="A170" s="138" t="s">
        <v>1817</v>
      </c>
      <c r="B170" s="138" t="n">
        <v>168</v>
      </c>
      <c r="C170" s="138" t="n">
        <v>169</v>
      </c>
      <c r="D170" s="138" t="n">
        <v>20</v>
      </c>
      <c r="E170" s="138" t="n">
        <v>28</v>
      </c>
      <c r="F170" s="138" t="n">
        <v>0</v>
      </c>
      <c r="G170" s="138" t="n">
        <v>0</v>
      </c>
    </row>
    <row r="171" customFormat="false" ht="15" hidden="false" customHeight="false" outlineLevel="0" collapsed="false">
      <c r="A171" s="138" t="s">
        <v>1818</v>
      </c>
      <c r="B171" s="138" t="n">
        <v>169</v>
      </c>
      <c r="C171" s="138" t="n">
        <v>170</v>
      </c>
      <c r="D171" s="138" t="n">
        <v>20</v>
      </c>
      <c r="E171" s="138" t="n">
        <v>24</v>
      </c>
      <c r="F171" s="138" t="n">
        <v>0</v>
      </c>
      <c r="G171" s="138" t="n">
        <v>11</v>
      </c>
    </row>
    <row r="172" customFormat="false" ht="15" hidden="false" customHeight="false" outlineLevel="0" collapsed="false">
      <c r="A172" s="138" t="s">
        <v>1819</v>
      </c>
      <c r="B172" s="138" t="n">
        <v>170</v>
      </c>
      <c r="C172" s="138" t="n">
        <v>171</v>
      </c>
      <c r="D172" s="138" t="n">
        <v>24</v>
      </c>
      <c r="E172" s="138" t="n">
        <v>20</v>
      </c>
      <c r="F172" s="138" t="n">
        <v>0</v>
      </c>
      <c r="G172" s="138" t="n">
        <v>0</v>
      </c>
    </row>
    <row r="173" customFormat="false" ht="15" hidden="false" customHeight="false" outlineLevel="0" collapsed="false">
      <c r="A173" s="138" t="s">
        <v>1820</v>
      </c>
      <c r="B173" s="138" t="n">
        <v>171</v>
      </c>
      <c r="C173" s="138" t="n">
        <v>172</v>
      </c>
      <c r="D173" s="138" t="n">
        <v>21</v>
      </c>
      <c r="E173" s="138" t="n">
        <v>22</v>
      </c>
      <c r="F173" s="138" t="n">
        <v>0</v>
      </c>
      <c r="G173" s="138" t="n">
        <v>0</v>
      </c>
    </row>
    <row r="174" customFormat="false" ht="15" hidden="false" customHeight="false" outlineLevel="0" collapsed="false">
      <c r="A174" s="138" t="s">
        <v>1821</v>
      </c>
      <c r="B174" s="138" t="n">
        <v>172</v>
      </c>
      <c r="C174" s="138" t="n">
        <v>173</v>
      </c>
      <c r="D174" s="138" t="n">
        <v>25</v>
      </c>
      <c r="E174" s="138" t="n">
        <v>23</v>
      </c>
      <c r="F174" s="138" t="n">
        <v>0</v>
      </c>
      <c r="G174" s="138" t="n">
        <v>0</v>
      </c>
    </row>
    <row r="175" customFormat="false" ht="15" hidden="false" customHeight="false" outlineLevel="0" collapsed="false">
      <c r="A175" s="138" t="s">
        <v>1822</v>
      </c>
      <c r="B175" s="138" t="n">
        <v>173</v>
      </c>
      <c r="C175" s="138" t="n">
        <v>174</v>
      </c>
      <c r="D175" s="138" t="n">
        <v>20</v>
      </c>
      <c r="E175" s="138" t="n">
        <v>20</v>
      </c>
      <c r="F175" s="138" t="n">
        <v>0</v>
      </c>
      <c r="G175" s="138" t="n">
        <v>0</v>
      </c>
    </row>
    <row r="176" customFormat="false" ht="15" hidden="false" customHeight="false" outlineLevel="0" collapsed="false">
      <c r="A176" s="138" t="s">
        <v>1823</v>
      </c>
      <c r="B176" s="138" t="n">
        <v>174</v>
      </c>
      <c r="C176" s="138" t="n">
        <v>175</v>
      </c>
      <c r="D176" s="138" t="n">
        <v>24</v>
      </c>
      <c r="E176" s="138" t="n">
        <v>20</v>
      </c>
      <c r="F176" s="138" t="n">
        <v>0</v>
      </c>
      <c r="G176" s="138" t="n">
        <v>0</v>
      </c>
    </row>
    <row r="177" customFormat="false" ht="15" hidden="false" customHeight="false" outlineLevel="0" collapsed="false">
      <c r="A177" s="138" t="s">
        <v>1824</v>
      </c>
      <c r="B177" s="138" t="n">
        <v>175</v>
      </c>
      <c r="C177" s="138" t="n">
        <v>176</v>
      </c>
      <c r="D177" s="138" t="n">
        <v>20</v>
      </c>
      <c r="E177" s="138" t="n">
        <v>20</v>
      </c>
      <c r="F177" s="138" t="n">
        <v>0</v>
      </c>
      <c r="G177" s="138" t="n">
        <v>0</v>
      </c>
    </row>
    <row r="178" customFormat="false" ht="15" hidden="false" customHeight="false" outlineLevel="0" collapsed="false">
      <c r="A178" s="138" t="s">
        <v>1825</v>
      </c>
      <c r="B178" s="138" t="n">
        <v>176</v>
      </c>
      <c r="C178" s="138" t="n">
        <v>177</v>
      </c>
      <c r="D178" s="138" t="n">
        <v>21</v>
      </c>
      <c r="E178" s="138" t="n">
        <v>20</v>
      </c>
      <c r="F178" s="138" t="n">
        <v>0</v>
      </c>
      <c r="G178" s="138" t="n">
        <v>0</v>
      </c>
    </row>
    <row r="179" customFormat="false" ht="15" hidden="false" customHeight="false" outlineLevel="0" collapsed="false">
      <c r="A179" s="138" t="s">
        <v>1826</v>
      </c>
      <c r="B179" s="138" t="n">
        <v>177</v>
      </c>
      <c r="C179" s="138" t="n">
        <v>178</v>
      </c>
      <c r="D179" s="138" t="n">
        <v>20</v>
      </c>
      <c r="E179" s="138" t="n">
        <v>20</v>
      </c>
      <c r="F179" s="138" t="n">
        <v>0</v>
      </c>
      <c r="G179" s="138" t="n">
        <v>0</v>
      </c>
    </row>
    <row r="180" customFormat="false" ht="15" hidden="false" customHeight="false" outlineLevel="0" collapsed="false">
      <c r="A180" s="138" t="s">
        <v>1827</v>
      </c>
      <c r="B180" s="138" t="n">
        <v>178</v>
      </c>
      <c r="C180" s="138" t="n">
        <v>179</v>
      </c>
      <c r="D180" s="138" t="n">
        <v>2</v>
      </c>
      <c r="E180" s="138" t="n">
        <v>22</v>
      </c>
      <c r="F180" s="138" t="n">
        <v>0</v>
      </c>
      <c r="G180" s="138" t="n">
        <v>0</v>
      </c>
    </row>
    <row r="181" customFormat="false" ht="15" hidden="false" customHeight="false" outlineLevel="0" collapsed="false">
      <c r="A181" s="138" t="s">
        <v>1828</v>
      </c>
      <c r="B181" s="138" t="n">
        <v>179</v>
      </c>
      <c r="C181" s="138" t="n">
        <v>180</v>
      </c>
      <c r="D181" s="138" t="n">
        <v>6</v>
      </c>
      <c r="E181" s="138" t="n">
        <v>20</v>
      </c>
      <c r="F181" s="138" t="n">
        <v>0</v>
      </c>
      <c r="G181" s="138" t="n">
        <v>0</v>
      </c>
    </row>
    <row r="182" customFormat="false" ht="15" hidden="false" customHeight="false" outlineLevel="0" collapsed="false">
      <c r="A182" s="138" t="s">
        <v>1829</v>
      </c>
      <c r="B182" s="138" t="n">
        <v>180</v>
      </c>
      <c r="C182" s="138" t="n">
        <v>181</v>
      </c>
      <c r="D182" s="138" t="n">
        <v>22</v>
      </c>
      <c r="E182" s="138" t="n">
        <v>27</v>
      </c>
      <c r="F182" s="138" t="n">
        <v>0</v>
      </c>
      <c r="G182" s="138" t="n">
        <v>0</v>
      </c>
    </row>
    <row r="183" customFormat="false" ht="15" hidden="false" customHeight="false" outlineLevel="0" collapsed="false">
      <c r="A183" s="138" t="s">
        <v>1830</v>
      </c>
      <c r="B183" s="138" t="n">
        <v>181</v>
      </c>
      <c r="C183" s="138" t="n">
        <v>182</v>
      </c>
      <c r="D183" s="138" t="n">
        <v>20</v>
      </c>
      <c r="E183" s="138" t="n">
        <v>20</v>
      </c>
      <c r="F183" s="138" t="n">
        <v>0</v>
      </c>
      <c r="G183" s="138" t="n">
        <v>0</v>
      </c>
    </row>
    <row r="184" customFormat="false" ht="15" hidden="false" customHeight="false" outlineLevel="0" collapsed="false">
      <c r="A184" s="138" t="s">
        <v>1831</v>
      </c>
      <c r="B184" s="138" t="n">
        <v>182</v>
      </c>
      <c r="C184" s="138" t="n">
        <v>183</v>
      </c>
      <c r="D184" s="138" t="n">
        <v>21</v>
      </c>
      <c r="E184" s="138" t="n">
        <v>20</v>
      </c>
      <c r="F184" s="138" t="n">
        <v>0</v>
      </c>
      <c r="G184" s="138" t="n">
        <v>0</v>
      </c>
    </row>
    <row r="185" customFormat="false" ht="15" hidden="false" customHeight="false" outlineLevel="0" collapsed="false">
      <c r="A185" s="138" t="s">
        <v>1832</v>
      </c>
      <c r="B185" s="138" t="n">
        <v>183</v>
      </c>
      <c r="C185" s="138" t="n">
        <v>184</v>
      </c>
      <c r="D185" s="138" t="n">
        <v>20</v>
      </c>
      <c r="E185" s="138" t="n">
        <v>20</v>
      </c>
      <c r="F185" s="138" t="n">
        <v>0</v>
      </c>
      <c r="G185" s="138" t="n">
        <v>0</v>
      </c>
    </row>
    <row r="186" customFormat="false" ht="15" hidden="false" customHeight="false" outlineLevel="0" collapsed="false">
      <c r="A186" s="138" t="s">
        <v>1833</v>
      </c>
      <c r="B186" s="138" t="n">
        <v>184</v>
      </c>
      <c r="C186" s="138" t="n">
        <v>185</v>
      </c>
      <c r="D186" s="138" t="n">
        <v>20</v>
      </c>
      <c r="E186" s="138" t="n">
        <v>20</v>
      </c>
      <c r="F186" s="138" t="n">
        <v>0</v>
      </c>
      <c r="G186" s="138" t="n">
        <v>0</v>
      </c>
    </row>
    <row r="187" customFormat="false" ht="15" hidden="false" customHeight="false" outlineLevel="0" collapsed="false">
      <c r="A187" s="138" t="s">
        <v>1834</v>
      </c>
      <c r="B187" s="138" t="n">
        <v>185</v>
      </c>
      <c r="C187" s="138" t="n">
        <v>186</v>
      </c>
      <c r="D187" s="138" t="n">
        <v>21</v>
      </c>
      <c r="E187" s="138" t="n">
        <v>20</v>
      </c>
      <c r="F187" s="138" t="n">
        <v>0</v>
      </c>
      <c r="G187" s="138" t="n">
        <v>0</v>
      </c>
    </row>
    <row r="188" customFormat="false" ht="15" hidden="false" customHeight="false" outlineLevel="0" collapsed="false">
      <c r="A188" s="138" t="s">
        <v>1835</v>
      </c>
      <c r="B188" s="138" t="n">
        <v>186</v>
      </c>
      <c r="C188" s="138" t="n">
        <v>187</v>
      </c>
      <c r="D188" s="138" t="n">
        <v>20</v>
      </c>
      <c r="E188" s="138" t="n">
        <v>20</v>
      </c>
      <c r="F188" s="138" t="n">
        <v>0</v>
      </c>
      <c r="G188" s="138" t="n">
        <v>0</v>
      </c>
    </row>
    <row r="189" customFormat="false" ht="15" hidden="false" customHeight="false" outlineLevel="0" collapsed="false">
      <c r="A189" s="138" t="s">
        <v>1836</v>
      </c>
      <c r="B189" s="138" t="n">
        <v>187</v>
      </c>
      <c r="C189" s="138" t="n">
        <v>188</v>
      </c>
      <c r="D189" s="138" t="n">
        <v>20</v>
      </c>
      <c r="E189" s="138" t="n">
        <v>21</v>
      </c>
      <c r="F189" s="138" t="n">
        <v>0</v>
      </c>
      <c r="G189" s="138" t="n">
        <v>0</v>
      </c>
    </row>
    <row r="190" customFormat="false" ht="15" hidden="false" customHeight="false" outlineLevel="0" collapsed="false">
      <c r="A190" s="138" t="s">
        <v>1837</v>
      </c>
      <c r="B190" s="138" t="n">
        <v>188</v>
      </c>
      <c r="C190" s="138" t="n">
        <v>189</v>
      </c>
      <c r="D190" s="138" t="n">
        <v>22</v>
      </c>
      <c r="E190" s="138" t="n">
        <v>21</v>
      </c>
      <c r="F190" s="138" t="n">
        <v>0</v>
      </c>
      <c r="G190" s="138" t="n">
        <v>0</v>
      </c>
    </row>
    <row r="191" customFormat="false" ht="15" hidden="false" customHeight="false" outlineLevel="0" collapsed="false">
      <c r="A191" s="138" t="s">
        <v>1838</v>
      </c>
      <c r="B191" s="138" t="n">
        <v>189</v>
      </c>
      <c r="C191" s="138" t="n">
        <v>190</v>
      </c>
      <c r="D191" s="138" t="n">
        <v>21</v>
      </c>
      <c r="E191" s="138" t="n">
        <v>22</v>
      </c>
      <c r="F191" s="138" t="n">
        <v>0</v>
      </c>
      <c r="G191" s="138" t="n">
        <v>0</v>
      </c>
    </row>
    <row r="192" customFormat="false" ht="15" hidden="false" customHeight="false" outlineLevel="0" collapsed="false">
      <c r="A192" s="138" t="s">
        <v>1839</v>
      </c>
      <c r="B192" s="138" t="n">
        <v>190</v>
      </c>
      <c r="C192" s="138" t="n">
        <v>191</v>
      </c>
      <c r="D192" s="138" t="n">
        <v>19</v>
      </c>
      <c r="E192" s="138" t="n">
        <v>21</v>
      </c>
      <c r="F192" s="138" t="n">
        <v>0</v>
      </c>
      <c r="G192" s="138" t="n">
        <v>0</v>
      </c>
    </row>
    <row r="193" customFormat="false" ht="15" hidden="false" customHeight="false" outlineLevel="0" collapsed="false">
      <c r="A193" s="138" t="s">
        <v>1840</v>
      </c>
      <c r="B193" s="138" t="n">
        <v>191</v>
      </c>
      <c r="C193" s="138" t="n">
        <v>192</v>
      </c>
      <c r="D193" s="138" t="n">
        <v>19</v>
      </c>
      <c r="E193" s="138" t="n">
        <v>27</v>
      </c>
      <c r="F193" s="138" t="n">
        <v>0</v>
      </c>
      <c r="G193" s="138" t="n">
        <v>0</v>
      </c>
    </row>
    <row r="194" customFormat="false" ht="15" hidden="false" customHeight="false" outlineLevel="0" collapsed="false">
      <c r="A194" s="138" t="s">
        <v>1841</v>
      </c>
      <c r="B194" s="138" t="n">
        <v>192</v>
      </c>
      <c r="C194" s="138" t="n">
        <v>193</v>
      </c>
      <c r="D194" s="138" t="n">
        <v>19</v>
      </c>
      <c r="E194" s="138" t="n">
        <v>22</v>
      </c>
      <c r="F194" s="138" t="n">
        <v>0</v>
      </c>
      <c r="G194" s="138" t="n">
        <v>0</v>
      </c>
    </row>
    <row r="195" customFormat="false" ht="15" hidden="false" customHeight="false" outlineLevel="0" collapsed="false">
      <c r="A195" s="138" t="s">
        <v>1842</v>
      </c>
      <c r="B195" s="138" t="n">
        <v>193</v>
      </c>
      <c r="C195" s="138" t="n">
        <v>194</v>
      </c>
      <c r="D195" s="138" t="n">
        <v>19</v>
      </c>
      <c r="E195" s="138" t="n">
        <v>21</v>
      </c>
      <c r="F195" s="138" t="n">
        <v>0</v>
      </c>
      <c r="G195" s="138" t="n">
        <v>0</v>
      </c>
    </row>
    <row r="196" customFormat="false" ht="15" hidden="false" customHeight="false" outlineLevel="0" collapsed="false">
      <c r="A196" s="138" t="s">
        <v>1843</v>
      </c>
      <c r="B196" s="138" t="n">
        <v>194</v>
      </c>
      <c r="C196" s="138" t="n">
        <v>195</v>
      </c>
      <c r="D196" s="138" t="n">
        <v>19</v>
      </c>
      <c r="E196" s="138" t="n">
        <v>21</v>
      </c>
      <c r="F196" s="138" t="n">
        <v>0</v>
      </c>
      <c r="G196" s="138" t="n">
        <v>0</v>
      </c>
    </row>
    <row r="197" customFormat="false" ht="15" hidden="false" customHeight="false" outlineLevel="0" collapsed="false">
      <c r="A197" s="138" t="s">
        <v>1844</v>
      </c>
      <c r="B197" s="138" t="n">
        <v>195</v>
      </c>
      <c r="C197" s="138" t="n">
        <v>196</v>
      </c>
      <c r="D197" s="138" t="n">
        <v>19</v>
      </c>
      <c r="E197" s="138" t="n">
        <v>20</v>
      </c>
      <c r="F197" s="138" t="n">
        <v>0</v>
      </c>
      <c r="G197" s="138" t="n">
        <v>0</v>
      </c>
    </row>
    <row r="198" customFormat="false" ht="15" hidden="false" customHeight="false" outlineLevel="0" collapsed="false">
      <c r="A198" s="138" t="s">
        <v>1845</v>
      </c>
      <c r="B198" s="138" t="n">
        <v>196</v>
      </c>
      <c r="C198" s="138" t="n">
        <v>197</v>
      </c>
      <c r="D198" s="138" t="n">
        <v>20</v>
      </c>
      <c r="E198" s="138" t="n">
        <v>20</v>
      </c>
      <c r="F198" s="138" t="n">
        <v>0</v>
      </c>
      <c r="G198" s="138" t="n">
        <v>0</v>
      </c>
    </row>
    <row r="199" customFormat="false" ht="15" hidden="false" customHeight="false" outlineLevel="0" collapsed="false">
      <c r="A199" s="138" t="s">
        <v>1846</v>
      </c>
      <c r="B199" s="138" t="n">
        <v>197</v>
      </c>
      <c r="C199" s="138" t="n">
        <v>198</v>
      </c>
      <c r="D199" s="138" t="n">
        <v>21</v>
      </c>
      <c r="E199" s="138" t="n">
        <v>22</v>
      </c>
      <c r="F199" s="138" t="n">
        <v>0</v>
      </c>
      <c r="G199" s="138" t="n">
        <v>0</v>
      </c>
    </row>
    <row r="200" customFormat="false" ht="15" hidden="false" customHeight="false" outlineLevel="0" collapsed="false">
      <c r="A200" s="138" t="s">
        <v>1847</v>
      </c>
      <c r="B200" s="138" t="n">
        <v>198</v>
      </c>
      <c r="C200" s="138" t="n">
        <v>199</v>
      </c>
      <c r="D200" s="138" t="n">
        <v>22</v>
      </c>
      <c r="E200" s="138" t="n">
        <v>25</v>
      </c>
      <c r="F200" s="138" t="n">
        <v>0</v>
      </c>
      <c r="G200" s="138" t="n">
        <v>0</v>
      </c>
    </row>
    <row r="201" customFormat="false" ht="15" hidden="false" customHeight="false" outlineLevel="0" collapsed="false">
      <c r="A201" s="138" t="s">
        <v>1848</v>
      </c>
      <c r="B201" s="138" t="n">
        <v>199</v>
      </c>
      <c r="C201" s="138" t="n">
        <v>200</v>
      </c>
      <c r="D201" s="138" t="n">
        <v>20</v>
      </c>
      <c r="E201" s="138" t="n">
        <v>20</v>
      </c>
      <c r="F201" s="138" t="n">
        <v>0</v>
      </c>
      <c r="G201" s="138" t="n">
        <v>0</v>
      </c>
    </row>
    <row r="202" customFormat="false" ht="15" hidden="false" customHeight="false" outlineLevel="0" collapsed="false">
      <c r="A202" s="138" t="s">
        <v>1849</v>
      </c>
      <c r="B202" s="138" t="n">
        <v>200</v>
      </c>
      <c r="C202" s="138" t="n">
        <v>201</v>
      </c>
      <c r="D202" s="138" t="n">
        <v>21</v>
      </c>
      <c r="E202" s="138" t="n">
        <v>23</v>
      </c>
      <c r="F202" s="138" t="n">
        <v>0</v>
      </c>
      <c r="G202" s="138" t="n">
        <v>0</v>
      </c>
    </row>
    <row r="203" customFormat="false" ht="15" hidden="false" customHeight="false" outlineLevel="0" collapsed="false">
      <c r="A203" s="138" t="s">
        <v>1850</v>
      </c>
      <c r="B203" s="138" t="n">
        <v>201</v>
      </c>
      <c r="C203" s="138" t="n">
        <v>202</v>
      </c>
      <c r="D203" s="138" t="n">
        <v>20</v>
      </c>
      <c r="E203" s="138" t="n">
        <v>20</v>
      </c>
      <c r="F203" s="138" t="n">
        <v>0</v>
      </c>
      <c r="G203" s="138" t="n">
        <v>0</v>
      </c>
    </row>
    <row r="204" customFormat="false" ht="15" hidden="false" customHeight="false" outlineLevel="0" collapsed="false">
      <c r="A204" s="138" t="s">
        <v>1851</v>
      </c>
      <c r="B204" s="138" t="n">
        <v>202</v>
      </c>
      <c r="C204" s="138" t="n">
        <v>203</v>
      </c>
      <c r="D204" s="138" t="n">
        <v>20</v>
      </c>
      <c r="E204" s="138" t="n">
        <v>20</v>
      </c>
      <c r="F204" s="138" t="n">
        <v>0</v>
      </c>
      <c r="G204" s="138" t="n">
        <v>0</v>
      </c>
    </row>
    <row r="205" customFormat="false" ht="15" hidden="false" customHeight="false" outlineLevel="0" collapsed="false">
      <c r="A205" s="138" t="s">
        <v>1852</v>
      </c>
      <c r="B205" s="138" t="n">
        <v>203</v>
      </c>
      <c r="C205" s="138" t="n">
        <v>204</v>
      </c>
      <c r="D205" s="138" t="n">
        <v>20</v>
      </c>
      <c r="E205" s="138" t="n">
        <v>20</v>
      </c>
      <c r="F205" s="138" t="n">
        <v>0</v>
      </c>
      <c r="G205" s="138" t="n">
        <v>0</v>
      </c>
    </row>
    <row r="206" customFormat="false" ht="15" hidden="false" customHeight="false" outlineLevel="0" collapsed="false">
      <c r="A206" s="138" t="s">
        <v>1853</v>
      </c>
      <c r="B206" s="138" t="n">
        <v>204</v>
      </c>
      <c r="C206" s="138" t="n">
        <v>205</v>
      </c>
      <c r="D206" s="138" t="n">
        <v>18</v>
      </c>
      <c r="E206" s="138" t="n">
        <v>28</v>
      </c>
      <c r="F206" s="138" t="n">
        <v>0</v>
      </c>
      <c r="G206" s="138" t="n">
        <v>0</v>
      </c>
    </row>
    <row r="207" customFormat="false" ht="15" hidden="false" customHeight="false" outlineLevel="0" collapsed="false">
      <c r="A207" s="138" t="s">
        <v>1854</v>
      </c>
      <c r="B207" s="138" t="n">
        <v>205</v>
      </c>
      <c r="C207" s="138" t="n">
        <v>206</v>
      </c>
      <c r="D207" s="138" t="n">
        <v>22</v>
      </c>
      <c r="E207" s="138" t="n">
        <v>9</v>
      </c>
      <c r="F207" s="138" t="n">
        <v>0</v>
      </c>
      <c r="G207" s="138" t="n">
        <v>0</v>
      </c>
    </row>
    <row r="208" customFormat="false" ht="15" hidden="false" customHeight="false" outlineLevel="0" collapsed="false">
      <c r="A208" s="138" t="s">
        <v>1855</v>
      </c>
      <c r="B208" s="138" t="n">
        <v>206</v>
      </c>
      <c r="C208" s="138" t="n">
        <v>207</v>
      </c>
      <c r="D208" s="138" t="n">
        <v>9</v>
      </c>
      <c r="E208" s="138" t="n">
        <v>7</v>
      </c>
      <c r="F208" s="138" t="n">
        <v>0</v>
      </c>
      <c r="G208" s="138" t="n">
        <v>10</v>
      </c>
    </row>
    <row r="209" customFormat="false" ht="15" hidden="false" customHeight="false" outlineLevel="0" collapsed="false">
      <c r="A209" s="138" t="s">
        <v>1858</v>
      </c>
      <c r="B209" s="138" t="n">
        <v>207</v>
      </c>
      <c r="C209" s="138" t="n">
        <v>208</v>
      </c>
      <c r="D209" s="138" t="n">
        <v>2</v>
      </c>
      <c r="E209" s="138" t="n">
        <v>22</v>
      </c>
      <c r="F209" s="138" t="n">
        <v>0</v>
      </c>
      <c r="G209" s="138" t="n">
        <v>24</v>
      </c>
    </row>
    <row r="210" customFormat="false" ht="15" hidden="false" customHeight="false" outlineLevel="0" collapsed="false">
      <c r="A210" s="138" t="s">
        <v>1860</v>
      </c>
      <c r="B210" s="138" t="n">
        <v>208</v>
      </c>
      <c r="C210" s="138" t="n">
        <v>209</v>
      </c>
      <c r="D210" s="138" t="n">
        <v>20</v>
      </c>
      <c r="E210" s="138" t="n">
        <v>20</v>
      </c>
      <c r="F210" s="138" t="n">
        <v>0</v>
      </c>
      <c r="G210" s="138" t="n">
        <v>20</v>
      </c>
    </row>
    <row r="211" customFormat="false" ht="15" hidden="false" customHeight="false" outlineLevel="0" collapsed="false">
      <c r="A211" s="138" t="s">
        <v>1861</v>
      </c>
      <c r="B211" s="138" t="n">
        <v>209</v>
      </c>
      <c r="C211" s="138" t="n">
        <v>210</v>
      </c>
      <c r="D211" s="138" t="n">
        <v>20</v>
      </c>
      <c r="E211" s="138" t="n">
        <v>20</v>
      </c>
      <c r="F211" s="138" t="n">
        <v>0</v>
      </c>
      <c r="G211" s="138" t="n">
        <v>22</v>
      </c>
    </row>
    <row r="212" customFormat="false" ht="15" hidden="false" customHeight="false" outlineLevel="0" collapsed="false">
      <c r="A212" s="138" t="s">
        <v>1862</v>
      </c>
      <c r="B212" s="138" t="n">
        <v>210</v>
      </c>
      <c r="C212" s="138" t="n">
        <v>211</v>
      </c>
      <c r="D212" s="138" t="n">
        <v>20</v>
      </c>
      <c r="E212" s="138" t="n">
        <v>20</v>
      </c>
      <c r="F212" s="138" t="n">
        <v>0</v>
      </c>
      <c r="G212" s="138" t="n">
        <v>20</v>
      </c>
    </row>
    <row r="213" customFormat="false" ht="15" hidden="false" customHeight="false" outlineLevel="0" collapsed="false">
      <c r="A213" s="138" t="s">
        <v>1863</v>
      </c>
      <c r="B213" s="138" t="n">
        <v>211</v>
      </c>
      <c r="C213" s="138" t="n">
        <v>212</v>
      </c>
      <c r="D213" s="138" t="n">
        <v>20</v>
      </c>
      <c r="E213" s="138" t="n">
        <v>20</v>
      </c>
      <c r="F213" s="138" t="n">
        <v>0</v>
      </c>
      <c r="G213" s="138" t="n">
        <v>20</v>
      </c>
    </row>
    <row r="214" customFormat="false" ht="15" hidden="false" customHeight="false" outlineLevel="0" collapsed="false">
      <c r="A214" s="138" t="s">
        <v>1864</v>
      </c>
      <c r="B214" s="138" t="n">
        <v>212</v>
      </c>
      <c r="C214" s="138" t="n">
        <v>213</v>
      </c>
      <c r="D214" s="138" t="n">
        <v>20</v>
      </c>
      <c r="E214" s="138" t="n">
        <v>20</v>
      </c>
      <c r="F214" s="138" t="n">
        <v>0</v>
      </c>
      <c r="G214" s="138" t="n">
        <v>20</v>
      </c>
    </row>
    <row r="215" customFormat="false" ht="15" hidden="false" customHeight="false" outlineLevel="0" collapsed="false">
      <c r="A215" s="138" t="s">
        <v>1865</v>
      </c>
      <c r="B215" s="138" t="n">
        <v>213</v>
      </c>
      <c r="C215" s="138" t="n">
        <v>214</v>
      </c>
      <c r="D215" s="138" t="n">
        <v>20</v>
      </c>
      <c r="E215" s="138" t="n">
        <v>22</v>
      </c>
      <c r="F215" s="138" t="n">
        <v>0</v>
      </c>
      <c r="G215" s="138" t="n">
        <v>20</v>
      </c>
    </row>
    <row r="216" customFormat="false" ht="15" hidden="false" customHeight="false" outlineLevel="0" collapsed="false">
      <c r="A216" s="138" t="s">
        <v>1866</v>
      </c>
      <c r="B216" s="138" t="n">
        <v>214</v>
      </c>
      <c r="C216" s="138" t="n">
        <v>215</v>
      </c>
      <c r="D216" s="138" t="n">
        <v>20</v>
      </c>
      <c r="E216" s="138" t="n">
        <v>20</v>
      </c>
      <c r="F216" s="138" t="n">
        <v>0</v>
      </c>
      <c r="G216" s="138" t="n">
        <v>20</v>
      </c>
    </row>
    <row r="217" customFormat="false" ht="15" hidden="false" customHeight="false" outlineLevel="0" collapsed="false">
      <c r="A217" s="138" t="s">
        <v>1867</v>
      </c>
      <c r="B217" s="138" t="n">
        <v>215</v>
      </c>
      <c r="C217" s="138" t="n">
        <v>216</v>
      </c>
      <c r="D217" s="138" t="n">
        <v>20</v>
      </c>
      <c r="E217" s="138" t="n">
        <v>20</v>
      </c>
      <c r="F217" s="138" t="n">
        <v>0</v>
      </c>
      <c r="G217" s="138" t="n">
        <v>24</v>
      </c>
    </row>
    <row r="218" customFormat="false" ht="15" hidden="false" customHeight="false" outlineLevel="0" collapsed="false">
      <c r="A218" s="138" t="s">
        <v>1868</v>
      </c>
      <c r="B218" s="138" t="n">
        <v>216</v>
      </c>
      <c r="C218" s="138" t="n">
        <v>217</v>
      </c>
      <c r="D218" s="138" t="n">
        <v>20</v>
      </c>
      <c r="E218" s="138" t="n">
        <v>20</v>
      </c>
      <c r="F218" s="138" t="n">
        <v>0</v>
      </c>
      <c r="G218" s="138" t="n">
        <v>23</v>
      </c>
    </row>
    <row r="219" customFormat="false" ht="15" hidden="false" customHeight="false" outlineLevel="0" collapsed="false">
      <c r="A219" s="138" t="s">
        <v>1869</v>
      </c>
      <c r="B219" s="138" t="n">
        <v>217</v>
      </c>
      <c r="C219" s="138" t="n">
        <v>218</v>
      </c>
      <c r="D219" s="138" t="n">
        <v>20</v>
      </c>
      <c r="E219" s="138" t="n">
        <v>20</v>
      </c>
      <c r="F219" s="138" t="n">
        <v>0</v>
      </c>
      <c r="G219" s="138" t="n">
        <v>20</v>
      </c>
    </row>
    <row r="220" customFormat="false" ht="15" hidden="false" customHeight="false" outlineLevel="0" collapsed="false">
      <c r="A220" s="138" t="s">
        <v>1870</v>
      </c>
      <c r="B220" s="138" t="n">
        <v>218</v>
      </c>
      <c r="C220" s="138" t="n">
        <v>219</v>
      </c>
      <c r="D220" s="138" t="n">
        <v>20</v>
      </c>
      <c r="E220" s="138" t="n">
        <v>20</v>
      </c>
      <c r="F220" s="138" t="n">
        <v>0</v>
      </c>
      <c r="G220" s="138" t="n">
        <v>20</v>
      </c>
    </row>
    <row r="221" customFormat="false" ht="15" hidden="false" customHeight="false" outlineLevel="0" collapsed="false">
      <c r="A221" s="138" t="s">
        <v>1871</v>
      </c>
      <c r="B221" s="138" t="n">
        <v>219</v>
      </c>
      <c r="C221" s="138" t="n">
        <v>220</v>
      </c>
      <c r="D221" s="138" t="n">
        <v>20</v>
      </c>
      <c r="E221" s="138" t="n">
        <v>20</v>
      </c>
      <c r="F221" s="138" t="n">
        <v>0</v>
      </c>
      <c r="G221" s="138" t="n">
        <v>20</v>
      </c>
    </row>
    <row r="222" customFormat="false" ht="15" hidden="false" customHeight="false" outlineLevel="0" collapsed="false">
      <c r="A222" s="138" t="s">
        <v>1872</v>
      </c>
      <c r="B222" s="138" t="n">
        <v>220</v>
      </c>
      <c r="C222" s="138" t="n">
        <v>221</v>
      </c>
      <c r="D222" s="138" t="n">
        <v>20</v>
      </c>
      <c r="E222" s="138" t="n">
        <v>20</v>
      </c>
      <c r="F222" s="138" t="n">
        <v>0</v>
      </c>
      <c r="G222" s="138" t="n">
        <v>20</v>
      </c>
    </row>
    <row r="223" customFormat="false" ht="15" hidden="false" customHeight="false" outlineLevel="0" collapsed="false">
      <c r="A223" s="138" t="s">
        <v>1873</v>
      </c>
      <c r="B223" s="138" t="n">
        <v>221</v>
      </c>
      <c r="C223" s="138" t="n">
        <v>222</v>
      </c>
      <c r="D223" s="138" t="n">
        <v>20</v>
      </c>
      <c r="E223" s="138" t="n">
        <v>20</v>
      </c>
      <c r="F223" s="138" t="n">
        <v>0</v>
      </c>
      <c r="G223" s="138" t="n">
        <v>20</v>
      </c>
    </row>
    <row r="224" customFormat="false" ht="15" hidden="false" customHeight="false" outlineLevel="0" collapsed="false">
      <c r="A224" s="138" t="s">
        <v>1874</v>
      </c>
      <c r="B224" s="138" t="n">
        <v>222</v>
      </c>
      <c r="C224" s="138" t="n">
        <v>223</v>
      </c>
      <c r="D224" s="138" t="n">
        <v>20</v>
      </c>
      <c r="E224" s="138" t="n">
        <v>20</v>
      </c>
      <c r="F224" s="138" t="n">
        <v>0</v>
      </c>
      <c r="G224" s="138" t="n">
        <v>20</v>
      </c>
    </row>
    <row r="225" customFormat="false" ht="15" hidden="false" customHeight="false" outlineLevel="0" collapsed="false">
      <c r="A225" s="138" t="s">
        <v>1875</v>
      </c>
      <c r="B225" s="138" t="n">
        <v>223</v>
      </c>
      <c r="C225" s="138" t="n">
        <v>224</v>
      </c>
      <c r="D225" s="138" t="n">
        <v>20</v>
      </c>
      <c r="E225" s="138" t="n">
        <v>20</v>
      </c>
      <c r="F225" s="138" t="n">
        <v>0</v>
      </c>
      <c r="G225" s="138" t="n">
        <v>20</v>
      </c>
    </row>
    <row r="226" customFormat="false" ht="15" hidden="false" customHeight="false" outlineLevel="0" collapsed="false">
      <c r="A226" s="138" t="s">
        <v>1876</v>
      </c>
      <c r="B226" s="138" t="n">
        <v>224</v>
      </c>
      <c r="C226" s="138" t="n">
        <v>225</v>
      </c>
      <c r="D226" s="138" t="n">
        <v>20</v>
      </c>
      <c r="E226" s="138" t="n">
        <v>20</v>
      </c>
      <c r="F226" s="138" t="n">
        <v>0</v>
      </c>
      <c r="G226" s="138" t="n">
        <v>21</v>
      </c>
    </row>
    <row r="227" customFormat="false" ht="15" hidden="false" customHeight="false" outlineLevel="0" collapsed="false">
      <c r="A227" s="138" t="s">
        <v>1877</v>
      </c>
      <c r="B227" s="138" t="n">
        <v>225</v>
      </c>
      <c r="C227" s="138" t="n">
        <v>226</v>
      </c>
      <c r="D227" s="138" t="n">
        <v>20</v>
      </c>
      <c r="E227" s="138" t="n">
        <v>20</v>
      </c>
      <c r="F227" s="138" t="n">
        <v>0</v>
      </c>
      <c r="G227" s="138" t="n">
        <v>19</v>
      </c>
    </row>
    <row r="228" customFormat="false" ht="15" hidden="false" customHeight="false" outlineLevel="0" collapsed="false">
      <c r="A228" s="138" t="s">
        <v>1878</v>
      </c>
      <c r="B228" s="138" t="n">
        <v>226</v>
      </c>
      <c r="C228" s="138" t="n">
        <v>227</v>
      </c>
      <c r="D228" s="138" t="n">
        <v>20</v>
      </c>
      <c r="E228" s="138" t="n">
        <v>25</v>
      </c>
      <c r="F228" s="138" t="n">
        <v>0</v>
      </c>
      <c r="G228" s="138" t="n">
        <v>0</v>
      </c>
    </row>
    <row r="229" customFormat="false" ht="15" hidden="false" customHeight="false" outlineLevel="0" collapsed="false">
      <c r="A229" s="138" t="s">
        <v>1879</v>
      </c>
      <c r="B229" s="138" t="n">
        <v>227</v>
      </c>
      <c r="C229" s="138" t="n">
        <v>228</v>
      </c>
      <c r="D229" s="138" t="n">
        <v>20</v>
      </c>
      <c r="E229" s="138" t="n">
        <v>21</v>
      </c>
      <c r="F229" s="138" t="n">
        <v>0</v>
      </c>
      <c r="G229" s="138" t="n">
        <v>0</v>
      </c>
    </row>
    <row r="230" customFormat="false" ht="15" hidden="false" customHeight="false" outlineLevel="0" collapsed="false">
      <c r="A230" s="138" t="s">
        <v>1880</v>
      </c>
      <c r="B230" s="138" t="n">
        <v>228</v>
      </c>
      <c r="C230" s="138" t="n">
        <v>229</v>
      </c>
      <c r="D230" s="138" t="n">
        <v>20</v>
      </c>
      <c r="E230" s="138" t="n">
        <v>20</v>
      </c>
      <c r="F230" s="138" t="n">
        <v>0</v>
      </c>
      <c r="G230" s="138" t="n">
        <v>0</v>
      </c>
    </row>
    <row r="231" customFormat="false" ht="15" hidden="false" customHeight="false" outlineLevel="0" collapsed="false">
      <c r="A231" s="138" t="s">
        <v>1881</v>
      </c>
      <c r="B231" s="138" t="n">
        <v>229</v>
      </c>
      <c r="C231" s="138" t="n">
        <v>230</v>
      </c>
      <c r="D231" s="138" t="n">
        <v>21</v>
      </c>
      <c r="E231" s="138" t="n">
        <v>20</v>
      </c>
      <c r="F231" s="138" t="n">
        <v>0</v>
      </c>
      <c r="G231" s="138" t="n">
        <v>0</v>
      </c>
    </row>
    <row r="232" customFormat="false" ht="15" hidden="false" customHeight="false" outlineLevel="0" collapsed="false">
      <c r="A232" s="138" t="s">
        <v>1882</v>
      </c>
      <c r="B232" s="138" t="n">
        <v>230</v>
      </c>
      <c r="C232" s="138" t="n">
        <v>231</v>
      </c>
      <c r="D232" s="138" t="n">
        <v>20</v>
      </c>
      <c r="E232" s="138" t="n">
        <v>20</v>
      </c>
      <c r="F232" s="138" t="n">
        <v>0</v>
      </c>
      <c r="G232" s="138" t="n">
        <v>18</v>
      </c>
    </row>
    <row r="233" customFormat="false" ht="15" hidden="false" customHeight="false" outlineLevel="0" collapsed="false">
      <c r="A233" s="138" t="s">
        <v>1883</v>
      </c>
      <c r="B233" s="138" t="n">
        <v>231</v>
      </c>
      <c r="C233" s="138" t="n">
        <v>232</v>
      </c>
      <c r="D233" s="138" t="n">
        <v>21</v>
      </c>
      <c r="E233" s="138" t="n">
        <v>21</v>
      </c>
      <c r="F233" s="138" t="n">
        <v>0</v>
      </c>
      <c r="G233" s="138" t="n">
        <v>21</v>
      </c>
    </row>
    <row r="234" customFormat="false" ht="15" hidden="false" customHeight="false" outlineLevel="0" collapsed="false">
      <c r="A234" s="138" t="s">
        <v>1884</v>
      </c>
      <c r="B234" s="138" t="n">
        <v>232</v>
      </c>
      <c r="C234" s="138" t="n">
        <v>233</v>
      </c>
      <c r="D234" s="138" t="n">
        <v>20</v>
      </c>
      <c r="E234" s="138" t="n">
        <v>20</v>
      </c>
      <c r="F234" s="138" t="n">
        <v>0</v>
      </c>
      <c r="G234" s="138" t="n">
        <v>21</v>
      </c>
    </row>
    <row r="235" customFormat="false" ht="15" hidden="false" customHeight="false" outlineLevel="0" collapsed="false">
      <c r="A235" s="138" t="s">
        <v>1885</v>
      </c>
      <c r="B235" s="138" t="n">
        <v>233</v>
      </c>
      <c r="C235" s="138" t="n">
        <v>234</v>
      </c>
      <c r="D235" s="138" t="n">
        <v>20</v>
      </c>
      <c r="E235" s="138" t="n">
        <v>21</v>
      </c>
      <c r="F235" s="138" t="n">
        <v>0</v>
      </c>
      <c r="G235" s="138" t="n">
        <v>20</v>
      </c>
    </row>
    <row r="236" customFormat="false" ht="15" hidden="false" customHeight="false" outlineLevel="0" collapsed="false">
      <c r="A236" s="138" t="s">
        <v>1886</v>
      </c>
      <c r="B236" s="138" t="n">
        <v>234</v>
      </c>
      <c r="C236" s="138" t="n">
        <v>235</v>
      </c>
      <c r="D236" s="138" t="n">
        <v>37</v>
      </c>
      <c r="E236" s="138" t="n">
        <v>24</v>
      </c>
      <c r="F236" s="138" t="n">
        <v>0</v>
      </c>
      <c r="G236" s="138" t="n">
        <v>20</v>
      </c>
    </row>
    <row r="237" customFormat="false" ht="15" hidden="false" customHeight="false" outlineLevel="0" collapsed="false">
      <c r="A237" s="138" t="s">
        <v>1887</v>
      </c>
      <c r="B237" s="138" t="n">
        <v>235</v>
      </c>
      <c r="C237" s="138" t="n">
        <v>236</v>
      </c>
      <c r="D237" s="138" t="n">
        <v>29</v>
      </c>
      <c r="E237" s="138" t="n">
        <v>35</v>
      </c>
      <c r="F237" s="138" t="n">
        <v>0</v>
      </c>
      <c r="G237" s="138" t="n">
        <v>0</v>
      </c>
    </row>
    <row r="238" customFormat="false" ht="15" hidden="false" customHeight="false" outlineLevel="0" collapsed="false">
      <c r="A238" s="138" t="s">
        <v>1889</v>
      </c>
      <c r="B238" s="138" t="n">
        <v>236</v>
      </c>
      <c r="C238" s="138" t="n">
        <v>237</v>
      </c>
      <c r="D238" s="138" t="n">
        <v>37</v>
      </c>
      <c r="E238" s="138" t="n">
        <v>27</v>
      </c>
      <c r="F238" s="138" t="n">
        <v>8</v>
      </c>
      <c r="G238" s="138" t="n">
        <v>0</v>
      </c>
    </row>
    <row r="239" customFormat="false" ht="15" hidden="false" customHeight="false" outlineLevel="0" collapsed="false">
      <c r="A239" s="138" t="s">
        <v>1890</v>
      </c>
      <c r="B239" s="138" t="n">
        <v>237</v>
      </c>
      <c r="C239" s="138" t="n">
        <v>238</v>
      </c>
      <c r="D239" s="138" t="n">
        <v>31</v>
      </c>
      <c r="E239" s="138" t="n">
        <v>22</v>
      </c>
      <c r="F239" s="138" t="n">
        <v>21</v>
      </c>
      <c r="G239" s="138" t="n">
        <v>8</v>
      </c>
    </row>
    <row r="240" customFormat="false" ht="15" hidden="false" customHeight="false" outlineLevel="0" collapsed="false">
      <c r="A240" s="138" t="s">
        <v>1891</v>
      </c>
      <c r="B240" s="138" t="n">
        <v>238</v>
      </c>
      <c r="C240" s="138" t="n">
        <v>239</v>
      </c>
      <c r="D240" s="138" t="n">
        <v>20</v>
      </c>
      <c r="E240" s="138" t="n">
        <v>24</v>
      </c>
      <c r="F240" s="138" t="n">
        <v>21</v>
      </c>
      <c r="G240" s="138" t="n">
        <v>20</v>
      </c>
    </row>
    <row r="241" customFormat="false" ht="15" hidden="false" customHeight="false" outlineLevel="0" collapsed="false">
      <c r="A241" s="138" t="s">
        <v>1892</v>
      </c>
      <c r="B241" s="138" t="n">
        <v>239</v>
      </c>
      <c r="C241" s="138" t="n">
        <v>240</v>
      </c>
      <c r="D241" s="138" t="n">
        <v>20</v>
      </c>
      <c r="E241" s="138" t="n">
        <v>67</v>
      </c>
      <c r="F241" s="138" t="n">
        <v>21</v>
      </c>
      <c r="G241" s="138" t="n">
        <v>20</v>
      </c>
    </row>
    <row r="242" customFormat="false" ht="15" hidden="false" customHeight="false" outlineLevel="0" collapsed="false">
      <c r="A242" s="138" t="s">
        <v>1893</v>
      </c>
      <c r="B242" s="138" t="n">
        <v>240</v>
      </c>
      <c r="C242" s="138" t="n">
        <v>241</v>
      </c>
      <c r="D242" s="138" t="n">
        <v>20</v>
      </c>
      <c r="E242" s="138" t="n">
        <v>41</v>
      </c>
      <c r="F242" s="138" t="n">
        <v>20</v>
      </c>
      <c r="G242" s="138" t="n">
        <v>20</v>
      </c>
    </row>
    <row r="243" customFormat="false" ht="15" hidden="false" customHeight="false" outlineLevel="0" collapsed="false">
      <c r="A243" s="138" t="s">
        <v>1894</v>
      </c>
      <c r="B243" s="138" t="n">
        <v>241</v>
      </c>
      <c r="C243" s="138" t="n">
        <v>242</v>
      </c>
      <c r="D243" s="138" t="n">
        <v>20</v>
      </c>
      <c r="E243" s="138" t="n">
        <v>20</v>
      </c>
      <c r="F243" s="138" t="n">
        <v>20</v>
      </c>
      <c r="G243" s="138" t="n">
        <v>20</v>
      </c>
    </row>
    <row r="244" customFormat="false" ht="15" hidden="false" customHeight="false" outlineLevel="0" collapsed="false">
      <c r="A244" s="138" t="s">
        <v>1895</v>
      </c>
      <c r="B244" s="138" t="n">
        <v>242</v>
      </c>
      <c r="C244" s="138" t="n">
        <v>243</v>
      </c>
      <c r="D244" s="138" t="n">
        <v>21</v>
      </c>
      <c r="E244" s="138" t="n">
        <v>20</v>
      </c>
      <c r="F244" s="138" t="n">
        <v>20</v>
      </c>
      <c r="G244" s="138" t="n">
        <v>20</v>
      </c>
    </row>
    <row r="245" customFormat="false" ht="15" hidden="false" customHeight="false" outlineLevel="0" collapsed="false">
      <c r="A245" s="138" t="s">
        <v>1896</v>
      </c>
      <c r="B245" s="138" t="n">
        <v>243</v>
      </c>
      <c r="C245" s="138" t="n">
        <v>244</v>
      </c>
      <c r="D245" s="138" t="n">
        <v>20</v>
      </c>
      <c r="E245" s="138" t="n">
        <v>20</v>
      </c>
      <c r="F245" s="138" t="n">
        <v>20</v>
      </c>
      <c r="G245" s="138" t="n">
        <v>20</v>
      </c>
    </row>
    <row r="246" customFormat="false" ht="15" hidden="false" customHeight="false" outlineLevel="0" collapsed="false">
      <c r="A246" s="138" t="s">
        <v>1897</v>
      </c>
      <c r="B246" s="138" t="n">
        <v>244</v>
      </c>
      <c r="C246" s="138" t="n">
        <v>245</v>
      </c>
      <c r="D246" s="138" t="n">
        <v>20</v>
      </c>
      <c r="E246" s="138" t="n">
        <v>20</v>
      </c>
      <c r="F246" s="138" t="n">
        <v>20</v>
      </c>
      <c r="G246" s="138" t="n">
        <v>20</v>
      </c>
    </row>
    <row r="247" customFormat="false" ht="15" hidden="false" customHeight="false" outlineLevel="0" collapsed="false">
      <c r="A247" s="138" t="s">
        <v>1898</v>
      </c>
      <c r="B247" s="138" t="n">
        <v>245</v>
      </c>
      <c r="C247" s="138" t="n">
        <v>246</v>
      </c>
      <c r="D247" s="138" t="n">
        <v>20</v>
      </c>
      <c r="E247" s="138" t="n">
        <v>25</v>
      </c>
      <c r="F247" s="138" t="n">
        <v>20</v>
      </c>
      <c r="G247" s="138" t="n">
        <v>21</v>
      </c>
    </row>
    <row r="248" customFormat="false" ht="15" hidden="false" customHeight="false" outlineLevel="0" collapsed="false">
      <c r="A248" s="138" t="s">
        <v>1899</v>
      </c>
      <c r="B248" s="138" t="n">
        <v>246</v>
      </c>
      <c r="C248" s="138" t="n">
        <v>247</v>
      </c>
      <c r="D248" s="138" t="n">
        <v>21</v>
      </c>
      <c r="E248" s="138" t="n">
        <v>21</v>
      </c>
      <c r="F248" s="138" t="n">
        <v>20</v>
      </c>
      <c r="G248" s="138" t="n">
        <v>20</v>
      </c>
    </row>
    <row r="249" customFormat="false" ht="15" hidden="false" customHeight="false" outlineLevel="0" collapsed="false">
      <c r="A249" s="138" t="s">
        <v>1900</v>
      </c>
      <c r="B249" s="138" t="n">
        <v>247</v>
      </c>
      <c r="C249" s="138" t="n">
        <v>248</v>
      </c>
      <c r="D249" s="138" t="n">
        <v>20</v>
      </c>
      <c r="E249" s="138" t="n">
        <v>20</v>
      </c>
      <c r="F249" s="138" t="n">
        <v>20</v>
      </c>
      <c r="G249" s="138" t="n">
        <v>20</v>
      </c>
    </row>
    <row r="250" customFormat="false" ht="15" hidden="false" customHeight="false" outlineLevel="0" collapsed="false">
      <c r="A250" s="138" t="s">
        <v>1901</v>
      </c>
      <c r="B250" s="138" t="n">
        <v>248</v>
      </c>
      <c r="C250" s="138" t="n">
        <v>249</v>
      </c>
      <c r="D250" s="138" t="n">
        <v>20</v>
      </c>
      <c r="E250" s="138" t="n">
        <v>20</v>
      </c>
      <c r="F250" s="138" t="n">
        <v>20</v>
      </c>
      <c r="G250" s="138" t="n">
        <v>20</v>
      </c>
    </row>
    <row r="251" customFormat="false" ht="15" hidden="false" customHeight="false" outlineLevel="0" collapsed="false">
      <c r="A251" s="138" t="s">
        <v>1902</v>
      </c>
      <c r="B251" s="138" t="n">
        <v>249</v>
      </c>
      <c r="C251" s="138" t="n">
        <v>250</v>
      </c>
      <c r="D251" s="138" t="n">
        <v>21</v>
      </c>
      <c r="E251" s="138" t="n">
        <v>22</v>
      </c>
      <c r="F251" s="138" t="n">
        <v>20</v>
      </c>
      <c r="G251" s="138" t="n">
        <v>20</v>
      </c>
    </row>
    <row r="252" customFormat="false" ht="15" hidden="false" customHeight="false" outlineLevel="0" collapsed="false">
      <c r="A252" s="138" t="s">
        <v>1903</v>
      </c>
      <c r="B252" s="138" t="n">
        <v>250</v>
      </c>
      <c r="C252" s="138" t="n">
        <v>251</v>
      </c>
      <c r="D252" s="138" t="n">
        <v>20</v>
      </c>
      <c r="E252" s="138" t="n">
        <v>25</v>
      </c>
      <c r="F252" s="138" t="n">
        <v>20</v>
      </c>
      <c r="G252" s="138" t="n">
        <v>20</v>
      </c>
    </row>
    <row r="253" customFormat="false" ht="15" hidden="false" customHeight="false" outlineLevel="0" collapsed="false">
      <c r="A253" s="138" t="s">
        <v>1904</v>
      </c>
      <c r="B253" s="138" t="n">
        <v>251</v>
      </c>
      <c r="C253" s="138" t="n">
        <v>252</v>
      </c>
      <c r="D253" s="138" t="n">
        <v>20</v>
      </c>
      <c r="E253" s="138" t="n">
        <v>20</v>
      </c>
      <c r="F253" s="138" t="n">
        <v>20</v>
      </c>
      <c r="G253" s="138" t="n">
        <v>20</v>
      </c>
    </row>
    <row r="254" customFormat="false" ht="15" hidden="false" customHeight="false" outlineLevel="0" collapsed="false">
      <c r="A254" s="138" t="s">
        <v>1905</v>
      </c>
      <c r="B254" s="138" t="n">
        <v>252</v>
      </c>
      <c r="C254" s="138" t="n">
        <v>253</v>
      </c>
      <c r="D254" s="138" t="n">
        <v>23</v>
      </c>
      <c r="E254" s="138" t="n">
        <v>21</v>
      </c>
      <c r="F254" s="138" t="n">
        <v>20</v>
      </c>
      <c r="G254" s="138" t="n">
        <v>20</v>
      </c>
    </row>
    <row r="255" customFormat="false" ht="15" hidden="false" customHeight="false" outlineLevel="0" collapsed="false">
      <c r="A255" s="138" t="s">
        <v>1906</v>
      </c>
      <c r="B255" s="138" t="n">
        <v>253</v>
      </c>
      <c r="C255" s="138" t="n">
        <v>254</v>
      </c>
      <c r="D255" s="138" t="n">
        <v>23</v>
      </c>
      <c r="E255" s="138" t="n">
        <v>21</v>
      </c>
      <c r="F255" s="138" t="n">
        <v>20</v>
      </c>
      <c r="G255" s="138" t="n">
        <v>20</v>
      </c>
    </row>
    <row r="256" customFormat="false" ht="15" hidden="false" customHeight="false" outlineLevel="0" collapsed="false">
      <c r="A256" s="138" t="s">
        <v>1907</v>
      </c>
      <c r="B256" s="138" t="n">
        <v>254</v>
      </c>
      <c r="C256" s="138" t="n">
        <v>255</v>
      </c>
      <c r="D256" s="138" t="n">
        <v>20</v>
      </c>
      <c r="E256" s="138" t="n">
        <v>20</v>
      </c>
      <c r="F256" s="138" t="n">
        <v>21</v>
      </c>
      <c r="G256" s="138" t="n">
        <v>20</v>
      </c>
    </row>
    <row r="257" customFormat="false" ht="15" hidden="false" customHeight="false" outlineLevel="0" collapsed="false">
      <c r="A257" s="138" t="s">
        <v>1908</v>
      </c>
      <c r="B257" s="138" t="n">
        <v>255</v>
      </c>
      <c r="C257" s="138" t="n">
        <v>256</v>
      </c>
      <c r="D257" s="138" t="n">
        <v>18</v>
      </c>
      <c r="E257" s="138" t="n">
        <v>25</v>
      </c>
      <c r="F257" s="138" t="n">
        <v>18</v>
      </c>
      <c r="G257" s="138" t="n">
        <v>20</v>
      </c>
    </row>
    <row r="258" customFormat="false" ht="15" hidden="false" customHeight="false" outlineLevel="0" collapsed="false">
      <c r="A258" s="138" t="s">
        <v>1909</v>
      </c>
      <c r="B258" s="138" t="n">
        <v>256</v>
      </c>
      <c r="C258" s="138" t="n">
        <v>257</v>
      </c>
      <c r="D258" s="138" t="n">
        <v>7</v>
      </c>
      <c r="E258" s="138" t="n">
        <v>22</v>
      </c>
      <c r="F258" s="138" t="n">
        <v>10</v>
      </c>
      <c r="G258" s="138" t="n">
        <v>21</v>
      </c>
    </row>
    <row r="259" customFormat="false" ht="15" hidden="false" customHeight="false" outlineLevel="0" collapsed="false">
      <c r="A259" s="138" t="s">
        <v>1910</v>
      </c>
      <c r="B259" s="138" t="n">
        <v>257</v>
      </c>
      <c r="C259" s="138" t="n">
        <v>258</v>
      </c>
      <c r="D259" s="138" t="n">
        <v>20</v>
      </c>
      <c r="E259" s="138" t="n">
        <v>26</v>
      </c>
      <c r="F259" s="138" t="n">
        <v>20</v>
      </c>
      <c r="G259" s="138" t="n">
        <v>23</v>
      </c>
    </row>
    <row r="260" customFormat="false" ht="15" hidden="false" customHeight="false" outlineLevel="0" collapsed="false">
      <c r="A260" s="138" t="s">
        <v>1911</v>
      </c>
      <c r="B260" s="138" t="n">
        <v>258</v>
      </c>
      <c r="C260" s="138" t="n">
        <v>259</v>
      </c>
      <c r="D260" s="138" t="n">
        <v>4</v>
      </c>
      <c r="E260" s="138" t="n">
        <v>17</v>
      </c>
      <c r="F260" s="138" t="n">
        <v>7</v>
      </c>
      <c r="G260" s="138" t="n">
        <v>18</v>
      </c>
    </row>
    <row r="261" customFormat="false" ht="15" hidden="false" customHeight="false" outlineLevel="0" collapsed="false">
      <c r="A261" s="138" t="s">
        <v>1912</v>
      </c>
      <c r="B261" s="138" t="n">
        <v>259</v>
      </c>
      <c r="C261" s="138" t="n">
        <v>260</v>
      </c>
      <c r="D261" s="138" t="n">
        <v>38</v>
      </c>
      <c r="E261" s="138" t="n">
        <v>0</v>
      </c>
      <c r="F261" s="138" t="n">
        <v>15</v>
      </c>
      <c r="G261" s="138" t="n">
        <v>0</v>
      </c>
    </row>
    <row r="262" customFormat="false" ht="15" hidden="false" customHeight="false" outlineLevel="0" collapsed="false">
      <c r="A262" s="138" t="s">
        <v>1914</v>
      </c>
      <c r="B262" s="138" t="n">
        <v>260</v>
      </c>
      <c r="C262" s="138" t="n">
        <v>261</v>
      </c>
      <c r="D262" s="138" t="n">
        <v>20</v>
      </c>
      <c r="E262" s="138" t="n">
        <v>16</v>
      </c>
      <c r="F262" s="138" t="n">
        <v>20</v>
      </c>
      <c r="G262" s="138" t="n">
        <v>13</v>
      </c>
    </row>
    <row r="263" customFormat="false" ht="15" hidden="false" customHeight="false" outlineLevel="0" collapsed="false">
      <c r="A263" s="138" t="s">
        <v>1916</v>
      </c>
      <c r="B263" s="138" t="n">
        <v>261</v>
      </c>
      <c r="C263" s="138" t="n">
        <v>262</v>
      </c>
      <c r="D263" s="138" t="n">
        <v>20</v>
      </c>
      <c r="E263" s="138" t="n">
        <v>20</v>
      </c>
      <c r="F263" s="138" t="n">
        <v>21</v>
      </c>
      <c r="G263" s="138" t="n">
        <v>20</v>
      </c>
    </row>
    <row r="264" customFormat="false" ht="15" hidden="false" customHeight="false" outlineLevel="0" collapsed="false">
      <c r="A264" s="138" t="s">
        <v>1917</v>
      </c>
      <c r="B264" s="138" t="n">
        <v>262</v>
      </c>
      <c r="C264" s="138" t="n">
        <v>263</v>
      </c>
      <c r="D264" s="138" t="n">
        <v>20</v>
      </c>
      <c r="E264" s="138" t="n">
        <v>20</v>
      </c>
      <c r="F264" s="138" t="n">
        <v>20</v>
      </c>
      <c r="G264" s="138" t="n">
        <v>21</v>
      </c>
    </row>
    <row r="265" customFormat="false" ht="15" hidden="false" customHeight="false" outlineLevel="0" collapsed="false">
      <c r="A265" s="138" t="s">
        <v>1918</v>
      </c>
      <c r="B265" s="138" t="n">
        <v>263</v>
      </c>
      <c r="C265" s="138" t="n">
        <v>264</v>
      </c>
      <c r="D265" s="138" t="n">
        <v>20</v>
      </c>
      <c r="E265" s="138" t="n">
        <v>20</v>
      </c>
      <c r="F265" s="138" t="n">
        <v>21</v>
      </c>
      <c r="G265" s="138" t="n">
        <v>21</v>
      </c>
    </row>
    <row r="266" customFormat="false" ht="15" hidden="false" customHeight="false" outlineLevel="0" collapsed="false">
      <c r="A266" s="138" t="s">
        <v>1919</v>
      </c>
      <c r="B266" s="138" t="n">
        <v>264</v>
      </c>
      <c r="C266" s="138" t="n">
        <v>265</v>
      </c>
      <c r="D266" s="138" t="n">
        <v>21</v>
      </c>
      <c r="E266" s="138" t="n">
        <v>20</v>
      </c>
      <c r="F266" s="138" t="n">
        <v>20</v>
      </c>
      <c r="G266" s="138" t="n">
        <v>21</v>
      </c>
    </row>
    <row r="267" customFormat="false" ht="15" hidden="false" customHeight="false" outlineLevel="0" collapsed="false">
      <c r="A267" s="138" t="s">
        <v>1920</v>
      </c>
      <c r="B267" s="138" t="n">
        <v>265</v>
      </c>
      <c r="C267" s="138" t="n">
        <v>266</v>
      </c>
      <c r="D267" s="138" t="n">
        <v>20</v>
      </c>
      <c r="E267" s="138" t="n">
        <v>20</v>
      </c>
      <c r="F267" s="138" t="n">
        <v>20</v>
      </c>
      <c r="G267" s="138" t="n">
        <v>22</v>
      </c>
    </row>
    <row r="268" customFormat="false" ht="15" hidden="false" customHeight="false" outlineLevel="0" collapsed="false">
      <c r="A268" s="138" t="s">
        <v>1921</v>
      </c>
      <c r="B268" s="138" t="n">
        <v>266</v>
      </c>
      <c r="C268" s="138" t="n">
        <v>267</v>
      </c>
      <c r="D268" s="138" t="n">
        <v>20</v>
      </c>
      <c r="E268" s="138" t="n">
        <v>21</v>
      </c>
      <c r="F268" s="138" t="n">
        <v>20</v>
      </c>
      <c r="G268" s="138" t="n">
        <v>21</v>
      </c>
    </row>
    <row r="269" customFormat="false" ht="15" hidden="false" customHeight="false" outlineLevel="0" collapsed="false">
      <c r="A269" s="138" t="s">
        <v>1922</v>
      </c>
      <c r="B269" s="138" t="n">
        <v>267</v>
      </c>
      <c r="C269" s="138" t="n">
        <v>268</v>
      </c>
      <c r="D269" s="138" t="n">
        <v>22</v>
      </c>
      <c r="E269" s="138" t="n">
        <v>21</v>
      </c>
      <c r="F269" s="138" t="n">
        <v>20</v>
      </c>
      <c r="G269" s="138" t="n">
        <v>20</v>
      </c>
    </row>
    <row r="270" customFormat="false" ht="15" hidden="false" customHeight="false" outlineLevel="0" collapsed="false">
      <c r="A270" s="138" t="s">
        <v>1923</v>
      </c>
      <c r="B270" s="138" t="n">
        <v>268</v>
      </c>
      <c r="C270" s="138" t="n">
        <v>269</v>
      </c>
      <c r="D270" s="138" t="n">
        <v>27</v>
      </c>
      <c r="E270" s="138" t="n">
        <v>26</v>
      </c>
      <c r="F270" s="138" t="n">
        <v>20</v>
      </c>
      <c r="G270" s="138" t="n">
        <v>21</v>
      </c>
    </row>
    <row r="271" customFormat="false" ht="15" hidden="false" customHeight="false" outlineLevel="0" collapsed="false">
      <c r="A271" s="138" t="s">
        <v>1924</v>
      </c>
      <c r="B271" s="138" t="n">
        <v>269</v>
      </c>
      <c r="C271" s="138" t="n">
        <v>270</v>
      </c>
      <c r="D271" s="138" t="n">
        <v>23</v>
      </c>
      <c r="E271" s="138" t="n">
        <v>20</v>
      </c>
      <c r="F271" s="138" t="n">
        <v>20</v>
      </c>
      <c r="G271" s="138" t="n">
        <v>21</v>
      </c>
    </row>
    <row r="272" customFormat="false" ht="15" hidden="false" customHeight="false" outlineLevel="0" collapsed="false">
      <c r="A272" s="138" t="s">
        <v>1925</v>
      </c>
      <c r="B272" s="138" t="n">
        <v>270</v>
      </c>
      <c r="C272" s="138" t="n">
        <v>271</v>
      </c>
      <c r="D272" s="138" t="n">
        <v>20</v>
      </c>
      <c r="E272" s="138" t="n">
        <v>20</v>
      </c>
      <c r="F272" s="138" t="n">
        <v>20</v>
      </c>
      <c r="G272" s="138" t="n">
        <v>20</v>
      </c>
    </row>
    <row r="273" customFormat="false" ht="15" hidden="false" customHeight="false" outlineLevel="0" collapsed="false">
      <c r="A273" s="138" t="s">
        <v>1926</v>
      </c>
      <c r="B273" s="138" t="n">
        <v>271</v>
      </c>
      <c r="C273" s="138" t="n">
        <v>272</v>
      </c>
      <c r="D273" s="138" t="n">
        <v>23</v>
      </c>
      <c r="E273" s="138" t="n">
        <v>20</v>
      </c>
      <c r="F273" s="138" t="n">
        <v>20</v>
      </c>
      <c r="G273" s="138" t="n">
        <v>20</v>
      </c>
    </row>
    <row r="274" customFormat="false" ht="15" hidden="false" customHeight="false" outlineLevel="0" collapsed="false">
      <c r="A274" s="138" t="s">
        <v>1927</v>
      </c>
      <c r="B274" s="138" t="n">
        <v>272</v>
      </c>
      <c r="C274" s="138" t="n">
        <v>273</v>
      </c>
      <c r="D274" s="138" t="n">
        <v>20</v>
      </c>
      <c r="E274" s="138" t="n">
        <v>20</v>
      </c>
      <c r="F274" s="138" t="n">
        <v>26</v>
      </c>
      <c r="G274" s="138" t="n">
        <v>20</v>
      </c>
    </row>
    <row r="275" customFormat="false" ht="15" hidden="false" customHeight="false" outlineLevel="0" collapsed="false">
      <c r="A275" s="138" t="s">
        <v>1928</v>
      </c>
      <c r="B275" s="138" t="n">
        <v>273</v>
      </c>
      <c r="C275" s="138" t="n">
        <v>274</v>
      </c>
      <c r="D275" s="138" t="n">
        <v>20</v>
      </c>
      <c r="E275" s="138" t="n">
        <v>20</v>
      </c>
      <c r="F275" s="138" t="n">
        <v>20</v>
      </c>
      <c r="G275" s="138" t="n">
        <v>20</v>
      </c>
    </row>
    <row r="276" customFormat="false" ht="15" hidden="false" customHeight="false" outlineLevel="0" collapsed="false">
      <c r="A276" s="138" t="s">
        <v>1929</v>
      </c>
      <c r="B276" s="138" t="n">
        <v>274</v>
      </c>
      <c r="C276" s="138" t="n">
        <v>275</v>
      </c>
      <c r="D276" s="138" t="n">
        <v>20</v>
      </c>
      <c r="E276" s="138" t="n">
        <v>20</v>
      </c>
      <c r="F276" s="138" t="n">
        <v>21</v>
      </c>
      <c r="G276" s="138" t="n">
        <v>20</v>
      </c>
    </row>
    <row r="277" customFormat="false" ht="15" hidden="false" customHeight="false" outlineLevel="0" collapsed="false">
      <c r="A277" s="138" t="s">
        <v>1930</v>
      </c>
      <c r="B277" s="138" t="n">
        <v>275</v>
      </c>
      <c r="C277" s="138" t="n">
        <v>276</v>
      </c>
      <c r="D277" s="138" t="n">
        <v>20</v>
      </c>
      <c r="E277" s="138" t="n">
        <v>20</v>
      </c>
      <c r="F277" s="138" t="n">
        <v>20</v>
      </c>
      <c r="G277" s="138" t="n">
        <v>21</v>
      </c>
    </row>
    <row r="278" customFormat="false" ht="15" hidden="false" customHeight="false" outlineLevel="0" collapsed="false">
      <c r="A278" s="138" t="s">
        <v>1931</v>
      </c>
      <c r="B278" s="138" t="n">
        <v>276</v>
      </c>
      <c r="C278" s="138" t="n">
        <v>277</v>
      </c>
      <c r="D278" s="138" t="n">
        <v>20</v>
      </c>
      <c r="E278" s="138" t="n">
        <v>20</v>
      </c>
      <c r="F278" s="138" t="n">
        <v>20</v>
      </c>
      <c r="G278" s="138" t="n">
        <v>20</v>
      </c>
    </row>
    <row r="279" customFormat="false" ht="15" hidden="false" customHeight="false" outlineLevel="0" collapsed="false">
      <c r="A279" s="138" t="s">
        <v>1932</v>
      </c>
      <c r="B279" s="138" t="n">
        <v>277</v>
      </c>
      <c r="C279" s="138" t="n">
        <v>278</v>
      </c>
      <c r="D279" s="138" t="n">
        <v>20</v>
      </c>
      <c r="E279" s="138" t="n">
        <v>20</v>
      </c>
      <c r="F279" s="138" t="n">
        <v>20</v>
      </c>
      <c r="G279" s="138" t="n">
        <v>20</v>
      </c>
    </row>
    <row r="280" customFormat="false" ht="15" hidden="false" customHeight="false" outlineLevel="0" collapsed="false">
      <c r="A280" s="138" t="s">
        <v>1933</v>
      </c>
      <c r="B280" s="138" t="n">
        <v>278</v>
      </c>
      <c r="C280" s="138" t="n">
        <v>279</v>
      </c>
      <c r="D280" s="138" t="n">
        <v>20</v>
      </c>
      <c r="E280" s="138" t="n">
        <v>20</v>
      </c>
      <c r="F280" s="138" t="n">
        <v>21</v>
      </c>
      <c r="G280" s="138" t="n">
        <v>20</v>
      </c>
    </row>
    <row r="281" customFormat="false" ht="15" hidden="false" customHeight="false" outlineLevel="0" collapsed="false">
      <c r="A281" s="138" t="s">
        <v>1934</v>
      </c>
      <c r="B281" s="138" t="n">
        <v>279</v>
      </c>
      <c r="C281" s="138" t="n">
        <v>280</v>
      </c>
      <c r="D281" s="138" t="n">
        <v>21</v>
      </c>
      <c r="E281" s="138" t="n">
        <v>20</v>
      </c>
      <c r="F281" s="138" t="n">
        <v>21</v>
      </c>
      <c r="G281" s="138" t="n">
        <v>20</v>
      </c>
    </row>
    <row r="282" customFormat="false" ht="15" hidden="false" customHeight="false" outlineLevel="0" collapsed="false">
      <c r="A282" s="138" t="s">
        <v>1935</v>
      </c>
      <c r="B282" s="138" t="n">
        <v>280</v>
      </c>
      <c r="C282" s="138" t="n">
        <v>281</v>
      </c>
      <c r="D282" s="138" t="n">
        <v>21</v>
      </c>
      <c r="E282" s="138" t="n">
        <v>20</v>
      </c>
      <c r="F282" s="138" t="n">
        <v>20</v>
      </c>
      <c r="G282" s="138" t="n">
        <v>20</v>
      </c>
    </row>
    <row r="283" customFormat="false" ht="15" hidden="false" customHeight="false" outlineLevel="0" collapsed="false">
      <c r="A283" s="138" t="s">
        <v>1936</v>
      </c>
      <c r="B283" s="138" t="n">
        <v>281</v>
      </c>
      <c r="C283" s="138" t="n">
        <v>282</v>
      </c>
      <c r="D283" s="138" t="n">
        <v>24</v>
      </c>
      <c r="E283" s="138" t="n">
        <v>20</v>
      </c>
      <c r="F283" s="138" t="n">
        <v>21</v>
      </c>
      <c r="G283" s="138" t="n">
        <v>20</v>
      </c>
    </row>
    <row r="284" customFormat="false" ht="15" hidden="false" customHeight="false" outlineLevel="0" collapsed="false">
      <c r="A284" s="138" t="s">
        <v>1937</v>
      </c>
      <c r="B284" s="138" t="n">
        <v>282</v>
      </c>
      <c r="C284" s="138" t="n">
        <v>283</v>
      </c>
      <c r="D284" s="138" t="n">
        <v>20</v>
      </c>
      <c r="E284" s="138" t="n">
        <v>20</v>
      </c>
      <c r="F284" s="138" t="n">
        <v>20</v>
      </c>
      <c r="G284" s="138" t="n">
        <v>21</v>
      </c>
    </row>
    <row r="285" customFormat="false" ht="15" hidden="false" customHeight="false" outlineLevel="0" collapsed="false">
      <c r="A285" s="138" t="s">
        <v>1938</v>
      </c>
      <c r="B285" s="138" t="n">
        <v>283</v>
      </c>
      <c r="C285" s="138" t="n">
        <v>284</v>
      </c>
      <c r="D285" s="138" t="n">
        <v>20</v>
      </c>
      <c r="E285" s="138" t="n">
        <v>21</v>
      </c>
      <c r="F285" s="138" t="n">
        <v>20</v>
      </c>
      <c r="G285" s="138" t="n">
        <v>20</v>
      </c>
    </row>
    <row r="286" customFormat="false" ht="15" hidden="false" customHeight="false" outlineLevel="0" collapsed="false">
      <c r="A286" s="138" t="s">
        <v>1939</v>
      </c>
      <c r="B286" s="138" t="n">
        <v>284</v>
      </c>
      <c r="C286" s="138" t="n">
        <v>285</v>
      </c>
      <c r="D286" s="138" t="n">
        <v>20</v>
      </c>
      <c r="E286" s="138" t="n">
        <v>20</v>
      </c>
      <c r="F286" s="138" t="n">
        <v>20</v>
      </c>
      <c r="G286" s="138" t="n">
        <v>21</v>
      </c>
    </row>
    <row r="287" customFormat="false" ht="15" hidden="false" customHeight="false" outlineLevel="0" collapsed="false">
      <c r="A287" s="138" t="s">
        <v>1940</v>
      </c>
      <c r="B287" s="138" t="n">
        <v>285</v>
      </c>
      <c r="C287" s="138" t="n">
        <v>286</v>
      </c>
      <c r="D287" s="138" t="n">
        <v>20</v>
      </c>
      <c r="E287" s="138" t="n">
        <v>20</v>
      </c>
      <c r="F287" s="138" t="n">
        <v>20</v>
      </c>
      <c r="G287" s="138" t="n">
        <v>20</v>
      </c>
    </row>
    <row r="288" customFormat="false" ht="15" hidden="false" customHeight="false" outlineLevel="0" collapsed="false">
      <c r="A288" s="138" t="s">
        <v>1941</v>
      </c>
      <c r="B288" s="138" t="n">
        <v>286</v>
      </c>
      <c r="C288" s="138" t="n">
        <v>287</v>
      </c>
      <c r="D288" s="138" t="n">
        <v>23</v>
      </c>
      <c r="E288" s="138" t="n">
        <v>20</v>
      </c>
      <c r="F288" s="138" t="n">
        <v>20</v>
      </c>
      <c r="G288" s="138" t="n">
        <v>20</v>
      </c>
    </row>
    <row r="289" customFormat="false" ht="15" hidden="false" customHeight="false" outlineLevel="0" collapsed="false">
      <c r="A289" s="138" t="s">
        <v>1942</v>
      </c>
      <c r="B289" s="138" t="n">
        <v>287</v>
      </c>
      <c r="C289" s="138" t="n">
        <v>288</v>
      </c>
      <c r="D289" s="138" t="n">
        <v>20</v>
      </c>
      <c r="E289" s="138" t="n">
        <v>20</v>
      </c>
      <c r="F289" s="138" t="n">
        <v>20</v>
      </c>
      <c r="G289" s="138" t="n">
        <v>20</v>
      </c>
    </row>
    <row r="290" customFormat="false" ht="15" hidden="false" customHeight="false" outlineLevel="0" collapsed="false">
      <c r="A290" s="138" t="s">
        <v>1943</v>
      </c>
      <c r="B290" s="138" t="n">
        <v>288</v>
      </c>
      <c r="C290" s="138" t="n">
        <v>289</v>
      </c>
      <c r="D290" s="138" t="n">
        <v>20</v>
      </c>
      <c r="E290" s="138" t="n">
        <v>20</v>
      </c>
      <c r="F290" s="138" t="n">
        <v>20</v>
      </c>
      <c r="G290" s="138" t="n">
        <v>20</v>
      </c>
    </row>
    <row r="291" customFormat="false" ht="15" hidden="false" customHeight="false" outlineLevel="0" collapsed="false">
      <c r="A291" s="138" t="s">
        <v>1944</v>
      </c>
      <c r="B291" s="138" t="n">
        <v>289</v>
      </c>
      <c r="C291" s="138" t="n">
        <v>290</v>
      </c>
      <c r="D291" s="138" t="n">
        <v>24</v>
      </c>
      <c r="E291" s="138" t="n">
        <v>20</v>
      </c>
      <c r="F291" s="138" t="n">
        <v>20</v>
      </c>
      <c r="G291" s="138" t="n">
        <v>23</v>
      </c>
    </row>
    <row r="292" customFormat="false" ht="15" hidden="false" customHeight="false" outlineLevel="0" collapsed="false">
      <c r="A292" s="138" t="s">
        <v>1945</v>
      </c>
      <c r="B292" s="138" t="n">
        <v>290</v>
      </c>
      <c r="C292" s="138" t="n">
        <v>291</v>
      </c>
      <c r="D292" s="138" t="n">
        <v>20</v>
      </c>
      <c r="E292" s="138" t="n">
        <v>20</v>
      </c>
      <c r="F292" s="138" t="n">
        <v>21</v>
      </c>
      <c r="G292" s="138" t="n">
        <v>20</v>
      </c>
    </row>
    <row r="293" customFormat="false" ht="15" hidden="false" customHeight="false" outlineLevel="0" collapsed="false">
      <c r="A293" s="138" t="s">
        <v>1946</v>
      </c>
      <c r="B293" s="138" t="n">
        <v>291</v>
      </c>
      <c r="C293" s="138" t="n">
        <v>292</v>
      </c>
      <c r="D293" s="138" t="n">
        <v>20</v>
      </c>
      <c r="E293" s="138" t="n">
        <v>20</v>
      </c>
      <c r="F293" s="138" t="n">
        <v>20</v>
      </c>
      <c r="G293" s="138" t="n">
        <v>20</v>
      </c>
    </row>
    <row r="294" customFormat="false" ht="15" hidden="false" customHeight="false" outlineLevel="0" collapsed="false">
      <c r="A294" s="138" t="s">
        <v>1947</v>
      </c>
      <c r="B294" s="138" t="n">
        <v>292</v>
      </c>
      <c r="C294" s="138" t="n">
        <v>293</v>
      </c>
      <c r="D294" s="138" t="n">
        <v>20</v>
      </c>
      <c r="E294" s="138" t="n">
        <v>20</v>
      </c>
      <c r="F294" s="138" t="n">
        <v>20</v>
      </c>
      <c r="G294" s="138" t="n">
        <v>20</v>
      </c>
    </row>
    <row r="295" customFormat="false" ht="15" hidden="false" customHeight="false" outlineLevel="0" collapsed="false">
      <c r="A295" s="138" t="s">
        <v>1948</v>
      </c>
      <c r="B295" s="138" t="n">
        <v>293</v>
      </c>
      <c r="C295" s="138" t="n">
        <v>294</v>
      </c>
      <c r="D295" s="138" t="n">
        <v>20</v>
      </c>
      <c r="E295" s="138" t="n">
        <v>20</v>
      </c>
      <c r="F295" s="138" t="n">
        <v>20</v>
      </c>
      <c r="G295" s="138" t="n">
        <v>20</v>
      </c>
    </row>
    <row r="296" customFormat="false" ht="15" hidden="false" customHeight="false" outlineLevel="0" collapsed="false">
      <c r="A296" s="138" t="s">
        <v>1949</v>
      </c>
      <c r="B296" s="138" t="n">
        <v>294</v>
      </c>
      <c r="C296" s="138" t="n">
        <v>295</v>
      </c>
      <c r="D296" s="138" t="n">
        <v>20</v>
      </c>
      <c r="E296" s="138" t="n">
        <v>20</v>
      </c>
      <c r="F296" s="138" t="n">
        <v>20</v>
      </c>
      <c r="G296" s="138" t="n">
        <v>20</v>
      </c>
    </row>
    <row r="297" customFormat="false" ht="15" hidden="false" customHeight="false" outlineLevel="0" collapsed="false">
      <c r="A297" s="138" t="s">
        <v>1950</v>
      </c>
      <c r="B297" s="138" t="n">
        <v>295</v>
      </c>
      <c r="C297" s="138" t="n">
        <v>296</v>
      </c>
      <c r="D297" s="138" t="n">
        <v>21</v>
      </c>
      <c r="E297" s="138" t="n">
        <v>20</v>
      </c>
      <c r="F297" s="138" t="n">
        <v>20</v>
      </c>
      <c r="G297" s="138" t="n">
        <v>21</v>
      </c>
    </row>
    <row r="298" customFormat="false" ht="15" hidden="false" customHeight="false" outlineLevel="0" collapsed="false">
      <c r="A298" s="138" t="s">
        <v>1951</v>
      </c>
      <c r="B298" s="138" t="n">
        <v>296</v>
      </c>
      <c r="C298" s="138" t="n">
        <v>297</v>
      </c>
      <c r="D298" s="138" t="n">
        <v>20</v>
      </c>
      <c r="E298" s="138" t="n">
        <v>20</v>
      </c>
      <c r="F298" s="138" t="n">
        <v>21</v>
      </c>
      <c r="G298" s="138" t="n">
        <v>20</v>
      </c>
    </row>
    <row r="299" customFormat="false" ht="15" hidden="false" customHeight="false" outlineLevel="0" collapsed="false">
      <c r="A299" s="138" t="s">
        <v>1952</v>
      </c>
      <c r="B299" s="138" t="n">
        <v>297</v>
      </c>
      <c r="C299" s="138" t="n">
        <v>298</v>
      </c>
      <c r="D299" s="138" t="n">
        <v>20</v>
      </c>
      <c r="E299" s="138" t="n">
        <v>20</v>
      </c>
      <c r="F299" s="138" t="n">
        <v>20</v>
      </c>
      <c r="G299" s="138" t="n">
        <v>20</v>
      </c>
    </row>
    <row r="300" customFormat="false" ht="15" hidden="false" customHeight="false" outlineLevel="0" collapsed="false">
      <c r="A300" s="138" t="s">
        <v>1953</v>
      </c>
      <c r="B300" s="138" t="n">
        <v>298</v>
      </c>
      <c r="C300" s="138" t="n">
        <v>299</v>
      </c>
      <c r="D300" s="138" t="n">
        <v>20</v>
      </c>
      <c r="E300" s="138" t="n">
        <v>20</v>
      </c>
      <c r="F300" s="138" t="n">
        <v>20</v>
      </c>
      <c r="G300" s="138" t="n">
        <v>20</v>
      </c>
    </row>
    <row r="301" customFormat="false" ht="15" hidden="false" customHeight="false" outlineLevel="0" collapsed="false">
      <c r="A301" s="138" t="s">
        <v>1954</v>
      </c>
      <c r="B301" s="138" t="n">
        <v>299</v>
      </c>
      <c r="C301" s="138" t="n">
        <v>300</v>
      </c>
      <c r="D301" s="138" t="n">
        <v>21</v>
      </c>
      <c r="E301" s="138" t="n">
        <v>20</v>
      </c>
      <c r="F301" s="138" t="n">
        <v>20</v>
      </c>
      <c r="G301" s="138" t="n">
        <v>6</v>
      </c>
    </row>
    <row r="302" customFormat="false" ht="15" hidden="false" customHeight="false" outlineLevel="0" collapsed="false">
      <c r="A302" s="138" t="s">
        <v>1955</v>
      </c>
      <c r="B302" s="138" t="n">
        <v>300</v>
      </c>
      <c r="C302" s="138" t="n">
        <v>301</v>
      </c>
      <c r="D302" s="138" t="n">
        <v>20</v>
      </c>
      <c r="E302" s="138" t="n">
        <v>20</v>
      </c>
      <c r="F302" s="138" t="n">
        <v>20</v>
      </c>
      <c r="G302" s="138" t="n">
        <v>0</v>
      </c>
    </row>
    <row r="303" customFormat="false" ht="15" hidden="false" customHeight="false" outlineLevel="0" collapsed="false">
      <c r="A303" s="138" t="s">
        <v>1956</v>
      </c>
      <c r="B303" s="138" t="n">
        <v>301</v>
      </c>
      <c r="C303" s="138" t="n">
        <v>302</v>
      </c>
      <c r="D303" s="138" t="n">
        <v>21</v>
      </c>
      <c r="E303" s="138" t="n">
        <v>20</v>
      </c>
      <c r="F303" s="138" t="n">
        <v>20</v>
      </c>
      <c r="G303" s="138" t="n">
        <v>0</v>
      </c>
    </row>
    <row r="304" customFormat="false" ht="15" hidden="false" customHeight="false" outlineLevel="0" collapsed="false">
      <c r="A304" s="138" t="s">
        <v>1957</v>
      </c>
      <c r="B304" s="138" t="n">
        <v>302</v>
      </c>
      <c r="C304" s="138" t="n">
        <v>303</v>
      </c>
      <c r="D304" s="138" t="n">
        <v>20</v>
      </c>
      <c r="E304" s="138" t="n">
        <v>20</v>
      </c>
      <c r="F304" s="138" t="n">
        <v>20</v>
      </c>
      <c r="G304" s="138" t="n">
        <v>0</v>
      </c>
    </row>
    <row r="305" customFormat="false" ht="15" hidden="false" customHeight="false" outlineLevel="0" collapsed="false">
      <c r="A305" s="138" t="s">
        <v>1958</v>
      </c>
      <c r="B305" s="138" t="n">
        <v>303</v>
      </c>
      <c r="C305" s="138" t="n">
        <v>304</v>
      </c>
      <c r="D305" s="138" t="n">
        <v>20</v>
      </c>
      <c r="E305" s="138" t="n">
        <v>23</v>
      </c>
      <c r="F305" s="138" t="n">
        <v>20</v>
      </c>
      <c r="G305" s="138" t="n">
        <v>0</v>
      </c>
    </row>
    <row r="306" customFormat="false" ht="15" hidden="false" customHeight="false" outlineLevel="0" collapsed="false">
      <c r="A306" s="138" t="s">
        <v>1959</v>
      </c>
      <c r="B306" s="138" t="n">
        <v>304</v>
      </c>
      <c r="C306" s="138" t="n">
        <v>305</v>
      </c>
      <c r="D306" s="138" t="n">
        <v>20</v>
      </c>
      <c r="E306" s="138" t="n">
        <v>20</v>
      </c>
      <c r="F306" s="138" t="n">
        <v>20</v>
      </c>
      <c r="G306" s="138" t="n">
        <v>0</v>
      </c>
    </row>
    <row r="307" customFormat="false" ht="15" hidden="false" customHeight="false" outlineLevel="0" collapsed="false">
      <c r="A307" s="138" t="s">
        <v>1960</v>
      </c>
      <c r="B307" s="138" t="n">
        <v>305</v>
      </c>
      <c r="C307" s="138" t="n">
        <v>306</v>
      </c>
      <c r="D307" s="138" t="n">
        <v>20</v>
      </c>
      <c r="E307" s="138" t="n">
        <v>20</v>
      </c>
      <c r="F307" s="138" t="n">
        <v>20</v>
      </c>
      <c r="G307" s="138" t="n">
        <v>0</v>
      </c>
    </row>
    <row r="308" customFormat="false" ht="15" hidden="false" customHeight="false" outlineLevel="0" collapsed="false">
      <c r="A308" s="138" t="s">
        <v>1961</v>
      </c>
      <c r="B308" s="138" t="n">
        <v>306</v>
      </c>
      <c r="C308" s="138" t="n">
        <v>307</v>
      </c>
      <c r="D308" s="138" t="n">
        <v>20</v>
      </c>
      <c r="E308" s="138" t="n">
        <v>20</v>
      </c>
      <c r="F308" s="138" t="n">
        <v>20</v>
      </c>
      <c r="G308" s="138" t="n">
        <v>0</v>
      </c>
    </row>
    <row r="309" customFormat="false" ht="15" hidden="false" customHeight="false" outlineLevel="0" collapsed="false">
      <c r="A309" s="138" t="s">
        <v>1962</v>
      </c>
      <c r="B309" s="138" t="n">
        <v>307</v>
      </c>
      <c r="C309" s="138" t="n">
        <v>308</v>
      </c>
      <c r="D309" s="138" t="n">
        <v>25</v>
      </c>
      <c r="E309" s="138" t="n">
        <v>20</v>
      </c>
      <c r="F309" s="138" t="n">
        <v>20</v>
      </c>
      <c r="G309" s="138" t="n">
        <v>0</v>
      </c>
    </row>
    <row r="310" customFormat="false" ht="15" hidden="false" customHeight="false" outlineLevel="0" collapsed="false">
      <c r="A310" s="138" t="s">
        <v>1963</v>
      </c>
      <c r="B310" s="138" t="n">
        <v>308</v>
      </c>
      <c r="C310" s="138" t="n">
        <v>309</v>
      </c>
      <c r="D310" s="138" t="n">
        <v>21</v>
      </c>
      <c r="E310" s="138" t="n">
        <v>20</v>
      </c>
      <c r="F310" s="138" t="n">
        <v>21</v>
      </c>
      <c r="G310" s="138" t="n">
        <v>0</v>
      </c>
    </row>
    <row r="311" customFormat="false" ht="15" hidden="false" customHeight="false" outlineLevel="0" collapsed="false">
      <c r="A311" s="138" t="s">
        <v>1964</v>
      </c>
      <c r="B311" s="138" t="n">
        <v>309</v>
      </c>
      <c r="C311" s="138" t="n">
        <v>310</v>
      </c>
      <c r="D311" s="138" t="n">
        <v>20</v>
      </c>
      <c r="E311" s="138" t="n">
        <v>20</v>
      </c>
      <c r="F311" s="138" t="n">
        <v>22</v>
      </c>
      <c r="G311" s="138" t="n">
        <v>0</v>
      </c>
    </row>
    <row r="312" customFormat="false" ht="15" hidden="false" customHeight="false" outlineLevel="0" collapsed="false">
      <c r="A312" s="138" t="s">
        <v>1965</v>
      </c>
      <c r="B312" s="138" t="n">
        <v>310</v>
      </c>
      <c r="C312" s="138" t="n">
        <v>311</v>
      </c>
      <c r="D312" s="138" t="n">
        <v>19</v>
      </c>
      <c r="E312" s="138" t="n">
        <v>23</v>
      </c>
      <c r="F312" s="138" t="n">
        <v>20</v>
      </c>
      <c r="G312" s="138" t="n">
        <v>0</v>
      </c>
    </row>
    <row r="313" customFormat="false" ht="15" hidden="false" customHeight="false" outlineLevel="0" collapsed="false">
      <c r="A313" s="138" t="s">
        <v>1966</v>
      </c>
      <c r="B313" s="138" t="n">
        <v>311</v>
      </c>
      <c r="C313" s="138" t="n">
        <v>312</v>
      </c>
      <c r="D313" s="138" t="n">
        <v>37</v>
      </c>
      <c r="E313" s="138" t="n">
        <v>15</v>
      </c>
      <c r="F313" s="138" t="n">
        <v>22</v>
      </c>
      <c r="G313" s="138" t="n">
        <v>0</v>
      </c>
    </row>
    <row r="314" customFormat="false" ht="15" hidden="false" customHeight="false" outlineLevel="0" collapsed="false">
      <c r="A314" s="138" t="s">
        <v>1967</v>
      </c>
      <c r="B314" s="138" t="n">
        <v>312</v>
      </c>
      <c r="C314" s="138" t="n">
        <v>313</v>
      </c>
      <c r="D314" s="138" t="n">
        <v>31</v>
      </c>
      <c r="E314" s="138" t="n">
        <v>7</v>
      </c>
      <c r="F314" s="138" t="n">
        <v>30</v>
      </c>
      <c r="G314" s="138" t="n">
        <v>11</v>
      </c>
    </row>
    <row r="315" customFormat="false" ht="15" hidden="false" customHeight="false" outlineLevel="0" collapsed="false">
      <c r="A315" s="138" t="s">
        <v>1969</v>
      </c>
      <c r="B315" s="138" t="n">
        <v>313</v>
      </c>
      <c r="C315" s="138" t="n">
        <v>314</v>
      </c>
      <c r="D315" s="138" t="n">
        <v>18</v>
      </c>
      <c r="E315" s="138" t="n">
        <v>22</v>
      </c>
      <c r="F315" s="138" t="n">
        <v>20</v>
      </c>
      <c r="G315" s="138" t="n">
        <v>21</v>
      </c>
    </row>
    <row r="316" customFormat="false" ht="15" hidden="false" customHeight="false" outlineLevel="0" collapsed="false">
      <c r="A316" s="138" t="s">
        <v>1970</v>
      </c>
      <c r="B316" s="138" t="n">
        <v>314</v>
      </c>
      <c r="C316" s="138" t="n">
        <v>315</v>
      </c>
      <c r="D316" s="138" t="n">
        <v>20</v>
      </c>
      <c r="E316" s="138" t="n">
        <v>21</v>
      </c>
      <c r="F316" s="138" t="n">
        <v>20</v>
      </c>
      <c r="G316" s="138" t="n">
        <v>21</v>
      </c>
    </row>
    <row r="317" customFormat="false" ht="15" hidden="false" customHeight="false" outlineLevel="0" collapsed="false">
      <c r="A317" s="138" t="s">
        <v>1971</v>
      </c>
      <c r="B317" s="138" t="n">
        <v>315</v>
      </c>
      <c r="C317" s="138" t="n">
        <v>316</v>
      </c>
      <c r="D317" s="138" t="n">
        <v>20</v>
      </c>
      <c r="E317" s="138" t="n">
        <v>41</v>
      </c>
      <c r="F317" s="138" t="n">
        <v>20</v>
      </c>
      <c r="G317" s="138" t="n">
        <v>33</v>
      </c>
    </row>
    <row r="318" customFormat="false" ht="15" hidden="false" customHeight="false" outlineLevel="0" collapsed="false">
      <c r="A318" s="138" t="s">
        <v>1972</v>
      </c>
      <c r="B318" s="138" t="n">
        <v>316</v>
      </c>
      <c r="C318" s="138" t="n">
        <v>317</v>
      </c>
      <c r="D318" s="138" t="n">
        <v>20</v>
      </c>
      <c r="E318" s="138" t="n">
        <v>50</v>
      </c>
      <c r="F318" s="138" t="n">
        <v>20</v>
      </c>
      <c r="G318" s="138" t="n">
        <v>65</v>
      </c>
    </row>
    <row r="319" customFormat="false" ht="15" hidden="false" customHeight="false" outlineLevel="0" collapsed="false">
      <c r="A319" s="138" t="s">
        <v>1973</v>
      </c>
      <c r="B319" s="138" t="n">
        <v>317</v>
      </c>
      <c r="C319" s="138" t="n">
        <v>318</v>
      </c>
      <c r="D319" s="138" t="n">
        <v>20</v>
      </c>
      <c r="E319" s="138" t="n">
        <v>21</v>
      </c>
      <c r="F319" s="138" t="n">
        <v>20</v>
      </c>
      <c r="G319" s="138" t="n">
        <v>21</v>
      </c>
    </row>
    <row r="320" customFormat="false" ht="15" hidden="false" customHeight="false" outlineLevel="0" collapsed="false">
      <c r="A320" s="138" t="s">
        <v>1975</v>
      </c>
      <c r="B320" s="138" t="n">
        <v>318</v>
      </c>
      <c r="C320" s="138" t="n">
        <v>319</v>
      </c>
      <c r="D320" s="138" t="n">
        <v>23</v>
      </c>
      <c r="E320" s="138" t="n">
        <v>20</v>
      </c>
      <c r="F320" s="138" t="n">
        <v>21</v>
      </c>
      <c r="G320" s="138" t="n">
        <v>21</v>
      </c>
    </row>
    <row r="321" customFormat="false" ht="15" hidden="false" customHeight="false" outlineLevel="0" collapsed="false">
      <c r="A321" s="138" t="s">
        <v>1569</v>
      </c>
      <c r="B321" s="138" t="n">
        <v>319</v>
      </c>
      <c r="C321" s="138" t="n">
        <v>320</v>
      </c>
      <c r="D321" s="138" t="n">
        <v>21</v>
      </c>
      <c r="E321" s="138" t="n">
        <v>20</v>
      </c>
      <c r="F321" s="138" t="n">
        <v>21</v>
      </c>
      <c r="G321" s="138" t="n">
        <v>21</v>
      </c>
    </row>
    <row r="322" customFormat="false" ht="15" hidden="false" customHeight="false" outlineLevel="0" collapsed="false">
      <c r="A322" s="138" t="s">
        <v>1976</v>
      </c>
      <c r="B322" s="138" t="n">
        <v>320</v>
      </c>
      <c r="C322" s="138" t="n">
        <v>321</v>
      </c>
      <c r="D322" s="138" t="n">
        <v>20</v>
      </c>
      <c r="E322" s="138" t="n">
        <v>20</v>
      </c>
      <c r="F322" s="138" t="n">
        <v>20</v>
      </c>
      <c r="G322" s="138" t="n">
        <v>21</v>
      </c>
    </row>
    <row r="323" customFormat="false" ht="15" hidden="false" customHeight="false" outlineLevel="0" collapsed="false">
      <c r="A323" s="138" t="s">
        <v>1977</v>
      </c>
      <c r="B323" s="138" t="n">
        <v>321</v>
      </c>
      <c r="C323" s="138" t="n">
        <v>322</v>
      </c>
      <c r="D323" s="138" t="n">
        <v>20</v>
      </c>
      <c r="E323" s="138" t="n">
        <v>28</v>
      </c>
      <c r="F323" s="138" t="n">
        <v>20</v>
      </c>
      <c r="G323" s="138" t="n">
        <v>20</v>
      </c>
    </row>
    <row r="324" customFormat="false" ht="15" hidden="false" customHeight="false" outlineLevel="0" collapsed="false">
      <c r="A324" s="138" t="s">
        <v>1978</v>
      </c>
      <c r="B324" s="138" t="n">
        <v>322</v>
      </c>
      <c r="C324" s="138" t="n">
        <v>323</v>
      </c>
      <c r="D324" s="138" t="n">
        <v>36</v>
      </c>
      <c r="E324" s="138" t="n">
        <v>31</v>
      </c>
      <c r="F324" s="138" t="n">
        <v>7</v>
      </c>
      <c r="G324" s="138" t="n">
        <v>22</v>
      </c>
    </row>
    <row r="325" customFormat="false" ht="15" hidden="false" customHeight="false" outlineLevel="0" collapsed="false">
      <c r="A325" s="138" t="s">
        <v>1979</v>
      </c>
      <c r="B325" s="138" t="n">
        <v>323</v>
      </c>
      <c r="C325" s="138" t="n">
        <v>324</v>
      </c>
      <c r="D325" s="138" t="n">
        <v>29</v>
      </c>
      <c r="E325" s="138" t="n">
        <v>30</v>
      </c>
      <c r="F325" s="138" t="n">
        <v>7</v>
      </c>
      <c r="G325" s="138" t="n">
        <v>5</v>
      </c>
    </row>
    <row r="326" customFormat="false" ht="15" hidden="false" customHeight="false" outlineLevel="0" collapsed="false">
      <c r="A326" s="138" t="s">
        <v>1980</v>
      </c>
      <c r="B326" s="138" t="n">
        <v>324</v>
      </c>
      <c r="C326" s="138" t="n">
        <v>325</v>
      </c>
      <c r="D326" s="138" t="n">
        <v>0</v>
      </c>
      <c r="E326" s="138" t="n">
        <v>20</v>
      </c>
      <c r="F326" s="138" t="n">
        <v>15</v>
      </c>
      <c r="G326" s="138" t="n">
        <v>0</v>
      </c>
    </row>
    <row r="327" customFormat="false" ht="15" hidden="false" customHeight="false" outlineLevel="0" collapsed="false">
      <c r="A327" s="138" t="s">
        <v>1981</v>
      </c>
      <c r="B327" s="138" t="n">
        <v>325</v>
      </c>
      <c r="C327" s="138" t="n">
        <v>326</v>
      </c>
      <c r="D327" s="138" t="n">
        <v>27</v>
      </c>
      <c r="E327" s="138" t="n">
        <v>20</v>
      </c>
      <c r="F327" s="138" t="n">
        <v>22</v>
      </c>
      <c r="G327" s="138" t="n">
        <v>0</v>
      </c>
    </row>
    <row r="328" customFormat="false" ht="15" hidden="false" customHeight="false" outlineLevel="0" collapsed="false">
      <c r="A328" s="138" t="s">
        <v>1984</v>
      </c>
      <c r="B328" s="138" t="n">
        <v>326</v>
      </c>
      <c r="C328" s="138" t="n">
        <v>327</v>
      </c>
      <c r="D328" s="138" t="n">
        <v>45</v>
      </c>
      <c r="E328" s="138" t="n">
        <v>20</v>
      </c>
      <c r="F328" s="138" t="n">
        <v>30</v>
      </c>
      <c r="G328" s="138" t="n">
        <v>0</v>
      </c>
    </row>
    <row r="329" customFormat="false" ht="15" hidden="false" customHeight="false" outlineLevel="0" collapsed="false">
      <c r="A329" s="138" t="s">
        <v>1986</v>
      </c>
      <c r="B329" s="138" t="n">
        <v>327</v>
      </c>
      <c r="C329" s="138" t="n">
        <v>328</v>
      </c>
      <c r="D329" s="138" t="n">
        <v>25</v>
      </c>
      <c r="E329" s="138" t="n">
        <v>20</v>
      </c>
      <c r="F329" s="138" t="n">
        <v>0</v>
      </c>
      <c r="G329" s="138" t="n">
        <v>0</v>
      </c>
    </row>
    <row r="330" customFormat="false" ht="15" hidden="false" customHeight="false" outlineLevel="0" collapsed="false">
      <c r="A330" s="138" t="s">
        <v>1988</v>
      </c>
      <c r="B330" s="138" t="n">
        <v>328</v>
      </c>
      <c r="C330" s="138" t="n">
        <v>329</v>
      </c>
      <c r="D330" s="138" t="n">
        <v>20</v>
      </c>
      <c r="E330" s="138" t="n">
        <v>20</v>
      </c>
      <c r="F330" s="138" t="n">
        <v>0</v>
      </c>
      <c r="G330" s="138" t="n">
        <v>0</v>
      </c>
    </row>
    <row r="331" customFormat="false" ht="15" hidden="false" customHeight="false" outlineLevel="0" collapsed="false">
      <c r="A331" s="138" t="s">
        <v>1989</v>
      </c>
      <c r="B331" s="138" t="n">
        <v>329</v>
      </c>
      <c r="C331" s="138" t="n">
        <v>330</v>
      </c>
      <c r="D331" s="138" t="n">
        <v>19</v>
      </c>
      <c r="E331" s="138" t="n">
        <v>20</v>
      </c>
      <c r="F331" s="138" t="n">
        <v>0</v>
      </c>
      <c r="G331" s="138" t="n">
        <v>0</v>
      </c>
    </row>
    <row r="332" customFormat="false" ht="15" hidden="false" customHeight="false" outlineLevel="0" collapsed="false">
      <c r="A332" s="138" t="s">
        <v>1990</v>
      </c>
      <c r="B332" s="138" t="n">
        <v>330</v>
      </c>
      <c r="C332" s="138" t="n">
        <v>331</v>
      </c>
      <c r="D332" s="138" t="n">
        <v>19</v>
      </c>
      <c r="E332" s="138" t="n">
        <v>20</v>
      </c>
      <c r="F332" s="138" t="n">
        <v>0</v>
      </c>
      <c r="G332" s="138" t="n">
        <v>0</v>
      </c>
    </row>
    <row r="333" customFormat="false" ht="15" hidden="false" customHeight="false" outlineLevel="0" collapsed="false">
      <c r="A333" s="138" t="s">
        <v>1991</v>
      </c>
      <c r="B333" s="138" t="n">
        <v>331</v>
      </c>
      <c r="C333" s="138" t="n">
        <v>332</v>
      </c>
      <c r="D333" s="138" t="n">
        <v>23</v>
      </c>
      <c r="E333" s="138" t="n">
        <v>20</v>
      </c>
      <c r="F333" s="138" t="n">
        <v>0</v>
      </c>
      <c r="G333" s="138" t="n">
        <v>0</v>
      </c>
    </row>
    <row r="334" customFormat="false" ht="15" hidden="false" customHeight="false" outlineLevel="0" collapsed="false">
      <c r="A334" s="138" t="s">
        <v>1573</v>
      </c>
      <c r="B334" s="138" t="n">
        <v>332</v>
      </c>
      <c r="C334" s="138" t="n">
        <v>333</v>
      </c>
      <c r="D334" s="138" t="n">
        <v>20</v>
      </c>
      <c r="E334" s="138" t="n">
        <v>25</v>
      </c>
      <c r="F334" s="138" t="n">
        <v>0</v>
      </c>
      <c r="G334" s="138" t="n">
        <v>0</v>
      </c>
    </row>
    <row r="335" customFormat="false" ht="15" hidden="false" customHeight="false" outlineLevel="0" collapsed="false">
      <c r="A335" s="138" t="s">
        <v>1992</v>
      </c>
      <c r="B335" s="138" t="n">
        <v>333</v>
      </c>
      <c r="C335" s="138" t="n">
        <v>334</v>
      </c>
      <c r="D335" s="138" t="n">
        <v>20</v>
      </c>
      <c r="E335" s="138" t="n">
        <v>24</v>
      </c>
      <c r="F335" s="138" t="n">
        <v>0</v>
      </c>
      <c r="G335" s="138" t="n">
        <v>0</v>
      </c>
    </row>
    <row r="336" customFormat="false" ht="15" hidden="false" customHeight="false" outlineLevel="0" collapsed="false">
      <c r="A336" s="138" t="s">
        <v>1993</v>
      </c>
      <c r="B336" s="138" t="n">
        <v>334</v>
      </c>
      <c r="C336" s="138" t="n">
        <v>335</v>
      </c>
      <c r="D336" s="138" t="n">
        <v>29</v>
      </c>
      <c r="E336" s="138" t="n">
        <v>21</v>
      </c>
      <c r="F336" s="138" t="n">
        <v>0</v>
      </c>
      <c r="G336" s="138" t="n">
        <v>0</v>
      </c>
    </row>
    <row r="337" customFormat="false" ht="15" hidden="false" customHeight="false" outlineLevel="0" collapsed="false">
      <c r="A337" s="138" t="s">
        <v>1995</v>
      </c>
      <c r="B337" s="138" t="n">
        <v>335</v>
      </c>
      <c r="C337" s="138" t="n">
        <v>336</v>
      </c>
      <c r="D337" s="138" t="n">
        <v>20</v>
      </c>
      <c r="E337" s="138" t="n">
        <v>20</v>
      </c>
      <c r="F337" s="138" t="n">
        <v>0</v>
      </c>
      <c r="G337" s="138" t="n">
        <v>0</v>
      </c>
    </row>
    <row r="338" customFormat="false" ht="15" hidden="false" customHeight="false" outlineLevel="0" collapsed="false">
      <c r="A338" s="138" t="s">
        <v>1996</v>
      </c>
      <c r="B338" s="138" t="n">
        <v>336</v>
      </c>
      <c r="C338" s="138" t="n">
        <v>337</v>
      </c>
      <c r="D338" s="138" t="n">
        <v>20</v>
      </c>
      <c r="E338" s="138" t="n">
        <v>20</v>
      </c>
      <c r="F338" s="138" t="n">
        <v>0</v>
      </c>
      <c r="G338" s="138" t="n">
        <v>0</v>
      </c>
    </row>
    <row r="339" customFormat="false" ht="15" hidden="false" customHeight="false" outlineLevel="0" collapsed="false">
      <c r="A339" s="138" t="s">
        <v>1997</v>
      </c>
      <c r="B339" s="138" t="n">
        <v>337</v>
      </c>
      <c r="C339" s="138" t="n">
        <v>338</v>
      </c>
      <c r="D339" s="138" t="n">
        <v>21</v>
      </c>
      <c r="E339" s="138" t="n">
        <v>20</v>
      </c>
      <c r="F339" s="138" t="n">
        <v>0</v>
      </c>
      <c r="G339" s="138" t="n">
        <v>0</v>
      </c>
    </row>
    <row r="340" customFormat="false" ht="15" hidden="false" customHeight="false" outlineLevel="0" collapsed="false">
      <c r="A340" s="138" t="s">
        <v>1998</v>
      </c>
      <c r="B340" s="138" t="n">
        <v>338</v>
      </c>
      <c r="C340" s="138" t="n">
        <v>339</v>
      </c>
      <c r="D340" s="138" t="n">
        <v>20</v>
      </c>
      <c r="E340" s="138" t="n">
        <v>20</v>
      </c>
      <c r="F340" s="138" t="n">
        <v>0</v>
      </c>
      <c r="G340" s="138" t="n">
        <v>0</v>
      </c>
    </row>
    <row r="341" customFormat="false" ht="15" hidden="false" customHeight="false" outlineLevel="0" collapsed="false">
      <c r="A341" s="138" t="s">
        <v>1999</v>
      </c>
      <c r="B341" s="138" t="n">
        <v>339</v>
      </c>
      <c r="C341" s="138" t="n">
        <v>340</v>
      </c>
      <c r="D341" s="138" t="n">
        <v>20</v>
      </c>
      <c r="E341" s="138" t="n">
        <v>23</v>
      </c>
      <c r="F341" s="138" t="n">
        <v>0</v>
      </c>
      <c r="G341" s="138" t="n">
        <v>0</v>
      </c>
    </row>
    <row r="342" customFormat="false" ht="15" hidden="false" customHeight="false" outlineLevel="0" collapsed="false">
      <c r="A342" s="138" t="s">
        <v>2000</v>
      </c>
      <c r="B342" s="138" t="n">
        <v>340</v>
      </c>
      <c r="C342" s="138" t="n">
        <v>341</v>
      </c>
      <c r="D342" s="138" t="n">
        <v>21</v>
      </c>
      <c r="E342" s="138" t="n">
        <v>20</v>
      </c>
      <c r="F342" s="138" t="n">
        <v>0</v>
      </c>
      <c r="G342" s="138" t="n">
        <v>0</v>
      </c>
    </row>
    <row r="343" customFormat="false" ht="15" hidden="false" customHeight="false" outlineLevel="0" collapsed="false">
      <c r="A343" s="138" t="s">
        <v>2001</v>
      </c>
      <c r="B343" s="138" t="n">
        <v>341</v>
      </c>
      <c r="C343" s="138" t="n">
        <v>342</v>
      </c>
      <c r="D343" s="138" t="n">
        <v>20</v>
      </c>
      <c r="E343" s="138" t="n">
        <v>21</v>
      </c>
      <c r="F343" s="138" t="n">
        <v>0</v>
      </c>
      <c r="G343" s="138" t="n">
        <v>0</v>
      </c>
    </row>
    <row r="344" customFormat="false" ht="15" hidden="false" customHeight="false" outlineLevel="0" collapsed="false">
      <c r="A344" s="138" t="s">
        <v>2002</v>
      </c>
      <c r="B344" s="138" t="n">
        <v>342</v>
      </c>
      <c r="C344" s="138" t="n">
        <v>343</v>
      </c>
      <c r="D344" s="138" t="n">
        <v>20</v>
      </c>
      <c r="E344" s="138" t="n">
        <v>20</v>
      </c>
      <c r="F344" s="138" t="n">
        <v>0</v>
      </c>
      <c r="G344" s="138" t="n">
        <v>0</v>
      </c>
    </row>
    <row r="345" customFormat="false" ht="15" hidden="false" customHeight="false" outlineLevel="0" collapsed="false">
      <c r="A345" s="138" t="s">
        <v>2003</v>
      </c>
      <c r="B345" s="138" t="n">
        <v>343</v>
      </c>
      <c r="C345" s="138" t="n">
        <v>344</v>
      </c>
      <c r="D345" s="138" t="n">
        <v>21</v>
      </c>
      <c r="E345" s="138" t="n">
        <v>20</v>
      </c>
      <c r="F345" s="138" t="n">
        <v>0</v>
      </c>
      <c r="G345" s="138" t="n">
        <v>0</v>
      </c>
    </row>
    <row r="346" customFormat="false" ht="15" hidden="false" customHeight="false" outlineLevel="0" collapsed="false">
      <c r="A346" s="138" t="s">
        <v>2004</v>
      </c>
      <c r="B346" s="138" t="n">
        <v>344</v>
      </c>
      <c r="C346" s="138" t="n">
        <v>345</v>
      </c>
      <c r="D346" s="138" t="n">
        <v>20</v>
      </c>
      <c r="E346" s="138" t="n">
        <v>20</v>
      </c>
      <c r="F346" s="138" t="n">
        <v>0</v>
      </c>
      <c r="G346" s="138" t="n">
        <v>0</v>
      </c>
    </row>
    <row r="347" customFormat="false" ht="15" hidden="false" customHeight="false" outlineLevel="0" collapsed="false">
      <c r="A347" s="138" t="s">
        <v>2005</v>
      </c>
      <c r="B347" s="138" t="n">
        <v>345</v>
      </c>
      <c r="C347" s="138" t="n">
        <v>346</v>
      </c>
      <c r="D347" s="138" t="n">
        <v>20</v>
      </c>
      <c r="E347" s="138" t="n">
        <v>21</v>
      </c>
      <c r="F347" s="138" t="n">
        <v>0</v>
      </c>
      <c r="G347" s="138" t="n">
        <v>0</v>
      </c>
    </row>
    <row r="348" customFormat="false" ht="15" hidden="false" customHeight="false" outlineLevel="0" collapsed="false">
      <c r="A348" s="138" t="s">
        <v>2006</v>
      </c>
      <c r="B348" s="138" t="n">
        <v>346</v>
      </c>
      <c r="C348" s="138" t="n">
        <v>347</v>
      </c>
      <c r="D348" s="138" t="n">
        <v>20</v>
      </c>
      <c r="E348" s="138" t="n">
        <v>20</v>
      </c>
      <c r="F348" s="138" t="n">
        <v>0</v>
      </c>
      <c r="G348" s="138" t="n">
        <v>0</v>
      </c>
    </row>
    <row r="349" customFormat="false" ht="15" hidden="false" customHeight="false" outlineLevel="0" collapsed="false">
      <c r="A349" s="138" t="s">
        <v>2007</v>
      </c>
      <c r="B349" s="138" t="n">
        <v>347</v>
      </c>
      <c r="C349" s="138" t="n">
        <v>348</v>
      </c>
      <c r="D349" s="138" t="n">
        <v>20</v>
      </c>
      <c r="E349" s="138" t="n">
        <v>20</v>
      </c>
      <c r="F349" s="138" t="n">
        <v>0</v>
      </c>
      <c r="G349" s="138" t="n">
        <v>0</v>
      </c>
    </row>
    <row r="350" customFormat="false" ht="15" hidden="false" customHeight="false" outlineLevel="0" collapsed="false">
      <c r="A350" s="138" t="s">
        <v>2008</v>
      </c>
      <c r="B350" s="138" t="n">
        <v>348</v>
      </c>
      <c r="C350" s="138" t="n">
        <v>349</v>
      </c>
      <c r="D350" s="138" t="n">
        <v>20</v>
      </c>
      <c r="E350" s="138" t="n">
        <v>21</v>
      </c>
      <c r="F350" s="138" t="n">
        <v>0</v>
      </c>
      <c r="G350" s="138" t="n">
        <v>0</v>
      </c>
    </row>
    <row r="351" customFormat="false" ht="15" hidden="false" customHeight="false" outlineLevel="0" collapsed="false">
      <c r="A351" s="138" t="s">
        <v>2009</v>
      </c>
      <c r="B351" s="138" t="n">
        <v>349</v>
      </c>
      <c r="C351" s="138" t="n">
        <v>350</v>
      </c>
      <c r="D351" s="138" t="n">
        <v>20</v>
      </c>
      <c r="E351" s="138" t="n">
        <v>1</v>
      </c>
      <c r="F351" s="138" t="n">
        <v>0</v>
      </c>
      <c r="G351" s="138" t="n">
        <v>0</v>
      </c>
    </row>
    <row r="352" customFormat="false" ht="15" hidden="false" customHeight="false" outlineLevel="0" collapsed="false">
      <c r="A352" s="138" t="s">
        <v>2010</v>
      </c>
      <c r="B352" s="138" t="n">
        <v>350</v>
      </c>
      <c r="C352" s="138" t="n">
        <v>351</v>
      </c>
      <c r="D352" s="138" t="n">
        <v>21</v>
      </c>
      <c r="E352" s="138" t="n">
        <v>8</v>
      </c>
      <c r="F352" s="138" t="n">
        <v>0</v>
      </c>
      <c r="G352" s="138" t="n">
        <v>0</v>
      </c>
    </row>
    <row r="353" customFormat="false" ht="15" hidden="false" customHeight="false" outlineLevel="0" collapsed="false">
      <c r="A353" s="138" t="s">
        <v>2011</v>
      </c>
      <c r="B353" s="138" t="n">
        <v>351</v>
      </c>
      <c r="C353" s="138" t="n">
        <v>352</v>
      </c>
      <c r="D353" s="138" t="n">
        <v>20</v>
      </c>
      <c r="E353" s="138" t="n">
        <v>20</v>
      </c>
      <c r="F353" s="138" t="n">
        <v>0</v>
      </c>
      <c r="G353" s="138" t="n">
        <v>0</v>
      </c>
    </row>
    <row r="354" customFormat="false" ht="15" hidden="false" customHeight="false" outlineLevel="0" collapsed="false">
      <c r="A354" s="138" t="s">
        <v>2012</v>
      </c>
      <c r="B354" s="138" t="n">
        <v>352</v>
      </c>
      <c r="C354" s="138" t="n">
        <v>353</v>
      </c>
      <c r="D354" s="138" t="n">
        <v>21</v>
      </c>
      <c r="E354" s="138" t="n">
        <v>20</v>
      </c>
      <c r="F354" s="138" t="n">
        <v>0</v>
      </c>
      <c r="G354" s="138" t="n">
        <v>0</v>
      </c>
    </row>
    <row r="355" customFormat="false" ht="15" hidden="false" customHeight="false" outlineLevel="0" collapsed="false">
      <c r="A355" s="138" t="s">
        <v>2013</v>
      </c>
      <c r="B355" s="138" t="n">
        <v>353</v>
      </c>
      <c r="C355" s="138" t="n">
        <v>354</v>
      </c>
      <c r="D355" s="138" t="n">
        <v>20</v>
      </c>
      <c r="E355" s="138" t="n">
        <v>23</v>
      </c>
      <c r="F355" s="138" t="n">
        <v>0</v>
      </c>
      <c r="G355" s="138" t="n">
        <v>0</v>
      </c>
    </row>
    <row r="356" customFormat="false" ht="15" hidden="false" customHeight="false" outlineLevel="0" collapsed="false">
      <c r="A356" s="138" t="s">
        <v>2014</v>
      </c>
      <c r="B356" s="138" t="n">
        <v>354</v>
      </c>
      <c r="C356" s="138" t="n">
        <v>355</v>
      </c>
      <c r="D356" s="138" t="n">
        <v>20</v>
      </c>
      <c r="E356" s="138" t="n">
        <v>21</v>
      </c>
      <c r="F356" s="138" t="n">
        <v>0</v>
      </c>
      <c r="G356" s="138" t="n">
        <v>0</v>
      </c>
    </row>
    <row r="357" customFormat="false" ht="15" hidden="false" customHeight="false" outlineLevel="0" collapsed="false">
      <c r="A357" s="138" t="s">
        <v>2015</v>
      </c>
      <c r="B357" s="138" t="n">
        <v>355</v>
      </c>
      <c r="C357" s="138" t="n">
        <v>356</v>
      </c>
      <c r="D357" s="138" t="n">
        <v>20</v>
      </c>
      <c r="E357" s="138" t="n">
        <v>21</v>
      </c>
      <c r="F357" s="138" t="n">
        <v>0</v>
      </c>
      <c r="G357" s="138" t="n">
        <v>0</v>
      </c>
    </row>
    <row r="358" customFormat="false" ht="15" hidden="false" customHeight="false" outlineLevel="0" collapsed="false">
      <c r="A358" s="138" t="s">
        <v>2016</v>
      </c>
      <c r="B358" s="138" t="n">
        <v>356</v>
      </c>
      <c r="C358" s="138" t="n">
        <v>357</v>
      </c>
      <c r="D358" s="138" t="n">
        <v>27</v>
      </c>
      <c r="E358" s="138" t="n">
        <v>21</v>
      </c>
      <c r="F358" s="138" t="n">
        <v>0</v>
      </c>
      <c r="G358" s="138" t="n">
        <v>0</v>
      </c>
    </row>
    <row r="359" customFormat="false" ht="15" hidden="false" customHeight="false" outlineLevel="0" collapsed="false">
      <c r="A359" s="138" t="s">
        <v>2017</v>
      </c>
      <c r="B359" s="138" t="n">
        <v>357</v>
      </c>
      <c r="C359" s="138" t="n">
        <v>358</v>
      </c>
      <c r="D359" s="138" t="n">
        <v>25</v>
      </c>
      <c r="E359" s="138" t="n">
        <v>28</v>
      </c>
      <c r="F359" s="138" t="n">
        <v>0</v>
      </c>
      <c r="G359" s="138" t="n">
        <v>0</v>
      </c>
    </row>
    <row r="360" customFormat="false" ht="15" hidden="false" customHeight="false" outlineLevel="0" collapsed="false">
      <c r="A360" s="138" t="s">
        <v>2018</v>
      </c>
      <c r="B360" s="138" t="n">
        <v>358</v>
      </c>
      <c r="C360" s="138" t="n">
        <v>359</v>
      </c>
      <c r="D360" s="138" t="n">
        <v>16</v>
      </c>
      <c r="E360" s="138" t="n">
        <v>20</v>
      </c>
      <c r="F360" s="138" t="n">
        <v>0</v>
      </c>
      <c r="G360" s="138" t="n">
        <v>0</v>
      </c>
    </row>
    <row r="361" customFormat="false" ht="15" hidden="false" customHeight="false" outlineLevel="0" collapsed="false">
      <c r="A361" s="138" t="s">
        <v>2019</v>
      </c>
      <c r="B361" s="138" t="n">
        <v>359</v>
      </c>
      <c r="C361" s="138" t="n">
        <v>360</v>
      </c>
      <c r="D361" s="138" t="n">
        <v>13</v>
      </c>
      <c r="E361" s="138" t="n">
        <v>47</v>
      </c>
      <c r="F361" s="138" t="n">
        <v>0</v>
      </c>
      <c r="G361" s="138" t="n">
        <v>0</v>
      </c>
    </row>
    <row r="362" customFormat="false" ht="15" hidden="false" customHeight="false" outlineLevel="0" collapsed="false">
      <c r="A362" s="138" t="s">
        <v>2021</v>
      </c>
      <c r="B362" s="138" t="n">
        <v>360</v>
      </c>
      <c r="C362" s="138" t="n">
        <v>361</v>
      </c>
      <c r="D362" s="138" t="n">
        <v>20</v>
      </c>
      <c r="E362" s="138" t="n">
        <v>26</v>
      </c>
      <c r="F362" s="138" t="n">
        <v>0</v>
      </c>
      <c r="G362" s="138" t="n">
        <v>0</v>
      </c>
    </row>
    <row r="363" customFormat="false" ht="15" hidden="false" customHeight="false" outlineLevel="0" collapsed="false">
      <c r="A363" s="138" t="s">
        <v>2022</v>
      </c>
      <c r="B363" s="138" t="n">
        <v>361</v>
      </c>
      <c r="C363" s="138" t="n">
        <v>362</v>
      </c>
      <c r="D363" s="138" t="n">
        <v>27</v>
      </c>
      <c r="E363" s="138" t="n">
        <v>20</v>
      </c>
      <c r="F363" s="138" t="n">
        <v>0</v>
      </c>
      <c r="G363" s="138" t="n">
        <v>0</v>
      </c>
    </row>
    <row r="364" customFormat="false" ht="15" hidden="false" customHeight="false" outlineLevel="0" collapsed="false">
      <c r="A364" s="138" t="s">
        <v>2023</v>
      </c>
      <c r="B364" s="138" t="n">
        <v>362</v>
      </c>
      <c r="C364" s="138" t="n">
        <v>363</v>
      </c>
      <c r="D364" s="138" t="n">
        <v>32</v>
      </c>
      <c r="E364" s="138" t="n">
        <v>20</v>
      </c>
      <c r="F364" s="138" t="n">
        <v>0</v>
      </c>
      <c r="G364" s="138" t="n">
        <v>0</v>
      </c>
    </row>
    <row r="365" customFormat="false" ht="15" hidden="false" customHeight="false" outlineLevel="0" collapsed="false">
      <c r="A365" s="138" t="s">
        <v>2024</v>
      </c>
      <c r="B365" s="138" t="n">
        <v>363</v>
      </c>
      <c r="C365" s="138" t="n">
        <v>364</v>
      </c>
      <c r="D365" s="138" t="n">
        <v>20</v>
      </c>
      <c r="E365" s="138" t="n">
        <v>20</v>
      </c>
      <c r="F365" s="138" t="n">
        <v>0</v>
      </c>
      <c r="G365" s="138" t="n">
        <v>0</v>
      </c>
    </row>
    <row r="366" customFormat="false" ht="15" hidden="false" customHeight="false" outlineLevel="0" collapsed="false">
      <c r="A366" s="138" t="s">
        <v>2025</v>
      </c>
      <c r="B366" s="138" t="n">
        <v>364</v>
      </c>
      <c r="C366" s="138" t="n">
        <v>365</v>
      </c>
      <c r="D366" s="138" t="n">
        <v>20</v>
      </c>
      <c r="E366" s="138" t="n">
        <v>20</v>
      </c>
      <c r="F366" s="138" t="n">
        <v>0</v>
      </c>
      <c r="G366" s="138" t="n">
        <v>0</v>
      </c>
    </row>
    <row r="367" customFormat="false" ht="15" hidden="false" customHeight="false" outlineLevel="0" collapsed="false">
      <c r="A367" s="138" t="s">
        <v>2026</v>
      </c>
      <c r="B367" s="138" t="n">
        <v>365</v>
      </c>
      <c r="C367" s="138" t="n">
        <v>366</v>
      </c>
      <c r="D367" s="138" t="n">
        <v>20</v>
      </c>
      <c r="E367" s="138" t="n">
        <v>20</v>
      </c>
      <c r="F367" s="138" t="n">
        <v>0</v>
      </c>
      <c r="G367" s="138" t="n">
        <v>0</v>
      </c>
    </row>
    <row r="368" customFormat="false" ht="15" hidden="false" customHeight="false" outlineLevel="0" collapsed="false">
      <c r="A368" s="138" t="s">
        <v>2027</v>
      </c>
      <c r="B368" s="138" t="n">
        <v>366</v>
      </c>
      <c r="C368" s="138" t="n">
        <v>367</v>
      </c>
      <c r="D368" s="138" t="n">
        <v>20</v>
      </c>
      <c r="E368" s="138" t="n">
        <v>29</v>
      </c>
      <c r="F368" s="138" t="n">
        <v>0</v>
      </c>
      <c r="G368" s="138" t="n">
        <v>0</v>
      </c>
    </row>
    <row r="369" customFormat="false" ht="15" hidden="false" customHeight="false" outlineLevel="0" collapsed="false">
      <c r="A369" s="138" t="s">
        <v>2028</v>
      </c>
      <c r="B369" s="138" t="n">
        <v>367</v>
      </c>
      <c r="C369" s="138" t="n">
        <v>368</v>
      </c>
      <c r="D369" s="138" t="n">
        <v>20</v>
      </c>
      <c r="E369" s="138" t="n">
        <v>21</v>
      </c>
      <c r="F369" s="138" t="n">
        <v>0</v>
      </c>
      <c r="G369" s="138" t="n">
        <v>0</v>
      </c>
    </row>
    <row r="370" customFormat="false" ht="15" hidden="false" customHeight="false" outlineLevel="0" collapsed="false">
      <c r="A370" s="138" t="s">
        <v>2029</v>
      </c>
      <c r="B370" s="138" t="n">
        <v>368</v>
      </c>
      <c r="C370" s="138" t="n">
        <v>369</v>
      </c>
      <c r="D370" s="138" t="n">
        <v>25</v>
      </c>
      <c r="E370" s="138" t="n">
        <v>26</v>
      </c>
      <c r="F370" s="138" t="n">
        <v>0</v>
      </c>
      <c r="G370" s="138" t="n">
        <v>0</v>
      </c>
    </row>
    <row r="371" customFormat="false" ht="15" hidden="false" customHeight="false" outlineLevel="0" collapsed="false">
      <c r="A371" s="138" t="s">
        <v>2030</v>
      </c>
      <c r="B371" s="138" t="n">
        <v>369</v>
      </c>
      <c r="C371" s="138" t="n">
        <v>370</v>
      </c>
      <c r="D371" s="138" t="n">
        <v>20</v>
      </c>
      <c r="E371" s="138" t="n">
        <v>20</v>
      </c>
      <c r="F371" s="138" t="n">
        <v>0</v>
      </c>
      <c r="G371" s="138" t="n">
        <v>0</v>
      </c>
    </row>
    <row r="372" customFormat="false" ht="15" hidden="false" customHeight="false" outlineLevel="0" collapsed="false">
      <c r="A372" s="138" t="s">
        <v>2031</v>
      </c>
      <c r="B372" s="138" t="n">
        <v>370</v>
      </c>
      <c r="C372" s="138" t="n">
        <v>371</v>
      </c>
      <c r="D372" s="138" t="n">
        <v>21</v>
      </c>
      <c r="E372" s="138" t="n">
        <v>20</v>
      </c>
      <c r="F372" s="138" t="n">
        <v>0</v>
      </c>
      <c r="G372" s="138" t="n">
        <v>0</v>
      </c>
    </row>
    <row r="373" customFormat="false" ht="15" hidden="false" customHeight="false" outlineLevel="0" collapsed="false">
      <c r="A373" s="138" t="s">
        <v>2032</v>
      </c>
      <c r="B373" s="138" t="n">
        <v>371</v>
      </c>
      <c r="C373" s="138" t="n">
        <v>372</v>
      </c>
      <c r="D373" s="138" t="n">
        <v>20</v>
      </c>
      <c r="E373" s="138" t="n">
        <v>20</v>
      </c>
      <c r="F373" s="138" t="n">
        <v>0</v>
      </c>
      <c r="G373" s="138" t="n">
        <v>0</v>
      </c>
    </row>
    <row r="374" customFormat="false" ht="15" hidden="false" customHeight="false" outlineLevel="0" collapsed="false">
      <c r="A374" s="138" t="s">
        <v>2033</v>
      </c>
      <c r="B374" s="138" t="n">
        <v>372</v>
      </c>
      <c r="C374" s="138" t="n">
        <v>373</v>
      </c>
      <c r="D374" s="138" t="n">
        <v>28</v>
      </c>
      <c r="E374" s="138" t="n">
        <v>20</v>
      </c>
      <c r="F374" s="138" t="n">
        <v>0</v>
      </c>
      <c r="G374" s="138" t="n">
        <v>0</v>
      </c>
    </row>
    <row r="375" customFormat="false" ht="15" hidden="false" customHeight="false" outlineLevel="0" collapsed="false">
      <c r="A375" s="138" t="s">
        <v>2034</v>
      </c>
      <c r="B375" s="138" t="n">
        <v>373</v>
      </c>
      <c r="C375" s="138" t="n">
        <v>374</v>
      </c>
      <c r="D375" s="138" t="n">
        <v>20</v>
      </c>
      <c r="E375" s="138" t="n">
        <v>20</v>
      </c>
      <c r="F375" s="138" t="n">
        <v>0</v>
      </c>
      <c r="G375" s="138" t="n">
        <v>0</v>
      </c>
    </row>
    <row r="376" customFormat="false" ht="15" hidden="false" customHeight="false" outlineLevel="0" collapsed="false">
      <c r="A376" s="138" t="s">
        <v>2035</v>
      </c>
      <c r="B376" s="138" t="n">
        <v>374</v>
      </c>
      <c r="C376" s="138" t="n">
        <v>375</v>
      </c>
      <c r="D376" s="138" t="n">
        <v>20</v>
      </c>
      <c r="E376" s="138" t="n">
        <v>20</v>
      </c>
      <c r="F376" s="138" t="n">
        <v>0</v>
      </c>
      <c r="G376" s="138" t="n">
        <v>0</v>
      </c>
    </row>
    <row r="377" customFormat="false" ht="15" hidden="false" customHeight="false" outlineLevel="0" collapsed="false">
      <c r="A377" s="138" t="s">
        <v>2036</v>
      </c>
      <c r="B377" s="138" t="n">
        <v>375</v>
      </c>
      <c r="C377" s="138" t="n">
        <v>376</v>
      </c>
      <c r="D377" s="138" t="n">
        <v>20</v>
      </c>
      <c r="E377" s="138" t="n">
        <v>20</v>
      </c>
      <c r="F377" s="138" t="n">
        <v>0</v>
      </c>
      <c r="G377" s="138" t="n">
        <v>0</v>
      </c>
    </row>
    <row r="378" customFormat="false" ht="15" hidden="false" customHeight="false" outlineLevel="0" collapsed="false">
      <c r="A378" s="138" t="s">
        <v>2037</v>
      </c>
      <c r="B378" s="138" t="n">
        <v>376</v>
      </c>
      <c r="C378" s="138" t="n">
        <v>377</v>
      </c>
      <c r="D378" s="138" t="n">
        <v>20</v>
      </c>
      <c r="E378" s="138" t="n">
        <v>32</v>
      </c>
      <c r="F378" s="138" t="n">
        <v>0</v>
      </c>
      <c r="G378" s="138" t="n">
        <v>0</v>
      </c>
    </row>
    <row r="379" customFormat="false" ht="15" hidden="false" customHeight="false" outlineLevel="0" collapsed="false">
      <c r="A379" s="138" t="s">
        <v>2038</v>
      </c>
      <c r="B379" s="138" t="n">
        <v>377</v>
      </c>
      <c r="C379" s="138" t="n">
        <v>378</v>
      </c>
      <c r="D379" s="138" t="n">
        <v>20</v>
      </c>
      <c r="E379" s="138" t="n">
        <v>32</v>
      </c>
      <c r="F379" s="138" t="n">
        <v>0</v>
      </c>
      <c r="G379" s="138" t="n">
        <v>0</v>
      </c>
    </row>
    <row r="380" customFormat="false" ht="15" hidden="false" customHeight="false" outlineLevel="0" collapsed="false">
      <c r="A380" s="138" t="s">
        <v>2039</v>
      </c>
      <c r="B380" s="138" t="n">
        <v>378</v>
      </c>
      <c r="C380" s="138" t="n">
        <v>379</v>
      </c>
      <c r="D380" s="138" t="n">
        <v>30</v>
      </c>
      <c r="E380" s="138" t="n">
        <v>21</v>
      </c>
      <c r="F380" s="138" t="n">
        <v>0</v>
      </c>
      <c r="G380" s="138" t="n">
        <v>0</v>
      </c>
    </row>
    <row r="381" customFormat="false" ht="15" hidden="false" customHeight="false" outlineLevel="0" collapsed="false">
      <c r="A381" s="138" t="s">
        <v>2040</v>
      </c>
      <c r="B381" s="138" t="n">
        <v>379</v>
      </c>
      <c r="C381" s="138" t="n">
        <v>380</v>
      </c>
      <c r="D381" s="138" t="n">
        <v>20</v>
      </c>
      <c r="E381" s="138" t="n">
        <v>20</v>
      </c>
      <c r="F381" s="138" t="n">
        <v>0</v>
      </c>
      <c r="G381" s="138" t="n">
        <v>0</v>
      </c>
    </row>
    <row r="382" customFormat="false" ht="15" hidden="false" customHeight="false" outlineLevel="0" collapsed="false">
      <c r="A382" s="138" t="s">
        <v>2041</v>
      </c>
      <c r="B382" s="138" t="n">
        <v>380</v>
      </c>
      <c r="C382" s="138" t="n">
        <v>381</v>
      </c>
      <c r="D382" s="138" t="n">
        <v>20</v>
      </c>
      <c r="E382" s="138" t="n">
        <v>20</v>
      </c>
      <c r="F382" s="138" t="n">
        <v>0</v>
      </c>
      <c r="G382" s="138" t="n">
        <v>0</v>
      </c>
    </row>
    <row r="383" customFormat="false" ht="15" hidden="false" customHeight="false" outlineLevel="0" collapsed="false">
      <c r="A383" s="138" t="s">
        <v>2042</v>
      </c>
      <c r="B383" s="138" t="n">
        <v>381</v>
      </c>
      <c r="C383" s="138" t="n">
        <v>382</v>
      </c>
      <c r="D383" s="138" t="n">
        <v>20</v>
      </c>
      <c r="E383" s="138" t="n">
        <v>20</v>
      </c>
      <c r="F383" s="138" t="n">
        <v>0</v>
      </c>
      <c r="G383" s="138" t="n">
        <v>0</v>
      </c>
    </row>
    <row r="384" customFormat="false" ht="15" hidden="false" customHeight="false" outlineLevel="0" collapsed="false">
      <c r="A384" s="138" t="s">
        <v>2043</v>
      </c>
      <c r="B384" s="138" t="n">
        <v>382</v>
      </c>
      <c r="C384" s="138" t="n">
        <v>383</v>
      </c>
      <c r="D384" s="138" t="n">
        <v>20</v>
      </c>
      <c r="E384" s="138" t="n">
        <v>20</v>
      </c>
      <c r="F384" s="138" t="n">
        <v>0</v>
      </c>
      <c r="G384" s="138" t="n">
        <v>0</v>
      </c>
    </row>
    <row r="385" customFormat="false" ht="15" hidden="false" customHeight="false" outlineLevel="0" collapsed="false">
      <c r="A385" s="138" t="s">
        <v>2044</v>
      </c>
      <c r="B385" s="138" t="n">
        <v>383</v>
      </c>
      <c r="C385" s="138" t="n">
        <v>384</v>
      </c>
      <c r="D385" s="138" t="n">
        <v>20</v>
      </c>
      <c r="E385" s="138" t="n">
        <v>20</v>
      </c>
      <c r="F385" s="138" t="n">
        <v>0</v>
      </c>
      <c r="G385" s="138" t="n">
        <v>0</v>
      </c>
    </row>
    <row r="386" customFormat="false" ht="15" hidden="false" customHeight="false" outlineLevel="0" collapsed="false">
      <c r="A386" s="138" t="s">
        <v>2045</v>
      </c>
      <c r="B386" s="138" t="n">
        <v>384</v>
      </c>
      <c r="C386" s="138" t="n">
        <v>385</v>
      </c>
      <c r="D386" s="138" t="n">
        <v>20</v>
      </c>
      <c r="E386" s="138" t="n">
        <v>20</v>
      </c>
      <c r="F386" s="138" t="n">
        <v>0</v>
      </c>
      <c r="G386" s="138" t="n">
        <v>0</v>
      </c>
    </row>
    <row r="387" customFormat="false" ht="15" hidden="false" customHeight="false" outlineLevel="0" collapsed="false">
      <c r="A387" s="138" t="s">
        <v>2046</v>
      </c>
      <c r="B387" s="138" t="n">
        <v>385</v>
      </c>
      <c r="C387" s="138" t="n">
        <v>386</v>
      </c>
      <c r="D387" s="138" t="n">
        <v>20</v>
      </c>
      <c r="E387" s="138" t="n">
        <v>28</v>
      </c>
      <c r="F387" s="138" t="n">
        <v>0</v>
      </c>
      <c r="G387" s="138" t="n">
        <v>0</v>
      </c>
    </row>
    <row r="388" customFormat="false" ht="15" hidden="false" customHeight="false" outlineLevel="0" collapsed="false">
      <c r="A388" s="138" t="s">
        <v>2047</v>
      </c>
      <c r="B388" s="138" t="n">
        <v>386</v>
      </c>
      <c r="C388" s="138" t="n">
        <v>387</v>
      </c>
      <c r="D388" s="138" t="n">
        <v>20</v>
      </c>
      <c r="E388" s="138" t="n">
        <v>20</v>
      </c>
      <c r="F388" s="138" t="n">
        <v>0</v>
      </c>
      <c r="G388" s="138" t="n">
        <v>0</v>
      </c>
    </row>
    <row r="389" customFormat="false" ht="15" hidden="false" customHeight="false" outlineLevel="0" collapsed="false">
      <c r="A389" s="138" t="s">
        <v>2048</v>
      </c>
      <c r="B389" s="138" t="n">
        <v>387</v>
      </c>
      <c r="C389" s="138" t="n">
        <v>388</v>
      </c>
      <c r="D389" s="138" t="n">
        <v>20</v>
      </c>
      <c r="E389" s="138" t="n">
        <v>20</v>
      </c>
      <c r="F389" s="138" t="n">
        <v>0</v>
      </c>
      <c r="G389" s="138" t="n">
        <v>0</v>
      </c>
    </row>
    <row r="390" customFormat="false" ht="15" hidden="false" customHeight="false" outlineLevel="0" collapsed="false">
      <c r="A390" s="138" t="s">
        <v>2049</v>
      </c>
      <c r="B390" s="138" t="n">
        <v>388</v>
      </c>
      <c r="C390" s="138" t="n">
        <v>389</v>
      </c>
      <c r="D390" s="138" t="n">
        <v>21</v>
      </c>
      <c r="E390" s="138" t="n">
        <v>20</v>
      </c>
      <c r="F390" s="138" t="n">
        <v>0</v>
      </c>
      <c r="G390" s="138" t="n">
        <v>0</v>
      </c>
    </row>
    <row r="391" customFormat="false" ht="15" hidden="false" customHeight="false" outlineLevel="0" collapsed="false">
      <c r="A391" s="138" t="s">
        <v>2050</v>
      </c>
      <c r="B391" s="138" t="n">
        <v>389</v>
      </c>
      <c r="C391" s="138" t="n">
        <v>390</v>
      </c>
      <c r="D391" s="138" t="n">
        <v>20</v>
      </c>
      <c r="E391" s="138" t="n">
        <v>20</v>
      </c>
      <c r="F391" s="138" t="n">
        <v>0</v>
      </c>
      <c r="G391" s="138" t="n">
        <v>0</v>
      </c>
    </row>
    <row r="392" customFormat="false" ht="15" hidden="false" customHeight="false" outlineLevel="0" collapsed="false">
      <c r="A392" s="138" t="s">
        <v>2051</v>
      </c>
      <c r="B392" s="138" t="n">
        <v>390</v>
      </c>
      <c r="C392" s="138" t="n">
        <v>391</v>
      </c>
      <c r="D392" s="138" t="n">
        <v>20</v>
      </c>
      <c r="E392" s="138" t="n">
        <v>20</v>
      </c>
      <c r="F392" s="138" t="n">
        <v>0</v>
      </c>
      <c r="G392" s="138" t="n">
        <v>0</v>
      </c>
    </row>
    <row r="393" customFormat="false" ht="15" hidden="false" customHeight="false" outlineLevel="0" collapsed="false">
      <c r="A393" s="138" t="s">
        <v>2052</v>
      </c>
      <c r="B393" s="138" t="n">
        <v>391</v>
      </c>
      <c r="C393" s="138" t="n">
        <v>392</v>
      </c>
      <c r="D393" s="138" t="n">
        <v>20</v>
      </c>
      <c r="E393" s="138" t="n">
        <v>20</v>
      </c>
      <c r="F393" s="138" t="n">
        <v>0</v>
      </c>
      <c r="G393" s="138" t="n">
        <v>0</v>
      </c>
    </row>
    <row r="394" customFormat="false" ht="15" hidden="false" customHeight="false" outlineLevel="0" collapsed="false">
      <c r="A394" s="138" t="s">
        <v>2053</v>
      </c>
      <c r="B394" s="138" t="n">
        <v>392</v>
      </c>
      <c r="C394" s="138" t="n">
        <v>393</v>
      </c>
      <c r="D394" s="138" t="n">
        <v>20</v>
      </c>
      <c r="E394" s="138" t="n">
        <v>20</v>
      </c>
      <c r="F394" s="138" t="n">
        <v>0</v>
      </c>
      <c r="G394" s="138" t="n">
        <v>0</v>
      </c>
    </row>
    <row r="395" customFormat="false" ht="15" hidden="false" customHeight="false" outlineLevel="0" collapsed="false">
      <c r="A395" s="138" t="s">
        <v>2055</v>
      </c>
      <c r="B395" s="138" t="n">
        <v>393</v>
      </c>
      <c r="C395" s="138" t="n">
        <v>394</v>
      </c>
      <c r="D395" s="138" t="n">
        <v>20</v>
      </c>
      <c r="E395" s="138" t="n">
        <v>20</v>
      </c>
      <c r="F395" s="138" t="n">
        <v>0</v>
      </c>
      <c r="G395" s="138" t="n">
        <v>0</v>
      </c>
    </row>
    <row r="396" customFormat="false" ht="15" hidden="false" customHeight="false" outlineLevel="0" collapsed="false">
      <c r="A396" s="138" t="s">
        <v>2056</v>
      </c>
      <c r="B396" s="138" t="n">
        <v>394</v>
      </c>
      <c r="C396" s="138" t="n">
        <v>395</v>
      </c>
      <c r="D396" s="138" t="n">
        <v>20</v>
      </c>
      <c r="E396" s="138" t="n">
        <v>20</v>
      </c>
      <c r="F396" s="138" t="n">
        <v>0</v>
      </c>
      <c r="G396" s="138" t="n">
        <v>0</v>
      </c>
    </row>
    <row r="397" customFormat="false" ht="15" hidden="false" customHeight="false" outlineLevel="0" collapsed="false">
      <c r="A397" s="138" t="s">
        <v>2057</v>
      </c>
      <c r="B397" s="138" t="n">
        <v>395</v>
      </c>
      <c r="C397" s="138" t="n">
        <v>396</v>
      </c>
      <c r="D397" s="138" t="n">
        <v>20</v>
      </c>
      <c r="E397" s="138" t="n">
        <v>20</v>
      </c>
      <c r="F397" s="138" t="n">
        <v>0</v>
      </c>
      <c r="G397" s="138" t="n">
        <v>0</v>
      </c>
    </row>
    <row r="398" customFormat="false" ht="15" hidden="false" customHeight="false" outlineLevel="0" collapsed="false">
      <c r="A398" s="138" t="s">
        <v>2058</v>
      </c>
      <c r="B398" s="138" t="n">
        <v>396</v>
      </c>
      <c r="C398" s="138" t="n">
        <v>397</v>
      </c>
      <c r="D398" s="138" t="n">
        <v>20</v>
      </c>
      <c r="E398" s="138" t="n">
        <v>6</v>
      </c>
      <c r="F398" s="138" t="n">
        <v>0</v>
      </c>
      <c r="G398" s="138" t="n">
        <v>0</v>
      </c>
    </row>
    <row r="399" customFormat="false" ht="15" hidden="false" customHeight="false" outlineLevel="0" collapsed="false">
      <c r="A399" s="138" t="s">
        <v>2059</v>
      </c>
      <c r="B399" s="138" t="n">
        <v>397</v>
      </c>
      <c r="C399" s="138" t="n">
        <v>398</v>
      </c>
      <c r="D399" s="138" t="n">
        <v>20</v>
      </c>
      <c r="E399" s="138" t="n">
        <v>0</v>
      </c>
      <c r="F399" s="138" t="n">
        <v>0</v>
      </c>
      <c r="G399" s="138" t="n">
        <v>0</v>
      </c>
    </row>
    <row r="400" customFormat="false" ht="15" hidden="false" customHeight="false" outlineLevel="0" collapsed="false">
      <c r="A400" s="138" t="s">
        <v>2061</v>
      </c>
      <c r="B400" s="138" t="n">
        <v>398</v>
      </c>
      <c r="C400" s="138" t="n">
        <v>399</v>
      </c>
      <c r="D400" s="138" t="n">
        <v>20</v>
      </c>
      <c r="E400" s="138" t="n">
        <v>11</v>
      </c>
      <c r="F400" s="138" t="n">
        <v>0</v>
      </c>
      <c r="G400" s="138" t="n">
        <v>0</v>
      </c>
    </row>
    <row r="401" customFormat="false" ht="15" hidden="false" customHeight="false" outlineLevel="0" collapsed="false">
      <c r="A401" s="138" t="s">
        <v>2063</v>
      </c>
      <c r="B401" s="138" t="n">
        <v>399</v>
      </c>
      <c r="C401" s="138" t="n">
        <v>400</v>
      </c>
      <c r="D401" s="138" t="n">
        <v>20</v>
      </c>
      <c r="E401" s="138" t="n">
        <v>21</v>
      </c>
      <c r="F401" s="138" t="n">
        <v>0</v>
      </c>
      <c r="G401" s="138" t="n">
        <v>0</v>
      </c>
    </row>
    <row r="402" customFormat="false" ht="15" hidden="false" customHeight="false" outlineLevel="0" collapsed="false">
      <c r="A402" s="138" t="s">
        <v>2064</v>
      </c>
      <c r="B402" s="138" t="n">
        <v>400</v>
      </c>
      <c r="C402" s="138" t="n">
        <v>401</v>
      </c>
      <c r="D402" s="138" t="n">
        <v>20</v>
      </c>
      <c r="E402" s="138" t="n">
        <v>20</v>
      </c>
      <c r="F402" s="138" t="n">
        <v>0</v>
      </c>
      <c r="G402" s="138" t="n">
        <v>0</v>
      </c>
    </row>
    <row r="403" customFormat="false" ht="15" hidden="false" customHeight="false" outlineLevel="0" collapsed="false">
      <c r="A403" s="138" t="s">
        <v>2065</v>
      </c>
      <c r="B403" s="138" t="n">
        <v>401</v>
      </c>
      <c r="C403" s="138" t="n">
        <v>402</v>
      </c>
      <c r="D403" s="138" t="n">
        <v>20</v>
      </c>
      <c r="E403" s="138" t="n">
        <v>20</v>
      </c>
      <c r="F403" s="138" t="n">
        <v>0</v>
      </c>
      <c r="G403" s="138" t="n">
        <v>0</v>
      </c>
    </row>
    <row r="404" customFormat="false" ht="15" hidden="false" customHeight="false" outlineLevel="0" collapsed="false">
      <c r="A404" s="138" t="s">
        <v>1579</v>
      </c>
      <c r="B404" s="138" t="n">
        <v>402</v>
      </c>
      <c r="C404" s="138" t="n">
        <v>403</v>
      </c>
      <c r="D404" s="138" t="n">
        <v>20</v>
      </c>
      <c r="E404" s="138" t="n">
        <v>20</v>
      </c>
      <c r="F404" s="138" t="n">
        <v>0</v>
      </c>
      <c r="G404" s="138" t="n">
        <v>0</v>
      </c>
    </row>
    <row r="405" customFormat="false" ht="15" hidden="false" customHeight="false" outlineLevel="0" collapsed="false">
      <c r="A405" s="138" t="s">
        <v>2066</v>
      </c>
      <c r="B405" s="138" t="n">
        <v>403</v>
      </c>
      <c r="C405" s="138" t="n">
        <v>404</v>
      </c>
      <c r="D405" s="138" t="n">
        <v>20</v>
      </c>
      <c r="E405" s="138" t="n">
        <v>20</v>
      </c>
      <c r="F405" s="138" t="n">
        <v>0</v>
      </c>
      <c r="G405" s="138" t="n">
        <v>0</v>
      </c>
    </row>
    <row r="406" customFormat="false" ht="15" hidden="false" customHeight="false" outlineLevel="0" collapsed="false">
      <c r="A406" s="138" t="s">
        <v>2067</v>
      </c>
      <c r="B406" s="138" t="n">
        <v>404</v>
      </c>
      <c r="C406" s="138" t="n">
        <v>405</v>
      </c>
      <c r="D406" s="138" t="n">
        <v>20</v>
      </c>
      <c r="E406" s="138" t="n">
        <v>20</v>
      </c>
      <c r="F406" s="138" t="n">
        <v>0</v>
      </c>
      <c r="G406" s="138" t="n">
        <v>0</v>
      </c>
    </row>
    <row r="407" customFormat="false" ht="15" hidden="false" customHeight="false" outlineLevel="0" collapsed="false">
      <c r="A407" s="138" t="s">
        <v>2068</v>
      </c>
      <c r="B407" s="138" t="n">
        <v>405</v>
      </c>
      <c r="C407" s="138" t="n">
        <v>406</v>
      </c>
      <c r="D407" s="138" t="n">
        <v>20</v>
      </c>
      <c r="E407" s="138" t="n">
        <v>20</v>
      </c>
      <c r="F407" s="138" t="n">
        <v>0</v>
      </c>
      <c r="G407" s="138" t="n">
        <v>0</v>
      </c>
    </row>
    <row r="408" customFormat="false" ht="15" hidden="false" customHeight="false" outlineLevel="0" collapsed="false">
      <c r="A408" s="138" t="s">
        <v>2069</v>
      </c>
      <c r="B408" s="138" t="n">
        <v>406</v>
      </c>
      <c r="C408" s="138" t="n">
        <v>407</v>
      </c>
      <c r="D408" s="138" t="n">
        <v>20</v>
      </c>
      <c r="E408" s="138" t="n">
        <v>20</v>
      </c>
      <c r="F408" s="138" t="n">
        <v>0</v>
      </c>
      <c r="G408" s="138" t="n">
        <v>0</v>
      </c>
    </row>
    <row r="409" customFormat="false" ht="15" hidden="false" customHeight="false" outlineLevel="0" collapsed="false">
      <c r="A409" s="138" t="s">
        <v>2070</v>
      </c>
      <c r="B409" s="138" t="n">
        <v>407</v>
      </c>
      <c r="C409" s="138" t="n">
        <v>408</v>
      </c>
      <c r="D409" s="138" t="n">
        <v>24</v>
      </c>
      <c r="E409" s="138" t="n">
        <v>20</v>
      </c>
      <c r="F409" s="138" t="n">
        <v>0</v>
      </c>
      <c r="G409" s="138" t="n">
        <v>0</v>
      </c>
    </row>
    <row r="410" customFormat="false" ht="15" hidden="false" customHeight="false" outlineLevel="0" collapsed="false">
      <c r="A410" s="138" t="s">
        <v>2071</v>
      </c>
      <c r="B410" s="138" t="n">
        <v>408</v>
      </c>
      <c r="C410" s="138" t="n">
        <v>409</v>
      </c>
      <c r="D410" s="138" t="n">
        <v>20</v>
      </c>
      <c r="E410" s="138" t="n">
        <v>20</v>
      </c>
      <c r="F410" s="138" t="n">
        <v>0</v>
      </c>
      <c r="G410" s="138" t="n">
        <v>0</v>
      </c>
    </row>
    <row r="411" customFormat="false" ht="15" hidden="false" customHeight="false" outlineLevel="0" collapsed="false">
      <c r="A411" s="138" t="s">
        <v>2072</v>
      </c>
      <c r="B411" s="138" t="n">
        <v>409</v>
      </c>
      <c r="C411" s="138" t="n">
        <v>410</v>
      </c>
      <c r="D411" s="138" t="n">
        <v>20</v>
      </c>
      <c r="E411" s="138" t="n">
        <v>20</v>
      </c>
      <c r="F411" s="138" t="n">
        <v>0</v>
      </c>
      <c r="G411" s="138" t="n">
        <v>0</v>
      </c>
    </row>
    <row r="412" customFormat="false" ht="15" hidden="false" customHeight="false" outlineLevel="0" collapsed="false">
      <c r="A412" s="138" t="s">
        <v>2073</v>
      </c>
      <c r="B412" s="138" t="n">
        <v>410</v>
      </c>
      <c r="C412" s="138" t="n">
        <v>411</v>
      </c>
      <c r="D412" s="138" t="n">
        <v>5</v>
      </c>
      <c r="E412" s="138" t="n">
        <v>20</v>
      </c>
      <c r="F412" s="138" t="n">
        <v>0</v>
      </c>
      <c r="G412" s="138" t="n">
        <v>0</v>
      </c>
    </row>
    <row r="413" customFormat="false" ht="15" hidden="false" customHeight="false" outlineLevel="0" collapsed="false">
      <c r="A413" s="138" t="s">
        <v>2074</v>
      </c>
      <c r="B413" s="138" t="n">
        <v>411</v>
      </c>
      <c r="C413" s="138" t="n">
        <v>412</v>
      </c>
      <c r="D413" s="138" t="n">
        <v>11</v>
      </c>
      <c r="E413" s="138" t="n">
        <v>21</v>
      </c>
      <c r="F413" s="138" t="n">
        <v>0</v>
      </c>
      <c r="G413" s="138" t="n">
        <v>0</v>
      </c>
    </row>
    <row r="414" customFormat="false" ht="15" hidden="false" customHeight="false" outlineLevel="0" collapsed="false">
      <c r="A414" s="138" t="s">
        <v>2075</v>
      </c>
      <c r="B414" s="138" t="n">
        <v>412</v>
      </c>
      <c r="C414" s="138" t="n">
        <v>413</v>
      </c>
      <c r="D414" s="138" t="n">
        <v>20</v>
      </c>
      <c r="E414" s="138" t="n">
        <v>29</v>
      </c>
      <c r="F414" s="138" t="n">
        <v>0</v>
      </c>
      <c r="G414" s="138" t="n">
        <v>0</v>
      </c>
    </row>
    <row r="415" customFormat="false" ht="15" hidden="false" customHeight="false" outlineLevel="0" collapsed="false">
      <c r="A415" s="138" t="s">
        <v>2076</v>
      </c>
      <c r="B415" s="138" t="n">
        <v>413</v>
      </c>
      <c r="C415" s="138" t="n">
        <v>414</v>
      </c>
      <c r="D415" s="138" t="n">
        <v>25</v>
      </c>
      <c r="E415" s="138" t="n">
        <v>1</v>
      </c>
      <c r="F415" s="138" t="n">
        <v>0</v>
      </c>
      <c r="G415" s="138" t="n">
        <v>0</v>
      </c>
    </row>
    <row r="416" customFormat="false" ht="15" hidden="false" customHeight="false" outlineLevel="0" collapsed="false">
      <c r="A416" s="138" t="s">
        <v>2077</v>
      </c>
      <c r="B416" s="138" t="n">
        <v>414</v>
      </c>
      <c r="C416" s="138" t="n">
        <v>415</v>
      </c>
      <c r="D416" s="138" t="n">
        <v>21</v>
      </c>
      <c r="E416" s="138" t="n">
        <v>20</v>
      </c>
      <c r="F416" s="138" t="n">
        <v>0</v>
      </c>
      <c r="G416" s="138" t="n">
        <v>0</v>
      </c>
    </row>
    <row r="417" customFormat="false" ht="15" hidden="false" customHeight="false" outlineLevel="0" collapsed="false">
      <c r="A417" s="138" t="s">
        <v>2078</v>
      </c>
      <c r="B417" s="138" t="n">
        <v>415</v>
      </c>
      <c r="C417" s="138" t="n">
        <v>416</v>
      </c>
      <c r="D417" s="138" t="n">
        <v>20</v>
      </c>
      <c r="E417" s="138" t="n">
        <v>20</v>
      </c>
      <c r="F417" s="138" t="n">
        <v>0</v>
      </c>
      <c r="G417" s="138" t="n">
        <v>0</v>
      </c>
    </row>
    <row r="418" customFormat="false" ht="15" hidden="false" customHeight="false" outlineLevel="0" collapsed="false">
      <c r="A418" s="138" t="s">
        <v>2079</v>
      </c>
      <c r="B418" s="138" t="n">
        <v>416</v>
      </c>
      <c r="C418" s="138" t="n">
        <v>417</v>
      </c>
      <c r="D418" s="138" t="n">
        <v>20</v>
      </c>
      <c r="E418" s="138" t="n">
        <v>23</v>
      </c>
      <c r="F418" s="138" t="n">
        <v>0</v>
      </c>
      <c r="G418" s="138" t="n">
        <v>0</v>
      </c>
    </row>
    <row r="419" customFormat="false" ht="15" hidden="false" customHeight="false" outlineLevel="0" collapsed="false">
      <c r="A419" s="138" t="s">
        <v>2080</v>
      </c>
      <c r="B419" s="138" t="n">
        <v>417</v>
      </c>
      <c r="C419" s="138" t="n">
        <v>418</v>
      </c>
      <c r="D419" s="138" t="n">
        <v>20</v>
      </c>
      <c r="E419" s="138" t="n">
        <v>22</v>
      </c>
      <c r="F419" s="138" t="n">
        <v>0</v>
      </c>
      <c r="G419" s="138" t="n">
        <v>0</v>
      </c>
    </row>
    <row r="420" customFormat="false" ht="15" hidden="false" customHeight="false" outlineLevel="0" collapsed="false">
      <c r="A420" s="138" t="s">
        <v>2081</v>
      </c>
      <c r="B420" s="138" t="n">
        <v>418</v>
      </c>
      <c r="C420" s="138" t="n">
        <v>419</v>
      </c>
      <c r="D420" s="138" t="n">
        <v>14</v>
      </c>
      <c r="E420" s="138" t="n">
        <v>20</v>
      </c>
      <c r="F420" s="138" t="n">
        <v>0</v>
      </c>
      <c r="G420" s="138" t="n">
        <v>0</v>
      </c>
    </row>
    <row r="421" customFormat="false" ht="15" hidden="false" customHeight="false" outlineLevel="0" collapsed="false">
      <c r="A421" s="138" t="s">
        <v>2082</v>
      </c>
      <c r="B421" s="138" t="n">
        <v>419</v>
      </c>
      <c r="C421" s="138" t="n">
        <v>420</v>
      </c>
      <c r="D421" s="138" t="n">
        <v>15</v>
      </c>
      <c r="E421" s="138" t="n">
        <v>21</v>
      </c>
      <c r="F421" s="138" t="n">
        <v>0</v>
      </c>
      <c r="G421" s="138" t="n">
        <v>0</v>
      </c>
    </row>
    <row r="422" customFormat="false" ht="15" hidden="false" customHeight="false" outlineLevel="0" collapsed="false">
      <c r="A422" s="138" t="s">
        <v>2084</v>
      </c>
      <c r="B422" s="138" t="n">
        <v>420</v>
      </c>
      <c r="C422" s="138" t="n">
        <v>421</v>
      </c>
      <c r="D422" s="138" t="n">
        <v>20</v>
      </c>
      <c r="E422" s="138" t="n">
        <v>29</v>
      </c>
      <c r="F422" s="138" t="n">
        <v>0</v>
      </c>
      <c r="G422" s="138" t="n">
        <v>0</v>
      </c>
    </row>
    <row r="423" customFormat="false" ht="15" hidden="false" customHeight="false" outlineLevel="0" collapsed="false">
      <c r="A423" s="138" t="s">
        <v>2085</v>
      </c>
      <c r="B423" s="138" t="n">
        <v>421</v>
      </c>
      <c r="C423" s="138" t="n">
        <v>422</v>
      </c>
      <c r="D423" s="138" t="n">
        <v>21</v>
      </c>
      <c r="E423" s="138" t="n">
        <v>20</v>
      </c>
      <c r="F423" s="138" t="n">
        <v>0</v>
      </c>
      <c r="G423" s="138" t="n">
        <v>0</v>
      </c>
    </row>
    <row r="424" customFormat="false" ht="15" hidden="false" customHeight="false" outlineLevel="0" collapsed="false">
      <c r="A424" s="138" t="s">
        <v>2086</v>
      </c>
      <c r="B424" s="138" t="n">
        <v>422</v>
      </c>
      <c r="C424" s="138" t="n">
        <v>423</v>
      </c>
      <c r="D424" s="138" t="n">
        <v>20</v>
      </c>
      <c r="E424" s="138" t="n">
        <v>20</v>
      </c>
      <c r="F424" s="138" t="n">
        <v>0</v>
      </c>
      <c r="G424" s="138" t="n">
        <v>0</v>
      </c>
    </row>
    <row r="425" customFormat="false" ht="15" hidden="false" customHeight="false" outlineLevel="0" collapsed="false">
      <c r="A425" s="138" t="s">
        <v>2087</v>
      </c>
      <c r="B425" s="138" t="n">
        <v>423</v>
      </c>
      <c r="C425" s="138" t="n">
        <v>424</v>
      </c>
      <c r="D425" s="138" t="n">
        <v>20</v>
      </c>
      <c r="E425" s="138" t="n">
        <v>20</v>
      </c>
      <c r="F425" s="138" t="n">
        <v>0</v>
      </c>
      <c r="G425" s="138" t="n">
        <v>0</v>
      </c>
    </row>
    <row r="426" customFormat="false" ht="15" hidden="false" customHeight="false" outlineLevel="0" collapsed="false">
      <c r="A426" s="138" t="s">
        <v>2088</v>
      </c>
      <c r="B426" s="138" t="n">
        <v>424</v>
      </c>
      <c r="C426" s="138" t="n">
        <v>425</v>
      </c>
      <c r="D426" s="138" t="n">
        <v>25</v>
      </c>
      <c r="E426" s="138" t="n">
        <v>20</v>
      </c>
      <c r="F426" s="138" t="n">
        <v>0</v>
      </c>
      <c r="G426" s="138" t="n">
        <v>0</v>
      </c>
    </row>
    <row r="427" customFormat="false" ht="15" hidden="false" customHeight="false" outlineLevel="0" collapsed="false">
      <c r="A427" s="138" t="s">
        <v>2089</v>
      </c>
      <c r="B427" s="138" t="n">
        <v>425</v>
      </c>
      <c r="C427" s="138" t="n">
        <v>426</v>
      </c>
      <c r="D427" s="138" t="n">
        <v>21</v>
      </c>
      <c r="E427" s="138" t="n">
        <v>20</v>
      </c>
      <c r="F427" s="138" t="n">
        <v>0</v>
      </c>
      <c r="G427" s="138" t="n">
        <v>0</v>
      </c>
    </row>
    <row r="428" customFormat="false" ht="15" hidden="false" customHeight="false" outlineLevel="0" collapsed="false">
      <c r="A428" s="138" t="s">
        <v>2090</v>
      </c>
      <c r="B428" s="138" t="n">
        <v>426</v>
      </c>
      <c r="C428" s="138" t="n">
        <v>427</v>
      </c>
      <c r="D428" s="138" t="n">
        <v>21</v>
      </c>
      <c r="E428" s="138" t="n">
        <v>20</v>
      </c>
      <c r="F428" s="138" t="n">
        <v>0</v>
      </c>
      <c r="G428" s="138" t="n">
        <v>0</v>
      </c>
    </row>
    <row r="429" customFormat="false" ht="15" hidden="false" customHeight="false" outlineLevel="0" collapsed="false">
      <c r="A429" s="138" t="s">
        <v>2091</v>
      </c>
      <c r="B429" s="138" t="n">
        <v>427</v>
      </c>
      <c r="C429" s="138" t="n">
        <v>428</v>
      </c>
      <c r="D429" s="138" t="n">
        <v>24</v>
      </c>
      <c r="E429" s="138" t="n">
        <v>24</v>
      </c>
      <c r="F429" s="138" t="n">
        <v>0</v>
      </c>
      <c r="G429" s="138" t="n">
        <v>0</v>
      </c>
    </row>
    <row r="430" customFormat="false" ht="15" hidden="false" customHeight="false" outlineLevel="0" collapsed="false">
      <c r="A430" s="138" t="s">
        <v>2092</v>
      </c>
      <c r="B430" s="138" t="n">
        <v>428</v>
      </c>
      <c r="C430" s="138" t="n">
        <v>429</v>
      </c>
      <c r="D430" s="138" t="n">
        <v>33</v>
      </c>
      <c r="E430" s="138" t="n">
        <v>20</v>
      </c>
      <c r="F430" s="138" t="n">
        <v>0</v>
      </c>
      <c r="G430" s="138" t="n">
        <v>0</v>
      </c>
    </row>
    <row r="431" customFormat="false" ht="15" hidden="false" customHeight="false" outlineLevel="0" collapsed="false">
      <c r="A431" s="138" t="s">
        <v>2093</v>
      </c>
      <c r="B431" s="138" t="n">
        <v>429</v>
      </c>
      <c r="C431" s="138" t="n">
        <v>430</v>
      </c>
      <c r="D431" s="138" t="n">
        <v>48</v>
      </c>
      <c r="E431" s="138" t="n">
        <v>41</v>
      </c>
      <c r="F431" s="138" t="n">
        <v>0</v>
      </c>
      <c r="G431" s="138" t="n">
        <v>0</v>
      </c>
    </row>
    <row r="432" customFormat="false" ht="15" hidden="false" customHeight="false" outlineLevel="0" collapsed="false">
      <c r="A432" s="138" t="s">
        <v>2094</v>
      </c>
      <c r="B432" s="138" t="n">
        <v>430</v>
      </c>
      <c r="C432" s="138" t="n">
        <v>431</v>
      </c>
      <c r="D432" s="138" t="n">
        <v>20</v>
      </c>
      <c r="E432" s="138" t="n">
        <v>26</v>
      </c>
      <c r="F432" s="138" t="n">
        <v>0</v>
      </c>
      <c r="G432" s="138" t="n">
        <v>0</v>
      </c>
    </row>
    <row r="433" customFormat="false" ht="15" hidden="false" customHeight="false" outlineLevel="0" collapsed="false">
      <c r="A433" s="138" t="s">
        <v>2095</v>
      </c>
      <c r="B433" s="138" t="n">
        <v>431</v>
      </c>
      <c r="C433" s="138" t="n">
        <v>432</v>
      </c>
      <c r="D433" s="138" t="n">
        <v>22</v>
      </c>
      <c r="E433" s="138" t="n">
        <v>38</v>
      </c>
      <c r="F433" s="138" t="n">
        <v>0</v>
      </c>
      <c r="G433" s="138" t="n">
        <v>0</v>
      </c>
    </row>
    <row r="434" customFormat="false" ht="15" hidden="false" customHeight="false" outlineLevel="0" collapsed="false">
      <c r="A434" s="138" t="s">
        <v>2096</v>
      </c>
      <c r="B434" s="138" t="n">
        <v>432</v>
      </c>
      <c r="C434" s="138" t="n">
        <v>433</v>
      </c>
      <c r="D434" s="138" t="n">
        <v>20</v>
      </c>
      <c r="E434" s="138" t="n">
        <v>20</v>
      </c>
      <c r="F434" s="138" t="n">
        <v>0</v>
      </c>
      <c r="G434" s="138" t="n">
        <v>0</v>
      </c>
    </row>
    <row r="435" customFormat="false" ht="15" hidden="false" customHeight="false" outlineLevel="0" collapsed="false">
      <c r="A435" s="138" t="s">
        <v>2097</v>
      </c>
      <c r="B435" s="138" t="n">
        <v>433</v>
      </c>
      <c r="C435" s="138" t="n">
        <v>434</v>
      </c>
      <c r="D435" s="138" t="n">
        <v>34</v>
      </c>
      <c r="E435" s="138" t="n">
        <v>20</v>
      </c>
      <c r="F435" s="138" t="n">
        <v>0</v>
      </c>
      <c r="G435" s="138" t="n">
        <v>0</v>
      </c>
    </row>
    <row r="436" customFormat="false" ht="15" hidden="false" customHeight="false" outlineLevel="0" collapsed="false">
      <c r="A436" s="138" t="s">
        <v>2098</v>
      </c>
      <c r="B436" s="138" t="n">
        <v>434</v>
      </c>
      <c r="C436" s="138" t="n">
        <v>435</v>
      </c>
      <c r="D436" s="138" t="n">
        <v>22</v>
      </c>
      <c r="E436" s="138" t="n">
        <v>26</v>
      </c>
      <c r="F436" s="138" t="n">
        <v>8</v>
      </c>
      <c r="G436" s="138" t="n">
        <v>0</v>
      </c>
    </row>
    <row r="437" customFormat="false" ht="15" hidden="false" customHeight="false" outlineLevel="0" collapsed="false">
      <c r="A437" s="138" t="s">
        <v>2099</v>
      </c>
      <c r="B437" s="138" t="n">
        <v>435</v>
      </c>
      <c r="C437" s="138" t="n">
        <v>436</v>
      </c>
      <c r="D437" s="138" t="n">
        <v>0</v>
      </c>
      <c r="E437" s="138" t="n">
        <v>27</v>
      </c>
      <c r="F437" s="138" t="n">
        <v>21</v>
      </c>
      <c r="G437" s="138" t="n">
        <v>0</v>
      </c>
    </row>
    <row r="438" customFormat="false" ht="15" hidden="false" customHeight="false" outlineLevel="0" collapsed="false">
      <c r="A438" s="138" t="s">
        <v>2100</v>
      </c>
      <c r="B438" s="138" t="n">
        <v>436</v>
      </c>
      <c r="C438" s="138" t="n">
        <v>437</v>
      </c>
      <c r="D438" s="138" t="n">
        <v>24</v>
      </c>
      <c r="E438" s="138" t="n">
        <v>20</v>
      </c>
      <c r="F438" s="138" t="n">
        <v>23</v>
      </c>
      <c r="G438" s="138" t="n">
        <v>0</v>
      </c>
    </row>
    <row r="439" customFormat="false" ht="15" hidden="false" customHeight="false" outlineLevel="0" collapsed="false">
      <c r="A439" s="138" t="s">
        <v>2101</v>
      </c>
      <c r="B439" s="138" t="n">
        <v>437</v>
      </c>
      <c r="C439" s="138" t="n">
        <v>438</v>
      </c>
      <c r="D439" s="138" t="n">
        <v>20</v>
      </c>
      <c r="E439" s="138" t="n">
        <v>20</v>
      </c>
      <c r="F439" s="138" t="n">
        <v>41</v>
      </c>
      <c r="G439" s="138" t="n">
        <v>0</v>
      </c>
    </row>
    <row r="440" customFormat="false" ht="15" hidden="false" customHeight="false" outlineLevel="0" collapsed="false">
      <c r="A440" s="138" t="s">
        <v>2102</v>
      </c>
      <c r="B440" s="138" t="n">
        <v>438</v>
      </c>
      <c r="C440" s="138" t="n">
        <v>439</v>
      </c>
      <c r="D440" s="138" t="n">
        <v>20</v>
      </c>
      <c r="E440" s="138" t="n">
        <v>21</v>
      </c>
      <c r="F440" s="138" t="n">
        <v>40</v>
      </c>
      <c r="G440" s="138" t="n">
        <v>0</v>
      </c>
    </row>
    <row r="441" customFormat="false" ht="15" hidden="false" customHeight="false" outlineLevel="0" collapsed="false">
      <c r="A441" s="138" t="s">
        <v>2103</v>
      </c>
      <c r="B441" s="138" t="n">
        <v>439</v>
      </c>
      <c r="C441" s="138" t="n">
        <v>440</v>
      </c>
      <c r="D441" s="138" t="n">
        <v>20</v>
      </c>
      <c r="E441" s="138" t="n">
        <v>20</v>
      </c>
      <c r="F441" s="138" t="n">
        <v>21</v>
      </c>
      <c r="G441" s="138" t="n">
        <v>0</v>
      </c>
    </row>
    <row r="442" customFormat="false" ht="15" hidden="false" customHeight="false" outlineLevel="0" collapsed="false">
      <c r="A442" s="138" t="s">
        <v>2104</v>
      </c>
      <c r="B442" s="138" t="n">
        <v>440</v>
      </c>
      <c r="C442" s="138" t="n">
        <v>441</v>
      </c>
      <c r="D442" s="138" t="n">
        <v>21</v>
      </c>
      <c r="E442" s="138" t="n">
        <v>20</v>
      </c>
      <c r="F442" s="138" t="n">
        <v>22</v>
      </c>
      <c r="G442" s="138" t="n">
        <v>0</v>
      </c>
    </row>
    <row r="443" customFormat="false" ht="15" hidden="false" customHeight="false" outlineLevel="0" collapsed="false">
      <c r="A443" s="138" t="s">
        <v>2105</v>
      </c>
      <c r="B443" s="138" t="n">
        <v>441</v>
      </c>
      <c r="C443" s="138" t="n">
        <v>442</v>
      </c>
      <c r="D443" s="138" t="n">
        <v>23</v>
      </c>
      <c r="E443" s="138" t="n">
        <v>18</v>
      </c>
      <c r="F443" s="138" t="n">
        <v>20</v>
      </c>
      <c r="G443" s="138" t="n">
        <v>0</v>
      </c>
    </row>
    <row r="444" customFormat="false" ht="15" hidden="false" customHeight="false" outlineLevel="0" collapsed="false">
      <c r="A444" s="138" t="s">
        <v>2106</v>
      </c>
      <c r="B444" s="138" t="n">
        <v>442</v>
      </c>
      <c r="C444" s="138" t="n">
        <v>443</v>
      </c>
      <c r="D444" s="138" t="n">
        <v>21</v>
      </c>
      <c r="E444" s="138" t="n">
        <v>19</v>
      </c>
      <c r="F444" s="138" t="n">
        <v>21</v>
      </c>
      <c r="G444" s="138" t="n">
        <v>0</v>
      </c>
    </row>
    <row r="445" customFormat="false" ht="15" hidden="false" customHeight="false" outlineLevel="0" collapsed="false">
      <c r="A445" s="138" t="s">
        <v>2107</v>
      </c>
      <c r="B445" s="138" t="n">
        <v>443</v>
      </c>
      <c r="C445" s="138" t="n">
        <v>444</v>
      </c>
      <c r="D445" s="138" t="n">
        <v>20</v>
      </c>
      <c r="E445" s="138" t="n">
        <v>20</v>
      </c>
      <c r="F445" s="138" t="n">
        <v>21</v>
      </c>
      <c r="G445" s="138" t="n">
        <v>0</v>
      </c>
    </row>
    <row r="446" customFormat="false" ht="15" hidden="false" customHeight="false" outlineLevel="0" collapsed="false">
      <c r="A446" s="138" t="s">
        <v>2108</v>
      </c>
      <c r="B446" s="138" t="n">
        <v>444</v>
      </c>
      <c r="C446" s="138" t="n">
        <v>445</v>
      </c>
      <c r="D446" s="138" t="n">
        <v>20</v>
      </c>
      <c r="E446" s="138" t="n">
        <v>20</v>
      </c>
      <c r="F446" s="138" t="n">
        <v>20</v>
      </c>
      <c r="G446" s="138" t="n">
        <v>0</v>
      </c>
    </row>
    <row r="447" customFormat="false" ht="15" hidden="false" customHeight="false" outlineLevel="0" collapsed="false">
      <c r="A447" s="138" t="s">
        <v>2109</v>
      </c>
      <c r="B447" s="138" t="n">
        <v>445</v>
      </c>
      <c r="C447" s="138" t="n">
        <v>446</v>
      </c>
      <c r="D447" s="138" t="n">
        <v>19</v>
      </c>
      <c r="E447" s="138" t="n">
        <v>21</v>
      </c>
      <c r="F447" s="138" t="n">
        <v>20</v>
      </c>
      <c r="G447" s="138" t="n">
        <v>0</v>
      </c>
    </row>
    <row r="448" customFormat="false" ht="15" hidden="false" customHeight="false" outlineLevel="0" collapsed="false">
      <c r="A448" s="138" t="s">
        <v>2110</v>
      </c>
      <c r="B448" s="138" t="n">
        <v>446</v>
      </c>
      <c r="C448" s="138" t="n">
        <v>447</v>
      </c>
      <c r="D448" s="138" t="n">
        <v>19</v>
      </c>
      <c r="E448" s="138" t="n">
        <v>37</v>
      </c>
      <c r="F448" s="138" t="n">
        <v>21</v>
      </c>
      <c r="G448" s="138" t="n">
        <v>0</v>
      </c>
    </row>
    <row r="449" customFormat="false" ht="15" hidden="false" customHeight="false" outlineLevel="0" collapsed="false">
      <c r="A449" s="138" t="s">
        <v>2111</v>
      </c>
      <c r="B449" s="138" t="n">
        <v>447</v>
      </c>
      <c r="C449" s="138" t="n">
        <v>448</v>
      </c>
      <c r="D449" s="138" t="n">
        <v>18</v>
      </c>
      <c r="E449" s="138" t="n">
        <v>19</v>
      </c>
      <c r="F449" s="138" t="n">
        <v>20</v>
      </c>
      <c r="G449" s="138" t="n">
        <v>0</v>
      </c>
    </row>
    <row r="450" customFormat="false" ht="15" hidden="false" customHeight="false" outlineLevel="0" collapsed="false">
      <c r="A450" s="138" t="s">
        <v>2112</v>
      </c>
      <c r="B450" s="138" t="n">
        <v>448</v>
      </c>
      <c r="C450" s="138" t="n">
        <v>449</v>
      </c>
      <c r="D450" s="138" t="n">
        <v>18</v>
      </c>
      <c r="E450" s="138" t="n">
        <v>20</v>
      </c>
      <c r="F450" s="138" t="n">
        <v>20</v>
      </c>
      <c r="G450" s="138" t="n">
        <v>0</v>
      </c>
    </row>
    <row r="451" customFormat="false" ht="15" hidden="false" customHeight="false" outlineLevel="0" collapsed="false">
      <c r="A451" s="138" t="s">
        <v>2113</v>
      </c>
      <c r="B451" s="138" t="n">
        <v>449</v>
      </c>
      <c r="C451" s="138" t="n">
        <v>450</v>
      </c>
      <c r="D451" s="138" t="n">
        <v>19</v>
      </c>
      <c r="E451" s="138" t="n">
        <v>20</v>
      </c>
      <c r="F451" s="138" t="n">
        <v>20</v>
      </c>
      <c r="G451" s="138" t="n">
        <v>0</v>
      </c>
    </row>
    <row r="452" customFormat="false" ht="15" hidden="false" customHeight="false" outlineLevel="0" collapsed="false">
      <c r="A452" s="138" t="s">
        <v>2114</v>
      </c>
      <c r="B452" s="138" t="n">
        <v>450</v>
      </c>
      <c r="C452" s="138" t="n">
        <v>451</v>
      </c>
      <c r="D452" s="138" t="n">
        <v>18</v>
      </c>
      <c r="E452" s="138" t="n">
        <v>20</v>
      </c>
      <c r="F452" s="138" t="n">
        <v>20</v>
      </c>
      <c r="G452" s="138" t="n">
        <v>0</v>
      </c>
    </row>
    <row r="453" customFormat="false" ht="15" hidden="false" customHeight="false" outlineLevel="0" collapsed="false">
      <c r="A453" s="138" t="s">
        <v>2115</v>
      </c>
      <c r="B453" s="138" t="n">
        <v>451</v>
      </c>
      <c r="C453" s="138" t="n">
        <v>452</v>
      </c>
      <c r="D453" s="138" t="n">
        <v>18</v>
      </c>
      <c r="E453" s="138" t="n">
        <v>21</v>
      </c>
      <c r="F453" s="138" t="n">
        <v>20</v>
      </c>
      <c r="G453" s="138" t="n">
        <v>0</v>
      </c>
    </row>
    <row r="454" customFormat="false" ht="15" hidden="false" customHeight="false" outlineLevel="0" collapsed="false">
      <c r="A454" s="138" t="s">
        <v>2116</v>
      </c>
      <c r="B454" s="138" t="n">
        <v>452</v>
      </c>
      <c r="C454" s="138" t="n">
        <v>453</v>
      </c>
      <c r="D454" s="138" t="n">
        <v>18</v>
      </c>
      <c r="E454" s="138" t="n">
        <v>24</v>
      </c>
      <c r="F454" s="138" t="n">
        <v>21</v>
      </c>
      <c r="G454" s="138" t="n">
        <v>0</v>
      </c>
    </row>
    <row r="455" customFormat="false" ht="15" hidden="false" customHeight="false" outlineLevel="0" collapsed="false">
      <c r="A455" s="138" t="s">
        <v>2117</v>
      </c>
      <c r="B455" s="138" t="n">
        <v>453</v>
      </c>
      <c r="C455" s="138" t="n">
        <v>454</v>
      </c>
      <c r="D455" s="138" t="n">
        <v>20</v>
      </c>
      <c r="E455" s="138" t="n">
        <v>20</v>
      </c>
      <c r="F455" s="138" t="n">
        <v>20</v>
      </c>
      <c r="G455" s="138" t="n">
        <v>0</v>
      </c>
    </row>
    <row r="456" customFormat="false" ht="15" hidden="false" customHeight="false" outlineLevel="0" collapsed="false">
      <c r="A456" s="138" t="s">
        <v>2118</v>
      </c>
      <c r="B456" s="138" t="n">
        <v>454</v>
      </c>
      <c r="C456" s="138" t="n">
        <v>455</v>
      </c>
      <c r="D456" s="138" t="n">
        <v>20</v>
      </c>
      <c r="E456" s="138" t="n">
        <v>7</v>
      </c>
      <c r="F456" s="138" t="n">
        <v>20</v>
      </c>
      <c r="G456" s="138" t="n">
        <v>0</v>
      </c>
    </row>
    <row r="457" customFormat="false" ht="15" hidden="false" customHeight="false" outlineLevel="0" collapsed="false">
      <c r="A457" s="138" t="s">
        <v>2119</v>
      </c>
      <c r="B457" s="138" t="n">
        <v>455</v>
      </c>
      <c r="C457" s="138" t="n">
        <v>456</v>
      </c>
      <c r="D457" s="138" t="n">
        <v>18</v>
      </c>
      <c r="E457" s="138" t="n">
        <v>14</v>
      </c>
      <c r="F457" s="138" t="n">
        <v>21</v>
      </c>
      <c r="G457" s="138" t="n">
        <v>0</v>
      </c>
    </row>
    <row r="458" customFormat="false" ht="15" hidden="false" customHeight="false" outlineLevel="0" collapsed="false">
      <c r="A458" s="138" t="s">
        <v>2121</v>
      </c>
      <c r="B458" s="138" t="n">
        <v>456</v>
      </c>
      <c r="C458" s="138" t="n">
        <v>457</v>
      </c>
      <c r="D458" s="138" t="n">
        <v>19</v>
      </c>
      <c r="E458" s="138" t="n">
        <v>19</v>
      </c>
      <c r="F458" s="138" t="n">
        <v>20</v>
      </c>
      <c r="G458" s="138" t="n">
        <v>0</v>
      </c>
    </row>
    <row r="459" customFormat="false" ht="15" hidden="false" customHeight="false" outlineLevel="0" collapsed="false">
      <c r="A459" s="138" t="s">
        <v>2122</v>
      </c>
      <c r="B459" s="138" t="n">
        <v>457</v>
      </c>
      <c r="C459" s="138" t="n">
        <v>458</v>
      </c>
      <c r="D459" s="138" t="n">
        <v>18</v>
      </c>
      <c r="E459" s="138" t="n">
        <v>19</v>
      </c>
      <c r="F459" s="138" t="n">
        <v>44</v>
      </c>
      <c r="G459" s="138" t="n">
        <v>0</v>
      </c>
    </row>
    <row r="460" customFormat="false" ht="15" hidden="false" customHeight="false" outlineLevel="0" collapsed="false">
      <c r="A460" s="138" t="s">
        <v>2123</v>
      </c>
      <c r="B460" s="138" t="n">
        <v>458</v>
      </c>
      <c r="C460" s="138" t="n">
        <v>459</v>
      </c>
      <c r="D460" s="138" t="n">
        <v>18</v>
      </c>
      <c r="E460" s="138" t="n">
        <v>19</v>
      </c>
      <c r="F460" s="138" t="n">
        <v>21</v>
      </c>
      <c r="G460" s="138" t="n">
        <v>0</v>
      </c>
    </row>
    <row r="461" customFormat="false" ht="15" hidden="false" customHeight="false" outlineLevel="0" collapsed="false">
      <c r="A461" s="138" t="s">
        <v>2124</v>
      </c>
      <c r="B461" s="138" t="n">
        <v>459</v>
      </c>
      <c r="C461" s="138" t="n">
        <v>460</v>
      </c>
      <c r="D461" s="138" t="n">
        <v>20</v>
      </c>
      <c r="E461" s="138" t="n">
        <v>3</v>
      </c>
      <c r="F461" s="138" t="n">
        <v>21</v>
      </c>
      <c r="G461" s="138" t="n">
        <v>1</v>
      </c>
    </row>
    <row r="462" customFormat="false" ht="15" hidden="false" customHeight="false" outlineLevel="0" collapsed="false">
      <c r="A462" s="138" t="s">
        <v>2125</v>
      </c>
      <c r="B462" s="138" t="n">
        <v>460</v>
      </c>
      <c r="C462" s="138" t="n">
        <v>461</v>
      </c>
      <c r="D462" s="138" t="n">
        <v>19</v>
      </c>
      <c r="E462" s="138" t="n">
        <v>20</v>
      </c>
      <c r="F462" s="138" t="n">
        <v>21</v>
      </c>
      <c r="G462" s="138" t="n">
        <v>20</v>
      </c>
    </row>
    <row r="463" customFormat="false" ht="15" hidden="false" customHeight="false" outlineLevel="0" collapsed="false">
      <c r="A463" s="138" t="s">
        <v>2127</v>
      </c>
      <c r="B463" s="138" t="n">
        <v>461</v>
      </c>
      <c r="C463" s="138" t="n">
        <v>462</v>
      </c>
      <c r="D463" s="138" t="n">
        <v>19</v>
      </c>
      <c r="E463" s="138" t="n">
        <v>20</v>
      </c>
      <c r="F463" s="138" t="n">
        <v>20</v>
      </c>
      <c r="G463" s="138" t="n">
        <v>22</v>
      </c>
    </row>
    <row r="464" customFormat="false" ht="15" hidden="false" customHeight="false" outlineLevel="0" collapsed="false">
      <c r="A464" s="138" t="s">
        <v>2128</v>
      </c>
      <c r="B464" s="138" t="n">
        <v>462</v>
      </c>
      <c r="C464" s="138" t="n">
        <v>463</v>
      </c>
      <c r="D464" s="138" t="n">
        <v>25</v>
      </c>
      <c r="E464" s="138" t="n">
        <v>20</v>
      </c>
      <c r="F464" s="138" t="n">
        <v>19</v>
      </c>
      <c r="G464" s="138" t="n">
        <v>20</v>
      </c>
    </row>
    <row r="465" customFormat="false" ht="15" hidden="false" customHeight="false" outlineLevel="0" collapsed="false">
      <c r="A465" s="138" t="s">
        <v>2129</v>
      </c>
      <c r="B465" s="138" t="n">
        <v>463</v>
      </c>
      <c r="C465" s="138" t="n">
        <v>464</v>
      </c>
      <c r="D465" s="138" t="n">
        <v>23</v>
      </c>
      <c r="E465" s="138" t="n">
        <v>21</v>
      </c>
      <c r="F465" s="138" t="n">
        <v>0</v>
      </c>
      <c r="G465" s="138" t="n">
        <v>20</v>
      </c>
    </row>
    <row r="466" customFormat="false" ht="15" hidden="false" customHeight="false" outlineLevel="0" collapsed="false">
      <c r="A466" s="138" t="s">
        <v>2130</v>
      </c>
      <c r="B466" s="138" t="n">
        <v>464</v>
      </c>
      <c r="C466" s="138" t="n">
        <v>465</v>
      </c>
      <c r="D466" s="138" t="n">
        <v>10</v>
      </c>
      <c r="E466" s="138" t="n">
        <v>20</v>
      </c>
      <c r="F466" s="138" t="n">
        <v>16</v>
      </c>
      <c r="G466" s="138" t="n">
        <v>20</v>
      </c>
    </row>
    <row r="467" customFormat="false" ht="15" hidden="false" customHeight="false" outlineLevel="0" collapsed="false">
      <c r="A467" s="138" t="s">
        <v>2131</v>
      </c>
      <c r="B467" s="138" t="n">
        <v>465</v>
      </c>
      <c r="C467" s="138" t="n">
        <v>466</v>
      </c>
      <c r="D467" s="138" t="n">
        <v>25</v>
      </c>
      <c r="E467" s="138" t="n">
        <v>36</v>
      </c>
      <c r="F467" s="138" t="n">
        <v>21</v>
      </c>
      <c r="G467" s="138" t="n">
        <v>27</v>
      </c>
    </row>
    <row r="468" customFormat="false" ht="15" hidden="false" customHeight="false" outlineLevel="0" collapsed="false">
      <c r="A468" s="138" t="s">
        <v>2133</v>
      </c>
      <c r="B468" s="138" t="n">
        <v>466</v>
      </c>
      <c r="C468" s="138" t="n">
        <v>467</v>
      </c>
      <c r="D468" s="138" t="n">
        <v>33</v>
      </c>
      <c r="E468" s="138" t="n">
        <v>77</v>
      </c>
      <c r="F468" s="138" t="n">
        <v>25</v>
      </c>
      <c r="G468" s="138" t="n">
        <v>80</v>
      </c>
    </row>
    <row r="469" customFormat="false" ht="15" hidden="false" customHeight="false" outlineLevel="0" collapsed="false">
      <c r="A469" s="138" t="s">
        <v>2135</v>
      </c>
      <c r="B469" s="138" t="n">
        <v>467</v>
      </c>
      <c r="C469" s="138" t="n">
        <v>468</v>
      </c>
      <c r="D469" s="138" t="n">
        <v>20</v>
      </c>
      <c r="E469" s="138" t="n">
        <v>20</v>
      </c>
      <c r="F469" s="138" t="n">
        <v>21</v>
      </c>
      <c r="G469" s="138" t="n">
        <v>0</v>
      </c>
    </row>
    <row r="470" customFormat="false" ht="15" hidden="false" customHeight="false" outlineLevel="0" collapsed="false">
      <c r="A470" s="138" t="s">
        <v>2136</v>
      </c>
      <c r="B470" s="138" t="n">
        <v>468</v>
      </c>
      <c r="C470" s="138" t="n">
        <v>469</v>
      </c>
      <c r="D470" s="138" t="n">
        <v>25</v>
      </c>
      <c r="E470" s="138" t="n">
        <v>26</v>
      </c>
      <c r="F470" s="138" t="n">
        <v>28</v>
      </c>
      <c r="G470" s="138" t="n">
        <v>0</v>
      </c>
    </row>
    <row r="471" customFormat="false" ht="15" hidden="false" customHeight="false" outlineLevel="0" collapsed="false">
      <c r="A471" s="138" t="s">
        <v>2137</v>
      </c>
      <c r="B471" s="138" t="n">
        <v>469</v>
      </c>
      <c r="C471" s="138" t="n">
        <v>470</v>
      </c>
      <c r="D471" s="138" t="n">
        <v>25</v>
      </c>
      <c r="E471" s="138" t="n">
        <v>38</v>
      </c>
      <c r="F471" s="138" t="n">
        <v>23</v>
      </c>
      <c r="G471" s="138" t="n">
        <v>0</v>
      </c>
    </row>
    <row r="472" customFormat="false" ht="15" hidden="false" customHeight="false" outlineLevel="0" collapsed="false">
      <c r="A472" s="138" t="s">
        <v>2138</v>
      </c>
      <c r="B472" s="138" t="n">
        <v>470</v>
      </c>
      <c r="C472" s="138" t="n">
        <v>471</v>
      </c>
      <c r="D472" s="138" t="n">
        <v>24</v>
      </c>
      <c r="E472" s="138" t="n">
        <v>29</v>
      </c>
      <c r="F472" s="138" t="n">
        <v>24</v>
      </c>
      <c r="G472" s="138" t="n">
        <v>0</v>
      </c>
    </row>
    <row r="473" customFormat="false" ht="15" hidden="false" customHeight="false" outlineLevel="0" collapsed="false">
      <c r="A473" s="138" t="s">
        <v>2139</v>
      </c>
      <c r="B473" s="138" t="n">
        <v>471</v>
      </c>
      <c r="C473" s="138" t="n">
        <v>472</v>
      </c>
      <c r="D473" s="138" t="n">
        <v>33</v>
      </c>
      <c r="E473" s="138" t="n">
        <v>26</v>
      </c>
      <c r="F473" s="138" t="n">
        <v>27</v>
      </c>
      <c r="G473" s="138" t="n">
        <v>0</v>
      </c>
    </row>
    <row r="474" customFormat="false" ht="15" hidden="false" customHeight="false" outlineLevel="0" collapsed="false">
      <c r="A474" s="138" t="s">
        <v>2140</v>
      </c>
      <c r="B474" s="138" t="n">
        <v>472</v>
      </c>
      <c r="C474" s="138" t="n">
        <v>473</v>
      </c>
      <c r="D474" s="138" t="n">
        <v>20</v>
      </c>
      <c r="E474" s="138" t="n">
        <v>23</v>
      </c>
      <c r="F474" s="138" t="n">
        <v>20</v>
      </c>
      <c r="G474" s="138" t="n">
        <v>0</v>
      </c>
    </row>
    <row r="475" customFormat="false" ht="15" hidden="false" customHeight="false" outlineLevel="0" collapsed="false">
      <c r="A475" s="138" t="s">
        <v>2141</v>
      </c>
      <c r="B475" s="138" t="n">
        <v>473</v>
      </c>
      <c r="C475" s="138" t="n">
        <v>474</v>
      </c>
      <c r="D475" s="138" t="n">
        <v>29</v>
      </c>
      <c r="E475" s="138" t="n">
        <v>27</v>
      </c>
      <c r="F475" s="138" t="n">
        <v>13</v>
      </c>
      <c r="G475" s="138" t="n">
        <v>0</v>
      </c>
    </row>
    <row r="476" customFormat="false" ht="15" hidden="false" customHeight="false" outlineLevel="0" collapsed="false">
      <c r="A476" s="138" t="s">
        <v>2142</v>
      </c>
      <c r="B476" s="138" t="n">
        <v>474</v>
      </c>
      <c r="C476" s="138" t="n">
        <v>475</v>
      </c>
      <c r="D476" s="138" t="n">
        <v>9</v>
      </c>
      <c r="E476" s="138" t="n">
        <v>20</v>
      </c>
      <c r="F476" s="138" t="n">
        <v>0</v>
      </c>
      <c r="G476" s="138" t="n">
        <v>0</v>
      </c>
    </row>
    <row r="477" customFormat="false" ht="15" hidden="false" customHeight="false" outlineLevel="0" collapsed="false">
      <c r="A477" s="138" t="s">
        <v>2143</v>
      </c>
      <c r="B477" s="138" t="n">
        <v>475</v>
      </c>
      <c r="C477" s="138" t="n">
        <v>476</v>
      </c>
      <c r="D477" s="138" t="n">
        <v>21</v>
      </c>
      <c r="E477" s="138" t="n">
        <v>20</v>
      </c>
      <c r="F477" s="138" t="n">
        <v>0</v>
      </c>
      <c r="G477" s="138" t="n">
        <v>0</v>
      </c>
    </row>
    <row r="478" customFormat="false" ht="15" hidden="false" customHeight="false" outlineLevel="0" collapsed="false">
      <c r="A478" s="138" t="s">
        <v>2144</v>
      </c>
      <c r="B478" s="138" t="n">
        <v>476</v>
      </c>
      <c r="C478" s="138" t="n">
        <v>477</v>
      </c>
      <c r="D478" s="138" t="n">
        <v>22</v>
      </c>
      <c r="E478" s="138" t="n">
        <v>20</v>
      </c>
      <c r="F478" s="138" t="n">
        <v>0</v>
      </c>
      <c r="G478" s="138" t="n">
        <v>0</v>
      </c>
    </row>
    <row r="479" customFormat="false" ht="15" hidden="false" customHeight="false" outlineLevel="0" collapsed="false">
      <c r="A479" s="138" t="s">
        <v>2146</v>
      </c>
      <c r="B479" s="138" t="n">
        <v>477</v>
      </c>
      <c r="C479" s="138" t="n">
        <v>478</v>
      </c>
      <c r="D479" s="138" t="n">
        <v>22</v>
      </c>
      <c r="E479" s="138" t="n">
        <v>20</v>
      </c>
      <c r="F479" s="138" t="n">
        <v>0</v>
      </c>
      <c r="G479" s="138" t="n">
        <v>0</v>
      </c>
    </row>
    <row r="480" customFormat="false" ht="15" hidden="false" customHeight="false" outlineLevel="0" collapsed="false">
      <c r="A480" s="138" t="s">
        <v>2147</v>
      </c>
      <c r="B480" s="138" t="n">
        <v>478</v>
      </c>
      <c r="C480" s="138" t="n">
        <v>479</v>
      </c>
      <c r="D480" s="138" t="n">
        <v>21</v>
      </c>
      <c r="E480" s="138" t="n">
        <v>21</v>
      </c>
      <c r="F480" s="138" t="n">
        <v>0</v>
      </c>
      <c r="G480" s="138" t="n">
        <v>0</v>
      </c>
    </row>
    <row r="481" customFormat="false" ht="15" hidden="false" customHeight="false" outlineLevel="0" collapsed="false">
      <c r="A481" s="138" t="s">
        <v>2148</v>
      </c>
      <c r="B481" s="138" t="n">
        <v>479</v>
      </c>
      <c r="C481" s="138" t="n">
        <v>480</v>
      </c>
      <c r="D481" s="138" t="n">
        <v>20</v>
      </c>
      <c r="E481" s="138" t="n">
        <v>20</v>
      </c>
      <c r="F481" s="138" t="n">
        <v>0</v>
      </c>
      <c r="G481" s="138" t="n">
        <v>0</v>
      </c>
    </row>
    <row r="482" customFormat="false" ht="15" hidden="false" customHeight="false" outlineLevel="0" collapsed="false">
      <c r="A482" s="138" t="s">
        <v>2149</v>
      </c>
      <c r="B482" s="138" t="n">
        <v>480</v>
      </c>
      <c r="C482" s="138" t="n">
        <v>481</v>
      </c>
      <c r="D482" s="138" t="n">
        <v>22</v>
      </c>
      <c r="E482" s="138" t="n">
        <v>20</v>
      </c>
      <c r="F482" s="138" t="n">
        <v>0</v>
      </c>
      <c r="G482" s="138" t="n">
        <v>0</v>
      </c>
    </row>
    <row r="483" customFormat="false" ht="15" hidden="false" customHeight="false" outlineLevel="0" collapsed="false">
      <c r="A483" s="138" t="s">
        <v>2150</v>
      </c>
      <c r="B483" s="138" t="n">
        <v>481</v>
      </c>
      <c r="C483" s="138" t="n">
        <v>482</v>
      </c>
      <c r="D483" s="138" t="n">
        <v>21</v>
      </c>
      <c r="E483" s="138" t="n">
        <v>19</v>
      </c>
      <c r="F483" s="138" t="n">
        <v>0</v>
      </c>
      <c r="G483" s="138" t="n">
        <v>0</v>
      </c>
    </row>
    <row r="484" customFormat="false" ht="15" hidden="false" customHeight="false" outlineLevel="0" collapsed="false">
      <c r="A484" s="138" t="s">
        <v>2151</v>
      </c>
      <c r="B484" s="138" t="n">
        <v>482</v>
      </c>
      <c r="C484" s="138" t="n">
        <v>483</v>
      </c>
      <c r="D484" s="138" t="n">
        <v>22</v>
      </c>
      <c r="E484" s="138" t="n">
        <v>21</v>
      </c>
      <c r="F484" s="138" t="n">
        <v>0</v>
      </c>
      <c r="G484" s="138" t="n">
        <v>0</v>
      </c>
    </row>
    <row r="485" customFormat="false" ht="15" hidden="false" customHeight="false" outlineLevel="0" collapsed="false">
      <c r="A485" s="138" t="s">
        <v>2152</v>
      </c>
      <c r="B485" s="138" t="n">
        <v>483</v>
      </c>
      <c r="C485" s="138" t="n">
        <v>484</v>
      </c>
      <c r="D485" s="138" t="n">
        <v>20</v>
      </c>
      <c r="E485" s="138" t="n">
        <v>17</v>
      </c>
      <c r="F485" s="138" t="n">
        <v>0</v>
      </c>
      <c r="G485" s="138" t="n">
        <v>0</v>
      </c>
    </row>
    <row r="486" customFormat="false" ht="15" hidden="false" customHeight="false" outlineLevel="0" collapsed="false">
      <c r="A486" s="138" t="s">
        <v>2153</v>
      </c>
      <c r="B486" s="138" t="n">
        <v>484</v>
      </c>
      <c r="C486" s="138" t="n">
        <v>485</v>
      </c>
      <c r="D486" s="138" t="n">
        <v>22</v>
      </c>
      <c r="E486" s="138" t="n">
        <v>6</v>
      </c>
      <c r="F486" s="138" t="n">
        <v>0</v>
      </c>
      <c r="G486" s="138" t="n">
        <v>2</v>
      </c>
    </row>
    <row r="487" customFormat="false" ht="15" hidden="false" customHeight="false" outlineLevel="0" collapsed="false">
      <c r="A487" s="138" t="s">
        <v>2155</v>
      </c>
      <c r="B487" s="138" t="n">
        <v>485</v>
      </c>
      <c r="C487" s="138" t="n">
        <v>486</v>
      </c>
      <c r="D487" s="138" t="n">
        <v>21</v>
      </c>
      <c r="E487" s="138" t="n">
        <v>21</v>
      </c>
      <c r="F487" s="138" t="n">
        <v>0</v>
      </c>
      <c r="G487" s="138" t="n">
        <v>20</v>
      </c>
    </row>
    <row r="488" customFormat="false" ht="15" hidden="false" customHeight="false" outlineLevel="0" collapsed="false">
      <c r="A488" s="138" t="s">
        <v>2156</v>
      </c>
      <c r="B488" s="138" t="n">
        <v>486</v>
      </c>
      <c r="C488" s="138" t="n">
        <v>487</v>
      </c>
      <c r="D488" s="138" t="n">
        <v>30</v>
      </c>
      <c r="E488" s="138" t="n">
        <v>20</v>
      </c>
      <c r="F488" s="138" t="n">
        <v>0</v>
      </c>
      <c r="G488" s="138" t="n">
        <v>20</v>
      </c>
    </row>
    <row r="489" customFormat="false" ht="15" hidden="false" customHeight="false" outlineLevel="0" collapsed="false">
      <c r="A489" s="138" t="s">
        <v>2157</v>
      </c>
      <c r="B489" s="138" t="n">
        <v>487</v>
      </c>
      <c r="C489" s="138" t="n">
        <v>488</v>
      </c>
      <c r="D489" s="138" t="n">
        <v>20</v>
      </c>
      <c r="E489" s="138" t="n">
        <v>21</v>
      </c>
      <c r="F489" s="138" t="n">
        <v>0</v>
      </c>
      <c r="G489" s="138" t="n">
        <v>20</v>
      </c>
    </row>
    <row r="490" customFormat="false" ht="15" hidden="false" customHeight="false" outlineLevel="0" collapsed="false">
      <c r="A490" s="138" t="s">
        <v>2158</v>
      </c>
      <c r="B490" s="138" t="n">
        <v>488</v>
      </c>
      <c r="C490" s="138" t="n">
        <v>489</v>
      </c>
      <c r="D490" s="138" t="n">
        <v>19</v>
      </c>
      <c r="E490" s="138" t="n">
        <v>21</v>
      </c>
      <c r="F490" s="138" t="n">
        <v>0</v>
      </c>
      <c r="G490" s="138" t="n">
        <v>21</v>
      </c>
    </row>
    <row r="491" customFormat="false" ht="15" hidden="false" customHeight="false" outlineLevel="0" collapsed="false">
      <c r="A491" s="138" t="s">
        <v>2159</v>
      </c>
      <c r="B491" s="138" t="n">
        <v>489</v>
      </c>
      <c r="C491" s="138" t="n">
        <v>490</v>
      </c>
      <c r="D491" s="138" t="n">
        <v>18</v>
      </c>
      <c r="E491" s="138" t="n">
        <v>23</v>
      </c>
      <c r="F491" s="138" t="n">
        <v>0</v>
      </c>
      <c r="G491" s="138" t="n">
        <v>20</v>
      </c>
    </row>
    <row r="492" customFormat="false" ht="15" hidden="false" customHeight="false" outlineLevel="0" collapsed="false">
      <c r="A492" s="138" t="s">
        <v>2160</v>
      </c>
      <c r="B492" s="138" t="n">
        <v>490</v>
      </c>
      <c r="C492" s="138" t="n">
        <v>491</v>
      </c>
      <c r="D492" s="138" t="n">
        <v>19</v>
      </c>
      <c r="E492" s="138" t="n">
        <v>22</v>
      </c>
      <c r="F492" s="138" t="n">
        <v>0</v>
      </c>
      <c r="G492" s="138" t="n">
        <v>20</v>
      </c>
    </row>
    <row r="493" customFormat="false" ht="15" hidden="false" customHeight="false" outlineLevel="0" collapsed="false">
      <c r="A493" s="138" t="s">
        <v>2161</v>
      </c>
      <c r="B493" s="138" t="n">
        <v>491</v>
      </c>
      <c r="C493" s="138" t="n">
        <v>492</v>
      </c>
      <c r="D493" s="138" t="n">
        <v>18</v>
      </c>
      <c r="E493" s="138" t="n">
        <v>20</v>
      </c>
      <c r="F493" s="138" t="n">
        <v>0</v>
      </c>
      <c r="G493" s="138" t="n">
        <v>21</v>
      </c>
    </row>
    <row r="494" customFormat="false" ht="15" hidden="false" customHeight="false" outlineLevel="0" collapsed="false">
      <c r="A494" s="138" t="s">
        <v>1585</v>
      </c>
      <c r="B494" s="138" t="n">
        <v>492</v>
      </c>
      <c r="C494" s="138" t="n">
        <v>493</v>
      </c>
      <c r="D494" s="138" t="n">
        <v>20</v>
      </c>
      <c r="E494" s="138" t="n">
        <v>21</v>
      </c>
      <c r="F494" s="138" t="n">
        <v>0</v>
      </c>
      <c r="G494" s="138" t="n">
        <v>21</v>
      </c>
    </row>
    <row r="495" customFormat="false" ht="15" hidden="false" customHeight="false" outlineLevel="0" collapsed="false">
      <c r="A495" s="138" t="s">
        <v>2162</v>
      </c>
      <c r="B495" s="138" t="n">
        <v>493</v>
      </c>
      <c r="C495" s="138" t="n">
        <v>494</v>
      </c>
      <c r="D495" s="138" t="n">
        <v>19</v>
      </c>
      <c r="E495" s="138" t="n">
        <v>21</v>
      </c>
      <c r="F495" s="138" t="n">
        <v>0</v>
      </c>
      <c r="G495" s="138" t="n">
        <v>20</v>
      </c>
    </row>
    <row r="496" customFormat="false" ht="15" hidden="false" customHeight="false" outlineLevel="0" collapsed="false">
      <c r="A496" s="138" t="s">
        <v>2163</v>
      </c>
      <c r="B496" s="138" t="n">
        <v>494</v>
      </c>
      <c r="C496" s="138" t="n">
        <v>495</v>
      </c>
      <c r="D496" s="138" t="n">
        <v>20</v>
      </c>
      <c r="E496" s="138" t="n">
        <v>10</v>
      </c>
      <c r="F496" s="138" t="n">
        <v>0</v>
      </c>
      <c r="G496" s="138" t="n">
        <v>14</v>
      </c>
    </row>
    <row r="497" customFormat="false" ht="15" hidden="false" customHeight="false" outlineLevel="0" collapsed="false">
      <c r="A497" s="138" t="s">
        <v>2164</v>
      </c>
      <c r="B497" s="138" t="n">
        <v>495</v>
      </c>
      <c r="C497" s="138" t="n">
        <v>496</v>
      </c>
      <c r="D497" s="138" t="n">
        <v>20</v>
      </c>
      <c r="E497" s="138" t="n">
        <v>0</v>
      </c>
      <c r="F497" s="138" t="n">
        <v>0</v>
      </c>
      <c r="G497" s="138" t="n">
        <v>0</v>
      </c>
    </row>
    <row r="498" customFormat="false" ht="15" hidden="false" customHeight="false" outlineLevel="0" collapsed="false">
      <c r="A498" s="138" t="s">
        <v>1589</v>
      </c>
      <c r="B498" s="138" t="n">
        <v>496</v>
      </c>
      <c r="C498" s="138" t="n">
        <v>497</v>
      </c>
      <c r="D498" s="138" t="n">
        <v>20</v>
      </c>
      <c r="E498" s="138" t="n">
        <v>17</v>
      </c>
      <c r="F498" s="138" t="n">
        <v>0</v>
      </c>
      <c r="G498" s="138" t="n">
        <v>22</v>
      </c>
    </row>
    <row r="499" customFormat="false" ht="15" hidden="false" customHeight="false" outlineLevel="0" collapsed="false">
      <c r="A499" s="138" t="s">
        <v>2167</v>
      </c>
      <c r="B499" s="138" t="n">
        <v>497</v>
      </c>
      <c r="C499" s="138" t="n">
        <v>498</v>
      </c>
      <c r="D499" s="138" t="n">
        <v>20</v>
      </c>
      <c r="E499" s="138" t="n">
        <v>20</v>
      </c>
      <c r="F499" s="138" t="n">
        <v>0</v>
      </c>
      <c r="G499" s="138" t="n">
        <v>20</v>
      </c>
    </row>
    <row r="500" customFormat="false" ht="15" hidden="false" customHeight="false" outlineLevel="0" collapsed="false">
      <c r="A500" s="138" t="s">
        <v>2168</v>
      </c>
      <c r="B500" s="138" t="n">
        <v>498</v>
      </c>
      <c r="C500" s="138" t="n">
        <v>499</v>
      </c>
      <c r="D500" s="138" t="n">
        <v>19</v>
      </c>
      <c r="E500" s="138" t="n">
        <v>20</v>
      </c>
      <c r="F500" s="138" t="n">
        <v>0</v>
      </c>
      <c r="G500" s="138" t="n">
        <v>1</v>
      </c>
    </row>
    <row r="501" customFormat="false" ht="15" hidden="false" customHeight="false" outlineLevel="0" collapsed="false">
      <c r="A501" s="138" t="s">
        <v>2169</v>
      </c>
      <c r="B501" s="138" t="n">
        <v>499</v>
      </c>
      <c r="C501" s="138" t="n">
        <v>500</v>
      </c>
      <c r="D501" s="138" t="n">
        <v>28</v>
      </c>
      <c r="E501" s="138" t="n">
        <v>20</v>
      </c>
      <c r="F501" s="138" t="n">
        <v>0</v>
      </c>
      <c r="G501" s="138" t="n">
        <v>0</v>
      </c>
    </row>
    <row r="502" customFormat="false" ht="15" hidden="false" customHeight="false" outlineLevel="0" collapsed="false">
      <c r="A502" s="138" t="s">
        <v>2170</v>
      </c>
      <c r="B502" s="138" t="n">
        <v>500</v>
      </c>
      <c r="C502" s="138" t="n">
        <v>501</v>
      </c>
      <c r="D502" s="138" t="n">
        <v>18</v>
      </c>
      <c r="E502" s="138" t="n">
        <v>18</v>
      </c>
      <c r="F502" s="138" t="n">
        <v>0</v>
      </c>
      <c r="G502" s="138" t="n">
        <v>0</v>
      </c>
    </row>
    <row r="503" customFormat="false" ht="15" hidden="false" customHeight="false" outlineLevel="0" collapsed="false">
      <c r="A503" s="138" t="s">
        <v>2171</v>
      </c>
      <c r="B503" s="138" t="n">
        <v>501</v>
      </c>
      <c r="C503" s="138" t="n">
        <v>502</v>
      </c>
      <c r="D503" s="138" t="n">
        <v>24</v>
      </c>
      <c r="E503" s="138" t="n">
        <v>22</v>
      </c>
      <c r="F503" s="138" t="n">
        <v>0</v>
      </c>
      <c r="G503" s="138" t="n">
        <v>0</v>
      </c>
    </row>
    <row r="504" customFormat="false" ht="15" hidden="false" customHeight="false" outlineLevel="0" collapsed="false">
      <c r="A504" s="138" t="s">
        <v>2172</v>
      </c>
      <c r="B504" s="138" t="n">
        <v>502</v>
      </c>
      <c r="C504" s="138" t="n">
        <v>503</v>
      </c>
      <c r="D504" s="138" t="n">
        <v>38</v>
      </c>
      <c r="E504" s="138" t="n">
        <v>24</v>
      </c>
      <c r="F504" s="138" t="n">
        <v>0</v>
      </c>
      <c r="G504" s="138" t="n">
        <v>0</v>
      </c>
    </row>
    <row r="505" customFormat="false" ht="15" hidden="false" customHeight="false" outlineLevel="0" collapsed="false">
      <c r="A505" s="138" t="s">
        <v>2173</v>
      </c>
      <c r="B505" s="138" t="n">
        <v>503</v>
      </c>
      <c r="C505" s="138" t="n">
        <v>504</v>
      </c>
      <c r="D505" s="138" t="n">
        <v>40</v>
      </c>
      <c r="E505" s="138" t="n">
        <v>40</v>
      </c>
      <c r="F505" s="138" t="n">
        <v>0</v>
      </c>
      <c r="G505" s="138" t="n">
        <v>0</v>
      </c>
    </row>
    <row r="506" customFormat="false" ht="15" hidden="false" customHeight="false" outlineLevel="0" collapsed="false">
      <c r="A506" s="138" t="s">
        <v>2174</v>
      </c>
      <c r="B506" s="138" t="n">
        <v>504</v>
      </c>
      <c r="C506" s="138" t="n">
        <v>505</v>
      </c>
      <c r="D506" s="138" t="n">
        <v>35</v>
      </c>
      <c r="E506" s="138" t="n">
        <v>23</v>
      </c>
      <c r="F506" s="138" t="n">
        <v>0</v>
      </c>
      <c r="G506" s="138" t="n">
        <v>0</v>
      </c>
    </row>
    <row r="507" customFormat="false" ht="15" hidden="false" customHeight="false" outlineLevel="0" collapsed="false">
      <c r="A507" s="138" t="s">
        <v>2175</v>
      </c>
      <c r="B507" s="138" t="n">
        <v>505</v>
      </c>
      <c r="C507" s="138" t="n">
        <v>506</v>
      </c>
      <c r="D507" s="138" t="n">
        <v>38</v>
      </c>
      <c r="E507" s="138" t="n">
        <v>33</v>
      </c>
      <c r="F507" s="138" t="n">
        <v>17</v>
      </c>
      <c r="G507" s="138" t="n">
        <v>0</v>
      </c>
    </row>
    <row r="508" customFormat="false" ht="15" hidden="false" customHeight="false" outlineLevel="0" collapsed="false">
      <c r="A508" s="138" t="s">
        <v>2176</v>
      </c>
      <c r="B508" s="138" t="n">
        <v>506</v>
      </c>
      <c r="C508" s="138" t="n">
        <v>507</v>
      </c>
      <c r="D508" s="138" t="n">
        <v>21</v>
      </c>
      <c r="E508" s="138" t="n">
        <v>25</v>
      </c>
      <c r="F508" s="138" t="n">
        <v>35</v>
      </c>
      <c r="G508" s="138" t="n">
        <v>0</v>
      </c>
    </row>
    <row r="509" customFormat="false" ht="15" hidden="false" customHeight="false" outlineLevel="0" collapsed="false">
      <c r="A509" s="138" t="s">
        <v>2177</v>
      </c>
      <c r="B509" s="138" t="n">
        <v>507</v>
      </c>
      <c r="C509" s="138" t="n">
        <v>508</v>
      </c>
      <c r="D509" s="138" t="n">
        <v>26</v>
      </c>
      <c r="E509" s="138" t="n">
        <v>20</v>
      </c>
      <c r="F509" s="138" t="n">
        <v>20</v>
      </c>
      <c r="G509" s="138" t="n">
        <v>0</v>
      </c>
    </row>
    <row r="510" customFormat="false" ht="15" hidden="false" customHeight="false" outlineLevel="0" collapsed="false">
      <c r="A510" s="138" t="s">
        <v>2178</v>
      </c>
      <c r="B510" s="138" t="n">
        <v>508</v>
      </c>
      <c r="C510" s="138" t="n">
        <v>509</v>
      </c>
      <c r="D510" s="138" t="n">
        <v>16</v>
      </c>
      <c r="E510" s="138" t="n">
        <v>20</v>
      </c>
      <c r="F510" s="138" t="n">
        <v>24</v>
      </c>
      <c r="G510" s="138" t="n">
        <v>0</v>
      </c>
    </row>
    <row r="511" customFormat="false" ht="15" hidden="false" customHeight="false" outlineLevel="0" collapsed="false">
      <c r="A511" s="138" t="s">
        <v>2179</v>
      </c>
      <c r="B511" s="138" t="n">
        <v>509</v>
      </c>
      <c r="C511" s="138" t="n">
        <v>510</v>
      </c>
      <c r="D511" s="138" t="n">
        <v>12</v>
      </c>
      <c r="E511" s="138" t="n">
        <v>22</v>
      </c>
      <c r="F511" s="138" t="n">
        <v>0</v>
      </c>
      <c r="G511" s="138" t="n">
        <v>0</v>
      </c>
    </row>
    <row r="512" customFormat="false" ht="15" hidden="false" customHeight="false" outlineLevel="0" collapsed="false">
      <c r="A512" s="138" t="s">
        <v>2180</v>
      </c>
      <c r="B512" s="138" t="n">
        <v>510</v>
      </c>
      <c r="C512" s="138" t="n">
        <v>511</v>
      </c>
      <c r="D512" s="138" t="n">
        <v>26</v>
      </c>
      <c r="E512" s="138" t="n">
        <v>24</v>
      </c>
      <c r="F512" s="138" t="n">
        <v>0</v>
      </c>
      <c r="G512" s="138" t="n">
        <v>0</v>
      </c>
    </row>
    <row r="513" customFormat="false" ht="15" hidden="false" customHeight="false" outlineLevel="0" collapsed="false">
      <c r="A513" s="138" t="s">
        <v>2182</v>
      </c>
      <c r="B513" s="138" t="n">
        <v>511</v>
      </c>
      <c r="C513" s="138" t="n">
        <v>512</v>
      </c>
      <c r="D513" s="138" t="n">
        <v>24</v>
      </c>
      <c r="E513" s="138" t="n">
        <v>19</v>
      </c>
      <c r="F513" s="138" t="n">
        <v>0</v>
      </c>
      <c r="G513" s="138" t="n">
        <v>0</v>
      </c>
    </row>
    <row r="514" customFormat="false" ht="15" hidden="false" customHeight="false" outlineLevel="0" collapsed="false">
      <c r="A514" s="138" t="s">
        <v>2183</v>
      </c>
      <c r="B514" s="138" t="n">
        <v>512</v>
      </c>
      <c r="C514" s="138" t="n">
        <v>513</v>
      </c>
      <c r="D514" s="138" t="n">
        <v>30</v>
      </c>
      <c r="E514" s="138" t="n">
        <v>20</v>
      </c>
      <c r="F514" s="138" t="n">
        <v>0</v>
      </c>
      <c r="G514" s="138" t="n">
        <v>0</v>
      </c>
    </row>
    <row r="515" customFormat="false" ht="15" hidden="false" customHeight="false" outlineLevel="0" collapsed="false">
      <c r="A515" s="138" t="s">
        <v>2184</v>
      </c>
      <c r="B515" s="138" t="n">
        <v>513</v>
      </c>
      <c r="C515" s="138" t="n">
        <v>514</v>
      </c>
      <c r="D515" s="138" t="n">
        <v>20</v>
      </c>
      <c r="E515" s="138" t="n">
        <v>22</v>
      </c>
      <c r="F515" s="138" t="n">
        <v>0</v>
      </c>
      <c r="G515" s="138" t="n">
        <v>0</v>
      </c>
    </row>
    <row r="516" customFormat="false" ht="15" hidden="false" customHeight="false" outlineLevel="0" collapsed="false">
      <c r="A516" s="138" t="s">
        <v>2185</v>
      </c>
      <c r="B516" s="138" t="n">
        <v>514</v>
      </c>
      <c r="C516" s="138" t="n">
        <v>515</v>
      </c>
      <c r="D516" s="138" t="n">
        <v>20</v>
      </c>
      <c r="E516" s="138" t="n">
        <v>21</v>
      </c>
      <c r="F516" s="138" t="n">
        <v>0</v>
      </c>
      <c r="G516" s="138" t="n">
        <v>0</v>
      </c>
    </row>
    <row r="517" customFormat="false" ht="15" hidden="false" customHeight="false" outlineLevel="0" collapsed="false">
      <c r="A517" s="138" t="s">
        <v>2186</v>
      </c>
      <c r="B517" s="138" t="n">
        <v>515</v>
      </c>
      <c r="C517" s="138" t="n">
        <v>516</v>
      </c>
      <c r="D517" s="138" t="n">
        <v>20</v>
      </c>
      <c r="E517" s="138" t="n">
        <v>20</v>
      </c>
      <c r="F517" s="138" t="n">
        <v>0</v>
      </c>
      <c r="G517" s="138" t="n">
        <v>0</v>
      </c>
    </row>
    <row r="518" customFormat="false" ht="15" hidden="false" customHeight="false" outlineLevel="0" collapsed="false">
      <c r="A518" s="138" t="s">
        <v>2187</v>
      </c>
      <c r="B518" s="138" t="n">
        <v>516</v>
      </c>
      <c r="C518" s="138" t="n">
        <v>517</v>
      </c>
      <c r="D518" s="138" t="n">
        <v>20</v>
      </c>
      <c r="E518" s="138" t="n">
        <v>21</v>
      </c>
      <c r="F518" s="138" t="n">
        <v>0</v>
      </c>
      <c r="G518" s="138" t="n">
        <v>0</v>
      </c>
    </row>
    <row r="519" customFormat="false" ht="15" hidden="false" customHeight="false" outlineLevel="0" collapsed="false">
      <c r="A519" s="138" t="s">
        <v>2188</v>
      </c>
      <c r="B519" s="138" t="n">
        <v>517</v>
      </c>
      <c r="C519" s="138" t="n">
        <v>518</v>
      </c>
      <c r="D519" s="138" t="n">
        <v>30</v>
      </c>
      <c r="E519" s="138" t="n">
        <v>20</v>
      </c>
      <c r="F519" s="138" t="n">
        <v>0</v>
      </c>
      <c r="G519" s="138" t="n">
        <v>0</v>
      </c>
    </row>
    <row r="520" customFormat="false" ht="15" hidden="false" customHeight="false" outlineLevel="0" collapsed="false">
      <c r="A520" s="138" t="s">
        <v>2189</v>
      </c>
      <c r="B520" s="138" t="n">
        <v>518</v>
      </c>
      <c r="C520" s="138" t="n">
        <v>519</v>
      </c>
      <c r="D520" s="138" t="n">
        <v>28</v>
      </c>
      <c r="E520" s="138" t="n">
        <v>20</v>
      </c>
      <c r="F520" s="138" t="n">
        <v>0</v>
      </c>
      <c r="G520" s="138" t="n">
        <v>0</v>
      </c>
    </row>
    <row r="521" customFormat="false" ht="15" hidden="false" customHeight="false" outlineLevel="0" collapsed="false">
      <c r="A521" s="138" t="s">
        <v>2190</v>
      </c>
      <c r="B521" s="138" t="n">
        <v>519</v>
      </c>
      <c r="C521" s="138" t="n">
        <v>520</v>
      </c>
      <c r="D521" s="138" t="n">
        <v>20</v>
      </c>
      <c r="E521" s="138" t="n">
        <v>20</v>
      </c>
      <c r="F521" s="138" t="n">
        <v>0</v>
      </c>
      <c r="G521" s="138" t="n">
        <v>0</v>
      </c>
    </row>
    <row r="522" customFormat="false" ht="15" hidden="false" customHeight="false" outlineLevel="0" collapsed="false">
      <c r="A522" s="138" t="s">
        <v>2191</v>
      </c>
      <c r="B522" s="138" t="n">
        <v>520</v>
      </c>
      <c r="C522" s="138" t="n">
        <v>521</v>
      </c>
      <c r="D522" s="138" t="n">
        <v>28</v>
      </c>
      <c r="E522" s="138" t="n">
        <v>21</v>
      </c>
      <c r="F522" s="138" t="n">
        <v>0</v>
      </c>
      <c r="G522" s="138" t="n">
        <v>0</v>
      </c>
    </row>
    <row r="523" customFormat="false" ht="15" hidden="false" customHeight="false" outlineLevel="0" collapsed="false">
      <c r="A523" s="138" t="s">
        <v>2192</v>
      </c>
      <c r="B523" s="138" t="n">
        <v>521</v>
      </c>
      <c r="C523" s="138" t="n">
        <v>522</v>
      </c>
      <c r="D523" s="138" t="n">
        <v>20</v>
      </c>
      <c r="E523" s="138" t="n">
        <v>22</v>
      </c>
      <c r="F523" s="138" t="n">
        <v>0</v>
      </c>
      <c r="G523" s="138" t="n">
        <v>0</v>
      </c>
    </row>
    <row r="524" customFormat="false" ht="15" hidden="false" customHeight="false" outlineLevel="0" collapsed="false">
      <c r="A524" s="138" t="s">
        <v>2193</v>
      </c>
      <c r="B524" s="138" t="n">
        <v>522</v>
      </c>
      <c r="C524" s="138" t="n">
        <v>523</v>
      </c>
      <c r="D524" s="138" t="n">
        <v>20</v>
      </c>
      <c r="E524" s="138" t="n">
        <v>20</v>
      </c>
      <c r="F524" s="138" t="n">
        <v>0</v>
      </c>
      <c r="G524" s="138" t="n">
        <v>0</v>
      </c>
    </row>
    <row r="525" customFormat="false" ht="15" hidden="false" customHeight="false" outlineLevel="0" collapsed="false">
      <c r="A525" s="138" t="s">
        <v>2194</v>
      </c>
      <c r="B525" s="138" t="n">
        <v>523</v>
      </c>
      <c r="C525" s="138" t="n">
        <v>524</v>
      </c>
      <c r="D525" s="138" t="n">
        <v>20</v>
      </c>
      <c r="E525" s="138" t="n">
        <v>20</v>
      </c>
      <c r="F525" s="138" t="n">
        <v>0</v>
      </c>
      <c r="G525" s="138" t="n">
        <v>0</v>
      </c>
    </row>
    <row r="526" customFormat="false" ht="15" hidden="false" customHeight="false" outlineLevel="0" collapsed="false">
      <c r="A526" s="138" t="s">
        <v>2195</v>
      </c>
      <c r="B526" s="138" t="n">
        <v>524</v>
      </c>
      <c r="C526" s="138" t="n">
        <v>525</v>
      </c>
      <c r="D526" s="138" t="n">
        <v>20</v>
      </c>
      <c r="E526" s="138" t="n">
        <v>21</v>
      </c>
      <c r="F526" s="138" t="n">
        <v>0</v>
      </c>
      <c r="G526" s="138" t="n">
        <v>0</v>
      </c>
    </row>
    <row r="527" customFormat="false" ht="15" hidden="false" customHeight="false" outlineLevel="0" collapsed="false">
      <c r="A527" s="138" t="s">
        <v>2196</v>
      </c>
      <c r="B527" s="138" t="n">
        <v>525</v>
      </c>
      <c r="C527" s="138" t="n">
        <v>526</v>
      </c>
      <c r="D527" s="138" t="n">
        <v>20</v>
      </c>
      <c r="E527" s="138" t="n">
        <v>20</v>
      </c>
      <c r="F527" s="138" t="n">
        <v>0</v>
      </c>
      <c r="G527" s="138" t="n">
        <v>0</v>
      </c>
    </row>
    <row r="528" customFormat="false" ht="15" hidden="false" customHeight="false" outlineLevel="0" collapsed="false">
      <c r="A528" s="138" t="s">
        <v>2197</v>
      </c>
      <c r="B528" s="138" t="n">
        <v>526</v>
      </c>
      <c r="C528" s="138" t="n">
        <v>527</v>
      </c>
      <c r="D528" s="138" t="n">
        <v>20</v>
      </c>
      <c r="E528" s="138" t="n">
        <v>30</v>
      </c>
      <c r="F528" s="138" t="n">
        <v>0</v>
      </c>
      <c r="G528" s="138" t="n">
        <v>0</v>
      </c>
    </row>
    <row r="529" customFormat="false" ht="15" hidden="false" customHeight="false" outlineLevel="0" collapsed="false">
      <c r="A529" s="138" t="s">
        <v>2198</v>
      </c>
      <c r="B529" s="138" t="n">
        <v>527</v>
      </c>
      <c r="C529" s="138" t="n">
        <v>528</v>
      </c>
      <c r="D529" s="138" t="n">
        <v>21</v>
      </c>
      <c r="E529" s="138" t="n">
        <v>20</v>
      </c>
      <c r="F529" s="138" t="n">
        <v>0</v>
      </c>
      <c r="G529" s="138" t="n">
        <v>0</v>
      </c>
    </row>
    <row r="530" customFormat="false" ht="15" hidden="false" customHeight="false" outlineLevel="0" collapsed="false">
      <c r="A530" s="138" t="s">
        <v>2199</v>
      </c>
      <c r="B530" s="138" t="n">
        <v>528</v>
      </c>
      <c r="C530" s="138" t="n">
        <v>529</v>
      </c>
      <c r="D530" s="138" t="n">
        <v>20</v>
      </c>
      <c r="E530" s="138" t="n">
        <v>20</v>
      </c>
      <c r="F530" s="138" t="n">
        <v>0</v>
      </c>
      <c r="G530" s="138" t="n">
        <v>0</v>
      </c>
    </row>
    <row r="531" customFormat="false" ht="15" hidden="false" customHeight="false" outlineLevel="0" collapsed="false">
      <c r="A531" s="138" t="s">
        <v>2200</v>
      </c>
      <c r="B531" s="138" t="n">
        <v>529</v>
      </c>
      <c r="C531" s="138" t="n">
        <v>530</v>
      </c>
      <c r="D531" s="138" t="n">
        <v>20</v>
      </c>
      <c r="E531" s="138" t="n">
        <v>20</v>
      </c>
      <c r="F531" s="138" t="n">
        <v>0</v>
      </c>
      <c r="G531" s="138" t="n">
        <v>0</v>
      </c>
    </row>
    <row r="532" customFormat="false" ht="15" hidden="false" customHeight="false" outlineLevel="0" collapsed="false">
      <c r="A532" s="138" t="s">
        <v>2201</v>
      </c>
      <c r="B532" s="138" t="n">
        <v>530</v>
      </c>
      <c r="C532" s="138" t="n">
        <v>531</v>
      </c>
      <c r="D532" s="138" t="n">
        <v>20</v>
      </c>
      <c r="E532" s="138" t="n">
        <v>20</v>
      </c>
      <c r="F532" s="138" t="n">
        <v>0</v>
      </c>
      <c r="G532" s="138" t="n">
        <v>0</v>
      </c>
    </row>
    <row r="533" customFormat="false" ht="15" hidden="false" customHeight="false" outlineLevel="0" collapsed="false">
      <c r="A533" s="138" t="s">
        <v>2202</v>
      </c>
      <c r="B533" s="138" t="n">
        <v>531</v>
      </c>
      <c r="C533" s="138" t="n">
        <v>532</v>
      </c>
      <c r="D533" s="138" t="n">
        <v>20</v>
      </c>
      <c r="E533" s="138" t="n">
        <v>20</v>
      </c>
      <c r="F533" s="138" t="n">
        <v>0</v>
      </c>
      <c r="G533" s="138" t="n">
        <v>0</v>
      </c>
    </row>
    <row r="534" customFormat="false" ht="15" hidden="false" customHeight="false" outlineLevel="0" collapsed="false">
      <c r="A534" s="138" t="s">
        <v>2203</v>
      </c>
      <c r="B534" s="138" t="n">
        <v>532</v>
      </c>
      <c r="C534" s="138" t="n">
        <v>533</v>
      </c>
      <c r="D534" s="138" t="n">
        <v>20</v>
      </c>
      <c r="E534" s="138" t="n">
        <v>20</v>
      </c>
      <c r="F534" s="138" t="n">
        <v>0</v>
      </c>
      <c r="G534" s="138" t="n">
        <v>0</v>
      </c>
    </row>
    <row r="535" customFormat="false" ht="15" hidden="false" customHeight="false" outlineLevel="0" collapsed="false">
      <c r="A535" s="138" t="s">
        <v>2204</v>
      </c>
      <c r="B535" s="138" t="n">
        <v>533</v>
      </c>
      <c r="C535" s="138" t="n">
        <v>534</v>
      </c>
      <c r="D535" s="138" t="n">
        <v>20</v>
      </c>
      <c r="E535" s="138" t="n">
        <v>20</v>
      </c>
      <c r="F535" s="138" t="n">
        <v>0</v>
      </c>
      <c r="G535" s="138" t="n">
        <v>0</v>
      </c>
    </row>
    <row r="536" customFormat="false" ht="15" hidden="false" customHeight="false" outlineLevel="0" collapsed="false">
      <c r="A536" s="138" t="s">
        <v>2205</v>
      </c>
      <c r="B536" s="138" t="n">
        <v>534</v>
      </c>
      <c r="C536" s="138" t="n">
        <v>535</v>
      </c>
      <c r="D536" s="138" t="n">
        <v>20</v>
      </c>
      <c r="E536" s="138" t="n">
        <v>20</v>
      </c>
      <c r="F536" s="138" t="n">
        <v>0</v>
      </c>
      <c r="G536" s="138" t="n">
        <v>0</v>
      </c>
    </row>
    <row r="537" customFormat="false" ht="15" hidden="false" customHeight="false" outlineLevel="0" collapsed="false">
      <c r="A537" s="138" t="s">
        <v>2206</v>
      </c>
      <c r="B537" s="138" t="n">
        <v>535</v>
      </c>
      <c r="C537" s="138" t="n">
        <v>536</v>
      </c>
      <c r="D537" s="138" t="n">
        <v>20</v>
      </c>
      <c r="E537" s="138" t="n">
        <v>20</v>
      </c>
      <c r="F537" s="138" t="n">
        <v>0</v>
      </c>
      <c r="G537" s="138" t="n">
        <v>0</v>
      </c>
    </row>
    <row r="538" customFormat="false" ht="15" hidden="false" customHeight="false" outlineLevel="0" collapsed="false">
      <c r="A538" s="138" t="s">
        <v>2207</v>
      </c>
      <c r="B538" s="138" t="n">
        <v>536</v>
      </c>
      <c r="C538" s="138" t="n">
        <v>537</v>
      </c>
      <c r="D538" s="138" t="n">
        <v>19</v>
      </c>
      <c r="E538" s="138" t="n">
        <v>30</v>
      </c>
      <c r="F538" s="138" t="n">
        <v>0</v>
      </c>
      <c r="G538" s="138" t="n">
        <v>0</v>
      </c>
    </row>
    <row r="539" customFormat="false" ht="15" hidden="false" customHeight="false" outlineLevel="0" collapsed="false">
      <c r="A539" s="138" t="s">
        <v>2208</v>
      </c>
      <c r="B539" s="138" t="n">
        <v>537</v>
      </c>
      <c r="C539" s="138" t="n">
        <v>538</v>
      </c>
      <c r="D539" s="138" t="n">
        <v>7</v>
      </c>
      <c r="E539" s="138" t="n">
        <v>21</v>
      </c>
      <c r="F539" s="138" t="n">
        <v>0</v>
      </c>
      <c r="G539" s="138" t="n">
        <v>0</v>
      </c>
    </row>
    <row r="540" customFormat="false" ht="15" hidden="false" customHeight="false" outlineLevel="0" collapsed="false">
      <c r="A540" s="138" t="s">
        <v>2209</v>
      </c>
      <c r="B540" s="138" t="n">
        <v>538</v>
      </c>
      <c r="C540" s="138" t="n">
        <v>539</v>
      </c>
      <c r="D540" s="138" t="n">
        <v>23</v>
      </c>
      <c r="E540" s="138" t="n">
        <v>20</v>
      </c>
      <c r="F540" s="138" t="n">
        <v>0</v>
      </c>
      <c r="G540" s="138" t="n">
        <v>0</v>
      </c>
    </row>
    <row r="541" customFormat="false" ht="15" hidden="false" customHeight="false" outlineLevel="0" collapsed="false">
      <c r="A541" s="138" t="s">
        <v>2210</v>
      </c>
      <c r="B541" s="138" t="n">
        <v>539</v>
      </c>
      <c r="C541" s="138" t="n">
        <v>540</v>
      </c>
      <c r="D541" s="138" t="n">
        <v>20</v>
      </c>
      <c r="E541" s="138" t="n">
        <v>20</v>
      </c>
      <c r="F541" s="138" t="n">
        <v>0</v>
      </c>
      <c r="G541" s="138" t="n">
        <v>0</v>
      </c>
    </row>
    <row r="542" customFormat="false" ht="15" hidden="false" customHeight="false" outlineLevel="0" collapsed="false">
      <c r="A542" s="138" t="s">
        <v>2211</v>
      </c>
      <c r="B542" s="138" t="n">
        <v>540</v>
      </c>
      <c r="C542" s="138" t="n">
        <v>541</v>
      </c>
      <c r="D542" s="138" t="n">
        <v>21</v>
      </c>
      <c r="E542" s="138" t="n">
        <v>20</v>
      </c>
      <c r="F542" s="138" t="n">
        <v>0</v>
      </c>
      <c r="G542" s="138" t="n">
        <v>0</v>
      </c>
    </row>
    <row r="543" customFormat="false" ht="15" hidden="false" customHeight="false" outlineLevel="0" collapsed="false">
      <c r="A543" s="138" t="s">
        <v>2212</v>
      </c>
      <c r="B543" s="138" t="n">
        <v>541</v>
      </c>
      <c r="C543" s="138" t="n">
        <v>542</v>
      </c>
      <c r="D543" s="138" t="n">
        <v>20</v>
      </c>
      <c r="E543" s="138" t="n">
        <v>20</v>
      </c>
      <c r="F543" s="138" t="n">
        <v>0</v>
      </c>
      <c r="G543" s="138" t="n">
        <v>0</v>
      </c>
    </row>
    <row r="544" customFormat="false" ht="15" hidden="false" customHeight="false" outlineLevel="0" collapsed="false">
      <c r="A544" s="138" t="s">
        <v>2213</v>
      </c>
      <c r="B544" s="138" t="n">
        <v>542</v>
      </c>
      <c r="C544" s="138" t="n">
        <v>543</v>
      </c>
      <c r="D544" s="138" t="n">
        <v>22</v>
      </c>
      <c r="E544" s="138" t="n">
        <v>20</v>
      </c>
      <c r="F544" s="138" t="n">
        <v>0</v>
      </c>
      <c r="G544" s="138" t="n">
        <v>0</v>
      </c>
    </row>
    <row r="545" customFormat="false" ht="15" hidden="false" customHeight="false" outlineLevel="0" collapsed="false">
      <c r="A545" s="138" t="s">
        <v>2214</v>
      </c>
      <c r="B545" s="138" t="n">
        <v>543</v>
      </c>
      <c r="C545" s="138" t="n">
        <v>544</v>
      </c>
      <c r="D545" s="138" t="n">
        <v>24</v>
      </c>
      <c r="E545" s="138" t="n">
        <v>20</v>
      </c>
      <c r="F545" s="138" t="n">
        <v>0</v>
      </c>
      <c r="G545" s="138" t="n">
        <v>0</v>
      </c>
    </row>
    <row r="546" customFormat="false" ht="15" hidden="false" customHeight="false" outlineLevel="0" collapsed="false">
      <c r="A546" s="138" t="s">
        <v>2215</v>
      </c>
      <c r="B546" s="138" t="n">
        <v>544</v>
      </c>
      <c r="C546" s="138" t="n">
        <v>545</v>
      </c>
      <c r="D546" s="138" t="n">
        <v>20</v>
      </c>
      <c r="E546" s="138" t="n">
        <v>20</v>
      </c>
      <c r="F546" s="138" t="n">
        <v>0</v>
      </c>
      <c r="G546" s="138" t="n">
        <v>0</v>
      </c>
    </row>
    <row r="547" customFormat="false" ht="15" hidden="false" customHeight="false" outlineLevel="0" collapsed="false">
      <c r="A547" s="138" t="s">
        <v>2216</v>
      </c>
      <c r="B547" s="138" t="n">
        <v>545</v>
      </c>
      <c r="C547" s="138" t="n">
        <v>546</v>
      </c>
      <c r="D547" s="138" t="n">
        <v>20</v>
      </c>
      <c r="E547" s="138" t="n">
        <v>20</v>
      </c>
      <c r="F547" s="138" t="n">
        <v>0</v>
      </c>
      <c r="G547" s="138" t="n">
        <v>0</v>
      </c>
    </row>
    <row r="548" customFormat="false" ht="15" hidden="false" customHeight="false" outlineLevel="0" collapsed="false">
      <c r="A548" s="138" t="s">
        <v>2217</v>
      </c>
      <c r="B548" s="138" t="n">
        <v>546</v>
      </c>
      <c r="C548" s="138" t="n">
        <v>547</v>
      </c>
      <c r="D548" s="138" t="n">
        <v>25</v>
      </c>
      <c r="E548" s="138" t="n">
        <v>20</v>
      </c>
      <c r="F548" s="138" t="n">
        <v>0</v>
      </c>
      <c r="G548" s="138" t="n">
        <v>0</v>
      </c>
    </row>
    <row r="549" customFormat="false" ht="15" hidden="false" customHeight="false" outlineLevel="0" collapsed="false">
      <c r="A549" s="138" t="s">
        <v>2218</v>
      </c>
      <c r="B549" s="138" t="n">
        <v>547</v>
      </c>
      <c r="C549" s="138" t="n">
        <v>548</v>
      </c>
      <c r="D549" s="138" t="n">
        <v>20</v>
      </c>
      <c r="E549" s="138" t="n">
        <v>20</v>
      </c>
      <c r="F549" s="138" t="n">
        <v>0</v>
      </c>
      <c r="G549" s="138" t="n">
        <v>0</v>
      </c>
    </row>
    <row r="550" customFormat="false" ht="15" hidden="false" customHeight="false" outlineLevel="0" collapsed="false">
      <c r="A550" s="138" t="s">
        <v>2219</v>
      </c>
      <c r="B550" s="138" t="n">
        <v>548</v>
      </c>
      <c r="C550" s="138" t="n">
        <v>549</v>
      </c>
      <c r="D550" s="138" t="n">
        <v>20</v>
      </c>
      <c r="E550" s="138" t="n">
        <v>20</v>
      </c>
      <c r="F550" s="138" t="n">
        <v>0</v>
      </c>
      <c r="G550" s="138" t="n">
        <v>0</v>
      </c>
    </row>
    <row r="551" customFormat="false" ht="15" hidden="false" customHeight="false" outlineLevel="0" collapsed="false">
      <c r="A551" s="138" t="s">
        <v>2220</v>
      </c>
      <c r="B551" s="138" t="n">
        <v>549</v>
      </c>
      <c r="C551" s="138" t="n">
        <v>550</v>
      </c>
      <c r="D551" s="138" t="n">
        <v>20</v>
      </c>
      <c r="E551" s="138" t="n">
        <v>20</v>
      </c>
      <c r="F551" s="138" t="n">
        <v>0</v>
      </c>
      <c r="G551" s="138" t="n">
        <v>0</v>
      </c>
    </row>
    <row r="552" customFormat="false" ht="15" hidden="false" customHeight="false" outlineLevel="0" collapsed="false">
      <c r="A552" s="138" t="s">
        <v>2221</v>
      </c>
      <c r="B552" s="138" t="n">
        <v>550</v>
      </c>
      <c r="C552" s="138" t="n">
        <v>551</v>
      </c>
      <c r="D552" s="138" t="n">
        <v>21</v>
      </c>
      <c r="E552" s="138" t="n">
        <v>20</v>
      </c>
      <c r="F552" s="138" t="n">
        <v>0</v>
      </c>
      <c r="G552" s="138" t="n">
        <v>0</v>
      </c>
    </row>
    <row r="553" customFormat="false" ht="15" hidden="false" customHeight="false" outlineLevel="0" collapsed="false">
      <c r="A553" s="138" t="s">
        <v>2222</v>
      </c>
      <c r="B553" s="138" t="n">
        <v>551</v>
      </c>
      <c r="C553" s="138" t="n">
        <v>552</v>
      </c>
      <c r="D553" s="138" t="n">
        <v>20</v>
      </c>
      <c r="E553" s="138" t="n">
        <v>20</v>
      </c>
      <c r="F553" s="138" t="n">
        <v>0</v>
      </c>
      <c r="G553" s="138" t="n">
        <v>0</v>
      </c>
    </row>
    <row r="554" customFormat="false" ht="15" hidden="false" customHeight="false" outlineLevel="0" collapsed="false">
      <c r="A554" s="138" t="s">
        <v>2223</v>
      </c>
      <c r="B554" s="138" t="n">
        <v>552</v>
      </c>
      <c r="C554" s="138" t="n">
        <v>553</v>
      </c>
      <c r="D554" s="138" t="n">
        <v>20</v>
      </c>
      <c r="E554" s="138" t="n">
        <v>20</v>
      </c>
      <c r="F554" s="138" t="n">
        <v>0</v>
      </c>
      <c r="G554" s="138" t="n">
        <v>0</v>
      </c>
    </row>
    <row r="555" customFormat="false" ht="15" hidden="false" customHeight="false" outlineLevel="0" collapsed="false">
      <c r="A555" s="138" t="s">
        <v>2224</v>
      </c>
      <c r="B555" s="138" t="n">
        <v>553</v>
      </c>
      <c r="C555" s="138" t="n">
        <v>554</v>
      </c>
      <c r="D555" s="138" t="n">
        <v>21</v>
      </c>
      <c r="E555" s="138" t="n">
        <v>20</v>
      </c>
      <c r="F555" s="138" t="n">
        <v>0</v>
      </c>
      <c r="G555" s="138" t="n">
        <v>0</v>
      </c>
    </row>
    <row r="556" customFormat="false" ht="15" hidden="false" customHeight="false" outlineLevel="0" collapsed="false">
      <c r="A556" s="138" t="s">
        <v>2225</v>
      </c>
      <c r="B556" s="138" t="n">
        <v>554</v>
      </c>
      <c r="C556" s="138" t="n">
        <v>555</v>
      </c>
      <c r="D556" s="138" t="n">
        <v>20</v>
      </c>
      <c r="E556" s="138" t="n">
        <v>23</v>
      </c>
      <c r="F556" s="138" t="n">
        <v>0</v>
      </c>
      <c r="G556" s="138" t="n">
        <v>0</v>
      </c>
    </row>
    <row r="557" customFormat="false" ht="15" hidden="false" customHeight="false" outlineLevel="0" collapsed="false">
      <c r="A557" s="138" t="s">
        <v>2226</v>
      </c>
      <c r="B557" s="138" t="n">
        <v>555</v>
      </c>
      <c r="C557" s="138" t="n">
        <v>556</v>
      </c>
      <c r="D557" s="138" t="n">
        <v>20</v>
      </c>
      <c r="E557" s="138" t="n">
        <v>20</v>
      </c>
      <c r="F557" s="138" t="n">
        <v>0</v>
      </c>
      <c r="G557" s="138" t="n">
        <v>0</v>
      </c>
    </row>
    <row r="558" customFormat="false" ht="15" hidden="false" customHeight="false" outlineLevel="0" collapsed="false">
      <c r="A558" s="138" t="s">
        <v>2227</v>
      </c>
      <c r="B558" s="138" t="n">
        <v>556</v>
      </c>
      <c r="C558" s="138" t="n">
        <v>557</v>
      </c>
      <c r="D558" s="138" t="n">
        <v>20</v>
      </c>
      <c r="E558" s="138" t="n">
        <v>27</v>
      </c>
      <c r="F558" s="138" t="n">
        <v>0</v>
      </c>
      <c r="G558" s="138" t="n">
        <v>0</v>
      </c>
    </row>
    <row r="559" customFormat="false" ht="15" hidden="false" customHeight="false" outlineLevel="0" collapsed="false">
      <c r="A559" s="138" t="s">
        <v>2228</v>
      </c>
      <c r="B559" s="138" t="n">
        <v>557</v>
      </c>
      <c r="C559" s="138" t="n">
        <v>558</v>
      </c>
      <c r="D559" s="138" t="n">
        <v>20</v>
      </c>
      <c r="E559" s="138" t="n">
        <v>27</v>
      </c>
      <c r="F559" s="138" t="n">
        <v>0</v>
      </c>
      <c r="G559" s="138" t="n">
        <v>0</v>
      </c>
    </row>
    <row r="560" customFormat="false" ht="15" hidden="false" customHeight="false" outlineLevel="0" collapsed="false">
      <c r="A560" s="138" t="s">
        <v>2229</v>
      </c>
      <c r="B560" s="138" t="n">
        <v>558</v>
      </c>
      <c r="C560" s="138" t="n">
        <v>559</v>
      </c>
      <c r="D560" s="138" t="n">
        <v>20</v>
      </c>
      <c r="E560" s="138" t="n">
        <v>20</v>
      </c>
      <c r="F560" s="138" t="n">
        <v>0</v>
      </c>
      <c r="G560" s="138" t="n">
        <v>0</v>
      </c>
    </row>
    <row r="561" customFormat="false" ht="15" hidden="false" customHeight="false" outlineLevel="0" collapsed="false">
      <c r="A561" s="138" t="s">
        <v>2230</v>
      </c>
      <c r="B561" s="138" t="n">
        <v>559</v>
      </c>
      <c r="C561" s="138" t="n">
        <v>560</v>
      </c>
      <c r="D561" s="138" t="n">
        <v>20</v>
      </c>
      <c r="E561" s="138" t="n">
        <v>30</v>
      </c>
      <c r="F561" s="138" t="n">
        <v>0</v>
      </c>
      <c r="G561" s="138" t="n">
        <v>0</v>
      </c>
    </row>
    <row r="562" customFormat="false" ht="15" hidden="false" customHeight="false" outlineLevel="0" collapsed="false">
      <c r="A562" s="138" t="s">
        <v>2231</v>
      </c>
      <c r="B562" s="138" t="n">
        <v>560</v>
      </c>
      <c r="C562" s="138" t="n">
        <v>561</v>
      </c>
      <c r="D562" s="138" t="n">
        <v>26</v>
      </c>
      <c r="E562" s="138" t="n">
        <v>17</v>
      </c>
      <c r="F562" s="138" t="n">
        <v>0</v>
      </c>
      <c r="G562" s="138" t="n">
        <v>0</v>
      </c>
    </row>
    <row r="563" customFormat="false" ht="15" hidden="false" customHeight="false" outlineLevel="0" collapsed="false">
      <c r="A563" s="138" t="s">
        <v>2232</v>
      </c>
      <c r="B563" s="138" t="n">
        <v>561</v>
      </c>
      <c r="C563" s="138" t="n">
        <v>562</v>
      </c>
      <c r="D563" s="138" t="n">
        <v>23</v>
      </c>
      <c r="E563" s="138" t="n">
        <v>8</v>
      </c>
      <c r="F563" s="138" t="n">
        <v>0</v>
      </c>
      <c r="G563" s="138" t="n">
        <v>0</v>
      </c>
    </row>
    <row r="564" customFormat="false" ht="15" hidden="false" customHeight="false" outlineLevel="0" collapsed="false">
      <c r="A564" s="138" t="s">
        <v>2234</v>
      </c>
      <c r="B564" s="138" t="n">
        <v>562</v>
      </c>
      <c r="C564" s="138" t="n">
        <v>563</v>
      </c>
      <c r="D564" s="138" t="n">
        <v>20</v>
      </c>
      <c r="E564" s="138" t="n">
        <v>20</v>
      </c>
      <c r="F564" s="138" t="n">
        <v>0</v>
      </c>
      <c r="G564" s="138" t="n">
        <v>0</v>
      </c>
    </row>
    <row r="565" customFormat="false" ht="15" hidden="false" customHeight="false" outlineLevel="0" collapsed="false">
      <c r="A565" s="138" t="s">
        <v>2235</v>
      </c>
      <c r="B565" s="138" t="n">
        <v>563</v>
      </c>
      <c r="C565" s="138" t="n">
        <v>564</v>
      </c>
      <c r="D565" s="138" t="n">
        <v>20</v>
      </c>
      <c r="E565" s="138" t="n">
        <v>20</v>
      </c>
      <c r="F565" s="138" t="n">
        <v>0</v>
      </c>
      <c r="G565" s="138" t="n">
        <v>0</v>
      </c>
    </row>
    <row r="566" customFormat="false" ht="15" hidden="false" customHeight="false" outlineLevel="0" collapsed="false">
      <c r="A566" s="138" t="s">
        <v>2236</v>
      </c>
      <c r="B566" s="138" t="n">
        <v>564</v>
      </c>
      <c r="C566" s="138" t="n">
        <v>565</v>
      </c>
      <c r="D566" s="138" t="n">
        <v>20</v>
      </c>
      <c r="E566" s="138" t="n">
        <v>20</v>
      </c>
      <c r="F566" s="138" t="n">
        <v>0</v>
      </c>
      <c r="G566" s="138" t="n">
        <v>0</v>
      </c>
    </row>
    <row r="567" customFormat="false" ht="15" hidden="false" customHeight="false" outlineLevel="0" collapsed="false">
      <c r="A567" s="138" t="s">
        <v>2237</v>
      </c>
      <c r="B567" s="138" t="n">
        <v>565</v>
      </c>
      <c r="C567" s="138" t="n">
        <v>566</v>
      </c>
      <c r="D567" s="138" t="n">
        <v>36</v>
      </c>
      <c r="E567" s="138" t="n">
        <v>20</v>
      </c>
      <c r="F567" s="138" t="n">
        <v>0</v>
      </c>
      <c r="G567" s="138" t="n">
        <v>0</v>
      </c>
    </row>
    <row r="568" customFormat="false" ht="15" hidden="false" customHeight="false" outlineLevel="0" collapsed="false">
      <c r="A568" s="138" t="s">
        <v>2238</v>
      </c>
      <c r="B568" s="138" t="n">
        <v>566</v>
      </c>
      <c r="C568" s="138" t="n">
        <v>567</v>
      </c>
      <c r="D568" s="138" t="n">
        <v>21</v>
      </c>
      <c r="E568" s="138" t="n">
        <v>20</v>
      </c>
      <c r="F568" s="138" t="n">
        <v>0</v>
      </c>
      <c r="G568" s="138" t="n">
        <v>0</v>
      </c>
    </row>
    <row r="569" customFormat="false" ht="15" hidden="false" customHeight="false" outlineLevel="0" collapsed="false">
      <c r="A569" s="138" t="s">
        <v>2239</v>
      </c>
      <c r="B569" s="138" t="n">
        <v>567</v>
      </c>
      <c r="C569" s="138" t="n">
        <v>568</v>
      </c>
      <c r="D569" s="138" t="n">
        <v>20</v>
      </c>
      <c r="E569" s="138" t="n">
        <v>20</v>
      </c>
      <c r="F569" s="138" t="n">
        <v>0</v>
      </c>
      <c r="G569" s="138" t="n">
        <v>0</v>
      </c>
    </row>
    <row r="570" customFormat="false" ht="15" hidden="false" customHeight="false" outlineLevel="0" collapsed="false">
      <c r="A570" s="138" t="s">
        <v>2240</v>
      </c>
      <c r="B570" s="138" t="n">
        <v>568</v>
      </c>
      <c r="C570" s="138" t="n">
        <v>569</v>
      </c>
      <c r="D570" s="138" t="n">
        <v>20</v>
      </c>
      <c r="E570" s="138" t="n">
        <v>37</v>
      </c>
      <c r="F570" s="138" t="n">
        <v>0</v>
      </c>
      <c r="G570" s="138" t="n">
        <v>0</v>
      </c>
    </row>
    <row r="571" customFormat="false" ht="15" hidden="false" customHeight="false" outlineLevel="0" collapsed="false">
      <c r="A571" s="138" t="s">
        <v>2241</v>
      </c>
      <c r="B571" s="138" t="n">
        <v>569</v>
      </c>
      <c r="C571" s="138" t="n">
        <v>570</v>
      </c>
      <c r="D571" s="138" t="n">
        <v>35</v>
      </c>
      <c r="E571" s="138" t="n">
        <v>21</v>
      </c>
      <c r="F571" s="138" t="n">
        <v>0</v>
      </c>
      <c r="G571" s="138" t="n">
        <v>0</v>
      </c>
    </row>
    <row r="572" customFormat="false" ht="15" hidden="false" customHeight="false" outlineLevel="0" collapsed="false">
      <c r="A572" s="138" t="s">
        <v>2242</v>
      </c>
      <c r="B572" s="138" t="n">
        <v>570</v>
      </c>
      <c r="C572" s="138" t="n">
        <v>571</v>
      </c>
      <c r="D572" s="138" t="n">
        <v>20</v>
      </c>
      <c r="E572" s="138" t="n">
        <v>39</v>
      </c>
      <c r="F572" s="138" t="n">
        <v>0</v>
      </c>
      <c r="G572" s="138" t="n">
        <v>0</v>
      </c>
    </row>
    <row r="573" customFormat="false" ht="15" hidden="false" customHeight="false" outlineLevel="0" collapsed="false">
      <c r="A573" s="138" t="s">
        <v>2243</v>
      </c>
      <c r="B573" s="138" t="n">
        <v>571</v>
      </c>
      <c r="C573" s="138" t="n">
        <v>572</v>
      </c>
      <c r="D573" s="138" t="n">
        <v>14</v>
      </c>
      <c r="E573" s="138" t="n">
        <v>20</v>
      </c>
      <c r="F573" s="138" t="n">
        <v>0</v>
      </c>
      <c r="G573" s="138" t="n">
        <v>0</v>
      </c>
    </row>
    <row r="574" customFormat="false" ht="15" hidden="false" customHeight="false" outlineLevel="0" collapsed="false">
      <c r="A574" s="138" t="s">
        <v>2244</v>
      </c>
      <c r="B574" s="138" t="n">
        <v>572</v>
      </c>
      <c r="C574" s="138" t="n">
        <v>573</v>
      </c>
      <c r="D574" s="138" t="n">
        <v>6</v>
      </c>
      <c r="E574" s="138" t="n">
        <v>21</v>
      </c>
      <c r="F574" s="138" t="n">
        <v>0</v>
      </c>
      <c r="G574" s="138" t="n">
        <v>0</v>
      </c>
    </row>
    <row r="575" customFormat="false" ht="15" hidden="false" customHeight="false" outlineLevel="0" collapsed="false">
      <c r="A575" s="138" t="s">
        <v>2246</v>
      </c>
      <c r="B575" s="138" t="n">
        <v>573</v>
      </c>
      <c r="C575" s="138" t="n">
        <v>574</v>
      </c>
      <c r="D575" s="138" t="n">
        <v>20</v>
      </c>
      <c r="E575" s="138" t="n">
        <v>20</v>
      </c>
      <c r="F575" s="138" t="n">
        <v>0</v>
      </c>
      <c r="G575" s="138" t="n">
        <v>0</v>
      </c>
    </row>
    <row r="576" customFormat="false" ht="15" hidden="false" customHeight="false" outlineLevel="0" collapsed="false">
      <c r="A576" s="138" t="s">
        <v>2247</v>
      </c>
      <c r="B576" s="138" t="n">
        <v>574</v>
      </c>
      <c r="C576" s="138" t="n">
        <v>575</v>
      </c>
      <c r="D576" s="138" t="n">
        <v>20</v>
      </c>
      <c r="E576" s="138" t="n">
        <v>20</v>
      </c>
      <c r="F576" s="138" t="n">
        <v>0</v>
      </c>
      <c r="G576" s="138" t="n">
        <v>0</v>
      </c>
    </row>
    <row r="577" customFormat="false" ht="15" hidden="false" customHeight="false" outlineLevel="0" collapsed="false">
      <c r="A577" s="138" t="s">
        <v>2248</v>
      </c>
      <c r="B577" s="138" t="n">
        <v>575</v>
      </c>
      <c r="C577" s="138" t="n">
        <v>576</v>
      </c>
      <c r="D577" s="138" t="n">
        <v>20</v>
      </c>
      <c r="E577" s="138" t="n">
        <v>20</v>
      </c>
      <c r="F577" s="138" t="n">
        <v>0</v>
      </c>
      <c r="G577" s="138" t="n">
        <v>0</v>
      </c>
    </row>
    <row r="578" customFormat="false" ht="15" hidden="false" customHeight="false" outlineLevel="0" collapsed="false">
      <c r="A578" s="138" t="s">
        <v>2249</v>
      </c>
      <c r="B578" s="138" t="n">
        <v>576</v>
      </c>
      <c r="C578" s="138" t="n">
        <v>577</v>
      </c>
      <c r="D578" s="138" t="n">
        <v>20</v>
      </c>
      <c r="E578" s="138" t="n">
        <v>23</v>
      </c>
      <c r="F578" s="138" t="n">
        <v>0</v>
      </c>
      <c r="G578" s="138" t="n">
        <v>0</v>
      </c>
    </row>
    <row r="579" customFormat="false" ht="15" hidden="false" customHeight="false" outlineLevel="0" collapsed="false">
      <c r="A579" s="138" t="s">
        <v>2250</v>
      </c>
      <c r="B579" s="138" t="n">
        <v>577</v>
      </c>
      <c r="C579" s="138" t="n">
        <v>578</v>
      </c>
      <c r="D579" s="138" t="n">
        <v>20</v>
      </c>
      <c r="E579" s="138" t="n">
        <v>20</v>
      </c>
      <c r="F579" s="138" t="n">
        <v>0</v>
      </c>
      <c r="G579" s="138" t="n">
        <v>0</v>
      </c>
    </row>
    <row r="580" customFormat="false" ht="15" hidden="false" customHeight="false" outlineLevel="0" collapsed="false">
      <c r="A580" s="138" t="s">
        <v>2251</v>
      </c>
      <c r="B580" s="138" t="n">
        <v>578</v>
      </c>
      <c r="C580" s="138" t="n">
        <v>579</v>
      </c>
      <c r="D580" s="138" t="n">
        <v>20</v>
      </c>
      <c r="E580" s="138" t="n">
        <v>20</v>
      </c>
      <c r="F580" s="138" t="n">
        <v>0</v>
      </c>
      <c r="G580" s="138" t="n">
        <v>0</v>
      </c>
    </row>
    <row r="581" customFormat="false" ht="15" hidden="false" customHeight="false" outlineLevel="0" collapsed="false">
      <c r="A581" s="138" t="s">
        <v>2252</v>
      </c>
      <c r="B581" s="138" t="n">
        <v>579</v>
      </c>
      <c r="C581" s="138" t="n">
        <v>580</v>
      </c>
      <c r="D581" s="138" t="n">
        <v>29</v>
      </c>
      <c r="E581" s="138" t="n">
        <v>30</v>
      </c>
      <c r="F581" s="138" t="n">
        <v>0</v>
      </c>
      <c r="G581" s="138" t="n">
        <v>0</v>
      </c>
    </row>
    <row r="582" customFormat="false" ht="15" hidden="false" customHeight="false" outlineLevel="0" collapsed="false">
      <c r="A582" s="138" t="s">
        <v>2253</v>
      </c>
      <c r="B582" s="138" t="n">
        <v>580</v>
      </c>
      <c r="C582" s="138" t="n">
        <v>581</v>
      </c>
      <c r="D582" s="138" t="n">
        <v>29</v>
      </c>
      <c r="E582" s="138" t="n">
        <v>34</v>
      </c>
      <c r="F582" s="138" t="n">
        <v>0</v>
      </c>
      <c r="G582" s="138" t="n">
        <v>0</v>
      </c>
    </row>
    <row r="583" customFormat="false" ht="15" hidden="false" customHeight="false" outlineLevel="0" collapsed="false">
      <c r="A583" s="138" t="s">
        <v>2254</v>
      </c>
      <c r="B583" s="138" t="n">
        <v>581</v>
      </c>
      <c r="C583" s="138" t="n">
        <v>582</v>
      </c>
      <c r="D583" s="138" t="n">
        <v>12</v>
      </c>
      <c r="E583" s="138" t="n">
        <v>20</v>
      </c>
      <c r="F583" s="138" t="n">
        <v>0</v>
      </c>
      <c r="G583" s="138" t="n">
        <v>0</v>
      </c>
    </row>
    <row r="584" customFormat="false" ht="15" hidden="false" customHeight="false" outlineLevel="0" collapsed="false">
      <c r="A584" s="138" t="s">
        <v>2255</v>
      </c>
      <c r="B584" s="138" t="n">
        <v>582</v>
      </c>
      <c r="C584" s="138" t="n">
        <v>583</v>
      </c>
      <c r="D584" s="138" t="n">
        <v>8</v>
      </c>
      <c r="E584" s="138" t="n">
        <v>20</v>
      </c>
      <c r="F584" s="138" t="n">
        <v>0</v>
      </c>
      <c r="G584" s="138" t="n">
        <v>13</v>
      </c>
    </row>
    <row r="585" customFormat="false" ht="15" hidden="false" customHeight="false" outlineLevel="0" collapsed="false">
      <c r="A585" s="138" t="s">
        <v>2256</v>
      </c>
      <c r="B585" s="138" t="n">
        <v>583</v>
      </c>
      <c r="C585" s="138" t="n">
        <v>584</v>
      </c>
      <c r="D585" s="138" t="n">
        <v>20</v>
      </c>
      <c r="E585" s="138" t="n">
        <v>20</v>
      </c>
      <c r="F585" s="138" t="n">
        <v>0</v>
      </c>
      <c r="G585" s="138" t="n">
        <v>20</v>
      </c>
    </row>
    <row r="586" customFormat="false" ht="15" hidden="false" customHeight="false" outlineLevel="0" collapsed="false">
      <c r="A586" s="138" t="s">
        <v>2257</v>
      </c>
      <c r="B586" s="138" t="n">
        <v>584</v>
      </c>
      <c r="C586" s="138" t="n">
        <v>585</v>
      </c>
      <c r="D586" s="138" t="n">
        <v>20</v>
      </c>
      <c r="E586" s="138" t="n">
        <v>20</v>
      </c>
      <c r="F586" s="138" t="n">
        <v>0</v>
      </c>
      <c r="G586" s="138" t="n">
        <v>21</v>
      </c>
    </row>
    <row r="587" customFormat="false" ht="15" hidden="false" customHeight="false" outlineLevel="0" collapsed="false">
      <c r="A587" s="138" t="s">
        <v>2258</v>
      </c>
      <c r="B587" s="138" t="n">
        <v>585</v>
      </c>
      <c r="C587" s="138" t="n">
        <v>586</v>
      </c>
      <c r="D587" s="138" t="n">
        <v>20</v>
      </c>
      <c r="E587" s="138" t="n">
        <v>20</v>
      </c>
      <c r="F587" s="138" t="n">
        <v>0</v>
      </c>
      <c r="G587" s="138" t="n">
        <v>20</v>
      </c>
    </row>
    <row r="588" customFormat="false" ht="15" hidden="false" customHeight="false" outlineLevel="0" collapsed="false">
      <c r="A588" s="138" t="s">
        <v>2259</v>
      </c>
      <c r="B588" s="138" t="n">
        <v>586</v>
      </c>
      <c r="C588" s="138" t="n">
        <v>587</v>
      </c>
      <c r="D588" s="138" t="n">
        <v>20</v>
      </c>
      <c r="E588" s="138" t="n">
        <v>20</v>
      </c>
      <c r="F588" s="138" t="n">
        <v>0</v>
      </c>
      <c r="G588" s="138" t="n">
        <v>20</v>
      </c>
    </row>
    <row r="589" customFormat="false" ht="15" hidden="false" customHeight="false" outlineLevel="0" collapsed="false">
      <c r="A589" s="138" t="s">
        <v>2260</v>
      </c>
      <c r="B589" s="138" t="n">
        <v>587</v>
      </c>
      <c r="C589" s="138" t="n">
        <v>588</v>
      </c>
      <c r="D589" s="138" t="n">
        <v>20</v>
      </c>
      <c r="E589" s="138" t="n">
        <v>20</v>
      </c>
      <c r="F589" s="138" t="n">
        <v>0</v>
      </c>
      <c r="G589" s="138" t="n">
        <v>21</v>
      </c>
    </row>
    <row r="590" customFormat="false" ht="15" hidden="false" customHeight="false" outlineLevel="0" collapsed="false">
      <c r="A590" s="138" t="s">
        <v>2261</v>
      </c>
      <c r="B590" s="138" t="n">
        <v>588</v>
      </c>
      <c r="C590" s="138" t="n">
        <v>589</v>
      </c>
      <c r="D590" s="138" t="n">
        <v>20</v>
      </c>
      <c r="E590" s="138" t="n">
        <v>20</v>
      </c>
      <c r="F590" s="138" t="n">
        <v>0</v>
      </c>
      <c r="G590" s="138" t="n">
        <v>20</v>
      </c>
    </row>
    <row r="591" customFormat="false" ht="15" hidden="false" customHeight="false" outlineLevel="0" collapsed="false">
      <c r="A591" s="138" t="s">
        <v>2262</v>
      </c>
      <c r="B591" s="138" t="n">
        <v>589</v>
      </c>
      <c r="C591" s="138" t="n">
        <v>590</v>
      </c>
      <c r="D591" s="138" t="n">
        <v>20</v>
      </c>
      <c r="E591" s="138" t="n">
        <v>20</v>
      </c>
      <c r="F591" s="138" t="n">
        <v>0</v>
      </c>
      <c r="G591" s="138" t="n">
        <v>21</v>
      </c>
    </row>
    <row r="592" customFormat="false" ht="15" hidden="false" customHeight="false" outlineLevel="0" collapsed="false">
      <c r="A592" s="138" t="s">
        <v>2263</v>
      </c>
      <c r="B592" s="138" t="n">
        <v>590</v>
      </c>
      <c r="C592" s="138" t="n">
        <v>591</v>
      </c>
      <c r="D592" s="138" t="n">
        <v>20</v>
      </c>
      <c r="E592" s="138" t="n">
        <v>21</v>
      </c>
      <c r="F592" s="138" t="n">
        <v>0</v>
      </c>
      <c r="G592" s="138" t="n">
        <v>20</v>
      </c>
    </row>
    <row r="593" customFormat="false" ht="15" hidden="false" customHeight="false" outlineLevel="0" collapsed="false">
      <c r="A593" s="138" t="s">
        <v>2264</v>
      </c>
      <c r="B593" s="138" t="n">
        <v>591</v>
      </c>
      <c r="C593" s="138" t="n">
        <v>592</v>
      </c>
      <c r="D593" s="138" t="n">
        <v>35</v>
      </c>
      <c r="E593" s="138" t="n">
        <v>34</v>
      </c>
      <c r="F593" s="138" t="n">
        <v>0</v>
      </c>
      <c r="G593" s="138" t="n">
        <v>1</v>
      </c>
    </row>
    <row r="594" customFormat="false" ht="15" hidden="false" customHeight="false" outlineLevel="0" collapsed="false">
      <c r="A594" s="138" t="s">
        <v>2265</v>
      </c>
      <c r="B594" s="138" t="n">
        <v>592</v>
      </c>
      <c r="C594" s="138" t="n">
        <v>593</v>
      </c>
      <c r="D594" s="138" t="n">
        <v>35</v>
      </c>
      <c r="E594" s="138" t="n">
        <v>32</v>
      </c>
      <c r="F594" s="138" t="n">
        <v>0</v>
      </c>
      <c r="G594" s="138" t="n">
        <v>0</v>
      </c>
    </row>
    <row r="595" customFormat="false" ht="15" hidden="false" customHeight="false" outlineLevel="0" collapsed="false">
      <c r="A595" s="138" t="s">
        <v>2266</v>
      </c>
      <c r="B595" s="138" t="n">
        <v>593</v>
      </c>
      <c r="C595" s="138" t="n">
        <v>594</v>
      </c>
      <c r="D595" s="138" t="n">
        <v>20</v>
      </c>
      <c r="E595" s="138" t="n">
        <v>20</v>
      </c>
      <c r="F595" s="138" t="n">
        <v>0</v>
      </c>
      <c r="G595" s="138" t="n">
        <v>16</v>
      </c>
    </row>
    <row r="596" customFormat="false" ht="15" hidden="false" customHeight="false" outlineLevel="0" collapsed="false">
      <c r="A596" s="138" t="s">
        <v>2267</v>
      </c>
      <c r="B596" s="138" t="n">
        <v>594</v>
      </c>
      <c r="C596" s="138" t="n">
        <v>595</v>
      </c>
      <c r="D596" s="138" t="n">
        <v>20</v>
      </c>
      <c r="E596" s="138" t="n">
        <v>20</v>
      </c>
      <c r="F596" s="138" t="n">
        <v>0</v>
      </c>
      <c r="G596" s="138" t="n">
        <v>20</v>
      </c>
    </row>
    <row r="597" customFormat="false" ht="15" hidden="false" customHeight="false" outlineLevel="0" collapsed="false">
      <c r="A597" s="138" t="s">
        <v>2268</v>
      </c>
      <c r="B597" s="138" t="n">
        <v>595</v>
      </c>
      <c r="C597" s="138" t="n">
        <v>596</v>
      </c>
      <c r="D597" s="138" t="n">
        <v>20</v>
      </c>
      <c r="E597" s="138" t="n">
        <v>20</v>
      </c>
      <c r="F597" s="138" t="n">
        <v>0</v>
      </c>
      <c r="G597" s="138" t="n">
        <v>21</v>
      </c>
    </row>
    <row r="598" customFormat="false" ht="15" hidden="false" customHeight="false" outlineLevel="0" collapsed="false">
      <c r="A598" s="138" t="s">
        <v>2269</v>
      </c>
      <c r="B598" s="138" t="n">
        <v>596</v>
      </c>
      <c r="C598" s="138" t="n">
        <v>597</v>
      </c>
      <c r="D598" s="138" t="n">
        <v>20</v>
      </c>
      <c r="E598" s="138" t="n">
        <v>20</v>
      </c>
      <c r="F598" s="138" t="n">
        <v>0</v>
      </c>
      <c r="G598" s="138" t="n">
        <v>20</v>
      </c>
    </row>
    <row r="599" customFormat="false" ht="15" hidden="false" customHeight="false" outlineLevel="0" collapsed="false">
      <c r="A599" s="138" t="s">
        <v>2270</v>
      </c>
      <c r="B599" s="138" t="n">
        <v>597</v>
      </c>
      <c r="C599" s="138" t="n">
        <v>598</v>
      </c>
      <c r="D599" s="138" t="n">
        <v>20</v>
      </c>
      <c r="E599" s="138" t="n">
        <v>20</v>
      </c>
      <c r="F599" s="138" t="n">
        <v>0</v>
      </c>
      <c r="G599" s="138" t="n">
        <v>20</v>
      </c>
    </row>
    <row r="600" customFormat="false" ht="15" hidden="false" customHeight="false" outlineLevel="0" collapsed="false">
      <c r="A600" s="138" t="s">
        <v>1595</v>
      </c>
      <c r="B600" s="138" t="n">
        <v>598</v>
      </c>
      <c r="C600" s="138" t="n">
        <v>599</v>
      </c>
      <c r="D600" s="138" t="n">
        <v>20</v>
      </c>
      <c r="E600" s="138" t="n">
        <v>17</v>
      </c>
      <c r="F600" s="138" t="n">
        <v>0</v>
      </c>
      <c r="G600" s="138" t="n">
        <v>18</v>
      </c>
    </row>
    <row r="601" customFormat="false" ht="15" hidden="false" customHeight="false" outlineLevel="0" collapsed="false">
      <c r="A601" s="138" t="s">
        <v>2271</v>
      </c>
      <c r="B601" s="138" t="n">
        <v>599</v>
      </c>
      <c r="C601" s="138" t="n">
        <v>600</v>
      </c>
      <c r="D601" s="138" t="n">
        <v>21</v>
      </c>
      <c r="E601" s="138" t="n">
        <v>9</v>
      </c>
      <c r="F601" s="138" t="n">
        <v>0</v>
      </c>
      <c r="G601" s="138" t="n">
        <v>8</v>
      </c>
    </row>
    <row r="602" customFormat="false" ht="15" hidden="false" customHeight="false" outlineLevel="0" collapsed="false">
      <c r="A602" s="138" t="s">
        <v>2272</v>
      </c>
      <c r="B602" s="138" t="n">
        <v>600</v>
      </c>
      <c r="C602" s="138" t="n">
        <v>601</v>
      </c>
      <c r="D602" s="138" t="n">
        <v>20</v>
      </c>
      <c r="E602" s="138" t="n">
        <v>20</v>
      </c>
      <c r="F602" s="138" t="n">
        <v>0</v>
      </c>
      <c r="G602" s="138" t="n">
        <v>20</v>
      </c>
    </row>
    <row r="603" customFormat="false" ht="15" hidden="false" customHeight="false" outlineLevel="0" collapsed="false">
      <c r="A603" s="138" t="s">
        <v>2273</v>
      </c>
      <c r="B603" s="138" t="n">
        <v>601</v>
      </c>
      <c r="C603" s="138" t="n">
        <v>602</v>
      </c>
      <c r="D603" s="138" t="n">
        <v>12</v>
      </c>
      <c r="E603" s="138" t="n">
        <v>20</v>
      </c>
      <c r="F603" s="138" t="n">
        <v>0</v>
      </c>
      <c r="G603" s="138" t="n">
        <v>19</v>
      </c>
    </row>
    <row r="604" customFormat="false" ht="15" hidden="false" customHeight="false" outlineLevel="0" collapsed="false">
      <c r="A604" s="138" t="s">
        <v>1599</v>
      </c>
      <c r="B604" s="138" t="n">
        <v>602</v>
      </c>
      <c r="C604" s="138" t="n">
        <v>603</v>
      </c>
      <c r="D604" s="138" t="n">
        <v>4</v>
      </c>
      <c r="E604" s="138" t="n">
        <v>20</v>
      </c>
      <c r="F604" s="138" t="n">
        <v>9</v>
      </c>
      <c r="G604" s="138" t="n">
        <v>0</v>
      </c>
    </row>
    <row r="605" customFormat="false" ht="15" hidden="false" customHeight="false" outlineLevel="0" collapsed="false">
      <c r="A605" s="138" t="s">
        <v>2275</v>
      </c>
      <c r="B605" s="138" t="n">
        <v>603</v>
      </c>
      <c r="C605" s="138" t="n">
        <v>604</v>
      </c>
      <c r="D605" s="138" t="n">
        <v>26</v>
      </c>
      <c r="E605" s="138" t="n">
        <v>20</v>
      </c>
      <c r="F605" s="138" t="n">
        <v>21</v>
      </c>
      <c r="G605" s="138" t="n">
        <v>0</v>
      </c>
    </row>
    <row r="606" customFormat="false" ht="15" hidden="false" customHeight="false" outlineLevel="0" collapsed="false">
      <c r="A606" s="138" t="s">
        <v>2276</v>
      </c>
      <c r="B606" s="138" t="n">
        <v>604</v>
      </c>
      <c r="C606" s="138" t="n">
        <v>605</v>
      </c>
      <c r="D606" s="138" t="n">
        <v>20</v>
      </c>
      <c r="E606" s="138" t="n">
        <v>21</v>
      </c>
      <c r="F606" s="138" t="n">
        <v>20</v>
      </c>
      <c r="G606" s="138" t="n">
        <v>14</v>
      </c>
    </row>
    <row r="607" customFormat="false" ht="15" hidden="false" customHeight="false" outlineLevel="0" collapsed="false">
      <c r="A607" s="138" t="s">
        <v>2277</v>
      </c>
      <c r="B607" s="138" t="n">
        <v>605</v>
      </c>
      <c r="C607" s="138" t="n">
        <v>606</v>
      </c>
      <c r="D607" s="138" t="n">
        <v>20</v>
      </c>
      <c r="E607" s="138" t="n">
        <v>24</v>
      </c>
      <c r="F607" s="138" t="n">
        <v>20</v>
      </c>
      <c r="G607" s="138" t="n">
        <v>21</v>
      </c>
    </row>
    <row r="608" customFormat="false" ht="15" hidden="false" customHeight="false" outlineLevel="0" collapsed="false">
      <c r="A608" s="138" t="s">
        <v>2278</v>
      </c>
      <c r="B608" s="138" t="n">
        <v>606</v>
      </c>
      <c r="C608" s="138" t="n">
        <v>607</v>
      </c>
      <c r="D608" s="138" t="n">
        <v>20</v>
      </c>
      <c r="E608" s="138" t="n">
        <v>20</v>
      </c>
      <c r="F608" s="138" t="n">
        <v>20</v>
      </c>
      <c r="G608" s="138" t="n">
        <v>20</v>
      </c>
    </row>
    <row r="609" customFormat="false" ht="15" hidden="false" customHeight="false" outlineLevel="0" collapsed="false">
      <c r="A609" s="138" t="s">
        <v>2279</v>
      </c>
      <c r="B609" s="138" t="n">
        <v>607</v>
      </c>
      <c r="C609" s="138" t="n">
        <v>608</v>
      </c>
      <c r="D609" s="138" t="n">
        <v>24</v>
      </c>
      <c r="E609" s="138" t="n">
        <v>20</v>
      </c>
      <c r="F609" s="138" t="n">
        <v>21</v>
      </c>
      <c r="G609" s="138" t="n">
        <v>20</v>
      </c>
    </row>
    <row r="610" customFormat="false" ht="15" hidden="false" customHeight="false" outlineLevel="0" collapsed="false">
      <c r="A610" s="138" t="s">
        <v>2280</v>
      </c>
      <c r="B610" s="138" t="n">
        <v>608</v>
      </c>
      <c r="C610" s="138" t="n">
        <v>609</v>
      </c>
      <c r="D610" s="138" t="n">
        <v>0</v>
      </c>
      <c r="E610" s="138" t="n">
        <v>37</v>
      </c>
      <c r="F610" s="138" t="n">
        <v>9</v>
      </c>
      <c r="G610" s="138" t="n">
        <v>20</v>
      </c>
    </row>
    <row r="611" customFormat="false" ht="15" hidden="false" customHeight="false" outlineLevel="0" collapsed="false">
      <c r="A611" s="138" t="s">
        <v>2281</v>
      </c>
      <c r="B611" s="138" t="n">
        <v>609</v>
      </c>
      <c r="C611" s="138" t="n">
        <v>610</v>
      </c>
      <c r="D611" s="138" t="n">
        <v>9</v>
      </c>
      <c r="E611" s="138" t="n">
        <v>31</v>
      </c>
      <c r="F611" s="138" t="n">
        <v>11</v>
      </c>
      <c r="G611" s="138" t="n">
        <v>23</v>
      </c>
    </row>
    <row r="612" customFormat="false" ht="15" hidden="false" customHeight="false" outlineLevel="0" collapsed="false">
      <c r="A612" s="138" t="s">
        <v>2282</v>
      </c>
      <c r="B612" s="138" t="n">
        <v>610</v>
      </c>
      <c r="C612" s="138" t="n">
        <v>611</v>
      </c>
      <c r="D612" s="138" t="n">
        <v>2</v>
      </c>
      <c r="E612" s="138" t="n">
        <v>20</v>
      </c>
      <c r="F612" s="138" t="n">
        <v>0</v>
      </c>
      <c r="G612" s="138" t="n">
        <v>20</v>
      </c>
    </row>
    <row r="613" customFormat="false" ht="15" hidden="false" customHeight="false" outlineLevel="0" collapsed="false">
      <c r="A613" s="138" t="s">
        <v>2283</v>
      </c>
      <c r="B613" s="138" t="n">
        <v>611</v>
      </c>
      <c r="C613" s="138" t="n">
        <v>612</v>
      </c>
      <c r="D613" s="138" t="n">
        <v>20</v>
      </c>
      <c r="E613" s="138" t="n">
        <v>20</v>
      </c>
      <c r="F613" s="138" t="n">
        <v>0</v>
      </c>
      <c r="G613" s="138" t="n">
        <v>20</v>
      </c>
    </row>
    <row r="614" customFormat="false" ht="15" hidden="false" customHeight="false" outlineLevel="0" collapsed="false">
      <c r="A614" s="138" t="s">
        <v>2284</v>
      </c>
      <c r="B614" s="138" t="n">
        <v>612</v>
      </c>
      <c r="C614" s="138" t="n">
        <v>613</v>
      </c>
      <c r="D614" s="138" t="n">
        <v>3</v>
      </c>
      <c r="E614" s="138" t="n">
        <v>21</v>
      </c>
      <c r="F614" s="138" t="n">
        <v>0</v>
      </c>
      <c r="G614" s="138" t="n">
        <v>20</v>
      </c>
    </row>
    <row r="615" customFormat="false" ht="15" hidden="false" customHeight="false" outlineLevel="0" collapsed="false">
      <c r="A615" s="138" t="s">
        <v>2285</v>
      </c>
      <c r="B615" s="138" t="n">
        <v>613</v>
      </c>
      <c r="C615" s="138" t="n">
        <v>614</v>
      </c>
      <c r="D615" s="138" t="n">
        <v>9</v>
      </c>
      <c r="E615" s="138" t="n">
        <v>23</v>
      </c>
      <c r="F615" s="138" t="n">
        <v>0</v>
      </c>
      <c r="G615" s="138" t="n">
        <v>11</v>
      </c>
    </row>
    <row r="616" customFormat="false" ht="15" hidden="false" customHeight="false" outlineLevel="0" collapsed="false">
      <c r="A616" s="138" t="s">
        <v>2286</v>
      </c>
      <c r="B616" s="138" t="n">
        <v>614</v>
      </c>
      <c r="C616" s="138" t="n">
        <v>615</v>
      </c>
      <c r="D616" s="138" t="n">
        <v>20</v>
      </c>
      <c r="E616" s="138" t="n">
        <v>8</v>
      </c>
      <c r="F616" s="138" t="n">
        <v>0</v>
      </c>
      <c r="G616" s="138" t="n">
        <v>12</v>
      </c>
    </row>
    <row r="617" customFormat="false" ht="15" hidden="false" customHeight="false" outlineLevel="0" collapsed="false">
      <c r="A617" s="138" t="s">
        <v>2287</v>
      </c>
      <c r="B617" s="138" t="n">
        <v>615</v>
      </c>
      <c r="C617" s="138" t="n">
        <v>616</v>
      </c>
      <c r="D617" s="138" t="n">
        <v>20</v>
      </c>
      <c r="E617" s="138" t="n">
        <v>0</v>
      </c>
      <c r="F617" s="138" t="n">
        <v>0</v>
      </c>
      <c r="G617" s="138" t="n">
        <v>0</v>
      </c>
    </row>
    <row r="618" customFormat="false" ht="15" hidden="false" customHeight="false" outlineLevel="0" collapsed="false">
      <c r="A618" s="138" t="s">
        <v>2288</v>
      </c>
      <c r="B618" s="138" t="n">
        <v>616</v>
      </c>
      <c r="C618" s="138" t="n">
        <v>617</v>
      </c>
      <c r="D618" s="138" t="n">
        <v>20</v>
      </c>
      <c r="E618" s="138" t="n">
        <v>12</v>
      </c>
      <c r="F618" s="138" t="n">
        <v>0</v>
      </c>
      <c r="G618" s="138" t="n">
        <v>0</v>
      </c>
    </row>
    <row r="619" customFormat="false" ht="15" hidden="false" customHeight="false" outlineLevel="0" collapsed="false">
      <c r="A619" s="138" t="s">
        <v>2289</v>
      </c>
      <c r="B619" s="138" t="n">
        <v>617</v>
      </c>
      <c r="C619" s="138" t="n">
        <v>618</v>
      </c>
      <c r="D619" s="138" t="n">
        <v>0</v>
      </c>
      <c r="E619" s="138" t="n">
        <v>20</v>
      </c>
      <c r="F619" s="138" t="n">
        <v>0</v>
      </c>
      <c r="G619" s="138" t="n">
        <v>0</v>
      </c>
    </row>
    <row r="620" customFormat="false" ht="15" hidden="false" customHeight="false" outlineLevel="0" collapsed="false">
      <c r="A620" s="138" t="s">
        <v>2290</v>
      </c>
      <c r="B620" s="138" t="n">
        <v>618</v>
      </c>
      <c r="C620" s="138" t="n">
        <v>619</v>
      </c>
      <c r="D620" s="138" t="n">
        <v>18</v>
      </c>
      <c r="E620" s="138" t="n">
        <v>14</v>
      </c>
      <c r="F620" s="138" t="n">
        <v>0</v>
      </c>
      <c r="G620" s="138" t="n">
        <v>0</v>
      </c>
    </row>
    <row r="621" customFormat="false" ht="15" hidden="false" customHeight="false" outlineLevel="0" collapsed="false">
      <c r="A621" s="138" t="s">
        <v>2291</v>
      </c>
      <c r="B621" s="138" t="n">
        <v>619</v>
      </c>
      <c r="C621" s="138" t="n">
        <v>620</v>
      </c>
      <c r="D621" s="138" t="n">
        <v>20</v>
      </c>
      <c r="E621" s="138" t="n">
        <v>2</v>
      </c>
      <c r="F621" s="138" t="n">
        <v>0</v>
      </c>
      <c r="G621" s="138" t="n">
        <v>0</v>
      </c>
    </row>
    <row r="622" customFormat="false" ht="15" hidden="false" customHeight="false" outlineLevel="0" collapsed="false">
      <c r="A622" s="138" t="s">
        <v>2292</v>
      </c>
      <c r="B622" s="138" t="n">
        <v>620</v>
      </c>
      <c r="C622" s="138" t="n">
        <v>621</v>
      </c>
      <c r="D622" s="138" t="n">
        <v>9</v>
      </c>
      <c r="E622" s="138" t="n">
        <v>20</v>
      </c>
      <c r="F622" s="138" t="n">
        <v>0</v>
      </c>
      <c r="G622" s="138" t="n">
        <v>0</v>
      </c>
    </row>
    <row r="623" customFormat="false" ht="15" hidden="false" customHeight="false" outlineLevel="0" collapsed="false">
      <c r="A623" s="138" t="s">
        <v>2293</v>
      </c>
      <c r="B623" s="138" t="n">
        <v>621</v>
      </c>
      <c r="C623" s="138" t="n">
        <v>622</v>
      </c>
      <c r="D623" s="138" t="n">
        <v>13</v>
      </c>
      <c r="E623" s="138" t="n">
        <v>4</v>
      </c>
      <c r="F623" s="138" t="n">
        <v>18</v>
      </c>
      <c r="G623" s="138" t="n">
        <v>0</v>
      </c>
    </row>
    <row r="624" customFormat="false" ht="15" hidden="false" customHeight="false" outlineLevel="0" collapsed="false">
      <c r="A624" s="138" t="s">
        <v>2294</v>
      </c>
      <c r="B624" s="138" t="n">
        <v>622</v>
      </c>
      <c r="C624" s="138" t="n">
        <v>623</v>
      </c>
      <c r="D624" s="138" t="n">
        <v>22</v>
      </c>
      <c r="E624" s="138" t="n">
        <v>30</v>
      </c>
      <c r="F624" s="138" t="n">
        <v>20</v>
      </c>
      <c r="G624" s="138" t="n">
        <v>0</v>
      </c>
    </row>
    <row r="625" customFormat="false" ht="15" hidden="false" customHeight="false" outlineLevel="0" collapsed="false">
      <c r="A625" s="138" t="s">
        <v>2295</v>
      </c>
      <c r="B625" s="138" t="n">
        <v>623</v>
      </c>
      <c r="C625" s="138" t="n">
        <v>624</v>
      </c>
      <c r="D625" s="138" t="n">
        <v>19</v>
      </c>
      <c r="E625" s="138" t="n">
        <v>33</v>
      </c>
      <c r="F625" s="138" t="n">
        <v>21</v>
      </c>
      <c r="G625" s="138" t="n">
        <v>0</v>
      </c>
    </row>
    <row r="626" customFormat="false" ht="15" hidden="false" customHeight="false" outlineLevel="0" collapsed="false">
      <c r="A626" s="138" t="s">
        <v>2297</v>
      </c>
      <c r="B626" s="138" t="n">
        <v>624</v>
      </c>
      <c r="C626" s="138" t="n">
        <v>625</v>
      </c>
      <c r="D626" s="138" t="n">
        <v>20</v>
      </c>
      <c r="E626" s="138" t="n">
        <v>37</v>
      </c>
      <c r="F626" s="138" t="n">
        <v>22</v>
      </c>
      <c r="G626" s="138" t="n">
        <v>9</v>
      </c>
    </row>
    <row r="627" customFormat="false" ht="15" hidden="false" customHeight="false" outlineLevel="0" collapsed="false">
      <c r="A627" s="138" t="s">
        <v>2298</v>
      </c>
      <c r="B627" s="138" t="n">
        <v>625</v>
      </c>
      <c r="C627" s="138" t="n">
        <v>626</v>
      </c>
      <c r="D627" s="138" t="n">
        <v>21</v>
      </c>
      <c r="E627" s="138" t="n">
        <v>22</v>
      </c>
      <c r="F627" s="138" t="n">
        <v>20</v>
      </c>
      <c r="G627" s="138" t="n">
        <v>20</v>
      </c>
    </row>
    <row r="628" customFormat="false" ht="15" hidden="false" customHeight="false" outlineLevel="0" collapsed="false">
      <c r="A628" s="138" t="s">
        <v>2299</v>
      </c>
      <c r="B628" s="138" t="n">
        <v>626</v>
      </c>
      <c r="C628" s="138" t="n">
        <v>627</v>
      </c>
      <c r="D628" s="138" t="n">
        <v>21</v>
      </c>
      <c r="E628" s="138" t="n">
        <v>20</v>
      </c>
      <c r="F628" s="138" t="n">
        <v>20</v>
      </c>
      <c r="G628" s="138" t="n">
        <v>0</v>
      </c>
    </row>
    <row r="629" customFormat="false" ht="15" hidden="false" customHeight="false" outlineLevel="0" collapsed="false">
      <c r="A629" s="138" t="s">
        <v>2300</v>
      </c>
      <c r="B629" s="138" t="n">
        <v>627</v>
      </c>
      <c r="C629" s="138" t="n">
        <v>628</v>
      </c>
      <c r="D629" s="138" t="n">
        <v>20</v>
      </c>
      <c r="E629" s="138" t="n">
        <v>21</v>
      </c>
      <c r="F629" s="138" t="n">
        <v>14</v>
      </c>
      <c r="G629" s="138" t="n">
        <v>5</v>
      </c>
    </row>
    <row r="630" customFormat="false" ht="15" hidden="false" customHeight="false" outlineLevel="0" collapsed="false">
      <c r="A630" s="138" t="s">
        <v>2301</v>
      </c>
      <c r="B630" s="138" t="n">
        <v>628</v>
      </c>
      <c r="C630" s="138" t="n">
        <v>629</v>
      </c>
      <c r="D630" s="138" t="n">
        <v>22</v>
      </c>
      <c r="E630" s="138" t="n">
        <v>21</v>
      </c>
      <c r="F630" s="138" t="n">
        <v>7</v>
      </c>
      <c r="G630" s="138" t="n">
        <v>7</v>
      </c>
    </row>
    <row r="631" customFormat="false" ht="15" hidden="false" customHeight="false" outlineLevel="0" collapsed="false">
      <c r="A631" s="138" t="s">
        <v>2302</v>
      </c>
      <c r="B631" s="138" t="n">
        <v>629</v>
      </c>
      <c r="C631" s="138" t="n">
        <v>630</v>
      </c>
      <c r="D631" s="138" t="n">
        <v>21</v>
      </c>
      <c r="E631" s="138" t="n">
        <v>21</v>
      </c>
      <c r="F631" s="138" t="n">
        <v>0</v>
      </c>
      <c r="G631" s="138" t="n">
        <v>0</v>
      </c>
    </row>
    <row r="632" customFormat="false" ht="15" hidden="false" customHeight="false" outlineLevel="0" collapsed="false">
      <c r="A632" s="138" t="s">
        <v>2303</v>
      </c>
      <c r="B632" s="138" t="n">
        <v>630</v>
      </c>
      <c r="C632" s="138" t="n">
        <v>631</v>
      </c>
      <c r="D632" s="138" t="n">
        <v>20</v>
      </c>
      <c r="E632" s="138" t="n">
        <v>20</v>
      </c>
      <c r="F632" s="138" t="n">
        <v>0</v>
      </c>
      <c r="G632" s="138" t="n">
        <v>0</v>
      </c>
    </row>
    <row r="633" customFormat="false" ht="15" hidden="false" customHeight="false" outlineLevel="0" collapsed="false">
      <c r="A633" s="138" t="s">
        <v>2304</v>
      </c>
      <c r="B633" s="138" t="n">
        <v>631</v>
      </c>
      <c r="C633" s="138" t="n">
        <v>632</v>
      </c>
      <c r="D633" s="138" t="n">
        <v>12</v>
      </c>
      <c r="E633" s="138" t="n">
        <v>20</v>
      </c>
      <c r="F633" s="138" t="n">
        <v>0</v>
      </c>
      <c r="G633" s="138" t="n">
        <v>21</v>
      </c>
    </row>
    <row r="634" customFormat="false" ht="15" hidden="false" customHeight="false" outlineLevel="0" collapsed="false">
      <c r="A634" s="138" t="s">
        <v>2305</v>
      </c>
      <c r="B634" s="138" t="n">
        <v>632</v>
      </c>
      <c r="C634" s="138" t="n">
        <v>633</v>
      </c>
      <c r="D634" s="138" t="n">
        <v>1</v>
      </c>
      <c r="E634" s="138" t="n">
        <v>12</v>
      </c>
      <c r="F634" s="138" t="n">
        <v>0</v>
      </c>
      <c r="G634" s="138" t="n">
        <v>12</v>
      </c>
    </row>
    <row r="635" customFormat="false" ht="15" hidden="false" customHeight="false" outlineLevel="0" collapsed="false">
      <c r="A635" s="138" t="s">
        <v>2306</v>
      </c>
      <c r="B635" s="138" t="n">
        <v>633</v>
      </c>
      <c r="C635" s="138" t="n">
        <v>634</v>
      </c>
      <c r="D635" s="138" t="n">
        <v>20</v>
      </c>
      <c r="E635" s="138" t="n">
        <v>9</v>
      </c>
      <c r="F635" s="138" t="n">
        <v>0</v>
      </c>
      <c r="G635" s="138" t="n">
        <v>14</v>
      </c>
    </row>
    <row r="636" customFormat="false" ht="15" hidden="false" customHeight="false" outlineLevel="0" collapsed="false">
      <c r="A636" s="138" t="s">
        <v>2308</v>
      </c>
      <c r="B636" s="138" t="n">
        <v>634</v>
      </c>
      <c r="C636" s="138" t="n">
        <v>635</v>
      </c>
      <c r="D636" s="138" t="n">
        <v>26</v>
      </c>
      <c r="E636" s="138" t="n">
        <v>0</v>
      </c>
      <c r="F636" s="138" t="n">
        <v>0</v>
      </c>
      <c r="G636" s="138" t="n">
        <v>3</v>
      </c>
    </row>
    <row r="637" customFormat="false" ht="15" hidden="false" customHeight="false" outlineLevel="0" collapsed="false">
      <c r="A637" s="138" t="s">
        <v>2310</v>
      </c>
      <c r="B637" s="138" t="n">
        <v>635</v>
      </c>
      <c r="C637" s="138" t="n">
        <v>636</v>
      </c>
      <c r="D637" s="138" t="n">
        <v>15</v>
      </c>
      <c r="E637" s="138" t="n">
        <v>19</v>
      </c>
      <c r="F637" s="138" t="n">
        <v>18</v>
      </c>
      <c r="G637" s="138" t="n">
        <v>3</v>
      </c>
    </row>
    <row r="638" customFormat="false" ht="15" hidden="false" customHeight="false" outlineLevel="0" collapsed="false">
      <c r="A638" s="138" t="s">
        <v>2311</v>
      </c>
      <c r="B638" s="138" t="n">
        <v>636</v>
      </c>
      <c r="C638" s="138" t="n">
        <v>637</v>
      </c>
      <c r="D638" s="138" t="n">
        <v>20</v>
      </c>
      <c r="E638" s="138" t="n">
        <v>20</v>
      </c>
      <c r="F638" s="138" t="n">
        <v>22</v>
      </c>
      <c r="G638" s="138" t="n">
        <v>20</v>
      </c>
    </row>
    <row r="639" customFormat="false" ht="15" hidden="false" customHeight="false" outlineLevel="0" collapsed="false">
      <c r="A639" s="138" t="s">
        <v>2312</v>
      </c>
      <c r="B639" s="138" t="n">
        <v>637</v>
      </c>
      <c r="C639" s="138" t="n">
        <v>638</v>
      </c>
      <c r="D639" s="138" t="n">
        <v>20</v>
      </c>
      <c r="E639" s="138" t="n">
        <v>20</v>
      </c>
      <c r="F639" s="138" t="n">
        <v>20</v>
      </c>
      <c r="G639" s="138" t="n">
        <v>20</v>
      </c>
    </row>
    <row r="640" customFormat="false" ht="15" hidden="false" customHeight="false" outlineLevel="0" collapsed="false">
      <c r="A640" s="138" t="s">
        <v>2313</v>
      </c>
      <c r="B640" s="138" t="n">
        <v>638</v>
      </c>
      <c r="C640" s="138" t="n">
        <v>639</v>
      </c>
      <c r="D640" s="138" t="n">
        <v>20</v>
      </c>
      <c r="E640" s="138" t="n">
        <v>15</v>
      </c>
      <c r="F640" s="138" t="n">
        <v>21</v>
      </c>
      <c r="G640" s="138" t="n">
        <v>21</v>
      </c>
    </row>
    <row r="641" customFormat="false" ht="15" hidden="false" customHeight="false" outlineLevel="0" collapsed="false">
      <c r="A641" s="138" t="s">
        <v>2314</v>
      </c>
      <c r="B641" s="138" t="n">
        <v>639</v>
      </c>
      <c r="C641" s="138" t="n">
        <v>640</v>
      </c>
      <c r="D641" s="138" t="n">
        <v>20</v>
      </c>
      <c r="E641" s="138" t="n">
        <v>1</v>
      </c>
      <c r="F641" s="138" t="n">
        <v>23</v>
      </c>
      <c r="G641" s="138" t="n">
        <v>15</v>
      </c>
    </row>
    <row r="642" customFormat="false" ht="15" hidden="false" customHeight="false" outlineLevel="0" collapsed="false">
      <c r="A642" s="138" t="s">
        <v>2316</v>
      </c>
      <c r="B642" s="138" t="n">
        <v>640</v>
      </c>
      <c r="C642" s="138" t="n">
        <v>641</v>
      </c>
      <c r="D642" s="138" t="n">
        <v>20</v>
      </c>
      <c r="E642" s="138" t="n">
        <v>20</v>
      </c>
      <c r="F642" s="138" t="n">
        <v>20</v>
      </c>
      <c r="G642" s="138" t="n">
        <v>9</v>
      </c>
    </row>
    <row r="643" customFormat="false" ht="15" hidden="false" customHeight="false" outlineLevel="0" collapsed="false">
      <c r="A643" s="138" t="s">
        <v>2317</v>
      </c>
      <c r="B643" s="138" t="n">
        <v>641</v>
      </c>
      <c r="C643" s="138" t="n">
        <v>642</v>
      </c>
      <c r="D643" s="138" t="n">
        <v>20</v>
      </c>
      <c r="E643" s="138" t="n">
        <v>20</v>
      </c>
      <c r="F643" s="138" t="n">
        <v>20</v>
      </c>
      <c r="G643" s="138" t="n">
        <v>6</v>
      </c>
    </row>
    <row r="644" customFormat="false" ht="15" hidden="false" customHeight="false" outlineLevel="0" collapsed="false">
      <c r="A644" s="138" t="s">
        <v>1607</v>
      </c>
      <c r="B644" s="138" t="n">
        <v>642</v>
      </c>
      <c r="C644" s="138" t="n">
        <v>642.79085</v>
      </c>
      <c r="D644" s="138" t="n">
        <v>12</v>
      </c>
      <c r="E644" s="138" t="n">
        <v>13</v>
      </c>
      <c r="F644" s="138" t="n">
        <v>14</v>
      </c>
      <c r="G644" s="138" t="n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5"/>
    <col collapsed="false" customWidth="true" hidden="false" outlineLevel="0" max="7" min="7" style="0" width="30"/>
  </cols>
  <sheetData>
    <row r="1" customFormat="false" ht="48" hidden="false" customHeight="true" outlineLevel="0" collapsed="false">
      <c r="A1" s="133" t="s">
        <v>9</v>
      </c>
      <c r="B1" s="133" t="s">
        <v>3158</v>
      </c>
      <c r="C1" s="133" t="s">
        <v>1496</v>
      </c>
      <c r="D1" s="133" t="s">
        <v>2370</v>
      </c>
      <c r="E1" s="133" t="s">
        <v>4351</v>
      </c>
      <c r="F1" s="133" t="s">
        <v>58</v>
      </c>
      <c r="G1" s="133" t="s">
        <v>1328</v>
      </c>
    </row>
    <row r="2" customFormat="false" ht="15" hidden="false" customHeight="false" outlineLevel="0" collapsed="false">
      <c r="A2" s="138" t="s">
        <v>4383</v>
      </c>
      <c r="B2" s="138" t="n">
        <v>117.311</v>
      </c>
      <c r="C2" s="138" t="s">
        <v>4384</v>
      </c>
      <c r="D2" s="138" t="s">
        <v>59</v>
      </c>
      <c r="E2" s="138" t="n">
        <v>1</v>
      </c>
      <c r="F2" s="138" t="s">
        <v>80</v>
      </c>
      <c r="G2" s="138" t="s">
        <v>4385</v>
      </c>
    </row>
    <row r="3" customFormat="false" ht="15" hidden="false" customHeight="false" outlineLevel="0" collapsed="false">
      <c r="A3" s="138" t="s">
        <v>4386</v>
      </c>
      <c r="B3" s="138" t="n">
        <v>119.339</v>
      </c>
      <c r="C3" s="138" t="s">
        <v>4384</v>
      </c>
      <c r="D3" s="138" t="s">
        <v>60</v>
      </c>
      <c r="E3" s="138" t="n">
        <v>1</v>
      </c>
      <c r="F3" s="138" t="s">
        <v>80</v>
      </c>
      <c r="G3" s="138" t="s">
        <v>4385</v>
      </c>
    </row>
    <row r="4" customFormat="false" ht="15" hidden="false" customHeight="false" outlineLevel="0" collapsed="false">
      <c r="A4" s="138" t="s">
        <v>4387</v>
      </c>
      <c r="B4" s="138" t="n">
        <v>169.225</v>
      </c>
      <c r="C4" s="138" t="s">
        <v>4384</v>
      </c>
      <c r="D4" s="138" t="s">
        <v>60</v>
      </c>
      <c r="E4" s="138" t="n">
        <v>1</v>
      </c>
      <c r="F4" s="138" t="s">
        <v>80</v>
      </c>
      <c r="G4" s="138" t="s">
        <v>4388</v>
      </c>
    </row>
    <row r="5" customFormat="false" ht="15" hidden="false" customHeight="false" outlineLevel="0" collapsed="false">
      <c r="A5" s="138" t="s">
        <v>4389</v>
      </c>
      <c r="B5" s="138" t="n">
        <v>173.041</v>
      </c>
      <c r="C5" s="138" t="s">
        <v>4384</v>
      </c>
      <c r="D5" s="138" t="s">
        <v>59</v>
      </c>
      <c r="E5" s="138" t="n">
        <v>1</v>
      </c>
      <c r="F5" s="138" t="s">
        <v>80</v>
      </c>
      <c r="G5" s="138" t="s">
        <v>4388</v>
      </c>
    </row>
    <row r="6" customFormat="false" ht="15" hidden="false" customHeight="false" outlineLevel="0" collapsed="false">
      <c r="A6" s="138" t="s">
        <v>4390</v>
      </c>
      <c r="B6" s="138" t="n">
        <v>209.542</v>
      </c>
      <c r="C6" s="138" t="s">
        <v>4384</v>
      </c>
      <c r="D6" s="138" t="s">
        <v>59</v>
      </c>
      <c r="E6" s="138" t="n">
        <v>1</v>
      </c>
      <c r="F6" s="138" t="s">
        <v>80</v>
      </c>
      <c r="G6" s="138" t="s">
        <v>4388</v>
      </c>
    </row>
    <row r="7" customFormat="false" ht="15" hidden="false" customHeight="false" outlineLevel="0" collapsed="false">
      <c r="A7" s="138" t="s">
        <v>4391</v>
      </c>
      <c r="B7" s="138" t="n">
        <v>211.083</v>
      </c>
      <c r="C7" s="138" t="s">
        <v>4384</v>
      </c>
      <c r="D7" s="138" t="s">
        <v>60</v>
      </c>
      <c r="E7" s="138" t="n">
        <v>1</v>
      </c>
      <c r="F7" s="138" t="s">
        <v>80</v>
      </c>
      <c r="G7" s="138" t="s">
        <v>4388</v>
      </c>
    </row>
    <row r="8" customFormat="false" ht="15" hidden="false" customHeight="false" outlineLevel="0" collapsed="false">
      <c r="A8" s="138" t="s">
        <v>4392</v>
      </c>
      <c r="B8" s="138" t="n">
        <v>252.313</v>
      </c>
      <c r="C8" s="138" t="s">
        <v>4384</v>
      </c>
      <c r="D8" s="138" t="s">
        <v>59</v>
      </c>
      <c r="E8" s="138" t="n">
        <v>1</v>
      </c>
      <c r="F8" s="138" t="s">
        <v>80</v>
      </c>
      <c r="G8" s="138" t="s">
        <v>4393</v>
      </c>
    </row>
    <row r="9" customFormat="false" ht="15" hidden="false" customHeight="false" outlineLevel="0" collapsed="false">
      <c r="A9" s="138" t="s">
        <v>4394</v>
      </c>
      <c r="B9" s="138" t="n">
        <v>254.482</v>
      </c>
      <c r="C9" s="138" t="s">
        <v>4384</v>
      </c>
      <c r="D9" s="138" t="s">
        <v>60</v>
      </c>
      <c r="E9" s="138" t="n">
        <v>1</v>
      </c>
      <c r="F9" s="138" t="s">
        <v>80</v>
      </c>
      <c r="G9" s="138" t="s">
        <v>4393</v>
      </c>
    </row>
    <row r="10" customFormat="false" ht="15" hidden="false" customHeight="false" outlineLevel="0" collapsed="false">
      <c r="A10" s="138" t="s">
        <v>4395</v>
      </c>
      <c r="B10" s="138" t="n">
        <v>361.977</v>
      </c>
      <c r="C10" s="138" t="s">
        <v>4384</v>
      </c>
      <c r="D10" s="138" t="s">
        <v>60</v>
      </c>
      <c r="E10" s="138" t="n">
        <v>1</v>
      </c>
      <c r="F10" s="138" t="s">
        <v>80</v>
      </c>
      <c r="G10" s="138" t="s">
        <v>4396</v>
      </c>
    </row>
    <row r="11" customFormat="false" ht="15" hidden="false" customHeight="false" outlineLevel="0" collapsed="false">
      <c r="A11" s="138" t="s">
        <v>4397</v>
      </c>
      <c r="B11" s="138" t="n">
        <v>362.083</v>
      </c>
      <c r="C11" s="138" t="s">
        <v>4384</v>
      </c>
      <c r="D11" s="138" t="s">
        <v>59</v>
      </c>
      <c r="E11" s="138" t="n">
        <v>1</v>
      </c>
      <c r="F11" s="138" t="s">
        <v>80</v>
      </c>
      <c r="G11" s="138" t="s">
        <v>4398</v>
      </c>
    </row>
    <row r="12" customFormat="false" ht="15" hidden="false" customHeight="false" outlineLevel="0" collapsed="false">
      <c r="A12" s="138" t="s">
        <v>4399</v>
      </c>
      <c r="B12" s="138" t="n">
        <v>417.385</v>
      </c>
      <c r="C12" s="138" t="s">
        <v>4384</v>
      </c>
      <c r="D12" s="138" t="s">
        <v>60</v>
      </c>
      <c r="E12" s="138" t="n">
        <v>1</v>
      </c>
      <c r="F12" s="138" t="s">
        <v>80</v>
      </c>
      <c r="G12" s="138" t="s">
        <v>4396</v>
      </c>
    </row>
    <row r="13" customFormat="false" ht="15" hidden="false" customHeight="false" outlineLevel="0" collapsed="false">
      <c r="A13" s="138" t="s">
        <v>4400</v>
      </c>
      <c r="B13" s="138" t="n">
        <v>424.652</v>
      </c>
      <c r="C13" s="138" t="s">
        <v>4384</v>
      </c>
      <c r="D13" s="138" t="s">
        <v>59</v>
      </c>
      <c r="E13" s="138" t="n">
        <v>1</v>
      </c>
      <c r="F13" s="138" t="s">
        <v>80</v>
      </c>
      <c r="G13" s="138" t="s">
        <v>4396</v>
      </c>
    </row>
    <row r="14" customFormat="false" ht="15" hidden="false" customHeight="false" outlineLevel="0" collapsed="false">
      <c r="A14" s="138" t="s">
        <v>4401</v>
      </c>
      <c r="B14" s="138" t="n">
        <v>471.015</v>
      </c>
      <c r="C14" s="138" t="s">
        <v>4384</v>
      </c>
      <c r="D14" s="138" t="s">
        <v>59</v>
      </c>
      <c r="E14" s="138" t="n">
        <v>1</v>
      </c>
      <c r="F14" s="138" t="s">
        <v>80</v>
      </c>
      <c r="G14" s="138" t="s">
        <v>4402</v>
      </c>
    </row>
    <row r="15" customFormat="false" ht="15" hidden="false" customHeight="false" outlineLevel="0" collapsed="false">
      <c r="A15" s="138" t="s">
        <v>4403</v>
      </c>
      <c r="B15" s="138" t="n">
        <v>471.147</v>
      </c>
      <c r="C15" s="138" t="s">
        <v>4384</v>
      </c>
      <c r="D15" s="138" t="s">
        <v>60</v>
      </c>
      <c r="E15" s="138" t="n">
        <v>1</v>
      </c>
      <c r="F15" s="138" t="s">
        <v>80</v>
      </c>
      <c r="G15" s="138" t="s">
        <v>4402</v>
      </c>
    </row>
    <row r="16" customFormat="false" ht="15" hidden="false" customHeight="false" outlineLevel="0" collapsed="false">
      <c r="A16" s="138" t="s">
        <v>4404</v>
      </c>
      <c r="B16" s="138" t="n">
        <v>499.358</v>
      </c>
      <c r="C16" s="138" t="s">
        <v>4384</v>
      </c>
      <c r="D16" s="138" t="s">
        <v>60</v>
      </c>
      <c r="E16" s="138" t="n">
        <v>1</v>
      </c>
      <c r="F16" s="138" t="s">
        <v>80</v>
      </c>
      <c r="G16" s="138" t="s">
        <v>4402</v>
      </c>
    </row>
    <row r="17" customFormat="false" ht="15" hidden="false" customHeight="false" outlineLevel="0" collapsed="false">
      <c r="A17" s="138" t="s">
        <v>4405</v>
      </c>
      <c r="B17" s="138" t="n">
        <v>523.52</v>
      </c>
      <c r="C17" s="138" t="s">
        <v>4384</v>
      </c>
      <c r="D17" s="138" t="s">
        <v>59</v>
      </c>
      <c r="E17" s="138" t="n">
        <v>1</v>
      </c>
      <c r="F17" s="138" t="s">
        <v>80</v>
      </c>
      <c r="G17" s="138" t="s">
        <v>4406</v>
      </c>
    </row>
    <row r="18" customFormat="false" ht="15" hidden="false" customHeight="false" outlineLevel="0" collapsed="false">
      <c r="A18" s="138" t="s">
        <v>4407</v>
      </c>
      <c r="B18" s="138" t="n">
        <v>597.689</v>
      </c>
      <c r="C18" s="138" t="s">
        <v>4408</v>
      </c>
      <c r="D18" s="138" t="s">
        <v>60</v>
      </c>
      <c r="E18" s="138" t="n">
        <v>59</v>
      </c>
      <c r="F18" s="138" t="s">
        <v>73</v>
      </c>
      <c r="G18" s="138" t="s">
        <v>4409</v>
      </c>
    </row>
    <row r="19" customFormat="false" ht="15" hidden="false" customHeight="false" outlineLevel="0" collapsed="false">
      <c r="A19" s="138" t="s">
        <v>4410</v>
      </c>
      <c r="B19" s="138" t="n">
        <v>599.808</v>
      </c>
      <c r="C19" s="138" t="s">
        <v>4408</v>
      </c>
      <c r="D19" s="138" t="s">
        <v>60</v>
      </c>
      <c r="E19" s="138" t="n">
        <v>44</v>
      </c>
      <c r="F19" s="138" t="s">
        <v>73</v>
      </c>
      <c r="G19" s="138" t="s">
        <v>4409</v>
      </c>
    </row>
    <row r="20" customFormat="false" ht="15" hidden="false" customHeight="false" outlineLevel="0" collapsed="false">
      <c r="A20" s="138" t="s">
        <v>4411</v>
      </c>
      <c r="B20" s="138" t="n">
        <v>602.216</v>
      </c>
      <c r="C20" s="138" t="s">
        <v>4408</v>
      </c>
      <c r="D20" s="138" t="s">
        <v>60</v>
      </c>
      <c r="E20" s="138" t="n">
        <v>317</v>
      </c>
      <c r="F20" s="138" t="s">
        <v>73</v>
      </c>
      <c r="G20" s="138" t="s">
        <v>4409</v>
      </c>
    </row>
    <row r="21" customFormat="false" ht="15" hidden="false" customHeight="false" outlineLevel="0" collapsed="false">
      <c r="A21" s="138" t="s">
        <v>4412</v>
      </c>
      <c r="B21" s="138" t="n">
        <v>604.197</v>
      </c>
      <c r="C21" s="138" t="s">
        <v>4408</v>
      </c>
      <c r="D21" s="138" t="s">
        <v>60</v>
      </c>
      <c r="E21" s="138" t="n">
        <v>40</v>
      </c>
      <c r="F21" s="138" t="s">
        <v>73</v>
      </c>
      <c r="G21" s="138" t="s">
        <v>4409</v>
      </c>
    </row>
    <row r="22" customFormat="false" ht="15" hidden="false" customHeight="false" outlineLevel="0" collapsed="false">
      <c r="A22" s="138" t="s">
        <v>4413</v>
      </c>
      <c r="B22" s="138" t="n">
        <v>604.413</v>
      </c>
      <c r="C22" s="138" t="s">
        <v>4408</v>
      </c>
      <c r="D22" s="138" t="s">
        <v>59</v>
      </c>
      <c r="E22" s="138" t="n">
        <v>379</v>
      </c>
      <c r="F22" s="138" t="s">
        <v>73</v>
      </c>
      <c r="G22" s="138" t="s">
        <v>4409</v>
      </c>
    </row>
    <row r="23" customFormat="false" ht="15" hidden="false" customHeight="false" outlineLevel="0" collapsed="false">
      <c r="A23" s="138" t="s">
        <v>4414</v>
      </c>
      <c r="B23" s="138" t="n">
        <v>607.812</v>
      </c>
      <c r="C23" s="138" t="s">
        <v>4408</v>
      </c>
      <c r="D23" s="138" t="s">
        <v>60</v>
      </c>
      <c r="E23" s="138" t="n">
        <v>597</v>
      </c>
      <c r="F23" s="138" t="s">
        <v>73</v>
      </c>
      <c r="G23" s="138" t="s">
        <v>4409</v>
      </c>
    </row>
    <row r="24" customFormat="false" ht="15" hidden="false" customHeight="false" outlineLevel="0" collapsed="false">
      <c r="A24" s="138" t="s">
        <v>4415</v>
      </c>
      <c r="B24" s="138" t="n">
        <v>609.259</v>
      </c>
      <c r="C24" s="138" t="s">
        <v>4408</v>
      </c>
      <c r="D24" s="138" t="s">
        <v>59</v>
      </c>
      <c r="E24" s="138" t="n">
        <v>43</v>
      </c>
      <c r="F24" s="138" t="s">
        <v>73</v>
      </c>
      <c r="G24" s="138" t="s">
        <v>4409</v>
      </c>
    </row>
    <row r="25" customFormat="false" ht="15" hidden="false" customHeight="false" outlineLevel="0" collapsed="false">
      <c r="A25" s="138" t="s">
        <v>4416</v>
      </c>
      <c r="B25" s="138" t="n">
        <v>610.418</v>
      </c>
      <c r="C25" s="138" t="s">
        <v>4408</v>
      </c>
      <c r="D25" s="138" t="s">
        <v>59</v>
      </c>
      <c r="E25" s="138" t="n">
        <v>146</v>
      </c>
      <c r="F25" s="138" t="s">
        <v>73</v>
      </c>
      <c r="G25" s="138" t="s">
        <v>4409</v>
      </c>
    </row>
    <row r="26" customFormat="false" ht="15" hidden="false" customHeight="false" outlineLevel="0" collapsed="false">
      <c r="A26" s="138" t="s">
        <v>4417</v>
      </c>
      <c r="B26" s="138" t="n">
        <v>612.544</v>
      </c>
      <c r="C26" s="138" t="s">
        <v>4408</v>
      </c>
      <c r="D26" s="138" t="s">
        <v>60</v>
      </c>
      <c r="E26" s="138" t="n">
        <v>597</v>
      </c>
      <c r="F26" s="138" t="s">
        <v>73</v>
      </c>
      <c r="G26" s="138" t="s">
        <v>4409</v>
      </c>
    </row>
    <row r="27" customFormat="false" ht="15" hidden="false" customHeight="false" outlineLevel="0" collapsed="false">
      <c r="A27" s="138" t="s">
        <v>4418</v>
      </c>
      <c r="B27" s="138" t="n">
        <v>613.54</v>
      </c>
      <c r="C27" s="138" t="s">
        <v>4408</v>
      </c>
      <c r="D27" s="138" t="s">
        <v>59</v>
      </c>
      <c r="E27" s="138" t="n">
        <v>187</v>
      </c>
      <c r="F27" s="138" t="s">
        <v>73</v>
      </c>
      <c r="G27" s="138" t="s">
        <v>4409</v>
      </c>
    </row>
    <row r="28" customFormat="false" ht="15" hidden="false" customHeight="false" outlineLevel="0" collapsed="false">
      <c r="A28" s="138" t="s">
        <v>4419</v>
      </c>
      <c r="B28" s="138" t="n">
        <v>614.384</v>
      </c>
      <c r="C28" s="138" t="s">
        <v>4408</v>
      </c>
      <c r="D28" s="138" t="s">
        <v>60</v>
      </c>
      <c r="E28" s="138" t="n">
        <v>28</v>
      </c>
      <c r="F28" s="138" t="s">
        <v>73</v>
      </c>
      <c r="G28" s="138" t="s">
        <v>4409</v>
      </c>
    </row>
    <row r="29" customFormat="false" ht="15" hidden="false" customHeight="false" outlineLevel="0" collapsed="false">
      <c r="A29" s="138" t="s">
        <v>4420</v>
      </c>
      <c r="B29" s="138" t="n">
        <v>614.658</v>
      </c>
      <c r="C29" s="138" t="s">
        <v>4408</v>
      </c>
      <c r="D29" s="138" t="s">
        <v>60</v>
      </c>
      <c r="E29" s="138" t="n">
        <v>46</v>
      </c>
      <c r="F29" s="138" t="s">
        <v>73</v>
      </c>
      <c r="G29" s="138" t="s">
        <v>4409</v>
      </c>
    </row>
    <row r="30" customFormat="false" ht="15" hidden="false" customHeight="false" outlineLevel="0" collapsed="false">
      <c r="A30" s="138" t="s">
        <v>4421</v>
      </c>
      <c r="B30" s="138" t="n">
        <v>615.07</v>
      </c>
      <c r="C30" s="138" t="s">
        <v>4408</v>
      </c>
      <c r="D30" s="138" t="s">
        <v>60</v>
      </c>
      <c r="E30" s="138" t="n">
        <v>14</v>
      </c>
      <c r="F30" s="138" t="s">
        <v>73</v>
      </c>
      <c r="G30" s="138" t="s">
        <v>4409</v>
      </c>
    </row>
    <row r="31" customFormat="false" ht="15" hidden="false" customHeight="false" outlineLevel="0" collapsed="false">
      <c r="A31" s="138" t="s">
        <v>4422</v>
      </c>
      <c r="B31" s="138" t="n">
        <v>615.818</v>
      </c>
      <c r="C31" s="138" t="s">
        <v>4408</v>
      </c>
      <c r="D31" s="138" t="s">
        <v>59</v>
      </c>
      <c r="E31" s="138" t="n">
        <v>163</v>
      </c>
      <c r="F31" s="138" t="s">
        <v>73</v>
      </c>
      <c r="G31" s="138" t="s">
        <v>4409</v>
      </c>
    </row>
    <row r="32" customFormat="false" ht="15" hidden="false" customHeight="false" outlineLevel="0" collapsed="false">
      <c r="A32" s="138" t="s">
        <v>4423</v>
      </c>
      <c r="B32" s="138" t="n">
        <v>616.582</v>
      </c>
      <c r="C32" s="138" t="s">
        <v>4408</v>
      </c>
      <c r="D32" s="138" t="s">
        <v>60</v>
      </c>
      <c r="E32" s="138" t="n">
        <v>184</v>
      </c>
      <c r="F32" s="138" t="s">
        <v>73</v>
      </c>
      <c r="G32" s="138" t="s">
        <v>4409</v>
      </c>
    </row>
    <row r="33" customFormat="false" ht="15" hidden="false" customHeight="false" outlineLevel="0" collapsed="false">
      <c r="A33" s="138" t="s">
        <v>4424</v>
      </c>
      <c r="B33" s="138" t="n">
        <v>618.063</v>
      </c>
      <c r="C33" s="138" t="s">
        <v>4408</v>
      </c>
      <c r="D33" s="138" t="s">
        <v>59</v>
      </c>
      <c r="E33" s="138" t="n">
        <v>111</v>
      </c>
      <c r="F33" s="138" t="s">
        <v>73</v>
      </c>
      <c r="G33" s="138" t="s">
        <v>4409</v>
      </c>
    </row>
    <row r="34" customFormat="false" ht="15" hidden="false" customHeight="false" outlineLevel="0" collapsed="false">
      <c r="A34" s="138" t="s">
        <v>4425</v>
      </c>
      <c r="B34" s="138" t="n">
        <v>618.396</v>
      </c>
      <c r="C34" s="138" t="s">
        <v>4408</v>
      </c>
      <c r="D34" s="138" t="s">
        <v>60</v>
      </c>
      <c r="E34" s="138" t="n">
        <v>19</v>
      </c>
      <c r="F34" s="138" t="s">
        <v>73</v>
      </c>
      <c r="G34" s="138" t="s">
        <v>4409</v>
      </c>
    </row>
    <row r="35" customFormat="false" ht="15" hidden="false" customHeight="false" outlineLevel="0" collapsed="false">
      <c r="A35" s="138" t="s">
        <v>4426</v>
      </c>
      <c r="B35" s="138" t="n">
        <v>618.736</v>
      </c>
      <c r="C35" s="138" t="s">
        <v>4408</v>
      </c>
      <c r="D35" s="138" t="s">
        <v>60</v>
      </c>
      <c r="E35" s="138" t="n">
        <v>21</v>
      </c>
      <c r="F35" s="138" t="s">
        <v>73</v>
      </c>
      <c r="G35" s="138" t="s">
        <v>4409</v>
      </c>
    </row>
    <row r="36" customFormat="false" ht="15" hidden="false" customHeight="false" outlineLevel="0" collapsed="false">
      <c r="A36" s="138" t="s">
        <v>4427</v>
      </c>
      <c r="B36" s="138" t="n">
        <v>619.53</v>
      </c>
      <c r="C36" s="138" t="s">
        <v>4408</v>
      </c>
      <c r="D36" s="138" t="s">
        <v>59</v>
      </c>
      <c r="E36" s="138" t="n">
        <v>118</v>
      </c>
      <c r="F36" s="138" t="s">
        <v>73</v>
      </c>
      <c r="G36" s="138" t="s">
        <v>4409</v>
      </c>
    </row>
    <row r="37" customFormat="false" ht="15" hidden="false" customHeight="false" outlineLevel="0" collapsed="false">
      <c r="A37" s="138" t="s">
        <v>4428</v>
      </c>
      <c r="B37" s="138" t="n">
        <v>619.892</v>
      </c>
      <c r="C37" s="138" t="s">
        <v>4408</v>
      </c>
      <c r="D37" s="138" t="s">
        <v>60</v>
      </c>
      <c r="E37" s="138" t="n">
        <v>15</v>
      </c>
      <c r="F37" s="138" t="s">
        <v>73</v>
      </c>
      <c r="G37" s="138" t="s">
        <v>4409</v>
      </c>
    </row>
    <row r="38" customFormat="false" ht="15" hidden="false" customHeight="false" outlineLevel="0" collapsed="false">
      <c r="A38" s="138" t="s">
        <v>4429</v>
      </c>
      <c r="B38" s="138" t="n">
        <v>620.627</v>
      </c>
      <c r="C38" s="138" t="s">
        <v>4408</v>
      </c>
      <c r="D38" s="138" t="s">
        <v>60</v>
      </c>
      <c r="E38" s="138" t="n">
        <v>93</v>
      </c>
      <c r="F38" s="138" t="s">
        <v>73</v>
      </c>
      <c r="G38" s="138" t="s">
        <v>4409</v>
      </c>
    </row>
    <row r="39" customFormat="false" ht="15" hidden="false" customHeight="false" outlineLevel="0" collapsed="false">
      <c r="A39" s="138" t="s">
        <v>4430</v>
      </c>
      <c r="B39" s="138" t="n">
        <v>620.724</v>
      </c>
      <c r="C39" s="138" t="s">
        <v>4431</v>
      </c>
      <c r="D39" s="138" t="s">
        <v>60</v>
      </c>
      <c r="E39" s="138" t="n">
        <v>10</v>
      </c>
      <c r="F39" s="138" t="s">
        <v>73</v>
      </c>
      <c r="G39" s="138" t="s">
        <v>4409</v>
      </c>
    </row>
    <row r="40" customFormat="false" ht="15" hidden="false" customHeight="false" outlineLevel="0" collapsed="false">
      <c r="A40" s="138" t="s">
        <v>4432</v>
      </c>
      <c r="B40" s="138" t="n">
        <v>620.86</v>
      </c>
      <c r="C40" s="138" t="s">
        <v>4408</v>
      </c>
      <c r="D40" s="138" t="s">
        <v>60</v>
      </c>
      <c r="E40" s="138" t="n">
        <v>25</v>
      </c>
      <c r="F40" s="138" t="s">
        <v>73</v>
      </c>
      <c r="G40" s="138" t="s">
        <v>4409</v>
      </c>
    </row>
    <row r="41" customFormat="false" ht="15" hidden="false" customHeight="false" outlineLevel="0" collapsed="false">
      <c r="A41" s="138" t="s">
        <v>4433</v>
      </c>
      <c r="B41" s="138" t="n">
        <v>621.775</v>
      </c>
      <c r="C41" s="138" t="s">
        <v>4408</v>
      </c>
      <c r="D41" s="138" t="s">
        <v>59</v>
      </c>
      <c r="E41" s="138" t="n">
        <v>72</v>
      </c>
      <c r="F41" s="138" t="s">
        <v>73</v>
      </c>
      <c r="G41" s="138" t="s">
        <v>4409</v>
      </c>
    </row>
    <row r="42" customFormat="false" ht="15" hidden="false" customHeight="false" outlineLevel="0" collapsed="false">
      <c r="A42" s="138" t="s">
        <v>4434</v>
      </c>
      <c r="B42" s="138" t="n">
        <v>621.865</v>
      </c>
      <c r="C42" s="138" t="s">
        <v>4408</v>
      </c>
      <c r="D42" s="138" t="s">
        <v>60</v>
      </c>
      <c r="E42" s="138" t="n">
        <v>102</v>
      </c>
      <c r="F42" s="138" t="s">
        <v>73</v>
      </c>
      <c r="G42" s="138" t="s">
        <v>4409</v>
      </c>
    </row>
    <row r="43" customFormat="false" ht="15" hidden="false" customHeight="false" outlineLevel="0" collapsed="false">
      <c r="A43" s="138" t="s">
        <v>4435</v>
      </c>
      <c r="B43" s="138" t="n">
        <v>624.36</v>
      </c>
      <c r="C43" s="138" t="s">
        <v>4408</v>
      </c>
      <c r="D43" s="138" t="s">
        <v>59</v>
      </c>
      <c r="E43" s="138" t="n">
        <v>338</v>
      </c>
      <c r="F43" s="138" t="s">
        <v>73</v>
      </c>
      <c r="G43" s="138" t="s">
        <v>4409</v>
      </c>
    </row>
    <row r="44" customFormat="false" ht="15" hidden="false" customHeight="false" outlineLevel="0" collapsed="false">
      <c r="A44" s="138" t="s">
        <v>4436</v>
      </c>
      <c r="B44" s="138" t="n">
        <v>625.804</v>
      </c>
      <c r="C44" s="138" t="s">
        <v>4408</v>
      </c>
      <c r="D44" s="138" t="s">
        <v>60</v>
      </c>
      <c r="E44" s="138" t="n">
        <v>371</v>
      </c>
      <c r="F44" s="138" t="s">
        <v>73</v>
      </c>
      <c r="G44" s="138" t="s">
        <v>4409</v>
      </c>
    </row>
    <row r="45" customFormat="false" ht="15" hidden="false" customHeight="false" outlineLevel="0" collapsed="false">
      <c r="A45" s="138" t="s">
        <v>4437</v>
      </c>
      <c r="B45" s="138" t="n">
        <v>628.212</v>
      </c>
      <c r="C45" s="138" t="s">
        <v>4408</v>
      </c>
      <c r="D45" s="138" t="s">
        <v>60</v>
      </c>
      <c r="E45" s="138" t="n">
        <v>18</v>
      </c>
      <c r="F45" s="138" t="s">
        <v>73</v>
      </c>
      <c r="G45" s="138" t="s">
        <v>4409</v>
      </c>
    </row>
    <row r="46" customFormat="false" ht="15" hidden="false" customHeight="false" outlineLevel="0" collapsed="false">
      <c r="A46" s="138" t="s">
        <v>4438</v>
      </c>
      <c r="B46" s="138" t="n">
        <v>629.11</v>
      </c>
      <c r="C46" s="138" t="s">
        <v>4431</v>
      </c>
      <c r="D46" s="138" t="s">
        <v>59</v>
      </c>
      <c r="E46" s="138" t="n">
        <v>12.5</v>
      </c>
      <c r="F46" s="138" t="s">
        <v>73</v>
      </c>
      <c r="G46" s="138" t="s">
        <v>4409</v>
      </c>
    </row>
    <row r="47" customFormat="false" ht="15" hidden="false" customHeight="false" outlineLevel="0" collapsed="false">
      <c r="A47" s="138" t="s">
        <v>4439</v>
      </c>
      <c r="B47" s="138" t="n">
        <v>629.193</v>
      </c>
      <c r="C47" s="138" t="s">
        <v>4408</v>
      </c>
      <c r="D47" s="138" t="s">
        <v>59</v>
      </c>
      <c r="E47" s="138" t="n">
        <v>10</v>
      </c>
      <c r="F47" s="138" t="s">
        <v>73</v>
      </c>
      <c r="G47" s="138" t="s">
        <v>4409</v>
      </c>
    </row>
    <row r="48" customFormat="false" ht="15" hidden="false" customHeight="false" outlineLevel="0" collapsed="false">
      <c r="A48" s="138" t="s">
        <v>4440</v>
      </c>
      <c r="B48" s="138" t="n">
        <v>629.344</v>
      </c>
      <c r="C48" s="138" t="s">
        <v>4408</v>
      </c>
      <c r="D48" s="138" t="s">
        <v>60</v>
      </c>
      <c r="E48" s="138" t="n">
        <v>91</v>
      </c>
      <c r="F48" s="138" t="s">
        <v>73</v>
      </c>
      <c r="G48" s="138" t="s">
        <v>4409</v>
      </c>
    </row>
    <row r="49" customFormat="false" ht="15" hidden="false" customHeight="false" outlineLevel="0" collapsed="false">
      <c r="A49" s="138" t="s">
        <v>4441</v>
      </c>
      <c r="B49" s="138" t="n">
        <v>630.807</v>
      </c>
      <c r="C49" s="138" t="s">
        <v>4408</v>
      </c>
      <c r="D49" s="138" t="s">
        <v>59</v>
      </c>
      <c r="E49" s="138" t="n">
        <v>77</v>
      </c>
      <c r="F49" s="138" t="s">
        <v>73</v>
      </c>
      <c r="G49" s="138" t="s">
        <v>4409</v>
      </c>
    </row>
    <row r="50" customFormat="false" ht="15" hidden="false" customHeight="false" outlineLevel="0" collapsed="false">
      <c r="A50" s="138" t="s">
        <v>4442</v>
      </c>
      <c r="B50" s="138" t="n">
        <v>631.021</v>
      </c>
      <c r="C50" s="138" t="s">
        <v>4408</v>
      </c>
      <c r="D50" s="138" t="s">
        <v>59</v>
      </c>
      <c r="E50" s="138" t="n">
        <v>20</v>
      </c>
      <c r="F50" s="138" t="s">
        <v>73</v>
      </c>
      <c r="G50" s="138" t="s">
        <v>4409</v>
      </c>
    </row>
    <row r="51" customFormat="false" ht="15" hidden="false" customHeight="false" outlineLevel="0" collapsed="false">
      <c r="A51" s="138" t="s">
        <v>4443</v>
      </c>
      <c r="B51" s="138" t="n">
        <v>631.189</v>
      </c>
      <c r="C51" s="138" t="s">
        <v>4408</v>
      </c>
      <c r="D51" s="138" t="s">
        <v>60</v>
      </c>
      <c r="E51" s="138" t="n">
        <v>25</v>
      </c>
      <c r="F51" s="138" t="s">
        <v>73</v>
      </c>
      <c r="G51" s="138" t="s">
        <v>4409</v>
      </c>
    </row>
    <row r="52" customFormat="false" ht="15" hidden="false" customHeight="false" outlineLevel="0" collapsed="false">
      <c r="A52" s="138" t="s">
        <v>4444</v>
      </c>
      <c r="B52" s="138" t="n">
        <v>631.614</v>
      </c>
      <c r="C52" s="138" t="s">
        <v>4408</v>
      </c>
      <c r="D52" s="138" t="s">
        <v>60</v>
      </c>
      <c r="E52" s="138" t="n">
        <v>117</v>
      </c>
      <c r="F52" s="138" t="s">
        <v>73</v>
      </c>
      <c r="G52" s="138" t="s">
        <v>4409</v>
      </c>
    </row>
    <row r="53" customFormat="false" ht="15" hidden="false" customHeight="false" outlineLevel="0" collapsed="false">
      <c r="A53" s="138" t="s">
        <v>4445</v>
      </c>
      <c r="B53" s="138" t="n">
        <v>632.33</v>
      </c>
      <c r="C53" s="138" t="s">
        <v>4431</v>
      </c>
      <c r="D53" s="138" t="s">
        <v>59</v>
      </c>
      <c r="E53" s="138" t="n">
        <v>21</v>
      </c>
      <c r="F53" s="138" t="s">
        <v>73</v>
      </c>
      <c r="G53" s="138" t="s">
        <v>4409</v>
      </c>
    </row>
    <row r="54" customFormat="false" ht="15" hidden="false" customHeight="false" outlineLevel="0" collapsed="false">
      <c r="A54" s="138" t="s">
        <v>4446</v>
      </c>
      <c r="B54" s="138" t="n">
        <v>633.026</v>
      </c>
      <c r="C54" s="138" t="s">
        <v>4408</v>
      </c>
      <c r="D54" s="138" t="s">
        <v>59</v>
      </c>
      <c r="E54" s="138" t="n">
        <v>15</v>
      </c>
      <c r="F54" s="138" t="s">
        <v>73</v>
      </c>
      <c r="G54" s="138" t="s">
        <v>4409</v>
      </c>
    </row>
    <row r="55" customFormat="false" ht="15" hidden="false" customHeight="false" outlineLevel="0" collapsed="false">
      <c r="A55" s="138" t="s">
        <v>4447</v>
      </c>
      <c r="B55" s="138" t="n">
        <v>633.701</v>
      </c>
      <c r="C55" s="138" t="s">
        <v>4408</v>
      </c>
      <c r="D55" s="138" t="s">
        <v>60</v>
      </c>
      <c r="E55" s="138" t="n">
        <v>67</v>
      </c>
      <c r="F55" s="138" t="s">
        <v>73</v>
      </c>
      <c r="G55" s="138" t="s">
        <v>4409</v>
      </c>
    </row>
    <row r="56" customFormat="false" ht="15" hidden="false" customHeight="false" outlineLevel="0" collapsed="false">
      <c r="A56" s="138" t="s">
        <v>4448</v>
      </c>
      <c r="B56" s="138" t="n">
        <v>634.207</v>
      </c>
      <c r="C56" s="138" t="s">
        <v>4408</v>
      </c>
      <c r="D56" s="138" t="s">
        <v>59</v>
      </c>
      <c r="E56" s="138" t="n">
        <v>99</v>
      </c>
      <c r="F56" s="138" t="s">
        <v>73</v>
      </c>
      <c r="G56" s="138" t="s">
        <v>4409</v>
      </c>
    </row>
    <row r="57" customFormat="false" ht="15" hidden="false" customHeight="false" outlineLevel="0" collapsed="false">
      <c r="A57" s="138" t="s">
        <v>4449</v>
      </c>
      <c r="B57" s="138" t="n">
        <v>636.038</v>
      </c>
      <c r="C57" s="138" t="s">
        <v>4408</v>
      </c>
      <c r="D57" s="138" t="s">
        <v>59</v>
      </c>
      <c r="E57" s="138" t="n">
        <v>10</v>
      </c>
      <c r="F57" s="138" t="s">
        <v>73</v>
      </c>
      <c r="G57" s="138" t="s">
        <v>4409</v>
      </c>
    </row>
    <row r="58" customFormat="false" ht="15" hidden="false" customHeight="false" outlineLevel="0" collapsed="false">
      <c r="A58" s="138" t="s">
        <v>4450</v>
      </c>
      <c r="B58" s="138" t="n">
        <v>637.327</v>
      </c>
      <c r="C58" s="138" t="s">
        <v>4408</v>
      </c>
      <c r="D58" s="138" t="s">
        <v>59</v>
      </c>
      <c r="E58" s="138" t="n">
        <v>466</v>
      </c>
      <c r="F58" s="138" t="s">
        <v>73</v>
      </c>
      <c r="G58" s="138" t="s">
        <v>4409</v>
      </c>
    </row>
    <row r="59" customFormat="false" ht="15" hidden="false" customHeight="false" outlineLevel="0" collapsed="false">
      <c r="A59" s="138" t="s">
        <v>4451</v>
      </c>
      <c r="B59" s="138" t="n">
        <v>637.528</v>
      </c>
      <c r="C59" s="138" t="s">
        <v>4408</v>
      </c>
      <c r="D59" s="138" t="s">
        <v>60</v>
      </c>
      <c r="E59" s="138" t="n">
        <v>279</v>
      </c>
      <c r="F59" s="138" t="s">
        <v>73</v>
      </c>
      <c r="G59" s="138" t="s">
        <v>4409</v>
      </c>
    </row>
    <row r="60" customFormat="false" ht="15" hidden="false" customHeight="false" outlineLevel="0" collapsed="false">
      <c r="A60" s="138" t="s">
        <v>4452</v>
      </c>
      <c r="B60" s="138" t="n">
        <v>642.275</v>
      </c>
      <c r="C60" s="138" t="s">
        <v>4408</v>
      </c>
      <c r="D60" s="138" t="s">
        <v>60</v>
      </c>
      <c r="E60" s="138" t="n">
        <v>217</v>
      </c>
      <c r="F60" s="138" t="s">
        <v>73</v>
      </c>
      <c r="G60" s="138" t="s">
        <v>4409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48" hidden="false" customHeight="true" outlineLevel="0" collapsed="false">
      <c r="A1" s="133" t="s">
        <v>9</v>
      </c>
      <c r="B1" s="133" t="s">
        <v>3158</v>
      </c>
      <c r="C1" s="133" t="s">
        <v>4453</v>
      </c>
      <c r="D1" s="133" t="s">
        <v>4454</v>
      </c>
      <c r="E1" s="133" t="s">
        <v>4455</v>
      </c>
      <c r="F1" s="133" t="s">
        <v>4456</v>
      </c>
      <c r="G1" s="133" t="s">
        <v>3485</v>
      </c>
    </row>
    <row r="2" customFormat="false" ht="15" hidden="false" customHeight="false" outlineLevel="0" collapsed="false">
      <c r="A2" s="138" t="s">
        <v>4457</v>
      </c>
      <c r="B2" s="138" t="n">
        <v>169.632</v>
      </c>
      <c r="C2" s="138" t="s">
        <v>4458</v>
      </c>
      <c r="D2" s="138" t="n">
        <v>15.81</v>
      </c>
      <c r="E2" s="138" t="n">
        <v>1</v>
      </c>
      <c r="F2" s="138" t="n">
        <f aca="false">D2*E2</f>
        <v>15.81</v>
      </c>
      <c r="G2" s="138" t="s">
        <v>4459</v>
      </c>
    </row>
    <row r="3" customFormat="false" ht="15" hidden="false" customHeight="false" outlineLevel="0" collapsed="false">
      <c r="A3" s="138" t="s">
        <v>4460</v>
      </c>
      <c r="B3" s="138" t="n">
        <v>200.5655</v>
      </c>
      <c r="C3" s="138" t="s">
        <v>3377</v>
      </c>
      <c r="D3" s="138" t="n">
        <v>10.74</v>
      </c>
      <c r="E3" s="138" t="n">
        <v>1</v>
      </c>
      <c r="F3" s="138" t="n">
        <f aca="false">D3*E3</f>
        <v>10.74</v>
      </c>
      <c r="G3" s="138" t="s">
        <v>4461</v>
      </c>
    </row>
    <row r="4" customFormat="false" ht="15" hidden="false" customHeight="false" outlineLevel="0" collapsed="false">
      <c r="A4" s="138" t="s">
        <v>4462</v>
      </c>
      <c r="B4" s="138" t="n">
        <v>259.9965</v>
      </c>
      <c r="C4" s="138" t="s">
        <v>4458</v>
      </c>
      <c r="D4" s="138" t="n">
        <v>15.92</v>
      </c>
      <c r="E4" s="138" t="n">
        <v>1</v>
      </c>
      <c r="F4" s="138" t="n">
        <f aca="false">D4*E4</f>
        <v>15.92</v>
      </c>
      <c r="G4" s="138" t="s">
        <v>4461</v>
      </c>
    </row>
    <row r="5" customFormat="false" ht="15" hidden="false" customHeight="false" outlineLevel="0" collapsed="false">
      <c r="A5" s="138" t="s">
        <v>3309</v>
      </c>
      <c r="B5" s="138" t="n">
        <v>268.814</v>
      </c>
      <c r="C5" s="138" t="s">
        <v>4458</v>
      </c>
      <c r="D5" s="138" t="n">
        <v>20.25</v>
      </c>
      <c r="E5" s="138" t="n">
        <v>1</v>
      </c>
      <c r="F5" s="138" t="n">
        <f aca="false">D5*E5</f>
        <v>20.25</v>
      </c>
      <c r="G5" s="138" t="s">
        <v>4461</v>
      </c>
    </row>
    <row r="6" customFormat="false" ht="15" hidden="false" customHeight="false" outlineLevel="0" collapsed="false">
      <c r="A6" s="138" t="s">
        <v>3327</v>
      </c>
      <c r="B6" s="138" t="n">
        <v>323.521</v>
      </c>
      <c r="C6" s="138" t="s">
        <v>3377</v>
      </c>
      <c r="D6" s="138" t="n">
        <v>14.73</v>
      </c>
      <c r="E6" s="138" t="n">
        <v>1</v>
      </c>
      <c r="F6" s="138" t="n">
        <f aca="false">D6*E6</f>
        <v>14.73</v>
      </c>
      <c r="G6" s="138" t="s">
        <v>4461</v>
      </c>
    </row>
    <row r="7" customFormat="false" ht="15" hidden="false" customHeight="false" outlineLevel="0" collapsed="false">
      <c r="A7" s="138" t="s">
        <v>3329</v>
      </c>
      <c r="B7" s="138" t="n">
        <v>323.8685</v>
      </c>
      <c r="C7" s="138" t="s">
        <v>3187</v>
      </c>
      <c r="D7" s="138" t="n">
        <v>12.84</v>
      </c>
      <c r="E7" s="138" t="n">
        <v>1</v>
      </c>
      <c r="F7" s="138" t="n">
        <f aca="false">D7*E7</f>
        <v>12.84</v>
      </c>
      <c r="G7" s="138" t="s">
        <v>4461</v>
      </c>
    </row>
    <row r="8" customFormat="false" ht="15" hidden="false" customHeight="false" outlineLevel="0" collapsed="false">
      <c r="A8" s="138" t="s">
        <v>1984</v>
      </c>
      <c r="B8" s="138" t="n">
        <v>326</v>
      </c>
      <c r="C8" s="138" t="s">
        <v>3377</v>
      </c>
      <c r="D8" s="138" t="n">
        <v>7.59</v>
      </c>
      <c r="E8" s="138" t="n">
        <v>1</v>
      </c>
      <c r="F8" s="138" t="n">
        <f aca="false">D8*E8</f>
        <v>7.59</v>
      </c>
      <c r="G8" s="138" t="s">
        <v>4463</v>
      </c>
    </row>
    <row r="9" customFormat="false" ht="15" hidden="false" customHeight="false" outlineLevel="0" collapsed="false">
      <c r="A9" s="138" t="s">
        <v>4464</v>
      </c>
      <c r="B9" s="138" t="n">
        <v>377.193</v>
      </c>
      <c r="C9" s="138" t="s">
        <v>3377</v>
      </c>
      <c r="D9" s="138" t="n">
        <v>11.86</v>
      </c>
      <c r="E9" s="138" t="n">
        <v>1</v>
      </c>
      <c r="F9" s="138" t="n">
        <f aca="false">D9*E9</f>
        <v>11.86</v>
      </c>
      <c r="G9" s="138" t="s">
        <v>4465</v>
      </c>
    </row>
    <row r="10" customFormat="false" ht="15" hidden="false" customHeight="false" outlineLevel="0" collapsed="false">
      <c r="A10" s="138" t="s">
        <v>4466</v>
      </c>
      <c r="B10" s="138" t="n">
        <v>430.509</v>
      </c>
      <c r="C10" s="138" t="s">
        <v>4467</v>
      </c>
      <c r="D10" s="138" t="n">
        <v>8.36</v>
      </c>
      <c r="E10" s="138" t="n">
        <v>1</v>
      </c>
      <c r="F10" s="138" t="n">
        <f aca="false">D10*E10</f>
        <v>8.36</v>
      </c>
      <c r="G10" s="138" t="s">
        <v>4465</v>
      </c>
    </row>
    <row r="11" customFormat="false" ht="15" hidden="false" customHeight="false" outlineLevel="0" collapsed="false">
      <c r="A11" s="138" t="s">
        <v>3364</v>
      </c>
      <c r="B11" s="138" t="n">
        <v>433.9535</v>
      </c>
      <c r="C11" s="138" t="s">
        <v>4468</v>
      </c>
      <c r="D11" s="138" t="n">
        <v>18.31</v>
      </c>
      <c r="E11" s="138" t="n">
        <v>2</v>
      </c>
      <c r="F11" s="138" t="n">
        <f aca="false">D11*E11</f>
        <v>36.62</v>
      </c>
      <c r="G11" s="138" t="s">
        <v>4465</v>
      </c>
    </row>
    <row r="12" customFormat="false" ht="15" hidden="false" customHeight="false" outlineLevel="0" collapsed="false">
      <c r="A12" s="138" t="s">
        <v>4469</v>
      </c>
      <c r="B12" s="138" t="n">
        <v>434.173</v>
      </c>
      <c r="C12" s="138" t="s">
        <v>4468</v>
      </c>
      <c r="D12" s="138" t="n">
        <v>20.21</v>
      </c>
      <c r="E12" s="138" t="n">
        <v>2</v>
      </c>
      <c r="F12" s="138" t="n">
        <f aca="false">D12*E12</f>
        <v>40.42</v>
      </c>
      <c r="G12" s="138" t="s">
        <v>4465</v>
      </c>
    </row>
    <row r="13" customFormat="false" ht="15" hidden="false" customHeight="false" outlineLevel="0" collapsed="false">
      <c r="A13" s="138" t="s">
        <v>3374</v>
      </c>
      <c r="B13" s="138" t="n">
        <v>466.8855</v>
      </c>
      <c r="C13" s="138" t="s">
        <v>3377</v>
      </c>
      <c r="D13" s="138" t="n">
        <v>11.9</v>
      </c>
      <c r="E13" s="138" t="n">
        <v>1</v>
      </c>
      <c r="F13" s="138" t="n">
        <f aca="false">D13*E13</f>
        <v>11.9</v>
      </c>
      <c r="G13" s="138" t="s">
        <v>4465</v>
      </c>
    </row>
    <row r="14" customFormat="false" ht="15" hidden="false" customHeight="false" outlineLevel="0" collapsed="false">
      <c r="A14" s="138" t="s">
        <v>4470</v>
      </c>
      <c r="B14" s="138" t="n">
        <v>493.51</v>
      </c>
      <c r="C14" s="138" t="s">
        <v>3377</v>
      </c>
      <c r="D14" s="138" t="n">
        <v>14.64</v>
      </c>
      <c r="E14" s="138" t="n">
        <v>1</v>
      </c>
      <c r="F14" s="138" t="n">
        <f aca="false">D14*E14</f>
        <v>14.64</v>
      </c>
      <c r="G14" s="138" t="s">
        <v>4471</v>
      </c>
    </row>
    <row r="15" customFormat="false" ht="15" hidden="false" customHeight="false" outlineLevel="0" collapsed="false">
      <c r="A15" s="138" t="s">
        <v>3395</v>
      </c>
      <c r="B15" s="138" t="n">
        <v>526.02</v>
      </c>
      <c r="C15" s="138" t="s">
        <v>3377</v>
      </c>
      <c r="D15" s="138" t="n">
        <v>9.18</v>
      </c>
      <c r="E15" s="138" t="n">
        <v>1</v>
      </c>
      <c r="F15" s="138" t="n">
        <f aca="false">D15*E15</f>
        <v>9.18</v>
      </c>
      <c r="G15" s="138" t="s">
        <v>4471</v>
      </c>
    </row>
    <row r="16" customFormat="false" ht="15" hidden="false" customHeight="false" outlineLevel="0" collapsed="false">
      <c r="A16" s="138" t="s">
        <v>3410</v>
      </c>
      <c r="B16" s="138" t="n">
        <v>568.538</v>
      </c>
      <c r="C16" s="138" t="s">
        <v>3377</v>
      </c>
      <c r="D16" s="138" t="n">
        <v>13.27</v>
      </c>
      <c r="E16" s="138" t="n">
        <v>1</v>
      </c>
      <c r="F16" s="138" t="n">
        <f aca="false">D16*E16</f>
        <v>13.27</v>
      </c>
      <c r="G16" s="138" t="s">
        <v>4471</v>
      </c>
    </row>
    <row r="17" customFormat="false" ht="15" hidden="false" customHeight="false" outlineLevel="0" collapsed="false">
      <c r="A17" s="138" t="s">
        <v>3418</v>
      </c>
      <c r="B17" s="138" t="n">
        <v>579.8445</v>
      </c>
      <c r="C17" s="138" t="s">
        <v>3377</v>
      </c>
      <c r="D17" s="138" t="n">
        <v>11.3</v>
      </c>
      <c r="E17" s="138" t="n">
        <v>1</v>
      </c>
      <c r="F17" s="138" t="n">
        <f aca="false">D17*E17</f>
        <v>11.3</v>
      </c>
      <c r="G17" s="138" t="s">
        <v>4471</v>
      </c>
    </row>
    <row r="18" customFormat="false" ht="15" hidden="false" customHeight="false" outlineLevel="0" collapsed="false">
      <c r="A18" s="138" t="s">
        <v>3420</v>
      </c>
      <c r="B18" s="138" t="n">
        <v>591.7715</v>
      </c>
      <c r="C18" s="138" t="s">
        <v>3377</v>
      </c>
      <c r="D18" s="138" t="n">
        <v>17.67</v>
      </c>
      <c r="E18" s="138" t="n">
        <v>1</v>
      </c>
      <c r="F18" s="138" t="n">
        <f aca="false">D18*E18</f>
        <v>17.67</v>
      </c>
      <c r="G18" s="138" t="s">
        <v>4471</v>
      </c>
    </row>
    <row r="19" customFormat="false" ht="15" hidden="false" customHeight="false" outlineLevel="0" collapsed="false">
      <c r="A19" s="138" t="s">
        <v>3433</v>
      </c>
      <c r="B19" s="138" t="n">
        <v>608.184</v>
      </c>
      <c r="C19" s="138" t="s">
        <v>3377</v>
      </c>
      <c r="D19" s="138" t="n">
        <v>12.26</v>
      </c>
      <c r="E19" s="138" t="n">
        <v>1</v>
      </c>
      <c r="F19" s="138" t="n">
        <f aca="false">D19*E19</f>
        <v>12.26</v>
      </c>
      <c r="G19" s="138" t="s">
        <v>4472</v>
      </c>
    </row>
    <row r="20" customFormat="false" ht="15" hidden="false" customHeight="false" outlineLevel="0" collapsed="false">
      <c r="A20" s="138" t="s">
        <v>4473</v>
      </c>
      <c r="B20" s="138" t="n">
        <v>608.2635</v>
      </c>
      <c r="C20" s="138" t="s">
        <v>3377</v>
      </c>
      <c r="D20" s="138" t="n">
        <v>13.68</v>
      </c>
      <c r="E20" s="138" t="n">
        <v>1</v>
      </c>
      <c r="F20" s="138" t="n">
        <f aca="false">D20*E20</f>
        <v>13.68</v>
      </c>
      <c r="G20" s="138" t="s">
        <v>4472</v>
      </c>
    </row>
    <row r="21" customFormat="false" ht="15" hidden="false" customHeight="false" outlineLevel="0" collapsed="false">
      <c r="A21" s="138" t="s">
        <v>3445</v>
      </c>
      <c r="B21" s="138" t="n">
        <v>623.297</v>
      </c>
      <c r="C21" s="138" t="s">
        <v>3377</v>
      </c>
      <c r="D21" s="138" t="n">
        <v>17</v>
      </c>
      <c r="E21" s="138" t="n">
        <v>1</v>
      </c>
      <c r="F21" s="138" t="n">
        <f aca="false">D21*E21</f>
        <v>17</v>
      </c>
      <c r="G21" s="138" t="s">
        <v>4472</v>
      </c>
    </row>
    <row r="23" customFormat="false" ht="15" hidden="false" customHeight="false" outlineLevel="0" collapsed="false">
      <c r="A23" s="136" t="s">
        <v>4474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9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12" min="6" style="0" width="10"/>
    <col collapsed="false" customWidth="true" hidden="false" outlineLevel="0" max="13" min="13" style="0" width="11"/>
    <col collapsed="false" customWidth="true" hidden="false" outlineLevel="0" max="14" min="14" style="0" width="20"/>
  </cols>
  <sheetData>
    <row r="1" customFormat="false" ht="48" hidden="false" customHeight="true" outlineLevel="0" collapsed="false">
      <c r="A1" s="133" t="s">
        <v>4475</v>
      </c>
      <c r="B1" s="133" t="s">
        <v>2367</v>
      </c>
      <c r="C1" s="133" t="s">
        <v>2368</v>
      </c>
      <c r="D1" s="133" t="s">
        <v>2370</v>
      </c>
      <c r="E1" s="133" t="s">
        <v>1552</v>
      </c>
      <c r="F1" s="133" t="s">
        <v>4476</v>
      </c>
      <c r="G1" s="133" t="s">
        <v>4477</v>
      </c>
      <c r="H1" s="133" t="s">
        <v>4478</v>
      </c>
      <c r="I1" s="133" t="s">
        <v>4479</v>
      </c>
      <c r="J1" s="133" t="s">
        <v>4480</v>
      </c>
      <c r="K1" s="133" t="s">
        <v>4481</v>
      </c>
      <c r="L1" s="133" t="s">
        <v>3161</v>
      </c>
      <c r="M1" s="133" t="s">
        <v>4482</v>
      </c>
      <c r="N1" s="133" t="s">
        <v>3485</v>
      </c>
    </row>
    <row r="2" customFormat="false" ht="15" hidden="false" customHeight="false" outlineLevel="0" collapsed="false">
      <c r="A2" s="138" t="s">
        <v>4483</v>
      </c>
      <c r="B2" s="138" t="n">
        <v>159.5</v>
      </c>
      <c r="C2" s="138" t="n">
        <v>160.372</v>
      </c>
      <c r="D2" s="138" t="s">
        <v>59</v>
      </c>
      <c r="E2" s="138" t="n">
        <v>17.5</v>
      </c>
      <c r="F2" s="141" t="n">
        <f aca="false">E2*0</f>
        <v>0</v>
      </c>
      <c r="G2" s="141" t="n">
        <f aca="false">E2*7</f>
        <v>122.5</v>
      </c>
      <c r="H2" s="141" t="n">
        <f aca="false">E2*12</f>
        <v>210</v>
      </c>
      <c r="I2" s="141" t="n">
        <f aca="false">E2*6.2</f>
        <v>108.5</v>
      </c>
      <c r="J2" s="141" t="n">
        <f aca="false">E2*20.5</f>
        <v>358.75</v>
      </c>
      <c r="K2" s="141" t="n">
        <f aca="false">E2*0</f>
        <v>0</v>
      </c>
      <c r="L2" s="141" t="n">
        <f aca="false">E2*0</f>
        <v>0</v>
      </c>
      <c r="M2" s="141" t="n">
        <f aca="false">E2*31</f>
        <v>542.5</v>
      </c>
      <c r="N2" s="138" t="s">
        <v>4484</v>
      </c>
    </row>
    <row r="3" customFormat="false" ht="15" hidden="false" customHeight="false" outlineLevel="0" collapsed="false">
      <c r="A3" s="138" t="s">
        <v>4485</v>
      </c>
      <c r="B3" s="138" t="n">
        <v>160.372</v>
      </c>
      <c r="C3" s="138" t="n">
        <v>161.7</v>
      </c>
      <c r="D3" s="138" t="s">
        <v>60</v>
      </c>
      <c r="E3" s="138" t="n">
        <v>26.5</v>
      </c>
      <c r="F3" s="141" t="n">
        <f aca="false">E3*0</f>
        <v>0</v>
      </c>
      <c r="G3" s="141" t="n">
        <f aca="false">E3*7</f>
        <v>185.5</v>
      </c>
      <c r="H3" s="141" t="n">
        <f aca="false">E3*12</f>
        <v>318</v>
      </c>
      <c r="I3" s="141" t="n">
        <f aca="false">E3*6.2</f>
        <v>164.3</v>
      </c>
      <c r="J3" s="141" t="n">
        <f aca="false">E3*20.5</f>
        <v>543.25</v>
      </c>
      <c r="K3" s="141" t="n">
        <f aca="false">E3*0</f>
        <v>0</v>
      </c>
      <c r="L3" s="141" t="n">
        <f aca="false">E3*0</f>
        <v>0</v>
      </c>
      <c r="M3" s="141" t="n">
        <f aca="false">E3*31</f>
        <v>821.5</v>
      </c>
      <c r="N3" s="138" t="s">
        <v>4484</v>
      </c>
    </row>
    <row r="4" customFormat="false" ht="15" hidden="false" customHeight="false" outlineLevel="0" collapsed="false">
      <c r="A4" s="138" t="s">
        <v>4486</v>
      </c>
      <c r="B4" s="138" t="n">
        <v>235</v>
      </c>
      <c r="C4" s="138" t="n">
        <v>237.4</v>
      </c>
      <c r="D4" s="138" t="s">
        <v>2999</v>
      </c>
      <c r="E4" s="138" t="n">
        <v>133</v>
      </c>
      <c r="F4" s="141" t="n">
        <f aca="false">E4*0</f>
        <v>0</v>
      </c>
      <c r="G4" s="141" t="n">
        <f aca="false">E4*0</f>
        <v>0</v>
      </c>
      <c r="H4" s="141" t="n">
        <f aca="false">E4*26</f>
        <v>3458</v>
      </c>
      <c r="I4" s="141" t="n">
        <f aca="false">E4*10.4</f>
        <v>1383.2</v>
      </c>
      <c r="J4" s="141" t="n">
        <f aca="false">E4*26</f>
        <v>3458</v>
      </c>
      <c r="K4" s="141" t="n">
        <f aca="false">E4*0</f>
        <v>0</v>
      </c>
      <c r="L4" s="141" t="n">
        <f aca="false">E4*0</f>
        <v>0</v>
      </c>
      <c r="M4" s="141" t="n">
        <f aca="false">E4*73</f>
        <v>9709</v>
      </c>
      <c r="N4" s="138" t="s">
        <v>4487</v>
      </c>
    </row>
    <row r="5" customFormat="false" ht="15" hidden="false" customHeight="false" outlineLevel="0" collapsed="false">
      <c r="A5" s="138" t="s">
        <v>4488</v>
      </c>
      <c r="B5" s="138" t="n">
        <v>312.315</v>
      </c>
      <c r="C5" s="138" t="n">
        <v>323.25</v>
      </c>
      <c r="D5" s="138" t="s">
        <v>59</v>
      </c>
      <c r="E5" s="138" t="n">
        <v>220</v>
      </c>
      <c r="F5" s="141" t="n">
        <f aca="false">E5*0</f>
        <v>0</v>
      </c>
      <c r="G5" s="141" t="n">
        <f aca="false">E5*0</f>
        <v>0</v>
      </c>
      <c r="H5" s="141" t="n">
        <f aca="false">E5*0</f>
        <v>0</v>
      </c>
      <c r="I5" s="141" t="n">
        <f aca="false">E5*0</f>
        <v>0</v>
      </c>
      <c r="J5" s="141" t="n">
        <f aca="false">E5*0</f>
        <v>0</v>
      </c>
      <c r="K5" s="141" t="n">
        <f aca="false">E5*1.032</f>
        <v>227.04</v>
      </c>
      <c r="L5" s="141" t="n">
        <f aca="false">E5*0</f>
        <v>0</v>
      </c>
      <c r="M5" s="141" t="n">
        <f aca="false">E5*3.97</f>
        <v>873.4</v>
      </c>
      <c r="N5" s="138" t="s">
        <v>4489</v>
      </c>
    </row>
    <row r="6" customFormat="false" ht="15" hidden="false" customHeight="false" outlineLevel="0" collapsed="false">
      <c r="A6" s="138" t="s">
        <v>4490</v>
      </c>
      <c r="B6" s="138" t="n">
        <v>323</v>
      </c>
      <c r="C6" s="138" t="n">
        <v>323.4</v>
      </c>
      <c r="D6" s="138" t="s">
        <v>59</v>
      </c>
      <c r="E6" s="138" t="n">
        <v>27</v>
      </c>
      <c r="F6" s="141" t="n">
        <f aca="false">E6*1.5</f>
        <v>40.5</v>
      </c>
      <c r="G6" s="141" t="n">
        <f aca="false">E6*2</f>
        <v>54</v>
      </c>
      <c r="H6" s="141" t="n">
        <f aca="false">E6*12</f>
        <v>324</v>
      </c>
      <c r="I6" s="141" t="n">
        <f aca="false">E6*4.8</f>
        <v>129.6</v>
      </c>
      <c r="J6" s="141" t="n">
        <f aca="false">E6*15</f>
        <v>405</v>
      </c>
      <c r="K6" s="141" t="n">
        <f aca="false">E6*0</f>
        <v>0</v>
      </c>
      <c r="L6" s="141" t="n">
        <f aca="false">E6*0</f>
        <v>0</v>
      </c>
      <c r="M6" s="141" t="n">
        <f aca="false">E6*17.4</f>
        <v>469.8</v>
      </c>
      <c r="N6" s="138" t="s">
        <v>4491</v>
      </c>
    </row>
    <row r="7" customFormat="false" ht="15" hidden="false" customHeight="false" outlineLevel="0" collapsed="false">
      <c r="A7" s="138" t="s">
        <v>4492</v>
      </c>
      <c r="B7" s="138" t="n">
        <v>430.58</v>
      </c>
      <c r="C7" s="138" t="n">
        <v>432.53</v>
      </c>
      <c r="D7" s="138" t="s">
        <v>60</v>
      </c>
      <c r="E7" s="138" t="n">
        <v>78</v>
      </c>
      <c r="F7" s="141" t="n">
        <f aca="false">E7*0</f>
        <v>0</v>
      </c>
      <c r="G7" s="141" t="n">
        <f aca="false">E7*0</f>
        <v>0</v>
      </c>
      <c r="H7" s="141" t="n">
        <f aca="false">E7*11</f>
        <v>858</v>
      </c>
      <c r="I7" s="141" t="n">
        <f aca="false">E7*4.4</f>
        <v>343.2</v>
      </c>
      <c r="J7" s="141" t="n">
        <f aca="false">E7*11</f>
        <v>858</v>
      </c>
      <c r="K7" s="141" t="n">
        <f aca="false">E7*0</f>
        <v>0</v>
      </c>
      <c r="L7" s="141" t="n">
        <f aca="false">E7*0</f>
        <v>0</v>
      </c>
      <c r="M7" s="141" t="n">
        <f aca="false">E7*12</f>
        <v>936</v>
      </c>
      <c r="N7" s="138" t="s">
        <v>4493</v>
      </c>
    </row>
    <row r="8" customFormat="false" ht="15" hidden="false" customHeight="false" outlineLevel="0" collapsed="false">
      <c r="A8" s="138" t="s">
        <v>4494</v>
      </c>
      <c r="B8" s="138" t="n">
        <v>429.75</v>
      </c>
      <c r="C8" s="138" t="n">
        <v>430.58</v>
      </c>
      <c r="D8" s="138" t="s">
        <v>60</v>
      </c>
      <c r="E8" s="138" t="n">
        <v>33</v>
      </c>
      <c r="F8" s="141" t="n">
        <f aca="false">E8*2</f>
        <v>66</v>
      </c>
      <c r="G8" s="141" t="n">
        <f aca="false">E8*5</f>
        <v>165</v>
      </c>
      <c r="H8" s="141" t="n">
        <f aca="false">E8*16</f>
        <v>528</v>
      </c>
      <c r="I8" s="141" t="n">
        <f aca="false">E8*8</f>
        <v>264</v>
      </c>
      <c r="J8" s="141" t="n">
        <f aca="false">E8*25</f>
        <v>825</v>
      </c>
      <c r="K8" s="141" t="n">
        <f aca="false">E8*0</f>
        <v>0</v>
      </c>
      <c r="L8" s="141" t="n">
        <f aca="false">E8*0</f>
        <v>0</v>
      </c>
      <c r="M8" s="141" t="n">
        <f aca="false">E8*50</f>
        <v>1650</v>
      </c>
      <c r="N8" s="138" t="s">
        <v>4493</v>
      </c>
    </row>
    <row r="9" customFormat="false" ht="15" hidden="false" customHeight="false" outlineLevel="0" collapsed="false">
      <c r="A9" s="138" t="s">
        <v>4495</v>
      </c>
      <c r="B9" s="138" t="n">
        <v>430.15</v>
      </c>
      <c r="C9" s="138" t="n">
        <v>430.58</v>
      </c>
      <c r="D9" s="138" t="s">
        <v>59</v>
      </c>
      <c r="E9" s="138" t="n">
        <v>17</v>
      </c>
      <c r="F9" s="141" t="n">
        <f aca="false">E9*0</f>
        <v>0</v>
      </c>
      <c r="G9" s="141" t="n">
        <f aca="false">E9*0</f>
        <v>0</v>
      </c>
      <c r="H9" s="141" t="n">
        <f aca="false">E9*24</f>
        <v>408</v>
      </c>
      <c r="I9" s="141" t="n">
        <f aca="false">E9*9.6</f>
        <v>163.2</v>
      </c>
      <c r="J9" s="141" t="n">
        <f aca="false">E9*24</f>
        <v>408</v>
      </c>
      <c r="K9" s="141" t="n">
        <f aca="false">E9*0</f>
        <v>0</v>
      </c>
      <c r="L9" s="141" t="n">
        <f aca="false">E9*0</f>
        <v>0</v>
      </c>
      <c r="M9" s="141" t="n">
        <f aca="false">E9*40.2</f>
        <v>683.4</v>
      </c>
      <c r="N9" s="138" t="s">
        <v>4493</v>
      </c>
    </row>
    <row r="10" customFormat="false" ht="15" hidden="false" customHeight="false" outlineLevel="0" collapsed="false">
      <c r="A10" s="138" t="s">
        <v>4496</v>
      </c>
      <c r="B10" s="138" t="n">
        <v>430.58</v>
      </c>
      <c r="C10" s="138" t="n">
        <v>431.49</v>
      </c>
      <c r="D10" s="138" t="s">
        <v>59</v>
      </c>
      <c r="E10" s="138" t="n">
        <v>36.5</v>
      </c>
      <c r="F10" s="141" t="n">
        <f aca="false">E10*0</f>
        <v>0</v>
      </c>
      <c r="G10" s="141" t="n">
        <f aca="false">E10*0</f>
        <v>0</v>
      </c>
      <c r="H10" s="141" t="n">
        <f aca="false">E10*0</f>
        <v>0</v>
      </c>
      <c r="I10" s="141" t="n">
        <f aca="false">E10*0</f>
        <v>0</v>
      </c>
      <c r="J10" s="141" t="n">
        <f aca="false">E10*0</f>
        <v>0</v>
      </c>
      <c r="K10" s="141" t="n">
        <f aca="false">E10*0</f>
        <v>0</v>
      </c>
      <c r="L10" s="141" t="n">
        <f aca="false">E10*11.14</f>
        <v>406.61</v>
      </c>
      <c r="M10" s="141" t="n">
        <f aca="false">E10*12.6</f>
        <v>459.9</v>
      </c>
      <c r="N10" s="138" t="s">
        <v>4493</v>
      </c>
    </row>
    <row r="11" customFormat="false" ht="15" hidden="false" customHeight="false" outlineLevel="0" collapsed="false">
      <c r="A11" s="138" t="s">
        <v>4497</v>
      </c>
      <c r="B11" s="138" t="n">
        <v>567.39</v>
      </c>
      <c r="C11" s="138" t="n">
        <v>570.04</v>
      </c>
      <c r="D11" s="138" t="s">
        <v>59</v>
      </c>
      <c r="E11" s="138" t="n">
        <v>52.97</v>
      </c>
      <c r="F11" s="141" t="n">
        <f aca="false">E11*0</f>
        <v>0</v>
      </c>
      <c r="G11" s="141" t="n">
        <f aca="false">E11*0</f>
        <v>0</v>
      </c>
      <c r="H11" s="141" t="n">
        <f aca="false">E11*0</f>
        <v>0</v>
      </c>
      <c r="I11" s="141" t="n">
        <f aca="false">E11*0</f>
        <v>0</v>
      </c>
      <c r="J11" s="141" t="n">
        <f aca="false">E11*0</f>
        <v>0</v>
      </c>
      <c r="K11" s="141" t="n">
        <f aca="false">E11*0</f>
        <v>0</v>
      </c>
      <c r="L11" s="141" t="n">
        <f aca="false">E11*11.24</f>
        <v>595.3828</v>
      </c>
      <c r="M11" s="141" t="n">
        <f aca="false">E11*12.75</f>
        <v>675.3675</v>
      </c>
      <c r="N11" s="138" t="s">
        <v>4498</v>
      </c>
    </row>
    <row r="12" customFormat="false" ht="15" hidden="false" customHeight="false" outlineLevel="0" collapsed="false">
      <c r="A12" s="138" t="s">
        <v>4499</v>
      </c>
      <c r="B12" s="138" t="n">
        <v>620.55</v>
      </c>
      <c r="C12" s="138" t="n">
        <v>623.55</v>
      </c>
      <c r="D12" s="138" t="s">
        <v>59</v>
      </c>
      <c r="E12" s="138" t="n">
        <v>60</v>
      </c>
      <c r="F12" s="141" t="n">
        <f aca="false">E12*1</f>
        <v>60</v>
      </c>
      <c r="G12" s="141" t="n">
        <f aca="false">E12*5</f>
        <v>300</v>
      </c>
      <c r="H12" s="141" t="n">
        <f aca="false">E12*0</f>
        <v>0</v>
      </c>
      <c r="I12" s="141" t="n">
        <f aca="false">E12*2.2</f>
        <v>132</v>
      </c>
      <c r="J12" s="141" t="n">
        <f aca="false">E12*10</f>
        <v>600</v>
      </c>
      <c r="K12" s="141" t="n">
        <f aca="false">E12*0</f>
        <v>0</v>
      </c>
      <c r="L12" s="141" t="n">
        <f aca="false">E12*0</f>
        <v>0</v>
      </c>
      <c r="M12" s="141" t="n">
        <f aca="false">E12*13.75</f>
        <v>825</v>
      </c>
      <c r="N12" s="138" t="s">
        <v>4500</v>
      </c>
    </row>
    <row r="13" customFormat="false" ht="15" hidden="false" customHeight="false" outlineLevel="0" collapsed="false">
      <c r="A13" s="138" t="s">
        <v>4501</v>
      </c>
      <c r="B13" s="138" t="n">
        <v>623.55</v>
      </c>
      <c r="C13" s="138" t="n">
        <v>624.45</v>
      </c>
      <c r="D13" s="138" t="s">
        <v>60</v>
      </c>
      <c r="E13" s="138" t="n">
        <v>18</v>
      </c>
      <c r="F13" s="141" t="n">
        <f aca="false">E13*0</f>
        <v>0</v>
      </c>
      <c r="G13" s="141" t="n">
        <f aca="false">E13*2</f>
        <v>36</v>
      </c>
      <c r="H13" s="141" t="n">
        <f aca="false">E13*9</f>
        <v>162</v>
      </c>
      <c r="I13" s="141" t="n">
        <f aca="false">E13*3.6</f>
        <v>64.8</v>
      </c>
      <c r="J13" s="141" t="n">
        <f aca="false">E13*11</f>
        <v>198</v>
      </c>
      <c r="K13" s="141" t="n">
        <f aca="false">E13*0</f>
        <v>0</v>
      </c>
      <c r="L13" s="141" t="n">
        <f aca="false">E13*0</f>
        <v>0</v>
      </c>
      <c r="M13" s="141" t="n">
        <f aca="false">E13*9</f>
        <v>162</v>
      </c>
      <c r="N13" s="138" t="s">
        <v>4502</v>
      </c>
    </row>
    <row r="15" customFormat="false" ht="15" hidden="false" customHeight="false" outlineLevel="0" collapsed="false">
      <c r="A15" s="136" t="s">
        <v>4503</v>
      </c>
    </row>
    <row r="16" customFormat="false" ht="15" hidden="false" customHeight="false" outlineLevel="0" collapsed="false">
      <c r="A16" s="136" t="s">
        <v>4504</v>
      </c>
    </row>
    <row r="17" customFormat="false" ht="15" hidden="false" customHeight="false" outlineLevel="0" collapsed="false">
      <c r="A17" s="136" t="s">
        <v>4505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4" min="3" style="0" width="9"/>
    <col collapsed="false" customWidth="true" hidden="false" outlineLevel="0" max="5" min="5" style="0" width="6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46"/>
    <col collapsed="false" customWidth="true" hidden="false" outlineLevel="0" max="10" min="10" style="0" width="40"/>
    <col collapsed="false" customWidth="true" hidden="false" outlineLevel="0" max="11" min="11" style="0" width="20"/>
  </cols>
  <sheetData>
    <row r="1" customFormat="false" ht="48" hidden="false" customHeight="true" outlineLevel="0" collapsed="false">
      <c r="A1" s="133" t="s">
        <v>14</v>
      </c>
      <c r="B1" s="133" t="s">
        <v>17</v>
      </c>
      <c r="C1" s="133" t="s">
        <v>2367</v>
      </c>
      <c r="D1" s="133" t="s">
        <v>2368</v>
      </c>
      <c r="E1" s="133" t="s">
        <v>2370</v>
      </c>
      <c r="F1" s="133" t="s">
        <v>1552</v>
      </c>
      <c r="G1" s="133" t="s">
        <v>3484</v>
      </c>
      <c r="H1" s="133" t="s">
        <v>4506</v>
      </c>
      <c r="I1" s="133" t="s">
        <v>4507</v>
      </c>
      <c r="J1" s="133" t="s">
        <v>4508</v>
      </c>
      <c r="K1" s="133" t="s">
        <v>4509</v>
      </c>
    </row>
    <row r="2" customFormat="false" ht="15" hidden="false" customHeight="false" outlineLevel="0" collapsed="false">
      <c r="A2" s="138" t="s">
        <v>1568</v>
      </c>
      <c r="B2" s="138" t="s">
        <v>1761</v>
      </c>
      <c r="C2" s="138" t="n">
        <v>0</v>
      </c>
      <c r="D2" s="138" t="n">
        <v>117</v>
      </c>
      <c r="E2" s="138" t="s">
        <v>60</v>
      </c>
      <c r="F2" s="138" t="n">
        <v>2340.3</v>
      </c>
      <c r="G2" s="138" t="n">
        <v>234</v>
      </c>
      <c r="H2" s="138" t="n">
        <v>196</v>
      </c>
      <c r="I2" s="138" t="s">
        <v>4510</v>
      </c>
      <c r="J2" s="138" t="s">
        <v>4511</v>
      </c>
      <c r="K2" s="138" t="s">
        <v>4512</v>
      </c>
    </row>
    <row r="3" customFormat="false" ht="15" hidden="false" customHeight="false" outlineLevel="0" collapsed="false">
      <c r="A3" s="138" t="s">
        <v>1568</v>
      </c>
      <c r="B3" s="138" t="s">
        <v>4513</v>
      </c>
      <c r="C3" s="138" t="n">
        <v>0</v>
      </c>
      <c r="D3" s="138" t="n">
        <v>115.3</v>
      </c>
      <c r="E3" s="138" t="s">
        <v>59</v>
      </c>
      <c r="F3" s="138" t="n">
        <v>2305.7</v>
      </c>
      <c r="G3" s="138" t="n">
        <v>230.6</v>
      </c>
      <c r="H3" s="138" t="n">
        <v>193</v>
      </c>
      <c r="I3" s="138" t="s">
        <v>4510</v>
      </c>
      <c r="J3" s="138" t="s">
        <v>4511</v>
      </c>
      <c r="K3" s="138" t="s">
        <v>4512</v>
      </c>
    </row>
    <row r="4" customFormat="false" ht="15" hidden="false" customHeight="false" outlineLevel="0" collapsed="false">
      <c r="A4" s="138" t="s">
        <v>1568</v>
      </c>
      <c r="B4" s="138" t="s">
        <v>2392</v>
      </c>
      <c r="C4" s="138" t="n">
        <v>0</v>
      </c>
      <c r="D4" s="138" t="n">
        <v>4.5</v>
      </c>
      <c r="E4" s="138" t="s">
        <v>59</v>
      </c>
      <c r="F4" s="138" t="n">
        <v>90</v>
      </c>
      <c r="G4" s="138" t="n">
        <v>18</v>
      </c>
      <c r="H4" s="138" t="n">
        <v>12</v>
      </c>
      <c r="I4" s="138" t="s">
        <v>4514</v>
      </c>
      <c r="J4" s="138" t="s">
        <v>4511</v>
      </c>
      <c r="K4" s="138" t="s">
        <v>4515</v>
      </c>
    </row>
    <row r="5" customFormat="false" ht="15" hidden="false" customHeight="false" outlineLevel="0" collapsed="false">
      <c r="A5" s="138" t="s">
        <v>2392</v>
      </c>
      <c r="B5" s="138" t="s">
        <v>4516</v>
      </c>
      <c r="C5" s="138" t="n">
        <v>4.5</v>
      </c>
      <c r="D5" s="138" t="n">
        <v>12.25</v>
      </c>
      <c r="E5" s="138" t="s">
        <v>60</v>
      </c>
      <c r="F5" s="138" t="n">
        <v>155</v>
      </c>
      <c r="G5" s="138" t="n">
        <v>15.5</v>
      </c>
      <c r="H5" s="138" t="n">
        <v>0</v>
      </c>
      <c r="I5" s="138" t="s">
        <v>4517</v>
      </c>
      <c r="J5" s="138" t="s">
        <v>4511</v>
      </c>
      <c r="K5" s="138"/>
    </row>
    <row r="6" customFormat="false" ht="15" hidden="false" customHeight="false" outlineLevel="0" collapsed="false">
      <c r="A6" s="138" t="s">
        <v>2392</v>
      </c>
      <c r="B6" s="138" t="s">
        <v>4516</v>
      </c>
      <c r="C6" s="138" t="n">
        <v>4.5</v>
      </c>
      <c r="D6" s="138" t="n">
        <v>12.25</v>
      </c>
      <c r="E6" s="138" t="s">
        <v>59</v>
      </c>
      <c r="F6" s="138" t="n">
        <v>155</v>
      </c>
      <c r="G6" s="138" t="n">
        <v>23.3</v>
      </c>
      <c r="H6" s="138" t="n">
        <v>20</v>
      </c>
      <c r="I6" s="138" t="s">
        <v>4518</v>
      </c>
      <c r="J6" s="138" t="s">
        <v>4511</v>
      </c>
      <c r="K6" s="138" t="s">
        <v>4519</v>
      </c>
    </row>
    <row r="7" customFormat="false" ht="15" hidden="false" customHeight="false" outlineLevel="0" collapsed="false">
      <c r="A7" s="138" t="s">
        <v>4516</v>
      </c>
      <c r="B7" s="138" t="s">
        <v>1692</v>
      </c>
      <c r="C7" s="138" t="n">
        <v>12.25</v>
      </c>
      <c r="D7" s="138" t="n">
        <v>49</v>
      </c>
      <c r="E7" s="138" t="s">
        <v>59</v>
      </c>
      <c r="F7" s="138" t="n">
        <v>735</v>
      </c>
      <c r="G7" s="138" t="n">
        <v>147</v>
      </c>
      <c r="H7" s="138" t="n">
        <v>92</v>
      </c>
      <c r="I7" s="138" t="s">
        <v>4514</v>
      </c>
      <c r="J7" s="138" t="s">
        <v>4511</v>
      </c>
      <c r="K7" s="138" t="s">
        <v>4515</v>
      </c>
    </row>
    <row r="8" customFormat="false" ht="15" hidden="false" customHeight="false" outlineLevel="0" collapsed="false">
      <c r="A8" s="138" t="s">
        <v>1692</v>
      </c>
      <c r="B8" s="138" t="s">
        <v>4520</v>
      </c>
      <c r="C8" s="138" t="n">
        <v>49</v>
      </c>
      <c r="D8" s="138" t="n">
        <v>56.25</v>
      </c>
      <c r="E8" s="138" t="s">
        <v>60</v>
      </c>
      <c r="F8" s="138" t="n">
        <v>145</v>
      </c>
      <c r="G8" s="138" t="n">
        <v>21.8</v>
      </c>
      <c r="H8" s="138" t="n">
        <v>19</v>
      </c>
      <c r="I8" s="138" t="s">
        <v>4518</v>
      </c>
      <c r="J8" s="138" t="s">
        <v>4511</v>
      </c>
      <c r="K8" s="138" t="s">
        <v>4519</v>
      </c>
    </row>
    <row r="9" customFormat="false" ht="15" hidden="false" customHeight="false" outlineLevel="0" collapsed="false">
      <c r="A9" s="138" t="s">
        <v>1692</v>
      </c>
      <c r="B9" s="138" t="s">
        <v>4520</v>
      </c>
      <c r="C9" s="138" t="n">
        <v>49</v>
      </c>
      <c r="D9" s="138" t="n">
        <v>56.25</v>
      </c>
      <c r="E9" s="138" t="s">
        <v>59</v>
      </c>
      <c r="F9" s="138" t="n">
        <v>145</v>
      </c>
      <c r="G9" s="138" t="n">
        <v>14.5</v>
      </c>
      <c r="H9" s="138" t="n">
        <v>0</v>
      </c>
      <c r="I9" s="138" t="s">
        <v>4517</v>
      </c>
      <c r="J9" s="138" t="s">
        <v>4511</v>
      </c>
      <c r="K9" s="138"/>
    </row>
    <row r="10" customFormat="false" ht="15" hidden="false" customHeight="false" outlineLevel="0" collapsed="false">
      <c r="A10" s="138" t="s">
        <v>4520</v>
      </c>
      <c r="B10" s="138" t="s">
        <v>1710</v>
      </c>
      <c r="C10" s="138" t="n">
        <v>56.25</v>
      </c>
      <c r="D10" s="138" t="n">
        <v>67</v>
      </c>
      <c r="E10" s="138" t="s">
        <v>4521</v>
      </c>
      <c r="F10" s="138" t="n">
        <v>215</v>
      </c>
      <c r="G10" s="138" t="n">
        <v>32.3</v>
      </c>
      <c r="H10" s="138" t="n">
        <v>27</v>
      </c>
      <c r="I10" s="138" t="s">
        <v>4518</v>
      </c>
      <c r="J10" s="138" t="s">
        <v>4511</v>
      </c>
      <c r="K10" s="138" t="s">
        <v>4519</v>
      </c>
    </row>
    <row r="11" customFormat="false" ht="15" hidden="false" customHeight="false" outlineLevel="0" collapsed="false">
      <c r="A11" s="138" t="s">
        <v>1710</v>
      </c>
      <c r="B11" s="138" t="s">
        <v>1717</v>
      </c>
      <c r="C11" s="138" t="n">
        <v>67</v>
      </c>
      <c r="D11" s="138" t="n">
        <v>74</v>
      </c>
      <c r="E11" s="138" t="s">
        <v>60</v>
      </c>
      <c r="F11" s="138" t="n">
        <v>140</v>
      </c>
      <c r="G11" s="138" t="n">
        <v>14</v>
      </c>
      <c r="H11" s="138" t="n">
        <v>0</v>
      </c>
      <c r="I11" s="138" t="s">
        <v>4517</v>
      </c>
      <c r="J11" s="138" t="s">
        <v>4511</v>
      </c>
      <c r="K11" s="138"/>
    </row>
    <row r="12" customFormat="false" ht="15" hidden="false" customHeight="false" outlineLevel="0" collapsed="false">
      <c r="A12" s="138" t="s">
        <v>1710</v>
      </c>
      <c r="B12" s="138" t="s">
        <v>1717</v>
      </c>
      <c r="C12" s="138" t="n">
        <v>67</v>
      </c>
      <c r="D12" s="138" t="n">
        <v>74</v>
      </c>
      <c r="E12" s="138" t="s">
        <v>59</v>
      </c>
      <c r="F12" s="138" t="n">
        <v>140</v>
      </c>
      <c r="G12" s="138" t="n">
        <v>21</v>
      </c>
      <c r="H12" s="138" t="n">
        <v>18</v>
      </c>
      <c r="I12" s="138" t="s">
        <v>4518</v>
      </c>
      <c r="J12" s="138" t="s">
        <v>4511</v>
      </c>
      <c r="K12" s="138" t="s">
        <v>4519</v>
      </c>
    </row>
    <row r="13" customFormat="false" ht="15" hidden="false" customHeight="false" outlineLevel="0" collapsed="false">
      <c r="A13" s="138" t="s">
        <v>1717</v>
      </c>
      <c r="B13" s="138" t="s">
        <v>4522</v>
      </c>
      <c r="C13" s="138" t="n">
        <v>74</v>
      </c>
      <c r="D13" s="138" t="n">
        <v>85.5</v>
      </c>
      <c r="E13" s="138" t="s">
        <v>59</v>
      </c>
      <c r="F13" s="138" t="n">
        <v>230</v>
      </c>
      <c r="G13" s="138" t="n">
        <v>46</v>
      </c>
      <c r="H13" s="138" t="n">
        <v>29</v>
      </c>
      <c r="I13" s="138" t="s">
        <v>4514</v>
      </c>
      <c r="J13" s="138" t="s">
        <v>4511</v>
      </c>
      <c r="K13" s="138" t="s">
        <v>4515</v>
      </c>
    </row>
    <row r="14" customFormat="false" ht="15" hidden="false" customHeight="false" outlineLevel="0" collapsed="false">
      <c r="A14" s="138" t="s">
        <v>4522</v>
      </c>
      <c r="B14" s="138" t="s">
        <v>1736</v>
      </c>
      <c r="C14" s="138" t="n">
        <v>85.5</v>
      </c>
      <c r="D14" s="138" t="n">
        <v>93</v>
      </c>
      <c r="E14" s="138" t="s">
        <v>60</v>
      </c>
      <c r="F14" s="138" t="n">
        <v>150</v>
      </c>
      <c r="G14" s="138" t="n">
        <v>22.5</v>
      </c>
      <c r="H14" s="138" t="n">
        <v>19</v>
      </c>
      <c r="I14" s="138" t="s">
        <v>4518</v>
      </c>
      <c r="J14" s="138" t="s">
        <v>4511</v>
      </c>
      <c r="K14" s="138" t="s">
        <v>4519</v>
      </c>
    </row>
    <row r="15" customFormat="false" ht="15" hidden="false" customHeight="false" outlineLevel="0" collapsed="false">
      <c r="A15" s="138" t="s">
        <v>4522</v>
      </c>
      <c r="B15" s="138" t="s">
        <v>1736</v>
      </c>
      <c r="C15" s="138" t="n">
        <v>85.5</v>
      </c>
      <c r="D15" s="138" t="n">
        <v>93</v>
      </c>
      <c r="E15" s="138" t="s">
        <v>59</v>
      </c>
      <c r="F15" s="138" t="n">
        <v>150</v>
      </c>
      <c r="G15" s="138" t="n">
        <v>15</v>
      </c>
      <c r="H15" s="138" t="n">
        <v>0</v>
      </c>
      <c r="I15" s="138" t="s">
        <v>4517</v>
      </c>
      <c r="J15" s="138" t="s">
        <v>4511</v>
      </c>
      <c r="K15" s="138"/>
    </row>
    <row r="16" customFormat="false" ht="15" hidden="false" customHeight="false" outlineLevel="0" collapsed="false">
      <c r="A16" s="138" t="s">
        <v>1736</v>
      </c>
      <c r="B16" s="138" t="s">
        <v>3234</v>
      </c>
      <c r="C16" s="138" t="n">
        <v>93</v>
      </c>
      <c r="D16" s="138" t="n">
        <v>112.75</v>
      </c>
      <c r="E16" s="138" t="s">
        <v>4521</v>
      </c>
      <c r="F16" s="138" t="n">
        <v>395</v>
      </c>
      <c r="G16" s="138" t="n">
        <v>59.3</v>
      </c>
      <c r="H16" s="138" t="n">
        <v>50</v>
      </c>
      <c r="I16" s="138" t="s">
        <v>4518</v>
      </c>
      <c r="J16" s="138" t="s">
        <v>4511</v>
      </c>
      <c r="K16" s="138" t="s">
        <v>4519</v>
      </c>
    </row>
    <row r="17" customFormat="false" ht="15" hidden="false" customHeight="false" outlineLevel="0" collapsed="false">
      <c r="A17" s="138" t="s">
        <v>3234</v>
      </c>
      <c r="B17" s="138" t="s">
        <v>4523</v>
      </c>
      <c r="C17" s="138" t="n">
        <v>112.75</v>
      </c>
      <c r="D17" s="138" t="n">
        <v>121.5</v>
      </c>
      <c r="E17" s="138" t="s">
        <v>60</v>
      </c>
      <c r="F17" s="138" t="n">
        <v>175</v>
      </c>
      <c r="G17" s="138" t="n">
        <v>17.5</v>
      </c>
      <c r="H17" s="138" t="n">
        <v>0</v>
      </c>
      <c r="I17" s="138" t="s">
        <v>4517</v>
      </c>
      <c r="J17" s="138" t="s">
        <v>4511</v>
      </c>
      <c r="K17" s="138"/>
    </row>
    <row r="18" customFormat="false" ht="15" hidden="false" customHeight="false" outlineLevel="0" collapsed="false">
      <c r="A18" s="138" t="s">
        <v>3234</v>
      </c>
      <c r="B18" s="138" t="s">
        <v>4523</v>
      </c>
      <c r="C18" s="138" t="n">
        <v>112.75</v>
      </c>
      <c r="D18" s="138" t="n">
        <v>121.5</v>
      </c>
      <c r="E18" s="138" t="s">
        <v>59</v>
      </c>
      <c r="F18" s="138" t="n">
        <v>175</v>
      </c>
      <c r="G18" s="138" t="n">
        <v>26.3</v>
      </c>
      <c r="H18" s="138" t="n">
        <v>22</v>
      </c>
      <c r="I18" s="138" t="s">
        <v>4518</v>
      </c>
      <c r="J18" s="138" t="s">
        <v>4511</v>
      </c>
      <c r="K18" s="138" t="s">
        <v>4519</v>
      </c>
    </row>
    <row r="19" customFormat="false" ht="15" hidden="false" customHeight="false" outlineLevel="0" collapsed="false">
      <c r="A19" s="138" t="s">
        <v>4524</v>
      </c>
      <c r="B19" s="138" t="s">
        <v>4525</v>
      </c>
      <c r="C19" s="138" t="n">
        <v>115.301</v>
      </c>
      <c r="D19" s="138" t="n">
        <v>121.3</v>
      </c>
      <c r="E19" s="138" t="s">
        <v>59</v>
      </c>
      <c r="F19" s="138" t="n">
        <v>120.3</v>
      </c>
      <c r="G19" s="138" t="n">
        <v>12</v>
      </c>
      <c r="H19" s="138" t="n">
        <v>11</v>
      </c>
      <c r="I19" s="138" t="s">
        <v>4510</v>
      </c>
      <c r="J19" s="138" t="s">
        <v>4511</v>
      </c>
      <c r="K19" s="138" t="s">
        <v>4512</v>
      </c>
    </row>
    <row r="20" customFormat="false" ht="15" hidden="false" customHeight="false" outlineLevel="0" collapsed="false">
      <c r="A20" s="138" t="s">
        <v>4524</v>
      </c>
      <c r="B20" s="138" t="s">
        <v>4525</v>
      </c>
      <c r="C20" s="138" t="n">
        <v>115.301</v>
      </c>
      <c r="D20" s="138" t="n">
        <v>121.3</v>
      </c>
      <c r="E20" s="138" t="s">
        <v>59</v>
      </c>
      <c r="F20" s="138" t="n">
        <v>120</v>
      </c>
      <c r="G20" s="138" t="n">
        <v>6</v>
      </c>
      <c r="H20" s="138" t="n">
        <v>31</v>
      </c>
      <c r="I20" s="138" t="s">
        <v>4526</v>
      </c>
      <c r="J20" s="138" t="s">
        <v>4511</v>
      </c>
      <c r="K20" s="138" t="s">
        <v>4512</v>
      </c>
    </row>
    <row r="21" customFormat="false" ht="15" hidden="false" customHeight="false" outlineLevel="0" collapsed="false">
      <c r="A21" s="138" t="s">
        <v>1761</v>
      </c>
      <c r="B21" s="138" t="s">
        <v>1770</v>
      </c>
      <c r="C21" s="138" t="n">
        <v>117</v>
      </c>
      <c r="D21" s="138" t="n">
        <v>123</v>
      </c>
      <c r="E21" s="138" t="s">
        <v>60</v>
      </c>
      <c r="F21" s="138" t="n">
        <v>120.3</v>
      </c>
      <c r="G21" s="138" t="n">
        <v>12</v>
      </c>
      <c r="H21" s="138" t="n">
        <v>11</v>
      </c>
      <c r="I21" s="138" t="s">
        <v>4510</v>
      </c>
      <c r="J21" s="138" t="s">
        <v>4511</v>
      </c>
      <c r="K21" s="138" t="s">
        <v>4512</v>
      </c>
    </row>
    <row r="22" customFormat="false" ht="15" hidden="false" customHeight="false" outlineLevel="0" collapsed="false">
      <c r="A22" s="138" t="s">
        <v>4527</v>
      </c>
      <c r="B22" s="138" t="s">
        <v>4528</v>
      </c>
      <c r="C22" s="138" t="n">
        <v>117.038</v>
      </c>
      <c r="D22" s="138" t="n">
        <v>122.97</v>
      </c>
      <c r="E22" s="138" t="s">
        <v>60</v>
      </c>
      <c r="F22" s="138" t="n">
        <v>118.6</v>
      </c>
      <c r="G22" s="138" t="n">
        <v>5.9</v>
      </c>
      <c r="H22" s="138" t="n">
        <v>30</v>
      </c>
      <c r="I22" s="138" t="s">
        <v>4526</v>
      </c>
      <c r="J22" s="138" t="s">
        <v>4511</v>
      </c>
      <c r="K22" s="138" t="s">
        <v>4512</v>
      </c>
    </row>
    <row r="23" customFormat="false" ht="15" hidden="false" customHeight="false" outlineLevel="0" collapsed="false">
      <c r="A23" s="138" t="s">
        <v>4529</v>
      </c>
      <c r="B23" s="138" t="s">
        <v>4530</v>
      </c>
      <c r="C23" s="138" t="n">
        <v>121.301</v>
      </c>
      <c r="D23" s="138" t="n">
        <v>170.72</v>
      </c>
      <c r="E23" s="138" t="s">
        <v>59</v>
      </c>
      <c r="F23" s="138" t="n">
        <v>989.2</v>
      </c>
      <c r="G23" s="138" t="n">
        <v>98.9</v>
      </c>
      <c r="H23" s="138" t="n">
        <v>83</v>
      </c>
      <c r="I23" s="138" t="s">
        <v>4510</v>
      </c>
      <c r="J23" s="138" t="s">
        <v>4511</v>
      </c>
      <c r="K23" s="138" t="s">
        <v>4512</v>
      </c>
    </row>
    <row r="24" customFormat="false" ht="15" hidden="false" customHeight="false" outlineLevel="0" collapsed="false">
      <c r="A24" s="138" t="s">
        <v>4523</v>
      </c>
      <c r="B24" s="138" t="s">
        <v>4531</v>
      </c>
      <c r="C24" s="138" t="n">
        <v>121.5</v>
      </c>
      <c r="D24" s="138" t="n">
        <v>123.5</v>
      </c>
      <c r="E24" s="138" t="s">
        <v>60</v>
      </c>
      <c r="F24" s="138" t="n">
        <v>40</v>
      </c>
      <c r="G24" s="138" t="n">
        <v>8</v>
      </c>
      <c r="H24" s="138" t="n">
        <v>6</v>
      </c>
      <c r="I24" s="138" t="s">
        <v>4514</v>
      </c>
      <c r="J24" s="138" t="s">
        <v>4511</v>
      </c>
      <c r="K24" s="138" t="s">
        <v>4515</v>
      </c>
    </row>
    <row r="25" customFormat="false" ht="15" hidden="false" customHeight="false" outlineLevel="0" collapsed="false">
      <c r="A25" s="138" t="s">
        <v>4523</v>
      </c>
      <c r="B25" s="138" t="s">
        <v>4531</v>
      </c>
      <c r="C25" s="138" t="n">
        <v>121.5</v>
      </c>
      <c r="D25" s="138" t="n">
        <v>123.5</v>
      </c>
      <c r="E25" s="138" t="s">
        <v>59</v>
      </c>
      <c r="F25" s="138" t="n">
        <v>40</v>
      </c>
      <c r="G25" s="138" t="n">
        <v>8</v>
      </c>
      <c r="H25" s="138" t="n">
        <v>6</v>
      </c>
      <c r="I25" s="138" t="s">
        <v>4514</v>
      </c>
      <c r="J25" s="138" t="s">
        <v>4511</v>
      </c>
      <c r="K25" s="138" t="s">
        <v>4515</v>
      </c>
    </row>
    <row r="26" customFormat="false" ht="15" hidden="false" customHeight="false" outlineLevel="0" collapsed="false">
      <c r="A26" s="138" t="s">
        <v>1770</v>
      </c>
      <c r="B26" s="138" t="s">
        <v>4532</v>
      </c>
      <c r="C26" s="138" t="n">
        <v>123</v>
      </c>
      <c r="D26" s="138" t="n">
        <v>167.305</v>
      </c>
      <c r="E26" s="138" t="s">
        <v>60</v>
      </c>
      <c r="F26" s="138" t="n">
        <v>885.4</v>
      </c>
      <c r="G26" s="138" t="n">
        <v>88.5</v>
      </c>
      <c r="H26" s="138" t="n">
        <v>74</v>
      </c>
      <c r="I26" s="138" t="s">
        <v>4510</v>
      </c>
      <c r="J26" s="138" t="s">
        <v>4511</v>
      </c>
      <c r="K26" s="138" t="s">
        <v>4512</v>
      </c>
    </row>
    <row r="27" customFormat="false" ht="15" hidden="false" customHeight="false" outlineLevel="0" collapsed="false">
      <c r="A27" s="138" t="s">
        <v>4531</v>
      </c>
      <c r="B27" s="138" t="s">
        <v>1781</v>
      </c>
      <c r="C27" s="138" t="n">
        <v>123.5</v>
      </c>
      <c r="D27" s="138" t="n">
        <v>132</v>
      </c>
      <c r="E27" s="138" t="s">
        <v>60</v>
      </c>
      <c r="F27" s="138" t="n">
        <v>170</v>
      </c>
      <c r="G27" s="138" t="n">
        <v>25.5</v>
      </c>
      <c r="H27" s="138" t="n">
        <v>22</v>
      </c>
      <c r="I27" s="138" t="s">
        <v>4518</v>
      </c>
      <c r="J27" s="138" t="s">
        <v>4511</v>
      </c>
      <c r="K27" s="138" t="s">
        <v>4519</v>
      </c>
    </row>
    <row r="28" customFormat="false" ht="15" hidden="false" customHeight="false" outlineLevel="0" collapsed="false">
      <c r="A28" s="138" t="s">
        <v>4531</v>
      </c>
      <c r="B28" s="138" t="s">
        <v>1781</v>
      </c>
      <c r="C28" s="138" t="n">
        <v>123.5</v>
      </c>
      <c r="D28" s="138" t="n">
        <v>132</v>
      </c>
      <c r="E28" s="138" t="s">
        <v>59</v>
      </c>
      <c r="F28" s="138" t="n">
        <v>170</v>
      </c>
      <c r="G28" s="138" t="n">
        <v>17</v>
      </c>
      <c r="H28" s="138" t="n">
        <v>0</v>
      </c>
      <c r="I28" s="138" t="s">
        <v>4517</v>
      </c>
      <c r="J28" s="138" t="s">
        <v>4511</v>
      </c>
      <c r="K28" s="138"/>
    </row>
    <row r="29" customFormat="false" ht="15" hidden="false" customHeight="false" outlineLevel="0" collapsed="false">
      <c r="A29" s="138" t="s">
        <v>1781</v>
      </c>
      <c r="B29" s="138" t="s">
        <v>3539</v>
      </c>
      <c r="C29" s="138" t="n">
        <v>132</v>
      </c>
      <c r="D29" s="138" t="n">
        <v>137.75</v>
      </c>
      <c r="E29" s="138" t="s">
        <v>4521</v>
      </c>
      <c r="F29" s="138" t="n">
        <v>115</v>
      </c>
      <c r="G29" s="138" t="n">
        <v>17.3</v>
      </c>
      <c r="H29" s="138" t="n">
        <v>15</v>
      </c>
      <c r="I29" s="138" t="s">
        <v>4518</v>
      </c>
      <c r="J29" s="138" t="s">
        <v>4511</v>
      </c>
      <c r="K29" s="138" t="s">
        <v>4519</v>
      </c>
    </row>
    <row r="30" customFormat="false" ht="15" hidden="false" customHeight="false" outlineLevel="0" collapsed="false">
      <c r="A30" s="138" t="s">
        <v>3539</v>
      </c>
      <c r="B30" s="138" t="s">
        <v>1795</v>
      </c>
      <c r="C30" s="138" t="n">
        <v>137.75</v>
      </c>
      <c r="D30" s="138" t="n">
        <v>146</v>
      </c>
      <c r="E30" s="138" t="s">
        <v>60</v>
      </c>
      <c r="F30" s="138" t="n">
        <v>165</v>
      </c>
      <c r="G30" s="138" t="n">
        <v>16.5</v>
      </c>
      <c r="H30" s="138" t="n">
        <v>0</v>
      </c>
      <c r="I30" s="138" t="s">
        <v>4517</v>
      </c>
      <c r="J30" s="138" t="s">
        <v>4511</v>
      </c>
      <c r="K30" s="138"/>
    </row>
    <row r="31" customFormat="false" ht="15" hidden="false" customHeight="false" outlineLevel="0" collapsed="false">
      <c r="A31" s="138" t="s">
        <v>3539</v>
      </c>
      <c r="B31" s="138" t="s">
        <v>1795</v>
      </c>
      <c r="C31" s="138" t="n">
        <v>137.75</v>
      </c>
      <c r="D31" s="138" t="n">
        <v>146</v>
      </c>
      <c r="E31" s="138" t="s">
        <v>59</v>
      </c>
      <c r="F31" s="138" t="n">
        <v>165</v>
      </c>
      <c r="G31" s="138" t="n">
        <v>24.8</v>
      </c>
      <c r="H31" s="138" t="n">
        <v>21</v>
      </c>
      <c r="I31" s="138" t="s">
        <v>4518</v>
      </c>
      <c r="J31" s="138" t="s">
        <v>4511</v>
      </c>
      <c r="K31" s="138" t="s">
        <v>4519</v>
      </c>
    </row>
    <row r="32" customFormat="false" ht="15" hidden="false" customHeight="false" outlineLevel="0" collapsed="false">
      <c r="A32" s="138" t="s">
        <v>1795</v>
      </c>
      <c r="B32" s="138" t="s">
        <v>1797</v>
      </c>
      <c r="C32" s="138" t="n">
        <v>146</v>
      </c>
      <c r="D32" s="138" t="n">
        <v>148</v>
      </c>
      <c r="E32" s="138" t="s">
        <v>59</v>
      </c>
      <c r="F32" s="138" t="n">
        <v>40</v>
      </c>
      <c r="G32" s="138" t="n">
        <v>8</v>
      </c>
      <c r="H32" s="138" t="n">
        <v>5</v>
      </c>
      <c r="I32" s="138" t="s">
        <v>4514</v>
      </c>
      <c r="J32" s="138" t="s">
        <v>4511</v>
      </c>
      <c r="K32" s="138" t="s">
        <v>4515</v>
      </c>
    </row>
    <row r="33" customFormat="false" ht="15" hidden="false" customHeight="false" outlineLevel="0" collapsed="false">
      <c r="A33" s="138" t="s">
        <v>1797</v>
      </c>
      <c r="B33" s="138" t="s">
        <v>3541</v>
      </c>
      <c r="C33" s="138" t="n">
        <v>148</v>
      </c>
      <c r="D33" s="138" t="n">
        <v>155.5</v>
      </c>
      <c r="E33" s="138" t="s">
        <v>60</v>
      </c>
      <c r="F33" s="138" t="n">
        <v>150</v>
      </c>
      <c r="G33" s="138" t="n">
        <v>22.5</v>
      </c>
      <c r="H33" s="138" t="n">
        <v>19</v>
      </c>
      <c r="I33" s="138" t="s">
        <v>4518</v>
      </c>
      <c r="J33" s="138" t="s">
        <v>4511</v>
      </c>
      <c r="K33" s="138" t="s">
        <v>4519</v>
      </c>
    </row>
    <row r="34" customFormat="false" ht="15" hidden="false" customHeight="false" outlineLevel="0" collapsed="false">
      <c r="A34" s="138" t="s">
        <v>1797</v>
      </c>
      <c r="B34" s="138" t="s">
        <v>3541</v>
      </c>
      <c r="C34" s="138" t="n">
        <v>148</v>
      </c>
      <c r="D34" s="138" t="n">
        <v>155.5</v>
      </c>
      <c r="E34" s="138" t="s">
        <v>59</v>
      </c>
      <c r="F34" s="138" t="n">
        <v>150</v>
      </c>
      <c r="G34" s="138" t="n">
        <v>15</v>
      </c>
      <c r="H34" s="138" t="n">
        <v>0</v>
      </c>
      <c r="I34" s="138" t="s">
        <v>4517</v>
      </c>
      <c r="J34" s="138" t="s">
        <v>4511</v>
      </c>
      <c r="K34" s="138"/>
    </row>
    <row r="35" customFormat="false" ht="15" hidden="false" customHeight="false" outlineLevel="0" collapsed="false">
      <c r="A35" s="138" t="s">
        <v>3541</v>
      </c>
      <c r="B35" s="138" t="s">
        <v>4533</v>
      </c>
      <c r="C35" s="138" t="n">
        <v>155.5</v>
      </c>
      <c r="D35" s="138" t="n">
        <v>219.75</v>
      </c>
      <c r="E35" s="138" t="s">
        <v>59</v>
      </c>
      <c r="F35" s="138" t="n">
        <v>1285</v>
      </c>
      <c r="G35" s="138" t="n">
        <v>257</v>
      </c>
      <c r="H35" s="138" t="n">
        <v>161</v>
      </c>
      <c r="I35" s="138" t="s">
        <v>4514</v>
      </c>
      <c r="J35" s="138" t="s">
        <v>4511</v>
      </c>
      <c r="K35" s="138" t="s">
        <v>4515</v>
      </c>
    </row>
    <row r="36" customFormat="false" ht="15" hidden="false" customHeight="false" outlineLevel="0" collapsed="false">
      <c r="A36" s="138" t="s">
        <v>4534</v>
      </c>
      <c r="B36" s="138" t="s">
        <v>4535</v>
      </c>
      <c r="C36" s="138" t="n">
        <v>167.302</v>
      </c>
      <c r="D36" s="138" t="n">
        <v>173.29</v>
      </c>
      <c r="E36" s="138" t="s">
        <v>60</v>
      </c>
      <c r="F36" s="138" t="n">
        <v>119.8</v>
      </c>
      <c r="G36" s="138" t="n">
        <v>12</v>
      </c>
      <c r="H36" s="138" t="n">
        <v>10</v>
      </c>
      <c r="I36" s="138" t="s">
        <v>4510</v>
      </c>
      <c r="J36" s="138" t="s">
        <v>4511</v>
      </c>
      <c r="K36" s="138" t="s">
        <v>4512</v>
      </c>
    </row>
    <row r="37" customFormat="false" ht="15" hidden="false" customHeight="false" outlineLevel="0" collapsed="false">
      <c r="A37" s="138" t="s">
        <v>4536</v>
      </c>
      <c r="B37" s="138" t="s">
        <v>4537</v>
      </c>
      <c r="C37" s="138" t="n">
        <v>167.3025</v>
      </c>
      <c r="D37" s="138" t="n">
        <v>173.26</v>
      </c>
      <c r="E37" s="138" t="s">
        <v>60</v>
      </c>
      <c r="F37" s="138" t="n">
        <v>119</v>
      </c>
      <c r="G37" s="138" t="n">
        <v>6</v>
      </c>
      <c r="H37" s="138" t="n">
        <v>30</v>
      </c>
      <c r="I37" s="138" t="s">
        <v>4526</v>
      </c>
      <c r="J37" s="138" t="s">
        <v>4511</v>
      </c>
      <c r="K37" s="138" t="s">
        <v>4512</v>
      </c>
    </row>
    <row r="38" customFormat="false" ht="15" hidden="false" customHeight="false" outlineLevel="0" collapsed="false">
      <c r="A38" s="138" t="s">
        <v>4530</v>
      </c>
      <c r="B38" s="138" t="s">
        <v>4538</v>
      </c>
      <c r="C38" s="138" t="n">
        <v>170.72</v>
      </c>
      <c r="D38" s="138" t="n">
        <v>176.72</v>
      </c>
      <c r="E38" s="138" t="s">
        <v>59</v>
      </c>
      <c r="F38" s="138" t="n">
        <v>120</v>
      </c>
      <c r="G38" s="138" t="n">
        <v>6</v>
      </c>
      <c r="H38" s="138" t="n">
        <v>31</v>
      </c>
      <c r="I38" s="138" t="s">
        <v>4526</v>
      </c>
      <c r="J38" s="138" t="s">
        <v>4511</v>
      </c>
      <c r="K38" s="138" t="s">
        <v>4512</v>
      </c>
    </row>
    <row r="39" customFormat="false" ht="15" hidden="false" customHeight="false" outlineLevel="0" collapsed="false">
      <c r="A39" s="138" t="s">
        <v>4530</v>
      </c>
      <c r="B39" s="138" t="s">
        <v>4538</v>
      </c>
      <c r="C39" s="138" t="n">
        <v>170.72</v>
      </c>
      <c r="D39" s="138" t="n">
        <v>176.72</v>
      </c>
      <c r="E39" s="138" t="s">
        <v>59</v>
      </c>
      <c r="F39" s="138" t="n">
        <v>120.3</v>
      </c>
      <c r="G39" s="138" t="n">
        <v>12</v>
      </c>
      <c r="H39" s="138" t="n">
        <v>11</v>
      </c>
      <c r="I39" s="138" t="s">
        <v>4510</v>
      </c>
      <c r="J39" s="138" t="s">
        <v>4511</v>
      </c>
      <c r="K39" s="138" t="s">
        <v>4512</v>
      </c>
    </row>
    <row r="40" customFormat="false" ht="15" hidden="false" customHeight="false" outlineLevel="0" collapsed="false">
      <c r="A40" s="138" t="s">
        <v>4539</v>
      </c>
      <c r="B40" s="138" t="s">
        <v>4540</v>
      </c>
      <c r="C40" s="138" t="n">
        <v>173.2905</v>
      </c>
      <c r="D40" s="138" t="n">
        <v>208.67</v>
      </c>
      <c r="E40" s="138" t="s">
        <v>60</v>
      </c>
      <c r="F40" s="138" t="n">
        <v>708.9</v>
      </c>
      <c r="G40" s="138" t="n">
        <v>70.9</v>
      </c>
      <c r="H40" s="138" t="n">
        <v>60</v>
      </c>
      <c r="I40" s="138" t="s">
        <v>4510</v>
      </c>
      <c r="J40" s="138" t="s">
        <v>4511</v>
      </c>
      <c r="K40" s="138" t="s">
        <v>4512</v>
      </c>
    </row>
    <row r="41" customFormat="false" ht="15" hidden="false" customHeight="false" outlineLevel="0" collapsed="false">
      <c r="A41" s="138" t="s">
        <v>4538</v>
      </c>
      <c r="B41" s="138" t="s">
        <v>4541</v>
      </c>
      <c r="C41" s="138" t="n">
        <v>176.72</v>
      </c>
      <c r="D41" s="138" t="n">
        <v>207.5</v>
      </c>
      <c r="E41" s="138" t="s">
        <v>59</v>
      </c>
      <c r="F41" s="138" t="n">
        <v>614.3</v>
      </c>
      <c r="G41" s="138" t="n">
        <v>61.4</v>
      </c>
      <c r="H41" s="138" t="n">
        <v>52</v>
      </c>
      <c r="I41" s="138" t="s">
        <v>4510</v>
      </c>
      <c r="J41" s="138" t="s">
        <v>4511</v>
      </c>
      <c r="K41" s="138" t="s">
        <v>4512</v>
      </c>
    </row>
    <row r="42" customFormat="false" ht="15" hidden="false" customHeight="false" outlineLevel="0" collapsed="false">
      <c r="A42" s="138" t="s">
        <v>4541</v>
      </c>
      <c r="B42" s="138" t="s">
        <v>4542</v>
      </c>
      <c r="C42" s="138" t="n">
        <v>207.5</v>
      </c>
      <c r="D42" s="138" t="n">
        <v>213.5</v>
      </c>
      <c r="E42" s="138" t="s">
        <v>59</v>
      </c>
      <c r="F42" s="138" t="n">
        <v>120.3</v>
      </c>
      <c r="G42" s="138" t="n">
        <v>12</v>
      </c>
      <c r="H42" s="138" t="n">
        <v>11</v>
      </c>
      <c r="I42" s="138" t="s">
        <v>4510</v>
      </c>
      <c r="J42" s="138" t="s">
        <v>4511</v>
      </c>
      <c r="K42" s="138" t="s">
        <v>4512</v>
      </c>
    </row>
    <row r="43" customFormat="false" ht="15" hidden="false" customHeight="false" outlineLevel="0" collapsed="false">
      <c r="A43" s="138" t="s">
        <v>4543</v>
      </c>
      <c r="B43" s="138" t="s">
        <v>4544</v>
      </c>
      <c r="C43" s="138" t="n">
        <v>207.545</v>
      </c>
      <c r="D43" s="138" t="n">
        <v>213.475</v>
      </c>
      <c r="E43" s="138" t="s">
        <v>59</v>
      </c>
      <c r="F43" s="138" t="n">
        <v>118.6</v>
      </c>
      <c r="G43" s="138" t="n">
        <v>5.9</v>
      </c>
      <c r="H43" s="138" t="n">
        <v>30</v>
      </c>
      <c r="I43" s="138" t="s">
        <v>4526</v>
      </c>
      <c r="J43" s="138" t="s">
        <v>4511</v>
      </c>
      <c r="K43" s="138" t="s">
        <v>4512</v>
      </c>
    </row>
    <row r="44" customFormat="false" ht="15" hidden="false" customHeight="false" outlineLevel="0" collapsed="false">
      <c r="A44" s="138" t="s">
        <v>4540</v>
      </c>
      <c r="B44" s="138" t="s">
        <v>4545</v>
      </c>
      <c r="C44" s="138" t="n">
        <v>208.67</v>
      </c>
      <c r="D44" s="138" t="n">
        <v>214.67</v>
      </c>
      <c r="E44" s="138" t="s">
        <v>60</v>
      </c>
      <c r="F44" s="138" t="n">
        <v>120</v>
      </c>
      <c r="G44" s="138" t="n">
        <v>6</v>
      </c>
      <c r="H44" s="138" t="n">
        <v>31</v>
      </c>
      <c r="I44" s="138" t="s">
        <v>4526</v>
      </c>
      <c r="J44" s="138" t="s">
        <v>4511</v>
      </c>
      <c r="K44" s="138" t="s">
        <v>4512</v>
      </c>
    </row>
    <row r="45" customFormat="false" ht="15" hidden="false" customHeight="false" outlineLevel="0" collapsed="false">
      <c r="A45" s="138" t="s">
        <v>4540</v>
      </c>
      <c r="B45" s="138" t="s">
        <v>4545</v>
      </c>
      <c r="C45" s="138" t="n">
        <v>208.67</v>
      </c>
      <c r="D45" s="138" t="n">
        <v>214.67</v>
      </c>
      <c r="E45" s="138" t="s">
        <v>60</v>
      </c>
      <c r="F45" s="138" t="n">
        <v>120.3</v>
      </c>
      <c r="G45" s="138" t="n">
        <v>12</v>
      </c>
      <c r="H45" s="138" t="n">
        <v>11</v>
      </c>
      <c r="I45" s="138" t="s">
        <v>4510</v>
      </c>
      <c r="J45" s="138" t="s">
        <v>4511</v>
      </c>
      <c r="K45" s="138" t="s">
        <v>4512</v>
      </c>
    </row>
    <row r="46" customFormat="false" ht="15" hidden="false" customHeight="false" outlineLevel="0" collapsed="false">
      <c r="A46" s="138" t="s">
        <v>4542</v>
      </c>
      <c r="B46" s="138" t="s">
        <v>4546</v>
      </c>
      <c r="C46" s="138" t="n">
        <v>213.5</v>
      </c>
      <c r="D46" s="138" t="n">
        <v>249.705</v>
      </c>
      <c r="E46" s="138" t="s">
        <v>59</v>
      </c>
      <c r="F46" s="138" t="n">
        <v>724.1</v>
      </c>
      <c r="G46" s="138" t="n">
        <v>72.4</v>
      </c>
      <c r="H46" s="138" t="n">
        <v>61</v>
      </c>
      <c r="I46" s="138" t="s">
        <v>4510</v>
      </c>
      <c r="J46" s="138" t="s">
        <v>4511</v>
      </c>
      <c r="K46" s="138" t="s">
        <v>4512</v>
      </c>
    </row>
    <row r="47" customFormat="false" ht="15" hidden="false" customHeight="false" outlineLevel="0" collapsed="false">
      <c r="A47" s="138" t="s">
        <v>4545</v>
      </c>
      <c r="B47" s="138" t="s">
        <v>4547</v>
      </c>
      <c r="C47" s="138" t="n">
        <v>214.67</v>
      </c>
      <c r="D47" s="138" t="n">
        <v>252.5</v>
      </c>
      <c r="E47" s="138" t="s">
        <v>60</v>
      </c>
      <c r="F47" s="138" t="n">
        <v>756.6</v>
      </c>
      <c r="G47" s="138" t="n">
        <v>75.7</v>
      </c>
      <c r="H47" s="138" t="n">
        <v>64</v>
      </c>
      <c r="I47" s="138" t="s">
        <v>4510</v>
      </c>
      <c r="J47" s="138" t="s">
        <v>4511</v>
      </c>
      <c r="K47" s="138" t="s">
        <v>4512</v>
      </c>
    </row>
    <row r="48" customFormat="false" ht="15" hidden="false" customHeight="false" outlineLevel="0" collapsed="false">
      <c r="A48" s="138" t="s">
        <v>4533</v>
      </c>
      <c r="B48" s="138" t="s">
        <v>1879</v>
      </c>
      <c r="C48" s="138" t="n">
        <v>219.75</v>
      </c>
      <c r="D48" s="138" t="n">
        <v>227</v>
      </c>
      <c r="E48" s="138" t="s">
        <v>59</v>
      </c>
      <c r="F48" s="138" t="n">
        <v>145</v>
      </c>
      <c r="G48" s="138" t="n">
        <v>14.5</v>
      </c>
      <c r="H48" s="138" t="n">
        <v>0</v>
      </c>
      <c r="I48" s="138" t="s">
        <v>4517</v>
      </c>
      <c r="J48" s="138" t="s">
        <v>4511</v>
      </c>
      <c r="K48" s="138"/>
    </row>
    <row r="49" customFormat="false" ht="15" hidden="false" customHeight="false" outlineLevel="0" collapsed="false">
      <c r="A49" s="138" t="s">
        <v>4533</v>
      </c>
      <c r="B49" s="138" t="s">
        <v>1879</v>
      </c>
      <c r="C49" s="138" t="n">
        <v>219.75</v>
      </c>
      <c r="D49" s="138" t="n">
        <v>227</v>
      </c>
      <c r="E49" s="138" t="s">
        <v>60</v>
      </c>
      <c r="F49" s="138" t="n">
        <v>145</v>
      </c>
      <c r="G49" s="138" t="n">
        <v>21.8</v>
      </c>
      <c r="H49" s="138" t="n">
        <v>19</v>
      </c>
      <c r="I49" s="138" t="s">
        <v>4518</v>
      </c>
      <c r="J49" s="138" t="s">
        <v>4511</v>
      </c>
      <c r="K49" s="138" t="s">
        <v>4519</v>
      </c>
    </row>
    <row r="50" customFormat="false" ht="15" hidden="false" customHeight="false" outlineLevel="0" collapsed="false">
      <c r="A50" s="138" t="s">
        <v>1879</v>
      </c>
      <c r="B50" s="138" t="s">
        <v>4548</v>
      </c>
      <c r="C50" s="138" t="n">
        <v>227</v>
      </c>
      <c r="D50" s="138" t="n">
        <v>234.65</v>
      </c>
      <c r="E50" s="138" t="s">
        <v>4521</v>
      </c>
      <c r="F50" s="138" t="n">
        <v>153</v>
      </c>
      <c r="G50" s="138" t="n">
        <v>23</v>
      </c>
      <c r="H50" s="138" t="n">
        <v>20</v>
      </c>
      <c r="I50" s="138" t="s">
        <v>4518</v>
      </c>
      <c r="J50" s="138" t="s">
        <v>4511</v>
      </c>
      <c r="K50" s="138" t="s">
        <v>4519</v>
      </c>
    </row>
    <row r="51" customFormat="false" ht="15" hidden="false" customHeight="false" outlineLevel="0" collapsed="false">
      <c r="A51" s="138" t="s">
        <v>4548</v>
      </c>
      <c r="B51" s="138" t="s">
        <v>4549</v>
      </c>
      <c r="C51" s="138" t="n">
        <v>234.65</v>
      </c>
      <c r="D51" s="138" t="n">
        <v>237.75</v>
      </c>
      <c r="E51" s="138" t="s">
        <v>59</v>
      </c>
      <c r="F51" s="138" t="n">
        <v>62</v>
      </c>
      <c r="G51" s="138" t="n">
        <v>12.4</v>
      </c>
      <c r="H51" s="138" t="n">
        <v>8</v>
      </c>
      <c r="I51" s="138" t="s">
        <v>4514</v>
      </c>
      <c r="J51" s="138" t="s">
        <v>4511</v>
      </c>
      <c r="K51" s="138" t="s">
        <v>4515</v>
      </c>
    </row>
    <row r="52" customFormat="false" ht="15" hidden="false" customHeight="false" outlineLevel="0" collapsed="false">
      <c r="A52" s="138" t="s">
        <v>4549</v>
      </c>
      <c r="B52" s="138" t="s">
        <v>3557</v>
      </c>
      <c r="C52" s="138" t="n">
        <v>237.75</v>
      </c>
      <c r="D52" s="138" t="n">
        <v>248.5</v>
      </c>
      <c r="E52" s="138" t="s">
        <v>4521</v>
      </c>
      <c r="F52" s="138" t="n">
        <v>215</v>
      </c>
      <c r="G52" s="138" t="n">
        <v>32.3</v>
      </c>
      <c r="H52" s="138" t="n">
        <v>27</v>
      </c>
      <c r="I52" s="138" t="s">
        <v>4518</v>
      </c>
      <c r="J52" s="138" t="s">
        <v>4511</v>
      </c>
      <c r="K52" s="138" t="s">
        <v>4519</v>
      </c>
    </row>
    <row r="53" customFormat="false" ht="15" hidden="false" customHeight="false" outlineLevel="0" collapsed="false">
      <c r="A53" s="138" t="s">
        <v>3557</v>
      </c>
      <c r="B53" s="138" t="s">
        <v>4550</v>
      </c>
      <c r="C53" s="138" t="n">
        <v>248.5</v>
      </c>
      <c r="D53" s="138" t="n">
        <v>256.25</v>
      </c>
      <c r="E53" s="138" t="s">
        <v>60</v>
      </c>
      <c r="F53" s="138" t="n">
        <v>155</v>
      </c>
      <c r="G53" s="138" t="n">
        <v>15.5</v>
      </c>
      <c r="H53" s="138" t="n">
        <v>0</v>
      </c>
      <c r="I53" s="138" t="s">
        <v>4517</v>
      </c>
      <c r="J53" s="138" t="s">
        <v>4511</v>
      </c>
      <c r="K53" s="138"/>
    </row>
    <row r="54" customFormat="false" ht="15" hidden="false" customHeight="false" outlineLevel="0" collapsed="false">
      <c r="A54" s="138" t="s">
        <v>3557</v>
      </c>
      <c r="B54" s="138" t="s">
        <v>1909</v>
      </c>
      <c r="C54" s="138" t="n">
        <v>248.5</v>
      </c>
      <c r="D54" s="138" t="n">
        <v>256</v>
      </c>
      <c r="E54" s="138" t="s">
        <v>59</v>
      </c>
      <c r="F54" s="138" t="n">
        <v>150</v>
      </c>
      <c r="G54" s="138" t="n">
        <v>22.5</v>
      </c>
      <c r="H54" s="138" t="n">
        <v>19</v>
      </c>
      <c r="I54" s="138" t="s">
        <v>4518</v>
      </c>
      <c r="J54" s="138" t="s">
        <v>4511</v>
      </c>
      <c r="K54" s="138" t="s">
        <v>4519</v>
      </c>
    </row>
    <row r="55" customFormat="false" ht="15" hidden="false" customHeight="false" outlineLevel="0" collapsed="false">
      <c r="A55" s="138" t="s">
        <v>4546</v>
      </c>
      <c r="B55" s="138" t="s">
        <v>4551</v>
      </c>
      <c r="C55" s="138" t="n">
        <v>249.705</v>
      </c>
      <c r="D55" s="138" t="n">
        <v>255.705</v>
      </c>
      <c r="E55" s="138" t="s">
        <v>59</v>
      </c>
      <c r="F55" s="138" t="n">
        <v>120</v>
      </c>
      <c r="G55" s="138" t="n">
        <v>6</v>
      </c>
      <c r="H55" s="138" t="n">
        <v>31</v>
      </c>
      <c r="I55" s="138" t="s">
        <v>4526</v>
      </c>
      <c r="J55" s="138" t="s">
        <v>4511</v>
      </c>
      <c r="K55" s="138" t="s">
        <v>4512</v>
      </c>
    </row>
    <row r="56" customFormat="false" ht="15" hidden="false" customHeight="false" outlineLevel="0" collapsed="false">
      <c r="A56" s="138" t="s">
        <v>4546</v>
      </c>
      <c r="B56" s="138" t="s">
        <v>4551</v>
      </c>
      <c r="C56" s="138" t="n">
        <v>249.705</v>
      </c>
      <c r="D56" s="138" t="n">
        <v>255.705</v>
      </c>
      <c r="E56" s="138" t="s">
        <v>59</v>
      </c>
      <c r="F56" s="138" t="n">
        <v>120.3</v>
      </c>
      <c r="G56" s="138" t="n">
        <v>12</v>
      </c>
      <c r="H56" s="138" t="n">
        <v>11</v>
      </c>
      <c r="I56" s="138" t="s">
        <v>4510</v>
      </c>
      <c r="J56" s="138" t="s">
        <v>4511</v>
      </c>
      <c r="K56" s="138" t="s">
        <v>4512</v>
      </c>
    </row>
    <row r="57" customFormat="false" ht="15" hidden="false" customHeight="false" outlineLevel="0" collapsed="false">
      <c r="A57" s="138" t="s">
        <v>4547</v>
      </c>
      <c r="B57" s="138" t="s">
        <v>4552</v>
      </c>
      <c r="C57" s="138" t="n">
        <v>252.5</v>
      </c>
      <c r="D57" s="138" t="n">
        <v>258.5</v>
      </c>
      <c r="E57" s="138" t="s">
        <v>60</v>
      </c>
      <c r="F57" s="138" t="n">
        <v>120.3</v>
      </c>
      <c r="G57" s="138" t="n">
        <v>12</v>
      </c>
      <c r="H57" s="138" t="n">
        <v>11</v>
      </c>
      <c r="I57" s="138" t="s">
        <v>4510</v>
      </c>
      <c r="J57" s="138" t="s">
        <v>4511</v>
      </c>
      <c r="K57" s="138" t="s">
        <v>4512</v>
      </c>
    </row>
    <row r="58" customFormat="false" ht="15" hidden="false" customHeight="false" outlineLevel="0" collapsed="false">
      <c r="A58" s="138" t="s">
        <v>4553</v>
      </c>
      <c r="B58" s="138" t="s">
        <v>4554</v>
      </c>
      <c r="C58" s="138" t="n">
        <v>252.53</v>
      </c>
      <c r="D58" s="138" t="n">
        <v>258.48</v>
      </c>
      <c r="E58" s="138" t="s">
        <v>60</v>
      </c>
      <c r="F58" s="138" t="n">
        <v>119</v>
      </c>
      <c r="G58" s="138" t="n">
        <v>6</v>
      </c>
      <c r="H58" s="138" t="n">
        <v>30</v>
      </c>
      <c r="I58" s="138" t="s">
        <v>4526</v>
      </c>
      <c r="J58" s="138" t="s">
        <v>4511</v>
      </c>
      <c r="K58" s="138" t="s">
        <v>4512</v>
      </c>
    </row>
    <row r="59" customFormat="false" ht="15" hidden="false" customHeight="false" outlineLevel="0" collapsed="false">
      <c r="A59" s="138" t="s">
        <v>4551</v>
      </c>
      <c r="B59" s="138" t="s">
        <v>4555</v>
      </c>
      <c r="C59" s="138" t="n">
        <v>255.705</v>
      </c>
      <c r="D59" s="138" t="n">
        <v>315.595</v>
      </c>
      <c r="E59" s="138" t="s">
        <v>59</v>
      </c>
      <c r="F59" s="138" t="n">
        <v>1197.7</v>
      </c>
      <c r="G59" s="138" t="n">
        <v>119.8</v>
      </c>
      <c r="H59" s="138" t="n">
        <v>100</v>
      </c>
      <c r="I59" s="138" t="s">
        <v>4510</v>
      </c>
      <c r="J59" s="138" t="s">
        <v>4511</v>
      </c>
      <c r="K59" s="138" t="s">
        <v>4512</v>
      </c>
    </row>
    <row r="60" customFormat="false" ht="15" hidden="false" customHeight="false" outlineLevel="0" collapsed="false">
      <c r="A60" s="138" t="s">
        <v>1909</v>
      </c>
      <c r="B60" s="138" t="s">
        <v>3562</v>
      </c>
      <c r="C60" s="138" t="n">
        <v>256</v>
      </c>
      <c r="D60" s="138" t="n">
        <v>264.5</v>
      </c>
      <c r="E60" s="138" t="s">
        <v>59</v>
      </c>
      <c r="F60" s="138" t="n">
        <v>170</v>
      </c>
      <c r="G60" s="138" t="n">
        <v>17</v>
      </c>
      <c r="H60" s="138" t="n">
        <v>0</v>
      </c>
      <c r="I60" s="138" t="s">
        <v>4517</v>
      </c>
      <c r="J60" s="138" t="s">
        <v>4511</v>
      </c>
      <c r="K60" s="138"/>
    </row>
    <row r="61" customFormat="false" ht="15" hidden="false" customHeight="false" outlineLevel="0" collapsed="false">
      <c r="A61" s="138" t="s">
        <v>4550</v>
      </c>
      <c r="B61" s="138" t="s">
        <v>1920</v>
      </c>
      <c r="C61" s="138" t="n">
        <v>256.25</v>
      </c>
      <c r="D61" s="138" t="n">
        <v>265</v>
      </c>
      <c r="E61" s="138" t="s">
        <v>60</v>
      </c>
      <c r="F61" s="138" t="n">
        <v>175</v>
      </c>
      <c r="G61" s="138" t="n">
        <v>26.3</v>
      </c>
      <c r="H61" s="138" t="n">
        <v>22</v>
      </c>
      <c r="I61" s="138" t="s">
        <v>4518</v>
      </c>
      <c r="J61" s="138" t="s">
        <v>4511</v>
      </c>
      <c r="K61" s="138" t="s">
        <v>4519</v>
      </c>
    </row>
    <row r="62" customFormat="false" ht="15" hidden="false" customHeight="false" outlineLevel="0" collapsed="false">
      <c r="A62" s="138" t="s">
        <v>4552</v>
      </c>
      <c r="B62" s="138" t="s">
        <v>4556</v>
      </c>
      <c r="C62" s="138" t="n">
        <v>258.5</v>
      </c>
      <c r="D62" s="138" t="n">
        <v>359.77</v>
      </c>
      <c r="E62" s="138" t="s">
        <v>60</v>
      </c>
      <c r="F62" s="138" t="n">
        <v>2025.5</v>
      </c>
      <c r="G62" s="138" t="n">
        <v>202.6</v>
      </c>
      <c r="H62" s="138" t="n">
        <v>169</v>
      </c>
      <c r="I62" s="138" t="s">
        <v>4510</v>
      </c>
      <c r="J62" s="138" t="s">
        <v>4511</v>
      </c>
      <c r="K62" s="138" t="s">
        <v>4512</v>
      </c>
    </row>
    <row r="63" customFormat="false" ht="15" hidden="false" customHeight="false" outlineLevel="0" collapsed="false">
      <c r="A63" s="138" t="s">
        <v>3562</v>
      </c>
      <c r="B63" s="138" t="s">
        <v>4557</v>
      </c>
      <c r="C63" s="138" t="n">
        <v>264.5</v>
      </c>
      <c r="D63" s="138" t="n">
        <v>273.25</v>
      </c>
      <c r="E63" s="138" t="s">
        <v>59</v>
      </c>
      <c r="F63" s="138" t="n">
        <v>175</v>
      </c>
      <c r="G63" s="138" t="n">
        <v>26.3</v>
      </c>
      <c r="H63" s="138" t="n">
        <v>22</v>
      </c>
      <c r="I63" s="138" t="s">
        <v>4518</v>
      </c>
      <c r="J63" s="138" t="s">
        <v>4511</v>
      </c>
      <c r="K63" s="138" t="s">
        <v>4519</v>
      </c>
    </row>
    <row r="64" customFormat="false" ht="15" hidden="false" customHeight="false" outlineLevel="0" collapsed="false">
      <c r="A64" s="138" t="s">
        <v>1920</v>
      </c>
      <c r="B64" s="138" t="s">
        <v>4557</v>
      </c>
      <c r="C64" s="138" t="n">
        <v>265</v>
      </c>
      <c r="D64" s="138" t="n">
        <v>273.25</v>
      </c>
      <c r="E64" s="138" t="s">
        <v>60</v>
      </c>
      <c r="F64" s="138" t="n">
        <v>165</v>
      </c>
      <c r="G64" s="138" t="n">
        <v>16.5</v>
      </c>
      <c r="H64" s="138" t="n">
        <v>0</v>
      </c>
      <c r="I64" s="138" t="s">
        <v>4517</v>
      </c>
      <c r="J64" s="138" t="s">
        <v>4511</v>
      </c>
      <c r="K64" s="138"/>
    </row>
    <row r="65" customFormat="false" ht="15" hidden="false" customHeight="false" outlineLevel="0" collapsed="false">
      <c r="A65" s="138" t="s">
        <v>4557</v>
      </c>
      <c r="B65" s="138" t="s">
        <v>4558</v>
      </c>
      <c r="C65" s="138" t="n">
        <v>273.25</v>
      </c>
      <c r="D65" s="138" t="n">
        <v>287.25</v>
      </c>
      <c r="E65" s="138" t="s">
        <v>59</v>
      </c>
      <c r="F65" s="138" t="n">
        <v>280</v>
      </c>
      <c r="G65" s="138" t="n">
        <v>56</v>
      </c>
      <c r="H65" s="138" t="n">
        <v>35</v>
      </c>
      <c r="I65" s="138" t="s">
        <v>4514</v>
      </c>
      <c r="J65" s="138" t="s">
        <v>4511</v>
      </c>
      <c r="K65" s="138" t="s">
        <v>4515</v>
      </c>
    </row>
    <row r="66" customFormat="false" ht="15" hidden="false" customHeight="false" outlineLevel="0" collapsed="false">
      <c r="A66" s="138" t="s">
        <v>4558</v>
      </c>
      <c r="B66" s="138" t="s">
        <v>4559</v>
      </c>
      <c r="C66" s="138" t="n">
        <v>287.25</v>
      </c>
      <c r="D66" s="138" t="n">
        <v>294.75</v>
      </c>
      <c r="E66" s="138" t="s">
        <v>60</v>
      </c>
      <c r="F66" s="138" t="n">
        <v>150</v>
      </c>
      <c r="G66" s="138" t="n">
        <v>22.5</v>
      </c>
      <c r="H66" s="138" t="n">
        <v>19</v>
      </c>
      <c r="I66" s="138" t="s">
        <v>4518</v>
      </c>
      <c r="J66" s="138" t="s">
        <v>4511</v>
      </c>
      <c r="K66" s="138" t="s">
        <v>4519</v>
      </c>
    </row>
    <row r="67" customFormat="false" ht="15" hidden="false" customHeight="false" outlineLevel="0" collapsed="false">
      <c r="A67" s="138" t="s">
        <v>4558</v>
      </c>
      <c r="B67" s="138" t="s">
        <v>4559</v>
      </c>
      <c r="C67" s="138" t="n">
        <v>287.25</v>
      </c>
      <c r="D67" s="138" t="n">
        <v>294.75</v>
      </c>
      <c r="E67" s="138" t="s">
        <v>59</v>
      </c>
      <c r="F67" s="138" t="n">
        <v>150</v>
      </c>
      <c r="G67" s="138" t="n">
        <v>15</v>
      </c>
      <c r="H67" s="138" t="n">
        <v>0</v>
      </c>
      <c r="I67" s="138" t="s">
        <v>4517</v>
      </c>
      <c r="J67" s="138" t="s">
        <v>4511</v>
      </c>
      <c r="K67" s="138"/>
    </row>
    <row r="68" customFormat="false" ht="15" hidden="false" customHeight="false" outlineLevel="0" collapsed="false">
      <c r="A68" s="138" t="s">
        <v>4559</v>
      </c>
      <c r="B68" s="138" t="s">
        <v>4560</v>
      </c>
      <c r="C68" s="138" t="n">
        <v>294.75</v>
      </c>
      <c r="D68" s="138" t="n">
        <v>310.595</v>
      </c>
      <c r="E68" s="138" t="s">
        <v>4521</v>
      </c>
      <c r="F68" s="138" t="n">
        <v>316.9</v>
      </c>
      <c r="G68" s="138" t="n">
        <v>47.5</v>
      </c>
      <c r="H68" s="138" t="n">
        <v>40</v>
      </c>
      <c r="I68" s="138" t="s">
        <v>4518</v>
      </c>
      <c r="J68" s="138" t="s">
        <v>4511</v>
      </c>
      <c r="K68" s="138" t="s">
        <v>4519</v>
      </c>
    </row>
    <row r="69" customFormat="false" ht="15" hidden="false" customHeight="false" outlineLevel="0" collapsed="false">
      <c r="A69" s="138" t="s">
        <v>4560</v>
      </c>
      <c r="B69" s="138" t="s">
        <v>4561</v>
      </c>
      <c r="C69" s="138" t="n">
        <v>310.595</v>
      </c>
      <c r="D69" s="138" t="n">
        <v>316.745</v>
      </c>
      <c r="E69" s="138" t="s">
        <v>60</v>
      </c>
      <c r="F69" s="138" t="n">
        <v>123.1</v>
      </c>
      <c r="G69" s="138" t="n">
        <v>12.3</v>
      </c>
      <c r="H69" s="138" t="n">
        <v>0</v>
      </c>
      <c r="I69" s="138" t="s">
        <v>4517</v>
      </c>
      <c r="J69" s="138" t="s">
        <v>4511</v>
      </c>
      <c r="K69" s="138"/>
    </row>
    <row r="70" customFormat="false" ht="15" hidden="false" customHeight="false" outlineLevel="0" collapsed="false">
      <c r="A70" s="138" t="s">
        <v>4560</v>
      </c>
      <c r="B70" s="138" t="s">
        <v>4561</v>
      </c>
      <c r="C70" s="138" t="n">
        <v>310.595</v>
      </c>
      <c r="D70" s="138" t="n">
        <v>316.745</v>
      </c>
      <c r="E70" s="138" t="s">
        <v>59</v>
      </c>
      <c r="F70" s="138" t="n">
        <v>123.1</v>
      </c>
      <c r="G70" s="138" t="n">
        <v>18.5</v>
      </c>
      <c r="H70" s="138" t="n">
        <v>16</v>
      </c>
      <c r="I70" s="138" t="s">
        <v>4518</v>
      </c>
      <c r="J70" s="138" t="s">
        <v>4511</v>
      </c>
      <c r="K70" s="138" t="s">
        <v>4519</v>
      </c>
    </row>
    <row r="71" customFormat="false" ht="15" hidden="false" customHeight="false" outlineLevel="0" collapsed="false">
      <c r="A71" s="138" t="s">
        <v>4555</v>
      </c>
      <c r="B71" s="138" t="s">
        <v>4562</v>
      </c>
      <c r="C71" s="138" t="n">
        <v>315.595</v>
      </c>
      <c r="D71" s="138" t="n">
        <v>321.895</v>
      </c>
      <c r="E71" s="138" t="s">
        <v>59</v>
      </c>
      <c r="F71" s="138" t="n">
        <v>295.1</v>
      </c>
      <c r="G71" s="138" t="n">
        <v>29.5</v>
      </c>
      <c r="H71" s="138" t="n">
        <v>25</v>
      </c>
      <c r="I71" s="138" t="s">
        <v>4510</v>
      </c>
      <c r="J71" s="138" t="s">
        <v>4511</v>
      </c>
      <c r="K71" s="138" t="s">
        <v>4512</v>
      </c>
    </row>
    <row r="72" customFormat="false" ht="15" hidden="false" customHeight="false" outlineLevel="0" collapsed="false">
      <c r="A72" s="138" t="s">
        <v>4561</v>
      </c>
      <c r="B72" s="138" t="s">
        <v>4561</v>
      </c>
      <c r="C72" s="138" t="n">
        <v>316.745</v>
      </c>
      <c r="D72" s="138" t="n">
        <v>316.7455</v>
      </c>
      <c r="E72" s="138" t="s">
        <v>4521</v>
      </c>
      <c r="F72" s="138" t="n">
        <v>342.5</v>
      </c>
      <c r="G72" s="138" t="n">
        <v>34.3</v>
      </c>
      <c r="H72" s="138" t="n">
        <v>215</v>
      </c>
      <c r="I72" s="138" t="s">
        <v>4563</v>
      </c>
      <c r="J72" s="138" t="s">
        <v>4564</v>
      </c>
      <c r="K72" s="138" t="s">
        <v>4515</v>
      </c>
    </row>
    <row r="73" customFormat="false" ht="15" hidden="false" customHeight="false" outlineLevel="0" collapsed="false">
      <c r="A73" s="138" t="s">
        <v>4565</v>
      </c>
      <c r="B73" s="138" t="s">
        <v>4566</v>
      </c>
      <c r="C73" s="138" t="n">
        <v>317.72</v>
      </c>
      <c r="D73" s="138" t="n">
        <v>317.735</v>
      </c>
      <c r="E73" s="138" t="s">
        <v>4521</v>
      </c>
      <c r="F73" s="138" t="n">
        <v>0.5</v>
      </c>
      <c r="G73" s="138" t="n">
        <v>0.2</v>
      </c>
      <c r="H73" s="138" t="n">
        <v>0</v>
      </c>
      <c r="I73" s="138" t="s">
        <v>4567</v>
      </c>
      <c r="J73" s="138" t="s">
        <v>4564</v>
      </c>
      <c r="K73" s="138"/>
    </row>
    <row r="74" customFormat="false" ht="15" hidden="false" customHeight="false" outlineLevel="0" collapsed="false">
      <c r="A74" s="138" t="s">
        <v>4568</v>
      </c>
      <c r="B74" s="138" t="s">
        <v>4569</v>
      </c>
      <c r="C74" s="138" t="n">
        <v>317.82</v>
      </c>
      <c r="D74" s="138" t="n">
        <v>317.84</v>
      </c>
      <c r="E74" s="138" t="s">
        <v>4521</v>
      </c>
      <c r="F74" s="138" t="n">
        <v>0.6</v>
      </c>
      <c r="G74" s="138" t="n">
        <v>0.3</v>
      </c>
      <c r="H74" s="138" t="n">
        <v>0</v>
      </c>
      <c r="I74" s="138" t="s">
        <v>4567</v>
      </c>
      <c r="J74" s="138" t="s">
        <v>4564</v>
      </c>
      <c r="K74" s="138"/>
    </row>
    <row r="75" customFormat="false" ht="15" hidden="false" customHeight="false" outlineLevel="0" collapsed="false">
      <c r="A75" s="138" t="s">
        <v>4570</v>
      </c>
      <c r="B75" s="138" t="s">
        <v>4571</v>
      </c>
      <c r="C75" s="138" t="n">
        <v>317.92</v>
      </c>
      <c r="D75" s="138" t="n">
        <v>317.945</v>
      </c>
      <c r="E75" s="138" t="s">
        <v>4521</v>
      </c>
      <c r="F75" s="138" t="n">
        <v>0.7</v>
      </c>
      <c r="G75" s="138" t="n">
        <v>0.3</v>
      </c>
      <c r="H75" s="138" t="n">
        <v>0</v>
      </c>
      <c r="I75" s="138" t="s">
        <v>4567</v>
      </c>
      <c r="J75" s="138" t="s">
        <v>4564</v>
      </c>
      <c r="K75" s="138"/>
    </row>
    <row r="76" customFormat="false" ht="15" hidden="false" customHeight="false" outlineLevel="0" collapsed="false">
      <c r="A76" s="138" t="s">
        <v>4572</v>
      </c>
      <c r="B76" s="138" t="s">
        <v>4573</v>
      </c>
      <c r="C76" s="138" t="n">
        <v>318.0175</v>
      </c>
      <c r="D76" s="138" t="n">
        <v>318.055</v>
      </c>
      <c r="E76" s="138" t="s">
        <v>4521</v>
      </c>
      <c r="F76" s="138" t="n">
        <v>1</v>
      </c>
      <c r="G76" s="138" t="n">
        <v>0.4</v>
      </c>
      <c r="H76" s="138" t="n">
        <v>0</v>
      </c>
      <c r="I76" s="138" t="s">
        <v>4567</v>
      </c>
      <c r="J76" s="138" t="s">
        <v>4564</v>
      </c>
      <c r="K76" s="138"/>
    </row>
    <row r="77" customFormat="false" ht="15" hidden="false" customHeight="false" outlineLevel="0" collapsed="false">
      <c r="A77" s="138" t="s">
        <v>4574</v>
      </c>
      <c r="B77" s="138" t="s">
        <v>4575</v>
      </c>
      <c r="C77" s="138" t="n">
        <v>318.1295</v>
      </c>
      <c r="D77" s="138" t="n">
        <v>318.165</v>
      </c>
      <c r="E77" s="138" t="s">
        <v>60</v>
      </c>
      <c r="F77" s="138" t="n">
        <v>1</v>
      </c>
      <c r="G77" s="138" t="n">
        <v>0.4</v>
      </c>
      <c r="H77" s="138" t="n">
        <v>0</v>
      </c>
      <c r="I77" s="138" t="s">
        <v>4567</v>
      </c>
      <c r="J77" s="138" t="s">
        <v>4564</v>
      </c>
      <c r="K77" s="138"/>
    </row>
    <row r="78" customFormat="false" ht="15" hidden="false" customHeight="false" outlineLevel="0" collapsed="false">
      <c r="A78" s="138" t="s">
        <v>4576</v>
      </c>
      <c r="B78" s="138" t="s">
        <v>4577</v>
      </c>
      <c r="C78" s="138" t="n">
        <v>318.231</v>
      </c>
      <c r="D78" s="138" t="n">
        <v>318.27</v>
      </c>
      <c r="E78" s="138" t="s">
        <v>60</v>
      </c>
      <c r="F78" s="138" t="n">
        <v>1.2</v>
      </c>
      <c r="G78" s="138" t="n">
        <v>0.5</v>
      </c>
      <c r="H78" s="138" t="n">
        <v>0</v>
      </c>
      <c r="I78" s="138" t="s">
        <v>4567</v>
      </c>
      <c r="J78" s="138" t="s">
        <v>4564</v>
      </c>
      <c r="K78" s="138"/>
    </row>
    <row r="79" customFormat="false" ht="15" hidden="false" customHeight="false" outlineLevel="0" collapsed="false">
      <c r="A79" s="138" t="s">
        <v>4578</v>
      </c>
      <c r="B79" s="138" t="s">
        <v>4579</v>
      </c>
      <c r="C79" s="138" t="n">
        <v>318.326</v>
      </c>
      <c r="D79" s="138" t="n">
        <v>318.375</v>
      </c>
      <c r="E79" s="138" t="s">
        <v>60</v>
      </c>
      <c r="F79" s="138" t="n">
        <v>1.4</v>
      </c>
      <c r="G79" s="138" t="n">
        <v>0.6</v>
      </c>
      <c r="H79" s="138" t="n">
        <v>0</v>
      </c>
      <c r="I79" s="138" t="s">
        <v>4567</v>
      </c>
      <c r="J79" s="138" t="s">
        <v>4564</v>
      </c>
      <c r="K79" s="138"/>
    </row>
    <row r="80" customFormat="false" ht="15" hidden="false" customHeight="false" outlineLevel="0" collapsed="false">
      <c r="A80" s="138" t="s">
        <v>4580</v>
      </c>
      <c r="B80" s="138" t="s">
        <v>4581</v>
      </c>
      <c r="C80" s="138" t="n">
        <v>318.4255</v>
      </c>
      <c r="D80" s="138" t="n">
        <v>318.48</v>
      </c>
      <c r="E80" s="138" t="s">
        <v>60</v>
      </c>
      <c r="F80" s="138" t="n">
        <v>1.6</v>
      </c>
      <c r="G80" s="138" t="n">
        <v>0.6</v>
      </c>
      <c r="H80" s="138" t="n">
        <v>0</v>
      </c>
      <c r="I80" s="138" t="s">
        <v>4567</v>
      </c>
      <c r="J80" s="138" t="s">
        <v>4564</v>
      </c>
      <c r="K80" s="138"/>
    </row>
    <row r="81" customFormat="false" ht="15" hidden="false" customHeight="false" outlineLevel="0" collapsed="false">
      <c r="A81" s="138" t="s">
        <v>4582</v>
      </c>
      <c r="B81" s="138" t="s">
        <v>4583</v>
      </c>
      <c r="C81" s="138" t="n">
        <v>318.53</v>
      </c>
      <c r="D81" s="138" t="n">
        <v>318.585</v>
      </c>
      <c r="E81" s="138" t="s">
        <v>4521</v>
      </c>
      <c r="F81" s="138" t="n">
        <v>1.7</v>
      </c>
      <c r="G81" s="138" t="n">
        <v>0.7</v>
      </c>
      <c r="H81" s="138" t="n">
        <v>0</v>
      </c>
      <c r="I81" s="138" t="s">
        <v>4567</v>
      </c>
      <c r="J81" s="138" t="s">
        <v>4564</v>
      </c>
      <c r="K81" s="138"/>
    </row>
    <row r="82" customFormat="false" ht="15" hidden="false" customHeight="false" outlineLevel="0" collapsed="false">
      <c r="A82" s="138" t="s">
        <v>4584</v>
      </c>
      <c r="B82" s="138" t="s">
        <v>4585</v>
      </c>
      <c r="C82" s="138" t="n">
        <v>318.63</v>
      </c>
      <c r="D82" s="138" t="n">
        <v>318.685</v>
      </c>
      <c r="E82" s="138" t="s">
        <v>4521</v>
      </c>
      <c r="F82" s="138" t="n">
        <v>1.8</v>
      </c>
      <c r="G82" s="138" t="n">
        <v>0.7</v>
      </c>
      <c r="H82" s="138" t="n">
        <v>0</v>
      </c>
      <c r="I82" s="138" t="s">
        <v>4567</v>
      </c>
      <c r="J82" s="138" t="s">
        <v>4564</v>
      </c>
      <c r="K82" s="138"/>
    </row>
    <row r="83" customFormat="false" ht="15" hidden="false" customHeight="false" outlineLevel="0" collapsed="false">
      <c r="A83" s="138" t="s">
        <v>4586</v>
      </c>
      <c r="B83" s="138" t="s">
        <v>4587</v>
      </c>
      <c r="C83" s="138" t="n">
        <v>318.73</v>
      </c>
      <c r="D83" s="138" t="n">
        <v>318.8</v>
      </c>
      <c r="E83" s="138" t="s">
        <v>4521</v>
      </c>
      <c r="F83" s="138" t="n">
        <v>2.1</v>
      </c>
      <c r="G83" s="138" t="n">
        <v>0.9</v>
      </c>
      <c r="H83" s="138" t="n">
        <v>0</v>
      </c>
      <c r="I83" s="138" t="s">
        <v>4567</v>
      </c>
      <c r="J83" s="138" t="s">
        <v>4564</v>
      </c>
      <c r="K83" s="138"/>
    </row>
    <row r="84" customFormat="false" ht="15" hidden="false" customHeight="false" outlineLevel="0" collapsed="false">
      <c r="A84" s="138" t="s">
        <v>4588</v>
      </c>
      <c r="B84" s="138" t="s">
        <v>4589</v>
      </c>
      <c r="C84" s="138" t="n">
        <v>318.82</v>
      </c>
      <c r="D84" s="138" t="n">
        <v>318.905</v>
      </c>
      <c r="E84" s="138" t="s">
        <v>4521</v>
      </c>
      <c r="F84" s="138" t="n">
        <v>2.4</v>
      </c>
      <c r="G84" s="138" t="n">
        <v>1</v>
      </c>
      <c r="H84" s="138" t="n">
        <v>0</v>
      </c>
      <c r="I84" s="138" t="s">
        <v>4567</v>
      </c>
      <c r="J84" s="138" t="s">
        <v>4564</v>
      </c>
      <c r="K84" s="138"/>
    </row>
    <row r="85" customFormat="false" ht="15" hidden="false" customHeight="false" outlineLevel="0" collapsed="false">
      <c r="A85" s="138" t="s">
        <v>4590</v>
      </c>
      <c r="B85" s="138" t="s">
        <v>4591</v>
      </c>
      <c r="C85" s="138" t="n">
        <v>318.92</v>
      </c>
      <c r="D85" s="138" t="n">
        <v>319.02</v>
      </c>
      <c r="E85" s="138" t="s">
        <v>4521</v>
      </c>
      <c r="F85" s="138" t="n">
        <v>2.7</v>
      </c>
      <c r="G85" s="138" t="n">
        <v>1.1</v>
      </c>
      <c r="H85" s="138" t="n">
        <v>0</v>
      </c>
      <c r="I85" s="138" t="s">
        <v>4567</v>
      </c>
      <c r="J85" s="138" t="s">
        <v>4564</v>
      </c>
      <c r="K85" s="138"/>
    </row>
    <row r="86" customFormat="false" ht="15" hidden="false" customHeight="false" outlineLevel="0" collapsed="false">
      <c r="A86" s="138" t="s">
        <v>1569</v>
      </c>
      <c r="B86" s="138" t="s">
        <v>1569</v>
      </c>
      <c r="C86" s="138" t="n">
        <v>319</v>
      </c>
      <c r="D86" s="138" t="n">
        <v>319.0005</v>
      </c>
      <c r="E86" s="138" t="s">
        <v>60</v>
      </c>
      <c r="F86" s="138" t="n">
        <v>7.5</v>
      </c>
      <c r="G86" s="138" t="n">
        <v>2.8</v>
      </c>
      <c r="H86" s="138" t="n">
        <v>0</v>
      </c>
      <c r="I86" s="138" t="s">
        <v>4592</v>
      </c>
      <c r="J86" s="138" t="s">
        <v>4564</v>
      </c>
      <c r="K86" s="138"/>
    </row>
    <row r="87" customFormat="false" ht="15" hidden="false" customHeight="false" outlineLevel="0" collapsed="false">
      <c r="A87" s="138" t="s">
        <v>4593</v>
      </c>
      <c r="B87" s="138" t="s">
        <v>4594</v>
      </c>
      <c r="C87" s="138" t="n">
        <v>319.014</v>
      </c>
      <c r="D87" s="138" t="n">
        <v>324.835</v>
      </c>
      <c r="E87" s="138" t="s">
        <v>59</v>
      </c>
      <c r="F87" s="138" t="n">
        <v>116.4</v>
      </c>
      <c r="G87" s="138" t="n">
        <v>5.8</v>
      </c>
      <c r="H87" s="138" t="n">
        <v>30</v>
      </c>
      <c r="I87" s="138" t="s">
        <v>4526</v>
      </c>
      <c r="J87" s="138" t="s">
        <v>4511</v>
      </c>
      <c r="K87" s="138" t="s">
        <v>4512</v>
      </c>
    </row>
    <row r="88" customFormat="false" ht="15" hidden="false" customHeight="false" outlineLevel="0" collapsed="false">
      <c r="A88" s="138" t="s">
        <v>4595</v>
      </c>
      <c r="B88" s="138" t="s">
        <v>4596</v>
      </c>
      <c r="C88" s="138" t="n">
        <v>319.018</v>
      </c>
      <c r="D88" s="138" t="n">
        <v>319.12</v>
      </c>
      <c r="E88" s="138" t="s">
        <v>4521</v>
      </c>
      <c r="F88" s="138" t="n">
        <v>2.9</v>
      </c>
      <c r="G88" s="138" t="n">
        <v>1.2</v>
      </c>
      <c r="H88" s="138" t="n">
        <v>0</v>
      </c>
      <c r="I88" s="138" t="s">
        <v>4567</v>
      </c>
      <c r="J88" s="138" t="s">
        <v>4564</v>
      </c>
      <c r="K88" s="138"/>
    </row>
    <row r="89" customFormat="false" ht="15" hidden="false" customHeight="false" outlineLevel="0" collapsed="false">
      <c r="A89" s="138" t="s">
        <v>4597</v>
      </c>
      <c r="B89" s="138" t="s">
        <v>4598</v>
      </c>
      <c r="C89" s="138" t="n">
        <v>319.1215</v>
      </c>
      <c r="D89" s="138" t="n">
        <v>319.235</v>
      </c>
      <c r="E89" s="138" t="s">
        <v>4521</v>
      </c>
      <c r="F89" s="138" t="n">
        <v>3.2</v>
      </c>
      <c r="G89" s="138" t="n">
        <v>1.3</v>
      </c>
      <c r="H89" s="138" t="n">
        <v>0</v>
      </c>
      <c r="I89" s="138" t="s">
        <v>4567</v>
      </c>
      <c r="J89" s="138" t="s">
        <v>4564</v>
      </c>
      <c r="K89" s="138"/>
    </row>
    <row r="90" customFormat="false" ht="15" hidden="false" customHeight="false" outlineLevel="0" collapsed="false">
      <c r="A90" s="138" t="s">
        <v>4599</v>
      </c>
      <c r="B90" s="138" t="s">
        <v>4600</v>
      </c>
      <c r="C90" s="138" t="n">
        <v>319.2155</v>
      </c>
      <c r="D90" s="138" t="n">
        <v>319.34</v>
      </c>
      <c r="E90" s="138" t="s">
        <v>4521</v>
      </c>
      <c r="F90" s="138" t="n">
        <v>3.5</v>
      </c>
      <c r="G90" s="138" t="n">
        <v>1.4</v>
      </c>
      <c r="H90" s="138" t="n">
        <v>0</v>
      </c>
      <c r="I90" s="138" t="s">
        <v>4567</v>
      </c>
      <c r="J90" s="138" t="s">
        <v>4564</v>
      </c>
      <c r="K90" s="138"/>
    </row>
    <row r="91" customFormat="false" ht="15" hidden="false" customHeight="false" outlineLevel="0" collapsed="false">
      <c r="A91" s="138" t="s">
        <v>4601</v>
      </c>
      <c r="B91" s="138" t="s">
        <v>4602</v>
      </c>
      <c r="C91" s="138" t="n">
        <v>319.322</v>
      </c>
      <c r="D91" s="138" t="n">
        <v>319.445</v>
      </c>
      <c r="E91" s="138" t="s">
        <v>4521</v>
      </c>
      <c r="F91" s="138" t="n">
        <v>3.5</v>
      </c>
      <c r="G91" s="138" t="n">
        <v>1.4</v>
      </c>
      <c r="H91" s="138" t="n">
        <v>0</v>
      </c>
      <c r="I91" s="138" t="s">
        <v>4567</v>
      </c>
      <c r="J91" s="138" t="s">
        <v>4564</v>
      </c>
      <c r="K91" s="138"/>
    </row>
    <row r="92" customFormat="false" ht="15" hidden="false" customHeight="false" outlineLevel="0" collapsed="false">
      <c r="A92" s="138" t="s">
        <v>4603</v>
      </c>
      <c r="B92" s="138" t="s">
        <v>4604</v>
      </c>
      <c r="C92" s="138" t="n">
        <v>319.4195</v>
      </c>
      <c r="D92" s="138" t="n">
        <v>319.55</v>
      </c>
      <c r="E92" s="138" t="s">
        <v>4521</v>
      </c>
      <c r="F92" s="138" t="n">
        <v>3.8</v>
      </c>
      <c r="G92" s="138" t="n">
        <v>1.5</v>
      </c>
      <c r="H92" s="138" t="n">
        <v>0</v>
      </c>
      <c r="I92" s="138" t="s">
        <v>4567</v>
      </c>
      <c r="J92" s="138" t="s">
        <v>4564</v>
      </c>
      <c r="K92" s="138"/>
    </row>
    <row r="93" customFormat="false" ht="15" hidden="false" customHeight="false" outlineLevel="0" collapsed="false">
      <c r="A93" s="138" t="s">
        <v>4605</v>
      </c>
      <c r="B93" s="138" t="s">
        <v>4606</v>
      </c>
      <c r="C93" s="138" t="n">
        <v>319.515</v>
      </c>
      <c r="D93" s="138" t="n">
        <v>319.665</v>
      </c>
      <c r="E93" s="138" t="s">
        <v>4521</v>
      </c>
      <c r="F93" s="138" t="n">
        <v>4.1</v>
      </c>
      <c r="G93" s="138" t="n">
        <v>1.6</v>
      </c>
      <c r="H93" s="138" t="n">
        <v>0</v>
      </c>
      <c r="I93" s="138" t="s">
        <v>4567</v>
      </c>
      <c r="J93" s="138" t="s">
        <v>4564</v>
      </c>
      <c r="K93" s="138"/>
    </row>
    <row r="94" customFormat="false" ht="15" hidden="false" customHeight="false" outlineLevel="0" collapsed="false">
      <c r="A94" s="138" t="s">
        <v>4607</v>
      </c>
      <c r="B94" s="138" t="s">
        <v>4608</v>
      </c>
      <c r="C94" s="138" t="n">
        <v>319.615</v>
      </c>
      <c r="D94" s="138" t="n">
        <v>319.765</v>
      </c>
      <c r="E94" s="138" t="s">
        <v>4521</v>
      </c>
      <c r="F94" s="138" t="n">
        <v>4.2</v>
      </c>
      <c r="G94" s="138" t="n">
        <v>1.7</v>
      </c>
      <c r="H94" s="138" t="n">
        <v>0</v>
      </c>
      <c r="I94" s="138" t="s">
        <v>4567</v>
      </c>
      <c r="J94" s="138" t="s">
        <v>4564</v>
      </c>
      <c r="K94" s="138"/>
    </row>
    <row r="95" customFormat="false" ht="15" hidden="false" customHeight="false" outlineLevel="0" collapsed="false">
      <c r="A95" s="138" t="s">
        <v>4609</v>
      </c>
      <c r="B95" s="138" t="s">
        <v>4610</v>
      </c>
      <c r="C95" s="138" t="n">
        <v>319.72</v>
      </c>
      <c r="D95" s="138" t="n">
        <v>319.875</v>
      </c>
      <c r="E95" s="138" t="s">
        <v>4521</v>
      </c>
      <c r="F95" s="138" t="n">
        <v>4.4</v>
      </c>
      <c r="G95" s="138" t="n">
        <v>1.8</v>
      </c>
      <c r="H95" s="138" t="n">
        <v>0</v>
      </c>
      <c r="I95" s="138" t="s">
        <v>4567</v>
      </c>
      <c r="J95" s="138" t="s">
        <v>4564</v>
      </c>
      <c r="K95" s="138"/>
    </row>
    <row r="96" customFormat="false" ht="15" hidden="false" customHeight="false" outlineLevel="0" collapsed="false">
      <c r="A96" s="138" t="s">
        <v>4611</v>
      </c>
      <c r="B96" s="138" t="s">
        <v>1976</v>
      </c>
      <c r="C96" s="138" t="n">
        <v>319.82</v>
      </c>
      <c r="D96" s="138" t="n">
        <v>320</v>
      </c>
      <c r="E96" s="138" t="s">
        <v>4521</v>
      </c>
      <c r="F96" s="138" t="n">
        <v>4.6</v>
      </c>
      <c r="G96" s="138" t="n">
        <v>1.8</v>
      </c>
      <c r="H96" s="138" t="n">
        <v>0</v>
      </c>
      <c r="I96" s="138" t="s">
        <v>4567</v>
      </c>
      <c r="J96" s="138" t="s">
        <v>4564</v>
      </c>
      <c r="K96" s="138"/>
    </row>
    <row r="97" customFormat="false" ht="15" hidden="false" customHeight="false" outlineLevel="0" collapsed="false">
      <c r="A97" s="138" t="s">
        <v>4612</v>
      </c>
      <c r="B97" s="138" t="s">
        <v>4613</v>
      </c>
      <c r="C97" s="138" t="n">
        <v>319.925</v>
      </c>
      <c r="D97" s="138" t="n">
        <v>320.095</v>
      </c>
      <c r="E97" s="138" t="s">
        <v>4521</v>
      </c>
      <c r="F97" s="138" t="n">
        <v>4.8</v>
      </c>
      <c r="G97" s="138" t="n">
        <v>1.9</v>
      </c>
      <c r="H97" s="138" t="n">
        <v>0</v>
      </c>
      <c r="I97" s="138" t="s">
        <v>4567</v>
      </c>
      <c r="J97" s="138" t="s">
        <v>4564</v>
      </c>
      <c r="K97" s="138"/>
    </row>
    <row r="98" customFormat="false" ht="15" hidden="false" customHeight="false" outlineLevel="0" collapsed="false">
      <c r="A98" s="138" t="s">
        <v>4614</v>
      </c>
      <c r="B98" s="138" t="s">
        <v>4615</v>
      </c>
      <c r="C98" s="138" t="n">
        <v>320.0185</v>
      </c>
      <c r="D98" s="138" t="n">
        <v>320.2</v>
      </c>
      <c r="E98" s="138" t="s">
        <v>4521</v>
      </c>
      <c r="F98" s="138" t="n">
        <v>5</v>
      </c>
      <c r="G98" s="138" t="n">
        <v>2</v>
      </c>
      <c r="H98" s="138" t="n">
        <v>0</v>
      </c>
      <c r="I98" s="138" t="s">
        <v>4567</v>
      </c>
      <c r="J98" s="138" t="s">
        <v>4564</v>
      </c>
      <c r="K98" s="138"/>
    </row>
    <row r="99" customFormat="false" ht="15" hidden="false" customHeight="false" outlineLevel="0" collapsed="false">
      <c r="A99" s="138" t="s">
        <v>4616</v>
      </c>
      <c r="B99" s="138" t="s">
        <v>4617</v>
      </c>
      <c r="C99" s="138" t="n">
        <v>320.119</v>
      </c>
      <c r="D99" s="138" t="n">
        <v>320.305</v>
      </c>
      <c r="E99" s="138" t="s">
        <v>4521</v>
      </c>
      <c r="F99" s="138" t="n">
        <v>5.2</v>
      </c>
      <c r="G99" s="138" t="n">
        <v>2.1</v>
      </c>
      <c r="H99" s="138" t="n">
        <v>0</v>
      </c>
      <c r="I99" s="138" t="s">
        <v>4567</v>
      </c>
      <c r="J99" s="138" t="s">
        <v>4564</v>
      </c>
      <c r="K99" s="138"/>
    </row>
    <row r="100" customFormat="false" ht="15" hidden="false" customHeight="false" outlineLevel="0" collapsed="false">
      <c r="A100" s="138" t="s">
        <v>4618</v>
      </c>
      <c r="B100" s="138" t="s">
        <v>4619</v>
      </c>
      <c r="C100" s="138" t="n">
        <v>320.223</v>
      </c>
      <c r="D100" s="138" t="n">
        <v>320.41</v>
      </c>
      <c r="E100" s="138" t="s">
        <v>4521</v>
      </c>
      <c r="F100" s="138" t="n">
        <v>5.3</v>
      </c>
      <c r="G100" s="138" t="n">
        <v>2.1</v>
      </c>
      <c r="H100" s="138" t="n">
        <v>0</v>
      </c>
      <c r="I100" s="138" t="s">
        <v>4567</v>
      </c>
      <c r="J100" s="138" t="s">
        <v>4564</v>
      </c>
      <c r="K100" s="138"/>
    </row>
    <row r="101" customFormat="false" ht="15" hidden="false" customHeight="false" outlineLevel="0" collapsed="false">
      <c r="A101" s="138" t="s">
        <v>4620</v>
      </c>
      <c r="B101" s="138" t="s">
        <v>4621</v>
      </c>
      <c r="C101" s="138" t="n">
        <v>320.328</v>
      </c>
      <c r="D101" s="138" t="n">
        <v>320.52</v>
      </c>
      <c r="E101" s="138" t="s">
        <v>59</v>
      </c>
      <c r="F101" s="138" t="n">
        <v>5.4</v>
      </c>
      <c r="G101" s="138" t="n">
        <v>2.2</v>
      </c>
      <c r="H101" s="138" t="n">
        <v>0</v>
      </c>
      <c r="I101" s="138" t="s">
        <v>4567</v>
      </c>
      <c r="J101" s="138" t="s">
        <v>4564</v>
      </c>
      <c r="K101" s="138"/>
    </row>
    <row r="102" customFormat="false" ht="15" hidden="false" customHeight="false" outlineLevel="0" collapsed="false">
      <c r="A102" s="138" t="s">
        <v>4622</v>
      </c>
      <c r="B102" s="138" t="s">
        <v>4623</v>
      </c>
      <c r="C102" s="138" t="n">
        <v>320.426</v>
      </c>
      <c r="D102" s="138" t="n">
        <v>320.62</v>
      </c>
      <c r="E102" s="138" t="s">
        <v>59</v>
      </c>
      <c r="F102" s="138" t="n">
        <v>5.4</v>
      </c>
      <c r="G102" s="138" t="n">
        <v>2.2</v>
      </c>
      <c r="H102" s="138" t="n">
        <v>0</v>
      </c>
      <c r="I102" s="138" t="s">
        <v>4567</v>
      </c>
      <c r="J102" s="138" t="s">
        <v>4564</v>
      </c>
      <c r="K102" s="138"/>
    </row>
    <row r="103" customFormat="false" ht="15" hidden="false" customHeight="false" outlineLevel="0" collapsed="false">
      <c r="A103" s="138" t="s">
        <v>4624</v>
      </c>
      <c r="B103" s="138" t="s">
        <v>4625</v>
      </c>
      <c r="C103" s="138" t="n">
        <v>320.505</v>
      </c>
      <c r="D103" s="138" t="n">
        <v>324.285</v>
      </c>
      <c r="E103" s="138" t="s">
        <v>4521</v>
      </c>
      <c r="F103" s="138" t="n">
        <v>75.6</v>
      </c>
      <c r="G103" s="138" t="n">
        <v>3.8</v>
      </c>
      <c r="H103" s="138" t="n">
        <v>19</v>
      </c>
      <c r="I103" s="138" t="s">
        <v>4526</v>
      </c>
      <c r="J103" s="138" t="s">
        <v>4511</v>
      </c>
      <c r="K103" s="138" t="s">
        <v>4512</v>
      </c>
    </row>
    <row r="104" customFormat="false" ht="15" hidden="false" customHeight="false" outlineLevel="0" collapsed="false">
      <c r="A104" s="138" t="s">
        <v>4626</v>
      </c>
      <c r="B104" s="138" t="s">
        <v>4627</v>
      </c>
      <c r="C104" s="138" t="n">
        <v>320.53</v>
      </c>
      <c r="D104" s="138" t="n">
        <v>320.72</v>
      </c>
      <c r="E104" s="138" t="s">
        <v>59</v>
      </c>
      <c r="F104" s="138" t="n">
        <v>5.4</v>
      </c>
      <c r="G104" s="138" t="n">
        <v>2.2</v>
      </c>
      <c r="H104" s="138" t="n">
        <v>0</v>
      </c>
      <c r="I104" s="138" t="s">
        <v>4567</v>
      </c>
      <c r="J104" s="138" t="s">
        <v>4564</v>
      </c>
      <c r="K104" s="138"/>
    </row>
    <row r="105" customFormat="false" ht="15" hidden="false" customHeight="false" outlineLevel="0" collapsed="false">
      <c r="A105" s="138" t="s">
        <v>4628</v>
      </c>
      <c r="B105" s="138" t="s">
        <v>4629</v>
      </c>
      <c r="C105" s="138" t="n">
        <v>320.635</v>
      </c>
      <c r="D105" s="138" t="n">
        <v>320.82</v>
      </c>
      <c r="E105" s="138" t="s">
        <v>59</v>
      </c>
      <c r="F105" s="138" t="n">
        <v>5.3</v>
      </c>
      <c r="G105" s="138" t="n">
        <v>2.1</v>
      </c>
      <c r="H105" s="138" t="n">
        <v>0</v>
      </c>
      <c r="I105" s="138" t="s">
        <v>4567</v>
      </c>
      <c r="J105" s="138" t="s">
        <v>4564</v>
      </c>
      <c r="K105" s="138"/>
    </row>
    <row r="106" customFormat="false" ht="15" hidden="false" customHeight="false" outlineLevel="0" collapsed="false">
      <c r="A106" s="138" t="s">
        <v>4630</v>
      </c>
      <c r="B106" s="138" t="s">
        <v>4631</v>
      </c>
      <c r="C106" s="138" t="n">
        <v>320.74</v>
      </c>
      <c r="D106" s="138" t="n">
        <v>320.93</v>
      </c>
      <c r="E106" s="138" t="s">
        <v>59</v>
      </c>
      <c r="F106" s="138" t="n">
        <v>5.2</v>
      </c>
      <c r="G106" s="138" t="n">
        <v>2.1</v>
      </c>
      <c r="H106" s="138" t="n">
        <v>0</v>
      </c>
      <c r="I106" s="138" t="s">
        <v>4567</v>
      </c>
      <c r="J106" s="138" t="s">
        <v>4564</v>
      </c>
      <c r="K106" s="138"/>
    </row>
    <row r="107" customFormat="false" ht="15" hidden="false" customHeight="false" outlineLevel="0" collapsed="false">
      <c r="A107" s="138" t="s">
        <v>4632</v>
      </c>
      <c r="B107" s="138" t="s">
        <v>4633</v>
      </c>
      <c r="C107" s="138" t="n">
        <v>320.84</v>
      </c>
      <c r="D107" s="138" t="n">
        <v>321.02</v>
      </c>
      <c r="E107" s="138" t="s">
        <v>59</v>
      </c>
      <c r="F107" s="138" t="n">
        <v>5.2</v>
      </c>
      <c r="G107" s="138" t="n">
        <v>2.1</v>
      </c>
      <c r="H107" s="138" t="n">
        <v>0</v>
      </c>
      <c r="I107" s="138" t="s">
        <v>4567</v>
      </c>
      <c r="J107" s="138" t="s">
        <v>4564</v>
      </c>
      <c r="K107" s="138"/>
    </row>
    <row r="108" customFormat="false" ht="15" hidden="false" customHeight="false" outlineLevel="0" collapsed="false">
      <c r="A108" s="138" t="s">
        <v>4634</v>
      </c>
      <c r="B108" s="138" t="s">
        <v>4635</v>
      </c>
      <c r="C108" s="138" t="n">
        <v>320.95</v>
      </c>
      <c r="D108" s="138" t="n">
        <v>321.13</v>
      </c>
      <c r="E108" s="138" t="s">
        <v>59</v>
      </c>
      <c r="F108" s="138" t="n">
        <v>5.1</v>
      </c>
      <c r="G108" s="138" t="n">
        <v>2</v>
      </c>
      <c r="H108" s="138" t="n">
        <v>0</v>
      </c>
      <c r="I108" s="138" t="s">
        <v>4567</v>
      </c>
      <c r="J108" s="138" t="s">
        <v>4564</v>
      </c>
      <c r="K108" s="138"/>
    </row>
    <row r="109" customFormat="false" ht="15" hidden="false" customHeight="false" outlineLevel="0" collapsed="false">
      <c r="A109" s="138" t="s">
        <v>4636</v>
      </c>
      <c r="B109" s="138" t="s">
        <v>4637</v>
      </c>
      <c r="C109" s="138" t="n">
        <v>321.0525</v>
      </c>
      <c r="D109" s="138" t="n">
        <v>321.225</v>
      </c>
      <c r="E109" s="138" t="s">
        <v>59</v>
      </c>
      <c r="F109" s="138" t="n">
        <v>4.9</v>
      </c>
      <c r="G109" s="138" t="n">
        <v>2</v>
      </c>
      <c r="H109" s="138" t="n">
        <v>0</v>
      </c>
      <c r="I109" s="138" t="s">
        <v>4567</v>
      </c>
      <c r="J109" s="138" t="s">
        <v>4564</v>
      </c>
      <c r="K109" s="138"/>
    </row>
    <row r="110" customFormat="false" ht="15" hidden="false" customHeight="false" outlineLevel="0" collapsed="false">
      <c r="A110" s="138" t="s">
        <v>4638</v>
      </c>
      <c r="B110" s="138" t="s">
        <v>4639</v>
      </c>
      <c r="C110" s="138" t="n">
        <v>321.1565</v>
      </c>
      <c r="D110" s="138" t="n">
        <v>321.335</v>
      </c>
      <c r="E110" s="138" t="s">
        <v>59</v>
      </c>
      <c r="F110" s="138" t="n">
        <v>4.9</v>
      </c>
      <c r="G110" s="138" t="n">
        <v>2</v>
      </c>
      <c r="H110" s="138" t="n">
        <v>0</v>
      </c>
      <c r="I110" s="138" t="s">
        <v>4567</v>
      </c>
      <c r="J110" s="138" t="s">
        <v>4564</v>
      </c>
      <c r="K110" s="138"/>
    </row>
    <row r="111" customFormat="false" ht="15" hidden="false" customHeight="false" outlineLevel="0" collapsed="false">
      <c r="A111" s="138" t="s">
        <v>4640</v>
      </c>
      <c r="B111" s="138" t="s">
        <v>4641</v>
      </c>
      <c r="C111" s="138" t="n">
        <v>321.259</v>
      </c>
      <c r="D111" s="138" t="n">
        <v>321.425</v>
      </c>
      <c r="E111" s="138" t="s">
        <v>59</v>
      </c>
      <c r="F111" s="138" t="n">
        <v>4.7</v>
      </c>
      <c r="G111" s="138" t="n">
        <v>1.9</v>
      </c>
      <c r="H111" s="138" t="n">
        <v>0</v>
      </c>
      <c r="I111" s="138" t="s">
        <v>4567</v>
      </c>
      <c r="J111" s="138" t="s">
        <v>4564</v>
      </c>
      <c r="K111" s="138"/>
    </row>
    <row r="112" customFormat="false" ht="15" hidden="false" customHeight="false" outlineLevel="0" collapsed="false">
      <c r="A112" s="138" t="s">
        <v>4642</v>
      </c>
      <c r="B112" s="138" t="s">
        <v>4643</v>
      </c>
      <c r="C112" s="138" t="n">
        <v>321.3635</v>
      </c>
      <c r="D112" s="138" t="n">
        <v>321.525</v>
      </c>
      <c r="E112" s="138" t="s">
        <v>59</v>
      </c>
      <c r="F112" s="138" t="n">
        <v>4.6</v>
      </c>
      <c r="G112" s="138" t="n">
        <v>1.8</v>
      </c>
      <c r="H112" s="138" t="n">
        <v>0</v>
      </c>
      <c r="I112" s="138" t="s">
        <v>4567</v>
      </c>
      <c r="J112" s="138" t="s">
        <v>4564</v>
      </c>
      <c r="K112" s="138"/>
    </row>
    <row r="113" customFormat="false" ht="15" hidden="false" customHeight="false" outlineLevel="0" collapsed="false">
      <c r="A113" s="138" t="s">
        <v>4644</v>
      </c>
      <c r="B113" s="138" t="s">
        <v>4645</v>
      </c>
      <c r="C113" s="138" t="n">
        <v>321.4715</v>
      </c>
      <c r="D113" s="138" t="n">
        <v>321.63</v>
      </c>
      <c r="E113" s="138" t="s">
        <v>59</v>
      </c>
      <c r="F113" s="138" t="n">
        <v>4.5</v>
      </c>
      <c r="G113" s="138" t="n">
        <v>1.8</v>
      </c>
      <c r="H113" s="138" t="n">
        <v>0</v>
      </c>
      <c r="I113" s="138" t="s">
        <v>4567</v>
      </c>
      <c r="J113" s="138" t="s">
        <v>4564</v>
      </c>
      <c r="K113" s="138"/>
    </row>
    <row r="114" customFormat="false" ht="15" hidden="false" customHeight="false" outlineLevel="0" collapsed="false">
      <c r="A114" s="138" t="s">
        <v>4646</v>
      </c>
      <c r="B114" s="138" t="s">
        <v>4647</v>
      </c>
      <c r="C114" s="138" t="n">
        <v>321.575</v>
      </c>
      <c r="D114" s="138" t="n">
        <v>321.73</v>
      </c>
      <c r="E114" s="138" t="s">
        <v>59</v>
      </c>
      <c r="F114" s="138" t="n">
        <v>4.4</v>
      </c>
      <c r="G114" s="138" t="n">
        <v>1.8</v>
      </c>
      <c r="H114" s="138" t="n">
        <v>0</v>
      </c>
      <c r="I114" s="138" t="s">
        <v>4567</v>
      </c>
      <c r="J114" s="138" t="s">
        <v>4564</v>
      </c>
      <c r="K114" s="138"/>
    </row>
    <row r="115" customFormat="false" ht="15" hidden="false" customHeight="false" outlineLevel="0" collapsed="false">
      <c r="A115" s="138" t="s">
        <v>4648</v>
      </c>
      <c r="B115" s="138" t="s">
        <v>4649</v>
      </c>
      <c r="C115" s="138" t="n">
        <v>321.685</v>
      </c>
      <c r="D115" s="138" t="n">
        <v>321.83</v>
      </c>
      <c r="E115" s="138" t="s">
        <v>59</v>
      </c>
      <c r="F115" s="138" t="n">
        <v>4.2</v>
      </c>
      <c r="G115" s="138" t="n">
        <v>1.7</v>
      </c>
      <c r="H115" s="138" t="n">
        <v>0</v>
      </c>
      <c r="I115" s="138" t="s">
        <v>4567</v>
      </c>
      <c r="J115" s="138" t="s">
        <v>4564</v>
      </c>
      <c r="K115" s="138"/>
    </row>
    <row r="116" customFormat="false" ht="15" hidden="false" customHeight="false" outlineLevel="0" collapsed="false">
      <c r="A116" s="138" t="s">
        <v>4650</v>
      </c>
      <c r="B116" s="138" t="s">
        <v>4651</v>
      </c>
      <c r="C116" s="138" t="n">
        <v>321.79</v>
      </c>
      <c r="D116" s="138" t="n">
        <v>321.925</v>
      </c>
      <c r="E116" s="138" t="s">
        <v>59</v>
      </c>
      <c r="F116" s="138" t="n">
        <v>4</v>
      </c>
      <c r="G116" s="138" t="n">
        <v>1.6</v>
      </c>
      <c r="H116" s="138" t="n">
        <v>0</v>
      </c>
      <c r="I116" s="138" t="s">
        <v>4567</v>
      </c>
      <c r="J116" s="138" t="s">
        <v>4564</v>
      </c>
      <c r="K116" s="138"/>
    </row>
    <row r="117" customFormat="false" ht="15" hidden="false" customHeight="false" outlineLevel="0" collapsed="false">
      <c r="A117" s="138" t="s">
        <v>4562</v>
      </c>
      <c r="B117" s="138" t="s">
        <v>4652</v>
      </c>
      <c r="C117" s="138" t="n">
        <v>321.895</v>
      </c>
      <c r="D117" s="138" t="n">
        <v>322.03</v>
      </c>
      <c r="E117" s="138" t="s">
        <v>59</v>
      </c>
      <c r="F117" s="138" t="n">
        <v>3.9</v>
      </c>
      <c r="G117" s="138" t="n">
        <v>1.6</v>
      </c>
      <c r="H117" s="138" t="n">
        <v>0</v>
      </c>
      <c r="I117" s="138" t="s">
        <v>4567</v>
      </c>
      <c r="J117" s="138" t="s">
        <v>4564</v>
      </c>
      <c r="K117" s="138"/>
    </row>
    <row r="118" customFormat="false" ht="15" hidden="false" customHeight="false" outlineLevel="0" collapsed="false">
      <c r="A118" s="138" t="s">
        <v>4653</v>
      </c>
      <c r="B118" s="138" t="s">
        <v>4654</v>
      </c>
      <c r="C118" s="138" t="n">
        <v>322.001</v>
      </c>
      <c r="D118" s="138" t="n">
        <v>322.13</v>
      </c>
      <c r="E118" s="138" t="s">
        <v>59</v>
      </c>
      <c r="F118" s="138" t="n">
        <v>3.7</v>
      </c>
      <c r="G118" s="138" t="n">
        <v>1.5</v>
      </c>
      <c r="H118" s="138" t="n">
        <v>0</v>
      </c>
      <c r="I118" s="138" t="s">
        <v>4567</v>
      </c>
      <c r="J118" s="138" t="s">
        <v>4564</v>
      </c>
      <c r="K118" s="138"/>
    </row>
    <row r="119" customFormat="false" ht="15" hidden="false" customHeight="false" outlineLevel="0" collapsed="false">
      <c r="A119" s="138" t="s">
        <v>4655</v>
      </c>
      <c r="B119" s="138" t="s">
        <v>4656</v>
      </c>
      <c r="C119" s="138" t="n">
        <v>322.011</v>
      </c>
      <c r="D119" s="138" t="n">
        <v>333.165</v>
      </c>
      <c r="E119" s="138" t="s">
        <v>59</v>
      </c>
      <c r="F119" s="138" t="n">
        <v>249.4</v>
      </c>
      <c r="G119" s="138" t="n">
        <v>24.9</v>
      </c>
      <c r="H119" s="138" t="n">
        <v>21</v>
      </c>
      <c r="I119" s="138" t="s">
        <v>4510</v>
      </c>
      <c r="J119" s="138" t="s">
        <v>4511</v>
      </c>
      <c r="K119" s="138" t="s">
        <v>4512</v>
      </c>
    </row>
    <row r="120" customFormat="false" ht="15" hidden="false" customHeight="false" outlineLevel="0" collapsed="false">
      <c r="A120" s="138" t="s">
        <v>4657</v>
      </c>
      <c r="B120" s="138" t="s">
        <v>4658</v>
      </c>
      <c r="C120" s="138" t="n">
        <v>322.106</v>
      </c>
      <c r="D120" s="138" t="n">
        <v>322.235</v>
      </c>
      <c r="E120" s="138" t="s">
        <v>59</v>
      </c>
      <c r="F120" s="138" t="n">
        <v>3.6</v>
      </c>
      <c r="G120" s="138" t="n">
        <v>1.4</v>
      </c>
      <c r="H120" s="138" t="n">
        <v>0</v>
      </c>
      <c r="I120" s="138" t="s">
        <v>4567</v>
      </c>
      <c r="J120" s="138" t="s">
        <v>4564</v>
      </c>
      <c r="K120" s="138"/>
    </row>
    <row r="121" customFormat="false" ht="15" hidden="false" customHeight="false" outlineLevel="0" collapsed="false">
      <c r="A121" s="138" t="s">
        <v>4659</v>
      </c>
      <c r="B121" s="138" t="s">
        <v>4660</v>
      </c>
      <c r="C121" s="138" t="n">
        <v>322.219</v>
      </c>
      <c r="D121" s="138" t="n">
        <v>322.335</v>
      </c>
      <c r="E121" s="138" t="s">
        <v>59</v>
      </c>
      <c r="F121" s="138" t="n">
        <v>3.3</v>
      </c>
      <c r="G121" s="138" t="n">
        <v>1.3</v>
      </c>
      <c r="H121" s="138" t="n">
        <v>0</v>
      </c>
      <c r="I121" s="138" t="s">
        <v>4567</v>
      </c>
      <c r="J121" s="138" t="s">
        <v>4564</v>
      </c>
      <c r="K121" s="138"/>
    </row>
    <row r="122" customFormat="false" ht="15" hidden="false" customHeight="false" outlineLevel="0" collapsed="false">
      <c r="A122" s="138" t="s">
        <v>4661</v>
      </c>
      <c r="B122" s="138" t="s">
        <v>4662</v>
      </c>
      <c r="C122" s="138" t="n">
        <v>322.3255</v>
      </c>
      <c r="D122" s="138" t="n">
        <v>322.435</v>
      </c>
      <c r="E122" s="138" t="s">
        <v>59</v>
      </c>
      <c r="F122" s="138" t="n">
        <v>3.1</v>
      </c>
      <c r="G122" s="138" t="n">
        <v>1.2</v>
      </c>
      <c r="H122" s="138" t="n">
        <v>0</v>
      </c>
      <c r="I122" s="138" t="s">
        <v>4567</v>
      </c>
      <c r="J122" s="138" t="s">
        <v>4564</v>
      </c>
      <c r="K122" s="138"/>
    </row>
    <row r="123" customFormat="false" ht="15" hidden="false" customHeight="false" outlineLevel="0" collapsed="false">
      <c r="A123" s="138" t="s">
        <v>4663</v>
      </c>
      <c r="B123" s="138" t="s">
        <v>4664</v>
      </c>
      <c r="C123" s="138" t="n">
        <v>322.437</v>
      </c>
      <c r="D123" s="138" t="n">
        <v>322.54</v>
      </c>
      <c r="E123" s="138" t="s">
        <v>59</v>
      </c>
      <c r="F123" s="138" t="n">
        <v>2.9</v>
      </c>
      <c r="G123" s="138" t="n">
        <v>1.2</v>
      </c>
      <c r="H123" s="138" t="n">
        <v>0</v>
      </c>
      <c r="I123" s="138" t="s">
        <v>4567</v>
      </c>
      <c r="J123" s="138" t="s">
        <v>4564</v>
      </c>
      <c r="K123" s="138"/>
    </row>
    <row r="124" customFormat="false" ht="15" hidden="false" customHeight="false" outlineLevel="0" collapsed="false">
      <c r="A124" s="138" t="s">
        <v>4664</v>
      </c>
      <c r="B124" s="138" t="s">
        <v>4665</v>
      </c>
      <c r="C124" s="138" t="n">
        <v>322.54</v>
      </c>
      <c r="D124" s="138" t="n">
        <v>322.64</v>
      </c>
      <c r="E124" s="138" t="s">
        <v>59</v>
      </c>
      <c r="F124" s="138" t="n">
        <v>2.8</v>
      </c>
      <c r="G124" s="138" t="n">
        <v>1.1</v>
      </c>
      <c r="H124" s="138" t="n">
        <v>0</v>
      </c>
      <c r="I124" s="138" t="s">
        <v>4567</v>
      </c>
      <c r="J124" s="138" t="s">
        <v>4564</v>
      </c>
      <c r="K124" s="138"/>
    </row>
    <row r="125" customFormat="false" ht="15" hidden="false" customHeight="false" outlineLevel="0" collapsed="false">
      <c r="A125" s="138" t="s">
        <v>4666</v>
      </c>
      <c r="B125" s="138" t="s">
        <v>4667</v>
      </c>
      <c r="C125" s="138" t="n">
        <v>322.65</v>
      </c>
      <c r="D125" s="138" t="n">
        <v>322.74</v>
      </c>
      <c r="E125" s="138" t="s">
        <v>59</v>
      </c>
      <c r="F125" s="138" t="n">
        <v>2.6</v>
      </c>
      <c r="G125" s="138" t="n">
        <v>1.1</v>
      </c>
      <c r="H125" s="138" t="n">
        <v>0</v>
      </c>
      <c r="I125" s="138" t="s">
        <v>4567</v>
      </c>
      <c r="J125" s="138" t="s">
        <v>4564</v>
      </c>
      <c r="K125" s="138"/>
    </row>
    <row r="126" customFormat="false" ht="15" hidden="false" customHeight="false" outlineLevel="0" collapsed="false">
      <c r="A126" s="138" t="s">
        <v>4668</v>
      </c>
      <c r="B126" s="138" t="s">
        <v>4669</v>
      </c>
      <c r="C126" s="138" t="n">
        <v>322.76</v>
      </c>
      <c r="D126" s="138" t="n">
        <v>322.84</v>
      </c>
      <c r="E126" s="138" t="s">
        <v>59</v>
      </c>
      <c r="F126" s="138" t="n">
        <v>2.3</v>
      </c>
      <c r="G126" s="138" t="n">
        <v>0.9</v>
      </c>
      <c r="H126" s="138" t="n">
        <v>0</v>
      </c>
      <c r="I126" s="138" t="s">
        <v>4567</v>
      </c>
      <c r="J126" s="138" t="s">
        <v>4564</v>
      </c>
      <c r="K126" s="138"/>
    </row>
    <row r="127" customFormat="false" ht="15" hidden="false" customHeight="false" outlineLevel="0" collapsed="false">
      <c r="A127" s="138" t="s">
        <v>4670</v>
      </c>
      <c r="B127" s="138" t="s">
        <v>4671</v>
      </c>
      <c r="C127" s="138" t="n">
        <v>322.865</v>
      </c>
      <c r="D127" s="138" t="n">
        <v>322.94</v>
      </c>
      <c r="E127" s="138" t="s">
        <v>59</v>
      </c>
      <c r="F127" s="138" t="n">
        <v>2.2</v>
      </c>
      <c r="G127" s="138" t="n">
        <v>0.9</v>
      </c>
      <c r="H127" s="138" t="n">
        <v>0</v>
      </c>
      <c r="I127" s="138" t="s">
        <v>4567</v>
      </c>
      <c r="J127" s="138" t="s">
        <v>4564</v>
      </c>
      <c r="K127" s="138"/>
    </row>
    <row r="128" customFormat="false" ht="15" hidden="false" customHeight="false" outlineLevel="0" collapsed="false">
      <c r="A128" s="138" t="s">
        <v>4672</v>
      </c>
      <c r="B128" s="138" t="s">
        <v>4673</v>
      </c>
      <c r="C128" s="138" t="n">
        <v>322.97</v>
      </c>
      <c r="D128" s="138" t="n">
        <v>323.04</v>
      </c>
      <c r="E128" s="138" t="s">
        <v>59</v>
      </c>
      <c r="F128" s="138" t="n">
        <v>2</v>
      </c>
      <c r="G128" s="138" t="n">
        <v>0.8</v>
      </c>
      <c r="H128" s="138" t="n">
        <v>0</v>
      </c>
      <c r="I128" s="138" t="s">
        <v>4567</v>
      </c>
      <c r="J128" s="138" t="s">
        <v>4564</v>
      </c>
      <c r="K128" s="138"/>
    </row>
    <row r="129" customFormat="false" ht="15" hidden="false" customHeight="false" outlineLevel="0" collapsed="false">
      <c r="A129" s="138" t="s">
        <v>1979</v>
      </c>
      <c r="B129" s="138" t="s">
        <v>1979</v>
      </c>
      <c r="C129" s="138" t="n">
        <v>323</v>
      </c>
      <c r="D129" s="138" t="n">
        <v>323.0005</v>
      </c>
      <c r="E129" s="138" t="s">
        <v>60</v>
      </c>
      <c r="F129" s="138" t="n">
        <v>7.5</v>
      </c>
      <c r="G129" s="138" t="n">
        <v>1.6</v>
      </c>
      <c r="H129" s="138" t="n">
        <v>0</v>
      </c>
      <c r="I129" s="138" t="s">
        <v>4592</v>
      </c>
      <c r="J129" s="138" t="s">
        <v>4564</v>
      </c>
      <c r="K129" s="138"/>
    </row>
    <row r="130" customFormat="false" ht="15" hidden="false" customHeight="false" outlineLevel="0" collapsed="false">
      <c r="A130" s="138" t="s">
        <v>1979</v>
      </c>
      <c r="B130" s="138" t="s">
        <v>1979</v>
      </c>
      <c r="C130" s="138" t="n">
        <v>323</v>
      </c>
      <c r="D130" s="138" t="n">
        <v>323.0005</v>
      </c>
      <c r="E130" s="138" t="s">
        <v>60</v>
      </c>
      <c r="F130" s="138" t="n">
        <v>7.5</v>
      </c>
      <c r="G130" s="138" t="n">
        <v>2.1</v>
      </c>
      <c r="H130" s="138" t="n">
        <v>0</v>
      </c>
      <c r="I130" s="138" t="s">
        <v>4592</v>
      </c>
      <c r="J130" s="138" t="s">
        <v>4564</v>
      </c>
      <c r="K130" s="138"/>
    </row>
    <row r="131" customFormat="false" ht="15" hidden="false" customHeight="false" outlineLevel="0" collapsed="false">
      <c r="A131" s="138" t="s">
        <v>4674</v>
      </c>
      <c r="B131" s="138" t="s">
        <v>4675</v>
      </c>
      <c r="C131" s="138" t="n">
        <v>323.078</v>
      </c>
      <c r="D131" s="138" t="n">
        <v>323.14</v>
      </c>
      <c r="E131" s="138" t="s">
        <v>59</v>
      </c>
      <c r="F131" s="138" t="n">
        <v>1.8</v>
      </c>
      <c r="G131" s="138" t="n">
        <v>0.7</v>
      </c>
      <c r="H131" s="138" t="n">
        <v>0</v>
      </c>
      <c r="I131" s="138" t="s">
        <v>4567</v>
      </c>
      <c r="J131" s="138" t="s">
        <v>4564</v>
      </c>
      <c r="K131" s="138"/>
    </row>
    <row r="132" customFormat="false" ht="15" hidden="false" customHeight="false" outlineLevel="0" collapsed="false">
      <c r="A132" s="138" t="s">
        <v>4676</v>
      </c>
      <c r="B132" s="138" t="s">
        <v>4677</v>
      </c>
      <c r="C132" s="138" t="n">
        <v>323.1865</v>
      </c>
      <c r="D132" s="138" t="n">
        <v>323.245</v>
      </c>
      <c r="E132" s="138" t="s">
        <v>59</v>
      </c>
      <c r="F132" s="138" t="n">
        <v>1.7</v>
      </c>
      <c r="G132" s="138" t="n">
        <v>0.7</v>
      </c>
      <c r="H132" s="138" t="n">
        <v>0</v>
      </c>
      <c r="I132" s="138" t="s">
        <v>4567</v>
      </c>
      <c r="J132" s="138" t="s">
        <v>4564</v>
      </c>
      <c r="K132" s="138"/>
    </row>
    <row r="133" customFormat="false" ht="15" hidden="false" customHeight="false" outlineLevel="0" collapsed="false">
      <c r="A133" s="138" t="s">
        <v>4678</v>
      </c>
      <c r="B133" s="138" t="s">
        <v>4679</v>
      </c>
      <c r="C133" s="138" t="n">
        <v>323.293</v>
      </c>
      <c r="D133" s="138" t="n">
        <v>323.35</v>
      </c>
      <c r="E133" s="138" t="s">
        <v>59</v>
      </c>
      <c r="F133" s="138" t="n">
        <v>1.7</v>
      </c>
      <c r="G133" s="138" t="n">
        <v>0.7</v>
      </c>
      <c r="H133" s="138" t="n">
        <v>0</v>
      </c>
      <c r="I133" s="138" t="s">
        <v>4567</v>
      </c>
      <c r="J133" s="138" t="s">
        <v>4564</v>
      </c>
      <c r="K133" s="138"/>
    </row>
    <row r="134" customFormat="false" ht="15" hidden="false" customHeight="false" outlineLevel="0" collapsed="false">
      <c r="A134" s="138" t="s">
        <v>4680</v>
      </c>
      <c r="B134" s="138" t="s">
        <v>4681</v>
      </c>
      <c r="C134" s="138" t="n">
        <v>323.4005</v>
      </c>
      <c r="D134" s="138" t="n">
        <v>323.455</v>
      </c>
      <c r="E134" s="138" t="s">
        <v>59</v>
      </c>
      <c r="F134" s="138" t="n">
        <v>1.6</v>
      </c>
      <c r="G134" s="138" t="n">
        <v>0.7</v>
      </c>
      <c r="H134" s="138" t="n">
        <v>0</v>
      </c>
      <c r="I134" s="138" t="s">
        <v>4567</v>
      </c>
      <c r="J134" s="138" t="s">
        <v>4564</v>
      </c>
      <c r="K134" s="138"/>
    </row>
    <row r="135" customFormat="false" ht="15" hidden="false" customHeight="false" outlineLevel="0" collapsed="false">
      <c r="A135" s="138" t="s">
        <v>4682</v>
      </c>
      <c r="B135" s="138" t="s">
        <v>4682</v>
      </c>
      <c r="C135" s="138" t="n">
        <v>323.5</v>
      </c>
      <c r="D135" s="138" t="n">
        <v>323.5005</v>
      </c>
      <c r="E135" s="138" t="s">
        <v>60</v>
      </c>
      <c r="F135" s="138" t="n">
        <v>7.5</v>
      </c>
      <c r="G135" s="138" t="n">
        <v>5.7</v>
      </c>
      <c r="H135" s="138" t="n">
        <v>0</v>
      </c>
      <c r="I135" s="138" t="s">
        <v>4592</v>
      </c>
      <c r="J135" s="138" t="s">
        <v>4564</v>
      </c>
      <c r="K135" s="138"/>
    </row>
    <row r="136" customFormat="false" ht="15" hidden="false" customHeight="false" outlineLevel="0" collapsed="false">
      <c r="A136" s="138" t="s">
        <v>4683</v>
      </c>
      <c r="B136" s="138" t="s">
        <v>4684</v>
      </c>
      <c r="C136" s="138" t="n">
        <v>323.51</v>
      </c>
      <c r="D136" s="138" t="n">
        <v>323.56</v>
      </c>
      <c r="E136" s="138" t="s">
        <v>59</v>
      </c>
      <c r="F136" s="138" t="n">
        <v>1.6</v>
      </c>
      <c r="G136" s="138" t="n">
        <v>0.6</v>
      </c>
      <c r="H136" s="138" t="n">
        <v>0</v>
      </c>
      <c r="I136" s="138" t="s">
        <v>4567</v>
      </c>
      <c r="J136" s="138" t="s">
        <v>4564</v>
      </c>
      <c r="K136" s="138"/>
    </row>
    <row r="137" customFormat="false" ht="15" hidden="false" customHeight="false" outlineLevel="0" collapsed="false">
      <c r="A137" s="138" t="s">
        <v>4685</v>
      </c>
      <c r="B137" s="138" t="s">
        <v>4686</v>
      </c>
      <c r="C137" s="138" t="n">
        <v>323.61</v>
      </c>
      <c r="D137" s="138" t="n">
        <v>323.67</v>
      </c>
      <c r="E137" s="138" t="s">
        <v>59</v>
      </c>
      <c r="F137" s="138" t="n">
        <v>1.7</v>
      </c>
      <c r="G137" s="138" t="n">
        <v>0.7</v>
      </c>
      <c r="H137" s="138" t="n">
        <v>0</v>
      </c>
      <c r="I137" s="138" t="s">
        <v>4567</v>
      </c>
      <c r="J137" s="138" t="s">
        <v>4564</v>
      </c>
      <c r="K137" s="138"/>
    </row>
    <row r="138" customFormat="false" ht="15" hidden="false" customHeight="false" outlineLevel="0" collapsed="false">
      <c r="A138" s="138" t="s">
        <v>4687</v>
      </c>
      <c r="B138" s="138" t="s">
        <v>4688</v>
      </c>
      <c r="C138" s="138" t="n">
        <v>323.72</v>
      </c>
      <c r="D138" s="138" t="n">
        <v>323.78</v>
      </c>
      <c r="E138" s="138" t="s">
        <v>59</v>
      </c>
      <c r="F138" s="138" t="n">
        <v>1.7</v>
      </c>
      <c r="G138" s="138" t="n">
        <v>0.7</v>
      </c>
      <c r="H138" s="138" t="n">
        <v>0</v>
      </c>
      <c r="I138" s="138" t="s">
        <v>4567</v>
      </c>
      <c r="J138" s="138" t="s">
        <v>4564</v>
      </c>
      <c r="K138" s="138"/>
    </row>
    <row r="139" customFormat="false" ht="15" hidden="false" customHeight="false" outlineLevel="0" collapsed="false">
      <c r="A139" s="138" t="s">
        <v>4689</v>
      </c>
      <c r="B139" s="138" t="s">
        <v>4690</v>
      </c>
      <c r="C139" s="138" t="n">
        <v>323.825</v>
      </c>
      <c r="D139" s="138" t="n">
        <v>323.885</v>
      </c>
      <c r="E139" s="138" t="s">
        <v>59</v>
      </c>
      <c r="F139" s="138" t="n">
        <v>1.7</v>
      </c>
      <c r="G139" s="138" t="n">
        <v>0.7</v>
      </c>
      <c r="H139" s="138" t="n">
        <v>0</v>
      </c>
      <c r="I139" s="138" t="s">
        <v>4567</v>
      </c>
      <c r="J139" s="138" t="s">
        <v>4564</v>
      </c>
      <c r="K139" s="138"/>
    </row>
    <row r="140" customFormat="false" ht="15" hidden="false" customHeight="false" outlineLevel="0" collapsed="false">
      <c r="A140" s="138" t="s">
        <v>4691</v>
      </c>
      <c r="B140" s="138" t="s">
        <v>1980</v>
      </c>
      <c r="C140" s="138" t="n">
        <v>323.935</v>
      </c>
      <c r="D140" s="138" t="n">
        <v>324</v>
      </c>
      <c r="E140" s="138" t="s">
        <v>59</v>
      </c>
      <c r="F140" s="138" t="n">
        <v>1.7</v>
      </c>
      <c r="G140" s="138" t="n">
        <v>0.7</v>
      </c>
      <c r="H140" s="138" t="n">
        <v>0</v>
      </c>
      <c r="I140" s="138" t="s">
        <v>4567</v>
      </c>
      <c r="J140" s="138" t="s">
        <v>4564</v>
      </c>
      <c r="K140" s="138"/>
    </row>
    <row r="141" customFormat="false" ht="15" hidden="false" customHeight="false" outlineLevel="0" collapsed="false">
      <c r="A141" s="138" t="s">
        <v>1980</v>
      </c>
      <c r="B141" s="138" t="s">
        <v>1980</v>
      </c>
      <c r="C141" s="138" t="n">
        <v>324</v>
      </c>
      <c r="D141" s="138" t="n">
        <v>324.0005</v>
      </c>
      <c r="E141" s="138" t="s">
        <v>60</v>
      </c>
      <c r="F141" s="138" t="n">
        <v>7.5</v>
      </c>
      <c r="G141" s="138" t="n">
        <v>1.6</v>
      </c>
      <c r="H141" s="138" t="n">
        <v>0</v>
      </c>
      <c r="I141" s="138" t="s">
        <v>4592</v>
      </c>
      <c r="J141" s="138" t="s">
        <v>4564</v>
      </c>
      <c r="K141" s="138"/>
    </row>
    <row r="142" customFormat="false" ht="15" hidden="false" customHeight="false" outlineLevel="0" collapsed="false">
      <c r="A142" s="138" t="s">
        <v>1980</v>
      </c>
      <c r="B142" s="138" t="s">
        <v>1980</v>
      </c>
      <c r="C142" s="138" t="n">
        <v>324</v>
      </c>
      <c r="D142" s="138" t="n">
        <v>324.0005</v>
      </c>
      <c r="E142" s="138" t="s">
        <v>60</v>
      </c>
      <c r="F142" s="138" t="n">
        <v>7.5</v>
      </c>
      <c r="G142" s="138" t="n">
        <v>2.1</v>
      </c>
      <c r="H142" s="138" t="n">
        <v>0</v>
      </c>
      <c r="I142" s="138" t="s">
        <v>4592</v>
      </c>
      <c r="J142" s="138" t="s">
        <v>4564</v>
      </c>
      <c r="K142" s="138"/>
    </row>
    <row r="143" customFormat="false" ht="15" hidden="false" customHeight="false" outlineLevel="0" collapsed="false">
      <c r="A143" s="138" t="s">
        <v>4692</v>
      </c>
      <c r="B143" s="138" t="s">
        <v>4693</v>
      </c>
      <c r="C143" s="138" t="n">
        <v>324.043</v>
      </c>
      <c r="D143" s="138" t="n">
        <v>324.1</v>
      </c>
      <c r="E143" s="138" t="s">
        <v>59</v>
      </c>
      <c r="F143" s="138" t="n">
        <v>1.7</v>
      </c>
      <c r="G143" s="138" t="n">
        <v>0.7</v>
      </c>
      <c r="H143" s="138" t="n">
        <v>0</v>
      </c>
      <c r="I143" s="138" t="s">
        <v>4567</v>
      </c>
      <c r="J143" s="138" t="s">
        <v>4564</v>
      </c>
      <c r="K143" s="138"/>
    </row>
    <row r="144" customFormat="false" ht="15" hidden="false" customHeight="false" outlineLevel="0" collapsed="false">
      <c r="A144" s="138" t="s">
        <v>4694</v>
      </c>
      <c r="B144" s="138" t="s">
        <v>4695</v>
      </c>
      <c r="C144" s="138" t="n">
        <v>324.1525</v>
      </c>
      <c r="D144" s="138" t="n">
        <v>324.21</v>
      </c>
      <c r="E144" s="138" t="s">
        <v>59</v>
      </c>
      <c r="F144" s="138" t="n">
        <v>1.7</v>
      </c>
      <c r="G144" s="138" t="n">
        <v>0.7</v>
      </c>
      <c r="H144" s="138" t="n">
        <v>0</v>
      </c>
      <c r="I144" s="138" t="s">
        <v>4567</v>
      </c>
      <c r="J144" s="138" t="s">
        <v>4564</v>
      </c>
      <c r="K144" s="138"/>
    </row>
    <row r="145" customFormat="false" ht="15" hidden="false" customHeight="false" outlineLevel="0" collapsed="false">
      <c r="A145" s="138" t="s">
        <v>4696</v>
      </c>
      <c r="B145" s="138" t="s">
        <v>4697</v>
      </c>
      <c r="C145" s="138" t="n">
        <v>324.251</v>
      </c>
      <c r="D145" s="138" t="n">
        <v>324.31</v>
      </c>
      <c r="E145" s="138" t="s">
        <v>59</v>
      </c>
      <c r="F145" s="138" t="n">
        <v>1.7</v>
      </c>
      <c r="G145" s="138" t="n">
        <v>0.7</v>
      </c>
      <c r="H145" s="138" t="n">
        <v>0</v>
      </c>
      <c r="I145" s="138" t="s">
        <v>4567</v>
      </c>
      <c r="J145" s="138" t="s">
        <v>4564</v>
      </c>
      <c r="K145" s="138"/>
    </row>
    <row r="146" customFormat="false" ht="15" hidden="false" customHeight="false" outlineLevel="0" collapsed="false">
      <c r="A146" s="138" t="s">
        <v>4698</v>
      </c>
      <c r="B146" s="138" t="s">
        <v>4699</v>
      </c>
      <c r="C146" s="138" t="n">
        <v>324.283</v>
      </c>
      <c r="D146" s="138" t="n">
        <v>325.245</v>
      </c>
      <c r="E146" s="138" t="s">
        <v>4521</v>
      </c>
      <c r="F146" s="138" t="n">
        <v>19.2</v>
      </c>
      <c r="G146" s="138" t="n">
        <v>1.9</v>
      </c>
      <c r="H146" s="138" t="n">
        <v>2</v>
      </c>
      <c r="I146" s="138" t="s">
        <v>4700</v>
      </c>
      <c r="J146" s="138" t="s">
        <v>4511</v>
      </c>
      <c r="K146" s="138" t="s">
        <v>4512</v>
      </c>
    </row>
    <row r="147" customFormat="false" ht="15" hidden="false" customHeight="false" outlineLevel="0" collapsed="false">
      <c r="A147" s="138" t="s">
        <v>4701</v>
      </c>
      <c r="B147" s="138" t="s">
        <v>4702</v>
      </c>
      <c r="C147" s="138" t="n">
        <v>324.3645</v>
      </c>
      <c r="D147" s="138" t="n">
        <v>324.42</v>
      </c>
      <c r="E147" s="138" t="s">
        <v>59</v>
      </c>
      <c r="F147" s="138" t="n">
        <v>1.6</v>
      </c>
      <c r="G147" s="138" t="n">
        <v>0.7</v>
      </c>
      <c r="H147" s="138" t="n">
        <v>0</v>
      </c>
      <c r="I147" s="138" t="s">
        <v>4567</v>
      </c>
      <c r="J147" s="138" t="s">
        <v>4564</v>
      </c>
      <c r="K147" s="138"/>
    </row>
    <row r="148" customFormat="false" ht="15" hidden="false" customHeight="false" outlineLevel="0" collapsed="false">
      <c r="A148" s="138" t="s">
        <v>4703</v>
      </c>
      <c r="B148" s="138" t="s">
        <v>4704</v>
      </c>
      <c r="C148" s="138" t="n">
        <v>324.4705</v>
      </c>
      <c r="D148" s="138" t="n">
        <v>324.53</v>
      </c>
      <c r="E148" s="138" t="s">
        <v>59</v>
      </c>
      <c r="F148" s="138" t="n">
        <v>1.7</v>
      </c>
      <c r="G148" s="138" t="n">
        <v>0.7</v>
      </c>
      <c r="H148" s="138" t="n">
        <v>0</v>
      </c>
      <c r="I148" s="138" t="s">
        <v>4567</v>
      </c>
      <c r="J148" s="138" t="s">
        <v>4564</v>
      </c>
      <c r="K148" s="138"/>
    </row>
    <row r="149" customFormat="false" ht="15" hidden="false" customHeight="false" outlineLevel="0" collapsed="false">
      <c r="A149" s="138" t="s">
        <v>4705</v>
      </c>
      <c r="B149" s="138" t="s">
        <v>4706</v>
      </c>
      <c r="C149" s="138" t="n">
        <v>324.58</v>
      </c>
      <c r="D149" s="138" t="n">
        <v>324.635</v>
      </c>
      <c r="E149" s="138" t="s">
        <v>59</v>
      </c>
      <c r="F149" s="138" t="n">
        <v>1.7</v>
      </c>
      <c r="G149" s="138" t="n">
        <v>0.7</v>
      </c>
      <c r="H149" s="138" t="n">
        <v>0</v>
      </c>
      <c r="I149" s="138" t="s">
        <v>4567</v>
      </c>
      <c r="J149" s="138" t="s">
        <v>4564</v>
      </c>
      <c r="K149" s="138"/>
    </row>
    <row r="150" customFormat="false" ht="15" hidden="false" customHeight="false" outlineLevel="0" collapsed="false">
      <c r="A150" s="138" t="s">
        <v>4707</v>
      </c>
      <c r="B150" s="138" t="s">
        <v>4708</v>
      </c>
      <c r="C150" s="138" t="n">
        <v>324.685</v>
      </c>
      <c r="D150" s="138" t="n">
        <v>324.74</v>
      </c>
      <c r="E150" s="138" t="s">
        <v>59</v>
      </c>
      <c r="F150" s="138" t="n">
        <v>1.7</v>
      </c>
      <c r="G150" s="138" t="n">
        <v>0.7</v>
      </c>
      <c r="H150" s="138" t="n">
        <v>0</v>
      </c>
      <c r="I150" s="138" t="s">
        <v>4567</v>
      </c>
      <c r="J150" s="138" t="s">
        <v>4564</v>
      </c>
      <c r="K150" s="138"/>
    </row>
    <row r="151" customFormat="false" ht="15" hidden="false" customHeight="false" outlineLevel="0" collapsed="false">
      <c r="A151" s="138" t="s">
        <v>4709</v>
      </c>
      <c r="B151" s="138" t="s">
        <v>4710</v>
      </c>
      <c r="C151" s="138" t="n">
        <v>324.795</v>
      </c>
      <c r="D151" s="138" t="n">
        <v>324.85</v>
      </c>
      <c r="E151" s="138" t="s">
        <v>59</v>
      </c>
      <c r="F151" s="138" t="n">
        <v>1.7</v>
      </c>
      <c r="G151" s="138" t="n">
        <v>0.7</v>
      </c>
      <c r="H151" s="138" t="n">
        <v>0</v>
      </c>
      <c r="I151" s="138" t="s">
        <v>4567</v>
      </c>
      <c r="J151" s="138" t="s">
        <v>4564</v>
      </c>
      <c r="K151" s="138"/>
    </row>
    <row r="152" customFormat="false" ht="15" hidden="false" customHeight="false" outlineLevel="0" collapsed="false">
      <c r="A152" s="138" t="s">
        <v>4711</v>
      </c>
      <c r="B152" s="138" t="s">
        <v>4712</v>
      </c>
      <c r="C152" s="138" t="n">
        <v>324.875</v>
      </c>
      <c r="D152" s="138" t="n">
        <v>325.7</v>
      </c>
      <c r="E152" s="138" t="s">
        <v>59</v>
      </c>
      <c r="F152" s="138" t="n">
        <v>21.8</v>
      </c>
      <c r="G152" s="138" t="n">
        <v>4.4</v>
      </c>
      <c r="H152" s="138" t="n">
        <v>3</v>
      </c>
      <c r="I152" s="138" t="s">
        <v>4514</v>
      </c>
      <c r="J152" s="138" t="s">
        <v>4511</v>
      </c>
      <c r="K152" s="138" t="s">
        <v>4515</v>
      </c>
    </row>
    <row r="153" customFormat="false" ht="15" hidden="false" customHeight="false" outlineLevel="0" collapsed="false">
      <c r="A153" s="138" t="s">
        <v>4713</v>
      </c>
      <c r="B153" s="138" t="s">
        <v>4714</v>
      </c>
      <c r="C153" s="138" t="n">
        <v>324.905</v>
      </c>
      <c r="D153" s="138" t="n">
        <v>324.965</v>
      </c>
      <c r="E153" s="138" t="s">
        <v>59</v>
      </c>
      <c r="F153" s="138" t="n">
        <v>1.7</v>
      </c>
      <c r="G153" s="138" t="n">
        <v>0.7</v>
      </c>
      <c r="H153" s="138" t="n">
        <v>0</v>
      </c>
      <c r="I153" s="138" t="s">
        <v>4567</v>
      </c>
      <c r="J153" s="138" t="s">
        <v>4564</v>
      </c>
      <c r="K153" s="138"/>
    </row>
    <row r="154" customFormat="false" ht="15" hidden="false" customHeight="false" outlineLevel="0" collapsed="false">
      <c r="A154" s="138" t="s">
        <v>4715</v>
      </c>
      <c r="B154" s="138" t="s">
        <v>4716</v>
      </c>
      <c r="C154" s="138" t="n">
        <v>325.005</v>
      </c>
      <c r="D154" s="138" t="n">
        <v>325.065</v>
      </c>
      <c r="E154" s="138" t="s">
        <v>59</v>
      </c>
      <c r="F154" s="138" t="n">
        <v>1.7</v>
      </c>
      <c r="G154" s="138" t="n">
        <v>0.7</v>
      </c>
      <c r="H154" s="138" t="n">
        <v>0</v>
      </c>
      <c r="I154" s="138" t="s">
        <v>4567</v>
      </c>
      <c r="J154" s="138" t="s">
        <v>4564</v>
      </c>
      <c r="K154" s="138"/>
    </row>
    <row r="155" customFormat="false" ht="15" hidden="false" customHeight="false" outlineLevel="0" collapsed="false">
      <c r="A155" s="138" t="s">
        <v>4717</v>
      </c>
      <c r="B155" s="138" t="s">
        <v>4718</v>
      </c>
      <c r="C155" s="138" t="n">
        <v>325.0295</v>
      </c>
      <c r="D155" s="138" t="n">
        <v>325.64</v>
      </c>
      <c r="E155" s="138" t="s">
        <v>59</v>
      </c>
      <c r="F155" s="138" t="n">
        <v>18.3</v>
      </c>
      <c r="G155" s="138" t="n">
        <v>3.7</v>
      </c>
      <c r="H155" s="138" t="n">
        <v>3</v>
      </c>
      <c r="I155" s="138" t="s">
        <v>4514</v>
      </c>
      <c r="J155" s="138" t="s">
        <v>4511</v>
      </c>
      <c r="K155" s="138" t="s">
        <v>4515</v>
      </c>
    </row>
    <row r="156" customFormat="false" ht="15" hidden="false" customHeight="false" outlineLevel="0" collapsed="false">
      <c r="A156" s="138" t="s">
        <v>4719</v>
      </c>
      <c r="B156" s="138" t="s">
        <v>4719</v>
      </c>
      <c r="C156" s="138" t="n">
        <v>325.105</v>
      </c>
      <c r="D156" s="138" t="n">
        <v>325.1055</v>
      </c>
      <c r="E156" s="138" t="s">
        <v>59</v>
      </c>
      <c r="F156" s="138" t="n">
        <v>2.4</v>
      </c>
      <c r="G156" s="138" t="n">
        <v>1.8</v>
      </c>
      <c r="H156" s="138" t="n">
        <v>0</v>
      </c>
      <c r="I156" s="138" t="s">
        <v>4592</v>
      </c>
      <c r="J156" s="138" t="s">
        <v>4564</v>
      </c>
      <c r="K156" s="138"/>
    </row>
    <row r="157" customFormat="false" ht="15" hidden="false" customHeight="false" outlineLevel="0" collapsed="false">
      <c r="A157" s="138" t="s">
        <v>4720</v>
      </c>
      <c r="B157" s="138" t="s">
        <v>4721</v>
      </c>
      <c r="C157" s="138" t="n">
        <v>325.1095</v>
      </c>
      <c r="D157" s="138" t="n">
        <v>325.17</v>
      </c>
      <c r="E157" s="138" t="s">
        <v>59</v>
      </c>
      <c r="F157" s="138" t="n">
        <v>1.7</v>
      </c>
      <c r="G157" s="138" t="n">
        <v>0.7</v>
      </c>
      <c r="H157" s="138" t="n">
        <v>0</v>
      </c>
      <c r="I157" s="138" t="s">
        <v>4567</v>
      </c>
      <c r="J157" s="138" t="s">
        <v>4564</v>
      </c>
      <c r="K157" s="138"/>
    </row>
    <row r="158" customFormat="false" ht="15" hidden="false" customHeight="false" outlineLevel="0" collapsed="false">
      <c r="A158" s="138" t="s">
        <v>4722</v>
      </c>
      <c r="B158" s="138" t="s">
        <v>4723</v>
      </c>
      <c r="C158" s="138" t="n">
        <v>325.219</v>
      </c>
      <c r="D158" s="138" t="n">
        <v>325.27</v>
      </c>
      <c r="E158" s="138" t="s">
        <v>59</v>
      </c>
      <c r="F158" s="138" t="n">
        <v>1.5</v>
      </c>
      <c r="G158" s="138" t="n">
        <v>0.6</v>
      </c>
      <c r="H158" s="138" t="n">
        <v>0</v>
      </c>
      <c r="I158" s="138" t="s">
        <v>4567</v>
      </c>
      <c r="J158" s="138" t="s">
        <v>4564</v>
      </c>
      <c r="K158" s="138"/>
    </row>
    <row r="159" customFormat="false" ht="15" hidden="false" customHeight="false" outlineLevel="0" collapsed="false">
      <c r="A159" s="138" t="s">
        <v>4724</v>
      </c>
      <c r="B159" s="138" t="s">
        <v>4725</v>
      </c>
      <c r="C159" s="138" t="n">
        <v>325.244</v>
      </c>
      <c r="D159" s="138" t="n">
        <v>325.25</v>
      </c>
      <c r="E159" s="138" t="s">
        <v>59</v>
      </c>
      <c r="F159" s="138" t="n">
        <v>3.4</v>
      </c>
      <c r="G159" s="138" t="n">
        <v>1.4</v>
      </c>
      <c r="H159" s="138" t="n">
        <v>0</v>
      </c>
      <c r="I159" s="138" t="s">
        <v>4726</v>
      </c>
      <c r="J159" s="138" t="s">
        <v>4564</v>
      </c>
      <c r="K159" s="138"/>
    </row>
    <row r="160" customFormat="false" ht="15" hidden="false" customHeight="false" outlineLevel="0" collapsed="false">
      <c r="A160" s="138" t="s">
        <v>4727</v>
      </c>
      <c r="B160" s="138" t="s">
        <v>4728</v>
      </c>
      <c r="C160" s="138" t="n">
        <v>325.4325</v>
      </c>
      <c r="D160" s="138" t="n">
        <v>325.435</v>
      </c>
      <c r="E160" s="138" t="s">
        <v>59</v>
      </c>
      <c r="F160" s="138" t="n">
        <v>0.7</v>
      </c>
      <c r="G160" s="138" t="n">
        <v>0.3</v>
      </c>
      <c r="H160" s="138" t="n">
        <v>0</v>
      </c>
      <c r="I160" s="138" t="s">
        <v>4567</v>
      </c>
      <c r="J160" s="138" t="s">
        <v>4564</v>
      </c>
      <c r="K160" s="138"/>
    </row>
    <row r="161" customFormat="false" ht="15" hidden="false" customHeight="false" outlineLevel="0" collapsed="false">
      <c r="A161" s="138" t="s">
        <v>4729</v>
      </c>
      <c r="B161" s="138" t="s">
        <v>4730</v>
      </c>
      <c r="C161" s="138" t="n">
        <v>325.471</v>
      </c>
      <c r="D161" s="138" t="n">
        <v>325.585</v>
      </c>
      <c r="E161" s="138" t="s">
        <v>59</v>
      </c>
      <c r="F161" s="138" t="n">
        <v>6.8</v>
      </c>
      <c r="G161" s="138" t="n">
        <v>0.7</v>
      </c>
      <c r="H161" s="138" t="n">
        <v>1</v>
      </c>
      <c r="I161" s="138" t="s">
        <v>4510</v>
      </c>
      <c r="J161" s="138" t="s">
        <v>4511</v>
      </c>
      <c r="K161" s="138" t="s">
        <v>4512</v>
      </c>
    </row>
    <row r="162" customFormat="false" ht="15" hidden="false" customHeight="false" outlineLevel="0" collapsed="false">
      <c r="A162" s="138" t="s">
        <v>4729</v>
      </c>
      <c r="B162" s="138" t="s">
        <v>4730</v>
      </c>
      <c r="C162" s="138" t="n">
        <v>325.471</v>
      </c>
      <c r="D162" s="138" t="n">
        <v>325.585</v>
      </c>
      <c r="E162" s="138" t="s">
        <v>59</v>
      </c>
      <c r="F162" s="138" t="n">
        <v>29.6</v>
      </c>
      <c r="G162" s="138" t="n">
        <v>3</v>
      </c>
      <c r="H162" s="138" t="n">
        <v>3</v>
      </c>
      <c r="I162" s="138" t="s">
        <v>4510</v>
      </c>
      <c r="J162" s="138" t="s">
        <v>4511</v>
      </c>
      <c r="K162" s="138" t="s">
        <v>4512</v>
      </c>
    </row>
    <row r="163" customFormat="false" ht="15" hidden="false" customHeight="false" outlineLevel="0" collapsed="false">
      <c r="A163" s="138" t="s">
        <v>4731</v>
      </c>
      <c r="B163" s="138" t="s">
        <v>4732</v>
      </c>
      <c r="C163" s="138" t="n">
        <v>325.496</v>
      </c>
      <c r="D163" s="138" t="n">
        <v>325.505</v>
      </c>
      <c r="E163" s="138" t="s">
        <v>59</v>
      </c>
      <c r="F163" s="138" t="n">
        <v>0.9</v>
      </c>
      <c r="G163" s="138" t="n">
        <v>0.4</v>
      </c>
      <c r="H163" s="138" t="n">
        <v>0</v>
      </c>
      <c r="I163" s="138" t="s">
        <v>4567</v>
      </c>
      <c r="J163" s="138" t="s">
        <v>4564</v>
      </c>
      <c r="K163" s="138"/>
    </row>
    <row r="164" customFormat="false" ht="15" hidden="false" customHeight="false" outlineLevel="0" collapsed="false">
      <c r="A164" s="138" t="s">
        <v>4733</v>
      </c>
      <c r="B164" s="138" t="s">
        <v>4734</v>
      </c>
      <c r="C164" s="138" t="n">
        <v>325.56</v>
      </c>
      <c r="D164" s="138" t="n">
        <v>325.58</v>
      </c>
      <c r="E164" s="138" t="s">
        <v>59</v>
      </c>
      <c r="F164" s="138" t="n">
        <v>1.3</v>
      </c>
      <c r="G164" s="138" t="n">
        <v>0.5</v>
      </c>
      <c r="H164" s="138" t="n">
        <v>0</v>
      </c>
      <c r="I164" s="138" t="s">
        <v>4567</v>
      </c>
      <c r="J164" s="138" t="s">
        <v>4564</v>
      </c>
      <c r="K164" s="138"/>
    </row>
    <row r="165" customFormat="false" ht="15" hidden="false" customHeight="false" outlineLevel="0" collapsed="false">
      <c r="A165" s="138" t="s">
        <v>4730</v>
      </c>
      <c r="B165" s="138" t="s">
        <v>4735</v>
      </c>
      <c r="C165" s="138" t="n">
        <v>325.585</v>
      </c>
      <c r="D165" s="138" t="n">
        <v>325.86</v>
      </c>
      <c r="E165" s="138" t="s">
        <v>59</v>
      </c>
      <c r="F165" s="138" t="n">
        <v>6.2</v>
      </c>
      <c r="G165" s="138" t="n">
        <v>2.5</v>
      </c>
      <c r="H165" s="138" t="n">
        <v>0</v>
      </c>
      <c r="I165" s="138" t="s">
        <v>4726</v>
      </c>
      <c r="J165" s="138" t="s">
        <v>4564</v>
      </c>
      <c r="K165" s="138"/>
    </row>
    <row r="166" customFormat="false" ht="15" hidden="false" customHeight="false" outlineLevel="0" collapsed="false">
      <c r="A166" s="138" t="s">
        <v>4736</v>
      </c>
      <c r="B166" s="138" t="s">
        <v>4718</v>
      </c>
      <c r="C166" s="138" t="n">
        <v>325.62</v>
      </c>
      <c r="D166" s="138" t="n">
        <v>325.64</v>
      </c>
      <c r="E166" s="138" t="s">
        <v>59</v>
      </c>
      <c r="F166" s="138" t="n">
        <v>2.1</v>
      </c>
      <c r="G166" s="138" t="n">
        <v>0.8</v>
      </c>
      <c r="H166" s="138" t="n">
        <v>0</v>
      </c>
      <c r="I166" s="138" t="s">
        <v>4567</v>
      </c>
      <c r="J166" s="138" t="s">
        <v>4564</v>
      </c>
      <c r="K166" s="138"/>
    </row>
    <row r="167" customFormat="false" ht="15" hidden="false" customHeight="false" outlineLevel="0" collapsed="false">
      <c r="A167" s="138" t="s">
        <v>4718</v>
      </c>
      <c r="B167" s="138" t="s">
        <v>4737</v>
      </c>
      <c r="C167" s="138" t="n">
        <v>325.64</v>
      </c>
      <c r="D167" s="138" t="n">
        <v>325.845</v>
      </c>
      <c r="E167" s="138" t="s">
        <v>59</v>
      </c>
      <c r="F167" s="138" t="n">
        <v>24.2</v>
      </c>
      <c r="G167" s="138" t="n">
        <v>2.4</v>
      </c>
      <c r="H167" s="138" t="n">
        <v>3</v>
      </c>
      <c r="I167" s="138" t="s">
        <v>4510</v>
      </c>
      <c r="J167" s="138" t="s">
        <v>4511</v>
      </c>
      <c r="K167" s="138" t="s">
        <v>4512</v>
      </c>
    </row>
    <row r="168" customFormat="false" ht="15" hidden="false" customHeight="false" outlineLevel="0" collapsed="false">
      <c r="A168" s="138" t="s">
        <v>4738</v>
      </c>
      <c r="B168" s="138" t="s">
        <v>4738</v>
      </c>
      <c r="C168" s="138" t="n">
        <v>325.655</v>
      </c>
      <c r="D168" s="138" t="n">
        <v>325.6555</v>
      </c>
      <c r="E168" s="138" t="s">
        <v>59</v>
      </c>
      <c r="F168" s="138" t="n">
        <v>2.4</v>
      </c>
      <c r="G168" s="138" t="n">
        <v>1.8</v>
      </c>
      <c r="H168" s="138" t="n">
        <v>0</v>
      </c>
      <c r="I168" s="138" t="s">
        <v>4592</v>
      </c>
      <c r="J168" s="138" t="s">
        <v>4564</v>
      </c>
      <c r="K168" s="138"/>
    </row>
    <row r="169" customFormat="false" ht="15" hidden="false" customHeight="false" outlineLevel="0" collapsed="false">
      <c r="A169" s="138" t="s">
        <v>4712</v>
      </c>
      <c r="B169" s="138" t="s">
        <v>4737</v>
      </c>
      <c r="C169" s="138" t="n">
        <v>325.7</v>
      </c>
      <c r="D169" s="138" t="n">
        <v>325.845</v>
      </c>
      <c r="E169" s="138" t="s">
        <v>59</v>
      </c>
      <c r="F169" s="138" t="n">
        <v>27.7</v>
      </c>
      <c r="G169" s="138" t="n">
        <v>2.8</v>
      </c>
      <c r="H169" s="138" t="n">
        <v>3</v>
      </c>
      <c r="I169" s="138" t="s">
        <v>4510</v>
      </c>
      <c r="J169" s="138" t="s">
        <v>4511</v>
      </c>
      <c r="K169" s="138" t="s">
        <v>4512</v>
      </c>
    </row>
    <row r="170" customFormat="false" ht="15" hidden="false" customHeight="false" outlineLevel="0" collapsed="false">
      <c r="A170" s="138" t="s">
        <v>4739</v>
      </c>
      <c r="B170" s="138" t="s">
        <v>4740</v>
      </c>
      <c r="C170" s="138" t="n">
        <v>326.1675</v>
      </c>
      <c r="D170" s="138" t="n">
        <v>326.285</v>
      </c>
      <c r="E170" s="138" t="s">
        <v>59</v>
      </c>
      <c r="F170" s="138" t="n">
        <v>31.3</v>
      </c>
      <c r="G170" s="138" t="n">
        <v>3.1</v>
      </c>
      <c r="H170" s="138" t="n">
        <v>3</v>
      </c>
      <c r="I170" s="138" t="s">
        <v>4510</v>
      </c>
      <c r="J170" s="138" t="s">
        <v>4511</v>
      </c>
      <c r="K170" s="138" t="s">
        <v>4512</v>
      </c>
    </row>
    <row r="171" customFormat="false" ht="15" hidden="false" customHeight="false" outlineLevel="0" collapsed="false">
      <c r="A171" s="138" t="s">
        <v>4739</v>
      </c>
      <c r="B171" s="138" t="s">
        <v>4740</v>
      </c>
      <c r="C171" s="138" t="n">
        <v>326.1675</v>
      </c>
      <c r="D171" s="138" t="n">
        <v>326.285</v>
      </c>
      <c r="E171" s="138" t="s">
        <v>59</v>
      </c>
      <c r="F171" s="138" t="n">
        <v>7.1</v>
      </c>
      <c r="G171" s="138" t="n">
        <v>0.7</v>
      </c>
      <c r="H171" s="138" t="n">
        <v>1</v>
      </c>
      <c r="I171" s="138" t="s">
        <v>4510</v>
      </c>
      <c r="J171" s="138" t="s">
        <v>4511</v>
      </c>
      <c r="K171" s="138" t="s">
        <v>4512</v>
      </c>
    </row>
    <row r="172" customFormat="false" ht="15" hidden="false" customHeight="false" outlineLevel="0" collapsed="false">
      <c r="A172" s="138" t="s">
        <v>4741</v>
      </c>
      <c r="B172" s="138" t="s">
        <v>4742</v>
      </c>
      <c r="C172" s="138" t="n">
        <v>326.207</v>
      </c>
      <c r="D172" s="138" t="n">
        <v>332.795</v>
      </c>
      <c r="E172" s="138" t="s">
        <v>4521</v>
      </c>
      <c r="F172" s="138" t="n">
        <v>131.7</v>
      </c>
      <c r="G172" s="138" t="n">
        <v>6.6</v>
      </c>
      <c r="H172" s="138" t="n">
        <v>33</v>
      </c>
      <c r="I172" s="138" t="s">
        <v>4526</v>
      </c>
      <c r="J172" s="138" t="s">
        <v>4511</v>
      </c>
      <c r="K172" s="138" t="s">
        <v>4512</v>
      </c>
    </row>
    <row r="173" customFormat="false" ht="15" hidden="false" customHeight="false" outlineLevel="0" collapsed="false">
      <c r="A173" s="138" t="s">
        <v>4743</v>
      </c>
      <c r="B173" s="138" t="s">
        <v>4744</v>
      </c>
      <c r="C173" s="138" t="n">
        <v>326.2625</v>
      </c>
      <c r="D173" s="138" t="n">
        <v>326.275</v>
      </c>
      <c r="E173" s="138" t="s">
        <v>59</v>
      </c>
      <c r="F173" s="138" t="n">
        <v>0.6</v>
      </c>
      <c r="G173" s="138" t="n">
        <v>0.2</v>
      </c>
      <c r="H173" s="138" t="n">
        <v>0</v>
      </c>
      <c r="I173" s="138" t="s">
        <v>4567</v>
      </c>
      <c r="J173" s="138" t="s">
        <v>4564</v>
      </c>
      <c r="K173" s="138"/>
    </row>
    <row r="174" customFormat="false" ht="15" hidden="false" customHeight="false" outlineLevel="0" collapsed="false">
      <c r="A174" s="138" t="s">
        <v>4745</v>
      </c>
      <c r="B174" s="138" t="s">
        <v>4746</v>
      </c>
      <c r="C174" s="138" t="n">
        <v>326.35</v>
      </c>
      <c r="D174" s="138" t="n">
        <v>326.375</v>
      </c>
      <c r="E174" s="138" t="s">
        <v>59</v>
      </c>
      <c r="F174" s="138" t="n">
        <v>1.1</v>
      </c>
      <c r="G174" s="138" t="n">
        <v>0.4</v>
      </c>
      <c r="H174" s="138" t="n">
        <v>0</v>
      </c>
      <c r="I174" s="138" t="s">
        <v>4567</v>
      </c>
      <c r="J174" s="138" t="s">
        <v>4564</v>
      </c>
      <c r="K174" s="138"/>
    </row>
    <row r="175" customFormat="false" ht="15" hidden="false" customHeight="false" outlineLevel="0" collapsed="false">
      <c r="A175" s="138" t="s">
        <v>4747</v>
      </c>
      <c r="B175" s="138" t="s">
        <v>4748</v>
      </c>
      <c r="C175" s="138" t="n">
        <v>326.434</v>
      </c>
      <c r="D175" s="138" t="n">
        <v>326.47</v>
      </c>
      <c r="E175" s="138" t="s">
        <v>59</v>
      </c>
      <c r="F175" s="138" t="n">
        <v>1.4</v>
      </c>
      <c r="G175" s="138" t="n">
        <v>0.6</v>
      </c>
      <c r="H175" s="138" t="n">
        <v>0</v>
      </c>
      <c r="I175" s="138" t="s">
        <v>4567</v>
      </c>
      <c r="J175" s="138" t="s">
        <v>4564</v>
      </c>
      <c r="K175" s="138"/>
    </row>
    <row r="176" customFormat="false" ht="15" hidden="false" customHeight="false" outlineLevel="0" collapsed="false">
      <c r="A176" s="138" t="s">
        <v>4749</v>
      </c>
      <c r="B176" s="138" t="s">
        <v>4750</v>
      </c>
      <c r="C176" s="138" t="n">
        <v>326.52</v>
      </c>
      <c r="D176" s="138" t="n">
        <v>326.55</v>
      </c>
      <c r="E176" s="138" t="s">
        <v>59</v>
      </c>
      <c r="F176" s="138" t="n">
        <v>1.4</v>
      </c>
      <c r="G176" s="138" t="n">
        <v>0.5</v>
      </c>
      <c r="H176" s="138" t="n">
        <v>0</v>
      </c>
      <c r="I176" s="138" t="s">
        <v>4567</v>
      </c>
      <c r="J176" s="138" t="s">
        <v>4564</v>
      </c>
      <c r="K176" s="138"/>
    </row>
    <row r="177" customFormat="false" ht="15" hidden="false" customHeight="false" outlineLevel="0" collapsed="false">
      <c r="A177" s="138" t="s">
        <v>4751</v>
      </c>
      <c r="B177" s="138" t="s">
        <v>4752</v>
      </c>
      <c r="C177" s="138" t="n">
        <v>326.605</v>
      </c>
      <c r="D177" s="138" t="n">
        <v>326.645</v>
      </c>
      <c r="E177" s="138" t="s">
        <v>59</v>
      </c>
      <c r="F177" s="138" t="n">
        <v>1.4</v>
      </c>
      <c r="G177" s="138" t="n">
        <v>0.6</v>
      </c>
      <c r="H177" s="138" t="n">
        <v>0</v>
      </c>
      <c r="I177" s="138" t="s">
        <v>4567</v>
      </c>
      <c r="J177" s="138" t="s">
        <v>4564</v>
      </c>
      <c r="K177" s="138"/>
    </row>
    <row r="178" customFormat="false" ht="15" hidden="false" customHeight="false" outlineLevel="0" collapsed="false">
      <c r="A178" s="138" t="s">
        <v>4753</v>
      </c>
      <c r="B178" s="138" t="s">
        <v>4754</v>
      </c>
      <c r="C178" s="138" t="n">
        <v>326.69</v>
      </c>
      <c r="D178" s="138" t="n">
        <v>326.72</v>
      </c>
      <c r="E178" s="138" t="s">
        <v>59</v>
      </c>
      <c r="F178" s="138" t="n">
        <v>1.4</v>
      </c>
      <c r="G178" s="138" t="n">
        <v>0.6</v>
      </c>
      <c r="H178" s="138" t="n">
        <v>0</v>
      </c>
      <c r="I178" s="138" t="s">
        <v>4567</v>
      </c>
      <c r="J178" s="138" t="s">
        <v>4564</v>
      </c>
      <c r="K178" s="138"/>
    </row>
    <row r="179" customFormat="false" ht="15" hidden="false" customHeight="false" outlineLevel="0" collapsed="false">
      <c r="A179" s="138" t="s">
        <v>4755</v>
      </c>
      <c r="B179" s="138" t="s">
        <v>4756</v>
      </c>
      <c r="C179" s="138" t="n">
        <v>326.78</v>
      </c>
      <c r="D179" s="138" t="n">
        <v>326.81</v>
      </c>
      <c r="E179" s="138" t="s">
        <v>59</v>
      </c>
      <c r="F179" s="138" t="n">
        <v>1.3</v>
      </c>
      <c r="G179" s="138" t="n">
        <v>0.5</v>
      </c>
      <c r="H179" s="138" t="n">
        <v>0</v>
      </c>
      <c r="I179" s="138" t="s">
        <v>4567</v>
      </c>
      <c r="J179" s="138" t="s">
        <v>4564</v>
      </c>
      <c r="K179" s="138"/>
    </row>
    <row r="180" customFormat="false" ht="15" hidden="false" customHeight="false" outlineLevel="0" collapsed="false">
      <c r="A180" s="138" t="s">
        <v>4757</v>
      </c>
      <c r="B180" s="138" t="s">
        <v>4758</v>
      </c>
      <c r="C180" s="138" t="n">
        <v>326.865</v>
      </c>
      <c r="D180" s="138" t="n">
        <v>326.9</v>
      </c>
      <c r="E180" s="138" t="s">
        <v>59</v>
      </c>
      <c r="F180" s="138" t="n">
        <v>1.4</v>
      </c>
      <c r="G180" s="138" t="n">
        <v>0.6</v>
      </c>
      <c r="H180" s="138" t="n">
        <v>0</v>
      </c>
      <c r="I180" s="138" t="s">
        <v>4567</v>
      </c>
      <c r="J180" s="138" t="s">
        <v>4564</v>
      </c>
      <c r="K180" s="138"/>
    </row>
    <row r="181" customFormat="false" ht="15" hidden="false" customHeight="false" outlineLevel="0" collapsed="false">
      <c r="A181" s="138" t="s">
        <v>4759</v>
      </c>
      <c r="B181" s="138" t="s">
        <v>1986</v>
      </c>
      <c r="C181" s="138" t="n">
        <v>326.95</v>
      </c>
      <c r="D181" s="138" t="n">
        <v>327</v>
      </c>
      <c r="E181" s="138" t="s">
        <v>59</v>
      </c>
      <c r="F181" s="138" t="n">
        <v>1.4</v>
      </c>
      <c r="G181" s="138" t="n">
        <v>0.6</v>
      </c>
      <c r="H181" s="138" t="n">
        <v>0</v>
      </c>
      <c r="I181" s="138" t="s">
        <v>4567</v>
      </c>
      <c r="J181" s="138" t="s">
        <v>4564</v>
      </c>
      <c r="K181" s="138"/>
    </row>
    <row r="182" customFormat="false" ht="15" hidden="false" customHeight="false" outlineLevel="0" collapsed="false">
      <c r="A182" s="138" t="s">
        <v>4760</v>
      </c>
      <c r="B182" s="138" t="s">
        <v>4656</v>
      </c>
      <c r="C182" s="138" t="n">
        <v>326.96</v>
      </c>
      <c r="D182" s="138" t="n">
        <v>333.165</v>
      </c>
      <c r="E182" s="138" t="s">
        <v>59</v>
      </c>
      <c r="F182" s="138" t="n">
        <v>126</v>
      </c>
      <c r="G182" s="138" t="n">
        <v>6.3</v>
      </c>
      <c r="H182" s="138" t="n">
        <v>32</v>
      </c>
      <c r="I182" s="138" t="s">
        <v>4526</v>
      </c>
      <c r="J182" s="138" t="s">
        <v>4511</v>
      </c>
      <c r="K182" s="138" t="s">
        <v>4512</v>
      </c>
    </row>
    <row r="183" customFormat="false" ht="15" hidden="false" customHeight="false" outlineLevel="0" collapsed="false">
      <c r="A183" s="138" t="s">
        <v>4761</v>
      </c>
      <c r="B183" s="138" t="s">
        <v>4762</v>
      </c>
      <c r="C183" s="138" t="n">
        <v>327.0395</v>
      </c>
      <c r="D183" s="138" t="n">
        <v>327.07</v>
      </c>
      <c r="E183" s="138" t="s">
        <v>59</v>
      </c>
      <c r="F183" s="138" t="n">
        <v>1.4</v>
      </c>
      <c r="G183" s="138" t="n">
        <v>0.5</v>
      </c>
      <c r="H183" s="138" t="n">
        <v>0</v>
      </c>
      <c r="I183" s="138" t="s">
        <v>4567</v>
      </c>
      <c r="J183" s="138" t="s">
        <v>4564</v>
      </c>
      <c r="K183" s="138"/>
    </row>
    <row r="184" customFormat="false" ht="15" hidden="false" customHeight="false" outlineLevel="0" collapsed="false">
      <c r="A184" s="138" t="s">
        <v>4763</v>
      </c>
      <c r="B184" s="138" t="s">
        <v>4764</v>
      </c>
      <c r="C184" s="138" t="n">
        <v>327.123</v>
      </c>
      <c r="D184" s="138" t="n">
        <v>327.16</v>
      </c>
      <c r="E184" s="138" t="s">
        <v>59</v>
      </c>
      <c r="F184" s="138" t="n">
        <v>1.4</v>
      </c>
      <c r="G184" s="138" t="n">
        <v>0.6</v>
      </c>
      <c r="H184" s="138" t="n">
        <v>0</v>
      </c>
      <c r="I184" s="138" t="s">
        <v>4567</v>
      </c>
      <c r="J184" s="138" t="s">
        <v>4564</v>
      </c>
      <c r="K184" s="138"/>
    </row>
    <row r="185" customFormat="false" ht="15" hidden="false" customHeight="false" outlineLevel="0" collapsed="false">
      <c r="A185" s="138" t="s">
        <v>4765</v>
      </c>
      <c r="B185" s="138" t="s">
        <v>4766</v>
      </c>
      <c r="C185" s="138" t="n">
        <v>327.212</v>
      </c>
      <c r="D185" s="138" t="n">
        <v>327.245</v>
      </c>
      <c r="E185" s="138" t="s">
        <v>59</v>
      </c>
      <c r="F185" s="138" t="n">
        <v>1.4</v>
      </c>
      <c r="G185" s="138" t="n">
        <v>0.6</v>
      </c>
      <c r="H185" s="138" t="n">
        <v>0</v>
      </c>
      <c r="I185" s="138" t="s">
        <v>4567</v>
      </c>
      <c r="J185" s="138" t="s">
        <v>4564</v>
      </c>
      <c r="K185" s="138"/>
    </row>
    <row r="186" customFormat="false" ht="15" hidden="false" customHeight="false" outlineLevel="0" collapsed="false">
      <c r="A186" s="138" t="s">
        <v>4767</v>
      </c>
      <c r="B186" s="138" t="s">
        <v>4768</v>
      </c>
      <c r="C186" s="138" t="n">
        <v>327.305</v>
      </c>
      <c r="D186" s="138" t="n">
        <v>327.34</v>
      </c>
      <c r="E186" s="138" t="s">
        <v>59</v>
      </c>
      <c r="F186" s="138" t="n">
        <v>1.4</v>
      </c>
      <c r="G186" s="138" t="n">
        <v>0.6</v>
      </c>
      <c r="H186" s="138" t="n">
        <v>0</v>
      </c>
      <c r="I186" s="138" t="s">
        <v>4567</v>
      </c>
      <c r="J186" s="138" t="s">
        <v>4564</v>
      </c>
      <c r="K186" s="138"/>
    </row>
    <row r="187" customFormat="false" ht="15" hidden="false" customHeight="false" outlineLevel="0" collapsed="false">
      <c r="A187" s="138" t="s">
        <v>4769</v>
      </c>
      <c r="B187" s="138" t="s">
        <v>4770</v>
      </c>
      <c r="C187" s="138" t="n">
        <v>327.3875</v>
      </c>
      <c r="D187" s="138" t="n">
        <v>327.42</v>
      </c>
      <c r="E187" s="138" t="s">
        <v>59</v>
      </c>
      <c r="F187" s="138" t="n">
        <v>1.4</v>
      </c>
      <c r="G187" s="138" t="n">
        <v>0.6</v>
      </c>
      <c r="H187" s="138" t="n">
        <v>0</v>
      </c>
      <c r="I187" s="138" t="s">
        <v>4567</v>
      </c>
      <c r="J187" s="138" t="s">
        <v>4564</v>
      </c>
      <c r="K187" s="138"/>
    </row>
    <row r="188" customFormat="false" ht="15" hidden="false" customHeight="false" outlineLevel="0" collapsed="false">
      <c r="A188" s="138" t="s">
        <v>4771</v>
      </c>
      <c r="B188" s="138" t="s">
        <v>4772</v>
      </c>
      <c r="C188" s="138" t="n">
        <v>327.4725</v>
      </c>
      <c r="D188" s="138" t="n">
        <v>327.51</v>
      </c>
      <c r="E188" s="138" t="s">
        <v>59</v>
      </c>
      <c r="F188" s="138" t="n">
        <v>1.4</v>
      </c>
      <c r="G188" s="138" t="n">
        <v>0.6</v>
      </c>
      <c r="H188" s="138" t="n">
        <v>0</v>
      </c>
      <c r="I188" s="138" t="s">
        <v>4567</v>
      </c>
      <c r="J188" s="138" t="s">
        <v>4564</v>
      </c>
      <c r="K188" s="138"/>
    </row>
    <row r="189" customFormat="false" ht="15" hidden="false" customHeight="false" outlineLevel="0" collapsed="false">
      <c r="A189" s="138" t="s">
        <v>4773</v>
      </c>
      <c r="B189" s="138" t="s">
        <v>4774</v>
      </c>
      <c r="C189" s="138" t="n">
        <v>327.56</v>
      </c>
      <c r="D189" s="138" t="n">
        <v>327.6</v>
      </c>
      <c r="E189" s="138" t="s">
        <v>59</v>
      </c>
      <c r="F189" s="138" t="n">
        <v>1.5</v>
      </c>
      <c r="G189" s="138" t="n">
        <v>0.6</v>
      </c>
      <c r="H189" s="138" t="n">
        <v>0</v>
      </c>
      <c r="I189" s="138" t="s">
        <v>4567</v>
      </c>
      <c r="J189" s="138" t="s">
        <v>4564</v>
      </c>
      <c r="K189" s="138"/>
    </row>
    <row r="190" customFormat="false" ht="15" hidden="false" customHeight="false" outlineLevel="0" collapsed="false">
      <c r="A190" s="138" t="s">
        <v>4775</v>
      </c>
      <c r="B190" s="138" t="s">
        <v>4776</v>
      </c>
      <c r="C190" s="138" t="n">
        <v>327.65</v>
      </c>
      <c r="D190" s="138" t="n">
        <v>327.685</v>
      </c>
      <c r="E190" s="138" t="s">
        <v>59</v>
      </c>
      <c r="F190" s="138" t="n">
        <v>1.4</v>
      </c>
      <c r="G190" s="138" t="n">
        <v>0.6</v>
      </c>
      <c r="H190" s="138" t="n">
        <v>0</v>
      </c>
      <c r="I190" s="138" t="s">
        <v>4567</v>
      </c>
      <c r="J190" s="138" t="s">
        <v>4564</v>
      </c>
      <c r="K190" s="138"/>
    </row>
    <row r="191" customFormat="false" ht="15" hidden="false" customHeight="false" outlineLevel="0" collapsed="false">
      <c r="A191" s="138" t="s">
        <v>4777</v>
      </c>
      <c r="B191" s="138" t="s">
        <v>4778</v>
      </c>
      <c r="C191" s="138" t="n">
        <v>327.74</v>
      </c>
      <c r="D191" s="138" t="n">
        <v>327.77</v>
      </c>
      <c r="E191" s="138" t="s">
        <v>59</v>
      </c>
      <c r="F191" s="138" t="n">
        <v>1.4</v>
      </c>
      <c r="G191" s="138" t="n">
        <v>0.6</v>
      </c>
      <c r="H191" s="138" t="n">
        <v>0</v>
      </c>
      <c r="I191" s="138" t="s">
        <v>4567</v>
      </c>
      <c r="J191" s="138" t="s">
        <v>4564</v>
      </c>
      <c r="K191" s="138"/>
    </row>
    <row r="192" customFormat="false" ht="15" hidden="false" customHeight="false" outlineLevel="0" collapsed="false">
      <c r="A192" s="138" t="s">
        <v>4779</v>
      </c>
      <c r="B192" s="138" t="s">
        <v>4780</v>
      </c>
      <c r="C192" s="138" t="n">
        <v>327.82</v>
      </c>
      <c r="D192" s="138" t="n">
        <v>327.86</v>
      </c>
      <c r="E192" s="138" t="s">
        <v>59</v>
      </c>
      <c r="F192" s="138" t="n">
        <v>1.4</v>
      </c>
      <c r="G192" s="138" t="n">
        <v>0.6</v>
      </c>
      <c r="H192" s="138" t="n">
        <v>0</v>
      </c>
      <c r="I192" s="138" t="s">
        <v>4567</v>
      </c>
      <c r="J192" s="138" t="s">
        <v>4564</v>
      </c>
      <c r="K192" s="138"/>
    </row>
    <row r="193" customFormat="false" ht="15" hidden="false" customHeight="false" outlineLevel="0" collapsed="false">
      <c r="A193" s="138" t="s">
        <v>4781</v>
      </c>
      <c r="B193" s="138" t="s">
        <v>4782</v>
      </c>
      <c r="C193" s="138" t="n">
        <v>327.915</v>
      </c>
      <c r="D193" s="138" t="n">
        <v>327.95</v>
      </c>
      <c r="E193" s="138" t="s">
        <v>59</v>
      </c>
      <c r="F193" s="138" t="n">
        <v>1.4</v>
      </c>
      <c r="G193" s="138" t="n">
        <v>0.6</v>
      </c>
      <c r="H193" s="138" t="n">
        <v>0</v>
      </c>
      <c r="I193" s="138" t="s">
        <v>4567</v>
      </c>
      <c r="J193" s="138" t="s">
        <v>4564</v>
      </c>
      <c r="K193" s="138"/>
    </row>
    <row r="194" customFormat="false" ht="15" hidden="false" customHeight="false" outlineLevel="0" collapsed="false">
      <c r="A194" s="138" t="s">
        <v>4783</v>
      </c>
      <c r="B194" s="138" t="s">
        <v>4784</v>
      </c>
      <c r="C194" s="138" t="n">
        <v>328.0015</v>
      </c>
      <c r="D194" s="138" t="n">
        <v>328.04</v>
      </c>
      <c r="E194" s="138" t="s">
        <v>59</v>
      </c>
      <c r="F194" s="138" t="n">
        <v>1.4</v>
      </c>
      <c r="G194" s="138" t="n">
        <v>0.6</v>
      </c>
      <c r="H194" s="138" t="n">
        <v>0</v>
      </c>
      <c r="I194" s="138" t="s">
        <v>4567</v>
      </c>
      <c r="J194" s="138" t="s">
        <v>4564</v>
      </c>
      <c r="K194" s="138"/>
    </row>
    <row r="195" customFormat="false" ht="15" hidden="false" customHeight="false" outlineLevel="0" collapsed="false">
      <c r="A195" s="138" t="s">
        <v>4785</v>
      </c>
      <c r="B195" s="138" t="s">
        <v>4786</v>
      </c>
      <c r="C195" s="138" t="n">
        <v>328.084</v>
      </c>
      <c r="D195" s="138" t="n">
        <v>328.125</v>
      </c>
      <c r="E195" s="138" t="s">
        <v>59</v>
      </c>
      <c r="F195" s="138" t="n">
        <v>1.5</v>
      </c>
      <c r="G195" s="138" t="n">
        <v>0.6</v>
      </c>
      <c r="H195" s="138" t="n">
        <v>0</v>
      </c>
      <c r="I195" s="138" t="s">
        <v>4567</v>
      </c>
      <c r="J195" s="138" t="s">
        <v>4564</v>
      </c>
      <c r="K195" s="138"/>
    </row>
    <row r="196" customFormat="false" ht="15" hidden="false" customHeight="false" outlineLevel="0" collapsed="false">
      <c r="A196" s="138" t="s">
        <v>4787</v>
      </c>
      <c r="B196" s="138" t="s">
        <v>4788</v>
      </c>
      <c r="C196" s="138" t="n">
        <v>328.1755</v>
      </c>
      <c r="D196" s="138" t="n">
        <v>328.21</v>
      </c>
      <c r="E196" s="138" t="s">
        <v>59</v>
      </c>
      <c r="F196" s="138" t="n">
        <v>1.4</v>
      </c>
      <c r="G196" s="138" t="n">
        <v>0.6</v>
      </c>
      <c r="H196" s="138" t="n">
        <v>0</v>
      </c>
      <c r="I196" s="138" t="s">
        <v>4567</v>
      </c>
      <c r="J196" s="138" t="s">
        <v>4564</v>
      </c>
      <c r="K196" s="138"/>
    </row>
    <row r="197" customFormat="false" ht="15" hidden="false" customHeight="false" outlineLevel="0" collapsed="false">
      <c r="A197" s="138" t="s">
        <v>4789</v>
      </c>
      <c r="B197" s="138" t="s">
        <v>4790</v>
      </c>
      <c r="C197" s="138" t="n">
        <v>328.263</v>
      </c>
      <c r="D197" s="138" t="n">
        <v>328.305</v>
      </c>
      <c r="E197" s="138" t="s">
        <v>59</v>
      </c>
      <c r="F197" s="138" t="n">
        <v>1.4</v>
      </c>
      <c r="G197" s="138" t="n">
        <v>0.6</v>
      </c>
      <c r="H197" s="138" t="n">
        <v>0</v>
      </c>
      <c r="I197" s="138" t="s">
        <v>4567</v>
      </c>
      <c r="J197" s="138" t="s">
        <v>4564</v>
      </c>
      <c r="K197" s="138"/>
    </row>
    <row r="198" customFormat="false" ht="15" hidden="false" customHeight="false" outlineLevel="0" collapsed="false">
      <c r="A198" s="138" t="s">
        <v>4791</v>
      </c>
      <c r="B198" s="138" t="s">
        <v>4792</v>
      </c>
      <c r="C198" s="138" t="n">
        <v>328.3485</v>
      </c>
      <c r="D198" s="138" t="n">
        <v>328.385</v>
      </c>
      <c r="E198" s="138" t="s">
        <v>59</v>
      </c>
      <c r="F198" s="138" t="n">
        <v>1.4</v>
      </c>
      <c r="G198" s="138" t="n">
        <v>0.6</v>
      </c>
      <c r="H198" s="138" t="n">
        <v>0</v>
      </c>
      <c r="I198" s="138" t="s">
        <v>4567</v>
      </c>
      <c r="J198" s="138" t="s">
        <v>4564</v>
      </c>
      <c r="K198" s="138"/>
    </row>
    <row r="199" customFormat="false" ht="15" hidden="false" customHeight="false" outlineLevel="0" collapsed="false">
      <c r="A199" s="138" t="s">
        <v>4793</v>
      </c>
      <c r="B199" s="138" t="s">
        <v>4794</v>
      </c>
      <c r="C199" s="138" t="n">
        <v>328.4345</v>
      </c>
      <c r="D199" s="138" t="n">
        <v>328.47</v>
      </c>
      <c r="E199" s="138" t="s">
        <v>59</v>
      </c>
      <c r="F199" s="138" t="n">
        <v>1.4</v>
      </c>
      <c r="G199" s="138" t="n">
        <v>0.6</v>
      </c>
      <c r="H199" s="138" t="n">
        <v>0</v>
      </c>
      <c r="I199" s="138" t="s">
        <v>4567</v>
      </c>
      <c r="J199" s="138" t="s">
        <v>4564</v>
      </c>
      <c r="K199" s="138"/>
    </row>
    <row r="200" customFormat="false" ht="15" hidden="false" customHeight="false" outlineLevel="0" collapsed="false">
      <c r="A200" s="138" t="s">
        <v>4795</v>
      </c>
      <c r="B200" s="138" t="s">
        <v>4796</v>
      </c>
      <c r="C200" s="138" t="n">
        <v>328.525</v>
      </c>
      <c r="D200" s="138" t="n">
        <v>328.56</v>
      </c>
      <c r="E200" s="138" t="s">
        <v>59</v>
      </c>
      <c r="F200" s="138" t="n">
        <v>1.4</v>
      </c>
      <c r="G200" s="138" t="n">
        <v>0.6</v>
      </c>
      <c r="H200" s="138" t="n">
        <v>0</v>
      </c>
      <c r="I200" s="138" t="s">
        <v>4567</v>
      </c>
      <c r="J200" s="138" t="s">
        <v>4564</v>
      </c>
      <c r="K200" s="138"/>
    </row>
    <row r="201" customFormat="false" ht="15" hidden="false" customHeight="false" outlineLevel="0" collapsed="false">
      <c r="A201" s="138" t="s">
        <v>4797</v>
      </c>
      <c r="B201" s="138" t="s">
        <v>4798</v>
      </c>
      <c r="C201" s="138" t="n">
        <v>328.615</v>
      </c>
      <c r="D201" s="138" t="n">
        <v>328.65</v>
      </c>
      <c r="E201" s="138" t="s">
        <v>59</v>
      </c>
      <c r="F201" s="138" t="n">
        <v>1.4</v>
      </c>
      <c r="G201" s="138" t="n">
        <v>0.6</v>
      </c>
      <c r="H201" s="138" t="n">
        <v>0</v>
      </c>
      <c r="I201" s="138" t="s">
        <v>4567</v>
      </c>
      <c r="J201" s="138" t="s">
        <v>4564</v>
      </c>
      <c r="K201" s="138"/>
    </row>
    <row r="202" customFormat="false" ht="15" hidden="false" customHeight="false" outlineLevel="0" collapsed="false">
      <c r="A202" s="138" t="s">
        <v>4799</v>
      </c>
      <c r="B202" s="138" t="s">
        <v>4800</v>
      </c>
      <c r="C202" s="138" t="n">
        <v>328.705</v>
      </c>
      <c r="D202" s="138" t="n">
        <v>328.745</v>
      </c>
      <c r="E202" s="138" t="s">
        <v>59</v>
      </c>
      <c r="F202" s="138" t="n">
        <v>1.5</v>
      </c>
      <c r="G202" s="138" t="n">
        <v>0.6</v>
      </c>
      <c r="H202" s="138" t="n">
        <v>0</v>
      </c>
      <c r="I202" s="138" t="s">
        <v>4567</v>
      </c>
      <c r="J202" s="138" t="s">
        <v>4564</v>
      </c>
      <c r="K202" s="138"/>
    </row>
    <row r="203" customFormat="false" ht="15" hidden="false" customHeight="false" outlineLevel="0" collapsed="false">
      <c r="A203" s="138" t="s">
        <v>4801</v>
      </c>
      <c r="B203" s="138" t="s">
        <v>4802</v>
      </c>
      <c r="C203" s="138" t="n">
        <v>328.79</v>
      </c>
      <c r="D203" s="138" t="n">
        <v>328.83</v>
      </c>
      <c r="E203" s="138" t="s">
        <v>59</v>
      </c>
      <c r="F203" s="138" t="n">
        <v>1.4</v>
      </c>
      <c r="G203" s="138" t="n">
        <v>0.6</v>
      </c>
      <c r="H203" s="138" t="n">
        <v>0</v>
      </c>
      <c r="I203" s="138" t="s">
        <v>4567</v>
      </c>
      <c r="J203" s="138" t="s">
        <v>4564</v>
      </c>
      <c r="K203" s="138"/>
    </row>
    <row r="204" customFormat="false" ht="15" hidden="false" customHeight="false" outlineLevel="0" collapsed="false">
      <c r="A204" s="138" t="s">
        <v>4803</v>
      </c>
      <c r="B204" s="138" t="s">
        <v>4804</v>
      </c>
      <c r="C204" s="138" t="n">
        <v>328.885</v>
      </c>
      <c r="D204" s="138" t="n">
        <v>328.925</v>
      </c>
      <c r="E204" s="138" t="s">
        <v>59</v>
      </c>
      <c r="F204" s="138" t="n">
        <v>1.5</v>
      </c>
      <c r="G204" s="138" t="n">
        <v>0.6</v>
      </c>
      <c r="H204" s="138" t="n">
        <v>0</v>
      </c>
      <c r="I204" s="138" t="s">
        <v>4567</v>
      </c>
      <c r="J204" s="138" t="s">
        <v>4564</v>
      </c>
      <c r="K204" s="138"/>
    </row>
    <row r="205" customFormat="false" ht="15" hidden="false" customHeight="false" outlineLevel="0" collapsed="false">
      <c r="A205" s="138" t="s">
        <v>4805</v>
      </c>
      <c r="B205" s="138" t="s">
        <v>4806</v>
      </c>
      <c r="C205" s="138" t="n">
        <v>328.97</v>
      </c>
      <c r="D205" s="138" t="n">
        <v>329.01</v>
      </c>
      <c r="E205" s="138" t="s">
        <v>59</v>
      </c>
      <c r="F205" s="138" t="n">
        <v>1.4</v>
      </c>
      <c r="G205" s="138" t="n">
        <v>0.6</v>
      </c>
      <c r="H205" s="138" t="n">
        <v>0</v>
      </c>
      <c r="I205" s="138" t="s">
        <v>4567</v>
      </c>
      <c r="J205" s="138" t="s">
        <v>4564</v>
      </c>
      <c r="K205" s="138"/>
    </row>
    <row r="206" customFormat="false" ht="15" hidden="false" customHeight="false" outlineLevel="0" collapsed="false">
      <c r="A206" s="138" t="s">
        <v>4807</v>
      </c>
      <c r="B206" s="138" t="s">
        <v>4808</v>
      </c>
      <c r="C206" s="138" t="n">
        <v>329.0605</v>
      </c>
      <c r="D206" s="138" t="n">
        <v>329.105</v>
      </c>
      <c r="E206" s="138" t="s">
        <v>59</v>
      </c>
      <c r="F206" s="138" t="n">
        <v>1.5</v>
      </c>
      <c r="G206" s="138" t="n">
        <v>0.6</v>
      </c>
      <c r="H206" s="138" t="n">
        <v>0</v>
      </c>
      <c r="I206" s="138" t="s">
        <v>4567</v>
      </c>
      <c r="J206" s="138" t="s">
        <v>4564</v>
      </c>
      <c r="K206" s="138"/>
    </row>
    <row r="207" customFormat="false" ht="15" hidden="false" customHeight="false" outlineLevel="0" collapsed="false">
      <c r="A207" s="138" t="s">
        <v>4809</v>
      </c>
      <c r="B207" s="138" t="s">
        <v>4810</v>
      </c>
      <c r="C207" s="138" t="n">
        <v>329.1485</v>
      </c>
      <c r="D207" s="138" t="n">
        <v>329.185</v>
      </c>
      <c r="E207" s="138" t="s">
        <v>59</v>
      </c>
      <c r="F207" s="138" t="n">
        <v>1.4</v>
      </c>
      <c r="G207" s="138" t="n">
        <v>0.6</v>
      </c>
      <c r="H207" s="138" t="n">
        <v>0</v>
      </c>
      <c r="I207" s="138" t="s">
        <v>4567</v>
      </c>
      <c r="J207" s="138" t="s">
        <v>4564</v>
      </c>
      <c r="K207" s="138"/>
    </row>
    <row r="208" customFormat="false" ht="15" hidden="false" customHeight="false" outlineLevel="0" collapsed="false">
      <c r="A208" s="138" t="s">
        <v>4811</v>
      </c>
      <c r="B208" s="138" t="s">
        <v>4812</v>
      </c>
      <c r="C208" s="138" t="n">
        <v>329.2385</v>
      </c>
      <c r="D208" s="138" t="n">
        <v>329.28</v>
      </c>
      <c r="E208" s="138" t="s">
        <v>59</v>
      </c>
      <c r="F208" s="138" t="n">
        <v>1.5</v>
      </c>
      <c r="G208" s="138" t="n">
        <v>0.6</v>
      </c>
      <c r="H208" s="138" t="n">
        <v>0</v>
      </c>
      <c r="I208" s="138" t="s">
        <v>4567</v>
      </c>
      <c r="J208" s="138" t="s">
        <v>4564</v>
      </c>
      <c r="K208" s="138"/>
    </row>
    <row r="209" customFormat="false" ht="15" hidden="false" customHeight="false" outlineLevel="0" collapsed="false">
      <c r="A209" s="138" t="s">
        <v>4813</v>
      </c>
      <c r="B209" s="138" t="s">
        <v>4813</v>
      </c>
      <c r="C209" s="138" t="n">
        <v>329.3</v>
      </c>
      <c r="D209" s="138" t="n">
        <v>329.3005</v>
      </c>
      <c r="E209" s="138" t="s">
        <v>59</v>
      </c>
      <c r="F209" s="138" t="n">
        <v>7.5</v>
      </c>
      <c r="G209" s="138" t="n">
        <v>1.6</v>
      </c>
      <c r="H209" s="138" t="n">
        <v>0</v>
      </c>
      <c r="I209" s="138" t="s">
        <v>4592</v>
      </c>
      <c r="J209" s="138" t="s">
        <v>4564</v>
      </c>
      <c r="K209" s="138"/>
    </row>
    <row r="210" customFormat="false" ht="15" hidden="false" customHeight="false" outlineLevel="0" collapsed="false">
      <c r="A210" s="138" t="s">
        <v>4813</v>
      </c>
      <c r="B210" s="138" t="s">
        <v>4813</v>
      </c>
      <c r="C210" s="138" t="n">
        <v>329.3</v>
      </c>
      <c r="D210" s="138" t="n">
        <v>329.3005</v>
      </c>
      <c r="E210" s="138" t="s">
        <v>59</v>
      </c>
      <c r="F210" s="138" t="n">
        <v>7.5</v>
      </c>
      <c r="G210" s="138" t="n">
        <v>2.1</v>
      </c>
      <c r="H210" s="138" t="n">
        <v>0</v>
      </c>
      <c r="I210" s="138" t="s">
        <v>4592</v>
      </c>
      <c r="J210" s="138" t="s">
        <v>4564</v>
      </c>
      <c r="K210" s="138"/>
    </row>
    <row r="211" customFormat="false" ht="15" hidden="false" customHeight="false" outlineLevel="0" collapsed="false">
      <c r="A211" s="138" t="s">
        <v>3792</v>
      </c>
      <c r="B211" s="138" t="s">
        <v>4814</v>
      </c>
      <c r="C211" s="138" t="n">
        <v>329.326</v>
      </c>
      <c r="D211" s="138" t="n">
        <v>329.37</v>
      </c>
      <c r="E211" s="138" t="s">
        <v>59</v>
      </c>
      <c r="F211" s="138" t="n">
        <v>1.5</v>
      </c>
      <c r="G211" s="138" t="n">
        <v>0.6</v>
      </c>
      <c r="H211" s="138" t="n">
        <v>0</v>
      </c>
      <c r="I211" s="138" t="s">
        <v>4567</v>
      </c>
      <c r="J211" s="138" t="s">
        <v>4564</v>
      </c>
      <c r="K211" s="138"/>
    </row>
    <row r="212" customFormat="false" ht="15" hidden="false" customHeight="false" outlineLevel="0" collapsed="false">
      <c r="A212" s="138" t="s">
        <v>4815</v>
      </c>
      <c r="B212" s="138" t="s">
        <v>4816</v>
      </c>
      <c r="C212" s="138" t="n">
        <v>329.4195</v>
      </c>
      <c r="D212" s="138" t="n">
        <v>329.465</v>
      </c>
      <c r="E212" s="138" t="s">
        <v>59</v>
      </c>
      <c r="F212" s="138" t="n">
        <v>1.5</v>
      </c>
      <c r="G212" s="138" t="n">
        <v>0.6</v>
      </c>
      <c r="H212" s="138" t="n">
        <v>0</v>
      </c>
      <c r="I212" s="138" t="s">
        <v>4567</v>
      </c>
      <c r="J212" s="138" t="s">
        <v>4564</v>
      </c>
      <c r="K212" s="138"/>
    </row>
    <row r="213" customFormat="false" ht="15" hidden="false" customHeight="false" outlineLevel="0" collapsed="false">
      <c r="A213" s="138" t="s">
        <v>4817</v>
      </c>
      <c r="B213" s="138" t="s">
        <v>4818</v>
      </c>
      <c r="C213" s="138" t="n">
        <v>329.515</v>
      </c>
      <c r="D213" s="138" t="n">
        <v>329.55</v>
      </c>
      <c r="E213" s="138" t="s">
        <v>59</v>
      </c>
      <c r="F213" s="138" t="n">
        <v>1.5</v>
      </c>
      <c r="G213" s="138" t="n">
        <v>0.6</v>
      </c>
      <c r="H213" s="138" t="n">
        <v>0</v>
      </c>
      <c r="I213" s="138" t="s">
        <v>4567</v>
      </c>
      <c r="J213" s="138" t="s">
        <v>4564</v>
      </c>
      <c r="K213" s="138"/>
    </row>
    <row r="214" customFormat="false" ht="15" hidden="false" customHeight="false" outlineLevel="0" collapsed="false">
      <c r="A214" s="138" t="s">
        <v>4819</v>
      </c>
      <c r="B214" s="138" t="s">
        <v>4820</v>
      </c>
      <c r="C214" s="138" t="n">
        <v>329.6</v>
      </c>
      <c r="D214" s="138" t="n">
        <v>329.645</v>
      </c>
      <c r="E214" s="138" t="s">
        <v>59</v>
      </c>
      <c r="F214" s="138" t="n">
        <v>1.5</v>
      </c>
      <c r="G214" s="138" t="n">
        <v>0.6</v>
      </c>
      <c r="H214" s="138" t="n">
        <v>0</v>
      </c>
      <c r="I214" s="138" t="s">
        <v>4567</v>
      </c>
      <c r="J214" s="138" t="s">
        <v>4564</v>
      </c>
      <c r="K214" s="138"/>
    </row>
    <row r="215" customFormat="false" ht="15" hidden="false" customHeight="false" outlineLevel="0" collapsed="false">
      <c r="A215" s="138" t="s">
        <v>4821</v>
      </c>
      <c r="B215" s="138" t="s">
        <v>4822</v>
      </c>
      <c r="C215" s="138" t="n">
        <v>329.695</v>
      </c>
      <c r="D215" s="138" t="n">
        <v>329.74</v>
      </c>
      <c r="E215" s="138" t="s">
        <v>59</v>
      </c>
      <c r="F215" s="138" t="n">
        <v>1.5</v>
      </c>
      <c r="G215" s="138" t="n">
        <v>0.6</v>
      </c>
      <c r="H215" s="138" t="n">
        <v>0</v>
      </c>
      <c r="I215" s="138" t="s">
        <v>4567</v>
      </c>
      <c r="J215" s="138" t="s">
        <v>4564</v>
      </c>
      <c r="K215" s="138"/>
    </row>
    <row r="216" customFormat="false" ht="15" hidden="false" customHeight="false" outlineLevel="0" collapsed="false">
      <c r="A216" s="138" t="s">
        <v>4823</v>
      </c>
      <c r="B216" s="138" t="s">
        <v>4824</v>
      </c>
      <c r="C216" s="138" t="n">
        <v>329.79</v>
      </c>
      <c r="D216" s="138" t="n">
        <v>329.83</v>
      </c>
      <c r="E216" s="138" t="s">
        <v>59</v>
      </c>
      <c r="F216" s="138" t="n">
        <v>1.5</v>
      </c>
      <c r="G216" s="138" t="n">
        <v>0.6</v>
      </c>
      <c r="H216" s="138" t="n">
        <v>0</v>
      </c>
      <c r="I216" s="138" t="s">
        <v>4567</v>
      </c>
      <c r="J216" s="138" t="s">
        <v>4564</v>
      </c>
      <c r="K216" s="138"/>
    </row>
    <row r="217" customFormat="false" ht="15" hidden="false" customHeight="false" outlineLevel="0" collapsed="false">
      <c r="A217" s="138" t="s">
        <v>4825</v>
      </c>
      <c r="B217" s="138" t="s">
        <v>4826</v>
      </c>
      <c r="C217" s="138" t="n">
        <v>329.88</v>
      </c>
      <c r="D217" s="138" t="n">
        <v>329.925</v>
      </c>
      <c r="E217" s="138" t="s">
        <v>59</v>
      </c>
      <c r="F217" s="138" t="n">
        <v>1.5</v>
      </c>
      <c r="G217" s="138" t="n">
        <v>0.6</v>
      </c>
      <c r="H217" s="138" t="n">
        <v>0</v>
      </c>
      <c r="I217" s="138" t="s">
        <v>4567</v>
      </c>
      <c r="J217" s="138" t="s">
        <v>4564</v>
      </c>
      <c r="K217" s="138"/>
    </row>
    <row r="218" customFormat="false" ht="15" hidden="false" customHeight="false" outlineLevel="0" collapsed="false">
      <c r="A218" s="138" t="s">
        <v>4827</v>
      </c>
      <c r="B218" s="138" t="s">
        <v>4828</v>
      </c>
      <c r="C218" s="138" t="n">
        <v>329.97</v>
      </c>
      <c r="D218" s="138" t="n">
        <v>330.02</v>
      </c>
      <c r="E218" s="138" t="s">
        <v>59</v>
      </c>
      <c r="F218" s="138" t="n">
        <v>1.5</v>
      </c>
      <c r="G218" s="138" t="n">
        <v>0.6</v>
      </c>
      <c r="H218" s="138" t="n">
        <v>0</v>
      </c>
      <c r="I218" s="138" t="s">
        <v>4567</v>
      </c>
      <c r="J218" s="138" t="s">
        <v>4564</v>
      </c>
      <c r="K218" s="138"/>
    </row>
    <row r="219" customFormat="false" ht="15" hidden="false" customHeight="false" outlineLevel="0" collapsed="false">
      <c r="A219" s="138" t="s">
        <v>4829</v>
      </c>
      <c r="B219" s="138" t="s">
        <v>4830</v>
      </c>
      <c r="C219" s="138" t="n">
        <v>330.065</v>
      </c>
      <c r="D219" s="138" t="n">
        <v>330.11</v>
      </c>
      <c r="E219" s="138" t="s">
        <v>59</v>
      </c>
      <c r="F219" s="138" t="n">
        <v>1.5</v>
      </c>
      <c r="G219" s="138" t="n">
        <v>0.6</v>
      </c>
      <c r="H219" s="138" t="n">
        <v>0</v>
      </c>
      <c r="I219" s="138" t="s">
        <v>4567</v>
      </c>
      <c r="J219" s="138" t="s">
        <v>4564</v>
      </c>
      <c r="K219" s="138"/>
    </row>
    <row r="220" customFormat="false" ht="15" hidden="false" customHeight="false" outlineLevel="0" collapsed="false">
      <c r="A220" s="138" t="s">
        <v>4831</v>
      </c>
      <c r="B220" s="138" t="s">
        <v>4832</v>
      </c>
      <c r="C220" s="138" t="n">
        <v>330.1575</v>
      </c>
      <c r="D220" s="138" t="n">
        <v>330.2</v>
      </c>
      <c r="E220" s="138" t="s">
        <v>59</v>
      </c>
      <c r="F220" s="138" t="n">
        <v>1.5</v>
      </c>
      <c r="G220" s="138" t="n">
        <v>0.6</v>
      </c>
      <c r="H220" s="138" t="n">
        <v>0</v>
      </c>
      <c r="I220" s="138" t="s">
        <v>4567</v>
      </c>
      <c r="J220" s="138" t="s">
        <v>4564</v>
      </c>
      <c r="K220" s="138"/>
    </row>
    <row r="221" customFormat="false" ht="15" hidden="false" customHeight="false" outlineLevel="0" collapsed="false">
      <c r="A221" s="138" t="s">
        <v>4833</v>
      </c>
      <c r="B221" s="138" t="s">
        <v>4834</v>
      </c>
      <c r="C221" s="138" t="n">
        <v>330.2445</v>
      </c>
      <c r="D221" s="138" t="n">
        <v>330.285</v>
      </c>
      <c r="E221" s="138" t="s">
        <v>59</v>
      </c>
      <c r="F221" s="138" t="n">
        <v>1.5</v>
      </c>
      <c r="G221" s="138" t="n">
        <v>0.6</v>
      </c>
      <c r="H221" s="138" t="n">
        <v>0</v>
      </c>
      <c r="I221" s="138" t="s">
        <v>4567</v>
      </c>
      <c r="J221" s="138" t="s">
        <v>4564</v>
      </c>
      <c r="K221" s="138"/>
    </row>
    <row r="222" customFormat="false" ht="15" hidden="false" customHeight="false" outlineLevel="0" collapsed="false">
      <c r="A222" s="138" t="s">
        <v>4835</v>
      </c>
      <c r="B222" s="138" t="s">
        <v>4836</v>
      </c>
      <c r="C222" s="138" t="n">
        <v>330.332</v>
      </c>
      <c r="D222" s="138" t="n">
        <v>330.38</v>
      </c>
      <c r="E222" s="138" t="s">
        <v>59</v>
      </c>
      <c r="F222" s="138" t="n">
        <v>1.6</v>
      </c>
      <c r="G222" s="138" t="n">
        <v>0.6</v>
      </c>
      <c r="H222" s="138" t="n">
        <v>0</v>
      </c>
      <c r="I222" s="138" t="s">
        <v>4567</v>
      </c>
      <c r="J222" s="138" t="s">
        <v>4564</v>
      </c>
      <c r="K222" s="138"/>
    </row>
    <row r="223" customFormat="false" ht="15" hidden="false" customHeight="false" outlineLevel="0" collapsed="false">
      <c r="A223" s="138" t="s">
        <v>4837</v>
      </c>
      <c r="B223" s="138" t="s">
        <v>4838</v>
      </c>
      <c r="C223" s="138" t="n">
        <v>330.4305</v>
      </c>
      <c r="D223" s="138" t="n">
        <v>330.48</v>
      </c>
      <c r="E223" s="138" t="s">
        <v>59</v>
      </c>
      <c r="F223" s="138" t="n">
        <v>1.6</v>
      </c>
      <c r="G223" s="138" t="n">
        <v>0.6</v>
      </c>
      <c r="H223" s="138" t="n">
        <v>0</v>
      </c>
      <c r="I223" s="138" t="s">
        <v>4567</v>
      </c>
      <c r="J223" s="138" t="s">
        <v>4564</v>
      </c>
      <c r="K223" s="138"/>
    </row>
    <row r="224" customFormat="false" ht="15" hidden="false" customHeight="false" outlineLevel="0" collapsed="false">
      <c r="A224" s="138" t="s">
        <v>4839</v>
      </c>
      <c r="B224" s="138" t="s">
        <v>4840</v>
      </c>
      <c r="C224" s="138" t="n">
        <v>330.525</v>
      </c>
      <c r="D224" s="138" t="n">
        <v>330.57</v>
      </c>
      <c r="E224" s="138" t="s">
        <v>59</v>
      </c>
      <c r="F224" s="138" t="n">
        <v>1.5</v>
      </c>
      <c r="G224" s="138" t="n">
        <v>0.6</v>
      </c>
      <c r="H224" s="138" t="n">
        <v>0</v>
      </c>
      <c r="I224" s="138" t="s">
        <v>4567</v>
      </c>
      <c r="J224" s="138" t="s">
        <v>4564</v>
      </c>
      <c r="K224" s="138"/>
    </row>
    <row r="225" customFormat="false" ht="15" hidden="false" customHeight="false" outlineLevel="0" collapsed="false">
      <c r="A225" s="138" t="s">
        <v>4841</v>
      </c>
      <c r="B225" s="138" t="s">
        <v>4842</v>
      </c>
      <c r="C225" s="138" t="n">
        <v>330.62</v>
      </c>
      <c r="D225" s="138" t="n">
        <v>330.665</v>
      </c>
      <c r="E225" s="138" t="s">
        <v>59</v>
      </c>
      <c r="F225" s="138" t="n">
        <v>1.5</v>
      </c>
      <c r="G225" s="138" t="n">
        <v>0.6</v>
      </c>
      <c r="H225" s="138" t="n">
        <v>0</v>
      </c>
      <c r="I225" s="138" t="s">
        <v>4567</v>
      </c>
      <c r="J225" s="138" t="s">
        <v>4564</v>
      </c>
      <c r="K225" s="138"/>
    </row>
    <row r="226" customFormat="false" ht="15" hidden="false" customHeight="false" outlineLevel="0" collapsed="false">
      <c r="A226" s="138" t="s">
        <v>4843</v>
      </c>
      <c r="B226" s="138" t="s">
        <v>4844</v>
      </c>
      <c r="C226" s="138" t="n">
        <v>330.715</v>
      </c>
      <c r="D226" s="138" t="n">
        <v>330.76</v>
      </c>
      <c r="E226" s="138" t="s">
        <v>59</v>
      </c>
      <c r="F226" s="138" t="n">
        <v>1.5</v>
      </c>
      <c r="G226" s="138" t="n">
        <v>0.6</v>
      </c>
      <c r="H226" s="138" t="n">
        <v>0</v>
      </c>
      <c r="I226" s="138" t="s">
        <v>4567</v>
      </c>
      <c r="J226" s="138" t="s">
        <v>4564</v>
      </c>
      <c r="K226" s="138"/>
    </row>
    <row r="227" customFormat="false" ht="15" hidden="false" customHeight="false" outlineLevel="0" collapsed="false">
      <c r="A227" s="138" t="s">
        <v>4845</v>
      </c>
      <c r="B227" s="138" t="s">
        <v>4846</v>
      </c>
      <c r="C227" s="138" t="n">
        <v>330.815</v>
      </c>
      <c r="D227" s="138" t="n">
        <v>330.855</v>
      </c>
      <c r="E227" s="138" t="s">
        <v>59</v>
      </c>
      <c r="F227" s="138" t="n">
        <v>1.5</v>
      </c>
      <c r="G227" s="138" t="n">
        <v>0.6</v>
      </c>
      <c r="H227" s="138" t="n">
        <v>0</v>
      </c>
      <c r="I227" s="138" t="s">
        <v>4567</v>
      </c>
      <c r="J227" s="138" t="s">
        <v>4564</v>
      </c>
      <c r="K227" s="138"/>
    </row>
    <row r="228" customFormat="false" ht="15" hidden="false" customHeight="false" outlineLevel="0" collapsed="false">
      <c r="A228" s="138" t="s">
        <v>4847</v>
      </c>
      <c r="B228" s="138" t="s">
        <v>4848</v>
      </c>
      <c r="C228" s="138" t="n">
        <v>330.905</v>
      </c>
      <c r="D228" s="138" t="n">
        <v>330.95</v>
      </c>
      <c r="E228" s="138" t="s">
        <v>59</v>
      </c>
      <c r="F228" s="138" t="n">
        <v>1.5</v>
      </c>
      <c r="G228" s="138" t="n">
        <v>0.6</v>
      </c>
      <c r="H228" s="138" t="n">
        <v>0</v>
      </c>
      <c r="I228" s="138" t="s">
        <v>4567</v>
      </c>
      <c r="J228" s="138" t="s">
        <v>4564</v>
      </c>
      <c r="K228" s="138"/>
    </row>
    <row r="229" customFormat="false" ht="15" hidden="false" customHeight="false" outlineLevel="0" collapsed="false">
      <c r="A229" s="138" t="s">
        <v>1991</v>
      </c>
      <c r="B229" s="138" t="s">
        <v>4849</v>
      </c>
      <c r="C229" s="138" t="n">
        <v>331</v>
      </c>
      <c r="D229" s="138" t="n">
        <v>331.05</v>
      </c>
      <c r="E229" s="138" t="s">
        <v>59</v>
      </c>
      <c r="F229" s="138" t="n">
        <v>1.6</v>
      </c>
      <c r="G229" s="138" t="n">
        <v>0.6</v>
      </c>
      <c r="H229" s="138" t="n">
        <v>0</v>
      </c>
      <c r="I229" s="138" t="s">
        <v>4567</v>
      </c>
      <c r="J229" s="138" t="s">
        <v>4564</v>
      </c>
      <c r="K229" s="138"/>
    </row>
    <row r="230" customFormat="false" ht="15" hidden="false" customHeight="false" outlineLevel="0" collapsed="false">
      <c r="A230" s="138" t="s">
        <v>1991</v>
      </c>
      <c r="B230" s="138" t="s">
        <v>1991</v>
      </c>
      <c r="C230" s="138" t="n">
        <v>331</v>
      </c>
      <c r="D230" s="138" t="n">
        <v>331.0005</v>
      </c>
      <c r="E230" s="138" t="s">
        <v>59</v>
      </c>
      <c r="F230" s="138" t="n">
        <v>7.5</v>
      </c>
      <c r="G230" s="138" t="n">
        <v>2.8</v>
      </c>
      <c r="H230" s="138" t="n">
        <v>0</v>
      </c>
      <c r="I230" s="138" t="s">
        <v>4592</v>
      </c>
      <c r="J230" s="138" t="s">
        <v>4564</v>
      </c>
      <c r="K230" s="138"/>
    </row>
    <row r="231" customFormat="false" ht="15" hidden="false" customHeight="false" outlineLevel="0" collapsed="false">
      <c r="A231" s="138" t="s">
        <v>4850</v>
      </c>
      <c r="B231" s="138" t="s">
        <v>4851</v>
      </c>
      <c r="C231" s="138" t="n">
        <v>331.092</v>
      </c>
      <c r="D231" s="138" t="n">
        <v>331.14</v>
      </c>
      <c r="E231" s="138" t="s">
        <v>59</v>
      </c>
      <c r="F231" s="138" t="n">
        <v>1.5</v>
      </c>
      <c r="G231" s="138" t="n">
        <v>0.6</v>
      </c>
      <c r="H231" s="138" t="n">
        <v>0</v>
      </c>
      <c r="I231" s="138" t="s">
        <v>4567</v>
      </c>
      <c r="J231" s="138" t="s">
        <v>4564</v>
      </c>
      <c r="K231" s="138"/>
    </row>
    <row r="232" customFormat="false" ht="15" hidden="false" customHeight="false" outlineLevel="0" collapsed="false">
      <c r="A232" s="138" t="s">
        <v>4852</v>
      </c>
      <c r="B232" s="138" t="s">
        <v>4853</v>
      </c>
      <c r="C232" s="138" t="n">
        <v>331.1955</v>
      </c>
      <c r="D232" s="138" t="n">
        <v>331.24</v>
      </c>
      <c r="E232" s="138" t="s">
        <v>59</v>
      </c>
      <c r="F232" s="138" t="n">
        <v>1.5</v>
      </c>
      <c r="G232" s="138" t="n">
        <v>0.6</v>
      </c>
      <c r="H232" s="138" t="n">
        <v>0</v>
      </c>
      <c r="I232" s="138" t="s">
        <v>4567</v>
      </c>
      <c r="J232" s="138" t="s">
        <v>4564</v>
      </c>
      <c r="K232" s="138"/>
    </row>
    <row r="233" customFormat="false" ht="15" hidden="false" customHeight="false" outlineLevel="0" collapsed="false">
      <c r="A233" s="138" t="s">
        <v>4854</v>
      </c>
      <c r="B233" s="138" t="s">
        <v>4855</v>
      </c>
      <c r="C233" s="138" t="n">
        <v>331.284</v>
      </c>
      <c r="D233" s="138" t="n">
        <v>331.34</v>
      </c>
      <c r="E233" s="138" t="s">
        <v>59</v>
      </c>
      <c r="F233" s="138" t="n">
        <v>1.9</v>
      </c>
      <c r="G233" s="138" t="n">
        <v>0.8</v>
      </c>
      <c r="H233" s="138" t="n">
        <v>0</v>
      </c>
      <c r="I233" s="138" t="s">
        <v>4567</v>
      </c>
      <c r="J233" s="138" t="s">
        <v>4564</v>
      </c>
      <c r="K233" s="138"/>
    </row>
    <row r="234" customFormat="false" ht="15" hidden="false" customHeight="false" outlineLevel="0" collapsed="false">
      <c r="A234" s="138" t="s">
        <v>4856</v>
      </c>
      <c r="B234" s="138" t="s">
        <v>4857</v>
      </c>
      <c r="C234" s="138" t="n">
        <v>331.38</v>
      </c>
      <c r="D234" s="138" t="n">
        <v>331.45</v>
      </c>
      <c r="E234" s="138" t="s">
        <v>59</v>
      </c>
      <c r="F234" s="138" t="n">
        <v>2.2</v>
      </c>
      <c r="G234" s="138" t="n">
        <v>0.9</v>
      </c>
      <c r="H234" s="138" t="n">
        <v>0</v>
      </c>
      <c r="I234" s="138" t="s">
        <v>4567</v>
      </c>
      <c r="J234" s="138" t="s">
        <v>4564</v>
      </c>
      <c r="K234" s="138"/>
    </row>
    <row r="235" customFormat="false" ht="15" hidden="false" customHeight="false" outlineLevel="0" collapsed="false">
      <c r="A235" s="138" t="s">
        <v>4858</v>
      </c>
      <c r="B235" s="138" t="s">
        <v>4859</v>
      </c>
      <c r="C235" s="138" t="n">
        <v>331.4835</v>
      </c>
      <c r="D235" s="138" t="n">
        <v>331.565</v>
      </c>
      <c r="E235" s="138" t="s">
        <v>59</v>
      </c>
      <c r="F235" s="138" t="n">
        <v>2.6</v>
      </c>
      <c r="G235" s="138" t="n">
        <v>1</v>
      </c>
      <c r="H235" s="138" t="n">
        <v>0</v>
      </c>
      <c r="I235" s="138" t="s">
        <v>4567</v>
      </c>
      <c r="J235" s="138" t="s">
        <v>4564</v>
      </c>
      <c r="K235" s="138"/>
    </row>
    <row r="236" customFormat="false" ht="15" hidden="false" customHeight="false" outlineLevel="0" collapsed="false">
      <c r="A236" s="138" t="s">
        <v>4860</v>
      </c>
      <c r="B236" s="138" t="s">
        <v>4861</v>
      </c>
      <c r="C236" s="138" t="n">
        <v>331.585</v>
      </c>
      <c r="D236" s="138" t="n">
        <v>331.67</v>
      </c>
      <c r="E236" s="138" t="s">
        <v>59</v>
      </c>
      <c r="F236" s="138" t="n">
        <v>2.8</v>
      </c>
      <c r="G236" s="138" t="n">
        <v>1.1</v>
      </c>
      <c r="H236" s="138" t="n">
        <v>0</v>
      </c>
      <c r="I236" s="138" t="s">
        <v>4567</v>
      </c>
      <c r="J236" s="138" t="s">
        <v>4564</v>
      </c>
      <c r="K236" s="138"/>
    </row>
    <row r="237" customFormat="false" ht="15" hidden="false" customHeight="false" outlineLevel="0" collapsed="false">
      <c r="A237" s="138" t="s">
        <v>4862</v>
      </c>
      <c r="B237" s="138" t="s">
        <v>4863</v>
      </c>
      <c r="C237" s="138" t="n">
        <v>331.685</v>
      </c>
      <c r="D237" s="138" t="n">
        <v>331.785</v>
      </c>
      <c r="E237" s="138" t="s">
        <v>59</v>
      </c>
      <c r="F237" s="138" t="n">
        <v>3.1</v>
      </c>
      <c r="G237" s="138" t="n">
        <v>1.2</v>
      </c>
      <c r="H237" s="138" t="n">
        <v>0</v>
      </c>
      <c r="I237" s="138" t="s">
        <v>4567</v>
      </c>
      <c r="J237" s="138" t="s">
        <v>4564</v>
      </c>
      <c r="K237" s="138"/>
    </row>
    <row r="238" customFormat="false" ht="15" hidden="false" customHeight="false" outlineLevel="0" collapsed="false">
      <c r="A238" s="138" t="s">
        <v>4864</v>
      </c>
      <c r="B238" s="138" t="s">
        <v>4865</v>
      </c>
      <c r="C238" s="138" t="n">
        <v>331.78</v>
      </c>
      <c r="D238" s="138" t="n">
        <v>331.885</v>
      </c>
      <c r="E238" s="138" t="s">
        <v>59</v>
      </c>
      <c r="F238" s="138" t="n">
        <v>3.2</v>
      </c>
      <c r="G238" s="138" t="n">
        <v>1.3</v>
      </c>
      <c r="H238" s="138" t="n">
        <v>0</v>
      </c>
      <c r="I238" s="138" t="s">
        <v>4567</v>
      </c>
      <c r="J238" s="138" t="s">
        <v>4564</v>
      </c>
      <c r="K238" s="138"/>
    </row>
    <row r="239" customFormat="false" ht="15" hidden="false" customHeight="false" outlineLevel="0" collapsed="false">
      <c r="A239" s="138" t="s">
        <v>4865</v>
      </c>
      <c r="B239" s="138" t="s">
        <v>4866</v>
      </c>
      <c r="C239" s="138" t="n">
        <v>331.885</v>
      </c>
      <c r="D239" s="138" t="n">
        <v>332.005</v>
      </c>
      <c r="E239" s="138" t="s">
        <v>59</v>
      </c>
      <c r="F239" s="138" t="n">
        <v>3.5</v>
      </c>
      <c r="G239" s="138" t="n">
        <v>1.4</v>
      </c>
      <c r="H239" s="138" t="n">
        <v>0</v>
      </c>
      <c r="I239" s="138" t="s">
        <v>4567</v>
      </c>
      <c r="J239" s="138" t="s">
        <v>4564</v>
      </c>
      <c r="K239" s="138"/>
    </row>
    <row r="240" customFormat="false" ht="15" hidden="false" customHeight="false" outlineLevel="0" collapsed="false">
      <c r="A240" s="138" t="s">
        <v>1573</v>
      </c>
      <c r="B240" s="138" t="s">
        <v>4867</v>
      </c>
      <c r="C240" s="138" t="n">
        <v>332</v>
      </c>
      <c r="D240" s="138" t="n">
        <v>332.11</v>
      </c>
      <c r="E240" s="138" t="s">
        <v>59</v>
      </c>
      <c r="F240" s="138" t="n">
        <v>3.6</v>
      </c>
      <c r="G240" s="138" t="n">
        <v>1.4</v>
      </c>
      <c r="H240" s="138" t="n">
        <v>0</v>
      </c>
      <c r="I240" s="138" t="s">
        <v>4567</v>
      </c>
      <c r="J240" s="138" t="s">
        <v>4564</v>
      </c>
      <c r="K240" s="138"/>
    </row>
    <row r="241" customFormat="false" ht="15" hidden="false" customHeight="false" outlineLevel="0" collapsed="false">
      <c r="A241" s="138" t="s">
        <v>4868</v>
      </c>
      <c r="B241" s="138" t="s">
        <v>4869</v>
      </c>
      <c r="C241" s="138" t="n">
        <v>332.094</v>
      </c>
      <c r="D241" s="138" t="n">
        <v>332.215</v>
      </c>
      <c r="E241" s="138" t="s">
        <v>59</v>
      </c>
      <c r="F241" s="138" t="n">
        <v>3.6</v>
      </c>
      <c r="G241" s="138" t="n">
        <v>1.4</v>
      </c>
      <c r="H241" s="138" t="n">
        <v>0</v>
      </c>
      <c r="I241" s="138" t="s">
        <v>4567</v>
      </c>
      <c r="J241" s="138" t="s">
        <v>4564</v>
      </c>
      <c r="K241" s="138"/>
    </row>
    <row r="242" customFormat="false" ht="15" hidden="false" customHeight="false" outlineLevel="0" collapsed="false">
      <c r="A242" s="138" t="s">
        <v>4870</v>
      </c>
      <c r="B242" s="138" t="s">
        <v>4871</v>
      </c>
      <c r="C242" s="138" t="n">
        <v>332.1995</v>
      </c>
      <c r="D242" s="138" t="n">
        <v>332.32</v>
      </c>
      <c r="E242" s="138" t="s">
        <v>59</v>
      </c>
      <c r="F242" s="138" t="n">
        <v>3.7</v>
      </c>
      <c r="G242" s="138" t="n">
        <v>1.5</v>
      </c>
      <c r="H242" s="138" t="n">
        <v>0</v>
      </c>
      <c r="I242" s="138" t="s">
        <v>4567</v>
      </c>
      <c r="J242" s="138" t="s">
        <v>4564</v>
      </c>
      <c r="K242" s="138"/>
    </row>
    <row r="243" customFormat="false" ht="15" hidden="false" customHeight="false" outlineLevel="0" collapsed="false">
      <c r="A243" s="138" t="s">
        <v>4872</v>
      </c>
      <c r="B243" s="138" t="s">
        <v>4873</v>
      </c>
      <c r="C243" s="138" t="n">
        <v>332.312</v>
      </c>
      <c r="D243" s="138" t="n">
        <v>332.425</v>
      </c>
      <c r="E243" s="138" t="s">
        <v>59</v>
      </c>
      <c r="F243" s="138" t="n">
        <v>3.5</v>
      </c>
      <c r="G243" s="138" t="n">
        <v>1.4</v>
      </c>
      <c r="H243" s="138" t="n">
        <v>0</v>
      </c>
      <c r="I243" s="138" t="s">
        <v>4567</v>
      </c>
      <c r="J243" s="138" t="s">
        <v>4564</v>
      </c>
      <c r="K243" s="138"/>
    </row>
    <row r="244" customFormat="false" ht="15" hidden="false" customHeight="false" outlineLevel="0" collapsed="false">
      <c r="A244" s="138" t="s">
        <v>4874</v>
      </c>
      <c r="B244" s="138" t="s">
        <v>4875</v>
      </c>
      <c r="C244" s="138" t="n">
        <v>332.424</v>
      </c>
      <c r="D244" s="138" t="n">
        <v>332.54</v>
      </c>
      <c r="E244" s="138" t="s">
        <v>59</v>
      </c>
      <c r="F244" s="138" t="n">
        <v>3.5</v>
      </c>
      <c r="G244" s="138" t="n">
        <v>1.4</v>
      </c>
      <c r="H244" s="138" t="n">
        <v>0</v>
      </c>
      <c r="I244" s="138" t="s">
        <v>4567</v>
      </c>
      <c r="J244" s="138" t="s">
        <v>4564</v>
      </c>
      <c r="K244" s="138"/>
    </row>
    <row r="245" customFormat="false" ht="15" hidden="false" customHeight="false" outlineLevel="0" collapsed="false">
      <c r="A245" s="138" t="s">
        <v>4876</v>
      </c>
      <c r="B245" s="138" t="s">
        <v>4877</v>
      </c>
      <c r="C245" s="138" t="n">
        <v>332.535</v>
      </c>
      <c r="D245" s="138" t="n">
        <v>332.65</v>
      </c>
      <c r="E245" s="138" t="s">
        <v>59</v>
      </c>
      <c r="F245" s="138" t="n">
        <v>3.4</v>
      </c>
      <c r="G245" s="138" t="n">
        <v>1.4</v>
      </c>
      <c r="H245" s="138" t="n">
        <v>0</v>
      </c>
      <c r="I245" s="138" t="s">
        <v>4567</v>
      </c>
      <c r="J245" s="138" t="s">
        <v>4564</v>
      </c>
      <c r="K245" s="138"/>
    </row>
    <row r="246" customFormat="false" ht="15" hidden="false" customHeight="false" outlineLevel="0" collapsed="false">
      <c r="A246" s="138" t="s">
        <v>4878</v>
      </c>
      <c r="B246" s="138" t="s">
        <v>4879</v>
      </c>
      <c r="C246" s="138" t="n">
        <v>332.64</v>
      </c>
      <c r="D246" s="138" t="n">
        <v>332.755</v>
      </c>
      <c r="E246" s="138" t="s">
        <v>59</v>
      </c>
      <c r="F246" s="138" t="n">
        <v>3.3</v>
      </c>
      <c r="G246" s="138" t="n">
        <v>1.3</v>
      </c>
      <c r="H246" s="138" t="n">
        <v>0</v>
      </c>
      <c r="I246" s="138" t="s">
        <v>4567</v>
      </c>
      <c r="J246" s="138" t="s">
        <v>4564</v>
      </c>
      <c r="K246" s="138"/>
    </row>
    <row r="247" customFormat="false" ht="15" hidden="false" customHeight="false" outlineLevel="0" collapsed="false">
      <c r="A247" s="138" t="s">
        <v>4880</v>
      </c>
      <c r="B247" s="138" t="s">
        <v>4881</v>
      </c>
      <c r="C247" s="138" t="n">
        <v>332.76</v>
      </c>
      <c r="D247" s="138" t="n">
        <v>332.86</v>
      </c>
      <c r="E247" s="138" t="s">
        <v>59</v>
      </c>
      <c r="F247" s="138" t="n">
        <v>3</v>
      </c>
      <c r="G247" s="138" t="n">
        <v>1.2</v>
      </c>
      <c r="H247" s="138" t="n">
        <v>0</v>
      </c>
      <c r="I247" s="138" t="s">
        <v>4567</v>
      </c>
      <c r="J247" s="138" t="s">
        <v>4564</v>
      </c>
      <c r="K247" s="138"/>
    </row>
    <row r="248" customFormat="false" ht="15" hidden="false" customHeight="false" outlineLevel="0" collapsed="false">
      <c r="A248" s="138" t="s">
        <v>4882</v>
      </c>
      <c r="B248" s="138" t="s">
        <v>4883</v>
      </c>
      <c r="C248" s="138" t="n">
        <v>332.88</v>
      </c>
      <c r="D248" s="138" t="n">
        <v>332.975</v>
      </c>
      <c r="E248" s="138" t="s">
        <v>59</v>
      </c>
      <c r="F248" s="138" t="n">
        <v>2.9</v>
      </c>
      <c r="G248" s="138" t="n">
        <v>1.1</v>
      </c>
      <c r="H248" s="138" t="n">
        <v>0</v>
      </c>
      <c r="I248" s="138" t="s">
        <v>4567</v>
      </c>
      <c r="J248" s="138" t="s">
        <v>4564</v>
      </c>
      <c r="K248" s="138"/>
    </row>
    <row r="249" customFormat="false" ht="15" hidden="false" customHeight="false" outlineLevel="0" collapsed="false">
      <c r="A249" s="138" t="s">
        <v>1992</v>
      </c>
      <c r="B249" s="138" t="s">
        <v>4884</v>
      </c>
      <c r="C249" s="138" t="n">
        <v>333</v>
      </c>
      <c r="D249" s="138" t="n">
        <v>333.08</v>
      </c>
      <c r="E249" s="138" t="s">
        <v>59</v>
      </c>
      <c r="F249" s="138" t="n">
        <v>2.7</v>
      </c>
      <c r="G249" s="138" t="n">
        <v>1.1</v>
      </c>
      <c r="H249" s="138" t="n">
        <v>0</v>
      </c>
      <c r="I249" s="138" t="s">
        <v>4567</v>
      </c>
      <c r="J249" s="138" t="s">
        <v>4564</v>
      </c>
      <c r="K249" s="138"/>
    </row>
    <row r="250" customFormat="false" ht="15" hidden="false" customHeight="false" outlineLevel="0" collapsed="false">
      <c r="A250" s="138" t="s">
        <v>4885</v>
      </c>
      <c r="B250" s="138" t="s">
        <v>4886</v>
      </c>
      <c r="C250" s="138" t="n">
        <v>333.0995</v>
      </c>
      <c r="D250" s="138" t="n">
        <v>333.185</v>
      </c>
      <c r="E250" s="138" t="s">
        <v>59</v>
      </c>
      <c r="F250" s="138" t="n">
        <v>2.5</v>
      </c>
      <c r="G250" s="138" t="n">
        <v>1</v>
      </c>
      <c r="H250" s="138" t="n">
        <v>0</v>
      </c>
      <c r="I250" s="138" t="s">
        <v>4567</v>
      </c>
      <c r="J250" s="138" t="s">
        <v>4564</v>
      </c>
      <c r="K250" s="138"/>
    </row>
    <row r="251" customFormat="false" ht="15" hidden="false" customHeight="false" outlineLevel="0" collapsed="false">
      <c r="A251" s="138" t="s">
        <v>4887</v>
      </c>
      <c r="B251" s="138" t="s">
        <v>4888</v>
      </c>
      <c r="C251" s="138" t="n">
        <v>333.1645</v>
      </c>
      <c r="D251" s="138" t="n">
        <v>336.3</v>
      </c>
      <c r="E251" s="138" t="s">
        <v>59</v>
      </c>
      <c r="F251" s="138" t="n">
        <v>63.2</v>
      </c>
      <c r="G251" s="138" t="n">
        <v>6.3</v>
      </c>
      <c r="H251" s="138" t="n">
        <v>6</v>
      </c>
      <c r="I251" s="138" t="s">
        <v>4510</v>
      </c>
      <c r="J251" s="138" t="s">
        <v>4511</v>
      </c>
      <c r="K251" s="138" t="s">
        <v>4512</v>
      </c>
    </row>
    <row r="252" customFormat="false" ht="15" hidden="false" customHeight="false" outlineLevel="0" collapsed="false">
      <c r="A252" s="138" t="s">
        <v>4889</v>
      </c>
      <c r="B252" s="138" t="s">
        <v>4890</v>
      </c>
      <c r="C252" s="138" t="n">
        <v>333.214</v>
      </c>
      <c r="D252" s="138" t="n">
        <v>333.29</v>
      </c>
      <c r="E252" s="138" t="s">
        <v>59</v>
      </c>
      <c r="F252" s="138" t="n">
        <v>2.3</v>
      </c>
      <c r="G252" s="138" t="n">
        <v>0.9</v>
      </c>
      <c r="H252" s="138" t="n">
        <v>0</v>
      </c>
      <c r="I252" s="138" t="s">
        <v>4567</v>
      </c>
      <c r="J252" s="138" t="s">
        <v>4564</v>
      </c>
      <c r="K252" s="138"/>
    </row>
    <row r="253" customFormat="false" ht="15" hidden="false" customHeight="false" outlineLevel="0" collapsed="false">
      <c r="A253" s="138" t="s">
        <v>4891</v>
      </c>
      <c r="B253" s="138" t="s">
        <v>4892</v>
      </c>
      <c r="C253" s="138" t="n">
        <v>333.336</v>
      </c>
      <c r="D253" s="138" t="n">
        <v>333.41</v>
      </c>
      <c r="E253" s="138" t="s">
        <v>59</v>
      </c>
      <c r="F253" s="138" t="n">
        <v>2.2</v>
      </c>
      <c r="G253" s="138" t="n">
        <v>0.9</v>
      </c>
      <c r="H253" s="138" t="n">
        <v>0</v>
      </c>
      <c r="I253" s="138" t="s">
        <v>4567</v>
      </c>
      <c r="J253" s="138" t="s">
        <v>4564</v>
      </c>
      <c r="K253" s="138"/>
    </row>
    <row r="254" customFormat="false" ht="15" hidden="false" customHeight="false" outlineLevel="0" collapsed="false">
      <c r="A254" s="138" t="s">
        <v>4893</v>
      </c>
      <c r="B254" s="138" t="s">
        <v>4894</v>
      </c>
      <c r="C254" s="138" t="n">
        <v>333.4435</v>
      </c>
      <c r="D254" s="138" t="n">
        <v>333.515</v>
      </c>
      <c r="E254" s="138" t="s">
        <v>59</v>
      </c>
      <c r="F254" s="138" t="n">
        <v>2</v>
      </c>
      <c r="G254" s="138" t="n">
        <v>0.8</v>
      </c>
      <c r="H254" s="138" t="n">
        <v>0</v>
      </c>
      <c r="I254" s="138" t="s">
        <v>4567</v>
      </c>
      <c r="J254" s="138" t="s">
        <v>4564</v>
      </c>
      <c r="K254" s="138"/>
    </row>
    <row r="255" customFormat="false" ht="15" hidden="false" customHeight="false" outlineLevel="0" collapsed="false">
      <c r="A255" s="138" t="s">
        <v>4895</v>
      </c>
      <c r="B255" s="138" t="s">
        <v>4896</v>
      </c>
      <c r="C255" s="138" t="n">
        <v>333.565</v>
      </c>
      <c r="D255" s="138" t="n">
        <v>333.625</v>
      </c>
      <c r="E255" s="138" t="s">
        <v>59</v>
      </c>
      <c r="F255" s="138" t="n">
        <v>1.8</v>
      </c>
      <c r="G255" s="138" t="n">
        <v>0.7</v>
      </c>
      <c r="H255" s="138" t="n">
        <v>0</v>
      </c>
      <c r="I255" s="138" t="s">
        <v>4567</v>
      </c>
      <c r="J255" s="138" t="s">
        <v>4564</v>
      </c>
      <c r="K255" s="138"/>
    </row>
    <row r="256" customFormat="false" ht="15" hidden="false" customHeight="false" outlineLevel="0" collapsed="false">
      <c r="A256" s="138" t="s">
        <v>4897</v>
      </c>
      <c r="B256" s="138" t="s">
        <v>4898</v>
      </c>
      <c r="C256" s="138" t="n">
        <v>333.675</v>
      </c>
      <c r="D256" s="138" t="n">
        <v>333.735</v>
      </c>
      <c r="E256" s="138" t="s">
        <v>4521</v>
      </c>
      <c r="F256" s="138" t="n">
        <v>1.7</v>
      </c>
      <c r="G256" s="138" t="n">
        <v>0.7</v>
      </c>
      <c r="H256" s="138" t="n">
        <v>0</v>
      </c>
      <c r="I256" s="138" t="s">
        <v>4567</v>
      </c>
      <c r="J256" s="138" t="s">
        <v>4564</v>
      </c>
      <c r="K256" s="138"/>
    </row>
    <row r="257" customFormat="false" ht="15" hidden="false" customHeight="false" outlineLevel="0" collapsed="false">
      <c r="A257" s="138" t="s">
        <v>4899</v>
      </c>
      <c r="B257" s="138" t="s">
        <v>4900</v>
      </c>
      <c r="C257" s="138" t="n">
        <v>333.795</v>
      </c>
      <c r="D257" s="138" t="n">
        <v>333.845</v>
      </c>
      <c r="E257" s="138" t="s">
        <v>4521</v>
      </c>
      <c r="F257" s="138" t="n">
        <v>1.5</v>
      </c>
      <c r="G257" s="138" t="n">
        <v>0.6</v>
      </c>
      <c r="H257" s="138" t="n">
        <v>0</v>
      </c>
      <c r="I257" s="138" t="s">
        <v>4567</v>
      </c>
      <c r="J257" s="138" t="s">
        <v>4564</v>
      </c>
      <c r="K257" s="138"/>
    </row>
    <row r="258" customFormat="false" ht="15" hidden="false" customHeight="false" outlineLevel="0" collapsed="false">
      <c r="A258" s="138" t="s">
        <v>4901</v>
      </c>
      <c r="B258" s="138" t="s">
        <v>4902</v>
      </c>
      <c r="C258" s="138" t="n">
        <v>333.905</v>
      </c>
      <c r="D258" s="138" t="n">
        <v>333.95</v>
      </c>
      <c r="E258" s="138" t="s">
        <v>4521</v>
      </c>
      <c r="F258" s="138" t="n">
        <v>1.3</v>
      </c>
      <c r="G258" s="138" t="n">
        <v>0.5</v>
      </c>
      <c r="H258" s="138" t="n">
        <v>0</v>
      </c>
      <c r="I258" s="138" t="s">
        <v>4567</v>
      </c>
      <c r="J258" s="138" t="s">
        <v>4564</v>
      </c>
      <c r="K258" s="138"/>
    </row>
    <row r="259" customFormat="false" ht="15" hidden="false" customHeight="false" outlineLevel="0" collapsed="false">
      <c r="A259" s="138" t="s">
        <v>4903</v>
      </c>
      <c r="B259" s="138" t="s">
        <v>4904</v>
      </c>
      <c r="C259" s="138" t="n">
        <v>334.0195</v>
      </c>
      <c r="D259" s="138" t="n">
        <v>334.06</v>
      </c>
      <c r="E259" s="138" t="s">
        <v>4521</v>
      </c>
      <c r="F259" s="138" t="n">
        <v>1.1</v>
      </c>
      <c r="G259" s="138" t="n">
        <v>0.5</v>
      </c>
      <c r="H259" s="138" t="n">
        <v>0</v>
      </c>
      <c r="I259" s="138" t="s">
        <v>4567</v>
      </c>
      <c r="J259" s="138" t="s">
        <v>4564</v>
      </c>
      <c r="K259" s="138"/>
    </row>
    <row r="260" customFormat="false" ht="15" hidden="false" customHeight="false" outlineLevel="0" collapsed="false">
      <c r="A260" s="138" t="s">
        <v>4905</v>
      </c>
      <c r="B260" s="138" t="s">
        <v>4906</v>
      </c>
      <c r="C260" s="138" t="n">
        <v>334.1355</v>
      </c>
      <c r="D260" s="138" t="n">
        <v>334.165</v>
      </c>
      <c r="E260" s="138" t="s">
        <v>59</v>
      </c>
      <c r="F260" s="138" t="n">
        <v>0.8</v>
      </c>
      <c r="G260" s="138" t="n">
        <v>0.3</v>
      </c>
      <c r="H260" s="138" t="n">
        <v>0</v>
      </c>
      <c r="I260" s="138" t="s">
        <v>4567</v>
      </c>
      <c r="J260" s="138" t="s">
        <v>4564</v>
      </c>
      <c r="K260" s="138"/>
    </row>
    <row r="261" customFormat="false" ht="15" hidden="false" customHeight="false" outlineLevel="0" collapsed="false">
      <c r="A261" s="138" t="s">
        <v>4907</v>
      </c>
      <c r="B261" s="138" t="s">
        <v>4908</v>
      </c>
      <c r="C261" s="138" t="n">
        <v>334.2535</v>
      </c>
      <c r="D261" s="138" t="n">
        <v>334.27</v>
      </c>
      <c r="E261" s="138" t="s">
        <v>59</v>
      </c>
      <c r="F261" s="138" t="n">
        <v>0.5</v>
      </c>
      <c r="G261" s="138" t="n">
        <v>0.2</v>
      </c>
      <c r="H261" s="138" t="n">
        <v>0</v>
      </c>
      <c r="I261" s="138" t="s">
        <v>4567</v>
      </c>
      <c r="J261" s="138" t="s">
        <v>4564</v>
      </c>
      <c r="K261" s="138"/>
    </row>
    <row r="262" customFormat="false" ht="15" hidden="false" customHeight="false" outlineLevel="0" collapsed="false">
      <c r="A262" s="138" t="s">
        <v>4909</v>
      </c>
      <c r="B262" s="138" t="s">
        <v>4909</v>
      </c>
      <c r="C262" s="138" t="n">
        <v>334.515</v>
      </c>
      <c r="D262" s="138" t="n">
        <v>334.5155</v>
      </c>
      <c r="E262" s="138" t="s">
        <v>59</v>
      </c>
      <c r="F262" s="138" t="n">
        <v>334.7</v>
      </c>
      <c r="G262" s="138" t="n">
        <v>33.5</v>
      </c>
      <c r="H262" s="138" t="n">
        <v>210</v>
      </c>
      <c r="I262" s="138" t="s">
        <v>4563</v>
      </c>
      <c r="J262" s="138" t="s">
        <v>4564</v>
      </c>
      <c r="K262" s="138" t="s">
        <v>4515</v>
      </c>
    </row>
    <row r="263" customFormat="false" ht="15" hidden="false" customHeight="false" outlineLevel="0" collapsed="false">
      <c r="A263" s="138" t="s">
        <v>4909</v>
      </c>
      <c r="B263" s="138" t="s">
        <v>4910</v>
      </c>
      <c r="C263" s="138" t="n">
        <v>334.515</v>
      </c>
      <c r="D263" s="138" t="n">
        <v>340.515</v>
      </c>
      <c r="E263" s="138" t="s">
        <v>59</v>
      </c>
      <c r="F263" s="138" t="n">
        <v>120</v>
      </c>
      <c r="G263" s="138" t="n">
        <v>24</v>
      </c>
      <c r="H263" s="138" t="n">
        <v>16</v>
      </c>
      <c r="I263" s="138" t="s">
        <v>4514</v>
      </c>
      <c r="J263" s="138" t="s">
        <v>4511</v>
      </c>
      <c r="K263" s="138" t="s">
        <v>4515</v>
      </c>
    </row>
    <row r="264" customFormat="false" ht="15" hidden="false" customHeight="false" outlineLevel="0" collapsed="false">
      <c r="A264" s="138" t="s">
        <v>4888</v>
      </c>
      <c r="B264" s="138" t="s">
        <v>4556</v>
      </c>
      <c r="C264" s="138" t="n">
        <v>336.3</v>
      </c>
      <c r="D264" s="138" t="n">
        <v>359.77</v>
      </c>
      <c r="E264" s="138" t="s">
        <v>59</v>
      </c>
      <c r="F264" s="138" t="n">
        <v>467.9</v>
      </c>
      <c r="G264" s="138" t="n">
        <v>46.8</v>
      </c>
      <c r="H264" s="138" t="n">
        <v>39</v>
      </c>
      <c r="I264" s="138" t="s">
        <v>4510</v>
      </c>
      <c r="J264" s="138" t="s">
        <v>4511</v>
      </c>
      <c r="K264" s="138" t="s">
        <v>4512</v>
      </c>
    </row>
    <row r="265" customFormat="false" ht="15" hidden="false" customHeight="false" outlineLevel="0" collapsed="false">
      <c r="A265" s="138" t="s">
        <v>4910</v>
      </c>
      <c r="B265" s="138" t="s">
        <v>4911</v>
      </c>
      <c r="C265" s="138" t="n">
        <v>340.515</v>
      </c>
      <c r="D265" s="138" t="n">
        <v>347.755</v>
      </c>
      <c r="E265" s="138" t="s">
        <v>60</v>
      </c>
      <c r="F265" s="138" t="n">
        <v>144.8</v>
      </c>
      <c r="G265" s="138" t="n">
        <v>14.5</v>
      </c>
      <c r="H265" s="138" t="n">
        <v>0</v>
      </c>
      <c r="I265" s="138" t="s">
        <v>4517</v>
      </c>
      <c r="J265" s="138" t="s">
        <v>4511</v>
      </c>
      <c r="K265" s="138"/>
    </row>
    <row r="266" customFormat="false" ht="15" hidden="false" customHeight="false" outlineLevel="0" collapsed="false">
      <c r="A266" s="138" t="s">
        <v>4910</v>
      </c>
      <c r="B266" s="138" t="s">
        <v>4912</v>
      </c>
      <c r="C266" s="138" t="n">
        <v>340.515</v>
      </c>
      <c r="D266" s="138" t="n">
        <v>347.75</v>
      </c>
      <c r="E266" s="138" t="s">
        <v>59</v>
      </c>
      <c r="F266" s="138" t="n">
        <v>144.7</v>
      </c>
      <c r="G266" s="138" t="n">
        <v>21.7</v>
      </c>
      <c r="H266" s="138" t="n">
        <v>19</v>
      </c>
      <c r="I266" s="138" t="s">
        <v>4518</v>
      </c>
      <c r="J266" s="138" t="s">
        <v>4511</v>
      </c>
      <c r="K266" s="138" t="s">
        <v>4519</v>
      </c>
    </row>
    <row r="267" customFormat="false" ht="15" hidden="false" customHeight="false" outlineLevel="0" collapsed="false">
      <c r="A267" s="138" t="s">
        <v>4912</v>
      </c>
      <c r="B267" s="138" t="s">
        <v>4913</v>
      </c>
      <c r="C267" s="138" t="n">
        <v>347.75</v>
      </c>
      <c r="D267" s="138" t="n">
        <v>386.5</v>
      </c>
      <c r="E267" s="138" t="s">
        <v>59</v>
      </c>
      <c r="F267" s="138" t="n">
        <v>774.9</v>
      </c>
      <c r="G267" s="138" t="n">
        <v>155</v>
      </c>
      <c r="H267" s="138" t="n">
        <v>97</v>
      </c>
      <c r="I267" s="138" t="s">
        <v>4514</v>
      </c>
      <c r="J267" s="138" t="s">
        <v>4511</v>
      </c>
      <c r="K267" s="138" t="s">
        <v>4515</v>
      </c>
    </row>
    <row r="268" customFormat="false" ht="15" hidden="false" customHeight="false" outlineLevel="0" collapsed="false">
      <c r="A268" s="138" t="s">
        <v>4556</v>
      </c>
      <c r="B268" s="138" t="s">
        <v>4914</v>
      </c>
      <c r="C268" s="138" t="n">
        <v>359.77</v>
      </c>
      <c r="D268" s="138" t="n">
        <v>365.745</v>
      </c>
      <c r="E268" s="138" t="s">
        <v>60</v>
      </c>
      <c r="F268" s="138" t="n">
        <v>119.6</v>
      </c>
      <c r="G268" s="138" t="n">
        <v>6</v>
      </c>
      <c r="H268" s="138" t="n">
        <v>30</v>
      </c>
      <c r="I268" s="138" t="s">
        <v>4526</v>
      </c>
      <c r="J268" s="138" t="s">
        <v>4511</v>
      </c>
      <c r="K268" s="138" t="s">
        <v>4512</v>
      </c>
    </row>
    <row r="269" customFormat="false" ht="15" hidden="false" customHeight="false" outlineLevel="0" collapsed="false">
      <c r="A269" s="138" t="s">
        <v>4556</v>
      </c>
      <c r="B269" s="138" t="s">
        <v>4914</v>
      </c>
      <c r="C269" s="138" t="n">
        <v>359.77</v>
      </c>
      <c r="D269" s="138" t="n">
        <v>365.745</v>
      </c>
      <c r="E269" s="138" t="s">
        <v>60</v>
      </c>
      <c r="F269" s="138" t="n">
        <v>120</v>
      </c>
      <c r="G269" s="138" t="n">
        <v>12</v>
      </c>
      <c r="H269" s="138" t="n">
        <v>11</v>
      </c>
      <c r="I269" s="138" t="s">
        <v>4510</v>
      </c>
      <c r="J269" s="138" t="s">
        <v>4511</v>
      </c>
      <c r="K269" s="138" t="s">
        <v>4512</v>
      </c>
    </row>
    <row r="270" customFormat="false" ht="15" hidden="false" customHeight="false" outlineLevel="0" collapsed="false">
      <c r="A270" s="138" t="s">
        <v>4556</v>
      </c>
      <c r="B270" s="138" t="s">
        <v>4915</v>
      </c>
      <c r="C270" s="138" t="n">
        <v>359.77</v>
      </c>
      <c r="D270" s="138" t="n">
        <v>365.755</v>
      </c>
      <c r="E270" s="138" t="s">
        <v>59</v>
      </c>
      <c r="F270" s="138" t="n">
        <v>119.9</v>
      </c>
      <c r="G270" s="138" t="n">
        <v>12</v>
      </c>
      <c r="H270" s="138" t="n">
        <v>10</v>
      </c>
      <c r="I270" s="138" t="s">
        <v>4510</v>
      </c>
      <c r="J270" s="138" t="s">
        <v>4511</v>
      </c>
      <c r="K270" s="138" t="s">
        <v>4512</v>
      </c>
    </row>
    <row r="271" customFormat="false" ht="15" hidden="false" customHeight="false" outlineLevel="0" collapsed="false">
      <c r="A271" s="138" t="s">
        <v>4556</v>
      </c>
      <c r="B271" s="138" t="s">
        <v>4916</v>
      </c>
      <c r="C271" s="138" t="n">
        <v>359.77</v>
      </c>
      <c r="D271" s="138" t="n">
        <v>365.73</v>
      </c>
      <c r="E271" s="138" t="s">
        <v>59</v>
      </c>
      <c r="F271" s="138" t="n">
        <v>119.1</v>
      </c>
      <c r="G271" s="138" t="n">
        <v>6</v>
      </c>
      <c r="H271" s="138" t="n">
        <v>30</v>
      </c>
      <c r="I271" s="138" t="s">
        <v>4526</v>
      </c>
      <c r="J271" s="138" t="s">
        <v>4511</v>
      </c>
      <c r="K271" s="138" t="s">
        <v>4512</v>
      </c>
    </row>
    <row r="272" customFormat="false" ht="15" hidden="false" customHeight="false" outlineLevel="0" collapsed="false">
      <c r="A272" s="138" t="s">
        <v>4914</v>
      </c>
      <c r="B272" s="138" t="s">
        <v>4917</v>
      </c>
      <c r="C272" s="138" t="n">
        <v>365.745</v>
      </c>
      <c r="D272" s="138" t="n">
        <v>393.185</v>
      </c>
      <c r="E272" s="138" t="s">
        <v>60</v>
      </c>
      <c r="F272" s="138" t="n">
        <v>548.8</v>
      </c>
      <c r="G272" s="138" t="n">
        <v>54.9</v>
      </c>
      <c r="H272" s="138" t="n">
        <v>46</v>
      </c>
      <c r="I272" s="138" t="s">
        <v>4510</v>
      </c>
      <c r="J272" s="138" t="s">
        <v>4511</v>
      </c>
      <c r="K272" s="138" t="s">
        <v>4512</v>
      </c>
    </row>
    <row r="273" customFormat="false" ht="15" hidden="false" customHeight="false" outlineLevel="0" collapsed="false">
      <c r="A273" s="138" t="s">
        <v>4915</v>
      </c>
      <c r="B273" s="138" t="s">
        <v>4918</v>
      </c>
      <c r="C273" s="138" t="n">
        <v>365.755</v>
      </c>
      <c r="D273" s="138" t="n">
        <v>422.5</v>
      </c>
      <c r="E273" s="138" t="s">
        <v>59</v>
      </c>
      <c r="F273" s="138" t="n">
        <v>1135.6</v>
      </c>
      <c r="G273" s="138" t="n">
        <v>113.6</v>
      </c>
      <c r="H273" s="138" t="n">
        <v>95</v>
      </c>
      <c r="I273" s="138" t="s">
        <v>4510</v>
      </c>
      <c r="J273" s="138" t="s">
        <v>4511</v>
      </c>
      <c r="K273" s="138" t="s">
        <v>4512</v>
      </c>
    </row>
    <row r="274" customFormat="false" ht="15" hidden="false" customHeight="false" outlineLevel="0" collapsed="false">
      <c r="A274" s="138" t="s">
        <v>4919</v>
      </c>
      <c r="B274" s="138" t="s">
        <v>3599</v>
      </c>
      <c r="C274" s="138" t="n">
        <v>386.4975</v>
      </c>
      <c r="D274" s="138" t="n">
        <v>393.75</v>
      </c>
      <c r="E274" s="138" t="s">
        <v>59</v>
      </c>
      <c r="F274" s="138" t="n">
        <v>145.1</v>
      </c>
      <c r="G274" s="138" t="n">
        <v>14.5</v>
      </c>
      <c r="H274" s="138" t="n">
        <v>0</v>
      </c>
      <c r="I274" s="138" t="s">
        <v>4517</v>
      </c>
      <c r="J274" s="138" t="s">
        <v>4511</v>
      </c>
      <c r="K274" s="138"/>
    </row>
    <row r="275" customFormat="false" ht="15" hidden="false" customHeight="false" outlineLevel="0" collapsed="false">
      <c r="A275" s="138" t="s">
        <v>4920</v>
      </c>
      <c r="B275" s="138" t="s">
        <v>4913</v>
      </c>
      <c r="C275" s="138" t="n">
        <v>386.4985</v>
      </c>
      <c r="D275" s="138" t="n">
        <v>386.5</v>
      </c>
      <c r="E275" s="138" t="s">
        <v>60</v>
      </c>
      <c r="F275" s="138" t="n">
        <v>0</v>
      </c>
      <c r="G275" s="138" t="n">
        <v>0</v>
      </c>
      <c r="H275" s="138" t="n">
        <v>0</v>
      </c>
      <c r="I275" s="138" t="s">
        <v>4517</v>
      </c>
      <c r="J275" s="138" t="s">
        <v>4511</v>
      </c>
      <c r="K275" s="138"/>
    </row>
    <row r="276" customFormat="false" ht="15" hidden="false" customHeight="false" outlineLevel="0" collapsed="false">
      <c r="A276" s="138" t="s">
        <v>4913</v>
      </c>
      <c r="B276" s="138" t="s">
        <v>3599</v>
      </c>
      <c r="C276" s="138" t="n">
        <v>386.5</v>
      </c>
      <c r="D276" s="138" t="n">
        <v>393.75</v>
      </c>
      <c r="E276" s="138" t="s">
        <v>60</v>
      </c>
      <c r="F276" s="138" t="n">
        <v>145</v>
      </c>
      <c r="G276" s="138" t="n">
        <v>21.8</v>
      </c>
      <c r="H276" s="138" t="n">
        <v>19</v>
      </c>
      <c r="I276" s="138" t="s">
        <v>4518</v>
      </c>
      <c r="J276" s="138" t="s">
        <v>4511</v>
      </c>
      <c r="K276" s="138" t="s">
        <v>4519</v>
      </c>
    </row>
    <row r="277" customFormat="false" ht="15" hidden="false" customHeight="false" outlineLevel="0" collapsed="false">
      <c r="A277" s="138" t="s">
        <v>4917</v>
      </c>
      <c r="B277" s="138" t="s">
        <v>4921</v>
      </c>
      <c r="C277" s="138" t="n">
        <v>393.185</v>
      </c>
      <c r="D277" s="138" t="n">
        <v>402.18</v>
      </c>
      <c r="E277" s="138" t="s">
        <v>60</v>
      </c>
      <c r="F277" s="138" t="n">
        <v>179.9</v>
      </c>
      <c r="G277" s="138" t="n">
        <v>9</v>
      </c>
      <c r="H277" s="138" t="n">
        <v>45</v>
      </c>
      <c r="I277" s="138" t="s">
        <v>4526</v>
      </c>
      <c r="J277" s="138" t="s">
        <v>4511</v>
      </c>
      <c r="K277" s="138" t="s">
        <v>4512</v>
      </c>
    </row>
    <row r="278" customFormat="false" ht="15" hidden="false" customHeight="false" outlineLevel="0" collapsed="false">
      <c r="A278" s="138" t="s">
        <v>4917</v>
      </c>
      <c r="B278" s="138" t="s">
        <v>4922</v>
      </c>
      <c r="C278" s="138" t="n">
        <v>393.185</v>
      </c>
      <c r="D278" s="138" t="n">
        <v>396.63</v>
      </c>
      <c r="E278" s="138" t="s">
        <v>60</v>
      </c>
      <c r="F278" s="138" t="n">
        <v>98.7</v>
      </c>
      <c r="G278" s="138" t="n">
        <v>9.9</v>
      </c>
      <c r="H278" s="138" t="n">
        <v>9</v>
      </c>
      <c r="I278" s="138" t="s">
        <v>4510</v>
      </c>
      <c r="J278" s="138" t="s">
        <v>4511</v>
      </c>
      <c r="K278" s="138" t="s">
        <v>4512</v>
      </c>
    </row>
    <row r="279" customFormat="false" ht="15" hidden="false" customHeight="false" outlineLevel="0" collapsed="false">
      <c r="A279" s="138" t="s">
        <v>3599</v>
      </c>
      <c r="B279" s="138" t="s">
        <v>3601</v>
      </c>
      <c r="C279" s="138" t="n">
        <v>393.75</v>
      </c>
      <c r="D279" s="138" t="n">
        <v>403.25</v>
      </c>
      <c r="E279" s="138" t="s">
        <v>4521</v>
      </c>
      <c r="F279" s="138" t="n">
        <v>190</v>
      </c>
      <c r="G279" s="138" t="n">
        <v>28.5</v>
      </c>
      <c r="H279" s="138" t="n">
        <v>24</v>
      </c>
      <c r="I279" s="138" t="s">
        <v>4518</v>
      </c>
      <c r="J279" s="138" t="s">
        <v>4511</v>
      </c>
      <c r="K279" s="138" t="s">
        <v>4519</v>
      </c>
    </row>
    <row r="280" customFormat="false" ht="15" hidden="false" customHeight="false" outlineLevel="0" collapsed="false">
      <c r="A280" s="138" t="s">
        <v>4923</v>
      </c>
      <c r="B280" s="138" t="s">
        <v>4921</v>
      </c>
      <c r="C280" s="138" t="n">
        <v>396.81</v>
      </c>
      <c r="D280" s="138" t="n">
        <v>402.18</v>
      </c>
      <c r="E280" s="138" t="s">
        <v>60</v>
      </c>
      <c r="F280" s="138" t="n">
        <v>113.6</v>
      </c>
      <c r="G280" s="138" t="n">
        <v>11.4</v>
      </c>
      <c r="H280" s="138" t="n">
        <v>10</v>
      </c>
      <c r="I280" s="138" t="s">
        <v>4510</v>
      </c>
      <c r="J280" s="138" t="s">
        <v>4511</v>
      </c>
      <c r="K280" s="138" t="s">
        <v>4512</v>
      </c>
    </row>
    <row r="281" customFormat="false" ht="15" hidden="false" customHeight="false" outlineLevel="0" collapsed="false">
      <c r="A281" s="138" t="s">
        <v>4924</v>
      </c>
      <c r="B281" s="138" t="s">
        <v>4925</v>
      </c>
      <c r="C281" s="138" t="n">
        <v>402.181</v>
      </c>
      <c r="D281" s="138" t="n">
        <v>415.075</v>
      </c>
      <c r="E281" s="138" t="s">
        <v>60</v>
      </c>
      <c r="F281" s="138" t="n">
        <v>257.9</v>
      </c>
      <c r="G281" s="138" t="n">
        <v>25.8</v>
      </c>
      <c r="H281" s="138" t="n">
        <v>22</v>
      </c>
      <c r="I281" s="138" t="s">
        <v>4510</v>
      </c>
      <c r="J281" s="138" t="s">
        <v>4511</v>
      </c>
      <c r="K281" s="138" t="s">
        <v>4512</v>
      </c>
    </row>
    <row r="282" customFormat="false" ht="15" hidden="false" customHeight="false" outlineLevel="0" collapsed="false">
      <c r="A282" s="138" t="s">
        <v>3601</v>
      </c>
      <c r="B282" s="138" t="s">
        <v>2075</v>
      </c>
      <c r="C282" s="138" t="n">
        <v>403.25</v>
      </c>
      <c r="D282" s="138" t="n">
        <v>412</v>
      </c>
      <c r="E282" s="138" t="s">
        <v>59</v>
      </c>
      <c r="F282" s="138" t="n">
        <v>175</v>
      </c>
      <c r="G282" s="138" t="n">
        <v>26.3</v>
      </c>
      <c r="H282" s="138" t="n">
        <v>22</v>
      </c>
      <c r="I282" s="138" t="s">
        <v>4518</v>
      </c>
      <c r="J282" s="138" t="s">
        <v>4511</v>
      </c>
      <c r="K282" s="138" t="s">
        <v>4519</v>
      </c>
    </row>
    <row r="283" customFormat="false" ht="15" hidden="false" customHeight="false" outlineLevel="0" collapsed="false">
      <c r="A283" s="138" t="s">
        <v>3601</v>
      </c>
      <c r="B283" s="138" t="s">
        <v>4926</v>
      </c>
      <c r="C283" s="138" t="n">
        <v>403.25</v>
      </c>
      <c r="D283" s="138" t="n">
        <v>412.25</v>
      </c>
      <c r="E283" s="138" t="s">
        <v>60</v>
      </c>
      <c r="F283" s="138" t="n">
        <v>180</v>
      </c>
      <c r="G283" s="138" t="n">
        <v>18</v>
      </c>
      <c r="H283" s="138" t="n">
        <v>0</v>
      </c>
      <c r="I283" s="138" t="s">
        <v>4517</v>
      </c>
      <c r="J283" s="138" t="s">
        <v>4511</v>
      </c>
      <c r="K283" s="138"/>
    </row>
    <row r="284" customFormat="false" ht="15" hidden="false" customHeight="false" outlineLevel="0" collapsed="false">
      <c r="A284" s="138" t="s">
        <v>2075</v>
      </c>
      <c r="B284" s="138" t="s">
        <v>3602</v>
      </c>
      <c r="C284" s="138" t="n">
        <v>412</v>
      </c>
      <c r="D284" s="138" t="n">
        <v>420.25</v>
      </c>
      <c r="E284" s="138" t="s">
        <v>59</v>
      </c>
      <c r="F284" s="138" t="n">
        <v>165</v>
      </c>
      <c r="G284" s="138" t="n">
        <v>33</v>
      </c>
      <c r="H284" s="138" t="n">
        <v>21</v>
      </c>
      <c r="I284" s="138" t="s">
        <v>4514</v>
      </c>
      <c r="J284" s="138" t="s">
        <v>4511</v>
      </c>
      <c r="K284" s="138" t="s">
        <v>4515</v>
      </c>
    </row>
    <row r="285" customFormat="false" ht="15" hidden="false" customHeight="false" outlineLevel="0" collapsed="false">
      <c r="A285" s="138" t="s">
        <v>4925</v>
      </c>
      <c r="B285" s="138" t="s">
        <v>4927</v>
      </c>
      <c r="C285" s="138" t="n">
        <v>415.075</v>
      </c>
      <c r="D285" s="138" t="n">
        <v>421.1</v>
      </c>
      <c r="E285" s="138" t="s">
        <v>60</v>
      </c>
      <c r="F285" s="138" t="n">
        <v>120</v>
      </c>
      <c r="G285" s="138" t="n">
        <v>12</v>
      </c>
      <c r="H285" s="138" t="n">
        <v>11</v>
      </c>
      <c r="I285" s="138" t="s">
        <v>4510</v>
      </c>
      <c r="J285" s="138" t="s">
        <v>4511</v>
      </c>
      <c r="K285" s="138" t="s">
        <v>4512</v>
      </c>
    </row>
    <row r="286" customFormat="false" ht="15" hidden="false" customHeight="false" outlineLevel="0" collapsed="false">
      <c r="A286" s="138" t="s">
        <v>4928</v>
      </c>
      <c r="B286" s="138" t="s">
        <v>4929</v>
      </c>
      <c r="C286" s="138" t="n">
        <v>415.0915</v>
      </c>
      <c r="D286" s="138" t="n">
        <v>421.065</v>
      </c>
      <c r="E286" s="138" t="s">
        <v>60</v>
      </c>
      <c r="F286" s="138" t="n">
        <v>119.1</v>
      </c>
      <c r="G286" s="138" t="n">
        <v>6</v>
      </c>
      <c r="H286" s="138" t="n">
        <v>30</v>
      </c>
      <c r="I286" s="138" t="s">
        <v>4526</v>
      </c>
      <c r="J286" s="138" t="s">
        <v>4511</v>
      </c>
      <c r="K286" s="138" t="s">
        <v>4512</v>
      </c>
    </row>
    <row r="287" customFormat="false" ht="15" hidden="false" customHeight="false" outlineLevel="0" collapsed="false">
      <c r="A287" s="138" t="s">
        <v>3602</v>
      </c>
      <c r="B287" s="138" t="s">
        <v>4930</v>
      </c>
      <c r="C287" s="138" t="n">
        <v>420.25</v>
      </c>
      <c r="D287" s="138" t="n">
        <v>428.75</v>
      </c>
      <c r="E287" s="138" t="s">
        <v>4521</v>
      </c>
      <c r="F287" s="138" t="n">
        <v>170</v>
      </c>
      <c r="G287" s="138" t="n">
        <v>25.5</v>
      </c>
      <c r="H287" s="138" t="n">
        <v>22</v>
      </c>
      <c r="I287" s="138" t="s">
        <v>4518</v>
      </c>
      <c r="J287" s="138" t="s">
        <v>4511</v>
      </c>
      <c r="K287" s="138" t="s">
        <v>4519</v>
      </c>
    </row>
    <row r="288" customFormat="false" ht="15" hidden="false" customHeight="false" outlineLevel="0" collapsed="false">
      <c r="A288" s="138" t="s">
        <v>4931</v>
      </c>
      <c r="B288" s="138" t="s">
        <v>4932</v>
      </c>
      <c r="C288" s="138" t="n">
        <v>421.0985</v>
      </c>
      <c r="D288" s="138" t="n">
        <v>469.015</v>
      </c>
      <c r="E288" s="138" t="s">
        <v>60</v>
      </c>
      <c r="F288" s="138" t="n">
        <v>961</v>
      </c>
      <c r="G288" s="138" t="n">
        <v>96.1</v>
      </c>
      <c r="H288" s="138" t="n">
        <v>81</v>
      </c>
      <c r="I288" s="138" t="s">
        <v>4510</v>
      </c>
      <c r="J288" s="138" t="s">
        <v>4511</v>
      </c>
      <c r="K288" s="138" t="s">
        <v>4512</v>
      </c>
    </row>
    <row r="289" customFormat="false" ht="15" hidden="false" customHeight="false" outlineLevel="0" collapsed="false">
      <c r="A289" s="138" t="s">
        <v>4933</v>
      </c>
      <c r="B289" s="138" t="s">
        <v>4934</v>
      </c>
      <c r="C289" s="138" t="n">
        <v>422.4975</v>
      </c>
      <c r="D289" s="138" t="n">
        <v>428.46</v>
      </c>
      <c r="E289" s="138" t="s">
        <v>59</v>
      </c>
      <c r="F289" s="138" t="n">
        <v>119.5</v>
      </c>
      <c r="G289" s="138" t="n">
        <v>6</v>
      </c>
      <c r="H289" s="138" t="n">
        <v>30</v>
      </c>
      <c r="I289" s="138" t="s">
        <v>4526</v>
      </c>
      <c r="J289" s="138" t="s">
        <v>4511</v>
      </c>
      <c r="K289" s="138" t="s">
        <v>4512</v>
      </c>
    </row>
    <row r="290" customFormat="false" ht="15" hidden="false" customHeight="false" outlineLevel="0" collapsed="false">
      <c r="A290" s="138" t="s">
        <v>4933</v>
      </c>
      <c r="B290" s="138" t="s">
        <v>4934</v>
      </c>
      <c r="C290" s="138" t="n">
        <v>422.4975</v>
      </c>
      <c r="D290" s="138" t="n">
        <v>428.46</v>
      </c>
      <c r="E290" s="138" t="s">
        <v>59</v>
      </c>
      <c r="F290" s="138" t="n">
        <v>120</v>
      </c>
      <c r="G290" s="138" t="n">
        <v>12</v>
      </c>
      <c r="H290" s="138" t="n">
        <v>10</v>
      </c>
      <c r="I290" s="138" t="s">
        <v>4510</v>
      </c>
      <c r="J290" s="138" t="s">
        <v>4511</v>
      </c>
      <c r="K290" s="138" t="s">
        <v>4512</v>
      </c>
    </row>
    <row r="291" customFormat="false" ht="15" hidden="false" customHeight="false" outlineLevel="0" collapsed="false">
      <c r="A291" s="138" t="s">
        <v>4935</v>
      </c>
      <c r="B291" s="138" t="s">
        <v>4936</v>
      </c>
      <c r="C291" s="138" t="n">
        <v>428.4575</v>
      </c>
      <c r="D291" s="138" t="n">
        <v>458.955</v>
      </c>
      <c r="E291" s="138" t="s">
        <v>59</v>
      </c>
      <c r="F291" s="138" t="n">
        <v>606.6</v>
      </c>
      <c r="G291" s="138" t="n">
        <v>60.7</v>
      </c>
      <c r="H291" s="138" t="n">
        <v>51</v>
      </c>
      <c r="I291" s="138" t="s">
        <v>4510</v>
      </c>
      <c r="J291" s="138" t="s">
        <v>4511</v>
      </c>
      <c r="K291" s="138" t="s">
        <v>4512</v>
      </c>
    </row>
    <row r="292" customFormat="false" ht="15" hidden="false" customHeight="false" outlineLevel="0" collapsed="false">
      <c r="A292" s="138" t="s">
        <v>4930</v>
      </c>
      <c r="B292" s="138" t="s">
        <v>4937</v>
      </c>
      <c r="C292" s="138" t="n">
        <v>428.75</v>
      </c>
      <c r="D292" s="138" t="n">
        <v>432.25</v>
      </c>
      <c r="E292" s="138" t="s">
        <v>59</v>
      </c>
      <c r="F292" s="138" t="n">
        <v>70</v>
      </c>
      <c r="G292" s="138" t="n">
        <v>14</v>
      </c>
      <c r="H292" s="138" t="n">
        <v>9</v>
      </c>
      <c r="I292" s="138" t="s">
        <v>4514</v>
      </c>
      <c r="J292" s="138" t="s">
        <v>4511</v>
      </c>
      <c r="K292" s="138" t="s">
        <v>4515</v>
      </c>
    </row>
    <row r="293" customFormat="false" ht="15" hidden="false" customHeight="false" outlineLevel="0" collapsed="false">
      <c r="A293" s="138" t="s">
        <v>4937</v>
      </c>
      <c r="B293" s="138" t="s">
        <v>2099</v>
      </c>
      <c r="C293" s="138" t="n">
        <v>432.25</v>
      </c>
      <c r="D293" s="138" t="n">
        <v>435</v>
      </c>
      <c r="E293" s="138" t="s">
        <v>4521</v>
      </c>
      <c r="F293" s="138" t="n">
        <v>55</v>
      </c>
      <c r="G293" s="138" t="n">
        <v>8.3</v>
      </c>
      <c r="H293" s="138" t="n">
        <v>7</v>
      </c>
      <c r="I293" s="138" t="s">
        <v>4518</v>
      </c>
      <c r="J293" s="138" t="s">
        <v>4511</v>
      </c>
      <c r="K293" s="138" t="s">
        <v>4519</v>
      </c>
    </row>
    <row r="294" customFormat="false" ht="15" hidden="false" customHeight="false" outlineLevel="0" collapsed="false">
      <c r="A294" s="138" t="s">
        <v>2099</v>
      </c>
      <c r="B294" s="138" t="s">
        <v>2117</v>
      </c>
      <c r="C294" s="138" t="n">
        <v>435</v>
      </c>
      <c r="D294" s="138" t="n">
        <v>453</v>
      </c>
      <c r="E294" s="138" t="s">
        <v>60</v>
      </c>
      <c r="F294" s="138" t="n">
        <v>360</v>
      </c>
      <c r="G294" s="138" t="n">
        <v>36</v>
      </c>
      <c r="H294" s="138" t="n">
        <v>0</v>
      </c>
      <c r="I294" s="138" t="s">
        <v>4517</v>
      </c>
      <c r="J294" s="138" t="s">
        <v>4511</v>
      </c>
      <c r="K294" s="138"/>
    </row>
    <row r="295" customFormat="false" ht="15" hidden="false" customHeight="false" outlineLevel="0" collapsed="false">
      <c r="A295" s="138" t="s">
        <v>2099</v>
      </c>
      <c r="B295" s="138" t="s">
        <v>2117</v>
      </c>
      <c r="C295" s="138" t="n">
        <v>435</v>
      </c>
      <c r="D295" s="138" t="n">
        <v>453</v>
      </c>
      <c r="E295" s="138" t="s">
        <v>59</v>
      </c>
      <c r="F295" s="138" t="n">
        <v>359.9</v>
      </c>
      <c r="G295" s="138" t="n">
        <v>54</v>
      </c>
      <c r="H295" s="138" t="n">
        <v>45</v>
      </c>
      <c r="I295" s="138" t="s">
        <v>4518</v>
      </c>
      <c r="J295" s="138" t="s">
        <v>4511</v>
      </c>
      <c r="K295" s="138" t="s">
        <v>4519</v>
      </c>
    </row>
    <row r="296" customFormat="false" ht="15" hidden="false" customHeight="false" outlineLevel="0" collapsed="false">
      <c r="A296" s="138" t="s">
        <v>2117</v>
      </c>
      <c r="B296" s="138" t="s">
        <v>2123</v>
      </c>
      <c r="C296" s="138" t="n">
        <v>453</v>
      </c>
      <c r="D296" s="138" t="n">
        <v>458</v>
      </c>
      <c r="E296" s="138" t="s">
        <v>59</v>
      </c>
      <c r="F296" s="138" t="n">
        <v>99.9</v>
      </c>
      <c r="G296" s="138" t="n">
        <v>20</v>
      </c>
      <c r="H296" s="138" t="n">
        <v>13</v>
      </c>
      <c r="I296" s="138" t="s">
        <v>4514</v>
      </c>
      <c r="J296" s="138" t="s">
        <v>4511</v>
      </c>
      <c r="K296" s="138" t="s">
        <v>4515</v>
      </c>
    </row>
    <row r="297" customFormat="false" ht="15" hidden="false" customHeight="false" outlineLevel="0" collapsed="false">
      <c r="A297" s="138" t="s">
        <v>2123</v>
      </c>
      <c r="B297" s="138" t="s">
        <v>2133</v>
      </c>
      <c r="C297" s="138" t="n">
        <v>458</v>
      </c>
      <c r="D297" s="138" t="n">
        <v>466</v>
      </c>
      <c r="E297" s="138" t="s">
        <v>60</v>
      </c>
      <c r="F297" s="138" t="n">
        <v>160</v>
      </c>
      <c r="G297" s="138" t="n">
        <v>24</v>
      </c>
      <c r="H297" s="138" t="n">
        <v>21</v>
      </c>
      <c r="I297" s="138" t="s">
        <v>4518</v>
      </c>
      <c r="J297" s="138" t="s">
        <v>4511</v>
      </c>
      <c r="K297" s="138" t="s">
        <v>4519</v>
      </c>
    </row>
    <row r="298" customFormat="false" ht="15" hidden="false" customHeight="false" outlineLevel="0" collapsed="false">
      <c r="A298" s="138" t="s">
        <v>2123</v>
      </c>
      <c r="B298" s="138" t="s">
        <v>2133</v>
      </c>
      <c r="C298" s="138" t="n">
        <v>458</v>
      </c>
      <c r="D298" s="138" t="n">
        <v>466</v>
      </c>
      <c r="E298" s="138" t="s">
        <v>59</v>
      </c>
      <c r="F298" s="138" t="n">
        <v>160</v>
      </c>
      <c r="G298" s="138" t="n">
        <v>16</v>
      </c>
      <c r="H298" s="138" t="n">
        <v>0</v>
      </c>
      <c r="I298" s="138" t="s">
        <v>4517</v>
      </c>
      <c r="J298" s="138" t="s">
        <v>4511</v>
      </c>
      <c r="K298" s="138"/>
    </row>
    <row r="299" customFormat="false" ht="15" hidden="false" customHeight="false" outlineLevel="0" collapsed="false">
      <c r="A299" s="138" t="s">
        <v>4936</v>
      </c>
      <c r="B299" s="138" t="s">
        <v>2131</v>
      </c>
      <c r="C299" s="138" t="n">
        <v>458.955</v>
      </c>
      <c r="D299" s="138" t="n">
        <v>465</v>
      </c>
      <c r="E299" s="138" t="s">
        <v>59</v>
      </c>
      <c r="F299" s="138" t="n">
        <v>120.1</v>
      </c>
      <c r="G299" s="138" t="n">
        <v>12</v>
      </c>
      <c r="H299" s="138" t="n">
        <v>11</v>
      </c>
      <c r="I299" s="138" t="s">
        <v>4510</v>
      </c>
      <c r="J299" s="138" t="s">
        <v>4511</v>
      </c>
      <c r="K299" s="138" t="s">
        <v>4512</v>
      </c>
    </row>
    <row r="300" customFormat="false" ht="15" hidden="false" customHeight="false" outlineLevel="0" collapsed="false">
      <c r="A300" s="138" t="s">
        <v>2131</v>
      </c>
      <c r="B300" s="138" t="s">
        <v>4938</v>
      </c>
      <c r="C300" s="138" t="n">
        <v>465</v>
      </c>
      <c r="D300" s="138" t="n">
        <v>469.01</v>
      </c>
      <c r="E300" s="138" t="s">
        <v>59</v>
      </c>
      <c r="F300" s="138" t="n">
        <v>81.3</v>
      </c>
      <c r="G300" s="138" t="n">
        <v>8.1</v>
      </c>
      <c r="H300" s="138" t="n">
        <v>7</v>
      </c>
      <c r="I300" s="138" t="s">
        <v>4510</v>
      </c>
      <c r="J300" s="138" t="s">
        <v>4511</v>
      </c>
      <c r="K300" s="138" t="s">
        <v>4512</v>
      </c>
    </row>
    <row r="301" customFormat="false" ht="15" hidden="false" customHeight="false" outlineLevel="0" collapsed="false">
      <c r="A301" s="138" t="s">
        <v>2133</v>
      </c>
      <c r="B301" s="138" t="s">
        <v>4939</v>
      </c>
      <c r="C301" s="138" t="n">
        <v>466</v>
      </c>
      <c r="D301" s="138" t="n">
        <v>475.25</v>
      </c>
      <c r="E301" s="138" t="s">
        <v>4521</v>
      </c>
      <c r="F301" s="138" t="n">
        <v>185</v>
      </c>
      <c r="G301" s="138" t="n">
        <v>27.8</v>
      </c>
      <c r="H301" s="138" t="n">
        <v>24</v>
      </c>
      <c r="I301" s="138" t="s">
        <v>4518</v>
      </c>
      <c r="J301" s="138" t="s">
        <v>4511</v>
      </c>
      <c r="K301" s="138" t="s">
        <v>4519</v>
      </c>
    </row>
    <row r="302" customFormat="false" ht="15" hidden="false" customHeight="false" outlineLevel="0" collapsed="false">
      <c r="A302" s="138" t="s">
        <v>4940</v>
      </c>
      <c r="B302" s="138" t="s">
        <v>2143</v>
      </c>
      <c r="C302" s="138" t="n">
        <v>469.011</v>
      </c>
      <c r="D302" s="138" t="n">
        <v>475</v>
      </c>
      <c r="E302" s="138" t="s">
        <v>59</v>
      </c>
      <c r="F302" s="138" t="n">
        <v>120</v>
      </c>
      <c r="G302" s="138" t="n">
        <v>6</v>
      </c>
      <c r="H302" s="138" t="n">
        <v>31</v>
      </c>
      <c r="I302" s="138" t="s">
        <v>4526</v>
      </c>
      <c r="J302" s="138" t="s">
        <v>4511</v>
      </c>
      <c r="K302" s="138" t="s">
        <v>4512</v>
      </c>
    </row>
    <row r="303" customFormat="false" ht="15" hidden="false" customHeight="false" outlineLevel="0" collapsed="false">
      <c r="A303" s="138" t="s">
        <v>4940</v>
      </c>
      <c r="B303" s="138" t="s">
        <v>2143</v>
      </c>
      <c r="C303" s="138" t="n">
        <v>469.011</v>
      </c>
      <c r="D303" s="138" t="n">
        <v>475</v>
      </c>
      <c r="E303" s="138" t="s">
        <v>59</v>
      </c>
      <c r="F303" s="138" t="n">
        <v>120.4</v>
      </c>
      <c r="G303" s="138" t="n">
        <v>12</v>
      </c>
      <c r="H303" s="138" t="n">
        <v>11</v>
      </c>
      <c r="I303" s="138" t="s">
        <v>4510</v>
      </c>
      <c r="J303" s="138" t="s">
        <v>4511</v>
      </c>
      <c r="K303" s="138" t="s">
        <v>4512</v>
      </c>
    </row>
    <row r="304" customFormat="false" ht="15" hidden="false" customHeight="false" outlineLevel="0" collapsed="false">
      <c r="A304" s="138" t="s">
        <v>4941</v>
      </c>
      <c r="B304" s="138" t="s">
        <v>4942</v>
      </c>
      <c r="C304" s="138" t="n">
        <v>469.016</v>
      </c>
      <c r="D304" s="138" t="n">
        <v>475.025</v>
      </c>
      <c r="E304" s="138" t="s">
        <v>60</v>
      </c>
      <c r="F304" s="138" t="n">
        <v>119.8</v>
      </c>
      <c r="G304" s="138" t="n">
        <v>6</v>
      </c>
      <c r="H304" s="138" t="n">
        <v>30</v>
      </c>
      <c r="I304" s="138" t="s">
        <v>4526</v>
      </c>
      <c r="J304" s="138" t="s">
        <v>4511</v>
      </c>
      <c r="K304" s="138" t="s">
        <v>4512</v>
      </c>
    </row>
    <row r="305" customFormat="false" ht="15" hidden="false" customHeight="false" outlineLevel="0" collapsed="false">
      <c r="A305" s="138" t="s">
        <v>4941</v>
      </c>
      <c r="B305" s="138" t="s">
        <v>4942</v>
      </c>
      <c r="C305" s="138" t="n">
        <v>469.016</v>
      </c>
      <c r="D305" s="138" t="n">
        <v>475.025</v>
      </c>
      <c r="E305" s="138" t="s">
        <v>60</v>
      </c>
      <c r="F305" s="138" t="n">
        <v>120</v>
      </c>
      <c r="G305" s="138" t="n">
        <v>12</v>
      </c>
      <c r="H305" s="138" t="n">
        <v>11</v>
      </c>
      <c r="I305" s="138" t="s">
        <v>4510</v>
      </c>
      <c r="J305" s="138" t="s">
        <v>4511</v>
      </c>
      <c r="K305" s="138" t="s">
        <v>4512</v>
      </c>
    </row>
    <row r="306" customFormat="false" ht="15" hidden="false" customHeight="false" outlineLevel="0" collapsed="false">
      <c r="A306" s="138" t="s">
        <v>2143</v>
      </c>
      <c r="B306" s="138" t="s">
        <v>4943</v>
      </c>
      <c r="C306" s="138" t="n">
        <v>475</v>
      </c>
      <c r="D306" s="138" t="n">
        <v>490.485</v>
      </c>
      <c r="E306" s="138" t="s">
        <v>59</v>
      </c>
      <c r="F306" s="138" t="n">
        <v>310.9</v>
      </c>
      <c r="G306" s="138" t="n">
        <v>31.1</v>
      </c>
      <c r="H306" s="138" t="n">
        <v>26</v>
      </c>
      <c r="I306" s="138" t="s">
        <v>4510</v>
      </c>
      <c r="J306" s="138" t="s">
        <v>4511</v>
      </c>
      <c r="K306" s="138" t="s">
        <v>4512</v>
      </c>
    </row>
    <row r="307" customFormat="false" ht="15" hidden="false" customHeight="false" outlineLevel="0" collapsed="false">
      <c r="A307" s="138" t="s">
        <v>4944</v>
      </c>
      <c r="B307" s="138" t="s">
        <v>4945</v>
      </c>
      <c r="C307" s="138" t="n">
        <v>475.023</v>
      </c>
      <c r="D307" s="138" t="n">
        <v>486.87</v>
      </c>
      <c r="E307" s="138" t="s">
        <v>60</v>
      </c>
      <c r="F307" s="138" t="n">
        <v>235.3</v>
      </c>
      <c r="G307" s="138" t="n">
        <v>23.5</v>
      </c>
      <c r="H307" s="138" t="n">
        <v>20</v>
      </c>
      <c r="I307" s="138" t="s">
        <v>4510</v>
      </c>
      <c r="J307" s="138" t="s">
        <v>4511</v>
      </c>
      <c r="K307" s="138" t="s">
        <v>4512</v>
      </c>
    </row>
    <row r="308" customFormat="false" ht="15" hidden="false" customHeight="false" outlineLevel="0" collapsed="false">
      <c r="A308" s="138" t="s">
        <v>4939</v>
      </c>
      <c r="B308" s="138" t="s">
        <v>4946</v>
      </c>
      <c r="C308" s="138" t="n">
        <v>475.25</v>
      </c>
      <c r="D308" s="138" t="n">
        <v>483.15</v>
      </c>
      <c r="E308" s="138" t="s">
        <v>59</v>
      </c>
      <c r="F308" s="138" t="n">
        <v>158.1</v>
      </c>
      <c r="G308" s="138" t="n">
        <v>23.7</v>
      </c>
      <c r="H308" s="138" t="n">
        <v>20</v>
      </c>
      <c r="I308" s="138" t="s">
        <v>4518</v>
      </c>
      <c r="J308" s="138" t="s">
        <v>4511</v>
      </c>
      <c r="K308" s="138" t="s">
        <v>4519</v>
      </c>
    </row>
    <row r="309" customFormat="false" ht="15" hidden="false" customHeight="false" outlineLevel="0" collapsed="false">
      <c r="A309" s="138" t="s">
        <v>4939</v>
      </c>
      <c r="B309" s="138" t="s">
        <v>4946</v>
      </c>
      <c r="C309" s="138" t="n">
        <v>475.25</v>
      </c>
      <c r="D309" s="138" t="n">
        <v>483.15</v>
      </c>
      <c r="E309" s="138" t="s">
        <v>60</v>
      </c>
      <c r="F309" s="138" t="n">
        <v>158</v>
      </c>
      <c r="G309" s="138" t="n">
        <v>15.8</v>
      </c>
      <c r="H309" s="138" t="n">
        <v>0</v>
      </c>
      <c r="I309" s="138" t="s">
        <v>4517</v>
      </c>
      <c r="J309" s="138" t="s">
        <v>4511</v>
      </c>
      <c r="K309" s="138"/>
    </row>
    <row r="310" customFormat="false" ht="15" hidden="false" customHeight="false" outlineLevel="0" collapsed="false">
      <c r="A310" s="138" t="s">
        <v>4946</v>
      </c>
      <c r="B310" s="138" t="s">
        <v>2178</v>
      </c>
      <c r="C310" s="138" t="n">
        <v>483.15</v>
      </c>
      <c r="D310" s="138" t="n">
        <v>508</v>
      </c>
      <c r="E310" s="138" t="s">
        <v>59</v>
      </c>
      <c r="F310" s="138" t="n">
        <v>497</v>
      </c>
      <c r="G310" s="138" t="n">
        <v>99.4</v>
      </c>
      <c r="H310" s="138" t="n">
        <v>63</v>
      </c>
      <c r="I310" s="138" t="s">
        <v>4514</v>
      </c>
      <c r="J310" s="138" t="s">
        <v>4511</v>
      </c>
      <c r="K310" s="138" t="s">
        <v>4515</v>
      </c>
    </row>
    <row r="311" customFormat="false" ht="15" hidden="false" customHeight="false" outlineLevel="0" collapsed="false">
      <c r="A311" s="138" t="s">
        <v>4945</v>
      </c>
      <c r="B311" s="138" t="s">
        <v>2164</v>
      </c>
      <c r="C311" s="138" t="n">
        <v>486.87</v>
      </c>
      <c r="D311" s="138" t="n">
        <v>495</v>
      </c>
      <c r="E311" s="138" t="s">
        <v>60</v>
      </c>
      <c r="F311" s="138" t="n">
        <v>181.9</v>
      </c>
      <c r="G311" s="138" t="n">
        <v>18.2</v>
      </c>
      <c r="H311" s="138" t="n">
        <v>16</v>
      </c>
      <c r="I311" s="138" t="s">
        <v>4510</v>
      </c>
      <c r="J311" s="138" t="s">
        <v>4511</v>
      </c>
      <c r="K311" s="138" t="s">
        <v>4512</v>
      </c>
    </row>
    <row r="312" customFormat="false" ht="15" hidden="false" customHeight="false" outlineLevel="0" collapsed="false">
      <c r="A312" s="138" t="s">
        <v>4945</v>
      </c>
      <c r="B312" s="138" t="s">
        <v>4947</v>
      </c>
      <c r="C312" s="138" t="n">
        <v>486.87</v>
      </c>
      <c r="D312" s="138" t="n">
        <v>496.44</v>
      </c>
      <c r="E312" s="138" t="s">
        <v>60</v>
      </c>
      <c r="F312" s="138" t="n">
        <v>192.8</v>
      </c>
      <c r="G312" s="138" t="n">
        <v>9.6</v>
      </c>
      <c r="H312" s="138" t="n">
        <v>49</v>
      </c>
      <c r="I312" s="138" t="s">
        <v>4526</v>
      </c>
      <c r="J312" s="138" t="s">
        <v>4511</v>
      </c>
      <c r="K312" s="138" t="s">
        <v>4512</v>
      </c>
    </row>
    <row r="313" customFormat="false" ht="15" hidden="false" customHeight="false" outlineLevel="0" collapsed="false">
      <c r="A313" s="138" t="s">
        <v>4948</v>
      </c>
      <c r="B313" s="138" t="s">
        <v>4949</v>
      </c>
      <c r="C313" s="138" t="n">
        <v>490.4835</v>
      </c>
      <c r="D313" s="138" t="n">
        <v>516.385</v>
      </c>
      <c r="E313" s="138" t="s">
        <v>59</v>
      </c>
      <c r="F313" s="138" t="n">
        <v>519.2</v>
      </c>
      <c r="G313" s="138" t="n">
        <v>26</v>
      </c>
      <c r="H313" s="138" t="n">
        <v>130</v>
      </c>
      <c r="I313" s="138" t="s">
        <v>4526</v>
      </c>
      <c r="J313" s="138" t="s">
        <v>4511</v>
      </c>
      <c r="K313" s="138" t="s">
        <v>4512</v>
      </c>
    </row>
    <row r="314" customFormat="false" ht="15" hidden="false" customHeight="false" outlineLevel="0" collapsed="false">
      <c r="A314" s="138" t="s">
        <v>4948</v>
      </c>
      <c r="B314" s="138" t="s">
        <v>2179</v>
      </c>
      <c r="C314" s="138" t="n">
        <v>490.4835</v>
      </c>
      <c r="D314" s="138" t="n">
        <v>509</v>
      </c>
      <c r="E314" s="138" t="s">
        <v>59</v>
      </c>
      <c r="F314" s="138" t="n">
        <v>393.3</v>
      </c>
      <c r="G314" s="138" t="n">
        <v>39.3</v>
      </c>
      <c r="H314" s="138" t="n">
        <v>33</v>
      </c>
      <c r="I314" s="138" t="s">
        <v>4510</v>
      </c>
      <c r="J314" s="138" t="s">
        <v>4511</v>
      </c>
      <c r="K314" s="138" t="s">
        <v>4512</v>
      </c>
    </row>
    <row r="315" customFormat="false" ht="15" hidden="false" customHeight="false" outlineLevel="0" collapsed="false">
      <c r="A315" s="138" t="s">
        <v>4950</v>
      </c>
      <c r="B315" s="138" t="s">
        <v>4947</v>
      </c>
      <c r="C315" s="138" t="n">
        <v>495.3555</v>
      </c>
      <c r="D315" s="138" t="n">
        <v>496.44</v>
      </c>
      <c r="E315" s="138" t="s">
        <v>60</v>
      </c>
      <c r="F315" s="138" t="n">
        <v>37.1</v>
      </c>
      <c r="G315" s="138" t="n">
        <v>3.7</v>
      </c>
      <c r="H315" s="138" t="n">
        <v>4</v>
      </c>
      <c r="I315" s="138" t="s">
        <v>4510</v>
      </c>
      <c r="J315" s="138" t="s">
        <v>4511</v>
      </c>
      <c r="K315" s="138" t="s">
        <v>4512</v>
      </c>
    </row>
    <row r="316" customFormat="false" ht="15" hidden="false" customHeight="false" outlineLevel="0" collapsed="false">
      <c r="A316" s="138" t="s">
        <v>1589</v>
      </c>
      <c r="B316" s="138" t="s">
        <v>1589</v>
      </c>
      <c r="C316" s="138" t="n">
        <v>496</v>
      </c>
      <c r="D316" s="138" t="n">
        <v>496.0005</v>
      </c>
      <c r="E316" s="138" t="s">
        <v>59</v>
      </c>
      <c r="F316" s="138" t="n">
        <v>7.5</v>
      </c>
      <c r="G316" s="138" t="n">
        <v>5.7</v>
      </c>
      <c r="H316" s="138" t="n">
        <v>0</v>
      </c>
      <c r="I316" s="138" t="s">
        <v>4592</v>
      </c>
      <c r="J316" s="138" t="s">
        <v>4564</v>
      </c>
      <c r="K316" s="138"/>
    </row>
    <row r="317" customFormat="false" ht="15" hidden="false" customHeight="false" outlineLevel="0" collapsed="false">
      <c r="A317" s="138" t="s">
        <v>4951</v>
      </c>
      <c r="B317" s="138" t="s">
        <v>4952</v>
      </c>
      <c r="C317" s="138" t="n">
        <v>496.441</v>
      </c>
      <c r="D317" s="138" t="n">
        <v>642.79</v>
      </c>
      <c r="E317" s="138" t="s">
        <v>60</v>
      </c>
      <c r="F317" s="138" t="n">
        <v>2924.3</v>
      </c>
      <c r="G317" s="138" t="n">
        <v>292.4</v>
      </c>
      <c r="H317" s="138" t="n">
        <v>244</v>
      </c>
      <c r="I317" s="138" t="s">
        <v>4510</v>
      </c>
      <c r="J317" s="138" t="s">
        <v>4511</v>
      </c>
      <c r="K317" s="138" t="s">
        <v>4512</v>
      </c>
    </row>
    <row r="318" customFormat="false" ht="15" hidden="false" customHeight="false" outlineLevel="0" collapsed="false">
      <c r="A318" s="138" t="s">
        <v>4953</v>
      </c>
      <c r="B318" s="138" t="s">
        <v>4954</v>
      </c>
      <c r="C318" s="138" t="n">
        <v>496.77</v>
      </c>
      <c r="D318" s="138" t="n">
        <v>502.815</v>
      </c>
      <c r="E318" s="138" t="s">
        <v>60</v>
      </c>
      <c r="F318" s="138" t="n">
        <v>120.2</v>
      </c>
      <c r="G318" s="138" t="n">
        <v>6</v>
      </c>
      <c r="H318" s="138" t="n">
        <v>31</v>
      </c>
      <c r="I318" s="138" t="s">
        <v>4526</v>
      </c>
      <c r="J318" s="138" t="s">
        <v>4511</v>
      </c>
      <c r="K318" s="138" t="s">
        <v>4512</v>
      </c>
    </row>
    <row r="319" customFormat="false" ht="15" hidden="false" customHeight="false" outlineLevel="0" collapsed="false">
      <c r="A319" s="138" t="s">
        <v>2168</v>
      </c>
      <c r="B319" s="138" t="s">
        <v>2168</v>
      </c>
      <c r="C319" s="138" t="n">
        <v>498</v>
      </c>
      <c r="D319" s="138" t="n">
        <v>498.0005</v>
      </c>
      <c r="E319" s="138" t="s">
        <v>60</v>
      </c>
      <c r="F319" s="138" t="n">
        <v>7.5</v>
      </c>
      <c r="G319" s="138" t="n">
        <v>5.7</v>
      </c>
      <c r="H319" s="138" t="n">
        <v>0</v>
      </c>
      <c r="I319" s="138" t="s">
        <v>4592</v>
      </c>
      <c r="J319" s="138" t="s">
        <v>4564</v>
      </c>
      <c r="K319" s="138"/>
    </row>
    <row r="320" customFormat="false" ht="15" hidden="false" customHeight="false" outlineLevel="0" collapsed="false">
      <c r="A320" s="138" t="s">
        <v>2171</v>
      </c>
      <c r="B320" s="138" t="s">
        <v>2171</v>
      </c>
      <c r="C320" s="138" t="n">
        <v>501</v>
      </c>
      <c r="D320" s="138" t="n">
        <v>501.0005</v>
      </c>
      <c r="E320" s="138" t="s">
        <v>60</v>
      </c>
      <c r="F320" s="138" t="n">
        <v>7.5</v>
      </c>
      <c r="G320" s="138" t="n">
        <v>5.7</v>
      </c>
      <c r="H320" s="138" t="n">
        <v>0</v>
      </c>
      <c r="I320" s="138" t="s">
        <v>4592</v>
      </c>
      <c r="J320" s="138" t="s">
        <v>4564</v>
      </c>
      <c r="K320" s="138"/>
    </row>
    <row r="321" customFormat="false" ht="15" hidden="false" customHeight="false" outlineLevel="0" collapsed="false">
      <c r="A321" s="138" t="s">
        <v>2178</v>
      </c>
      <c r="B321" s="138" t="s">
        <v>3625</v>
      </c>
      <c r="C321" s="138" t="n">
        <v>508</v>
      </c>
      <c r="D321" s="138" t="n">
        <v>513.75</v>
      </c>
      <c r="E321" s="138" t="s">
        <v>59</v>
      </c>
      <c r="F321" s="138" t="n">
        <v>115</v>
      </c>
      <c r="G321" s="138" t="n">
        <v>11.5</v>
      </c>
      <c r="H321" s="138" t="n">
        <v>0</v>
      </c>
      <c r="I321" s="138" t="s">
        <v>4517</v>
      </c>
      <c r="J321" s="138" t="s">
        <v>4511</v>
      </c>
      <c r="K321" s="138"/>
    </row>
    <row r="322" customFormat="false" ht="15" hidden="false" customHeight="false" outlineLevel="0" collapsed="false">
      <c r="A322" s="138" t="s">
        <v>2178</v>
      </c>
      <c r="B322" s="138" t="s">
        <v>3625</v>
      </c>
      <c r="C322" s="138" t="n">
        <v>508</v>
      </c>
      <c r="D322" s="138" t="n">
        <v>513.75</v>
      </c>
      <c r="E322" s="138" t="s">
        <v>60</v>
      </c>
      <c r="F322" s="138" t="n">
        <v>115</v>
      </c>
      <c r="G322" s="138" t="n">
        <v>17.3</v>
      </c>
      <c r="H322" s="138" t="n">
        <v>15</v>
      </c>
      <c r="I322" s="138" t="s">
        <v>4518</v>
      </c>
      <c r="J322" s="138" t="s">
        <v>4511</v>
      </c>
      <c r="K322" s="138" t="s">
        <v>4519</v>
      </c>
    </row>
    <row r="323" customFormat="false" ht="15" hidden="false" customHeight="false" outlineLevel="0" collapsed="false">
      <c r="A323" s="138" t="s">
        <v>4955</v>
      </c>
      <c r="B323" s="138" t="s">
        <v>4949</v>
      </c>
      <c r="C323" s="138" t="n">
        <v>509.23</v>
      </c>
      <c r="D323" s="138" t="n">
        <v>516.385</v>
      </c>
      <c r="E323" s="138" t="s">
        <v>59</v>
      </c>
      <c r="F323" s="138" t="n">
        <v>154</v>
      </c>
      <c r="G323" s="138" t="n">
        <v>15.4</v>
      </c>
      <c r="H323" s="138" t="n">
        <v>13</v>
      </c>
      <c r="I323" s="138" t="s">
        <v>4510</v>
      </c>
      <c r="J323" s="138" t="s">
        <v>4511</v>
      </c>
      <c r="K323" s="138" t="s">
        <v>4512</v>
      </c>
    </row>
    <row r="324" customFormat="false" ht="15" hidden="false" customHeight="false" outlineLevel="0" collapsed="false">
      <c r="A324" s="138" t="s">
        <v>3625</v>
      </c>
      <c r="B324" s="138" t="s">
        <v>3627</v>
      </c>
      <c r="C324" s="138" t="n">
        <v>513.75</v>
      </c>
      <c r="D324" s="138" t="n">
        <v>523.5</v>
      </c>
      <c r="E324" s="138" t="s">
        <v>4521</v>
      </c>
      <c r="F324" s="138" t="n">
        <v>195</v>
      </c>
      <c r="G324" s="138" t="n">
        <v>29.3</v>
      </c>
      <c r="H324" s="138" t="n">
        <v>25</v>
      </c>
      <c r="I324" s="138" t="s">
        <v>4518</v>
      </c>
      <c r="J324" s="138" t="s">
        <v>4511</v>
      </c>
      <c r="K324" s="138" t="s">
        <v>4519</v>
      </c>
    </row>
    <row r="325" customFormat="false" ht="15" hidden="false" customHeight="false" outlineLevel="0" collapsed="false">
      <c r="A325" s="138" t="s">
        <v>4956</v>
      </c>
      <c r="B325" s="138" t="s">
        <v>4957</v>
      </c>
      <c r="C325" s="138" t="n">
        <v>516.383</v>
      </c>
      <c r="D325" s="138" t="n">
        <v>520.03</v>
      </c>
      <c r="E325" s="138" t="s">
        <v>59</v>
      </c>
      <c r="F325" s="138" t="n">
        <v>72.9</v>
      </c>
      <c r="G325" s="138" t="n">
        <v>7.3</v>
      </c>
      <c r="H325" s="138" t="n">
        <v>7</v>
      </c>
      <c r="I325" s="138" t="s">
        <v>4510</v>
      </c>
      <c r="J325" s="138" t="s">
        <v>4511</v>
      </c>
      <c r="K325" s="138" t="s">
        <v>4512</v>
      </c>
    </row>
    <row r="326" customFormat="false" ht="15" hidden="false" customHeight="false" outlineLevel="0" collapsed="false">
      <c r="A326" s="138" t="s">
        <v>4958</v>
      </c>
      <c r="B326" s="138" t="s">
        <v>4959</v>
      </c>
      <c r="C326" s="138" t="n">
        <v>520.0295</v>
      </c>
      <c r="D326" s="138" t="n">
        <v>526.03</v>
      </c>
      <c r="E326" s="138" t="s">
        <v>59</v>
      </c>
      <c r="F326" s="138" t="n">
        <v>120.3</v>
      </c>
      <c r="G326" s="138" t="n">
        <v>12</v>
      </c>
      <c r="H326" s="138" t="n">
        <v>11</v>
      </c>
      <c r="I326" s="138" t="s">
        <v>4510</v>
      </c>
      <c r="J326" s="138" t="s">
        <v>4511</v>
      </c>
      <c r="K326" s="138" t="s">
        <v>4512</v>
      </c>
    </row>
    <row r="327" customFormat="false" ht="15" hidden="false" customHeight="false" outlineLevel="0" collapsed="false">
      <c r="A327" s="138" t="s">
        <v>4958</v>
      </c>
      <c r="B327" s="138" t="s">
        <v>4959</v>
      </c>
      <c r="C327" s="138" t="n">
        <v>520.0295</v>
      </c>
      <c r="D327" s="138" t="n">
        <v>526.03</v>
      </c>
      <c r="E327" s="138" t="s">
        <v>59</v>
      </c>
      <c r="F327" s="138" t="n">
        <v>120</v>
      </c>
      <c r="G327" s="138" t="n">
        <v>6</v>
      </c>
      <c r="H327" s="138" t="n">
        <v>31</v>
      </c>
      <c r="I327" s="138" t="s">
        <v>4526</v>
      </c>
      <c r="J327" s="138" t="s">
        <v>4511</v>
      </c>
      <c r="K327" s="138" t="s">
        <v>4512</v>
      </c>
    </row>
    <row r="328" customFormat="false" ht="15" hidden="false" customHeight="false" outlineLevel="0" collapsed="false">
      <c r="A328" s="138" t="s">
        <v>3627</v>
      </c>
      <c r="B328" s="138" t="s">
        <v>4960</v>
      </c>
      <c r="C328" s="138" t="n">
        <v>523.5</v>
      </c>
      <c r="D328" s="138" t="n">
        <v>532.25</v>
      </c>
      <c r="E328" s="138" t="s">
        <v>60</v>
      </c>
      <c r="F328" s="138" t="n">
        <v>175</v>
      </c>
      <c r="G328" s="138" t="n">
        <v>17.5</v>
      </c>
      <c r="H328" s="138" t="n">
        <v>0</v>
      </c>
      <c r="I328" s="138" t="s">
        <v>4517</v>
      </c>
      <c r="J328" s="138" t="s">
        <v>4511</v>
      </c>
      <c r="K328" s="138"/>
    </row>
    <row r="329" customFormat="false" ht="15" hidden="false" customHeight="false" outlineLevel="0" collapsed="false">
      <c r="A329" s="138" t="s">
        <v>3627</v>
      </c>
      <c r="B329" s="138" t="s">
        <v>4960</v>
      </c>
      <c r="C329" s="138" t="n">
        <v>523.5</v>
      </c>
      <c r="D329" s="138" t="n">
        <v>532.25</v>
      </c>
      <c r="E329" s="138" t="s">
        <v>59</v>
      </c>
      <c r="F329" s="138" t="n">
        <v>175</v>
      </c>
      <c r="G329" s="138" t="n">
        <v>26.3</v>
      </c>
      <c r="H329" s="138" t="n">
        <v>22</v>
      </c>
      <c r="I329" s="138" t="s">
        <v>4518</v>
      </c>
      <c r="J329" s="138" t="s">
        <v>4511</v>
      </c>
      <c r="K329" s="138" t="s">
        <v>4519</v>
      </c>
    </row>
    <row r="330" customFormat="false" ht="15" hidden="false" customHeight="false" outlineLevel="0" collapsed="false">
      <c r="A330" s="138" t="s">
        <v>4961</v>
      </c>
      <c r="B330" s="138" t="s">
        <v>4952</v>
      </c>
      <c r="C330" s="138" t="n">
        <v>526.028</v>
      </c>
      <c r="D330" s="138" t="n">
        <v>642.79</v>
      </c>
      <c r="E330" s="138" t="s">
        <v>59</v>
      </c>
      <c r="F330" s="138" t="n">
        <v>2335.7</v>
      </c>
      <c r="G330" s="138" t="n">
        <v>233.6</v>
      </c>
      <c r="H330" s="138" t="n">
        <v>195</v>
      </c>
      <c r="I330" s="138" t="s">
        <v>4510</v>
      </c>
      <c r="J330" s="138" t="s">
        <v>4511</v>
      </c>
      <c r="K330" s="138" t="s">
        <v>4512</v>
      </c>
    </row>
    <row r="331" customFormat="false" ht="15" hidden="false" customHeight="false" outlineLevel="0" collapsed="false">
      <c r="A331" s="138" t="s">
        <v>4960</v>
      </c>
      <c r="B331" s="138" t="s">
        <v>4962</v>
      </c>
      <c r="C331" s="138" t="n">
        <v>532.25</v>
      </c>
      <c r="D331" s="138" t="n">
        <v>534.75</v>
      </c>
      <c r="E331" s="138" t="s">
        <v>59</v>
      </c>
      <c r="F331" s="138" t="n">
        <v>50</v>
      </c>
      <c r="G331" s="138" t="n">
        <v>10</v>
      </c>
      <c r="H331" s="138" t="n">
        <v>7</v>
      </c>
      <c r="I331" s="138" t="s">
        <v>4514</v>
      </c>
      <c r="J331" s="138" t="s">
        <v>4511</v>
      </c>
      <c r="K331" s="138" t="s">
        <v>4515</v>
      </c>
    </row>
    <row r="332" customFormat="false" ht="15" hidden="false" customHeight="false" outlineLevel="0" collapsed="false">
      <c r="A332" s="138" t="s">
        <v>4962</v>
      </c>
      <c r="B332" s="138" t="s">
        <v>3628</v>
      </c>
      <c r="C332" s="138" t="n">
        <v>534.75</v>
      </c>
      <c r="D332" s="138" t="n">
        <v>542.25</v>
      </c>
      <c r="E332" s="138" t="s">
        <v>60</v>
      </c>
      <c r="F332" s="138" t="n">
        <v>150</v>
      </c>
      <c r="G332" s="138" t="n">
        <v>22.5</v>
      </c>
      <c r="H332" s="138" t="n">
        <v>19</v>
      </c>
      <c r="I332" s="138" t="s">
        <v>4518</v>
      </c>
      <c r="J332" s="138" t="s">
        <v>4511</v>
      </c>
      <c r="K332" s="138" t="s">
        <v>4519</v>
      </c>
    </row>
    <row r="333" customFormat="false" ht="15" hidden="false" customHeight="false" outlineLevel="0" collapsed="false">
      <c r="A333" s="138" t="s">
        <v>4962</v>
      </c>
      <c r="B333" s="138" t="s">
        <v>3628</v>
      </c>
      <c r="C333" s="138" t="n">
        <v>534.75</v>
      </c>
      <c r="D333" s="138" t="n">
        <v>542.25</v>
      </c>
      <c r="E333" s="138" t="s">
        <v>59</v>
      </c>
      <c r="F333" s="138" t="n">
        <v>150</v>
      </c>
      <c r="G333" s="138" t="n">
        <v>15</v>
      </c>
      <c r="H333" s="138" t="n">
        <v>0</v>
      </c>
      <c r="I333" s="138" t="s">
        <v>4517</v>
      </c>
      <c r="J333" s="138" t="s">
        <v>4511</v>
      </c>
      <c r="K333" s="138"/>
    </row>
    <row r="334" customFormat="false" ht="15" hidden="false" customHeight="false" outlineLevel="0" collapsed="false">
      <c r="A334" s="138" t="s">
        <v>3628</v>
      </c>
      <c r="B334" s="138" t="s">
        <v>3635</v>
      </c>
      <c r="C334" s="138" t="n">
        <v>542.25</v>
      </c>
      <c r="D334" s="138" t="n">
        <v>583.5</v>
      </c>
      <c r="E334" s="138" t="s">
        <v>4521</v>
      </c>
      <c r="F334" s="138" t="n">
        <v>825</v>
      </c>
      <c r="G334" s="138" t="n">
        <v>123.8</v>
      </c>
      <c r="H334" s="138" t="n">
        <v>104</v>
      </c>
      <c r="I334" s="138" t="s">
        <v>4518</v>
      </c>
      <c r="J334" s="138" t="s">
        <v>4511</v>
      </c>
      <c r="K334" s="138" t="s">
        <v>4519</v>
      </c>
    </row>
    <row r="335" customFormat="false" ht="15" hidden="false" customHeight="false" outlineLevel="0" collapsed="false">
      <c r="A335" s="138" t="s">
        <v>3635</v>
      </c>
      <c r="B335" s="138" t="s">
        <v>2264</v>
      </c>
      <c r="C335" s="138" t="n">
        <v>583.5</v>
      </c>
      <c r="D335" s="138" t="n">
        <v>591</v>
      </c>
      <c r="E335" s="138" t="s">
        <v>59</v>
      </c>
      <c r="F335" s="138" t="n">
        <v>150</v>
      </c>
      <c r="G335" s="138" t="n">
        <v>22.5</v>
      </c>
      <c r="H335" s="138" t="n">
        <v>19</v>
      </c>
      <c r="I335" s="138" t="s">
        <v>4518</v>
      </c>
      <c r="J335" s="138" t="s">
        <v>4511</v>
      </c>
      <c r="K335" s="138" t="s">
        <v>4519</v>
      </c>
    </row>
    <row r="336" customFormat="false" ht="15" hidden="false" customHeight="false" outlineLevel="0" collapsed="false">
      <c r="A336" s="138" t="s">
        <v>3635</v>
      </c>
      <c r="B336" s="138" t="s">
        <v>2264</v>
      </c>
      <c r="C336" s="138" t="n">
        <v>583.5</v>
      </c>
      <c r="D336" s="138" t="n">
        <v>591</v>
      </c>
      <c r="E336" s="138" t="s">
        <v>60</v>
      </c>
      <c r="F336" s="138" t="n">
        <v>150</v>
      </c>
      <c r="G336" s="138" t="n">
        <v>15</v>
      </c>
      <c r="H336" s="138" t="n">
        <v>0</v>
      </c>
      <c r="I336" s="138" t="s">
        <v>4517</v>
      </c>
      <c r="J336" s="138" t="s">
        <v>4511</v>
      </c>
      <c r="K336" s="138"/>
    </row>
    <row r="337" customFormat="false" ht="15" hidden="false" customHeight="false" outlineLevel="0" collapsed="false">
      <c r="A337" s="138" t="s">
        <v>2264</v>
      </c>
      <c r="B337" s="138" t="s">
        <v>4963</v>
      </c>
      <c r="C337" s="138" t="n">
        <v>591</v>
      </c>
      <c r="D337" s="138" t="n">
        <v>592.25</v>
      </c>
      <c r="E337" s="138" t="s">
        <v>59</v>
      </c>
      <c r="F337" s="138" t="n">
        <v>25</v>
      </c>
      <c r="G337" s="138" t="n">
        <v>5</v>
      </c>
      <c r="H337" s="138" t="n">
        <v>4</v>
      </c>
      <c r="I337" s="138" t="s">
        <v>4514</v>
      </c>
      <c r="J337" s="138" t="s">
        <v>4511</v>
      </c>
      <c r="K337" s="138" t="s">
        <v>4515</v>
      </c>
    </row>
    <row r="338" customFormat="false" ht="15" hidden="false" customHeight="false" outlineLevel="0" collapsed="false">
      <c r="A338" s="138" t="s">
        <v>4964</v>
      </c>
      <c r="B338" s="138" t="s">
        <v>4965</v>
      </c>
      <c r="C338" s="138" t="n">
        <v>592.249</v>
      </c>
      <c r="D338" s="138" t="n">
        <v>599.75</v>
      </c>
      <c r="E338" s="138" t="s">
        <v>60</v>
      </c>
      <c r="F338" s="138" t="n">
        <v>150</v>
      </c>
      <c r="G338" s="138" t="n">
        <v>22.5</v>
      </c>
      <c r="H338" s="138" t="n">
        <v>19</v>
      </c>
      <c r="I338" s="138" t="s">
        <v>4518</v>
      </c>
      <c r="J338" s="138" t="s">
        <v>4511</v>
      </c>
      <c r="K338" s="138" t="s">
        <v>4519</v>
      </c>
    </row>
    <row r="339" customFormat="false" ht="15" hidden="false" customHeight="false" outlineLevel="0" collapsed="false">
      <c r="A339" s="138" t="s">
        <v>4963</v>
      </c>
      <c r="B339" s="138" t="s">
        <v>4965</v>
      </c>
      <c r="C339" s="138" t="n">
        <v>592.25</v>
      </c>
      <c r="D339" s="138" t="n">
        <v>599.75</v>
      </c>
      <c r="E339" s="138" t="s">
        <v>59</v>
      </c>
      <c r="F339" s="138" t="n">
        <v>150</v>
      </c>
      <c r="G339" s="138" t="n">
        <v>15</v>
      </c>
      <c r="H339" s="138" t="n">
        <v>0</v>
      </c>
      <c r="I339" s="138" t="s">
        <v>4517</v>
      </c>
      <c r="J339" s="138" t="s">
        <v>4511</v>
      </c>
      <c r="K339" s="138"/>
    </row>
    <row r="340" customFormat="false" ht="15" hidden="false" customHeight="false" outlineLevel="0" collapsed="false">
      <c r="A340" s="138" t="s">
        <v>4965</v>
      </c>
      <c r="B340" s="138" t="s">
        <v>4966</v>
      </c>
      <c r="C340" s="138" t="n">
        <v>599.75</v>
      </c>
      <c r="D340" s="138" t="n">
        <v>626.5</v>
      </c>
      <c r="E340" s="138" t="s">
        <v>4521</v>
      </c>
      <c r="F340" s="138" t="n">
        <v>535</v>
      </c>
      <c r="G340" s="138" t="n">
        <v>80.3</v>
      </c>
      <c r="H340" s="138" t="n">
        <v>67</v>
      </c>
      <c r="I340" s="138" t="s">
        <v>4518</v>
      </c>
      <c r="J340" s="138" t="s">
        <v>4511</v>
      </c>
      <c r="K340" s="138" t="s">
        <v>4519</v>
      </c>
    </row>
    <row r="341" customFormat="false" ht="15" hidden="false" customHeight="false" outlineLevel="0" collapsed="false">
      <c r="A341" s="138" t="s">
        <v>4967</v>
      </c>
      <c r="B341" s="138" t="s">
        <v>4968</v>
      </c>
      <c r="C341" s="138" t="n">
        <v>622.685</v>
      </c>
      <c r="D341" s="138" t="n">
        <v>623.16</v>
      </c>
      <c r="E341" s="138" t="s">
        <v>60</v>
      </c>
      <c r="F341" s="138" t="n">
        <v>9.4</v>
      </c>
      <c r="G341" s="138" t="n">
        <v>18.9</v>
      </c>
      <c r="H341" s="138" t="n">
        <v>0</v>
      </c>
      <c r="I341" s="138" t="s">
        <v>4969</v>
      </c>
      <c r="J341" s="138" t="s">
        <v>4564</v>
      </c>
      <c r="K341" s="138"/>
    </row>
    <row r="342" customFormat="false" ht="15" hidden="false" customHeight="false" outlineLevel="0" collapsed="false">
      <c r="A342" s="138" t="s">
        <v>4970</v>
      </c>
      <c r="B342" s="138" t="s">
        <v>4971</v>
      </c>
      <c r="C342" s="138" t="n">
        <v>622.915</v>
      </c>
      <c r="D342" s="138" t="n">
        <v>623.05</v>
      </c>
      <c r="E342" s="138" t="s">
        <v>60</v>
      </c>
      <c r="F342" s="138" t="n">
        <v>2.7</v>
      </c>
      <c r="G342" s="138" t="n">
        <v>1.1</v>
      </c>
      <c r="H342" s="138" t="n">
        <v>0</v>
      </c>
      <c r="I342" s="138" t="s">
        <v>4726</v>
      </c>
      <c r="J342" s="138" t="s">
        <v>4564</v>
      </c>
      <c r="K342" s="138"/>
    </row>
    <row r="343" customFormat="false" ht="15" hidden="false" customHeight="false" outlineLevel="0" collapsed="false">
      <c r="A343" s="138" t="s">
        <v>4966</v>
      </c>
      <c r="B343" s="138" t="s">
        <v>4972</v>
      </c>
      <c r="C343" s="138" t="n">
        <v>626.5</v>
      </c>
      <c r="D343" s="138" t="n">
        <v>633.75</v>
      </c>
      <c r="E343" s="138" t="s">
        <v>59</v>
      </c>
      <c r="F343" s="138" t="n">
        <v>145</v>
      </c>
      <c r="G343" s="138" t="n">
        <v>21.8</v>
      </c>
      <c r="H343" s="138" t="n">
        <v>19</v>
      </c>
      <c r="I343" s="138" t="s">
        <v>4518</v>
      </c>
      <c r="J343" s="138" t="s">
        <v>4511</v>
      </c>
      <c r="K343" s="138" t="s">
        <v>4519</v>
      </c>
    </row>
    <row r="344" customFormat="false" ht="15" hidden="false" customHeight="false" outlineLevel="0" collapsed="false">
      <c r="A344" s="138" t="s">
        <v>4966</v>
      </c>
      <c r="B344" s="138" t="s">
        <v>4972</v>
      </c>
      <c r="C344" s="138" t="n">
        <v>626.5</v>
      </c>
      <c r="D344" s="138" t="n">
        <v>633.75</v>
      </c>
      <c r="E344" s="138" t="s">
        <v>60</v>
      </c>
      <c r="F344" s="138" t="n">
        <v>145</v>
      </c>
      <c r="G344" s="138" t="n">
        <v>14.5</v>
      </c>
      <c r="H344" s="138" t="n">
        <v>0</v>
      </c>
      <c r="I344" s="138" t="s">
        <v>4517</v>
      </c>
      <c r="J344" s="138" t="s">
        <v>4511</v>
      </c>
      <c r="K344" s="138"/>
    </row>
    <row r="345" customFormat="false" ht="15" hidden="false" customHeight="false" outlineLevel="0" collapsed="false">
      <c r="A345" s="138" t="s">
        <v>4973</v>
      </c>
      <c r="B345" s="138" t="s">
        <v>4974</v>
      </c>
      <c r="C345" s="138" t="n">
        <v>632.73</v>
      </c>
      <c r="D345" s="138" t="n">
        <v>633.05</v>
      </c>
      <c r="E345" s="138" t="s">
        <v>60</v>
      </c>
      <c r="F345" s="138" t="n">
        <v>6.5</v>
      </c>
      <c r="G345" s="138" t="n">
        <v>13</v>
      </c>
      <c r="H345" s="138" t="n">
        <v>0</v>
      </c>
      <c r="I345" s="138" t="s">
        <v>4969</v>
      </c>
      <c r="J345" s="138" t="s">
        <v>4564</v>
      </c>
      <c r="K345" s="138"/>
    </row>
    <row r="346" customFormat="false" ht="15" hidden="false" customHeight="false" outlineLevel="0" collapsed="false">
      <c r="A346" s="138" t="s">
        <v>4975</v>
      </c>
      <c r="B346" s="138" t="s">
        <v>4976</v>
      </c>
      <c r="C346" s="138" t="n">
        <v>632.9</v>
      </c>
      <c r="D346" s="138" t="n">
        <v>633.06</v>
      </c>
      <c r="E346" s="138" t="s">
        <v>60</v>
      </c>
      <c r="F346" s="138" t="n">
        <v>3.2</v>
      </c>
      <c r="G346" s="138" t="n">
        <v>1.3</v>
      </c>
      <c r="H346" s="138" t="n">
        <v>0</v>
      </c>
      <c r="I346" s="138" t="s">
        <v>4726</v>
      </c>
      <c r="J346" s="138" t="s">
        <v>4564</v>
      </c>
      <c r="K346" s="138"/>
    </row>
    <row r="347" customFormat="false" ht="15" hidden="false" customHeight="false" outlineLevel="0" collapsed="false">
      <c r="A347" s="138" t="s">
        <v>4972</v>
      </c>
      <c r="B347" s="138" t="s">
        <v>2310</v>
      </c>
      <c r="C347" s="138" t="n">
        <v>633.75</v>
      </c>
      <c r="D347" s="138" t="n">
        <v>635</v>
      </c>
      <c r="E347" s="138" t="s">
        <v>59</v>
      </c>
      <c r="F347" s="138" t="n">
        <v>25</v>
      </c>
      <c r="G347" s="138" t="n">
        <v>5</v>
      </c>
      <c r="H347" s="138" t="n">
        <v>4</v>
      </c>
      <c r="I347" s="138" t="s">
        <v>4514</v>
      </c>
      <c r="J347" s="138" t="s">
        <v>4511</v>
      </c>
      <c r="K347" s="138" t="s">
        <v>4515</v>
      </c>
    </row>
    <row r="348" customFormat="false" ht="15" hidden="false" customHeight="false" outlineLevel="0" collapsed="false">
      <c r="A348" s="138" t="s">
        <v>4977</v>
      </c>
      <c r="B348" s="138" t="s">
        <v>4978</v>
      </c>
      <c r="C348" s="138" t="n">
        <v>634.1935</v>
      </c>
      <c r="D348" s="138" t="n">
        <v>634.52</v>
      </c>
      <c r="E348" s="138" t="s">
        <v>60</v>
      </c>
      <c r="F348" s="138" t="n">
        <v>6.6</v>
      </c>
      <c r="G348" s="138" t="n">
        <v>13.1</v>
      </c>
      <c r="H348" s="138" t="n">
        <v>0</v>
      </c>
      <c r="I348" s="138" t="s">
        <v>4969</v>
      </c>
      <c r="J348" s="138" t="s">
        <v>4564</v>
      </c>
      <c r="K348" s="138"/>
    </row>
    <row r="349" customFormat="false" ht="15" hidden="false" customHeight="false" outlineLevel="0" collapsed="false">
      <c r="A349" s="138" t="s">
        <v>4979</v>
      </c>
      <c r="B349" s="138" t="s">
        <v>4980</v>
      </c>
      <c r="C349" s="138" t="n">
        <v>634.3095</v>
      </c>
      <c r="D349" s="138" t="n">
        <v>634.31</v>
      </c>
      <c r="E349" s="138" t="s">
        <v>60</v>
      </c>
      <c r="F349" s="138" t="n">
        <v>3.4</v>
      </c>
      <c r="G349" s="138" t="n">
        <v>1.3</v>
      </c>
      <c r="H349" s="138" t="n">
        <v>0</v>
      </c>
      <c r="I349" s="138" t="s">
        <v>4726</v>
      </c>
      <c r="J349" s="138" t="s">
        <v>4564</v>
      </c>
      <c r="K349" s="138"/>
    </row>
    <row r="350" customFormat="false" ht="15" hidden="false" customHeight="false" outlineLevel="0" collapsed="false">
      <c r="A350" s="138" t="s">
        <v>4981</v>
      </c>
      <c r="B350" s="138" t="s">
        <v>4982</v>
      </c>
      <c r="C350" s="138" t="n">
        <v>634.3595</v>
      </c>
      <c r="D350" s="138" t="n">
        <v>634.535</v>
      </c>
      <c r="E350" s="138" t="s">
        <v>60</v>
      </c>
      <c r="F350" s="138" t="n">
        <v>3.5</v>
      </c>
      <c r="G350" s="138" t="n">
        <v>1.4</v>
      </c>
      <c r="H350" s="138" t="n">
        <v>0</v>
      </c>
      <c r="I350" s="138" t="s">
        <v>4726</v>
      </c>
      <c r="J350" s="138" t="s">
        <v>4564</v>
      </c>
      <c r="K350" s="138"/>
    </row>
    <row r="351" customFormat="false" ht="15" hidden="false" customHeight="false" outlineLevel="0" collapsed="false">
      <c r="A351" s="138" t="s">
        <v>4983</v>
      </c>
      <c r="B351" s="138" t="s">
        <v>4984</v>
      </c>
      <c r="C351" s="138" t="n">
        <v>634.785</v>
      </c>
      <c r="D351" s="138" t="n">
        <v>635.025</v>
      </c>
      <c r="E351" s="138" t="s">
        <v>59</v>
      </c>
      <c r="F351" s="138" t="n">
        <v>5</v>
      </c>
      <c r="G351" s="138" t="n">
        <v>2</v>
      </c>
      <c r="H351" s="138" t="n">
        <v>0</v>
      </c>
      <c r="I351" s="138" t="s">
        <v>4726</v>
      </c>
      <c r="J351" s="138" t="s">
        <v>4564</v>
      </c>
      <c r="K351" s="138"/>
    </row>
    <row r="352" customFormat="false" ht="15" hidden="false" customHeight="false" outlineLevel="0" collapsed="false">
      <c r="A352" s="138" t="s">
        <v>4985</v>
      </c>
      <c r="B352" s="138" t="s">
        <v>4986</v>
      </c>
      <c r="C352" s="138" t="n">
        <v>634.815</v>
      </c>
      <c r="D352" s="138" t="n">
        <v>635.06</v>
      </c>
      <c r="E352" s="138" t="s">
        <v>59</v>
      </c>
      <c r="F352" s="138" t="n">
        <v>5.2</v>
      </c>
      <c r="G352" s="138" t="n">
        <v>10.4</v>
      </c>
      <c r="H352" s="138" t="n">
        <v>0</v>
      </c>
      <c r="I352" s="138" t="s">
        <v>4969</v>
      </c>
      <c r="J352" s="138" t="s">
        <v>4564</v>
      </c>
      <c r="K352" s="138"/>
    </row>
    <row r="353" customFormat="false" ht="15" hidden="false" customHeight="false" outlineLevel="0" collapsed="false">
      <c r="A353" s="138" t="s">
        <v>4987</v>
      </c>
      <c r="B353" s="138" t="s">
        <v>4987</v>
      </c>
      <c r="C353" s="138" t="n">
        <v>634.835</v>
      </c>
      <c r="D353" s="138" t="n">
        <v>634.8355</v>
      </c>
      <c r="E353" s="138" t="s">
        <v>60</v>
      </c>
      <c r="F353" s="138" t="n">
        <v>3.4</v>
      </c>
      <c r="G353" s="138" t="n">
        <v>1.3</v>
      </c>
      <c r="H353" s="138" t="n">
        <v>0</v>
      </c>
      <c r="I353" s="138" t="s">
        <v>4726</v>
      </c>
      <c r="J353" s="138" t="s">
        <v>4564</v>
      </c>
      <c r="K353" s="138"/>
    </row>
    <row r="354" customFormat="false" ht="15" hidden="false" customHeight="false" outlineLevel="0" collapsed="false">
      <c r="A354" s="138" t="s">
        <v>2310</v>
      </c>
      <c r="B354" s="138" t="s">
        <v>4952</v>
      </c>
      <c r="C354" s="138" t="n">
        <v>635</v>
      </c>
      <c r="D354" s="138" t="n">
        <v>642.79</v>
      </c>
      <c r="E354" s="138" t="s">
        <v>60</v>
      </c>
      <c r="F354" s="138" t="n">
        <v>155.8</v>
      </c>
      <c r="G354" s="138" t="n">
        <v>23.4</v>
      </c>
      <c r="H354" s="138" t="n">
        <v>20</v>
      </c>
      <c r="I354" s="138" t="s">
        <v>4518</v>
      </c>
      <c r="J354" s="138" t="s">
        <v>4511</v>
      </c>
      <c r="K354" s="138" t="s">
        <v>4519</v>
      </c>
    </row>
    <row r="355" customFormat="false" ht="15" hidden="false" customHeight="false" outlineLevel="0" collapsed="false">
      <c r="A355" s="138" t="s">
        <v>2310</v>
      </c>
      <c r="B355" s="138" t="s">
        <v>4952</v>
      </c>
      <c r="C355" s="138" t="n">
        <v>635</v>
      </c>
      <c r="D355" s="138" t="n">
        <v>642.79</v>
      </c>
      <c r="E355" s="138" t="s">
        <v>59</v>
      </c>
      <c r="F355" s="138" t="n">
        <v>155.8</v>
      </c>
      <c r="G355" s="138" t="n">
        <v>15.6</v>
      </c>
      <c r="H355" s="138" t="n">
        <v>0</v>
      </c>
      <c r="I355" s="138" t="s">
        <v>4517</v>
      </c>
      <c r="J355" s="138" t="s">
        <v>4511</v>
      </c>
      <c r="K355" s="138"/>
    </row>
    <row r="356" customFormat="false" ht="15" hidden="false" customHeight="false" outlineLevel="0" collapsed="false">
      <c r="A356" s="138" t="s">
        <v>4988</v>
      </c>
      <c r="B356" s="138" t="s">
        <v>4989</v>
      </c>
      <c r="C356" s="138" t="n">
        <v>635.157</v>
      </c>
      <c r="D356" s="138" t="n">
        <v>635.395</v>
      </c>
      <c r="E356" s="138" t="s">
        <v>59</v>
      </c>
      <c r="F356" s="138" t="n">
        <v>5</v>
      </c>
      <c r="G356" s="138" t="n">
        <v>10</v>
      </c>
      <c r="H356" s="138" t="n">
        <v>0</v>
      </c>
      <c r="I356" s="138" t="s">
        <v>4969</v>
      </c>
      <c r="J356" s="138" t="s">
        <v>4564</v>
      </c>
      <c r="K356" s="138"/>
    </row>
    <row r="357" customFormat="false" ht="15" hidden="false" customHeight="false" outlineLevel="0" collapsed="false">
      <c r="A357" s="138" t="s">
        <v>4990</v>
      </c>
      <c r="B357" s="138" t="s">
        <v>4991</v>
      </c>
      <c r="C357" s="138" t="n">
        <v>635.193</v>
      </c>
      <c r="D357" s="138" t="n">
        <v>635.435</v>
      </c>
      <c r="E357" s="138" t="s">
        <v>59</v>
      </c>
      <c r="F357" s="138" t="n">
        <v>5</v>
      </c>
      <c r="G357" s="138" t="n">
        <v>2</v>
      </c>
      <c r="H357" s="138" t="n">
        <v>0</v>
      </c>
      <c r="I357" s="138" t="s">
        <v>4726</v>
      </c>
      <c r="J357" s="138" t="s">
        <v>4564</v>
      </c>
      <c r="K357" s="138"/>
    </row>
    <row r="358" customFormat="false" ht="15" hidden="false" customHeight="false" outlineLevel="0" collapsed="false">
      <c r="A358" s="138" t="s">
        <v>3141</v>
      </c>
      <c r="B358" s="138" t="s">
        <v>4992</v>
      </c>
      <c r="C358" s="138" t="n">
        <v>635.2845</v>
      </c>
      <c r="D358" s="138" t="n">
        <v>635.285</v>
      </c>
      <c r="E358" s="138" t="s">
        <v>60</v>
      </c>
      <c r="F358" s="138" t="n">
        <v>3.4</v>
      </c>
      <c r="G358" s="138" t="n">
        <v>1.3</v>
      </c>
      <c r="H358" s="138" t="n">
        <v>0</v>
      </c>
      <c r="I358" s="138" t="s">
        <v>4726</v>
      </c>
      <c r="J358" s="138" t="s">
        <v>4564</v>
      </c>
      <c r="K358" s="138"/>
    </row>
    <row r="359" customFormat="false" ht="15" hidden="false" customHeight="false" outlineLevel="0" collapsed="false">
      <c r="A359" s="138" t="s">
        <v>4993</v>
      </c>
      <c r="B359" s="138" t="s">
        <v>4993</v>
      </c>
      <c r="C359" s="138" t="n">
        <v>635.66</v>
      </c>
      <c r="D359" s="138" t="n">
        <v>635.6605</v>
      </c>
      <c r="E359" s="138" t="s">
        <v>60</v>
      </c>
      <c r="F359" s="138" t="n">
        <v>3.4</v>
      </c>
      <c r="G359" s="138" t="n">
        <v>1.3</v>
      </c>
      <c r="H359" s="138" t="n">
        <v>0</v>
      </c>
      <c r="I359" s="138" t="s">
        <v>4726</v>
      </c>
      <c r="J359" s="138" t="s">
        <v>4564</v>
      </c>
      <c r="K359" s="138"/>
    </row>
    <row r="360" customFormat="false" ht="15" hidden="false" customHeight="false" outlineLevel="0" collapsed="false">
      <c r="A360" s="138" t="s">
        <v>4994</v>
      </c>
      <c r="B360" s="138" t="s">
        <v>4994</v>
      </c>
      <c r="C360" s="138" t="n">
        <v>635.96</v>
      </c>
      <c r="D360" s="138" t="n">
        <v>635.9605</v>
      </c>
      <c r="E360" s="138" t="s">
        <v>60</v>
      </c>
      <c r="F360" s="138" t="n">
        <v>3.4</v>
      </c>
      <c r="G360" s="138" t="n">
        <v>1.3</v>
      </c>
      <c r="H360" s="138" t="n">
        <v>0</v>
      </c>
      <c r="I360" s="138" t="s">
        <v>4726</v>
      </c>
      <c r="J360" s="138" t="s">
        <v>4564</v>
      </c>
      <c r="K360" s="138"/>
    </row>
    <row r="361" customFormat="false" ht="15" hidden="false" customHeight="false" outlineLevel="0" collapsed="false">
      <c r="A361" s="138" t="s">
        <v>4995</v>
      </c>
      <c r="B361" s="138" t="s">
        <v>4996</v>
      </c>
      <c r="C361" s="138" t="n">
        <v>636.2345</v>
      </c>
      <c r="D361" s="138" t="n">
        <v>636.235</v>
      </c>
      <c r="E361" s="138" t="s">
        <v>59</v>
      </c>
      <c r="F361" s="138" t="n">
        <v>11</v>
      </c>
      <c r="G361" s="138" t="n">
        <v>22</v>
      </c>
      <c r="H361" s="138" t="n">
        <v>0</v>
      </c>
      <c r="I361" s="138" t="s">
        <v>4997</v>
      </c>
      <c r="J361" s="138" t="s">
        <v>4564</v>
      </c>
      <c r="K361" s="138"/>
    </row>
    <row r="362" customFormat="false" ht="15" hidden="false" customHeight="false" outlineLevel="0" collapsed="false">
      <c r="A362" s="138" t="s">
        <v>4998</v>
      </c>
      <c r="B362" s="138" t="s">
        <v>4999</v>
      </c>
      <c r="C362" s="138" t="n">
        <v>639.0915</v>
      </c>
      <c r="D362" s="138" t="n">
        <v>639.38</v>
      </c>
      <c r="E362" s="138" t="s">
        <v>60</v>
      </c>
      <c r="F362" s="138" t="n">
        <v>5.8</v>
      </c>
      <c r="G362" s="138" t="n">
        <v>11.6</v>
      </c>
      <c r="H362" s="138" t="n">
        <v>0</v>
      </c>
      <c r="I362" s="138" t="s">
        <v>4969</v>
      </c>
      <c r="J362" s="138" t="s">
        <v>4564</v>
      </c>
      <c r="K362" s="138"/>
    </row>
    <row r="363" customFormat="false" ht="15" hidden="false" customHeight="false" outlineLevel="0" collapsed="false">
      <c r="A363" s="138" t="s">
        <v>5000</v>
      </c>
      <c r="B363" s="138" t="s">
        <v>5001</v>
      </c>
      <c r="C363" s="138" t="n">
        <v>639.2475</v>
      </c>
      <c r="D363" s="138" t="n">
        <v>639.36</v>
      </c>
      <c r="E363" s="138" t="s">
        <v>60</v>
      </c>
      <c r="F363" s="138" t="n">
        <v>2.3</v>
      </c>
      <c r="G363" s="138" t="n">
        <v>0.9</v>
      </c>
      <c r="H363" s="138" t="n">
        <v>0</v>
      </c>
      <c r="I363" s="138" t="s">
        <v>4726</v>
      </c>
      <c r="J363" s="138" t="s">
        <v>4564</v>
      </c>
      <c r="K363" s="13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6" min="5" style="0" width="9"/>
    <col collapsed="false" customWidth="true" hidden="false" outlineLevel="0" max="7" min="7" style="0" width="10"/>
  </cols>
  <sheetData>
    <row r="1" customFormat="false" ht="48" hidden="false" customHeight="true" outlineLevel="0" collapsed="false">
      <c r="A1" s="133" t="s">
        <v>9</v>
      </c>
      <c r="B1" s="133" t="s">
        <v>3158</v>
      </c>
      <c r="C1" s="133" t="s">
        <v>2370</v>
      </c>
      <c r="D1" s="133" t="s">
        <v>56</v>
      </c>
      <c r="E1" s="133" t="s">
        <v>3484</v>
      </c>
      <c r="F1" s="133" t="s">
        <v>5002</v>
      </c>
      <c r="G1" s="133" t="s">
        <v>5003</v>
      </c>
    </row>
    <row r="2" customFormat="false" ht="15" hidden="false" customHeight="false" outlineLevel="0" collapsed="false">
      <c r="A2" s="138" t="s">
        <v>1568</v>
      </c>
      <c r="B2" s="138" t="n">
        <v>0</v>
      </c>
      <c r="C2" s="138" t="s">
        <v>4521</v>
      </c>
      <c r="D2" s="138" t="s">
        <v>3507</v>
      </c>
      <c r="E2" s="138" t="n">
        <v>2.5</v>
      </c>
      <c r="F2" s="138" t="n">
        <v>1</v>
      </c>
      <c r="G2" s="138" t="n">
        <v>2</v>
      </c>
    </row>
    <row r="3" customFormat="false" ht="15" hidden="false" customHeight="false" outlineLevel="0" collapsed="false">
      <c r="A3" s="138" t="s">
        <v>1568</v>
      </c>
      <c r="B3" s="138" t="n">
        <v>0</v>
      </c>
      <c r="C3" s="138" t="s">
        <v>59</v>
      </c>
      <c r="D3" s="138" t="s">
        <v>3503</v>
      </c>
      <c r="E3" s="138" t="n">
        <v>0.7</v>
      </c>
      <c r="F3" s="138" t="n">
        <v>1</v>
      </c>
      <c r="G3" s="138" t="n">
        <v>1</v>
      </c>
    </row>
    <row r="4" customFormat="false" ht="15" hidden="false" customHeight="false" outlineLevel="0" collapsed="false">
      <c r="A4" s="138" t="s">
        <v>3511</v>
      </c>
      <c r="B4" s="138" t="n">
        <v>2.5</v>
      </c>
      <c r="C4" s="138" t="s">
        <v>59</v>
      </c>
      <c r="D4" s="138" t="s">
        <v>3512</v>
      </c>
      <c r="E4" s="138" t="n">
        <v>0.36</v>
      </c>
      <c r="F4" s="138" t="n">
        <v>1</v>
      </c>
      <c r="G4" s="138" t="n">
        <v>1</v>
      </c>
    </row>
    <row r="5" customFormat="false" ht="15" hidden="false" customHeight="false" outlineLevel="0" collapsed="false">
      <c r="A5" s="138" t="s">
        <v>3514</v>
      </c>
      <c r="B5" s="138" t="n">
        <v>3.15</v>
      </c>
      <c r="C5" s="138" t="s">
        <v>59</v>
      </c>
      <c r="D5" s="138" t="s">
        <v>3515</v>
      </c>
      <c r="E5" s="138" t="n">
        <v>0.27</v>
      </c>
      <c r="F5" s="138" t="n">
        <v>1</v>
      </c>
      <c r="G5" s="138" t="n">
        <v>1</v>
      </c>
    </row>
    <row r="6" customFormat="false" ht="15" hidden="false" customHeight="false" outlineLevel="0" collapsed="false">
      <c r="A6" s="138" t="s">
        <v>2392</v>
      </c>
      <c r="B6" s="138" t="n">
        <v>4.5</v>
      </c>
      <c r="C6" s="138" t="s">
        <v>59</v>
      </c>
      <c r="D6" s="138" t="s">
        <v>3516</v>
      </c>
      <c r="E6" s="138" t="n">
        <v>0.5</v>
      </c>
      <c r="F6" s="138" t="n">
        <v>1</v>
      </c>
      <c r="G6" s="138" t="n">
        <v>1</v>
      </c>
    </row>
    <row r="7" customFormat="false" ht="15" hidden="false" customHeight="false" outlineLevel="0" collapsed="false">
      <c r="A7" s="138" t="s">
        <v>2392</v>
      </c>
      <c r="B7" s="138" t="n">
        <v>4.5</v>
      </c>
      <c r="C7" s="138" t="s">
        <v>60</v>
      </c>
      <c r="D7" s="138" t="s">
        <v>3516</v>
      </c>
      <c r="E7" s="138" t="n">
        <v>0.5</v>
      </c>
      <c r="F7" s="138" t="n">
        <v>1</v>
      </c>
      <c r="G7" s="138" t="n">
        <v>1</v>
      </c>
    </row>
    <row r="8" customFormat="false" ht="15" hidden="false" customHeight="false" outlineLevel="0" collapsed="false">
      <c r="A8" s="138" t="s">
        <v>1647</v>
      </c>
      <c r="B8" s="138" t="n">
        <v>5</v>
      </c>
      <c r="C8" s="138" t="s">
        <v>59</v>
      </c>
      <c r="D8" s="138" t="s">
        <v>3518</v>
      </c>
      <c r="E8" s="138" t="n">
        <v>0.27</v>
      </c>
      <c r="F8" s="138" t="n">
        <v>1</v>
      </c>
      <c r="G8" s="138" t="n">
        <v>1</v>
      </c>
    </row>
    <row r="9" customFormat="false" ht="15" hidden="false" customHeight="false" outlineLevel="0" collapsed="false">
      <c r="A9" s="138" t="s">
        <v>3519</v>
      </c>
      <c r="B9" s="138" t="n">
        <v>8.5</v>
      </c>
      <c r="C9" s="138" t="s">
        <v>59</v>
      </c>
      <c r="D9" s="138" t="s">
        <v>3520</v>
      </c>
      <c r="E9" s="138" t="n">
        <v>0.5</v>
      </c>
      <c r="F9" s="138" t="n">
        <v>1</v>
      </c>
      <c r="G9" s="138" t="n">
        <v>1</v>
      </c>
    </row>
    <row r="10" customFormat="false" ht="15" hidden="false" customHeight="false" outlineLevel="0" collapsed="false">
      <c r="A10" s="138" t="s">
        <v>1651</v>
      </c>
      <c r="B10" s="138" t="n">
        <v>9</v>
      </c>
      <c r="C10" s="138" t="s">
        <v>60</v>
      </c>
      <c r="D10" s="138" t="s">
        <v>3521</v>
      </c>
      <c r="E10" s="138" t="n">
        <v>0.5</v>
      </c>
      <c r="F10" s="138" t="n">
        <v>1</v>
      </c>
      <c r="G10" s="138" t="n">
        <v>1</v>
      </c>
    </row>
    <row r="11" customFormat="false" ht="15" hidden="false" customHeight="false" outlineLevel="0" collapsed="false">
      <c r="A11" s="138" t="s">
        <v>1654</v>
      </c>
      <c r="B11" s="138" t="n">
        <v>12</v>
      </c>
      <c r="C11" s="138" t="s">
        <v>59</v>
      </c>
      <c r="D11" s="138" t="s">
        <v>3522</v>
      </c>
      <c r="E11" s="138" t="n">
        <v>0.5</v>
      </c>
      <c r="F11" s="138" t="n">
        <v>1</v>
      </c>
      <c r="G11" s="138" t="n">
        <v>1</v>
      </c>
    </row>
    <row r="12" customFormat="false" ht="15" hidden="false" customHeight="false" outlineLevel="0" collapsed="false">
      <c r="A12" s="138" t="s">
        <v>3523</v>
      </c>
      <c r="B12" s="138" t="n">
        <v>15.5</v>
      </c>
      <c r="C12" s="138" t="s">
        <v>59</v>
      </c>
      <c r="D12" s="138" t="s">
        <v>3524</v>
      </c>
      <c r="E12" s="138" t="n">
        <v>2</v>
      </c>
      <c r="F12" s="138" t="n">
        <v>1</v>
      </c>
      <c r="G12" s="138" t="n">
        <v>2</v>
      </c>
    </row>
    <row r="13" customFormat="false" ht="15" hidden="false" customHeight="false" outlineLevel="0" collapsed="false">
      <c r="A13" s="138" t="s">
        <v>1665</v>
      </c>
      <c r="B13" s="138" t="n">
        <v>23</v>
      </c>
      <c r="C13" s="138" t="s">
        <v>60</v>
      </c>
      <c r="D13" s="138" t="s">
        <v>3525</v>
      </c>
      <c r="E13" s="138" t="n">
        <v>1.25</v>
      </c>
      <c r="F13" s="138" t="n">
        <v>1</v>
      </c>
      <c r="G13" s="138" t="n">
        <v>2</v>
      </c>
    </row>
    <row r="14" customFormat="false" ht="15" hidden="false" customHeight="false" outlineLevel="0" collapsed="false">
      <c r="A14" s="138" t="s">
        <v>3527</v>
      </c>
      <c r="B14" s="138" t="n">
        <v>23.5</v>
      </c>
      <c r="C14" s="138" t="s">
        <v>59</v>
      </c>
      <c r="D14" s="138" t="s">
        <v>3528</v>
      </c>
      <c r="E14" s="138" t="n">
        <v>6</v>
      </c>
      <c r="F14" s="138" t="n">
        <v>1</v>
      </c>
      <c r="G14" s="138" t="n">
        <v>2</v>
      </c>
    </row>
    <row r="15" customFormat="false" ht="15" hidden="false" customHeight="false" outlineLevel="0" collapsed="false">
      <c r="A15" s="138" t="s">
        <v>3530</v>
      </c>
      <c r="B15" s="138" t="n">
        <v>29.5</v>
      </c>
      <c r="C15" s="138" t="s">
        <v>60</v>
      </c>
      <c r="D15" s="138" t="s">
        <v>3516</v>
      </c>
      <c r="E15" s="138" t="n">
        <v>0.5</v>
      </c>
      <c r="F15" s="138" t="n">
        <v>1</v>
      </c>
      <c r="G15" s="138" t="n">
        <v>1</v>
      </c>
    </row>
    <row r="16" customFormat="false" ht="15" hidden="false" customHeight="false" outlineLevel="0" collapsed="false">
      <c r="A16" s="138" t="s">
        <v>3531</v>
      </c>
      <c r="B16" s="138" t="n">
        <v>32.5</v>
      </c>
      <c r="C16" s="138" t="s">
        <v>59</v>
      </c>
      <c r="D16" s="138" t="s">
        <v>3516</v>
      </c>
      <c r="E16" s="138" t="n">
        <v>0.5</v>
      </c>
      <c r="F16" s="138" t="n">
        <v>1</v>
      </c>
      <c r="G16" s="138" t="n">
        <v>1</v>
      </c>
    </row>
    <row r="17" customFormat="false" ht="15" hidden="false" customHeight="false" outlineLevel="0" collapsed="false">
      <c r="A17" s="138" t="s">
        <v>1693</v>
      </c>
      <c r="B17" s="138" t="n">
        <v>50</v>
      </c>
      <c r="C17" s="138" t="s">
        <v>60</v>
      </c>
      <c r="D17" s="138" t="s">
        <v>3503</v>
      </c>
      <c r="E17" s="138" t="n">
        <v>0.7</v>
      </c>
      <c r="F17" s="138" t="n">
        <v>1</v>
      </c>
      <c r="G17" s="138" t="n">
        <v>1</v>
      </c>
    </row>
    <row r="18" customFormat="false" ht="15" hidden="false" customHeight="false" outlineLevel="0" collapsed="false">
      <c r="A18" s="138" t="s">
        <v>3532</v>
      </c>
      <c r="B18" s="138" t="n">
        <v>51.9</v>
      </c>
      <c r="C18" s="138" t="s">
        <v>59</v>
      </c>
      <c r="D18" s="138" t="s">
        <v>3533</v>
      </c>
      <c r="E18" s="138" t="n">
        <v>6</v>
      </c>
      <c r="F18" s="138" t="n">
        <v>1</v>
      </c>
      <c r="G18" s="138" t="n">
        <v>1</v>
      </c>
    </row>
    <row r="19" customFormat="false" ht="15" hidden="false" customHeight="false" outlineLevel="0" collapsed="false">
      <c r="A19" s="138" t="s">
        <v>3534</v>
      </c>
      <c r="B19" s="138" t="n">
        <v>56.5</v>
      </c>
      <c r="C19" s="138" t="s">
        <v>59</v>
      </c>
      <c r="D19" s="138" t="s">
        <v>3516</v>
      </c>
      <c r="E19" s="138" t="n">
        <v>0.5</v>
      </c>
      <c r="F19" s="138" t="n">
        <v>1</v>
      </c>
      <c r="G19" s="138" t="n">
        <v>1</v>
      </c>
    </row>
    <row r="20" customFormat="false" ht="15" hidden="false" customHeight="false" outlineLevel="0" collapsed="false">
      <c r="A20" s="138" t="s">
        <v>1710</v>
      </c>
      <c r="B20" s="138" t="n">
        <v>67</v>
      </c>
      <c r="C20" s="138" t="s">
        <v>60</v>
      </c>
      <c r="D20" s="138" t="s">
        <v>3516</v>
      </c>
      <c r="E20" s="138" t="n">
        <v>0.5</v>
      </c>
      <c r="F20" s="138" t="n">
        <v>1</v>
      </c>
      <c r="G20" s="138" t="n">
        <v>1</v>
      </c>
    </row>
    <row r="21" customFormat="false" ht="15" hidden="false" customHeight="false" outlineLevel="0" collapsed="false">
      <c r="A21" s="138" t="s">
        <v>1727</v>
      </c>
      <c r="B21" s="138" t="n">
        <v>84</v>
      </c>
      <c r="C21" s="138" t="s">
        <v>59</v>
      </c>
      <c r="D21" s="138" t="s">
        <v>3521</v>
      </c>
      <c r="E21" s="138" t="n">
        <v>0.5</v>
      </c>
      <c r="F21" s="138" t="n">
        <v>1</v>
      </c>
      <c r="G21" s="138" t="n">
        <v>1</v>
      </c>
    </row>
    <row r="22" customFormat="false" ht="15" hidden="false" customHeight="false" outlineLevel="0" collapsed="false">
      <c r="A22" s="138" t="s">
        <v>1736</v>
      </c>
      <c r="B22" s="138" t="n">
        <v>93</v>
      </c>
      <c r="C22" s="138" t="s">
        <v>59</v>
      </c>
      <c r="D22" s="138" t="s">
        <v>3516</v>
      </c>
      <c r="E22" s="138" t="n">
        <v>0.5</v>
      </c>
      <c r="F22" s="138" t="n">
        <v>1</v>
      </c>
      <c r="G22" s="138" t="n">
        <v>1</v>
      </c>
    </row>
    <row r="23" customFormat="false" ht="15" hidden="false" customHeight="false" outlineLevel="0" collapsed="false">
      <c r="A23" s="138" t="s">
        <v>1744</v>
      </c>
      <c r="B23" s="138" t="n">
        <v>100</v>
      </c>
      <c r="C23" s="138" t="s">
        <v>59</v>
      </c>
      <c r="D23" s="138" t="s">
        <v>3503</v>
      </c>
      <c r="E23" s="138" t="n">
        <v>0.7</v>
      </c>
      <c r="F23" s="138" t="n">
        <v>1</v>
      </c>
      <c r="G23" s="138" t="n">
        <v>1</v>
      </c>
    </row>
    <row r="24" customFormat="false" ht="15" hidden="false" customHeight="false" outlineLevel="0" collapsed="false">
      <c r="A24" s="138" t="s">
        <v>3536</v>
      </c>
      <c r="B24" s="138" t="n">
        <v>112.5</v>
      </c>
      <c r="C24" s="138" t="s">
        <v>60</v>
      </c>
      <c r="D24" s="138" t="s">
        <v>3516</v>
      </c>
      <c r="E24" s="138" t="n">
        <v>0.5</v>
      </c>
      <c r="F24" s="138" t="n">
        <v>1</v>
      </c>
      <c r="G24" s="138" t="n">
        <v>1</v>
      </c>
    </row>
    <row r="25" customFormat="false" ht="15" hidden="false" customHeight="false" outlineLevel="0" collapsed="false">
      <c r="A25" s="138" t="s">
        <v>1762</v>
      </c>
      <c r="B25" s="138" t="n">
        <v>118</v>
      </c>
      <c r="C25" s="138" t="s">
        <v>60</v>
      </c>
      <c r="D25" s="138" t="s">
        <v>3537</v>
      </c>
      <c r="E25" s="138" t="n">
        <v>0.7</v>
      </c>
      <c r="F25" s="138" t="n">
        <v>1</v>
      </c>
      <c r="G25" s="138" t="n">
        <v>1</v>
      </c>
    </row>
    <row r="26" customFormat="false" ht="15" hidden="false" customHeight="false" outlineLevel="0" collapsed="false">
      <c r="A26" s="138" t="s">
        <v>3538</v>
      </c>
      <c r="B26" s="138" t="n">
        <v>120.5</v>
      </c>
      <c r="C26" s="138" t="s">
        <v>59</v>
      </c>
      <c r="D26" s="138" t="s">
        <v>3537</v>
      </c>
      <c r="E26" s="138" t="n">
        <v>0.7</v>
      </c>
      <c r="F26" s="138" t="n">
        <v>1</v>
      </c>
      <c r="G26" s="138" t="n">
        <v>1</v>
      </c>
    </row>
    <row r="27" customFormat="false" ht="15" hidden="false" customHeight="false" outlineLevel="0" collapsed="false">
      <c r="A27" s="138" t="s">
        <v>1781</v>
      </c>
      <c r="B27" s="138" t="n">
        <v>132</v>
      </c>
      <c r="C27" s="138" t="s">
        <v>59</v>
      </c>
      <c r="D27" s="138" t="s">
        <v>3516</v>
      </c>
      <c r="E27" s="138" t="n">
        <v>0.5</v>
      </c>
      <c r="F27" s="138" t="n">
        <v>1</v>
      </c>
      <c r="G27" s="138" t="n">
        <v>1</v>
      </c>
    </row>
    <row r="28" customFormat="false" ht="15" hidden="false" customHeight="false" outlineLevel="0" collapsed="false">
      <c r="A28" s="138" t="s">
        <v>3539</v>
      </c>
      <c r="B28" s="138" t="n">
        <v>137.75</v>
      </c>
      <c r="C28" s="138" t="s">
        <v>60</v>
      </c>
      <c r="D28" s="138" t="s">
        <v>3516</v>
      </c>
      <c r="E28" s="138" t="n">
        <v>0.5</v>
      </c>
      <c r="F28" s="138" t="n">
        <v>1</v>
      </c>
      <c r="G28" s="138" t="n">
        <v>1</v>
      </c>
    </row>
    <row r="29" customFormat="false" ht="15" hidden="false" customHeight="false" outlineLevel="0" collapsed="false">
      <c r="A29" s="138" t="s">
        <v>1799</v>
      </c>
      <c r="B29" s="138" t="n">
        <v>150</v>
      </c>
      <c r="C29" s="138" t="s">
        <v>60</v>
      </c>
      <c r="D29" s="138" t="s">
        <v>3503</v>
      </c>
      <c r="E29" s="138" t="n">
        <v>0.7</v>
      </c>
      <c r="F29" s="138" t="n">
        <v>1</v>
      </c>
      <c r="G29" s="138" t="n">
        <v>1</v>
      </c>
    </row>
    <row r="30" customFormat="false" ht="15" hidden="false" customHeight="false" outlineLevel="0" collapsed="false">
      <c r="A30" s="138" t="s">
        <v>3541</v>
      </c>
      <c r="B30" s="138" t="n">
        <v>155.5</v>
      </c>
      <c r="C30" s="138" t="s">
        <v>60</v>
      </c>
      <c r="D30" s="138" t="s">
        <v>3516</v>
      </c>
      <c r="E30" s="138" t="n">
        <v>0.5</v>
      </c>
      <c r="F30" s="138" t="n">
        <v>1</v>
      </c>
      <c r="G30" s="138" t="n">
        <v>1</v>
      </c>
    </row>
    <row r="31" customFormat="false" ht="15" hidden="false" customHeight="false" outlineLevel="0" collapsed="false">
      <c r="A31" s="138" t="s">
        <v>1810</v>
      </c>
      <c r="B31" s="138" t="n">
        <v>161</v>
      </c>
      <c r="C31" s="138" t="s">
        <v>60</v>
      </c>
      <c r="D31" s="138" t="s">
        <v>3542</v>
      </c>
      <c r="E31" s="138" t="n">
        <v>0.36</v>
      </c>
      <c r="F31" s="138" t="n">
        <v>1</v>
      </c>
      <c r="G31" s="138" t="n">
        <v>1</v>
      </c>
    </row>
    <row r="32" customFormat="false" ht="15" hidden="false" customHeight="false" outlineLevel="0" collapsed="false">
      <c r="A32" s="138" t="s">
        <v>1817</v>
      </c>
      <c r="B32" s="138" t="n">
        <v>168</v>
      </c>
      <c r="C32" s="138" t="s">
        <v>60</v>
      </c>
      <c r="D32" s="138" t="s">
        <v>3537</v>
      </c>
      <c r="E32" s="138" t="n">
        <v>0.7</v>
      </c>
      <c r="F32" s="138" t="n">
        <v>1</v>
      </c>
      <c r="G32" s="138" t="n">
        <v>1</v>
      </c>
    </row>
    <row r="33" customFormat="false" ht="15" hidden="false" customHeight="false" outlineLevel="0" collapsed="false">
      <c r="A33" s="138" t="s">
        <v>3543</v>
      </c>
      <c r="B33" s="138" t="n">
        <v>169.5</v>
      </c>
      <c r="C33" s="138" t="s">
        <v>59</v>
      </c>
      <c r="D33" s="138" t="s">
        <v>3544</v>
      </c>
      <c r="E33" s="138" t="n">
        <v>0.36</v>
      </c>
      <c r="F33" s="138" t="n">
        <v>1</v>
      </c>
      <c r="G33" s="138" t="n">
        <v>1</v>
      </c>
    </row>
    <row r="34" customFormat="false" ht="15" hidden="false" customHeight="false" outlineLevel="0" collapsed="false">
      <c r="A34" s="138" t="s">
        <v>3545</v>
      </c>
      <c r="B34" s="138" t="n">
        <v>175.5</v>
      </c>
      <c r="C34" s="138" t="s">
        <v>59</v>
      </c>
      <c r="D34" s="138" t="s">
        <v>3537</v>
      </c>
      <c r="E34" s="138" t="n">
        <v>0.7</v>
      </c>
      <c r="F34" s="138" t="n">
        <v>1</v>
      </c>
      <c r="G34" s="138" t="n">
        <v>1</v>
      </c>
    </row>
    <row r="35" customFormat="false" ht="15" hidden="false" customHeight="false" outlineLevel="0" collapsed="false">
      <c r="A35" s="138" t="s">
        <v>1827</v>
      </c>
      <c r="B35" s="138" t="n">
        <v>178</v>
      </c>
      <c r="C35" s="138" t="s">
        <v>59</v>
      </c>
      <c r="D35" s="138" t="s">
        <v>3516</v>
      </c>
      <c r="E35" s="138" t="n">
        <v>0.5</v>
      </c>
      <c r="F35" s="138" t="n">
        <v>1</v>
      </c>
      <c r="G35" s="138" t="n">
        <v>1</v>
      </c>
    </row>
    <row r="36" customFormat="false" ht="15" hidden="false" customHeight="false" outlineLevel="0" collapsed="false">
      <c r="A36" s="138" t="s">
        <v>3546</v>
      </c>
      <c r="B36" s="138" t="n">
        <v>180.5</v>
      </c>
      <c r="C36" s="138" t="s">
        <v>60</v>
      </c>
      <c r="D36" s="138" t="s">
        <v>3516</v>
      </c>
      <c r="E36" s="138" t="n">
        <v>0.5</v>
      </c>
      <c r="F36" s="138" t="n">
        <v>1</v>
      </c>
      <c r="G36" s="138" t="n">
        <v>1</v>
      </c>
    </row>
    <row r="37" customFormat="false" ht="15" hidden="false" customHeight="false" outlineLevel="0" collapsed="false">
      <c r="A37" s="138" t="s">
        <v>1835</v>
      </c>
      <c r="B37" s="138" t="n">
        <v>186</v>
      </c>
      <c r="C37" s="138" t="s">
        <v>60</v>
      </c>
      <c r="D37" s="138" t="s">
        <v>3544</v>
      </c>
      <c r="E37" s="138" t="n">
        <v>0.36</v>
      </c>
      <c r="F37" s="138" t="n">
        <v>1</v>
      </c>
      <c r="G37" s="138" t="n">
        <v>1</v>
      </c>
    </row>
    <row r="38" customFormat="false" ht="15" hidden="false" customHeight="false" outlineLevel="0" collapsed="false">
      <c r="A38" s="138" t="s">
        <v>3547</v>
      </c>
      <c r="B38" s="138" t="n">
        <v>197.5</v>
      </c>
      <c r="C38" s="138" t="s">
        <v>59</v>
      </c>
      <c r="D38" s="138" t="s">
        <v>3542</v>
      </c>
      <c r="E38" s="138" t="n">
        <v>0.36</v>
      </c>
      <c r="F38" s="138" t="n">
        <v>1</v>
      </c>
      <c r="G38" s="138" t="n">
        <v>1</v>
      </c>
    </row>
    <row r="39" customFormat="false" ht="15" hidden="false" customHeight="false" outlineLevel="0" collapsed="false">
      <c r="A39" s="138" t="s">
        <v>1849</v>
      </c>
      <c r="B39" s="138" t="n">
        <v>200</v>
      </c>
      <c r="C39" s="138" t="s">
        <v>59</v>
      </c>
      <c r="D39" s="138" t="s">
        <v>3503</v>
      </c>
      <c r="E39" s="138" t="n">
        <v>0.7</v>
      </c>
      <c r="F39" s="138" t="n">
        <v>1</v>
      </c>
      <c r="G39" s="138" t="n">
        <v>1</v>
      </c>
    </row>
    <row r="40" customFormat="false" ht="15" hidden="false" customHeight="false" outlineLevel="0" collapsed="false">
      <c r="A40" s="138" t="s">
        <v>3548</v>
      </c>
      <c r="B40" s="138" t="n">
        <v>201.5</v>
      </c>
      <c r="C40" s="138" t="s">
        <v>59</v>
      </c>
      <c r="D40" s="138" t="s">
        <v>3516</v>
      </c>
      <c r="E40" s="138" t="n">
        <v>0.5</v>
      </c>
      <c r="F40" s="138" t="n">
        <v>1</v>
      </c>
      <c r="G40" s="138" t="n">
        <v>1</v>
      </c>
    </row>
    <row r="41" customFormat="false" ht="15" hidden="false" customHeight="false" outlineLevel="0" collapsed="false">
      <c r="A41" s="138" t="s">
        <v>1858</v>
      </c>
      <c r="B41" s="138" t="n">
        <v>207</v>
      </c>
      <c r="C41" s="138" t="s">
        <v>60</v>
      </c>
      <c r="D41" s="138" t="s">
        <v>3516</v>
      </c>
      <c r="E41" s="138" t="n">
        <v>0.5</v>
      </c>
      <c r="F41" s="138" t="n">
        <v>1</v>
      </c>
      <c r="G41" s="138" t="n">
        <v>1</v>
      </c>
    </row>
    <row r="42" customFormat="false" ht="15" hidden="false" customHeight="false" outlineLevel="0" collapsed="false">
      <c r="A42" s="138" t="s">
        <v>1862</v>
      </c>
      <c r="B42" s="138" t="n">
        <v>210</v>
      </c>
      <c r="C42" s="138" t="s">
        <v>60</v>
      </c>
      <c r="D42" s="138" t="s">
        <v>3537</v>
      </c>
      <c r="E42" s="138" t="n">
        <v>0.7</v>
      </c>
      <c r="F42" s="138" t="n">
        <v>1</v>
      </c>
      <c r="G42" s="138" t="n">
        <v>1</v>
      </c>
    </row>
    <row r="43" customFormat="false" ht="15" hidden="false" customHeight="false" outlineLevel="0" collapsed="false">
      <c r="A43" s="138" t="s">
        <v>3549</v>
      </c>
      <c r="B43" s="138" t="n">
        <v>212.5</v>
      </c>
      <c r="C43" s="138" t="s">
        <v>59</v>
      </c>
      <c r="D43" s="138" t="s">
        <v>3537</v>
      </c>
      <c r="E43" s="138" t="n">
        <v>0.7</v>
      </c>
      <c r="F43" s="138" t="n">
        <v>1</v>
      </c>
      <c r="G43" s="138" t="n">
        <v>1</v>
      </c>
    </row>
    <row r="44" customFormat="false" ht="15" hidden="false" customHeight="false" outlineLevel="0" collapsed="false">
      <c r="A44" s="138" t="s">
        <v>1879</v>
      </c>
      <c r="B44" s="138" t="n">
        <v>227</v>
      </c>
      <c r="C44" s="138" t="s">
        <v>59</v>
      </c>
      <c r="D44" s="138" t="s">
        <v>3516</v>
      </c>
      <c r="E44" s="138" t="n">
        <v>0.5</v>
      </c>
      <c r="F44" s="138" t="n">
        <v>1</v>
      </c>
      <c r="G44" s="138" t="n">
        <v>1</v>
      </c>
    </row>
    <row r="45" customFormat="false" ht="15" hidden="false" customHeight="false" outlineLevel="0" collapsed="false">
      <c r="A45" s="138" t="s">
        <v>1880</v>
      </c>
      <c r="B45" s="138" t="n">
        <v>228</v>
      </c>
      <c r="C45" s="138" t="s">
        <v>60</v>
      </c>
      <c r="D45" s="138" t="s">
        <v>3551</v>
      </c>
      <c r="E45" s="138" t="n">
        <v>0.36</v>
      </c>
      <c r="F45" s="138" t="n">
        <v>1</v>
      </c>
      <c r="G45" s="138" t="n">
        <v>1</v>
      </c>
    </row>
    <row r="46" customFormat="false" ht="15" hidden="false" customHeight="false" outlineLevel="0" collapsed="false">
      <c r="A46" s="138" t="s">
        <v>3552</v>
      </c>
      <c r="B46" s="138" t="n">
        <v>234.5</v>
      </c>
      <c r="C46" s="138" t="s">
        <v>60</v>
      </c>
      <c r="D46" s="138" t="s">
        <v>3553</v>
      </c>
      <c r="E46" s="138" t="n">
        <v>2</v>
      </c>
      <c r="F46" s="138" t="n">
        <v>1</v>
      </c>
      <c r="G46" s="138" t="n">
        <v>2</v>
      </c>
    </row>
    <row r="47" customFormat="false" ht="15" hidden="false" customHeight="false" outlineLevel="0" collapsed="false">
      <c r="A47" s="138" t="s">
        <v>3554</v>
      </c>
      <c r="B47" s="138" t="n">
        <v>237.5</v>
      </c>
      <c r="C47" s="138" t="s">
        <v>59</v>
      </c>
      <c r="D47" s="138" t="s">
        <v>3555</v>
      </c>
      <c r="E47" s="138" t="n">
        <v>2</v>
      </c>
      <c r="F47" s="138" t="n">
        <v>1</v>
      </c>
      <c r="G47" s="138" t="n">
        <v>2</v>
      </c>
    </row>
    <row r="48" customFormat="false" ht="15" hidden="false" customHeight="false" outlineLevel="0" collapsed="false">
      <c r="A48" s="138" t="s">
        <v>3556</v>
      </c>
      <c r="B48" s="138" t="n">
        <v>244.5</v>
      </c>
      <c r="C48" s="138" t="s">
        <v>59</v>
      </c>
      <c r="D48" s="138" t="s">
        <v>3551</v>
      </c>
      <c r="E48" s="138" t="n">
        <v>0.36</v>
      </c>
      <c r="F48" s="138" t="n">
        <v>1</v>
      </c>
      <c r="G48" s="138" t="n">
        <v>1</v>
      </c>
    </row>
    <row r="49" customFormat="false" ht="15" hidden="false" customHeight="false" outlineLevel="0" collapsed="false">
      <c r="A49" s="138" t="s">
        <v>3557</v>
      </c>
      <c r="B49" s="138" t="n">
        <v>248.5</v>
      </c>
      <c r="C49" s="138" t="s">
        <v>60</v>
      </c>
      <c r="D49" s="138" t="s">
        <v>3516</v>
      </c>
      <c r="E49" s="138" t="n">
        <v>0.5</v>
      </c>
      <c r="F49" s="138" t="n">
        <v>1</v>
      </c>
      <c r="G49" s="138" t="n">
        <v>1</v>
      </c>
    </row>
    <row r="50" customFormat="false" ht="15" hidden="false" customHeight="false" outlineLevel="0" collapsed="false">
      <c r="A50" s="138" t="s">
        <v>3558</v>
      </c>
      <c r="B50" s="138" t="n">
        <v>250.5</v>
      </c>
      <c r="C50" s="138" t="s">
        <v>60</v>
      </c>
      <c r="D50" s="138" t="s">
        <v>3503</v>
      </c>
      <c r="E50" s="138" t="n">
        <v>0.7</v>
      </c>
      <c r="F50" s="138" t="n">
        <v>1</v>
      </c>
      <c r="G50" s="138" t="n">
        <v>1</v>
      </c>
    </row>
    <row r="51" customFormat="false" ht="15" hidden="false" customHeight="false" outlineLevel="0" collapsed="false">
      <c r="A51" s="138" t="s">
        <v>3559</v>
      </c>
      <c r="B51" s="138" t="n">
        <v>253.5</v>
      </c>
      <c r="C51" s="138" t="s">
        <v>60</v>
      </c>
      <c r="D51" s="138" t="s">
        <v>3537</v>
      </c>
      <c r="E51" s="138" t="n">
        <v>0.7</v>
      </c>
      <c r="F51" s="138" t="n">
        <v>1</v>
      </c>
      <c r="G51" s="138" t="n">
        <v>1</v>
      </c>
    </row>
    <row r="52" customFormat="false" ht="15" hidden="false" customHeight="false" outlineLevel="0" collapsed="false">
      <c r="A52" s="138" t="s">
        <v>3560</v>
      </c>
      <c r="B52" s="138" t="n">
        <v>254.5</v>
      </c>
      <c r="C52" s="138" t="s">
        <v>59</v>
      </c>
      <c r="D52" s="138" t="s">
        <v>3537</v>
      </c>
      <c r="E52" s="138" t="n">
        <v>0.7</v>
      </c>
      <c r="F52" s="138" t="n">
        <v>1</v>
      </c>
      <c r="G52" s="138" t="n">
        <v>1</v>
      </c>
    </row>
    <row r="53" customFormat="false" ht="15" hidden="false" customHeight="false" outlineLevel="0" collapsed="false">
      <c r="A53" s="138" t="s">
        <v>3561</v>
      </c>
      <c r="B53" s="138" t="n">
        <v>259.45</v>
      </c>
      <c r="C53" s="138" t="s">
        <v>59</v>
      </c>
      <c r="D53" s="138" t="s">
        <v>3515</v>
      </c>
      <c r="E53" s="138" t="n">
        <v>0.27</v>
      </c>
      <c r="F53" s="138" t="n">
        <v>1</v>
      </c>
      <c r="G53" s="138" t="n">
        <v>1</v>
      </c>
    </row>
    <row r="54" customFormat="false" ht="15" hidden="false" customHeight="false" outlineLevel="0" collapsed="false">
      <c r="A54" s="138" t="s">
        <v>3562</v>
      </c>
      <c r="B54" s="138" t="n">
        <v>264.5</v>
      </c>
      <c r="C54" s="138" t="s">
        <v>59</v>
      </c>
      <c r="D54" s="138" t="s">
        <v>3516</v>
      </c>
      <c r="E54" s="138" t="n">
        <v>0.5</v>
      </c>
      <c r="F54" s="138" t="n">
        <v>1</v>
      </c>
      <c r="G54" s="138" t="n">
        <v>1</v>
      </c>
    </row>
    <row r="55" customFormat="false" ht="15" hidden="false" customHeight="false" outlineLevel="0" collapsed="false">
      <c r="A55" s="138" t="s">
        <v>1920</v>
      </c>
      <c r="B55" s="138" t="n">
        <v>265</v>
      </c>
      <c r="C55" s="138" t="s">
        <v>60</v>
      </c>
      <c r="D55" s="138" t="s">
        <v>3516</v>
      </c>
      <c r="E55" s="138" t="n">
        <v>0.5</v>
      </c>
      <c r="F55" s="138" t="n">
        <v>1</v>
      </c>
      <c r="G55" s="138" t="n">
        <v>1</v>
      </c>
    </row>
    <row r="56" customFormat="false" ht="15" hidden="false" customHeight="false" outlineLevel="0" collapsed="false">
      <c r="A56" s="138" t="s">
        <v>1934</v>
      </c>
      <c r="B56" s="138" t="n">
        <v>279</v>
      </c>
      <c r="C56" s="138" t="s">
        <v>59</v>
      </c>
      <c r="D56" s="138" t="s">
        <v>3563</v>
      </c>
      <c r="E56" s="138" t="n">
        <v>2</v>
      </c>
      <c r="F56" s="138" t="n">
        <v>1</v>
      </c>
      <c r="G56" s="138" t="n">
        <v>2</v>
      </c>
    </row>
    <row r="57" customFormat="false" ht="15" hidden="false" customHeight="false" outlineLevel="0" collapsed="false">
      <c r="A57" s="138" t="s">
        <v>3564</v>
      </c>
      <c r="B57" s="138" t="n">
        <v>285.5</v>
      </c>
      <c r="C57" s="138" t="s">
        <v>60</v>
      </c>
      <c r="D57" s="138" t="s">
        <v>3565</v>
      </c>
      <c r="E57" s="138" t="n">
        <v>2</v>
      </c>
      <c r="F57" s="138" t="n">
        <v>1</v>
      </c>
      <c r="G57" s="138" t="n">
        <v>2</v>
      </c>
    </row>
    <row r="58" customFormat="false" ht="15" hidden="false" customHeight="false" outlineLevel="0" collapsed="false">
      <c r="A58" s="138" t="s">
        <v>3566</v>
      </c>
      <c r="B58" s="138" t="n">
        <v>294.5</v>
      </c>
      <c r="C58" s="138" t="s">
        <v>60</v>
      </c>
      <c r="D58" s="138" t="s">
        <v>3567</v>
      </c>
      <c r="E58" s="138" t="n">
        <v>2</v>
      </c>
      <c r="F58" s="138" t="n">
        <v>1</v>
      </c>
      <c r="G58" s="138" t="n">
        <v>2</v>
      </c>
    </row>
    <row r="59" customFormat="false" ht="15" hidden="false" customHeight="false" outlineLevel="0" collapsed="false">
      <c r="A59" s="138" t="s">
        <v>1950</v>
      </c>
      <c r="B59" s="138" t="n">
        <v>295</v>
      </c>
      <c r="C59" s="138" t="s">
        <v>59</v>
      </c>
      <c r="D59" s="138" t="s">
        <v>3516</v>
      </c>
      <c r="E59" s="138" t="n">
        <v>0.5</v>
      </c>
      <c r="F59" s="138" t="n">
        <v>1</v>
      </c>
      <c r="G59" s="138" t="n">
        <v>1</v>
      </c>
    </row>
    <row r="60" customFormat="false" ht="15" hidden="false" customHeight="false" outlineLevel="0" collapsed="false">
      <c r="A60" s="138" t="s">
        <v>1955</v>
      </c>
      <c r="B60" s="138" t="n">
        <v>300</v>
      </c>
      <c r="C60" s="138" t="s">
        <v>59</v>
      </c>
      <c r="D60" s="138" t="s">
        <v>3503</v>
      </c>
      <c r="E60" s="138" t="n">
        <v>0.7</v>
      </c>
      <c r="F60" s="138" t="n">
        <v>1</v>
      </c>
      <c r="G60" s="138" t="n">
        <v>1</v>
      </c>
    </row>
    <row r="61" customFormat="false" ht="15" hidden="false" customHeight="false" outlineLevel="0" collapsed="false">
      <c r="A61" s="138" t="s">
        <v>1957</v>
      </c>
      <c r="B61" s="138" t="n">
        <v>302</v>
      </c>
      <c r="C61" s="138" t="s">
        <v>59</v>
      </c>
      <c r="D61" s="138" t="s">
        <v>3569</v>
      </c>
      <c r="E61" s="138" t="n">
        <v>3.5</v>
      </c>
      <c r="F61" s="138" t="n">
        <v>1</v>
      </c>
      <c r="G61" s="138" t="n">
        <v>1</v>
      </c>
    </row>
    <row r="62" customFormat="false" ht="15" hidden="false" customHeight="false" outlineLevel="0" collapsed="false">
      <c r="A62" s="138" t="s">
        <v>3571</v>
      </c>
      <c r="B62" s="138" t="n">
        <v>304.5</v>
      </c>
      <c r="C62" s="138" t="s">
        <v>60</v>
      </c>
      <c r="D62" s="138" t="s">
        <v>3524</v>
      </c>
      <c r="E62" s="138" t="n">
        <v>2</v>
      </c>
      <c r="F62" s="138" t="n">
        <v>1</v>
      </c>
      <c r="G62" s="138" t="n">
        <v>2</v>
      </c>
    </row>
    <row r="63" customFormat="false" ht="15" hidden="false" customHeight="false" outlineLevel="0" collapsed="false">
      <c r="A63" s="138" t="s">
        <v>3572</v>
      </c>
      <c r="B63" s="138" t="n">
        <v>310.5</v>
      </c>
      <c r="C63" s="138" t="s">
        <v>60</v>
      </c>
      <c r="D63" s="138" t="s">
        <v>3516</v>
      </c>
      <c r="E63" s="138" t="n">
        <v>0.5</v>
      </c>
      <c r="F63" s="138" t="n">
        <v>1</v>
      </c>
      <c r="G63" s="138" t="n">
        <v>1</v>
      </c>
    </row>
    <row r="64" customFormat="false" ht="15" hidden="false" customHeight="false" outlineLevel="0" collapsed="false">
      <c r="A64" s="138" t="s">
        <v>1969</v>
      </c>
      <c r="B64" s="138" t="n">
        <v>313</v>
      </c>
      <c r="C64" s="138" t="s">
        <v>60</v>
      </c>
      <c r="D64" s="138" t="s">
        <v>3573</v>
      </c>
      <c r="E64" s="138" t="n">
        <v>0.36</v>
      </c>
      <c r="F64" s="138" t="n">
        <v>1</v>
      </c>
      <c r="G64" s="138" t="n">
        <v>1</v>
      </c>
    </row>
    <row r="65" customFormat="false" ht="15" hidden="false" customHeight="false" outlineLevel="0" collapsed="false">
      <c r="A65" s="138" t="s">
        <v>1970</v>
      </c>
      <c r="B65" s="138" t="n">
        <v>314</v>
      </c>
      <c r="C65" s="138" t="s">
        <v>59</v>
      </c>
      <c r="D65" s="138" t="s">
        <v>3521</v>
      </c>
      <c r="E65" s="138" t="n">
        <v>0.5</v>
      </c>
      <c r="F65" s="138" t="n">
        <v>1</v>
      </c>
      <c r="G65" s="138" t="n">
        <v>1</v>
      </c>
    </row>
    <row r="66" customFormat="false" ht="15" hidden="false" customHeight="false" outlineLevel="0" collapsed="false">
      <c r="A66" s="138" t="s">
        <v>1973</v>
      </c>
      <c r="B66" s="138" t="n">
        <v>317</v>
      </c>
      <c r="C66" s="138" t="s">
        <v>60</v>
      </c>
      <c r="D66" s="138" t="s">
        <v>3518</v>
      </c>
      <c r="E66" s="138" t="n">
        <v>0.27</v>
      </c>
      <c r="F66" s="138" t="n">
        <v>1</v>
      </c>
      <c r="G66" s="138" t="n">
        <v>1</v>
      </c>
    </row>
    <row r="67" customFormat="false" ht="15" hidden="false" customHeight="false" outlineLevel="0" collapsed="false">
      <c r="A67" s="138" t="s">
        <v>1975</v>
      </c>
      <c r="B67" s="138" t="n">
        <v>318</v>
      </c>
      <c r="C67" s="138" t="s">
        <v>60</v>
      </c>
      <c r="D67" s="138" t="s">
        <v>3520</v>
      </c>
      <c r="E67" s="138" t="n">
        <v>0.5</v>
      </c>
      <c r="F67" s="138" t="n">
        <v>1</v>
      </c>
      <c r="G67" s="138" t="n">
        <v>1</v>
      </c>
    </row>
    <row r="68" customFormat="false" ht="15" hidden="false" customHeight="false" outlineLevel="0" collapsed="false">
      <c r="A68" s="138" t="s">
        <v>1976</v>
      </c>
      <c r="B68" s="138" t="n">
        <v>320</v>
      </c>
      <c r="C68" s="138" t="s">
        <v>60</v>
      </c>
      <c r="D68" s="138" t="s">
        <v>3574</v>
      </c>
      <c r="E68" s="138" t="n">
        <v>2</v>
      </c>
      <c r="F68" s="138" t="n">
        <v>1</v>
      </c>
      <c r="G68" s="138" t="n">
        <v>2</v>
      </c>
    </row>
    <row r="69" customFormat="false" ht="15" hidden="false" customHeight="false" outlineLevel="0" collapsed="false">
      <c r="A69" s="138" t="s">
        <v>3575</v>
      </c>
      <c r="B69" s="138" t="n">
        <v>324.5</v>
      </c>
      <c r="C69" s="138" t="s">
        <v>60</v>
      </c>
      <c r="D69" s="138" t="s">
        <v>3576</v>
      </c>
      <c r="E69" s="138" t="n">
        <v>2</v>
      </c>
      <c r="F69" s="138" t="n">
        <v>1</v>
      </c>
      <c r="G69" s="138" t="n">
        <v>2</v>
      </c>
    </row>
    <row r="70" customFormat="false" ht="15" hidden="false" customHeight="false" outlineLevel="0" collapsed="false">
      <c r="A70" s="138" t="s">
        <v>3577</v>
      </c>
      <c r="B70" s="138" t="n">
        <v>325.45</v>
      </c>
      <c r="C70" s="138" t="s">
        <v>59</v>
      </c>
      <c r="D70" s="138" t="s">
        <v>3491</v>
      </c>
      <c r="E70" s="138" t="n">
        <v>0.13</v>
      </c>
      <c r="F70" s="138" t="n">
        <v>1</v>
      </c>
      <c r="G70" s="138" t="n">
        <v>1</v>
      </c>
    </row>
    <row r="71" customFormat="false" ht="15" hidden="false" customHeight="false" outlineLevel="0" collapsed="false">
      <c r="A71" s="138" t="s">
        <v>1984</v>
      </c>
      <c r="B71" s="138" t="n">
        <v>326</v>
      </c>
      <c r="C71" s="138" t="s">
        <v>60</v>
      </c>
      <c r="D71" s="138" t="s">
        <v>3585</v>
      </c>
      <c r="E71" s="138" t="n">
        <v>0.5</v>
      </c>
      <c r="F71" s="138" t="n">
        <v>1</v>
      </c>
      <c r="G71" s="138" t="n">
        <v>1</v>
      </c>
    </row>
    <row r="72" customFormat="false" ht="15" hidden="false" customHeight="false" outlineLevel="0" collapsed="false">
      <c r="A72" s="138" t="s">
        <v>1984</v>
      </c>
      <c r="B72" s="138" t="n">
        <v>326</v>
      </c>
      <c r="C72" s="138" t="s">
        <v>59</v>
      </c>
      <c r="D72" s="138" t="s">
        <v>3515</v>
      </c>
      <c r="E72" s="138" t="n">
        <v>0.27</v>
      </c>
      <c r="F72" s="138" t="n">
        <v>1</v>
      </c>
      <c r="G72" s="138" t="n">
        <v>1</v>
      </c>
    </row>
    <row r="73" customFormat="false" ht="15" hidden="false" customHeight="false" outlineLevel="0" collapsed="false">
      <c r="A73" s="138" t="s">
        <v>1984</v>
      </c>
      <c r="B73" s="138" t="n">
        <v>326</v>
      </c>
      <c r="C73" s="138" t="s">
        <v>4521</v>
      </c>
      <c r="D73" s="138" t="s">
        <v>3518</v>
      </c>
      <c r="E73" s="138" t="n">
        <v>0.27</v>
      </c>
      <c r="F73" s="138" t="n">
        <v>1</v>
      </c>
      <c r="G73" s="138" t="n">
        <v>1</v>
      </c>
    </row>
    <row r="74" customFormat="false" ht="15" hidden="false" customHeight="false" outlineLevel="0" collapsed="false">
      <c r="A74" s="138" t="s">
        <v>1984</v>
      </c>
      <c r="B74" s="138" t="n">
        <v>326</v>
      </c>
      <c r="C74" s="138" t="s">
        <v>60</v>
      </c>
      <c r="D74" s="138" t="s">
        <v>3579</v>
      </c>
      <c r="E74" s="138" t="n">
        <v>0.2</v>
      </c>
      <c r="F74" s="138" t="n">
        <v>1</v>
      </c>
      <c r="G74" s="138" t="n">
        <v>1</v>
      </c>
    </row>
    <row r="75" customFormat="false" ht="15" hidden="false" customHeight="false" outlineLevel="0" collapsed="false">
      <c r="A75" s="138" t="s">
        <v>1984</v>
      </c>
      <c r="B75" s="138" t="n">
        <v>326</v>
      </c>
      <c r="C75" s="138" t="s">
        <v>60</v>
      </c>
      <c r="D75" s="138" t="s">
        <v>3497</v>
      </c>
      <c r="E75" s="138" t="n">
        <v>2.5</v>
      </c>
      <c r="F75" s="138" t="n">
        <v>1</v>
      </c>
      <c r="G75" s="138" t="n">
        <v>2</v>
      </c>
    </row>
    <row r="76" customFormat="false" ht="15" hidden="false" customHeight="false" outlineLevel="0" collapsed="false">
      <c r="A76" s="138" t="s">
        <v>1984</v>
      </c>
      <c r="B76" s="138" t="n">
        <v>326</v>
      </c>
      <c r="C76" s="138" t="s">
        <v>60</v>
      </c>
      <c r="D76" s="138" t="s">
        <v>3493</v>
      </c>
      <c r="E76" s="138" t="n">
        <v>0.27</v>
      </c>
      <c r="F76" s="138" t="n">
        <v>1</v>
      </c>
      <c r="G76" s="138" t="n">
        <v>1</v>
      </c>
    </row>
    <row r="77" customFormat="false" ht="15" hidden="false" customHeight="false" outlineLevel="0" collapsed="false">
      <c r="A77" s="138" t="s">
        <v>1984</v>
      </c>
      <c r="B77" s="138" t="n">
        <v>326</v>
      </c>
      <c r="C77" s="138" t="s">
        <v>60</v>
      </c>
      <c r="D77" s="138" t="s">
        <v>3579</v>
      </c>
      <c r="E77" s="138" t="n">
        <v>0.5</v>
      </c>
      <c r="F77" s="138" t="n">
        <v>1</v>
      </c>
      <c r="G77" s="138" t="n">
        <v>1</v>
      </c>
    </row>
    <row r="78" customFormat="false" ht="15" hidden="false" customHeight="false" outlineLevel="0" collapsed="false">
      <c r="A78" s="138" t="s">
        <v>1984</v>
      </c>
      <c r="B78" s="138" t="n">
        <v>326</v>
      </c>
      <c r="C78" s="138" t="s">
        <v>60</v>
      </c>
      <c r="D78" s="138" t="s">
        <v>5004</v>
      </c>
      <c r="E78" s="138" t="n">
        <v>0.5</v>
      </c>
      <c r="F78" s="138" t="n">
        <v>1</v>
      </c>
      <c r="G78" s="138" t="n">
        <v>0</v>
      </c>
    </row>
    <row r="79" customFormat="false" ht="15" hidden="false" customHeight="false" outlineLevel="0" collapsed="false">
      <c r="A79" s="138" t="s">
        <v>1984</v>
      </c>
      <c r="B79" s="138" t="n">
        <v>326</v>
      </c>
      <c r="C79" s="138" t="s">
        <v>60</v>
      </c>
      <c r="D79" s="138" t="s">
        <v>3499</v>
      </c>
      <c r="E79" s="138" t="n">
        <v>2</v>
      </c>
      <c r="F79" s="138" t="n">
        <v>1</v>
      </c>
      <c r="G79" s="138" t="n">
        <v>2</v>
      </c>
    </row>
    <row r="80" customFormat="false" ht="15" hidden="false" customHeight="false" outlineLevel="0" collapsed="false">
      <c r="A80" s="138" t="s">
        <v>1984</v>
      </c>
      <c r="B80" s="138" t="n">
        <v>326</v>
      </c>
      <c r="C80" s="138" t="s">
        <v>60</v>
      </c>
      <c r="D80" s="138" t="s">
        <v>3579</v>
      </c>
      <c r="E80" s="138" t="n">
        <v>0.5</v>
      </c>
      <c r="F80" s="138" t="n">
        <v>1</v>
      </c>
      <c r="G80" s="138" t="n">
        <v>1</v>
      </c>
    </row>
    <row r="81" customFormat="false" ht="15" hidden="false" customHeight="false" outlineLevel="0" collapsed="false">
      <c r="A81" s="138" t="s">
        <v>1984</v>
      </c>
      <c r="B81" s="138" t="n">
        <v>326</v>
      </c>
      <c r="C81" s="138" t="s">
        <v>60</v>
      </c>
      <c r="D81" s="138" t="s">
        <v>5004</v>
      </c>
      <c r="E81" s="138" t="n">
        <v>0.5</v>
      </c>
      <c r="F81" s="138" t="n">
        <v>1</v>
      </c>
      <c r="G81" s="138" t="n">
        <v>0</v>
      </c>
    </row>
    <row r="82" customFormat="false" ht="15" hidden="false" customHeight="false" outlineLevel="0" collapsed="false">
      <c r="A82" s="138" t="s">
        <v>1984</v>
      </c>
      <c r="B82" s="138" t="n">
        <v>326</v>
      </c>
      <c r="C82" s="138" t="s">
        <v>60</v>
      </c>
      <c r="D82" s="138" t="s">
        <v>3491</v>
      </c>
      <c r="E82" s="138" t="n">
        <v>0.82</v>
      </c>
      <c r="F82" s="138" t="n">
        <v>1</v>
      </c>
      <c r="G82" s="138" t="n">
        <v>1</v>
      </c>
    </row>
    <row r="83" customFormat="false" ht="15" hidden="false" customHeight="false" outlineLevel="0" collapsed="false">
      <c r="A83" s="138" t="s">
        <v>1984</v>
      </c>
      <c r="B83" s="138" t="n">
        <v>326</v>
      </c>
      <c r="C83" s="138" t="s">
        <v>59</v>
      </c>
      <c r="D83" s="138" t="s">
        <v>3491</v>
      </c>
      <c r="E83" s="138" t="n">
        <v>0.82</v>
      </c>
      <c r="F83" s="138" t="n">
        <v>1</v>
      </c>
      <c r="G83" s="138" t="n">
        <v>1</v>
      </c>
    </row>
    <row r="84" customFormat="false" ht="15" hidden="false" customHeight="false" outlineLevel="0" collapsed="false">
      <c r="A84" s="138" t="s">
        <v>1984</v>
      </c>
      <c r="B84" s="138" t="n">
        <v>326</v>
      </c>
      <c r="C84" s="138" t="s">
        <v>59</v>
      </c>
      <c r="D84" s="138" t="s">
        <v>3493</v>
      </c>
      <c r="E84" s="138" t="n">
        <v>0.27</v>
      </c>
      <c r="F84" s="138" t="n">
        <v>1</v>
      </c>
      <c r="G84" s="138" t="n">
        <v>1</v>
      </c>
    </row>
    <row r="85" customFormat="false" ht="15" hidden="false" customHeight="false" outlineLevel="0" collapsed="false">
      <c r="A85" s="138" t="s">
        <v>1984</v>
      </c>
      <c r="B85" s="138" t="n">
        <v>326</v>
      </c>
      <c r="C85" s="138" t="s">
        <v>59</v>
      </c>
      <c r="D85" s="138" t="s">
        <v>3495</v>
      </c>
      <c r="E85" s="138" t="n">
        <v>2</v>
      </c>
      <c r="F85" s="138" t="n">
        <v>1</v>
      </c>
      <c r="G85" s="138" t="n">
        <v>2</v>
      </c>
    </row>
    <row r="86" customFormat="false" ht="15" hidden="false" customHeight="false" outlineLevel="0" collapsed="false">
      <c r="A86" s="138" t="s">
        <v>1984</v>
      </c>
      <c r="B86" s="138" t="n">
        <v>326</v>
      </c>
      <c r="C86" s="138" t="s">
        <v>59</v>
      </c>
      <c r="D86" s="138" t="s">
        <v>3579</v>
      </c>
      <c r="E86" s="138" t="n">
        <v>0.5</v>
      </c>
      <c r="F86" s="138" t="n">
        <v>1</v>
      </c>
      <c r="G86" s="138" t="n">
        <v>1</v>
      </c>
    </row>
    <row r="87" customFormat="false" ht="15" hidden="false" customHeight="false" outlineLevel="0" collapsed="false">
      <c r="A87" s="138" t="s">
        <v>1984</v>
      </c>
      <c r="B87" s="138" t="n">
        <v>326</v>
      </c>
      <c r="C87" s="138" t="s">
        <v>59</v>
      </c>
      <c r="D87" s="138" t="s">
        <v>5004</v>
      </c>
      <c r="E87" s="138" t="n">
        <v>0.5</v>
      </c>
      <c r="F87" s="138" t="n">
        <v>1</v>
      </c>
      <c r="G87" s="138" t="n">
        <v>0</v>
      </c>
    </row>
    <row r="88" customFormat="false" ht="15" hidden="false" customHeight="false" outlineLevel="0" collapsed="false">
      <c r="A88" s="138" t="s">
        <v>1984</v>
      </c>
      <c r="B88" s="138" t="n">
        <v>326</v>
      </c>
      <c r="C88" s="138" t="s">
        <v>59</v>
      </c>
      <c r="D88" s="138" t="s">
        <v>3502</v>
      </c>
      <c r="E88" s="138" t="n">
        <v>2</v>
      </c>
      <c r="F88" s="138" t="n">
        <v>1</v>
      </c>
      <c r="G88" s="138" t="n">
        <v>2</v>
      </c>
    </row>
    <row r="89" customFormat="false" ht="15" hidden="false" customHeight="false" outlineLevel="0" collapsed="false">
      <c r="A89" s="138" t="s">
        <v>1984</v>
      </c>
      <c r="B89" s="138" t="n">
        <v>326</v>
      </c>
      <c r="C89" s="138" t="s">
        <v>4521</v>
      </c>
      <c r="D89" s="138" t="s">
        <v>3515</v>
      </c>
      <c r="E89" s="138" t="n">
        <v>0.27</v>
      </c>
      <c r="F89" s="138" t="n">
        <v>1</v>
      </c>
      <c r="G89" s="138" t="n">
        <v>1</v>
      </c>
    </row>
    <row r="90" customFormat="false" ht="15" hidden="false" customHeight="false" outlineLevel="0" collapsed="false">
      <c r="A90" s="138" t="s">
        <v>1984</v>
      </c>
      <c r="B90" s="138" t="n">
        <v>326</v>
      </c>
      <c r="C90" s="138" t="s">
        <v>4521</v>
      </c>
      <c r="D90" s="138" t="s">
        <v>5005</v>
      </c>
      <c r="E90" s="138" t="n">
        <v>0.5</v>
      </c>
      <c r="F90" s="138" t="n">
        <v>1</v>
      </c>
      <c r="G90" s="138" t="n">
        <v>0</v>
      </c>
    </row>
    <row r="91" customFormat="false" ht="15" hidden="false" customHeight="false" outlineLevel="0" collapsed="false">
      <c r="A91" s="138" t="s">
        <v>3586</v>
      </c>
      <c r="B91" s="138" t="n">
        <v>327.5</v>
      </c>
      <c r="C91" s="138" t="s">
        <v>60</v>
      </c>
      <c r="D91" s="138" t="s">
        <v>3542</v>
      </c>
      <c r="E91" s="138" t="n">
        <v>0.36</v>
      </c>
      <c r="F91" s="138" t="n">
        <v>1</v>
      </c>
      <c r="G91" s="138" t="n">
        <v>1</v>
      </c>
    </row>
    <row r="92" customFormat="false" ht="15" hidden="false" customHeight="false" outlineLevel="0" collapsed="false">
      <c r="A92" s="138" t="s">
        <v>3586</v>
      </c>
      <c r="B92" s="138" t="n">
        <v>327.5</v>
      </c>
      <c r="C92" s="138" t="s">
        <v>59</v>
      </c>
      <c r="D92" s="138" t="s">
        <v>3587</v>
      </c>
      <c r="E92" s="138" t="n">
        <v>2.5</v>
      </c>
      <c r="F92" s="138" t="n">
        <v>1</v>
      </c>
      <c r="G92" s="138" t="n">
        <v>2</v>
      </c>
    </row>
    <row r="93" customFormat="false" ht="15" hidden="false" customHeight="false" outlineLevel="0" collapsed="false">
      <c r="A93" s="138" t="s">
        <v>1573</v>
      </c>
      <c r="B93" s="138" t="n">
        <v>332</v>
      </c>
      <c r="C93" s="138" t="s">
        <v>59</v>
      </c>
      <c r="D93" s="138" t="s">
        <v>3588</v>
      </c>
      <c r="E93" s="138" t="n">
        <v>2.5</v>
      </c>
      <c r="F93" s="138" t="n">
        <v>1</v>
      </c>
      <c r="G93" s="138" t="n">
        <v>2</v>
      </c>
    </row>
    <row r="94" customFormat="false" ht="15" hidden="false" customHeight="false" outlineLevel="0" collapsed="false">
      <c r="A94" s="138" t="s">
        <v>1993</v>
      </c>
      <c r="B94" s="138" t="n">
        <v>334</v>
      </c>
      <c r="C94" s="138" t="s">
        <v>59</v>
      </c>
      <c r="D94" s="138" t="s">
        <v>3520</v>
      </c>
      <c r="E94" s="138" t="n">
        <v>0.5</v>
      </c>
      <c r="F94" s="138" t="n">
        <v>1</v>
      </c>
      <c r="G94" s="138" t="n">
        <v>1</v>
      </c>
    </row>
    <row r="95" customFormat="false" ht="15" hidden="false" customHeight="false" outlineLevel="0" collapsed="false">
      <c r="A95" s="138" t="s">
        <v>3589</v>
      </c>
      <c r="B95" s="138" t="n">
        <v>335.5</v>
      </c>
      <c r="C95" s="138" t="s">
        <v>60</v>
      </c>
      <c r="D95" s="138" t="s">
        <v>3521</v>
      </c>
      <c r="E95" s="138" t="n">
        <v>0.5</v>
      </c>
      <c r="F95" s="138" t="n">
        <v>1</v>
      </c>
      <c r="G95" s="138" t="n">
        <v>1</v>
      </c>
    </row>
    <row r="96" customFormat="false" ht="15" hidden="false" customHeight="false" outlineLevel="0" collapsed="false">
      <c r="A96" s="138" t="s">
        <v>3590</v>
      </c>
      <c r="B96" s="138" t="n">
        <v>335.75</v>
      </c>
      <c r="C96" s="138" t="s">
        <v>59</v>
      </c>
      <c r="D96" s="138" t="s">
        <v>3518</v>
      </c>
      <c r="E96" s="138" t="n">
        <v>0.27</v>
      </c>
      <c r="F96" s="138" t="n">
        <v>1</v>
      </c>
      <c r="G96" s="138" t="n">
        <v>1</v>
      </c>
    </row>
    <row r="97" customFormat="false" ht="15" hidden="false" customHeight="false" outlineLevel="0" collapsed="false">
      <c r="A97" s="138" t="s">
        <v>1998</v>
      </c>
      <c r="B97" s="138" t="n">
        <v>338</v>
      </c>
      <c r="C97" s="138" t="s">
        <v>59</v>
      </c>
      <c r="D97" s="138" t="s">
        <v>3591</v>
      </c>
      <c r="E97" s="138" t="n">
        <v>0.36</v>
      </c>
      <c r="F97" s="138" t="n">
        <v>1</v>
      </c>
      <c r="G97" s="138" t="n">
        <v>1</v>
      </c>
    </row>
    <row r="98" customFormat="false" ht="15" hidden="false" customHeight="false" outlineLevel="0" collapsed="false">
      <c r="A98" s="138" t="s">
        <v>3592</v>
      </c>
      <c r="B98" s="138" t="n">
        <v>339.5</v>
      </c>
      <c r="C98" s="138" t="s">
        <v>60</v>
      </c>
      <c r="D98" s="138" t="s">
        <v>3516</v>
      </c>
      <c r="E98" s="138" t="n">
        <v>0.5</v>
      </c>
      <c r="F98" s="138" t="n">
        <v>1</v>
      </c>
      <c r="G98" s="138" t="n">
        <v>1</v>
      </c>
    </row>
    <row r="99" customFormat="false" ht="15" hidden="false" customHeight="false" outlineLevel="0" collapsed="false">
      <c r="A99" s="138" t="s">
        <v>2001</v>
      </c>
      <c r="B99" s="138" t="n">
        <v>341</v>
      </c>
      <c r="C99" s="138" t="s">
        <v>59</v>
      </c>
      <c r="D99" s="138" t="s">
        <v>3516</v>
      </c>
      <c r="E99" s="138" t="n">
        <v>0.5</v>
      </c>
      <c r="F99" s="138" t="n">
        <v>1</v>
      </c>
      <c r="G99" s="138" t="n">
        <v>1</v>
      </c>
    </row>
    <row r="100" customFormat="false" ht="15" hidden="false" customHeight="false" outlineLevel="0" collapsed="false">
      <c r="A100" s="138" t="s">
        <v>2004</v>
      </c>
      <c r="B100" s="138" t="n">
        <v>344</v>
      </c>
      <c r="C100" s="138" t="s">
        <v>59</v>
      </c>
      <c r="D100" s="138" t="s">
        <v>3544</v>
      </c>
      <c r="E100" s="138" t="n">
        <v>0.36</v>
      </c>
      <c r="F100" s="138" t="n">
        <v>1</v>
      </c>
      <c r="G100" s="138" t="n">
        <v>1</v>
      </c>
    </row>
    <row r="101" customFormat="false" ht="15" hidden="false" customHeight="false" outlineLevel="0" collapsed="false">
      <c r="A101" s="138" t="s">
        <v>3593</v>
      </c>
      <c r="B101" s="138" t="n">
        <v>344.5</v>
      </c>
      <c r="C101" s="138" t="s">
        <v>60</v>
      </c>
      <c r="D101" s="138" t="s">
        <v>3594</v>
      </c>
      <c r="E101" s="138" t="n">
        <v>2.5</v>
      </c>
      <c r="F101" s="138" t="n">
        <v>1</v>
      </c>
      <c r="G101" s="138" t="n">
        <v>2</v>
      </c>
    </row>
    <row r="102" customFormat="false" ht="15" hidden="false" customHeight="false" outlineLevel="0" collapsed="false">
      <c r="A102" s="138" t="s">
        <v>2007</v>
      </c>
      <c r="B102" s="138" t="n">
        <v>347</v>
      </c>
      <c r="C102" s="138" t="s">
        <v>59</v>
      </c>
      <c r="D102" s="138" t="s">
        <v>3524</v>
      </c>
      <c r="E102" s="138" t="n">
        <v>3.75</v>
      </c>
      <c r="F102" s="138" t="n">
        <v>1</v>
      </c>
      <c r="G102" s="138" t="n">
        <v>2</v>
      </c>
    </row>
    <row r="103" customFormat="false" ht="15" hidden="false" customHeight="false" outlineLevel="0" collapsed="false">
      <c r="A103" s="138" t="s">
        <v>3595</v>
      </c>
      <c r="B103" s="138" t="n">
        <v>347.5</v>
      </c>
      <c r="C103" s="138" t="s">
        <v>60</v>
      </c>
      <c r="D103" s="138" t="s">
        <v>3544</v>
      </c>
      <c r="E103" s="138" t="n">
        <v>0.36</v>
      </c>
      <c r="F103" s="138" t="n">
        <v>1</v>
      </c>
      <c r="G103" s="138" t="n">
        <v>1</v>
      </c>
    </row>
    <row r="104" customFormat="false" ht="15" hidden="false" customHeight="false" outlineLevel="0" collapsed="false">
      <c r="A104" s="138" t="s">
        <v>3596</v>
      </c>
      <c r="B104" s="138" t="n">
        <v>350.5</v>
      </c>
      <c r="C104" s="138" t="s">
        <v>60</v>
      </c>
      <c r="D104" s="138" t="s">
        <v>3503</v>
      </c>
      <c r="E104" s="138" t="n">
        <v>0.7</v>
      </c>
      <c r="F104" s="138" t="n">
        <v>1</v>
      </c>
      <c r="G104" s="138" t="n">
        <v>1</v>
      </c>
    </row>
    <row r="105" customFormat="false" ht="15" hidden="false" customHeight="false" outlineLevel="0" collapsed="false">
      <c r="A105" s="138" t="s">
        <v>2017</v>
      </c>
      <c r="B105" s="138" t="n">
        <v>357</v>
      </c>
      <c r="C105" s="138" t="s">
        <v>59</v>
      </c>
      <c r="D105" s="138" t="s">
        <v>3567</v>
      </c>
      <c r="E105" s="138" t="n">
        <v>3.75</v>
      </c>
      <c r="F105" s="138" t="n">
        <v>1</v>
      </c>
      <c r="G105" s="138" t="n">
        <v>2</v>
      </c>
    </row>
    <row r="106" customFormat="false" ht="15" hidden="false" customHeight="false" outlineLevel="0" collapsed="false">
      <c r="A106" s="138" t="s">
        <v>2021</v>
      </c>
      <c r="B106" s="138" t="n">
        <v>360</v>
      </c>
      <c r="C106" s="138" t="s">
        <v>59</v>
      </c>
      <c r="D106" s="138" t="s">
        <v>3542</v>
      </c>
      <c r="E106" s="138" t="n">
        <v>0.36</v>
      </c>
      <c r="F106" s="138" t="n">
        <v>1</v>
      </c>
      <c r="G106" s="138" t="n">
        <v>1</v>
      </c>
    </row>
    <row r="107" customFormat="false" ht="15" hidden="false" customHeight="false" outlineLevel="0" collapsed="false">
      <c r="A107" s="138" t="s">
        <v>2022</v>
      </c>
      <c r="B107" s="138" t="n">
        <v>361</v>
      </c>
      <c r="C107" s="138" t="s">
        <v>60</v>
      </c>
      <c r="D107" s="138" t="s">
        <v>3537</v>
      </c>
      <c r="E107" s="138" t="n">
        <v>0.7</v>
      </c>
      <c r="F107" s="138" t="n">
        <v>1</v>
      </c>
      <c r="G107" s="138" t="n">
        <v>1</v>
      </c>
    </row>
    <row r="108" customFormat="false" ht="15" hidden="false" customHeight="false" outlineLevel="0" collapsed="false">
      <c r="A108" s="138" t="s">
        <v>2026</v>
      </c>
      <c r="B108" s="138" t="n">
        <v>365</v>
      </c>
      <c r="C108" s="138" t="s">
        <v>59</v>
      </c>
      <c r="D108" s="138" t="s">
        <v>3537</v>
      </c>
      <c r="E108" s="138" t="n">
        <v>0.7</v>
      </c>
      <c r="F108" s="138" t="n">
        <v>1</v>
      </c>
      <c r="G108" s="138" t="n">
        <v>1</v>
      </c>
    </row>
    <row r="109" customFormat="false" ht="15" hidden="false" customHeight="false" outlineLevel="0" collapsed="false">
      <c r="A109" s="138" t="s">
        <v>2030</v>
      </c>
      <c r="B109" s="138" t="n">
        <v>369</v>
      </c>
      <c r="C109" s="138" t="s">
        <v>59</v>
      </c>
      <c r="D109" s="138" t="s">
        <v>3516</v>
      </c>
      <c r="E109" s="138" t="n">
        <v>0.5</v>
      </c>
      <c r="F109" s="138" t="n">
        <v>1</v>
      </c>
      <c r="G109" s="138" t="n">
        <v>1</v>
      </c>
    </row>
    <row r="110" customFormat="false" ht="15" hidden="false" customHeight="false" outlineLevel="0" collapsed="false">
      <c r="A110" s="138" t="s">
        <v>3598</v>
      </c>
      <c r="B110" s="138" t="n">
        <v>374.5</v>
      </c>
      <c r="C110" s="138" t="s">
        <v>60</v>
      </c>
      <c r="D110" s="138" t="s">
        <v>3516</v>
      </c>
      <c r="E110" s="138" t="n">
        <v>0.5</v>
      </c>
      <c r="F110" s="138" t="n">
        <v>1</v>
      </c>
      <c r="G110" s="138" t="n">
        <v>1</v>
      </c>
    </row>
    <row r="111" customFormat="false" ht="15" hidden="false" customHeight="false" outlineLevel="0" collapsed="false">
      <c r="A111" s="138" t="s">
        <v>3599</v>
      </c>
      <c r="B111" s="138" t="n">
        <v>393.75</v>
      </c>
      <c r="C111" s="138" t="s">
        <v>59</v>
      </c>
      <c r="D111" s="138" t="s">
        <v>3516</v>
      </c>
      <c r="E111" s="138" t="n">
        <v>0.5</v>
      </c>
      <c r="F111" s="138" t="n">
        <v>1</v>
      </c>
      <c r="G111" s="138" t="n">
        <v>1</v>
      </c>
    </row>
    <row r="112" customFormat="false" ht="15" hidden="false" customHeight="false" outlineLevel="0" collapsed="false">
      <c r="A112" s="138" t="s">
        <v>3600</v>
      </c>
      <c r="B112" s="138" t="n">
        <v>398.5</v>
      </c>
      <c r="C112" s="138" t="s">
        <v>60</v>
      </c>
      <c r="D112" s="138" t="s">
        <v>3579</v>
      </c>
      <c r="E112" s="138" t="n">
        <v>0.2</v>
      </c>
      <c r="F112" s="138" t="n">
        <v>1</v>
      </c>
      <c r="G112" s="138" t="n">
        <v>1</v>
      </c>
    </row>
    <row r="113" customFormat="false" ht="15" hidden="false" customHeight="false" outlineLevel="0" collapsed="false">
      <c r="A113" s="138" t="s">
        <v>2064</v>
      </c>
      <c r="B113" s="138" t="n">
        <v>400</v>
      </c>
      <c r="C113" s="138" t="s">
        <v>59</v>
      </c>
      <c r="D113" s="138" t="s">
        <v>3503</v>
      </c>
      <c r="E113" s="138" t="n">
        <v>0.7</v>
      </c>
      <c r="F113" s="138" t="n">
        <v>1</v>
      </c>
      <c r="G113" s="138" t="n">
        <v>1</v>
      </c>
    </row>
    <row r="114" customFormat="false" ht="15" hidden="false" customHeight="false" outlineLevel="0" collapsed="false">
      <c r="A114" s="138" t="s">
        <v>3601</v>
      </c>
      <c r="B114" s="138" t="n">
        <v>403.25</v>
      </c>
      <c r="C114" s="138" t="s">
        <v>60</v>
      </c>
      <c r="D114" s="138" t="s">
        <v>3516</v>
      </c>
      <c r="E114" s="138" t="n">
        <v>0.5</v>
      </c>
      <c r="F114" s="138" t="n">
        <v>1</v>
      </c>
      <c r="G114" s="138" t="n">
        <v>1</v>
      </c>
    </row>
    <row r="115" customFormat="false" ht="15" hidden="false" customHeight="false" outlineLevel="0" collapsed="false">
      <c r="A115" s="138" t="s">
        <v>2080</v>
      </c>
      <c r="B115" s="138" t="n">
        <v>417</v>
      </c>
      <c r="C115" s="138" t="s">
        <v>60</v>
      </c>
      <c r="D115" s="138" t="s">
        <v>3537</v>
      </c>
      <c r="E115" s="138" t="n">
        <v>0.7</v>
      </c>
      <c r="F115" s="138" t="n">
        <v>1</v>
      </c>
      <c r="G115" s="138" t="n">
        <v>1</v>
      </c>
    </row>
    <row r="116" customFormat="false" ht="15" hidden="false" customHeight="false" outlineLevel="0" collapsed="false">
      <c r="A116" s="138" t="s">
        <v>3602</v>
      </c>
      <c r="B116" s="138" t="n">
        <v>420.25</v>
      </c>
      <c r="C116" s="138" t="s">
        <v>59</v>
      </c>
      <c r="D116" s="138" t="s">
        <v>3516</v>
      </c>
      <c r="E116" s="138" t="n">
        <v>0.5</v>
      </c>
      <c r="F116" s="138" t="n">
        <v>1</v>
      </c>
      <c r="G116" s="138" t="n">
        <v>1</v>
      </c>
    </row>
    <row r="117" customFormat="false" ht="15" hidden="false" customHeight="false" outlineLevel="0" collapsed="false">
      <c r="A117" s="138" t="s">
        <v>3603</v>
      </c>
      <c r="B117" s="138" t="n">
        <v>427.5</v>
      </c>
      <c r="C117" s="138" t="s">
        <v>59</v>
      </c>
      <c r="D117" s="138" t="s">
        <v>3537</v>
      </c>
      <c r="E117" s="138" t="n">
        <v>0.7</v>
      </c>
      <c r="F117" s="138" t="n">
        <v>1</v>
      </c>
      <c r="G117" s="138" t="n">
        <v>1</v>
      </c>
    </row>
    <row r="118" customFormat="false" ht="15" hidden="false" customHeight="false" outlineLevel="0" collapsed="false">
      <c r="A118" s="138" t="s">
        <v>3605</v>
      </c>
      <c r="B118" s="138" t="n">
        <v>429.25</v>
      </c>
      <c r="C118" s="138" t="s">
        <v>60</v>
      </c>
      <c r="D118" s="138" t="s">
        <v>3606</v>
      </c>
      <c r="E118" s="138" t="n">
        <v>2.5</v>
      </c>
      <c r="F118" s="138" t="n">
        <v>1</v>
      </c>
      <c r="G118" s="138" t="n">
        <v>2</v>
      </c>
    </row>
    <row r="119" customFormat="false" ht="15" hidden="false" customHeight="false" outlineLevel="0" collapsed="false">
      <c r="A119" s="138" t="s">
        <v>3607</v>
      </c>
      <c r="B119" s="138" t="n">
        <v>431.6</v>
      </c>
      <c r="C119" s="138" t="s">
        <v>59</v>
      </c>
      <c r="D119" s="138" t="s">
        <v>3608</v>
      </c>
      <c r="E119" s="138" t="n">
        <v>2.5</v>
      </c>
      <c r="F119" s="138" t="n">
        <v>1</v>
      </c>
      <c r="G119" s="138" t="n">
        <v>2</v>
      </c>
    </row>
    <row r="120" customFormat="false" ht="15" hidden="false" customHeight="false" outlineLevel="0" collapsed="false">
      <c r="A120" s="138" t="s">
        <v>3609</v>
      </c>
      <c r="B120" s="138" t="n">
        <v>433.5</v>
      </c>
      <c r="C120" s="138" t="s">
        <v>60</v>
      </c>
      <c r="D120" s="138" t="s">
        <v>3516</v>
      </c>
      <c r="E120" s="138" t="n">
        <v>0.5</v>
      </c>
      <c r="F120" s="138" t="n">
        <v>1</v>
      </c>
      <c r="G120" s="138" t="n">
        <v>1</v>
      </c>
    </row>
    <row r="121" customFormat="false" ht="15" hidden="false" customHeight="false" outlineLevel="0" collapsed="false">
      <c r="A121" s="138" t="s">
        <v>3610</v>
      </c>
      <c r="B121" s="138" t="n">
        <v>437.5</v>
      </c>
      <c r="C121" s="138" t="s">
        <v>60</v>
      </c>
      <c r="D121" s="138" t="s">
        <v>3611</v>
      </c>
      <c r="E121" s="138" t="n">
        <v>0.36</v>
      </c>
      <c r="F121" s="138" t="n">
        <v>1</v>
      </c>
      <c r="G121" s="138" t="n">
        <v>1</v>
      </c>
    </row>
    <row r="122" customFormat="false" ht="15" hidden="false" customHeight="false" outlineLevel="0" collapsed="false">
      <c r="A122" s="138" t="s">
        <v>2112</v>
      </c>
      <c r="B122" s="138" t="n">
        <v>448</v>
      </c>
      <c r="C122" s="138" t="s">
        <v>60</v>
      </c>
      <c r="D122" s="138" t="s">
        <v>3544</v>
      </c>
      <c r="E122" s="138" t="n">
        <v>0.36</v>
      </c>
      <c r="F122" s="138" t="n">
        <v>1</v>
      </c>
      <c r="G122" s="138" t="n">
        <v>1</v>
      </c>
    </row>
    <row r="123" customFormat="false" ht="15" hidden="false" customHeight="false" outlineLevel="0" collapsed="false">
      <c r="A123" s="138" t="s">
        <v>3612</v>
      </c>
      <c r="B123" s="138" t="n">
        <v>450.5</v>
      </c>
      <c r="C123" s="138" t="s">
        <v>60</v>
      </c>
      <c r="D123" s="138" t="s">
        <v>3503</v>
      </c>
      <c r="E123" s="138" t="n">
        <v>0.7</v>
      </c>
      <c r="F123" s="138" t="n">
        <v>1</v>
      </c>
      <c r="G123" s="138" t="n">
        <v>1</v>
      </c>
    </row>
    <row r="124" customFormat="false" ht="15" hidden="false" customHeight="false" outlineLevel="0" collapsed="false">
      <c r="A124" s="138" t="s">
        <v>2127</v>
      </c>
      <c r="B124" s="138" t="n">
        <v>461</v>
      </c>
      <c r="C124" s="138" t="s">
        <v>59</v>
      </c>
      <c r="D124" s="138" t="s">
        <v>3542</v>
      </c>
      <c r="E124" s="138" t="n">
        <v>0.36</v>
      </c>
      <c r="F124" s="138" t="n">
        <v>1</v>
      </c>
      <c r="G124" s="138" t="n">
        <v>1</v>
      </c>
    </row>
    <row r="125" customFormat="false" ht="15" hidden="false" customHeight="false" outlineLevel="0" collapsed="false">
      <c r="A125" s="138" t="s">
        <v>3613</v>
      </c>
      <c r="B125" s="138" t="n">
        <v>462.5</v>
      </c>
      <c r="C125" s="138" t="s">
        <v>60</v>
      </c>
      <c r="D125" s="138" t="s">
        <v>3542</v>
      </c>
      <c r="E125" s="138" t="n">
        <v>0.36</v>
      </c>
      <c r="F125" s="138" t="n">
        <v>1</v>
      </c>
      <c r="G125" s="138" t="n">
        <v>1</v>
      </c>
    </row>
    <row r="126" customFormat="false" ht="15" hidden="false" customHeight="false" outlineLevel="0" collapsed="false">
      <c r="A126" s="138" t="s">
        <v>3614</v>
      </c>
      <c r="B126" s="138" t="n">
        <v>466.5</v>
      </c>
      <c r="C126" s="138" t="s">
        <v>59</v>
      </c>
      <c r="D126" s="138" t="s">
        <v>3516</v>
      </c>
      <c r="E126" s="138" t="n">
        <v>0.5</v>
      </c>
      <c r="F126" s="138" t="n">
        <v>1</v>
      </c>
      <c r="G126" s="138" t="n">
        <v>1</v>
      </c>
    </row>
    <row r="127" customFormat="false" ht="15" hidden="false" customHeight="false" outlineLevel="0" collapsed="false">
      <c r="A127" s="138" t="s">
        <v>2138</v>
      </c>
      <c r="B127" s="138" t="n">
        <v>470</v>
      </c>
      <c r="C127" s="138" t="s">
        <v>60</v>
      </c>
      <c r="D127" s="138" t="s">
        <v>3537</v>
      </c>
      <c r="E127" s="138" t="n">
        <v>0.7</v>
      </c>
      <c r="F127" s="138" t="n">
        <v>1</v>
      </c>
      <c r="G127" s="138" t="n">
        <v>1</v>
      </c>
    </row>
    <row r="128" customFormat="false" ht="15" hidden="false" customHeight="false" outlineLevel="0" collapsed="false">
      <c r="A128" s="138" t="s">
        <v>3615</v>
      </c>
      <c r="B128" s="138" t="n">
        <v>470.5</v>
      </c>
      <c r="C128" s="138" t="s">
        <v>59</v>
      </c>
      <c r="D128" s="138" t="s">
        <v>3544</v>
      </c>
      <c r="E128" s="138" t="n">
        <v>0.36</v>
      </c>
      <c r="F128" s="138" t="n">
        <v>1</v>
      </c>
      <c r="G128" s="138" t="n">
        <v>1</v>
      </c>
    </row>
    <row r="129" customFormat="false" ht="15" hidden="false" customHeight="false" outlineLevel="0" collapsed="false">
      <c r="A129" s="138" t="s">
        <v>2142</v>
      </c>
      <c r="B129" s="138" t="n">
        <v>474</v>
      </c>
      <c r="C129" s="138" t="s">
        <v>59</v>
      </c>
      <c r="D129" s="138" t="s">
        <v>3537</v>
      </c>
      <c r="E129" s="138" t="n">
        <v>0.7</v>
      </c>
      <c r="F129" s="138" t="n">
        <v>1</v>
      </c>
      <c r="G129" s="138" t="n">
        <v>1</v>
      </c>
    </row>
    <row r="130" customFormat="false" ht="15" hidden="false" customHeight="false" outlineLevel="0" collapsed="false">
      <c r="A130" s="138" t="s">
        <v>3616</v>
      </c>
      <c r="B130" s="138" t="n">
        <v>474.75</v>
      </c>
      <c r="C130" s="138" t="s">
        <v>60</v>
      </c>
      <c r="D130" s="138" t="s">
        <v>3516</v>
      </c>
      <c r="E130" s="138" t="n">
        <v>0.5</v>
      </c>
      <c r="F130" s="138" t="n">
        <v>1</v>
      </c>
      <c r="G130" s="138" t="n">
        <v>1</v>
      </c>
    </row>
    <row r="131" customFormat="false" ht="15" hidden="false" customHeight="false" outlineLevel="0" collapsed="false">
      <c r="A131" s="138" t="s">
        <v>3617</v>
      </c>
      <c r="B131" s="138" t="n">
        <v>478.25</v>
      </c>
      <c r="C131" s="138" t="s">
        <v>60</v>
      </c>
      <c r="D131" s="138" t="s">
        <v>3611</v>
      </c>
      <c r="E131" s="138" t="n">
        <v>0.36</v>
      </c>
      <c r="F131" s="138" t="n">
        <v>1</v>
      </c>
      <c r="G131" s="138" t="n">
        <v>1</v>
      </c>
    </row>
    <row r="132" customFormat="false" ht="15" hidden="false" customHeight="false" outlineLevel="0" collapsed="false">
      <c r="A132" s="138" t="s">
        <v>3618</v>
      </c>
      <c r="B132" s="138" t="n">
        <v>485.5</v>
      </c>
      <c r="C132" s="138" t="s">
        <v>60</v>
      </c>
      <c r="D132" s="138" t="s">
        <v>3544</v>
      </c>
      <c r="E132" s="138" t="n">
        <v>0.36</v>
      </c>
      <c r="F132" s="138" t="n">
        <v>1</v>
      </c>
      <c r="G132" s="138" t="n">
        <v>1</v>
      </c>
    </row>
    <row r="133" customFormat="false" ht="15" hidden="false" customHeight="false" outlineLevel="0" collapsed="false">
      <c r="A133" s="138" t="s">
        <v>2156</v>
      </c>
      <c r="B133" s="138" t="n">
        <v>486</v>
      </c>
      <c r="C133" s="138" t="s">
        <v>59</v>
      </c>
      <c r="D133" s="138" t="s">
        <v>3544</v>
      </c>
      <c r="E133" s="138" t="n">
        <v>0.36</v>
      </c>
      <c r="F133" s="138" t="n">
        <v>1</v>
      </c>
      <c r="G133" s="138" t="n">
        <v>1</v>
      </c>
    </row>
    <row r="134" customFormat="false" ht="15" hidden="false" customHeight="false" outlineLevel="0" collapsed="false">
      <c r="A134" s="138" t="s">
        <v>2160</v>
      </c>
      <c r="B134" s="138" t="n">
        <v>490</v>
      </c>
      <c r="C134" s="138" t="s">
        <v>60</v>
      </c>
      <c r="D134" s="138" t="s">
        <v>3621</v>
      </c>
      <c r="E134" s="138" t="n">
        <v>0.36</v>
      </c>
      <c r="F134" s="138" t="n">
        <v>1</v>
      </c>
      <c r="G134" s="138" t="n">
        <v>1</v>
      </c>
    </row>
    <row r="135" customFormat="false" ht="15" hidden="false" customHeight="false" outlineLevel="0" collapsed="false">
      <c r="A135" s="138" t="s">
        <v>3622</v>
      </c>
      <c r="B135" s="138" t="n">
        <v>495.5</v>
      </c>
      <c r="C135" s="138" t="s">
        <v>60</v>
      </c>
      <c r="D135" s="138" t="s">
        <v>3491</v>
      </c>
      <c r="E135" s="138" t="n">
        <v>0.13</v>
      </c>
      <c r="F135" s="138" t="n">
        <v>1</v>
      </c>
      <c r="G135" s="138" t="n">
        <v>1</v>
      </c>
    </row>
    <row r="136" customFormat="false" ht="15" hidden="false" customHeight="false" outlineLevel="0" collapsed="false">
      <c r="A136" s="138" t="s">
        <v>3623</v>
      </c>
      <c r="B136" s="138" t="n">
        <v>496.5</v>
      </c>
      <c r="C136" s="138" t="s">
        <v>59</v>
      </c>
      <c r="D136" s="138" t="s">
        <v>3542</v>
      </c>
      <c r="E136" s="138" t="n">
        <v>0.36</v>
      </c>
      <c r="F136" s="138" t="n">
        <v>1</v>
      </c>
      <c r="G136" s="138" t="n">
        <v>1</v>
      </c>
    </row>
    <row r="137" customFormat="false" ht="15" hidden="false" customHeight="false" outlineLevel="0" collapsed="false">
      <c r="A137" s="138" t="s">
        <v>2168</v>
      </c>
      <c r="B137" s="138" t="n">
        <v>498</v>
      </c>
      <c r="C137" s="138" t="s">
        <v>60</v>
      </c>
      <c r="D137" s="138" t="s">
        <v>3537</v>
      </c>
      <c r="E137" s="138" t="n">
        <v>0.7</v>
      </c>
      <c r="F137" s="138" t="n">
        <v>1</v>
      </c>
      <c r="G137" s="138" t="n">
        <v>1</v>
      </c>
    </row>
    <row r="138" customFormat="false" ht="15" hidden="false" customHeight="false" outlineLevel="0" collapsed="false">
      <c r="A138" s="138" t="s">
        <v>2170</v>
      </c>
      <c r="B138" s="138" t="n">
        <v>500</v>
      </c>
      <c r="C138" s="138" t="s">
        <v>59</v>
      </c>
      <c r="D138" s="138" t="s">
        <v>3503</v>
      </c>
      <c r="E138" s="138" t="n">
        <v>0.7</v>
      </c>
      <c r="F138" s="138" t="n">
        <v>1</v>
      </c>
      <c r="G138" s="138" t="n">
        <v>1</v>
      </c>
    </row>
    <row r="139" customFormat="false" ht="15" hidden="false" customHeight="false" outlineLevel="0" collapsed="false">
      <c r="A139" s="138" t="s">
        <v>2179</v>
      </c>
      <c r="B139" s="138" t="n">
        <v>509</v>
      </c>
      <c r="C139" s="138" t="s">
        <v>59</v>
      </c>
      <c r="D139" s="138" t="s">
        <v>3579</v>
      </c>
      <c r="E139" s="138" t="n">
        <v>0.2</v>
      </c>
      <c r="F139" s="138" t="n">
        <v>1</v>
      </c>
      <c r="G139" s="138" t="n">
        <v>1</v>
      </c>
    </row>
    <row r="140" customFormat="false" ht="15" hidden="false" customHeight="false" outlineLevel="0" collapsed="false">
      <c r="A140" s="138" t="s">
        <v>3625</v>
      </c>
      <c r="B140" s="138" t="n">
        <v>513.75</v>
      </c>
      <c r="C140" s="138" t="s">
        <v>59</v>
      </c>
      <c r="D140" s="138" t="s">
        <v>3516</v>
      </c>
      <c r="E140" s="138" t="n">
        <v>0.5</v>
      </c>
      <c r="F140" s="138" t="n">
        <v>1</v>
      </c>
      <c r="G140" s="138" t="n">
        <v>1</v>
      </c>
    </row>
    <row r="141" customFormat="false" ht="15" hidden="false" customHeight="false" outlineLevel="0" collapsed="false">
      <c r="A141" s="138" t="s">
        <v>2189</v>
      </c>
      <c r="B141" s="138" t="n">
        <v>518</v>
      </c>
      <c r="C141" s="138" t="s">
        <v>59</v>
      </c>
      <c r="D141" s="138" t="s">
        <v>3621</v>
      </c>
      <c r="E141" s="138" t="n">
        <v>0.36</v>
      </c>
      <c r="F141" s="138" t="n">
        <v>1</v>
      </c>
      <c r="G141" s="138" t="n">
        <v>1</v>
      </c>
    </row>
    <row r="142" customFormat="false" ht="15" hidden="false" customHeight="false" outlineLevel="0" collapsed="false">
      <c r="A142" s="138" t="s">
        <v>2190</v>
      </c>
      <c r="B142" s="138" t="n">
        <v>519</v>
      </c>
      <c r="C142" s="138" t="s">
        <v>60</v>
      </c>
      <c r="D142" s="138" t="s">
        <v>3521</v>
      </c>
      <c r="E142" s="138" t="n">
        <v>0.5</v>
      </c>
      <c r="F142" s="138" t="n">
        <v>1</v>
      </c>
      <c r="G142" s="138" t="n">
        <v>1</v>
      </c>
    </row>
    <row r="143" customFormat="false" ht="15" hidden="false" customHeight="false" outlineLevel="0" collapsed="false">
      <c r="A143" s="138" t="s">
        <v>3626</v>
      </c>
      <c r="B143" s="138" t="n">
        <v>521.5</v>
      </c>
      <c r="C143" s="138" t="s">
        <v>59</v>
      </c>
      <c r="D143" s="138" t="s">
        <v>3619</v>
      </c>
      <c r="E143" s="138" t="n">
        <v>0.36</v>
      </c>
      <c r="F143" s="138" t="n">
        <v>1</v>
      </c>
      <c r="G143" s="138" t="n">
        <v>1</v>
      </c>
    </row>
    <row r="144" customFormat="false" ht="15" hidden="false" customHeight="false" outlineLevel="0" collapsed="false">
      <c r="A144" s="138" t="s">
        <v>3627</v>
      </c>
      <c r="B144" s="138" t="n">
        <v>523.5</v>
      </c>
      <c r="C144" s="138" t="s">
        <v>60</v>
      </c>
      <c r="D144" s="138" t="s">
        <v>3516</v>
      </c>
      <c r="E144" s="138" t="n">
        <v>0.5</v>
      </c>
      <c r="F144" s="138" t="n">
        <v>1</v>
      </c>
      <c r="G144" s="138" t="n">
        <v>1</v>
      </c>
    </row>
    <row r="145" customFormat="false" ht="15" hidden="false" customHeight="false" outlineLevel="0" collapsed="false">
      <c r="A145" s="138" t="s">
        <v>3628</v>
      </c>
      <c r="B145" s="138" t="n">
        <v>542.25</v>
      </c>
      <c r="C145" s="138" t="s">
        <v>59</v>
      </c>
      <c r="D145" s="138" t="s">
        <v>3516</v>
      </c>
      <c r="E145" s="138" t="n">
        <v>0.5</v>
      </c>
      <c r="F145" s="138" t="n">
        <v>1</v>
      </c>
      <c r="G145" s="138" t="n">
        <v>1</v>
      </c>
    </row>
    <row r="146" customFormat="false" ht="15" hidden="false" customHeight="false" outlineLevel="0" collapsed="false">
      <c r="A146" s="138" t="s">
        <v>2221</v>
      </c>
      <c r="B146" s="138" t="n">
        <v>550</v>
      </c>
      <c r="C146" s="138" t="s">
        <v>60</v>
      </c>
      <c r="D146" s="138" t="s">
        <v>3503</v>
      </c>
      <c r="E146" s="138" t="n">
        <v>0.7</v>
      </c>
      <c r="F146" s="138" t="n">
        <v>1</v>
      </c>
      <c r="G146" s="138" t="n">
        <v>1</v>
      </c>
    </row>
    <row r="147" customFormat="false" ht="15" hidden="false" customHeight="false" outlineLevel="0" collapsed="false">
      <c r="A147" s="138" t="s">
        <v>3629</v>
      </c>
      <c r="B147" s="138" t="n">
        <v>560.75</v>
      </c>
      <c r="C147" s="138" t="s">
        <v>60</v>
      </c>
      <c r="D147" s="138" t="s">
        <v>3515</v>
      </c>
      <c r="E147" s="138" t="n">
        <v>0.27</v>
      </c>
      <c r="F147" s="138" t="n">
        <v>1</v>
      </c>
      <c r="G147" s="138" t="n">
        <v>1</v>
      </c>
    </row>
    <row r="148" customFormat="false" ht="15" hidden="false" customHeight="false" outlineLevel="0" collapsed="false">
      <c r="A148" s="138" t="s">
        <v>3630</v>
      </c>
      <c r="B148" s="138" t="n">
        <v>561.35</v>
      </c>
      <c r="C148" s="138" t="s">
        <v>60</v>
      </c>
      <c r="D148" s="138" t="s">
        <v>3518</v>
      </c>
      <c r="E148" s="138" t="n">
        <v>0.27</v>
      </c>
      <c r="F148" s="138" t="n">
        <v>1</v>
      </c>
      <c r="G148" s="138" t="n">
        <v>1</v>
      </c>
    </row>
    <row r="149" customFormat="false" ht="15" hidden="false" customHeight="false" outlineLevel="0" collapsed="false">
      <c r="A149" s="138" t="s">
        <v>3631</v>
      </c>
      <c r="B149" s="138" t="n">
        <v>561.5</v>
      </c>
      <c r="C149" s="138" t="s">
        <v>59</v>
      </c>
      <c r="D149" s="138" t="s">
        <v>3632</v>
      </c>
      <c r="E149" s="138" t="n">
        <v>2</v>
      </c>
      <c r="F149" s="138" t="n">
        <v>1</v>
      </c>
      <c r="G149" s="138" t="n">
        <v>2</v>
      </c>
    </row>
    <row r="150" customFormat="false" ht="15" hidden="false" customHeight="false" outlineLevel="0" collapsed="false">
      <c r="A150" s="138" t="s">
        <v>3633</v>
      </c>
      <c r="B150" s="138" t="n">
        <v>564.5</v>
      </c>
      <c r="C150" s="138" t="s">
        <v>60</v>
      </c>
      <c r="D150" s="138" t="s">
        <v>3634</v>
      </c>
      <c r="E150" s="138" t="n">
        <v>2</v>
      </c>
      <c r="F150" s="138" t="n">
        <v>1</v>
      </c>
      <c r="G150" s="138" t="n">
        <v>2</v>
      </c>
    </row>
    <row r="151" customFormat="false" ht="15" hidden="false" customHeight="false" outlineLevel="0" collapsed="false">
      <c r="A151" s="138" t="s">
        <v>3635</v>
      </c>
      <c r="B151" s="138" t="n">
        <v>583.5</v>
      </c>
      <c r="C151" s="138" t="s">
        <v>60</v>
      </c>
      <c r="D151" s="138" t="s">
        <v>3516</v>
      </c>
      <c r="E151" s="138" t="n">
        <v>0.5</v>
      </c>
      <c r="F151" s="138" t="n">
        <v>1</v>
      </c>
      <c r="G151" s="138" t="n">
        <v>1</v>
      </c>
    </row>
    <row r="152" customFormat="false" ht="15" hidden="false" customHeight="false" outlineLevel="0" collapsed="false">
      <c r="A152" s="138" t="s">
        <v>3637</v>
      </c>
      <c r="B152" s="138" t="n">
        <v>591.1</v>
      </c>
      <c r="C152" s="138" t="s">
        <v>60</v>
      </c>
      <c r="D152" s="138" t="s">
        <v>3518</v>
      </c>
      <c r="E152" s="138" t="n">
        <v>0.27</v>
      </c>
      <c r="F152" s="138" t="n">
        <v>1</v>
      </c>
      <c r="G152" s="138" t="n">
        <v>1</v>
      </c>
    </row>
    <row r="153" customFormat="false" ht="15" hidden="false" customHeight="false" outlineLevel="0" collapsed="false">
      <c r="A153" s="138" t="s">
        <v>2266</v>
      </c>
      <c r="B153" s="138" t="n">
        <v>593</v>
      </c>
      <c r="C153" s="138" t="s">
        <v>59</v>
      </c>
      <c r="D153" s="138" t="s">
        <v>3639</v>
      </c>
      <c r="E153" s="138" t="n">
        <v>6</v>
      </c>
      <c r="F153" s="138" t="n">
        <v>1</v>
      </c>
      <c r="G153" s="138" t="n">
        <v>2</v>
      </c>
    </row>
    <row r="154" customFormat="false" ht="15" hidden="false" customHeight="false" outlineLevel="0" collapsed="false">
      <c r="A154" s="138" t="s">
        <v>2266</v>
      </c>
      <c r="B154" s="138" t="n">
        <v>593</v>
      </c>
      <c r="C154" s="138" t="s">
        <v>60</v>
      </c>
      <c r="D154" s="138" t="s">
        <v>3638</v>
      </c>
      <c r="E154" s="138" t="n">
        <v>2.5</v>
      </c>
      <c r="F154" s="138" t="n">
        <v>1</v>
      </c>
      <c r="G154" s="138" t="n">
        <v>2</v>
      </c>
    </row>
    <row r="155" customFormat="false" ht="15" hidden="false" customHeight="false" outlineLevel="0" collapsed="false">
      <c r="A155" s="138" t="s">
        <v>3640</v>
      </c>
      <c r="B155" s="138" t="n">
        <v>595.5</v>
      </c>
      <c r="C155" s="138" t="s">
        <v>59</v>
      </c>
      <c r="D155" s="138" t="s">
        <v>3521</v>
      </c>
      <c r="E155" s="138" t="n">
        <v>0.5</v>
      </c>
      <c r="F155" s="138" t="n">
        <v>1</v>
      </c>
      <c r="G155" s="138" t="n">
        <v>1</v>
      </c>
    </row>
    <row r="156" customFormat="false" ht="15" hidden="false" customHeight="false" outlineLevel="0" collapsed="false">
      <c r="A156" s="138" t="s">
        <v>3641</v>
      </c>
      <c r="B156" s="138" t="n">
        <v>597.5</v>
      </c>
      <c r="C156" s="138" t="s">
        <v>60</v>
      </c>
      <c r="D156" s="138" t="s">
        <v>3520</v>
      </c>
      <c r="E156" s="138" t="n">
        <v>0.5</v>
      </c>
      <c r="F156" s="138" t="n">
        <v>1</v>
      </c>
      <c r="G156" s="138" t="n">
        <v>1</v>
      </c>
    </row>
    <row r="157" customFormat="false" ht="15" hidden="false" customHeight="false" outlineLevel="0" collapsed="false">
      <c r="A157" s="138" t="s">
        <v>3642</v>
      </c>
      <c r="B157" s="138" t="n">
        <v>599.5</v>
      </c>
      <c r="C157" s="138" t="s">
        <v>59</v>
      </c>
      <c r="D157" s="138" t="s">
        <v>3516</v>
      </c>
      <c r="E157" s="138" t="n">
        <v>0.5</v>
      </c>
      <c r="F157" s="138" t="n">
        <v>1</v>
      </c>
      <c r="G157" s="138" t="n">
        <v>1</v>
      </c>
    </row>
    <row r="158" customFormat="false" ht="15" hidden="false" customHeight="false" outlineLevel="0" collapsed="false">
      <c r="A158" s="138" t="s">
        <v>2273</v>
      </c>
      <c r="B158" s="138" t="n">
        <v>601</v>
      </c>
      <c r="C158" s="138" t="s">
        <v>59</v>
      </c>
      <c r="D158" s="138" t="s">
        <v>3503</v>
      </c>
      <c r="E158" s="138" t="n">
        <v>0.7</v>
      </c>
      <c r="F158" s="138" t="n">
        <v>1</v>
      </c>
      <c r="G158" s="138" t="n">
        <v>1</v>
      </c>
    </row>
    <row r="159" customFormat="false" ht="15" hidden="false" customHeight="false" outlineLevel="0" collapsed="false">
      <c r="A159" s="138" t="s">
        <v>3643</v>
      </c>
      <c r="B159" s="138" t="n">
        <v>601.9</v>
      </c>
      <c r="C159" s="138" t="s">
        <v>60</v>
      </c>
      <c r="D159" s="138" t="s">
        <v>3518</v>
      </c>
      <c r="E159" s="138" t="n">
        <v>0.27</v>
      </c>
      <c r="F159" s="138" t="n">
        <v>1</v>
      </c>
      <c r="G159" s="138" t="n">
        <v>1</v>
      </c>
    </row>
    <row r="160" customFormat="false" ht="15" hidden="false" customHeight="false" outlineLevel="0" collapsed="false">
      <c r="A160" s="138" t="s">
        <v>3644</v>
      </c>
      <c r="B160" s="138" t="n">
        <v>602.2</v>
      </c>
      <c r="C160" s="138" t="s">
        <v>59</v>
      </c>
      <c r="D160" s="138" t="s">
        <v>3515</v>
      </c>
      <c r="E160" s="138" t="n">
        <v>0.27</v>
      </c>
      <c r="F160" s="138" t="n">
        <v>1</v>
      </c>
      <c r="G160" s="138" t="n">
        <v>1</v>
      </c>
    </row>
    <row r="161" customFormat="false" ht="15" hidden="false" customHeight="false" outlineLevel="0" collapsed="false">
      <c r="A161" s="138" t="s">
        <v>2275</v>
      </c>
      <c r="B161" s="138" t="n">
        <v>603</v>
      </c>
      <c r="C161" s="138" t="s">
        <v>59</v>
      </c>
      <c r="D161" s="138" t="s">
        <v>3647</v>
      </c>
      <c r="E161" s="138" t="n">
        <v>3.75</v>
      </c>
      <c r="F161" s="138" t="n">
        <v>1</v>
      </c>
      <c r="G161" s="138" t="n">
        <v>1</v>
      </c>
    </row>
    <row r="162" customFormat="false" ht="15" hidden="false" customHeight="false" outlineLevel="0" collapsed="false">
      <c r="A162" s="138" t="s">
        <v>2275</v>
      </c>
      <c r="B162" s="138" t="n">
        <v>603</v>
      </c>
      <c r="C162" s="138" t="s">
        <v>59</v>
      </c>
      <c r="D162" s="138" t="s">
        <v>3655</v>
      </c>
      <c r="E162" s="138" t="n">
        <v>4.5</v>
      </c>
      <c r="F162" s="138" t="n">
        <v>1</v>
      </c>
      <c r="G162" s="138" t="n">
        <v>0</v>
      </c>
    </row>
    <row r="163" customFormat="false" ht="15" hidden="false" customHeight="false" outlineLevel="0" collapsed="false">
      <c r="A163" s="138" t="s">
        <v>2275</v>
      </c>
      <c r="B163" s="138" t="n">
        <v>603</v>
      </c>
      <c r="C163" s="138" t="s">
        <v>60</v>
      </c>
      <c r="D163" s="138" t="s">
        <v>3645</v>
      </c>
      <c r="E163" s="138" t="n">
        <v>3.75</v>
      </c>
      <c r="F163" s="138" t="n">
        <v>1</v>
      </c>
      <c r="G163" s="138" t="n">
        <v>0</v>
      </c>
    </row>
    <row r="164" customFormat="false" ht="15" hidden="false" customHeight="false" outlineLevel="0" collapsed="false">
      <c r="A164" s="138" t="s">
        <v>2275</v>
      </c>
      <c r="B164" s="138" t="n">
        <v>603</v>
      </c>
      <c r="C164" s="138" t="s">
        <v>60</v>
      </c>
      <c r="D164" s="138" t="s">
        <v>3652</v>
      </c>
      <c r="E164" s="138" t="n">
        <v>3.75</v>
      </c>
      <c r="F164" s="138" t="n">
        <v>1</v>
      </c>
      <c r="G164" s="138" t="n">
        <v>0</v>
      </c>
    </row>
    <row r="165" customFormat="false" ht="15" hidden="false" customHeight="false" outlineLevel="0" collapsed="false">
      <c r="A165" s="138" t="s">
        <v>3649</v>
      </c>
      <c r="B165" s="138" t="n">
        <v>604.3</v>
      </c>
      <c r="C165" s="138" t="s">
        <v>60</v>
      </c>
      <c r="D165" s="138" t="s">
        <v>3515</v>
      </c>
      <c r="E165" s="138" t="n">
        <v>0.27</v>
      </c>
      <c r="F165" s="138" t="n">
        <v>1</v>
      </c>
      <c r="G165" s="138" t="n">
        <v>1</v>
      </c>
    </row>
    <row r="166" customFormat="false" ht="15" hidden="false" customHeight="false" outlineLevel="0" collapsed="false">
      <c r="A166" s="138" t="s">
        <v>3650</v>
      </c>
      <c r="B166" s="138" t="n">
        <v>604.4</v>
      </c>
      <c r="C166" s="138" t="s">
        <v>59</v>
      </c>
      <c r="D166" s="138" t="s">
        <v>3518</v>
      </c>
      <c r="E166" s="138" t="n">
        <v>0.27</v>
      </c>
      <c r="F166" s="138" t="n">
        <v>1</v>
      </c>
      <c r="G166" s="138" t="n">
        <v>1</v>
      </c>
    </row>
    <row r="167" customFormat="false" ht="15" hidden="false" customHeight="false" outlineLevel="0" collapsed="false">
      <c r="A167" s="138" t="s">
        <v>2294</v>
      </c>
      <c r="B167" s="138" t="n">
        <v>622</v>
      </c>
      <c r="C167" s="138" t="s">
        <v>60</v>
      </c>
      <c r="D167" s="138" t="s">
        <v>5006</v>
      </c>
      <c r="E167" s="138" t="n">
        <v>1</v>
      </c>
      <c r="F167" s="138" t="n">
        <v>0</v>
      </c>
      <c r="G167" s="138" t="n">
        <v>0</v>
      </c>
    </row>
    <row r="168" customFormat="false" ht="15" hidden="false" customHeight="false" outlineLevel="0" collapsed="false">
      <c r="A168" s="138" t="s">
        <v>2300</v>
      </c>
      <c r="B168" s="138" t="n">
        <v>627</v>
      </c>
      <c r="C168" s="138" t="s">
        <v>60</v>
      </c>
      <c r="D168" s="138" t="s">
        <v>3516</v>
      </c>
      <c r="E168" s="138" t="n">
        <v>0.5</v>
      </c>
      <c r="F168" s="138" t="n">
        <v>1</v>
      </c>
      <c r="G168" s="138" t="n">
        <v>1</v>
      </c>
    </row>
    <row r="169" customFormat="false" ht="15" hidden="false" customHeight="false" outlineLevel="0" collapsed="false">
      <c r="A169" s="138" t="s">
        <v>5007</v>
      </c>
      <c r="B169" s="138" t="n">
        <v>631.25</v>
      </c>
      <c r="C169" s="138" t="s">
        <v>60</v>
      </c>
      <c r="D169" s="138" t="s">
        <v>3520</v>
      </c>
      <c r="E169" s="138" t="n">
        <v>1</v>
      </c>
      <c r="F169" s="138" t="n">
        <v>0</v>
      </c>
      <c r="G169" s="138" t="n">
        <v>1</v>
      </c>
    </row>
    <row r="170" customFormat="false" ht="15" hidden="false" customHeight="false" outlineLevel="0" collapsed="false">
      <c r="A170" s="138" t="s">
        <v>5008</v>
      </c>
      <c r="B170" s="138" t="n">
        <v>632.5</v>
      </c>
      <c r="C170" s="138" t="s">
        <v>60</v>
      </c>
      <c r="D170" s="138" t="s">
        <v>5009</v>
      </c>
      <c r="E170" s="138" t="n">
        <v>1</v>
      </c>
      <c r="F170" s="138" t="n">
        <v>0</v>
      </c>
      <c r="G170" s="138" t="n">
        <v>1</v>
      </c>
    </row>
    <row r="171" customFormat="false" ht="15" hidden="false" customHeight="false" outlineLevel="0" collapsed="false">
      <c r="A171" s="138" t="s">
        <v>3657</v>
      </c>
      <c r="B171" s="138" t="n">
        <v>633.5</v>
      </c>
      <c r="C171" s="138" t="s">
        <v>60</v>
      </c>
      <c r="D171" s="138" t="s">
        <v>3658</v>
      </c>
      <c r="E171" s="138" t="n">
        <v>0.5</v>
      </c>
      <c r="F171" s="138" t="n">
        <v>1</v>
      </c>
      <c r="G171" s="138" t="n">
        <v>1</v>
      </c>
    </row>
    <row r="172" customFormat="false" ht="15" hidden="false" customHeight="false" outlineLevel="0" collapsed="false">
      <c r="A172" s="138" t="s">
        <v>5010</v>
      </c>
      <c r="B172" s="138" t="n">
        <v>634.55</v>
      </c>
      <c r="C172" s="138" t="s">
        <v>59</v>
      </c>
      <c r="D172" s="138" t="s">
        <v>5011</v>
      </c>
      <c r="E172" s="138" t="n">
        <v>1</v>
      </c>
      <c r="F172" s="138" t="n">
        <v>0</v>
      </c>
      <c r="G172" s="138" t="n">
        <v>1</v>
      </c>
    </row>
    <row r="173" customFormat="false" ht="15" hidden="false" customHeight="false" outlineLevel="0" collapsed="false">
      <c r="A173" s="138" t="s">
        <v>3660</v>
      </c>
      <c r="B173" s="138" t="n">
        <v>634.75</v>
      </c>
      <c r="C173" s="138" t="s">
        <v>59</v>
      </c>
      <c r="D173" s="138" t="s">
        <v>3491</v>
      </c>
      <c r="E173" s="138" t="n">
        <v>0.13</v>
      </c>
      <c r="F173" s="138" t="n">
        <v>1</v>
      </c>
      <c r="G173" s="138" t="n">
        <v>1</v>
      </c>
    </row>
    <row r="174" customFormat="false" ht="15" hidden="false" customHeight="false" outlineLevel="0" collapsed="false">
      <c r="A174" s="138" t="s">
        <v>2311</v>
      </c>
      <c r="B174" s="138" t="n">
        <v>636</v>
      </c>
      <c r="C174" s="138" t="s">
        <v>60</v>
      </c>
      <c r="D174" s="138" t="s">
        <v>3661</v>
      </c>
      <c r="E174" s="138" t="n">
        <v>0.5</v>
      </c>
      <c r="F174" s="138" t="n">
        <v>1</v>
      </c>
      <c r="G174" s="138" t="n">
        <v>1</v>
      </c>
    </row>
    <row r="175" customFormat="false" ht="15" hidden="false" customHeight="false" outlineLevel="0" collapsed="false">
      <c r="A175" s="138" t="s">
        <v>3662</v>
      </c>
      <c r="B175" s="138" t="n">
        <v>636.5</v>
      </c>
      <c r="C175" s="138" t="s">
        <v>59</v>
      </c>
      <c r="D175" s="138" t="s">
        <v>3663</v>
      </c>
      <c r="E175" s="138" t="n">
        <v>0.5</v>
      </c>
      <c r="F175" s="138" t="n">
        <v>1</v>
      </c>
      <c r="G175" s="138" t="n">
        <v>1</v>
      </c>
    </row>
    <row r="176" customFormat="false" ht="15" hidden="false" customHeight="false" outlineLevel="0" collapsed="false">
      <c r="A176" s="138" t="s">
        <v>2314</v>
      </c>
      <c r="B176" s="138" t="n">
        <v>639</v>
      </c>
      <c r="C176" s="138" t="s">
        <v>59</v>
      </c>
      <c r="D176" s="138" t="s">
        <v>3664</v>
      </c>
      <c r="E176" s="138" t="n">
        <v>0.5</v>
      </c>
      <c r="F176" s="138" t="n">
        <v>1</v>
      </c>
      <c r="G176" s="138" t="n">
        <v>1</v>
      </c>
    </row>
    <row r="177" customFormat="false" ht="15" hidden="false" customHeight="false" outlineLevel="0" collapsed="false">
      <c r="A177" s="138" t="s">
        <v>3665</v>
      </c>
      <c r="B177" s="138" t="n">
        <v>639.4</v>
      </c>
      <c r="C177" s="138" t="s">
        <v>60</v>
      </c>
      <c r="D177" s="138" t="s">
        <v>3491</v>
      </c>
      <c r="E177" s="138" t="n">
        <v>0.13</v>
      </c>
      <c r="F177" s="138" t="n">
        <v>1</v>
      </c>
      <c r="G177" s="138" t="n">
        <v>1</v>
      </c>
    </row>
    <row r="178" customFormat="false" ht="15" hidden="false" customHeight="false" outlineLevel="0" collapsed="false">
      <c r="A178" s="138" t="s">
        <v>1607</v>
      </c>
      <c r="B178" s="138" t="n">
        <v>642</v>
      </c>
      <c r="C178" s="138" t="s">
        <v>59</v>
      </c>
      <c r="D178" s="138" t="s">
        <v>3520</v>
      </c>
      <c r="E178" s="138" t="n">
        <v>0.5</v>
      </c>
      <c r="F178" s="138" t="n">
        <v>1</v>
      </c>
      <c r="G178" s="138" t="n">
        <v>1</v>
      </c>
    </row>
    <row r="180" customFormat="false" ht="15" hidden="false" customHeight="false" outlineLevel="0" collapsed="false">
      <c r="A180" s="136" t="s">
        <v>5012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1"/>
    <col collapsed="false" customWidth="true" hidden="false" outlineLevel="0" max="5" min="4" style="0" width="9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6"/>
  </cols>
  <sheetData>
    <row r="1" customFormat="false" ht="48" hidden="false" customHeight="true" outlineLevel="0" collapsed="false">
      <c r="A1" s="133" t="s">
        <v>5013</v>
      </c>
      <c r="B1" s="133" t="s">
        <v>14</v>
      </c>
      <c r="C1" s="133" t="s">
        <v>17</v>
      </c>
      <c r="D1" s="133" t="s">
        <v>2367</v>
      </c>
      <c r="E1" s="133" t="s">
        <v>2368</v>
      </c>
      <c r="F1" s="133" t="s">
        <v>2370</v>
      </c>
      <c r="G1" s="133" t="s">
        <v>4351</v>
      </c>
      <c r="H1" s="133" t="s">
        <v>58</v>
      </c>
    </row>
    <row r="2" customFormat="false" ht="15" hidden="false" customHeight="false" outlineLevel="0" collapsed="false">
      <c r="A2" s="138" t="s">
        <v>5014</v>
      </c>
      <c r="B2" s="138" t="s">
        <v>5015</v>
      </c>
      <c r="C2" s="138" t="s">
        <v>5016</v>
      </c>
      <c r="D2" s="138" t="n">
        <v>31.0285</v>
      </c>
      <c r="E2" s="138" t="n">
        <v>31.23</v>
      </c>
      <c r="F2" s="138" t="s">
        <v>59</v>
      </c>
      <c r="G2" s="138" t="n">
        <v>4</v>
      </c>
      <c r="H2" s="138" t="s">
        <v>176</v>
      </c>
    </row>
    <row r="3" customFormat="false" ht="15" hidden="false" customHeight="false" outlineLevel="0" collapsed="false">
      <c r="A3" s="138" t="s">
        <v>5014</v>
      </c>
      <c r="B3" s="138" t="s">
        <v>5017</v>
      </c>
      <c r="C3" s="138" t="s">
        <v>5018</v>
      </c>
      <c r="D3" s="138" t="n">
        <v>37.645</v>
      </c>
      <c r="E3" s="138" t="n">
        <v>39.445</v>
      </c>
      <c r="F3" s="138" t="s">
        <v>59</v>
      </c>
      <c r="G3" s="138" t="n">
        <v>36</v>
      </c>
      <c r="H3" s="138" t="s">
        <v>176</v>
      </c>
    </row>
    <row r="4" customFormat="false" ht="15" hidden="false" customHeight="false" outlineLevel="0" collapsed="false">
      <c r="A4" s="138" t="s">
        <v>5014</v>
      </c>
      <c r="B4" s="138" t="s">
        <v>5019</v>
      </c>
      <c r="C4" s="138" t="s">
        <v>5020</v>
      </c>
      <c r="D4" s="138" t="n">
        <v>37.955</v>
      </c>
      <c r="E4" s="138" t="n">
        <v>38.955</v>
      </c>
      <c r="F4" s="138" t="s">
        <v>60</v>
      </c>
      <c r="G4" s="138" t="n">
        <v>20</v>
      </c>
      <c r="H4" s="138" t="s">
        <v>176</v>
      </c>
    </row>
    <row r="5" customFormat="false" ht="15" hidden="false" customHeight="false" outlineLevel="0" collapsed="false">
      <c r="A5" s="138" t="s">
        <v>5014</v>
      </c>
      <c r="B5" s="138" t="s">
        <v>5021</v>
      </c>
      <c r="C5" s="138" t="s">
        <v>5022</v>
      </c>
      <c r="D5" s="138" t="n">
        <v>52.2285</v>
      </c>
      <c r="E5" s="138" t="n">
        <v>65.63</v>
      </c>
      <c r="F5" s="138" t="s">
        <v>59</v>
      </c>
      <c r="G5" s="138" t="n">
        <v>268</v>
      </c>
      <c r="H5" s="138" t="s">
        <v>176</v>
      </c>
    </row>
    <row r="6" customFormat="false" ht="15" hidden="false" customHeight="false" outlineLevel="0" collapsed="false">
      <c r="A6" s="138" t="s">
        <v>5014</v>
      </c>
      <c r="B6" s="138" t="s">
        <v>5023</v>
      </c>
      <c r="C6" s="138" t="s">
        <v>5024</v>
      </c>
      <c r="D6" s="138" t="n">
        <v>55.1715</v>
      </c>
      <c r="E6" s="138" t="n">
        <v>58.57</v>
      </c>
      <c r="F6" s="138" t="s">
        <v>60</v>
      </c>
      <c r="G6" s="138" t="n">
        <v>68</v>
      </c>
      <c r="H6" s="138" t="s">
        <v>176</v>
      </c>
    </row>
    <row r="7" customFormat="false" ht="15" hidden="false" customHeight="false" outlineLevel="0" collapsed="false">
      <c r="A7" s="138" t="s">
        <v>5014</v>
      </c>
      <c r="B7" s="138" t="s">
        <v>5025</v>
      </c>
      <c r="C7" s="138" t="s">
        <v>5026</v>
      </c>
      <c r="D7" s="138" t="n">
        <v>65.1715</v>
      </c>
      <c r="E7" s="138" t="n">
        <v>66.77</v>
      </c>
      <c r="F7" s="138" t="s">
        <v>60</v>
      </c>
      <c r="G7" s="138" t="n">
        <v>32</v>
      </c>
      <c r="H7" s="138" t="s">
        <v>176</v>
      </c>
    </row>
    <row r="8" customFormat="false" ht="15" hidden="false" customHeight="false" outlineLevel="0" collapsed="false">
      <c r="A8" s="138" t="s">
        <v>5014</v>
      </c>
      <c r="B8" s="138" t="s">
        <v>5027</v>
      </c>
      <c r="C8" s="138" t="s">
        <v>5028</v>
      </c>
      <c r="D8" s="138" t="n">
        <v>81.57</v>
      </c>
      <c r="E8" s="138" t="n">
        <v>82.37</v>
      </c>
      <c r="F8" s="138" t="s">
        <v>60</v>
      </c>
      <c r="G8" s="138" t="n">
        <v>16</v>
      </c>
      <c r="H8" s="138" t="s">
        <v>176</v>
      </c>
    </row>
    <row r="9" customFormat="false" ht="15" hidden="false" customHeight="false" outlineLevel="0" collapsed="false">
      <c r="A9" s="138" t="s">
        <v>5014</v>
      </c>
      <c r="B9" s="138" t="s">
        <v>5029</v>
      </c>
      <c r="C9" s="138" t="s">
        <v>5030</v>
      </c>
      <c r="D9" s="138" t="n">
        <v>106.399</v>
      </c>
      <c r="E9" s="138" t="n">
        <v>116.4</v>
      </c>
      <c r="F9" s="138" t="s">
        <v>59</v>
      </c>
      <c r="G9" s="138" t="n">
        <v>200</v>
      </c>
      <c r="H9" s="138" t="s">
        <v>176</v>
      </c>
    </row>
    <row r="10" customFormat="false" ht="15" hidden="false" customHeight="false" outlineLevel="0" collapsed="false">
      <c r="A10" s="138" t="s">
        <v>5014</v>
      </c>
      <c r="B10" s="138" t="s">
        <v>1751</v>
      </c>
      <c r="C10" s="138" t="s">
        <v>5031</v>
      </c>
      <c r="D10" s="138" t="n">
        <v>107</v>
      </c>
      <c r="E10" s="138" t="n">
        <v>112.775</v>
      </c>
      <c r="F10" s="138" t="s">
        <v>60</v>
      </c>
      <c r="G10" s="138" t="n">
        <v>116</v>
      </c>
      <c r="H10" s="138" t="s">
        <v>176</v>
      </c>
    </row>
    <row r="11" customFormat="false" ht="15" hidden="false" customHeight="false" outlineLevel="0" collapsed="false">
      <c r="A11" s="138" t="s">
        <v>5014</v>
      </c>
      <c r="B11" s="138" t="s">
        <v>5032</v>
      </c>
      <c r="C11" s="138" t="s">
        <v>5033</v>
      </c>
      <c r="D11" s="138" t="n">
        <v>124.625</v>
      </c>
      <c r="E11" s="138" t="n">
        <v>129.5</v>
      </c>
      <c r="F11" s="138" t="s">
        <v>59</v>
      </c>
      <c r="G11" s="138" t="n">
        <v>84</v>
      </c>
      <c r="H11" s="138" t="s">
        <v>176</v>
      </c>
    </row>
    <row r="12" customFormat="false" ht="15" hidden="false" customHeight="false" outlineLevel="0" collapsed="false">
      <c r="A12" s="138" t="s">
        <v>5014</v>
      </c>
      <c r="B12" s="138" t="s">
        <v>5034</v>
      </c>
      <c r="C12" s="138" t="s">
        <v>5035</v>
      </c>
      <c r="D12" s="138" t="n">
        <v>126.495</v>
      </c>
      <c r="E12" s="138" t="n">
        <v>127.695</v>
      </c>
      <c r="F12" s="138" t="s">
        <v>60</v>
      </c>
      <c r="G12" s="138" t="n">
        <v>24</v>
      </c>
      <c r="H12" s="138" t="s">
        <v>176</v>
      </c>
    </row>
    <row r="13" customFormat="false" ht="15" hidden="false" customHeight="false" outlineLevel="0" collapsed="false">
      <c r="A13" s="138" t="s">
        <v>5014</v>
      </c>
      <c r="B13" s="138" t="s">
        <v>5036</v>
      </c>
      <c r="C13" s="138" t="s">
        <v>5037</v>
      </c>
      <c r="D13" s="138" t="n">
        <v>137.625</v>
      </c>
      <c r="E13" s="138" t="n">
        <v>141.225</v>
      </c>
      <c r="F13" s="138" t="s">
        <v>59</v>
      </c>
      <c r="G13" s="138" t="n">
        <v>72</v>
      </c>
      <c r="H13" s="138" t="s">
        <v>176</v>
      </c>
    </row>
    <row r="14" customFormat="false" ht="15" hidden="false" customHeight="false" outlineLevel="0" collapsed="false">
      <c r="A14" s="138" t="s">
        <v>5014</v>
      </c>
      <c r="B14" s="138" t="s">
        <v>5038</v>
      </c>
      <c r="C14" s="138" t="s">
        <v>5039</v>
      </c>
      <c r="D14" s="138" t="n">
        <v>138.364</v>
      </c>
      <c r="E14" s="138" t="n">
        <v>138.965</v>
      </c>
      <c r="F14" s="138" t="s">
        <v>60</v>
      </c>
      <c r="G14" s="138" t="n">
        <v>12</v>
      </c>
      <c r="H14" s="138" t="s">
        <v>176</v>
      </c>
    </row>
    <row r="15" customFormat="false" ht="15" hidden="false" customHeight="false" outlineLevel="0" collapsed="false">
      <c r="A15" s="138" t="s">
        <v>5014</v>
      </c>
      <c r="B15" s="138" t="s">
        <v>5040</v>
      </c>
      <c r="C15" s="138" t="s">
        <v>5041</v>
      </c>
      <c r="D15" s="138" t="n">
        <v>156.224</v>
      </c>
      <c r="E15" s="138" t="n">
        <v>161.43</v>
      </c>
      <c r="F15" s="138" t="s">
        <v>59</v>
      </c>
      <c r="G15" s="138" t="n">
        <v>104</v>
      </c>
      <c r="H15" s="138" t="s">
        <v>176</v>
      </c>
    </row>
    <row r="16" customFormat="false" ht="15" hidden="false" customHeight="false" outlineLevel="0" collapsed="false">
      <c r="A16" s="138" t="s">
        <v>5014</v>
      </c>
      <c r="B16" s="138" t="s">
        <v>5042</v>
      </c>
      <c r="C16" s="138" t="s">
        <v>5043</v>
      </c>
      <c r="D16" s="138" t="n">
        <v>156.364</v>
      </c>
      <c r="E16" s="138" t="n">
        <v>161.76</v>
      </c>
      <c r="F16" s="138" t="s">
        <v>60</v>
      </c>
      <c r="G16" s="138" t="n">
        <v>108</v>
      </c>
      <c r="H16" s="138" t="s">
        <v>176</v>
      </c>
    </row>
    <row r="17" customFormat="false" ht="15" hidden="false" customHeight="false" outlineLevel="0" collapsed="false">
      <c r="A17" s="138" t="s">
        <v>5014</v>
      </c>
      <c r="B17" s="138" t="s">
        <v>5044</v>
      </c>
      <c r="C17" s="138" t="s">
        <v>5045</v>
      </c>
      <c r="D17" s="138" t="n">
        <v>168.4</v>
      </c>
      <c r="E17" s="138" t="n">
        <v>169.9</v>
      </c>
      <c r="F17" s="138" t="s">
        <v>60</v>
      </c>
      <c r="G17" s="138" t="n">
        <v>8</v>
      </c>
      <c r="H17" s="138" t="s">
        <v>176</v>
      </c>
    </row>
    <row r="18" customFormat="false" ht="15" hidden="false" customHeight="false" outlineLevel="0" collapsed="false">
      <c r="A18" s="138" t="s">
        <v>5046</v>
      </c>
      <c r="B18" s="138" t="s">
        <v>5047</v>
      </c>
      <c r="C18" s="138" t="s">
        <v>5048</v>
      </c>
      <c r="D18" s="138" t="n">
        <v>188.456</v>
      </c>
      <c r="E18" s="138" t="n">
        <v>189.465</v>
      </c>
      <c r="F18" s="138" t="s">
        <v>60</v>
      </c>
      <c r="G18" s="138" t="n">
        <v>16</v>
      </c>
      <c r="H18" s="138" t="s">
        <v>176</v>
      </c>
    </row>
    <row r="19" customFormat="false" ht="15" hidden="false" customHeight="false" outlineLevel="0" collapsed="false">
      <c r="A19" s="138" t="s">
        <v>5014</v>
      </c>
      <c r="B19" s="138" t="s">
        <v>5049</v>
      </c>
      <c r="C19" s="138" t="s">
        <v>5050</v>
      </c>
      <c r="D19" s="138" t="n">
        <v>199.3175</v>
      </c>
      <c r="E19" s="138" t="n">
        <v>204.72</v>
      </c>
      <c r="F19" s="138" t="s">
        <v>60</v>
      </c>
      <c r="G19" s="138" t="n">
        <v>108</v>
      </c>
      <c r="H19" s="138" t="s">
        <v>176</v>
      </c>
    </row>
    <row r="20" customFormat="false" ht="15" hidden="false" customHeight="false" outlineLevel="0" collapsed="false">
      <c r="A20" s="138" t="s">
        <v>5014</v>
      </c>
      <c r="B20" s="138" t="s">
        <v>1849</v>
      </c>
      <c r="C20" s="138" t="s">
        <v>5051</v>
      </c>
      <c r="D20" s="138" t="n">
        <v>200</v>
      </c>
      <c r="E20" s="138" t="n">
        <v>201.18</v>
      </c>
      <c r="F20" s="138" t="s">
        <v>59</v>
      </c>
      <c r="G20" s="138" t="n">
        <v>24</v>
      </c>
      <c r="H20" s="138" t="s">
        <v>176</v>
      </c>
    </row>
    <row r="21" customFormat="false" ht="15" hidden="false" customHeight="false" outlineLevel="0" collapsed="false">
      <c r="A21" s="138" t="s">
        <v>5014</v>
      </c>
      <c r="B21" s="138" t="s">
        <v>5052</v>
      </c>
      <c r="C21" s="138" t="s">
        <v>5053</v>
      </c>
      <c r="D21" s="138" t="n">
        <v>234.8</v>
      </c>
      <c r="E21" s="138" t="n">
        <v>235.4</v>
      </c>
      <c r="F21" s="138" t="s">
        <v>59</v>
      </c>
      <c r="G21" s="138" t="n">
        <v>12</v>
      </c>
      <c r="H21" s="138" t="s">
        <v>176</v>
      </c>
    </row>
    <row r="22" customFormat="false" ht="15" hidden="false" customHeight="false" outlineLevel="0" collapsed="false">
      <c r="A22" s="138" t="s">
        <v>5014</v>
      </c>
      <c r="B22" s="138" t="s">
        <v>5052</v>
      </c>
      <c r="C22" s="138" t="s">
        <v>5053</v>
      </c>
      <c r="D22" s="138" t="n">
        <v>234.8</v>
      </c>
      <c r="E22" s="138" t="n">
        <v>235.4</v>
      </c>
      <c r="F22" s="138" t="s">
        <v>60</v>
      </c>
      <c r="G22" s="138" t="n">
        <v>12</v>
      </c>
      <c r="H22" s="138" t="s">
        <v>176</v>
      </c>
    </row>
    <row r="23" customFormat="false" ht="15" hidden="false" customHeight="false" outlineLevel="0" collapsed="false">
      <c r="A23" s="138" t="s">
        <v>5014</v>
      </c>
      <c r="B23" s="138" t="s">
        <v>1890</v>
      </c>
      <c r="C23" s="138" t="s">
        <v>5054</v>
      </c>
      <c r="D23" s="138" t="n">
        <v>237</v>
      </c>
      <c r="E23" s="138" t="n">
        <v>238.6</v>
      </c>
      <c r="F23" s="138" t="s">
        <v>60</v>
      </c>
      <c r="G23" s="138" t="n">
        <v>32</v>
      </c>
      <c r="H23" s="138" t="s">
        <v>176</v>
      </c>
    </row>
    <row r="24" customFormat="false" ht="15" hidden="false" customHeight="false" outlineLevel="0" collapsed="false">
      <c r="A24" s="138" t="s">
        <v>5014</v>
      </c>
      <c r="B24" s="138" t="s">
        <v>1890</v>
      </c>
      <c r="C24" s="138" t="s">
        <v>5055</v>
      </c>
      <c r="D24" s="138" t="n">
        <v>237</v>
      </c>
      <c r="E24" s="138" t="n">
        <v>238.8</v>
      </c>
      <c r="F24" s="138" t="s">
        <v>59</v>
      </c>
      <c r="G24" s="138" t="n">
        <v>36</v>
      </c>
      <c r="H24" s="138" t="s">
        <v>176</v>
      </c>
    </row>
    <row r="25" customFormat="false" ht="15" hidden="false" customHeight="false" outlineLevel="0" collapsed="false">
      <c r="A25" s="138" t="s">
        <v>5046</v>
      </c>
      <c r="B25" s="138" t="s">
        <v>5056</v>
      </c>
      <c r="C25" s="138" t="s">
        <v>5057</v>
      </c>
      <c r="D25" s="138" t="n">
        <v>259.4355</v>
      </c>
      <c r="E25" s="138" t="n">
        <v>259.625</v>
      </c>
      <c r="F25" s="138" t="s">
        <v>59</v>
      </c>
      <c r="G25" s="138" t="n">
        <v>16</v>
      </c>
      <c r="H25" s="138" t="s">
        <v>176</v>
      </c>
    </row>
    <row r="26" customFormat="false" ht="15" hidden="false" customHeight="false" outlineLevel="0" collapsed="false">
      <c r="A26" s="138" t="s">
        <v>5014</v>
      </c>
      <c r="B26" s="138" t="s">
        <v>5057</v>
      </c>
      <c r="C26" s="138" t="s">
        <v>5058</v>
      </c>
      <c r="D26" s="138" t="n">
        <v>259.625</v>
      </c>
      <c r="E26" s="138" t="n">
        <v>262.25</v>
      </c>
      <c r="F26" s="138" t="s">
        <v>59</v>
      </c>
      <c r="G26" s="138" t="n">
        <v>50</v>
      </c>
      <c r="H26" s="138" t="s">
        <v>176</v>
      </c>
    </row>
    <row r="27" customFormat="false" ht="15" hidden="false" customHeight="false" outlineLevel="0" collapsed="false">
      <c r="A27" s="138" t="s">
        <v>5014</v>
      </c>
      <c r="B27" s="138" t="s">
        <v>5059</v>
      </c>
      <c r="C27" s="138" t="s">
        <v>5060</v>
      </c>
      <c r="D27" s="138" t="n">
        <v>268.1155</v>
      </c>
      <c r="E27" s="138" t="n">
        <v>271.515</v>
      </c>
      <c r="F27" s="138" t="s">
        <v>59</v>
      </c>
      <c r="G27" s="138" t="n">
        <v>68</v>
      </c>
      <c r="H27" s="138" t="s">
        <v>176</v>
      </c>
    </row>
    <row r="28" customFormat="false" ht="15" hidden="false" customHeight="false" outlineLevel="0" collapsed="false">
      <c r="A28" s="138" t="s">
        <v>5014</v>
      </c>
      <c r="B28" s="138" t="s">
        <v>5061</v>
      </c>
      <c r="C28" s="138" t="s">
        <v>5062</v>
      </c>
      <c r="D28" s="138" t="n">
        <v>268.735</v>
      </c>
      <c r="E28" s="138" t="n">
        <v>271.335</v>
      </c>
      <c r="F28" s="138" t="s">
        <v>60</v>
      </c>
      <c r="G28" s="138" t="n">
        <v>370</v>
      </c>
      <c r="H28" s="138" t="s">
        <v>176</v>
      </c>
    </row>
    <row r="29" customFormat="false" ht="15" hidden="false" customHeight="false" outlineLevel="0" collapsed="false">
      <c r="A29" s="138" t="s">
        <v>5014</v>
      </c>
      <c r="B29" s="138" t="s">
        <v>5063</v>
      </c>
      <c r="C29" s="138" t="s">
        <v>5064</v>
      </c>
      <c r="D29" s="138" t="n">
        <v>309.75</v>
      </c>
      <c r="E29" s="138" t="n">
        <v>325.5</v>
      </c>
      <c r="F29" s="138" t="s">
        <v>59</v>
      </c>
      <c r="G29" s="138" t="n">
        <v>92</v>
      </c>
      <c r="H29" s="138" t="s">
        <v>176</v>
      </c>
    </row>
    <row r="30" customFormat="false" ht="15" hidden="false" customHeight="false" outlineLevel="0" collapsed="false">
      <c r="A30" s="138" t="s">
        <v>5014</v>
      </c>
      <c r="B30" s="138" t="s">
        <v>5065</v>
      </c>
      <c r="C30" s="138" t="s">
        <v>5066</v>
      </c>
      <c r="D30" s="138" t="n">
        <v>317.9</v>
      </c>
      <c r="E30" s="138" t="n">
        <v>334.45</v>
      </c>
      <c r="F30" s="138" t="s">
        <v>60</v>
      </c>
      <c r="G30" s="138" t="n">
        <v>330</v>
      </c>
      <c r="H30" s="138" t="s">
        <v>176</v>
      </c>
    </row>
    <row r="31" customFormat="false" ht="15" hidden="false" customHeight="false" outlineLevel="0" collapsed="false">
      <c r="A31" s="138" t="s">
        <v>5046</v>
      </c>
      <c r="B31" s="138" t="s">
        <v>5067</v>
      </c>
      <c r="C31" s="138" t="s">
        <v>5068</v>
      </c>
      <c r="D31" s="138" t="n">
        <v>314.915</v>
      </c>
      <c r="E31" s="138" t="n">
        <v>315.715</v>
      </c>
      <c r="F31" s="138" t="s">
        <v>59</v>
      </c>
      <c r="G31" s="138" t="n">
        <v>16</v>
      </c>
      <c r="H31" s="138" t="s">
        <v>176</v>
      </c>
    </row>
    <row r="32" customFormat="false" ht="15" hidden="false" customHeight="false" outlineLevel="0" collapsed="false">
      <c r="A32" s="138" t="s">
        <v>5046</v>
      </c>
      <c r="B32" s="138" t="s">
        <v>5069</v>
      </c>
      <c r="C32" s="138" t="s">
        <v>5070</v>
      </c>
      <c r="D32" s="138" t="n">
        <v>321.745</v>
      </c>
      <c r="E32" s="138" t="n">
        <v>322.545</v>
      </c>
      <c r="F32" s="138" t="s">
        <v>60</v>
      </c>
      <c r="G32" s="138" t="n">
        <v>16</v>
      </c>
      <c r="H32" s="138" t="s">
        <v>176</v>
      </c>
    </row>
    <row r="33" customFormat="false" ht="15" hidden="false" customHeight="false" outlineLevel="0" collapsed="false">
      <c r="A33" s="138" t="s">
        <v>5046</v>
      </c>
      <c r="B33" s="138" t="s">
        <v>5071</v>
      </c>
      <c r="C33" s="138" t="s">
        <v>5072</v>
      </c>
      <c r="D33" s="138" t="n">
        <v>322.0895</v>
      </c>
      <c r="E33" s="138" t="n">
        <v>322.89</v>
      </c>
      <c r="F33" s="138" t="s">
        <v>59</v>
      </c>
      <c r="G33" s="138" t="n">
        <v>16</v>
      </c>
      <c r="H33" s="138" t="s">
        <v>176</v>
      </c>
    </row>
    <row r="34" customFormat="false" ht="15" hidden="false" customHeight="false" outlineLevel="0" collapsed="false">
      <c r="A34" s="138" t="s">
        <v>5046</v>
      </c>
      <c r="B34" s="138" t="s">
        <v>5073</v>
      </c>
      <c r="C34" s="138" t="s">
        <v>5074</v>
      </c>
      <c r="D34" s="138" t="n">
        <v>322.975</v>
      </c>
      <c r="E34" s="138" t="n">
        <v>323.705</v>
      </c>
      <c r="F34" s="138" t="s">
        <v>59</v>
      </c>
      <c r="G34" s="138" t="n">
        <v>16</v>
      </c>
      <c r="H34" s="138" t="s">
        <v>176</v>
      </c>
    </row>
    <row r="35" customFormat="false" ht="15" hidden="false" customHeight="false" outlineLevel="0" collapsed="false">
      <c r="A35" s="138" t="s">
        <v>5046</v>
      </c>
      <c r="B35" s="138" t="s">
        <v>5075</v>
      </c>
      <c r="C35" s="138" t="s">
        <v>5076</v>
      </c>
      <c r="D35" s="138" t="n">
        <v>323.685</v>
      </c>
      <c r="E35" s="138" t="n">
        <v>324.425</v>
      </c>
      <c r="F35" s="138" t="s">
        <v>59</v>
      </c>
      <c r="G35" s="138" t="n">
        <v>16</v>
      </c>
      <c r="H35" s="138" t="s">
        <v>176</v>
      </c>
    </row>
    <row r="36" customFormat="false" ht="15" hidden="false" customHeight="false" outlineLevel="0" collapsed="false">
      <c r="A36" s="138" t="s">
        <v>5014</v>
      </c>
      <c r="B36" s="138" t="s">
        <v>1979</v>
      </c>
      <c r="C36" s="138" t="s">
        <v>1995</v>
      </c>
      <c r="D36" s="138" t="n">
        <v>323</v>
      </c>
      <c r="E36" s="138" t="n">
        <v>335</v>
      </c>
      <c r="F36" s="138" t="s">
        <v>59</v>
      </c>
      <c r="G36" s="138" t="n">
        <v>256</v>
      </c>
      <c r="H36" s="138" t="s">
        <v>176</v>
      </c>
    </row>
    <row r="37" customFormat="false" ht="15" hidden="false" customHeight="false" outlineLevel="0" collapsed="false">
      <c r="A37" s="138" t="s">
        <v>5014</v>
      </c>
      <c r="B37" s="138" t="s">
        <v>5077</v>
      </c>
      <c r="C37" s="138" t="s">
        <v>1984</v>
      </c>
      <c r="D37" s="138" t="n">
        <v>325.75</v>
      </c>
      <c r="E37" s="138" t="n">
        <v>326</v>
      </c>
      <c r="F37" s="138" t="s">
        <v>59</v>
      </c>
      <c r="G37" s="138" t="n">
        <v>24</v>
      </c>
      <c r="H37" s="138" t="s">
        <v>176</v>
      </c>
    </row>
    <row r="38" customFormat="false" ht="15" hidden="false" customHeight="false" outlineLevel="0" collapsed="false">
      <c r="A38" s="138" t="s">
        <v>5046</v>
      </c>
      <c r="B38" s="138" t="s">
        <v>5078</v>
      </c>
      <c r="C38" s="138" t="s">
        <v>5079</v>
      </c>
      <c r="D38" s="138" t="n">
        <v>331.371</v>
      </c>
      <c r="E38" s="138" t="n">
        <v>332.18</v>
      </c>
      <c r="F38" s="138" t="s">
        <v>60</v>
      </c>
      <c r="G38" s="138" t="n">
        <v>16</v>
      </c>
      <c r="H38" s="138" t="s">
        <v>176</v>
      </c>
    </row>
    <row r="39" customFormat="false" ht="15" hidden="false" customHeight="false" outlineLevel="0" collapsed="false">
      <c r="A39" s="138" t="s">
        <v>5046</v>
      </c>
      <c r="B39" s="138" t="s">
        <v>5080</v>
      </c>
      <c r="C39" s="138" t="s">
        <v>5081</v>
      </c>
      <c r="D39" s="138" t="n">
        <v>332.53</v>
      </c>
      <c r="E39" s="138" t="n">
        <v>333.315</v>
      </c>
      <c r="F39" s="138" t="s">
        <v>59</v>
      </c>
      <c r="G39" s="138" t="n">
        <v>16</v>
      </c>
      <c r="H39" s="138" t="s">
        <v>176</v>
      </c>
    </row>
    <row r="40" customFormat="false" ht="15" hidden="false" customHeight="false" outlineLevel="0" collapsed="false">
      <c r="A40" s="138" t="s">
        <v>5014</v>
      </c>
      <c r="B40" s="138" t="s">
        <v>5082</v>
      </c>
      <c r="C40" s="138" t="s">
        <v>5083</v>
      </c>
      <c r="D40" s="138" t="n">
        <v>356.58</v>
      </c>
      <c r="E40" s="138" t="n">
        <v>357.59</v>
      </c>
      <c r="F40" s="138" t="s">
        <v>59</v>
      </c>
      <c r="G40" s="138" t="n">
        <v>20</v>
      </c>
      <c r="H40" s="138" t="s">
        <v>176</v>
      </c>
    </row>
    <row r="41" customFormat="false" ht="15" hidden="false" customHeight="false" outlineLevel="0" collapsed="false">
      <c r="A41" s="138" t="s">
        <v>5014</v>
      </c>
      <c r="B41" s="138" t="s">
        <v>5084</v>
      </c>
      <c r="C41" s="138" t="s">
        <v>5085</v>
      </c>
      <c r="D41" s="138" t="n">
        <v>376.2775</v>
      </c>
      <c r="E41" s="138" t="n">
        <v>377.88</v>
      </c>
      <c r="F41" s="138" t="s">
        <v>59</v>
      </c>
      <c r="G41" s="138" t="n">
        <v>32</v>
      </c>
      <c r="H41" s="138" t="s">
        <v>176</v>
      </c>
    </row>
    <row r="42" customFormat="false" ht="15" hidden="false" customHeight="false" outlineLevel="0" collapsed="false">
      <c r="A42" s="138" t="s">
        <v>5014</v>
      </c>
      <c r="B42" s="138" t="s">
        <v>5086</v>
      </c>
      <c r="C42" s="138" t="s">
        <v>5087</v>
      </c>
      <c r="D42" s="138" t="n">
        <v>376.545</v>
      </c>
      <c r="E42" s="138" t="n">
        <v>377.745</v>
      </c>
      <c r="F42" s="138" t="s">
        <v>60</v>
      </c>
      <c r="G42" s="138" t="n">
        <v>24</v>
      </c>
      <c r="H42" s="138" t="s">
        <v>176</v>
      </c>
    </row>
    <row r="43" customFormat="false" ht="15" hidden="false" customHeight="false" outlineLevel="0" collapsed="false">
      <c r="A43" s="138" t="s">
        <v>5014</v>
      </c>
      <c r="B43" s="138" t="s">
        <v>5088</v>
      </c>
      <c r="C43" s="138" t="s">
        <v>5089</v>
      </c>
      <c r="D43" s="138" t="n">
        <v>411.66</v>
      </c>
      <c r="E43" s="138" t="n">
        <v>413.16</v>
      </c>
      <c r="F43" s="138" t="s">
        <v>60</v>
      </c>
      <c r="G43" s="138" t="n">
        <v>36</v>
      </c>
      <c r="H43" s="138" t="s">
        <v>176</v>
      </c>
    </row>
    <row r="44" customFormat="false" ht="15" hidden="false" customHeight="false" outlineLevel="0" collapsed="false">
      <c r="A44" s="138" t="s">
        <v>5014</v>
      </c>
      <c r="B44" s="138" t="s">
        <v>5090</v>
      </c>
      <c r="C44" s="138" t="s">
        <v>5091</v>
      </c>
      <c r="D44" s="138" t="n">
        <v>424.535</v>
      </c>
      <c r="E44" s="138" t="n">
        <v>437.6</v>
      </c>
      <c r="F44" s="138" t="s">
        <v>59</v>
      </c>
      <c r="G44" s="138" t="n">
        <v>265</v>
      </c>
      <c r="H44" s="138" t="s">
        <v>176</v>
      </c>
    </row>
    <row r="45" customFormat="false" ht="15" hidden="false" customHeight="false" outlineLevel="0" collapsed="false">
      <c r="A45" s="138" t="s">
        <v>5014</v>
      </c>
      <c r="B45" s="138" t="s">
        <v>5092</v>
      </c>
      <c r="C45" s="138" t="s">
        <v>5093</v>
      </c>
      <c r="D45" s="138" t="n">
        <v>424.895</v>
      </c>
      <c r="E45" s="138" t="n">
        <v>451.025</v>
      </c>
      <c r="F45" s="138" t="s">
        <v>60</v>
      </c>
      <c r="G45" s="138" t="n">
        <v>524</v>
      </c>
      <c r="H45" s="138" t="s">
        <v>176</v>
      </c>
    </row>
    <row r="46" customFormat="false" ht="15" hidden="false" customHeight="false" outlineLevel="0" collapsed="false">
      <c r="A46" s="138" t="s">
        <v>5014</v>
      </c>
      <c r="B46" s="138" t="s">
        <v>2103</v>
      </c>
      <c r="C46" s="138" t="s">
        <v>5094</v>
      </c>
      <c r="D46" s="138" t="n">
        <v>439</v>
      </c>
      <c r="E46" s="138" t="n">
        <v>447.5</v>
      </c>
      <c r="F46" s="138" t="s">
        <v>59</v>
      </c>
      <c r="G46" s="138" t="n">
        <v>160</v>
      </c>
      <c r="H46" s="138" t="s">
        <v>176</v>
      </c>
    </row>
    <row r="47" customFormat="false" ht="15" hidden="false" customHeight="false" outlineLevel="0" collapsed="false">
      <c r="A47" s="138" t="s">
        <v>5014</v>
      </c>
      <c r="B47" s="138" t="s">
        <v>5095</v>
      </c>
      <c r="C47" s="138" t="s">
        <v>5096</v>
      </c>
      <c r="D47" s="138" t="n">
        <v>468.222</v>
      </c>
      <c r="E47" s="138" t="n">
        <v>478.08</v>
      </c>
      <c r="F47" s="138" t="s">
        <v>60</v>
      </c>
      <c r="G47" s="138" t="n">
        <v>196</v>
      </c>
      <c r="H47" s="138" t="s">
        <v>176</v>
      </c>
    </row>
    <row r="48" customFormat="false" ht="15" hidden="false" customHeight="false" outlineLevel="0" collapsed="false">
      <c r="A48" s="138" t="s">
        <v>5014</v>
      </c>
      <c r="B48" s="138" t="s">
        <v>5097</v>
      </c>
      <c r="C48" s="138" t="s">
        <v>5098</v>
      </c>
      <c r="D48" s="138" t="n">
        <v>487.38</v>
      </c>
      <c r="E48" s="138" t="n">
        <v>498.475</v>
      </c>
      <c r="F48" s="138" t="s">
        <v>59</v>
      </c>
      <c r="G48" s="138" t="n">
        <v>220</v>
      </c>
      <c r="H48" s="138" t="s">
        <v>176</v>
      </c>
    </row>
    <row r="49" customFormat="false" ht="15" hidden="false" customHeight="false" outlineLevel="0" collapsed="false">
      <c r="A49" s="138" t="s">
        <v>5014</v>
      </c>
      <c r="B49" s="138" t="s">
        <v>2197</v>
      </c>
      <c r="C49" s="138" t="s">
        <v>5099</v>
      </c>
      <c r="D49" s="138" t="n">
        <v>526</v>
      </c>
      <c r="E49" s="138" t="n">
        <v>526.2</v>
      </c>
      <c r="F49" s="138" t="s">
        <v>60</v>
      </c>
      <c r="G49" s="138" t="n">
        <v>4</v>
      </c>
      <c r="H49" s="138" t="s">
        <v>176</v>
      </c>
    </row>
    <row r="50" customFormat="false" ht="15" hidden="false" customHeight="false" outlineLevel="0" collapsed="false">
      <c r="A50" s="138" t="s">
        <v>5014</v>
      </c>
      <c r="B50" s="138" t="s">
        <v>5100</v>
      </c>
      <c r="C50" s="138" t="s">
        <v>2231</v>
      </c>
      <c r="D50" s="138" t="n">
        <v>559.6</v>
      </c>
      <c r="E50" s="138" t="n">
        <v>560</v>
      </c>
      <c r="F50" s="138" t="s">
        <v>60</v>
      </c>
      <c r="G50" s="138" t="n">
        <v>8</v>
      </c>
      <c r="H50" s="138" t="s">
        <v>176</v>
      </c>
    </row>
    <row r="51" customFormat="false" ht="15" hidden="false" customHeight="false" outlineLevel="0" collapsed="false">
      <c r="A51" s="138" t="s">
        <v>5014</v>
      </c>
      <c r="B51" s="138" t="s">
        <v>5101</v>
      </c>
      <c r="C51" s="138" t="s">
        <v>5102</v>
      </c>
      <c r="D51" s="138" t="n">
        <v>559.81</v>
      </c>
      <c r="E51" s="138" t="n">
        <v>571.685</v>
      </c>
      <c r="F51" s="138" t="s">
        <v>59</v>
      </c>
      <c r="G51" s="138" t="n">
        <v>238</v>
      </c>
      <c r="H51" s="138" t="s">
        <v>176</v>
      </c>
    </row>
    <row r="52" customFormat="false" ht="15" hidden="false" customHeight="false" outlineLevel="0" collapsed="false">
      <c r="A52" s="138" t="s">
        <v>5046</v>
      </c>
      <c r="B52" s="138" t="s">
        <v>2231</v>
      </c>
      <c r="C52" s="138" t="s">
        <v>5103</v>
      </c>
      <c r="D52" s="138" t="n">
        <v>560</v>
      </c>
      <c r="E52" s="138" t="n">
        <v>560.745</v>
      </c>
      <c r="F52" s="138" t="s">
        <v>60</v>
      </c>
      <c r="G52" s="138" t="n">
        <v>16</v>
      </c>
      <c r="H52" s="138" t="s">
        <v>176</v>
      </c>
    </row>
    <row r="53" customFormat="false" ht="15" hidden="false" customHeight="false" outlineLevel="0" collapsed="false">
      <c r="A53" s="138" t="s">
        <v>5046</v>
      </c>
      <c r="B53" s="138" t="s">
        <v>5104</v>
      </c>
      <c r="C53" s="138" t="s">
        <v>5105</v>
      </c>
      <c r="D53" s="138" t="n">
        <v>561.338</v>
      </c>
      <c r="E53" s="138" t="n">
        <v>561.6</v>
      </c>
      <c r="F53" s="138" t="s">
        <v>60</v>
      </c>
      <c r="G53" s="138" t="n">
        <v>16</v>
      </c>
      <c r="H53" s="138" t="s">
        <v>176</v>
      </c>
    </row>
    <row r="54" customFormat="false" ht="15" hidden="false" customHeight="false" outlineLevel="0" collapsed="false">
      <c r="A54" s="138" t="s">
        <v>5014</v>
      </c>
      <c r="B54" s="138" t="s">
        <v>5105</v>
      </c>
      <c r="C54" s="138" t="s">
        <v>2243</v>
      </c>
      <c r="D54" s="138" t="n">
        <v>561.6</v>
      </c>
      <c r="E54" s="138" t="n">
        <v>571</v>
      </c>
      <c r="F54" s="138" t="s">
        <v>60</v>
      </c>
      <c r="G54" s="138" t="n">
        <v>188</v>
      </c>
      <c r="H54" s="138" t="s">
        <v>176</v>
      </c>
    </row>
    <row r="55" customFormat="false" ht="15" hidden="false" customHeight="false" outlineLevel="0" collapsed="false">
      <c r="A55" s="138" t="s">
        <v>5046</v>
      </c>
      <c r="B55" s="138" t="s">
        <v>5102</v>
      </c>
      <c r="C55" s="138" t="s">
        <v>2244</v>
      </c>
      <c r="D55" s="138" t="n">
        <v>571.685</v>
      </c>
      <c r="E55" s="138" t="n">
        <v>572</v>
      </c>
      <c r="F55" s="138" t="s">
        <v>59</v>
      </c>
      <c r="G55" s="138" t="n">
        <v>16</v>
      </c>
      <c r="H55" s="138" t="s">
        <v>176</v>
      </c>
    </row>
    <row r="56" customFormat="false" ht="15" hidden="false" customHeight="false" outlineLevel="0" collapsed="false">
      <c r="A56" s="138" t="s">
        <v>5014</v>
      </c>
      <c r="B56" s="138" t="s">
        <v>5106</v>
      </c>
      <c r="C56" s="138" t="s">
        <v>2253</v>
      </c>
      <c r="D56" s="138" t="n">
        <v>575.382</v>
      </c>
      <c r="E56" s="138" t="n">
        <v>580</v>
      </c>
      <c r="F56" s="138" t="s">
        <v>59</v>
      </c>
      <c r="G56" s="138" t="n">
        <v>92</v>
      </c>
      <c r="H56" s="138" t="s">
        <v>176</v>
      </c>
    </row>
    <row r="57" customFormat="false" ht="15" hidden="false" customHeight="false" outlineLevel="0" collapsed="false">
      <c r="A57" s="138" t="s">
        <v>5014</v>
      </c>
      <c r="B57" s="138" t="s">
        <v>5107</v>
      </c>
      <c r="C57" s="138" t="s">
        <v>5108</v>
      </c>
      <c r="D57" s="138" t="n">
        <v>579.605</v>
      </c>
      <c r="E57" s="138" t="n">
        <v>580.405</v>
      </c>
      <c r="F57" s="138" t="s">
        <v>60</v>
      </c>
      <c r="G57" s="138" t="n">
        <v>16</v>
      </c>
      <c r="H57" s="138" t="s">
        <v>176</v>
      </c>
    </row>
    <row r="58" customFormat="false" ht="15" hidden="false" customHeight="false" outlineLevel="0" collapsed="false">
      <c r="A58" s="138" t="s">
        <v>5046</v>
      </c>
      <c r="B58" s="138" t="s">
        <v>5109</v>
      </c>
      <c r="C58" s="138" t="s">
        <v>5110</v>
      </c>
      <c r="D58" s="138" t="n">
        <v>591.084</v>
      </c>
      <c r="E58" s="138" t="n">
        <v>591.495</v>
      </c>
      <c r="F58" s="138" t="s">
        <v>60</v>
      </c>
      <c r="G58" s="138" t="n">
        <v>16</v>
      </c>
      <c r="H58" s="138" t="s">
        <v>176</v>
      </c>
    </row>
    <row r="59" customFormat="false" ht="15" hidden="false" customHeight="false" outlineLevel="0" collapsed="false">
      <c r="A59" s="138" t="s">
        <v>5014</v>
      </c>
      <c r="B59" s="138" t="s">
        <v>5111</v>
      </c>
      <c r="C59" s="138" t="s">
        <v>2265</v>
      </c>
      <c r="D59" s="138" t="n">
        <v>591.494</v>
      </c>
      <c r="E59" s="138" t="n">
        <v>592</v>
      </c>
      <c r="F59" s="138" t="s">
        <v>60</v>
      </c>
      <c r="G59" s="138" t="n">
        <v>12</v>
      </c>
      <c r="H59" s="138" t="s">
        <v>176</v>
      </c>
    </row>
    <row r="60" customFormat="false" ht="15" hidden="false" customHeight="false" outlineLevel="0" collapsed="false">
      <c r="A60" s="138" t="s">
        <v>5014</v>
      </c>
      <c r="B60" s="138" t="s">
        <v>5112</v>
      </c>
      <c r="C60" s="138" t="s">
        <v>5113</v>
      </c>
      <c r="D60" s="138" t="n">
        <v>591.575</v>
      </c>
      <c r="E60" s="138" t="n">
        <v>591.97</v>
      </c>
      <c r="F60" s="138" t="s">
        <v>59</v>
      </c>
      <c r="G60" s="138" t="n">
        <v>8</v>
      </c>
      <c r="H60" s="138" t="s">
        <v>176</v>
      </c>
    </row>
    <row r="61" customFormat="false" ht="15" hidden="false" customHeight="false" outlineLevel="0" collapsed="false">
      <c r="A61" s="138" t="s">
        <v>5046</v>
      </c>
      <c r="B61" s="138" t="s">
        <v>5114</v>
      </c>
      <c r="C61" s="138" t="s">
        <v>5115</v>
      </c>
      <c r="D61" s="138" t="n">
        <v>601.85</v>
      </c>
      <c r="E61" s="138" t="n">
        <v>602.65</v>
      </c>
      <c r="F61" s="138" t="s">
        <v>60</v>
      </c>
      <c r="G61" s="138" t="n">
        <v>16</v>
      </c>
      <c r="H61" s="138" t="s">
        <v>176</v>
      </c>
    </row>
    <row r="62" customFormat="false" ht="15" hidden="false" customHeight="false" outlineLevel="0" collapsed="false">
      <c r="A62" s="138" t="s">
        <v>5014</v>
      </c>
      <c r="B62" s="138" t="s">
        <v>5115</v>
      </c>
      <c r="C62" s="138" t="s">
        <v>5116</v>
      </c>
      <c r="D62" s="138" t="n">
        <v>602.65</v>
      </c>
      <c r="E62" s="138" t="n">
        <v>603.45</v>
      </c>
      <c r="F62" s="138" t="s">
        <v>60</v>
      </c>
      <c r="G62" s="138" t="n">
        <v>14</v>
      </c>
      <c r="H62" s="138" t="s">
        <v>176</v>
      </c>
    </row>
    <row r="63" customFormat="false" ht="15" hidden="false" customHeight="false" outlineLevel="0" collapsed="false">
      <c r="A63" s="138" t="s">
        <v>5046</v>
      </c>
      <c r="B63" s="138" t="s">
        <v>5116</v>
      </c>
      <c r="C63" s="138" t="s">
        <v>5117</v>
      </c>
      <c r="D63" s="138" t="n">
        <v>603.45</v>
      </c>
      <c r="E63" s="138" t="n">
        <v>604.25</v>
      </c>
      <c r="F63" s="138" t="s">
        <v>60</v>
      </c>
      <c r="G63" s="138" t="n">
        <v>16</v>
      </c>
      <c r="H63" s="138" t="s">
        <v>176</v>
      </c>
    </row>
    <row r="64" customFormat="false" ht="15" hidden="false" customHeight="false" outlineLevel="0" collapsed="false">
      <c r="A64" s="138" t="s">
        <v>5046</v>
      </c>
      <c r="B64" s="138" t="s">
        <v>3644</v>
      </c>
      <c r="C64" s="138" t="s">
        <v>5118</v>
      </c>
      <c r="D64" s="138" t="n">
        <v>602.2</v>
      </c>
      <c r="E64" s="138" t="n">
        <v>602.8</v>
      </c>
      <c r="F64" s="138" t="s">
        <v>59</v>
      </c>
      <c r="G64" s="138" t="n">
        <v>16</v>
      </c>
      <c r="H64" s="138" t="s">
        <v>176</v>
      </c>
    </row>
    <row r="65" customFormat="false" ht="15" hidden="false" customHeight="false" outlineLevel="0" collapsed="false">
      <c r="A65" s="138" t="s">
        <v>5014</v>
      </c>
      <c r="B65" s="138" t="s">
        <v>5118</v>
      </c>
      <c r="C65" s="138" t="s">
        <v>5119</v>
      </c>
      <c r="D65" s="138" t="n">
        <v>602.8</v>
      </c>
      <c r="E65" s="138" t="n">
        <v>603.5</v>
      </c>
      <c r="F65" s="138" t="s">
        <v>59</v>
      </c>
      <c r="G65" s="138" t="n">
        <v>16</v>
      </c>
      <c r="H65" s="138" t="s">
        <v>176</v>
      </c>
    </row>
    <row r="66" customFormat="false" ht="15" hidden="false" customHeight="false" outlineLevel="0" collapsed="false">
      <c r="A66" s="138" t="s">
        <v>5046</v>
      </c>
      <c r="B66" s="138" t="s">
        <v>5119</v>
      </c>
      <c r="C66" s="138" t="s">
        <v>3649</v>
      </c>
      <c r="D66" s="138" t="n">
        <v>603.5</v>
      </c>
      <c r="E66" s="138" t="n">
        <v>604.3</v>
      </c>
      <c r="F66" s="138" t="s">
        <v>59</v>
      </c>
      <c r="G66" s="138" t="n">
        <v>16</v>
      </c>
      <c r="H66" s="138" t="s">
        <v>176</v>
      </c>
    </row>
    <row r="67" customFormat="false" ht="15" hidden="false" customHeight="false" outlineLevel="0" collapsed="false">
      <c r="A67" s="138" t="s">
        <v>5046</v>
      </c>
      <c r="B67" s="138" t="s">
        <v>5120</v>
      </c>
      <c r="C67" s="138" t="s">
        <v>5121</v>
      </c>
      <c r="D67" s="138" t="n">
        <v>413.02</v>
      </c>
      <c r="E67" s="138" t="n">
        <v>413.82</v>
      </c>
      <c r="F67" s="138" t="s">
        <v>60</v>
      </c>
      <c r="G67" s="138" t="n">
        <v>16</v>
      </c>
      <c r="H67" s="138" t="s">
        <v>176</v>
      </c>
    </row>
    <row r="68" customFormat="false" ht="15" hidden="false" customHeight="false" outlineLevel="0" collapsed="false">
      <c r="A68" s="138" t="s">
        <v>5122</v>
      </c>
      <c r="B68" s="138" t="s">
        <v>1984</v>
      </c>
      <c r="C68" s="138" t="s">
        <v>1984</v>
      </c>
      <c r="D68" s="138" t="n">
        <v>326</v>
      </c>
      <c r="E68" s="138" t="n">
        <v>326.0005</v>
      </c>
      <c r="F68" s="138" t="s">
        <v>60</v>
      </c>
      <c r="G68" s="138" t="n">
        <v>1</v>
      </c>
      <c r="H68" s="138" t="s">
        <v>80</v>
      </c>
    </row>
    <row r="69" customFormat="false" ht="15" hidden="false" customHeight="false" outlineLevel="0" collapsed="false">
      <c r="A69" s="138" t="s">
        <v>5122</v>
      </c>
      <c r="B69" s="138" t="s">
        <v>1984</v>
      </c>
      <c r="C69" s="138" t="s">
        <v>1984</v>
      </c>
      <c r="D69" s="138" t="n">
        <v>326</v>
      </c>
      <c r="E69" s="138" t="n">
        <v>326.0005</v>
      </c>
      <c r="F69" s="138" t="s">
        <v>59</v>
      </c>
      <c r="G69" s="138" t="n">
        <v>1</v>
      </c>
      <c r="H69" s="138" t="s">
        <v>80</v>
      </c>
    </row>
    <row r="70" customFormat="false" ht="15" hidden="false" customHeight="false" outlineLevel="0" collapsed="false">
      <c r="A70" s="138" t="s">
        <v>5123</v>
      </c>
      <c r="B70" s="138" t="s">
        <v>5124</v>
      </c>
      <c r="C70" s="138" t="s">
        <v>5124</v>
      </c>
      <c r="D70" s="138" t="n">
        <v>2.96</v>
      </c>
      <c r="E70" s="138" t="n">
        <v>2.9605</v>
      </c>
      <c r="F70" s="138" t="s">
        <v>60</v>
      </c>
      <c r="G70" s="138" t="n">
        <v>1</v>
      </c>
      <c r="H70" s="138" t="s">
        <v>80</v>
      </c>
    </row>
    <row r="71" customFormat="false" ht="15" hidden="false" customHeight="false" outlineLevel="0" collapsed="false">
      <c r="A71" s="138" t="s">
        <v>5123</v>
      </c>
      <c r="B71" s="138" t="s">
        <v>5125</v>
      </c>
      <c r="C71" s="138" t="s">
        <v>5125</v>
      </c>
      <c r="D71" s="138" t="n">
        <v>4.56</v>
      </c>
      <c r="E71" s="138" t="n">
        <v>4.5605</v>
      </c>
      <c r="F71" s="138" t="s">
        <v>60</v>
      </c>
      <c r="G71" s="138" t="n">
        <v>1</v>
      </c>
      <c r="H71" s="138" t="s">
        <v>80</v>
      </c>
    </row>
    <row r="72" customFormat="false" ht="15" hidden="false" customHeight="false" outlineLevel="0" collapsed="false">
      <c r="A72" s="138" t="s">
        <v>5123</v>
      </c>
      <c r="B72" s="138" t="s">
        <v>5126</v>
      </c>
      <c r="C72" s="138" t="s">
        <v>5126</v>
      </c>
      <c r="D72" s="138" t="n">
        <v>14.93</v>
      </c>
      <c r="E72" s="138" t="n">
        <v>14.9305</v>
      </c>
      <c r="F72" s="138" t="s">
        <v>59</v>
      </c>
      <c r="G72" s="138" t="n">
        <v>1</v>
      </c>
      <c r="H72" s="138" t="s">
        <v>80</v>
      </c>
    </row>
    <row r="73" customFormat="false" ht="15" hidden="false" customHeight="false" outlineLevel="0" collapsed="false">
      <c r="A73" s="138" t="s">
        <v>5123</v>
      </c>
      <c r="B73" s="138" t="s">
        <v>5127</v>
      </c>
      <c r="C73" s="138" t="s">
        <v>5127</v>
      </c>
      <c r="D73" s="138" t="n">
        <v>15.8</v>
      </c>
      <c r="E73" s="138" t="n">
        <v>15.8005</v>
      </c>
      <c r="F73" s="138" t="s">
        <v>60</v>
      </c>
      <c r="G73" s="138" t="n">
        <v>1</v>
      </c>
      <c r="H73" s="138" t="s">
        <v>80</v>
      </c>
    </row>
    <row r="74" customFormat="false" ht="15" hidden="false" customHeight="false" outlineLevel="0" collapsed="false">
      <c r="A74" s="138" t="s">
        <v>5123</v>
      </c>
      <c r="B74" s="138" t="s">
        <v>5128</v>
      </c>
      <c r="C74" s="138" t="s">
        <v>5128</v>
      </c>
      <c r="D74" s="138" t="n">
        <v>16.53</v>
      </c>
      <c r="E74" s="138" t="n">
        <v>16.5305</v>
      </c>
      <c r="F74" s="138" t="s">
        <v>59</v>
      </c>
      <c r="G74" s="138" t="n">
        <v>1</v>
      </c>
      <c r="H74" s="138" t="s">
        <v>80</v>
      </c>
    </row>
    <row r="75" customFormat="false" ht="15" hidden="false" customHeight="false" outlineLevel="0" collapsed="false">
      <c r="A75" s="138" t="s">
        <v>5123</v>
      </c>
      <c r="B75" s="138" t="s">
        <v>5129</v>
      </c>
      <c r="C75" s="138" t="s">
        <v>5129</v>
      </c>
      <c r="D75" s="138" t="n">
        <v>17.6</v>
      </c>
      <c r="E75" s="138" t="n">
        <v>17.6005</v>
      </c>
      <c r="F75" s="138" t="s">
        <v>60</v>
      </c>
      <c r="G75" s="138" t="n">
        <v>1</v>
      </c>
      <c r="H75" s="138" t="s">
        <v>80</v>
      </c>
    </row>
    <row r="76" customFormat="false" ht="15" hidden="false" customHeight="false" outlineLevel="0" collapsed="false">
      <c r="A76" s="138" t="s">
        <v>5123</v>
      </c>
      <c r="B76" s="138" t="s">
        <v>5130</v>
      </c>
      <c r="C76" s="138" t="s">
        <v>5130</v>
      </c>
      <c r="D76" s="138" t="n">
        <v>30.43</v>
      </c>
      <c r="E76" s="138" t="n">
        <v>30.4305</v>
      </c>
      <c r="F76" s="138" t="s">
        <v>59</v>
      </c>
      <c r="G76" s="138" t="n">
        <v>1</v>
      </c>
      <c r="H76" s="138" t="s">
        <v>80</v>
      </c>
    </row>
    <row r="77" customFormat="false" ht="15" hidden="false" customHeight="false" outlineLevel="0" collapsed="false">
      <c r="A77" s="138" t="s">
        <v>5123</v>
      </c>
      <c r="B77" s="138" t="s">
        <v>5016</v>
      </c>
      <c r="C77" s="138" t="s">
        <v>5016</v>
      </c>
      <c r="D77" s="138" t="n">
        <v>31.23</v>
      </c>
      <c r="E77" s="138" t="n">
        <v>31.2305</v>
      </c>
      <c r="F77" s="138" t="s">
        <v>59</v>
      </c>
      <c r="G77" s="138" t="n">
        <v>1</v>
      </c>
      <c r="H77" s="138" t="s">
        <v>80</v>
      </c>
    </row>
    <row r="78" customFormat="false" ht="15" hidden="false" customHeight="false" outlineLevel="0" collapsed="false">
      <c r="A78" s="138" t="s">
        <v>5123</v>
      </c>
      <c r="B78" s="138" t="s">
        <v>5131</v>
      </c>
      <c r="C78" s="138" t="s">
        <v>5131</v>
      </c>
      <c r="D78" s="138" t="n">
        <v>37.045</v>
      </c>
      <c r="E78" s="138" t="n">
        <v>37.0455</v>
      </c>
      <c r="F78" s="138" t="s">
        <v>59</v>
      </c>
      <c r="G78" s="138" t="n">
        <v>1</v>
      </c>
      <c r="H78" s="138" t="s">
        <v>80</v>
      </c>
    </row>
    <row r="79" customFormat="false" ht="15" hidden="false" customHeight="false" outlineLevel="0" collapsed="false">
      <c r="A79" s="138" t="s">
        <v>5123</v>
      </c>
      <c r="B79" s="138" t="s">
        <v>5132</v>
      </c>
      <c r="C79" s="138" t="s">
        <v>5132</v>
      </c>
      <c r="D79" s="138" t="n">
        <v>37.355</v>
      </c>
      <c r="E79" s="138" t="n">
        <v>37.3555</v>
      </c>
      <c r="F79" s="138" t="s">
        <v>60</v>
      </c>
      <c r="G79" s="138" t="n">
        <v>1</v>
      </c>
      <c r="H79" s="138" t="s">
        <v>80</v>
      </c>
    </row>
    <row r="80" customFormat="false" ht="15" hidden="false" customHeight="false" outlineLevel="0" collapsed="false">
      <c r="A80" s="138" t="s">
        <v>5123</v>
      </c>
      <c r="B80" s="138" t="s">
        <v>5020</v>
      </c>
      <c r="C80" s="138" t="s">
        <v>5020</v>
      </c>
      <c r="D80" s="138" t="n">
        <v>38.955</v>
      </c>
      <c r="E80" s="138" t="n">
        <v>38.9555</v>
      </c>
      <c r="F80" s="138" t="s">
        <v>60</v>
      </c>
      <c r="G80" s="138" t="n">
        <v>1</v>
      </c>
      <c r="H80" s="138" t="s">
        <v>80</v>
      </c>
    </row>
    <row r="81" customFormat="false" ht="15" hidden="false" customHeight="false" outlineLevel="0" collapsed="false">
      <c r="A81" s="138" t="s">
        <v>5123</v>
      </c>
      <c r="B81" s="138" t="s">
        <v>5018</v>
      </c>
      <c r="C81" s="138" t="s">
        <v>5018</v>
      </c>
      <c r="D81" s="138" t="n">
        <v>39.445</v>
      </c>
      <c r="E81" s="138" t="n">
        <v>39.4455</v>
      </c>
      <c r="F81" s="138" t="s">
        <v>59</v>
      </c>
      <c r="G81" s="138" t="n">
        <v>1</v>
      </c>
      <c r="H81" s="138" t="s">
        <v>80</v>
      </c>
    </row>
    <row r="82" customFormat="false" ht="15" hidden="false" customHeight="false" outlineLevel="0" collapsed="false">
      <c r="A82" s="138" t="s">
        <v>5123</v>
      </c>
      <c r="B82" s="138" t="s">
        <v>5133</v>
      </c>
      <c r="C82" s="138" t="s">
        <v>5133</v>
      </c>
      <c r="D82" s="138" t="n">
        <v>51.63</v>
      </c>
      <c r="E82" s="138" t="n">
        <v>51.6305</v>
      </c>
      <c r="F82" s="138" t="s">
        <v>59</v>
      </c>
      <c r="G82" s="138" t="n">
        <v>1</v>
      </c>
      <c r="H82" s="138" t="s">
        <v>80</v>
      </c>
    </row>
    <row r="83" customFormat="false" ht="15" hidden="false" customHeight="false" outlineLevel="0" collapsed="false">
      <c r="A83" s="138" t="s">
        <v>5123</v>
      </c>
      <c r="B83" s="138" t="s">
        <v>5134</v>
      </c>
      <c r="C83" s="138" t="s">
        <v>5134</v>
      </c>
      <c r="D83" s="138" t="n">
        <v>54.57</v>
      </c>
      <c r="E83" s="138" t="n">
        <v>54.5705</v>
      </c>
      <c r="F83" s="138" t="s">
        <v>60</v>
      </c>
      <c r="G83" s="138" t="n">
        <v>1</v>
      </c>
      <c r="H83" s="138" t="s">
        <v>80</v>
      </c>
    </row>
    <row r="84" customFormat="false" ht="15" hidden="false" customHeight="false" outlineLevel="0" collapsed="false">
      <c r="A84" s="138" t="s">
        <v>5123</v>
      </c>
      <c r="B84" s="138" t="s">
        <v>5024</v>
      </c>
      <c r="C84" s="138" t="s">
        <v>5024</v>
      </c>
      <c r="D84" s="138" t="n">
        <v>58.57</v>
      </c>
      <c r="E84" s="138" t="n">
        <v>58.5705</v>
      </c>
      <c r="F84" s="138" t="s">
        <v>60</v>
      </c>
      <c r="G84" s="138" t="n">
        <v>1</v>
      </c>
      <c r="H84" s="138" t="s">
        <v>80</v>
      </c>
    </row>
    <row r="85" customFormat="false" ht="15" hidden="false" customHeight="false" outlineLevel="0" collapsed="false">
      <c r="A85" s="138" t="s">
        <v>5123</v>
      </c>
      <c r="B85" s="138" t="s">
        <v>5135</v>
      </c>
      <c r="C85" s="138" t="s">
        <v>5135</v>
      </c>
      <c r="D85" s="138" t="n">
        <v>64.57</v>
      </c>
      <c r="E85" s="138" t="n">
        <v>64.5705</v>
      </c>
      <c r="F85" s="138" t="s">
        <v>60</v>
      </c>
      <c r="G85" s="138" t="n">
        <v>1</v>
      </c>
      <c r="H85" s="138" t="s">
        <v>80</v>
      </c>
    </row>
    <row r="86" customFormat="false" ht="15" hidden="false" customHeight="false" outlineLevel="0" collapsed="false">
      <c r="A86" s="138" t="s">
        <v>5123</v>
      </c>
      <c r="B86" s="138" t="s">
        <v>5022</v>
      </c>
      <c r="C86" s="138" t="s">
        <v>5022</v>
      </c>
      <c r="D86" s="138" t="n">
        <v>65.63</v>
      </c>
      <c r="E86" s="138" t="n">
        <v>65.6305</v>
      </c>
      <c r="F86" s="138" t="s">
        <v>59</v>
      </c>
      <c r="G86" s="138" t="n">
        <v>1</v>
      </c>
      <c r="H86" s="138" t="s">
        <v>80</v>
      </c>
    </row>
    <row r="87" customFormat="false" ht="15" hidden="false" customHeight="false" outlineLevel="0" collapsed="false">
      <c r="A87" s="138" t="s">
        <v>5123</v>
      </c>
      <c r="B87" s="138" t="s">
        <v>5026</v>
      </c>
      <c r="C87" s="138" t="s">
        <v>5026</v>
      </c>
      <c r="D87" s="138" t="n">
        <v>66.77</v>
      </c>
      <c r="E87" s="138" t="n">
        <v>66.7705</v>
      </c>
      <c r="F87" s="138" t="s">
        <v>60</v>
      </c>
      <c r="G87" s="138" t="n">
        <v>1</v>
      </c>
      <c r="H87" s="138" t="s">
        <v>80</v>
      </c>
    </row>
    <row r="88" customFormat="false" ht="15" hidden="false" customHeight="false" outlineLevel="0" collapsed="false">
      <c r="A88" s="138" t="s">
        <v>5123</v>
      </c>
      <c r="B88" s="138" t="s">
        <v>5136</v>
      </c>
      <c r="C88" s="138" t="s">
        <v>5136</v>
      </c>
      <c r="D88" s="138" t="n">
        <v>80.97</v>
      </c>
      <c r="E88" s="138" t="n">
        <v>80.9705</v>
      </c>
      <c r="F88" s="138" t="s">
        <v>60</v>
      </c>
      <c r="G88" s="138" t="n">
        <v>1</v>
      </c>
      <c r="H88" s="138" t="s">
        <v>80</v>
      </c>
    </row>
    <row r="89" customFormat="false" ht="15" hidden="false" customHeight="false" outlineLevel="0" collapsed="false">
      <c r="A89" s="138" t="s">
        <v>5123</v>
      </c>
      <c r="B89" s="138" t="s">
        <v>5028</v>
      </c>
      <c r="C89" s="138" t="s">
        <v>5028</v>
      </c>
      <c r="D89" s="138" t="n">
        <v>82.37</v>
      </c>
      <c r="E89" s="138" t="n">
        <v>82.3705</v>
      </c>
      <c r="F89" s="138" t="s">
        <v>60</v>
      </c>
      <c r="G89" s="138" t="n">
        <v>1</v>
      </c>
      <c r="H89" s="138" t="s">
        <v>80</v>
      </c>
    </row>
    <row r="90" customFormat="false" ht="15" hidden="false" customHeight="false" outlineLevel="0" collapsed="false">
      <c r="A90" s="138" t="s">
        <v>5123</v>
      </c>
      <c r="B90" s="138" t="s">
        <v>5137</v>
      </c>
      <c r="C90" s="138" t="s">
        <v>5137</v>
      </c>
      <c r="D90" s="138" t="n">
        <v>105.8</v>
      </c>
      <c r="E90" s="138" t="n">
        <v>105.8005</v>
      </c>
      <c r="F90" s="138" t="s">
        <v>59</v>
      </c>
      <c r="G90" s="138" t="n">
        <v>1</v>
      </c>
      <c r="H90" s="138" t="s">
        <v>80</v>
      </c>
    </row>
    <row r="91" customFormat="false" ht="15" hidden="false" customHeight="false" outlineLevel="0" collapsed="false">
      <c r="A91" s="138" t="s">
        <v>5123</v>
      </c>
      <c r="B91" s="138" t="s">
        <v>5138</v>
      </c>
      <c r="C91" s="138" t="s">
        <v>5138</v>
      </c>
      <c r="D91" s="138" t="n">
        <v>106.375</v>
      </c>
      <c r="E91" s="138" t="n">
        <v>106.3755</v>
      </c>
      <c r="F91" s="138" t="s">
        <v>60</v>
      </c>
      <c r="G91" s="138" t="n">
        <v>1</v>
      </c>
      <c r="H91" s="138" t="s">
        <v>80</v>
      </c>
    </row>
    <row r="92" customFormat="false" ht="15" hidden="false" customHeight="false" outlineLevel="0" collapsed="false">
      <c r="A92" s="138" t="s">
        <v>5123</v>
      </c>
      <c r="B92" s="138" t="s">
        <v>5031</v>
      </c>
      <c r="C92" s="138" t="s">
        <v>5031</v>
      </c>
      <c r="D92" s="138" t="n">
        <v>112.775</v>
      </c>
      <c r="E92" s="138" t="n">
        <v>112.7755</v>
      </c>
      <c r="F92" s="138" t="s">
        <v>60</v>
      </c>
      <c r="G92" s="138" t="n">
        <v>1</v>
      </c>
      <c r="H92" s="138" t="s">
        <v>80</v>
      </c>
    </row>
    <row r="93" customFormat="false" ht="15" hidden="false" customHeight="false" outlineLevel="0" collapsed="false">
      <c r="A93" s="138" t="s">
        <v>5123</v>
      </c>
      <c r="B93" s="138" t="s">
        <v>5030</v>
      </c>
      <c r="C93" s="138" t="s">
        <v>5030</v>
      </c>
      <c r="D93" s="138" t="n">
        <v>116.4</v>
      </c>
      <c r="E93" s="138" t="n">
        <v>116.4005</v>
      </c>
      <c r="F93" s="138" t="s">
        <v>59</v>
      </c>
      <c r="G93" s="138" t="n">
        <v>1</v>
      </c>
      <c r="H93" s="138" t="s">
        <v>80</v>
      </c>
    </row>
    <row r="94" customFormat="false" ht="15" hidden="false" customHeight="false" outlineLevel="0" collapsed="false">
      <c r="A94" s="138" t="s">
        <v>5123</v>
      </c>
      <c r="B94" s="138" t="s">
        <v>5139</v>
      </c>
      <c r="C94" s="138" t="s">
        <v>5139</v>
      </c>
      <c r="D94" s="138" t="n">
        <v>124.025</v>
      </c>
      <c r="E94" s="138" t="n">
        <v>124.0255</v>
      </c>
      <c r="F94" s="138" t="s">
        <v>59</v>
      </c>
      <c r="G94" s="138" t="n">
        <v>1</v>
      </c>
      <c r="H94" s="138" t="s">
        <v>80</v>
      </c>
    </row>
    <row r="95" customFormat="false" ht="15" hidden="false" customHeight="false" outlineLevel="0" collapsed="false">
      <c r="A95" s="138" t="s">
        <v>5123</v>
      </c>
      <c r="B95" s="138" t="s">
        <v>5140</v>
      </c>
      <c r="C95" s="138" t="s">
        <v>5140</v>
      </c>
      <c r="D95" s="138" t="n">
        <v>125.895</v>
      </c>
      <c r="E95" s="138" t="n">
        <v>125.8955</v>
      </c>
      <c r="F95" s="138" t="s">
        <v>60</v>
      </c>
      <c r="G95" s="138" t="n">
        <v>1</v>
      </c>
      <c r="H95" s="138" t="s">
        <v>80</v>
      </c>
    </row>
    <row r="96" customFormat="false" ht="15" hidden="false" customHeight="false" outlineLevel="0" collapsed="false">
      <c r="A96" s="138" t="s">
        <v>5123</v>
      </c>
      <c r="B96" s="138" t="s">
        <v>5035</v>
      </c>
      <c r="C96" s="138" t="s">
        <v>5035</v>
      </c>
      <c r="D96" s="138" t="n">
        <v>127.695</v>
      </c>
      <c r="E96" s="138" t="n">
        <v>127.6955</v>
      </c>
      <c r="F96" s="138" t="s">
        <v>60</v>
      </c>
      <c r="G96" s="138" t="n">
        <v>1</v>
      </c>
      <c r="H96" s="138" t="s">
        <v>80</v>
      </c>
    </row>
    <row r="97" customFormat="false" ht="15" hidden="false" customHeight="false" outlineLevel="0" collapsed="false">
      <c r="A97" s="138" t="s">
        <v>5123</v>
      </c>
      <c r="B97" s="138" t="s">
        <v>5141</v>
      </c>
      <c r="C97" s="138" t="s">
        <v>5141</v>
      </c>
      <c r="D97" s="138" t="n">
        <v>128.825</v>
      </c>
      <c r="E97" s="138" t="n">
        <v>128.8255</v>
      </c>
      <c r="F97" s="138" t="s">
        <v>59</v>
      </c>
      <c r="G97" s="138" t="n">
        <v>1</v>
      </c>
      <c r="H97" s="138" t="s">
        <v>80</v>
      </c>
    </row>
    <row r="98" customFormat="false" ht="15" hidden="false" customHeight="false" outlineLevel="0" collapsed="false">
      <c r="A98" s="138" t="s">
        <v>5123</v>
      </c>
      <c r="B98" s="138" t="s">
        <v>5142</v>
      </c>
      <c r="C98" s="138" t="s">
        <v>5142</v>
      </c>
      <c r="D98" s="138" t="n">
        <v>137.025</v>
      </c>
      <c r="E98" s="138" t="n">
        <v>137.0255</v>
      </c>
      <c r="F98" s="138" t="s">
        <v>59</v>
      </c>
      <c r="G98" s="138" t="n">
        <v>1</v>
      </c>
      <c r="H98" s="138" t="s">
        <v>80</v>
      </c>
    </row>
    <row r="99" customFormat="false" ht="15" hidden="false" customHeight="false" outlineLevel="0" collapsed="false">
      <c r="A99" s="138" t="s">
        <v>5123</v>
      </c>
      <c r="B99" s="138" t="s">
        <v>5143</v>
      </c>
      <c r="C99" s="138" t="s">
        <v>5143</v>
      </c>
      <c r="D99" s="138" t="n">
        <v>137.765</v>
      </c>
      <c r="E99" s="138" t="n">
        <v>137.7655</v>
      </c>
      <c r="F99" s="138" t="s">
        <v>60</v>
      </c>
      <c r="G99" s="138" t="n">
        <v>1</v>
      </c>
      <c r="H99" s="138" t="s">
        <v>80</v>
      </c>
    </row>
    <row r="100" customFormat="false" ht="15" hidden="false" customHeight="false" outlineLevel="0" collapsed="false">
      <c r="A100" s="138" t="s">
        <v>5123</v>
      </c>
      <c r="B100" s="138" t="s">
        <v>5039</v>
      </c>
      <c r="C100" s="138" t="s">
        <v>5039</v>
      </c>
      <c r="D100" s="138" t="n">
        <v>138.965</v>
      </c>
      <c r="E100" s="138" t="n">
        <v>138.9655</v>
      </c>
      <c r="F100" s="138" t="s">
        <v>60</v>
      </c>
      <c r="G100" s="138" t="n">
        <v>1</v>
      </c>
      <c r="H100" s="138" t="s">
        <v>80</v>
      </c>
    </row>
    <row r="101" customFormat="false" ht="15" hidden="false" customHeight="false" outlineLevel="0" collapsed="false">
      <c r="A101" s="138" t="s">
        <v>5123</v>
      </c>
      <c r="B101" s="138" t="s">
        <v>5037</v>
      </c>
      <c r="C101" s="138" t="s">
        <v>5037</v>
      </c>
      <c r="D101" s="138" t="n">
        <v>141.225</v>
      </c>
      <c r="E101" s="138" t="n">
        <v>141.2255</v>
      </c>
      <c r="F101" s="138" t="s">
        <v>59</v>
      </c>
      <c r="G101" s="138" t="n">
        <v>1</v>
      </c>
      <c r="H101" s="138" t="s">
        <v>80</v>
      </c>
    </row>
    <row r="102" customFormat="false" ht="15" hidden="false" customHeight="false" outlineLevel="0" collapsed="false">
      <c r="A102" s="138" t="s">
        <v>5123</v>
      </c>
      <c r="B102" s="138" t="s">
        <v>5144</v>
      </c>
      <c r="C102" s="138" t="s">
        <v>5144</v>
      </c>
      <c r="D102" s="138" t="n">
        <v>155.625</v>
      </c>
      <c r="E102" s="138" t="n">
        <v>155.6255</v>
      </c>
      <c r="F102" s="138" t="s">
        <v>59</v>
      </c>
      <c r="G102" s="138" t="n">
        <v>1</v>
      </c>
      <c r="H102" s="138" t="s">
        <v>80</v>
      </c>
    </row>
    <row r="103" customFormat="false" ht="15" hidden="false" customHeight="false" outlineLevel="0" collapsed="false">
      <c r="A103" s="138" t="s">
        <v>5123</v>
      </c>
      <c r="B103" s="138" t="s">
        <v>5145</v>
      </c>
      <c r="C103" s="138" t="s">
        <v>5145</v>
      </c>
      <c r="D103" s="138" t="n">
        <v>155.765</v>
      </c>
      <c r="E103" s="138" t="n">
        <v>155.7655</v>
      </c>
      <c r="F103" s="138" t="s">
        <v>60</v>
      </c>
      <c r="G103" s="138" t="n">
        <v>1</v>
      </c>
      <c r="H103" s="138" t="s">
        <v>80</v>
      </c>
    </row>
    <row r="104" customFormat="false" ht="15" hidden="false" customHeight="false" outlineLevel="0" collapsed="false">
      <c r="A104" s="138" t="s">
        <v>5123</v>
      </c>
      <c r="B104" s="138" t="s">
        <v>5041</v>
      </c>
      <c r="C104" s="138" t="s">
        <v>5041</v>
      </c>
      <c r="D104" s="138" t="n">
        <v>161.43</v>
      </c>
      <c r="E104" s="138" t="n">
        <v>161.4305</v>
      </c>
      <c r="F104" s="138" t="s">
        <v>59</v>
      </c>
      <c r="G104" s="138" t="n">
        <v>1</v>
      </c>
      <c r="H104" s="138" t="s">
        <v>80</v>
      </c>
    </row>
    <row r="105" customFormat="false" ht="15" hidden="false" customHeight="false" outlineLevel="0" collapsed="false">
      <c r="A105" s="138" t="s">
        <v>5123</v>
      </c>
      <c r="B105" s="138" t="s">
        <v>5043</v>
      </c>
      <c r="C105" s="138" t="s">
        <v>5043</v>
      </c>
      <c r="D105" s="138" t="n">
        <v>161.76</v>
      </c>
      <c r="E105" s="138" t="n">
        <v>161.7605</v>
      </c>
      <c r="F105" s="138" t="s">
        <v>60</v>
      </c>
      <c r="G105" s="138" t="n">
        <v>1</v>
      </c>
      <c r="H105" s="138" t="s">
        <v>80</v>
      </c>
    </row>
    <row r="106" customFormat="false" ht="15" hidden="false" customHeight="false" outlineLevel="0" collapsed="false">
      <c r="A106" s="138" t="s">
        <v>5123</v>
      </c>
      <c r="B106" s="138" t="s">
        <v>5146</v>
      </c>
      <c r="C106" s="138" t="s">
        <v>5146</v>
      </c>
      <c r="D106" s="138" t="n">
        <v>168.57</v>
      </c>
      <c r="E106" s="138" t="n">
        <v>168.5705</v>
      </c>
      <c r="F106" s="138" t="s">
        <v>60</v>
      </c>
      <c r="G106" s="138" t="n">
        <v>1</v>
      </c>
      <c r="H106" s="138" t="s">
        <v>80</v>
      </c>
    </row>
    <row r="107" customFormat="false" ht="15" hidden="false" customHeight="false" outlineLevel="0" collapsed="false">
      <c r="A107" s="138" t="s">
        <v>5123</v>
      </c>
      <c r="B107" s="138" t="s">
        <v>5147</v>
      </c>
      <c r="C107" s="138" t="s">
        <v>5147</v>
      </c>
      <c r="D107" s="138" t="n">
        <v>169.975</v>
      </c>
      <c r="E107" s="138" t="n">
        <v>169.9755</v>
      </c>
      <c r="F107" s="138" t="s">
        <v>60</v>
      </c>
      <c r="G107" s="138" t="n">
        <v>1</v>
      </c>
      <c r="H107" s="138" t="s">
        <v>80</v>
      </c>
    </row>
    <row r="108" customFormat="false" ht="15" hidden="false" customHeight="false" outlineLevel="0" collapsed="false">
      <c r="A108" s="138" t="s">
        <v>5123</v>
      </c>
      <c r="B108" s="138" t="s">
        <v>5148</v>
      </c>
      <c r="C108" s="138" t="s">
        <v>5148</v>
      </c>
      <c r="D108" s="138" t="n">
        <v>198.72</v>
      </c>
      <c r="E108" s="138" t="n">
        <v>198.7205</v>
      </c>
      <c r="F108" s="138" t="s">
        <v>60</v>
      </c>
      <c r="G108" s="138" t="n">
        <v>1</v>
      </c>
      <c r="H108" s="138" t="s">
        <v>80</v>
      </c>
    </row>
    <row r="109" customFormat="false" ht="15" hidden="false" customHeight="false" outlineLevel="0" collapsed="false">
      <c r="A109" s="138" t="s">
        <v>5123</v>
      </c>
      <c r="B109" s="138" t="s">
        <v>5149</v>
      </c>
      <c r="C109" s="138" t="s">
        <v>5149</v>
      </c>
      <c r="D109" s="138" t="n">
        <v>199.38</v>
      </c>
      <c r="E109" s="138" t="n">
        <v>199.3805</v>
      </c>
      <c r="F109" s="138" t="s">
        <v>59</v>
      </c>
      <c r="G109" s="138" t="n">
        <v>1</v>
      </c>
      <c r="H109" s="138" t="s">
        <v>80</v>
      </c>
    </row>
    <row r="110" customFormat="false" ht="15" hidden="false" customHeight="false" outlineLevel="0" collapsed="false">
      <c r="A110" s="138" t="s">
        <v>5123</v>
      </c>
      <c r="B110" s="138" t="s">
        <v>5051</v>
      </c>
      <c r="C110" s="138" t="s">
        <v>5051</v>
      </c>
      <c r="D110" s="138" t="n">
        <v>201.18</v>
      </c>
      <c r="E110" s="138" t="n">
        <v>201.1805</v>
      </c>
      <c r="F110" s="138" t="s">
        <v>59</v>
      </c>
      <c r="G110" s="138" t="n">
        <v>1</v>
      </c>
      <c r="H110" s="138" t="s">
        <v>80</v>
      </c>
    </row>
    <row r="111" customFormat="false" ht="15" hidden="false" customHeight="false" outlineLevel="0" collapsed="false">
      <c r="A111" s="138" t="s">
        <v>5123</v>
      </c>
      <c r="B111" s="138" t="s">
        <v>5050</v>
      </c>
      <c r="C111" s="138" t="s">
        <v>5050</v>
      </c>
      <c r="D111" s="138" t="n">
        <v>204.72</v>
      </c>
      <c r="E111" s="138" t="n">
        <v>204.7205</v>
      </c>
      <c r="F111" s="138" t="s">
        <v>60</v>
      </c>
      <c r="G111" s="138" t="n">
        <v>1</v>
      </c>
      <c r="H111" s="138" t="s">
        <v>80</v>
      </c>
    </row>
    <row r="112" customFormat="false" ht="15" hidden="false" customHeight="false" outlineLevel="0" collapsed="false">
      <c r="A112" s="138" t="s">
        <v>5123</v>
      </c>
      <c r="B112" s="138" t="s">
        <v>5150</v>
      </c>
      <c r="C112" s="138" t="s">
        <v>5150</v>
      </c>
      <c r="D112" s="138" t="n">
        <v>234.2</v>
      </c>
      <c r="E112" s="138" t="n">
        <v>234.2005</v>
      </c>
      <c r="F112" s="138" t="s">
        <v>60</v>
      </c>
      <c r="G112" s="138" t="n">
        <v>1</v>
      </c>
      <c r="H112" s="138" t="s">
        <v>80</v>
      </c>
    </row>
    <row r="113" customFormat="false" ht="15" hidden="false" customHeight="false" outlineLevel="0" collapsed="false">
      <c r="A113" s="138" t="s">
        <v>5123</v>
      </c>
      <c r="B113" s="138" t="s">
        <v>5150</v>
      </c>
      <c r="C113" s="138" t="s">
        <v>5150</v>
      </c>
      <c r="D113" s="138" t="n">
        <v>234.2</v>
      </c>
      <c r="E113" s="138" t="n">
        <v>234.2005</v>
      </c>
      <c r="F113" s="138" t="s">
        <v>59</v>
      </c>
      <c r="G113" s="138" t="n">
        <v>1</v>
      </c>
      <c r="H113" s="138" t="s">
        <v>80</v>
      </c>
    </row>
    <row r="114" customFormat="false" ht="15" hidden="false" customHeight="false" outlineLevel="0" collapsed="false">
      <c r="A114" s="138" t="s">
        <v>5123</v>
      </c>
      <c r="B114" s="138" t="s">
        <v>5054</v>
      </c>
      <c r="C114" s="138" t="s">
        <v>5054</v>
      </c>
      <c r="D114" s="138" t="n">
        <v>238.6</v>
      </c>
      <c r="E114" s="138" t="n">
        <v>238.6005</v>
      </c>
      <c r="F114" s="138" t="s">
        <v>60</v>
      </c>
      <c r="G114" s="138" t="n">
        <v>1</v>
      </c>
      <c r="H114" s="138" t="s">
        <v>80</v>
      </c>
    </row>
    <row r="115" customFormat="false" ht="15" hidden="false" customHeight="false" outlineLevel="0" collapsed="false">
      <c r="A115" s="138" t="s">
        <v>5123</v>
      </c>
      <c r="B115" s="138" t="s">
        <v>5055</v>
      </c>
      <c r="C115" s="138" t="s">
        <v>5055</v>
      </c>
      <c r="D115" s="138" t="n">
        <v>238.8</v>
      </c>
      <c r="E115" s="138" t="n">
        <v>238.8005</v>
      </c>
      <c r="F115" s="138" t="s">
        <v>59</v>
      </c>
      <c r="G115" s="138" t="n">
        <v>1</v>
      </c>
      <c r="H115" s="138" t="s">
        <v>80</v>
      </c>
    </row>
    <row r="116" customFormat="false" ht="15" hidden="false" customHeight="false" outlineLevel="0" collapsed="false">
      <c r="A116" s="138" t="s">
        <v>5123</v>
      </c>
      <c r="B116" s="138" t="s">
        <v>5151</v>
      </c>
      <c r="C116" s="138" t="s">
        <v>5151</v>
      </c>
      <c r="D116" s="138" t="n">
        <v>250.95</v>
      </c>
      <c r="E116" s="138" t="n">
        <v>250.9505</v>
      </c>
      <c r="F116" s="138" t="s">
        <v>60</v>
      </c>
      <c r="G116" s="138" t="n">
        <v>1</v>
      </c>
      <c r="H116" s="138" t="s">
        <v>80</v>
      </c>
    </row>
    <row r="117" customFormat="false" ht="15" hidden="false" customHeight="false" outlineLevel="0" collapsed="false">
      <c r="A117" s="138" t="s">
        <v>5123</v>
      </c>
      <c r="B117" s="138" t="s">
        <v>5152</v>
      </c>
      <c r="C117" s="138" t="s">
        <v>5152</v>
      </c>
      <c r="D117" s="138" t="n">
        <v>252.55</v>
      </c>
      <c r="E117" s="138" t="n">
        <v>252.5505</v>
      </c>
      <c r="F117" s="138" t="s">
        <v>60</v>
      </c>
      <c r="G117" s="138" t="n">
        <v>1</v>
      </c>
      <c r="H117" s="138" t="s">
        <v>80</v>
      </c>
    </row>
    <row r="118" customFormat="false" ht="15" hidden="false" customHeight="false" outlineLevel="0" collapsed="false">
      <c r="A118" s="138" t="s">
        <v>5123</v>
      </c>
      <c r="B118" s="138" t="s">
        <v>5153</v>
      </c>
      <c r="C118" s="138" t="s">
        <v>5153</v>
      </c>
      <c r="D118" s="138" t="n">
        <v>262.115</v>
      </c>
      <c r="E118" s="138" t="n">
        <v>262.1155</v>
      </c>
      <c r="F118" s="138" t="s">
        <v>59</v>
      </c>
      <c r="G118" s="138" t="n">
        <v>1</v>
      </c>
      <c r="H118" s="138" t="s">
        <v>80</v>
      </c>
    </row>
    <row r="119" customFormat="false" ht="15" hidden="false" customHeight="false" outlineLevel="0" collapsed="false">
      <c r="A119" s="138" t="s">
        <v>5123</v>
      </c>
      <c r="B119" s="138" t="s">
        <v>5154</v>
      </c>
      <c r="C119" s="138" t="s">
        <v>5154</v>
      </c>
      <c r="D119" s="138" t="n">
        <v>267.515</v>
      </c>
      <c r="E119" s="138" t="n">
        <v>267.5155</v>
      </c>
      <c r="F119" s="138" t="s">
        <v>59</v>
      </c>
      <c r="G119" s="138" t="n">
        <v>1</v>
      </c>
      <c r="H119" s="138" t="s">
        <v>80</v>
      </c>
    </row>
    <row r="120" customFormat="false" ht="15" hidden="false" customHeight="false" outlineLevel="0" collapsed="false">
      <c r="A120" s="138" t="s">
        <v>5123</v>
      </c>
      <c r="B120" s="138" t="s">
        <v>5155</v>
      </c>
      <c r="C120" s="138" t="s">
        <v>5155</v>
      </c>
      <c r="D120" s="138" t="n">
        <v>268.135</v>
      </c>
      <c r="E120" s="138" t="n">
        <v>268.1355</v>
      </c>
      <c r="F120" s="138" t="s">
        <v>60</v>
      </c>
      <c r="G120" s="138" t="n">
        <v>1</v>
      </c>
      <c r="H120" s="138" t="s">
        <v>80</v>
      </c>
    </row>
    <row r="121" customFormat="false" ht="15" hidden="false" customHeight="false" outlineLevel="0" collapsed="false">
      <c r="A121" s="138" t="s">
        <v>5123</v>
      </c>
      <c r="B121" s="138" t="s">
        <v>5062</v>
      </c>
      <c r="C121" s="138" t="s">
        <v>5062</v>
      </c>
      <c r="D121" s="138" t="n">
        <v>271.335</v>
      </c>
      <c r="E121" s="138" t="n">
        <v>271.3355</v>
      </c>
      <c r="F121" s="138" t="s">
        <v>60</v>
      </c>
      <c r="G121" s="138" t="n">
        <v>1</v>
      </c>
      <c r="H121" s="138" t="s">
        <v>80</v>
      </c>
    </row>
    <row r="122" customFormat="false" ht="15" hidden="false" customHeight="false" outlineLevel="0" collapsed="false">
      <c r="A122" s="138" t="s">
        <v>5123</v>
      </c>
      <c r="B122" s="138" t="s">
        <v>5060</v>
      </c>
      <c r="C122" s="138" t="s">
        <v>5060</v>
      </c>
      <c r="D122" s="138" t="n">
        <v>271.515</v>
      </c>
      <c r="E122" s="138" t="n">
        <v>271.5155</v>
      </c>
      <c r="F122" s="138" t="s">
        <v>59</v>
      </c>
      <c r="G122" s="138" t="n">
        <v>1</v>
      </c>
      <c r="H122" s="138" t="s">
        <v>80</v>
      </c>
    </row>
    <row r="123" customFormat="false" ht="15" hidden="false" customHeight="false" outlineLevel="0" collapsed="false">
      <c r="A123" s="138" t="s">
        <v>5123</v>
      </c>
      <c r="B123" s="138" t="s">
        <v>5156</v>
      </c>
      <c r="C123" s="138" t="s">
        <v>5156</v>
      </c>
      <c r="D123" s="138" t="n">
        <v>309.715</v>
      </c>
      <c r="E123" s="138" t="n">
        <v>309.7155</v>
      </c>
      <c r="F123" s="138" t="s">
        <v>59</v>
      </c>
      <c r="G123" s="138" t="n">
        <v>1</v>
      </c>
      <c r="H123" s="138" t="s">
        <v>80</v>
      </c>
    </row>
    <row r="124" customFormat="false" ht="15" hidden="false" customHeight="false" outlineLevel="0" collapsed="false">
      <c r="A124" s="138" t="s">
        <v>5123</v>
      </c>
      <c r="B124" s="138" t="s">
        <v>5157</v>
      </c>
      <c r="C124" s="138" t="s">
        <v>5157</v>
      </c>
      <c r="D124" s="138" t="n">
        <v>310.845</v>
      </c>
      <c r="E124" s="138" t="n">
        <v>310.8455</v>
      </c>
      <c r="F124" s="138" t="s">
        <v>60</v>
      </c>
      <c r="G124" s="138" t="n">
        <v>1</v>
      </c>
      <c r="H124" s="138" t="s">
        <v>80</v>
      </c>
    </row>
    <row r="125" customFormat="false" ht="15" hidden="false" customHeight="false" outlineLevel="0" collapsed="false">
      <c r="A125" s="138" t="s">
        <v>5123</v>
      </c>
      <c r="B125" s="138" t="s">
        <v>5158</v>
      </c>
      <c r="C125" s="138" t="s">
        <v>5158</v>
      </c>
      <c r="D125" s="138" t="n">
        <v>312.01</v>
      </c>
      <c r="E125" s="138" t="n">
        <v>312.0105</v>
      </c>
      <c r="F125" s="138" t="s">
        <v>60</v>
      </c>
      <c r="G125" s="138" t="n">
        <v>1</v>
      </c>
      <c r="H125" s="138" t="s">
        <v>80</v>
      </c>
    </row>
    <row r="126" customFormat="false" ht="15" hidden="false" customHeight="false" outlineLevel="0" collapsed="false">
      <c r="A126" s="138" t="s">
        <v>5123</v>
      </c>
      <c r="B126" s="138" t="s">
        <v>2016</v>
      </c>
      <c r="C126" s="138" t="s">
        <v>2016</v>
      </c>
      <c r="D126" s="138" t="n">
        <v>356</v>
      </c>
      <c r="E126" s="138" t="n">
        <v>356.0005</v>
      </c>
      <c r="F126" s="138" t="s">
        <v>59</v>
      </c>
      <c r="G126" s="138" t="n">
        <v>1</v>
      </c>
      <c r="H126" s="138" t="s">
        <v>80</v>
      </c>
    </row>
    <row r="127" customFormat="false" ht="15" hidden="false" customHeight="false" outlineLevel="0" collapsed="false">
      <c r="A127" s="138" t="s">
        <v>5123</v>
      </c>
      <c r="B127" s="138" t="s">
        <v>5159</v>
      </c>
      <c r="C127" s="138" t="s">
        <v>5159</v>
      </c>
      <c r="D127" s="138" t="n">
        <v>357.595</v>
      </c>
      <c r="E127" s="138" t="n">
        <v>357.5955</v>
      </c>
      <c r="F127" s="138" t="s">
        <v>59</v>
      </c>
      <c r="G127" s="138" t="n">
        <v>1</v>
      </c>
      <c r="H127" s="138" t="s">
        <v>80</v>
      </c>
    </row>
    <row r="128" customFormat="false" ht="15" hidden="false" customHeight="false" outlineLevel="0" collapsed="false">
      <c r="A128" s="138" t="s">
        <v>5123</v>
      </c>
      <c r="B128" s="138" t="s">
        <v>5160</v>
      </c>
      <c r="C128" s="138" t="s">
        <v>5160</v>
      </c>
      <c r="D128" s="138" t="n">
        <v>375.68</v>
      </c>
      <c r="E128" s="138" t="n">
        <v>375.6805</v>
      </c>
      <c r="F128" s="138" t="s">
        <v>59</v>
      </c>
      <c r="G128" s="138" t="n">
        <v>1</v>
      </c>
      <c r="H128" s="138" t="s">
        <v>80</v>
      </c>
    </row>
    <row r="129" customFormat="false" ht="15" hidden="false" customHeight="false" outlineLevel="0" collapsed="false">
      <c r="A129" s="138" t="s">
        <v>5123</v>
      </c>
      <c r="B129" s="138" t="s">
        <v>5161</v>
      </c>
      <c r="C129" s="138" t="s">
        <v>5161</v>
      </c>
      <c r="D129" s="138" t="n">
        <v>375.94</v>
      </c>
      <c r="E129" s="138" t="n">
        <v>375.9405</v>
      </c>
      <c r="F129" s="138" t="s">
        <v>60</v>
      </c>
      <c r="G129" s="138" t="n">
        <v>1</v>
      </c>
      <c r="H129" s="138" t="s">
        <v>80</v>
      </c>
    </row>
    <row r="130" customFormat="false" ht="15" hidden="false" customHeight="false" outlineLevel="0" collapsed="false">
      <c r="A130" s="138" t="s">
        <v>5123</v>
      </c>
      <c r="B130" s="138" t="s">
        <v>5087</v>
      </c>
      <c r="C130" s="138" t="s">
        <v>5087</v>
      </c>
      <c r="D130" s="138" t="n">
        <v>377.745</v>
      </c>
      <c r="E130" s="138" t="n">
        <v>377.7455</v>
      </c>
      <c r="F130" s="138" t="s">
        <v>60</v>
      </c>
      <c r="G130" s="138" t="n">
        <v>1</v>
      </c>
      <c r="H130" s="138" t="s">
        <v>80</v>
      </c>
    </row>
    <row r="131" customFormat="false" ht="15" hidden="false" customHeight="false" outlineLevel="0" collapsed="false">
      <c r="A131" s="138" t="s">
        <v>5123</v>
      </c>
      <c r="B131" s="138" t="s">
        <v>5162</v>
      </c>
      <c r="C131" s="138" t="s">
        <v>5162</v>
      </c>
      <c r="D131" s="138" t="n">
        <v>377.875</v>
      </c>
      <c r="E131" s="138" t="n">
        <v>377.8755</v>
      </c>
      <c r="F131" s="138" t="s">
        <v>59</v>
      </c>
      <c r="G131" s="138" t="n">
        <v>1</v>
      </c>
      <c r="H131" s="138" t="s">
        <v>80</v>
      </c>
    </row>
    <row r="132" customFormat="false" ht="15" hidden="false" customHeight="false" outlineLevel="0" collapsed="false">
      <c r="A132" s="138" t="s">
        <v>5123</v>
      </c>
      <c r="B132" s="138" t="s">
        <v>5163</v>
      </c>
      <c r="C132" s="138" t="s">
        <v>5163</v>
      </c>
      <c r="D132" s="138" t="n">
        <v>411.06</v>
      </c>
      <c r="E132" s="138" t="n">
        <v>411.0605</v>
      </c>
      <c r="F132" s="138" t="s">
        <v>60</v>
      </c>
      <c r="G132" s="138" t="n">
        <v>1</v>
      </c>
      <c r="H132" s="138" t="s">
        <v>80</v>
      </c>
    </row>
    <row r="133" customFormat="false" ht="15" hidden="false" customHeight="false" outlineLevel="0" collapsed="false">
      <c r="A133" s="138" t="s">
        <v>5123</v>
      </c>
      <c r="B133" s="138" t="s">
        <v>5164</v>
      </c>
      <c r="C133" s="138" t="s">
        <v>5164</v>
      </c>
      <c r="D133" s="138" t="n">
        <v>423.94</v>
      </c>
      <c r="E133" s="138" t="n">
        <v>423.9405</v>
      </c>
      <c r="F133" s="138" t="s">
        <v>59</v>
      </c>
      <c r="G133" s="138" t="n">
        <v>1</v>
      </c>
      <c r="H133" s="138" t="s">
        <v>80</v>
      </c>
    </row>
    <row r="134" customFormat="false" ht="15" hidden="false" customHeight="false" outlineLevel="0" collapsed="false">
      <c r="A134" s="138" t="s">
        <v>5123</v>
      </c>
      <c r="B134" s="138" t="s">
        <v>5165</v>
      </c>
      <c r="C134" s="138" t="s">
        <v>5165</v>
      </c>
      <c r="D134" s="138" t="n">
        <v>424.29</v>
      </c>
      <c r="E134" s="138" t="n">
        <v>424.2905</v>
      </c>
      <c r="F134" s="138" t="s">
        <v>60</v>
      </c>
      <c r="G134" s="138" t="n">
        <v>1</v>
      </c>
      <c r="H134" s="138" t="s">
        <v>80</v>
      </c>
    </row>
    <row r="135" customFormat="false" ht="15" hidden="false" customHeight="false" outlineLevel="0" collapsed="false">
      <c r="A135" s="138" t="s">
        <v>5123</v>
      </c>
      <c r="B135" s="138" t="s">
        <v>5166</v>
      </c>
      <c r="C135" s="138" t="s">
        <v>5166</v>
      </c>
      <c r="D135" s="138" t="n">
        <v>447.51</v>
      </c>
      <c r="E135" s="138" t="n">
        <v>447.5105</v>
      </c>
      <c r="F135" s="138" t="s">
        <v>59</v>
      </c>
      <c r="G135" s="138" t="n">
        <v>1</v>
      </c>
      <c r="H135" s="138" t="s">
        <v>80</v>
      </c>
    </row>
    <row r="136" customFormat="false" ht="15" hidden="false" customHeight="false" outlineLevel="0" collapsed="false">
      <c r="A136" s="138" t="s">
        <v>5123</v>
      </c>
      <c r="B136" s="138" t="s">
        <v>5093</v>
      </c>
      <c r="C136" s="138" t="s">
        <v>5093</v>
      </c>
      <c r="D136" s="138" t="n">
        <v>451.025</v>
      </c>
      <c r="E136" s="138" t="n">
        <v>451.0255</v>
      </c>
      <c r="F136" s="138" t="s">
        <v>60</v>
      </c>
      <c r="G136" s="138" t="n">
        <v>1</v>
      </c>
      <c r="H136" s="138" t="s">
        <v>80</v>
      </c>
    </row>
    <row r="137" customFormat="false" ht="15" hidden="false" customHeight="false" outlineLevel="0" collapsed="false">
      <c r="A137" s="138" t="s">
        <v>5123</v>
      </c>
      <c r="B137" s="138" t="s">
        <v>5167</v>
      </c>
      <c r="C137" s="138" t="s">
        <v>5167</v>
      </c>
      <c r="D137" s="138" t="n">
        <v>467.605</v>
      </c>
      <c r="E137" s="138" t="n">
        <v>467.6055</v>
      </c>
      <c r="F137" s="138" t="s">
        <v>60</v>
      </c>
      <c r="G137" s="138" t="n">
        <v>1</v>
      </c>
      <c r="H137" s="138" t="s">
        <v>80</v>
      </c>
    </row>
    <row r="138" customFormat="false" ht="15" hidden="false" customHeight="false" outlineLevel="0" collapsed="false">
      <c r="A138" s="138" t="s">
        <v>5123</v>
      </c>
      <c r="B138" s="138" t="s">
        <v>5096</v>
      </c>
      <c r="C138" s="138" t="s">
        <v>5096</v>
      </c>
      <c r="D138" s="138" t="n">
        <v>478.08</v>
      </c>
      <c r="E138" s="138" t="n">
        <v>478.0805</v>
      </c>
      <c r="F138" s="138" t="s">
        <v>60</v>
      </c>
      <c r="G138" s="138" t="n">
        <v>1</v>
      </c>
      <c r="H138" s="138" t="s">
        <v>80</v>
      </c>
    </row>
    <row r="139" customFormat="false" ht="15" hidden="false" customHeight="false" outlineLevel="0" collapsed="false">
      <c r="A139" s="138" t="s">
        <v>5123</v>
      </c>
      <c r="B139" s="138" t="s">
        <v>5168</v>
      </c>
      <c r="C139" s="138" t="s">
        <v>5168</v>
      </c>
      <c r="D139" s="138" t="n">
        <v>486.78</v>
      </c>
      <c r="E139" s="138" t="n">
        <v>486.7805</v>
      </c>
      <c r="F139" s="138" t="s">
        <v>59</v>
      </c>
      <c r="G139" s="138" t="n">
        <v>1</v>
      </c>
      <c r="H139" s="138" t="s">
        <v>80</v>
      </c>
    </row>
    <row r="140" customFormat="false" ht="15" hidden="false" customHeight="false" outlineLevel="0" collapsed="false">
      <c r="A140" s="138" t="s">
        <v>5123</v>
      </c>
      <c r="B140" s="138" t="s">
        <v>5098</v>
      </c>
      <c r="C140" s="138" t="s">
        <v>5098</v>
      </c>
      <c r="D140" s="138" t="n">
        <v>498.475</v>
      </c>
      <c r="E140" s="138" t="n">
        <v>498.4755</v>
      </c>
      <c r="F140" s="138" t="s">
        <v>59</v>
      </c>
      <c r="G140" s="138" t="n">
        <v>1</v>
      </c>
      <c r="H140" s="138" t="s">
        <v>80</v>
      </c>
    </row>
    <row r="141" customFormat="false" ht="15" hidden="false" customHeight="false" outlineLevel="0" collapsed="false">
      <c r="A141" s="138" t="s">
        <v>5123</v>
      </c>
      <c r="B141" s="138" t="s">
        <v>5169</v>
      </c>
      <c r="C141" s="138" t="s">
        <v>5169</v>
      </c>
      <c r="D141" s="138" t="n">
        <v>525.395</v>
      </c>
      <c r="E141" s="138" t="n">
        <v>525.3955</v>
      </c>
      <c r="F141" s="138" t="s">
        <v>60</v>
      </c>
      <c r="G141" s="138" t="n">
        <v>1</v>
      </c>
      <c r="H141" s="138" t="s">
        <v>80</v>
      </c>
    </row>
    <row r="142" customFormat="false" ht="15" hidden="false" customHeight="false" outlineLevel="0" collapsed="false">
      <c r="A142" s="138" t="s">
        <v>5123</v>
      </c>
      <c r="B142" s="138" t="s">
        <v>5099</v>
      </c>
      <c r="C142" s="138" t="s">
        <v>5099</v>
      </c>
      <c r="D142" s="138" t="n">
        <v>526.2</v>
      </c>
      <c r="E142" s="138" t="n">
        <v>526.2005</v>
      </c>
      <c r="F142" s="138" t="s">
        <v>60</v>
      </c>
      <c r="G142" s="138" t="n">
        <v>1</v>
      </c>
      <c r="H142" s="138" t="s">
        <v>80</v>
      </c>
    </row>
    <row r="143" customFormat="false" ht="15" hidden="false" customHeight="false" outlineLevel="0" collapsed="false">
      <c r="A143" s="138" t="s">
        <v>5123</v>
      </c>
      <c r="B143" s="138" t="s">
        <v>2230</v>
      </c>
      <c r="C143" s="138" t="s">
        <v>2230</v>
      </c>
      <c r="D143" s="138" t="n">
        <v>559</v>
      </c>
      <c r="E143" s="138" t="n">
        <v>559.0005</v>
      </c>
      <c r="F143" s="138" t="s">
        <v>60</v>
      </c>
      <c r="G143" s="138" t="n">
        <v>1</v>
      </c>
      <c r="H143" s="138" t="s">
        <v>80</v>
      </c>
    </row>
    <row r="144" customFormat="false" ht="15" hidden="false" customHeight="false" outlineLevel="0" collapsed="false">
      <c r="A144" s="138" t="s">
        <v>5123</v>
      </c>
      <c r="B144" s="138" t="s">
        <v>5170</v>
      </c>
      <c r="C144" s="138" t="s">
        <v>5170</v>
      </c>
      <c r="D144" s="138" t="n">
        <v>559.21</v>
      </c>
      <c r="E144" s="138" t="n">
        <v>559.2105</v>
      </c>
      <c r="F144" s="138" t="s">
        <v>59</v>
      </c>
      <c r="G144" s="138" t="n">
        <v>1</v>
      </c>
      <c r="H144" s="138" t="s">
        <v>80</v>
      </c>
    </row>
    <row r="145" customFormat="false" ht="15" hidden="false" customHeight="false" outlineLevel="0" collapsed="false">
      <c r="A145" s="138" t="s">
        <v>5123</v>
      </c>
      <c r="B145" s="138" t="s">
        <v>2243</v>
      </c>
      <c r="C145" s="138" t="s">
        <v>2243</v>
      </c>
      <c r="D145" s="138" t="n">
        <v>571</v>
      </c>
      <c r="E145" s="138" t="n">
        <v>571.0005</v>
      </c>
      <c r="F145" s="138" t="s">
        <v>60</v>
      </c>
      <c r="G145" s="138" t="n">
        <v>1</v>
      </c>
      <c r="H145" s="138" t="s">
        <v>80</v>
      </c>
    </row>
    <row r="146" customFormat="false" ht="15" hidden="false" customHeight="false" outlineLevel="0" collapsed="false">
      <c r="A146" s="138" t="s">
        <v>5123</v>
      </c>
      <c r="B146" s="138" t="s">
        <v>5171</v>
      </c>
      <c r="C146" s="138" t="s">
        <v>5171</v>
      </c>
      <c r="D146" s="138" t="n">
        <v>574.785</v>
      </c>
      <c r="E146" s="138" t="n">
        <v>574.7855</v>
      </c>
      <c r="F146" s="138" t="s">
        <v>59</v>
      </c>
      <c r="G146" s="138" t="n">
        <v>1</v>
      </c>
      <c r="H146" s="138" t="s">
        <v>80</v>
      </c>
    </row>
    <row r="147" customFormat="false" ht="15" hidden="false" customHeight="false" outlineLevel="0" collapsed="false">
      <c r="A147" s="138" t="s">
        <v>5123</v>
      </c>
      <c r="B147" s="138" t="s">
        <v>5172</v>
      </c>
      <c r="C147" s="138" t="s">
        <v>5172</v>
      </c>
      <c r="D147" s="138" t="n">
        <v>579.005</v>
      </c>
      <c r="E147" s="138" t="n">
        <v>579.0055</v>
      </c>
      <c r="F147" s="138" t="s">
        <v>60</v>
      </c>
      <c r="G147" s="138" t="n">
        <v>1</v>
      </c>
      <c r="H147" s="138" t="s">
        <v>80</v>
      </c>
    </row>
    <row r="148" customFormat="false" ht="15" hidden="false" customHeight="false" outlineLevel="0" collapsed="false">
      <c r="A148" s="138" t="s">
        <v>5123</v>
      </c>
      <c r="B148" s="138" t="s">
        <v>2253</v>
      </c>
      <c r="C148" s="138" t="s">
        <v>2253</v>
      </c>
      <c r="D148" s="138" t="n">
        <v>580</v>
      </c>
      <c r="E148" s="138" t="n">
        <v>580.0005</v>
      </c>
      <c r="F148" s="138" t="s">
        <v>59</v>
      </c>
      <c r="G148" s="138" t="n">
        <v>1</v>
      </c>
      <c r="H148" s="138" t="s">
        <v>80</v>
      </c>
    </row>
    <row r="149" customFormat="false" ht="15" hidden="false" customHeight="false" outlineLevel="0" collapsed="false">
      <c r="A149" s="138" t="s">
        <v>5123</v>
      </c>
      <c r="B149" s="138" t="s">
        <v>5108</v>
      </c>
      <c r="C149" s="138" t="s">
        <v>5108</v>
      </c>
      <c r="D149" s="138" t="n">
        <v>580.405</v>
      </c>
      <c r="E149" s="138" t="n">
        <v>580.4055</v>
      </c>
      <c r="F149" s="138" t="s">
        <v>60</v>
      </c>
      <c r="G149" s="138" t="n">
        <v>1</v>
      </c>
      <c r="H149" s="138" t="s">
        <v>80</v>
      </c>
    </row>
    <row r="150" customFormat="false" ht="15" hidden="false" customHeight="false" outlineLevel="0" collapsed="false">
      <c r="A150" s="138" t="s">
        <v>5123</v>
      </c>
      <c r="B150" s="138" t="s">
        <v>5173</v>
      </c>
      <c r="C150" s="138" t="s">
        <v>5173</v>
      </c>
      <c r="D150" s="138" t="n">
        <v>590.975</v>
      </c>
      <c r="E150" s="138" t="n">
        <v>590.9755</v>
      </c>
      <c r="F150" s="138" t="s">
        <v>59</v>
      </c>
      <c r="G150" s="138" t="n">
        <v>1</v>
      </c>
      <c r="H150" s="138" t="s">
        <v>80</v>
      </c>
    </row>
    <row r="151" customFormat="false" ht="15" hidden="false" customHeight="false" outlineLevel="0" collapsed="false">
      <c r="A151" s="138" t="s">
        <v>5123</v>
      </c>
      <c r="B151" s="138" t="s">
        <v>5113</v>
      </c>
      <c r="C151" s="138" t="s">
        <v>5113</v>
      </c>
      <c r="D151" s="138" t="n">
        <v>591.97</v>
      </c>
      <c r="E151" s="138" t="n">
        <v>591.9705</v>
      </c>
      <c r="F151" s="138" t="s">
        <v>59</v>
      </c>
      <c r="G151" s="138" t="n">
        <v>1</v>
      </c>
      <c r="H151" s="138" t="s">
        <v>80</v>
      </c>
    </row>
    <row r="152" customFormat="false" ht="15" hidden="false" customHeight="false" outlineLevel="0" collapsed="false">
      <c r="A152" s="138" t="s">
        <v>5123</v>
      </c>
      <c r="B152" s="138" t="s">
        <v>2265</v>
      </c>
      <c r="C152" s="138" t="s">
        <v>2265</v>
      </c>
      <c r="D152" s="138" t="n">
        <v>592</v>
      </c>
      <c r="E152" s="138" t="n">
        <v>592.0005</v>
      </c>
      <c r="F152" s="138" t="s">
        <v>60</v>
      </c>
      <c r="G152" s="138" t="n">
        <v>1</v>
      </c>
      <c r="H152" s="138" t="s">
        <v>80</v>
      </c>
    </row>
    <row r="153" customFormat="false" ht="15" hidden="false" customHeight="false" outlineLevel="0" collapsed="false">
      <c r="A153" s="138" t="s">
        <v>5174</v>
      </c>
      <c r="B153" s="138" t="s">
        <v>5175</v>
      </c>
      <c r="C153" s="138" t="s">
        <v>5176</v>
      </c>
      <c r="D153" s="138" t="n">
        <v>0.25</v>
      </c>
      <c r="E153" s="138" t="n">
        <v>3.6</v>
      </c>
      <c r="F153" s="138" t="s">
        <v>60</v>
      </c>
      <c r="G153" s="138" t="n">
        <v>63.09</v>
      </c>
      <c r="H153" s="138" t="s">
        <v>73</v>
      </c>
    </row>
    <row r="154" customFormat="false" ht="15" hidden="false" customHeight="false" outlineLevel="0" collapsed="false">
      <c r="A154" s="138" t="s">
        <v>5174</v>
      </c>
      <c r="B154" s="138" t="s">
        <v>5177</v>
      </c>
      <c r="C154" s="138" t="s">
        <v>1645</v>
      </c>
      <c r="D154" s="138" t="n">
        <v>1.25</v>
      </c>
      <c r="E154" s="138" t="n">
        <v>3</v>
      </c>
      <c r="F154" s="138" t="s">
        <v>59</v>
      </c>
      <c r="G154" s="138" t="n">
        <v>4.24</v>
      </c>
      <c r="H154" s="138" t="s">
        <v>73</v>
      </c>
    </row>
    <row r="155" customFormat="false" ht="15" hidden="false" customHeight="false" outlineLevel="0" collapsed="false">
      <c r="A155" s="138" t="s">
        <v>5174</v>
      </c>
      <c r="B155" s="138" t="s">
        <v>5178</v>
      </c>
      <c r="C155" s="138" t="s">
        <v>5179</v>
      </c>
      <c r="D155" s="138" t="n">
        <v>5.75</v>
      </c>
      <c r="E155" s="138" t="n">
        <v>14.75</v>
      </c>
      <c r="F155" s="138" t="s">
        <v>60</v>
      </c>
      <c r="G155" s="138" t="n">
        <v>883.13</v>
      </c>
      <c r="H155" s="138" t="s">
        <v>73</v>
      </c>
    </row>
    <row r="156" customFormat="false" ht="15" hidden="false" customHeight="false" outlineLevel="0" collapsed="false">
      <c r="A156" s="138" t="s">
        <v>5174</v>
      </c>
      <c r="B156" s="138" t="s">
        <v>5180</v>
      </c>
      <c r="C156" s="138" t="s">
        <v>3523</v>
      </c>
      <c r="D156" s="138" t="n">
        <v>6.25</v>
      </c>
      <c r="E156" s="138" t="n">
        <v>15.5</v>
      </c>
      <c r="F156" s="138" t="s">
        <v>59</v>
      </c>
      <c r="G156" s="138" t="n">
        <v>615.27</v>
      </c>
      <c r="H156" s="138" t="s">
        <v>73</v>
      </c>
    </row>
    <row r="157" customFormat="false" ht="15" hidden="false" customHeight="false" outlineLevel="0" collapsed="false">
      <c r="A157" s="138" t="s">
        <v>5174</v>
      </c>
      <c r="B157" s="138" t="s">
        <v>1658</v>
      </c>
      <c r="C157" s="138" t="s">
        <v>5181</v>
      </c>
      <c r="D157" s="138" t="n">
        <v>16</v>
      </c>
      <c r="E157" s="138" t="n">
        <v>29.75</v>
      </c>
      <c r="F157" s="138" t="s">
        <v>59</v>
      </c>
      <c r="G157" s="138" t="n">
        <v>1017.24</v>
      </c>
      <c r="H157" s="138" t="s">
        <v>73</v>
      </c>
    </row>
    <row r="158" customFormat="false" ht="15" hidden="false" customHeight="false" outlineLevel="0" collapsed="false">
      <c r="A158" s="138" t="s">
        <v>5174</v>
      </c>
      <c r="B158" s="138" t="s">
        <v>1661</v>
      </c>
      <c r="C158" s="138" t="s">
        <v>5182</v>
      </c>
      <c r="D158" s="138" t="n">
        <v>19</v>
      </c>
      <c r="E158" s="138" t="n">
        <v>36.75</v>
      </c>
      <c r="F158" s="138" t="s">
        <v>60</v>
      </c>
      <c r="G158" s="138" t="n">
        <v>1223.89</v>
      </c>
      <c r="H158" s="138" t="s">
        <v>73</v>
      </c>
    </row>
    <row r="159" customFormat="false" ht="15" hidden="false" customHeight="false" outlineLevel="0" collapsed="false">
      <c r="A159" s="138" t="s">
        <v>5174</v>
      </c>
      <c r="B159" s="138" t="s">
        <v>5183</v>
      </c>
      <c r="C159" s="138" t="s">
        <v>2428</v>
      </c>
      <c r="D159" s="138" t="n">
        <v>32.25</v>
      </c>
      <c r="E159" s="138" t="n">
        <v>35.25</v>
      </c>
      <c r="F159" s="138" t="s">
        <v>59</v>
      </c>
      <c r="G159" s="138" t="n">
        <v>50.62</v>
      </c>
      <c r="H159" s="138" t="s">
        <v>73</v>
      </c>
    </row>
    <row r="160" customFormat="false" ht="15" hidden="false" customHeight="false" outlineLevel="0" collapsed="false">
      <c r="A160" s="138" t="s">
        <v>5174</v>
      </c>
      <c r="B160" s="138" t="s">
        <v>1682</v>
      </c>
      <c r="C160" s="138" t="s">
        <v>5184</v>
      </c>
      <c r="D160" s="138" t="n">
        <v>40</v>
      </c>
      <c r="E160" s="138" t="n">
        <v>42.1</v>
      </c>
      <c r="F160" s="138" t="s">
        <v>59</v>
      </c>
      <c r="G160" s="138" t="n">
        <v>8.25</v>
      </c>
      <c r="H160" s="138" t="s">
        <v>73</v>
      </c>
    </row>
    <row r="161" customFormat="false" ht="15" hidden="false" customHeight="false" outlineLevel="0" collapsed="false">
      <c r="A161" s="138" t="s">
        <v>5174</v>
      </c>
      <c r="B161" s="138" t="s">
        <v>5185</v>
      </c>
      <c r="C161" s="138" t="s">
        <v>5186</v>
      </c>
      <c r="D161" s="138" t="n">
        <v>40.895</v>
      </c>
      <c r="E161" s="138" t="n">
        <v>41.372</v>
      </c>
      <c r="F161" s="138" t="s">
        <v>60</v>
      </c>
      <c r="G161" s="138" t="n">
        <v>9.16</v>
      </c>
      <c r="H161" s="138" t="s">
        <v>73</v>
      </c>
    </row>
    <row r="162" customFormat="false" ht="15" hidden="false" customHeight="false" outlineLevel="0" collapsed="false">
      <c r="A162" s="138" t="s">
        <v>5174</v>
      </c>
      <c r="B162" s="138" t="s">
        <v>5187</v>
      </c>
      <c r="C162" s="138" t="s">
        <v>5188</v>
      </c>
      <c r="D162" s="138" t="n">
        <v>42.3</v>
      </c>
      <c r="E162" s="138" t="n">
        <v>49.118</v>
      </c>
      <c r="F162" s="138" t="s">
        <v>59</v>
      </c>
      <c r="G162" s="138" t="n">
        <v>298.15</v>
      </c>
      <c r="H162" s="138" t="s">
        <v>73</v>
      </c>
    </row>
    <row r="163" customFormat="false" ht="15" hidden="false" customHeight="false" outlineLevel="0" collapsed="false">
      <c r="A163" s="138" t="s">
        <v>5174</v>
      </c>
      <c r="B163" s="138" t="s">
        <v>5189</v>
      </c>
      <c r="C163" s="138" t="s">
        <v>5190</v>
      </c>
      <c r="D163" s="138" t="n">
        <v>41.2475</v>
      </c>
      <c r="E163" s="138" t="n">
        <v>42.418</v>
      </c>
      <c r="F163" s="138" t="s">
        <v>60</v>
      </c>
      <c r="G163" s="138" t="n">
        <v>40.73</v>
      </c>
      <c r="H163" s="138" t="s">
        <v>73</v>
      </c>
    </row>
    <row r="164" customFormat="false" ht="15" hidden="false" customHeight="false" outlineLevel="0" collapsed="false">
      <c r="A164" s="138" t="s">
        <v>5174</v>
      </c>
      <c r="B164" s="138" t="s">
        <v>5191</v>
      </c>
      <c r="C164" s="138" t="s">
        <v>5192</v>
      </c>
      <c r="D164" s="138" t="n">
        <v>42.5</v>
      </c>
      <c r="E164" s="138" t="n">
        <v>51.5</v>
      </c>
      <c r="F164" s="138" t="s">
        <v>60</v>
      </c>
      <c r="G164" s="138" t="n">
        <v>660.9</v>
      </c>
      <c r="H164" s="138" t="s">
        <v>73</v>
      </c>
    </row>
    <row r="165" customFormat="false" ht="15" hidden="false" customHeight="false" outlineLevel="0" collapsed="false">
      <c r="A165" s="138" t="s">
        <v>5174</v>
      </c>
      <c r="B165" s="138" t="s">
        <v>5188</v>
      </c>
      <c r="C165" s="138" t="s">
        <v>5193</v>
      </c>
      <c r="D165" s="138" t="n">
        <v>49.118</v>
      </c>
      <c r="E165" s="138" t="n">
        <v>49.8305</v>
      </c>
      <c r="F165" s="138" t="s">
        <v>59</v>
      </c>
      <c r="G165" s="138" t="n">
        <v>53.54</v>
      </c>
      <c r="H165" s="138" t="s">
        <v>73</v>
      </c>
    </row>
    <row r="166" customFormat="false" ht="15" hidden="false" customHeight="false" outlineLevel="0" collapsed="false">
      <c r="A166" s="138" t="s">
        <v>5174</v>
      </c>
      <c r="B166" s="138" t="s">
        <v>5194</v>
      </c>
      <c r="C166" s="138" t="s">
        <v>5195</v>
      </c>
      <c r="D166" s="138" t="n">
        <v>50.1005</v>
      </c>
      <c r="E166" s="138" t="n">
        <v>50.2615</v>
      </c>
      <c r="F166" s="138" t="s">
        <v>59</v>
      </c>
      <c r="G166" s="138" t="n">
        <v>7.84</v>
      </c>
      <c r="H166" s="138" t="s">
        <v>73</v>
      </c>
    </row>
    <row r="167" customFormat="false" ht="15" hidden="false" customHeight="false" outlineLevel="0" collapsed="false">
      <c r="A167" s="138" t="s">
        <v>5174</v>
      </c>
      <c r="B167" s="138" t="s">
        <v>5196</v>
      </c>
      <c r="C167" s="138" t="s">
        <v>5197</v>
      </c>
      <c r="D167" s="138" t="n">
        <v>49.963</v>
      </c>
      <c r="E167" s="138" t="n">
        <v>50.0315</v>
      </c>
      <c r="F167" s="138" t="s">
        <v>59</v>
      </c>
      <c r="G167" s="138" t="n">
        <v>1.95</v>
      </c>
      <c r="H167" s="138" t="s">
        <v>73</v>
      </c>
    </row>
    <row r="168" customFormat="false" ht="15" hidden="false" customHeight="false" outlineLevel="0" collapsed="false">
      <c r="A168" s="138" t="s">
        <v>5174</v>
      </c>
      <c r="B168" s="138" t="s">
        <v>1705</v>
      </c>
      <c r="C168" s="138" t="s">
        <v>5198</v>
      </c>
      <c r="D168" s="138" t="n">
        <v>62</v>
      </c>
      <c r="E168" s="138" t="n">
        <v>63.25</v>
      </c>
      <c r="F168" s="138" t="s">
        <v>60</v>
      </c>
      <c r="G168" s="138" t="n">
        <v>48.39</v>
      </c>
      <c r="H168" s="138" t="s">
        <v>73</v>
      </c>
    </row>
    <row r="169" customFormat="false" ht="15" hidden="false" customHeight="false" outlineLevel="0" collapsed="false">
      <c r="A169" s="138" t="s">
        <v>5174</v>
      </c>
      <c r="B169" s="138" t="s">
        <v>1710</v>
      </c>
      <c r="C169" s="138" t="s">
        <v>5199</v>
      </c>
      <c r="D169" s="138" t="n">
        <v>67</v>
      </c>
      <c r="E169" s="138" t="n">
        <v>79.5</v>
      </c>
      <c r="F169" s="138" t="s">
        <v>59</v>
      </c>
      <c r="G169" s="138" t="n">
        <v>692.02</v>
      </c>
      <c r="H169" s="138" t="s">
        <v>73</v>
      </c>
    </row>
    <row r="170" customFormat="false" ht="15" hidden="false" customHeight="false" outlineLevel="0" collapsed="false">
      <c r="A170" s="138" t="s">
        <v>5174</v>
      </c>
      <c r="B170" s="138" t="s">
        <v>5200</v>
      </c>
      <c r="C170" s="138" t="s">
        <v>5201</v>
      </c>
      <c r="D170" s="138" t="n">
        <v>67.5</v>
      </c>
      <c r="E170" s="138" t="n">
        <v>78.8315</v>
      </c>
      <c r="F170" s="138" t="s">
        <v>60</v>
      </c>
      <c r="G170" s="138" t="n">
        <v>915.18</v>
      </c>
      <c r="H170" s="138" t="s">
        <v>73</v>
      </c>
    </row>
    <row r="171" customFormat="false" ht="15" hidden="false" customHeight="false" outlineLevel="0" collapsed="false">
      <c r="A171" s="138" t="s">
        <v>5174</v>
      </c>
      <c r="B171" s="138" t="s">
        <v>1728</v>
      </c>
      <c r="C171" s="138" t="s">
        <v>5202</v>
      </c>
      <c r="D171" s="138" t="n">
        <v>85</v>
      </c>
      <c r="E171" s="138" t="n">
        <v>104.5</v>
      </c>
      <c r="F171" s="138" t="s">
        <v>59</v>
      </c>
      <c r="G171" s="138" t="n">
        <v>1859.56</v>
      </c>
      <c r="H171" s="138" t="s">
        <v>73</v>
      </c>
    </row>
    <row r="172" customFormat="false" ht="15" hidden="false" customHeight="false" outlineLevel="0" collapsed="false">
      <c r="A172" s="138" t="s">
        <v>5174</v>
      </c>
      <c r="B172" s="138" t="s">
        <v>5203</v>
      </c>
      <c r="C172" s="138" t="s">
        <v>5204</v>
      </c>
      <c r="D172" s="138" t="n">
        <v>84.75</v>
      </c>
      <c r="E172" s="138" t="n">
        <v>95.3835</v>
      </c>
      <c r="F172" s="138" t="s">
        <v>60</v>
      </c>
      <c r="G172" s="138" t="n">
        <v>1140.36</v>
      </c>
      <c r="H172" s="138" t="s">
        <v>73</v>
      </c>
    </row>
    <row r="173" customFormat="false" ht="15" hidden="false" customHeight="false" outlineLevel="0" collapsed="false">
      <c r="A173" s="138" t="s">
        <v>5174</v>
      </c>
      <c r="B173" s="138" t="s">
        <v>5204</v>
      </c>
      <c r="C173" s="138" t="s">
        <v>5205</v>
      </c>
      <c r="D173" s="138" t="n">
        <v>95.3835</v>
      </c>
      <c r="E173" s="138" t="n">
        <v>95.57</v>
      </c>
      <c r="F173" s="138" t="s">
        <v>60</v>
      </c>
      <c r="G173" s="138" t="n">
        <v>112.12</v>
      </c>
      <c r="H173" s="138" t="s">
        <v>73</v>
      </c>
    </row>
    <row r="174" customFormat="false" ht="15" hidden="false" customHeight="false" outlineLevel="0" collapsed="false">
      <c r="A174" s="138" t="s">
        <v>5174</v>
      </c>
      <c r="B174" s="138" t="s">
        <v>5206</v>
      </c>
      <c r="C174" s="138" t="s">
        <v>5207</v>
      </c>
      <c r="D174" s="138" t="n">
        <v>96.026</v>
      </c>
      <c r="E174" s="138" t="n">
        <v>96.3895</v>
      </c>
      <c r="F174" s="138" t="s">
        <v>60</v>
      </c>
      <c r="G174" s="138" t="n">
        <v>61.98</v>
      </c>
      <c r="H174" s="138" t="s">
        <v>73</v>
      </c>
    </row>
    <row r="175" customFormat="false" ht="15" hidden="false" customHeight="false" outlineLevel="0" collapsed="false">
      <c r="A175" s="138" t="s">
        <v>5174</v>
      </c>
      <c r="B175" s="138" t="s">
        <v>5207</v>
      </c>
      <c r="C175" s="138" t="s">
        <v>5208</v>
      </c>
      <c r="D175" s="138" t="n">
        <v>96.3895</v>
      </c>
      <c r="E175" s="138" t="n">
        <v>104.75</v>
      </c>
      <c r="F175" s="138" t="s">
        <v>60</v>
      </c>
      <c r="G175" s="138" t="n">
        <v>612.7</v>
      </c>
      <c r="H175" s="138" t="s">
        <v>73</v>
      </c>
    </row>
    <row r="176" customFormat="false" ht="15" hidden="false" customHeight="false" outlineLevel="0" collapsed="false">
      <c r="A176" s="138" t="s">
        <v>5174</v>
      </c>
      <c r="B176" s="138" t="s">
        <v>1761</v>
      </c>
      <c r="C176" s="138" t="s">
        <v>5209</v>
      </c>
      <c r="D176" s="138" t="n">
        <v>117</v>
      </c>
      <c r="E176" s="138" t="n">
        <v>122.676</v>
      </c>
      <c r="F176" s="138" t="s">
        <v>60</v>
      </c>
      <c r="G176" s="138" t="n">
        <v>563.72</v>
      </c>
      <c r="H176" s="138" t="s">
        <v>73</v>
      </c>
    </row>
    <row r="177" customFormat="false" ht="15" hidden="false" customHeight="false" outlineLevel="0" collapsed="false">
      <c r="A177" s="138" t="s">
        <v>5174</v>
      </c>
      <c r="B177" s="138" t="s">
        <v>1762</v>
      </c>
      <c r="C177" s="138" t="s">
        <v>5210</v>
      </c>
      <c r="D177" s="138" t="n">
        <v>118</v>
      </c>
      <c r="E177" s="138" t="n">
        <v>122.008</v>
      </c>
      <c r="F177" s="138" t="s">
        <v>59</v>
      </c>
      <c r="G177" s="138" t="n">
        <v>209.63</v>
      </c>
      <c r="H177" s="138" t="s">
        <v>73</v>
      </c>
    </row>
    <row r="178" customFormat="false" ht="15" hidden="false" customHeight="false" outlineLevel="0" collapsed="false">
      <c r="A178" s="138" t="s">
        <v>5174</v>
      </c>
      <c r="B178" s="138" t="s">
        <v>5211</v>
      </c>
      <c r="C178" s="138" t="s">
        <v>5210</v>
      </c>
      <c r="D178" s="138" t="n">
        <v>121.6705</v>
      </c>
      <c r="E178" s="138" t="n">
        <v>122.008</v>
      </c>
      <c r="F178" s="138" t="s">
        <v>59</v>
      </c>
      <c r="G178" s="138" t="n">
        <v>46.26</v>
      </c>
      <c r="H178" s="138" t="s">
        <v>73</v>
      </c>
    </row>
    <row r="179" customFormat="false" ht="15" hidden="false" customHeight="false" outlineLevel="0" collapsed="false">
      <c r="A179" s="138" t="s">
        <v>5174</v>
      </c>
      <c r="B179" s="138" t="s">
        <v>5209</v>
      </c>
      <c r="C179" s="138" t="s">
        <v>5212</v>
      </c>
      <c r="D179" s="138" t="n">
        <v>122.676</v>
      </c>
      <c r="E179" s="138" t="n">
        <v>122.771</v>
      </c>
      <c r="F179" s="138" t="s">
        <v>60</v>
      </c>
      <c r="G179" s="138" t="n">
        <v>17.02</v>
      </c>
      <c r="H179" s="138" t="s">
        <v>73</v>
      </c>
    </row>
    <row r="180" customFormat="false" ht="15" hidden="false" customHeight="false" outlineLevel="0" collapsed="false">
      <c r="A180" s="138" t="s">
        <v>5174</v>
      </c>
      <c r="B180" s="138" t="s">
        <v>1768</v>
      </c>
      <c r="C180" s="138" t="s">
        <v>5213</v>
      </c>
      <c r="D180" s="138" t="n">
        <v>122</v>
      </c>
      <c r="E180" s="138" t="n">
        <v>123.09</v>
      </c>
      <c r="F180" s="138" t="s">
        <v>59</v>
      </c>
      <c r="G180" s="138" t="n">
        <v>23.84</v>
      </c>
      <c r="H180" s="138" t="s">
        <v>73</v>
      </c>
    </row>
    <row r="181" customFormat="false" ht="15" hidden="false" customHeight="false" outlineLevel="0" collapsed="false">
      <c r="A181" s="138" t="s">
        <v>5174</v>
      </c>
      <c r="B181" s="138" t="s">
        <v>5214</v>
      </c>
      <c r="C181" s="138" t="s">
        <v>5215</v>
      </c>
      <c r="D181" s="138" t="n">
        <v>123.1195</v>
      </c>
      <c r="E181" s="138" t="n">
        <v>123.6945</v>
      </c>
      <c r="F181" s="138" t="s">
        <v>60</v>
      </c>
      <c r="G181" s="138" t="n">
        <v>42.23</v>
      </c>
      <c r="H181" s="138" t="s">
        <v>73</v>
      </c>
    </row>
    <row r="182" customFormat="false" ht="15" hidden="false" customHeight="false" outlineLevel="0" collapsed="false">
      <c r="A182" s="138" t="s">
        <v>5174</v>
      </c>
      <c r="B182" s="138" t="s">
        <v>5216</v>
      </c>
      <c r="C182" s="138" t="s">
        <v>5217</v>
      </c>
      <c r="D182" s="138" t="n">
        <v>127.75</v>
      </c>
      <c r="E182" s="138" t="n">
        <v>136.5</v>
      </c>
      <c r="F182" s="138" t="s">
        <v>60</v>
      </c>
      <c r="G182" s="138" t="n">
        <v>788.81</v>
      </c>
      <c r="H182" s="138" t="s">
        <v>73</v>
      </c>
    </row>
    <row r="183" customFormat="false" ht="15" hidden="false" customHeight="false" outlineLevel="0" collapsed="false">
      <c r="A183" s="138" t="s">
        <v>5174</v>
      </c>
      <c r="B183" s="138" t="s">
        <v>5218</v>
      </c>
      <c r="C183" s="138" t="s">
        <v>2538</v>
      </c>
      <c r="D183" s="138" t="n">
        <v>128.5</v>
      </c>
      <c r="E183" s="138" t="n">
        <v>135.75</v>
      </c>
      <c r="F183" s="138" t="s">
        <v>59</v>
      </c>
      <c r="G183" s="138" t="n">
        <v>422.98</v>
      </c>
      <c r="H183" s="138" t="s">
        <v>73</v>
      </c>
    </row>
    <row r="184" customFormat="false" ht="15" hidden="false" customHeight="false" outlineLevel="0" collapsed="false">
      <c r="A184" s="138" t="s">
        <v>5174</v>
      </c>
      <c r="B184" s="138" t="s">
        <v>1789</v>
      </c>
      <c r="C184" s="138" t="s">
        <v>5219</v>
      </c>
      <c r="D184" s="138" t="n">
        <v>140</v>
      </c>
      <c r="E184" s="138" t="n">
        <v>153.851</v>
      </c>
      <c r="F184" s="138" t="s">
        <v>60</v>
      </c>
      <c r="G184" s="138" t="n">
        <v>921.36</v>
      </c>
      <c r="H184" s="138" t="s">
        <v>73</v>
      </c>
    </row>
    <row r="185" customFormat="false" ht="15" hidden="false" customHeight="false" outlineLevel="0" collapsed="false">
      <c r="A185" s="138" t="s">
        <v>5174</v>
      </c>
      <c r="B185" s="138" t="s">
        <v>1790</v>
      </c>
      <c r="C185" s="138" t="s">
        <v>5220</v>
      </c>
      <c r="D185" s="138" t="n">
        <v>141</v>
      </c>
      <c r="E185" s="138" t="n">
        <v>155.2</v>
      </c>
      <c r="F185" s="138" t="s">
        <v>59</v>
      </c>
      <c r="G185" s="138" t="n">
        <v>794.31</v>
      </c>
      <c r="H185" s="138" t="s">
        <v>73</v>
      </c>
    </row>
    <row r="186" customFormat="false" ht="15" hidden="false" customHeight="false" outlineLevel="0" collapsed="false">
      <c r="A186" s="138" t="s">
        <v>5174</v>
      </c>
      <c r="B186" s="138" t="s">
        <v>5221</v>
      </c>
      <c r="C186" s="138" t="s">
        <v>5219</v>
      </c>
      <c r="D186" s="138" t="n">
        <v>153.662</v>
      </c>
      <c r="E186" s="138" t="n">
        <v>153.851</v>
      </c>
      <c r="F186" s="138" t="s">
        <v>60</v>
      </c>
      <c r="G186" s="138" t="n">
        <v>80.37</v>
      </c>
      <c r="H186" s="138" t="s">
        <v>73</v>
      </c>
    </row>
    <row r="187" customFormat="false" ht="15" hidden="false" customHeight="false" outlineLevel="0" collapsed="false">
      <c r="A187" s="138" t="s">
        <v>5174</v>
      </c>
      <c r="B187" s="138" t="s">
        <v>5222</v>
      </c>
      <c r="C187" s="138" t="s">
        <v>5223</v>
      </c>
      <c r="D187" s="138" t="n">
        <v>154.1015</v>
      </c>
      <c r="E187" s="138" t="n">
        <v>154.972</v>
      </c>
      <c r="F187" s="138" t="s">
        <v>60</v>
      </c>
      <c r="G187" s="138" t="n">
        <v>54.67</v>
      </c>
      <c r="H187" s="138" t="s">
        <v>73</v>
      </c>
    </row>
    <row r="188" customFormat="false" ht="15" hidden="false" customHeight="false" outlineLevel="0" collapsed="false">
      <c r="A188" s="138" t="s">
        <v>5174</v>
      </c>
      <c r="B188" s="138" t="s">
        <v>5223</v>
      </c>
      <c r="C188" s="138" t="s">
        <v>5224</v>
      </c>
      <c r="D188" s="138" t="n">
        <v>154.972</v>
      </c>
      <c r="E188" s="138" t="n">
        <v>155.3005</v>
      </c>
      <c r="F188" s="138" t="s">
        <v>60</v>
      </c>
      <c r="G188" s="138" t="n">
        <v>7.18</v>
      </c>
      <c r="H188" s="138" t="s">
        <v>73</v>
      </c>
    </row>
    <row r="189" customFormat="false" ht="15" hidden="false" customHeight="false" outlineLevel="0" collapsed="false">
      <c r="A189" s="138" t="s">
        <v>5174</v>
      </c>
      <c r="B189" s="138" t="s">
        <v>5225</v>
      </c>
      <c r="C189" s="138" t="s">
        <v>1817</v>
      </c>
      <c r="D189" s="138" t="n">
        <v>163.5</v>
      </c>
      <c r="E189" s="138" t="n">
        <v>168</v>
      </c>
      <c r="F189" s="138" t="s">
        <v>60</v>
      </c>
      <c r="G189" s="138" t="n">
        <v>96.81</v>
      </c>
      <c r="H189" s="138" t="s">
        <v>73</v>
      </c>
    </row>
    <row r="190" customFormat="false" ht="15" hidden="false" customHeight="false" outlineLevel="0" collapsed="false">
      <c r="A190" s="138" t="s">
        <v>5174</v>
      </c>
      <c r="B190" s="138" t="s">
        <v>5225</v>
      </c>
      <c r="C190" s="138" t="s">
        <v>5226</v>
      </c>
      <c r="D190" s="138" t="n">
        <v>163.5</v>
      </c>
      <c r="E190" s="138" t="n">
        <v>199.5</v>
      </c>
      <c r="F190" s="138" t="s">
        <v>59</v>
      </c>
      <c r="G190" s="138" t="n">
        <v>2282.18</v>
      </c>
      <c r="H190" s="138" t="s">
        <v>73</v>
      </c>
    </row>
    <row r="191" customFormat="false" ht="15" hidden="false" customHeight="false" outlineLevel="0" collapsed="false">
      <c r="A191" s="138" t="s">
        <v>5174</v>
      </c>
      <c r="B191" s="138" t="s">
        <v>5227</v>
      </c>
      <c r="C191" s="138" t="s">
        <v>1845</v>
      </c>
      <c r="D191" s="138" t="n">
        <v>170.55</v>
      </c>
      <c r="E191" s="138" t="n">
        <v>196</v>
      </c>
      <c r="F191" s="138" t="s">
        <v>60</v>
      </c>
      <c r="G191" s="138" t="n">
        <v>1510.19</v>
      </c>
      <c r="H191" s="138" t="s">
        <v>73</v>
      </c>
    </row>
    <row r="192" customFormat="false" ht="15" hidden="false" customHeight="false" outlineLevel="0" collapsed="false">
      <c r="A192" s="138" t="s">
        <v>5174</v>
      </c>
      <c r="B192" s="138" t="s">
        <v>5228</v>
      </c>
      <c r="C192" s="138" t="s">
        <v>5229</v>
      </c>
      <c r="D192" s="138" t="n">
        <v>202.25</v>
      </c>
      <c r="E192" s="138" t="n">
        <v>205.811</v>
      </c>
      <c r="F192" s="138" t="s">
        <v>59</v>
      </c>
      <c r="G192" s="138" t="n">
        <v>126.85</v>
      </c>
      <c r="H192" s="138" t="s">
        <v>73</v>
      </c>
    </row>
    <row r="193" customFormat="false" ht="15" hidden="false" customHeight="false" outlineLevel="0" collapsed="false">
      <c r="A193" s="138" t="s">
        <v>5174</v>
      </c>
      <c r="B193" s="138" t="s">
        <v>5230</v>
      </c>
      <c r="C193" s="138" t="s">
        <v>5231</v>
      </c>
      <c r="D193" s="138" t="n">
        <v>204.75</v>
      </c>
      <c r="E193" s="138" t="n">
        <v>205.5775</v>
      </c>
      <c r="F193" s="138" t="s">
        <v>60</v>
      </c>
      <c r="G193" s="138" t="n">
        <v>12.96</v>
      </c>
      <c r="H193" s="138" t="s">
        <v>73</v>
      </c>
    </row>
    <row r="194" customFormat="false" ht="15" hidden="false" customHeight="false" outlineLevel="0" collapsed="false">
      <c r="A194" s="138" t="s">
        <v>5174</v>
      </c>
      <c r="B194" s="138" t="s">
        <v>5229</v>
      </c>
      <c r="C194" s="138" t="s">
        <v>5232</v>
      </c>
      <c r="D194" s="138" t="n">
        <v>205.811</v>
      </c>
      <c r="E194" s="138" t="n">
        <v>207.692</v>
      </c>
      <c r="F194" s="138" t="s">
        <v>59</v>
      </c>
      <c r="G194" s="138" t="n">
        <v>89.8</v>
      </c>
      <c r="H194" s="138" t="s">
        <v>73</v>
      </c>
    </row>
    <row r="195" customFormat="false" ht="15" hidden="false" customHeight="false" outlineLevel="0" collapsed="false">
      <c r="A195" s="138" t="s">
        <v>5174</v>
      </c>
      <c r="B195" s="138" t="s">
        <v>5231</v>
      </c>
      <c r="C195" s="138" t="s">
        <v>5233</v>
      </c>
      <c r="D195" s="138" t="n">
        <v>205.5775</v>
      </c>
      <c r="E195" s="138" t="n">
        <v>205.6655</v>
      </c>
      <c r="F195" s="138" t="s">
        <v>60</v>
      </c>
      <c r="G195" s="138" t="n">
        <v>24.62</v>
      </c>
      <c r="H195" s="138" t="s">
        <v>73</v>
      </c>
    </row>
    <row r="196" customFormat="false" ht="15" hidden="false" customHeight="false" outlineLevel="0" collapsed="false">
      <c r="A196" s="138" t="s">
        <v>5174</v>
      </c>
      <c r="B196" s="138" t="s">
        <v>5234</v>
      </c>
      <c r="C196" s="138" t="s">
        <v>5235</v>
      </c>
      <c r="D196" s="138" t="n">
        <v>206.1175</v>
      </c>
      <c r="E196" s="138" t="n">
        <v>206.6035</v>
      </c>
      <c r="F196" s="138" t="s">
        <v>60</v>
      </c>
      <c r="G196" s="138" t="n">
        <v>54.31</v>
      </c>
      <c r="H196" s="138" t="s">
        <v>73</v>
      </c>
    </row>
    <row r="197" customFormat="false" ht="15" hidden="false" customHeight="false" outlineLevel="0" collapsed="false">
      <c r="A197" s="138" t="s">
        <v>5174</v>
      </c>
      <c r="B197" s="138" t="s">
        <v>5236</v>
      </c>
      <c r="C197" s="138" t="s">
        <v>5237</v>
      </c>
      <c r="D197" s="138" t="n">
        <v>206.7</v>
      </c>
      <c r="E197" s="138" t="n">
        <v>210.225</v>
      </c>
      <c r="F197" s="138" t="s">
        <v>60</v>
      </c>
      <c r="G197" s="138" t="n">
        <v>313.64</v>
      </c>
      <c r="H197" s="138" t="s">
        <v>73</v>
      </c>
    </row>
    <row r="198" customFormat="false" ht="15" hidden="false" customHeight="false" outlineLevel="0" collapsed="false">
      <c r="A198" s="138" t="s">
        <v>5174</v>
      </c>
      <c r="B198" s="138" t="s">
        <v>5238</v>
      </c>
      <c r="C198" s="138" t="s">
        <v>5239</v>
      </c>
      <c r="D198" s="138" t="n">
        <v>207.5825</v>
      </c>
      <c r="E198" s="138" t="n">
        <v>207.939</v>
      </c>
      <c r="F198" s="138" t="s">
        <v>59</v>
      </c>
      <c r="G198" s="138" t="n">
        <v>41.43</v>
      </c>
      <c r="H198" s="138" t="s">
        <v>73</v>
      </c>
    </row>
    <row r="199" customFormat="false" ht="15" hidden="false" customHeight="false" outlineLevel="0" collapsed="false">
      <c r="A199" s="138" t="s">
        <v>5174</v>
      </c>
      <c r="B199" s="138" t="s">
        <v>5238</v>
      </c>
      <c r="C199" s="138" t="s">
        <v>5240</v>
      </c>
      <c r="D199" s="138" t="n">
        <v>207.5825</v>
      </c>
      <c r="E199" s="138" t="n">
        <v>225.25</v>
      </c>
      <c r="F199" s="138" t="s">
        <v>59</v>
      </c>
      <c r="G199" s="138" t="n">
        <v>641.44</v>
      </c>
      <c r="H199" s="138" t="s">
        <v>73</v>
      </c>
    </row>
    <row r="200" customFormat="false" ht="15" hidden="false" customHeight="false" outlineLevel="0" collapsed="false">
      <c r="A200" s="138" t="s">
        <v>5174</v>
      </c>
      <c r="B200" s="138" t="s">
        <v>1863</v>
      </c>
      <c r="C200" s="138" t="s">
        <v>5241</v>
      </c>
      <c r="D200" s="138" t="n">
        <v>211</v>
      </c>
      <c r="E200" s="138" t="n">
        <v>233.5</v>
      </c>
      <c r="F200" s="138" t="s">
        <v>60</v>
      </c>
      <c r="G200" s="138" t="n">
        <v>1227.86</v>
      </c>
      <c r="H200" s="138" t="s">
        <v>73</v>
      </c>
    </row>
    <row r="201" customFormat="false" ht="15" hidden="false" customHeight="false" outlineLevel="0" collapsed="false">
      <c r="A201" s="138" t="s">
        <v>5174</v>
      </c>
      <c r="B201" s="138" t="s">
        <v>1879</v>
      </c>
      <c r="C201" s="138" t="s">
        <v>5242</v>
      </c>
      <c r="D201" s="138" t="n">
        <v>227</v>
      </c>
      <c r="E201" s="138" t="n">
        <v>232.75</v>
      </c>
      <c r="F201" s="138" t="s">
        <v>59</v>
      </c>
      <c r="G201" s="138" t="n">
        <v>168.61</v>
      </c>
      <c r="H201" s="138" t="s">
        <v>73</v>
      </c>
    </row>
    <row r="202" customFormat="false" ht="15" hidden="false" customHeight="false" outlineLevel="0" collapsed="false">
      <c r="A202" s="138" t="s">
        <v>5174</v>
      </c>
      <c r="B202" s="138" t="s">
        <v>1893</v>
      </c>
      <c r="C202" s="138" t="s">
        <v>1899</v>
      </c>
      <c r="D202" s="138" t="n">
        <v>240</v>
      </c>
      <c r="E202" s="138" t="n">
        <v>246</v>
      </c>
      <c r="F202" s="138" t="s">
        <v>59</v>
      </c>
      <c r="G202" s="138" t="n">
        <v>323.8</v>
      </c>
      <c r="H202" s="138" t="s">
        <v>73</v>
      </c>
    </row>
    <row r="203" customFormat="false" ht="15" hidden="false" customHeight="false" outlineLevel="0" collapsed="false">
      <c r="A203" s="138" t="s">
        <v>5174</v>
      </c>
      <c r="B203" s="138" t="s">
        <v>5243</v>
      </c>
      <c r="C203" s="138" t="s">
        <v>5244</v>
      </c>
      <c r="D203" s="138" t="n">
        <v>240.5</v>
      </c>
      <c r="E203" s="138" t="n">
        <v>245.5</v>
      </c>
      <c r="F203" s="138" t="s">
        <v>60</v>
      </c>
      <c r="G203" s="138" t="n">
        <v>125.39</v>
      </c>
      <c r="H203" s="138" t="s">
        <v>73</v>
      </c>
    </row>
    <row r="204" customFormat="false" ht="15" hidden="false" customHeight="false" outlineLevel="0" collapsed="false">
      <c r="A204" s="138" t="s">
        <v>5174</v>
      </c>
      <c r="B204" s="138" t="s">
        <v>1908</v>
      </c>
      <c r="C204" s="138" t="s">
        <v>5245</v>
      </c>
      <c r="D204" s="138" t="n">
        <v>255</v>
      </c>
      <c r="E204" s="138" t="n">
        <v>257.5</v>
      </c>
      <c r="F204" s="138" t="s">
        <v>59</v>
      </c>
      <c r="G204" s="138" t="n">
        <v>91.34</v>
      </c>
      <c r="H204" s="138" t="s">
        <v>73</v>
      </c>
    </row>
    <row r="205" customFormat="false" ht="15" hidden="false" customHeight="false" outlineLevel="0" collapsed="false">
      <c r="A205" s="138" t="s">
        <v>5174</v>
      </c>
      <c r="B205" s="138" t="s">
        <v>5246</v>
      </c>
      <c r="C205" s="138" t="s">
        <v>1911</v>
      </c>
      <c r="D205" s="138" t="n">
        <v>255.775</v>
      </c>
      <c r="E205" s="138" t="n">
        <v>258</v>
      </c>
      <c r="F205" s="138" t="s">
        <v>60</v>
      </c>
      <c r="G205" s="138" t="n">
        <v>84.02</v>
      </c>
      <c r="H205" s="138" t="s">
        <v>73</v>
      </c>
    </row>
    <row r="206" customFormat="false" ht="15" hidden="false" customHeight="false" outlineLevel="0" collapsed="false">
      <c r="A206" s="138" t="s">
        <v>5174</v>
      </c>
      <c r="B206" s="138" t="s">
        <v>5247</v>
      </c>
      <c r="C206" s="138" t="s">
        <v>5248</v>
      </c>
      <c r="D206" s="138" t="n">
        <v>258.294</v>
      </c>
      <c r="E206" s="138" t="n">
        <v>258.4725</v>
      </c>
      <c r="F206" s="138" t="s">
        <v>59</v>
      </c>
      <c r="G206" s="138" t="n">
        <v>20.58</v>
      </c>
      <c r="H206" s="138" t="s">
        <v>73</v>
      </c>
    </row>
    <row r="207" customFormat="false" ht="15" hidden="false" customHeight="false" outlineLevel="0" collapsed="false">
      <c r="A207" s="138" t="s">
        <v>5174</v>
      </c>
      <c r="B207" s="138" t="s">
        <v>5249</v>
      </c>
      <c r="C207" s="138" t="s">
        <v>5250</v>
      </c>
      <c r="D207" s="138" t="n">
        <v>258.5965</v>
      </c>
      <c r="E207" s="138" t="n">
        <v>258.709</v>
      </c>
      <c r="F207" s="138" t="s">
        <v>59</v>
      </c>
      <c r="G207" s="138" t="n">
        <v>2.66</v>
      </c>
      <c r="H207" s="138" t="s">
        <v>73</v>
      </c>
    </row>
    <row r="208" customFormat="false" ht="15" hidden="false" customHeight="false" outlineLevel="0" collapsed="false">
      <c r="A208" s="138" t="s">
        <v>5174</v>
      </c>
      <c r="B208" s="138" t="s">
        <v>5251</v>
      </c>
      <c r="C208" s="138" t="s">
        <v>5252</v>
      </c>
      <c r="D208" s="138" t="n">
        <v>258.935</v>
      </c>
      <c r="E208" s="138" t="n">
        <v>259.75</v>
      </c>
      <c r="F208" s="138" t="s">
        <v>60</v>
      </c>
      <c r="G208" s="138" t="n">
        <v>20.05</v>
      </c>
      <c r="H208" s="138" t="s">
        <v>73</v>
      </c>
    </row>
    <row r="209" customFormat="false" ht="15" hidden="false" customHeight="false" outlineLevel="0" collapsed="false">
      <c r="A209" s="138" t="s">
        <v>5174</v>
      </c>
      <c r="B209" s="138" t="s">
        <v>5253</v>
      </c>
      <c r="C209" s="138" t="s">
        <v>5254</v>
      </c>
      <c r="D209" s="138" t="n">
        <v>259.7565</v>
      </c>
      <c r="E209" s="138" t="n">
        <v>260.151</v>
      </c>
      <c r="F209" s="138" t="s">
        <v>60</v>
      </c>
      <c r="G209" s="138" t="n">
        <v>15.47</v>
      </c>
      <c r="H209" s="138" t="s">
        <v>73</v>
      </c>
    </row>
    <row r="210" customFormat="false" ht="15" hidden="false" customHeight="false" outlineLevel="0" collapsed="false">
      <c r="A210" s="138" t="s">
        <v>5174</v>
      </c>
      <c r="B210" s="138" t="s">
        <v>5255</v>
      </c>
      <c r="C210" s="138" t="s">
        <v>5256</v>
      </c>
      <c r="D210" s="138" t="n">
        <v>259.541</v>
      </c>
      <c r="E210" s="138" t="n">
        <v>259.7255</v>
      </c>
      <c r="F210" s="138" t="s">
        <v>59</v>
      </c>
      <c r="G210" s="138" t="n">
        <v>19.24</v>
      </c>
      <c r="H210" s="138" t="s">
        <v>73</v>
      </c>
    </row>
    <row r="211" customFormat="false" ht="15" hidden="false" customHeight="false" outlineLevel="0" collapsed="false">
      <c r="A211" s="138" t="s">
        <v>5174</v>
      </c>
      <c r="B211" s="138" t="s">
        <v>5257</v>
      </c>
      <c r="C211" s="138" t="s">
        <v>5258</v>
      </c>
      <c r="D211" s="138" t="n">
        <v>273.75</v>
      </c>
      <c r="E211" s="138" t="n">
        <v>275.4955</v>
      </c>
      <c r="F211" s="138" t="s">
        <v>59</v>
      </c>
      <c r="G211" s="138" t="n">
        <v>99.45</v>
      </c>
      <c r="H211" s="138" t="s">
        <v>73</v>
      </c>
    </row>
    <row r="212" customFormat="false" ht="15" hidden="false" customHeight="false" outlineLevel="0" collapsed="false">
      <c r="A212" s="138" t="s">
        <v>5174</v>
      </c>
      <c r="B212" s="138" t="s">
        <v>5259</v>
      </c>
      <c r="C212" s="138" t="s">
        <v>5258</v>
      </c>
      <c r="D212" s="138" t="n">
        <v>273.5</v>
      </c>
      <c r="E212" s="138" t="n">
        <v>275.4955</v>
      </c>
      <c r="F212" s="138" t="s">
        <v>60</v>
      </c>
      <c r="G212" s="138" t="n">
        <v>124.19</v>
      </c>
      <c r="H212" s="138" t="s">
        <v>73</v>
      </c>
    </row>
    <row r="213" customFormat="false" ht="15" hidden="false" customHeight="false" outlineLevel="0" collapsed="false">
      <c r="A213" s="138" t="s">
        <v>5174</v>
      </c>
      <c r="B213" s="138" t="s">
        <v>5260</v>
      </c>
      <c r="C213" s="138" t="s">
        <v>3571</v>
      </c>
      <c r="D213" s="138" t="n">
        <v>303.5</v>
      </c>
      <c r="E213" s="138" t="n">
        <v>304.5</v>
      </c>
      <c r="F213" s="138" t="s">
        <v>59</v>
      </c>
      <c r="G213" s="138" t="n">
        <v>9.41</v>
      </c>
      <c r="H213" s="138" t="s">
        <v>73</v>
      </c>
    </row>
    <row r="214" customFormat="false" ht="15" hidden="false" customHeight="false" outlineLevel="0" collapsed="false">
      <c r="A214" s="138" t="s">
        <v>5174</v>
      </c>
      <c r="B214" s="138" t="s">
        <v>5260</v>
      </c>
      <c r="C214" s="138" t="s">
        <v>3571</v>
      </c>
      <c r="D214" s="138" t="n">
        <v>303.5</v>
      </c>
      <c r="E214" s="138" t="n">
        <v>304.5</v>
      </c>
      <c r="F214" s="138" t="s">
        <v>60</v>
      </c>
      <c r="G214" s="138" t="n">
        <v>45.24</v>
      </c>
      <c r="H214" s="138" t="s">
        <v>73</v>
      </c>
    </row>
    <row r="215" customFormat="false" ht="15" hidden="false" customHeight="false" outlineLevel="0" collapsed="false">
      <c r="A215" s="138" t="s">
        <v>5174</v>
      </c>
      <c r="B215" s="138" t="s">
        <v>5261</v>
      </c>
      <c r="C215" s="138" t="s">
        <v>5262</v>
      </c>
      <c r="D215" s="138" t="n">
        <v>305.25</v>
      </c>
      <c r="E215" s="138" t="n">
        <v>307.25</v>
      </c>
      <c r="F215" s="138" t="s">
        <v>59</v>
      </c>
      <c r="G215" s="138" t="n">
        <v>27.56</v>
      </c>
      <c r="H215" s="138" t="s">
        <v>73</v>
      </c>
    </row>
    <row r="216" customFormat="false" ht="15" hidden="false" customHeight="false" outlineLevel="0" collapsed="false">
      <c r="A216" s="138" t="s">
        <v>5174</v>
      </c>
      <c r="B216" s="138" t="s">
        <v>5263</v>
      </c>
      <c r="C216" s="138" t="s">
        <v>5264</v>
      </c>
      <c r="D216" s="138" t="n">
        <v>311.9675</v>
      </c>
      <c r="E216" s="138" t="n">
        <v>311.971</v>
      </c>
      <c r="F216" s="138" t="s">
        <v>60</v>
      </c>
      <c r="G216" s="138" t="n">
        <v>12.59</v>
      </c>
      <c r="H216" s="138" t="s">
        <v>73</v>
      </c>
    </row>
    <row r="217" customFormat="false" ht="15" hidden="false" customHeight="false" outlineLevel="0" collapsed="false">
      <c r="A217" s="138" t="s">
        <v>5174</v>
      </c>
      <c r="B217" s="138" t="s">
        <v>5265</v>
      </c>
      <c r="C217" s="138" t="s">
        <v>5266</v>
      </c>
      <c r="D217" s="138" t="n">
        <v>312.3695</v>
      </c>
      <c r="E217" s="138" t="n">
        <v>312.4315</v>
      </c>
      <c r="F217" s="138" t="s">
        <v>60</v>
      </c>
      <c r="G217" s="138" t="n">
        <v>10.02</v>
      </c>
      <c r="H217" s="138" t="s">
        <v>73</v>
      </c>
    </row>
    <row r="218" customFormat="false" ht="15" hidden="false" customHeight="false" outlineLevel="0" collapsed="false">
      <c r="A218" s="138" t="s">
        <v>5174</v>
      </c>
      <c r="B218" s="138" t="s">
        <v>5267</v>
      </c>
      <c r="C218" s="138" t="s">
        <v>5268</v>
      </c>
      <c r="D218" s="138" t="n">
        <v>314.9115</v>
      </c>
      <c r="E218" s="138" t="n">
        <v>315.252</v>
      </c>
      <c r="F218" s="138" t="s">
        <v>60</v>
      </c>
      <c r="G218" s="138" t="n">
        <v>9.16</v>
      </c>
      <c r="H218" s="138" t="s">
        <v>73</v>
      </c>
    </row>
    <row r="219" customFormat="false" ht="15" hidden="false" customHeight="false" outlineLevel="0" collapsed="false">
      <c r="A219" s="138" t="s">
        <v>5174</v>
      </c>
      <c r="B219" s="138" t="s">
        <v>5269</v>
      </c>
      <c r="C219" s="138" t="s">
        <v>5270</v>
      </c>
      <c r="D219" s="138" t="n">
        <v>315.4885</v>
      </c>
      <c r="E219" s="138" t="n">
        <v>316.2585</v>
      </c>
      <c r="F219" s="138" t="s">
        <v>60</v>
      </c>
      <c r="G219" s="138" t="n">
        <v>20.45</v>
      </c>
      <c r="H219" s="138" t="s">
        <v>73</v>
      </c>
    </row>
    <row r="220" customFormat="false" ht="15" hidden="false" customHeight="false" outlineLevel="0" collapsed="false">
      <c r="A220" s="138" t="s">
        <v>5174</v>
      </c>
      <c r="B220" s="138" t="s">
        <v>5271</v>
      </c>
      <c r="C220" s="138" t="s">
        <v>5272</v>
      </c>
      <c r="D220" s="138" t="n">
        <v>315.8875</v>
      </c>
      <c r="E220" s="138" t="n">
        <v>316.574</v>
      </c>
      <c r="F220" s="138" t="s">
        <v>60</v>
      </c>
      <c r="G220" s="138" t="n">
        <v>16.2</v>
      </c>
      <c r="H220" s="138" t="s">
        <v>73</v>
      </c>
    </row>
    <row r="221" customFormat="false" ht="15" hidden="false" customHeight="false" outlineLevel="0" collapsed="false">
      <c r="A221" s="138" t="s">
        <v>5174</v>
      </c>
      <c r="B221" s="138" t="s">
        <v>5273</v>
      </c>
      <c r="C221" s="138" t="s">
        <v>5274</v>
      </c>
      <c r="D221" s="138" t="n">
        <v>315.8885</v>
      </c>
      <c r="E221" s="138" t="n">
        <v>315.9135</v>
      </c>
      <c r="F221" s="138" t="s">
        <v>60</v>
      </c>
      <c r="G221" s="138" t="n">
        <v>0.27</v>
      </c>
      <c r="H221" s="138" t="s">
        <v>73</v>
      </c>
    </row>
    <row r="222" customFormat="false" ht="15" hidden="false" customHeight="false" outlineLevel="0" collapsed="false">
      <c r="A222" s="138" t="s">
        <v>5174</v>
      </c>
      <c r="B222" s="138" t="s">
        <v>5275</v>
      </c>
      <c r="C222" s="138" t="s">
        <v>5276</v>
      </c>
      <c r="D222" s="138" t="n">
        <v>317.5</v>
      </c>
      <c r="E222" s="138" t="n">
        <v>319.5</v>
      </c>
      <c r="F222" s="138" t="s">
        <v>60</v>
      </c>
      <c r="G222" s="138" t="n">
        <v>31.67</v>
      </c>
      <c r="H222" s="138" t="s">
        <v>73</v>
      </c>
    </row>
    <row r="223" customFormat="false" ht="15" hidden="false" customHeight="false" outlineLevel="0" collapsed="false">
      <c r="A223" s="138" t="s">
        <v>5174</v>
      </c>
      <c r="B223" s="138" t="s">
        <v>5275</v>
      </c>
      <c r="C223" s="138" t="s">
        <v>1975</v>
      </c>
      <c r="D223" s="138" t="n">
        <v>317.5</v>
      </c>
      <c r="E223" s="138" t="n">
        <v>318</v>
      </c>
      <c r="F223" s="138" t="s">
        <v>59</v>
      </c>
      <c r="G223" s="138" t="n">
        <v>0.3</v>
      </c>
      <c r="H223" s="138" t="s">
        <v>73</v>
      </c>
    </row>
    <row r="224" customFormat="false" ht="15" hidden="false" customHeight="false" outlineLevel="0" collapsed="false">
      <c r="A224" s="138" t="s">
        <v>5174</v>
      </c>
      <c r="B224" s="138" t="s">
        <v>5277</v>
      </c>
      <c r="C224" s="138" t="s">
        <v>5278</v>
      </c>
      <c r="D224" s="138" t="n">
        <v>321.842</v>
      </c>
      <c r="E224" s="138" t="n">
        <v>323.191</v>
      </c>
      <c r="F224" s="138" t="s">
        <v>59</v>
      </c>
      <c r="G224" s="138" t="n">
        <v>17.95</v>
      </c>
      <c r="H224" s="138" t="s">
        <v>73</v>
      </c>
    </row>
    <row r="225" customFormat="false" ht="15" hidden="false" customHeight="false" outlineLevel="0" collapsed="false">
      <c r="A225" s="138" t="s">
        <v>5174</v>
      </c>
      <c r="B225" s="138" t="s">
        <v>5279</v>
      </c>
      <c r="C225" s="138" t="s">
        <v>5280</v>
      </c>
      <c r="D225" s="138" t="n">
        <v>322.0645</v>
      </c>
      <c r="E225" s="138" t="n">
        <v>323.3215</v>
      </c>
      <c r="F225" s="138" t="s">
        <v>59</v>
      </c>
      <c r="G225" s="138" t="n">
        <v>21.82</v>
      </c>
      <c r="H225" s="138" t="s">
        <v>73</v>
      </c>
    </row>
    <row r="226" customFormat="false" ht="15" hidden="false" customHeight="false" outlineLevel="0" collapsed="false">
      <c r="A226" s="138" t="s">
        <v>5174</v>
      </c>
      <c r="B226" s="138" t="s">
        <v>5281</v>
      </c>
      <c r="C226" s="138" t="s">
        <v>5282</v>
      </c>
      <c r="D226" s="138" t="n">
        <v>334.25</v>
      </c>
      <c r="E226" s="138" t="n">
        <v>336.4845</v>
      </c>
      <c r="F226" s="138" t="s">
        <v>60</v>
      </c>
      <c r="G226" s="138" t="n">
        <v>111.61</v>
      </c>
      <c r="H226" s="138" t="s">
        <v>73</v>
      </c>
    </row>
    <row r="227" customFormat="false" ht="15" hidden="false" customHeight="false" outlineLevel="0" collapsed="false">
      <c r="A227" s="138" t="s">
        <v>5174</v>
      </c>
      <c r="B227" s="138" t="s">
        <v>1993</v>
      </c>
      <c r="C227" s="138" t="s">
        <v>5282</v>
      </c>
      <c r="D227" s="138" t="n">
        <v>334</v>
      </c>
      <c r="E227" s="138" t="n">
        <v>336.4845</v>
      </c>
      <c r="F227" s="138" t="s">
        <v>59</v>
      </c>
      <c r="G227" s="138" t="n">
        <v>86.13</v>
      </c>
      <c r="H227" s="138" t="s">
        <v>73</v>
      </c>
    </row>
    <row r="228" customFormat="false" ht="15" hidden="false" customHeight="false" outlineLevel="0" collapsed="false">
      <c r="A228" s="138" t="s">
        <v>5174</v>
      </c>
      <c r="B228" s="138" t="s">
        <v>5283</v>
      </c>
      <c r="C228" s="138" t="s">
        <v>2721</v>
      </c>
      <c r="D228" s="138" t="n">
        <v>339.7775</v>
      </c>
      <c r="E228" s="138" t="n">
        <v>339.843</v>
      </c>
      <c r="F228" s="138" t="s">
        <v>60</v>
      </c>
      <c r="G228" s="138" t="n">
        <v>56.42</v>
      </c>
      <c r="H228" s="138" t="s">
        <v>73</v>
      </c>
    </row>
    <row r="229" customFormat="false" ht="15" hidden="false" customHeight="false" outlineLevel="0" collapsed="false">
      <c r="A229" s="138" t="s">
        <v>5174</v>
      </c>
      <c r="B229" s="138" t="s">
        <v>5284</v>
      </c>
      <c r="C229" s="138" t="s">
        <v>5285</v>
      </c>
      <c r="D229" s="138" t="n">
        <v>340.1965</v>
      </c>
      <c r="E229" s="138" t="n">
        <v>340.4805</v>
      </c>
      <c r="F229" s="138" t="s">
        <v>60</v>
      </c>
      <c r="G229" s="138" t="n">
        <v>77.73</v>
      </c>
      <c r="H229" s="138" t="s">
        <v>73</v>
      </c>
    </row>
    <row r="230" customFormat="false" ht="15" hidden="false" customHeight="false" outlineLevel="0" collapsed="false">
      <c r="A230" s="138" t="s">
        <v>5174</v>
      </c>
      <c r="B230" s="138" t="s">
        <v>5286</v>
      </c>
      <c r="C230" s="138" t="s">
        <v>5287</v>
      </c>
      <c r="D230" s="138" t="n">
        <v>345.8395</v>
      </c>
      <c r="E230" s="138" t="n">
        <v>354.6</v>
      </c>
      <c r="F230" s="138" t="s">
        <v>59</v>
      </c>
      <c r="G230" s="138" t="n">
        <v>158.61</v>
      </c>
      <c r="H230" s="138" t="s">
        <v>73</v>
      </c>
    </row>
    <row r="231" customFormat="false" ht="15" hidden="false" customHeight="false" outlineLevel="0" collapsed="false">
      <c r="A231" s="138" t="s">
        <v>5174</v>
      </c>
      <c r="B231" s="138" t="s">
        <v>5288</v>
      </c>
      <c r="C231" s="138" t="s">
        <v>5289</v>
      </c>
      <c r="D231" s="138" t="n">
        <v>347.5145</v>
      </c>
      <c r="E231" s="138" t="n">
        <v>348.396</v>
      </c>
      <c r="F231" s="138" t="s">
        <v>60</v>
      </c>
      <c r="G231" s="138" t="n">
        <v>23.95</v>
      </c>
      <c r="H231" s="138" t="s">
        <v>73</v>
      </c>
    </row>
    <row r="232" customFormat="false" ht="15" hidden="false" customHeight="false" outlineLevel="0" collapsed="false">
      <c r="A232" s="138" t="s">
        <v>5174</v>
      </c>
      <c r="B232" s="138" t="s">
        <v>5289</v>
      </c>
      <c r="C232" s="138" t="s">
        <v>5290</v>
      </c>
      <c r="D232" s="138" t="n">
        <v>348.396</v>
      </c>
      <c r="E232" s="138" t="n">
        <v>349.224</v>
      </c>
      <c r="F232" s="138" t="s">
        <v>60</v>
      </c>
      <c r="G232" s="138" t="n">
        <v>18.63</v>
      </c>
      <c r="H232" s="138" t="s">
        <v>73</v>
      </c>
    </row>
    <row r="233" customFormat="false" ht="15" hidden="false" customHeight="false" outlineLevel="0" collapsed="false">
      <c r="A233" s="138" t="s">
        <v>5174</v>
      </c>
      <c r="B233" s="138" t="s">
        <v>5291</v>
      </c>
      <c r="C233" s="138" t="s">
        <v>5292</v>
      </c>
      <c r="D233" s="138" t="n">
        <v>349.3415</v>
      </c>
      <c r="E233" s="138" t="n">
        <v>350.8085</v>
      </c>
      <c r="F233" s="138" t="s">
        <v>60</v>
      </c>
      <c r="G233" s="138" t="n">
        <v>64.7</v>
      </c>
      <c r="H233" s="138" t="s">
        <v>73</v>
      </c>
    </row>
    <row r="234" customFormat="false" ht="15" hidden="false" customHeight="false" outlineLevel="0" collapsed="false">
      <c r="A234" s="138" t="s">
        <v>5174</v>
      </c>
      <c r="B234" s="138" t="s">
        <v>5293</v>
      </c>
      <c r="C234" s="138" t="s">
        <v>5294</v>
      </c>
      <c r="D234" s="138" t="n">
        <v>350.1165</v>
      </c>
      <c r="E234" s="138" t="n">
        <v>351.0525</v>
      </c>
      <c r="F234" s="138" t="s">
        <v>60</v>
      </c>
      <c r="G234" s="138" t="n">
        <v>62.44</v>
      </c>
      <c r="H234" s="138" t="s">
        <v>73</v>
      </c>
    </row>
    <row r="235" customFormat="false" ht="15" hidden="false" customHeight="false" outlineLevel="0" collapsed="false">
      <c r="A235" s="138" t="s">
        <v>5174</v>
      </c>
      <c r="B235" s="138" t="s">
        <v>5295</v>
      </c>
      <c r="C235" s="138" t="s">
        <v>3798</v>
      </c>
      <c r="D235" s="138" t="n">
        <v>350.2</v>
      </c>
      <c r="E235" s="138" t="n">
        <v>356.9165</v>
      </c>
      <c r="F235" s="138" t="s">
        <v>60</v>
      </c>
      <c r="G235" s="138" t="n">
        <v>485.8</v>
      </c>
      <c r="H235" s="138" t="s">
        <v>73</v>
      </c>
    </row>
    <row r="236" customFormat="false" ht="15" hidden="false" customHeight="false" outlineLevel="0" collapsed="false">
      <c r="A236" s="138" t="s">
        <v>5174</v>
      </c>
      <c r="B236" s="138" t="s">
        <v>5296</v>
      </c>
      <c r="C236" s="138" t="s">
        <v>5297</v>
      </c>
      <c r="D236" s="138" t="n">
        <v>359.494</v>
      </c>
      <c r="E236" s="138" t="n">
        <v>363.4015</v>
      </c>
      <c r="F236" s="138" t="s">
        <v>60</v>
      </c>
      <c r="G236" s="138" t="n">
        <v>395.62</v>
      </c>
      <c r="H236" s="138" t="s">
        <v>73</v>
      </c>
    </row>
    <row r="237" customFormat="false" ht="15" hidden="false" customHeight="false" outlineLevel="0" collapsed="false">
      <c r="A237" s="138" t="s">
        <v>5174</v>
      </c>
      <c r="B237" s="138" t="s">
        <v>2021</v>
      </c>
      <c r="C237" s="138" t="s">
        <v>5297</v>
      </c>
      <c r="D237" s="138" t="n">
        <v>360</v>
      </c>
      <c r="E237" s="138" t="n">
        <v>363.4015</v>
      </c>
      <c r="F237" s="138" t="s">
        <v>59</v>
      </c>
      <c r="G237" s="138" t="n">
        <v>177.52</v>
      </c>
      <c r="H237" s="138" t="s">
        <v>73</v>
      </c>
    </row>
    <row r="238" customFormat="false" ht="15" hidden="false" customHeight="false" outlineLevel="0" collapsed="false">
      <c r="A238" s="138" t="s">
        <v>5174</v>
      </c>
      <c r="B238" s="138" t="s">
        <v>5298</v>
      </c>
      <c r="C238" s="138" t="s">
        <v>5299</v>
      </c>
      <c r="D238" s="138" t="n">
        <v>359.4915</v>
      </c>
      <c r="E238" s="138" t="n">
        <v>359.644</v>
      </c>
      <c r="F238" s="138" t="s">
        <v>59</v>
      </c>
      <c r="G238" s="138" t="n">
        <v>9.15</v>
      </c>
      <c r="H238" s="138" t="s">
        <v>73</v>
      </c>
    </row>
    <row r="239" customFormat="false" ht="15" hidden="false" customHeight="false" outlineLevel="0" collapsed="false">
      <c r="A239" s="138" t="s">
        <v>5174</v>
      </c>
      <c r="B239" s="138" t="s">
        <v>5300</v>
      </c>
      <c r="C239" s="138" t="s">
        <v>2033</v>
      </c>
      <c r="D239" s="138" t="n">
        <v>367.1</v>
      </c>
      <c r="E239" s="138" t="n">
        <v>372</v>
      </c>
      <c r="F239" s="138" t="s">
        <v>60</v>
      </c>
      <c r="G239" s="138" t="n">
        <v>346.22</v>
      </c>
      <c r="H239" s="138" t="s">
        <v>73</v>
      </c>
    </row>
    <row r="240" customFormat="false" ht="15" hidden="false" customHeight="false" outlineLevel="0" collapsed="false">
      <c r="A240" s="138" t="s">
        <v>5174</v>
      </c>
      <c r="B240" s="138" t="s">
        <v>5300</v>
      </c>
      <c r="C240" s="138" t="s">
        <v>5301</v>
      </c>
      <c r="D240" s="138" t="n">
        <v>367.1</v>
      </c>
      <c r="E240" s="138" t="n">
        <v>372.4</v>
      </c>
      <c r="F240" s="138" t="s">
        <v>59</v>
      </c>
      <c r="G240" s="138" t="n">
        <v>498.72</v>
      </c>
      <c r="H240" s="138" t="s">
        <v>73</v>
      </c>
    </row>
    <row r="241" customFormat="false" ht="15" hidden="false" customHeight="false" outlineLevel="0" collapsed="false">
      <c r="A241" s="138" t="s">
        <v>5174</v>
      </c>
      <c r="B241" s="138" t="s">
        <v>5302</v>
      </c>
      <c r="C241" s="138" t="s">
        <v>5303</v>
      </c>
      <c r="D241" s="138" t="n">
        <v>378.2</v>
      </c>
      <c r="E241" s="138" t="n">
        <v>407.8</v>
      </c>
      <c r="F241" s="138" t="s">
        <v>59</v>
      </c>
      <c r="G241" s="138" t="n">
        <v>2339.84</v>
      </c>
      <c r="H241" s="138" t="s">
        <v>73</v>
      </c>
    </row>
    <row r="242" customFormat="false" ht="15" hidden="false" customHeight="false" outlineLevel="0" collapsed="false">
      <c r="A242" s="138" t="s">
        <v>5174</v>
      </c>
      <c r="B242" s="138" t="s">
        <v>5304</v>
      </c>
      <c r="C242" s="138" t="s">
        <v>5305</v>
      </c>
      <c r="D242" s="138" t="n">
        <v>380.4</v>
      </c>
      <c r="E242" s="138" t="n">
        <v>396.9295</v>
      </c>
      <c r="F242" s="138" t="s">
        <v>60</v>
      </c>
      <c r="G242" s="138" t="n">
        <v>1446.76</v>
      </c>
      <c r="H242" s="138" t="s">
        <v>73</v>
      </c>
    </row>
    <row r="243" customFormat="false" ht="15" hidden="false" customHeight="false" outlineLevel="0" collapsed="false">
      <c r="A243" s="138" t="s">
        <v>5174</v>
      </c>
      <c r="B243" s="138" t="s">
        <v>5306</v>
      </c>
      <c r="C243" s="138" t="s">
        <v>2059</v>
      </c>
      <c r="D243" s="138" t="n">
        <v>396.5485</v>
      </c>
      <c r="E243" s="138" t="n">
        <v>397</v>
      </c>
      <c r="F243" s="138" t="s">
        <v>60</v>
      </c>
      <c r="G243" s="138" t="n">
        <v>24.69</v>
      </c>
      <c r="H243" s="138" t="s">
        <v>73</v>
      </c>
    </row>
    <row r="244" customFormat="false" ht="15" hidden="false" customHeight="false" outlineLevel="0" collapsed="false">
      <c r="A244" s="138" t="s">
        <v>5174</v>
      </c>
      <c r="B244" s="138" t="s">
        <v>5307</v>
      </c>
      <c r="C244" s="138" t="s">
        <v>5308</v>
      </c>
      <c r="D244" s="138" t="n">
        <v>396.9135</v>
      </c>
      <c r="E244" s="138" t="n">
        <v>398.1025</v>
      </c>
      <c r="F244" s="138" t="s">
        <v>60</v>
      </c>
      <c r="G244" s="138" t="n">
        <v>39.35</v>
      </c>
      <c r="H244" s="138" t="s">
        <v>73</v>
      </c>
    </row>
    <row r="245" customFormat="false" ht="15" hidden="false" customHeight="false" outlineLevel="0" collapsed="false">
      <c r="A245" s="138" t="s">
        <v>5174</v>
      </c>
      <c r="B245" s="138" t="s">
        <v>5309</v>
      </c>
      <c r="C245" s="138" t="s">
        <v>5310</v>
      </c>
      <c r="D245" s="138" t="n">
        <v>399.2</v>
      </c>
      <c r="E245" s="138" t="n">
        <v>399.6</v>
      </c>
      <c r="F245" s="138" t="s">
        <v>60</v>
      </c>
      <c r="G245" s="138" t="n">
        <v>24.91</v>
      </c>
      <c r="H245" s="138" t="s">
        <v>73</v>
      </c>
    </row>
    <row r="246" customFormat="false" ht="15" hidden="false" customHeight="false" outlineLevel="0" collapsed="false">
      <c r="A246" s="138" t="s">
        <v>5174</v>
      </c>
      <c r="B246" s="138" t="s">
        <v>5311</v>
      </c>
      <c r="C246" s="138" t="s">
        <v>5312</v>
      </c>
      <c r="D246" s="138" t="n">
        <v>400.6</v>
      </c>
      <c r="E246" s="138" t="n">
        <v>403.2</v>
      </c>
      <c r="F246" s="138" t="s">
        <v>60</v>
      </c>
      <c r="G246" s="138" t="n">
        <v>73.08</v>
      </c>
      <c r="H246" s="138" t="s">
        <v>73</v>
      </c>
    </row>
    <row r="247" customFormat="false" ht="15" hidden="false" customHeight="false" outlineLevel="0" collapsed="false">
      <c r="A247" s="138" t="s">
        <v>5174</v>
      </c>
      <c r="B247" s="138" t="s">
        <v>5313</v>
      </c>
      <c r="C247" s="138" t="s">
        <v>5314</v>
      </c>
      <c r="D247" s="138" t="n">
        <v>403.498</v>
      </c>
      <c r="E247" s="138" t="n">
        <v>405.3</v>
      </c>
      <c r="F247" s="138" t="s">
        <v>60</v>
      </c>
      <c r="G247" s="138" t="n">
        <v>41.66</v>
      </c>
      <c r="H247" s="138" t="s">
        <v>73</v>
      </c>
    </row>
    <row r="248" customFormat="false" ht="15" hidden="false" customHeight="false" outlineLevel="0" collapsed="false">
      <c r="A248" s="138" t="s">
        <v>5174</v>
      </c>
      <c r="B248" s="138" t="s">
        <v>5315</v>
      </c>
      <c r="C248" s="138" t="s">
        <v>5316</v>
      </c>
      <c r="D248" s="138" t="n">
        <v>410.5305</v>
      </c>
      <c r="E248" s="138" t="n">
        <v>410.553</v>
      </c>
      <c r="F248" s="138" t="s">
        <v>59</v>
      </c>
      <c r="G248" s="138" t="n">
        <v>13.11</v>
      </c>
      <c r="H248" s="138" t="s">
        <v>73</v>
      </c>
    </row>
    <row r="249" customFormat="false" ht="15" hidden="false" customHeight="false" outlineLevel="0" collapsed="false">
      <c r="A249" s="138" t="s">
        <v>5174</v>
      </c>
      <c r="B249" s="138" t="s">
        <v>5317</v>
      </c>
      <c r="C249" s="138" t="s">
        <v>5318</v>
      </c>
      <c r="D249" s="138" t="n">
        <v>410.9445</v>
      </c>
      <c r="E249" s="138" t="n">
        <v>410.9605</v>
      </c>
      <c r="F249" s="138" t="s">
        <v>59</v>
      </c>
      <c r="G249" s="138" t="n">
        <v>8.44</v>
      </c>
      <c r="H249" s="138" t="s">
        <v>73</v>
      </c>
    </row>
    <row r="250" customFormat="false" ht="15" hidden="false" customHeight="false" outlineLevel="0" collapsed="false">
      <c r="A250" s="138" t="s">
        <v>5174</v>
      </c>
      <c r="B250" s="138" t="s">
        <v>5319</v>
      </c>
      <c r="C250" s="138" t="s">
        <v>5320</v>
      </c>
      <c r="D250" s="138" t="n">
        <v>412.9695</v>
      </c>
      <c r="E250" s="138" t="n">
        <v>413.0945</v>
      </c>
      <c r="F250" s="138" t="s">
        <v>60</v>
      </c>
      <c r="G250" s="138" t="n">
        <v>6.25</v>
      </c>
      <c r="H250" s="138" t="s">
        <v>73</v>
      </c>
    </row>
    <row r="251" customFormat="false" ht="15" hidden="false" customHeight="false" outlineLevel="0" collapsed="false">
      <c r="A251" s="138" t="s">
        <v>5174</v>
      </c>
      <c r="B251" s="138" t="s">
        <v>5321</v>
      </c>
      <c r="C251" s="138" t="s">
        <v>5322</v>
      </c>
      <c r="D251" s="138" t="n">
        <v>413.5685</v>
      </c>
      <c r="E251" s="138" t="n">
        <v>413.59</v>
      </c>
      <c r="F251" s="138" t="s">
        <v>60</v>
      </c>
      <c r="G251" s="138" t="n">
        <v>10.74</v>
      </c>
      <c r="H251" s="138" t="s">
        <v>73</v>
      </c>
    </row>
    <row r="252" customFormat="false" ht="15" hidden="false" customHeight="false" outlineLevel="0" collapsed="false">
      <c r="A252" s="138" t="s">
        <v>5174</v>
      </c>
      <c r="B252" s="138" t="s">
        <v>5323</v>
      </c>
      <c r="C252" s="138" t="s">
        <v>5324</v>
      </c>
      <c r="D252" s="138" t="n">
        <v>414.5</v>
      </c>
      <c r="E252" s="138" t="n">
        <v>415.675</v>
      </c>
      <c r="F252" s="138" t="s">
        <v>60</v>
      </c>
      <c r="G252" s="138" t="n">
        <v>35.43</v>
      </c>
      <c r="H252" s="138" t="s">
        <v>73</v>
      </c>
    </row>
    <row r="253" customFormat="false" ht="15" hidden="false" customHeight="false" outlineLevel="0" collapsed="false">
      <c r="A253" s="138" t="s">
        <v>5174</v>
      </c>
      <c r="B253" s="138" t="s">
        <v>5325</v>
      </c>
      <c r="C253" s="138" t="s">
        <v>5324</v>
      </c>
      <c r="D253" s="138" t="n">
        <v>413.95</v>
      </c>
      <c r="E253" s="138" t="n">
        <v>415.675</v>
      </c>
      <c r="F253" s="138" t="s">
        <v>59</v>
      </c>
      <c r="G253" s="138" t="n">
        <v>102.2</v>
      </c>
      <c r="H253" s="138" t="s">
        <v>73</v>
      </c>
    </row>
    <row r="254" customFormat="false" ht="15" hidden="false" customHeight="false" outlineLevel="0" collapsed="false">
      <c r="A254" s="138" t="s">
        <v>5174</v>
      </c>
      <c r="B254" s="138" t="s">
        <v>5326</v>
      </c>
      <c r="C254" s="138" t="s">
        <v>5327</v>
      </c>
      <c r="D254" s="138" t="n">
        <v>417.801</v>
      </c>
      <c r="E254" s="138" t="n">
        <v>418.355</v>
      </c>
      <c r="F254" s="138" t="s">
        <v>60</v>
      </c>
      <c r="G254" s="138" t="n">
        <v>24.97</v>
      </c>
      <c r="H254" s="138" t="s">
        <v>73</v>
      </c>
    </row>
    <row r="255" customFormat="false" ht="15" hidden="false" customHeight="false" outlineLevel="0" collapsed="false">
      <c r="A255" s="138" t="s">
        <v>5174</v>
      </c>
      <c r="B255" s="138" t="s">
        <v>5328</v>
      </c>
      <c r="C255" s="138" t="s">
        <v>5329</v>
      </c>
      <c r="D255" s="138" t="n">
        <v>420.0005</v>
      </c>
      <c r="E255" s="138" t="n">
        <v>421.5</v>
      </c>
      <c r="F255" s="138" t="s">
        <v>60</v>
      </c>
      <c r="G255" s="138" t="n">
        <v>50.25</v>
      </c>
      <c r="H255" s="138" t="s">
        <v>73</v>
      </c>
    </row>
    <row r="256" customFormat="false" ht="15" hidden="false" customHeight="false" outlineLevel="0" collapsed="false">
      <c r="A256" s="138" t="s">
        <v>5174</v>
      </c>
      <c r="B256" s="138" t="s">
        <v>5328</v>
      </c>
      <c r="C256" s="138" t="s">
        <v>5329</v>
      </c>
      <c r="D256" s="138" t="n">
        <v>420.0005</v>
      </c>
      <c r="E256" s="138" t="n">
        <v>421.5</v>
      </c>
      <c r="F256" s="138" t="s">
        <v>59</v>
      </c>
      <c r="G256" s="138" t="n">
        <v>77.56</v>
      </c>
      <c r="H256" s="138" t="s">
        <v>73</v>
      </c>
    </row>
    <row r="257" customFormat="false" ht="15" hidden="false" customHeight="false" outlineLevel="0" collapsed="false">
      <c r="A257" s="138" t="s">
        <v>5174</v>
      </c>
      <c r="B257" s="138" t="s">
        <v>5094</v>
      </c>
      <c r="C257" s="138" t="s">
        <v>5330</v>
      </c>
      <c r="D257" s="138" t="n">
        <v>447.5</v>
      </c>
      <c r="E257" s="138" t="n">
        <v>455.2845</v>
      </c>
      <c r="F257" s="138" t="s">
        <v>59</v>
      </c>
      <c r="G257" s="138" t="n">
        <v>478.16</v>
      </c>
      <c r="H257" s="138" t="s">
        <v>73</v>
      </c>
    </row>
    <row r="258" customFormat="false" ht="15" hidden="false" customHeight="false" outlineLevel="0" collapsed="false">
      <c r="A258" s="138" t="s">
        <v>5174</v>
      </c>
      <c r="B258" s="138" t="s">
        <v>5331</v>
      </c>
      <c r="C258" s="138" t="s">
        <v>5332</v>
      </c>
      <c r="D258" s="138" t="n">
        <v>454.6325</v>
      </c>
      <c r="E258" s="138" t="n">
        <v>454.694</v>
      </c>
      <c r="F258" s="138" t="s">
        <v>60</v>
      </c>
      <c r="G258" s="138" t="n">
        <v>2.74</v>
      </c>
      <c r="H258" s="138" t="s">
        <v>73</v>
      </c>
    </row>
    <row r="259" customFormat="false" ht="15" hidden="false" customHeight="false" outlineLevel="0" collapsed="false">
      <c r="A259" s="138" t="s">
        <v>5174</v>
      </c>
      <c r="B259" s="138" t="s">
        <v>5333</v>
      </c>
      <c r="C259" s="138" t="s">
        <v>5330</v>
      </c>
      <c r="D259" s="138" t="n">
        <v>455.057</v>
      </c>
      <c r="E259" s="138" t="n">
        <v>455.2845</v>
      </c>
      <c r="F259" s="138" t="s">
        <v>60</v>
      </c>
      <c r="G259" s="138" t="n">
        <v>25.92</v>
      </c>
      <c r="H259" s="138" t="s">
        <v>73</v>
      </c>
    </row>
    <row r="260" customFormat="false" ht="15" hidden="false" customHeight="false" outlineLevel="0" collapsed="false">
      <c r="A260" s="138" t="s">
        <v>5174</v>
      </c>
      <c r="B260" s="138" t="s">
        <v>5330</v>
      </c>
      <c r="C260" s="138" t="s">
        <v>5334</v>
      </c>
      <c r="D260" s="138" t="n">
        <v>455.2845</v>
      </c>
      <c r="E260" s="138" t="n">
        <v>455.75</v>
      </c>
      <c r="F260" s="138" t="s">
        <v>60</v>
      </c>
      <c r="G260" s="138" t="n">
        <v>16.19</v>
      </c>
      <c r="H260" s="138" t="s">
        <v>73</v>
      </c>
    </row>
    <row r="261" customFormat="false" ht="15" hidden="false" customHeight="false" outlineLevel="0" collapsed="false">
      <c r="A261" s="138" t="s">
        <v>5174</v>
      </c>
      <c r="B261" s="138" t="s">
        <v>5335</v>
      </c>
      <c r="C261" s="138" t="s">
        <v>5336</v>
      </c>
      <c r="D261" s="138" t="n">
        <v>463.232</v>
      </c>
      <c r="E261" s="138" t="n">
        <v>464.144</v>
      </c>
      <c r="F261" s="138" t="s">
        <v>60</v>
      </c>
      <c r="G261" s="138" t="n">
        <v>9.68</v>
      </c>
      <c r="H261" s="138" t="s">
        <v>73</v>
      </c>
    </row>
    <row r="262" customFormat="false" ht="15" hidden="false" customHeight="false" outlineLevel="0" collapsed="false">
      <c r="A262" s="138" t="s">
        <v>5174</v>
      </c>
      <c r="B262" s="138" t="s">
        <v>5335</v>
      </c>
      <c r="C262" s="138" t="s">
        <v>5337</v>
      </c>
      <c r="D262" s="138" t="n">
        <v>463.232</v>
      </c>
      <c r="E262" s="138" t="n">
        <v>464.9095</v>
      </c>
      <c r="F262" s="138" t="s">
        <v>59</v>
      </c>
      <c r="G262" s="138" t="n">
        <v>131.33</v>
      </c>
      <c r="H262" s="138" t="s">
        <v>73</v>
      </c>
    </row>
    <row r="263" customFormat="false" ht="15" hidden="false" customHeight="false" outlineLevel="0" collapsed="false">
      <c r="A263" s="138" t="s">
        <v>5174</v>
      </c>
      <c r="B263" s="138" t="s">
        <v>5338</v>
      </c>
      <c r="C263" s="138" t="s">
        <v>5339</v>
      </c>
      <c r="D263" s="138" t="n">
        <v>464.236</v>
      </c>
      <c r="E263" s="138" t="n">
        <v>466.7435</v>
      </c>
      <c r="F263" s="138" t="s">
        <v>59</v>
      </c>
      <c r="G263" s="138" t="n">
        <v>150.48</v>
      </c>
      <c r="H263" s="138" t="s">
        <v>73</v>
      </c>
    </row>
    <row r="264" customFormat="false" ht="15" hidden="false" customHeight="false" outlineLevel="0" collapsed="false">
      <c r="A264" s="138" t="s">
        <v>5174</v>
      </c>
      <c r="B264" s="138" t="s">
        <v>5340</v>
      </c>
      <c r="C264" s="138" t="s">
        <v>5341</v>
      </c>
      <c r="D264" s="138" t="n">
        <v>465.767</v>
      </c>
      <c r="E264" s="138" t="n">
        <v>465.9745</v>
      </c>
      <c r="F264" s="138" t="s">
        <v>60</v>
      </c>
      <c r="G264" s="138" t="n">
        <v>3.44</v>
      </c>
      <c r="H264" s="138" t="s">
        <v>73</v>
      </c>
    </row>
    <row r="265" customFormat="false" ht="15" hidden="false" customHeight="false" outlineLevel="0" collapsed="false">
      <c r="A265" s="138" t="s">
        <v>5174</v>
      </c>
      <c r="B265" s="138" t="s">
        <v>5342</v>
      </c>
      <c r="C265" s="138" t="s">
        <v>5343</v>
      </c>
      <c r="D265" s="138" t="n">
        <v>466.194</v>
      </c>
      <c r="E265" s="138" t="n">
        <v>466.241</v>
      </c>
      <c r="F265" s="138" t="s">
        <v>60</v>
      </c>
      <c r="G265" s="138" t="n">
        <v>0.51</v>
      </c>
      <c r="H265" s="138" t="s">
        <v>73</v>
      </c>
    </row>
    <row r="266" customFormat="false" ht="15" hidden="false" customHeight="false" outlineLevel="0" collapsed="false">
      <c r="A266" s="138" t="s">
        <v>5174</v>
      </c>
      <c r="B266" s="138" t="s">
        <v>5344</v>
      </c>
      <c r="C266" s="138" t="s">
        <v>5345</v>
      </c>
      <c r="D266" s="138" t="n">
        <v>466.878</v>
      </c>
      <c r="E266" s="138" t="n">
        <v>467.8</v>
      </c>
      <c r="F266" s="138" t="s">
        <v>59</v>
      </c>
      <c r="G266" s="138" t="n">
        <v>28.88</v>
      </c>
      <c r="H266" s="138" t="s">
        <v>73</v>
      </c>
    </row>
    <row r="267" customFormat="false" ht="15" hidden="false" customHeight="false" outlineLevel="0" collapsed="false">
      <c r="A267" s="138" t="s">
        <v>5174</v>
      </c>
      <c r="B267" s="138" t="s">
        <v>5346</v>
      </c>
      <c r="C267" s="138" t="s">
        <v>5347</v>
      </c>
      <c r="D267" s="138" t="n">
        <v>471.9</v>
      </c>
      <c r="E267" s="138" t="n">
        <v>473.9</v>
      </c>
      <c r="F267" s="138" t="s">
        <v>59</v>
      </c>
      <c r="G267" s="138" t="n">
        <v>178.18</v>
      </c>
      <c r="H267" s="138" t="s">
        <v>73</v>
      </c>
    </row>
    <row r="268" customFormat="false" ht="15" hidden="false" customHeight="false" outlineLevel="0" collapsed="false">
      <c r="A268" s="138" t="s">
        <v>5174</v>
      </c>
      <c r="B268" s="138" t="s">
        <v>5348</v>
      </c>
      <c r="C268" s="138" t="s">
        <v>2143</v>
      </c>
      <c r="D268" s="138" t="n">
        <v>473.901</v>
      </c>
      <c r="E268" s="138" t="n">
        <v>475</v>
      </c>
      <c r="F268" s="138" t="s">
        <v>59</v>
      </c>
      <c r="G268" s="138" t="n">
        <v>9.61</v>
      </c>
      <c r="H268" s="138" t="s">
        <v>73</v>
      </c>
    </row>
    <row r="269" customFormat="false" ht="15" hidden="false" customHeight="false" outlineLevel="0" collapsed="false">
      <c r="A269" s="138" t="s">
        <v>5174</v>
      </c>
      <c r="B269" s="138" t="s">
        <v>5349</v>
      </c>
      <c r="C269" s="138" t="s">
        <v>5350</v>
      </c>
      <c r="D269" s="138" t="n">
        <v>474.257</v>
      </c>
      <c r="E269" s="138" t="n">
        <v>476.1835</v>
      </c>
      <c r="F269" s="138" t="s">
        <v>59</v>
      </c>
      <c r="G269" s="138" t="n">
        <v>55.92</v>
      </c>
      <c r="H269" s="138" t="s">
        <v>73</v>
      </c>
    </row>
    <row r="270" customFormat="false" ht="15" hidden="false" customHeight="false" outlineLevel="0" collapsed="false">
      <c r="A270" s="138" t="s">
        <v>5174</v>
      </c>
      <c r="B270" s="138" t="s">
        <v>5351</v>
      </c>
      <c r="C270" s="138" t="s">
        <v>5352</v>
      </c>
      <c r="D270" s="138" t="n">
        <v>480.4</v>
      </c>
      <c r="E270" s="138" t="n">
        <v>486.2</v>
      </c>
      <c r="F270" s="138" t="s">
        <v>59</v>
      </c>
      <c r="G270" s="138" t="n">
        <v>432.07</v>
      </c>
      <c r="H270" s="138" t="s">
        <v>73</v>
      </c>
    </row>
    <row r="271" customFormat="false" ht="15" hidden="false" customHeight="false" outlineLevel="0" collapsed="false">
      <c r="A271" s="138" t="s">
        <v>5174</v>
      </c>
      <c r="B271" s="138" t="s">
        <v>5353</v>
      </c>
      <c r="C271" s="138" t="s">
        <v>5354</v>
      </c>
      <c r="D271" s="138" t="n">
        <v>480.7</v>
      </c>
      <c r="E271" s="138" t="n">
        <v>483.674</v>
      </c>
      <c r="F271" s="138" t="s">
        <v>60</v>
      </c>
      <c r="G271" s="138" t="n">
        <v>104.74</v>
      </c>
      <c r="H271" s="138" t="s">
        <v>73</v>
      </c>
    </row>
    <row r="272" customFormat="false" ht="15" hidden="false" customHeight="false" outlineLevel="0" collapsed="false">
      <c r="A272" s="138" t="s">
        <v>5174</v>
      </c>
      <c r="B272" s="138" t="s">
        <v>5355</v>
      </c>
      <c r="C272" s="138" t="s">
        <v>5356</v>
      </c>
      <c r="D272" s="138" t="n">
        <v>483.6745</v>
      </c>
      <c r="E272" s="138" t="n">
        <v>484.4215</v>
      </c>
      <c r="F272" s="138" t="s">
        <v>60</v>
      </c>
      <c r="G272" s="138" t="n">
        <v>74.94</v>
      </c>
      <c r="H272" s="138" t="s">
        <v>73</v>
      </c>
    </row>
    <row r="273" customFormat="false" ht="15" hidden="false" customHeight="false" outlineLevel="0" collapsed="false">
      <c r="A273" s="138" t="s">
        <v>5174</v>
      </c>
      <c r="B273" s="138" t="s">
        <v>5357</v>
      </c>
      <c r="C273" s="138" t="s">
        <v>5358</v>
      </c>
      <c r="D273" s="138" t="n">
        <v>484.654</v>
      </c>
      <c r="E273" s="138" t="n">
        <v>484.854</v>
      </c>
      <c r="F273" s="138" t="s">
        <v>60</v>
      </c>
      <c r="G273" s="138" t="n">
        <v>123.87</v>
      </c>
      <c r="H273" s="138" t="s">
        <v>73</v>
      </c>
    </row>
    <row r="274" customFormat="false" ht="15" hidden="false" customHeight="false" outlineLevel="0" collapsed="false">
      <c r="A274" s="138" t="s">
        <v>5174</v>
      </c>
      <c r="B274" s="138" t="s">
        <v>5359</v>
      </c>
      <c r="C274" s="138" t="s">
        <v>1581</v>
      </c>
      <c r="D274" s="138" t="n">
        <v>484.659</v>
      </c>
      <c r="E274" s="138" t="n">
        <v>487.5</v>
      </c>
      <c r="F274" s="138" t="s">
        <v>60</v>
      </c>
      <c r="G274" s="138" t="n">
        <v>105.11</v>
      </c>
      <c r="H274" s="138" t="s">
        <v>73</v>
      </c>
    </row>
    <row r="275" customFormat="false" ht="15" hidden="false" customHeight="false" outlineLevel="0" collapsed="false">
      <c r="A275" s="138" t="s">
        <v>5174</v>
      </c>
      <c r="B275" s="138" t="s">
        <v>5360</v>
      </c>
      <c r="C275" s="138" t="s">
        <v>5361</v>
      </c>
      <c r="D275" s="138" t="n">
        <v>494.505</v>
      </c>
      <c r="E275" s="138" t="n">
        <v>494.561</v>
      </c>
      <c r="F275" s="138" t="s">
        <v>60</v>
      </c>
      <c r="G275" s="138" t="n">
        <v>2.02</v>
      </c>
      <c r="H275" s="138" t="s">
        <v>73</v>
      </c>
    </row>
    <row r="276" customFormat="false" ht="15" hidden="false" customHeight="false" outlineLevel="0" collapsed="false">
      <c r="A276" s="138" t="s">
        <v>5174</v>
      </c>
      <c r="B276" s="138" t="s">
        <v>5362</v>
      </c>
      <c r="C276" s="138" t="s">
        <v>5363</v>
      </c>
      <c r="D276" s="138" t="n">
        <v>494.718</v>
      </c>
      <c r="E276" s="138" t="n">
        <v>494.7895</v>
      </c>
      <c r="F276" s="138" t="s">
        <v>60</v>
      </c>
      <c r="G276" s="138" t="n">
        <v>18.05</v>
      </c>
      <c r="H276" s="138" t="s">
        <v>73</v>
      </c>
    </row>
    <row r="277" customFormat="false" ht="15" hidden="false" customHeight="false" outlineLevel="0" collapsed="false">
      <c r="A277" s="138" t="s">
        <v>5174</v>
      </c>
      <c r="B277" s="138" t="s">
        <v>5364</v>
      </c>
      <c r="C277" s="138" t="s">
        <v>5365</v>
      </c>
      <c r="D277" s="138" t="n">
        <v>495.573</v>
      </c>
      <c r="E277" s="138" t="n">
        <v>496.1165</v>
      </c>
      <c r="F277" s="138" t="s">
        <v>60</v>
      </c>
      <c r="G277" s="138" t="n">
        <v>21.01</v>
      </c>
      <c r="H277" s="138" t="s">
        <v>73</v>
      </c>
    </row>
    <row r="278" customFormat="false" ht="15" hidden="false" customHeight="false" outlineLevel="0" collapsed="false">
      <c r="A278" s="138" t="s">
        <v>5174</v>
      </c>
      <c r="B278" s="138" t="s">
        <v>3837</v>
      </c>
      <c r="C278" s="138" t="s">
        <v>5366</v>
      </c>
      <c r="D278" s="138" t="n">
        <v>497.763</v>
      </c>
      <c r="E278" s="138" t="n">
        <v>524.9</v>
      </c>
      <c r="F278" s="138" t="s">
        <v>60</v>
      </c>
      <c r="G278" s="138" t="n">
        <v>1496.27</v>
      </c>
      <c r="H278" s="138" t="s">
        <v>73</v>
      </c>
    </row>
    <row r="279" customFormat="false" ht="15" hidden="false" customHeight="false" outlineLevel="0" collapsed="false">
      <c r="A279" s="138" t="s">
        <v>5174</v>
      </c>
      <c r="B279" s="138" t="s">
        <v>5367</v>
      </c>
      <c r="C279" s="138" t="s">
        <v>5368</v>
      </c>
      <c r="D279" s="138" t="n">
        <v>499.4</v>
      </c>
      <c r="E279" s="138" t="n">
        <v>508.956</v>
      </c>
      <c r="F279" s="138" t="s">
        <v>59</v>
      </c>
      <c r="G279" s="138" t="n">
        <v>1189.84</v>
      </c>
      <c r="H279" s="138" t="s">
        <v>73</v>
      </c>
    </row>
    <row r="280" customFormat="false" ht="15" hidden="false" customHeight="false" outlineLevel="0" collapsed="false">
      <c r="A280" s="138" t="s">
        <v>5174</v>
      </c>
      <c r="B280" s="138" t="s">
        <v>5369</v>
      </c>
      <c r="C280" s="138" t="s">
        <v>5370</v>
      </c>
      <c r="D280" s="138" t="n">
        <v>508.858</v>
      </c>
      <c r="E280" s="138" t="n">
        <v>508.9565</v>
      </c>
      <c r="F280" s="138" t="s">
        <v>59</v>
      </c>
      <c r="G280" s="138" t="n">
        <v>51.73</v>
      </c>
      <c r="H280" s="138" t="s">
        <v>73</v>
      </c>
    </row>
    <row r="281" customFormat="false" ht="15" hidden="false" customHeight="false" outlineLevel="0" collapsed="false">
      <c r="A281" s="138" t="s">
        <v>5174</v>
      </c>
      <c r="B281" s="138" t="s">
        <v>5371</v>
      </c>
      <c r="C281" s="138" t="s">
        <v>5372</v>
      </c>
      <c r="D281" s="138" t="n">
        <v>509.361</v>
      </c>
      <c r="E281" s="138" t="n">
        <v>510.3565</v>
      </c>
      <c r="F281" s="138" t="s">
        <v>59</v>
      </c>
      <c r="G281" s="138" t="n">
        <v>28.01</v>
      </c>
      <c r="H281" s="138" t="s">
        <v>73</v>
      </c>
    </row>
    <row r="282" customFormat="false" ht="15" hidden="false" customHeight="false" outlineLevel="0" collapsed="false">
      <c r="A282" s="138" t="s">
        <v>5174</v>
      </c>
      <c r="B282" s="138" t="s">
        <v>5373</v>
      </c>
      <c r="C282" s="138" t="s">
        <v>5374</v>
      </c>
      <c r="D282" s="138" t="n">
        <v>510.7</v>
      </c>
      <c r="E282" s="138" t="n">
        <v>511.7</v>
      </c>
      <c r="F282" s="138" t="s">
        <v>59</v>
      </c>
      <c r="G282" s="138" t="n">
        <v>20.99</v>
      </c>
      <c r="H282" s="138" t="s">
        <v>73</v>
      </c>
    </row>
    <row r="283" customFormat="false" ht="15" hidden="false" customHeight="false" outlineLevel="0" collapsed="false">
      <c r="A283" s="138" t="s">
        <v>5174</v>
      </c>
      <c r="B283" s="138" t="s">
        <v>5375</v>
      </c>
      <c r="C283" s="138" t="s">
        <v>5376</v>
      </c>
      <c r="D283" s="138" t="n">
        <v>517.3</v>
      </c>
      <c r="E283" s="138" t="n">
        <v>536.6845</v>
      </c>
      <c r="F283" s="138" t="s">
        <v>59</v>
      </c>
      <c r="G283" s="138" t="n">
        <v>1227.96</v>
      </c>
      <c r="H283" s="138" t="s">
        <v>73</v>
      </c>
    </row>
    <row r="284" customFormat="false" ht="15" hidden="false" customHeight="false" outlineLevel="0" collapsed="false">
      <c r="A284" s="138" t="s">
        <v>5174</v>
      </c>
      <c r="B284" s="138" t="s">
        <v>5377</v>
      </c>
      <c r="C284" s="138" t="s">
        <v>5378</v>
      </c>
      <c r="D284" s="138" t="n">
        <v>525.3</v>
      </c>
      <c r="E284" s="138" t="n">
        <v>525.5</v>
      </c>
      <c r="F284" s="138" t="s">
        <v>60</v>
      </c>
      <c r="G284" s="138" t="n">
        <v>0.48</v>
      </c>
      <c r="H284" s="138" t="s">
        <v>73</v>
      </c>
    </row>
    <row r="285" customFormat="false" ht="15" hidden="false" customHeight="false" outlineLevel="0" collapsed="false">
      <c r="A285" s="138" t="s">
        <v>5174</v>
      </c>
      <c r="B285" s="138" t="s">
        <v>2200</v>
      </c>
      <c r="C285" s="138" t="s">
        <v>5379</v>
      </c>
      <c r="D285" s="138" t="n">
        <v>529</v>
      </c>
      <c r="E285" s="138" t="n">
        <v>557.3</v>
      </c>
      <c r="F285" s="138" t="s">
        <v>60</v>
      </c>
      <c r="G285" s="138" t="n">
        <v>1873.08</v>
      </c>
      <c r="H285" s="138" t="s">
        <v>73</v>
      </c>
    </row>
    <row r="286" customFormat="false" ht="15" hidden="false" customHeight="false" outlineLevel="0" collapsed="false">
      <c r="A286" s="138" t="s">
        <v>5174</v>
      </c>
      <c r="B286" s="138" t="s">
        <v>5380</v>
      </c>
      <c r="C286" s="138" t="s">
        <v>5376</v>
      </c>
      <c r="D286" s="138" t="n">
        <v>536.6475</v>
      </c>
      <c r="E286" s="138" t="n">
        <v>536.6845</v>
      </c>
      <c r="F286" s="138" t="s">
        <v>59</v>
      </c>
      <c r="G286" s="138" t="n">
        <v>33.91</v>
      </c>
      <c r="H286" s="138" t="s">
        <v>73</v>
      </c>
    </row>
    <row r="287" customFormat="false" ht="15" hidden="false" customHeight="false" outlineLevel="0" collapsed="false">
      <c r="A287" s="138" t="s">
        <v>5174</v>
      </c>
      <c r="B287" s="138" t="s">
        <v>5381</v>
      </c>
      <c r="C287" s="138" t="s">
        <v>5382</v>
      </c>
      <c r="D287" s="138" t="n">
        <v>537.0705</v>
      </c>
      <c r="E287" s="138" t="n">
        <v>537.717</v>
      </c>
      <c r="F287" s="138" t="s">
        <v>59</v>
      </c>
      <c r="G287" s="138" t="n">
        <v>26.49</v>
      </c>
      <c r="H287" s="138" t="s">
        <v>73</v>
      </c>
    </row>
    <row r="288" customFormat="false" ht="15" hidden="false" customHeight="false" outlineLevel="0" collapsed="false">
      <c r="A288" s="138" t="s">
        <v>5174</v>
      </c>
      <c r="B288" s="138" t="s">
        <v>5383</v>
      </c>
      <c r="C288" s="138" t="s">
        <v>5384</v>
      </c>
      <c r="D288" s="138" t="n">
        <v>537.8</v>
      </c>
      <c r="E288" s="138" t="n">
        <v>556.3</v>
      </c>
      <c r="F288" s="138" t="s">
        <v>59</v>
      </c>
      <c r="G288" s="138" t="n">
        <v>1324.45</v>
      </c>
      <c r="H288" s="138" t="s">
        <v>73</v>
      </c>
    </row>
    <row r="289" customFormat="false" ht="15" hidden="false" customHeight="false" outlineLevel="0" collapsed="false">
      <c r="A289" s="138" t="s">
        <v>5174</v>
      </c>
      <c r="B289" s="138" t="s">
        <v>2232</v>
      </c>
      <c r="C289" s="138" t="s">
        <v>5385</v>
      </c>
      <c r="D289" s="138" t="n">
        <v>561</v>
      </c>
      <c r="E289" s="138" t="n">
        <v>561.4965</v>
      </c>
      <c r="F289" s="138" t="s">
        <v>60</v>
      </c>
      <c r="G289" s="138" t="n">
        <v>49.6</v>
      </c>
      <c r="H289" s="138" t="s">
        <v>73</v>
      </c>
    </row>
    <row r="290" customFormat="false" ht="15" hidden="false" customHeight="false" outlineLevel="0" collapsed="false">
      <c r="A290" s="138" t="s">
        <v>5174</v>
      </c>
      <c r="B290" s="138" t="s">
        <v>5386</v>
      </c>
      <c r="C290" s="138" t="s">
        <v>5387</v>
      </c>
      <c r="D290" s="138" t="n">
        <v>561.611</v>
      </c>
      <c r="E290" s="138" t="n">
        <v>561.8645</v>
      </c>
      <c r="F290" s="138" t="s">
        <v>60</v>
      </c>
      <c r="G290" s="138" t="n">
        <v>2.78</v>
      </c>
      <c r="H290" s="138" t="s">
        <v>73</v>
      </c>
    </row>
    <row r="291" customFormat="false" ht="15" hidden="false" customHeight="false" outlineLevel="0" collapsed="false">
      <c r="A291" s="138" t="s">
        <v>5174</v>
      </c>
      <c r="B291" s="138" t="s">
        <v>5388</v>
      </c>
      <c r="C291" s="138" t="s">
        <v>5389</v>
      </c>
      <c r="D291" s="138" t="n">
        <v>571.9725</v>
      </c>
      <c r="E291" s="138" t="n">
        <v>572.15</v>
      </c>
      <c r="F291" s="138" t="s">
        <v>59</v>
      </c>
      <c r="G291" s="138" t="n">
        <v>10.27</v>
      </c>
      <c r="H291" s="138" t="s">
        <v>73</v>
      </c>
    </row>
    <row r="292" customFormat="false" ht="15" hidden="false" customHeight="false" outlineLevel="0" collapsed="false">
      <c r="A292" s="138" t="s">
        <v>5174</v>
      </c>
      <c r="B292" s="138" t="s">
        <v>5390</v>
      </c>
      <c r="C292" s="138" t="s">
        <v>5391</v>
      </c>
      <c r="D292" s="138" t="n">
        <v>572.34</v>
      </c>
      <c r="E292" s="138" t="n">
        <v>572.5005</v>
      </c>
      <c r="F292" s="138" t="s">
        <v>59</v>
      </c>
      <c r="G292" s="138" t="n">
        <v>8.9</v>
      </c>
      <c r="H292" s="138" t="s">
        <v>73</v>
      </c>
    </row>
    <row r="293" customFormat="false" ht="15" hidden="false" customHeight="false" outlineLevel="0" collapsed="false">
      <c r="A293" s="138" t="s">
        <v>5174</v>
      </c>
      <c r="B293" s="138" t="s">
        <v>5392</v>
      </c>
      <c r="C293" s="138" t="s">
        <v>5393</v>
      </c>
      <c r="D293" s="138" t="n">
        <v>581.8505</v>
      </c>
      <c r="E293" s="138" t="n">
        <v>581.8845</v>
      </c>
      <c r="F293" s="138" t="s">
        <v>59</v>
      </c>
      <c r="G293" s="138" t="n">
        <v>6.02</v>
      </c>
      <c r="H293" s="138" t="s">
        <v>73</v>
      </c>
    </row>
    <row r="294" customFormat="false" ht="15" hidden="false" customHeight="false" outlineLevel="0" collapsed="false">
      <c r="A294" s="138" t="s">
        <v>5174</v>
      </c>
      <c r="B294" s="138" t="s">
        <v>5394</v>
      </c>
      <c r="C294" s="138" t="s">
        <v>5395</v>
      </c>
      <c r="D294" s="138" t="n">
        <v>582.3315</v>
      </c>
      <c r="E294" s="138" t="n">
        <v>582.3405</v>
      </c>
      <c r="F294" s="138" t="s">
        <v>59</v>
      </c>
      <c r="G294" s="138" t="n">
        <v>1.6</v>
      </c>
      <c r="H294" s="138" t="s">
        <v>73</v>
      </c>
    </row>
    <row r="295" customFormat="false" ht="15" hidden="false" customHeight="false" outlineLevel="0" collapsed="false">
      <c r="A295" s="138" t="s">
        <v>5174</v>
      </c>
      <c r="B295" s="138" t="s">
        <v>5396</v>
      </c>
      <c r="C295" s="138" t="s">
        <v>5397</v>
      </c>
      <c r="D295" s="138" t="n">
        <v>584.9</v>
      </c>
      <c r="E295" s="138" t="n">
        <v>590.6</v>
      </c>
      <c r="F295" s="138" t="s">
        <v>59</v>
      </c>
      <c r="G295" s="138" t="n">
        <v>180.56</v>
      </c>
      <c r="H295" s="138" t="s">
        <v>73</v>
      </c>
    </row>
    <row r="296" customFormat="false" ht="15" hidden="false" customHeight="false" outlineLevel="0" collapsed="false">
      <c r="A296" s="138" t="s">
        <v>5174</v>
      </c>
      <c r="B296" s="138" t="s">
        <v>5398</v>
      </c>
      <c r="C296" s="138" t="s">
        <v>5399</v>
      </c>
      <c r="D296" s="138" t="n">
        <v>584.5</v>
      </c>
      <c r="E296" s="138" t="n">
        <v>590.7</v>
      </c>
      <c r="F296" s="138" t="s">
        <v>60</v>
      </c>
      <c r="G296" s="138" t="n">
        <v>198.12</v>
      </c>
      <c r="H296" s="138" t="s">
        <v>73</v>
      </c>
    </row>
    <row r="297" customFormat="false" ht="15" hidden="false" customHeight="false" outlineLevel="0" collapsed="false">
      <c r="A297" s="138" t="s">
        <v>5174</v>
      </c>
      <c r="B297" s="138" t="s">
        <v>5400</v>
      </c>
      <c r="C297" s="138" t="s">
        <v>2985</v>
      </c>
      <c r="D297" s="138" t="n">
        <v>590.938</v>
      </c>
      <c r="E297" s="138" t="n">
        <v>591.0385</v>
      </c>
      <c r="F297" s="138" t="s">
        <v>60</v>
      </c>
      <c r="G297" s="138" t="n">
        <v>0.52</v>
      </c>
      <c r="H297" s="138" t="s">
        <v>73</v>
      </c>
    </row>
    <row r="298" customFormat="false" ht="15" hidden="false" customHeight="false" outlineLevel="0" collapsed="false">
      <c r="A298" s="138" t="s">
        <v>5174</v>
      </c>
      <c r="B298" s="138" t="s">
        <v>5401</v>
      </c>
      <c r="C298" s="138" t="s">
        <v>5402</v>
      </c>
      <c r="D298" s="138" t="n">
        <v>590.6005</v>
      </c>
      <c r="E298" s="138" t="n">
        <v>591.0305</v>
      </c>
      <c r="F298" s="138" t="s">
        <v>60</v>
      </c>
      <c r="G298" s="138" t="n">
        <v>11.75</v>
      </c>
      <c r="H298" s="138" t="s">
        <v>73</v>
      </c>
    </row>
    <row r="299" customFormat="false" ht="15" hidden="false" customHeight="false" outlineLevel="0" collapsed="false">
      <c r="A299" s="138" t="s">
        <v>5174</v>
      </c>
      <c r="B299" s="138" t="s">
        <v>5403</v>
      </c>
      <c r="C299" s="138" t="s">
        <v>5404</v>
      </c>
      <c r="D299" s="138" t="n">
        <v>590.915</v>
      </c>
      <c r="E299" s="138" t="n">
        <v>591.2765</v>
      </c>
      <c r="F299" s="138" t="s">
        <v>60</v>
      </c>
      <c r="G299" s="138" t="n">
        <v>5.65</v>
      </c>
      <c r="H299" s="138" t="s">
        <v>73</v>
      </c>
    </row>
    <row r="300" customFormat="false" ht="15" hidden="false" customHeight="false" outlineLevel="0" collapsed="false">
      <c r="A300" s="138" t="s">
        <v>5174</v>
      </c>
      <c r="B300" s="138" t="s">
        <v>4963</v>
      </c>
      <c r="C300" s="138" t="s">
        <v>5405</v>
      </c>
      <c r="D300" s="138" t="n">
        <v>592.25</v>
      </c>
      <c r="E300" s="138" t="n">
        <v>598.008</v>
      </c>
      <c r="F300" s="138" t="s">
        <v>60</v>
      </c>
      <c r="G300" s="138" t="n">
        <v>206.05</v>
      </c>
      <c r="H300" s="138" t="s">
        <v>73</v>
      </c>
    </row>
    <row r="301" customFormat="false" ht="15" hidden="false" customHeight="false" outlineLevel="0" collapsed="false">
      <c r="A301" s="138" t="s">
        <v>5174</v>
      </c>
      <c r="B301" s="138" t="s">
        <v>5406</v>
      </c>
      <c r="C301" s="138" t="s">
        <v>5407</v>
      </c>
      <c r="D301" s="138" t="n">
        <v>593.25</v>
      </c>
      <c r="E301" s="138" t="n">
        <v>598.25</v>
      </c>
      <c r="F301" s="138" t="s">
        <v>59</v>
      </c>
      <c r="G301" s="138" t="n">
        <v>164.16</v>
      </c>
      <c r="H301" s="138" t="s">
        <v>73</v>
      </c>
    </row>
    <row r="302" customFormat="false" ht="15" hidden="false" customHeight="false" outlineLevel="0" collapsed="false">
      <c r="A302" s="138" t="s">
        <v>5174</v>
      </c>
      <c r="B302" s="138" t="s">
        <v>3642</v>
      </c>
      <c r="C302" s="138" t="s">
        <v>5408</v>
      </c>
      <c r="D302" s="138" t="n">
        <v>599.5</v>
      </c>
      <c r="E302" s="138" t="n">
        <v>601.465</v>
      </c>
      <c r="F302" s="138" t="s">
        <v>59</v>
      </c>
      <c r="G302" s="138" t="n">
        <v>25.88</v>
      </c>
      <c r="H302" s="138" t="s">
        <v>73</v>
      </c>
    </row>
    <row r="303" customFormat="false" ht="15" hidden="false" customHeight="false" outlineLevel="0" collapsed="false">
      <c r="A303" s="138" t="s">
        <v>5174</v>
      </c>
      <c r="B303" s="138" t="s">
        <v>5408</v>
      </c>
      <c r="C303" s="138" t="s">
        <v>5409</v>
      </c>
      <c r="D303" s="138" t="n">
        <v>601.465</v>
      </c>
      <c r="E303" s="138" t="n">
        <v>601.6395</v>
      </c>
      <c r="F303" s="138" t="s">
        <v>59</v>
      </c>
      <c r="G303" s="138" t="n">
        <v>2.68</v>
      </c>
      <c r="H303" s="138" t="s">
        <v>73</v>
      </c>
    </row>
    <row r="304" customFormat="false" ht="15" hidden="false" customHeight="false" outlineLevel="0" collapsed="false">
      <c r="A304" s="138" t="s">
        <v>5174</v>
      </c>
      <c r="B304" s="138" t="s">
        <v>5410</v>
      </c>
      <c r="C304" s="138" t="s">
        <v>5411</v>
      </c>
      <c r="D304" s="138" t="n">
        <v>602.1175</v>
      </c>
      <c r="E304" s="138" t="n">
        <v>602.1345</v>
      </c>
      <c r="F304" s="138" t="s">
        <v>59</v>
      </c>
      <c r="G304" s="138" t="n">
        <v>12.04</v>
      </c>
      <c r="H304" s="138" t="s">
        <v>73</v>
      </c>
    </row>
    <row r="305" customFormat="false" ht="15" hidden="false" customHeight="false" outlineLevel="0" collapsed="false">
      <c r="A305" s="138" t="s">
        <v>5174</v>
      </c>
      <c r="B305" s="138" t="s">
        <v>5412</v>
      </c>
      <c r="C305" s="138" t="s">
        <v>5413</v>
      </c>
      <c r="D305" s="138" t="n">
        <v>614.25</v>
      </c>
      <c r="E305" s="138" t="n">
        <v>617.3065</v>
      </c>
      <c r="F305" s="138" t="s">
        <v>59</v>
      </c>
      <c r="G305" s="138" t="n">
        <v>77.97</v>
      </c>
      <c r="H305" s="138" t="s">
        <v>73</v>
      </c>
    </row>
    <row r="306" customFormat="false" ht="15" hidden="false" customHeight="false" outlineLevel="0" collapsed="false">
      <c r="A306" s="138" t="s">
        <v>5174</v>
      </c>
      <c r="B306" s="138" t="s">
        <v>5414</v>
      </c>
      <c r="C306" s="138" t="s">
        <v>5415</v>
      </c>
      <c r="D306" s="138" t="n">
        <v>615.5</v>
      </c>
      <c r="E306" s="138" t="n">
        <v>615.7785</v>
      </c>
      <c r="F306" s="138" t="s">
        <v>60</v>
      </c>
      <c r="G306" s="138" t="n">
        <v>2.58</v>
      </c>
      <c r="H306" s="138" t="s">
        <v>73</v>
      </c>
    </row>
    <row r="307" customFormat="false" ht="15" hidden="false" customHeight="false" outlineLevel="0" collapsed="false">
      <c r="A307" s="138" t="s">
        <v>5174</v>
      </c>
      <c r="B307" s="138" t="s">
        <v>2288</v>
      </c>
      <c r="C307" s="138" t="s">
        <v>2291</v>
      </c>
      <c r="D307" s="138" t="n">
        <v>616</v>
      </c>
      <c r="E307" s="138" t="n">
        <v>619</v>
      </c>
      <c r="F307" s="138" t="s">
        <v>60</v>
      </c>
      <c r="G307" s="138" t="n">
        <v>90.25</v>
      </c>
      <c r="H307" s="138" t="s">
        <v>73</v>
      </c>
    </row>
    <row r="308" customFormat="false" ht="15" hidden="false" customHeight="false" outlineLevel="0" collapsed="false">
      <c r="A308" s="138" t="s">
        <v>5174</v>
      </c>
      <c r="B308" s="138" t="s">
        <v>5416</v>
      </c>
      <c r="C308" s="138" t="s">
        <v>5417</v>
      </c>
      <c r="D308" s="138" t="n">
        <v>617.6055</v>
      </c>
      <c r="E308" s="138" t="n">
        <v>620.6415</v>
      </c>
      <c r="F308" s="138" t="s">
        <v>59</v>
      </c>
      <c r="G308" s="138" t="n">
        <v>108.94</v>
      </c>
      <c r="H308" s="138" t="s">
        <v>73</v>
      </c>
    </row>
    <row r="309" customFormat="false" ht="15" hidden="false" customHeight="false" outlineLevel="0" collapsed="false">
      <c r="A309" s="138" t="s">
        <v>5174</v>
      </c>
      <c r="B309" s="138" t="s">
        <v>5418</v>
      </c>
      <c r="C309" s="138" t="s">
        <v>5419</v>
      </c>
      <c r="D309" s="138" t="n">
        <v>619.25</v>
      </c>
      <c r="E309" s="138" t="n">
        <v>619.5155</v>
      </c>
      <c r="F309" s="138" t="s">
        <v>60</v>
      </c>
      <c r="G309" s="138" t="n">
        <v>5.17</v>
      </c>
      <c r="H309" s="138" t="s">
        <v>73</v>
      </c>
    </row>
    <row r="310" customFormat="false" ht="15" hidden="false" customHeight="false" outlineLevel="0" collapsed="false">
      <c r="A310" s="138" t="s">
        <v>5174</v>
      </c>
      <c r="B310" s="138" t="s">
        <v>5420</v>
      </c>
      <c r="C310" s="138" t="s">
        <v>5421</v>
      </c>
      <c r="D310" s="138" t="n">
        <v>619.75</v>
      </c>
      <c r="E310" s="138" t="n">
        <v>620.25</v>
      </c>
      <c r="F310" s="138" t="s">
        <v>60</v>
      </c>
      <c r="G310" s="138" t="n">
        <v>5.77</v>
      </c>
      <c r="H310" s="138" t="s">
        <v>73</v>
      </c>
    </row>
    <row r="311" customFormat="false" ht="15" hidden="false" customHeight="false" outlineLevel="0" collapsed="false">
      <c r="A311" s="138" t="s">
        <v>5174</v>
      </c>
      <c r="B311" s="138" t="s">
        <v>5422</v>
      </c>
      <c r="C311" s="138" t="s">
        <v>5423</v>
      </c>
      <c r="D311" s="138" t="n">
        <v>622.421</v>
      </c>
      <c r="E311" s="138" t="n">
        <v>622.591</v>
      </c>
      <c r="F311" s="138" t="s">
        <v>60</v>
      </c>
      <c r="G311" s="138" t="n">
        <v>18.64</v>
      </c>
      <c r="H311" s="138" t="s">
        <v>73</v>
      </c>
    </row>
    <row r="312" customFormat="false" ht="15" hidden="false" customHeight="false" outlineLevel="0" collapsed="false">
      <c r="A312" s="138" t="s">
        <v>5174</v>
      </c>
      <c r="B312" s="138" t="s">
        <v>5424</v>
      </c>
      <c r="C312" s="138" t="s">
        <v>5425</v>
      </c>
      <c r="D312" s="138" t="n">
        <v>622.832</v>
      </c>
      <c r="E312" s="138" t="n">
        <v>622.9715</v>
      </c>
      <c r="F312" s="138" t="s">
        <v>60</v>
      </c>
      <c r="G312" s="138" t="n">
        <v>2.67</v>
      </c>
      <c r="H312" s="138" t="s">
        <v>73</v>
      </c>
    </row>
    <row r="313" customFormat="false" ht="15" hidden="false" customHeight="false" outlineLevel="0" collapsed="false">
      <c r="A313" s="138" t="s">
        <v>5174</v>
      </c>
      <c r="B313" s="138" t="s">
        <v>5426</v>
      </c>
      <c r="C313" s="138" t="s">
        <v>5427</v>
      </c>
      <c r="D313" s="138" t="n">
        <v>630.6</v>
      </c>
      <c r="E313" s="138" t="n">
        <v>630.9</v>
      </c>
      <c r="F313" s="138" t="s">
        <v>59</v>
      </c>
      <c r="G313" s="138" t="n">
        <v>0.94</v>
      </c>
      <c r="H313" s="138" t="s">
        <v>73</v>
      </c>
    </row>
    <row r="314" customFormat="false" ht="15" hidden="false" customHeight="false" outlineLevel="0" collapsed="false">
      <c r="A314" s="138" t="s">
        <v>5174</v>
      </c>
      <c r="B314" s="138" t="s">
        <v>5428</v>
      </c>
      <c r="C314" s="138" t="s">
        <v>5429</v>
      </c>
      <c r="D314" s="138" t="n">
        <v>631.1</v>
      </c>
      <c r="E314" s="138" t="n">
        <v>631.703</v>
      </c>
      <c r="F314" s="138" t="s">
        <v>59</v>
      </c>
      <c r="G314" s="138" t="n">
        <v>2.6</v>
      </c>
      <c r="H314" s="138" t="s">
        <v>73</v>
      </c>
    </row>
    <row r="315" customFormat="false" ht="15" hidden="false" customHeight="false" outlineLevel="0" collapsed="false">
      <c r="A315" s="138" t="s">
        <v>5174</v>
      </c>
      <c r="B315" s="138" t="s">
        <v>5430</v>
      </c>
      <c r="C315" s="138" t="s">
        <v>5431</v>
      </c>
      <c r="D315" s="138" t="n">
        <v>632.667</v>
      </c>
      <c r="E315" s="138" t="n">
        <v>632.841</v>
      </c>
      <c r="F315" s="138" t="s">
        <v>60</v>
      </c>
      <c r="G315" s="138" t="n">
        <v>6.23</v>
      </c>
      <c r="H315" s="138" t="s">
        <v>73</v>
      </c>
    </row>
    <row r="316" customFormat="false" ht="15" hidden="false" customHeight="false" outlineLevel="0" collapsed="false">
      <c r="A316" s="138" t="s">
        <v>5174</v>
      </c>
      <c r="B316" s="138" t="s">
        <v>5432</v>
      </c>
      <c r="C316" s="138" t="s">
        <v>5433</v>
      </c>
      <c r="D316" s="138" t="n">
        <v>633.1605</v>
      </c>
      <c r="E316" s="138" t="n">
        <v>633.2775</v>
      </c>
      <c r="F316" s="138" t="s">
        <v>60</v>
      </c>
      <c r="G316" s="138" t="n">
        <v>6.96</v>
      </c>
      <c r="H316" s="138" t="s">
        <v>73</v>
      </c>
    </row>
    <row r="317" customFormat="false" ht="15" hidden="false" customHeight="false" outlineLevel="0" collapsed="false">
      <c r="A317" s="138" t="s">
        <v>5174</v>
      </c>
      <c r="B317" s="138" t="s">
        <v>5434</v>
      </c>
      <c r="C317" s="138" t="s">
        <v>5435</v>
      </c>
      <c r="D317" s="138" t="n">
        <v>633.2</v>
      </c>
      <c r="E317" s="138" t="n">
        <v>633.3</v>
      </c>
      <c r="F317" s="138" t="s">
        <v>59</v>
      </c>
      <c r="G317" s="138" t="n">
        <v>0.39</v>
      </c>
      <c r="H317" s="138" t="s">
        <v>73</v>
      </c>
    </row>
    <row r="318" customFormat="false" ht="15" hidden="false" customHeight="false" outlineLevel="0" collapsed="false">
      <c r="A318" s="138" t="s">
        <v>5174</v>
      </c>
      <c r="B318" s="138" t="s">
        <v>5436</v>
      </c>
      <c r="C318" s="138" t="s">
        <v>5437</v>
      </c>
      <c r="D318" s="138" t="n">
        <v>634.095</v>
      </c>
      <c r="E318" s="138" t="n">
        <v>634.238</v>
      </c>
      <c r="F318" s="138" t="s">
        <v>60</v>
      </c>
      <c r="G318" s="138" t="n">
        <v>8.47</v>
      </c>
      <c r="H318" s="138" t="s">
        <v>73</v>
      </c>
    </row>
    <row r="319" customFormat="false" ht="15" hidden="false" customHeight="false" outlineLevel="0" collapsed="false">
      <c r="A319" s="138" t="s">
        <v>5174</v>
      </c>
      <c r="B319" s="138" t="s">
        <v>5438</v>
      </c>
      <c r="C319" s="138" t="s">
        <v>5439</v>
      </c>
      <c r="D319" s="138" t="n">
        <v>634.479</v>
      </c>
      <c r="E319" s="138" t="n">
        <v>634.6895</v>
      </c>
      <c r="F319" s="138" t="s">
        <v>59</v>
      </c>
      <c r="G319" s="138" t="n">
        <v>16.63</v>
      </c>
      <c r="H319" s="138" t="s">
        <v>73</v>
      </c>
    </row>
    <row r="320" customFormat="false" ht="15" hidden="false" customHeight="false" outlineLevel="0" collapsed="false">
      <c r="A320" s="138" t="s">
        <v>5174</v>
      </c>
      <c r="B320" s="138" t="s">
        <v>3137</v>
      </c>
      <c r="C320" s="138" t="s">
        <v>5440</v>
      </c>
      <c r="D320" s="138" t="n">
        <v>634.641</v>
      </c>
      <c r="E320" s="138" t="n">
        <v>634.7055</v>
      </c>
      <c r="F320" s="138" t="s">
        <v>60</v>
      </c>
      <c r="G320" s="138" t="n">
        <v>3.77</v>
      </c>
      <c r="H320" s="138" t="s">
        <v>73</v>
      </c>
    </row>
    <row r="321" customFormat="false" ht="15" hidden="false" customHeight="false" outlineLevel="0" collapsed="false">
      <c r="A321" s="138" t="s">
        <v>5174</v>
      </c>
      <c r="B321" s="138" t="s">
        <v>5441</v>
      </c>
      <c r="C321" s="138" t="s">
        <v>5442</v>
      </c>
      <c r="D321" s="138" t="n">
        <v>634.632</v>
      </c>
      <c r="E321" s="138" t="n">
        <v>634.6475</v>
      </c>
      <c r="F321" s="138" t="s">
        <v>60</v>
      </c>
      <c r="G321" s="138" t="n">
        <v>0.24</v>
      </c>
      <c r="H321" s="138" t="s">
        <v>73</v>
      </c>
    </row>
    <row r="322" customFormat="false" ht="15" hidden="false" customHeight="false" outlineLevel="0" collapsed="false">
      <c r="A322" s="138" t="s">
        <v>5174</v>
      </c>
      <c r="B322" s="138" t="s">
        <v>5443</v>
      </c>
      <c r="C322" s="138" t="s">
        <v>5444</v>
      </c>
      <c r="D322" s="138" t="n">
        <v>635.205</v>
      </c>
      <c r="E322" s="138" t="n">
        <v>635.574</v>
      </c>
      <c r="F322" s="138" t="s">
        <v>59</v>
      </c>
      <c r="G322" s="138" t="n">
        <v>26.83</v>
      </c>
      <c r="H322" s="138" t="s">
        <v>73</v>
      </c>
    </row>
    <row r="323" customFormat="false" ht="15" hidden="false" customHeight="false" outlineLevel="0" collapsed="false">
      <c r="A323" s="138" t="s">
        <v>5174</v>
      </c>
      <c r="B323" s="138" t="s">
        <v>2311</v>
      </c>
      <c r="C323" s="138" t="s">
        <v>3151</v>
      </c>
      <c r="D323" s="138" t="n">
        <v>636</v>
      </c>
      <c r="E323" s="138" t="n">
        <v>642.79085</v>
      </c>
      <c r="F323" s="138" t="s">
        <v>59</v>
      </c>
      <c r="G323" s="138" t="n">
        <v>91.78</v>
      </c>
      <c r="H323" s="138" t="s">
        <v>73</v>
      </c>
    </row>
    <row r="324" customFormat="false" ht="15" hidden="false" customHeight="false" outlineLevel="0" collapsed="false">
      <c r="A324" s="138" t="s">
        <v>5174</v>
      </c>
      <c r="B324" s="138" t="s">
        <v>5445</v>
      </c>
      <c r="C324" s="138" t="s">
        <v>5446</v>
      </c>
      <c r="D324" s="138" t="n">
        <v>639.126</v>
      </c>
      <c r="E324" s="138" t="n">
        <v>639.2065</v>
      </c>
      <c r="F324" s="138" t="s">
        <v>60</v>
      </c>
      <c r="G324" s="138" t="n">
        <v>2.99</v>
      </c>
      <c r="H324" s="138" t="s">
        <v>73</v>
      </c>
    </row>
    <row r="325" customFormat="false" ht="15" hidden="false" customHeight="false" outlineLevel="0" collapsed="false">
      <c r="A325" s="138" t="s">
        <v>5174</v>
      </c>
      <c r="B325" s="138" t="s">
        <v>5447</v>
      </c>
      <c r="C325" s="138" t="s">
        <v>5448</v>
      </c>
      <c r="D325" s="138" t="n">
        <v>639.4975</v>
      </c>
      <c r="E325" s="138" t="n">
        <v>639.554</v>
      </c>
      <c r="F325" s="138" t="s">
        <v>60</v>
      </c>
      <c r="G325" s="138" t="n">
        <v>3.89</v>
      </c>
      <c r="H325" s="138" t="s">
        <v>73</v>
      </c>
    </row>
    <row r="326" customFormat="false" ht="15" hidden="false" customHeight="false" outlineLevel="0" collapsed="false">
      <c r="A326" s="138" t="s">
        <v>5174</v>
      </c>
      <c r="B326" s="138" t="s">
        <v>5449</v>
      </c>
      <c r="C326" s="138" t="s">
        <v>2317</v>
      </c>
      <c r="D326" s="138" t="n">
        <v>640.8</v>
      </c>
      <c r="E326" s="138" t="n">
        <v>641</v>
      </c>
      <c r="F326" s="138" t="s">
        <v>60</v>
      </c>
      <c r="G326" s="138" t="n">
        <v>0.8</v>
      </c>
      <c r="H326" s="138" t="s">
        <v>73</v>
      </c>
    </row>
    <row r="327" customFormat="false" ht="15" hidden="false" customHeight="false" outlineLevel="0" collapsed="false">
      <c r="A327" s="138" t="s">
        <v>5450</v>
      </c>
      <c r="B327" s="138" t="s">
        <v>1568</v>
      </c>
      <c r="C327" s="138" t="s">
        <v>5451</v>
      </c>
      <c r="D327" s="138" t="n">
        <v>0</v>
      </c>
      <c r="E327" s="138" t="n">
        <v>41.5055</v>
      </c>
      <c r="F327" s="138" t="s">
        <v>60</v>
      </c>
      <c r="G327" s="138" t="n">
        <v>1937</v>
      </c>
      <c r="H327" s="138" t="s">
        <v>73</v>
      </c>
    </row>
    <row r="328" customFormat="false" ht="15" hidden="false" customHeight="false" outlineLevel="0" collapsed="false">
      <c r="A328" s="138" t="s">
        <v>5450</v>
      </c>
      <c r="B328" s="138" t="s">
        <v>1568</v>
      </c>
      <c r="C328" s="138" t="s">
        <v>5452</v>
      </c>
      <c r="D328" s="138" t="n">
        <v>0</v>
      </c>
      <c r="E328" s="138" t="n">
        <v>49.915</v>
      </c>
      <c r="F328" s="138" t="s">
        <v>59</v>
      </c>
      <c r="G328" s="138" t="n">
        <v>2556</v>
      </c>
      <c r="H328" s="138" t="s">
        <v>73</v>
      </c>
    </row>
    <row r="329" customFormat="false" ht="15" hidden="false" customHeight="false" outlineLevel="0" collapsed="false">
      <c r="A329" s="138" t="s">
        <v>5450</v>
      </c>
      <c r="B329" s="138" t="s">
        <v>5453</v>
      </c>
      <c r="C329" s="138" t="s">
        <v>5454</v>
      </c>
      <c r="D329" s="138" t="n">
        <v>41.182</v>
      </c>
      <c r="E329" s="138" t="n">
        <v>95.7335</v>
      </c>
      <c r="F329" s="138" t="s">
        <v>60</v>
      </c>
      <c r="G329" s="138" t="n">
        <v>2312</v>
      </c>
      <c r="H329" s="138" t="s">
        <v>73</v>
      </c>
    </row>
    <row r="330" customFormat="false" ht="15" hidden="false" customHeight="false" outlineLevel="0" collapsed="false">
      <c r="A330" s="138" t="s">
        <v>5450</v>
      </c>
      <c r="B330" s="138" t="s">
        <v>5455</v>
      </c>
      <c r="C330" s="138" t="s">
        <v>2517</v>
      </c>
      <c r="D330" s="138" t="n">
        <v>49.864</v>
      </c>
      <c r="E330" s="138" t="n">
        <v>118.0445</v>
      </c>
      <c r="F330" s="138" t="s">
        <v>59</v>
      </c>
      <c r="G330" s="138" t="n">
        <v>2885</v>
      </c>
      <c r="H330" s="138" t="s">
        <v>73</v>
      </c>
    </row>
    <row r="331" customFormat="false" ht="15" hidden="false" customHeight="false" outlineLevel="0" collapsed="false">
      <c r="A331" s="138" t="s">
        <v>5450</v>
      </c>
      <c r="B331" s="138" t="s">
        <v>5456</v>
      </c>
      <c r="C331" s="138" t="s">
        <v>5457</v>
      </c>
      <c r="D331" s="138" t="n">
        <v>95.945</v>
      </c>
      <c r="E331" s="138" t="n">
        <v>122.9055</v>
      </c>
      <c r="F331" s="138" t="s">
        <v>60</v>
      </c>
      <c r="G331" s="138" t="n">
        <v>1301</v>
      </c>
      <c r="H331" s="138" t="s">
        <v>73</v>
      </c>
    </row>
    <row r="332" customFormat="false" ht="15" hidden="false" customHeight="false" outlineLevel="0" collapsed="false">
      <c r="A332" s="138" t="s">
        <v>5450</v>
      </c>
      <c r="B332" s="138" t="s">
        <v>5458</v>
      </c>
      <c r="C332" s="138" t="s">
        <v>5459</v>
      </c>
      <c r="D332" s="138" t="n">
        <v>118.517</v>
      </c>
      <c r="E332" s="138" t="n">
        <v>122.204</v>
      </c>
      <c r="F332" s="138" t="s">
        <v>59</v>
      </c>
      <c r="G332" s="138" t="n">
        <v>235</v>
      </c>
      <c r="H332" s="138" t="s">
        <v>73</v>
      </c>
    </row>
    <row r="333" customFormat="false" ht="15" hidden="false" customHeight="false" outlineLevel="0" collapsed="false">
      <c r="A333" s="138" t="s">
        <v>5450</v>
      </c>
      <c r="B333" s="138" t="s">
        <v>5460</v>
      </c>
      <c r="C333" s="138" t="s">
        <v>5461</v>
      </c>
      <c r="D333" s="138" t="n">
        <v>121.8515</v>
      </c>
      <c r="E333" s="138" t="n">
        <v>173.5455</v>
      </c>
      <c r="F333" s="138" t="s">
        <v>59</v>
      </c>
      <c r="G333" s="138" t="n">
        <v>2530</v>
      </c>
      <c r="H333" s="138" t="s">
        <v>73</v>
      </c>
    </row>
    <row r="334" customFormat="false" ht="15" hidden="false" customHeight="false" outlineLevel="0" collapsed="false">
      <c r="A334" s="138" t="s">
        <v>5450</v>
      </c>
      <c r="B334" s="138" t="s">
        <v>5462</v>
      </c>
      <c r="C334" s="138" t="s">
        <v>5463</v>
      </c>
      <c r="D334" s="138" t="n">
        <v>123.058</v>
      </c>
      <c r="E334" s="138" t="n">
        <v>154.1065</v>
      </c>
      <c r="F334" s="138" t="s">
        <v>60</v>
      </c>
      <c r="G334" s="138" t="n">
        <v>1536</v>
      </c>
      <c r="H334" s="138" t="s">
        <v>73</v>
      </c>
    </row>
    <row r="335" customFormat="false" ht="15" hidden="false" customHeight="false" outlineLevel="0" collapsed="false">
      <c r="A335" s="138" t="s">
        <v>5450</v>
      </c>
      <c r="B335" s="138" t="s">
        <v>5464</v>
      </c>
      <c r="C335" s="138" t="s">
        <v>5465</v>
      </c>
      <c r="D335" s="138" t="n">
        <v>154.0125</v>
      </c>
      <c r="E335" s="138" t="n">
        <v>170.0145</v>
      </c>
      <c r="F335" s="138" t="s">
        <v>60</v>
      </c>
      <c r="G335" s="138" t="n">
        <v>658</v>
      </c>
      <c r="H335" s="138" t="s">
        <v>73</v>
      </c>
    </row>
    <row r="336" customFormat="false" ht="15" hidden="false" customHeight="false" outlineLevel="0" collapsed="false">
      <c r="A336" s="138" t="s">
        <v>5450</v>
      </c>
      <c r="B336" s="138" t="s">
        <v>5466</v>
      </c>
      <c r="C336" s="138" t="s">
        <v>5467</v>
      </c>
      <c r="D336" s="138" t="n">
        <v>170.541</v>
      </c>
      <c r="E336" s="138" t="n">
        <v>205.8255</v>
      </c>
      <c r="F336" s="138" t="s">
        <v>60</v>
      </c>
      <c r="G336" s="138" t="n">
        <v>1776</v>
      </c>
      <c r="H336" s="138" t="s">
        <v>73</v>
      </c>
    </row>
    <row r="337" customFormat="false" ht="15" hidden="false" customHeight="false" outlineLevel="0" collapsed="false">
      <c r="A337" s="138" t="s">
        <v>5450</v>
      </c>
      <c r="B337" s="138" t="s">
        <v>5468</v>
      </c>
      <c r="C337" s="138" t="s">
        <v>5469</v>
      </c>
      <c r="D337" s="138" t="n">
        <v>173.9365</v>
      </c>
      <c r="E337" s="138" t="n">
        <v>178.811</v>
      </c>
      <c r="F337" s="138" t="s">
        <v>59</v>
      </c>
      <c r="G337" s="138" t="n">
        <v>326</v>
      </c>
      <c r="H337" s="138" t="s">
        <v>73</v>
      </c>
    </row>
    <row r="338" customFormat="false" ht="15" hidden="false" customHeight="false" outlineLevel="0" collapsed="false">
      <c r="A338" s="138" t="s">
        <v>5450</v>
      </c>
      <c r="B338" s="138" t="s">
        <v>1828</v>
      </c>
      <c r="C338" s="138" t="s">
        <v>5470</v>
      </c>
      <c r="D338" s="138" t="n">
        <v>179</v>
      </c>
      <c r="E338" s="138" t="n">
        <v>195.4185</v>
      </c>
      <c r="F338" s="138" t="s">
        <v>59</v>
      </c>
      <c r="G338" s="138" t="n">
        <v>842</v>
      </c>
      <c r="H338" s="138" t="s">
        <v>73</v>
      </c>
    </row>
    <row r="339" customFormat="false" ht="15" hidden="false" customHeight="false" outlineLevel="0" collapsed="false">
      <c r="A339" s="138" t="s">
        <v>5450</v>
      </c>
      <c r="B339" s="138" t="s">
        <v>5471</v>
      </c>
      <c r="C339" s="138" t="s">
        <v>5472</v>
      </c>
      <c r="D339" s="138" t="n">
        <v>195.725</v>
      </c>
      <c r="E339" s="138" t="n">
        <v>207.751</v>
      </c>
      <c r="F339" s="138" t="s">
        <v>59</v>
      </c>
      <c r="G339" s="138" t="n">
        <v>577</v>
      </c>
      <c r="H339" s="138" t="s">
        <v>73</v>
      </c>
    </row>
    <row r="340" customFormat="false" ht="15" hidden="false" customHeight="false" outlineLevel="0" collapsed="false">
      <c r="A340" s="138" t="s">
        <v>5450</v>
      </c>
      <c r="B340" s="138" t="s">
        <v>5473</v>
      </c>
      <c r="C340" s="138" t="s">
        <v>5474</v>
      </c>
      <c r="D340" s="138" t="n">
        <v>206.039</v>
      </c>
      <c r="E340" s="138" t="n">
        <v>211.844</v>
      </c>
      <c r="F340" s="138" t="s">
        <v>60</v>
      </c>
      <c r="G340" s="138" t="n">
        <v>346</v>
      </c>
      <c r="H340" s="138" t="s">
        <v>73</v>
      </c>
    </row>
    <row r="341" customFormat="false" ht="15" hidden="false" customHeight="false" outlineLevel="0" collapsed="false">
      <c r="A341" s="138" t="s">
        <v>5450</v>
      </c>
      <c r="B341" s="138" t="s">
        <v>5475</v>
      </c>
      <c r="C341" s="138" t="s">
        <v>5053</v>
      </c>
      <c r="D341" s="138" t="n">
        <v>207.411</v>
      </c>
      <c r="E341" s="138" t="n">
        <v>235.4</v>
      </c>
      <c r="F341" s="138" t="s">
        <v>59</v>
      </c>
      <c r="G341" s="138" t="n">
        <v>1638</v>
      </c>
      <c r="H341" s="138" t="s">
        <v>73</v>
      </c>
    </row>
    <row r="342" customFormat="false" ht="15" hidden="false" customHeight="false" outlineLevel="0" collapsed="false">
      <c r="A342" s="138" t="s">
        <v>5450</v>
      </c>
      <c r="B342" s="138" t="s">
        <v>5476</v>
      </c>
      <c r="C342" s="138" t="s">
        <v>5477</v>
      </c>
      <c r="D342" s="138" t="n">
        <v>211.84</v>
      </c>
      <c r="E342" s="138" t="n">
        <v>226.597</v>
      </c>
      <c r="F342" s="138" t="s">
        <v>60</v>
      </c>
      <c r="G342" s="138" t="n">
        <v>880</v>
      </c>
      <c r="H342" s="138" t="s">
        <v>73</v>
      </c>
    </row>
    <row r="343" customFormat="false" ht="15" hidden="false" customHeight="false" outlineLevel="0" collapsed="false">
      <c r="A343" s="138" t="s">
        <v>5450</v>
      </c>
      <c r="B343" s="138" t="s">
        <v>2627</v>
      </c>
      <c r="C343" s="138" t="s">
        <v>5478</v>
      </c>
      <c r="D343" s="138" t="n">
        <v>227.21</v>
      </c>
      <c r="E343" s="138" t="n">
        <v>230.589</v>
      </c>
      <c r="F343" s="138" t="s">
        <v>60</v>
      </c>
      <c r="G343" s="138" t="n">
        <v>201</v>
      </c>
      <c r="H343" s="138" t="s">
        <v>73</v>
      </c>
    </row>
    <row r="344" customFormat="false" ht="15" hidden="false" customHeight="false" outlineLevel="0" collapsed="false">
      <c r="A344" s="138" t="s">
        <v>5450</v>
      </c>
      <c r="B344" s="138" t="s">
        <v>5479</v>
      </c>
      <c r="C344" s="138" t="s">
        <v>5480</v>
      </c>
      <c r="D344" s="138" t="n">
        <v>230.7485</v>
      </c>
      <c r="E344" s="138" t="n">
        <v>232.5095</v>
      </c>
      <c r="F344" s="138" t="s">
        <v>60</v>
      </c>
      <c r="G344" s="138" t="n">
        <v>97</v>
      </c>
      <c r="H344" s="138" t="s">
        <v>73</v>
      </c>
    </row>
    <row r="345" customFormat="false" ht="15" hidden="false" customHeight="false" outlineLevel="0" collapsed="false">
      <c r="A345" s="138" t="s">
        <v>5450</v>
      </c>
      <c r="B345" s="138" t="s">
        <v>5481</v>
      </c>
      <c r="C345" s="138" t="s">
        <v>5053</v>
      </c>
      <c r="D345" s="138" t="n">
        <v>232.617</v>
      </c>
      <c r="E345" s="138" t="n">
        <v>235.4</v>
      </c>
      <c r="F345" s="138" t="s">
        <v>60</v>
      </c>
      <c r="G345" s="138" t="n">
        <v>110</v>
      </c>
      <c r="H345" s="138" t="s">
        <v>73</v>
      </c>
    </row>
    <row r="346" customFormat="false" ht="15" hidden="false" customHeight="false" outlineLevel="0" collapsed="false">
      <c r="A346" s="138" t="s">
        <v>5450</v>
      </c>
      <c r="B346" s="138" t="s">
        <v>1890</v>
      </c>
      <c r="C346" s="138" t="s">
        <v>5482</v>
      </c>
      <c r="D346" s="138" t="n">
        <v>237</v>
      </c>
      <c r="E346" s="138" t="n">
        <v>255.226</v>
      </c>
      <c r="F346" s="138" t="s">
        <v>60</v>
      </c>
      <c r="G346" s="138" t="n">
        <v>715</v>
      </c>
      <c r="H346" s="138" t="s">
        <v>73</v>
      </c>
    </row>
    <row r="347" customFormat="false" ht="15" hidden="false" customHeight="false" outlineLevel="0" collapsed="false">
      <c r="A347" s="138" t="s">
        <v>5450</v>
      </c>
      <c r="B347" s="138" t="s">
        <v>1890</v>
      </c>
      <c r="C347" s="138" t="s">
        <v>5483</v>
      </c>
      <c r="D347" s="138" t="n">
        <v>237</v>
      </c>
      <c r="E347" s="138" t="n">
        <v>252.5335</v>
      </c>
      <c r="F347" s="138" t="s">
        <v>59</v>
      </c>
      <c r="G347" s="138" t="n">
        <v>662</v>
      </c>
      <c r="H347" s="138" t="s">
        <v>73</v>
      </c>
    </row>
    <row r="348" customFormat="false" ht="15" hidden="false" customHeight="false" outlineLevel="0" collapsed="false">
      <c r="A348" s="138" t="s">
        <v>5450</v>
      </c>
      <c r="B348" s="138" t="s">
        <v>5484</v>
      </c>
      <c r="C348" s="138" t="s">
        <v>5485</v>
      </c>
      <c r="D348" s="138" t="n">
        <v>252.532</v>
      </c>
      <c r="E348" s="138" t="n">
        <v>258.2985</v>
      </c>
      <c r="F348" s="138" t="s">
        <v>59</v>
      </c>
      <c r="G348" s="138" t="n">
        <v>278</v>
      </c>
      <c r="H348" s="138" t="s">
        <v>73</v>
      </c>
    </row>
    <row r="349" customFormat="false" ht="15" hidden="false" customHeight="false" outlineLevel="0" collapsed="false">
      <c r="A349" s="138" t="s">
        <v>5450</v>
      </c>
      <c r="B349" s="138" t="s">
        <v>5486</v>
      </c>
      <c r="C349" s="138" t="s">
        <v>5487</v>
      </c>
      <c r="D349" s="138" t="n">
        <v>255.713</v>
      </c>
      <c r="E349" s="138" t="n">
        <v>259.822</v>
      </c>
      <c r="F349" s="138" t="s">
        <v>60</v>
      </c>
      <c r="G349" s="138" t="n">
        <v>240</v>
      </c>
      <c r="H349" s="138" t="s">
        <v>73</v>
      </c>
    </row>
    <row r="350" customFormat="false" ht="15" hidden="false" customHeight="false" outlineLevel="0" collapsed="false">
      <c r="A350" s="138" t="s">
        <v>5450</v>
      </c>
      <c r="B350" s="138" t="s">
        <v>5247</v>
      </c>
      <c r="C350" s="138" t="s">
        <v>5488</v>
      </c>
      <c r="D350" s="138" t="n">
        <v>258.294</v>
      </c>
      <c r="E350" s="138" t="n">
        <v>258.6355</v>
      </c>
      <c r="F350" s="138" t="s">
        <v>59</v>
      </c>
      <c r="G350" s="138" t="n">
        <v>51</v>
      </c>
      <c r="H350" s="138" t="s">
        <v>73</v>
      </c>
    </row>
    <row r="351" customFormat="false" ht="15" hidden="false" customHeight="false" outlineLevel="0" collapsed="false">
      <c r="A351" s="138" t="s">
        <v>5450</v>
      </c>
      <c r="B351" s="138" t="s">
        <v>5489</v>
      </c>
      <c r="C351" s="138" t="s">
        <v>5490</v>
      </c>
      <c r="D351" s="138" t="n">
        <v>258.558</v>
      </c>
      <c r="E351" s="138" t="n">
        <v>259.368</v>
      </c>
      <c r="F351" s="138" t="s">
        <v>59</v>
      </c>
      <c r="G351" s="138" t="n">
        <v>46</v>
      </c>
      <c r="H351" s="138" t="s">
        <v>73</v>
      </c>
    </row>
    <row r="352" customFormat="false" ht="15" hidden="false" customHeight="false" outlineLevel="0" collapsed="false">
      <c r="A352" s="138" t="s">
        <v>5450</v>
      </c>
      <c r="B352" s="138" t="s">
        <v>5491</v>
      </c>
      <c r="C352" s="138" t="s">
        <v>5256</v>
      </c>
      <c r="D352" s="138" t="n">
        <v>259.334</v>
      </c>
      <c r="E352" s="138" t="n">
        <v>259.7255</v>
      </c>
      <c r="F352" s="138" t="s">
        <v>59</v>
      </c>
      <c r="G352" s="138" t="n">
        <v>54</v>
      </c>
      <c r="H352" s="138" t="s">
        <v>73</v>
      </c>
    </row>
    <row r="353" customFormat="false" ht="15" hidden="false" customHeight="false" outlineLevel="0" collapsed="false">
      <c r="A353" s="138" t="s">
        <v>5450</v>
      </c>
      <c r="B353" s="138" t="s">
        <v>5492</v>
      </c>
      <c r="C353" s="138" t="s">
        <v>5493</v>
      </c>
      <c r="D353" s="138" t="n">
        <v>259.6235</v>
      </c>
      <c r="E353" s="138" t="n">
        <v>325.374</v>
      </c>
      <c r="F353" s="138" t="s">
        <v>59</v>
      </c>
      <c r="G353" s="138" t="n">
        <v>2714</v>
      </c>
      <c r="H353" s="138" t="s">
        <v>73</v>
      </c>
    </row>
    <row r="354" customFormat="false" ht="15" hidden="false" customHeight="false" outlineLevel="0" collapsed="false">
      <c r="A354" s="138" t="s">
        <v>5450</v>
      </c>
      <c r="B354" s="138" t="s">
        <v>5494</v>
      </c>
      <c r="C354" s="138" t="s">
        <v>5495</v>
      </c>
      <c r="D354" s="138" t="n">
        <v>259.7115</v>
      </c>
      <c r="E354" s="138" t="n">
        <v>312.0475</v>
      </c>
      <c r="F354" s="138" t="s">
        <v>60</v>
      </c>
      <c r="G354" s="138" t="n">
        <v>2516</v>
      </c>
      <c r="H354" s="138" t="s">
        <v>73</v>
      </c>
    </row>
    <row r="355" customFormat="false" ht="15" hidden="false" customHeight="false" outlineLevel="0" collapsed="false">
      <c r="A355" s="138" t="s">
        <v>5450</v>
      </c>
      <c r="B355" s="138" t="s">
        <v>5496</v>
      </c>
      <c r="C355" s="138" t="s">
        <v>5497</v>
      </c>
      <c r="D355" s="138" t="n">
        <v>312.2935</v>
      </c>
      <c r="E355" s="138" t="n">
        <v>316.341</v>
      </c>
      <c r="F355" s="138" t="s">
        <v>60</v>
      </c>
      <c r="G355" s="138" t="n">
        <v>172</v>
      </c>
      <c r="H355" s="138" t="s">
        <v>73</v>
      </c>
    </row>
    <row r="356" customFormat="false" ht="15" hidden="false" customHeight="false" outlineLevel="0" collapsed="false">
      <c r="A356" s="138" t="s">
        <v>5450</v>
      </c>
      <c r="B356" s="138" t="s">
        <v>5498</v>
      </c>
      <c r="C356" s="138" t="s">
        <v>5499</v>
      </c>
      <c r="D356" s="138" t="n">
        <v>315.866</v>
      </c>
      <c r="E356" s="138" t="n">
        <v>340.0265</v>
      </c>
      <c r="F356" s="138" t="s">
        <v>60</v>
      </c>
      <c r="G356" s="138" t="n">
        <v>977</v>
      </c>
      <c r="H356" s="138" t="s">
        <v>73</v>
      </c>
    </row>
    <row r="357" customFormat="false" ht="15" hidden="false" customHeight="false" outlineLevel="0" collapsed="false">
      <c r="A357" s="138" t="s">
        <v>5450</v>
      </c>
      <c r="B357" s="138" t="s">
        <v>5500</v>
      </c>
      <c r="C357" s="138" t="s">
        <v>5501</v>
      </c>
      <c r="D357" s="138" t="n">
        <v>322.6265</v>
      </c>
      <c r="E357" s="138" t="n">
        <v>359.2765</v>
      </c>
      <c r="F357" s="138" t="s">
        <v>59</v>
      </c>
      <c r="G357" s="138" t="n">
        <v>1788</v>
      </c>
      <c r="H357" s="138" t="s">
        <v>73</v>
      </c>
    </row>
    <row r="358" customFormat="false" ht="15" hidden="false" customHeight="false" outlineLevel="0" collapsed="false">
      <c r="A358" s="138" t="s">
        <v>5450</v>
      </c>
      <c r="B358" s="138" t="s">
        <v>5502</v>
      </c>
      <c r="C358" s="138" t="s">
        <v>5503</v>
      </c>
      <c r="D358" s="138" t="n">
        <v>340.121</v>
      </c>
      <c r="E358" s="138" t="n">
        <v>350.869</v>
      </c>
      <c r="F358" s="138" t="s">
        <v>60</v>
      </c>
      <c r="G358" s="138" t="n">
        <v>475</v>
      </c>
      <c r="H358" s="138" t="s">
        <v>73</v>
      </c>
    </row>
    <row r="359" customFormat="false" ht="15" hidden="false" customHeight="false" outlineLevel="0" collapsed="false">
      <c r="A359" s="138" t="s">
        <v>5450</v>
      </c>
      <c r="B359" s="138" t="s">
        <v>5504</v>
      </c>
      <c r="C359" s="138" t="s">
        <v>5505</v>
      </c>
      <c r="D359" s="138" t="n">
        <v>349.8515</v>
      </c>
      <c r="E359" s="138" t="n">
        <v>362.574</v>
      </c>
      <c r="F359" s="138" t="s">
        <v>60</v>
      </c>
      <c r="G359" s="138" t="n">
        <v>721</v>
      </c>
      <c r="H359" s="138" t="s">
        <v>73</v>
      </c>
    </row>
    <row r="360" customFormat="false" ht="15" hidden="false" customHeight="false" outlineLevel="0" collapsed="false">
      <c r="A360" s="138" t="s">
        <v>5450</v>
      </c>
      <c r="B360" s="138" t="s">
        <v>5506</v>
      </c>
      <c r="C360" s="138" t="s">
        <v>5507</v>
      </c>
      <c r="D360" s="138" t="n">
        <v>359.3885</v>
      </c>
      <c r="E360" s="138" t="n">
        <v>362.5735</v>
      </c>
      <c r="F360" s="138" t="s">
        <v>59</v>
      </c>
      <c r="G360" s="138" t="n">
        <v>202</v>
      </c>
      <c r="H360" s="138" t="s">
        <v>73</v>
      </c>
    </row>
    <row r="361" customFormat="false" ht="15" hidden="false" customHeight="false" outlineLevel="0" collapsed="false">
      <c r="A361" s="138" t="s">
        <v>5450</v>
      </c>
      <c r="B361" s="138" t="s">
        <v>5508</v>
      </c>
      <c r="C361" s="138" t="s">
        <v>5509</v>
      </c>
      <c r="D361" s="138" t="n">
        <v>362.924</v>
      </c>
      <c r="E361" s="138" t="n">
        <v>410.632</v>
      </c>
      <c r="F361" s="138" t="s">
        <v>59</v>
      </c>
      <c r="G361" s="138" t="n">
        <v>2419</v>
      </c>
      <c r="H361" s="138" t="s">
        <v>73</v>
      </c>
    </row>
    <row r="362" customFormat="false" ht="15" hidden="false" customHeight="false" outlineLevel="0" collapsed="false">
      <c r="A362" s="138" t="s">
        <v>5450</v>
      </c>
      <c r="B362" s="138" t="s">
        <v>5510</v>
      </c>
      <c r="C362" s="138" t="s">
        <v>5511</v>
      </c>
      <c r="D362" s="138" t="n">
        <v>363.261</v>
      </c>
      <c r="E362" s="138" t="n">
        <v>397.079</v>
      </c>
      <c r="F362" s="138" t="s">
        <v>60</v>
      </c>
      <c r="G362" s="138" t="n">
        <v>1496</v>
      </c>
      <c r="H362" s="138" t="s">
        <v>73</v>
      </c>
    </row>
    <row r="363" customFormat="false" ht="15" hidden="false" customHeight="false" outlineLevel="0" collapsed="false">
      <c r="A363" s="138" t="s">
        <v>5450</v>
      </c>
      <c r="B363" s="138" t="s">
        <v>5512</v>
      </c>
      <c r="C363" s="138" t="s">
        <v>5513</v>
      </c>
      <c r="D363" s="138" t="n">
        <v>396.811</v>
      </c>
      <c r="E363" s="138" t="n">
        <v>413.197</v>
      </c>
      <c r="F363" s="138" t="s">
        <v>60</v>
      </c>
      <c r="G363" s="138" t="n">
        <v>588</v>
      </c>
      <c r="H363" s="138" t="s">
        <v>73</v>
      </c>
    </row>
    <row r="364" customFormat="false" ht="15" hidden="false" customHeight="false" outlineLevel="0" collapsed="false">
      <c r="A364" s="138" t="s">
        <v>5450</v>
      </c>
      <c r="B364" s="138" t="s">
        <v>5514</v>
      </c>
      <c r="C364" s="138" t="s">
        <v>5515</v>
      </c>
      <c r="D364" s="138" t="n">
        <v>410.858</v>
      </c>
      <c r="E364" s="138" t="n">
        <v>419.2525</v>
      </c>
      <c r="F364" s="138" t="s">
        <v>59</v>
      </c>
      <c r="G364" s="138" t="n">
        <v>386</v>
      </c>
      <c r="H364" s="138" t="s">
        <v>73</v>
      </c>
    </row>
    <row r="365" customFormat="false" ht="15" hidden="false" customHeight="false" outlineLevel="0" collapsed="false">
      <c r="A365" s="138" t="s">
        <v>5450</v>
      </c>
      <c r="B365" s="138" t="s">
        <v>5516</v>
      </c>
      <c r="C365" s="138" t="s">
        <v>5517</v>
      </c>
      <c r="D365" s="138" t="n">
        <v>413.473</v>
      </c>
      <c r="E365" s="138" t="n">
        <v>454.764</v>
      </c>
      <c r="F365" s="138" t="s">
        <v>60</v>
      </c>
      <c r="G365" s="138" t="n">
        <v>1506</v>
      </c>
      <c r="H365" s="138" t="s">
        <v>73</v>
      </c>
    </row>
    <row r="366" customFormat="false" ht="15" hidden="false" customHeight="false" outlineLevel="0" collapsed="false">
      <c r="A366" s="138" t="s">
        <v>5450</v>
      </c>
      <c r="B366" s="138" t="s">
        <v>5518</v>
      </c>
      <c r="C366" s="138" t="s">
        <v>5519</v>
      </c>
      <c r="D366" s="138" t="n">
        <v>418.957</v>
      </c>
      <c r="E366" s="138" t="n">
        <v>425.192</v>
      </c>
      <c r="F366" s="138" t="s">
        <v>59</v>
      </c>
      <c r="G366" s="138" t="n">
        <v>304</v>
      </c>
      <c r="H366" s="138" t="s">
        <v>73</v>
      </c>
    </row>
    <row r="367" customFormat="false" ht="15" hidden="false" customHeight="false" outlineLevel="0" collapsed="false">
      <c r="A367" s="138" t="s">
        <v>5450</v>
      </c>
      <c r="B367" s="138" t="s">
        <v>5520</v>
      </c>
      <c r="C367" s="138" t="s">
        <v>5521</v>
      </c>
      <c r="D367" s="138" t="n">
        <v>425.738</v>
      </c>
      <c r="E367" s="138" t="n">
        <v>435.552</v>
      </c>
      <c r="F367" s="138" t="s">
        <v>59</v>
      </c>
      <c r="G367" s="138" t="n">
        <v>883</v>
      </c>
      <c r="H367" s="138" t="s">
        <v>73</v>
      </c>
    </row>
    <row r="368" customFormat="false" ht="15" hidden="false" customHeight="false" outlineLevel="0" collapsed="false">
      <c r="A368" s="138" t="s">
        <v>5450</v>
      </c>
      <c r="B368" s="138" t="s">
        <v>5522</v>
      </c>
      <c r="C368" s="138" t="s">
        <v>5523</v>
      </c>
      <c r="D368" s="138" t="n">
        <v>435.0575</v>
      </c>
      <c r="E368" s="138" t="n">
        <v>439.063</v>
      </c>
      <c r="F368" s="138" t="s">
        <v>60</v>
      </c>
      <c r="G368" s="138" t="n">
        <v>241</v>
      </c>
      <c r="H368" s="138" t="s">
        <v>73</v>
      </c>
    </row>
    <row r="369" customFormat="false" ht="15" hidden="false" customHeight="false" outlineLevel="0" collapsed="false">
      <c r="A369" s="138" t="s">
        <v>5450</v>
      </c>
      <c r="B369" s="138" t="s">
        <v>5524</v>
      </c>
      <c r="C369" s="138" t="s">
        <v>5337</v>
      </c>
      <c r="D369" s="138" t="n">
        <v>435.852</v>
      </c>
      <c r="E369" s="138" t="n">
        <v>464.9095</v>
      </c>
      <c r="F369" s="138" t="s">
        <v>59</v>
      </c>
      <c r="G369" s="138" t="n">
        <v>1818</v>
      </c>
      <c r="H369" s="138" t="s">
        <v>73</v>
      </c>
    </row>
    <row r="370" customFormat="false" ht="15" hidden="false" customHeight="false" outlineLevel="0" collapsed="false">
      <c r="A370" s="138" t="s">
        <v>5450</v>
      </c>
      <c r="B370" s="138" t="s">
        <v>5525</v>
      </c>
      <c r="C370" s="138" t="s">
        <v>5526</v>
      </c>
      <c r="D370" s="138" t="n">
        <v>454.91</v>
      </c>
      <c r="E370" s="138" t="n">
        <v>459.3935</v>
      </c>
      <c r="F370" s="138" t="s">
        <v>60</v>
      </c>
      <c r="G370" s="138" t="n">
        <v>293</v>
      </c>
      <c r="H370" s="138" t="s">
        <v>73</v>
      </c>
    </row>
    <row r="371" customFormat="false" ht="15" hidden="false" customHeight="false" outlineLevel="0" collapsed="false">
      <c r="A371" s="138" t="s">
        <v>5450</v>
      </c>
      <c r="B371" s="138" t="s">
        <v>5527</v>
      </c>
      <c r="C371" s="138" t="s">
        <v>5528</v>
      </c>
      <c r="D371" s="138" t="n">
        <v>459.6055</v>
      </c>
      <c r="E371" s="138" t="n">
        <v>466.2815</v>
      </c>
      <c r="F371" s="138" t="s">
        <v>60</v>
      </c>
      <c r="G371" s="138" t="n">
        <v>386</v>
      </c>
      <c r="H371" s="138" t="s">
        <v>73</v>
      </c>
    </row>
    <row r="372" customFormat="false" ht="15" hidden="false" customHeight="false" outlineLevel="0" collapsed="false">
      <c r="A372" s="138" t="s">
        <v>5450</v>
      </c>
      <c r="B372" s="138" t="s">
        <v>5529</v>
      </c>
      <c r="C372" s="138" t="s">
        <v>5530</v>
      </c>
      <c r="D372" s="138" t="n">
        <v>464.2185</v>
      </c>
      <c r="E372" s="138" t="n">
        <v>475.6125</v>
      </c>
      <c r="F372" s="138" t="s">
        <v>59</v>
      </c>
      <c r="G372" s="138" t="n">
        <v>427</v>
      </c>
      <c r="H372" s="138" t="s">
        <v>73</v>
      </c>
    </row>
    <row r="373" customFormat="false" ht="15" hidden="false" customHeight="false" outlineLevel="0" collapsed="false">
      <c r="A373" s="138" t="s">
        <v>5450</v>
      </c>
      <c r="B373" s="138" t="s">
        <v>5531</v>
      </c>
      <c r="C373" s="138" t="s">
        <v>5532</v>
      </c>
      <c r="D373" s="138" t="n">
        <v>466.0925</v>
      </c>
      <c r="E373" s="138" t="n">
        <v>472.206</v>
      </c>
      <c r="F373" s="138" t="s">
        <v>60</v>
      </c>
      <c r="G373" s="138" t="n">
        <v>240</v>
      </c>
      <c r="H373" s="138" t="s">
        <v>73</v>
      </c>
    </row>
    <row r="374" customFormat="false" ht="15" hidden="false" customHeight="false" outlineLevel="0" collapsed="false">
      <c r="A374" s="138" t="s">
        <v>5450</v>
      </c>
      <c r="B374" s="138" t="s">
        <v>5533</v>
      </c>
      <c r="C374" s="138" t="s">
        <v>5534</v>
      </c>
      <c r="D374" s="138" t="n">
        <v>472.201</v>
      </c>
      <c r="E374" s="138" t="n">
        <v>484.506</v>
      </c>
      <c r="F374" s="138" t="s">
        <v>60</v>
      </c>
      <c r="G374" s="138" t="n">
        <v>495</v>
      </c>
      <c r="H374" s="138" t="s">
        <v>73</v>
      </c>
    </row>
    <row r="375" customFormat="false" ht="15" hidden="false" customHeight="false" outlineLevel="0" collapsed="false">
      <c r="A375" s="138" t="s">
        <v>5450</v>
      </c>
      <c r="B375" s="138" t="s">
        <v>5535</v>
      </c>
      <c r="C375" s="138" t="s">
        <v>5536</v>
      </c>
      <c r="D375" s="138" t="n">
        <v>474.1695</v>
      </c>
      <c r="E375" s="138" t="n">
        <v>509.21</v>
      </c>
      <c r="F375" s="138" t="s">
        <v>59</v>
      </c>
      <c r="G375" s="138" t="n">
        <v>1587</v>
      </c>
      <c r="H375" s="138" t="s">
        <v>73</v>
      </c>
    </row>
    <row r="376" customFormat="false" ht="15" hidden="false" customHeight="false" outlineLevel="0" collapsed="false">
      <c r="A376" s="138" t="s">
        <v>5450</v>
      </c>
      <c r="B376" s="138" t="s">
        <v>5537</v>
      </c>
      <c r="C376" s="138" t="s">
        <v>5538</v>
      </c>
      <c r="D376" s="138" t="n">
        <v>484.3575</v>
      </c>
      <c r="E376" s="138" t="n">
        <v>494.941</v>
      </c>
      <c r="F376" s="138" t="s">
        <v>60</v>
      </c>
      <c r="G376" s="138" t="n">
        <v>455</v>
      </c>
      <c r="H376" s="138" t="s">
        <v>73</v>
      </c>
    </row>
    <row r="377" customFormat="false" ht="15" hidden="false" customHeight="false" outlineLevel="0" collapsed="false">
      <c r="A377" s="138" t="s">
        <v>5450</v>
      </c>
      <c r="B377" s="138" t="s">
        <v>5539</v>
      </c>
      <c r="C377" s="138" t="s">
        <v>5540</v>
      </c>
      <c r="D377" s="138" t="n">
        <v>495.521</v>
      </c>
      <c r="E377" s="138" t="n">
        <v>499.5285</v>
      </c>
      <c r="F377" s="138" t="s">
        <v>60</v>
      </c>
      <c r="G377" s="138" t="n">
        <v>134</v>
      </c>
      <c r="H377" s="138" t="s">
        <v>73</v>
      </c>
    </row>
    <row r="378" customFormat="false" ht="15" hidden="false" customHeight="false" outlineLevel="0" collapsed="false">
      <c r="A378" s="138" t="s">
        <v>5450</v>
      </c>
      <c r="B378" s="138" t="s">
        <v>5541</v>
      </c>
      <c r="C378" s="138" t="s">
        <v>5542</v>
      </c>
      <c r="D378" s="138" t="n">
        <v>500.107</v>
      </c>
      <c r="E378" s="138" t="n">
        <v>561.5795</v>
      </c>
      <c r="F378" s="138" t="s">
        <v>60</v>
      </c>
      <c r="G378" s="138" t="n">
        <v>3463</v>
      </c>
      <c r="H378" s="138" t="s">
        <v>73</v>
      </c>
    </row>
    <row r="379" customFormat="false" ht="15" hidden="false" customHeight="false" outlineLevel="0" collapsed="false">
      <c r="A379" s="138" t="s">
        <v>5450</v>
      </c>
      <c r="B379" s="138" t="s">
        <v>4955</v>
      </c>
      <c r="C379" s="138" t="s">
        <v>5543</v>
      </c>
      <c r="D379" s="138" t="n">
        <v>509.23</v>
      </c>
      <c r="E379" s="138" t="n">
        <v>522.855</v>
      </c>
      <c r="F379" s="138" t="s">
        <v>59</v>
      </c>
      <c r="G379" s="138" t="n">
        <v>683</v>
      </c>
      <c r="H379" s="138" t="s">
        <v>73</v>
      </c>
    </row>
    <row r="380" customFormat="false" ht="15" hidden="false" customHeight="false" outlineLevel="0" collapsed="false">
      <c r="A380" s="138" t="s">
        <v>5450</v>
      </c>
      <c r="B380" s="138" t="s">
        <v>5544</v>
      </c>
      <c r="C380" s="138" t="s">
        <v>5545</v>
      </c>
      <c r="D380" s="138" t="n">
        <v>523.205</v>
      </c>
      <c r="E380" s="138" t="n">
        <v>536.9155</v>
      </c>
      <c r="F380" s="138" t="s">
        <v>59</v>
      </c>
      <c r="G380" s="138" t="n">
        <v>862</v>
      </c>
      <c r="H380" s="138" t="s">
        <v>73</v>
      </c>
    </row>
    <row r="381" customFormat="false" ht="15" hidden="false" customHeight="false" outlineLevel="0" collapsed="false">
      <c r="A381" s="138" t="s">
        <v>5450</v>
      </c>
      <c r="B381" s="138" t="s">
        <v>2208</v>
      </c>
      <c r="C381" s="138" t="s">
        <v>5546</v>
      </c>
      <c r="D381" s="138" t="n">
        <v>537</v>
      </c>
      <c r="E381" s="138" t="n">
        <v>572.232</v>
      </c>
      <c r="F381" s="138" t="s">
        <v>59</v>
      </c>
      <c r="G381" s="138" t="n">
        <v>1675</v>
      </c>
      <c r="H381" s="138" t="s">
        <v>73</v>
      </c>
    </row>
    <row r="382" customFormat="false" ht="15" hidden="false" customHeight="false" outlineLevel="0" collapsed="false">
      <c r="A382" s="138" t="s">
        <v>5450</v>
      </c>
      <c r="B382" s="138" t="s">
        <v>5547</v>
      </c>
      <c r="C382" s="138" t="s">
        <v>5548</v>
      </c>
      <c r="D382" s="138" t="n">
        <v>561.249</v>
      </c>
      <c r="E382" s="138" t="n">
        <v>591.161</v>
      </c>
      <c r="F382" s="138" t="s">
        <v>60</v>
      </c>
      <c r="G382" s="138" t="n">
        <v>1173</v>
      </c>
      <c r="H382" s="138" t="s">
        <v>73</v>
      </c>
    </row>
    <row r="383" customFormat="false" ht="15" hidden="false" customHeight="false" outlineLevel="0" collapsed="false">
      <c r="A383" s="138" t="s">
        <v>5450</v>
      </c>
      <c r="B383" s="138" t="s">
        <v>5549</v>
      </c>
      <c r="C383" s="138" t="s">
        <v>5550</v>
      </c>
      <c r="D383" s="138" t="n">
        <v>572.1865</v>
      </c>
      <c r="E383" s="138" t="n">
        <v>581.964</v>
      </c>
      <c r="F383" s="138" t="s">
        <v>59</v>
      </c>
      <c r="G383" s="138" t="n">
        <v>366</v>
      </c>
      <c r="H383" s="138" t="s">
        <v>73</v>
      </c>
    </row>
    <row r="384" customFormat="false" ht="15" hidden="false" customHeight="false" outlineLevel="0" collapsed="false">
      <c r="A384" s="138" t="s">
        <v>5450</v>
      </c>
      <c r="B384" s="138" t="s">
        <v>5551</v>
      </c>
      <c r="C384" s="138" t="s">
        <v>5552</v>
      </c>
      <c r="D384" s="138" t="n">
        <v>582.2235</v>
      </c>
      <c r="E384" s="138" t="n">
        <v>601.7515</v>
      </c>
      <c r="F384" s="138" t="s">
        <v>59</v>
      </c>
      <c r="G384" s="138" t="n">
        <v>955</v>
      </c>
      <c r="H384" s="138" t="s">
        <v>73</v>
      </c>
    </row>
    <row r="385" customFormat="false" ht="15" hidden="false" customHeight="false" outlineLevel="0" collapsed="false">
      <c r="A385" s="138" t="s">
        <v>5450</v>
      </c>
      <c r="B385" s="138" t="s">
        <v>5553</v>
      </c>
      <c r="C385" s="138" t="s">
        <v>5405</v>
      </c>
      <c r="D385" s="138" t="n">
        <v>590.844</v>
      </c>
      <c r="E385" s="138" t="n">
        <v>598.008</v>
      </c>
      <c r="F385" s="138" t="s">
        <v>60</v>
      </c>
      <c r="G385" s="138" t="n">
        <v>406</v>
      </c>
      <c r="H385" s="138" t="s">
        <v>73</v>
      </c>
    </row>
    <row r="386" customFormat="false" ht="15" hidden="false" customHeight="false" outlineLevel="0" collapsed="false">
      <c r="A386" s="138" t="s">
        <v>5450</v>
      </c>
      <c r="B386" s="138" t="s">
        <v>5407</v>
      </c>
      <c r="C386" s="138" t="s">
        <v>5554</v>
      </c>
      <c r="D386" s="138" t="n">
        <v>598.25</v>
      </c>
      <c r="E386" s="138" t="n">
        <v>622.663</v>
      </c>
      <c r="F386" s="138" t="s">
        <v>60</v>
      </c>
      <c r="G386" s="138" t="n">
        <v>250</v>
      </c>
      <c r="H386" s="138" t="s">
        <v>73</v>
      </c>
    </row>
    <row r="387" customFormat="false" ht="15" hidden="false" customHeight="false" outlineLevel="0" collapsed="false">
      <c r="A387" s="138" t="s">
        <v>5450</v>
      </c>
      <c r="B387" s="138" t="s">
        <v>3853</v>
      </c>
      <c r="C387" s="138" t="s">
        <v>5555</v>
      </c>
      <c r="D387" s="138" t="n">
        <v>600.5775</v>
      </c>
      <c r="E387" s="138" t="n">
        <v>608.3735</v>
      </c>
      <c r="F387" s="138" t="s">
        <v>59</v>
      </c>
      <c r="G387" s="138" t="n">
        <v>84</v>
      </c>
      <c r="H387" s="138" t="s">
        <v>73</v>
      </c>
    </row>
    <row r="388" customFormat="false" ht="15" hidden="false" customHeight="false" outlineLevel="0" collapsed="false">
      <c r="A388" s="138" t="s">
        <v>5450</v>
      </c>
      <c r="B388" s="138" t="s">
        <v>5556</v>
      </c>
      <c r="C388" s="138" t="s">
        <v>5557</v>
      </c>
      <c r="D388" s="138" t="n">
        <v>608.576</v>
      </c>
      <c r="E388" s="138" t="n">
        <v>612.279</v>
      </c>
      <c r="F388" s="138" t="s">
        <v>59</v>
      </c>
      <c r="G388" s="138" t="n">
        <v>36</v>
      </c>
      <c r="H388" s="138" t="s">
        <v>73</v>
      </c>
    </row>
    <row r="389" customFormat="false" ht="15" hidden="false" customHeight="false" outlineLevel="0" collapsed="false">
      <c r="A389" s="138" t="s">
        <v>5450</v>
      </c>
      <c r="B389" s="138" t="s">
        <v>5558</v>
      </c>
      <c r="C389" s="138" t="s">
        <v>5559</v>
      </c>
      <c r="D389" s="138" t="n">
        <v>613.135</v>
      </c>
      <c r="E389" s="138" t="n">
        <v>617.2185</v>
      </c>
      <c r="F389" s="138" t="s">
        <v>59</v>
      </c>
      <c r="G389" s="138" t="n">
        <v>41</v>
      </c>
      <c r="H389" s="138" t="s">
        <v>73</v>
      </c>
    </row>
    <row r="390" customFormat="false" ht="15" hidden="false" customHeight="false" outlineLevel="0" collapsed="false">
      <c r="A390" s="138" t="s">
        <v>5450</v>
      </c>
      <c r="B390" s="138" t="s">
        <v>5560</v>
      </c>
      <c r="C390" s="138" t="s">
        <v>5561</v>
      </c>
      <c r="D390" s="138" t="n">
        <v>617.66</v>
      </c>
      <c r="E390" s="138" t="n">
        <v>620.645</v>
      </c>
      <c r="F390" s="138" t="s">
        <v>59</v>
      </c>
      <c r="G390" s="138" t="n">
        <v>30</v>
      </c>
      <c r="H390" s="138" t="s">
        <v>73</v>
      </c>
    </row>
    <row r="391" customFormat="false" ht="15" hidden="false" customHeight="false" outlineLevel="0" collapsed="false">
      <c r="A391" s="138" t="s">
        <v>5450</v>
      </c>
      <c r="B391" s="138" t="s">
        <v>3859</v>
      </c>
      <c r="C391" s="138" t="s">
        <v>3126</v>
      </c>
      <c r="D391" s="138" t="n">
        <v>618.081</v>
      </c>
      <c r="E391" s="138" t="n">
        <v>634.7965</v>
      </c>
      <c r="F391" s="138" t="s">
        <v>59</v>
      </c>
      <c r="G391" s="138" t="n">
        <v>167</v>
      </c>
      <c r="H391" s="138" t="s">
        <v>73</v>
      </c>
    </row>
    <row r="392" customFormat="false" ht="15" hidden="false" customHeight="false" outlineLevel="0" collapsed="false">
      <c r="A392" s="138" t="s">
        <v>5450</v>
      </c>
      <c r="B392" s="138" t="s">
        <v>5562</v>
      </c>
      <c r="C392" s="138" t="s">
        <v>5563</v>
      </c>
      <c r="D392" s="138" t="n">
        <v>623.055</v>
      </c>
      <c r="E392" s="138" t="n">
        <v>632.6015</v>
      </c>
      <c r="F392" s="138" t="s">
        <v>60</v>
      </c>
      <c r="G392" s="138" t="n">
        <v>100</v>
      </c>
      <c r="H392" s="138" t="s">
        <v>73</v>
      </c>
    </row>
    <row r="393" customFormat="false" ht="15" hidden="false" customHeight="false" outlineLevel="0" collapsed="false">
      <c r="A393" s="138" t="s">
        <v>5450</v>
      </c>
      <c r="B393" s="138" t="s">
        <v>5564</v>
      </c>
      <c r="C393" s="138" t="s">
        <v>5565</v>
      </c>
      <c r="D393" s="138" t="n">
        <v>633.124</v>
      </c>
      <c r="E393" s="138" t="n">
        <v>634.063</v>
      </c>
      <c r="F393" s="138" t="s">
        <v>60</v>
      </c>
      <c r="G393" s="138" t="n">
        <v>10</v>
      </c>
      <c r="H393" s="138" t="s">
        <v>73</v>
      </c>
    </row>
    <row r="394" customFormat="false" ht="15" hidden="false" customHeight="false" outlineLevel="0" collapsed="false">
      <c r="A394" s="138" t="s">
        <v>5450</v>
      </c>
      <c r="B394" s="138" t="s">
        <v>5566</v>
      </c>
      <c r="C394" s="138" t="s">
        <v>5567</v>
      </c>
      <c r="D394" s="138" t="n">
        <v>634.6365</v>
      </c>
      <c r="E394" s="138" t="n">
        <v>639.1145</v>
      </c>
      <c r="F394" s="138" t="s">
        <v>60</v>
      </c>
      <c r="G394" s="138" t="n">
        <v>47</v>
      </c>
      <c r="H394" s="138" t="s">
        <v>73</v>
      </c>
    </row>
    <row r="395" customFormat="false" ht="15" hidden="false" customHeight="false" outlineLevel="0" collapsed="false">
      <c r="A395" s="138" t="s">
        <v>5450</v>
      </c>
      <c r="B395" s="138" t="s">
        <v>5568</v>
      </c>
      <c r="C395" s="138" t="s">
        <v>3151</v>
      </c>
      <c r="D395" s="138" t="n">
        <v>635.1295</v>
      </c>
      <c r="E395" s="138" t="n">
        <v>642.79085</v>
      </c>
      <c r="F395" s="138" t="s">
        <v>59</v>
      </c>
      <c r="G395" s="138" t="n">
        <v>99</v>
      </c>
      <c r="H395" s="138" t="s">
        <v>73</v>
      </c>
    </row>
    <row r="396" customFormat="false" ht="15" hidden="false" customHeight="false" outlineLevel="0" collapsed="false">
      <c r="A396" s="138" t="s">
        <v>5450</v>
      </c>
      <c r="B396" s="138" t="s">
        <v>5569</v>
      </c>
      <c r="C396" s="138" t="s">
        <v>3151</v>
      </c>
      <c r="D396" s="138" t="n">
        <v>639.458</v>
      </c>
      <c r="E396" s="138" t="n">
        <v>642.79085</v>
      </c>
      <c r="F396" s="138" t="s">
        <v>60</v>
      </c>
      <c r="G396" s="138" t="n">
        <v>51</v>
      </c>
      <c r="H396" s="138" t="s">
        <v>73</v>
      </c>
    </row>
    <row r="397" customFormat="false" ht="15" hidden="false" customHeight="false" outlineLevel="0" collapsed="false">
      <c r="A397" s="138" t="s">
        <v>5570</v>
      </c>
      <c r="B397" s="138" t="s">
        <v>5571</v>
      </c>
      <c r="C397" s="138" t="s">
        <v>1643</v>
      </c>
      <c r="D397" s="138" t="n">
        <v>0.0065</v>
      </c>
      <c r="E397" s="138" t="n">
        <v>1</v>
      </c>
      <c r="F397" s="138" t="s">
        <v>59</v>
      </c>
      <c r="G397" s="138" t="n">
        <v>22.66</v>
      </c>
      <c r="H397" s="138" t="s">
        <v>73</v>
      </c>
    </row>
    <row r="398" customFormat="false" ht="15" hidden="false" customHeight="false" outlineLevel="0" collapsed="false">
      <c r="A398" s="138" t="s">
        <v>5570</v>
      </c>
      <c r="B398" s="138" t="s">
        <v>5572</v>
      </c>
      <c r="C398" s="138" t="s">
        <v>1648</v>
      </c>
      <c r="D398" s="138" t="n">
        <v>3.4</v>
      </c>
      <c r="E398" s="138" t="n">
        <v>6</v>
      </c>
      <c r="F398" s="138" t="s">
        <v>59</v>
      </c>
      <c r="G398" s="138" t="n">
        <v>99.82</v>
      </c>
      <c r="H398" s="138" t="s">
        <v>73</v>
      </c>
    </row>
    <row r="399" customFormat="false" ht="15" hidden="false" customHeight="false" outlineLevel="0" collapsed="false">
      <c r="A399" s="138" t="s">
        <v>5570</v>
      </c>
      <c r="B399" s="138" t="s">
        <v>5573</v>
      </c>
      <c r="C399" s="138" t="s">
        <v>5574</v>
      </c>
      <c r="D399" s="138" t="n">
        <v>4.4</v>
      </c>
      <c r="E399" s="138" t="n">
        <v>5.5</v>
      </c>
      <c r="F399" s="138" t="s">
        <v>60</v>
      </c>
      <c r="G399" s="138" t="n">
        <v>4</v>
      </c>
      <c r="H399" s="138" t="s">
        <v>73</v>
      </c>
    </row>
    <row r="400" customFormat="false" ht="15" hidden="false" customHeight="false" outlineLevel="0" collapsed="false">
      <c r="A400" s="138" t="s">
        <v>5570</v>
      </c>
      <c r="B400" s="138" t="s">
        <v>5575</v>
      </c>
      <c r="C400" s="138" t="s">
        <v>5576</v>
      </c>
      <c r="D400" s="138" t="n">
        <v>15.614</v>
      </c>
      <c r="E400" s="138" t="n">
        <v>18.75</v>
      </c>
      <c r="F400" s="138" t="s">
        <v>60</v>
      </c>
      <c r="G400" s="138" t="n">
        <v>169.15</v>
      </c>
      <c r="H400" s="138" t="s">
        <v>73</v>
      </c>
    </row>
    <row r="401" customFormat="false" ht="15" hidden="false" customHeight="false" outlineLevel="0" collapsed="false">
      <c r="A401" s="138" t="s">
        <v>5570</v>
      </c>
      <c r="B401" s="138" t="s">
        <v>1672</v>
      </c>
      <c r="C401" s="138" t="s">
        <v>1674</v>
      </c>
      <c r="D401" s="138" t="n">
        <v>30</v>
      </c>
      <c r="E401" s="138" t="n">
        <v>32</v>
      </c>
      <c r="F401" s="138" t="s">
        <v>59</v>
      </c>
      <c r="G401" s="138" t="n">
        <v>86.27</v>
      </c>
      <c r="H401" s="138" t="s">
        <v>73</v>
      </c>
    </row>
    <row r="402" customFormat="false" ht="15" hidden="false" customHeight="false" outlineLevel="0" collapsed="false">
      <c r="A402" s="138" t="s">
        <v>5570</v>
      </c>
      <c r="B402" s="138" t="s">
        <v>5577</v>
      </c>
      <c r="C402" s="138" t="s">
        <v>3211</v>
      </c>
      <c r="D402" s="138" t="n">
        <v>35.5</v>
      </c>
      <c r="E402" s="138" t="n">
        <v>39.25</v>
      </c>
      <c r="F402" s="138" t="s">
        <v>59</v>
      </c>
      <c r="G402" s="138" t="n">
        <v>132.8</v>
      </c>
      <c r="H402" s="138" t="s">
        <v>73</v>
      </c>
    </row>
    <row r="403" customFormat="false" ht="15" hidden="false" customHeight="false" outlineLevel="0" collapsed="false">
      <c r="A403" s="138" t="s">
        <v>5570</v>
      </c>
      <c r="B403" s="138" t="s">
        <v>1679</v>
      </c>
      <c r="C403" s="138" t="s">
        <v>1683</v>
      </c>
      <c r="D403" s="138" t="n">
        <v>37</v>
      </c>
      <c r="E403" s="138" t="n">
        <v>41</v>
      </c>
      <c r="F403" s="138" t="s">
        <v>60</v>
      </c>
      <c r="G403" s="138" t="n">
        <v>49.8</v>
      </c>
      <c r="H403" s="138" t="s">
        <v>73</v>
      </c>
    </row>
    <row r="404" customFormat="false" ht="15" hidden="false" customHeight="false" outlineLevel="0" collapsed="false">
      <c r="A404" s="138" t="s">
        <v>5570</v>
      </c>
      <c r="B404" s="138" t="s">
        <v>5578</v>
      </c>
      <c r="C404" s="138" t="s">
        <v>5579</v>
      </c>
      <c r="D404" s="138" t="n">
        <v>49.9415</v>
      </c>
      <c r="E404" s="138" t="n">
        <v>50.1455</v>
      </c>
      <c r="F404" s="138" t="s">
        <v>59</v>
      </c>
      <c r="G404" s="138" t="n">
        <v>3.14</v>
      </c>
      <c r="H404" s="138" t="s">
        <v>73</v>
      </c>
    </row>
    <row r="405" customFormat="false" ht="15" hidden="false" customHeight="false" outlineLevel="0" collapsed="false">
      <c r="A405" s="138" t="s">
        <v>5570</v>
      </c>
      <c r="B405" s="138" t="s">
        <v>5580</v>
      </c>
      <c r="C405" s="138" t="s">
        <v>5581</v>
      </c>
      <c r="D405" s="138" t="n">
        <v>50.25</v>
      </c>
      <c r="E405" s="138" t="n">
        <v>66.75</v>
      </c>
      <c r="F405" s="138" t="s">
        <v>59</v>
      </c>
      <c r="G405" s="138" t="n">
        <v>1799.94</v>
      </c>
      <c r="H405" s="138" t="s">
        <v>73</v>
      </c>
    </row>
    <row r="406" customFormat="false" ht="15" hidden="false" customHeight="false" outlineLevel="0" collapsed="false">
      <c r="A406" s="138" t="s">
        <v>5570</v>
      </c>
      <c r="B406" s="138" t="s">
        <v>5582</v>
      </c>
      <c r="C406" s="138" t="s">
        <v>2465</v>
      </c>
      <c r="D406" s="138" t="n">
        <v>51.75</v>
      </c>
      <c r="E406" s="138" t="n">
        <v>61.75</v>
      </c>
      <c r="F406" s="138" t="s">
        <v>60</v>
      </c>
      <c r="G406" s="138" t="n">
        <v>398.34</v>
      </c>
      <c r="H406" s="138" t="s">
        <v>73</v>
      </c>
    </row>
    <row r="407" customFormat="false" ht="15" hidden="false" customHeight="false" outlineLevel="0" collapsed="false">
      <c r="A407" s="138" t="s">
        <v>5570</v>
      </c>
      <c r="B407" s="138" t="s">
        <v>5583</v>
      </c>
      <c r="C407" s="138" t="s">
        <v>5584</v>
      </c>
      <c r="D407" s="138" t="n">
        <v>63.5</v>
      </c>
      <c r="E407" s="138" t="n">
        <v>67.25</v>
      </c>
      <c r="F407" s="138" t="s">
        <v>60</v>
      </c>
      <c r="G407" s="138" t="n">
        <v>162.48</v>
      </c>
      <c r="H407" s="138" t="s">
        <v>73</v>
      </c>
    </row>
    <row r="408" customFormat="false" ht="15" hidden="false" customHeight="false" outlineLevel="0" collapsed="false">
      <c r="A408" s="138" t="s">
        <v>5570</v>
      </c>
      <c r="B408" s="138" t="s">
        <v>5585</v>
      </c>
      <c r="C408" s="138" t="s">
        <v>5203</v>
      </c>
      <c r="D408" s="138" t="n">
        <v>79.75</v>
      </c>
      <c r="E408" s="138" t="n">
        <v>84.75</v>
      </c>
      <c r="F408" s="138" t="s">
        <v>59</v>
      </c>
      <c r="G408" s="138" t="n">
        <v>101.04</v>
      </c>
      <c r="H408" s="138" t="s">
        <v>73</v>
      </c>
    </row>
    <row r="409" customFormat="false" ht="15" hidden="false" customHeight="false" outlineLevel="0" collapsed="false">
      <c r="A409" s="138" t="s">
        <v>5570</v>
      </c>
      <c r="B409" s="138" t="s">
        <v>1722</v>
      </c>
      <c r="C409" s="138" t="s">
        <v>5586</v>
      </c>
      <c r="D409" s="138" t="n">
        <v>79</v>
      </c>
      <c r="E409" s="138" t="n">
        <v>84.5</v>
      </c>
      <c r="F409" s="138" t="s">
        <v>60</v>
      </c>
      <c r="G409" s="138" t="n">
        <v>164.9</v>
      </c>
      <c r="H409" s="138" t="s">
        <v>73</v>
      </c>
    </row>
    <row r="410" customFormat="false" ht="15" hidden="false" customHeight="false" outlineLevel="0" collapsed="false">
      <c r="A410" s="138" t="s">
        <v>5570</v>
      </c>
      <c r="B410" s="138" t="s">
        <v>5208</v>
      </c>
      <c r="C410" s="138" t="s">
        <v>5587</v>
      </c>
      <c r="D410" s="138" t="n">
        <v>104.75</v>
      </c>
      <c r="E410" s="138" t="n">
        <v>117.75</v>
      </c>
      <c r="F410" s="138" t="s">
        <v>59</v>
      </c>
      <c r="G410" s="138" t="n">
        <v>727.46</v>
      </c>
      <c r="H410" s="138" t="s">
        <v>73</v>
      </c>
    </row>
    <row r="411" customFormat="false" ht="15" hidden="false" customHeight="false" outlineLevel="0" collapsed="false">
      <c r="A411" s="138" t="s">
        <v>5570</v>
      </c>
      <c r="B411" s="138" t="s">
        <v>1749</v>
      </c>
      <c r="C411" s="138" t="s">
        <v>5588</v>
      </c>
      <c r="D411" s="138" t="n">
        <v>105</v>
      </c>
      <c r="E411" s="138" t="n">
        <v>116.75</v>
      </c>
      <c r="F411" s="138" t="s">
        <v>60</v>
      </c>
      <c r="G411" s="138" t="n">
        <v>453.38</v>
      </c>
      <c r="H411" s="138" t="s">
        <v>73</v>
      </c>
    </row>
    <row r="412" customFormat="false" ht="15" hidden="false" customHeight="false" outlineLevel="0" collapsed="false">
      <c r="A412" s="138" t="s">
        <v>5570</v>
      </c>
      <c r="B412" s="138" t="s">
        <v>5589</v>
      </c>
      <c r="C412" s="138" t="s">
        <v>5590</v>
      </c>
      <c r="D412" s="138" t="n">
        <v>123.177</v>
      </c>
      <c r="E412" s="138" t="n">
        <v>124.076</v>
      </c>
      <c r="F412" s="138" t="s">
        <v>59</v>
      </c>
      <c r="G412" s="138" t="n">
        <v>22.39</v>
      </c>
      <c r="H412" s="138" t="s">
        <v>73</v>
      </c>
    </row>
    <row r="413" customFormat="false" ht="15" hidden="false" customHeight="false" outlineLevel="0" collapsed="false">
      <c r="A413" s="138" t="s">
        <v>5570</v>
      </c>
      <c r="B413" s="138" t="s">
        <v>5591</v>
      </c>
      <c r="C413" s="138" t="s">
        <v>5592</v>
      </c>
      <c r="D413" s="138" t="n">
        <v>123.762</v>
      </c>
      <c r="E413" s="138" t="n">
        <v>123.9</v>
      </c>
      <c r="F413" s="138" t="s">
        <v>60</v>
      </c>
      <c r="G413" s="138" t="n">
        <v>0.84</v>
      </c>
      <c r="H413" s="138" t="s">
        <v>73</v>
      </c>
    </row>
    <row r="414" customFormat="false" ht="15" hidden="false" customHeight="false" outlineLevel="0" collapsed="false">
      <c r="A414" s="138" t="s">
        <v>5570</v>
      </c>
      <c r="B414" s="138" t="s">
        <v>1772</v>
      </c>
      <c r="C414" s="138" t="s">
        <v>5593</v>
      </c>
      <c r="D414" s="138" t="n">
        <v>124</v>
      </c>
      <c r="E414" s="138" t="n">
        <v>127.5</v>
      </c>
      <c r="F414" s="138" t="s">
        <v>60</v>
      </c>
      <c r="G414" s="138" t="n">
        <v>31.6</v>
      </c>
      <c r="H414" s="138" t="s">
        <v>73</v>
      </c>
    </row>
    <row r="415" customFormat="false" ht="15" hidden="false" customHeight="false" outlineLevel="0" collapsed="false">
      <c r="A415" s="138" t="s">
        <v>5570</v>
      </c>
      <c r="B415" s="138" t="s">
        <v>5594</v>
      </c>
      <c r="C415" s="138" t="s">
        <v>5595</v>
      </c>
      <c r="D415" s="138" t="n">
        <v>124.25</v>
      </c>
      <c r="E415" s="138" t="n">
        <v>128.25</v>
      </c>
      <c r="F415" s="138" t="s">
        <v>59</v>
      </c>
      <c r="G415" s="138" t="n">
        <v>240.8</v>
      </c>
      <c r="H415" s="138" t="s">
        <v>73</v>
      </c>
    </row>
    <row r="416" customFormat="false" ht="15" hidden="false" customHeight="false" outlineLevel="0" collapsed="false">
      <c r="A416" s="138" t="s">
        <v>5570</v>
      </c>
      <c r="B416" s="138" t="s">
        <v>1785</v>
      </c>
      <c r="C416" s="138" t="s">
        <v>5596</v>
      </c>
      <c r="D416" s="138" t="n">
        <v>136</v>
      </c>
      <c r="E416" s="138" t="n">
        <v>140.75</v>
      </c>
      <c r="F416" s="138" t="s">
        <v>59</v>
      </c>
      <c r="G416" s="138" t="n">
        <v>321.36</v>
      </c>
      <c r="H416" s="138" t="s">
        <v>73</v>
      </c>
    </row>
    <row r="417" customFormat="false" ht="15" hidden="false" customHeight="false" outlineLevel="0" collapsed="false">
      <c r="A417" s="138" t="s">
        <v>5570</v>
      </c>
      <c r="B417" s="138" t="s">
        <v>5597</v>
      </c>
      <c r="C417" s="138" t="s">
        <v>5598</v>
      </c>
      <c r="D417" s="138" t="n">
        <v>136.75</v>
      </c>
      <c r="E417" s="138" t="n">
        <v>139.75</v>
      </c>
      <c r="F417" s="138" t="s">
        <v>60</v>
      </c>
      <c r="G417" s="138" t="n">
        <v>87.5</v>
      </c>
      <c r="H417" s="138" t="s">
        <v>73</v>
      </c>
    </row>
    <row r="418" customFormat="false" ht="15" hidden="false" customHeight="false" outlineLevel="0" collapsed="false">
      <c r="A418" s="138" t="s">
        <v>5570</v>
      </c>
      <c r="B418" s="138" t="s">
        <v>5599</v>
      </c>
      <c r="C418" s="138" t="s">
        <v>5600</v>
      </c>
      <c r="D418" s="138" t="n">
        <v>155.25</v>
      </c>
      <c r="E418" s="138" t="n">
        <v>163.25</v>
      </c>
      <c r="F418" s="138" t="s">
        <v>59</v>
      </c>
      <c r="G418" s="138" t="n">
        <v>556.86</v>
      </c>
      <c r="H418" s="138" t="s">
        <v>73</v>
      </c>
    </row>
    <row r="419" customFormat="false" ht="15" hidden="false" customHeight="false" outlineLevel="0" collapsed="false">
      <c r="A419" s="138" t="s">
        <v>5570</v>
      </c>
      <c r="B419" s="138" t="s">
        <v>3541</v>
      </c>
      <c r="C419" s="138" t="s">
        <v>5600</v>
      </c>
      <c r="D419" s="138" t="n">
        <v>155.5</v>
      </c>
      <c r="E419" s="138" t="n">
        <v>163.25</v>
      </c>
      <c r="F419" s="138" t="s">
        <v>60</v>
      </c>
      <c r="G419" s="138" t="n">
        <v>580.55</v>
      </c>
      <c r="H419" s="138" t="s">
        <v>73</v>
      </c>
    </row>
    <row r="420" customFormat="false" ht="15" hidden="false" customHeight="false" outlineLevel="0" collapsed="false">
      <c r="A420" s="138" t="s">
        <v>5570</v>
      </c>
      <c r="B420" s="138" t="s">
        <v>5601</v>
      </c>
      <c r="C420" s="138" t="s">
        <v>5602</v>
      </c>
      <c r="D420" s="138" t="n">
        <v>168.25</v>
      </c>
      <c r="E420" s="138" t="n">
        <v>170.5</v>
      </c>
      <c r="F420" s="138" t="s">
        <v>60</v>
      </c>
      <c r="G420" s="138" t="n">
        <v>59.1</v>
      </c>
      <c r="H420" s="138" t="s">
        <v>73</v>
      </c>
    </row>
    <row r="421" customFormat="false" ht="15" hidden="false" customHeight="false" outlineLevel="0" collapsed="false">
      <c r="A421" s="138" t="s">
        <v>5570</v>
      </c>
      <c r="B421" s="138" t="s">
        <v>1846</v>
      </c>
      <c r="C421" s="138" t="s">
        <v>5603</v>
      </c>
      <c r="D421" s="138" t="n">
        <v>197</v>
      </c>
      <c r="E421" s="138" t="n">
        <v>204.5</v>
      </c>
      <c r="F421" s="138" t="s">
        <v>60</v>
      </c>
      <c r="G421" s="138" t="n">
        <v>448.44</v>
      </c>
      <c r="H421" s="138" t="s">
        <v>73</v>
      </c>
    </row>
    <row r="422" customFormat="false" ht="15" hidden="false" customHeight="false" outlineLevel="0" collapsed="false">
      <c r="A422" s="138" t="s">
        <v>5570</v>
      </c>
      <c r="B422" s="138" t="s">
        <v>5604</v>
      </c>
      <c r="C422" s="138" t="s">
        <v>1851</v>
      </c>
      <c r="D422" s="138" t="n">
        <v>199.6205</v>
      </c>
      <c r="E422" s="138" t="n">
        <v>202</v>
      </c>
      <c r="F422" s="138" t="s">
        <v>59</v>
      </c>
      <c r="G422" s="138" t="n">
        <v>39.8</v>
      </c>
      <c r="H422" s="138" t="s">
        <v>73</v>
      </c>
    </row>
    <row r="423" customFormat="false" ht="15" hidden="false" customHeight="false" outlineLevel="0" collapsed="false">
      <c r="A423" s="138" t="s">
        <v>5570</v>
      </c>
      <c r="B423" s="138" t="s">
        <v>1885</v>
      </c>
      <c r="C423" s="138" t="s">
        <v>5605</v>
      </c>
      <c r="D423" s="138" t="n">
        <v>233</v>
      </c>
      <c r="E423" s="138" t="n">
        <v>235.3</v>
      </c>
      <c r="F423" s="138" t="s">
        <v>59</v>
      </c>
      <c r="G423" s="138" t="n">
        <v>103.78</v>
      </c>
      <c r="H423" s="138" t="s">
        <v>73</v>
      </c>
    </row>
    <row r="424" customFormat="false" ht="15" hidden="false" customHeight="false" outlineLevel="0" collapsed="false">
      <c r="A424" s="138" t="s">
        <v>5570</v>
      </c>
      <c r="B424" s="138" t="s">
        <v>5606</v>
      </c>
      <c r="C424" s="138" t="s">
        <v>5605</v>
      </c>
      <c r="D424" s="138" t="n">
        <v>233.75</v>
      </c>
      <c r="E424" s="138" t="n">
        <v>235.3</v>
      </c>
      <c r="F424" s="138" t="s">
        <v>60</v>
      </c>
      <c r="G424" s="138" t="n">
        <v>59.56</v>
      </c>
      <c r="H424" s="138" t="s">
        <v>73</v>
      </c>
    </row>
    <row r="425" customFormat="false" ht="15" hidden="false" customHeight="false" outlineLevel="0" collapsed="false">
      <c r="A425" s="138" t="s">
        <v>5570</v>
      </c>
      <c r="B425" s="138" t="s">
        <v>5607</v>
      </c>
      <c r="C425" s="138" t="s">
        <v>5608</v>
      </c>
      <c r="D425" s="138" t="n">
        <v>237.0525</v>
      </c>
      <c r="E425" s="138" t="n">
        <v>239.75</v>
      </c>
      <c r="F425" s="138" t="s">
        <v>59</v>
      </c>
      <c r="G425" s="138" t="n">
        <v>114.9</v>
      </c>
      <c r="H425" s="138" t="s">
        <v>73</v>
      </c>
    </row>
    <row r="426" customFormat="false" ht="15" hidden="false" customHeight="false" outlineLevel="0" collapsed="false">
      <c r="A426" s="138" t="s">
        <v>5570</v>
      </c>
      <c r="B426" s="138" t="s">
        <v>5607</v>
      </c>
      <c r="C426" s="138" t="s">
        <v>5609</v>
      </c>
      <c r="D426" s="138" t="n">
        <v>237.0525</v>
      </c>
      <c r="E426" s="138" t="n">
        <v>240.25</v>
      </c>
      <c r="F426" s="138" t="s">
        <v>60</v>
      </c>
      <c r="G426" s="138" t="n">
        <v>234.24</v>
      </c>
      <c r="H426" s="138" t="s">
        <v>73</v>
      </c>
    </row>
    <row r="427" customFormat="false" ht="15" hidden="false" customHeight="false" outlineLevel="0" collapsed="false">
      <c r="A427" s="138" t="s">
        <v>5570</v>
      </c>
      <c r="B427" s="138" t="s">
        <v>5610</v>
      </c>
      <c r="C427" s="138" t="s">
        <v>5611</v>
      </c>
      <c r="D427" s="138" t="n">
        <v>246.25</v>
      </c>
      <c r="E427" s="138" t="n">
        <v>254.75</v>
      </c>
      <c r="F427" s="138" t="s">
        <v>59</v>
      </c>
      <c r="G427" s="138" t="n">
        <v>218.52</v>
      </c>
      <c r="H427" s="138" t="s">
        <v>73</v>
      </c>
    </row>
    <row r="428" customFormat="false" ht="15" hidden="false" customHeight="false" outlineLevel="0" collapsed="false">
      <c r="A428" s="138" t="s">
        <v>5570</v>
      </c>
      <c r="B428" s="138" t="s">
        <v>5612</v>
      </c>
      <c r="C428" s="138" t="s">
        <v>5246</v>
      </c>
      <c r="D428" s="138" t="n">
        <v>245.75</v>
      </c>
      <c r="E428" s="138" t="n">
        <v>255.775</v>
      </c>
      <c r="F428" s="138" t="s">
        <v>60</v>
      </c>
      <c r="G428" s="138" t="n">
        <v>258.26</v>
      </c>
      <c r="H428" s="138" t="s">
        <v>73</v>
      </c>
    </row>
    <row r="429" customFormat="false" ht="15" hidden="false" customHeight="false" outlineLevel="0" collapsed="false">
      <c r="A429" s="138" t="s">
        <v>5570</v>
      </c>
      <c r="B429" s="138" t="s">
        <v>5613</v>
      </c>
      <c r="C429" s="138" t="s">
        <v>5485</v>
      </c>
      <c r="D429" s="138" t="n">
        <v>257.75</v>
      </c>
      <c r="E429" s="138" t="n">
        <v>258.2985</v>
      </c>
      <c r="F429" s="138" t="s">
        <v>59</v>
      </c>
      <c r="G429" s="138" t="n">
        <v>2.3</v>
      </c>
      <c r="H429" s="138" t="s">
        <v>73</v>
      </c>
    </row>
    <row r="430" customFormat="false" ht="15" hidden="false" customHeight="false" outlineLevel="0" collapsed="false">
      <c r="A430" s="138" t="s">
        <v>5570</v>
      </c>
      <c r="B430" s="138" t="s">
        <v>5614</v>
      </c>
      <c r="C430" s="138" t="s">
        <v>5615</v>
      </c>
      <c r="D430" s="138" t="n">
        <v>258.25</v>
      </c>
      <c r="E430" s="138" t="n">
        <v>258.5345</v>
      </c>
      <c r="F430" s="138" t="s">
        <v>60</v>
      </c>
      <c r="G430" s="138" t="n">
        <v>0.52</v>
      </c>
      <c r="H430" s="138" t="s">
        <v>73</v>
      </c>
    </row>
    <row r="431" customFormat="false" ht="15" hidden="false" customHeight="false" outlineLevel="0" collapsed="false">
      <c r="A431" s="138" t="s">
        <v>5570</v>
      </c>
      <c r="B431" s="138" t="s">
        <v>5615</v>
      </c>
      <c r="C431" s="138" t="s">
        <v>5616</v>
      </c>
      <c r="D431" s="138" t="n">
        <v>258.5345</v>
      </c>
      <c r="E431" s="138" t="n">
        <v>258.8505</v>
      </c>
      <c r="F431" s="138" t="s">
        <v>60</v>
      </c>
      <c r="G431" s="138" t="n">
        <v>0.75</v>
      </c>
      <c r="H431" s="138" t="s">
        <v>73</v>
      </c>
    </row>
    <row r="432" customFormat="false" ht="15" hidden="false" customHeight="false" outlineLevel="0" collapsed="false">
      <c r="A432" s="138" t="s">
        <v>5570</v>
      </c>
      <c r="B432" s="138" t="s">
        <v>5485</v>
      </c>
      <c r="C432" s="138" t="s">
        <v>5617</v>
      </c>
      <c r="D432" s="138" t="n">
        <v>258.2985</v>
      </c>
      <c r="E432" s="138" t="n">
        <v>258.4065</v>
      </c>
      <c r="F432" s="138" t="s">
        <v>59</v>
      </c>
      <c r="G432" s="138" t="n">
        <v>0.73</v>
      </c>
      <c r="H432" s="138" t="s">
        <v>73</v>
      </c>
    </row>
    <row r="433" customFormat="false" ht="15" hidden="false" customHeight="false" outlineLevel="0" collapsed="false">
      <c r="A433" s="138" t="s">
        <v>5570</v>
      </c>
      <c r="B433" s="138" t="s">
        <v>5618</v>
      </c>
      <c r="C433" s="138" t="s">
        <v>5619</v>
      </c>
      <c r="D433" s="138" t="n">
        <v>258.716</v>
      </c>
      <c r="E433" s="138" t="n">
        <v>259.3295</v>
      </c>
      <c r="F433" s="138" t="s">
        <v>59</v>
      </c>
      <c r="G433" s="138" t="n">
        <v>48.43</v>
      </c>
      <c r="H433" s="138" t="s">
        <v>73</v>
      </c>
    </row>
    <row r="434" customFormat="false" ht="15" hidden="false" customHeight="false" outlineLevel="0" collapsed="false">
      <c r="A434" s="138" t="s">
        <v>5570</v>
      </c>
      <c r="B434" s="138" t="s">
        <v>5620</v>
      </c>
      <c r="C434" s="138" t="s">
        <v>5492</v>
      </c>
      <c r="D434" s="138" t="n">
        <v>259.528</v>
      </c>
      <c r="E434" s="138" t="n">
        <v>259.6235</v>
      </c>
      <c r="F434" s="138" t="s">
        <v>59</v>
      </c>
      <c r="G434" s="138" t="n">
        <v>14</v>
      </c>
      <c r="H434" s="138" t="s">
        <v>73</v>
      </c>
    </row>
    <row r="435" customFormat="false" ht="15" hidden="false" customHeight="false" outlineLevel="0" collapsed="false">
      <c r="A435" s="138" t="s">
        <v>5570</v>
      </c>
      <c r="B435" s="138" t="s">
        <v>5621</v>
      </c>
      <c r="C435" s="138" t="s">
        <v>1914</v>
      </c>
      <c r="D435" s="138" t="n">
        <v>259.761</v>
      </c>
      <c r="E435" s="138" t="n">
        <v>260</v>
      </c>
      <c r="F435" s="138" t="s">
        <v>60</v>
      </c>
      <c r="G435" s="138" t="n">
        <v>5.42</v>
      </c>
      <c r="H435" s="138" t="s">
        <v>73</v>
      </c>
    </row>
    <row r="436" customFormat="false" ht="15" hidden="false" customHeight="false" outlineLevel="0" collapsed="false">
      <c r="A436" s="138" t="s">
        <v>5570</v>
      </c>
      <c r="B436" s="138" t="s">
        <v>5492</v>
      </c>
      <c r="C436" s="138" t="s">
        <v>5622</v>
      </c>
      <c r="D436" s="138" t="n">
        <v>259.6235</v>
      </c>
      <c r="E436" s="138" t="n">
        <v>262.751</v>
      </c>
      <c r="F436" s="138" t="s">
        <v>59</v>
      </c>
      <c r="G436" s="138" t="n">
        <v>193.04</v>
      </c>
      <c r="H436" s="138" t="s">
        <v>73</v>
      </c>
    </row>
    <row r="437" customFormat="false" ht="15" hidden="false" customHeight="false" outlineLevel="0" collapsed="false">
      <c r="A437" s="138" t="s">
        <v>5570</v>
      </c>
      <c r="B437" s="138" t="s">
        <v>1914</v>
      </c>
      <c r="C437" s="138" t="s">
        <v>5622</v>
      </c>
      <c r="D437" s="138" t="n">
        <v>260</v>
      </c>
      <c r="E437" s="138" t="n">
        <v>262.751</v>
      </c>
      <c r="F437" s="138" t="s">
        <v>60</v>
      </c>
      <c r="G437" s="138" t="n">
        <v>31.66</v>
      </c>
      <c r="H437" s="138" t="s">
        <v>73</v>
      </c>
    </row>
    <row r="438" customFormat="false" ht="15" hidden="false" customHeight="false" outlineLevel="0" collapsed="false">
      <c r="A438" s="138" t="s">
        <v>5570</v>
      </c>
      <c r="B438" s="138" t="s">
        <v>5623</v>
      </c>
      <c r="C438" s="138" t="s">
        <v>5259</v>
      </c>
      <c r="D438" s="138" t="n">
        <v>267.2665</v>
      </c>
      <c r="E438" s="138" t="n">
        <v>273.5</v>
      </c>
      <c r="F438" s="138" t="s">
        <v>59</v>
      </c>
      <c r="G438" s="138" t="n">
        <v>483.49</v>
      </c>
      <c r="H438" s="138" t="s">
        <v>73</v>
      </c>
    </row>
    <row r="439" customFormat="false" ht="15" hidden="false" customHeight="false" outlineLevel="0" collapsed="false">
      <c r="A439" s="138" t="s">
        <v>5570</v>
      </c>
      <c r="B439" s="138" t="s">
        <v>5623</v>
      </c>
      <c r="C439" s="138" t="s">
        <v>4557</v>
      </c>
      <c r="D439" s="138" t="n">
        <v>267.2665</v>
      </c>
      <c r="E439" s="138" t="n">
        <v>273.25</v>
      </c>
      <c r="F439" s="138" t="s">
        <v>60</v>
      </c>
      <c r="G439" s="138" t="n">
        <v>326.83</v>
      </c>
      <c r="H439" s="138" t="s">
        <v>73</v>
      </c>
    </row>
    <row r="440" customFormat="false" ht="15" hidden="false" customHeight="false" outlineLevel="0" collapsed="false">
      <c r="A440" s="138" t="s">
        <v>5570</v>
      </c>
      <c r="B440" s="138" t="s">
        <v>5624</v>
      </c>
      <c r="C440" s="138" t="s">
        <v>1960</v>
      </c>
      <c r="D440" s="138" t="n">
        <v>304.75</v>
      </c>
      <c r="E440" s="138" t="n">
        <v>305</v>
      </c>
      <c r="F440" s="138" t="s">
        <v>59</v>
      </c>
      <c r="G440" s="138" t="n">
        <v>0.27</v>
      </c>
      <c r="H440" s="138" t="s">
        <v>73</v>
      </c>
    </row>
    <row r="441" customFormat="false" ht="15" hidden="false" customHeight="false" outlineLevel="0" collapsed="false">
      <c r="A441" s="138" t="s">
        <v>5570</v>
      </c>
      <c r="B441" s="138" t="s">
        <v>5624</v>
      </c>
      <c r="C441" s="138" t="s">
        <v>1965</v>
      </c>
      <c r="D441" s="138" t="n">
        <v>304.75</v>
      </c>
      <c r="E441" s="138" t="n">
        <v>310</v>
      </c>
      <c r="F441" s="138" t="s">
        <v>60</v>
      </c>
      <c r="G441" s="138" t="n">
        <v>117.72</v>
      </c>
      <c r="H441" s="138" t="s">
        <v>73</v>
      </c>
    </row>
    <row r="442" customFormat="false" ht="15" hidden="false" customHeight="false" outlineLevel="0" collapsed="false">
      <c r="A442" s="138" t="s">
        <v>5570</v>
      </c>
      <c r="B442" s="138" t="s">
        <v>5625</v>
      </c>
      <c r="C442" s="138" t="s">
        <v>1965</v>
      </c>
      <c r="D442" s="138" t="n">
        <v>307.5</v>
      </c>
      <c r="E442" s="138" t="n">
        <v>310</v>
      </c>
      <c r="F442" s="138" t="s">
        <v>59</v>
      </c>
      <c r="G442" s="138" t="n">
        <v>63.74</v>
      </c>
      <c r="H442" s="138" t="s">
        <v>73</v>
      </c>
    </row>
    <row r="443" customFormat="false" ht="15" hidden="false" customHeight="false" outlineLevel="0" collapsed="false">
      <c r="A443" s="138" t="s">
        <v>5570</v>
      </c>
      <c r="B443" s="138" t="s">
        <v>5626</v>
      </c>
      <c r="C443" s="138" t="s">
        <v>5627</v>
      </c>
      <c r="D443" s="138" t="n">
        <v>310.25</v>
      </c>
      <c r="E443" s="138" t="n">
        <v>311.5</v>
      </c>
      <c r="F443" s="138" t="s">
        <v>60</v>
      </c>
      <c r="G443" s="138" t="n">
        <v>45.28</v>
      </c>
      <c r="H443" s="138" t="s">
        <v>73</v>
      </c>
    </row>
    <row r="444" customFormat="false" ht="15" hidden="false" customHeight="false" outlineLevel="0" collapsed="false">
      <c r="A444" s="138" t="s">
        <v>5570</v>
      </c>
      <c r="B444" s="138" t="s">
        <v>5626</v>
      </c>
      <c r="C444" s="138" t="s">
        <v>5628</v>
      </c>
      <c r="D444" s="138" t="n">
        <v>310.25</v>
      </c>
      <c r="E444" s="138" t="n">
        <v>317.25</v>
      </c>
      <c r="F444" s="138" t="s">
        <v>59</v>
      </c>
      <c r="G444" s="138" t="n">
        <v>352.79</v>
      </c>
      <c r="H444" s="138" t="s">
        <v>73</v>
      </c>
    </row>
    <row r="445" customFormat="false" ht="15" hidden="false" customHeight="false" outlineLevel="0" collapsed="false">
      <c r="A445" s="138" t="s">
        <v>5570</v>
      </c>
      <c r="B445" s="138" t="s">
        <v>5629</v>
      </c>
      <c r="C445" s="138" t="s">
        <v>5264</v>
      </c>
      <c r="D445" s="138" t="n">
        <v>311.6975</v>
      </c>
      <c r="E445" s="138" t="n">
        <v>311.971</v>
      </c>
      <c r="F445" s="138" t="s">
        <v>60</v>
      </c>
      <c r="G445" s="138" t="n">
        <v>11.63</v>
      </c>
      <c r="H445" s="138" t="s">
        <v>73</v>
      </c>
    </row>
    <row r="446" customFormat="false" ht="15" hidden="false" customHeight="false" outlineLevel="0" collapsed="false">
      <c r="A446" s="138" t="s">
        <v>5570</v>
      </c>
      <c r="B446" s="138" t="s">
        <v>5630</v>
      </c>
      <c r="C446" s="138" t="s">
        <v>5631</v>
      </c>
      <c r="D446" s="138" t="n">
        <v>312.441</v>
      </c>
      <c r="E446" s="138" t="n">
        <v>312.7505</v>
      </c>
      <c r="F446" s="138" t="s">
        <v>60</v>
      </c>
      <c r="G446" s="138" t="n">
        <v>5.27</v>
      </c>
      <c r="H446" s="138" t="s">
        <v>73</v>
      </c>
    </row>
    <row r="447" customFormat="false" ht="15" hidden="false" customHeight="false" outlineLevel="0" collapsed="false">
      <c r="A447" s="138" t="s">
        <v>5570</v>
      </c>
      <c r="B447" s="138" t="s">
        <v>5632</v>
      </c>
      <c r="C447" s="138" t="s">
        <v>5633</v>
      </c>
      <c r="D447" s="138" t="n">
        <v>312.8</v>
      </c>
      <c r="E447" s="138" t="n">
        <v>314.6385</v>
      </c>
      <c r="F447" s="138" t="s">
        <v>60</v>
      </c>
      <c r="G447" s="138" t="n">
        <v>25.43</v>
      </c>
      <c r="H447" s="138" t="s">
        <v>73</v>
      </c>
    </row>
    <row r="448" customFormat="false" ht="15" hidden="false" customHeight="false" outlineLevel="0" collapsed="false">
      <c r="A448" s="138" t="s">
        <v>5570</v>
      </c>
      <c r="B448" s="138" t="s">
        <v>5633</v>
      </c>
      <c r="C448" s="138" t="s">
        <v>5634</v>
      </c>
      <c r="D448" s="138" t="n">
        <v>314.6385</v>
      </c>
      <c r="E448" s="138" t="n">
        <v>314.867</v>
      </c>
      <c r="F448" s="138" t="s">
        <v>60</v>
      </c>
      <c r="G448" s="138" t="n">
        <v>1.7</v>
      </c>
      <c r="H448" s="138" t="s">
        <v>73</v>
      </c>
    </row>
    <row r="449" customFormat="false" ht="15" hidden="false" customHeight="false" outlineLevel="0" collapsed="false">
      <c r="A449" s="138" t="s">
        <v>5570</v>
      </c>
      <c r="B449" s="138" t="s">
        <v>5635</v>
      </c>
      <c r="C449" s="138" t="s">
        <v>5636</v>
      </c>
      <c r="D449" s="138" t="n">
        <v>315.2685</v>
      </c>
      <c r="E449" s="138" t="n">
        <v>315.4665</v>
      </c>
      <c r="F449" s="138" t="s">
        <v>60</v>
      </c>
      <c r="G449" s="138" t="n">
        <v>3.82</v>
      </c>
      <c r="H449" s="138" t="s">
        <v>73</v>
      </c>
    </row>
    <row r="450" customFormat="false" ht="15" hidden="false" customHeight="false" outlineLevel="0" collapsed="false">
      <c r="A450" s="138" t="s">
        <v>5570</v>
      </c>
      <c r="B450" s="138" t="s">
        <v>5637</v>
      </c>
      <c r="C450" s="138" t="s">
        <v>5638</v>
      </c>
      <c r="D450" s="138" t="n">
        <v>315.875</v>
      </c>
      <c r="E450" s="138" t="n">
        <v>315.879</v>
      </c>
      <c r="F450" s="138" t="s">
        <v>60</v>
      </c>
      <c r="G450" s="138" t="n">
        <v>0.35</v>
      </c>
      <c r="H450" s="138" t="s">
        <v>73</v>
      </c>
    </row>
    <row r="451" customFormat="false" ht="15" hidden="false" customHeight="false" outlineLevel="0" collapsed="false">
      <c r="A451" s="138" t="s">
        <v>5570</v>
      </c>
      <c r="B451" s="138" t="s">
        <v>5639</v>
      </c>
      <c r="C451" s="138" t="s">
        <v>5628</v>
      </c>
      <c r="D451" s="138" t="n">
        <v>316.25</v>
      </c>
      <c r="E451" s="138" t="n">
        <v>317.25</v>
      </c>
      <c r="F451" s="138" t="s">
        <v>60</v>
      </c>
      <c r="G451" s="138" t="n">
        <v>7.05</v>
      </c>
      <c r="H451" s="138" t="s">
        <v>73</v>
      </c>
    </row>
    <row r="452" customFormat="false" ht="15" hidden="false" customHeight="false" outlineLevel="0" collapsed="false">
      <c r="A452" s="138" t="s">
        <v>5570</v>
      </c>
      <c r="B452" s="138" t="s">
        <v>5640</v>
      </c>
      <c r="C452" s="138" t="s">
        <v>5641</v>
      </c>
      <c r="D452" s="138" t="n">
        <v>318.196</v>
      </c>
      <c r="E452" s="138" t="n">
        <v>324.2245</v>
      </c>
      <c r="F452" s="138" t="s">
        <v>59</v>
      </c>
      <c r="G452" s="138" t="n">
        <v>249.66</v>
      </c>
      <c r="H452" s="138" t="s">
        <v>73</v>
      </c>
    </row>
    <row r="453" customFormat="false" ht="15" hidden="false" customHeight="false" outlineLevel="0" collapsed="false">
      <c r="A453" s="138" t="s">
        <v>5570</v>
      </c>
      <c r="B453" s="138" t="s">
        <v>5642</v>
      </c>
      <c r="C453" s="138" t="s">
        <v>5643</v>
      </c>
      <c r="D453" s="138" t="n">
        <v>319.722</v>
      </c>
      <c r="E453" s="138" t="n">
        <v>334.044</v>
      </c>
      <c r="F453" s="138" t="s">
        <v>60</v>
      </c>
      <c r="G453" s="138" t="n">
        <v>634.8</v>
      </c>
      <c r="H453" s="138" t="s">
        <v>73</v>
      </c>
    </row>
    <row r="454" customFormat="false" ht="15" hidden="false" customHeight="false" outlineLevel="0" collapsed="false">
      <c r="A454" s="138" t="s">
        <v>5570</v>
      </c>
      <c r="B454" s="138" t="s">
        <v>5641</v>
      </c>
      <c r="C454" s="138" t="s">
        <v>5644</v>
      </c>
      <c r="D454" s="138" t="n">
        <v>324.2245</v>
      </c>
      <c r="E454" s="138" t="n">
        <v>324.537</v>
      </c>
      <c r="F454" s="138" t="s">
        <v>59</v>
      </c>
      <c r="G454" s="138" t="n">
        <v>235.85</v>
      </c>
      <c r="H454" s="138" t="s">
        <v>73</v>
      </c>
    </row>
    <row r="455" customFormat="false" ht="15" hidden="false" customHeight="false" outlineLevel="0" collapsed="false">
      <c r="A455" s="138" t="s">
        <v>5570</v>
      </c>
      <c r="B455" s="138" t="s">
        <v>5645</v>
      </c>
      <c r="C455" s="138" t="s">
        <v>5644</v>
      </c>
      <c r="D455" s="138" t="n">
        <v>323.283</v>
      </c>
      <c r="E455" s="138" t="n">
        <v>324.537</v>
      </c>
      <c r="F455" s="138" t="s">
        <v>59</v>
      </c>
      <c r="G455" s="138" t="n">
        <v>39.91</v>
      </c>
      <c r="H455" s="138" t="s">
        <v>73</v>
      </c>
    </row>
    <row r="456" customFormat="false" ht="15" hidden="false" customHeight="false" outlineLevel="0" collapsed="false">
      <c r="A456" s="138" t="s">
        <v>5570</v>
      </c>
      <c r="B456" s="138" t="s">
        <v>5646</v>
      </c>
      <c r="C456" s="138" t="s">
        <v>5647</v>
      </c>
      <c r="D456" s="138" t="n">
        <v>323.4135</v>
      </c>
      <c r="E456" s="138" t="n">
        <v>324.7595</v>
      </c>
      <c r="F456" s="138" t="s">
        <v>59</v>
      </c>
      <c r="G456" s="138" t="n">
        <v>74.82</v>
      </c>
      <c r="H456" s="138" t="s">
        <v>73</v>
      </c>
    </row>
    <row r="457" customFormat="false" ht="15" hidden="false" customHeight="false" outlineLevel="0" collapsed="false">
      <c r="A457" s="138" t="s">
        <v>5570</v>
      </c>
      <c r="B457" s="138" t="s">
        <v>5648</v>
      </c>
      <c r="C457" s="138" t="s">
        <v>5649</v>
      </c>
      <c r="D457" s="138" t="n">
        <v>324.7555</v>
      </c>
      <c r="E457" s="138" t="n">
        <v>327.5135</v>
      </c>
      <c r="F457" s="138" t="s">
        <v>59</v>
      </c>
      <c r="G457" s="138" t="n">
        <v>378.37</v>
      </c>
      <c r="H457" s="138" t="s">
        <v>73</v>
      </c>
    </row>
    <row r="458" customFormat="false" ht="15" hidden="false" customHeight="false" outlineLevel="0" collapsed="false">
      <c r="A458" s="138" t="s">
        <v>5570</v>
      </c>
      <c r="B458" s="138" t="s">
        <v>5650</v>
      </c>
      <c r="C458" s="138" t="s">
        <v>5651</v>
      </c>
      <c r="D458" s="138" t="n">
        <v>327.513</v>
      </c>
      <c r="E458" s="138" t="n">
        <v>333.868</v>
      </c>
      <c r="F458" s="138" t="s">
        <v>59</v>
      </c>
      <c r="G458" s="138" t="n">
        <v>655.29</v>
      </c>
      <c r="H458" s="138" t="s">
        <v>73</v>
      </c>
    </row>
    <row r="459" customFormat="false" ht="15" hidden="false" customHeight="false" outlineLevel="0" collapsed="false">
      <c r="A459" s="138" t="s">
        <v>5570</v>
      </c>
      <c r="B459" s="138" t="s">
        <v>5286</v>
      </c>
      <c r="C459" s="138" t="s">
        <v>5288</v>
      </c>
      <c r="D459" s="138" t="n">
        <v>345.8395</v>
      </c>
      <c r="E459" s="138" t="n">
        <v>347.5145</v>
      </c>
      <c r="F459" s="138" t="s">
        <v>60</v>
      </c>
      <c r="G459" s="138" t="n">
        <v>10.22</v>
      </c>
      <c r="H459" s="138" t="s">
        <v>73</v>
      </c>
    </row>
    <row r="460" customFormat="false" ht="15" hidden="false" customHeight="false" outlineLevel="0" collapsed="false">
      <c r="A460" s="138" t="s">
        <v>5570</v>
      </c>
      <c r="B460" s="138" t="s">
        <v>5652</v>
      </c>
      <c r="C460" s="138" t="s">
        <v>5653</v>
      </c>
      <c r="D460" s="138" t="n">
        <v>354.7</v>
      </c>
      <c r="E460" s="138" t="n">
        <v>356.3</v>
      </c>
      <c r="F460" s="138" t="s">
        <v>59</v>
      </c>
      <c r="G460" s="138" t="n">
        <v>45.87</v>
      </c>
      <c r="H460" s="138" t="s">
        <v>73</v>
      </c>
    </row>
    <row r="461" customFormat="false" ht="15" hidden="false" customHeight="false" outlineLevel="0" collapsed="false">
      <c r="A461" s="138" t="s">
        <v>5570</v>
      </c>
      <c r="B461" s="138" t="s">
        <v>5654</v>
      </c>
      <c r="C461" s="138" t="s">
        <v>5655</v>
      </c>
      <c r="D461" s="138" t="n">
        <v>356.5</v>
      </c>
      <c r="E461" s="138" t="n">
        <v>358.553</v>
      </c>
      <c r="F461" s="138" t="s">
        <v>59</v>
      </c>
      <c r="G461" s="138" t="n">
        <v>63.79</v>
      </c>
      <c r="H461" s="138" t="s">
        <v>73</v>
      </c>
    </row>
    <row r="462" customFormat="false" ht="15" hidden="false" customHeight="false" outlineLevel="0" collapsed="false">
      <c r="A462" s="138" t="s">
        <v>5570</v>
      </c>
      <c r="B462" s="138" t="s">
        <v>2017</v>
      </c>
      <c r="C462" s="138" t="s">
        <v>5656</v>
      </c>
      <c r="D462" s="138" t="n">
        <v>357</v>
      </c>
      <c r="E462" s="138" t="n">
        <v>359.4</v>
      </c>
      <c r="F462" s="138" t="s">
        <v>60</v>
      </c>
      <c r="G462" s="138" t="n">
        <v>26.96</v>
      </c>
      <c r="H462" s="138" t="s">
        <v>73</v>
      </c>
    </row>
    <row r="463" customFormat="false" ht="15" hidden="false" customHeight="false" outlineLevel="0" collapsed="false">
      <c r="A463" s="138" t="s">
        <v>5570</v>
      </c>
      <c r="B463" s="138" t="s">
        <v>5655</v>
      </c>
      <c r="C463" s="138" t="s">
        <v>5657</v>
      </c>
      <c r="D463" s="138" t="n">
        <v>358.553</v>
      </c>
      <c r="E463" s="138" t="n">
        <v>359.1995</v>
      </c>
      <c r="F463" s="138" t="s">
        <v>59</v>
      </c>
      <c r="G463" s="138" t="n">
        <v>23.76</v>
      </c>
      <c r="H463" s="138" t="s">
        <v>73</v>
      </c>
    </row>
    <row r="464" customFormat="false" ht="15" hidden="false" customHeight="false" outlineLevel="0" collapsed="false">
      <c r="A464" s="138" t="s">
        <v>5570</v>
      </c>
      <c r="B464" s="138" t="s">
        <v>5658</v>
      </c>
      <c r="C464" s="138" t="s">
        <v>5659</v>
      </c>
      <c r="D464" s="138" t="n">
        <v>359.4765</v>
      </c>
      <c r="E464" s="138" t="n">
        <v>359.7265</v>
      </c>
      <c r="F464" s="138" t="s">
        <v>59</v>
      </c>
      <c r="G464" s="138" t="n">
        <v>7.04</v>
      </c>
      <c r="H464" s="138" t="s">
        <v>73</v>
      </c>
    </row>
    <row r="465" customFormat="false" ht="15" hidden="false" customHeight="false" outlineLevel="0" collapsed="false">
      <c r="A465" s="138" t="s">
        <v>5570</v>
      </c>
      <c r="B465" s="138" t="s">
        <v>5660</v>
      </c>
      <c r="C465" s="138" t="s">
        <v>5661</v>
      </c>
      <c r="D465" s="138" t="n">
        <v>372.5</v>
      </c>
      <c r="E465" s="138" t="n">
        <v>378.1</v>
      </c>
      <c r="F465" s="138" t="s">
        <v>59</v>
      </c>
      <c r="G465" s="138" t="n">
        <v>80.17</v>
      </c>
      <c r="H465" s="138" t="s">
        <v>73</v>
      </c>
    </row>
    <row r="466" customFormat="false" ht="15" hidden="false" customHeight="false" outlineLevel="0" collapsed="false">
      <c r="A466" s="138" t="s">
        <v>5570</v>
      </c>
      <c r="B466" s="138" t="s">
        <v>5662</v>
      </c>
      <c r="C466" s="138" t="s">
        <v>5663</v>
      </c>
      <c r="D466" s="138" t="n">
        <v>372.1</v>
      </c>
      <c r="E466" s="138" t="n">
        <v>379.9</v>
      </c>
      <c r="F466" s="138" t="s">
        <v>60</v>
      </c>
      <c r="G466" s="138" t="n">
        <v>117.57</v>
      </c>
      <c r="H466" s="138" t="s">
        <v>73</v>
      </c>
    </row>
    <row r="467" customFormat="false" ht="15" hidden="false" customHeight="false" outlineLevel="0" collapsed="false">
      <c r="A467" s="138" t="s">
        <v>5570</v>
      </c>
      <c r="B467" s="138" t="s">
        <v>5664</v>
      </c>
      <c r="C467" s="138" t="s">
        <v>5665</v>
      </c>
      <c r="D467" s="138" t="n">
        <v>398.611</v>
      </c>
      <c r="E467" s="138" t="n">
        <v>398.729</v>
      </c>
      <c r="F467" s="138" t="s">
        <v>60</v>
      </c>
      <c r="G467" s="138" t="n">
        <v>1.25</v>
      </c>
      <c r="H467" s="138" t="s">
        <v>73</v>
      </c>
    </row>
    <row r="468" customFormat="false" ht="15" hidden="false" customHeight="false" outlineLevel="0" collapsed="false">
      <c r="A468" s="138" t="s">
        <v>5570</v>
      </c>
      <c r="B468" s="138" t="s">
        <v>5666</v>
      </c>
      <c r="C468" s="138" t="s">
        <v>5667</v>
      </c>
      <c r="D468" s="138" t="n">
        <v>398.731</v>
      </c>
      <c r="E468" s="138" t="n">
        <v>399.1</v>
      </c>
      <c r="F468" s="138" t="s">
        <v>60</v>
      </c>
      <c r="G468" s="138" t="n">
        <v>2.18</v>
      </c>
      <c r="H468" s="138" t="s">
        <v>73</v>
      </c>
    </row>
    <row r="469" customFormat="false" ht="15" hidden="false" customHeight="false" outlineLevel="0" collapsed="false">
      <c r="A469" s="138" t="s">
        <v>5570</v>
      </c>
      <c r="B469" s="138" t="s">
        <v>5668</v>
      </c>
      <c r="C469" s="138" t="s">
        <v>5669</v>
      </c>
      <c r="D469" s="138" t="n">
        <v>399.7</v>
      </c>
      <c r="E469" s="138" t="n">
        <v>400.5</v>
      </c>
      <c r="F469" s="138" t="s">
        <v>60</v>
      </c>
      <c r="G469" s="138" t="n">
        <v>3.22</v>
      </c>
      <c r="H469" s="138" t="s">
        <v>73</v>
      </c>
    </row>
    <row r="470" customFormat="false" ht="15" hidden="false" customHeight="false" outlineLevel="0" collapsed="false">
      <c r="A470" s="138" t="s">
        <v>5570</v>
      </c>
      <c r="B470" s="138" t="s">
        <v>5670</v>
      </c>
      <c r="C470" s="138" t="s">
        <v>5671</v>
      </c>
      <c r="D470" s="138" t="n">
        <v>405.4</v>
      </c>
      <c r="E470" s="138" t="n">
        <v>412.901</v>
      </c>
      <c r="F470" s="138" t="s">
        <v>60</v>
      </c>
      <c r="G470" s="138" t="n">
        <v>210.22</v>
      </c>
      <c r="H470" s="138" t="s">
        <v>73</v>
      </c>
    </row>
    <row r="471" customFormat="false" ht="15" hidden="false" customHeight="false" outlineLevel="0" collapsed="false">
      <c r="A471" s="138" t="s">
        <v>5570</v>
      </c>
      <c r="B471" s="138" t="s">
        <v>5672</v>
      </c>
      <c r="C471" s="138" t="s">
        <v>5673</v>
      </c>
      <c r="D471" s="138" t="n">
        <v>407.9</v>
      </c>
      <c r="E471" s="138" t="n">
        <v>410.2325</v>
      </c>
      <c r="F471" s="138" t="s">
        <v>59</v>
      </c>
      <c r="G471" s="138" t="n">
        <v>28.75</v>
      </c>
      <c r="H471" s="138" t="s">
        <v>73</v>
      </c>
    </row>
    <row r="472" customFormat="false" ht="15" hidden="false" customHeight="false" outlineLevel="0" collapsed="false">
      <c r="A472" s="138" t="s">
        <v>5570</v>
      </c>
      <c r="B472" s="138" t="s">
        <v>5673</v>
      </c>
      <c r="C472" s="138" t="s">
        <v>5674</v>
      </c>
      <c r="D472" s="138" t="n">
        <v>410.2325</v>
      </c>
      <c r="E472" s="138" t="n">
        <v>410.5295</v>
      </c>
      <c r="F472" s="138" t="s">
        <v>59</v>
      </c>
      <c r="G472" s="138" t="n">
        <v>8.74</v>
      </c>
      <c r="H472" s="138" t="s">
        <v>73</v>
      </c>
    </row>
    <row r="473" customFormat="false" ht="15" hidden="false" customHeight="false" outlineLevel="0" collapsed="false">
      <c r="A473" s="138" t="s">
        <v>5570</v>
      </c>
      <c r="B473" s="138" t="s">
        <v>5675</v>
      </c>
      <c r="C473" s="138" t="s">
        <v>5676</v>
      </c>
      <c r="D473" s="138" t="n">
        <v>410.9435</v>
      </c>
      <c r="E473" s="138" t="n">
        <v>411.2075</v>
      </c>
      <c r="F473" s="138" t="s">
        <v>59</v>
      </c>
      <c r="G473" s="138" t="n">
        <v>12.77</v>
      </c>
      <c r="H473" s="138" t="s">
        <v>73</v>
      </c>
    </row>
    <row r="474" customFormat="false" ht="15" hidden="false" customHeight="false" outlineLevel="0" collapsed="false">
      <c r="A474" s="138" t="s">
        <v>5570</v>
      </c>
      <c r="B474" s="138" t="s">
        <v>5677</v>
      </c>
      <c r="C474" s="138" t="s">
        <v>5678</v>
      </c>
      <c r="D474" s="138" t="n">
        <v>411.3</v>
      </c>
      <c r="E474" s="138" t="n">
        <v>413.9</v>
      </c>
      <c r="F474" s="138" t="s">
        <v>59</v>
      </c>
      <c r="G474" s="138" t="n">
        <v>39.59</v>
      </c>
      <c r="H474" s="138" t="s">
        <v>73</v>
      </c>
    </row>
    <row r="475" customFormat="false" ht="15" hidden="false" customHeight="false" outlineLevel="0" collapsed="false">
      <c r="A475" s="138" t="s">
        <v>5570</v>
      </c>
      <c r="B475" s="138" t="s">
        <v>5671</v>
      </c>
      <c r="C475" s="138" t="s">
        <v>5679</v>
      </c>
      <c r="D475" s="138" t="n">
        <v>412.901</v>
      </c>
      <c r="E475" s="138" t="n">
        <v>413.098</v>
      </c>
      <c r="F475" s="138" t="s">
        <v>60</v>
      </c>
      <c r="G475" s="138" t="n">
        <v>11.68</v>
      </c>
      <c r="H475" s="138" t="s">
        <v>73</v>
      </c>
    </row>
    <row r="476" customFormat="false" ht="15" hidden="false" customHeight="false" outlineLevel="0" collapsed="false">
      <c r="A476" s="138" t="s">
        <v>5570</v>
      </c>
      <c r="B476" s="138" t="s">
        <v>5680</v>
      </c>
      <c r="C476" s="138" t="s">
        <v>2077</v>
      </c>
      <c r="D476" s="138" t="n">
        <v>413.5785</v>
      </c>
      <c r="E476" s="138" t="n">
        <v>414</v>
      </c>
      <c r="F476" s="138" t="s">
        <v>60</v>
      </c>
      <c r="G476" s="138" t="n">
        <v>7.81</v>
      </c>
      <c r="H476" s="138" t="s">
        <v>73</v>
      </c>
    </row>
    <row r="477" customFormat="false" ht="15" hidden="false" customHeight="false" outlineLevel="0" collapsed="false">
      <c r="A477" s="138" t="s">
        <v>5570</v>
      </c>
      <c r="B477" s="138" t="s">
        <v>2077</v>
      </c>
      <c r="C477" s="138" t="s">
        <v>5681</v>
      </c>
      <c r="D477" s="138" t="n">
        <v>414</v>
      </c>
      <c r="E477" s="138" t="n">
        <v>414.25</v>
      </c>
      <c r="F477" s="138" t="s">
        <v>60</v>
      </c>
      <c r="G477" s="138" t="n">
        <v>2.92</v>
      </c>
      <c r="H477" s="138" t="s">
        <v>73</v>
      </c>
    </row>
    <row r="478" customFormat="false" ht="15" hidden="false" customHeight="false" outlineLevel="0" collapsed="false">
      <c r="A478" s="138" t="s">
        <v>5570</v>
      </c>
      <c r="B478" s="138" t="s">
        <v>5682</v>
      </c>
      <c r="C478" s="138" t="s">
        <v>5683</v>
      </c>
      <c r="D478" s="138" t="n">
        <v>421.6985</v>
      </c>
      <c r="E478" s="138" t="n">
        <v>433.2565</v>
      </c>
      <c r="F478" s="138" t="s">
        <v>59</v>
      </c>
      <c r="G478" s="138" t="n">
        <v>1229.04</v>
      </c>
      <c r="H478" s="138" t="s">
        <v>73</v>
      </c>
    </row>
    <row r="479" customFormat="false" ht="15" hidden="false" customHeight="false" outlineLevel="0" collapsed="false">
      <c r="A479" s="138" t="s">
        <v>5570</v>
      </c>
      <c r="B479" s="138" t="s">
        <v>5682</v>
      </c>
      <c r="C479" s="138" t="s">
        <v>5684</v>
      </c>
      <c r="D479" s="138" t="n">
        <v>421.6985</v>
      </c>
      <c r="E479" s="138" t="n">
        <v>434.5005</v>
      </c>
      <c r="F479" s="138" t="s">
        <v>60</v>
      </c>
      <c r="G479" s="138" t="n">
        <v>1516.07</v>
      </c>
      <c r="H479" s="138" t="s">
        <v>73</v>
      </c>
    </row>
    <row r="480" customFormat="false" ht="15" hidden="false" customHeight="false" outlineLevel="0" collapsed="false">
      <c r="A480" s="138" t="s">
        <v>5570</v>
      </c>
      <c r="B480" s="138" t="s">
        <v>5685</v>
      </c>
      <c r="C480" s="138" t="s">
        <v>5686</v>
      </c>
      <c r="D480" s="138" t="n">
        <v>433.4</v>
      </c>
      <c r="E480" s="138" t="n">
        <v>433.6565</v>
      </c>
      <c r="F480" s="138" t="s">
        <v>59</v>
      </c>
      <c r="G480" s="138" t="n">
        <v>80.35</v>
      </c>
      <c r="H480" s="138" t="s">
        <v>73</v>
      </c>
    </row>
    <row r="481" customFormat="false" ht="15" hidden="false" customHeight="false" outlineLevel="0" collapsed="false">
      <c r="A481" s="138" t="s">
        <v>5570</v>
      </c>
      <c r="B481" s="138" t="s">
        <v>5687</v>
      </c>
      <c r="C481" s="138" t="s">
        <v>5688</v>
      </c>
      <c r="D481" s="138" t="n">
        <v>434.641</v>
      </c>
      <c r="E481" s="138" t="n">
        <v>435.2</v>
      </c>
      <c r="F481" s="138" t="s">
        <v>60</v>
      </c>
      <c r="G481" s="138" t="n">
        <v>171.27</v>
      </c>
      <c r="H481" s="138" t="s">
        <v>73</v>
      </c>
    </row>
    <row r="482" customFormat="false" ht="15" hidden="false" customHeight="false" outlineLevel="0" collapsed="false">
      <c r="A482" s="138" t="s">
        <v>5570</v>
      </c>
      <c r="B482" s="138" t="s">
        <v>5689</v>
      </c>
      <c r="C482" s="138" t="s">
        <v>5690</v>
      </c>
      <c r="D482" s="138" t="n">
        <v>433.8</v>
      </c>
      <c r="E482" s="138" t="n">
        <v>439.9095</v>
      </c>
      <c r="F482" s="138" t="s">
        <v>59</v>
      </c>
      <c r="G482" s="138" t="n">
        <v>1598.4</v>
      </c>
      <c r="H482" s="138" t="s">
        <v>73</v>
      </c>
    </row>
    <row r="483" customFormat="false" ht="15" hidden="false" customHeight="false" outlineLevel="0" collapsed="false">
      <c r="A483" s="138" t="s">
        <v>5570</v>
      </c>
      <c r="B483" s="138" t="s">
        <v>5690</v>
      </c>
      <c r="C483" s="138" t="s">
        <v>5691</v>
      </c>
      <c r="D483" s="138" t="n">
        <v>439.9095</v>
      </c>
      <c r="E483" s="138" t="n">
        <v>441.75</v>
      </c>
      <c r="F483" s="138" t="s">
        <v>59</v>
      </c>
      <c r="G483" s="138" t="n">
        <v>531.8</v>
      </c>
      <c r="H483" s="138" t="s">
        <v>73</v>
      </c>
    </row>
    <row r="484" customFormat="false" ht="15" hidden="false" customHeight="false" outlineLevel="0" collapsed="false">
      <c r="A484" s="138" t="s">
        <v>5570</v>
      </c>
      <c r="B484" s="138" t="s">
        <v>5692</v>
      </c>
      <c r="C484" s="138" t="s">
        <v>5693</v>
      </c>
      <c r="D484" s="138" t="n">
        <v>435.341</v>
      </c>
      <c r="E484" s="138" t="n">
        <v>439.411</v>
      </c>
      <c r="F484" s="138" t="s">
        <v>60</v>
      </c>
      <c r="G484" s="138" t="n">
        <v>1176.3</v>
      </c>
      <c r="H484" s="138" t="s">
        <v>73</v>
      </c>
    </row>
    <row r="485" customFormat="false" ht="15" hidden="false" customHeight="false" outlineLevel="0" collapsed="false">
      <c r="A485" s="138" t="s">
        <v>5570</v>
      </c>
      <c r="B485" s="138" t="s">
        <v>5694</v>
      </c>
      <c r="C485" s="138" t="s">
        <v>5693</v>
      </c>
      <c r="D485" s="138" t="n">
        <v>435.3</v>
      </c>
      <c r="E485" s="138" t="n">
        <v>439.411</v>
      </c>
      <c r="F485" s="138" t="s">
        <v>60</v>
      </c>
      <c r="G485" s="138" t="n">
        <v>286.7</v>
      </c>
      <c r="H485" s="138" t="s">
        <v>73</v>
      </c>
    </row>
    <row r="486" customFormat="false" ht="15" hidden="false" customHeight="false" outlineLevel="0" collapsed="false">
      <c r="A486" s="138" t="s">
        <v>5570</v>
      </c>
      <c r="B486" s="138" t="s">
        <v>5694</v>
      </c>
      <c r="C486" s="138" t="s">
        <v>5693</v>
      </c>
      <c r="D486" s="138" t="n">
        <v>435.3</v>
      </c>
      <c r="E486" s="138" t="n">
        <v>439.411</v>
      </c>
      <c r="F486" s="138" t="s">
        <v>60</v>
      </c>
      <c r="G486" s="138" t="n">
        <v>486.63</v>
      </c>
      <c r="H486" s="138" t="s">
        <v>73</v>
      </c>
    </row>
    <row r="487" customFormat="false" ht="15" hidden="false" customHeight="false" outlineLevel="0" collapsed="false">
      <c r="A487" s="138" t="s">
        <v>5570</v>
      </c>
      <c r="B487" s="138" t="s">
        <v>5691</v>
      </c>
      <c r="C487" s="138" t="s">
        <v>5695</v>
      </c>
      <c r="D487" s="138" t="n">
        <v>441.75</v>
      </c>
      <c r="E487" s="138" t="n">
        <v>447.25</v>
      </c>
      <c r="F487" s="138" t="s">
        <v>59</v>
      </c>
      <c r="G487" s="138" t="n">
        <v>1022.06</v>
      </c>
      <c r="H487" s="138" t="s">
        <v>73</v>
      </c>
    </row>
    <row r="488" customFormat="false" ht="15" hidden="false" customHeight="false" outlineLevel="0" collapsed="false">
      <c r="A488" s="138" t="s">
        <v>5570</v>
      </c>
      <c r="B488" s="138" t="s">
        <v>5696</v>
      </c>
      <c r="C488" s="138" t="s">
        <v>5697</v>
      </c>
      <c r="D488" s="138" t="n">
        <v>442.2325</v>
      </c>
      <c r="E488" s="138" t="n">
        <v>454.279</v>
      </c>
      <c r="F488" s="138" t="s">
        <v>60</v>
      </c>
      <c r="G488" s="138" t="n">
        <v>1453.43</v>
      </c>
      <c r="H488" s="138" t="s">
        <v>73</v>
      </c>
    </row>
    <row r="489" customFormat="false" ht="15" hidden="false" customHeight="false" outlineLevel="0" collapsed="false">
      <c r="A489" s="138" t="s">
        <v>5570</v>
      </c>
      <c r="B489" s="138" t="s">
        <v>5698</v>
      </c>
      <c r="C489" s="138" t="s">
        <v>5699</v>
      </c>
      <c r="D489" s="138" t="n">
        <v>434.441</v>
      </c>
      <c r="E489" s="138" t="n">
        <v>434.5</v>
      </c>
      <c r="F489" s="138" t="s">
        <v>60</v>
      </c>
      <c r="G489" s="138" t="n">
        <v>22.96</v>
      </c>
      <c r="H489" s="138" t="s">
        <v>73</v>
      </c>
    </row>
    <row r="490" customFormat="false" ht="15" hidden="false" customHeight="false" outlineLevel="0" collapsed="false">
      <c r="A490" s="138" t="s">
        <v>5570</v>
      </c>
      <c r="B490" s="138" t="s">
        <v>3813</v>
      </c>
      <c r="C490" s="138" t="s">
        <v>5700</v>
      </c>
      <c r="D490" s="138" t="n">
        <v>441.0625</v>
      </c>
      <c r="E490" s="138" t="n">
        <v>442.08</v>
      </c>
      <c r="F490" s="138" t="s">
        <v>60</v>
      </c>
      <c r="G490" s="138" t="n">
        <v>285.3</v>
      </c>
      <c r="H490" s="138" t="s">
        <v>73</v>
      </c>
    </row>
    <row r="491" customFormat="false" ht="15" hidden="false" customHeight="false" outlineLevel="0" collapsed="false">
      <c r="A491" s="138" t="s">
        <v>5570</v>
      </c>
      <c r="B491" s="138" t="s">
        <v>3813</v>
      </c>
      <c r="C491" s="138" t="s">
        <v>5701</v>
      </c>
      <c r="D491" s="138" t="n">
        <v>441.0625</v>
      </c>
      <c r="E491" s="138" t="n">
        <v>442.086</v>
      </c>
      <c r="F491" s="138" t="s">
        <v>60</v>
      </c>
      <c r="G491" s="138" t="n">
        <v>68.2</v>
      </c>
      <c r="H491" s="138" t="s">
        <v>73</v>
      </c>
    </row>
    <row r="492" customFormat="false" ht="15" hidden="false" customHeight="false" outlineLevel="0" collapsed="false">
      <c r="A492" s="138" t="s">
        <v>5570</v>
      </c>
      <c r="B492" s="138" t="s">
        <v>3813</v>
      </c>
      <c r="C492" s="138" t="s">
        <v>5701</v>
      </c>
      <c r="D492" s="138" t="n">
        <v>441.0625</v>
      </c>
      <c r="E492" s="138" t="n">
        <v>442.086</v>
      </c>
      <c r="F492" s="138" t="s">
        <v>60</v>
      </c>
      <c r="G492" s="138" t="n">
        <v>91.77</v>
      </c>
      <c r="H492" s="138" t="s">
        <v>73</v>
      </c>
    </row>
    <row r="493" customFormat="false" ht="15" hidden="false" customHeight="false" outlineLevel="0" collapsed="false">
      <c r="A493" s="138" t="s">
        <v>5570</v>
      </c>
      <c r="B493" s="138" t="s">
        <v>5697</v>
      </c>
      <c r="C493" s="138" t="s">
        <v>5702</v>
      </c>
      <c r="D493" s="138" t="n">
        <v>454.279</v>
      </c>
      <c r="E493" s="138" t="n">
        <v>454.6275</v>
      </c>
      <c r="F493" s="138" t="s">
        <v>60</v>
      </c>
      <c r="G493" s="138" t="n">
        <v>7.1</v>
      </c>
      <c r="H493" s="138" t="s">
        <v>73</v>
      </c>
    </row>
    <row r="494" customFormat="false" ht="15" hidden="false" customHeight="false" outlineLevel="0" collapsed="false">
      <c r="A494" s="138" t="s">
        <v>5570</v>
      </c>
      <c r="B494" s="138" t="s">
        <v>5703</v>
      </c>
      <c r="C494" s="138" t="s">
        <v>2133</v>
      </c>
      <c r="D494" s="138" t="n">
        <v>464.2</v>
      </c>
      <c r="E494" s="138" t="n">
        <v>466</v>
      </c>
      <c r="F494" s="138" t="s">
        <v>60</v>
      </c>
      <c r="G494" s="138" t="n">
        <v>43.59</v>
      </c>
      <c r="H494" s="138" t="s">
        <v>73</v>
      </c>
    </row>
    <row r="495" customFormat="false" ht="15" hidden="false" customHeight="false" outlineLevel="0" collapsed="false">
      <c r="A495" s="138" t="s">
        <v>5570</v>
      </c>
      <c r="B495" s="138" t="s">
        <v>2133</v>
      </c>
      <c r="C495" s="138" t="s">
        <v>2133</v>
      </c>
      <c r="D495" s="138" t="n">
        <v>466</v>
      </c>
      <c r="E495" s="138" t="n">
        <v>466.0005</v>
      </c>
      <c r="F495" s="138" t="s">
        <v>60</v>
      </c>
      <c r="G495" s="138" t="n">
        <v>21.05</v>
      </c>
      <c r="H495" s="138" t="s">
        <v>73</v>
      </c>
    </row>
    <row r="496" customFormat="false" ht="15" hidden="false" customHeight="false" outlineLevel="0" collapsed="false">
      <c r="A496" s="138" t="s">
        <v>5570</v>
      </c>
      <c r="B496" s="138" t="s">
        <v>5704</v>
      </c>
      <c r="C496" s="138" t="s">
        <v>5344</v>
      </c>
      <c r="D496" s="138" t="n">
        <v>466.2595</v>
      </c>
      <c r="E496" s="138" t="n">
        <v>466.878</v>
      </c>
      <c r="F496" s="138" t="s">
        <v>60</v>
      </c>
      <c r="G496" s="138" t="n">
        <v>38.82</v>
      </c>
      <c r="H496" s="138" t="s">
        <v>73</v>
      </c>
    </row>
    <row r="497" customFormat="false" ht="15" hidden="false" customHeight="false" outlineLevel="0" collapsed="false">
      <c r="A497" s="138" t="s">
        <v>5570</v>
      </c>
      <c r="B497" s="138" t="s">
        <v>5344</v>
      </c>
      <c r="C497" s="138" t="s">
        <v>5705</v>
      </c>
      <c r="D497" s="138" t="n">
        <v>466.878</v>
      </c>
      <c r="E497" s="138" t="n">
        <v>480.6</v>
      </c>
      <c r="F497" s="138" t="s">
        <v>60</v>
      </c>
      <c r="G497" s="138" t="n">
        <v>913.62</v>
      </c>
      <c r="H497" s="138" t="s">
        <v>73</v>
      </c>
    </row>
    <row r="498" customFormat="false" ht="15" hidden="false" customHeight="false" outlineLevel="0" collapsed="false">
      <c r="A498" s="138" t="s">
        <v>5570</v>
      </c>
      <c r="B498" s="138" t="s">
        <v>5706</v>
      </c>
      <c r="C498" s="138" t="s">
        <v>5707</v>
      </c>
      <c r="D498" s="138" t="n">
        <v>467.9</v>
      </c>
      <c r="E498" s="138" t="n">
        <v>471.8</v>
      </c>
      <c r="F498" s="138" t="s">
        <v>59</v>
      </c>
      <c r="G498" s="138" t="n">
        <v>107.71</v>
      </c>
      <c r="H498" s="138" t="s">
        <v>73</v>
      </c>
    </row>
    <row r="499" customFormat="false" ht="15" hidden="false" customHeight="false" outlineLevel="0" collapsed="false">
      <c r="A499" s="138" t="s">
        <v>5570</v>
      </c>
      <c r="B499" s="138" t="s">
        <v>2142</v>
      </c>
      <c r="C499" s="138" t="s">
        <v>5708</v>
      </c>
      <c r="D499" s="138" t="n">
        <v>474</v>
      </c>
      <c r="E499" s="138" t="n">
        <v>475.5165</v>
      </c>
      <c r="F499" s="138" t="s">
        <v>59</v>
      </c>
      <c r="G499" s="138" t="n">
        <v>18.51</v>
      </c>
      <c r="H499" s="138" t="s">
        <v>73</v>
      </c>
    </row>
    <row r="500" customFormat="false" ht="15" hidden="false" customHeight="false" outlineLevel="0" collapsed="false">
      <c r="A500" s="138" t="s">
        <v>5570</v>
      </c>
      <c r="B500" s="138" t="s">
        <v>5709</v>
      </c>
      <c r="C500" s="138" t="s">
        <v>5708</v>
      </c>
      <c r="D500" s="138" t="n">
        <v>475.028</v>
      </c>
      <c r="E500" s="138" t="n">
        <v>475.5165</v>
      </c>
      <c r="F500" s="138" t="s">
        <v>59</v>
      </c>
      <c r="G500" s="138" t="n">
        <v>11.41</v>
      </c>
      <c r="H500" s="138" t="s">
        <v>73</v>
      </c>
    </row>
    <row r="501" customFormat="false" ht="15" hidden="false" customHeight="false" outlineLevel="0" collapsed="false">
      <c r="A501" s="138" t="s">
        <v>5570</v>
      </c>
      <c r="B501" s="138" t="s">
        <v>5710</v>
      </c>
      <c r="C501" s="138" t="s">
        <v>5711</v>
      </c>
      <c r="D501" s="138" t="n">
        <v>477.317</v>
      </c>
      <c r="E501" s="138" t="n">
        <v>480.3</v>
      </c>
      <c r="F501" s="138" t="s">
        <v>59</v>
      </c>
      <c r="G501" s="138" t="n">
        <v>142.52</v>
      </c>
      <c r="H501" s="138" t="s">
        <v>73</v>
      </c>
    </row>
    <row r="502" customFormat="false" ht="15" hidden="false" customHeight="false" outlineLevel="0" collapsed="false">
      <c r="A502" s="138" t="s">
        <v>5570</v>
      </c>
      <c r="B502" s="138" t="s">
        <v>5712</v>
      </c>
      <c r="C502" s="138" t="s">
        <v>5710</v>
      </c>
      <c r="D502" s="138" t="n">
        <v>476.231</v>
      </c>
      <c r="E502" s="138" t="n">
        <v>477.317</v>
      </c>
      <c r="F502" s="138" t="s">
        <v>59</v>
      </c>
      <c r="G502" s="138" t="n">
        <v>41.26</v>
      </c>
      <c r="H502" s="138" t="s">
        <v>73</v>
      </c>
    </row>
    <row r="503" customFormat="false" ht="15" hidden="false" customHeight="false" outlineLevel="0" collapsed="false">
      <c r="A503" s="138" t="s">
        <v>5570</v>
      </c>
      <c r="B503" s="138" t="s">
        <v>5713</v>
      </c>
      <c r="C503" s="138" t="s">
        <v>5714</v>
      </c>
      <c r="D503" s="138" t="n">
        <v>486.3</v>
      </c>
      <c r="E503" s="138" t="n">
        <v>499.312</v>
      </c>
      <c r="F503" s="138" t="s">
        <v>59</v>
      </c>
      <c r="G503" s="138" t="n">
        <v>1936.23</v>
      </c>
      <c r="H503" s="138" t="s">
        <v>73</v>
      </c>
    </row>
    <row r="504" customFormat="false" ht="15" hidden="false" customHeight="false" outlineLevel="0" collapsed="false">
      <c r="A504" s="138" t="s">
        <v>5570</v>
      </c>
      <c r="B504" s="138" t="s">
        <v>5715</v>
      </c>
      <c r="C504" s="138" t="s">
        <v>5716</v>
      </c>
      <c r="D504" s="138" t="n">
        <v>487.6</v>
      </c>
      <c r="E504" s="138" t="n">
        <v>494.4475</v>
      </c>
      <c r="F504" s="138" t="s">
        <v>60</v>
      </c>
      <c r="G504" s="138" t="n">
        <v>166.91</v>
      </c>
      <c r="H504" s="138" t="s">
        <v>73</v>
      </c>
    </row>
    <row r="505" customFormat="false" ht="15" hidden="false" customHeight="false" outlineLevel="0" collapsed="false">
      <c r="A505" s="138" t="s">
        <v>5570</v>
      </c>
      <c r="B505" s="138" t="s">
        <v>5717</v>
      </c>
      <c r="C505" s="138" t="s">
        <v>5718</v>
      </c>
      <c r="D505" s="138" t="n">
        <v>494.6065</v>
      </c>
      <c r="E505" s="138" t="n">
        <v>494.769</v>
      </c>
      <c r="F505" s="138" t="s">
        <v>60</v>
      </c>
      <c r="G505" s="138" t="n">
        <v>0.32</v>
      </c>
      <c r="H505" s="138" t="s">
        <v>73</v>
      </c>
    </row>
    <row r="506" customFormat="false" ht="15" hidden="false" customHeight="false" outlineLevel="0" collapsed="false">
      <c r="A506" s="138" t="s">
        <v>5570</v>
      </c>
      <c r="B506" s="138" t="s">
        <v>4951</v>
      </c>
      <c r="C506" s="138" t="s">
        <v>5719</v>
      </c>
      <c r="D506" s="138" t="n">
        <v>496.441</v>
      </c>
      <c r="E506" s="138" t="n">
        <v>497.7</v>
      </c>
      <c r="F506" s="138" t="s">
        <v>60</v>
      </c>
      <c r="G506" s="138" t="n">
        <v>9.72</v>
      </c>
      <c r="H506" s="138" t="s">
        <v>73</v>
      </c>
    </row>
    <row r="507" customFormat="false" ht="15" hidden="false" customHeight="false" outlineLevel="0" collapsed="false">
      <c r="A507" s="138" t="s">
        <v>5570</v>
      </c>
      <c r="B507" s="138" t="s">
        <v>5720</v>
      </c>
      <c r="C507" s="138" t="s">
        <v>4947</v>
      </c>
      <c r="D507" s="138" t="n">
        <v>496.1535</v>
      </c>
      <c r="E507" s="138" t="n">
        <v>496.44</v>
      </c>
      <c r="F507" s="138" t="s">
        <v>60</v>
      </c>
      <c r="G507" s="138" t="n">
        <v>1.28</v>
      </c>
      <c r="H507" s="138" t="s">
        <v>73</v>
      </c>
    </row>
    <row r="508" customFormat="false" ht="15" hidden="false" customHeight="false" outlineLevel="0" collapsed="false">
      <c r="A508" s="138" t="s">
        <v>5570</v>
      </c>
      <c r="B508" s="138" t="s">
        <v>5721</v>
      </c>
      <c r="C508" s="138" t="s">
        <v>5722</v>
      </c>
      <c r="D508" s="138" t="n">
        <v>510.5</v>
      </c>
      <c r="E508" s="138" t="n">
        <v>510.6</v>
      </c>
      <c r="F508" s="138" t="s">
        <v>59</v>
      </c>
      <c r="G508" s="138" t="n">
        <v>0.59</v>
      </c>
      <c r="H508" s="138" t="s">
        <v>73</v>
      </c>
    </row>
    <row r="509" customFormat="false" ht="15" hidden="false" customHeight="false" outlineLevel="0" collapsed="false">
      <c r="A509" s="138" t="s">
        <v>5570</v>
      </c>
      <c r="B509" s="138" t="s">
        <v>5723</v>
      </c>
      <c r="C509" s="138" t="s">
        <v>5724</v>
      </c>
      <c r="D509" s="138" t="n">
        <v>511.8</v>
      </c>
      <c r="E509" s="138" t="n">
        <v>517.2</v>
      </c>
      <c r="F509" s="138" t="s">
        <v>59</v>
      </c>
      <c r="G509" s="138" t="n">
        <v>132.46</v>
      </c>
      <c r="H509" s="138" t="s">
        <v>73</v>
      </c>
    </row>
    <row r="510" customFormat="false" ht="15" hidden="false" customHeight="false" outlineLevel="0" collapsed="false">
      <c r="A510" s="138" t="s">
        <v>5570</v>
      </c>
      <c r="B510" s="138" t="s">
        <v>2196</v>
      </c>
      <c r="C510" s="138" t="s">
        <v>5725</v>
      </c>
      <c r="D510" s="138" t="n">
        <v>525</v>
      </c>
      <c r="E510" s="138" t="n">
        <v>525.2</v>
      </c>
      <c r="F510" s="138" t="s">
        <v>60</v>
      </c>
      <c r="G510" s="138" t="n">
        <v>0.34</v>
      </c>
      <c r="H510" s="138" t="s">
        <v>73</v>
      </c>
    </row>
    <row r="511" customFormat="false" ht="15" hidden="false" customHeight="false" outlineLevel="0" collapsed="false">
      <c r="A511" s="138" t="s">
        <v>5570</v>
      </c>
      <c r="B511" s="138" t="s">
        <v>5726</v>
      </c>
      <c r="C511" s="138" t="s">
        <v>5727</v>
      </c>
      <c r="D511" s="138" t="n">
        <v>525.7</v>
      </c>
      <c r="E511" s="138" t="n">
        <v>528.8</v>
      </c>
      <c r="F511" s="138" t="s">
        <v>60</v>
      </c>
      <c r="G511" s="138" t="n">
        <v>142.88</v>
      </c>
      <c r="H511" s="138" t="s">
        <v>73</v>
      </c>
    </row>
    <row r="512" customFormat="false" ht="15" hidden="false" customHeight="false" outlineLevel="0" collapsed="false">
      <c r="A512" s="138" t="s">
        <v>5570</v>
      </c>
      <c r="B512" s="138" t="s">
        <v>5728</v>
      </c>
      <c r="C512" s="138" t="s">
        <v>5729</v>
      </c>
      <c r="D512" s="138" t="n">
        <v>556.4</v>
      </c>
      <c r="E512" s="138" t="n">
        <v>571.6855</v>
      </c>
      <c r="F512" s="138" t="s">
        <v>59</v>
      </c>
      <c r="G512" s="138" t="n">
        <v>1099.46</v>
      </c>
      <c r="H512" s="138" t="s">
        <v>73</v>
      </c>
    </row>
    <row r="513" customFormat="false" ht="15" hidden="false" customHeight="false" outlineLevel="0" collapsed="false">
      <c r="A513" s="138" t="s">
        <v>5570</v>
      </c>
      <c r="B513" s="138" t="s">
        <v>5730</v>
      </c>
      <c r="C513" s="138" t="s">
        <v>5731</v>
      </c>
      <c r="D513" s="138" t="n">
        <v>557.4</v>
      </c>
      <c r="E513" s="138" t="n">
        <v>560.234</v>
      </c>
      <c r="F513" s="138" t="s">
        <v>60</v>
      </c>
      <c r="G513" s="138" t="n">
        <v>100.03</v>
      </c>
      <c r="H513" s="138" t="s">
        <v>73</v>
      </c>
    </row>
    <row r="514" customFormat="false" ht="15" hidden="false" customHeight="false" outlineLevel="0" collapsed="false">
      <c r="A514" s="138" t="s">
        <v>5570</v>
      </c>
      <c r="B514" s="138" t="s">
        <v>5731</v>
      </c>
      <c r="C514" s="138" t="s">
        <v>2232</v>
      </c>
      <c r="D514" s="138" t="n">
        <v>560.234</v>
      </c>
      <c r="E514" s="138" t="n">
        <v>561</v>
      </c>
      <c r="F514" s="138" t="s">
        <v>60</v>
      </c>
      <c r="G514" s="138" t="n">
        <v>35.79</v>
      </c>
      <c r="H514" s="138" t="s">
        <v>73</v>
      </c>
    </row>
    <row r="515" customFormat="false" ht="15" hidden="false" customHeight="false" outlineLevel="0" collapsed="false">
      <c r="A515" s="138" t="s">
        <v>5570</v>
      </c>
      <c r="B515" s="138" t="s">
        <v>5732</v>
      </c>
      <c r="C515" s="138" t="s">
        <v>5733</v>
      </c>
      <c r="D515" s="138" t="n">
        <v>561.518</v>
      </c>
      <c r="E515" s="138" t="n">
        <v>561.5865</v>
      </c>
      <c r="F515" s="138" t="s">
        <v>60</v>
      </c>
      <c r="G515" s="138" t="n">
        <v>31.14</v>
      </c>
      <c r="H515" s="138" t="s">
        <v>73</v>
      </c>
    </row>
    <row r="516" customFormat="false" ht="15" hidden="false" customHeight="false" outlineLevel="0" collapsed="false">
      <c r="A516" s="138" t="s">
        <v>5570</v>
      </c>
      <c r="B516" s="138" t="s">
        <v>5105</v>
      </c>
      <c r="C516" s="138" t="s">
        <v>5734</v>
      </c>
      <c r="D516" s="138" t="n">
        <v>561.6</v>
      </c>
      <c r="E516" s="138" t="n">
        <v>584.4</v>
      </c>
      <c r="F516" s="138" t="s">
        <v>60</v>
      </c>
      <c r="G516" s="138" t="n">
        <v>1254.01</v>
      </c>
      <c r="H516" s="138" t="s">
        <v>73</v>
      </c>
    </row>
    <row r="517" customFormat="false" ht="15" hidden="false" customHeight="false" outlineLevel="0" collapsed="false">
      <c r="A517" s="138" t="s">
        <v>5570</v>
      </c>
      <c r="B517" s="138" t="s">
        <v>5729</v>
      </c>
      <c r="C517" s="138" t="s">
        <v>5735</v>
      </c>
      <c r="D517" s="138" t="n">
        <v>571.6855</v>
      </c>
      <c r="E517" s="138" t="n">
        <v>571.9635</v>
      </c>
      <c r="F517" s="138" t="s">
        <v>59</v>
      </c>
      <c r="G517" s="138" t="n">
        <v>18.98</v>
      </c>
      <c r="H517" s="138" t="s">
        <v>73</v>
      </c>
    </row>
    <row r="518" customFormat="false" ht="15" hidden="false" customHeight="false" outlineLevel="0" collapsed="false">
      <c r="A518" s="138" t="s">
        <v>5570</v>
      </c>
      <c r="B518" s="138" t="s">
        <v>5736</v>
      </c>
      <c r="C518" s="138" t="s">
        <v>5737</v>
      </c>
      <c r="D518" s="138" t="n">
        <v>572.3305</v>
      </c>
      <c r="E518" s="138" t="n">
        <v>572.4865</v>
      </c>
      <c r="F518" s="138" t="s">
        <v>59</v>
      </c>
      <c r="G518" s="138" t="n">
        <v>21.47</v>
      </c>
      <c r="H518" s="138" t="s">
        <v>73</v>
      </c>
    </row>
    <row r="519" customFormat="false" ht="15" hidden="false" customHeight="false" outlineLevel="0" collapsed="false">
      <c r="A519" s="138" t="s">
        <v>5570</v>
      </c>
      <c r="B519" s="138" t="s">
        <v>5738</v>
      </c>
      <c r="C519" s="138" t="s">
        <v>5739</v>
      </c>
      <c r="D519" s="138" t="n">
        <v>572.5</v>
      </c>
      <c r="E519" s="138" t="n">
        <v>581.5595</v>
      </c>
      <c r="F519" s="138" t="s">
        <v>59</v>
      </c>
      <c r="G519" s="138" t="n">
        <v>374.15</v>
      </c>
      <c r="H519" s="138" t="s">
        <v>73</v>
      </c>
    </row>
    <row r="520" customFormat="false" ht="15" hidden="false" customHeight="false" outlineLevel="0" collapsed="false">
      <c r="A520" s="138" t="s">
        <v>5570</v>
      </c>
      <c r="B520" s="138" t="s">
        <v>5739</v>
      </c>
      <c r="C520" s="138" t="s">
        <v>5740</v>
      </c>
      <c r="D520" s="138" t="n">
        <v>581.5595</v>
      </c>
      <c r="E520" s="138" t="n">
        <v>581.8465</v>
      </c>
      <c r="F520" s="138" t="s">
        <v>59</v>
      </c>
      <c r="G520" s="138" t="n">
        <v>10.19</v>
      </c>
      <c r="H520" s="138" t="s">
        <v>73</v>
      </c>
    </row>
    <row r="521" customFormat="false" ht="15" hidden="false" customHeight="false" outlineLevel="0" collapsed="false">
      <c r="A521" s="138" t="s">
        <v>5570</v>
      </c>
      <c r="B521" s="138" t="s">
        <v>5741</v>
      </c>
      <c r="C521" s="138" t="s">
        <v>5742</v>
      </c>
      <c r="D521" s="138" t="n">
        <v>582.7</v>
      </c>
      <c r="E521" s="138" t="n">
        <v>584.8</v>
      </c>
      <c r="F521" s="138" t="s">
        <v>59</v>
      </c>
      <c r="G521" s="138" t="n">
        <v>21.46</v>
      </c>
      <c r="H521" s="138" t="s">
        <v>73</v>
      </c>
    </row>
    <row r="522" customFormat="false" ht="15" hidden="false" customHeight="false" outlineLevel="0" collapsed="false">
      <c r="A522" s="138" t="s">
        <v>5570</v>
      </c>
      <c r="B522" s="138" t="s">
        <v>5743</v>
      </c>
      <c r="C522" s="138" t="s">
        <v>5744</v>
      </c>
      <c r="D522" s="138" t="n">
        <v>582.3275</v>
      </c>
      <c r="E522" s="138" t="n">
        <v>582.672</v>
      </c>
      <c r="F522" s="138" t="s">
        <v>59</v>
      </c>
      <c r="G522" s="138" t="n">
        <v>18.42</v>
      </c>
      <c r="H522" s="138" t="s">
        <v>73</v>
      </c>
    </row>
    <row r="523" customFormat="false" ht="15" hidden="false" customHeight="false" outlineLevel="0" collapsed="false">
      <c r="A523" s="138" t="s">
        <v>5570</v>
      </c>
      <c r="B523" s="138" t="s">
        <v>5399</v>
      </c>
      <c r="C523" s="138" t="s">
        <v>2266</v>
      </c>
      <c r="D523" s="138" t="n">
        <v>590.7</v>
      </c>
      <c r="E523" s="138" t="n">
        <v>593</v>
      </c>
      <c r="F523" s="138" t="s">
        <v>59</v>
      </c>
      <c r="G523" s="138" t="n">
        <v>54.19</v>
      </c>
      <c r="H523" s="138" t="s">
        <v>73</v>
      </c>
    </row>
    <row r="524" customFormat="false" ht="15" hidden="false" customHeight="false" outlineLevel="0" collapsed="false">
      <c r="A524" s="138" t="s">
        <v>5570</v>
      </c>
      <c r="B524" s="138" t="s">
        <v>5745</v>
      </c>
      <c r="C524" s="138" t="s">
        <v>5746</v>
      </c>
      <c r="D524" s="138" t="n">
        <v>591.056</v>
      </c>
      <c r="E524" s="138" t="n">
        <v>591.0655</v>
      </c>
      <c r="F524" s="138" t="s">
        <v>60</v>
      </c>
      <c r="G524" s="138" t="n">
        <v>2.2</v>
      </c>
      <c r="H524" s="138" t="s">
        <v>73</v>
      </c>
    </row>
    <row r="525" customFormat="false" ht="15" hidden="false" customHeight="false" outlineLevel="0" collapsed="false">
      <c r="A525" s="138" t="s">
        <v>5570</v>
      </c>
      <c r="B525" s="138" t="s">
        <v>5747</v>
      </c>
      <c r="C525" s="138" t="s">
        <v>5748</v>
      </c>
      <c r="D525" s="138" t="n">
        <v>591.302</v>
      </c>
      <c r="E525" s="138" t="n">
        <v>591.9505</v>
      </c>
      <c r="F525" s="138" t="s">
        <v>60</v>
      </c>
      <c r="G525" s="138" t="n">
        <v>35.03</v>
      </c>
      <c r="H525" s="138" t="s">
        <v>73</v>
      </c>
    </row>
    <row r="526" customFormat="false" ht="15" hidden="false" customHeight="false" outlineLevel="0" collapsed="false">
      <c r="A526" s="138" t="s">
        <v>5570</v>
      </c>
      <c r="B526" s="138" t="s">
        <v>5407</v>
      </c>
      <c r="C526" s="138" t="s">
        <v>5749</v>
      </c>
      <c r="D526" s="138" t="n">
        <v>598.25</v>
      </c>
      <c r="E526" s="138" t="n">
        <v>614.759</v>
      </c>
      <c r="F526" s="138" t="s">
        <v>60</v>
      </c>
      <c r="G526" s="138" t="n">
        <v>1165.86</v>
      </c>
      <c r="H526" s="138" t="s">
        <v>73</v>
      </c>
    </row>
    <row r="527" customFormat="false" ht="15" hidden="false" customHeight="false" outlineLevel="0" collapsed="false">
      <c r="A527" s="138" t="s">
        <v>5570</v>
      </c>
      <c r="B527" s="138" t="s">
        <v>5750</v>
      </c>
      <c r="C527" s="138" t="s">
        <v>5751</v>
      </c>
      <c r="D527" s="138" t="n">
        <v>598.5</v>
      </c>
      <c r="E527" s="138" t="n">
        <v>599.31</v>
      </c>
      <c r="F527" s="138" t="s">
        <v>59</v>
      </c>
      <c r="G527" s="138" t="n">
        <v>2.13</v>
      </c>
      <c r="H527" s="138" t="s">
        <v>73</v>
      </c>
    </row>
    <row r="528" customFormat="false" ht="15" hidden="false" customHeight="false" outlineLevel="0" collapsed="false">
      <c r="A528" s="138" t="s">
        <v>5570</v>
      </c>
      <c r="B528" s="138" t="s">
        <v>5752</v>
      </c>
      <c r="C528" s="138" t="s">
        <v>5753</v>
      </c>
      <c r="D528" s="138" t="n">
        <v>601.642</v>
      </c>
      <c r="E528" s="138" t="n">
        <v>601.6715</v>
      </c>
      <c r="F528" s="138" t="s">
        <v>59</v>
      </c>
      <c r="G528" s="138" t="n">
        <v>1.96</v>
      </c>
      <c r="H528" s="138" t="s">
        <v>73</v>
      </c>
    </row>
    <row r="529" customFormat="false" ht="15" hidden="false" customHeight="false" outlineLevel="0" collapsed="false">
      <c r="A529" s="138" t="s">
        <v>5570</v>
      </c>
      <c r="B529" s="138" t="s">
        <v>5754</v>
      </c>
      <c r="C529" s="138" t="s">
        <v>5755</v>
      </c>
      <c r="D529" s="138" t="n">
        <v>602.1225</v>
      </c>
      <c r="E529" s="138" t="n">
        <v>602.3235</v>
      </c>
      <c r="F529" s="138" t="s">
        <v>59</v>
      </c>
      <c r="G529" s="138" t="n">
        <v>5.18</v>
      </c>
      <c r="H529" s="138" t="s">
        <v>73</v>
      </c>
    </row>
    <row r="530" customFormat="false" ht="15" hidden="false" customHeight="false" outlineLevel="0" collapsed="false">
      <c r="A530" s="138" t="s">
        <v>5570</v>
      </c>
      <c r="B530" s="138" t="s">
        <v>5756</v>
      </c>
      <c r="C530" s="138" t="s">
        <v>5757</v>
      </c>
      <c r="D530" s="138" t="n">
        <v>602.4</v>
      </c>
      <c r="E530" s="138" t="n">
        <v>608.2565</v>
      </c>
      <c r="F530" s="138" t="s">
        <v>59</v>
      </c>
      <c r="G530" s="138" t="n">
        <v>251.05</v>
      </c>
      <c r="H530" s="138" t="s">
        <v>73</v>
      </c>
    </row>
    <row r="531" customFormat="false" ht="15" hidden="false" customHeight="false" outlineLevel="0" collapsed="false">
      <c r="A531" s="138" t="s">
        <v>5570</v>
      </c>
      <c r="B531" s="138" t="s">
        <v>5758</v>
      </c>
      <c r="C531" s="138" t="s">
        <v>5759</v>
      </c>
      <c r="D531" s="138" t="n">
        <v>608.457</v>
      </c>
      <c r="E531" s="138" t="n">
        <v>612.6135</v>
      </c>
      <c r="F531" s="138" t="s">
        <v>59</v>
      </c>
      <c r="G531" s="138" t="n">
        <v>161.56</v>
      </c>
      <c r="H531" s="138" t="s">
        <v>73</v>
      </c>
    </row>
    <row r="532" customFormat="false" ht="15" hidden="false" customHeight="false" outlineLevel="0" collapsed="false">
      <c r="A532" s="138" t="s">
        <v>5570</v>
      </c>
      <c r="B532" s="138" t="s">
        <v>2285</v>
      </c>
      <c r="C532" s="138" t="s">
        <v>5760</v>
      </c>
      <c r="D532" s="138" t="n">
        <v>613</v>
      </c>
      <c r="E532" s="138" t="n">
        <v>614.0075</v>
      </c>
      <c r="F532" s="138" t="s">
        <v>59</v>
      </c>
      <c r="G532" s="138" t="n">
        <v>9.12</v>
      </c>
      <c r="H532" s="138" t="s">
        <v>73</v>
      </c>
    </row>
    <row r="533" customFormat="false" ht="15" hidden="false" customHeight="false" outlineLevel="0" collapsed="false">
      <c r="A533" s="138" t="s">
        <v>5570</v>
      </c>
      <c r="B533" s="138" t="s">
        <v>5761</v>
      </c>
      <c r="C533" s="138" t="s">
        <v>5762</v>
      </c>
      <c r="D533" s="138" t="n">
        <v>620.5</v>
      </c>
      <c r="E533" s="138" t="n">
        <v>621.241</v>
      </c>
      <c r="F533" s="138" t="s">
        <v>60</v>
      </c>
      <c r="G533" s="138" t="n">
        <v>6.58</v>
      </c>
      <c r="H533" s="138" t="s">
        <v>73</v>
      </c>
    </row>
    <row r="534" customFormat="false" ht="15" hidden="false" customHeight="false" outlineLevel="0" collapsed="false">
      <c r="A534" s="138" t="s">
        <v>5570</v>
      </c>
      <c r="B534" s="138" t="s">
        <v>2293</v>
      </c>
      <c r="C534" s="138" t="s">
        <v>5763</v>
      </c>
      <c r="D534" s="138" t="n">
        <v>621</v>
      </c>
      <c r="E534" s="138" t="n">
        <v>629.58</v>
      </c>
      <c r="F534" s="138" t="s">
        <v>4521</v>
      </c>
      <c r="G534" s="138" t="n">
        <v>180.47</v>
      </c>
      <c r="H534" s="138" t="s">
        <v>73</v>
      </c>
    </row>
    <row r="535" customFormat="false" ht="15" hidden="false" customHeight="false" outlineLevel="0" collapsed="false">
      <c r="A535" s="138" t="s">
        <v>5570</v>
      </c>
      <c r="B535" s="138" t="s">
        <v>5764</v>
      </c>
      <c r="C535" s="138" t="s">
        <v>5765</v>
      </c>
      <c r="D535" s="138" t="n">
        <v>621.6</v>
      </c>
      <c r="E535" s="138" t="n">
        <v>622.642</v>
      </c>
      <c r="F535" s="138" t="s">
        <v>60</v>
      </c>
      <c r="G535" s="138" t="n">
        <v>44.13</v>
      </c>
      <c r="H535" s="138" t="s">
        <v>73</v>
      </c>
    </row>
    <row r="536" customFormat="false" ht="15" hidden="false" customHeight="false" outlineLevel="0" collapsed="false">
      <c r="A536" s="138" t="s">
        <v>5570</v>
      </c>
      <c r="B536" s="138" t="s">
        <v>5766</v>
      </c>
      <c r="C536" s="138" t="s">
        <v>5767</v>
      </c>
      <c r="D536" s="138" t="n">
        <v>622.55</v>
      </c>
      <c r="E536" s="138" t="n">
        <v>622.584</v>
      </c>
      <c r="F536" s="138" t="s">
        <v>60</v>
      </c>
      <c r="G536" s="138" t="n">
        <v>9.7</v>
      </c>
      <c r="H536" s="138" t="s">
        <v>73</v>
      </c>
    </row>
    <row r="537" customFormat="false" ht="15" hidden="false" customHeight="false" outlineLevel="0" collapsed="false">
      <c r="A537" s="138" t="s">
        <v>5570</v>
      </c>
      <c r="B537" s="138" t="s">
        <v>5768</v>
      </c>
      <c r="C537" s="138" t="s">
        <v>5769</v>
      </c>
      <c r="D537" s="138" t="n">
        <v>622.7995</v>
      </c>
      <c r="E537" s="138" t="n">
        <v>622.8155</v>
      </c>
      <c r="F537" s="138" t="s">
        <v>60</v>
      </c>
      <c r="G537" s="138" t="n">
        <v>0.16</v>
      </c>
      <c r="H537" s="138" t="s">
        <v>73</v>
      </c>
    </row>
    <row r="538" customFormat="false" ht="15" hidden="false" customHeight="false" outlineLevel="0" collapsed="false">
      <c r="A538" s="138" t="s">
        <v>5570</v>
      </c>
      <c r="B538" s="138" t="s">
        <v>2295</v>
      </c>
      <c r="C538" s="138" t="s">
        <v>5770</v>
      </c>
      <c r="D538" s="138" t="n">
        <v>623</v>
      </c>
      <c r="E538" s="138" t="n">
        <v>623.3815</v>
      </c>
      <c r="F538" s="138" t="s">
        <v>60</v>
      </c>
      <c r="G538" s="138" t="n">
        <v>62.56</v>
      </c>
      <c r="H538" s="138" t="s">
        <v>73</v>
      </c>
    </row>
    <row r="539" customFormat="false" ht="15" hidden="false" customHeight="false" outlineLevel="0" collapsed="false">
      <c r="A539" s="138" t="s">
        <v>5570</v>
      </c>
      <c r="B539" s="138" t="s">
        <v>5771</v>
      </c>
      <c r="C539" s="138" t="s">
        <v>5772</v>
      </c>
      <c r="D539" s="138" t="n">
        <v>623.4</v>
      </c>
      <c r="E539" s="138" t="n">
        <v>628.756</v>
      </c>
      <c r="F539" s="138" t="s">
        <v>60</v>
      </c>
      <c r="G539" s="138" t="n">
        <v>264.01</v>
      </c>
      <c r="H539" s="138" t="s">
        <v>73</v>
      </c>
    </row>
    <row r="540" customFormat="false" ht="15" hidden="false" customHeight="false" outlineLevel="0" collapsed="false">
      <c r="A540" s="138" t="s">
        <v>5570</v>
      </c>
      <c r="B540" s="138" t="s">
        <v>5773</v>
      </c>
      <c r="C540" s="138" t="s">
        <v>5774</v>
      </c>
      <c r="D540" s="138" t="n">
        <v>628.956</v>
      </c>
      <c r="E540" s="138" t="n">
        <v>630.4545</v>
      </c>
      <c r="F540" s="138" t="s">
        <v>60</v>
      </c>
      <c r="G540" s="138" t="n">
        <v>25.46</v>
      </c>
      <c r="H540" s="138" t="s">
        <v>73</v>
      </c>
    </row>
    <row r="541" customFormat="false" ht="15" hidden="false" customHeight="false" outlineLevel="0" collapsed="false">
      <c r="A541" s="138" t="s">
        <v>5570</v>
      </c>
      <c r="B541" s="138" t="s">
        <v>5775</v>
      </c>
      <c r="C541" s="138" t="s">
        <v>4099</v>
      </c>
      <c r="D541" s="138" t="n">
        <v>629.7365</v>
      </c>
      <c r="E541" s="138" t="n">
        <v>630.5</v>
      </c>
      <c r="F541" s="138" t="s">
        <v>59</v>
      </c>
      <c r="G541" s="138" t="n">
        <v>5.72</v>
      </c>
      <c r="H541" s="138" t="s">
        <v>73</v>
      </c>
    </row>
    <row r="542" customFormat="false" ht="15" hidden="false" customHeight="false" outlineLevel="0" collapsed="false">
      <c r="A542" s="138" t="s">
        <v>5570</v>
      </c>
      <c r="B542" s="138" t="s">
        <v>5776</v>
      </c>
      <c r="C542" s="138" t="s">
        <v>5777</v>
      </c>
      <c r="D542" s="138" t="n">
        <v>630.7045</v>
      </c>
      <c r="E542" s="138" t="n">
        <v>632.4065</v>
      </c>
      <c r="F542" s="138" t="s">
        <v>60</v>
      </c>
      <c r="G542" s="138" t="n">
        <v>16.18</v>
      </c>
      <c r="H542" s="138" t="s">
        <v>73</v>
      </c>
    </row>
    <row r="543" customFormat="false" ht="15" hidden="false" customHeight="false" outlineLevel="0" collapsed="false">
      <c r="A543" s="138" t="s">
        <v>5570</v>
      </c>
      <c r="B543" s="138" t="s">
        <v>2305</v>
      </c>
      <c r="C543" s="138" t="s">
        <v>5778</v>
      </c>
      <c r="D543" s="138" t="n">
        <v>632</v>
      </c>
      <c r="E543" s="138" t="n">
        <v>632.435</v>
      </c>
      <c r="F543" s="138" t="s">
        <v>59</v>
      </c>
      <c r="G543" s="138" t="n">
        <v>2.14</v>
      </c>
      <c r="H543" s="138" t="s">
        <v>73</v>
      </c>
    </row>
    <row r="544" customFormat="false" ht="15" hidden="false" customHeight="false" outlineLevel="0" collapsed="false">
      <c r="A544" s="138" t="s">
        <v>5570</v>
      </c>
      <c r="B544" s="138" t="s">
        <v>5777</v>
      </c>
      <c r="C544" s="138" t="s">
        <v>5779</v>
      </c>
      <c r="D544" s="138" t="n">
        <v>632.4065</v>
      </c>
      <c r="E544" s="138" t="n">
        <v>632.6485</v>
      </c>
      <c r="F544" s="138" t="s">
        <v>60</v>
      </c>
      <c r="G544" s="138" t="n">
        <v>2.59</v>
      </c>
      <c r="H544" s="138" t="s">
        <v>73</v>
      </c>
    </row>
    <row r="545" customFormat="false" ht="15" hidden="false" customHeight="false" outlineLevel="0" collapsed="false">
      <c r="A545" s="138" t="s">
        <v>5570</v>
      </c>
      <c r="B545" s="138" t="s">
        <v>5780</v>
      </c>
      <c r="C545" s="138" t="s">
        <v>5781</v>
      </c>
      <c r="D545" s="138" t="n">
        <v>632.68</v>
      </c>
      <c r="E545" s="138" t="n">
        <v>633.1</v>
      </c>
      <c r="F545" s="138" t="s">
        <v>59</v>
      </c>
      <c r="G545" s="138" t="n">
        <v>1.33</v>
      </c>
      <c r="H545" s="138" t="s">
        <v>73</v>
      </c>
    </row>
    <row r="546" customFormat="false" ht="15" hidden="false" customHeight="false" outlineLevel="0" collapsed="false">
      <c r="A546" s="138" t="s">
        <v>5570</v>
      </c>
      <c r="B546" s="138" t="s">
        <v>5782</v>
      </c>
      <c r="C546" s="138" t="s">
        <v>5783</v>
      </c>
      <c r="D546" s="138" t="n">
        <v>633.155</v>
      </c>
      <c r="E546" s="138" t="n">
        <v>633.3725</v>
      </c>
      <c r="F546" s="138" t="s">
        <v>60</v>
      </c>
      <c r="G546" s="138" t="n">
        <v>0.87</v>
      </c>
      <c r="H546" s="138" t="s">
        <v>73</v>
      </c>
    </row>
    <row r="547" customFormat="false" ht="15" hidden="false" customHeight="false" outlineLevel="0" collapsed="false">
      <c r="A547" s="138" t="s">
        <v>5570</v>
      </c>
      <c r="B547" s="138" t="s">
        <v>5783</v>
      </c>
      <c r="C547" s="138" t="s">
        <v>5784</v>
      </c>
      <c r="D547" s="138" t="n">
        <v>633.3725</v>
      </c>
      <c r="E547" s="138" t="n">
        <v>634.6</v>
      </c>
      <c r="F547" s="138" t="s">
        <v>59</v>
      </c>
      <c r="G547" s="138" t="n">
        <v>3.46</v>
      </c>
      <c r="H547" s="138" t="s">
        <v>73</v>
      </c>
    </row>
    <row r="548" customFormat="false" ht="15" hidden="false" customHeight="false" outlineLevel="0" collapsed="false">
      <c r="A548" s="138" t="s">
        <v>5570</v>
      </c>
      <c r="B548" s="138" t="s">
        <v>5783</v>
      </c>
      <c r="C548" s="138" t="s">
        <v>5785</v>
      </c>
      <c r="D548" s="138" t="n">
        <v>633.3725</v>
      </c>
      <c r="E548" s="138" t="n">
        <v>633.8495</v>
      </c>
      <c r="F548" s="138" t="s">
        <v>60</v>
      </c>
      <c r="G548" s="138" t="n">
        <v>2.38</v>
      </c>
      <c r="H548" s="138" t="s">
        <v>73</v>
      </c>
    </row>
    <row r="549" customFormat="false" ht="15" hidden="false" customHeight="false" outlineLevel="0" collapsed="false">
      <c r="A549" s="138" t="s">
        <v>5570</v>
      </c>
      <c r="B549" s="138" t="s">
        <v>5785</v>
      </c>
      <c r="C549" s="138" t="s">
        <v>5786</v>
      </c>
      <c r="D549" s="138" t="n">
        <v>633.8495</v>
      </c>
      <c r="E549" s="138" t="n">
        <v>634.0965</v>
      </c>
      <c r="F549" s="138" t="s">
        <v>60</v>
      </c>
      <c r="G549" s="138" t="n">
        <v>1.22</v>
      </c>
      <c r="H549" s="138" t="s">
        <v>73</v>
      </c>
    </row>
    <row r="550" customFormat="false" ht="15" hidden="false" customHeight="false" outlineLevel="0" collapsed="false">
      <c r="A550" s="138" t="s">
        <v>5570</v>
      </c>
      <c r="B550" s="138" t="s">
        <v>5787</v>
      </c>
      <c r="C550" s="138" t="s">
        <v>5788</v>
      </c>
      <c r="D550" s="138" t="n">
        <v>634.5695</v>
      </c>
      <c r="E550" s="138" t="n">
        <v>634.6885</v>
      </c>
      <c r="F550" s="138" t="s">
        <v>59</v>
      </c>
      <c r="G550" s="138" t="n">
        <v>1.51</v>
      </c>
      <c r="H550" s="138" t="s">
        <v>73</v>
      </c>
    </row>
    <row r="551" customFormat="false" ht="15" hidden="false" customHeight="false" outlineLevel="0" collapsed="false">
      <c r="A551" s="138" t="s">
        <v>5570</v>
      </c>
      <c r="B551" s="138" t="s">
        <v>5789</v>
      </c>
      <c r="C551" s="138" t="s">
        <v>5790</v>
      </c>
      <c r="D551" s="138" t="n">
        <v>634.631</v>
      </c>
      <c r="E551" s="138" t="n">
        <v>634.646</v>
      </c>
      <c r="F551" s="138" t="s">
        <v>60</v>
      </c>
      <c r="G551" s="138" t="n">
        <v>0.12</v>
      </c>
      <c r="H551" s="138" t="s">
        <v>73</v>
      </c>
    </row>
    <row r="552" customFormat="false" ht="15" hidden="false" customHeight="false" outlineLevel="0" collapsed="false">
      <c r="A552" s="138" t="s">
        <v>5570</v>
      </c>
      <c r="B552" s="138" t="s">
        <v>5791</v>
      </c>
      <c r="C552" s="138" t="s">
        <v>5792</v>
      </c>
      <c r="D552" s="138" t="n">
        <v>634.649</v>
      </c>
      <c r="E552" s="138" t="n">
        <v>634.8205</v>
      </c>
      <c r="F552" s="138" t="s">
        <v>60</v>
      </c>
      <c r="G552" s="138" t="n">
        <v>0.8</v>
      </c>
      <c r="H552" s="138" t="s">
        <v>73</v>
      </c>
    </row>
    <row r="553" customFormat="false" ht="15" hidden="false" customHeight="false" outlineLevel="0" collapsed="false">
      <c r="A553" s="138" t="s">
        <v>5570</v>
      </c>
      <c r="B553" s="138" t="s">
        <v>5793</v>
      </c>
      <c r="C553" s="138" t="s">
        <v>5794</v>
      </c>
      <c r="D553" s="138" t="n">
        <v>634.9</v>
      </c>
      <c r="E553" s="138" t="n">
        <v>638.8815</v>
      </c>
      <c r="F553" s="138" t="s">
        <v>60</v>
      </c>
      <c r="G553" s="138" t="n">
        <v>59.4</v>
      </c>
      <c r="H553" s="138" t="s">
        <v>73</v>
      </c>
    </row>
    <row r="554" customFormat="false" ht="15" hidden="false" customHeight="false" outlineLevel="0" collapsed="false">
      <c r="A554" s="138" t="s">
        <v>5570</v>
      </c>
      <c r="B554" s="138" t="s">
        <v>5795</v>
      </c>
      <c r="C554" s="138" t="s">
        <v>5796</v>
      </c>
      <c r="D554" s="138" t="n">
        <v>635.5885</v>
      </c>
      <c r="E554" s="138" t="n">
        <v>635.789</v>
      </c>
      <c r="F554" s="138" t="s">
        <v>59</v>
      </c>
      <c r="G554" s="138" t="n">
        <v>2.82</v>
      </c>
      <c r="H554" s="138" t="s">
        <v>73</v>
      </c>
    </row>
    <row r="555" customFormat="false" ht="15" hidden="false" customHeight="false" outlineLevel="0" collapsed="false">
      <c r="A555" s="138" t="s">
        <v>5570</v>
      </c>
      <c r="B555" s="138" t="s">
        <v>5797</v>
      </c>
      <c r="C555" s="138" t="s">
        <v>5798</v>
      </c>
      <c r="D555" s="138" t="n">
        <v>635.8</v>
      </c>
      <c r="E555" s="138" t="n">
        <v>635.9</v>
      </c>
      <c r="F555" s="138" t="s">
        <v>59</v>
      </c>
      <c r="G555" s="138" t="n">
        <v>0.41</v>
      </c>
      <c r="H555" s="138" t="s">
        <v>73</v>
      </c>
    </row>
    <row r="556" customFormat="false" ht="15" hidden="false" customHeight="false" outlineLevel="0" collapsed="false">
      <c r="A556" s="138" t="s">
        <v>5570</v>
      </c>
      <c r="B556" s="138" t="s">
        <v>5794</v>
      </c>
      <c r="C556" s="138" t="s">
        <v>5799</v>
      </c>
      <c r="D556" s="138" t="n">
        <v>638.8815</v>
      </c>
      <c r="E556" s="138" t="n">
        <v>639.1075</v>
      </c>
      <c r="F556" s="138" t="s">
        <v>60</v>
      </c>
      <c r="G556" s="138" t="n">
        <v>5.07</v>
      </c>
      <c r="H556" s="138" t="s">
        <v>73</v>
      </c>
    </row>
    <row r="557" customFormat="false" ht="15" hidden="false" customHeight="false" outlineLevel="0" collapsed="false">
      <c r="A557" s="138" t="s">
        <v>5570</v>
      </c>
      <c r="B557" s="138" t="s">
        <v>5800</v>
      </c>
      <c r="C557" s="138" t="s">
        <v>5801</v>
      </c>
      <c r="D557" s="138" t="n">
        <v>639.492</v>
      </c>
      <c r="E557" s="138" t="n">
        <v>639.602</v>
      </c>
      <c r="F557" s="138" t="s">
        <v>60</v>
      </c>
      <c r="G557" s="138" t="n">
        <v>1.56</v>
      </c>
      <c r="H557" s="138" t="s">
        <v>73</v>
      </c>
    </row>
    <row r="558" customFormat="false" ht="15" hidden="false" customHeight="false" outlineLevel="0" collapsed="false">
      <c r="A558" s="138" t="s">
        <v>5570</v>
      </c>
      <c r="B558" s="138" t="s">
        <v>5802</v>
      </c>
      <c r="C558" s="138" t="s">
        <v>5803</v>
      </c>
      <c r="D558" s="138" t="n">
        <v>639.7</v>
      </c>
      <c r="E558" s="138" t="n">
        <v>640.7</v>
      </c>
      <c r="F558" s="138" t="s">
        <v>60</v>
      </c>
      <c r="G558" s="138" t="n">
        <v>16.97</v>
      </c>
      <c r="H558" s="138" t="s">
        <v>73</v>
      </c>
    </row>
    <row r="559" customFormat="false" ht="15" hidden="false" customHeight="false" outlineLevel="0" collapsed="false">
      <c r="A559" s="138" t="s">
        <v>5570</v>
      </c>
      <c r="B559" s="138" t="s">
        <v>5804</v>
      </c>
      <c r="C559" s="138" t="s">
        <v>5805</v>
      </c>
      <c r="D559" s="138" t="n">
        <v>641.1</v>
      </c>
      <c r="E559" s="138" t="n">
        <v>641.583</v>
      </c>
      <c r="F559" s="138" t="s">
        <v>60</v>
      </c>
      <c r="G559" s="138" t="n">
        <v>5.47</v>
      </c>
      <c r="H559" s="138" t="s">
        <v>73</v>
      </c>
    </row>
    <row r="560" customFormat="false" ht="15" hidden="false" customHeight="false" outlineLevel="0" collapsed="false">
      <c r="A560" s="138" t="s">
        <v>5570</v>
      </c>
      <c r="B560" s="138" t="s">
        <v>5806</v>
      </c>
      <c r="C560" s="138" t="s">
        <v>3151</v>
      </c>
      <c r="D560" s="138" t="n">
        <v>641.8</v>
      </c>
      <c r="E560" s="138" t="n">
        <v>642.79085</v>
      </c>
      <c r="F560" s="138" t="s">
        <v>60</v>
      </c>
      <c r="G560" s="138" t="n">
        <v>24.58</v>
      </c>
      <c r="H560" s="138" t="s">
        <v>73</v>
      </c>
    </row>
    <row r="561" customFormat="false" ht="15" hidden="false" customHeight="false" outlineLevel="0" collapsed="false">
      <c r="A561" s="138" t="s">
        <v>5807</v>
      </c>
      <c r="B561" s="138" t="s">
        <v>5808</v>
      </c>
      <c r="C561" s="138" t="s">
        <v>5809</v>
      </c>
      <c r="D561" s="138" t="n">
        <v>7.5</v>
      </c>
      <c r="E561" s="138" t="n">
        <v>13.5</v>
      </c>
      <c r="F561" s="138" t="s">
        <v>60</v>
      </c>
      <c r="G561" s="138" t="n">
        <v>527</v>
      </c>
      <c r="H561" s="138" t="s">
        <v>73</v>
      </c>
    </row>
    <row r="562" customFormat="false" ht="15" hidden="false" customHeight="false" outlineLevel="0" collapsed="false">
      <c r="A562" s="138" t="s">
        <v>5807</v>
      </c>
      <c r="B562" s="138" t="s">
        <v>1652</v>
      </c>
      <c r="C562" s="138" t="s">
        <v>5810</v>
      </c>
      <c r="D562" s="138" t="n">
        <v>10</v>
      </c>
      <c r="E562" s="138" t="n">
        <v>13.35</v>
      </c>
      <c r="F562" s="138" t="s">
        <v>59</v>
      </c>
      <c r="G562" s="138" t="n">
        <v>261</v>
      </c>
      <c r="H562" s="138" t="s">
        <v>73</v>
      </c>
    </row>
    <row r="563" customFormat="false" ht="15" hidden="false" customHeight="false" outlineLevel="0" collapsed="false">
      <c r="A563" s="138" t="s">
        <v>5807</v>
      </c>
      <c r="B563" s="138" t="s">
        <v>5811</v>
      </c>
      <c r="C563" s="138" t="s">
        <v>5812</v>
      </c>
      <c r="D563" s="138" t="n">
        <v>22.5</v>
      </c>
      <c r="E563" s="138" t="n">
        <v>27.755</v>
      </c>
      <c r="F563" s="138" t="s">
        <v>59</v>
      </c>
      <c r="G563" s="138" t="n">
        <v>458</v>
      </c>
      <c r="H563" s="138" t="s">
        <v>73</v>
      </c>
    </row>
    <row r="564" customFormat="false" ht="15" hidden="false" customHeight="false" outlineLevel="0" collapsed="false">
      <c r="A564" s="138" t="s">
        <v>5807</v>
      </c>
      <c r="B564" s="138" t="s">
        <v>5813</v>
      </c>
      <c r="C564" s="138" t="s">
        <v>5814</v>
      </c>
      <c r="D564" s="138" t="n">
        <v>23.7365</v>
      </c>
      <c r="E564" s="138" t="n">
        <v>29.5305</v>
      </c>
      <c r="F564" s="138" t="s">
        <v>60</v>
      </c>
      <c r="G564" s="138" t="n">
        <v>506</v>
      </c>
      <c r="H564" s="138" t="s">
        <v>73</v>
      </c>
    </row>
    <row r="565" customFormat="false" ht="15" hidden="false" customHeight="false" outlineLevel="0" collapsed="false">
      <c r="A565" s="138" t="s">
        <v>5807</v>
      </c>
      <c r="B565" s="138" t="s">
        <v>5815</v>
      </c>
      <c r="C565" s="138" t="s">
        <v>5816</v>
      </c>
      <c r="D565" s="138" t="n">
        <v>32.9705</v>
      </c>
      <c r="E565" s="138" t="n">
        <v>34.125</v>
      </c>
      <c r="F565" s="138" t="s">
        <v>60</v>
      </c>
      <c r="G565" s="138" t="n">
        <v>78</v>
      </c>
      <c r="H565" s="138" t="s">
        <v>73</v>
      </c>
    </row>
    <row r="566" customFormat="false" ht="15" hidden="false" customHeight="false" outlineLevel="0" collapsed="false">
      <c r="A566" s="138" t="s">
        <v>5807</v>
      </c>
      <c r="B566" s="138" t="s">
        <v>5817</v>
      </c>
      <c r="C566" s="138" t="s">
        <v>1689</v>
      </c>
      <c r="D566" s="138" t="n">
        <v>42.649</v>
      </c>
      <c r="E566" s="138" t="n">
        <v>46</v>
      </c>
      <c r="F566" s="138" t="s">
        <v>60</v>
      </c>
      <c r="G566" s="138" t="n">
        <v>255</v>
      </c>
      <c r="H566" s="138" t="s">
        <v>73</v>
      </c>
    </row>
    <row r="567" customFormat="false" ht="15" hidden="false" customHeight="false" outlineLevel="0" collapsed="false">
      <c r="A567" s="138" t="s">
        <v>5807</v>
      </c>
      <c r="B567" s="138" t="s">
        <v>5818</v>
      </c>
      <c r="C567" s="138" t="s">
        <v>5819</v>
      </c>
      <c r="D567" s="138" t="n">
        <v>70.4955</v>
      </c>
      <c r="E567" s="138" t="n">
        <v>75.5</v>
      </c>
      <c r="F567" s="138" t="s">
        <v>60</v>
      </c>
      <c r="G567" s="138" t="n">
        <v>397</v>
      </c>
      <c r="H567" s="138" t="s">
        <v>73</v>
      </c>
    </row>
    <row r="568" customFormat="false" ht="15" hidden="false" customHeight="false" outlineLevel="0" collapsed="false">
      <c r="A568" s="138" t="s">
        <v>5807</v>
      </c>
      <c r="B568" s="138" t="s">
        <v>5820</v>
      </c>
      <c r="C568" s="138" t="s">
        <v>5821</v>
      </c>
      <c r="D568" s="138" t="n">
        <v>86.9635</v>
      </c>
      <c r="E568" s="138" t="n">
        <v>95.654</v>
      </c>
      <c r="F568" s="138" t="s">
        <v>60</v>
      </c>
      <c r="G568" s="138" t="n">
        <v>806</v>
      </c>
      <c r="H568" s="138" t="s">
        <v>73</v>
      </c>
    </row>
    <row r="569" customFormat="false" ht="15" hidden="false" customHeight="false" outlineLevel="0" collapsed="false">
      <c r="A569" s="138" t="s">
        <v>5807</v>
      </c>
      <c r="B569" s="138" t="s">
        <v>1730</v>
      </c>
      <c r="C569" s="138" t="s">
        <v>5822</v>
      </c>
      <c r="D569" s="138" t="n">
        <v>87</v>
      </c>
      <c r="E569" s="138" t="n">
        <v>98.936</v>
      </c>
      <c r="F569" s="138" t="s">
        <v>59</v>
      </c>
      <c r="G569" s="138" t="n">
        <v>1020</v>
      </c>
      <c r="H569" s="138" t="s">
        <v>73</v>
      </c>
    </row>
    <row r="570" customFormat="false" ht="15" hidden="false" customHeight="false" outlineLevel="0" collapsed="false">
      <c r="A570" s="138" t="s">
        <v>5807</v>
      </c>
      <c r="B570" s="138" t="s">
        <v>5823</v>
      </c>
      <c r="C570" s="138" t="s">
        <v>1768</v>
      </c>
      <c r="D570" s="138" t="n">
        <v>117.5</v>
      </c>
      <c r="E570" s="138" t="n">
        <v>122</v>
      </c>
      <c r="F570" s="138" t="s">
        <v>60</v>
      </c>
      <c r="G570" s="138" t="n">
        <v>358</v>
      </c>
      <c r="H570" s="138" t="s">
        <v>73</v>
      </c>
    </row>
    <row r="571" customFormat="false" ht="15" hidden="false" customHeight="false" outlineLevel="0" collapsed="false">
      <c r="A571" s="138" t="s">
        <v>5807</v>
      </c>
      <c r="B571" s="138" t="s">
        <v>5033</v>
      </c>
      <c r="C571" s="138" t="s">
        <v>5824</v>
      </c>
      <c r="D571" s="138" t="n">
        <v>129.5</v>
      </c>
      <c r="E571" s="138" t="n">
        <v>134.2395</v>
      </c>
      <c r="F571" s="138" t="s">
        <v>60</v>
      </c>
      <c r="G571" s="138" t="n">
        <v>380</v>
      </c>
      <c r="H571" s="138" t="s">
        <v>73</v>
      </c>
    </row>
    <row r="572" customFormat="false" ht="15" hidden="false" customHeight="false" outlineLevel="0" collapsed="false">
      <c r="A572" s="138" t="s">
        <v>5807</v>
      </c>
      <c r="B572" s="138" t="s">
        <v>5825</v>
      </c>
      <c r="C572" s="138" t="s">
        <v>5826</v>
      </c>
      <c r="D572" s="138" t="n">
        <v>142.4815</v>
      </c>
      <c r="E572" s="138" t="n">
        <v>146.5</v>
      </c>
      <c r="F572" s="138" t="s">
        <v>60</v>
      </c>
      <c r="G572" s="138" t="n">
        <v>299</v>
      </c>
      <c r="H572" s="138" t="s">
        <v>73</v>
      </c>
    </row>
    <row r="573" customFormat="false" ht="15" hidden="false" customHeight="false" outlineLevel="0" collapsed="false">
      <c r="A573" s="138" t="s">
        <v>5807</v>
      </c>
      <c r="B573" s="138" t="s">
        <v>5827</v>
      </c>
      <c r="C573" s="138" t="s">
        <v>5828</v>
      </c>
      <c r="D573" s="138" t="n">
        <v>150.0195</v>
      </c>
      <c r="E573" s="138" t="n">
        <v>152.95</v>
      </c>
      <c r="F573" s="138" t="s">
        <v>59</v>
      </c>
      <c r="G573" s="138" t="n">
        <v>208</v>
      </c>
      <c r="H573" s="138" t="s">
        <v>73</v>
      </c>
    </row>
    <row r="574" customFormat="false" ht="15" hidden="false" customHeight="false" outlineLevel="0" collapsed="false">
      <c r="A574" s="138" t="s">
        <v>5807</v>
      </c>
      <c r="B574" s="138" t="s">
        <v>5829</v>
      </c>
      <c r="C574" s="138" t="s">
        <v>5830</v>
      </c>
      <c r="D574" s="138" t="n">
        <v>152.739</v>
      </c>
      <c r="E574" s="138" t="n">
        <v>153.873</v>
      </c>
      <c r="F574" s="138" t="s">
        <v>60</v>
      </c>
      <c r="G574" s="138" t="n">
        <v>73</v>
      </c>
      <c r="H574" s="138" t="s">
        <v>73</v>
      </c>
    </row>
    <row r="575" customFormat="false" ht="15" hidden="false" customHeight="false" outlineLevel="0" collapsed="false">
      <c r="A575" s="138" t="s">
        <v>5807</v>
      </c>
      <c r="B575" s="138" t="s">
        <v>5831</v>
      </c>
      <c r="C575" s="138" t="s">
        <v>5832</v>
      </c>
      <c r="D575" s="138" t="n">
        <v>182.3285</v>
      </c>
      <c r="E575" s="138" t="n">
        <v>187.962</v>
      </c>
      <c r="F575" s="138" t="s">
        <v>60</v>
      </c>
      <c r="G575" s="138" t="n">
        <v>493</v>
      </c>
      <c r="H575" s="138" t="s">
        <v>73</v>
      </c>
    </row>
    <row r="576" customFormat="false" ht="15" hidden="false" customHeight="false" outlineLevel="0" collapsed="false">
      <c r="A576" s="138" t="s">
        <v>5807</v>
      </c>
      <c r="B576" s="138" t="s">
        <v>5833</v>
      </c>
      <c r="C576" s="138" t="s">
        <v>5834</v>
      </c>
      <c r="D576" s="138" t="n">
        <v>184.0715</v>
      </c>
      <c r="E576" s="138" t="n">
        <v>185.97</v>
      </c>
      <c r="F576" s="138" t="s">
        <v>59</v>
      </c>
      <c r="G576" s="138" t="n">
        <v>182</v>
      </c>
      <c r="H576" s="138" t="s">
        <v>73</v>
      </c>
    </row>
    <row r="577" customFormat="false" ht="15" hidden="false" customHeight="false" outlineLevel="0" collapsed="false">
      <c r="A577" s="138" t="s">
        <v>5807</v>
      </c>
      <c r="B577" s="138" t="s">
        <v>5835</v>
      </c>
      <c r="C577" s="138" t="s">
        <v>5836</v>
      </c>
      <c r="D577" s="138" t="n">
        <v>207.579</v>
      </c>
      <c r="E577" s="138" t="n">
        <v>210.1485</v>
      </c>
      <c r="F577" s="138" t="s">
        <v>59</v>
      </c>
      <c r="G577" s="138" t="n">
        <v>186</v>
      </c>
      <c r="H577" s="138" t="s">
        <v>73</v>
      </c>
    </row>
    <row r="578" customFormat="false" ht="15" hidden="false" customHeight="false" outlineLevel="0" collapsed="false">
      <c r="A578" s="138" t="s">
        <v>5807</v>
      </c>
      <c r="B578" s="138" t="s">
        <v>5837</v>
      </c>
      <c r="C578" s="138" t="s">
        <v>5838</v>
      </c>
      <c r="D578" s="138" t="n">
        <v>337.7</v>
      </c>
      <c r="E578" s="138" t="n">
        <v>339.9515</v>
      </c>
      <c r="F578" s="138" t="s">
        <v>60</v>
      </c>
      <c r="G578" s="138" t="n">
        <v>121</v>
      </c>
      <c r="H578" s="138" t="s">
        <v>73</v>
      </c>
    </row>
    <row r="579" customFormat="false" ht="15" hidden="false" customHeight="false" outlineLevel="0" collapsed="false">
      <c r="A579" s="138" t="s">
        <v>5807</v>
      </c>
      <c r="B579" s="138" t="s">
        <v>5839</v>
      </c>
      <c r="C579" s="138" t="s">
        <v>5840</v>
      </c>
      <c r="D579" s="138" t="n">
        <v>340.25</v>
      </c>
      <c r="E579" s="138" t="n">
        <v>341.5505</v>
      </c>
      <c r="F579" s="138" t="s">
        <v>60</v>
      </c>
      <c r="G579" s="138" t="n">
        <v>66</v>
      </c>
      <c r="H579" s="138" t="s">
        <v>73</v>
      </c>
    </row>
    <row r="580" customFormat="false" ht="15" hidden="false" customHeight="false" outlineLevel="0" collapsed="false">
      <c r="A580" s="138" t="s">
        <v>5807</v>
      </c>
      <c r="B580" s="138" t="s">
        <v>5841</v>
      </c>
      <c r="C580" s="138" t="s">
        <v>5842</v>
      </c>
      <c r="D580" s="138" t="n">
        <v>353.1175</v>
      </c>
      <c r="E580" s="138" t="n">
        <v>354.7915</v>
      </c>
      <c r="F580" s="138" t="s">
        <v>60</v>
      </c>
      <c r="G580" s="138" t="n">
        <v>118</v>
      </c>
      <c r="H580" s="138" t="s">
        <v>73</v>
      </c>
    </row>
    <row r="581" customFormat="false" ht="15" hidden="false" customHeight="false" outlineLevel="0" collapsed="false">
      <c r="A581" s="138" t="s">
        <v>5807</v>
      </c>
      <c r="B581" s="138" t="s">
        <v>5843</v>
      </c>
      <c r="C581" s="138" t="s">
        <v>5844</v>
      </c>
      <c r="D581" s="138" t="n">
        <v>361.473</v>
      </c>
      <c r="E581" s="138" t="n">
        <v>369.1</v>
      </c>
      <c r="F581" s="138" t="s">
        <v>60</v>
      </c>
      <c r="G581" s="138" t="n">
        <v>852</v>
      </c>
      <c r="H581" s="138" t="s">
        <v>73</v>
      </c>
    </row>
    <row r="582" customFormat="false" ht="15" hidden="false" customHeight="false" outlineLevel="0" collapsed="false">
      <c r="A582" s="138" t="s">
        <v>5807</v>
      </c>
      <c r="B582" s="138" t="s">
        <v>5845</v>
      </c>
      <c r="C582" s="138" t="s">
        <v>5846</v>
      </c>
      <c r="D582" s="138" t="n">
        <v>362.52</v>
      </c>
      <c r="E582" s="138" t="n">
        <v>369.938</v>
      </c>
      <c r="F582" s="138" t="s">
        <v>59</v>
      </c>
      <c r="G582" s="138" t="n">
        <v>832</v>
      </c>
      <c r="H582" s="138" t="s">
        <v>73</v>
      </c>
    </row>
    <row r="583" customFormat="false" ht="15" hidden="false" customHeight="false" outlineLevel="0" collapsed="false">
      <c r="A583" s="138" t="s">
        <v>5807</v>
      </c>
      <c r="B583" s="138" t="s">
        <v>5847</v>
      </c>
      <c r="C583" s="138" t="s">
        <v>2051</v>
      </c>
      <c r="D583" s="138" t="n">
        <v>380.5005</v>
      </c>
      <c r="E583" s="138" t="n">
        <v>390</v>
      </c>
      <c r="F583" s="138" t="s">
        <v>59</v>
      </c>
      <c r="G583" s="138" t="n">
        <v>878</v>
      </c>
      <c r="H583" s="138" t="s">
        <v>73</v>
      </c>
    </row>
    <row r="584" customFormat="false" ht="15" hidden="false" customHeight="false" outlineLevel="0" collapsed="false">
      <c r="A584" s="138" t="s">
        <v>5807</v>
      </c>
      <c r="B584" s="138" t="s">
        <v>2044</v>
      </c>
      <c r="C584" s="138" t="s">
        <v>2052</v>
      </c>
      <c r="D584" s="138" t="n">
        <v>383</v>
      </c>
      <c r="E584" s="138" t="n">
        <v>391</v>
      </c>
      <c r="F584" s="138" t="s">
        <v>60</v>
      </c>
      <c r="G584" s="138" t="n">
        <v>709</v>
      </c>
      <c r="H584" s="138" t="s">
        <v>73</v>
      </c>
    </row>
    <row r="585" customFormat="false" ht="15" hidden="false" customHeight="false" outlineLevel="0" collapsed="false">
      <c r="A585" s="138" t="s">
        <v>5807</v>
      </c>
      <c r="B585" s="138" t="s">
        <v>5848</v>
      </c>
      <c r="C585" s="138" t="s">
        <v>5849</v>
      </c>
      <c r="D585" s="138" t="n">
        <v>419.005</v>
      </c>
      <c r="E585" s="138" t="n">
        <v>420.6395</v>
      </c>
      <c r="F585" s="138" t="s">
        <v>59</v>
      </c>
      <c r="G585" s="138" t="n">
        <v>86</v>
      </c>
      <c r="H585" s="138" t="s">
        <v>73</v>
      </c>
    </row>
    <row r="586" customFormat="false" ht="15" hidden="false" customHeight="false" outlineLevel="0" collapsed="false">
      <c r="A586" s="138" t="s">
        <v>5807</v>
      </c>
      <c r="B586" s="138" t="s">
        <v>5850</v>
      </c>
      <c r="C586" s="138" t="s">
        <v>5851</v>
      </c>
      <c r="D586" s="138" t="n">
        <v>459.706</v>
      </c>
      <c r="E586" s="138" t="n">
        <v>463.682</v>
      </c>
      <c r="F586" s="138" t="s">
        <v>60</v>
      </c>
      <c r="G586" s="138" t="n">
        <v>162</v>
      </c>
      <c r="H586" s="138" t="s">
        <v>73</v>
      </c>
    </row>
    <row r="587" customFormat="false" ht="15" hidden="false" customHeight="false" outlineLevel="0" collapsed="false">
      <c r="A587" s="138" t="s">
        <v>5807</v>
      </c>
      <c r="B587" s="138" t="s">
        <v>5852</v>
      </c>
      <c r="C587" s="138" t="s">
        <v>5853</v>
      </c>
      <c r="D587" s="138" t="n">
        <v>462.733</v>
      </c>
      <c r="E587" s="138" t="n">
        <v>464.176</v>
      </c>
      <c r="F587" s="138" t="s">
        <v>59</v>
      </c>
      <c r="G587" s="138" t="n">
        <v>95</v>
      </c>
      <c r="H587" s="138" t="s">
        <v>73</v>
      </c>
    </row>
    <row r="588" customFormat="false" ht="15" hidden="false" customHeight="false" outlineLevel="0" collapsed="false">
      <c r="A588" s="138" t="s">
        <v>5807</v>
      </c>
      <c r="B588" s="138" t="s">
        <v>5854</v>
      </c>
      <c r="C588" s="138" t="s">
        <v>5855</v>
      </c>
      <c r="D588" s="138" t="n">
        <v>481.398</v>
      </c>
      <c r="E588" s="138" t="n">
        <v>484.016</v>
      </c>
      <c r="F588" s="138" t="s">
        <v>59</v>
      </c>
      <c r="G588" s="138" t="n">
        <v>192</v>
      </c>
      <c r="H588" s="138" t="s">
        <v>73</v>
      </c>
    </row>
    <row r="589" customFormat="false" ht="15" hidden="false" customHeight="false" outlineLevel="0" collapsed="false">
      <c r="A589" s="138" t="s">
        <v>5807</v>
      </c>
      <c r="B589" s="138" t="s">
        <v>5856</v>
      </c>
      <c r="C589" s="138" t="s">
        <v>5857</v>
      </c>
      <c r="D589" s="138" t="n">
        <v>484.445</v>
      </c>
      <c r="E589" s="138" t="n">
        <v>485.0105</v>
      </c>
      <c r="F589" s="138" t="s">
        <v>60</v>
      </c>
      <c r="G589" s="138" t="n">
        <v>85</v>
      </c>
      <c r="H589" s="138" t="s">
        <v>73</v>
      </c>
    </row>
    <row r="590" customFormat="false" ht="15" hidden="false" customHeight="false" outlineLevel="0" collapsed="false">
      <c r="A590" s="138" t="s">
        <v>5807</v>
      </c>
      <c r="B590" s="138" t="s">
        <v>2172</v>
      </c>
      <c r="C590" s="138" t="s">
        <v>5858</v>
      </c>
      <c r="D590" s="138" t="n">
        <v>502</v>
      </c>
      <c r="E590" s="138" t="n">
        <v>508.228</v>
      </c>
      <c r="F590" s="138" t="s">
        <v>59</v>
      </c>
      <c r="G590" s="138" t="n">
        <v>645</v>
      </c>
      <c r="H590" s="138" t="s">
        <v>73</v>
      </c>
    </row>
    <row r="591" customFormat="false" ht="15" hidden="false" customHeight="false" outlineLevel="0" collapsed="false">
      <c r="A591" s="138" t="s">
        <v>5807</v>
      </c>
      <c r="B591" s="138" t="s">
        <v>5859</v>
      </c>
      <c r="C591" s="138" t="s">
        <v>5860</v>
      </c>
      <c r="D591" s="138" t="n">
        <v>504.244</v>
      </c>
      <c r="E591" s="138" t="n">
        <v>507.794</v>
      </c>
      <c r="F591" s="138" t="s">
        <v>60</v>
      </c>
      <c r="G591" s="138" t="n">
        <v>264</v>
      </c>
      <c r="H591" s="138" t="s">
        <v>73</v>
      </c>
    </row>
    <row r="592" customFormat="false" ht="15" hidden="false" customHeight="false" outlineLevel="0" collapsed="false">
      <c r="A592" s="138" t="s">
        <v>5807</v>
      </c>
      <c r="B592" s="138" t="s">
        <v>2191</v>
      </c>
      <c r="C592" s="138" t="s">
        <v>5861</v>
      </c>
      <c r="D592" s="138" t="n">
        <v>520</v>
      </c>
      <c r="E592" s="138" t="n">
        <v>521.922</v>
      </c>
      <c r="F592" s="138" t="s">
        <v>60</v>
      </c>
      <c r="G592" s="138" t="n">
        <v>137</v>
      </c>
      <c r="H592" s="138" t="s">
        <v>73</v>
      </c>
    </row>
    <row r="593" customFormat="false" ht="15" hidden="false" customHeight="false" outlineLevel="0" collapsed="false">
      <c r="A593" s="138" t="s">
        <v>5807</v>
      </c>
      <c r="B593" s="138" t="s">
        <v>5862</v>
      </c>
      <c r="C593" s="138" t="s">
        <v>5863</v>
      </c>
      <c r="D593" s="138" t="n">
        <v>529.5615</v>
      </c>
      <c r="E593" s="138" t="n">
        <v>533.3615</v>
      </c>
      <c r="F593" s="138" t="s">
        <v>59</v>
      </c>
      <c r="G593" s="138" t="n">
        <v>295</v>
      </c>
      <c r="H593" s="138" t="s">
        <v>73</v>
      </c>
    </row>
    <row r="594" customFormat="false" ht="15" hidden="false" customHeight="false" outlineLevel="0" collapsed="false">
      <c r="A594" s="138" t="s">
        <v>5807</v>
      </c>
      <c r="B594" s="138" t="s">
        <v>5864</v>
      </c>
      <c r="C594" s="138" t="s">
        <v>5865</v>
      </c>
      <c r="D594" s="138" t="n">
        <v>538.167</v>
      </c>
      <c r="E594" s="138" t="n">
        <v>546.167</v>
      </c>
      <c r="F594" s="138" t="s">
        <v>60</v>
      </c>
      <c r="G594" s="138" t="n">
        <v>702</v>
      </c>
      <c r="H594" s="138" t="s">
        <v>73</v>
      </c>
    </row>
    <row r="595" customFormat="false" ht="15" hidden="false" customHeight="false" outlineLevel="0" collapsed="false">
      <c r="A595" s="138" t="s">
        <v>5807</v>
      </c>
      <c r="B595" s="138" t="s">
        <v>5866</v>
      </c>
      <c r="C595" s="138" t="s">
        <v>5867</v>
      </c>
      <c r="D595" s="138" t="n">
        <v>540.25</v>
      </c>
      <c r="E595" s="138" t="n">
        <v>547.3505</v>
      </c>
      <c r="F595" s="138" t="s">
        <v>59</v>
      </c>
      <c r="G595" s="138" t="n">
        <v>566</v>
      </c>
      <c r="H595" s="138" t="s">
        <v>73</v>
      </c>
    </row>
    <row r="596" customFormat="false" ht="15" hidden="false" customHeight="false" outlineLevel="0" collapsed="false">
      <c r="A596" s="138" t="s">
        <v>5807</v>
      </c>
      <c r="B596" s="138" t="s">
        <v>5868</v>
      </c>
      <c r="C596" s="138" t="s">
        <v>2227</v>
      </c>
      <c r="D596" s="138" t="n">
        <v>554.002</v>
      </c>
      <c r="E596" s="138" t="n">
        <v>556</v>
      </c>
      <c r="F596" s="138" t="s">
        <v>60</v>
      </c>
      <c r="G596" s="138" t="n">
        <v>157</v>
      </c>
      <c r="H596" s="138" t="s">
        <v>73</v>
      </c>
    </row>
    <row r="597" customFormat="false" ht="15" hidden="false" customHeight="false" outlineLevel="0" collapsed="false">
      <c r="A597" s="138" t="s">
        <v>5869</v>
      </c>
      <c r="B597" s="138" t="s">
        <v>1568</v>
      </c>
      <c r="C597" s="138" t="s">
        <v>5870</v>
      </c>
      <c r="D597" s="138" t="n">
        <v>0</v>
      </c>
      <c r="E597" s="138" t="n">
        <v>41.172</v>
      </c>
      <c r="F597" s="138" t="s">
        <v>60</v>
      </c>
      <c r="G597" s="138" t="n">
        <v>889.73</v>
      </c>
      <c r="H597" s="138" t="s">
        <v>176</v>
      </c>
    </row>
    <row r="598" customFormat="false" ht="15" hidden="false" customHeight="false" outlineLevel="0" collapsed="false">
      <c r="A598" s="138" t="s">
        <v>5869</v>
      </c>
      <c r="B598" s="138" t="s">
        <v>5871</v>
      </c>
      <c r="C598" s="138" t="s">
        <v>5872</v>
      </c>
      <c r="D598" s="138" t="n">
        <v>0.0295</v>
      </c>
      <c r="E598" s="138" t="n">
        <v>49.201</v>
      </c>
      <c r="F598" s="138" t="s">
        <v>59</v>
      </c>
      <c r="G598" s="138" t="n">
        <v>1078.99</v>
      </c>
      <c r="H598" s="138" t="s">
        <v>176</v>
      </c>
    </row>
    <row r="599" customFormat="false" ht="15" hidden="false" customHeight="false" outlineLevel="0" collapsed="false">
      <c r="A599" s="138" t="s">
        <v>5869</v>
      </c>
      <c r="B599" s="138" t="s">
        <v>5453</v>
      </c>
      <c r="C599" s="138" t="s">
        <v>5873</v>
      </c>
      <c r="D599" s="138" t="n">
        <v>41.182</v>
      </c>
      <c r="E599" s="138" t="n">
        <v>95.6345</v>
      </c>
      <c r="F599" s="138" t="s">
        <v>60</v>
      </c>
      <c r="G599" s="138" t="n">
        <v>1164.54</v>
      </c>
      <c r="H599" s="138" t="s">
        <v>176</v>
      </c>
    </row>
    <row r="600" customFormat="false" ht="15" hidden="false" customHeight="false" outlineLevel="0" collapsed="false">
      <c r="A600" s="138" t="s">
        <v>5869</v>
      </c>
      <c r="B600" s="138" t="s">
        <v>5874</v>
      </c>
      <c r="C600" s="138" t="s">
        <v>2525</v>
      </c>
      <c r="D600" s="138" t="n">
        <v>50.0975</v>
      </c>
      <c r="E600" s="138" t="n">
        <v>122.0335</v>
      </c>
      <c r="F600" s="138" t="s">
        <v>59</v>
      </c>
      <c r="G600" s="138" t="n">
        <v>1531.77</v>
      </c>
      <c r="H600" s="138" t="s">
        <v>176</v>
      </c>
    </row>
    <row r="601" customFormat="false" ht="15" hidden="false" customHeight="false" outlineLevel="0" collapsed="false">
      <c r="A601" s="138" t="s">
        <v>5869</v>
      </c>
      <c r="B601" s="138" t="s">
        <v>5875</v>
      </c>
      <c r="C601" s="138" t="s">
        <v>5876</v>
      </c>
      <c r="D601" s="138" t="n">
        <v>96.115</v>
      </c>
      <c r="E601" s="138" t="n">
        <v>122.642</v>
      </c>
      <c r="F601" s="138" t="s">
        <v>60</v>
      </c>
      <c r="G601" s="138" t="n">
        <v>572.71</v>
      </c>
      <c r="H601" s="138" t="s">
        <v>176</v>
      </c>
    </row>
    <row r="602" customFormat="false" ht="15" hidden="false" customHeight="false" outlineLevel="0" collapsed="false">
      <c r="A602" s="138" t="s">
        <v>5869</v>
      </c>
      <c r="B602" s="138" t="s">
        <v>5877</v>
      </c>
      <c r="C602" s="138" t="s">
        <v>5878</v>
      </c>
      <c r="D602" s="138" t="n">
        <v>123.322</v>
      </c>
      <c r="E602" s="138" t="n">
        <v>178.364</v>
      </c>
      <c r="F602" s="138" t="s">
        <v>59</v>
      </c>
      <c r="G602" s="138" t="n">
        <v>1238.94</v>
      </c>
      <c r="H602" s="138" t="s">
        <v>176</v>
      </c>
    </row>
    <row r="603" customFormat="false" ht="15" hidden="false" customHeight="false" outlineLevel="0" collapsed="false">
      <c r="A603" s="138" t="s">
        <v>5869</v>
      </c>
      <c r="B603" s="138" t="s">
        <v>5879</v>
      </c>
      <c r="C603" s="138" t="s">
        <v>5880</v>
      </c>
      <c r="D603" s="138" t="n">
        <v>123.5495</v>
      </c>
      <c r="E603" s="138" t="n">
        <v>153.6755</v>
      </c>
      <c r="F603" s="138" t="s">
        <v>60</v>
      </c>
      <c r="G603" s="138" t="n">
        <v>639.4</v>
      </c>
      <c r="H603" s="138" t="s">
        <v>176</v>
      </c>
    </row>
    <row r="604" customFormat="false" ht="15" hidden="false" customHeight="false" outlineLevel="0" collapsed="false">
      <c r="A604" s="138" t="s">
        <v>5869</v>
      </c>
      <c r="B604" s="138" t="s">
        <v>5881</v>
      </c>
      <c r="C604" s="138" t="s">
        <v>5882</v>
      </c>
      <c r="D604" s="138" t="n">
        <v>154.1485</v>
      </c>
      <c r="E604" s="138" t="n">
        <v>205.7</v>
      </c>
      <c r="F604" s="138" t="s">
        <v>60</v>
      </c>
      <c r="G604" s="138" t="n">
        <v>1152.53</v>
      </c>
      <c r="H604" s="138" t="s">
        <v>176</v>
      </c>
    </row>
    <row r="605" customFormat="false" ht="15" hidden="false" customHeight="false" outlineLevel="0" collapsed="false">
      <c r="A605" s="138" t="s">
        <v>5869</v>
      </c>
      <c r="B605" s="138" t="s">
        <v>5883</v>
      </c>
      <c r="C605" s="138" t="s">
        <v>5884</v>
      </c>
      <c r="D605" s="138" t="n">
        <v>179.399</v>
      </c>
      <c r="E605" s="138" t="n">
        <v>206.518</v>
      </c>
      <c r="F605" s="138" t="s">
        <v>59</v>
      </c>
      <c r="G605" s="138" t="n">
        <v>544.04</v>
      </c>
      <c r="H605" s="138" t="s">
        <v>176</v>
      </c>
    </row>
    <row r="606" customFormat="false" ht="15" hidden="false" customHeight="false" outlineLevel="0" collapsed="false">
      <c r="A606" s="138" t="s">
        <v>5869</v>
      </c>
      <c r="B606" s="138" t="s">
        <v>5885</v>
      </c>
      <c r="C606" s="138" t="s">
        <v>1912</v>
      </c>
      <c r="D606" s="138" t="n">
        <v>206.6045</v>
      </c>
      <c r="E606" s="138" t="n">
        <v>259</v>
      </c>
      <c r="F606" s="138" t="s">
        <v>60</v>
      </c>
      <c r="G606" s="138" t="n">
        <v>1184.53</v>
      </c>
      <c r="H606" s="138" t="s">
        <v>176</v>
      </c>
    </row>
    <row r="607" customFormat="false" ht="15" hidden="false" customHeight="false" outlineLevel="0" collapsed="false">
      <c r="A607" s="138" t="s">
        <v>5869</v>
      </c>
      <c r="B607" s="138" t="s">
        <v>5886</v>
      </c>
      <c r="C607" s="138" t="s">
        <v>1909</v>
      </c>
      <c r="D607" s="138" t="n">
        <v>207.6405</v>
      </c>
      <c r="E607" s="138" t="n">
        <v>256</v>
      </c>
      <c r="F607" s="138" t="s">
        <v>59</v>
      </c>
      <c r="G607" s="138" t="n">
        <v>1026.04</v>
      </c>
      <c r="H607" s="138" t="s">
        <v>176</v>
      </c>
    </row>
    <row r="608" customFormat="false" ht="15" hidden="false" customHeight="false" outlineLevel="0" collapsed="false">
      <c r="A608" s="138" t="s">
        <v>5869</v>
      </c>
      <c r="B608" s="138" t="s">
        <v>5887</v>
      </c>
      <c r="C608" s="138" t="s">
        <v>5888</v>
      </c>
      <c r="D608" s="138" t="n">
        <v>256.337</v>
      </c>
      <c r="E608" s="138" t="n">
        <v>258.4915</v>
      </c>
      <c r="F608" s="138" t="s">
        <v>59</v>
      </c>
      <c r="G608" s="138" t="n">
        <v>44.42</v>
      </c>
      <c r="H608" s="138" t="s">
        <v>176</v>
      </c>
    </row>
    <row r="609" customFormat="false" ht="15" hidden="false" customHeight="false" outlineLevel="0" collapsed="false">
      <c r="A609" s="138" t="s">
        <v>5869</v>
      </c>
      <c r="B609" s="138" t="s">
        <v>5889</v>
      </c>
      <c r="C609" s="138" t="s">
        <v>5890</v>
      </c>
      <c r="D609" s="138" t="n">
        <v>258.973</v>
      </c>
      <c r="E609" s="138" t="n">
        <v>259.29</v>
      </c>
      <c r="F609" s="138" t="s">
        <v>59</v>
      </c>
      <c r="G609" s="138" t="n">
        <v>25.84</v>
      </c>
      <c r="H609" s="138" t="s">
        <v>176</v>
      </c>
    </row>
    <row r="610" customFormat="false" ht="15" hidden="false" customHeight="false" outlineLevel="0" collapsed="false">
      <c r="A610" s="138" t="s">
        <v>5869</v>
      </c>
      <c r="B610" s="138" t="s">
        <v>5891</v>
      </c>
      <c r="C610" s="138" t="s">
        <v>5892</v>
      </c>
      <c r="D610" s="138" t="n">
        <v>259.519</v>
      </c>
      <c r="E610" s="138" t="n">
        <v>323.606</v>
      </c>
      <c r="F610" s="138" t="s">
        <v>59</v>
      </c>
      <c r="G610" s="138" t="n">
        <v>1372.68</v>
      </c>
      <c r="H610" s="138" t="s">
        <v>176</v>
      </c>
    </row>
    <row r="611" customFormat="false" ht="15" hidden="false" customHeight="false" outlineLevel="0" collapsed="false">
      <c r="A611" s="138" t="s">
        <v>5869</v>
      </c>
      <c r="B611" s="138" t="s">
        <v>5893</v>
      </c>
      <c r="C611" s="138" t="s">
        <v>5894</v>
      </c>
      <c r="D611" s="138" t="n">
        <v>259.846</v>
      </c>
      <c r="E611" s="138" t="n">
        <v>311.9715</v>
      </c>
      <c r="F611" s="138" t="s">
        <v>60</v>
      </c>
      <c r="G611" s="138" t="n">
        <v>1066.27</v>
      </c>
      <c r="H611" s="138" t="s">
        <v>176</v>
      </c>
    </row>
    <row r="612" customFormat="false" ht="15" hidden="false" customHeight="false" outlineLevel="0" collapsed="false">
      <c r="A612" s="138" t="s">
        <v>5869</v>
      </c>
      <c r="B612" s="138" t="s">
        <v>5895</v>
      </c>
      <c r="C612" s="138" t="s">
        <v>5896</v>
      </c>
      <c r="D612" s="138" t="n">
        <v>312.3395</v>
      </c>
      <c r="E612" s="138" t="n">
        <v>316.296</v>
      </c>
      <c r="F612" s="138" t="s">
        <v>60</v>
      </c>
      <c r="G612" s="138" t="n">
        <v>92.51</v>
      </c>
      <c r="H612" s="138" t="s">
        <v>176</v>
      </c>
    </row>
    <row r="613" customFormat="false" ht="15" hidden="false" customHeight="false" outlineLevel="0" collapsed="false">
      <c r="A613" s="138" t="s">
        <v>5869</v>
      </c>
      <c r="B613" s="138" t="s">
        <v>5897</v>
      </c>
      <c r="C613" s="138" t="s">
        <v>1993</v>
      </c>
      <c r="D613" s="138" t="n">
        <v>316.6</v>
      </c>
      <c r="E613" s="138" t="n">
        <v>334</v>
      </c>
      <c r="F613" s="138" t="s">
        <v>60</v>
      </c>
      <c r="G613" s="138" t="n">
        <v>410.93</v>
      </c>
      <c r="H613" s="138" t="s">
        <v>176</v>
      </c>
    </row>
    <row r="614" customFormat="false" ht="15" hidden="false" customHeight="false" outlineLevel="0" collapsed="false">
      <c r="A614" s="138" t="s">
        <v>5869</v>
      </c>
      <c r="B614" s="138" t="s">
        <v>5898</v>
      </c>
      <c r="C614" s="138" t="s">
        <v>5899</v>
      </c>
      <c r="D614" s="138" t="n">
        <v>325.1835</v>
      </c>
      <c r="E614" s="138" t="n">
        <v>358.9605</v>
      </c>
      <c r="F614" s="138" t="s">
        <v>59</v>
      </c>
      <c r="G614" s="138" t="n">
        <v>745.58</v>
      </c>
      <c r="H614" s="138" t="s">
        <v>176</v>
      </c>
    </row>
    <row r="615" customFormat="false" ht="15" hidden="false" customHeight="false" outlineLevel="0" collapsed="false">
      <c r="A615" s="138" t="s">
        <v>5869</v>
      </c>
      <c r="B615" s="138" t="s">
        <v>1993</v>
      </c>
      <c r="C615" s="138" t="s">
        <v>5900</v>
      </c>
      <c r="D615" s="138" t="n">
        <v>334</v>
      </c>
      <c r="E615" s="138" t="n">
        <v>339.8435</v>
      </c>
      <c r="F615" s="138" t="s">
        <v>60</v>
      </c>
      <c r="G615" s="138" t="n">
        <v>135.25</v>
      </c>
      <c r="H615" s="138" t="s">
        <v>176</v>
      </c>
    </row>
    <row r="616" customFormat="false" ht="15" hidden="false" customHeight="false" outlineLevel="0" collapsed="false">
      <c r="A616" s="138" t="s">
        <v>5869</v>
      </c>
      <c r="B616" s="138" t="s">
        <v>5901</v>
      </c>
      <c r="C616" s="138" t="s">
        <v>5902</v>
      </c>
      <c r="D616" s="138" t="n">
        <v>340.2015</v>
      </c>
      <c r="E616" s="138" t="n">
        <v>349.2965</v>
      </c>
      <c r="F616" s="138" t="s">
        <v>60</v>
      </c>
      <c r="G616" s="138" t="n">
        <v>197.45</v>
      </c>
      <c r="H616" s="138" t="s">
        <v>176</v>
      </c>
    </row>
    <row r="617" customFormat="false" ht="15" hidden="false" customHeight="false" outlineLevel="0" collapsed="false">
      <c r="A617" s="138" t="s">
        <v>5869</v>
      </c>
      <c r="B617" s="138" t="s">
        <v>5903</v>
      </c>
      <c r="C617" s="138" t="s">
        <v>5306</v>
      </c>
      <c r="D617" s="138" t="n">
        <v>350.2635</v>
      </c>
      <c r="E617" s="138" t="n">
        <v>396.5485</v>
      </c>
      <c r="F617" s="138" t="s">
        <v>60</v>
      </c>
      <c r="G617" s="138" t="n">
        <v>1007.18</v>
      </c>
      <c r="H617" s="138" t="s">
        <v>176</v>
      </c>
    </row>
    <row r="618" customFormat="false" ht="15" hidden="false" customHeight="false" outlineLevel="0" collapsed="false">
      <c r="A618" s="138" t="s">
        <v>5869</v>
      </c>
      <c r="B618" s="138" t="s">
        <v>5904</v>
      </c>
      <c r="C618" s="138" t="s">
        <v>5315</v>
      </c>
      <c r="D618" s="138" t="n">
        <v>359.4385</v>
      </c>
      <c r="E618" s="138" t="n">
        <v>410.5305</v>
      </c>
      <c r="F618" s="138" t="s">
        <v>59</v>
      </c>
      <c r="G618" s="138" t="n">
        <v>1071</v>
      </c>
      <c r="H618" s="138" t="s">
        <v>176</v>
      </c>
    </row>
    <row r="619" customFormat="false" ht="15" hidden="false" customHeight="false" outlineLevel="0" collapsed="false">
      <c r="A619" s="138" t="s">
        <v>5869</v>
      </c>
      <c r="B619" s="138" t="s">
        <v>5905</v>
      </c>
      <c r="C619" s="138" t="s">
        <v>5906</v>
      </c>
      <c r="D619" s="138" t="n">
        <v>398.0605</v>
      </c>
      <c r="E619" s="138" t="n">
        <v>413.0475</v>
      </c>
      <c r="F619" s="138" t="s">
        <v>60</v>
      </c>
      <c r="G619" s="138" t="n">
        <v>312.94</v>
      </c>
      <c r="H619" s="138" t="s">
        <v>176</v>
      </c>
    </row>
    <row r="620" customFormat="false" ht="15" hidden="false" customHeight="false" outlineLevel="0" collapsed="false">
      <c r="A620" s="138" t="s">
        <v>5869</v>
      </c>
      <c r="B620" s="138" t="s">
        <v>5907</v>
      </c>
      <c r="C620" s="138" t="s">
        <v>5908</v>
      </c>
      <c r="D620" s="138" t="n">
        <v>411.0535</v>
      </c>
      <c r="E620" s="138" t="n">
        <v>418.376</v>
      </c>
      <c r="F620" s="138" t="s">
        <v>59</v>
      </c>
      <c r="G620" s="138" t="n">
        <v>166.1</v>
      </c>
      <c r="H620" s="138" t="s">
        <v>176</v>
      </c>
    </row>
    <row r="621" customFormat="false" ht="15" hidden="false" customHeight="false" outlineLevel="0" collapsed="false">
      <c r="A621" s="138" t="s">
        <v>5869</v>
      </c>
      <c r="B621" s="138" t="s">
        <v>5909</v>
      </c>
      <c r="C621" s="138" t="s">
        <v>5910</v>
      </c>
      <c r="D621" s="138" t="n">
        <v>413.5955</v>
      </c>
      <c r="E621" s="138" t="n">
        <v>454.639</v>
      </c>
      <c r="F621" s="138" t="s">
        <v>60</v>
      </c>
      <c r="G621" s="138" t="n">
        <v>916.61</v>
      </c>
      <c r="H621" s="138" t="s">
        <v>176</v>
      </c>
    </row>
    <row r="622" customFormat="false" ht="15" hidden="false" customHeight="false" outlineLevel="0" collapsed="false">
      <c r="A622" s="138" t="s">
        <v>5869</v>
      </c>
      <c r="B622" s="138" t="s">
        <v>5911</v>
      </c>
      <c r="C622" s="138" t="s">
        <v>5912</v>
      </c>
      <c r="D622" s="138" t="n">
        <v>419.0225</v>
      </c>
      <c r="E622" s="138" t="n">
        <v>434.596</v>
      </c>
      <c r="F622" s="138" t="s">
        <v>59</v>
      </c>
      <c r="G622" s="138" t="n">
        <v>402.09</v>
      </c>
      <c r="H622" s="138" t="s">
        <v>176</v>
      </c>
    </row>
    <row r="623" customFormat="false" ht="15" hidden="false" customHeight="false" outlineLevel="0" collapsed="false">
      <c r="A623" s="138" t="s">
        <v>5869</v>
      </c>
      <c r="B623" s="138" t="s">
        <v>5913</v>
      </c>
      <c r="C623" s="138" t="s">
        <v>5914</v>
      </c>
      <c r="D623" s="138" t="n">
        <v>436.291</v>
      </c>
      <c r="E623" s="138" t="n">
        <v>464.1615</v>
      </c>
      <c r="F623" s="138" t="s">
        <v>59</v>
      </c>
      <c r="G623" s="138" t="n">
        <v>553.18</v>
      </c>
      <c r="H623" s="138" t="s">
        <v>176</v>
      </c>
    </row>
    <row r="624" customFormat="false" ht="15" hidden="false" customHeight="false" outlineLevel="0" collapsed="false">
      <c r="A624" s="138" t="s">
        <v>5869</v>
      </c>
      <c r="B624" s="138" t="s">
        <v>5915</v>
      </c>
      <c r="C624" s="138" t="s">
        <v>5916</v>
      </c>
      <c r="D624" s="138" t="n">
        <v>454.9665</v>
      </c>
      <c r="E624" s="138" t="n">
        <v>459.284</v>
      </c>
      <c r="F624" s="138" t="s">
        <v>60</v>
      </c>
      <c r="G624" s="138" t="n">
        <v>94.42</v>
      </c>
      <c r="H624" s="138" t="s">
        <v>176</v>
      </c>
    </row>
    <row r="625" customFormat="false" ht="15" hidden="false" customHeight="false" outlineLevel="0" collapsed="false">
      <c r="A625" s="138" t="s">
        <v>5869</v>
      </c>
      <c r="B625" s="138" t="s">
        <v>5917</v>
      </c>
      <c r="C625" s="138" t="s">
        <v>5918</v>
      </c>
      <c r="D625" s="138" t="n">
        <v>459.716</v>
      </c>
      <c r="E625" s="138" t="n">
        <v>465.7035</v>
      </c>
      <c r="F625" s="138" t="s">
        <v>60</v>
      </c>
      <c r="G625" s="138" t="n">
        <v>153.12</v>
      </c>
      <c r="H625" s="138" t="s">
        <v>176</v>
      </c>
    </row>
    <row r="626" customFormat="false" ht="15" hidden="false" customHeight="false" outlineLevel="0" collapsed="false">
      <c r="A626" s="138" t="s">
        <v>5869</v>
      </c>
      <c r="B626" s="138" t="s">
        <v>5703</v>
      </c>
      <c r="C626" s="138" t="s">
        <v>5919</v>
      </c>
      <c r="D626" s="138" t="n">
        <v>464.2</v>
      </c>
      <c r="E626" s="138" t="n">
        <v>474.3035</v>
      </c>
      <c r="F626" s="138" t="s">
        <v>59</v>
      </c>
      <c r="G626" s="138" t="n">
        <v>228.31</v>
      </c>
      <c r="H626" s="138" t="s">
        <v>176</v>
      </c>
    </row>
    <row r="627" customFormat="false" ht="15" hidden="false" customHeight="false" outlineLevel="0" collapsed="false">
      <c r="A627" s="138" t="s">
        <v>5869</v>
      </c>
      <c r="B627" s="138" t="s">
        <v>5920</v>
      </c>
      <c r="C627" s="138" t="s">
        <v>5921</v>
      </c>
      <c r="D627" s="138" t="n">
        <v>466.249</v>
      </c>
      <c r="E627" s="138" t="n">
        <v>484.143</v>
      </c>
      <c r="F627" s="138" t="s">
        <v>60</v>
      </c>
      <c r="G627" s="138" t="n">
        <v>395.73</v>
      </c>
      <c r="H627" s="138" t="s">
        <v>176</v>
      </c>
    </row>
    <row r="628" customFormat="false" ht="15" hidden="false" customHeight="false" outlineLevel="0" collapsed="false">
      <c r="A628" s="138" t="s">
        <v>5869</v>
      </c>
      <c r="B628" s="138" t="s">
        <v>5922</v>
      </c>
      <c r="C628" s="138" t="s">
        <v>5923</v>
      </c>
      <c r="D628" s="138" t="n">
        <v>474.239</v>
      </c>
      <c r="E628" s="138" t="n">
        <v>509.0575</v>
      </c>
      <c r="F628" s="138" t="s">
        <v>59</v>
      </c>
      <c r="G628" s="138" t="n">
        <v>741.36</v>
      </c>
      <c r="H628" s="138" t="s">
        <v>176</v>
      </c>
    </row>
    <row r="629" customFormat="false" ht="15" hidden="false" customHeight="false" outlineLevel="0" collapsed="false">
      <c r="A629" s="138" t="s">
        <v>5869</v>
      </c>
      <c r="B629" s="138" t="s">
        <v>5924</v>
      </c>
      <c r="C629" s="138" t="s">
        <v>5925</v>
      </c>
      <c r="D629" s="138" t="n">
        <v>484.5065</v>
      </c>
      <c r="E629" s="138" t="n">
        <v>494.643</v>
      </c>
      <c r="F629" s="138" t="s">
        <v>60</v>
      </c>
      <c r="G629" s="138" t="n">
        <v>208.15</v>
      </c>
      <c r="H629" s="138" t="s">
        <v>176</v>
      </c>
    </row>
    <row r="630" customFormat="false" ht="15" hidden="false" customHeight="false" outlineLevel="0" collapsed="false">
      <c r="A630" s="138" t="s">
        <v>5869</v>
      </c>
      <c r="B630" s="138" t="s">
        <v>5926</v>
      </c>
      <c r="C630" s="138" t="s">
        <v>5927</v>
      </c>
      <c r="D630" s="138" t="n">
        <v>495.898</v>
      </c>
      <c r="E630" s="138" t="n">
        <v>561.021</v>
      </c>
      <c r="F630" s="138" t="s">
        <v>60</v>
      </c>
      <c r="G630" s="138" t="n">
        <v>1362.53</v>
      </c>
      <c r="H630" s="138" t="s">
        <v>176</v>
      </c>
    </row>
    <row r="631" customFormat="false" ht="15" hidden="false" customHeight="false" outlineLevel="0" collapsed="false">
      <c r="A631" s="138" t="s">
        <v>5869</v>
      </c>
      <c r="B631" s="138" t="s">
        <v>4955</v>
      </c>
      <c r="C631" s="138" t="s">
        <v>5928</v>
      </c>
      <c r="D631" s="138" t="n">
        <v>509.23</v>
      </c>
      <c r="E631" s="138" t="n">
        <v>536.832</v>
      </c>
      <c r="F631" s="138" t="s">
        <v>59</v>
      </c>
      <c r="G631" s="138" t="n">
        <v>618.59</v>
      </c>
      <c r="H631" s="138" t="s">
        <v>176</v>
      </c>
    </row>
    <row r="632" customFormat="false" ht="15" hidden="false" customHeight="false" outlineLevel="0" collapsed="false">
      <c r="A632" s="138" t="s">
        <v>5869</v>
      </c>
      <c r="B632" s="138" t="s">
        <v>5929</v>
      </c>
      <c r="C632" s="138" t="s">
        <v>5930</v>
      </c>
      <c r="D632" s="138" t="n">
        <v>537.294</v>
      </c>
      <c r="E632" s="138" t="n">
        <v>571.9085</v>
      </c>
      <c r="F632" s="138" t="s">
        <v>59</v>
      </c>
      <c r="G632" s="138" t="n">
        <v>754.19</v>
      </c>
      <c r="H632" s="138" t="s">
        <v>176</v>
      </c>
    </row>
    <row r="633" customFormat="false" ht="15" hidden="false" customHeight="false" outlineLevel="0" collapsed="false">
      <c r="A633" s="138" t="s">
        <v>5869</v>
      </c>
      <c r="B633" s="138" t="s">
        <v>5931</v>
      </c>
      <c r="C633" s="138" t="s">
        <v>5932</v>
      </c>
      <c r="D633" s="138" t="n">
        <v>561.3</v>
      </c>
      <c r="E633" s="138" t="n">
        <v>591.0805</v>
      </c>
      <c r="F633" s="138" t="s">
        <v>60</v>
      </c>
      <c r="G633" s="138" t="n">
        <v>660.65</v>
      </c>
      <c r="H633" s="138" t="s">
        <v>176</v>
      </c>
    </row>
    <row r="634" customFormat="false" ht="15" hidden="false" customHeight="false" outlineLevel="0" collapsed="false">
      <c r="A634" s="138" t="s">
        <v>5869</v>
      </c>
      <c r="B634" s="138" t="s">
        <v>5933</v>
      </c>
      <c r="C634" s="138" t="s">
        <v>5934</v>
      </c>
      <c r="D634" s="138" t="n">
        <v>572.2605</v>
      </c>
      <c r="E634" s="138" t="n">
        <v>581.834</v>
      </c>
      <c r="F634" s="138" t="s">
        <v>59</v>
      </c>
      <c r="G634" s="138" t="n">
        <v>213.74</v>
      </c>
      <c r="H634" s="138" t="s">
        <v>176</v>
      </c>
    </row>
    <row r="635" customFormat="false" ht="15" hidden="false" customHeight="false" outlineLevel="0" collapsed="false">
      <c r="A635" s="138" t="s">
        <v>5869</v>
      </c>
      <c r="B635" s="138" t="s">
        <v>5935</v>
      </c>
      <c r="C635" s="138" t="s">
        <v>5936</v>
      </c>
      <c r="D635" s="138" t="n">
        <v>582.311</v>
      </c>
      <c r="E635" s="138" t="n">
        <v>601.643</v>
      </c>
      <c r="F635" s="138" t="s">
        <v>59</v>
      </c>
      <c r="G635" s="138" t="n">
        <v>420.91</v>
      </c>
      <c r="H635" s="138" t="s">
        <v>176</v>
      </c>
    </row>
    <row r="636" customFormat="false" ht="15" hidden="false" customHeight="false" outlineLevel="0" collapsed="false">
      <c r="A636" s="138" t="s">
        <v>5869</v>
      </c>
      <c r="B636" s="138" t="s">
        <v>5937</v>
      </c>
      <c r="C636" s="138" t="s">
        <v>2271</v>
      </c>
      <c r="D636" s="138" t="n">
        <v>591.4525</v>
      </c>
      <c r="E636" s="138" t="n">
        <v>599</v>
      </c>
      <c r="F636" s="138" t="s">
        <v>60</v>
      </c>
      <c r="G636" s="138" t="n">
        <v>186.5</v>
      </c>
      <c r="H636" s="138" t="s">
        <v>176</v>
      </c>
    </row>
    <row r="637" customFormat="false" ht="15" hidden="false" customHeight="false" outlineLevel="0" collapsed="false">
      <c r="A637" s="138" t="s">
        <v>5869</v>
      </c>
      <c r="B637" s="138" t="s">
        <v>3005</v>
      </c>
      <c r="C637" s="138" t="s">
        <v>5938</v>
      </c>
      <c r="D637" s="138" t="n">
        <v>599.445</v>
      </c>
      <c r="E637" s="138" t="n">
        <v>604.7105</v>
      </c>
      <c r="F637" s="138" t="s">
        <v>60</v>
      </c>
      <c r="G637" s="138" t="n">
        <v>108.5</v>
      </c>
      <c r="H637" s="138" t="s">
        <v>176</v>
      </c>
    </row>
    <row r="638" customFormat="false" ht="15" hidden="false" customHeight="false" outlineLevel="0" collapsed="false">
      <c r="A638" s="138" t="s">
        <v>5869</v>
      </c>
      <c r="B638" s="138" t="s">
        <v>5939</v>
      </c>
      <c r="C638" s="138" t="s">
        <v>5940</v>
      </c>
      <c r="D638" s="138" t="n">
        <v>602.3735</v>
      </c>
      <c r="E638" s="138" t="n">
        <v>608.2625</v>
      </c>
      <c r="F638" s="138" t="s">
        <v>59</v>
      </c>
      <c r="G638" s="138" t="n">
        <v>129.96</v>
      </c>
      <c r="H638" s="138" t="s">
        <v>176</v>
      </c>
    </row>
    <row r="639" customFormat="false" ht="15" hidden="false" customHeight="false" outlineLevel="0" collapsed="false">
      <c r="A639" s="138" t="s">
        <v>5869</v>
      </c>
      <c r="B639" s="138" t="s">
        <v>2277</v>
      </c>
      <c r="C639" s="138" t="s">
        <v>5941</v>
      </c>
      <c r="D639" s="138" t="n">
        <v>605</v>
      </c>
      <c r="E639" s="138" t="n">
        <v>613.106</v>
      </c>
      <c r="F639" s="138" t="s">
        <v>60</v>
      </c>
      <c r="G639" s="138" t="n">
        <v>196.89</v>
      </c>
      <c r="H639" s="138" t="s">
        <v>176</v>
      </c>
    </row>
    <row r="640" customFormat="false" ht="15" hidden="false" customHeight="false" outlineLevel="0" collapsed="false">
      <c r="A640" s="138" t="s">
        <v>5869</v>
      </c>
      <c r="B640" s="138" t="s">
        <v>5942</v>
      </c>
      <c r="C640" s="138" t="s">
        <v>5943</v>
      </c>
      <c r="D640" s="138" t="n">
        <v>608.6225</v>
      </c>
      <c r="E640" s="138" t="n">
        <v>609.747</v>
      </c>
      <c r="F640" s="138" t="s">
        <v>59</v>
      </c>
      <c r="G640" s="138" t="n">
        <v>22.59</v>
      </c>
      <c r="H640" s="138" t="s">
        <v>176</v>
      </c>
    </row>
    <row r="641" customFormat="false" ht="15" hidden="false" customHeight="false" outlineLevel="0" collapsed="false">
      <c r="A641" s="138" t="s">
        <v>5869</v>
      </c>
      <c r="B641" s="138" t="s">
        <v>5944</v>
      </c>
      <c r="C641" s="138" t="s">
        <v>5945</v>
      </c>
      <c r="D641" s="138" t="n">
        <v>610.5665</v>
      </c>
      <c r="E641" s="138" t="n">
        <v>612.391</v>
      </c>
      <c r="F641" s="138" t="s">
        <v>59</v>
      </c>
      <c r="G641" s="138" t="n">
        <v>36.76</v>
      </c>
      <c r="H641" s="138" t="s">
        <v>176</v>
      </c>
    </row>
    <row r="642" customFormat="false" ht="15" hidden="false" customHeight="false" outlineLevel="0" collapsed="false">
      <c r="A642" s="138" t="s">
        <v>5869</v>
      </c>
      <c r="B642" s="138" t="s">
        <v>5946</v>
      </c>
      <c r="C642" s="138" t="s">
        <v>5947</v>
      </c>
      <c r="D642" s="138" t="n">
        <v>613.1665</v>
      </c>
      <c r="E642" s="138" t="n">
        <v>617.2</v>
      </c>
      <c r="F642" s="138" t="s">
        <v>59</v>
      </c>
      <c r="G642" s="138" t="n">
        <v>80.7</v>
      </c>
      <c r="H642" s="138" t="s">
        <v>176</v>
      </c>
    </row>
    <row r="643" customFormat="false" ht="15" hidden="false" customHeight="false" outlineLevel="0" collapsed="false">
      <c r="A643" s="138" t="s">
        <v>5869</v>
      </c>
      <c r="B643" s="138" t="s">
        <v>5948</v>
      </c>
      <c r="C643" s="138" t="s">
        <v>5949</v>
      </c>
      <c r="D643" s="138" t="n">
        <v>613.2245</v>
      </c>
      <c r="E643" s="138" t="n">
        <v>614.6965</v>
      </c>
      <c r="F643" s="138" t="s">
        <v>60</v>
      </c>
      <c r="G643" s="138" t="n">
        <v>29.47</v>
      </c>
      <c r="H643" s="138" t="s">
        <v>176</v>
      </c>
    </row>
    <row r="644" customFormat="false" ht="15" hidden="false" customHeight="false" outlineLevel="0" collapsed="false">
      <c r="A644" s="138" t="s">
        <v>5869</v>
      </c>
      <c r="B644" s="138" t="s">
        <v>5950</v>
      </c>
      <c r="C644" s="138" t="s">
        <v>5951</v>
      </c>
      <c r="D644" s="138" t="n">
        <v>615.028</v>
      </c>
      <c r="E644" s="138" t="n">
        <v>615.77</v>
      </c>
      <c r="F644" s="138" t="s">
        <v>60</v>
      </c>
      <c r="G644" s="138" t="n">
        <v>14.84</v>
      </c>
      <c r="H644" s="138" t="s">
        <v>176</v>
      </c>
    </row>
    <row r="645" customFormat="false" ht="15" hidden="false" customHeight="false" outlineLevel="0" collapsed="false">
      <c r="A645" s="138" t="s">
        <v>5869</v>
      </c>
      <c r="B645" s="138" t="s">
        <v>5952</v>
      </c>
      <c r="C645" s="138" t="s">
        <v>2291</v>
      </c>
      <c r="D645" s="138" t="n">
        <v>616.018</v>
      </c>
      <c r="E645" s="138" t="n">
        <v>619</v>
      </c>
      <c r="F645" s="138" t="s">
        <v>60</v>
      </c>
      <c r="G645" s="138" t="n">
        <v>60.11</v>
      </c>
      <c r="H645" s="138" t="s">
        <v>176</v>
      </c>
    </row>
    <row r="646" customFormat="false" ht="15" hidden="false" customHeight="false" outlineLevel="0" collapsed="false">
      <c r="A646" s="138" t="s">
        <v>5869</v>
      </c>
      <c r="B646" s="138" t="s">
        <v>5953</v>
      </c>
      <c r="C646" s="138" t="s">
        <v>5954</v>
      </c>
      <c r="D646" s="138" t="n">
        <v>617.7</v>
      </c>
      <c r="E646" s="138" t="n">
        <v>620.649</v>
      </c>
      <c r="F646" s="138" t="s">
        <v>59</v>
      </c>
      <c r="G646" s="138" t="n">
        <v>58.74</v>
      </c>
      <c r="H646" s="138" t="s">
        <v>176</v>
      </c>
    </row>
    <row r="647" customFormat="false" ht="15" hidden="false" customHeight="false" outlineLevel="0" collapsed="false">
      <c r="A647" s="138" t="s">
        <v>5869</v>
      </c>
      <c r="B647" s="138" t="s">
        <v>5955</v>
      </c>
      <c r="C647" s="138" t="s">
        <v>5956</v>
      </c>
      <c r="D647" s="138" t="n">
        <v>619.201</v>
      </c>
      <c r="E647" s="138" t="n">
        <v>619.5345</v>
      </c>
      <c r="F647" s="138" t="s">
        <v>60</v>
      </c>
      <c r="G647" s="138" t="n">
        <v>6.71</v>
      </c>
      <c r="H647" s="138" t="s">
        <v>176</v>
      </c>
    </row>
    <row r="648" customFormat="false" ht="15" hidden="false" customHeight="false" outlineLevel="0" collapsed="false">
      <c r="A648" s="138" t="s">
        <v>5869</v>
      </c>
      <c r="B648" s="138" t="s">
        <v>5957</v>
      </c>
      <c r="C648" s="138" t="s">
        <v>5958</v>
      </c>
      <c r="D648" s="138" t="n">
        <v>619.7015</v>
      </c>
      <c r="E648" s="138" t="n">
        <v>621.242</v>
      </c>
      <c r="F648" s="138" t="s">
        <v>60</v>
      </c>
      <c r="G648" s="138" t="n">
        <v>31.1</v>
      </c>
      <c r="H648" s="138" t="s">
        <v>176</v>
      </c>
    </row>
    <row r="649" customFormat="false" ht="15" hidden="false" customHeight="false" outlineLevel="0" collapsed="false">
      <c r="A649" s="138" t="s">
        <v>5869</v>
      </c>
      <c r="B649" s="138" t="s">
        <v>5959</v>
      </c>
      <c r="C649" s="138" t="s">
        <v>5960</v>
      </c>
      <c r="D649" s="138" t="n">
        <v>621.0265</v>
      </c>
      <c r="E649" s="138" t="n">
        <v>629.5775</v>
      </c>
      <c r="F649" s="138" t="s">
        <v>59</v>
      </c>
      <c r="G649" s="138" t="n">
        <v>170.98</v>
      </c>
      <c r="H649" s="138" t="s">
        <v>176</v>
      </c>
    </row>
    <row r="650" customFormat="false" ht="15" hidden="false" customHeight="false" outlineLevel="0" collapsed="false">
      <c r="A650" s="138" t="s">
        <v>5869</v>
      </c>
      <c r="B650" s="138" t="s">
        <v>5961</v>
      </c>
      <c r="C650" s="138" t="s">
        <v>5962</v>
      </c>
      <c r="D650" s="138" t="n">
        <v>621.5175</v>
      </c>
      <c r="E650" s="138" t="n">
        <v>622.629</v>
      </c>
      <c r="F650" s="138" t="s">
        <v>60</v>
      </c>
      <c r="G650" s="138" t="n">
        <v>22.23</v>
      </c>
      <c r="H650" s="138" t="s">
        <v>176</v>
      </c>
    </row>
    <row r="651" customFormat="false" ht="15" hidden="false" customHeight="false" outlineLevel="0" collapsed="false">
      <c r="A651" s="138" t="s">
        <v>5869</v>
      </c>
      <c r="B651" s="138" t="s">
        <v>2295</v>
      </c>
      <c r="C651" s="138" t="s">
        <v>5963</v>
      </c>
      <c r="D651" s="138" t="n">
        <v>623</v>
      </c>
      <c r="E651" s="138" t="n">
        <v>632.6715</v>
      </c>
      <c r="F651" s="138" t="s">
        <v>60</v>
      </c>
      <c r="G651" s="138" t="n">
        <v>252.7</v>
      </c>
      <c r="H651" s="138" t="s">
        <v>176</v>
      </c>
    </row>
    <row r="652" customFormat="false" ht="15" hidden="false" customHeight="false" outlineLevel="0" collapsed="false">
      <c r="A652" s="138" t="s">
        <v>5869</v>
      </c>
      <c r="B652" s="138" t="s">
        <v>3116</v>
      </c>
      <c r="C652" s="138" t="s">
        <v>5964</v>
      </c>
      <c r="D652" s="138" t="n">
        <v>629.745</v>
      </c>
      <c r="E652" s="138" t="n">
        <v>631.6945</v>
      </c>
      <c r="F652" s="138" t="s">
        <v>59</v>
      </c>
      <c r="G652" s="138" t="n">
        <v>38.99</v>
      </c>
      <c r="H652" s="138" t="s">
        <v>176</v>
      </c>
    </row>
    <row r="653" customFormat="false" ht="15" hidden="false" customHeight="false" outlineLevel="0" collapsed="false">
      <c r="A653" s="138" t="s">
        <v>5869</v>
      </c>
      <c r="B653" s="138" t="s">
        <v>5965</v>
      </c>
      <c r="C653" s="138" t="s">
        <v>5966</v>
      </c>
      <c r="D653" s="138" t="n">
        <v>631.912</v>
      </c>
      <c r="E653" s="138" t="n">
        <v>632.438</v>
      </c>
      <c r="F653" s="138" t="s">
        <v>59</v>
      </c>
      <c r="G653" s="138" t="n">
        <v>10.52</v>
      </c>
      <c r="H653" s="138" t="s">
        <v>176</v>
      </c>
    </row>
    <row r="654" customFormat="false" ht="15" hidden="false" customHeight="false" outlineLevel="0" collapsed="false">
      <c r="A654" s="138" t="s">
        <v>5869</v>
      </c>
      <c r="B654" s="138" t="s">
        <v>5967</v>
      </c>
      <c r="C654" s="138" t="s">
        <v>5968</v>
      </c>
      <c r="D654" s="138" t="n">
        <v>632.6335</v>
      </c>
      <c r="E654" s="138" t="n">
        <v>634.69</v>
      </c>
      <c r="F654" s="138" t="s">
        <v>59</v>
      </c>
      <c r="G654" s="138" t="n">
        <v>41.13</v>
      </c>
      <c r="H654" s="138" t="s">
        <v>176</v>
      </c>
    </row>
    <row r="655" customFormat="false" ht="15" hidden="false" customHeight="false" outlineLevel="0" collapsed="false">
      <c r="A655" s="138" t="s">
        <v>5869</v>
      </c>
      <c r="B655" s="138" t="s">
        <v>5969</v>
      </c>
      <c r="C655" s="138" t="s">
        <v>5970</v>
      </c>
      <c r="D655" s="138" t="n">
        <v>633.149</v>
      </c>
      <c r="E655" s="138" t="n">
        <v>634.136</v>
      </c>
      <c r="F655" s="138" t="s">
        <v>60</v>
      </c>
      <c r="G655" s="138" t="n">
        <v>19.74</v>
      </c>
      <c r="H655" s="138" t="s">
        <v>176</v>
      </c>
    </row>
    <row r="656" customFormat="false" ht="15" hidden="false" customHeight="false" outlineLevel="0" collapsed="false">
      <c r="A656" s="138" t="s">
        <v>5869</v>
      </c>
      <c r="B656" s="138" t="s">
        <v>5971</v>
      </c>
      <c r="C656" s="138" t="s">
        <v>5972</v>
      </c>
      <c r="D656" s="138" t="n">
        <v>634.4375</v>
      </c>
      <c r="E656" s="138" t="n">
        <v>634.6605</v>
      </c>
      <c r="F656" s="138" t="s">
        <v>59</v>
      </c>
      <c r="G656" s="138" t="n">
        <v>17.37</v>
      </c>
      <c r="H656" s="138" t="s">
        <v>176</v>
      </c>
    </row>
    <row r="657" customFormat="false" ht="15" hidden="false" customHeight="false" outlineLevel="0" collapsed="false">
      <c r="A657" s="138" t="s">
        <v>5869</v>
      </c>
      <c r="B657" s="138" t="s">
        <v>5973</v>
      </c>
      <c r="C657" s="138" t="s">
        <v>5974</v>
      </c>
      <c r="D657" s="138" t="n">
        <v>634.696</v>
      </c>
      <c r="E657" s="138" t="n">
        <v>635.6255</v>
      </c>
      <c r="F657" s="138" t="s">
        <v>60</v>
      </c>
      <c r="G657" s="138" t="n">
        <v>18.59</v>
      </c>
      <c r="H657" s="138" t="s">
        <v>176</v>
      </c>
    </row>
    <row r="658" customFormat="false" ht="15" hidden="false" customHeight="false" outlineLevel="0" collapsed="false">
      <c r="A658" s="138" t="s">
        <v>5869</v>
      </c>
      <c r="B658" s="138" t="s">
        <v>5975</v>
      </c>
      <c r="C658" s="138" t="s">
        <v>3151</v>
      </c>
      <c r="D658" s="138" t="n">
        <v>635.448</v>
      </c>
      <c r="E658" s="138" t="n">
        <v>642.79085</v>
      </c>
      <c r="F658" s="138" t="s">
        <v>59</v>
      </c>
      <c r="G658" s="138" t="n">
        <v>157.46</v>
      </c>
      <c r="H658" s="138" t="s">
        <v>176</v>
      </c>
    </row>
    <row r="659" customFormat="false" ht="15" hidden="false" customHeight="false" outlineLevel="0" collapsed="false">
      <c r="A659" s="138" t="s">
        <v>5869</v>
      </c>
      <c r="B659" s="138" t="s">
        <v>5976</v>
      </c>
      <c r="C659" s="138" t="s">
        <v>5977</v>
      </c>
      <c r="D659" s="138" t="n">
        <v>635.6225</v>
      </c>
      <c r="E659" s="138" t="n">
        <v>639.005</v>
      </c>
      <c r="F659" s="138" t="s">
        <v>60</v>
      </c>
      <c r="G659" s="138" t="n">
        <v>67.43</v>
      </c>
      <c r="H659" s="138" t="s">
        <v>176</v>
      </c>
    </row>
    <row r="660" customFormat="false" ht="15" hidden="false" customHeight="false" outlineLevel="0" collapsed="false">
      <c r="A660" s="138" t="s">
        <v>5869</v>
      </c>
      <c r="B660" s="138" t="s">
        <v>5978</v>
      </c>
      <c r="C660" s="138" t="s">
        <v>3151</v>
      </c>
      <c r="D660" s="138" t="n">
        <v>639.488</v>
      </c>
      <c r="E660" s="138" t="n">
        <v>642.79085</v>
      </c>
      <c r="F660" s="138" t="s">
        <v>60</v>
      </c>
      <c r="G660" s="138" t="n">
        <v>68.68</v>
      </c>
      <c r="H660" s="138" t="s">
        <v>176</v>
      </c>
    </row>
    <row r="661" customFormat="false" ht="15" hidden="false" customHeight="false" outlineLevel="0" collapsed="false">
      <c r="A661" s="138" t="s">
        <v>5979</v>
      </c>
      <c r="B661" s="138" t="s">
        <v>5980</v>
      </c>
      <c r="C661" s="138" t="s">
        <v>5981</v>
      </c>
      <c r="D661" s="138" t="n">
        <v>605.0645</v>
      </c>
      <c r="E661" s="138" t="n">
        <v>613.0485</v>
      </c>
      <c r="F661" s="138" t="s">
        <v>60</v>
      </c>
      <c r="G661" s="138" t="n">
        <v>160</v>
      </c>
      <c r="H661" s="138" t="s">
        <v>176</v>
      </c>
    </row>
    <row r="662" customFormat="false" ht="15" hidden="false" customHeight="false" outlineLevel="0" collapsed="false">
      <c r="A662" s="138" t="s">
        <v>5979</v>
      </c>
      <c r="B662" s="138" t="s">
        <v>5982</v>
      </c>
      <c r="C662" s="138" t="s">
        <v>5983</v>
      </c>
      <c r="D662" s="138" t="n">
        <v>605.8385</v>
      </c>
      <c r="E662" s="138" t="n">
        <v>608.365</v>
      </c>
      <c r="F662" s="138" t="s">
        <v>59</v>
      </c>
      <c r="G662" s="138" t="n">
        <v>51</v>
      </c>
      <c r="H662" s="138" t="s">
        <v>176</v>
      </c>
    </row>
    <row r="663" customFormat="false" ht="15" hidden="false" customHeight="false" outlineLevel="0" collapsed="false">
      <c r="A663" s="138" t="s">
        <v>5979</v>
      </c>
      <c r="B663" s="138" t="s">
        <v>5984</v>
      </c>
      <c r="C663" s="138" t="s">
        <v>5985</v>
      </c>
      <c r="D663" s="138" t="n">
        <v>613.2485</v>
      </c>
      <c r="E663" s="138" t="n">
        <v>614.254</v>
      </c>
      <c r="F663" s="138" t="s">
        <v>60</v>
      </c>
      <c r="G663" s="138" t="n">
        <v>21</v>
      </c>
      <c r="H663" s="138" t="s">
        <v>176</v>
      </c>
    </row>
    <row r="664" customFormat="false" ht="15" hidden="false" customHeight="false" outlineLevel="0" collapsed="false">
      <c r="A664" s="138" t="s">
        <v>5979</v>
      </c>
      <c r="B664" s="138" t="s">
        <v>5986</v>
      </c>
      <c r="C664" s="138" t="s">
        <v>5987</v>
      </c>
      <c r="D664" s="138" t="n">
        <v>622.2155</v>
      </c>
      <c r="E664" s="138" t="n">
        <v>625.052</v>
      </c>
      <c r="F664" s="138" t="s">
        <v>59</v>
      </c>
      <c r="G664" s="138" t="n">
        <v>57</v>
      </c>
      <c r="H664" s="138" t="s">
        <v>176</v>
      </c>
    </row>
    <row r="665" customFormat="false" ht="15" hidden="false" customHeight="false" outlineLevel="0" collapsed="false">
      <c r="A665" s="138" t="s">
        <v>5979</v>
      </c>
      <c r="B665" s="138" t="s">
        <v>5988</v>
      </c>
      <c r="C665" s="138" t="s">
        <v>5989</v>
      </c>
      <c r="D665" s="138" t="n">
        <v>623.0655</v>
      </c>
      <c r="E665" s="138" t="n">
        <v>625.1315</v>
      </c>
      <c r="F665" s="138" t="s">
        <v>60</v>
      </c>
      <c r="G665" s="138" t="n">
        <v>51</v>
      </c>
      <c r="H665" s="138" t="s">
        <v>176</v>
      </c>
    </row>
    <row r="666" customFormat="false" ht="15" hidden="false" customHeight="false" outlineLevel="0" collapsed="false">
      <c r="A666" s="138" t="s">
        <v>5990</v>
      </c>
      <c r="B666" s="138" t="s">
        <v>1909</v>
      </c>
      <c r="C666" s="138" t="s">
        <v>5991</v>
      </c>
      <c r="D666" s="138" t="n">
        <v>256</v>
      </c>
      <c r="E666" s="138" t="n">
        <v>256.332</v>
      </c>
      <c r="F666" s="138" t="s">
        <v>59</v>
      </c>
      <c r="G666" s="138" t="n">
        <v>1</v>
      </c>
      <c r="H666" s="138" t="s">
        <v>80</v>
      </c>
    </row>
    <row r="667" customFormat="false" ht="15" hidden="false" customHeight="false" outlineLevel="0" collapsed="false">
      <c r="A667" s="138" t="s">
        <v>5990</v>
      </c>
      <c r="B667" s="138" t="s">
        <v>5992</v>
      </c>
      <c r="C667" s="138" t="s">
        <v>5993</v>
      </c>
      <c r="D667" s="138" t="n">
        <v>258.3225</v>
      </c>
      <c r="E667" s="138" t="n">
        <v>258.6015</v>
      </c>
      <c r="F667" s="138" t="s">
        <v>59</v>
      </c>
      <c r="G667" s="138" t="n">
        <v>1</v>
      </c>
      <c r="H667" s="138" t="s">
        <v>80</v>
      </c>
    </row>
    <row r="668" customFormat="false" ht="15" hidden="false" customHeight="false" outlineLevel="0" collapsed="false">
      <c r="A668" s="138" t="s">
        <v>5990</v>
      </c>
      <c r="B668" s="138" t="s">
        <v>5941</v>
      </c>
      <c r="C668" s="138" t="s">
        <v>5948</v>
      </c>
      <c r="D668" s="138" t="n">
        <v>613.106</v>
      </c>
      <c r="E668" s="138" t="n">
        <v>613.2245</v>
      </c>
      <c r="F668" s="138" t="s">
        <v>60</v>
      </c>
      <c r="G668" s="138" t="n">
        <v>1</v>
      </c>
      <c r="H668" s="138" t="s">
        <v>80</v>
      </c>
    </row>
    <row r="669" customFormat="false" ht="15" hidden="false" customHeight="false" outlineLevel="0" collapsed="false">
      <c r="A669" s="138" t="s">
        <v>5990</v>
      </c>
      <c r="B669" s="138" t="s">
        <v>5994</v>
      </c>
      <c r="C669" s="138" t="s">
        <v>5971</v>
      </c>
      <c r="D669" s="138" t="n">
        <v>634.357</v>
      </c>
      <c r="E669" s="138" t="n">
        <v>634.4375</v>
      </c>
      <c r="F669" s="138" t="s">
        <v>59</v>
      </c>
      <c r="G669" s="138" t="n">
        <v>1</v>
      </c>
      <c r="H669" s="138" t="s">
        <v>80</v>
      </c>
    </row>
    <row r="670" customFormat="false" ht="15" hidden="false" customHeight="false" outlineLevel="0" collapsed="false">
      <c r="A670" s="138" t="s">
        <v>5995</v>
      </c>
      <c r="B670" s="138" t="s">
        <v>5996</v>
      </c>
      <c r="C670" s="138" t="s">
        <v>5996</v>
      </c>
      <c r="D670" s="138" t="n">
        <v>118.301</v>
      </c>
      <c r="E670" s="138" t="n">
        <v>118.3015</v>
      </c>
      <c r="F670" s="138" t="s">
        <v>59</v>
      </c>
      <c r="G670" s="138" t="n">
        <v>1</v>
      </c>
      <c r="H670" s="138" t="s">
        <v>80</v>
      </c>
    </row>
    <row r="671" customFormat="false" ht="15" hidden="false" customHeight="false" outlineLevel="0" collapsed="false">
      <c r="A671" s="138" t="s">
        <v>5995</v>
      </c>
      <c r="B671" s="138" t="s">
        <v>1765</v>
      </c>
      <c r="C671" s="138" t="s">
        <v>1765</v>
      </c>
      <c r="D671" s="138" t="n">
        <v>120</v>
      </c>
      <c r="E671" s="138" t="n">
        <v>120.0005</v>
      </c>
      <c r="F671" s="138" t="s">
        <v>60</v>
      </c>
      <c r="G671" s="138" t="n">
        <v>1</v>
      </c>
      <c r="H671" s="138" t="s">
        <v>80</v>
      </c>
    </row>
    <row r="672" customFormat="false" ht="15" hidden="false" customHeight="false" outlineLevel="0" collapsed="false">
      <c r="A672" s="138" t="s">
        <v>5995</v>
      </c>
      <c r="B672" s="138" t="s">
        <v>5997</v>
      </c>
      <c r="C672" s="138" t="s">
        <v>5997</v>
      </c>
      <c r="D672" s="138" t="n">
        <v>170.2825</v>
      </c>
      <c r="E672" s="138" t="n">
        <v>170.283</v>
      </c>
      <c r="F672" s="138" t="s">
        <v>60</v>
      </c>
      <c r="G672" s="138" t="n">
        <v>1</v>
      </c>
      <c r="H672" s="138" t="s">
        <v>80</v>
      </c>
    </row>
    <row r="673" customFormat="false" ht="15" hidden="false" customHeight="false" outlineLevel="0" collapsed="false">
      <c r="A673" s="138" t="s">
        <v>5995</v>
      </c>
      <c r="B673" s="138" t="s">
        <v>5998</v>
      </c>
      <c r="C673" s="138" t="s">
        <v>5998</v>
      </c>
      <c r="D673" s="138" t="n">
        <v>173.7205</v>
      </c>
      <c r="E673" s="138" t="n">
        <v>173.721</v>
      </c>
      <c r="F673" s="138" t="s">
        <v>59</v>
      </c>
      <c r="G673" s="138" t="n">
        <v>1</v>
      </c>
      <c r="H673" s="138" t="s">
        <v>80</v>
      </c>
    </row>
    <row r="674" customFormat="false" ht="15" hidden="false" customHeight="false" outlineLevel="0" collapsed="false">
      <c r="A674" s="138" t="s">
        <v>5995</v>
      </c>
      <c r="B674" s="138" t="s">
        <v>5999</v>
      </c>
      <c r="C674" s="138" t="s">
        <v>5999</v>
      </c>
      <c r="D674" s="138" t="n">
        <v>210.506</v>
      </c>
      <c r="E674" s="138" t="n">
        <v>210.5065</v>
      </c>
      <c r="F674" s="138" t="s">
        <v>59</v>
      </c>
      <c r="G674" s="138" t="n">
        <v>1</v>
      </c>
      <c r="H674" s="138" t="s">
        <v>80</v>
      </c>
    </row>
    <row r="675" customFormat="false" ht="15" hidden="false" customHeight="false" outlineLevel="0" collapsed="false">
      <c r="A675" s="138" t="s">
        <v>5995</v>
      </c>
      <c r="B675" s="138" t="s">
        <v>6000</v>
      </c>
      <c r="C675" s="138" t="s">
        <v>6000</v>
      </c>
      <c r="D675" s="138" t="n">
        <v>211.6755</v>
      </c>
      <c r="E675" s="138" t="n">
        <v>211.676</v>
      </c>
      <c r="F675" s="138" t="s">
        <v>60</v>
      </c>
      <c r="G675" s="138" t="n">
        <v>1</v>
      </c>
      <c r="H675" s="138" t="s">
        <v>80</v>
      </c>
    </row>
    <row r="676" customFormat="false" ht="15" hidden="false" customHeight="false" outlineLevel="0" collapsed="false">
      <c r="A676" s="138" t="s">
        <v>5995</v>
      </c>
      <c r="B676" s="138" t="s">
        <v>6001</v>
      </c>
      <c r="C676" s="138" t="s">
        <v>6001</v>
      </c>
      <c r="D676" s="138" t="n">
        <v>252.707</v>
      </c>
      <c r="E676" s="138" t="n">
        <v>252.7075</v>
      </c>
      <c r="F676" s="138" t="s">
        <v>59</v>
      </c>
      <c r="G676" s="138" t="n">
        <v>1</v>
      </c>
      <c r="H676" s="138" t="s">
        <v>80</v>
      </c>
    </row>
    <row r="677" customFormat="false" ht="15" hidden="false" customHeight="false" outlineLevel="0" collapsed="false">
      <c r="A677" s="138" t="s">
        <v>5995</v>
      </c>
      <c r="B677" s="138" t="s">
        <v>6002</v>
      </c>
      <c r="C677" s="138" t="s">
        <v>6002</v>
      </c>
      <c r="D677" s="138" t="n">
        <v>255.4925</v>
      </c>
      <c r="E677" s="138" t="n">
        <v>255.493</v>
      </c>
      <c r="F677" s="138" t="s">
        <v>60</v>
      </c>
      <c r="G677" s="138" t="n">
        <v>1</v>
      </c>
      <c r="H677" s="138" t="s">
        <v>80</v>
      </c>
    </row>
    <row r="678" customFormat="false" ht="15" hidden="false" customHeight="false" outlineLevel="0" collapsed="false">
      <c r="A678" s="138" t="s">
        <v>5995</v>
      </c>
      <c r="B678" s="138" t="s">
        <v>6003</v>
      </c>
      <c r="C678" s="138" t="s">
        <v>6003</v>
      </c>
      <c r="D678" s="138" t="n">
        <v>362.76</v>
      </c>
      <c r="E678" s="138" t="n">
        <v>362.7605</v>
      </c>
      <c r="F678" s="138" t="s">
        <v>59</v>
      </c>
      <c r="G678" s="138" t="n">
        <v>1</v>
      </c>
      <c r="H678" s="138" t="s">
        <v>80</v>
      </c>
    </row>
    <row r="679" customFormat="false" ht="15" hidden="false" customHeight="false" outlineLevel="0" collapsed="false">
      <c r="A679" s="138" t="s">
        <v>5995</v>
      </c>
      <c r="B679" s="138" t="s">
        <v>6004</v>
      </c>
      <c r="C679" s="138" t="s">
        <v>6004</v>
      </c>
      <c r="D679" s="138" t="n">
        <v>362.747</v>
      </c>
      <c r="E679" s="138" t="n">
        <v>362.7475</v>
      </c>
      <c r="F679" s="138" t="s">
        <v>60</v>
      </c>
      <c r="G679" s="138" t="n">
        <v>1</v>
      </c>
      <c r="H679" s="138" t="s">
        <v>80</v>
      </c>
    </row>
    <row r="680" customFormat="false" ht="15" hidden="false" customHeight="false" outlineLevel="0" collapsed="false">
      <c r="A680" s="138" t="s">
        <v>5995</v>
      </c>
      <c r="B680" s="138" t="s">
        <v>6005</v>
      </c>
      <c r="C680" s="138" t="s">
        <v>6005</v>
      </c>
      <c r="D680" s="138" t="n">
        <v>418.0755</v>
      </c>
      <c r="E680" s="138" t="n">
        <v>418.076</v>
      </c>
      <c r="F680" s="138" t="s">
        <v>60</v>
      </c>
      <c r="G680" s="138" t="n">
        <v>1</v>
      </c>
      <c r="H680" s="138" t="s">
        <v>80</v>
      </c>
    </row>
    <row r="681" customFormat="false" ht="15" hidden="false" customHeight="false" outlineLevel="0" collapsed="false">
      <c r="A681" s="138" t="s">
        <v>5995</v>
      </c>
      <c r="B681" s="138" t="s">
        <v>6006</v>
      </c>
      <c r="C681" s="138" t="s">
        <v>6006</v>
      </c>
      <c r="D681" s="138" t="n">
        <v>425.4675</v>
      </c>
      <c r="E681" s="138" t="n">
        <v>425.468</v>
      </c>
      <c r="F681" s="138" t="s">
        <v>59</v>
      </c>
      <c r="G681" s="138" t="n">
        <v>1</v>
      </c>
      <c r="H681" s="138" t="s">
        <v>80</v>
      </c>
    </row>
    <row r="682" customFormat="false" ht="15" hidden="false" customHeight="false" outlineLevel="0" collapsed="false">
      <c r="A682" s="138" t="s">
        <v>5995</v>
      </c>
      <c r="B682" s="138" t="s">
        <v>6007</v>
      </c>
      <c r="C682" s="138" t="s">
        <v>6007</v>
      </c>
      <c r="D682" s="138" t="n">
        <v>472.031</v>
      </c>
      <c r="E682" s="138" t="n">
        <v>472.0315</v>
      </c>
      <c r="F682" s="138" t="s">
        <v>60</v>
      </c>
      <c r="G682" s="138" t="n">
        <v>1</v>
      </c>
      <c r="H682" s="138" t="s">
        <v>80</v>
      </c>
    </row>
    <row r="683" customFormat="false" ht="15" hidden="false" customHeight="false" outlineLevel="0" collapsed="false">
      <c r="A683" s="138" t="s">
        <v>5995</v>
      </c>
      <c r="B683" s="138" t="s">
        <v>6008</v>
      </c>
      <c r="C683" s="138" t="s">
        <v>6008</v>
      </c>
      <c r="D683" s="138" t="n">
        <v>471.9975</v>
      </c>
      <c r="E683" s="138" t="n">
        <v>471.998</v>
      </c>
      <c r="F683" s="138" t="s">
        <v>59</v>
      </c>
      <c r="G683" s="138" t="n">
        <v>1</v>
      </c>
      <c r="H683" s="138" t="s">
        <v>80</v>
      </c>
    </row>
    <row r="684" customFormat="false" ht="15" hidden="false" customHeight="false" outlineLevel="0" collapsed="false">
      <c r="A684" s="138" t="s">
        <v>5995</v>
      </c>
      <c r="B684" s="138" t="s">
        <v>6009</v>
      </c>
      <c r="C684" s="138" t="s">
        <v>6009</v>
      </c>
      <c r="D684" s="138" t="n">
        <v>499.7935</v>
      </c>
      <c r="E684" s="138" t="n">
        <v>499.794</v>
      </c>
      <c r="F684" s="138" t="s">
        <v>60</v>
      </c>
      <c r="G684" s="138" t="n">
        <v>1</v>
      </c>
      <c r="H684" s="138" t="s">
        <v>80</v>
      </c>
    </row>
    <row r="685" customFormat="false" ht="15" hidden="false" customHeight="false" outlineLevel="0" collapsed="false">
      <c r="A685" s="138" t="s">
        <v>5995</v>
      </c>
      <c r="B685" s="138" t="s">
        <v>6010</v>
      </c>
      <c r="C685" s="138" t="s">
        <v>6010</v>
      </c>
      <c r="D685" s="138" t="n">
        <v>523.03</v>
      </c>
      <c r="E685" s="138" t="n">
        <v>523.0305</v>
      </c>
      <c r="F685" s="138" t="s">
        <v>59</v>
      </c>
      <c r="G685" s="138" t="n">
        <v>1</v>
      </c>
      <c r="H685" s="138" t="s">
        <v>80</v>
      </c>
    </row>
    <row r="686" customFormat="false" ht="15" hidden="false" customHeight="false" outlineLevel="0" collapsed="false">
      <c r="A686" s="138" t="s">
        <v>5995</v>
      </c>
      <c r="B686" s="138" t="s">
        <v>6011</v>
      </c>
      <c r="C686" s="138" t="s">
        <v>6011</v>
      </c>
      <c r="D686" s="138" t="n">
        <v>635.114</v>
      </c>
      <c r="E686" s="138" t="n">
        <v>635.1145</v>
      </c>
      <c r="F686" s="138" t="s">
        <v>60</v>
      </c>
      <c r="G686" s="138" t="n">
        <v>1</v>
      </c>
      <c r="H686" s="138" t="s">
        <v>80</v>
      </c>
    </row>
    <row r="687" customFormat="false" ht="15" hidden="false" customHeight="false" outlineLevel="0" collapsed="false">
      <c r="A687" s="138" t="s">
        <v>6012</v>
      </c>
      <c r="B687" s="138" t="s">
        <v>5996</v>
      </c>
      <c r="C687" s="138" t="s">
        <v>5996</v>
      </c>
      <c r="D687" s="138" t="n">
        <v>118.301</v>
      </c>
      <c r="E687" s="138" t="n">
        <v>118.3015</v>
      </c>
      <c r="F687" s="138" t="s">
        <v>59</v>
      </c>
      <c r="G687" s="138" t="n">
        <v>1.5</v>
      </c>
      <c r="H687" s="138" t="s">
        <v>73</v>
      </c>
    </row>
    <row r="688" customFormat="false" ht="15" hidden="false" customHeight="false" outlineLevel="0" collapsed="false">
      <c r="A688" s="138" t="s">
        <v>6012</v>
      </c>
      <c r="B688" s="138" t="s">
        <v>1765</v>
      </c>
      <c r="C688" s="138" t="s">
        <v>1765</v>
      </c>
      <c r="D688" s="138" t="n">
        <v>120</v>
      </c>
      <c r="E688" s="138" t="n">
        <v>120.0005</v>
      </c>
      <c r="F688" s="138" t="s">
        <v>60</v>
      </c>
      <c r="G688" s="138" t="n">
        <v>1.5</v>
      </c>
      <c r="H688" s="138" t="s">
        <v>73</v>
      </c>
    </row>
    <row r="689" customFormat="false" ht="15" hidden="false" customHeight="false" outlineLevel="0" collapsed="false">
      <c r="A689" s="138" t="s">
        <v>6012</v>
      </c>
      <c r="B689" s="138" t="s">
        <v>5997</v>
      </c>
      <c r="C689" s="138" t="s">
        <v>5997</v>
      </c>
      <c r="D689" s="138" t="n">
        <v>170.2825</v>
      </c>
      <c r="E689" s="138" t="n">
        <v>170.283</v>
      </c>
      <c r="F689" s="138" t="s">
        <v>60</v>
      </c>
      <c r="G689" s="138" t="n">
        <v>1.5</v>
      </c>
      <c r="H689" s="138" t="s">
        <v>73</v>
      </c>
    </row>
    <row r="690" customFormat="false" ht="15" hidden="false" customHeight="false" outlineLevel="0" collapsed="false">
      <c r="A690" s="138" t="s">
        <v>6012</v>
      </c>
      <c r="B690" s="138" t="s">
        <v>5998</v>
      </c>
      <c r="C690" s="138" t="s">
        <v>5998</v>
      </c>
      <c r="D690" s="138" t="n">
        <v>173.7205</v>
      </c>
      <c r="E690" s="138" t="n">
        <v>173.721</v>
      </c>
      <c r="F690" s="138" t="s">
        <v>59</v>
      </c>
      <c r="G690" s="138" t="n">
        <v>1.5</v>
      </c>
      <c r="H690" s="138" t="s">
        <v>73</v>
      </c>
    </row>
    <row r="691" customFormat="false" ht="15" hidden="false" customHeight="false" outlineLevel="0" collapsed="false">
      <c r="A691" s="138" t="s">
        <v>6012</v>
      </c>
      <c r="B691" s="138" t="s">
        <v>6013</v>
      </c>
      <c r="C691" s="138" t="s">
        <v>6013</v>
      </c>
      <c r="D691" s="138" t="n">
        <v>210.5</v>
      </c>
      <c r="E691" s="138" t="n">
        <v>210.5005</v>
      </c>
      <c r="F691" s="138" t="s">
        <v>59</v>
      </c>
      <c r="G691" s="138" t="n">
        <v>1.5</v>
      </c>
      <c r="H691" s="138" t="s">
        <v>73</v>
      </c>
    </row>
    <row r="692" customFormat="false" ht="15" hidden="false" customHeight="false" outlineLevel="0" collapsed="false">
      <c r="A692" s="138" t="s">
        <v>6012</v>
      </c>
      <c r="B692" s="138" t="s">
        <v>6014</v>
      </c>
      <c r="C692" s="138" t="s">
        <v>6014</v>
      </c>
      <c r="D692" s="138" t="n">
        <v>211.669</v>
      </c>
      <c r="E692" s="138" t="n">
        <v>211.6695</v>
      </c>
      <c r="F692" s="138" t="s">
        <v>60</v>
      </c>
      <c r="G692" s="138" t="n">
        <v>1.5</v>
      </c>
      <c r="H692" s="138" t="s">
        <v>73</v>
      </c>
    </row>
    <row r="693" customFormat="false" ht="15" hidden="false" customHeight="false" outlineLevel="0" collapsed="false">
      <c r="A693" s="138" t="s">
        <v>6012</v>
      </c>
      <c r="B693" s="138" t="s">
        <v>6001</v>
      </c>
      <c r="C693" s="138" t="s">
        <v>6001</v>
      </c>
      <c r="D693" s="138" t="n">
        <v>252.707</v>
      </c>
      <c r="E693" s="138" t="n">
        <v>252.7075</v>
      </c>
      <c r="F693" s="138" t="s">
        <v>59</v>
      </c>
      <c r="G693" s="138" t="n">
        <v>1.5</v>
      </c>
      <c r="H693" s="138" t="s">
        <v>73</v>
      </c>
    </row>
    <row r="694" customFormat="false" ht="15" hidden="false" customHeight="false" outlineLevel="0" collapsed="false">
      <c r="A694" s="138" t="s">
        <v>6012</v>
      </c>
      <c r="B694" s="138" t="s">
        <v>6015</v>
      </c>
      <c r="C694" s="138" t="s">
        <v>6015</v>
      </c>
      <c r="D694" s="138" t="n">
        <v>255.5</v>
      </c>
      <c r="E694" s="138" t="n">
        <v>255.5005</v>
      </c>
      <c r="F694" s="138" t="s">
        <v>60</v>
      </c>
      <c r="G694" s="138" t="n">
        <v>1.5</v>
      </c>
      <c r="H694" s="138" t="s">
        <v>73</v>
      </c>
    </row>
    <row r="695" customFormat="false" ht="15" hidden="false" customHeight="false" outlineLevel="0" collapsed="false">
      <c r="A695" s="138" t="s">
        <v>6012</v>
      </c>
      <c r="B695" s="138" t="s">
        <v>6016</v>
      </c>
      <c r="C695" s="138" t="s">
        <v>6016</v>
      </c>
      <c r="D695" s="138" t="n">
        <v>362.749</v>
      </c>
      <c r="E695" s="138" t="n">
        <v>362.7495</v>
      </c>
      <c r="F695" s="138" t="s">
        <v>60</v>
      </c>
      <c r="G695" s="138" t="n">
        <v>1.5</v>
      </c>
      <c r="H695" s="138" t="s">
        <v>73</v>
      </c>
    </row>
    <row r="696" customFormat="false" ht="15" hidden="false" customHeight="false" outlineLevel="0" collapsed="false">
      <c r="A696" s="138" t="s">
        <v>6012</v>
      </c>
      <c r="B696" s="138" t="s">
        <v>6017</v>
      </c>
      <c r="C696" s="138" t="s">
        <v>6017</v>
      </c>
      <c r="D696" s="138" t="n">
        <v>362.7595</v>
      </c>
      <c r="E696" s="138" t="n">
        <v>362.76</v>
      </c>
      <c r="F696" s="138" t="s">
        <v>59</v>
      </c>
      <c r="G696" s="138" t="n">
        <v>1.5</v>
      </c>
      <c r="H696" s="138" t="s">
        <v>73</v>
      </c>
    </row>
    <row r="697" customFormat="false" ht="15" hidden="false" customHeight="false" outlineLevel="0" collapsed="false">
      <c r="A697" s="138" t="s">
        <v>6012</v>
      </c>
      <c r="B697" s="138" t="s">
        <v>6005</v>
      </c>
      <c r="C697" s="138" t="s">
        <v>6005</v>
      </c>
      <c r="D697" s="138" t="n">
        <v>418.0755</v>
      </c>
      <c r="E697" s="138" t="n">
        <v>418.076</v>
      </c>
      <c r="F697" s="138" t="s">
        <v>60</v>
      </c>
      <c r="G697" s="138" t="n">
        <v>1.5</v>
      </c>
      <c r="H697" s="138" t="s">
        <v>73</v>
      </c>
    </row>
    <row r="698" customFormat="false" ht="15" hidden="false" customHeight="false" outlineLevel="0" collapsed="false">
      <c r="A698" s="138" t="s">
        <v>6012</v>
      </c>
      <c r="B698" s="138" t="s">
        <v>6018</v>
      </c>
      <c r="C698" s="138" t="s">
        <v>6018</v>
      </c>
      <c r="D698" s="138" t="n">
        <v>425.468</v>
      </c>
      <c r="E698" s="138" t="n">
        <v>425.4685</v>
      </c>
      <c r="F698" s="138" t="s">
        <v>59</v>
      </c>
      <c r="G698" s="138" t="n">
        <v>1.5</v>
      </c>
      <c r="H698" s="138" t="s">
        <v>73</v>
      </c>
    </row>
    <row r="699" customFormat="false" ht="15" hidden="false" customHeight="false" outlineLevel="0" collapsed="false">
      <c r="A699" s="138" t="s">
        <v>6012</v>
      </c>
      <c r="B699" s="138" t="s">
        <v>2140</v>
      </c>
      <c r="C699" s="138" t="s">
        <v>2140</v>
      </c>
      <c r="D699" s="138" t="n">
        <v>472</v>
      </c>
      <c r="E699" s="138" t="n">
        <v>472.0005</v>
      </c>
      <c r="F699" s="138" t="s">
        <v>59</v>
      </c>
      <c r="G699" s="138" t="n">
        <v>1.5</v>
      </c>
      <c r="H699" s="138" t="s">
        <v>73</v>
      </c>
    </row>
    <row r="700" customFormat="false" ht="15" hidden="false" customHeight="false" outlineLevel="0" collapsed="false">
      <c r="A700" s="138" t="s">
        <v>6012</v>
      </c>
      <c r="B700" s="138" t="s">
        <v>6007</v>
      </c>
      <c r="C700" s="138" t="s">
        <v>6007</v>
      </c>
      <c r="D700" s="138" t="n">
        <v>472.031</v>
      </c>
      <c r="E700" s="138" t="n">
        <v>472.0315</v>
      </c>
      <c r="F700" s="138" t="s">
        <v>60</v>
      </c>
      <c r="G700" s="138" t="n">
        <v>1.5</v>
      </c>
      <c r="H700" s="138" t="s">
        <v>73</v>
      </c>
    </row>
    <row r="701" customFormat="false" ht="15" hidden="false" customHeight="false" outlineLevel="0" collapsed="false">
      <c r="A701" s="138" t="s">
        <v>6012</v>
      </c>
      <c r="B701" s="138" t="s">
        <v>6009</v>
      </c>
      <c r="C701" s="138" t="s">
        <v>6009</v>
      </c>
      <c r="D701" s="138" t="n">
        <v>499.7935</v>
      </c>
      <c r="E701" s="138" t="n">
        <v>499.794</v>
      </c>
      <c r="F701" s="138" t="s">
        <v>60</v>
      </c>
      <c r="G701" s="138" t="n">
        <v>1.5</v>
      </c>
      <c r="H701" s="138" t="s">
        <v>73</v>
      </c>
    </row>
    <row r="702" customFormat="false" ht="15" hidden="false" customHeight="false" outlineLevel="0" collapsed="false">
      <c r="A702" s="138" t="s">
        <v>6012</v>
      </c>
      <c r="B702" s="138" t="s">
        <v>6010</v>
      </c>
      <c r="C702" s="138" t="s">
        <v>6010</v>
      </c>
      <c r="D702" s="138" t="n">
        <v>523.03</v>
      </c>
      <c r="E702" s="138" t="n">
        <v>523.0305</v>
      </c>
      <c r="F702" s="138" t="s">
        <v>59</v>
      </c>
      <c r="G702" s="138" t="n">
        <v>1.5</v>
      </c>
      <c r="H702" s="138" t="s">
        <v>73</v>
      </c>
    </row>
    <row r="703" customFormat="false" ht="15" hidden="false" customHeight="false" outlineLevel="0" collapsed="false">
      <c r="A703" s="138" t="s">
        <v>6012</v>
      </c>
      <c r="B703" s="138" t="s">
        <v>5405</v>
      </c>
      <c r="C703" s="138" t="s">
        <v>2271</v>
      </c>
      <c r="D703" s="138" t="n">
        <v>598.008</v>
      </c>
      <c r="E703" s="138" t="n">
        <v>599</v>
      </c>
      <c r="F703" s="138" t="s">
        <v>60</v>
      </c>
      <c r="G703" s="138" t="n">
        <v>59</v>
      </c>
      <c r="H703" s="138" t="s">
        <v>73</v>
      </c>
    </row>
    <row r="704" customFormat="false" ht="15" hidden="false" customHeight="false" outlineLevel="0" collapsed="false">
      <c r="A704" s="138" t="s">
        <v>6012</v>
      </c>
      <c r="B704" s="138" t="s">
        <v>3005</v>
      </c>
      <c r="C704" s="138" t="s">
        <v>6019</v>
      </c>
      <c r="D704" s="138" t="n">
        <v>599.445</v>
      </c>
      <c r="E704" s="138" t="n">
        <v>604.703</v>
      </c>
      <c r="F704" s="138" t="s">
        <v>60</v>
      </c>
      <c r="G704" s="138" t="n">
        <v>317</v>
      </c>
      <c r="H704" s="138" t="s">
        <v>73</v>
      </c>
    </row>
    <row r="705" customFormat="false" ht="15" hidden="false" customHeight="false" outlineLevel="0" collapsed="false">
      <c r="A705" s="138" t="s">
        <v>6012</v>
      </c>
      <c r="B705" s="138" t="s">
        <v>3014</v>
      </c>
      <c r="C705" s="138" t="s">
        <v>5555</v>
      </c>
      <c r="D705" s="138" t="n">
        <v>602.0225</v>
      </c>
      <c r="E705" s="138" t="n">
        <v>608.3735</v>
      </c>
      <c r="F705" s="138" t="s">
        <v>59</v>
      </c>
      <c r="G705" s="138" t="n">
        <v>379</v>
      </c>
      <c r="H705" s="138" t="s">
        <v>73</v>
      </c>
    </row>
    <row r="706" customFormat="false" ht="15" hidden="false" customHeight="false" outlineLevel="0" collapsed="false">
      <c r="A706" s="138" t="s">
        <v>6012</v>
      </c>
      <c r="B706" s="138" t="s">
        <v>2277</v>
      </c>
      <c r="C706" s="138" t="s">
        <v>6020</v>
      </c>
      <c r="D706" s="138" t="n">
        <v>605</v>
      </c>
      <c r="E706" s="138" t="n">
        <v>614.778</v>
      </c>
      <c r="F706" s="138" t="s">
        <v>60</v>
      </c>
      <c r="G706" s="138" t="n">
        <v>587</v>
      </c>
      <c r="H706" s="138" t="s">
        <v>73</v>
      </c>
    </row>
    <row r="707" customFormat="false" ht="15" hidden="false" customHeight="false" outlineLevel="0" collapsed="false">
      <c r="A707" s="138" t="s">
        <v>6012</v>
      </c>
      <c r="B707" s="138" t="s">
        <v>6021</v>
      </c>
      <c r="C707" s="138" t="s">
        <v>6022</v>
      </c>
      <c r="D707" s="138" t="n">
        <v>608.5905</v>
      </c>
      <c r="E707" s="138" t="n">
        <v>612.2525</v>
      </c>
      <c r="F707" s="138" t="s">
        <v>59</v>
      </c>
      <c r="G707" s="138" t="n">
        <v>146</v>
      </c>
      <c r="H707" s="138" t="s">
        <v>73</v>
      </c>
    </row>
    <row r="708" customFormat="false" ht="15" hidden="false" customHeight="false" outlineLevel="0" collapsed="false">
      <c r="A708" s="138" t="s">
        <v>6012</v>
      </c>
      <c r="B708" s="138" t="s">
        <v>6023</v>
      </c>
      <c r="C708" s="138" t="s">
        <v>6024</v>
      </c>
      <c r="D708" s="138" t="n">
        <v>613.1515</v>
      </c>
      <c r="E708" s="138" t="n">
        <v>617.2145</v>
      </c>
      <c r="F708" s="138" t="s">
        <v>59</v>
      </c>
      <c r="G708" s="138" t="n">
        <v>163</v>
      </c>
      <c r="H708" s="138" t="s">
        <v>73</v>
      </c>
    </row>
    <row r="709" customFormat="false" ht="15" hidden="false" customHeight="false" outlineLevel="0" collapsed="false">
      <c r="A709" s="138" t="s">
        <v>6012</v>
      </c>
      <c r="B709" s="138" t="s">
        <v>3052</v>
      </c>
      <c r="C709" s="138" t="s">
        <v>6025</v>
      </c>
      <c r="D709" s="138" t="n">
        <v>615.03</v>
      </c>
      <c r="E709" s="138" t="n">
        <v>615.7975</v>
      </c>
      <c r="F709" s="138" t="s">
        <v>60</v>
      </c>
      <c r="G709" s="138" t="n">
        <v>46</v>
      </c>
      <c r="H709" s="138" t="s">
        <v>73</v>
      </c>
    </row>
    <row r="710" customFormat="false" ht="15" hidden="false" customHeight="false" outlineLevel="0" collapsed="false">
      <c r="A710" s="138" t="s">
        <v>6012</v>
      </c>
      <c r="B710" s="138" t="s">
        <v>6026</v>
      </c>
      <c r="C710" s="138" t="s">
        <v>2291</v>
      </c>
      <c r="D710" s="138" t="n">
        <v>615.9395</v>
      </c>
      <c r="E710" s="138" t="n">
        <v>619</v>
      </c>
      <c r="F710" s="138" t="s">
        <v>60</v>
      </c>
      <c r="G710" s="138" t="n">
        <v>184</v>
      </c>
      <c r="H710" s="138" t="s">
        <v>73</v>
      </c>
    </row>
    <row r="711" customFormat="false" ht="15" hidden="false" customHeight="false" outlineLevel="0" collapsed="false">
      <c r="A711" s="138" t="s">
        <v>6012</v>
      </c>
      <c r="B711" s="138" t="s">
        <v>6027</v>
      </c>
      <c r="C711" s="138" t="s">
        <v>6028</v>
      </c>
      <c r="D711" s="138" t="n">
        <v>617.67</v>
      </c>
      <c r="E711" s="138" t="n">
        <v>620.6325</v>
      </c>
      <c r="F711" s="138" t="s">
        <v>59</v>
      </c>
      <c r="G711" s="138" t="n">
        <v>118</v>
      </c>
      <c r="H711" s="138" t="s">
        <v>73</v>
      </c>
    </row>
    <row r="712" customFormat="false" ht="15" hidden="false" customHeight="false" outlineLevel="0" collapsed="false">
      <c r="A712" s="138" t="s">
        <v>6012</v>
      </c>
      <c r="B712" s="138" t="s">
        <v>3859</v>
      </c>
      <c r="C712" s="138" t="s">
        <v>6029</v>
      </c>
      <c r="D712" s="138" t="n">
        <v>618.081</v>
      </c>
      <c r="E712" s="138" t="n">
        <v>629.577</v>
      </c>
      <c r="F712" s="138" t="s">
        <v>59</v>
      </c>
      <c r="G712" s="138" t="n">
        <v>338</v>
      </c>
      <c r="H712" s="138" t="s">
        <v>73</v>
      </c>
    </row>
    <row r="713" customFormat="false" ht="15" hidden="false" customHeight="false" outlineLevel="0" collapsed="false">
      <c r="A713" s="138" t="s">
        <v>6012</v>
      </c>
      <c r="B713" s="138" t="s">
        <v>3077</v>
      </c>
      <c r="C713" s="138" t="s">
        <v>5956</v>
      </c>
      <c r="D713" s="138" t="n">
        <v>619.2</v>
      </c>
      <c r="E713" s="138" t="n">
        <v>619.5345</v>
      </c>
      <c r="F713" s="138" t="s">
        <v>60</v>
      </c>
      <c r="G713" s="138" t="n">
        <v>21</v>
      </c>
      <c r="H713" s="138" t="s">
        <v>73</v>
      </c>
    </row>
    <row r="714" customFormat="false" ht="15" hidden="false" customHeight="false" outlineLevel="0" collapsed="false">
      <c r="A714" s="138" t="s">
        <v>6012</v>
      </c>
      <c r="B714" s="138" t="s">
        <v>6030</v>
      </c>
      <c r="C714" s="138" t="s">
        <v>6031</v>
      </c>
      <c r="D714" s="138" t="n">
        <v>619.7055</v>
      </c>
      <c r="E714" s="138" t="n">
        <v>621.2405</v>
      </c>
      <c r="F714" s="138" t="s">
        <v>60</v>
      </c>
      <c r="G714" s="138" t="n">
        <v>93</v>
      </c>
      <c r="H714" s="138" t="s">
        <v>73</v>
      </c>
    </row>
    <row r="715" customFormat="false" ht="15" hidden="false" customHeight="false" outlineLevel="0" collapsed="false">
      <c r="A715" s="138" t="s">
        <v>6012</v>
      </c>
      <c r="B715" s="138" t="s">
        <v>6032</v>
      </c>
      <c r="C715" s="138" t="s">
        <v>6033</v>
      </c>
      <c r="D715" s="138" t="n">
        <v>621.517</v>
      </c>
      <c r="E715" s="138" t="n">
        <v>622.783</v>
      </c>
      <c r="F715" s="138" t="s">
        <v>60</v>
      </c>
      <c r="G715" s="138" t="n">
        <v>102</v>
      </c>
      <c r="H715" s="138" t="s">
        <v>73</v>
      </c>
    </row>
    <row r="716" customFormat="false" ht="15" hidden="false" customHeight="false" outlineLevel="0" collapsed="false">
      <c r="A716" s="138" t="s">
        <v>6012</v>
      </c>
      <c r="B716" s="138" t="s">
        <v>6034</v>
      </c>
      <c r="C716" s="138" t="s">
        <v>6035</v>
      </c>
      <c r="D716" s="138" t="n">
        <v>622.9305</v>
      </c>
      <c r="E716" s="138" t="n">
        <v>628.7645</v>
      </c>
      <c r="F716" s="138" t="s">
        <v>60</v>
      </c>
      <c r="G716" s="138" t="n">
        <v>371</v>
      </c>
      <c r="H716" s="138" t="s">
        <v>73</v>
      </c>
    </row>
    <row r="717" customFormat="false" ht="15" hidden="false" customHeight="false" outlineLevel="0" collapsed="false">
      <c r="A717" s="138" t="s">
        <v>6012</v>
      </c>
      <c r="B717" s="138" t="s">
        <v>6036</v>
      </c>
      <c r="C717" s="138" t="s">
        <v>6037</v>
      </c>
      <c r="D717" s="138" t="n">
        <v>628.9425</v>
      </c>
      <c r="E717" s="138" t="n">
        <v>630.458</v>
      </c>
      <c r="F717" s="138" t="s">
        <v>60</v>
      </c>
      <c r="G717" s="138" t="n">
        <v>91</v>
      </c>
      <c r="H717" s="138" t="s">
        <v>73</v>
      </c>
    </row>
    <row r="718" customFormat="false" ht="15" hidden="false" customHeight="false" outlineLevel="0" collapsed="false">
      <c r="A718" s="138" t="s">
        <v>6012</v>
      </c>
      <c r="B718" s="138" t="s">
        <v>3116</v>
      </c>
      <c r="C718" s="138" t="s">
        <v>6038</v>
      </c>
      <c r="D718" s="138" t="n">
        <v>629.745</v>
      </c>
      <c r="E718" s="138" t="n">
        <v>631.668</v>
      </c>
      <c r="F718" s="138" t="s">
        <v>59</v>
      </c>
      <c r="G718" s="138" t="n">
        <v>77</v>
      </c>
      <c r="H718" s="138" t="s">
        <v>73</v>
      </c>
    </row>
    <row r="719" customFormat="false" ht="15" hidden="false" customHeight="false" outlineLevel="0" collapsed="false">
      <c r="A719" s="138" t="s">
        <v>6012</v>
      </c>
      <c r="B719" s="138" t="s">
        <v>6039</v>
      </c>
      <c r="C719" s="138" t="s">
        <v>6040</v>
      </c>
      <c r="D719" s="138" t="n">
        <v>630.704</v>
      </c>
      <c r="E719" s="138" t="n">
        <v>632.711</v>
      </c>
      <c r="F719" s="138" t="s">
        <v>60</v>
      </c>
      <c r="G719" s="138" t="n">
        <v>117</v>
      </c>
      <c r="H719" s="138" t="s">
        <v>73</v>
      </c>
    </row>
    <row r="720" customFormat="false" ht="15" hidden="false" customHeight="false" outlineLevel="0" collapsed="false">
      <c r="A720" s="138" t="s">
        <v>6012</v>
      </c>
      <c r="B720" s="138" t="s">
        <v>6041</v>
      </c>
      <c r="C720" s="138" t="s">
        <v>6042</v>
      </c>
      <c r="D720" s="138" t="n">
        <v>631.9555</v>
      </c>
      <c r="E720" s="138" t="n">
        <v>632.4385</v>
      </c>
      <c r="F720" s="138" t="s">
        <v>59</v>
      </c>
      <c r="G720" s="138" t="n">
        <v>20</v>
      </c>
      <c r="H720" s="138" t="s">
        <v>73</v>
      </c>
    </row>
    <row r="721" customFormat="false" ht="15" hidden="false" customHeight="false" outlineLevel="0" collapsed="false">
      <c r="A721" s="138" t="s">
        <v>6012</v>
      </c>
      <c r="B721" s="138" t="s">
        <v>6043</v>
      </c>
      <c r="C721" s="138" t="s">
        <v>3126</v>
      </c>
      <c r="D721" s="138" t="n">
        <v>632.633</v>
      </c>
      <c r="E721" s="138" t="n">
        <v>634.7965</v>
      </c>
      <c r="F721" s="138" t="s">
        <v>59</v>
      </c>
      <c r="G721" s="138" t="n">
        <v>99</v>
      </c>
      <c r="H721" s="138" t="s">
        <v>73</v>
      </c>
    </row>
    <row r="722" customFormat="false" ht="15" hidden="false" customHeight="false" outlineLevel="0" collapsed="false">
      <c r="A722" s="138" t="s">
        <v>6012</v>
      </c>
      <c r="B722" s="138" t="s">
        <v>6044</v>
      </c>
      <c r="C722" s="138" t="s">
        <v>6045</v>
      </c>
      <c r="D722" s="138" t="n">
        <v>633.0665</v>
      </c>
      <c r="E722" s="138" t="n">
        <v>634.2005</v>
      </c>
      <c r="F722" s="138" t="s">
        <v>60</v>
      </c>
      <c r="G722" s="138" t="n">
        <v>67</v>
      </c>
      <c r="H722" s="138" t="s">
        <v>73</v>
      </c>
    </row>
    <row r="723" customFormat="false" ht="15" hidden="false" customHeight="false" outlineLevel="0" collapsed="false">
      <c r="A723" s="138" t="s">
        <v>6012</v>
      </c>
      <c r="B723" s="138" t="s">
        <v>6046</v>
      </c>
      <c r="C723" s="138" t="s">
        <v>6047</v>
      </c>
      <c r="D723" s="138" t="n">
        <v>634.5315</v>
      </c>
      <c r="E723" s="138" t="n">
        <v>639.1565</v>
      </c>
      <c r="F723" s="138" t="s">
        <v>60</v>
      </c>
      <c r="G723" s="138" t="n">
        <v>279</v>
      </c>
      <c r="H723" s="138" t="s">
        <v>73</v>
      </c>
    </row>
    <row r="724" customFormat="false" ht="15" hidden="false" customHeight="false" outlineLevel="0" collapsed="false">
      <c r="A724" s="138" t="s">
        <v>6012</v>
      </c>
      <c r="B724" s="138" t="s">
        <v>3139</v>
      </c>
      <c r="C724" s="138" t="s">
        <v>3151</v>
      </c>
      <c r="D724" s="138" t="n">
        <v>635.283</v>
      </c>
      <c r="E724" s="138" t="n">
        <v>642.79085</v>
      </c>
      <c r="F724" s="138" t="s">
        <v>59</v>
      </c>
      <c r="G724" s="138" t="n">
        <v>466</v>
      </c>
      <c r="H724" s="138" t="s">
        <v>73</v>
      </c>
    </row>
    <row r="725" customFormat="false" ht="15" hidden="false" customHeight="false" outlineLevel="0" collapsed="false">
      <c r="A725" s="138" t="s">
        <v>6012</v>
      </c>
      <c r="B725" s="138" t="s">
        <v>4984</v>
      </c>
      <c r="C725" s="138" t="s">
        <v>6048</v>
      </c>
      <c r="D725" s="138" t="n">
        <v>635.025</v>
      </c>
      <c r="E725" s="138" t="n">
        <v>635.093</v>
      </c>
      <c r="F725" s="138" t="s">
        <v>59</v>
      </c>
      <c r="G725" s="138" t="n">
        <v>10</v>
      </c>
      <c r="H725" s="138" t="s">
        <v>73</v>
      </c>
    </row>
    <row r="726" customFormat="false" ht="15" hidden="false" customHeight="false" outlineLevel="0" collapsed="false">
      <c r="A726" s="138" t="s">
        <v>6012</v>
      </c>
      <c r="B726" s="138" t="s">
        <v>6049</v>
      </c>
      <c r="C726" s="138" t="s">
        <v>3151</v>
      </c>
      <c r="D726" s="138" t="n">
        <v>639.359</v>
      </c>
      <c r="E726" s="138" t="n">
        <v>642.79085</v>
      </c>
      <c r="F726" s="138" t="s">
        <v>60</v>
      </c>
      <c r="G726" s="138" t="n">
        <v>217</v>
      </c>
      <c r="H726" s="138" t="s">
        <v>73</v>
      </c>
    </row>
    <row r="727" customFormat="false" ht="15" hidden="false" customHeight="false" outlineLevel="0" collapsed="false">
      <c r="A727" s="138" t="s">
        <v>6050</v>
      </c>
      <c r="B727" s="138" t="s">
        <v>2271</v>
      </c>
      <c r="C727" s="138" t="s">
        <v>3005</v>
      </c>
      <c r="D727" s="138" t="n">
        <v>599</v>
      </c>
      <c r="E727" s="138" t="n">
        <v>599.445</v>
      </c>
      <c r="F727" s="138" t="s">
        <v>60</v>
      </c>
      <c r="G727" s="138" t="n">
        <v>44</v>
      </c>
      <c r="H727" s="138" t="s">
        <v>73</v>
      </c>
    </row>
    <row r="728" customFormat="false" ht="15" hidden="false" customHeight="false" outlineLevel="0" collapsed="false">
      <c r="A728" s="138" t="s">
        <v>6050</v>
      </c>
      <c r="B728" s="138" t="s">
        <v>6051</v>
      </c>
      <c r="C728" s="138" t="s">
        <v>2277</v>
      </c>
      <c r="D728" s="138" t="n">
        <v>604.6965</v>
      </c>
      <c r="E728" s="138" t="n">
        <v>605</v>
      </c>
      <c r="F728" s="138" t="s">
        <v>60</v>
      </c>
      <c r="G728" s="138" t="n">
        <v>40</v>
      </c>
      <c r="H728" s="138" t="s">
        <v>73</v>
      </c>
    </row>
    <row r="729" customFormat="false" ht="15" hidden="false" customHeight="false" outlineLevel="0" collapsed="false">
      <c r="A729" s="138" t="s">
        <v>6050</v>
      </c>
      <c r="B729" s="138" t="s">
        <v>6052</v>
      </c>
      <c r="C729" s="138" t="s">
        <v>6053</v>
      </c>
      <c r="D729" s="138" t="n">
        <v>608.319</v>
      </c>
      <c r="E729" s="138" t="n">
        <v>608.684</v>
      </c>
      <c r="F729" s="138" t="s">
        <v>59</v>
      </c>
      <c r="G729" s="138" t="n">
        <v>29</v>
      </c>
      <c r="H729" s="138" t="s">
        <v>73</v>
      </c>
    </row>
    <row r="730" customFormat="false" ht="15" hidden="false" customHeight="false" outlineLevel="0" collapsed="false">
      <c r="A730" s="138" t="s">
        <v>6050</v>
      </c>
      <c r="B730" s="138" t="s">
        <v>6022</v>
      </c>
      <c r="C730" s="138" t="s">
        <v>6023</v>
      </c>
      <c r="D730" s="138" t="n">
        <v>612.2525</v>
      </c>
      <c r="E730" s="138" t="n">
        <v>613.1515</v>
      </c>
      <c r="F730" s="138" t="s">
        <v>59</v>
      </c>
      <c r="G730" s="138" t="n">
        <v>108</v>
      </c>
      <c r="H730" s="138" t="s">
        <v>73</v>
      </c>
    </row>
    <row r="731" customFormat="false" ht="15" hidden="false" customHeight="false" outlineLevel="0" collapsed="false">
      <c r="A731" s="138" t="s">
        <v>6050</v>
      </c>
      <c r="B731" s="138" t="s">
        <v>6020</v>
      </c>
      <c r="C731" s="138" t="s">
        <v>6054</v>
      </c>
      <c r="D731" s="138" t="n">
        <v>614.778</v>
      </c>
      <c r="E731" s="138" t="n">
        <v>615.032</v>
      </c>
      <c r="F731" s="138" t="s">
        <v>60</v>
      </c>
      <c r="G731" s="138" t="n">
        <v>28</v>
      </c>
      <c r="H731" s="138" t="s">
        <v>73</v>
      </c>
    </row>
    <row r="732" customFormat="false" ht="15" hidden="false" customHeight="false" outlineLevel="0" collapsed="false">
      <c r="A732" s="138" t="s">
        <v>6050</v>
      </c>
      <c r="B732" s="138" t="s">
        <v>6025</v>
      </c>
      <c r="C732" s="138" t="s">
        <v>6026</v>
      </c>
      <c r="D732" s="138" t="n">
        <v>615.7975</v>
      </c>
      <c r="E732" s="138" t="n">
        <v>615.9395</v>
      </c>
      <c r="F732" s="138" t="s">
        <v>60</v>
      </c>
      <c r="G732" s="138" t="n">
        <v>14</v>
      </c>
      <c r="H732" s="138" t="s">
        <v>73</v>
      </c>
    </row>
    <row r="733" customFormat="false" ht="15" hidden="false" customHeight="false" outlineLevel="0" collapsed="false">
      <c r="A733" s="138" t="s">
        <v>6050</v>
      </c>
      <c r="B733" s="138" t="s">
        <v>6024</v>
      </c>
      <c r="C733" s="138" t="s">
        <v>6027</v>
      </c>
      <c r="D733" s="138" t="n">
        <v>617.2145</v>
      </c>
      <c r="E733" s="138" t="n">
        <v>617.67</v>
      </c>
      <c r="F733" s="138" t="s">
        <v>59</v>
      </c>
      <c r="G733" s="138" t="n">
        <v>57</v>
      </c>
      <c r="H733" s="138" t="s">
        <v>73</v>
      </c>
    </row>
    <row r="734" customFormat="false" ht="15" hidden="false" customHeight="false" outlineLevel="0" collapsed="false">
      <c r="A734" s="138" t="s">
        <v>6050</v>
      </c>
      <c r="B734" s="138" t="s">
        <v>2291</v>
      </c>
      <c r="C734" s="138" t="s">
        <v>3077</v>
      </c>
      <c r="D734" s="138" t="n">
        <v>619</v>
      </c>
      <c r="E734" s="138" t="n">
        <v>619.2</v>
      </c>
      <c r="F734" s="138" t="s">
        <v>60</v>
      </c>
      <c r="G734" s="138" t="n">
        <v>19</v>
      </c>
      <c r="H734" s="138" t="s">
        <v>73</v>
      </c>
    </row>
    <row r="735" customFormat="false" ht="15" hidden="false" customHeight="false" outlineLevel="0" collapsed="false">
      <c r="A735" s="138" t="s">
        <v>6050</v>
      </c>
      <c r="B735" s="138" t="s">
        <v>5956</v>
      </c>
      <c r="C735" s="138" t="s">
        <v>6030</v>
      </c>
      <c r="D735" s="138" t="n">
        <v>619.5345</v>
      </c>
      <c r="E735" s="138" t="n">
        <v>619.7055</v>
      </c>
      <c r="F735" s="138" t="s">
        <v>60</v>
      </c>
      <c r="G735" s="138" t="n">
        <v>15</v>
      </c>
      <c r="H735" s="138" t="s">
        <v>73</v>
      </c>
    </row>
    <row r="736" customFormat="false" ht="15" hidden="false" customHeight="false" outlineLevel="0" collapsed="false">
      <c r="A736" s="138" t="s">
        <v>6050</v>
      </c>
      <c r="B736" s="138" t="s">
        <v>6055</v>
      </c>
      <c r="C736" s="138" t="s">
        <v>6056</v>
      </c>
      <c r="D736" s="138" t="n">
        <v>620.623</v>
      </c>
      <c r="E736" s="138" t="n">
        <v>621.143</v>
      </c>
      <c r="F736" s="138" t="s">
        <v>59</v>
      </c>
      <c r="G736" s="138" t="n">
        <v>59</v>
      </c>
      <c r="H736" s="138" t="s">
        <v>73</v>
      </c>
    </row>
    <row r="737" customFormat="false" ht="15" hidden="false" customHeight="false" outlineLevel="0" collapsed="false">
      <c r="A737" s="138" t="s">
        <v>6050</v>
      </c>
      <c r="B737" s="138" t="s">
        <v>6031</v>
      </c>
      <c r="C737" s="138" t="s">
        <v>6032</v>
      </c>
      <c r="D737" s="138" t="n">
        <v>621.2405</v>
      </c>
      <c r="E737" s="138" t="n">
        <v>621.517</v>
      </c>
      <c r="F737" s="138" t="s">
        <v>60</v>
      </c>
      <c r="G737" s="138" t="n">
        <v>25</v>
      </c>
      <c r="H737" s="138" t="s">
        <v>73</v>
      </c>
    </row>
    <row r="738" customFormat="false" ht="15" hidden="false" customHeight="false" outlineLevel="0" collapsed="false">
      <c r="A738" s="138" t="s">
        <v>6050</v>
      </c>
      <c r="B738" s="138" t="s">
        <v>6035</v>
      </c>
      <c r="C738" s="138" t="s">
        <v>6036</v>
      </c>
      <c r="D738" s="138" t="n">
        <v>628.7645</v>
      </c>
      <c r="E738" s="138" t="n">
        <v>628.9425</v>
      </c>
      <c r="F738" s="138" t="s">
        <v>60</v>
      </c>
      <c r="G738" s="138" t="n">
        <v>18</v>
      </c>
      <c r="H738" s="138" t="s">
        <v>73</v>
      </c>
    </row>
    <row r="739" customFormat="false" ht="15" hidden="false" customHeight="false" outlineLevel="0" collapsed="false">
      <c r="A739" s="138" t="s">
        <v>6050</v>
      </c>
      <c r="B739" s="138" t="s">
        <v>6057</v>
      </c>
      <c r="C739" s="138" t="s">
        <v>3116</v>
      </c>
      <c r="D739" s="138" t="n">
        <v>629.5765</v>
      </c>
      <c r="E739" s="138" t="n">
        <v>629.745</v>
      </c>
      <c r="F739" s="138" t="s">
        <v>59</v>
      </c>
      <c r="G739" s="138" t="n">
        <v>10</v>
      </c>
      <c r="H739" s="138" t="s">
        <v>73</v>
      </c>
    </row>
    <row r="740" customFormat="false" ht="15" hidden="false" customHeight="false" outlineLevel="0" collapsed="false">
      <c r="A740" s="138" t="s">
        <v>6050</v>
      </c>
      <c r="B740" s="138" t="s">
        <v>6037</v>
      </c>
      <c r="C740" s="138" t="s">
        <v>6039</v>
      </c>
      <c r="D740" s="138" t="n">
        <v>630.458</v>
      </c>
      <c r="E740" s="138" t="n">
        <v>630.704</v>
      </c>
      <c r="F740" s="138" t="s">
        <v>60</v>
      </c>
      <c r="G740" s="138" t="n">
        <v>25</v>
      </c>
      <c r="H740" s="138" t="s">
        <v>73</v>
      </c>
    </row>
    <row r="741" customFormat="false" ht="15" hidden="false" customHeight="false" outlineLevel="0" collapsed="false">
      <c r="A741" s="138" t="s">
        <v>6050</v>
      </c>
      <c r="B741" s="138" t="s">
        <v>6038</v>
      </c>
      <c r="C741" s="138" t="s">
        <v>6041</v>
      </c>
      <c r="D741" s="138" t="n">
        <v>631.668</v>
      </c>
      <c r="E741" s="138" t="n">
        <v>631.9555</v>
      </c>
      <c r="F741" s="138" t="s">
        <v>59</v>
      </c>
      <c r="G741" s="138" t="n">
        <v>20</v>
      </c>
      <c r="H741" s="138" t="s">
        <v>73</v>
      </c>
    </row>
    <row r="742" customFormat="false" ht="15" hidden="false" customHeight="false" outlineLevel="0" collapsed="false">
      <c r="A742" s="138" t="s">
        <v>6050</v>
      </c>
      <c r="B742" s="138" t="s">
        <v>5966</v>
      </c>
      <c r="C742" s="138" t="s">
        <v>5967</v>
      </c>
      <c r="D742" s="138" t="n">
        <v>632.438</v>
      </c>
      <c r="E742" s="138" t="n">
        <v>632.6335</v>
      </c>
      <c r="F742" s="138" t="s">
        <v>59</v>
      </c>
      <c r="G742" s="138" t="n">
        <v>15</v>
      </c>
      <c r="H742" s="138" t="s">
        <v>73</v>
      </c>
    </row>
    <row r="743" customFormat="false" ht="15" hidden="false" customHeight="false" outlineLevel="0" collapsed="false">
      <c r="A743" s="138" t="s">
        <v>6058</v>
      </c>
      <c r="B743" s="138" t="s">
        <v>6059</v>
      </c>
      <c r="C743" s="138" t="s">
        <v>6060</v>
      </c>
      <c r="D743" s="138" t="n">
        <v>598.951</v>
      </c>
      <c r="E743" s="138" t="n">
        <v>598.955</v>
      </c>
      <c r="F743" s="138" t="s">
        <v>60</v>
      </c>
      <c r="G743" s="138" t="n">
        <v>3</v>
      </c>
      <c r="H743" s="138" t="s">
        <v>176</v>
      </c>
    </row>
    <row r="744" customFormat="false" ht="15" hidden="false" customHeight="false" outlineLevel="0" collapsed="false">
      <c r="A744" s="138" t="s">
        <v>6058</v>
      </c>
      <c r="B744" s="138" t="s">
        <v>6061</v>
      </c>
      <c r="C744" s="138" t="s">
        <v>6062</v>
      </c>
      <c r="D744" s="138" t="n">
        <v>599.4915</v>
      </c>
      <c r="E744" s="138" t="n">
        <v>599.497</v>
      </c>
      <c r="F744" s="138" t="s">
        <v>60</v>
      </c>
      <c r="G744" s="138" t="n">
        <v>3</v>
      </c>
      <c r="H744" s="138" t="s">
        <v>176</v>
      </c>
    </row>
    <row r="745" customFormat="false" ht="15" hidden="false" customHeight="false" outlineLevel="0" collapsed="false">
      <c r="A745" s="138" t="s">
        <v>6058</v>
      </c>
      <c r="B745" s="138" t="s">
        <v>6063</v>
      </c>
      <c r="C745" s="138" t="s">
        <v>6064</v>
      </c>
      <c r="D745" s="138" t="n">
        <v>604.675</v>
      </c>
      <c r="E745" s="138" t="n">
        <v>604.677</v>
      </c>
      <c r="F745" s="138" t="s">
        <v>60</v>
      </c>
      <c r="G745" s="138" t="n">
        <v>3</v>
      </c>
      <c r="H745" s="138" t="s">
        <v>176</v>
      </c>
    </row>
    <row r="746" customFormat="false" ht="15" hidden="false" customHeight="false" outlineLevel="0" collapsed="false">
      <c r="A746" s="138" t="s">
        <v>6058</v>
      </c>
      <c r="B746" s="138" t="s">
        <v>6065</v>
      </c>
      <c r="C746" s="138" t="s">
        <v>6065</v>
      </c>
      <c r="D746" s="138" t="n">
        <v>605.0285</v>
      </c>
      <c r="E746" s="138" t="n">
        <v>605.029</v>
      </c>
      <c r="F746" s="138" t="s">
        <v>60</v>
      </c>
      <c r="G746" s="138" t="n">
        <v>3</v>
      </c>
      <c r="H746" s="138" t="s">
        <v>176</v>
      </c>
    </row>
    <row r="747" customFormat="false" ht="15" hidden="false" customHeight="false" outlineLevel="0" collapsed="false">
      <c r="A747" s="138" t="s">
        <v>6058</v>
      </c>
      <c r="B747" s="138" t="s">
        <v>6066</v>
      </c>
      <c r="C747" s="138" t="s">
        <v>6066</v>
      </c>
      <c r="D747" s="138" t="n">
        <v>608.32</v>
      </c>
      <c r="E747" s="138" t="n">
        <v>608.3205</v>
      </c>
      <c r="F747" s="138" t="s">
        <v>59</v>
      </c>
      <c r="G747" s="138" t="n">
        <v>3</v>
      </c>
      <c r="H747" s="138" t="s">
        <v>176</v>
      </c>
    </row>
    <row r="748" customFormat="false" ht="15" hidden="false" customHeight="false" outlineLevel="0" collapsed="false">
      <c r="A748" s="138" t="s">
        <v>6058</v>
      </c>
      <c r="B748" s="138" t="s">
        <v>6067</v>
      </c>
      <c r="C748" s="138" t="s">
        <v>6068</v>
      </c>
      <c r="D748" s="138" t="n">
        <v>608.632</v>
      </c>
      <c r="E748" s="138" t="n">
        <v>608.645</v>
      </c>
      <c r="F748" s="138" t="s">
        <v>59</v>
      </c>
      <c r="G748" s="138" t="n">
        <v>2</v>
      </c>
      <c r="H748" s="138" t="s">
        <v>176</v>
      </c>
    </row>
    <row r="749" customFormat="false" ht="15" hidden="false" customHeight="false" outlineLevel="0" collapsed="false">
      <c r="A749" s="138" t="s">
        <v>6058</v>
      </c>
      <c r="B749" s="138" t="s">
        <v>6069</v>
      </c>
      <c r="C749" s="138" t="s">
        <v>6069</v>
      </c>
      <c r="D749" s="138" t="n">
        <v>612.2475</v>
      </c>
      <c r="E749" s="138" t="n">
        <v>612.248</v>
      </c>
      <c r="F749" s="138" t="s">
        <v>59</v>
      </c>
      <c r="G749" s="138" t="n">
        <v>2</v>
      </c>
      <c r="H749" s="138" t="s">
        <v>176</v>
      </c>
    </row>
    <row r="750" customFormat="false" ht="15" hidden="false" customHeight="false" outlineLevel="0" collapsed="false">
      <c r="A750" s="138" t="s">
        <v>6058</v>
      </c>
      <c r="B750" s="138" t="s">
        <v>6070</v>
      </c>
      <c r="C750" s="138" t="s">
        <v>6070</v>
      </c>
      <c r="D750" s="138" t="n">
        <v>613.1695</v>
      </c>
      <c r="E750" s="138" t="n">
        <v>613.17</v>
      </c>
      <c r="F750" s="138" t="s">
        <v>59</v>
      </c>
      <c r="G750" s="138" t="n">
        <v>2</v>
      </c>
      <c r="H750" s="138" t="s">
        <v>176</v>
      </c>
    </row>
    <row r="751" customFormat="false" ht="15" hidden="false" customHeight="false" outlineLevel="0" collapsed="false">
      <c r="A751" s="138" t="s">
        <v>6058</v>
      </c>
      <c r="B751" s="138" t="s">
        <v>6071</v>
      </c>
      <c r="C751" s="138" t="s">
        <v>6072</v>
      </c>
      <c r="D751" s="138" t="n">
        <v>614.7145</v>
      </c>
      <c r="E751" s="138" t="n">
        <v>614.72</v>
      </c>
      <c r="F751" s="138" t="s">
        <v>60</v>
      </c>
      <c r="G751" s="138" t="n">
        <v>3</v>
      </c>
      <c r="H751" s="138" t="s">
        <v>176</v>
      </c>
    </row>
    <row r="752" customFormat="false" ht="15" hidden="false" customHeight="false" outlineLevel="0" collapsed="false">
      <c r="A752" s="138" t="s">
        <v>6058</v>
      </c>
      <c r="B752" s="138" t="s">
        <v>6073</v>
      </c>
      <c r="C752" s="138" t="s">
        <v>6074</v>
      </c>
      <c r="D752" s="138" t="n">
        <v>615.0735</v>
      </c>
      <c r="E752" s="138" t="n">
        <v>615.0785</v>
      </c>
      <c r="F752" s="138" t="s">
        <v>60</v>
      </c>
      <c r="G752" s="138" t="n">
        <v>3</v>
      </c>
      <c r="H752" s="138" t="s">
        <v>176</v>
      </c>
    </row>
    <row r="753" customFormat="false" ht="15" hidden="false" customHeight="false" outlineLevel="0" collapsed="false">
      <c r="A753" s="138" t="s">
        <v>6058</v>
      </c>
      <c r="B753" s="138" t="s">
        <v>6075</v>
      </c>
      <c r="C753" s="138" t="s">
        <v>6076</v>
      </c>
      <c r="D753" s="138" t="n">
        <v>615.7605</v>
      </c>
      <c r="E753" s="138" t="n">
        <v>615.765</v>
      </c>
      <c r="F753" s="138" t="s">
        <v>60</v>
      </c>
      <c r="G753" s="138" t="n">
        <v>3</v>
      </c>
      <c r="H753" s="138" t="s">
        <v>176</v>
      </c>
    </row>
    <row r="754" customFormat="false" ht="15" hidden="false" customHeight="false" outlineLevel="0" collapsed="false">
      <c r="A754" s="138" t="s">
        <v>6058</v>
      </c>
      <c r="B754" s="138" t="s">
        <v>2288</v>
      </c>
      <c r="C754" s="138" t="s">
        <v>2288</v>
      </c>
      <c r="D754" s="138" t="n">
        <v>616</v>
      </c>
      <c r="E754" s="138" t="n">
        <v>616.0005</v>
      </c>
      <c r="F754" s="138" t="s">
        <v>60</v>
      </c>
      <c r="G754" s="138" t="n">
        <v>3</v>
      </c>
      <c r="H754" s="138" t="s">
        <v>176</v>
      </c>
    </row>
    <row r="755" customFormat="false" ht="15" hidden="false" customHeight="false" outlineLevel="0" collapsed="false">
      <c r="A755" s="138" t="s">
        <v>6058</v>
      </c>
      <c r="B755" s="138" t="s">
        <v>6077</v>
      </c>
      <c r="C755" s="138" t="s">
        <v>6077</v>
      </c>
      <c r="D755" s="138" t="n">
        <v>617.215</v>
      </c>
      <c r="E755" s="138" t="n">
        <v>617.2155</v>
      </c>
      <c r="F755" s="138" t="s">
        <v>59</v>
      </c>
      <c r="G755" s="138" t="n">
        <v>2</v>
      </c>
      <c r="H755" s="138" t="s">
        <v>176</v>
      </c>
    </row>
    <row r="756" customFormat="false" ht="15" hidden="false" customHeight="false" outlineLevel="0" collapsed="false">
      <c r="A756" s="138" t="s">
        <v>6058</v>
      </c>
      <c r="B756" s="138" t="s">
        <v>6027</v>
      </c>
      <c r="C756" s="138" t="s">
        <v>6078</v>
      </c>
      <c r="D756" s="138" t="n">
        <v>617.67</v>
      </c>
      <c r="E756" s="138" t="n">
        <v>617.6715</v>
      </c>
      <c r="F756" s="138" t="s">
        <v>59</v>
      </c>
      <c r="G756" s="138" t="n">
        <v>2</v>
      </c>
      <c r="H756" s="138" t="s">
        <v>176</v>
      </c>
    </row>
    <row r="757" customFormat="false" ht="15" hidden="false" customHeight="false" outlineLevel="0" collapsed="false">
      <c r="A757" s="138" t="s">
        <v>6058</v>
      </c>
      <c r="B757" s="138" t="s">
        <v>6079</v>
      </c>
      <c r="C757" s="138" t="s">
        <v>6080</v>
      </c>
      <c r="D757" s="138" t="n">
        <v>618.9495</v>
      </c>
      <c r="E757" s="138" t="n">
        <v>618.955</v>
      </c>
      <c r="F757" s="138" t="s">
        <v>60</v>
      </c>
      <c r="G757" s="138" t="n">
        <v>3</v>
      </c>
      <c r="H757" s="138" t="s">
        <v>176</v>
      </c>
    </row>
    <row r="758" customFormat="false" ht="15" hidden="false" customHeight="false" outlineLevel="0" collapsed="false">
      <c r="A758" s="138" t="s">
        <v>6058</v>
      </c>
      <c r="B758" s="138" t="s">
        <v>6081</v>
      </c>
      <c r="C758" s="138" t="s">
        <v>6082</v>
      </c>
      <c r="D758" s="138" t="n">
        <v>619.2345</v>
      </c>
      <c r="E758" s="138" t="n">
        <v>619.2385</v>
      </c>
      <c r="F758" s="138" t="s">
        <v>60</v>
      </c>
      <c r="G758" s="138" t="n">
        <v>3</v>
      </c>
      <c r="H758" s="138" t="s">
        <v>176</v>
      </c>
    </row>
    <row r="759" customFormat="false" ht="15" hidden="false" customHeight="false" outlineLevel="0" collapsed="false">
      <c r="A759" s="138" t="s">
        <v>6058</v>
      </c>
      <c r="B759" s="138" t="s">
        <v>6083</v>
      </c>
      <c r="C759" s="138" t="s">
        <v>6084</v>
      </c>
      <c r="D759" s="138" t="n">
        <v>619.503</v>
      </c>
      <c r="E759" s="138" t="n">
        <v>619.505</v>
      </c>
      <c r="F759" s="138" t="s">
        <v>60</v>
      </c>
      <c r="G759" s="138" t="n">
        <v>3</v>
      </c>
      <c r="H759" s="138" t="s">
        <v>176</v>
      </c>
    </row>
    <row r="760" customFormat="false" ht="15" hidden="false" customHeight="false" outlineLevel="0" collapsed="false">
      <c r="A760" s="138" t="s">
        <v>6058</v>
      </c>
      <c r="B760" s="138" t="s">
        <v>6085</v>
      </c>
      <c r="C760" s="138" t="s">
        <v>6086</v>
      </c>
      <c r="D760" s="138" t="n">
        <v>619.731</v>
      </c>
      <c r="E760" s="138" t="n">
        <v>619.735</v>
      </c>
      <c r="F760" s="138" t="s">
        <v>60</v>
      </c>
      <c r="G760" s="138" t="n">
        <v>3</v>
      </c>
      <c r="H760" s="138" t="s">
        <v>176</v>
      </c>
    </row>
    <row r="761" customFormat="false" ht="15" hidden="false" customHeight="false" outlineLevel="0" collapsed="false">
      <c r="A761" s="138" t="s">
        <v>6058</v>
      </c>
      <c r="B761" s="138" t="s">
        <v>6087</v>
      </c>
      <c r="C761" s="138" t="s">
        <v>6088</v>
      </c>
      <c r="D761" s="138" t="n">
        <v>620.606</v>
      </c>
      <c r="E761" s="138" t="n">
        <v>620.615</v>
      </c>
      <c r="F761" s="138" t="s">
        <v>59</v>
      </c>
      <c r="G761" s="138" t="n">
        <v>2</v>
      </c>
      <c r="H761" s="138" t="s">
        <v>176</v>
      </c>
    </row>
    <row r="762" customFormat="false" ht="15" hidden="false" customHeight="false" outlineLevel="0" collapsed="false">
      <c r="A762" s="138" t="s">
        <v>6058</v>
      </c>
      <c r="B762" s="138" t="s">
        <v>6089</v>
      </c>
      <c r="C762" s="138" t="s">
        <v>6090</v>
      </c>
      <c r="D762" s="138" t="n">
        <v>621.1625</v>
      </c>
      <c r="E762" s="138" t="n">
        <v>621.173</v>
      </c>
      <c r="F762" s="138" t="s">
        <v>59</v>
      </c>
      <c r="G762" s="138" t="n">
        <v>2</v>
      </c>
      <c r="H762" s="138" t="s">
        <v>176</v>
      </c>
    </row>
    <row r="763" customFormat="false" ht="15" hidden="false" customHeight="false" outlineLevel="0" collapsed="false">
      <c r="A763" s="138" t="s">
        <v>6058</v>
      </c>
      <c r="B763" s="138" t="s">
        <v>6091</v>
      </c>
      <c r="C763" s="138" t="s">
        <v>6092</v>
      </c>
      <c r="D763" s="138" t="n">
        <v>621.215</v>
      </c>
      <c r="E763" s="138" t="n">
        <v>621.2165</v>
      </c>
      <c r="F763" s="138" t="s">
        <v>60</v>
      </c>
      <c r="G763" s="138" t="n">
        <v>3</v>
      </c>
      <c r="H763" s="138" t="s">
        <v>176</v>
      </c>
    </row>
    <row r="764" customFormat="false" ht="15" hidden="false" customHeight="false" outlineLevel="0" collapsed="false">
      <c r="A764" s="138" t="s">
        <v>6058</v>
      </c>
      <c r="B764" s="138" t="s">
        <v>6093</v>
      </c>
      <c r="C764" s="138" t="s">
        <v>6094</v>
      </c>
      <c r="D764" s="138" t="n">
        <v>621.572</v>
      </c>
      <c r="E764" s="138" t="n">
        <v>621.575</v>
      </c>
      <c r="F764" s="138" t="s">
        <v>60</v>
      </c>
      <c r="G764" s="138" t="n">
        <v>3</v>
      </c>
      <c r="H764" s="138" t="s">
        <v>176</v>
      </c>
    </row>
    <row r="765" customFormat="false" ht="15" hidden="false" customHeight="false" outlineLevel="0" collapsed="false">
      <c r="A765" s="138" t="s">
        <v>6058</v>
      </c>
      <c r="B765" s="138" t="s">
        <v>6095</v>
      </c>
      <c r="C765" s="138" t="s">
        <v>6096</v>
      </c>
      <c r="D765" s="138" t="n">
        <v>628.739</v>
      </c>
      <c r="E765" s="138" t="n">
        <v>628.745</v>
      </c>
      <c r="F765" s="138" t="s">
        <v>60</v>
      </c>
      <c r="G765" s="138" t="n">
        <v>3</v>
      </c>
      <c r="H765" s="138" t="s">
        <v>176</v>
      </c>
    </row>
    <row r="766" customFormat="false" ht="15" hidden="false" customHeight="false" outlineLevel="0" collapsed="false">
      <c r="A766" s="138" t="s">
        <v>6058</v>
      </c>
      <c r="B766" s="138" t="s">
        <v>6097</v>
      </c>
      <c r="C766" s="138" t="s">
        <v>6098</v>
      </c>
      <c r="D766" s="138" t="n">
        <v>628.97</v>
      </c>
      <c r="E766" s="138" t="n">
        <v>628.9715</v>
      </c>
      <c r="F766" s="138" t="s">
        <v>60</v>
      </c>
      <c r="G766" s="138" t="n">
        <v>3</v>
      </c>
      <c r="H766" s="138" t="s">
        <v>176</v>
      </c>
    </row>
    <row r="767" customFormat="false" ht="15" hidden="false" customHeight="false" outlineLevel="0" collapsed="false">
      <c r="A767" s="138" t="s">
        <v>6058</v>
      </c>
      <c r="B767" s="138" t="s">
        <v>6099</v>
      </c>
      <c r="C767" s="138" t="s">
        <v>6100</v>
      </c>
      <c r="D767" s="138" t="n">
        <v>629.548</v>
      </c>
      <c r="E767" s="138" t="n">
        <v>629.55</v>
      </c>
      <c r="F767" s="138" t="s">
        <v>59</v>
      </c>
      <c r="G767" s="138" t="n">
        <v>2</v>
      </c>
      <c r="H767" s="138" t="s">
        <v>176</v>
      </c>
    </row>
    <row r="768" customFormat="false" ht="15" hidden="false" customHeight="false" outlineLevel="0" collapsed="false">
      <c r="A768" s="138" t="s">
        <v>6058</v>
      </c>
      <c r="B768" s="138" t="s">
        <v>6101</v>
      </c>
      <c r="C768" s="138" t="s">
        <v>6102</v>
      </c>
      <c r="D768" s="138" t="n">
        <v>629.767</v>
      </c>
      <c r="E768" s="138" t="n">
        <v>629.77</v>
      </c>
      <c r="F768" s="138" t="s">
        <v>59</v>
      </c>
      <c r="G768" s="138" t="n">
        <v>2</v>
      </c>
      <c r="H768" s="138" t="s">
        <v>176</v>
      </c>
    </row>
    <row r="769" customFormat="false" ht="15" hidden="false" customHeight="false" outlineLevel="0" collapsed="false">
      <c r="A769" s="138" t="s">
        <v>6058</v>
      </c>
      <c r="B769" s="138" t="s">
        <v>6103</v>
      </c>
      <c r="C769" s="138" t="s">
        <v>6104</v>
      </c>
      <c r="D769" s="138" t="n">
        <v>630.431</v>
      </c>
      <c r="E769" s="138" t="n">
        <v>630.437</v>
      </c>
      <c r="F769" s="138" t="s">
        <v>60</v>
      </c>
      <c r="G769" s="138" t="n">
        <v>3</v>
      </c>
      <c r="H769" s="138" t="s">
        <v>176</v>
      </c>
    </row>
    <row r="770" customFormat="false" ht="15" hidden="false" customHeight="false" outlineLevel="0" collapsed="false">
      <c r="A770" s="138" t="s">
        <v>6058</v>
      </c>
      <c r="B770" s="138" t="s">
        <v>6105</v>
      </c>
      <c r="C770" s="138" t="s">
        <v>6106</v>
      </c>
      <c r="D770" s="138" t="n">
        <v>630.73</v>
      </c>
      <c r="E770" s="138" t="n">
        <v>630.7315</v>
      </c>
      <c r="F770" s="138" t="s">
        <v>60</v>
      </c>
      <c r="G770" s="138" t="n">
        <v>3</v>
      </c>
      <c r="H770" s="138" t="s">
        <v>176</v>
      </c>
    </row>
    <row r="771" customFormat="false" ht="15" hidden="false" customHeight="false" outlineLevel="0" collapsed="false">
      <c r="A771" s="138" t="s">
        <v>6058</v>
      </c>
      <c r="B771" s="138" t="s">
        <v>6107</v>
      </c>
      <c r="C771" s="138" t="s">
        <v>6108</v>
      </c>
      <c r="D771" s="138" t="n">
        <v>631.657</v>
      </c>
      <c r="E771" s="138" t="n">
        <v>631.66</v>
      </c>
      <c r="F771" s="138" t="s">
        <v>59</v>
      </c>
      <c r="G771" s="138" t="n">
        <v>2</v>
      </c>
      <c r="H771" s="138" t="s">
        <v>176</v>
      </c>
    </row>
    <row r="772" customFormat="false" ht="15" hidden="false" customHeight="false" outlineLevel="0" collapsed="false">
      <c r="A772" s="138" t="s">
        <v>6058</v>
      </c>
      <c r="B772" s="138" t="s">
        <v>6109</v>
      </c>
      <c r="C772" s="138" t="s">
        <v>6110</v>
      </c>
      <c r="D772" s="138" t="n">
        <v>631.965</v>
      </c>
      <c r="E772" s="138" t="n">
        <v>631.9665</v>
      </c>
      <c r="F772" s="138" t="s">
        <v>59</v>
      </c>
      <c r="G772" s="138" t="n">
        <v>2</v>
      </c>
      <c r="H772" s="138" t="s">
        <v>176</v>
      </c>
    </row>
    <row r="773" customFormat="false" ht="15" hidden="false" customHeight="false" outlineLevel="0" collapsed="false">
      <c r="A773" s="138" t="s">
        <v>6058</v>
      </c>
      <c r="B773" s="138" t="s">
        <v>6111</v>
      </c>
      <c r="C773" s="138" t="s">
        <v>6112</v>
      </c>
      <c r="D773" s="138" t="n">
        <v>632.421</v>
      </c>
      <c r="E773" s="138" t="n">
        <v>632.4255</v>
      </c>
      <c r="F773" s="138" t="s">
        <v>59</v>
      </c>
      <c r="G773" s="138" t="n">
        <v>2</v>
      </c>
      <c r="H773" s="138" t="s">
        <v>176</v>
      </c>
    </row>
    <row r="774" customFormat="false" ht="15" hidden="false" customHeight="false" outlineLevel="0" collapsed="false">
      <c r="A774" s="138" t="s">
        <v>6058</v>
      </c>
      <c r="B774" s="138" t="s">
        <v>6113</v>
      </c>
      <c r="C774" s="138" t="s">
        <v>6114</v>
      </c>
      <c r="D774" s="138" t="n">
        <v>632.6685</v>
      </c>
      <c r="E774" s="138" t="n">
        <v>632.675</v>
      </c>
      <c r="F774" s="138" t="s">
        <v>59</v>
      </c>
      <c r="G774" s="138" t="n">
        <v>2</v>
      </c>
      <c r="H774" s="138" t="s">
        <v>176</v>
      </c>
    </row>
    <row r="775" customFormat="false" ht="15" hidden="false" customHeight="false" outlineLevel="0" collapsed="false">
      <c r="A775" s="138" t="s">
        <v>6115</v>
      </c>
      <c r="B775" s="138" t="s">
        <v>6116</v>
      </c>
      <c r="C775" s="138" t="s">
        <v>6116</v>
      </c>
      <c r="D775" s="138" t="n">
        <v>622.561</v>
      </c>
      <c r="E775" s="138" t="n">
        <v>622.5615</v>
      </c>
      <c r="F775" s="138" t="s">
        <v>60</v>
      </c>
      <c r="G775" s="138" t="n">
        <v>1</v>
      </c>
      <c r="H775" s="138" t="s">
        <v>80</v>
      </c>
    </row>
    <row r="776" customFormat="false" ht="15" hidden="false" customHeight="false" outlineLevel="0" collapsed="false">
      <c r="A776" s="138" t="s">
        <v>6115</v>
      </c>
      <c r="B776" s="138" t="s">
        <v>6117</v>
      </c>
      <c r="C776" s="138" t="s">
        <v>6117</v>
      </c>
      <c r="D776" s="138" t="n">
        <v>623.146</v>
      </c>
      <c r="E776" s="138" t="n">
        <v>623.1465</v>
      </c>
      <c r="F776" s="138" t="s">
        <v>60</v>
      </c>
      <c r="G776" s="138" t="n">
        <v>1</v>
      </c>
      <c r="H776" s="138" t="s">
        <v>80</v>
      </c>
    </row>
    <row r="777" customFormat="false" ht="15" hidden="false" customHeight="false" outlineLevel="0" collapsed="false">
      <c r="A777" s="138" t="s">
        <v>6115</v>
      </c>
      <c r="B777" s="138" t="s">
        <v>2314</v>
      </c>
      <c r="C777" s="138" t="s">
        <v>2314</v>
      </c>
      <c r="D777" s="138" t="n">
        <v>639</v>
      </c>
      <c r="E777" s="138" t="n">
        <v>639.0005</v>
      </c>
      <c r="F777" s="138" t="s">
        <v>60</v>
      </c>
      <c r="G777" s="138" t="n">
        <v>1</v>
      </c>
      <c r="H777" s="138" t="s">
        <v>80</v>
      </c>
    </row>
    <row r="778" customFormat="false" ht="15" hidden="false" customHeight="false" outlineLevel="0" collapsed="false">
      <c r="A778" s="138" t="s">
        <v>6115</v>
      </c>
      <c r="B778" s="138" t="s">
        <v>6118</v>
      </c>
      <c r="C778" s="138" t="s">
        <v>6118</v>
      </c>
      <c r="D778" s="138" t="n">
        <v>639.3785</v>
      </c>
      <c r="E778" s="138" t="n">
        <v>639.379</v>
      </c>
      <c r="F778" s="138" t="s">
        <v>60</v>
      </c>
      <c r="G778" s="138" t="n">
        <v>1</v>
      </c>
      <c r="H778" s="138" t="s">
        <v>80</v>
      </c>
    </row>
    <row r="779" customFormat="false" ht="15" hidden="false" customHeight="false" outlineLevel="0" collapsed="false">
      <c r="A779" s="138" t="s">
        <v>6119</v>
      </c>
      <c r="B779" s="138" t="s">
        <v>6120</v>
      </c>
      <c r="C779" s="138" t="s">
        <v>6120</v>
      </c>
      <c r="D779" s="138" t="n">
        <v>632.6805</v>
      </c>
      <c r="E779" s="138" t="n">
        <v>632.681</v>
      </c>
      <c r="F779" s="138" t="s">
        <v>60</v>
      </c>
      <c r="G779" s="138" t="n">
        <v>1</v>
      </c>
      <c r="H779" s="138" t="s">
        <v>80</v>
      </c>
    </row>
    <row r="780" customFormat="false" ht="15" hidden="false" customHeight="false" outlineLevel="0" collapsed="false">
      <c r="A780" s="138" t="s">
        <v>6119</v>
      </c>
      <c r="B780" s="138" t="s">
        <v>6121</v>
      </c>
      <c r="C780" s="138" t="s">
        <v>6121</v>
      </c>
      <c r="D780" s="138" t="n">
        <v>633.0495</v>
      </c>
      <c r="E780" s="138" t="n">
        <v>633.05</v>
      </c>
      <c r="F780" s="138" t="s">
        <v>60</v>
      </c>
      <c r="G780" s="138" t="n">
        <v>1</v>
      </c>
      <c r="H780" s="138" t="s">
        <v>80</v>
      </c>
    </row>
    <row r="781" customFormat="false" ht="15" hidden="false" customHeight="false" outlineLevel="0" collapsed="false">
      <c r="A781" s="138" t="s">
        <v>6119</v>
      </c>
      <c r="B781" s="138" t="s">
        <v>6122</v>
      </c>
      <c r="C781" s="138" t="s">
        <v>6122</v>
      </c>
      <c r="D781" s="138" t="n">
        <v>634.154</v>
      </c>
      <c r="E781" s="138" t="n">
        <v>634.1545</v>
      </c>
      <c r="F781" s="138" t="s">
        <v>60</v>
      </c>
      <c r="G781" s="138" t="n">
        <v>1</v>
      </c>
      <c r="H781" s="138" t="s">
        <v>80</v>
      </c>
    </row>
    <row r="782" customFormat="false" ht="15" hidden="false" customHeight="false" outlineLevel="0" collapsed="false">
      <c r="A782" s="138" t="s">
        <v>6119</v>
      </c>
      <c r="B782" s="138" t="s">
        <v>6123</v>
      </c>
      <c r="C782" s="138" t="s">
        <v>6123</v>
      </c>
      <c r="D782" s="138" t="n">
        <v>634.527</v>
      </c>
      <c r="E782" s="138" t="n">
        <v>634.5275</v>
      </c>
      <c r="F782" s="138" t="s">
        <v>60</v>
      </c>
      <c r="G782" s="138" t="n">
        <v>1</v>
      </c>
      <c r="H782" s="138" t="s">
        <v>80</v>
      </c>
    </row>
    <row r="783" customFormat="false" ht="15" hidden="false" customHeight="false" outlineLevel="0" collapsed="false">
      <c r="A783" s="138" t="s">
        <v>6119</v>
      </c>
      <c r="B783" s="138" t="s">
        <v>6124</v>
      </c>
      <c r="C783" s="138" t="s">
        <v>6124</v>
      </c>
      <c r="D783" s="138" t="n">
        <v>634.709</v>
      </c>
      <c r="E783" s="138" t="n">
        <v>634.7095</v>
      </c>
      <c r="F783" s="138" t="s">
        <v>59</v>
      </c>
      <c r="G783" s="138" t="n">
        <v>1</v>
      </c>
      <c r="H783" s="138" t="s">
        <v>80</v>
      </c>
    </row>
    <row r="784" customFormat="false" ht="15" hidden="false" customHeight="false" outlineLevel="0" collapsed="false">
      <c r="A784" s="138" t="s">
        <v>6119</v>
      </c>
      <c r="B784" s="138" t="s">
        <v>6125</v>
      </c>
      <c r="C784" s="138" t="s">
        <v>6125</v>
      </c>
      <c r="D784" s="138" t="n">
        <v>635.388</v>
      </c>
      <c r="E784" s="138" t="n">
        <v>635.3885</v>
      </c>
      <c r="F784" s="138" t="s">
        <v>59</v>
      </c>
      <c r="G784" s="138" t="n">
        <v>1</v>
      </c>
      <c r="H784" s="138" t="s">
        <v>80</v>
      </c>
    </row>
    <row r="785" customFormat="false" ht="15" hidden="false" customHeight="false" outlineLevel="0" collapsed="false">
      <c r="A785" s="138" t="s">
        <v>6126</v>
      </c>
      <c r="B785" s="138" t="s">
        <v>5874</v>
      </c>
      <c r="C785" s="138" t="s">
        <v>6127</v>
      </c>
      <c r="D785" s="138" t="n">
        <v>50.0975</v>
      </c>
      <c r="E785" s="138" t="n">
        <v>65.865</v>
      </c>
      <c r="F785" s="138" t="s">
        <v>59</v>
      </c>
      <c r="G785" s="138" t="n">
        <v>328.82</v>
      </c>
      <c r="H785" s="138" t="s">
        <v>176</v>
      </c>
    </row>
    <row r="786" customFormat="false" ht="15" hidden="false" customHeight="false" outlineLevel="0" collapsed="false">
      <c r="A786" s="138" t="s">
        <v>6126</v>
      </c>
      <c r="B786" s="138" t="s">
        <v>6128</v>
      </c>
      <c r="C786" s="138" t="s">
        <v>6129</v>
      </c>
      <c r="D786" s="138" t="n">
        <v>154.148</v>
      </c>
      <c r="E786" s="138" t="n">
        <v>159.4545</v>
      </c>
      <c r="F786" s="138" t="s">
        <v>60</v>
      </c>
      <c r="G786" s="138" t="n">
        <v>125.53</v>
      </c>
      <c r="H786" s="138" t="s">
        <v>176</v>
      </c>
    </row>
    <row r="787" customFormat="false" ht="15" hidden="false" customHeight="false" outlineLevel="0" collapsed="false">
      <c r="A787" s="138" t="s">
        <v>6126</v>
      </c>
      <c r="B787" s="138" t="s">
        <v>6130</v>
      </c>
      <c r="C787" s="138" t="s">
        <v>6131</v>
      </c>
      <c r="D787" s="138" t="n">
        <v>156.42</v>
      </c>
      <c r="E787" s="138" t="n">
        <v>158.85</v>
      </c>
      <c r="F787" s="138" t="s">
        <v>59</v>
      </c>
      <c r="G787" s="138" t="n">
        <v>53.76</v>
      </c>
      <c r="H787" s="138" t="s">
        <v>176</v>
      </c>
    </row>
    <row r="788" customFormat="false" ht="15" hidden="false" customHeight="false" outlineLevel="0" collapsed="false">
      <c r="A788" s="138" t="s">
        <v>6126</v>
      </c>
      <c r="B788" s="138" t="s">
        <v>6132</v>
      </c>
      <c r="C788" s="138" t="s">
        <v>6133</v>
      </c>
      <c r="D788" s="138" t="n">
        <v>161.9745</v>
      </c>
      <c r="E788" s="138" t="n">
        <v>162.464</v>
      </c>
      <c r="F788" s="138" t="s">
        <v>59</v>
      </c>
      <c r="G788" s="138" t="n">
        <v>9.87</v>
      </c>
      <c r="H788" s="138" t="s">
        <v>176</v>
      </c>
    </row>
    <row r="789" customFormat="false" ht="15" hidden="false" customHeight="false" outlineLevel="0" collapsed="false">
      <c r="A789" s="138" t="s">
        <v>6126</v>
      </c>
      <c r="B789" s="138" t="s">
        <v>6134</v>
      </c>
      <c r="C789" s="138" t="s">
        <v>6135</v>
      </c>
      <c r="D789" s="138" t="n">
        <v>169.2045</v>
      </c>
      <c r="E789" s="138" t="n">
        <v>169.55</v>
      </c>
      <c r="F789" s="138" t="s">
        <v>60</v>
      </c>
      <c r="G789" s="138" t="n">
        <v>19.05</v>
      </c>
      <c r="H789" s="138" t="s">
        <v>176</v>
      </c>
    </row>
    <row r="790" customFormat="false" ht="15" hidden="false" customHeight="false" outlineLevel="0" collapsed="false">
      <c r="A790" s="138" t="s">
        <v>6126</v>
      </c>
      <c r="B790" s="138" t="s">
        <v>6136</v>
      </c>
      <c r="C790" s="138" t="s">
        <v>6137</v>
      </c>
      <c r="D790" s="138" t="n">
        <v>206.1245</v>
      </c>
      <c r="E790" s="138" t="n">
        <v>225.87</v>
      </c>
      <c r="F790" s="138" t="s">
        <v>60</v>
      </c>
      <c r="G790" s="138" t="n">
        <v>411.85</v>
      </c>
      <c r="H790" s="138" t="s">
        <v>176</v>
      </c>
    </row>
    <row r="791" customFormat="false" ht="15" hidden="false" customHeight="false" outlineLevel="0" collapsed="false">
      <c r="A791" s="138" t="s">
        <v>6126</v>
      </c>
      <c r="B791" s="138" t="s">
        <v>6138</v>
      </c>
      <c r="C791" s="138" t="s">
        <v>6139</v>
      </c>
      <c r="D791" s="138" t="n">
        <v>209.6465</v>
      </c>
      <c r="E791" s="138" t="n">
        <v>209.915</v>
      </c>
      <c r="F791" s="138" t="s">
        <v>60</v>
      </c>
      <c r="G791" s="138" t="n">
        <v>6.78</v>
      </c>
      <c r="H791" s="138" t="s">
        <v>176</v>
      </c>
    </row>
    <row r="792" customFormat="false" ht="15" hidden="false" customHeight="false" outlineLevel="0" collapsed="false">
      <c r="A792" s="138" t="s">
        <v>6126</v>
      </c>
      <c r="B792" s="138" t="s">
        <v>6140</v>
      </c>
      <c r="C792" s="138" t="s">
        <v>6141</v>
      </c>
      <c r="D792" s="138" t="n">
        <v>229.942</v>
      </c>
      <c r="E792" s="138" t="n">
        <v>235.026</v>
      </c>
      <c r="F792" s="138" t="s">
        <v>60</v>
      </c>
      <c r="G792" s="138" t="n">
        <v>103.08</v>
      </c>
      <c r="H792" s="138" t="s">
        <v>176</v>
      </c>
    </row>
    <row r="793" customFormat="false" ht="15" hidden="false" customHeight="false" outlineLevel="0" collapsed="false">
      <c r="A793" s="138" t="s">
        <v>6126</v>
      </c>
      <c r="B793" s="138" t="s">
        <v>6142</v>
      </c>
      <c r="C793" s="138" t="s">
        <v>1909</v>
      </c>
      <c r="D793" s="138" t="n">
        <v>236.477</v>
      </c>
      <c r="E793" s="138" t="n">
        <v>256</v>
      </c>
      <c r="F793" s="138" t="s">
        <v>59</v>
      </c>
      <c r="G793" s="138" t="n">
        <v>391.23</v>
      </c>
      <c r="H793" s="138" t="s">
        <v>176</v>
      </c>
    </row>
    <row r="794" customFormat="false" ht="15" hidden="false" customHeight="false" outlineLevel="0" collapsed="false">
      <c r="A794" s="138" t="s">
        <v>6126</v>
      </c>
      <c r="B794" s="138" t="s">
        <v>6143</v>
      </c>
      <c r="C794" s="138" t="s">
        <v>1912</v>
      </c>
      <c r="D794" s="138" t="n">
        <v>237.4035</v>
      </c>
      <c r="E794" s="138" t="n">
        <v>259</v>
      </c>
      <c r="F794" s="138" t="s">
        <v>60</v>
      </c>
      <c r="G794" s="138" t="n">
        <v>434.75</v>
      </c>
      <c r="H794" s="138" t="s">
        <v>176</v>
      </c>
    </row>
    <row r="795" customFormat="false" ht="15" hidden="false" customHeight="false" outlineLevel="0" collapsed="false">
      <c r="A795" s="138" t="s">
        <v>6126</v>
      </c>
      <c r="B795" s="138" t="s">
        <v>6144</v>
      </c>
      <c r="C795" s="138" t="s">
        <v>1909</v>
      </c>
      <c r="D795" s="138" t="n">
        <v>254.955</v>
      </c>
      <c r="E795" s="138" t="n">
        <v>256</v>
      </c>
      <c r="F795" s="138" t="s">
        <v>59</v>
      </c>
      <c r="G795" s="138" t="n">
        <v>20.66</v>
      </c>
      <c r="H795" s="138" t="s">
        <v>176</v>
      </c>
    </row>
    <row r="796" customFormat="false" ht="15" hidden="false" customHeight="false" outlineLevel="0" collapsed="false">
      <c r="A796" s="138" t="s">
        <v>6126</v>
      </c>
      <c r="B796" s="138" t="s">
        <v>6145</v>
      </c>
      <c r="C796" s="138" t="s">
        <v>6146</v>
      </c>
      <c r="D796" s="138" t="n">
        <v>256.288</v>
      </c>
      <c r="E796" s="138" t="n">
        <v>258.52</v>
      </c>
      <c r="F796" s="138" t="s">
        <v>59</v>
      </c>
      <c r="G796" s="138" t="n">
        <v>45.02</v>
      </c>
      <c r="H796" s="138" t="s">
        <v>176</v>
      </c>
    </row>
    <row r="797" customFormat="false" ht="15" hidden="false" customHeight="false" outlineLevel="0" collapsed="false">
      <c r="A797" s="138" t="s">
        <v>6126</v>
      </c>
      <c r="B797" s="138" t="s">
        <v>6147</v>
      </c>
      <c r="C797" s="138" t="s">
        <v>1912</v>
      </c>
      <c r="D797" s="138" t="n">
        <v>258.925</v>
      </c>
      <c r="E797" s="138" t="n">
        <v>259</v>
      </c>
      <c r="F797" s="138" t="s">
        <v>59</v>
      </c>
      <c r="G797" s="138" t="n">
        <v>7.61</v>
      </c>
      <c r="H797" s="138" t="s">
        <v>176</v>
      </c>
    </row>
    <row r="798" customFormat="false" ht="15" hidden="false" customHeight="false" outlineLevel="0" collapsed="false">
      <c r="A798" s="138" t="s">
        <v>6126</v>
      </c>
      <c r="B798" s="138" t="s">
        <v>6148</v>
      </c>
      <c r="C798" s="138" t="s">
        <v>6149</v>
      </c>
      <c r="D798" s="138" t="n">
        <v>259.027</v>
      </c>
      <c r="E798" s="138" t="n">
        <v>259.169</v>
      </c>
      <c r="F798" s="138" t="s">
        <v>59</v>
      </c>
      <c r="G798" s="138" t="n">
        <v>18.53</v>
      </c>
      <c r="H798" s="138" t="s">
        <v>176</v>
      </c>
    </row>
    <row r="799" customFormat="false" ht="15" hidden="false" customHeight="false" outlineLevel="0" collapsed="false">
      <c r="A799" s="138" t="s">
        <v>6126</v>
      </c>
      <c r="B799" s="138" t="s">
        <v>5891</v>
      </c>
      <c r="C799" s="138" t="s">
        <v>6150</v>
      </c>
      <c r="D799" s="138" t="n">
        <v>259.519</v>
      </c>
      <c r="E799" s="138" t="n">
        <v>322.443</v>
      </c>
      <c r="F799" s="138" t="s">
        <v>59</v>
      </c>
      <c r="G799" s="138" t="n">
        <v>1282.18</v>
      </c>
      <c r="H799" s="138" t="s">
        <v>176</v>
      </c>
    </row>
    <row r="800" customFormat="false" ht="15" hidden="false" customHeight="false" outlineLevel="0" collapsed="false">
      <c r="A800" s="138" t="s">
        <v>6126</v>
      </c>
      <c r="B800" s="138" t="s">
        <v>6151</v>
      </c>
      <c r="C800" s="138" t="s">
        <v>6152</v>
      </c>
      <c r="D800" s="138" t="n">
        <v>260.7195</v>
      </c>
      <c r="E800" s="138" t="n">
        <v>299.367</v>
      </c>
      <c r="F800" s="138" t="s">
        <v>60</v>
      </c>
      <c r="G800" s="138" t="n">
        <v>786.05</v>
      </c>
      <c r="H800" s="138" t="s">
        <v>176</v>
      </c>
    </row>
    <row r="801" customFormat="false" ht="15" hidden="false" customHeight="false" outlineLevel="0" collapsed="false">
      <c r="A801" s="138" t="s">
        <v>6126</v>
      </c>
      <c r="B801" s="138" t="s">
        <v>6153</v>
      </c>
      <c r="C801" s="138" t="s">
        <v>6154</v>
      </c>
      <c r="D801" s="138" t="n">
        <v>272.635</v>
      </c>
      <c r="E801" s="138" t="n">
        <v>272.74</v>
      </c>
      <c r="F801" s="138" t="s">
        <v>59</v>
      </c>
      <c r="G801" s="138" t="n">
        <v>7.43</v>
      </c>
      <c r="H801" s="138" t="s">
        <v>176</v>
      </c>
    </row>
    <row r="802" customFormat="false" ht="15" hidden="false" customHeight="false" outlineLevel="0" collapsed="false">
      <c r="A802" s="138" t="s">
        <v>6126</v>
      </c>
      <c r="B802" s="138" t="s">
        <v>5895</v>
      </c>
      <c r="C802" s="138" t="s">
        <v>6155</v>
      </c>
      <c r="D802" s="138" t="n">
        <v>312.3395</v>
      </c>
      <c r="E802" s="138" t="n">
        <v>316.4075</v>
      </c>
      <c r="F802" s="138" t="s">
        <v>60</v>
      </c>
      <c r="G802" s="138" t="n">
        <v>93.53</v>
      </c>
      <c r="H802" s="138" t="s">
        <v>176</v>
      </c>
    </row>
    <row r="803" customFormat="false" ht="15" hidden="false" customHeight="false" outlineLevel="0" collapsed="false">
      <c r="A803" s="138" t="s">
        <v>6126</v>
      </c>
      <c r="B803" s="138" t="s">
        <v>5897</v>
      </c>
      <c r="C803" s="138" t="s">
        <v>6156</v>
      </c>
      <c r="D803" s="138" t="n">
        <v>316.6</v>
      </c>
      <c r="E803" s="138" t="n">
        <v>323.2435</v>
      </c>
      <c r="F803" s="138" t="s">
        <v>60</v>
      </c>
      <c r="G803" s="138" t="n">
        <v>178.63</v>
      </c>
      <c r="H803" s="138" t="s">
        <v>176</v>
      </c>
    </row>
    <row r="804" customFormat="false" ht="15" hidden="false" customHeight="false" outlineLevel="0" collapsed="false">
      <c r="A804" s="138" t="s">
        <v>6126</v>
      </c>
      <c r="B804" s="138" t="s">
        <v>5892</v>
      </c>
      <c r="C804" s="138" t="s">
        <v>6157</v>
      </c>
      <c r="D804" s="138" t="n">
        <v>323.606</v>
      </c>
      <c r="E804" s="138" t="n">
        <v>324.3375</v>
      </c>
      <c r="F804" s="138" t="s">
        <v>59</v>
      </c>
      <c r="G804" s="138" t="n">
        <v>15.69</v>
      </c>
      <c r="H804" s="138" t="s">
        <v>176</v>
      </c>
    </row>
    <row r="805" customFormat="false" ht="15" hidden="false" customHeight="false" outlineLevel="0" collapsed="false">
      <c r="A805" s="138" t="s">
        <v>6126</v>
      </c>
      <c r="B805" s="138" t="s">
        <v>6158</v>
      </c>
      <c r="C805" s="138" t="s">
        <v>6159</v>
      </c>
      <c r="D805" s="138" t="n">
        <v>324.4635</v>
      </c>
      <c r="E805" s="138" t="n">
        <v>326.4465</v>
      </c>
      <c r="F805" s="138" t="s">
        <v>59</v>
      </c>
      <c r="G805" s="138" t="n">
        <v>63.44</v>
      </c>
      <c r="H805" s="138" t="s">
        <v>176</v>
      </c>
    </row>
    <row r="806" customFormat="false" ht="15" hidden="false" customHeight="false" outlineLevel="0" collapsed="false">
      <c r="A806" s="138" t="s">
        <v>6126</v>
      </c>
      <c r="B806" s="138" t="s">
        <v>6160</v>
      </c>
      <c r="C806" s="138" t="s">
        <v>6161</v>
      </c>
      <c r="D806" s="138" t="n">
        <v>434.3555</v>
      </c>
      <c r="E806" s="138" t="n">
        <v>438.4135</v>
      </c>
      <c r="F806" s="138" t="s">
        <v>59</v>
      </c>
      <c r="G806" s="138" t="n">
        <v>81.27</v>
      </c>
      <c r="H806" s="138" t="s">
        <v>176</v>
      </c>
    </row>
    <row r="807" customFormat="false" ht="15" hidden="false" customHeight="false" outlineLevel="0" collapsed="false">
      <c r="A807" s="138" t="s">
        <v>6126</v>
      </c>
      <c r="B807" s="138" t="s">
        <v>6162</v>
      </c>
      <c r="C807" s="138" t="s">
        <v>6163</v>
      </c>
      <c r="D807" s="138" t="n">
        <v>437.045</v>
      </c>
      <c r="E807" s="138" t="n">
        <v>437.54</v>
      </c>
      <c r="F807" s="138" t="s">
        <v>59</v>
      </c>
      <c r="G807" s="138" t="n">
        <v>22.34</v>
      </c>
      <c r="H807" s="138" t="s">
        <v>176</v>
      </c>
    </row>
    <row r="808" customFormat="false" ht="15" hidden="false" customHeight="false" outlineLevel="0" collapsed="false">
      <c r="A808" s="138" t="s">
        <v>6126</v>
      </c>
      <c r="B808" s="138" t="s">
        <v>6164</v>
      </c>
      <c r="C808" s="138" t="s">
        <v>6165</v>
      </c>
      <c r="D808" s="138" t="n">
        <v>438.7505</v>
      </c>
      <c r="E808" s="138" t="n">
        <v>463.0725</v>
      </c>
      <c r="F808" s="138" t="s">
        <v>59</v>
      </c>
      <c r="G808" s="138" t="n">
        <v>507.52</v>
      </c>
      <c r="H808" s="138" t="s">
        <v>176</v>
      </c>
    </row>
    <row r="809" customFormat="false" ht="15" hidden="false" customHeight="false" outlineLevel="0" collapsed="false">
      <c r="A809" s="138" t="s">
        <v>6126</v>
      </c>
      <c r="B809" s="138" t="s">
        <v>6166</v>
      </c>
      <c r="C809" s="138" t="s">
        <v>6167</v>
      </c>
      <c r="D809" s="138" t="n">
        <v>441.678</v>
      </c>
      <c r="E809" s="138" t="n">
        <v>441.875</v>
      </c>
      <c r="F809" s="138" t="s">
        <v>59</v>
      </c>
      <c r="G809" s="138" t="n">
        <v>14.33</v>
      </c>
      <c r="H809" s="138" t="s">
        <v>176</v>
      </c>
    </row>
    <row r="810" customFormat="false" ht="15" hidden="false" customHeight="false" outlineLevel="0" collapsed="false">
      <c r="A810" s="138" t="s">
        <v>6126</v>
      </c>
      <c r="B810" s="138" t="s">
        <v>6168</v>
      </c>
      <c r="C810" s="138" t="s">
        <v>6169</v>
      </c>
      <c r="D810" s="138" t="n">
        <v>454.528</v>
      </c>
      <c r="E810" s="138" t="n">
        <v>454.68</v>
      </c>
      <c r="F810" s="138" t="s">
        <v>60</v>
      </c>
      <c r="G810" s="138" t="n">
        <v>3.59</v>
      </c>
      <c r="H810" s="138" t="s">
        <v>176</v>
      </c>
    </row>
    <row r="811" customFormat="false" ht="15" hidden="false" customHeight="false" outlineLevel="0" collapsed="false">
      <c r="A811" s="138" t="s">
        <v>6126</v>
      </c>
      <c r="B811" s="138" t="s">
        <v>6170</v>
      </c>
      <c r="C811" s="138" t="s">
        <v>6171</v>
      </c>
      <c r="D811" s="138" t="n">
        <v>454.9585</v>
      </c>
      <c r="E811" s="138" t="n">
        <v>454.965</v>
      </c>
      <c r="F811" s="138" t="s">
        <v>60</v>
      </c>
      <c r="G811" s="138" t="n">
        <v>1.48</v>
      </c>
      <c r="H811" s="138" t="s">
        <v>176</v>
      </c>
    </row>
    <row r="812" customFormat="false" ht="15" hidden="false" customHeight="false" outlineLevel="0" collapsed="false">
      <c r="A812" s="138" t="s">
        <v>6126</v>
      </c>
      <c r="B812" s="138" t="s">
        <v>6172</v>
      </c>
      <c r="C812" s="138" t="s">
        <v>6173</v>
      </c>
      <c r="D812" s="138" t="n">
        <v>457.1705</v>
      </c>
      <c r="E812" s="138" t="n">
        <v>457.615</v>
      </c>
      <c r="F812" s="138" t="s">
        <v>59</v>
      </c>
      <c r="G812" s="138" t="n">
        <v>24.94</v>
      </c>
      <c r="H812" s="138" t="s">
        <v>176</v>
      </c>
    </row>
    <row r="813" customFormat="false" ht="15" hidden="false" customHeight="false" outlineLevel="0" collapsed="false">
      <c r="A813" s="138" t="s">
        <v>6126</v>
      </c>
      <c r="B813" s="138" t="s">
        <v>6174</v>
      </c>
      <c r="C813" s="138" t="s">
        <v>6175</v>
      </c>
      <c r="D813" s="138" t="n">
        <v>459.7985</v>
      </c>
      <c r="E813" s="138" t="n">
        <v>465.81</v>
      </c>
      <c r="F813" s="138" t="s">
        <v>60</v>
      </c>
      <c r="G813" s="138" t="n">
        <v>163.84</v>
      </c>
      <c r="H813" s="138" t="s">
        <v>176</v>
      </c>
    </row>
    <row r="814" customFormat="false" ht="15" hidden="false" customHeight="false" outlineLevel="0" collapsed="false">
      <c r="A814" s="138" t="s">
        <v>6126</v>
      </c>
      <c r="B814" s="138" t="s">
        <v>6176</v>
      </c>
      <c r="C814" s="138" t="s">
        <v>6177</v>
      </c>
      <c r="D814" s="138" t="n">
        <v>464.218</v>
      </c>
      <c r="E814" s="138" t="n">
        <v>473.565</v>
      </c>
      <c r="F814" s="138" t="s">
        <v>59</v>
      </c>
      <c r="G814" s="138" t="n">
        <v>193.99</v>
      </c>
      <c r="H814" s="138" t="s">
        <v>176</v>
      </c>
    </row>
    <row r="815" customFormat="false" ht="15" hidden="false" customHeight="false" outlineLevel="0" collapsed="false">
      <c r="A815" s="138" t="s">
        <v>6126</v>
      </c>
      <c r="B815" s="138" t="s">
        <v>6178</v>
      </c>
      <c r="C815" s="138" t="s">
        <v>6179</v>
      </c>
      <c r="D815" s="138" t="n">
        <v>466.129</v>
      </c>
      <c r="E815" s="138" t="n">
        <v>466.615</v>
      </c>
      <c r="F815" s="138" t="s">
        <v>60</v>
      </c>
      <c r="G815" s="138" t="n">
        <v>30.77</v>
      </c>
      <c r="H815" s="138" t="s">
        <v>176</v>
      </c>
    </row>
    <row r="816" customFormat="false" ht="15" hidden="false" customHeight="false" outlineLevel="0" collapsed="false">
      <c r="A816" s="138" t="s">
        <v>6126</v>
      </c>
      <c r="B816" s="138" t="s">
        <v>6180</v>
      </c>
      <c r="C816" s="138" t="s">
        <v>6181</v>
      </c>
      <c r="D816" s="138" t="n">
        <v>484.6895</v>
      </c>
      <c r="E816" s="138" t="n">
        <v>494.645</v>
      </c>
      <c r="F816" s="138" t="s">
        <v>60</v>
      </c>
      <c r="G816" s="138" t="n">
        <v>209.44</v>
      </c>
      <c r="H816" s="138" t="s">
        <v>176</v>
      </c>
    </row>
    <row r="817" customFormat="false" ht="15" hidden="false" customHeight="false" outlineLevel="0" collapsed="false">
      <c r="A817" s="138" t="s">
        <v>6126</v>
      </c>
      <c r="B817" s="138" t="s">
        <v>6182</v>
      </c>
      <c r="C817" s="138" t="s">
        <v>6183</v>
      </c>
      <c r="D817" s="138" t="n">
        <v>495.8735</v>
      </c>
      <c r="E817" s="138" t="n">
        <v>498.164</v>
      </c>
      <c r="F817" s="138" t="s">
        <v>60</v>
      </c>
      <c r="G817" s="138" t="n">
        <v>47.93</v>
      </c>
      <c r="H817" s="138" t="s">
        <v>176</v>
      </c>
    </row>
    <row r="818" customFormat="false" ht="15" hidden="false" customHeight="false" outlineLevel="0" collapsed="false">
      <c r="A818" s="138" t="s">
        <v>6126</v>
      </c>
      <c r="B818" s="138" t="s">
        <v>6184</v>
      </c>
      <c r="C818" s="138" t="s">
        <v>6185</v>
      </c>
      <c r="D818" s="138" t="n">
        <v>505.578</v>
      </c>
      <c r="E818" s="138" t="n">
        <v>505.735</v>
      </c>
      <c r="F818" s="138" t="s">
        <v>59</v>
      </c>
      <c r="G818" s="138" t="n">
        <v>18.61</v>
      </c>
      <c r="H818" s="138" t="s">
        <v>176</v>
      </c>
    </row>
    <row r="819" customFormat="false" ht="15" hidden="false" customHeight="false" outlineLevel="0" collapsed="false">
      <c r="A819" s="138" t="s">
        <v>6126</v>
      </c>
      <c r="B819" s="138" t="s">
        <v>6186</v>
      </c>
      <c r="C819" s="138" t="s">
        <v>6187</v>
      </c>
      <c r="D819" s="138" t="n">
        <v>505.9575</v>
      </c>
      <c r="E819" s="138" t="n">
        <v>508.8</v>
      </c>
      <c r="F819" s="138" t="s">
        <v>59</v>
      </c>
      <c r="G819" s="138" t="n">
        <v>83.97</v>
      </c>
      <c r="H819" s="138" t="s">
        <v>176</v>
      </c>
    </row>
    <row r="820" customFormat="false" ht="15" hidden="false" customHeight="false" outlineLevel="0" collapsed="false">
      <c r="A820" s="138" t="s">
        <v>6126</v>
      </c>
      <c r="B820" s="138" t="s">
        <v>6188</v>
      </c>
      <c r="C820" s="138" t="s">
        <v>6189</v>
      </c>
      <c r="D820" s="138" t="n">
        <v>582.1795</v>
      </c>
      <c r="E820" s="138" t="n">
        <v>591.202</v>
      </c>
      <c r="F820" s="138" t="s">
        <v>60</v>
      </c>
      <c r="G820" s="138" t="n">
        <v>181.47</v>
      </c>
      <c r="H820" s="138" t="s">
        <v>176</v>
      </c>
    </row>
    <row r="821" customFormat="false" ht="15" hidden="false" customHeight="false" outlineLevel="0" collapsed="false">
      <c r="A821" s="138" t="s">
        <v>6126</v>
      </c>
      <c r="B821" s="138" t="s">
        <v>6190</v>
      </c>
      <c r="C821" s="138" t="s">
        <v>6191</v>
      </c>
      <c r="D821" s="138" t="n">
        <v>593.0605</v>
      </c>
      <c r="E821" s="138" t="n">
        <v>598.945</v>
      </c>
      <c r="F821" s="138" t="s">
        <v>60</v>
      </c>
      <c r="G821" s="138" t="n">
        <v>117.56</v>
      </c>
      <c r="H821" s="138" t="s">
        <v>176</v>
      </c>
    </row>
    <row r="822" customFormat="false" ht="15" hidden="false" customHeight="false" outlineLevel="0" collapsed="false">
      <c r="A822" s="138" t="s">
        <v>6126</v>
      </c>
      <c r="B822" s="138" t="s">
        <v>2271</v>
      </c>
      <c r="C822" s="138" t="s">
        <v>3005</v>
      </c>
      <c r="D822" s="138" t="n">
        <v>599</v>
      </c>
      <c r="E822" s="138" t="n">
        <v>599.445</v>
      </c>
      <c r="F822" s="138" t="s">
        <v>60</v>
      </c>
      <c r="G822" s="138" t="n">
        <v>9.39</v>
      </c>
      <c r="H822" s="138" t="s">
        <v>176</v>
      </c>
    </row>
    <row r="823" customFormat="false" ht="15" hidden="false" customHeight="false" outlineLevel="0" collapsed="false">
      <c r="A823" s="138" t="s">
        <v>6126</v>
      </c>
      <c r="B823" s="138" t="s">
        <v>2271</v>
      </c>
      <c r="C823" s="138" t="s">
        <v>3005</v>
      </c>
      <c r="D823" s="138" t="n">
        <v>599</v>
      </c>
      <c r="E823" s="138" t="n">
        <v>599.445</v>
      </c>
      <c r="F823" s="138" t="s">
        <v>60</v>
      </c>
      <c r="G823" s="138" t="n">
        <v>9.39</v>
      </c>
      <c r="H823" s="138" t="s">
        <v>176</v>
      </c>
    </row>
    <row r="824" customFormat="false" ht="15" hidden="false" customHeight="false" outlineLevel="0" collapsed="false">
      <c r="A824" s="138" t="s">
        <v>6126</v>
      </c>
      <c r="B824" s="138" t="s">
        <v>6192</v>
      </c>
      <c r="C824" s="138" t="s">
        <v>6193</v>
      </c>
      <c r="D824" s="138" t="n">
        <v>599.433</v>
      </c>
      <c r="E824" s="138" t="n">
        <v>602.0555</v>
      </c>
      <c r="F824" s="138" t="s">
        <v>60</v>
      </c>
      <c r="G824" s="138" t="n">
        <v>52.58</v>
      </c>
      <c r="H824" s="138" t="s">
        <v>176</v>
      </c>
    </row>
    <row r="825" customFormat="false" ht="15" hidden="false" customHeight="false" outlineLevel="0" collapsed="false">
      <c r="A825" s="138" t="s">
        <v>6126</v>
      </c>
      <c r="B825" s="138" t="s">
        <v>6194</v>
      </c>
      <c r="C825" s="138" t="s">
        <v>6195</v>
      </c>
      <c r="D825" s="138" t="n">
        <v>601.7485</v>
      </c>
      <c r="E825" s="138" t="n">
        <v>601.79</v>
      </c>
      <c r="F825" s="138" t="s">
        <v>60</v>
      </c>
      <c r="G825" s="138" t="n">
        <v>4.67</v>
      </c>
      <c r="H825" s="138" t="s">
        <v>176</v>
      </c>
    </row>
    <row r="826" customFormat="false" ht="15" hidden="false" customHeight="false" outlineLevel="0" collapsed="false">
      <c r="A826" s="138" t="s">
        <v>6126</v>
      </c>
      <c r="B826" s="138" t="s">
        <v>5939</v>
      </c>
      <c r="C826" s="138" t="s">
        <v>5940</v>
      </c>
      <c r="D826" s="138" t="n">
        <v>602.3735</v>
      </c>
      <c r="E826" s="138" t="n">
        <v>608.2625</v>
      </c>
      <c r="F826" s="138" t="s">
        <v>59</v>
      </c>
      <c r="G826" s="138" t="n">
        <v>135.19</v>
      </c>
      <c r="H826" s="138" t="s">
        <v>176</v>
      </c>
    </row>
    <row r="827" customFormat="false" ht="15" hidden="false" customHeight="false" outlineLevel="0" collapsed="false">
      <c r="A827" s="138" t="s">
        <v>6126</v>
      </c>
      <c r="B827" s="138" t="s">
        <v>6196</v>
      </c>
      <c r="C827" s="138" t="s">
        <v>2277</v>
      </c>
      <c r="D827" s="138" t="n">
        <v>604.071</v>
      </c>
      <c r="E827" s="138" t="n">
        <v>605</v>
      </c>
      <c r="F827" s="138" t="s">
        <v>60</v>
      </c>
      <c r="G827" s="138" t="n">
        <v>18.49</v>
      </c>
      <c r="H827" s="138" t="s">
        <v>176</v>
      </c>
    </row>
    <row r="828" customFormat="false" ht="15" hidden="false" customHeight="false" outlineLevel="0" collapsed="false">
      <c r="A828" s="138" t="s">
        <v>6126</v>
      </c>
      <c r="B828" s="138" t="s">
        <v>6019</v>
      </c>
      <c r="C828" s="138" t="s">
        <v>6197</v>
      </c>
      <c r="D828" s="138" t="n">
        <v>604.703</v>
      </c>
      <c r="E828" s="138" t="n">
        <v>604.71</v>
      </c>
      <c r="F828" s="138" t="s">
        <v>60</v>
      </c>
      <c r="G828" s="138" t="n">
        <v>3.75</v>
      </c>
      <c r="H828" s="138" t="s">
        <v>176</v>
      </c>
    </row>
    <row r="829" customFormat="false" ht="15" hidden="false" customHeight="false" outlineLevel="0" collapsed="false">
      <c r="A829" s="138" t="s">
        <v>6126</v>
      </c>
      <c r="B829" s="138" t="s">
        <v>2277</v>
      </c>
      <c r="C829" s="138" t="s">
        <v>6198</v>
      </c>
      <c r="D829" s="138" t="n">
        <v>605</v>
      </c>
      <c r="E829" s="138" t="n">
        <v>612.198</v>
      </c>
      <c r="F829" s="138" t="s">
        <v>60</v>
      </c>
      <c r="G829" s="138" t="n">
        <v>143.88</v>
      </c>
      <c r="H829" s="138" t="s">
        <v>176</v>
      </c>
    </row>
    <row r="830" customFormat="false" ht="15" hidden="false" customHeight="false" outlineLevel="0" collapsed="false">
      <c r="A830" s="138" t="s">
        <v>6126</v>
      </c>
      <c r="B830" s="138" t="s">
        <v>2277</v>
      </c>
      <c r="C830" s="138" t="s">
        <v>2277</v>
      </c>
      <c r="D830" s="138" t="n">
        <v>605</v>
      </c>
      <c r="E830" s="138" t="n">
        <v>605.0005</v>
      </c>
      <c r="F830" s="138" t="s">
        <v>60</v>
      </c>
      <c r="G830" s="138" t="n">
        <v>6.9</v>
      </c>
      <c r="H830" s="138" t="s">
        <v>176</v>
      </c>
    </row>
    <row r="831" customFormat="false" ht="15" hidden="false" customHeight="false" outlineLevel="0" collapsed="false">
      <c r="A831" s="138" t="s">
        <v>6126</v>
      </c>
      <c r="B831" s="138" t="s">
        <v>6199</v>
      </c>
      <c r="C831" s="138" t="s">
        <v>6200</v>
      </c>
      <c r="D831" s="138" t="n">
        <v>608.6565</v>
      </c>
      <c r="E831" s="138" t="n">
        <v>609.665</v>
      </c>
      <c r="F831" s="138" t="s">
        <v>59</v>
      </c>
      <c r="G831" s="138" t="n">
        <v>22.03</v>
      </c>
      <c r="H831" s="138" t="s">
        <v>176</v>
      </c>
    </row>
    <row r="832" customFormat="false" ht="15" hidden="false" customHeight="false" outlineLevel="0" collapsed="false">
      <c r="A832" s="138" t="s">
        <v>6126</v>
      </c>
      <c r="B832" s="138" t="s">
        <v>6201</v>
      </c>
      <c r="C832" s="138" t="s">
        <v>6202</v>
      </c>
      <c r="D832" s="138" t="n">
        <v>612.1725</v>
      </c>
      <c r="E832" s="138" t="n">
        <v>613.0985</v>
      </c>
      <c r="F832" s="138" t="s">
        <v>60</v>
      </c>
      <c r="G832" s="138" t="n">
        <v>25.85</v>
      </c>
      <c r="H832" s="138" t="s">
        <v>176</v>
      </c>
    </row>
    <row r="833" customFormat="false" ht="15" hidden="false" customHeight="false" outlineLevel="0" collapsed="false">
      <c r="A833" s="138" t="s">
        <v>6126</v>
      </c>
      <c r="B833" s="138" t="s">
        <v>6203</v>
      </c>
      <c r="C833" s="138" t="s">
        <v>6204</v>
      </c>
      <c r="D833" s="138" t="n">
        <v>613.222</v>
      </c>
      <c r="E833" s="138" t="n">
        <v>613.3095</v>
      </c>
      <c r="F833" s="138" t="s">
        <v>60</v>
      </c>
      <c r="G833" s="138" t="n">
        <v>4.55</v>
      </c>
      <c r="H833" s="138" t="s">
        <v>176</v>
      </c>
    </row>
    <row r="834" customFormat="false" ht="15" hidden="false" customHeight="false" outlineLevel="0" collapsed="false">
      <c r="A834" s="138" t="s">
        <v>6126</v>
      </c>
      <c r="B834" s="138" t="s">
        <v>6205</v>
      </c>
      <c r="C834" s="138" t="s">
        <v>6206</v>
      </c>
      <c r="D834" s="138" t="n">
        <v>613.318</v>
      </c>
      <c r="E834" s="138" t="n">
        <v>614.695</v>
      </c>
      <c r="F834" s="138" t="s">
        <v>60</v>
      </c>
      <c r="G834" s="138" t="n">
        <v>27.53</v>
      </c>
      <c r="H834" s="138" t="s">
        <v>176</v>
      </c>
    </row>
    <row r="835" customFormat="false" ht="15" hidden="false" customHeight="false" outlineLevel="0" collapsed="false">
      <c r="A835" s="138" t="s">
        <v>6126</v>
      </c>
      <c r="B835" s="138" t="s">
        <v>5959</v>
      </c>
      <c r="C835" s="138" t="s">
        <v>6207</v>
      </c>
      <c r="D835" s="138" t="n">
        <v>621.0265</v>
      </c>
      <c r="E835" s="138" t="n">
        <v>627.405</v>
      </c>
      <c r="F835" s="138" t="s">
        <v>59</v>
      </c>
      <c r="G835" s="138" t="n">
        <v>137.77</v>
      </c>
      <c r="H835" s="138" t="s">
        <v>176</v>
      </c>
    </row>
    <row r="836" customFormat="false" ht="15" hidden="false" customHeight="false" outlineLevel="0" collapsed="false">
      <c r="A836" s="138" t="s">
        <v>6126</v>
      </c>
      <c r="B836" s="138" t="s">
        <v>6208</v>
      </c>
      <c r="C836" s="138" t="s">
        <v>6209</v>
      </c>
      <c r="D836" s="138" t="n">
        <v>624.4615</v>
      </c>
      <c r="E836" s="138" t="n">
        <v>624.675</v>
      </c>
      <c r="F836" s="138" t="s">
        <v>60</v>
      </c>
      <c r="G836" s="138" t="n">
        <v>10.3</v>
      </c>
      <c r="H836" s="138" t="s">
        <v>176</v>
      </c>
    </row>
    <row r="837" customFormat="false" ht="15" hidden="false" customHeight="false" outlineLevel="0" collapsed="false">
      <c r="A837" s="138" t="s">
        <v>6126</v>
      </c>
      <c r="B837" s="138" t="s">
        <v>6208</v>
      </c>
      <c r="C837" s="138" t="s">
        <v>6210</v>
      </c>
      <c r="D837" s="138" t="n">
        <v>624.4615</v>
      </c>
      <c r="E837" s="138" t="n">
        <v>626.122</v>
      </c>
      <c r="F837" s="138" t="s">
        <v>60</v>
      </c>
      <c r="G837" s="138" t="n">
        <v>39.3</v>
      </c>
      <c r="H837" s="138" t="s">
        <v>176</v>
      </c>
    </row>
    <row r="838" customFormat="false" ht="15" hidden="false" customHeight="false" outlineLevel="0" collapsed="false">
      <c r="A838" s="138" t="s">
        <v>6126</v>
      </c>
      <c r="B838" s="138" t="s">
        <v>6211</v>
      </c>
      <c r="C838" s="138" t="s">
        <v>6207</v>
      </c>
      <c r="D838" s="138" t="n">
        <v>624.9455</v>
      </c>
      <c r="E838" s="138" t="n">
        <v>627.405</v>
      </c>
      <c r="F838" s="138" t="s">
        <v>59</v>
      </c>
      <c r="G838" s="138" t="n">
        <v>56.11</v>
      </c>
      <c r="H838" s="138" t="s">
        <v>176</v>
      </c>
    </row>
    <row r="839" customFormat="false" ht="15" hidden="false" customHeight="false" outlineLevel="0" collapsed="false">
      <c r="A839" s="138" t="s">
        <v>6126</v>
      </c>
      <c r="B839" s="138" t="s">
        <v>6212</v>
      </c>
      <c r="C839" s="138" t="s">
        <v>6213</v>
      </c>
      <c r="D839" s="138" t="n">
        <v>627.45</v>
      </c>
      <c r="E839" s="138" t="n">
        <v>628.366</v>
      </c>
      <c r="F839" s="138" t="s">
        <v>60</v>
      </c>
      <c r="G839" s="138" t="n">
        <v>20.16</v>
      </c>
      <c r="H839" s="138" t="s">
        <v>176</v>
      </c>
    </row>
    <row r="840" customFormat="false" ht="15" hidden="false" customHeight="false" outlineLevel="0" collapsed="false">
      <c r="A840" s="138" t="s">
        <v>6126</v>
      </c>
      <c r="B840" s="138" t="s">
        <v>6214</v>
      </c>
      <c r="C840" s="138" t="s">
        <v>6213</v>
      </c>
      <c r="D840" s="138" t="n">
        <v>628.0665</v>
      </c>
      <c r="E840" s="138" t="n">
        <v>628.366</v>
      </c>
      <c r="F840" s="138" t="s">
        <v>59</v>
      </c>
      <c r="G840" s="138" t="n">
        <v>12.02</v>
      </c>
      <c r="H840" s="138" t="s">
        <v>176</v>
      </c>
    </row>
    <row r="841" customFormat="false" ht="15" hidden="false" customHeight="false" outlineLevel="0" collapsed="false">
      <c r="A841" s="138" t="s">
        <v>6126</v>
      </c>
      <c r="B841" s="138" t="s">
        <v>6215</v>
      </c>
      <c r="C841" s="138" t="s">
        <v>6216</v>
      </c>
      <c r="D841" s="138" t="n">
        <v>630.7075</v>
      </c>
      <c r="E841" s="138" t="n">
        <v>632.67</v>
      </c>
      <c r="F841" s="138" t="s">
        <v>60</v>
      </c>
      <c r="G841" s="138" t="n">
        <v>40.3</v>
      </c>
      <c r="H841" s="138" t="s">
        <v>176</v>
      </c>
    </row>
    <row r="842" customFormat="false" ht="15" hidden="false" customHeight="false" outlineLevel="0" collapsed="false">
      <c r="A842" s="138" t="s">
        <v>6126</v>
      </c>
      <c r="B842" s="138" t="s">
        <v>6217</v>
      </c>
      <c r="C842" s="138" t="s">
        <v>6218</v>
      </c>
      <c r="D842" s="138" t="n">
        <v>633.116</v>
      </c>
      <c r="E842" s="138" t="n">
        <v>634.135</v>
      </c>
      <c r="F842" s="138" t="s">
        <v>60</v>
      </c>
      <c r="G842" s="138" t="n">
        <v>21.12</v>
      </c>
      <c r="H842" s="138" t="s">
        <v>176</v>
      </c>
    </row>
    <row r="843" customFormat="false" ht="15" hidden="false" customHeight="false" outlineLevel="0" collapsed="false">
      <c r="A843" s="138" t="s">
        <v>6126</v>
      </c>
      <c r="B843" s="138" t="s">
        <v>5972</v>
      </c>
      <c r="C843" s="138" t="s">
        <v>6219</v>
      </c>
      <c r="D843" s="138" t="n">
        <v>634.6605</v>
      </c>
      <c r="E843" s="138" t="n">
        <v>634.715</v>
      </c>
      <c r="F843" s="138" t="s">
        <v>59</v>
      </c>
      <c r="G843" s="138" t="n">
        <v>3.61</v>
      </c>
      <c r="H843" s="138" t="s">
        <v>176</v>
      </c>
    </row>
    <row r="844" customFormat="false" ht="15" hidden="false" customHeight="false" outlineLevel="0" collapsed="false">
      <c r="A844" s="138" t="s">
        <v>6126</v>
      </c>
      <c r="B844" s="138" t="s">
        <v>6220</v>
      </c>
      <c r="C844" s="138" t="s">
        <v>6221</v>
      </c>
      <c r="D844" s="138" t="n">
        <v>635.373</v>
      </c>
      <c r="E844" s="138" t="n">
        <v>642.785</v>
      </c>
      <c r="F844" s="138" t="s">
        <v>59</v>
      </c>
      <c r="G844" s="138" t="n">
        <v>164.11</v>
      </c>
      <c r="H844" s="138" t="s">
        <v>176</v>
      </c>
    </row>
    <row r="845" customFormat="false" ht="15" hidden="false" customHeight="false" outlineLevel="0" collapsed="false">
      <c r="A845" s="138" t="s">
        <v>6126</v>
      </c>
      <c r="B845" s="138" t="s">
        <v>5974</v>
      </c>
      <c r="C845" s="138" t="s">
        <v>6222</v>
      </c>
      <c r="D845" s="138" t="n">
        <v>635.6255</v>
      </c>
      <c r="E845" s="138" t="n">
        <v>639.1725</v>
      </c>
      <c r="F845" s="138" t="s">
        <v>60</v>
      </c>
      <c r="G845" s="138" t="n">
        <v>82.42</v>
      </c>
      <c r="H845" s="138" t="s">
        <v>176</v>
      </c>
    </row>
    <row r="846" customFormat="false" ht="15" hidden="false" customHeight="false" outlineLevel="0" collapsed="false">
      <c r="A846" s="138" t="s">
        <v>6126</v>
      </c>
      <c r="B846" s="138" t="s">
        <v>6223</v>
      </c>
      <c r="C846" s="138" t="s">
        <v>6224</v>
      </c>
      <c r="D846" s="138" t="n">
        <v>639.44</v>
      </c>
      <c r="E846" s="138" t="n">
        <v>640.545</v>
      </c>
      <c r="F846" s="138" t="s">
        <v>60</v>
      </c>
      <c r="G846" s="138" t="n">
        <v>22.1</v>
      </c>
      <c r="H846" s="138" t="s">
        <v>176</v>
      </c>
    </row>
    <row r="847" customFormat="false" ht="15" hidden="false" customHeight="false" outlineLevel="0" collapsed="false">
      <c r="A847" s="138" t="s">
        <v>6126</v>
      </c>
      <c r="B847" s="138" t="s">
        <v>6225</v>
      </c>
      <c r="C847" s="138" t="s">
        <v>4952</v>
      </c>
      <c r="D847" s="138" t="n">
        <v>641.567</v>
      </c>
      <c r="E847" s="138" t="n">
        <v>642.79</v>
      </c>
      <c r="F847" s="138" t="s">
        <v>60</v>
      </c>
      <c r="G847" s="138" t="n">
        <v>31.66</v>
      </c>
      <c r="H847" s="138" t="s">
        <v>176</v>
      </c>
    </row>
    <row r="848" customFormat="false" ht="15" hidden="false" customHeight="false" outlineLevel="0" collapsed="false">
      <c r="A848" s="138" t="s">
        <v>6226</v>
      </c>
      <c r="B848" s="138" t="s">
        <v>6227</v>
      </c>
      <c r="C848" s="138" t="s">
        <v>6228</v>
      </c>
      <c r="D848" s="138" t="n">
        <v>621.233</v>
      </c>
      <c r="E848" s="138" t="n">
        <v>621.4085</v>
      </c>
      <c r="F848" s="138" t="s">
        <v>60</v>
      </c>
      <c r="G848" s="138" t="n">
        <v>1</v>
      </c>
      <c r="H848" s="138" t="s">
        <v>77</v>
      </c>
    </row>
    <row r="849" customFormat="false" ht="15" hidden="false" customHeight="false" outlineLevel="0" collapsed="false">
      <c r="A849" s="138" t="s">
        <v>6226</v>
      </c>
      <c r="B849" s="138" t="s">
        <v>6057</v>
      </c>
      <c r="C849" s="138" t="s">
        <v>3116</v>
      </c>
      <c r="D849" s="138" t="n">
        <v>629.5765</v>
      </c>
      <c r="E849" s="138" t="n">
        <v>629.745</v>
      </c>
      <c r="F849" s="138" t="s">
        <v>59</v>
      </c>
      <c r="G849" s="138" t="n">
        <v>1</v>
      </c>
      <c r="H849" s="138" t="s">
        <v>77</v>
      </c>
    </row>
    <row r="850" customFormat="false" ht="15" hidden="false" customHeight="false" outlineLevel="0" collapsed="false">
      <c r="A850" s="138" t="s">
        <v>6226</v>
      </c>
      <c r="B850" s="138" t="s">
        <v>6038</v>
      </c>
      <c r="C850" s="138" t="s">
        <v>6041</v>
      </c>
      <c r="D850" s="138" t="n">
        <v>631.668</v>
      </c>
      <c r="E850" s="138" t="n">
        <v>631.9555</v>
      </c>
      <c r="F850" s="138" t="s">
        <v>59</v>
      </c>
      <c r="G850" s="138" t="n">
        <v>2</v>
      </c>
      <c r="H850" s="138" t="s">
        <v>77</v>
      </c>
    </row>
    <row r="851" customFormat="false" ht="15" hidden="false" customHeight="false" outlineLevel="0" collapsed="false">
      <c r="A851" s="138" t="s">
        <v>6229</v>
      </c>
      <c r="B851" s="138" t="s">
        <v>6230</v>
      </c>
      <c r="C851" s="138" t="s">
        <v>6230</v>
      </c>
      <c r="D851" s="138" t="n">
        <v>127.5285</v>
      </c>
      <c r="E851" s="138" t="n">
        <v>127.529</v>
      </c>
      <c r="F851" s="138" t="s">
        <v>59</v>
      </c>
      <c r="G851" s="138" t="n">
        <v>1</v>
      </c>
      <c r="H851" s="138" t="s">
        <v>80</v>
      </c>
    </row>
    <row r="852" customFormat="false" ht="15" hidden="false" customHeight="false" outlineLevel="0" collapsed="false">
      <c r="A852" s="138" t="s">
        <v>6229</v>
      </c>
      <c r="B852" s="138" t="s">
        <v>6231</v>
      </c>
      <c r="C852" s="138" t="s">
        <v>6231</v>
      </c>
      <c r="D852" s="138" t="n">
        <v>141.4105</v>
      </c>
      <c r="E852" s="138" t="n">
        <v>141.411</v>
      </c>
      <c r="F852" s="138" t="s">
        <v>59</v>
      </c>
      <c r="G852" s="138" t="n">
        <v>1</v>
      </c>
      <c r="H852" s="138" t="s">
        <v>80</v>
      </c>
    </row>
    <row r="853" customFormat="false" ht="15" hidden="false" customHeight="false" outlineLevel="0" collapsed="false">
      <c r="A853" s="138" t="s">
        <v>6229</v>
      </c>
      <c r="B853" s="138" t="s">
        <v>6232</v>
      </c>
      <c r="C853" s="138" t="s">
        <v>6232</v>
      </c>
      <c r="D853" s="138" t="n">
        <v>193.4945</v>
      </c>
      <c r="E853" s="138" t="n">
        <v>193.495</v>
      </c>
      <c r="F853" s="138" t="s">
        <v>60</v>
      </c>
      <c r="G853" s="138" t="n">
        <v>1</v>
      </c>
      <c r="H853" s="138" t="s">
        <v>80</v>
      </c>
    </row>
    <row r="854" customFormat="false" ht="15" hidden="false" customHeight="false" outlineLevel="0" collapsed="false">
      <c r="A854" s="138" t="s">
        <v>6233</v>
      </c>
      <c r="B854" s="138" t="s">
        <v>6234</v>
      </c>
      <c r="C854" s="138" t="s">
        <v>6235</v>
      </c>
      <c r="D854" s="138" t="n">
        <v>157.345</v>
      </c>
      <c r="E854" s="138" t="n">
        <v>159.835</v>
      </c>
      <c r="F854" s="138" t="s">
        <v>60</v>
      </c>
      <c r="G854" s="138" t="n">
        <v>50</v>
      </c>
      <c r="H854" s="138" t="s">
        <v>176</v>
      </c>
    </row>
    <row r="855" customFormat="false" ht="15" hidden="false" customHeight="false" outlineLevel="0" collapsed="false">
      <c r="A855" s="138" t="s">
        <v>6233</v>
      </c>
      <c r="B855" s="138" t="s">
        <v>6236</v>
      </c>
      <c r="C855" s="138" t="s">
        <v>6237</v>
      </c>
      <c r="D855" s="138" t="n">
        <v>158.245</v>
      </c>
      <c r="E855" s="138" t="n">
        <v>160.75</v>
      </c>
      <c r="F855" s="138" t="s">
        <v>59</v>
      </c>
      <c r="G855" s="138" t="n">
        <v>50</v>
      </c>
      <c r="H855" s="138" t="s">
        <v>176</v>
      </c>
    </row>
    <row r="856" customFormat="false" ht="15" hidden="false" customHeight="false" outlineLevel="0" collapsed="false">
      <c r="A856" s="138" t="s">
        <v>6233</v>
      </c>
      <c r="B856" s="138" t="s">
        <v>6238</v>
      </c>
      <c r="C856" s="138" t="s">
        <v>6239</v>
      </c>
      <c r="D856" s="138" t="n">
        <v>161.785</v>
      </c>
      <c r="E856" s="138" t="n">
        <v>164.25</v>
      </c>
      <c r="F856" s="138" t="s">
        <v>59</v>
      </c>
      <c r="G856" s="138" t="n">
        <v>50</v>
      </c>
      <c r="H856" s="138" t="s">
        <v>176</v>
      </c>
    </row>
    <row r="857" customFormat="false" ht="15" hidden="false" customHeight="false" outlineLevel="0" collapsed="false">
      <c r="A857" s="138" t="s">
        <v>6233</v>
      </c>
      <c r="B857" s="138" t="s">
        <v>6238</v>
      </c>
      <c r="C857" s="138" t="s">
        <v>6240</v>
      </c>
      <c r="D857" s="138" t="n">
        <v>161.785</v>
      </c>
      <c r="E857" s="138" t="n">
        <v>164.31</v>
      </c>
      <c r="F857" s="138" t="s">
        <v>60</v>
      </c>
      <c r="G857" s="138" t="n">
        <v>50</v>
      </c>
      <c r="H857" s="138" t="s">
        <v>176</v>
      </c>
    </row>
    <row r="858" customFormat="false" ht="15" hidden="false" customHeight="false" outlineLevel="0" collapsed="false">
      <c r="A858" s="138" t="s">
        <v>6233</v>
      </c>
      <c r="B858" s="138" t="s">
        <v>6241</v>
      </c>
      <c r="C858" s="138" t="s">
        <v>6242</v>
      </c>
      <c r="D858" s="138" t="n">
        <v>232.245</v>
      </c>
      <c r="E858" s="138" t="n">
        <v>234.745</v>
      </c>
      <c r="F858" s="138" t="s">
        <v>59</v>
      </c>
      <c r="G858" s="138" t="n">
        <v>50</v>
      </c>
      <c r="H858" s="138" t="s">
        <v>176</v>
      </c>
    </row>
    <row r="859" customFormat="false" ht="15" hidden="false" customHeight="false" outlineLevel="0" collapsed="false">
      <c r="A859" s="138" t="s">
        <v>6233</v>
      </c>
      <c r="B859" s="138" t="s">
        <v>6243</v>
      </c>
      <c r="C859" s="138" t="s">
        <v>1887</v>
      </c>
      <c r="D859" s="138" t="n">
        <v>232.51</v>
      </c>
      <c r="E859" s="138" t="n">
        <v>235</v>
      </c>
      <c r="F859" s="138" t="s">
        <v>60</v>
      </c>
      <c r="G859" s="138" t="n">
        <v>50</v>
      </c>
      <c r="H859" s="138" t="s">
        <v>176</v>
      </c>
    </row>
    <row r="860" customFormat="false" ht="15" hidden="false" customHeight="false" outlineLevel="0" collapsed="false">
      <c r="A860" s="138" t="s">
        <v>6233</v>
      </c>
      <c r="B860" s="138" t="s">
        <v>6244</v>
      </c>
      <c r="C860" s="138" t="s">
        <v>6245</v>
      </c>
      <c r="D860" s="138" t="n">
        <v>236.91</v>
      </c>
      <c r="E860" s="138" t="n">
        <v>239.405</v>
      </c>
      <c r="F860" s="138" t="s">
        <v>59</v>
      </c>
      <c r="G860" s="138" t="n">
        <v>50</v>
      </c>
      <c r="H860" s="138" t="s">
        <v>176</v>
      </c>
    </row>
    <row r="861" customFormat="false" ht="15" hidden="false" customHeight="false" outlineLevel="0" collapsed="false">
      <c r="A861" s="138" t="s">
        <v>6233</v>
      </c>
      <c r="B861" s="138" t="s">
        <v>6246</v>
      </c>
      <c r="C861" s="138" t="s">
        <v>6247</v>
      </c>
      <c r="D861" s="138" t="n">
        <v>237.08</v>
      </c>
      <c r="E861" s="138" t="n">
        <v>239.58</v>
      </c>
      <c r="F861" s="138" t="s">
        <v>60</v>
      </c>
      <c r="G861" s="138" t="n">
        <v>50</v>
      </c>
      <c r="H861" s="138" t="s">
        <v>176</v>
      </c>
    </row>
    <row r="862" customFormat="false" ht="15" hidden="false" customHeight="false" outlineLevel="0" collapsed="false">
      <c r="A862" s="138" t="s">
        <v>6233</v>
      </c>
      <c r="B862" s="138" t="s">
        <v>6248</v>
      </c>
      <c r="C862" s="138" t="s">
        <v>6249</v>
      </c>
      <c r="D862" s="138" t="n">
        <v>427.44</v>
      </c>
      <c r="E862" s="138" t="n">
        <v>429.935</v>
      </c>
      <c r="F862" s="138" t="s">
        <v>60</v>
      </c>
      <c r="G862" s="138" t="n">
        <v>50</v>
      </c>
      <c r="H862" s="138" t="s">
        <v>176</v>
      </c>
    </row>
    <row r="863" customFormat="false" ht="15" hidden="false" customHeight="false" outlineLevel="0" collapsed="false">
      <c r="A863" s="138" t="s">
        <v>6233</v>
      </c>
      <c r="B863" s="138" t="s">
        <v>6250</v>
      </c>
      <c r="C863" s="138" t="s">
        <v>6251</v>
      </c>
      <c r="D863" s="138" t="n">
        <v>427.605</v>
      </c>
      <c r="E863" s="138" t="n">
        <v>430.1</v>
      </c>
      <c r="F863" s="138" t="s">
        <v>59</v>
      </c>
      <c r="G863" s="138" t="n">
        <v>50</v>
      </c>
      <c r="H863" s="138" t="s">
        <v>176</v>
      </c>
    </row>
    <row r="864" customFormat="false" ht="15" hidden="false" customHeight="false" outlineLevel="0" collapsed="false">
      <c r="A864" s="138" t="s">
        <v>6233</v>
      </c>
      <c r="B864" s="138" t="s">
        <v>6252</v>
      </c>
      <c r="C864" s="138" t="s">
        <v>6253</v>
      </c>
      <c r="D864" s="138" t="n">
        <v>431.045</v>
      </c>
      <c r="E864" s="138" t="n">
        <v>432.66</v>
      </c>
      <c r="F864" s="138" t="s">
        <v>59</v>
      </c>
      <c r="G864" s="138" t="n">
        <v>32</v>
      </c>
      <c r="H864" s="138" t="s">
        <v>176</v>
      </c>
    </row>
    <row r="865" customFormat="false" ht="15" hidden="false" customHeight="false" outlineLevel="0" collapsed="false">
      <c r="A865" s="138" t="s">
        <v>6233</v>
      </c>
      <c r="B865" s="138" t="s">
        <v>6254</v>
      </c>
      <c r="C865" s="138" t="s">
        <v>6255</v>
      </c>
      <c r="D865" s="138" t="n">
        <v>431.05</v>
      </c>
      <c r="E865" s="138" t="n">
        <v>433.915</v>
      </c>
      <c r="F865" s="138" t="s">
        <v>60</v>
      </c>
      <c r="G865" s="138" t="n">
        <v>58</v>
      </c>
      <c r="H865" s="138" t="s">
        <v>176</v>
      </c>
    </row>
    <row r="866" customFormat="false" ht="15" hidden="false" customHeight="false" outlineLevel="0" collapsed="false">
      <c r="A866" s="138" t="s">
        <v>6233</v>
      </c>
      <c r="B866" s="138" t="s">
        <v>6256</v>
      </c>
      <c r="C866" s="138" t="s">
        <v>6257</v>
      </c>
      <c r="D866" s="138" t="n">
        <v>433.16</v>
      </c>
      <c r="E866" s="138" t="n">
        <v>434.605</v>
      </c>
      <c r="F866" s="138" t="s">
        <v>59</v>
      </c>
      <c r="G866" s="138" t="n">
        <v>40</v>
      </c>
      <c r="H866" s="138" t="s">
        <v>176</v>
      </c>
    </row>
    <row r="867" customFormat="false" ht="15" hidden="false" customHeight="false" outlineLevel="0" collapsed="false">
      <c r="A867" s="138" t="s">
        <v>6233</v>
      </c>
      <c r="B867" s="138" t="s">
        <v>6258</v>
      </c>
      <c r="C867" s="138" t="s">
        <v>6259</v>
      </c>
      <c r="D867" s="138" t="n">
        <v>434.46</v>
      </c>
      <c r="E867" s="138" t="n">
        <v>436.735</v>
      </c>
      <c r="F867" s="138" t="s">
        <v>60</v>
      </c>
      <c r="G867" s="138" t="n">
        <v>50</v>
      </c>
      <c r="H867" s="138" t="s">
        <v>176</v>
      </c>
    </row>
    <row r="868" customFormat="false" ht="15" hidden="false" customHeight="false" outlineLevel="0" collapsed="false">
      <c r="A868" s="138" t="s">
        <v>6260</v>
      </c>
      <c r="B868" s="138" t="s">
        <v>6261</v>
      </c>
      <c r="C868" s="138" t="s">
        <v>6262</v>
      </c>
      <c r="D868" s="138" t="n">
        <v>38.07</v>
      </c>
      <c r="E868" s="138" t="n">
        <v>41.955</v>
      </c>
      <c r="F868" s="138" t="s">
        <v>59</v>
      </c>
      <c r="G868" s="138" t="n">
        <v>83.5</v>
      </c>
      <c r="H868" s="138" t="s">
        <v>176</v>
      </c>
    </row>
    <row r="869" customFormat="false" ht="15" hidden="false" customHeight="false" outlineLevel="0" collapsed="false">
      <c r="A869" s="138" t="s">
        <v>6260</v>
      </c>
      <c r="B869" s="138" t="s">
        <v>6263</v>
      </c>
      <c r="C869" s="138" t="s">
        <v>6264</v>
      </c>
      <c r="D869" s="138" t="n">
        <v>38.2635</v>
      </c>
      <c r="E869" s="138" t="n">
        <v>40.815</v>
      </c>
      <c r="F869" s="138" t="s">
        <v>60</v>
      </c>
      <c r="G869" s="138" t="n">
        <v>85.5</v>
      </c>
      <c r="H869" s="138" t="s">
        <v>176</v>
      </c>
    </row>
    <row r="870" customFormat="false" ht="15" hidden="false" customHeight="false" outlineLevel="0" collapsed="false">
      <c r="A870" s="138" t="s">
        <v>6260</v>
      </c>
      <c r="B870" s="138" t="s">
        <v>6265</v>
      </c>
      <c r="C870" s="138" t="s">
        <v>6266</v>
      </c>
      <c r="D870" s="138" t="n">
        <v>62.704</v>
      </c>
      <c r="E870" s="138" t="n">
        <v>67.1315</v>
      </c>
      <c r="F870" s="138" t="s">
        <v>59</v>
      </c>
      <c r="G870" s="138" t="n">
        <v>89.5</v>
      </c>
      <c r="H870" s="138" t="s">
        <v>176</v>
      </c>
    </row>
    <row r="871" customFormat="false" ht="15" hidden="false" customHeight="false" outlineLevel="0" collapsed="false">
      <c r="A871" s="138" t="s">
        <v>6260</v>
      </c>
      <c r="B871" s="138" t="s">
        <v>6267</v>
      </c>
      <c r="C871" s="138" t="s">
        <v>6268</v>
      </c>
      <c r="D871" s="138" t="n">
        <v>63.285</v>
      </c>
      <c r="E871" s="138" t="n">
        <v>67.377</v>
      </c>
      <c r="F871" s="138" t="s">
        <v>60</v>
      </c>
      <c r="G871" s="138" t="n">
        <v>83</v>
      </c>
      <c r="H871" s="138" t="s">
        <v>176</v>
      </c>
    </row>
    <row r="872" customFormat="false" ht="15" hidden="false" customHeight="false" outlineLevel="0" collapsed="false">
      <c r="A872" s="138" t="s">
        <v>6260</v>
      </c>
      <c r="B872" s="138" t="s">
        <v>6269</v>
      </c>
      <c r="C872" s="138" t="s">
        <v>6270</v>
      </c>
      <c r="D872" s="138" t="n">
        <v>108.7055</v>
      </c>
      <c r="E872" s="138" t="n">
        <v>117.745</v>
      </c>
      <c r="F872" s="138" t="s">
        <v>59</v>
      </c>
      <c r="G872" s="138" t="n">
        <v>181</v>
      </c>
      <c r="H872" s="138" t="s">
        <v>176</v>
      </c>
    </row>
    <row r="873" customFormat="false" ht="15" hidden="false" customHeight="false" outlineLevel="0" collapsed="false">
      <c r="A873" s="138" t="s">
        <v>6260</v>
      </c>
      <c r="B873" s="138" t="s">
        <v>6271</v>
      </c>
      <c r="C873" s="138" t="s">
        <v>6272</v>
      </c>
      <c r="D873" s="138" t="n">
        <v>109.6805</v>
      </c>
      <c r="E873" s="138" t="n">
        <v>113.925</v>
      </c>
      <c r="F873" s="138" t="s">
        <v>60</v>
      </c>
      <c r="G873" s="138" t="n">
        <v>85.5</v>
      </c>
      <c r="H873" s="138" t="s">
        <v>176</v>
      </c>
    </row>
    <row r="874" customFormat="false" ht="15" hidden="false" customHeight="false" outlineLevel="0" collapsed="false">
      <c r="A874" s="138" t="s">
        <v>6260</v>
      </c>
      <c r="B874" s="138" t="s">
        <v>6273</v>
      </c>
      <c r="C874" s="138" t="s">
        <v>2537</v>
      </c>
      <c r="D874" s="138" t="n">
        <v>123.389</v>
      </c>
      <c r="E874" s="138" t="n">
        <v>128.55</v>
      </c>
      <c r="F874" s="138" t="s">
        <v>59</v>
      </c>
      <c r="G874" s="138" t="n">
        <v>104</v>
      </c>
      <c r="H874" s="138" t="s">
        <v>176</v>
      </c>
    </row>
    <row r="875" customFormat="false" ht="15" hidden="false" customHeight="false" outlineLevel="0" collapsed="false">
      <c r="A875" s="138" t="s">
        <v>6260</v>
      </c>
      <c r="B875" s="138" t="s">
        <v>6274</v>
      </c>
      <c r="C875" s="138" t="s">
        <v>6275</v>
      </c>
      <c r="D875" s="138" t="n">
        <v>123.7845</v>
      </c>
      <c r="E875" s="138" t="n">
        <v>126.83</v>
      </c>
      <c r="F875" s="138" t="s">
        <v>60</v>
      </c>
      <c r="G875" s="138" t="n">
        <v>61</v>
      </c>
      <c r="H875" s="138" t="s">
        <v>176</v>
      </c>
    </row>
    <row r="876" customFormat="false" ht="15" hidden="false" customHeight="false" outlineLevel="0" collapsed="false">
      <c r="A876" s="138" t="s">
        <v>6260</v>
      </c>
      <c r="B876" s="138" t="s">
        <v>6276</v>
      </c>
      <c r="C876" s="138" t="s">
        <v>6277</v>
      </c>
      <c r="D876" s="138" t="n">
        <v>135.805</v>
      </c>
      <c r="E876" s="138" t="n">
        <v>140.695</v>
      </c>
      <c r="F876" s="138" t="s">
        <v>59</v>
      </c>
      <c r="G876" s="138" t="n">
        <v>98.5</v>
      </c>
      <c r="H876" s="138" t="s">
        <v>176</v>
      </c>
    </row>
    <row r="877" customFormat="false" ht="15" hidden="false" customHeight="false" outlineLevel="0" collapsed="false">
      <c r="A877" s="138" t="s">
        <v>6260</v>
      </c>
      <c r="B877" s="138" t="s">
        <v>6278</v>
      </c>
      <c r="C877" s="138" t="s">
        <v>1789</v>
      </c>
      <c r="D877" s="138" t="n">
        <v>136.9745</v>
      </c>
      <c r="E877" s="138" t="n">
        <v>140</v>
      </c>
      <c r="F877" s="138" t="s">
        <v>60</v>
      </c>
      <c r="G877" s="138" t="n">
        <v>61</v>
      </c>
      <c r="H877" s="138" t="s">
        <v>176</v>
      </c>
    </row>
    <row r="878" customFormat="false" ht="15" hidden="false" customHeight="false" outlineLevel="0" collapsed="false">
      <c r="A878" s="138" t="s">
        <v>6260</v>
      </c>
      <c r="B878" s="138" t="s">
        <v>6279</v>
      </c>
      <c r="C878" s="138" t="s">
        <v>6280</v>
      </c>
      <c r="D878" s="138" t="n">
        <v>155.277</v>
      </c>
      <c r="E878" s="138" t="n">
        <v>163.3985</v>
      </c>
      <c r="F878" s="138" t="s">
        <v>59</v>
      </c>
      <c r="G878" s="138" t="n">
        <v>164.5</v>
      </c>
      <c r="H878" s="138" t="s">
        <v>176</v>
      </c>
    </row>
    <row r="879" customFormat="false" ht="15" hidden="false" customHeight="false" outlineLevel="0" collapsed="false">
      <c r="A879" s="138" t="s">
        <v>6260</v>
      </c>
      <c r="B879" s="138" t="s">
        <v>6281</v>
      </c>
      <c r="C879" s="138" t="s">
        <v>6282</v>
      </c>
      <c r="D879" s="138" t="n">
        <v>155.3835</v>
      </c>
      <c r="E879" s="138" t="n">
        <v>163.635</v>
      </c>
      <c r="F879" s="138" t="s">
        <v>60</v>
      </c>
      <c r="G879" s="138" t="n">
        <v>166</v>
      </c>
      <c r="H879" s="138" t="s">
        <v>176</v>
      </c>
    </row>
    <row r="880" customFormat="false" ht="15" hidden="false" customHeight="false" outlineLevel="0" collapsed="false">
      <c r="A880" s="138" t="s">
        <v>6260</v>
      </c>
      <c r="B880" s="138" t="s">
        <v>6283</v>
      </c>
      <c r="C880" s="138" t="s">
        <v>6284</v>
      </c>
      <c r="D880" s="138" t="n">
        <v>159.313</v>
      </c>
      <c r="E880" s="138" t="n">
        <v>159.4155</v>
      </c>
      <c r="F880" s="138" t="s">
        <v>60</v>
      </c>
      <c r="G880" s="138" t="n">
        <v>22.5</v>
      </c>
      <c r="H880" s="138" t="s">
        <v>176</v>
      </c>
    </row>
    <row r="881" customFormat="false" ht="15" hidden="false" customHeight="false" outlineLevel="0" collapsed="false">
      <c r="A881" s="138" t="s">
        <v>6260</v>
      </c>
      <c r="B881" s="138" t="s">
        <v>6285</v>
      </c>
      <c r="C881" s="138" t="s">
        <v>6286</v>
      </c>
      <c r="D881" s="138" t="n">
        <v>160.0315</v>
      </c>
      <c r="E881" s="138" t="n">
        <v>160.97</v>
      </c>
      <c r="F881" s="138" t="s">
        <v>60</v>
      </c>
      <c r="G881" s="138" t="n">
        <v>29</v>
      </c>
      <c r="H881" s="138" t="s">
        <v>176</v>
      </c>
    </row>
    <row r="882" customFormat="false" ht="15" hidden="false" customHeight="false" outlineLevel="0" collapsed="false">
      <c r="A882" s="138" t="s">
        <v>6260</v>
      </c>
      <c r="B882" s="138" t="s">
        <v>6287</v>
      </c>
      <c r="C882" s="138" t="s">
        <v>6288</v>
      </c>
      <c r="D882" s="138" t="n">
        <v>160.572</v>
      </c>
      <c r="E882" s="138" t="n">
        <v>160.79</v>
      </c>
      <c r="F882" s="138" t="s">
        <v>59</v>
      </c>
      <c r="G882" s="138" t="n">
        <v>15</v>
      </c>
      <c r="H882" s="138" t="s">
        <v>176</v>
      </c>
    </row>
    <row r="883" customFormat="false" ht="15" hidden="false" customHeight="false" outlineLevel="0" collapsed="false">
      <c r="A883" s="138" t="s">
        <v>6260</v>
      </c>
      <c r="B883" s="138" t="s">
        <v>6289</v>
      </c>
      <c r="C883" s="138" t="s">
        <v>6290</v>
      </c>
      <c r="D883" s="138" t="n">
        <v>161.5145</v>
      </c>
      <c r="E883" s="138" t="n">
        <v>161.72</v>
      </c>
      <c r="F883" s="138" t="s">
        <v>59</v>
      </c>
      <c r="G883" s="138" t="n">
        <v>19</v>
      </c>
      <c r="H883" s="138" t="s">
        <v>176</v>
      </c>
    </row>
    <row r="884" customFormat="false" ht="15" hidden="false" customHeight="false" outlineLevel="0" collapsed="false">
      <c r="A884" s="138" t="s">
        <v>6260</v>
      </c>
      <c r="B884" s="138" t="s">
        <v>6291</v>
      </c>
      <c r="C884" s="138" t="s">
        <v>5230</v>
      </c>
      <c r="D884" s="138" t="n">
        <v>196.6685</v>
      </c>
      <c r="E884" s="138" t="n">
        <v>204.75</v>
      </c>
      <c r="F884" s="138" t="s">
        <v>60</v>
      </c>
      <c r="G884" s="138" t="n">
        <v>162.5</v>
      </c>
      <c r="H884" s="138" t="s">
        <v>176</v>
      </c>
    </row>
    <row r="885" customFormat="false" ht="15" hidden="false" customHeight="false" outlineLevel="0" collapsed="false">
      <c r="A885" s="138" t="s">
        <v>6260</v>
      </c>
      <c r="B885" s="138" t="s">
        <v>6292</v>
      </c>
      <c r="C885" s="138" t="s">
        <v>6293</v>
      </c>
      <c r="D885" s="138" t="n">
        <v>199.385</v>
      </c>
      <c r="E885" s="138" t="n">
        <v>202.2245</v>
      </c>
      <c r="F885" s="138" t="s">
        <v>59</v>
      </c>
      <c r="G885" s="138" t="n">
        <v>57</v>
      </c>
      <c r="H885" s="138" t="s">
        <v>176</v>
      </c>
    </row>
    <row r="886" customFormat="false" ht="15" hidden="false" customHeight="false" outlineLevel="0" collapsed="false">
      <c r="A886" s="138" t="s">
        <v>6260</v>
      </c>
      <c r="B886" s="138" t="s">
        <v>6294</v>
      </c>
      <c r="C886" s="138" t="s">
        <v>6295</v>
      </c>
      <c r="D886" s="138" t="n">
        <v>232.8305</v>
      </c>
      <c r="E886" s="138" t="n">
        <v>234.97</v>
      </c>
      <c r="F886" s="138" t="s">
        <v>59</v>
      </c>
      <c r="G886" s="138" t="n">
        <v>65.5</v>
      </c>
      <c r="H886" s="138" t="s">
        <v>176</v>
      </c>
    </row>
    <row r="887" customFormat="false" ht="15" hidden="false" customHeight="false" outlineLevel="0" collapsed="false">
      <c r="A887" s="138" t="s">
        <v>6260</v>
      </c>
      <c r="B887" s="138" t="s">
        <v>6296</v>
      </c>
      <c r="C887" s="138" t="s">
        <v>6297</v>
      </c>
      <c r="D887" s="138" t="n">
        <v>233.6755</v>
      </c>
      <c r="E887" s="138" t="n">
        <v>235.585</v>
      </c>
      <c r="F887" s="138" t="s">
        <v>60</v>
      </c>
      <c r="G887" s="138" t="n">
        <v>50</v>
      </c>
      <c r="H887" s="138" t="s">
        <v>176</v>
      </c>
    </row>
    <row r="888" customFormat="false" ht="15" hidden="false" customHeight="false" outlineLevel="0" collapsed="false">
      <c r="A888" s="138" t="s">
        <v>6260</v>
      </c>
      <c r="B888" s="138" t="s">
        <v>6298</v>
      </c>
      <c r="C888" s="138" t="s">
        <v>6299</v>
      </c>
      <c r="D888" s="138" t="n">
        <v>236.4475</v>
      </c>
      <c r="E888" s="138" t="n">
        <v>239.785</v>
      </c>
      <c r="F888" s="138" t="s">
        <v>59</v>
      </c>
      <c r="G888" s="138" t="n">
        <v>85.5</v>
      </c>
      <c r="H888" s="138" t="s">
        <v>176</v>
      </c>
    </row>
    <row r="889" customFormat="false" ht="15" hidden="false" customHeight="false" outlineLevel="0" collapsed="false">
      <c r="A889" s="138" t="s">
        <v>6260</v>
      </c>
      <c r="B889" s="138" t="s">
        <v>6300</v>
      </c>
      <c r="C889" s="138" t="s">
        <v>6301</v>
      </c>
      <c r="D889" s="138" t="n">
        <v>237.466</v>
      </c>
      <c r="E889" s="138" t="n">
        <v>240.2455</v>
      </c>
      <c r="F889" s="138" t="s">
        <v>60</v>
      </c>
      <c r="G889" s="138" t="n">
        <v>72.5</v>
      </c>
      <c r="H889" s="138" t="s">
        <v>176</v>
      </c>
    </row>
    <row r="890" customFormat="false" ht="15" hidden="false" customHeight="false" outlineLevel="0" collapsed="false">
      <c r="A890" s="138" t="s">
        <v>6260</v>
      </c>
      <c r="B890" s="138" t="s">
        <v>6302</v>
      </c>
      <c r="C890" s="138" t="s">
        <v>6303</v>
      </c>
      <c r="D890" s="138" t="n">
        <v>303.853</v>
      </c>
      <c r="E890" s="138" t="n">
        <v>323.391</v>
      </c>
      <c r="F890" s="138" t="s">
        <v>59</v>
      </c>
      <c r="G890" s="138" t="n">
        <v>475.5</v>
      </c>
      <c r="H890" s="138" t="s">
        <v>176</v>
      </c>
    </row>
    <row r="891" customFormat="false" ht="15" hidden="false" customHeight="false" outlineLevel="0" collapsed="false">
      <c r="A891" s="138" t="s">
        <v>6260</v>
      </c>
      <c r="B891" s="138" t="s">
        <v>6304</v>
      </c>
      <c r="C891" s="138" t="s">
        <v>6305</v>
      </c>
      <c r="D891" s="138" t="n">
        <v>319.8145</v>
      </c>
      <c r="E891" s="138" t="n">
        <v>334.0595</v>
      </c>
      <c r="F891" s="138" t="s">
        <v>60</v>
      </c>
      <c r="G891" s="138" t="n">
        <v>283</v>
      </c>
      <c r="H891" s="138" t="s">
        <v>176</v>
      </c>
    </row>
    <row r="892" customFormat="false" ht="15" hidden="false" customHeight="false" outlineLevel="0" collapsed="false">
      <c r="A892" s="138" t="s">
        <v>6260</v>
      </c>
      <c r="B892" s="138" t="s">
        <v>6306</v>
      </c>
      <c r="C892" s="138" t="s">
        <v>6307</v>
      </c>
      <c r="D892" s="138" t="n">
        <v>323.3055</v>
      </c>
      <c r="E892" s="138" t="n">
        <v>328.78</v>
      </c>
      <c r="F892" s="138" t="s">
        <v>59</v>
      </c>
      <c r="G892" s="138" t="n">
        <v>129.5</v>
      </c>
      <c r="H892" s="138" t="s">
        <v>176</v>
      </c>
    </row>
    <row r="893" customFormat="false" ht="15" hidden="false" customHeight="false" outlineLevel="0" collapsed="false">
      <c r="A893" s="138" t="s">
        <v>6260</v>
      </c>
      <c r="B893" s="138" t="s">
        <v>6308</v>
      </c>
      <c r="C893" s="138" t="s">
        <v>6309</v>
      </c>
      <c r="D893" s="138" t="n">
        <v>354.336</v>
      </c>
      <c r="E893" s="138" t="n">
        <v>359.0865</v>
      </c>
      <c r="F893" s="138" t="s">
        <v>59</v>
      </c>
      <c r="G893" s="138" t="n">
        <v>104.5</v>
      </c>
      <c r="H893" s="138" t="s">
        <v>176</v>
      </c>
    </row>
    <row r="894" customFormat="false" ht="15" hidden="false" customHeight="false" outlineLevel="0" collapsed="false">
      <c r="A894" s="138" t="s">
        <v>6260</v>
      </c>
      <c r="B894" s="138" t="s">
        <v>6310</v>
      </c>
      <c r="C894" s="138" t="s">
        <v>6311</v>
      </c>
      <c r="D894" s="138" t="n">
        <v>375.554</v>
      </c>
      <c r="E894" s="138" t="n">
        <v>379.479</v>
      </c>
      <c r="F894" s="138" t="s">
        <v>60</v>
      </c>
      <c r="G894" s="138" t="n">
        <v>79</v>
      </c>
      <c r="H894" s="138" t="s">
        <v>176</v>
      </c>
    </row>
    <row r="895" customFormat="false" ht="15" hidden="false" customHeight="false" outlineLevel="0" collapsed="false">
      <c r="A895" s="138" t="s">
        <v>6260</v>
      </c>
      <c r="B895" s="138" t="s">
        <v>6312</v>
      </c>
      <c r="C895" s="138" t="s">
        <v>2039</v>
      </c>
      <c r="D895" s="138" t="n">
        <v>375.612</v>
      </c>
      <c r="E895" s="138" t="n">
        <v>378</v>
      </c>
      <c r="F895" s="138" t="s">
        <v>59</v>
      </c>
      <c r="G895" s="138" t="n">
        <v>48</v>
      </c>
      <c r="H895" s="138" t="s">
        <v>176</v>
      </c>
    </row>
    <row r="896" customFormat="false" ht="15" hidden="false" customHeight="false" outlineLevel="0" collapsed="false">
      <c r="A896" s="138" t="s">
        <v>6260</v>
      </c>
      <c r="B896" s="138" t="s">
        <v>6313</v>
      </c>
      <c r="C896" s="138" t="s">
        <v>6314</v>
      </c>
      <c r="D896" s="138" t="n">
        <v>405.4495</v>
      </c>
      <c r="E896" s="138" t="n">
        <v>413.0605</v>
      </c>
      <c r="F896" s="138" t="s">
        <v>60</v>
      </c>
      <c r="G896" s="138" t="n">
        <v>155</v>
      </c>
      <c r="H896" s="138" t="s">
        <v>176</v>
      </c>
    </row>
    <row r="897" customFormat="false" ht="15" hidden="false" customHeight="false" outlineLevel="0" collapsed="false">
      <c r="A897" s="138" t="s">
        <v>6260</v>
      </c>
      <c r="B897" s="138" t="s">
        <v>6315</v>
      </c>
      <c r="C897" s="138" t="s">
        <v>6316</v>
      </c>
      <c r="D897" s="138" t="n">
        <v>406.917</v>
      </c>
      <c r="E897" s="138" t="n">
        <v>410.254</v>
      </c>
      <c r="F897" s="138" t="s">
        <v>59</v>
      </c>
      <c r="G897" s="138" t="n">
        <v>67</v>
      </c>
      <c r="H897" s="138" t="s">
        <v>176</v>
      </c>
    </row>
    <row r="898" customFormat="false" ht="15" hidden="false" customHeight="false" outlineLevel="0" collapsed="false">
      <c r="A898" s="138" t="s">
        <v>6260</v>
      </c>
      <c r="B898" s="138" t="s">
        <v>6317</v>
      </c>
      <c r="C898" s="138" t="s">
        <v>6318</v>
      </c>
      <c r="D898" s="138" t="n">
        <v>421.64</v>
      </c>
      <c r="E898" s="138" t="n">
        <v>454.2045</v>
      </c>
      <c r="F898" s="138" t="s">
        <v>60</v>
      </c>
      <c r="G898" s="138" t="n">
        <v>661.5</v>
      </c>
      <c r="H898" s="138" t="s">
        <v>176</v>
      </c>
    </row>
    <row r="899" customFormat="false" ht="15" hidden="false" customHeight="false" outlineLevel="0" collapsed="false">
      <c r="A899" s="138" t="s">
        <v>6260</v>
      </c>
      <c r="B899" s="138" t="s">
        <v>6319</v>
      </c>
      <c r="C899" s="138" t="s">
        <v>6320</v>
      </c>
      <c r="D899" s="138" t="n">
        <v>428.248</v>
      </c>
      <c r="E899" s="138" t="n">
        <v>434.51</v>
      </c>
      <c r="F899" s="138" t="s">
        <v>59</v>
      </c>
      <c r="G899" s="138" t="n">
        <v>133.5</v>
      </c>
      <c r="H899" s="138" t="s">
        <v>176</v>
      </c>
    </row>
    <row r="900" customFormat="false" ht="15" hidden="false" customHeight="false" outlineLevel="0" collapsed="false">
      <c r="A900" s="138" t="s">
        <v>6260</v>
      </c>
      <c r="B900" s="138" t="s">
        <v>6321</v>
      </c>
      <c r="C900" s="138" t="s">
        <v>6322</v>
      </c>
      <c r="D900" s="138" t="n">
        <v>429.742</v>
      </c>
      <c r="E900" s="138" t="n">
        <v>430.037</v>
      </c>
      <c r="F900" s="138" t="s">
        <v>59</v>
      </c>
      <c r="G900" s="138" t="n">
        <v>25</v>
      </c>
      <c r="H900" s="138" t="s">
        <v>176</v>
      </c>
    </row>
    <row r="901" customFormat="false" ht="15" hidden="false" customHeight="false" outlineLevel="0" collapsed="false">
      <c r="A901" s="138" t="s">
        <v>6260</v>
      </c>
      <c r="B901" s="138" t="s">
        <v>6323</v>
      </c>
      <c r="C901" s="138" t="s">
        <v>6324</v>
      </c>
      <c r="D901" s="138" t="n">
        <v>485.878</v>
      </c>
      <c r="E901" s="138" t="n">
        <v>489.258</v>
      </c>
      <c r="F901" s="138" t="s">
        <v>60</v>
      </c>
      <c r="G901" s="138" t="n">
        <v>68.5</v>
      </c>
      <c r="H901" s="138" t="s">
        <v>176</v>
      </c>
    </row>
    <row r="902" customFormat="false" ht="15" hidden="false" customHeight="false" outlineLevel="0" collapsed="false">
      <c r="A902" s="138" t="s">
        <v>6260</v>
      </c>
      <c r="B902" s="138" t="s">
        <v>6325</v>
      </c>
      <c r="C902" s="138" t="s">
        <v>6326</v>
      </c>
      <c r="D902" s="138" t="n">
        <v>486.075</v>
      </c>
      <c r="E902" s="138" t="n">
        <v>489.805</v>
      </c>
      <c r="F902" s="138" t="s">
        <v>59</v>
      </c>
      <c r="G902" s="138" t="n">
        <v>76</v>
      </c>
      <c r="H902" s="138" t="s">
        <v>176</v>
      </c>
    </row>
    <row r="903" customFormat="false" ht="15" hidden="false" customHeight="false" outlineLevel="0" collapsed="false">
      <c r="A903" s="138" t="s">
        <v>6260</v>
      </c>
      <c r="B903" s="138" t="s">
        <v>6327</v>
      </c>
      <c r="C903" s="138" t="s">
        <v>6328</v>
      </c>
      <c r="D903" s="138" t="n">
        <v>524.8105</v>
      </c>
      <c r="E903" s="138" t="n">
        <v>529.374</v>
      </c>
      <c r="F903" s="138" t="s">
        <v>60</v>
      </c>
      <c r="G903" s="138" t="n">
        <v>92</v>
      </c>
      <c r="H903" s="138" t="s">
        <v>176</v>
      </c>
    </row>
    <row r="904" customFormat="false" ht="15" hidden="false" customHeight="false" outlineLevel="0" collapsed="false">
      <c r="A904" s="138" t="s">
        <v>6260</v>
      </c>
      <c r="B904" s="138" t="s">
        <v>6329</v>
      </c>
      <c r="C904" s="138" t="s">
        <v>6330</v>
      </c>
      <c r="D904" s="138" t="n">
        <v>557.0025</v>
      </c>
      <c r="E904" s="138" t="n">
        <v>571.825</v>
      </c>
      <c r="F904" s="138" t="s">
        <v>59</v>
      </c>
      <c r="G904" s="138" t="n">
        <v>302</v>
      </c>
      <c r="H904" s="138" t="s">
        <v>176</v>
      </c>
    </row>
    <row r="905" customFormat="false" ht="15" hidden="false" customHeight="false" outlineLevel="0" collapsed="false">
      <c r="A905" s="138" t="s">
        <v>6260</v>
      </c>
      <c r="B905" s="138" t="s">
        <v>6331</v>
      </c>
      <c r="C905" s="138" t="s">
        <v>6332</v>
      </c>
      <c r="D905" s="138" t="n">
        <v>557.04</v>
      </c>
      <c r="E905" s="138" t="n">
        <v>560.97</v>
      </c>
      <c r="F905" s="138" t="s">
        <v>60</v>
      </c>
      <c r="G905" s="138" t="n">
        <v>83.5</v>
      </c>
      <c r="H905" s="138" t="s">
        <v>176</v>
      </c>
    </row>
    <row r="906" customFormat="false" ht="15" hidden="false" customHeight="false" outlineLevel="0" collapsed="false">
      <c r="A906" s="138" t="s">
        <v>6260</v>
      </c>
      <c r="B906" s="138" t="s">
        <v>6333</v>
      </c>
      <c r="C906" s="138" t="s">
        <v>6334</v>
      </c>
      <c r="D906" s="138" t="n">
        <v>561.608</v>
      </c>
      <c r="E906" s="138" t="n">
        <v>584.098</v>
      </c>
      <c r="F906" s="138" t="s">
        <v>60</v>
      </c>
      <c r="G906" s="138" t="n">
        <v>464</v>
      </c>
      <c r="H906" s="138" t="s">
        <v>176</v>
      </c>
    </row>
    <row r="907" customFormat="false" ht="15" hidden="false" customHeight="false" outlineLevel="0" collapsed="false">
      <c r="A907" s="138" t="s">
        <v>6260</v>
      </c>
      <c r="B907" s="138" t="s">
        <v>6335</v>
      </c>
      <c r="C907" s="138" t="s">
        <v>6336</v>
      </c>
      <c r="D907" s="138" t="n">
        <v>590.626</v>
      </c>
      <c r="E907" s="138" t="n">
        <v>593.327</v>
      </c>
      <c r="F907" s="138" t="s">
        <v>59</v>
      </c>
      <c r="G907" s="138" t="n">
        <v>54.5</v>
      </c>
      <c r="H907" s="138" t="s">
        <v>176</v>
      </c>
    </row>
    <row r="908" customFormat="false" ht="15" hidden="false" customHeight="false" outlineLevel="0" collapsed="false">
      <c r="A908" s="138" t="s">
        <v>6260</v>
      </c>
      <c r="B908" s="138" t="s">
        <v>6337</v>
      </c>
      <c r="C908" s="138" t="s">
        <v>6338</v>
      </c>
      <c r="D908" s="138" t="n">
        <v>591.0115</v>
      </c>
      <c r="E908" s="138" t="n">
        <v>592.89</v>
      </c>
      <c r="F908" s="138" t="s">
        <v>60</v>
      </c>
      <c r="G908" s="138" t="n">
        <v>51</v>
      </c>
      <c r="H908" s="138" t="s">
        <v>176</v>
      </c>
    </row>
    <row r="909" customFormat="false" ht="15" hidden="false" customHeight="false" outlineLevel="0" collapsed="false">
      <c r="A909" s="138" t="s">
        <v>6260</v>
      </c>
      <c r="B909" s="138" t="s">
        <v>6339</v>
      </c>
      <c r="C909" s="138" t="s">
        <v>6340</v>
      </c>
      <c r="D909" s="138" t="n">
        <v>607.7575</v>
      </c>
      <c r="E909" s="138" t="n">
        <v>614.1285</v>
      </c>
      <c r="F909" s="138" t="s">
        <v>60</v>
      </c>
      <c r="G909" s="138" t="n">
        <v>127</v>
      </c>
      <c r="H909" s="138" t="s">
        <v>176</v>
      </c>
    </row>
    <row r="910" customFormat="false" ht="15" hidden="false" customHeight="false" outlineLevel="0" collapsed="false">
      <c r="A910" s="138" t="s">
        <v>6260</v>
      </c>
      <c r="B910" s="138" t="s">
        <v>6341</v>
      </c>
      <c r="C910" s="138" t="s">
        <v>6342</v>
      </c>
      <c r="D910" s="138" t="n">
        <v>608.5585</v>
      </c>
      <c r="E910" s="138" t="n">
        <v>609.755</v>
      </c>
      <c r="F910" s="138" t="s">
        <v>59</v>
      </c>
      <c r="G910" s="138" t="n">
        <v>24</v>
      </c>
      <c r="H910" s="138" t="s">
        <v>176</v>
      </c>
    </row>
    <row r="911" customFormat="false" ht="15" hidden="false" customHeight="false" outlineLevel="0" collapsed="false">
      <c r="A911" s="138" t="s">
        <v>6260</v>
      </c>
      <c r="B911" s="138" t="s">
        <v>6343</v>
      </c>
      <c r="C911" s="138" t="s">
        <v>6344</v>
      </c>
      <c r="D911" s="138" t="n">
        <v>623.197</v>
      </c>
      <c r="E911" s="138" t="n">
        <v>628.785</v>
      </c>
      <c r="F911" s="138" t="s">
        <v>60</v>
      </c>
      <c r="G911" s="138" t="n">
        <v>118</v>
      </c>
      <c r="H911" s="138" t="s">
        <v>176</v>
      </c>
    </row>
    <row r="912" customFormat="false" ht="15" hidden="false" customHeight="false" outlineLevel="0" collapsed="false">
      <c r="A912" s="138" t="s">
        <v>6345</v>
      </c>
      <c r="B912" s="138" t="s">
        <v>3180</v>
      </c>
      <c r="C912" s="138" t="s">
        <v>3180</v>
      </c>
      <c r="D912" s="138" t="n">
        <v>4.008</v>
      </c>
      <c r="E912" s="138" t="n">
        <v>4.0085</v>
      </c>
      <c r="F912" s="138" t="s">
        <v>4521</v>
      </c>
      <c r="G912" s="138" t="n">
        <v>17</v>
      </c>
      <c r="H912" s="138" t="s">
        <v>176</v>
      </c>
    </row>
    <row r="913" customFormat="false" ht="15" hidden="false" customHeight="false" outlineLevel="0" collapsed="false">
      <c r="A913" s="138" t="s">
        <v>6346</v>
      </c>
      <c r="B913" s="138" t="s">
        <v>6347</v>
      </c>
      <c r="C913" s="138" t="s">
        <v>6347</v>
      </c>
      <c r="D913" s="138" t="n">
        <v>49.69</v>
      </c>
      <c r="E913" s="138" t="n">
        <v>49.6905</v>
      </c>
      <c r="F913" s="138" t="s">
        <v>59</v>
      </c>
      <c r="G913" s="138" t="n">
        <v>15</v>
      </c>
      <c r="H913" s="138" t="s">
        <v>176</v>
      </c>
    </row>
    <row r="914" customFormat="false" ht="15" hidden="false" customHeight="false" outlineLevel="0" collapsed="false">
      <c r="A914" s="138" t="s">
        <v>6345</v>
      </c>
      <c r="B914" s="138" t="s">
        <v>6348</v>
      </c>
      <c r="C914" s="138" t="s">
        <v>6348</v>
      </c>
      <c r="D914" s="138" t="n">
        <v>113.895</v>
      </c>
      <c r="E914" s="138" t="n">
        <v>113.8955</v>
      </c>
      <c r="F914" s="138" t="s">
        <v>4521</v>
      </c>
      <c r="G914" s="138" t="n">
        <v>11</v>
      </c>
      <c r="H914" s="138" t="s">
        <v>176</v>
      </c>
    </row>
    <row r="915" customFormat="false" ht="15" hidden="false" customHeight="false" outlineLevel="0" collapsed="false">
      <c r="A915" s="138" t="s">
        <v>6345</v>
      </c>
      <c r="B915" s="138" t="s">
        <v>3247</v>
      </c>
      <c r="C915" s="138" t="s">
        <v>3247</v>
      </c>
      <c r="D915" s="138" t="n">
        <v>127.0625</v>
      </c>
      <c r="E915" s="138" t="n">
        <v>127.063</v>
      </c>
      <c r="F915" s="138" t="s">
        <v>4521</v>
      </c>
      <c r="G915" s="138" t="n">
        <v>11</v>
      </c>
      <c r="H915" s="138" t="s">
        <v>176</v>
      </c>
    </row>
    <row r="916" customFormat="false" ht="15" hidden="false" customHeight="false" outlineLevel="0" collapsed="false">
      <c r="A916" s="138" t="s">
        <v>6345</v>
      </c>
      <c r="B916" s="138" t="s">
        <v>6349</v>
      </c>
      <c r="C916" s="138" t="s">
        <v>6349</v>
      </c>
      <c r="D916" s="138" t="n">
        <v>144.9845</v>
      </c>
      <c r="E916" s="138" t="n">
        <v>144.985</v>
      </c>
      <c r="F916" s="138" t="s">
        <v>4521</v>
      </c>
      <c r="G916" s="138" t="n">
        <v>11</v>
      </c>
      <c r="H916" s="138" t="s">
        <v>176</v>
      </c>
    </row>
    <row r="917" customFormat="false" ht="15" hidden="false" customHeight="false" outlineLevel="0" collapsed="false">
      <c r="A917" s="138" t="s">
        <v>6346</v>
      </c>
      <c r="B917" s="138" t="s">
        <v>6350</v>
      </c>
      <c r="C917" s="138" t="s">
        <v>6350</v>
      </c>
      <c r="D917" s="138" t="n">
        <v>154.59</v>
      </c>
      <c r="E917" s="138" t="n">
        <v>154.5905</v>
      </c>
      <c r="F917" s="138" t="s">
        <v>60</v>
      </c>
      <c r="G917" s="138" t="n">
        <v>9</v>
      </c>
      <c r="H917" s="138" t="s">
        <v>176</v>
      </c>
    </row>
    <row r="918" customFormat="false" ht="15" hidden="false" customHeight="false" outlineLevel="0" collapsed="false">
      <c r="A918" s="138" t="s">
        <v>6351</v>
      </c>
      <c r="B918" s="138" t="s">
        <v>3263</v>
      </c>
      <c r="C918" s="138" t="s">
        <v>3263</v>
      </c>
      <c r="D918" s="138" t="n">
        <v>159.893</v>
      </c>
      <c r="E918" s="138" t="n">
        <v>159.8935</v>
      </c>
      <c r="F918" s="138" t="s">
        <v>4521</v>
      </c>
      <c r="G918" s="138" t="n">
        <v>30</v>
      </c>
      <c r="H918" s="138" t="s">
        <v>176</v>
      </c>
    </row>
    <row r="919" customFormat="false" ht="15" hidden="false" customHeight="false" outlineLevel="0" collapsed="false">
      <c r="A919" s="138" t="s">
        <v>6352</v>
      </c>
      <c r="B919" s="138" t="s">
        <v>3263</v>
      </c>
      <c r="C919" s="138" t="s">
        <v>3263</v>
      </c>
      <c r="D919" s="138" t="n">
        <v>159.893</v>
      </c>
      <c r="E919" s="138" t="n">
        <v>159.8935</v>
      </c>
      <c r="F919" s="138" t="s">
        <v>4521</v>
      </c>
      <c r="G919" s="138" t="n">
        <v>10.21</v>
      </c>
      <c r="H919" s="138" t="s">
        <v>77</v>
      </c>
    </row>
    <row r="920" customFormat="false" ht="15" hidden="false" customHeight="false" outlineLevel="0" collapsed="false">
      <c r="A920" s="138" t="s">
        <v>6346</v>
      </c>
      <c r="B920" s="138" t="s">
        <v>6353</v>
      </c>
      <c r="C920" s="138" t="s">
        <v>6353</v>
      </c>
      <c r="D920" s="138" t="n">
        <v>168.415</v>
      </c>
      <c r="E920" s="138" t="n">
        <v>168.4155</v>
      </c>
      <c r="F920" s="138" t="s">
        <v>59</v>
      </c>
      <c r="G920" s="138" t="n">
        <v>7</v>
      </c>
      <c r="H920" s="138" t="s">
        <v>176</v>
      </c>
    </row>
    <row r="921" customFormat="false" ht="15" hidden="false" customHeight="false" outlineLevel="0" collapsed="false">
      <c r="A921" s="138" t="s">
        <v>6346</v>
      </c>
      <c r="B921" s="138" t="s">
        <v>4457</v>
      </c>
      <c r="C921" s="138" t="s">
        <v>4457</v>
      </c>
      <c r="D921" s="138" t="n">
        <v>169.632</v>
      </c>
      <c r="E921" s="138" t="n">
        <v>169.6325</v>
      </c>
      <c r="F921" s="138" t="s">
        <v>60</v>
      </c>
      <c r="G921" s="138" t="n">
        <v>13</v>
      </c>
      <c r="H921" s="138" t="s">
        <v>176</v>
      </c>
    </row>
    <row r="922" customFormat="false" ht="15" hidden="false" customHeight="false" outlineLevel="0" collapsed="false">
      <c r="A922" s="138" t="s">
        <v>6346</v>
      </c>
      <c r="B922" s="138" t="s">
        <v>6354</v>
      </c>
      <c r="C922" s="138" t="s">
        <v>6354</v>
      </c>
      <c r="D922" s="138" t="n">
        <v>178.84</v>
      </c>
      <c r="E922" s="138" t="n">
        <v>178.8405</v>
      </c>
      <c r="F922" s="138" t="s">
        <v>59</v>
      </c>
      <c r="G922" s="138" t="n">
        <v>17</v>
      </c>
      <c r="H922" s="138" t="s">
        <v>176</v>
      </c>
    </row>
    <row r="923" customFormat="false" ht="15" hidden="false" customHeight="false" outlineLevel="0" collapsed="false">
      <c r="A923" s="138" t="s">
        <v>6345</v>
      </c>
      <c r="B923" s="138" t="s">
        <v>3284</v>
      </c>
      <c r="C923" s="138" t="s">
        <v>3284</v>
      </c>
      <c r="D923" s="138" t="n">
        <v>200.562</v>
      </c>
      <c r="E923" s="138" t="n">
        <v>200.5625</v>
      </c>
      <c r="F923" s="138" t="s">
        <v>4521</v>
      </c>
      <c r="G923" s="138" t="n">
        <v>11</v>
      </c>
      <c r="H923" s="138" t="s">
        <v>176</v>
      </c>
    </row>
    <row r="924" customFormat="false" ht="15" hidden="false" customHeight="false" outlineLevel="0" collapsed="false">
      <c r="A924" s="138" t="s">
        <v>6346</v>
      </c>
      <c r="B924" s="138" t="s">
        <v>6355</v>
      </c>
      <c r="C924" s="138" t="s">
        <v>6355</v>
      </c>
      <c r="D924" s="138" t="n">
        <v>226.85</v>
      </c>
      <c r="E924" s="138" t="n">
        <v>226.8505</v>
      </c>
      <c r="F924" s="138" t="s">
        <v>60</v>
      </c>
      <c r="G924" s="138" t="n">
        <v>14</v>
      </c>
      <c r="H924" s="138" t="s">
        <v>176</v>
      </c>
    </row>
    <row r="925" customFormat="false" ht="15" hidden="false" customHeight="false" outlineLevel="0" collapsed="false">
      <c r="A925" s="138" t="s">
        <v>6346</v>
      </c>
      <c r="B925" s="138" t="s">
        <v>6356</v>
      </c>
      <c r="C925" s="138" t="s">
        <v>6356</v>
      </c>
      <c r="D925" s="138" t="n">
        <v>230.715</v>
      </c>
      <c r="E925" s="138" t="n">
        <v>230.7155</v>
      </c>
      <c r="F925" s="138" t="s">
        <v>60</v>
      </c>
      <c r="G925" s="138" t="n">
        <v>8</v>
      </c>
      <c r="H925" s="138" t="s">
        <v>176</v>
      </c>
    </row>
    <row r="926" customFormat="false" ht="15" hidden="false" customHeight="false" outlineLevel="0" collapsed="false">
      <c r="A926" s="138" t="s">
        <v>6346</v>
      </c>
      <c r="B926" s="138" t="s">
        <v>6357</v>
      </c>
      <c r="C926" s="138" t="s">
        <v>6357</v>
      </c>
      <c r="D926" s="138" t="n">
        <v>232.53</v>
      </c>
      <c r="E926" s="138" t="n">
        <v>232.5305</v>
      </c>
      <c r="F926" s="138" t="s">
        <v>60</v>
      </c>
      <c r="G926" s="138" t="n">
        <v>6</v>
      </c>
      <c r="H926" s="138" t="s">
        <v>176</v>
      </c>
    </row>
    <row r="927" customFormat="false" ht="15" hidden="false" customHeight="false" outlineLevel="0" collapsed="false">
      <c r="A927" s="138" t="s">
        <v>6346</v>
      </c>
      <c r="B927" s="138" t="s">
        <v>6358</v>
      </c>
      <c r="C927" s="138" t="s">
        <v>6358</v>
      </c>
      <c r="D927" s="138" t="n">
        <v>259.9975</v>
      </c>
      <c r="E927" s="138" t="n">
        <v>259.998</v>
      </c>
      <c r="F927" s="138" t="s">
        <v>4521</v>
      </c>
      <c r="G927" s="138" t="n">
        <v>16</v>
      </c>
      <c r="H927" s="138" t="s">
        <v>176</v>
      </c>
    </row>
    <row r="928" customFormat="false" ht="15" hidden="false" customHeight="false" outlineLevel="0" collapsed="false">
      <c r="A928" s="138" t="s">
        <v>6346</v>
      </c>
      <c r="B928" s="138" t="s">
        <v>3309</v>
      </c>
      <c r="C928" s="138" t="s">
        <v>3309</v>
      </c>
      <c r="D928" s="138" t="n">
        <v>268.814</v>
      </c>
      <c r="E928" s="138" t="n">
        <v>268.8145</v>
      </c>
      <c r="F928" s="138" t="s">
        <v>4521</v>
      </c>
      <c r="G928" s="138" t="n">
        <v>20</v>
      </c>
      <c r="H928" s="138" t="s">
        <v>176</v>
      </c>
    </row>
    <row r="929" customFormat="false" ht="15" hidden="false" customHeight="false" outlineLevel="0" collapsed="false">
      <c r="A929" s="138" t="s">
        <v>6345</v>
      </c>
      <c r="B929" s="138" t="s">
        <v>6359</v>
      </c>
      <c r="C929" s="138" t="s">
        <v>6359</v>
      </c>
      <c r="D929" s="138" t="n">
        <v>312.17</v>
      </c>
      <c r="E929" s="138" t="n">
        <v>312.1705</v>
      </c>
      <c r="F929" s="138" t="s">
        <v>60</v>
      </c>
      <c r="G929" s="138" t="n">
        <v>6</v>
      </c>
      <c r="H929" s="138" t="s">
        <v>176</v>
      </c>
    </row>
    <row r="930" customFormat="false" ht="15" hidden="false" customHeight="false" outlineLevel="0" collapsed="false">
      <c r="A930" s="138" t="s">
        <v>6345</v>
      </c>
      <c r="B930" s="138" t="s">
        <v>6360</v>
      </c>
      <c r="C930" s="138" t="s">
        <v>6360</v>
      </c>
      <c r="D930" s="138" t="n">
        <v>315.535</v>
      </c>
      <c r="E930" s="138" t="n">
        <v>315.5355</v>
      </c>
      <c r="F930" s="138" t="s">
        <v>60</v>
      </c>
      <c r="G930" s="138" t="n">
        <v>8</v>
      </c>
      <c r="H930" s="138" t="s">
        <v>176</v>
      </c>
    </row>
    <row r="931" customFormat="false" ht="15" hidden="false" customHeight="false" outlineLevel="0" collapsed="false">
      <c r="A931" s="138" t="s">
        <v>6345</v>
      </c>
      <c r="B931" s="138" t="s">
        <v>3327</v>
      </c>
      <c r="C931" s="138" t="s">
        <v>3327</v>
      </c>
      <c r="D931" s="138" t="n">
        <v>323.521</v>
      </c>
      <c r="E931" s="138" t="n">
        <v>323.5215</v>
      </c>
      <c r="F931" s="138" t="s">
        <v>4521</v>
      </c>
      <c r="G931" s="138" t="n">
        <v>15</v>
      </c>
      <c r="H931" s="138" t="s">
        <v>176</v>
      </c>
    </row>
    <row r="932" customFormat="false" ht="15" hidden="false" customHeight="false" outlineLevel="0" collapsed="false">
      <c r="A932" s="138" t="s">
        <v>6361</v>
      </c>
      <c r="B932" s="138" t="s">
        <v>3329</v>
      </c>
      <c r="C932" s="138" t="s">
        <v>3329</v>
      </c>
      <c r="D932" s="138" t="n">
        <v>323.8685</v>
      </c>
      <c r="E932" s="138" t="n">
        <v>323.869</v>
      </c>
      <c r="F932" s="138" t="s">
        <v>4521</v>
      </c>
      <c r="G932" s="138" t="n">
        <v>13</v>
      </c>
      <c r="H932" s="138" t="s">
        <v>176</v>
      </c>
    </row>
    <row r="933" customFormat="false" ht="15" hidden="false" customHeight="false" outlineLevel="0" collapsed="false">
      <c r="A933" s="138" t="s">
        <v>6345</v>
      </c>
      <c r="B933" s="138" t="s">
        <v>6362</v>
      </c>
      <c r="C933" s="138" t="s">
        <v>6362</v>
      </c>
      <c r="D933" s="138" t="n">
        <v>337.145</v>
      </c>
      <c r="E933" s="138" t="n">
        <v>337.1455</v>
      </c>
      <c r="F933" s="138" t="s">
        <v>59</v>
      </c>
      <c r="G933" s="138" t="n">
        <v>6</v>
      </c>
      <c r="H933" s="138" t="s">
        <v>176</v>
      </c>
    </row>
    <row r="934" customFormat="false" ht="15" hidden="false" customHeight="false" outlineLevel="0" collapsed="false">
      <c r="A934" s="138" t="s">
        <v>6345</v>
      </c>
      <c r="B934" s="138" t="s">
        <v>6363</v>
      </c>
      <c r="C934" s="138" t="s">
        <v>6363</v>
      </c>
      <c r="D934" s="138" t="n">
        <v>340.125</v>
      </c>
      <c r="E934" s="138" t="n">
        <v>340.1255</v>
      </c>
      <c r="F934" s="138" t="s">
        <v>60</v>
      </c>
      <c r="G934" s="138" t="n">
        <v>5</v>
      </c>
      <c r="H934" s="138" t="s">
        <v>176</v>
      </c>
    </row>
    <row r="935" customFormat="false" ht="15" hidden="false" customHeight="false" outlineLevel="0" collapsed="false">
      <c r="A935" s="138" t="s">
        <v>6345</v>
      </c>
      <c r="B935" s="138" t="s">
        <v>6364</v>
      </c>
      <c r="C935" s="138" t="s">
        <v>6364</v>
      </c>
      <c r="D935" s="138" t="n">
        <v>349.555</v>
      </c>
      <c r="E935" s="138" t="n">
        <v>349.5555</v>
      </c>
      <c r="F935" s="138" t="s">
        <v>60</v>
      </c>
      <c r="G935" s="138" t="n">
        <v>10</v>
      </c>
      <c r="H935" s="138" t="s">
        <v>176</v>
      </c>
    </row>
    <row r="936" customFormat="false" ht="15" hidden="false" customHeight="false" outlineLevel="0" collapsed="false">
      <c r="A936" s="138" t="s">
        <v>6345</v>
      </c>
      <c r="B936" s="138" t="s">
        <v>4464</v>
      </c>
      <c r="C936" s="138" t="s">
        <v>4464</v>
      </c>
      <c r="D936" s="138" t="n">
        <v>377.193</v>
      </c>
      <c r="E936" s="138" t="n">
        <v>377.1935</v>
      </c>
      <c r="F936" s="138" t="s">
        <v>4521</v>
      </c>
      <c r="G936" s="138" t="n">
        <v>12</v>
      </c>
      <c r="H936" s="138" t="s">
        <v>176</v>
      </c>
    </row>
    <row r="937" customFormat="false" ht="15" hidden="false" customHeight="false" outlineLevel="0" collapsed="false">
      <c r="A937" s="138" t="s">
        <v>6346</v>
      </c>
      <c r="B937" s="138" t="s">
        <v>6365</v>
      </c>
      <c r="C937" s="138" t="s">
        <v>6365</v>
      </c>
      <c r="D937" s="138" t="n">
        <v>397.85</v>
      </c>
      <c r="E937" s="138" t="n">
        <v>397.8505</v>
      </c>
      <c r="F937" s="138" t="s">
        <v>60</v>
      </c>
      <c r="G937" s="138" t="n">
        <v>14</v>
      </c>
      <c r="H937" s="138" t="s">
        <v>176</v>
      </c>
    </row>
    <row r="938" customFormat="false" ht="15" hidden="false" customHeight="false" outlineLevel="0" collapsed="false">
      <c r="A938" s="138" t="s">
        <v>6345</v>
      </c>
      <c r="B938" s="138" t="s">
        <v>6366</v>
      </c>
      <c r="C938" s="138" t="s">
        <v>6366</v>
      </c>
      <c r="D938" s="138" t="n">
        <v>418.56</v>
      </c>
      <c r="E938" s="138" t="n">
        <v>418.5605</v>
      </c>
      <c r="F938" s="138" t="s">
        <v>59</v>
      </c>
      <c r="G938" s="138" t="n">
        <v>10</v>
      </c>
      <c r="H938" s="138" t="s">
        <v>176</v>
      </c>
    </row>
    <row r="939" customFormat="false" ht="15" hidden="false" customHeight="false" outlineLevel="0" collapsed="false">
      <c r="A939" s="138" t="s">
        <v>6361</v>
      </c>
      <c r="B939" s="138" t="s">
        <v>3364</v>
      </c>
      <c r="C939" s="138" t="s">
        <v>3364</v>
      </c>
      <c r="D939" s="138" t="n">
        <v>433.9535</v>
      </c>
      <c r="E939" s="138" t="n">
        <v>433.954</v>
      </c>
      <c r="F939" s="138" t="s">
        <v>4521</v>
      </c>
      <c r="G939" s="138" t="n">
        <v>20</v>
      </c>
      <c r="H939" s="138" t="s">
        <v>176</v>
      </c>
    </row>
    <row r="940" customFormat="false" ht="15" hidden="false" customHeight="false" outlineLevel="0" collapsed="false">
      <c r="A940" s="138" t="s">
        <v>6361</v>
      </c>
      <c r="B940" s="138" t="s">
        <v>6367</v>
      </c>
      <c r="C940" s="138" t="s">
        <v>6367</v>
      </c>
      <c r="D940" s="138" t="n">
        <v>433.173</v>
      </c>
      <c r="E940" s="138" t="n">
        <v>433.1735</v>
      </c>
      <c r="F940" s="138" t="s">
        <v>4521</v>
      </c>
      <c r="G940" s="138" t="n">
        <v>18</v>
      </c>
      <c r="H940" s="138" t="s">
        <v>176</v>
      </c>
    </row>
    <row r="941" customFormat="false" ht="15" hidden="false" customHeight="false" outlineLevel="0" collapsed="false">
      <c r="A941" s="138" t="s">
        <v>6346</v>
      </c>
      <c r="B941" s="138" t="s">
        <v>6368</v>
      </c>
      <c r="C941" s="138" t="s">
        <v>6368</v>
      </c>
      <c r="D941" s="138" t="n">
        <v>437.2</v>
      </c>
      <c r="E941" s="138" t="n">
        <v>437.2005</v>
      </c>
      <c r="F941" s="138" t="s">
        <v>59</v>
      </c>
      <c r="G941" s="138" t="n">
        <v>6</v>
      </c>
      <c r="H941" s="138" t="s">
        <v>176</v>
      </c>
    </row>
    <row r="942" customFormat="false" ht="15" hidden="false" customHeight="false" outlineLevel="0" collapsed="false">
      <c r="A942" s="138" t="s">
        <v>6345</v>
      </c>
      <c r="B942" s="138" t="s">
        <v>6369</v>
      </c>
      <c r="C942" s="138" t="s">
        <v>6369</v>
      </c>
      <c r="D942" s="138" t="n">
        <v>438.54</v>
      </c>
      <c r="E942" s="138" t="n">
        <v>438.5405</v>
      </c>
      <c r="F942" s="138" t="s">
        <v>59</v>
      </c>
      <c r="G942" s="138" t="n">
        <v>5</v>
      </c>
      <c r="H942" s="138" t="s">
        <v>176</v>
      </c>
    </row>
    <row r="943" customFormat="false" ht="15" hidden="false" customHeight="false" outlineLevel="0" collapsed="false">
      <c r="A943" s="138" t="s">
        <v>6345</v>
      </c>
      <c r="B943" s="138" t="s">
        <v>3374</v>
      </c>
      <c r="C943" s="138" t="s">
        <v>3374</v>
      </c>
      <c r="D943" s="138" t="n">
        <v>466.8855</v>
      </c>
      <c r="E943" s="138" t="n">
        <v>466.886</v>
      </c>
      <c r="F943" s="138" t="s">
        <v>4521</v>
      </c>
      <c r="G943" s="138" t="n">
        <v>12</v>
      </c>
      <c r="H943" s="138" t="s">
        <v>176</v>
      </c>
    </row>
    <row r="944" customFormat="false" ht="15" hidden="false" customHeight="false" outlineLevel="0" collapsed="false">
      <c r="A944" s="138" t="s">
        <v>6345</v>
      </c>
      <c r="B944" s="138" t="s">
        <v>3381</v>
      </c>
      <c r="C944" s="138" t="s">
        <v>3381</v>
      </c>
      <c r="D944" s="138" t="n">
        <v>487.5705</v>
      </c>
      <c r="E944" s="138" t="n">
        <v>487.571</v>
      </c>
      <c r="F944" s="138" t="s">
        <v>4521</v>
      </c>
      <c r="G944" s="138" t="n">
        <v>23</v>
      </c>
      <c r="H944" s="138" t="s">
        <v>176</v>
      </c>
    </row>
    <row r="945" customFormat="false" ht="15" hidden="false" customHeight="false" outlineLevel="0" collapsed="false">
      <c r="A945" s="138" t="s">
        <v>6345</v>
      </c>
      <c r="B945" s="138" t="s">
        <v>6370</v>
      </c>
      <c r="C945" s="138" t="s">
        <v>6370</v>
      </c>
      <c r="D945" s="138" t="n">
        <v>493.5135</v>
      </c>
      <c r="E945" s="138" t="n">
        <v>493.514</v>
      </c>
      <c r="F945" s="138" t="s">
        <v>4521</v>
      </c>
      <c r="G945" s="138" t="n">
        <v>15</v>
      </c>
      <c r="H945" s="138" t="s">
        <v>176</v>
      </c>
    </row>
    <row r="946" customFormat="false" ht="15" hidden="false" customHeight="false" outlineLevel="0" collapsed="false">
      <c r="A946" s="138" t="s">
        <v>6346</v>
      </c>
      <c r="B946" s="138" t="s">
        <v>6371</v>
      </c>
      <c r="C946" s="138" t="s">
        <v>6371</v>
      </c>
      <c r="D946" s="138" t="n">
        <v>499.22</v>
      </c>
      <c r="E946" s="138" t="n">
        <v>499.2205</v>
      </c>
      <c r="F946" s="138" t="s">
        <v>60</v>
      </c>
      <c r="G946" s="138" t="n">
        <v>27</v>
      </c>
      <c r="H946" s="138" t="s">
        <v>176</v>
      </c>
    </row>
    <row r="947" customFormat="false" ht="15" hidden="false" customHeight="false" outlineLevel="0" collapsed="false">
      <c r="A947" s="138" t="s">
        <v>6345</v>
      </c>
      <c r="B947" s="138" t="s">
        <v>6372</v>
      </c>
      <c r="C947" s="138" t="s">
        <v>6372</v>
      </c>
      <c r="D947" s="138" t="n">
        <v>509.835</v>
      </c>
      <c r="E947" s="138" t="n">
        <v>509.8355</v>
      </c>
      <c r="F947" s="138" t="s">
        <v>59</v>
      </c>
      <c r="G947" s="138" t="n">
        <v>26</v>
      </c>
      <c r="H947" s="138" t="s">
        <v>176</v>
      </c>
    </row>
    <row r="948" customFormat="false" ht="15" hidden="false" customHeight="false" outlineLevel="0" collapsed="false">
      <c r="A948" s="138" t="s">
        <v>6345</v>
      </c>
      <c r="B948" s="138" t="s">
        <v>6373</v>
      </c>
      <c r="C948" s="138" t="s">
        <v>6373</v>
      </c>
      <c r="D948" s="138" t="n">
        <v>509.995</v>
      </c>
      <c r="E948" s="138" t="n">
        <v>509.9955</v>
      </c>
      <c r="F948" s="138" t="s">
        <v>60</v>
      </c>
      <c r="G948" s="138" t="n">
        <v>8</v>
      </c>
      <c r="H948" s="138" t="s">
        <v>176</v>
      </c>
    </row>
    <row r="949" customFormat="false" ht="15" hidden="false" customHeight="false" outlineLevel="0" collapsed="false">
      <c r="A949" s="138" t="s">
        <v>6345</v>
      </c>
      <c r="B949" s="138" t="s">
        <v>3395</v>
      </c>
      <c r="C949" s="138" t="s">
        <v>3395</v>
      </c>
      <c r="D949" s="138" t="n">
        <v>526.02</v>
      </c>
      <c r="E949" s="138" t="n">
        <v>526.0205</v>
      </c>
      <c r="F949" s="138" t="s">
        <v>4521</v>
      </c>
      <c r="G949" s="138" t="n">
        <v>9</v>
      </c>
      <c r="H949" s="138" t="s">
        <v>176</v>
      </c>
    </row>
    <row r="950" customFormat="false" ht="15" hidden="false" customHeight="false" outlineLevel="0" collapsed="false">
      <c r="A950" s="138" t="s">
        <v>6345</v>
      </c>
      <c r="B950" s="138" t="s">
        <v>3410</v>
      </c>
      <c r="C950" s="138" t="s">
        <v>3410</v>
      </c>
      <c r="D950" s="138" t="n">
        <v>568.538</v>
      </c>
      <c r="E950" s="138" t="n">
        <v>568.5385</v>
      </c>
      <c r="F950" s="138" t="s">
        <v>4521</v>
      </c>
      <c r="G950" s="138" t="n">
        <v>13</v>
      </c>
      <c r="H950" s="138" t="s">
        <v>176</v>
      </c>
    </row>
    <row r="951" customFormat="false" ht="15" hidden="false" customHeight="false" outlineLevel="0" collapsed="false">
      <c r="A951" s="138" t="s">
        <v>6346</v>
      </c>
      <c r="B951" s="138" t="s">
        <v>6374</v>
      </c>
      <c r="C951" s="138" t="s">
        <v>6374</v>
      </c>
      <c r="D951" s="138" t="n">
        <v>572.155</v>
      </c>
      <c r="E951" s="138" t="n">
        <v>572.1555</v>
      </c>
      <c r="F951" s="138" t="s">
        <v>59</v>
      </c>
      <c r="G951" s="138" t="n">
        <v>5</v>
      </c>
      <c r="H951" s="138" t="s">
        <v>176</v>
      </c>
    </row>
    <row r="952" customFormat="false" ht="15" hidden="false" customHeight="false" outlineLevel="0" collapsed="false">
      <c r="A952" s="138" t="s">
        <v>6345</v>
      </c>
      <c r="B952" s="138" t="s">
        <v>3418</v>
      </c>
      <c r="C952" s="138" t="s">
        <v>3418</v>
      </c>
      <c r="D952" s="138" t="n">
        <v>579.8445</v>
      </c>
      <c r="E952" s="138" t="n">
        <v>579.845</v>
      </c>
      <c r="F952" s="138" t="s">
        <v>4521</v>
      </c>
      <c r="G952" s="138" t="n">
        <v>11</v>
      </c>
      <c r="H952" s="138" t="s">
        <v>176</v>
      </c>
    </row>
    <row r="953" customFormat="false" ht="15" hidden="false" customHeight="false" outlineLevel="0" collapsed="false">
      <c r="A953" s="138" t="s">
        <v>6346</v>
      </c>
      <c r="B953" s="138" t="s">
        <v>6375</v>
      </c>
      <c r="C953" s="138" t="s">
        <v>6375</v>
      </c>
      <c r="D953" s="138" t="n">
        <v>582.095</v>
      </c>
      <c r="E953" s="138" t="n">
        <v>582.0955</v>
      </c>
      <c r="F953" s="138" t="s">
        <v>59</v>
      </c>
      <c r="G953" s="138" t="n">
        <v>10</v>
      </c>
      <c r="H953" s="138" t="s">
        <v>176</v>
      </c>
    </row>
    <row r="954" customFormat="false" ht="15" hidden="false" customHeight="false" outlineLevel="0" collapsed="false">
      <c r="A954" s="138" t="s">
        <v>6345</v>
      </c>
      <c r="B954" s="138" t="s">
        <v>3420</v>
      </c>
      <c r="C954" s="138" t="s">
        <v>3420</v>
      </c>
      <c r="D954" s="138" t="n">
        <v>591.7715</v>
      </c>
      <c r="E954" s="138" t="n">
        <v>591.772</v>
      </c>
      <c r="F954" s="138" t="s">
        <v>4521</v>
      </c>
      <c r="G954" s="138" t="n">
        <v>18</v>
      </c>
      <c r="H954" s="138" t="s">
        <v>176</v>
      </c>
    </row>
    <row r="955" customFormat="false" ht="15" hidden="false" customHeight="false" outlineLevel="0" collapsed="false">
      <c r="A955" s="138" t="s">
        <v>6346</v>
      </c>
      <c r="B955" s="138" t="s">
        <v>6376</v>
      </c>
      <c r="C955" s="138" t="s">
        <v>6376</v>
      </c>
      <c r="D955" s="138" t="n">
        <v>604.865</v>
      </c>
      <c r="E955" s="138" t="n">
        <v>604.8655</v>
      </c>
      <c r="F955" s="138" t="s">
        <v>60</v>
      </c>
      <c r="G955" s="138" t="n">
        <v>6</v>
      </c>
      <c r="H955" s="138" t="s">
        <v>176</v>
      </c>
    </row>
    <row r="956" customFormat="false" ht="15" hidden="false" customHeight="false" outlineLevel="0" collapsed="false">
      <c r="A956" s="138" t="s">
        <v>6345</v>
      </c>
      <c r="B956" s="138" t="s">
        <v>3433</v>
      </c>
      <c r="C956" s="138" t="s">
        <v>3433</v>
      </c>
      <c r="D956" s="138" t="n">
        <v>608.184</v>
      </c>
      <c r="E956" s="138" t="n">
        <v>608.1845</v>
      </c>
      <c r="F956" s="138" t="s">
        <v>4521</v>
      </c>
      <c r="G956" s="138" t="n">
        <v>14</v>
      </c>
      <c r="H956" s="138" t="s">
        <v>176</v>
      </c>
    </row>
    <row r="957" customFormat="false" ht="15" hidden="false" customHeight="false" outlineLevel="0" collapsed="false">
      <c r="A957" s="138" t="s">
        <v>6345</v>
      </c>
      <c r="B957" s="138" t="s">
        <v>4473</v>
      </c>
      <c r="C957" s="138" t="s">
        <v>4473</v>
      </c>
      <c r="D957" s="138" t="n">
        <v>608.2635</v>
      </c>
      <c r="E957" s="138" t="n">
        <v>608.264</v>
      </c>
      <c r="F957" s="138" t="s">
        <v>4521</v>
      </c>
      <c r="G957" s="138" t="n">
        <v>14</v>
      </c>
      <c r="H957" s="138" t="s">
        <v>176</v>
      </c>
    </row>
    <row r="958" customFormat="false" ht="15" hidden="false" customHeight="false" outlineLevel="0" collapsed="false">
      <c r="A958" s="138" t="s">
        <v>6346</v>
      </c>
      <c r="B958" s="138" t="s">
        <v>6377</v>
      </c>
      <c r="C958" s="138" t="s">
        <v>6377</v>
      </c>
      <c r="D958" s="138" t="n">
        <v>608.575</v>
      </c>
      <c r="E958" s="138" t="n">
        <v>608.5755</v>
      </c>
      <c r="F958" s="138" t="s">
        <v>59</v>
      </c>
      <c r="G958" s="138" t="n">
        <v>12</v>
      </c>
      <c r="H958" s="138" t="s">
        <v>176</v>
      </c>
    </row>
    <row r="959" customFormat="false" ht="15" hidden="false" customHeight="false" outlineLevel="0" collapsed="false">
      <c r="A959" s="138" t="s">
        <v>6378</v>
      </c>
      <c r="B959" s="138" t="s">
        <v>6379</v>
      </c>
      <c r="C959" s="138" t="s">
        <v>6379</v>
      </c>
      <c r="D959" s="138" t="n">
        <v>608.92</v>
      </c>
      <c r="E959" s="138" t="n">
        <v>608.9205</v>
      </c>
      <c r="F959" s="138" t="s">
        <v>59</v>
      </c>
      <c r="G959" s="138" t="n">
        <v>2.2</v>
      </c>
      <c r="H959" s="138" t="s">
        <v>77</v>
      </c>
    </row>
    <row r="960" customFormat="false" ht="15" hidden="false" customHeight="false" outlineLevel="0" collapsed="false">
      <c r="A960" s="138" t="s">
        <v>6346</v>
      </c>
      <c r="B960" s="138" t="s">
        <v>6342</v>
      </c>
      <c r="C960" s="138" t="s">
        <v>6342</v>
      </c>
      <c r="D960" s="138" t="n">
        <v>609.755</v>
      </c>
      <c r="E960" s="138" t="n">
        <v>609.7555</v>
      </c>
      <c r="F960" s="138" t="s">
        <v>59</v>
      </c>
      <c r="G960" s="138" t="n">
        <v>32</v>
      </c>
      <c r="H960" s="138" t="s">
        <v>176</v>
      </c>
    </row>
    <row r="961" customFormat="false" ht="15" hidden="false" customHeight="false" outlineLevel="0" collapsed="false">
      <c r="A961" s="138" t="s">
        <v>6378</v>
      </c>
      <c r="B961" s="138" t="s">
        <v>6380</v>
      </c>
      <c r="C961" s="138" t="s">
        <v>6380</v>
      </c>
      <c r="D961" s="138" t="n">
        <v>610.575</v>
      </c>
      <c r="E961" s="138" t="n">
        <v>610.5755</v>
      </c>
      <c r="F961" s="138" t="s">
        <v>59</v>
      </c>
      <c r="G961" s="138" t="n">
        <v>0.75</v>
      </c>
      <c r="H961" s="138" t="s">
        <v>77</v>
      </c>
    </row>
    <row r="962" customFormat="false" ht="15" hidden="false" customHeight="false" outlineLevel="0" collapsed="false">
      <c r="A962" s="138" t="s">
        <v>6346</v>
      </c>
      <c r="B962" s="138" t="s">
        <v>6381</v>
      </c>
      <c r="C962" s="138" t="s">
        <v>6381</v>
      </c>
      <c r="D962" s="138" t="n">
        <v>312.015</v>
      </c>
      <c r="E962" s="138" t="n">
        <v>312.0155</v>
      </c>
      <c r="F962" s="138" t="s">
        <v>59</v>
      </c>
      <c r="G962" s="138" t="n">
        <v>57</v>
      </c>
      <c r="H962" s="138" t="s">
        <v>176</v>
      </c>
    </row>
    <row r="963" customFormat="false" ht="15" hidden="false" customHeight="false" outlineLevel="0" collapsed="false">
      <c r="A963" s="138" t="s">
        <v>6378</v>
      </c>
      <c r="B963" s="138" t="s">
        <v>6382</v>
      </c>
      <c r="C963" s="138" t="s">
        <v>6382</v>
      </c>
      <c r="D963" s="138" t="n">
        <v>613.455</v>
      </c>
      <c r="E963" s="138" t="n">
        <v>613.4555</v>
      </c>
      <c r="F963" s="138" t="s">
        <v>59</v>
      </c>
      <c r="G963" s="138" t="n">
        <v>0.75</v>
      </c>
      <c r="H963" s="138" t="s">
        <v>77</v>
      </c>
    </row>
    <row r="964" customFormat="false" ht="15" hidden="false" customHeight="false" outlineLevel="0" collapsed="false">
      <c r="A964" s="138" t="s">
        <v>6346</v>
      </c>
      <c r="B964" s="138" t="s">
        <v>6383</v>
      </c>
      <c r="C964" s="138" t="s">
        <v>6383</v>
      </c>
      <c r="D964" s="138" t="n">
        <v>614.4</v>
      </c>
      <c r="E964" s="138" t="n">
        <v>614.4005</v>
      </c>
      <c r="F964" s="138" t="s">
        <v>59</v>
      </c>
      <c r="G964" s="138" t="n">
        <v>37</v>
      </c>
      <c r="H964" s="138" t="s">
        <v>176</v>
      </c>
    </row>
    <row r="965" customFormat="false" ht="15" hidden="false" customHeight="false" outlineLevel="0" collapsed="false">
      <c r="A965" s="138" t="s">
        <v>6345</v>
      </c>
      <c r="B965" s="138" t="s">
        <v>3445</v>
      </c>
      <c r="C965" s="138" t="s">
        <v>3445</v>
      </c>
      <c r="D965" s="138" t="n">
        <v>623.297</v>
      </c>
      <c r="E965" s="138" t="n">
        <v>623.2975</v>
      </c>
      <c r="F965" s="138" t="s">
        <v>4521</v>
      </c>
      <c r="G965" s="138" t="n">
        <v>17</v>
      </c>
      <c r="H965" s="138" t="s">
        <v>176</v>
      </c>
    </row>
    <row r="966" customFormat="false" ht="15" hidden="false" customHeight="false" outlineLevel="0" collapsed="false">
      <c r="A966" s="138" t="s">
        <v>6352</v>
      </c>
      <c r="B966" s="138" t="s">
        <v>3445</v>
      </c>
      <c r="C966" s="138" t="s">
        <v>3445</v>
      </c>
      <c r="D966" s="138" t="n">
        <v>623.297</v>
      </c>
      <c r="E966" s="138" t="n">
        <v>623.2975</v>
      </c>
      <c r="F966" s="138" t="s">
        <v>4521</v>
      </c>
      <c r="G966" s="138" t="n">
        <v>1.86</v>
      </c>
      <c r="H966" s="138" t="s">
        <v>77</v>
      </c>
    </row>
    <row r="967" customFormat="false" ht="15" hidden="false" customHeight="false" outlineLevel="0" collapsed="false">
      <c r="A967" s="138" t="s">
        <v>6345</v>
      </c>
      <c r="B967" s="138" t="s">
        <v>6384</v>
      </c>
      <c r="C967" s="138" t="s">
        <v>6384</v>
      </c>
      <c r="D967" s="138" t="n">
        <v>625.035</v>
      </c>
      <c r="E967" s="138" t="n">
        <v>625.0355</v>
      </c>
      <c r="F967" s="138" t="s">
        <v>59</v>
      </c>
      <c r="G967" s="138" t="n">
        <v>6</v>
      </c>
      <c r="H967" s="138" t="s">
        <v>176</v>
      </c>
    </row>
    <row r="968" customFormat="false" ht="15" hidden="false" customHeight="false" outlineLevel="0" collapsed="false">
      <c r="A968" s="138" t="s">
        <v>6345</v>
      </c>
      <c r="B968" s="138" t="s">
        <v>6385</v>
      </c>
      <c r="C968" s="138" t="s">
        <v>6385</v>
      </c>
      <c r="D968" s="138" t="n">
        <v>627.59</v>
      </c>
      <c r="E968" s="138" t="n">
        <v>627.5905</v>
      </c>
      <c r="F968" s="138" t="s">
        <v>59</v>
      </c>
      <c r="G968" s="138" t="n">
        <v>6</v>
      </c>
      <c r="H968" s="138" t="s">
        <v>176</v>
      </c>
    </row>
    <row r="969" customFormat="false" ht="15" hidden="false" customHeight="false" outlineLevel="0" collapsed="false">
      <c r="A969" s="138" t="s">
        <v>6345</v>
      </c>
      <c r="B969" s="138" t="s">
        <v>6386</v>
      </c>
      <c r="C969" s="138" t="s">
        <v>6386</v>
      </c>
      <c r="D969" s="138" t="n">
        <v>630.245</v>
      </c>
      <c r="E969" s="138" t="n">
        <v>630.2455</v>
      </c>
      <c r="F969" s="138" t="s">
        <v>59</v>
      </c>
      <c r="G969" s="138" t="n">
        <v>73</v>
      </c>
      <c r="H969" s="138" t="s">
        <v>176</v>
      </c>
    </row>
    <row r="970" customFormat="false" ht="15" hidden="false" customHeight="false" outlineLevel="0" collapsed="false">
      <c r="A970" s="138" t="s">
        <v>6378</v>
      </c>
      <c r="B970" s="138" t="s">
        <v>6387</v>
      </c>
      <c r="C970" s="138" t="s">
        <v>6387</v>
      </c>
      <c r="D970" s="138" t="n">
        <v>632.075</v>
      </c>
      <c r="E970" s="138" t="n">
        <v>632.0755</v>
      </c>
      <c r="F970" s="138" t="s">
        <v>59</v>
      </c>
      <c r="G970" s="138" t="n">
        <v>0.75</v>
      </c>
      <c r="H970" s="138" t="s">
        <v>77</v>
      </c>
    </row>
    <row r="971" customFormat="false" ht="15" hidden="false" customHeight="false" outlineLevel="0" collapsed="false">
      <c r="A971" s="138" t="s">
        <v>6345</v>
      </c>
      <c r="B971" s="138" t="s">
        <v>6388</v>
      </c>
      <c r="C971" s="138" t="s">
        <v>6388</v>
      </c>
      <c r="D971" s="138" t="n">
        <v>633.34</v>
      </c>
      <c r="E971" s="138" t="n">
        <v>633.3405</v>
      </c>
      <c r="F971" s="138" t="s">
        <v>59</v>
      </c>
      <c r="G971" s="138" t="n">
        <v>50</v>
      </c>
      <c r="H971" s="138" t="s">
        <v>176</v>
      </c>
    </row>
    <row r="972" customFormat="false" ht="15" hidden="false" customHeight="false" outlineLevel="0" collapsed="false">
      <c r="A972" s="138" t="s">
        <v>6378</v>
      </c>
      <c r="B972" s="138" t="s">
        <v>6389</v>
      </c>
      <c r="C972" s="138" t="s">
        <v>6389</v>
      </c>
      <c r="D972" s="138" t="n">
        <v>634.615</v>
      </c>
      <c r="E972" s="138" t="n">
        <v>634.6155</v>
      </c>
      <c r="F972" s="138" t="s">
        <v>59</v>
      </c>
      <c r="G972" s="138" t="n">
        <v>0.75</v>
      </c>
      <c r="H972" s="138" t="s">
        <v>77</v>
      </c>
    </row>
    <row r="973" customFormat="false" ht="15" hidden="false" customHeight="false" outlineLevel="0" collapsed="false">
      <c r="A973" s="138" t="s">
        <v>6346</v>
      </c>
      <c r="B973" s="138" t="s">
        <v>6390</v>
      </c>
      <c r="C973" s="138" t="s">
        <v>6390</v>
      </c>
      <c r="D973" s="138" t="n">
        <v>634.935</v>
      </c>
      <c r="E973" s="138" t="n">
        <v>634.9355</v>
      </c>
      <c r="F973" s="138" t="s">
        <v>59</v>
      </c>
      <c r="G973" s="138" t="n">
        <v>12</v>
      </c>
      <c r="H973" s="138" t="s">
        <v>176</v>
      </c>
    </row>
    <row r="974" customFormat="false" ht="15" hidden="false" customHeight="false" outlineLevel="0" collapsed="false">
      <c r="A974" s="138" t="s">
        <v>6378</v>
      </c>
      <c r="B974" s="138" t="s">
        <v>6391</v>
      </c>
      <c r="C974" s="138" t="s">
        <v>6391</v>
      </c>
      <c r="D974" s="138" t="n">
        <v>635.26</v>
      </c>
      <c r="E974" s="138" t="n">
        <v>635.2605</v>
      </c>
      <c r="F974" s="138" t="s">
        <v>59</v>
      </c>
      <c r="G974" s="138" t="n">
        <v>0.75</v>
      </c>
      <c r="H974" s="138" t="s">
        <v>77</v>
      </c>
    </row>
    <row r="976" customFormat="false" ht="15" hidden="false" customHeight="false" outlineLevel="0" collapsed="false">
      <c r="A976" s="136" t="s">
        <v>6392</v>
      </c>
    </row>
  </sheetData>
  <autoFilter ref="A1:H9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1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60"/>
  </cols>
  <sheetData>
    <row r="1" customFormat="false" ht="22.35" hidden="false" customHeight="false" outlineLevel="0" collapsed="false">
      <c r="A1" s="133" t="s">
        <v>4015</v>
      </c>
      <c r="B1" s="133" t="s">
        <v>9</v>
      </c>
      <c r="C1" s="133" t="s">
        <v>3158</v>
      </c>
      <c r="D1" s="133" t="s">
        <v>2370</v>
      </c>
      <c r="E1" s="133" t="s">
        <v>6393</v>
      </c>
      <c r="F1" s="133" t="s">
        <v>6394</v>
      </c>
      <c r="G1" s="133" t="s">
        <v>6395</v>
      </c>
      <c r="H1" s="133" t="s">
        <v>3159</v>
      </c>
      <c r="I1" s="133" t="s">
        <v>1328</v>
      </c>
    </row>
    <row r="2" customFormat="false" ht="15" hidden="false" customHeight="false" outlineLevel="0" collapsed="false">
      <c r="A2" s="138" t="s">
        <v>6396</v>
      </c>
      <c r="B2" s="138" t="s">
        <v>6397</v>
      </c>
      <c r="C2" s="138" t="n">
        <v>72.2557</v>
      </c>
      <c r="D2" s="138" t="s">
        <v>59</v>
      </c>
      <c r="E2" s="138" t="n">
        <v>7</v>
      </c>
      <c r="F2" s="138" t="n">
        <v>542452.281</v>
      </c>
      <c r="G2" s="138" t="n">
        <v>7161703.447</v>
      </c>
      <c r="H2" s="138" t="n">
        <v>1</v>
      </c>
      <c r="I2" s="138" t="s">
        <v>6398</v>
      </c>
    </row>
    <row r="3" customFormat="false" ht="15" hidden="false" customHeight="false" outlineLevel="0" collapsed="false">
      <c r="A3" s="138" t="s">
        <v>6396</v>
      </c>
      <c r="B3" s="138" t="s">
        <v>6399</v>
      </c>
      <c r="C3" s="138" t="n">
        <v>168.718</v>
      </c>
      <c r="D3" s="138" t="s">
        <v>59</v>
      </c>
      <c r="E3" s="138" t="n">
        <v>9.6</v>
      </c>
      <c r="F3" s="138" t="n">
        <v>540676.051</v>
      </c>
      <c r="G3" s="138" t="n">
        <v>7162459.617</v>
      </c>
      <c r="H3" s="138" t="n">
        <v>1</v>
      </c>
      <c r="I3" s="138" t="s">
        <v>6398</v>
      </c>
    </row>
    <row r="4" customFormat="false" ht="15" hidden="false" customHeight="false" outlineLevel="0" collapsed="false">
      <c r="A4" s="138" t="s">
        <v>6396</v>
      </c>
      <c r="B4" s="138" t="s">
        <v>6400</v>
      </c>
      <c r="C4" s="138" t="n">
        <v>169.1429</v>
      </c>
      <c r="D4" s="138" t="s">
        <v>60</v>
      </c>
      <c r="E4" s="138" t="n">
        <v>6.4</v>
      </c>
      <c r="F4" s="138" t="n">
        <v>540678.774</v>
      </c>
      <c r="G4" s="138" t="n">
        <v>7162477.526</v>
      </c>
      <c r="H4" s="138" t="n">
        <v>1</v>
      </c>
      <c r="I4" s="138" t="s">
        <v>6398</v>
      </c>
    </row>
    <row r="5" customFormat="false" ht="15" hidden="false" customHeight="false" outlineLevel="0" collapsed="false">
      <c r="A5" s="138" t="s">
        <v>6396</v>
      </c>
      <c r="B5" s="138" t="s">
        <v>6401</v>
      </c>
      <c r="C5" s="138" t="n">
        <v>169.267</v>
      </c>
      <c r="D5" s="138" t="s">
        <v>59</v>
      </c>
      <c r="E5" s="138" t="n">
        <v>9.4</v>
      </c>
      <c r="F5" s="138" t="n">
        <v>540667.313</v>
      </c>
      <c r="G5" s="138" t="n">
        <v>7162466.369</v>
      </c>
      <c r="H5" s="138" t="n">
        <v>1</v>
      </c>
      <c r="I5" s="138" t="s">
        <v>6398</v>
      </c>
    </row>
    <row r="6" customFormat="false" ht="15" hidden="false" customHeight="false" outlineLevel="0" collapsed="false">
      <c r="A6" s="138" t="s">
        <v>6396</v>
      </c>
      <c r="B6" s="138" t="s">
        <v>6402</v>
      </c>
      <c r="C6" s="138" t="n">
        <v>178.1155</v>
      </c>
      <c r="D6" s="138" t="s">
        <v>59</v>
      </c>
      <c r="E6" s="138" t="n">
        <v>8.5</v>
      </c>
      <c r="F6" s="138" t="n">
        <v>540526.278</v>
      </c>
      <c r="G6" s="138" t="n">
        <v>7162573.044</v>
      </c>
      <c r="H6" s="138" t="n">
        <v>1</v>
      </c>
      <c r="I6" s="138" t="s">
        <v>6398</v>
      </c>
    </row>
    <row r="7" customFormat="false" ht="15" hidden="false" customHeight="false" outlineLevel="0" collapsed="false">
      <c r="A7" s="138" t="s">
        <v>6396</v>
      </c>
      <c r="B7" s="138" t="s">
        <v>6403</v>
      </c>
      <c r="C7" s="138" t="n">
        <v>183.9305</v>
      </c>
      <c r="D7" s="138" t="s">
        <v>59</v>
      </c>
      <c r="E7" s="138" t="n">
        <v>7.8</v>
      </c>
      <c r="F7" s="138" t="n">
        <v>540433.669</v>
      </c>
      <c r="G7" s="138" t="n">
        <v>7162643.144</v>
      </c>
      <c r="H7" s="138" t="n">
        <v>1</v>
      </c>
      <c r="I7" s="138" t="s">
        <v>6398</v>
      </c>
    </row>
    <row r="8" customFormat="false" ht="15" hidden="false" customHeight="false" outlineLevel="0" collapsed="false">
      <c r="A8" s="138" t="s">
        <v>6396</v>
      </c>
      <c r="B8" s="138" t="s">
        <v>6404</v>
      </c>
      <c r="C8" s="138" t="n">
        <v>187.2539</v>
      </c>
      <c r="D8" s="138" t="s">
        <v>59</v>
      </c>
      <c r="E8" s="138" t="n">
        <v>9.1</v>
      </c>
      <c r="F8" s="138" t="n">
        <v>540379.721</v>
      </c>
      <c r="G8" s="138" t="n">
        <v>7162681.877</v>
      </c>
      <c r="H8" s="138" t="n">
        <v>1</v>
      </c>
      <c r="I8" s="138" t="s">
        <v>6398</v>
      </c>
    </row>
    <row r="9" customFormat="false" ht="15" hidden="false" customHeight="false" outlineLevel="0" collapsed="false">
      <c r="A9" s="138" t="s">
        <v>6396</v>
      </c>
      <c r="B9" s="138" t="s">
        <v>6405</v>
      </c>
      <c r="C9" s="138" t="n">
        <v>193.0032</v>
      </c>
      <c r="D9" s="138" t="s">
        <v>59</v>
      </c>
      <c r="E9" s="138" t="n">
        <v>14.2</v>
      </c>
      <c r="F9" s="138" t="n">
        <v>540286.996</v>
      </c>
      <c r="G9" s="138" t="n">
        <v>7162742.681</v>
      </c>
      <c r="H9" s="138" t="n">
        <v>1</v>
      </c>
      <c r="I9" s="138" t="s">
        <v>6398</v>
      </c>
    </row>
    <row r="10" customFormat="false" ht="15" hidden="false" customHeight="false" outlineLevel="0" collapsed="false">
      <c r="A10" s="138" t="s">
        <v>6396</v>
      </c>
      <c r="B10" s="138" t="s">
        <v>6406</v>
      </c>
      <c r="C10" s="138" t="n">
        <v>196.1819</v>
      </c>
      <c r="D10" s="138" t="s">
        <v>59</v>
      </c>
      <c r="E10" s="138" t="n">
        <v>9.4</v>
      </c>
      <c r="F10" s="138" t="n">
        <v>540226.314</v>
      </c>
      <c r="G10" s="138" t="n">
        <v>7162764.517</v>
      </c>
      <c r="H10" s="138" t="n">
        <v>1</v>
      </c>
      <c r="I10" s="138" t="s">
        <v>6398</v>
      </c>
    </row>
    <row r="11" customFormat="false" ht="15" hidden="false" customHeight="false" outlineLevel="0" collapsed="false">
      <c r="A11" s="138" t="s">
        <v>6396</v>
      </c>
      <c r="B11" s="138" t="s">
        <v>6407</v>
      </c>
      <c r="C11" s="138" t="n">
        <v>208.1224</v>
      </c>
      <c r="D11" s="138" t="s">
        <v>59</v>
      </c>
      <c r="E11" s="138" t="n">
        <v>7.6</v>
      </c>
      <c r="F11" s="138" t="n">
        <v>539996.301</v>
      </c>
      <c r="G11" s="138" t="n">
        <v>7162830.307</v>
      </c>
      <c r="H11" s="138" t="n">
        <v>1</v>
      </c>
      <c r="I11" s="138" t="s">
        <v>6398</v>
      </c>
    </row>
    <row r="12" customFormat="false" ht="15" hidden="false" customHeight="false" outlineLevel="0" collapsed="false">
      <c r="A12" s="138" t="s">
        <v>6396</v>
      </c>
      <c r="B12" s="138" t="s">
        <v>6408</v>
      </c>
      <c r="C12" s="138" t="n">
        <v>219.2048</v>
      </c>
      <c r="D12" s="138" t="s">
        <v>59</v>
      </c>
      <c r="E12" s="138" t="n">
        <v>6.1</v>
      </c>
      <c r="F12" s="138" t="n">
        <v>539783.173</v>
      </c>
      <c r="G12" s="138" t="n">
        <v>7162891.073</v>
      </c>
      <c r="H12" s="138" t="n">
        <v>1</v>
      </c>
      <c r="I12" s="138" t="s">
        <v>6398</v>
      </c>
    </row>
    <row r="13" customFormat="false" ht="15" hidden="false" customHeight="false" outlineLevel="0" collapsed="false">
      <c r="A13" s="138" t="s">
        <v>6396</v>
      </c>
      <c r="B13" s="138" t="s">
        <v>6409</v>
      </c>
      <c r="C13" s="138" t="n">
        <v>231.5127</v>
      </c>
      <c r="D13" s="138" t="s">
        <v>59</v>
      </c>
      <c r="E13" s="138" t="n">
        <v>9.4</v>
      </c>
      <c r="F13" s="138" t="n">
        <v>539545.169</v>
      </c>
      <c r="G13" s="138" t="n">
        <v>7162953.856</v>
      </c>
      <c r="H13" s="138" t="n">
        <v>1</v>
      </c>
      <c r="I13" s="138" t="s">
        <v>6398</v>
      </c>
    </row>
    <row r="14" customFormat="false" ht="15" hidden="false" customHeight="false" outlineLevel="0" collapsed="false">
      <c r="A14" s="138" t="s">
        <v>6396</v>
      </c>
      <c r="B14" s="138" t="s">
        <v>6410</v>
      </c>
      <c r="C14" s="138" t="n">
        <v>327.8766</v>
      </c>
      <c r="D14" s="138" t="s">
        <v>60</v>
      </c>
      <c r="E14" s="138" t="n">
        <v>5.8</v>
      </c>
      <c r="F14" s="138" t="n">
        <v>537694.738</v>
      </c>
      <c r="G14" s="138" t="n">
        <v>7163491.604</v>
      </c>
      <c r="H14" s="138" t="n">
        <v>1</v>
      </c>
      <c r="I14" s="138" t="s">
        <v>6398</v>
      </c>
    </row>
    <row r="15" customFormat="false" ht="15" hidden="false" customHeight="false" outlineLevel="0" collapsed="false">
      <c r="A15" s="138" t="s">
        <v>6396</v>
      </c>
      <c r="B15" s="138" t="s">
        <v>6411</v>
      </c>
      <c r="C15" s="138" t="n">
        <v>327.953</v>
      </c>
      <c r="D15" s="138" t="s">
        <v>59</v>
      </c>
      <c r="E15" s="138" t="n">
        <v>12.1</v>
      </c>
      <c r="F15" s="138" t="n">
        <v>537687.875</v>
      </c>
      <c r="G15" s="138" t="n">
        <v>7163474.999</v>
      </c>
      <c r="H15" s="138" t="n">
        <v>1</v>
      </c>
      <c r="I15" s="138" t="s">
        <v>6398</v>
      </c>
    </row>
    <row r="16" customFormat="false" ht="15" hidden="false" customHeight="false" outlineLevel="0" collapsed="false">
      <c r="A16" s="138" t="s">
        <v>6396</v>
      </c>
      <c r="B16" s="138" t="s">
        <v>6412</v>
      </c>
      <c r="C16" s="138" t="n">
        <v>337.0091</v>
      </c>
      <c r="D16" s="138" t="s">
        <v>60</v>
      </c>
      <c r="E16" s="138" t="n">
        <v>16.8</v>
      </c>
      <c r="F16" s="138" t="n">
        <v>537544.494</v>
      </c>
      <c r="G16" s="138" t="n">
        <v>7163588.595</v>
      </c>
      <c r="H16" s="138" t="n">
        <v>1</v>
      </c>
      <c r="I16" s="138" t="s">
        <v>6398</v>
      </c>
    </row>
    <row r="17" customFormat="false" ht="15" hidden="false" customHeight="false" outlineLevel="0" collapsed="false">
      <c r="A17" s="138" t="s">
        <v>6396</v>
      </c>
      <c r="B17" s="138" t="s">
        <v>6413</v>
      </c>
      <c r="C17" s="138" t="n">
        <v>339.8518</v>
      </c>
      <c r="D17" s="138" t="s">
        <v>60</v>
      </c>
      <c r="E17" s="138" t="n">
        <v>18.3</v>
      </c>
      <c r="F17" s="138" t="n">
        <v>537500.199</v>
      </c>
      <c r="G17" s="138" t="n">
        <v>7163623.888</v>
      </c>
      <c r="H17" s="138" t="n">
        <v>1</v>
      </c>
      <c r="I17" s="138" t="s">
        <v>6398</v>
      </c>
    </row>
    <row r="18" customFormat="false" ht="15" hidden="false" customHeight="false" outlineLevel="0" collapsed="false">
      <c r="A18" s="138" t="s">
        <v>6396</v>
      </c>
      <c r="B18" s="138" t="s">
        <v>6414</v>
      </c>
      <c r="C18" s="138" t="n">
        <v>340.2968</v>
      </c>
      <c r="D18" s="138" t="s">
        <v>60</v>
      </c>
      <c r="E18" s="138" t="n">
        <v>18.5</v>
      </c>
      <c r="F18" s="138" t="n">
        <v>537493.197</v>
      </c>
      <c r="G18" s="138" t="n">
        <v>7163629.314</v>
      </c>
      <c r="H18" s="138" t="n">
        <v>1</v>
      </c>
      <c r="I18" s="138" t="s">
        <v>6398</v>
      </c>
    </row>
    <row r="19" customFormat="false" ht="15" hidden="false" customHeight="false" outlineLevel="0" collapsed="false">
      <c r="A19" s="138" t="s">
        <v>6396</v>
      </c>
      <c r="B19" s="138" t="s">
        <v>6415</v>
      </c>
      <c r="C19" s="138" t="n">
        <v>390.3954</v>
      </c>
      <c r="D19" s="138" t="s">
        <v>60</v>
      </c>
      <c r="E19" s="138" t="n">
        <v>11.3</v>
      </c>
      <c r="F19" s="138" t="n">
        <v>536544.733</v>
      </c>
      <c r="G19" s="138" t="n">
        <v>7163925.099</v>
      </c>
      <c r="H19" s="138" t="n">
        <v>1</v>
      </c>
      <c r="I19" s="138" t="s">
        <v>6398</v>
      </c>
    </row>
    <row r="20" customFormat="false" ht="15" hidden="false" customHeight="false" outlineLevel="0" collapsed="false">
      <c r="A20" s="138" t="s">
        <v>6396</v>
      </c>
      <c r="B20" s="138" t="s">
        <v>6416</v>
      </c>
      <c r="C20" s="138" t="n">
        <v>482.1596</v>
      </c>
      <c r="D20" s="138" t="s">
        <v>60</v>
      </c>
      <c r="E20" s="138" t="n">
        <v>3.1</v>
      </c>
      <c r="F20" s="138" t="n">
        <v>534836.525</v>
      </c>
      <c r="G20" s="138" t="n">
        <v>7164162.774</v>
      </c>
      <c r="H20" s="138" t="n">
        <v>1</v>
      </c>
      <c r="I20" s="138" t="s">
        <v>6398</v>
      </c>
    </row>
    <row r="21" customFormat="false" ht="15" hidden="false" customHeight="false" outlineLevel="0" collapsed="false">
      <c r="A21" s="138" t="s">
        <v>6396</v>
      </c>
      <c r="B21" s="138" t="s">
        <v>6417</v>
      </c>
      <c r="C21" s="138" t="n">
        <v>489.2129</v>
      </c>
      <c r="D21" s="138" t="s">
        <v>59</v>
      </c>
      <c r="E21" s="138" t="n">
        <v>0.4</v>
      </c>
      <c r="F21" s="138" t="n">
        <v>534696.5</v>
      </c>
      <c r="G21" s="138" t="n">
        <v>7164189.381</v>
      </c>
      <c r="H21" s="138" t="n">
        <v>1</v>
      </c>
      <c r="I21" s="138" t="s">
        <v>6398</v>
      </c>
    </row>
    <row r="22" customFormat="false" ht="15" hidden="false" customHeight="false" outlineLevel="0" collapsed="false">
      <c r="A22" s="138" t="s">
        <v>6396</v>
      </c>
      <c r="B22" s="138" t="s">
        <v>6418</v>
      </c>
      <c r="C22" s="138" t="n">
        <v>492.2896</v>
      </c>
      <c r="D22" s="138" t="s">
        <v>59</v>
      </c>
      <c r="E22" s="138" t="n">
        <v>4.9</v>
      </c>
      <c r="F22" s="138" t="n">
        <v>534636.29</v>
      </c>
      <c r="G22" s="138" t="n">
        <v>7164188.014</v>
      </c>
      <c r="H22" s="138" t="n">
        <v>1</v>
      </c>
      <c r="I22" s="138" t="s">
        <v>6398</v>
      </c>
    </row>
    <row r="23" customFormat="false" ht="15" hidden="false" customHeight="false" outlineLevel="0" collapsed="false">
      <c r="A23" s="138" t="s">
        <v>6396</v>
      </c>
      <c r="B23" s="138" t="s">
        <v>6419</v>
      </c>
      <c r="C23" s="138" t="n">
        <v>495.5937</v>
      </c>
      <c r="D23" s="138" t="s">
        <v>59</v>
      </c>
      <c r="E23" s="138" t="n">
        <v>4.6</v>
      </c>
      <c r="F23" s="138" t="n">
        <v>534571.072</v>
      </c>
      <c r="G23" s="138" t="n">
        <v>7164177.349</v>
      </c>
      <c r="H23" s="138" t="n">
        <v>1</v>
      </c>
      <c r="I23" s="138" t="s">
        <v>6398</v>
      </c>
    </row>
    <row r="24" customFormat="false" ht="15" hidden="false" customHeight="false" outlineLevel="0" collapsed="false">
      <c r="A24" s="138" t="s">
        <v>6396</v>
      </c>
      <c r="B24" s="138" t="s">
        <v>6420</v>
      </c>
      <c r="C24" s="138" t="n">
        <v>504.547</v>
      </c>
      <c r="D24" s="138" t="s">
        <v>60</v>
      </c>
      <c r="E24" s="138" t="n">
        <v>6.7</v>
      </c>
      <c r="F24" s="138" t="n">
        <v>534387.236</v>
      </c>
      <c r="G24" s="138" t="n">
        <v>7164157.851</v>
      </c>
      <c r="H24" s="138" t="n">
        <v>1</v>
      </c>
      <c r="I24" s="138" t="s">
        <v>6398</v>
      </c>
    </row>
    <row r="25" customFormat="false" ht="15" hidden="false" customHeight="false" outlineLevel="0" collapsed="false">
      <c r="A25" s="138" t="s">
        <v>6396</v>
      </c>
      <c r="B25" s="138" t="s">
        <v>6421</v>
      </c>
      <c r="C25" s="138" t="n">
        <v>540.1171</v>
      </c>
      <c r="D25" s="138" t="s">
        <v>60</v>
      </c>
      <c r="E25" s="138" t="n">
        <v>12.9</v>
      </c>
      <c r="F25" s="138" t="n">
        <v>533743.468</v>
      </c>
      <c r="G25" s="138" t="n">
        <v>7164458.502</v>
      </c>
      <c r="H25" s="138" t="n">
        <v>1</v>
      </c>
      <c r="I25" s="138" t="s">
        <v>6398</v>
      </c>
    </row>
    <row r="26" customFormat="false" ht="15" hidden="false" customHeight="false" outlineLevel="0" collapsed="false">
      <c r="A26" s="138" t="s">
        <v>6396</v>
      </c>
      <c r="B26" s="138" t="s">
        <v>6422</v>
      </c>
      <c r="C26" s="138" t="n">
        <v>544.6838</v>
      </c>
      <c r="D26" s="138" t="s">
        <v>60</v>
      </c>
      <c r="E26" s="138" t="n">
        <v>10.9</v>
      </c>
      <c r="F26" s="138" t="n">
        <v>533660.723</v>
      </c>
      <c r="G26" s="138" t="n">
        <v>7164497.215</v>
      </c>
      <c r="H26" s="138" t="n">
        <v>1</v>
      </c>
      <c r="I26" s="138" t="s">
        <v>6398</v>
      </c>
    </row>
    <row r="27" customFormat="false" ht="15" hidden="false" customHeight="false" outlineLevel="0" collapsed="false">
      <c r="A27" s="138" t="s">
        <v>6396</v>
      </c>
      <c r="B27" s="138" t="s">
        <v>6423</v>
      </c>
      <c r="C27" s="138" t="n">
        <v>555.0932</v>
      </c>
      <c r="D27" s="138" t="s">
        <v>60</v>
      </c>
      <c r="E27" s="138" t="n">
        <v>9.4</v>
      </c>
      <c r="F27" s="138" t="n">
        <v>533471.892</v>
      </c>
      <c r="G27" s="138" t="n">
        <v>7164585.418</v>
      </c>
      <c r="H27" s="138" t="n">
        <v>1</v>
      </c>
      <c r="I27" s="138" t="s">
        <v>6398</v>
      </c>
    </row>
    <row r="28" customFormat="false" ht="15" hidden="false" customHeight="false" outlineLevel="0" collapsed="false">
      <c r="A28" s="138" t="s">
        <v>6396</v>
      </c>
      <c r="B28" s="138" t="s">
        <v>6424</v>
      </c>
      <c r="C28" s="138" t="n">
        <v>559.66</v>
      </c>
      <c r="D28" s="138" t="s">
        <v>60</v>
      </c>
      <c r="E28" s="138" t="n">
        <v>9</v>
      </c>
      <c r="F28" s="138" t="n">
        <v>533388.956</v>
      </c>
      <c r="G28" s="138" t="n">
        <v>7164623.68</v>
      </c>
      <c r="H28" s="138" t="n">
        <v>1</v>
      </c>
      <c r="I28" s="138" t="s">
        <v>6398</v>
      </c>
    </row>
    <row r="29" customFormat="false" ht="15" hidden="false" customHeight="false" outlineLevel="0" collapsed="false">
      <c r="A29" s="138" t="s">
        <v>6396</v>
      </c>
      <c r="B29" s="138" t="s">
        <v>6425</v>
      </c>
      <c r="C29" s="138" t="n">
        <v>566.4269</v>
      </c>
      <c r="D29" s="138" t="s">
        <v>60</v>
      </c>
      <c r="E29" s="138" t="n">
        <v>9.2</v>
      </c>
      <c r="F29" s="138" t="n">
        <v>533266.378</v>
      </c>
      <c r="G29" s="138" t="n">
        <v>7164681.05</v>
      </c>
      <c r="H29" s="138" t="n">
        <v>1</v>
      </c>
      <c r="I29" s="138" t="s">
        <v>6398</v>
      </c>
    </row>
    <row r="30" customFormat="false" ht="15" hidden="false" customHeight="false" outlineLevel="0" collapsed="false">
      <c r="A30" s="138" t="s">
        <v>6396</v>
      </c>
      <c r="B30" s="138" t="s">
        <v>6426</v>
      </c>
      <c r="C30" s="138" t="n">
        <v>581.2457</v>
      </c>
      <c r="D30" s="138" t="s">
        <v>60</v>
      </c>
      <c r="E30" s="138" t="n">
        <v>8.8</v>
      </c>
      <c r="F30" s="138" t="n">
        <v>532998.658</v>
      </c>
      <c r="G30" s="138" t="n">
        <v>7164807.693</v>
      </c>
      <c r="H30" s="138" t="n">
        <v>1</v>
      </c>
      <c r="I30" s="138" t="s">
        <v>6398</v>
      </c>
    </row>
    <row r="31" customFormat="false" ht="15" hidden="false" customHeight="false" outlineLevel="0" collapsed="false">
      <c r="A31" s="138" t="s">
        <v>6396</v>
      </c>
      <c r="B31" s="138" t="s">
        <v>6427</v>
      </c>
      <c r="C31" s="138" t="n">
        <v>587.2373</v>
      </c>
      <c r="D31" s="138" t="s">
        <v>60</v>
      </c>
      <c r="E31" s="138" t="n">
        <v>7.4</v>
      </c>
      <c r="F31" s="138" t="n">
        <v>532890.525</v>
      </c>
      <c r="G31" s="138" t="n">
        <v>7164859.5</v>
      </c>
      <c r="H31" s="138" t="n">
        <v>1</v>
      </c>
      <c r="I31" s="138" t="s">
        <v>6398</v>
      </c>
    </row>
    <row r="32" customFormat="false" ht="15" hidden="false" customHeight="false" outlineLevel="0" collapsed="false">
      <c r="A32" s="138" t="s">
        <v>6396</v>
      </c>
      <c r="B32" s="138" t="s">
        <v>6428</v>
      </c>
      <c r="C32" s="138" t="n">
        <v>589.9497</v>
      </c>
      <c r="D32" s="138" t="s">
        <v>60</v>
      </c>
      <c r="E32" s="138" t="n">
        <v>12</v>
      </c>
      <c r="F32" s="138" t="n">
        <v>532845.892</v>
      </c>
      <c r="G32" s="138" t="n">
        <v>7164888.136</v>
      </c>
      <c r="H32" s="138" t="n">
        <v>1</v>
      </c>
      <c r="I32" s="138" t="s">
        <v>6398</v>
      </c>
    </row>
    <row r="33" customFormat="false" ht="15" hidden="false" customHeight="false" outlineLevel="0" collapsed="false">
      <c r="A33" s="138" t="s">
        <v>6396</v>
      </c>
      <c r="B33" s="138" t="s">
        <v>6429</v>
      </c>
      <c r="C33" s="138" t="n">
        <v>594.0985</v>
      </c>
      <c r="D33" s="138" t="s">
        <v>60</v>
      </c>
      <c r="E33" s="138" t="n">
        <v>10.3</v>
      </c>
      <c r="F33" s="138" t="n">
        <v>532775.706</v>
      </c>
      <c r="G33" s="138" t="n">
        <v>7164932.628</v>
      </c>
      <c r="H33" s="138" t="n">
        <v>1</v>
      </c>
      <c r="I33" s="138" t="s">
        <v>6398</v>
      </c>
    </row>
    <row r="34" customFormat="false" ht="15" hidden="false" customHeight="false" outlineLevel="0" collapsed="false">
      <c r="A34" s="138" t="s">
        <v>6396</v>
      </c>
      <c r="B34" s="138" t="s">
        <v>6430</v>
      </c>
      <c r="C34" s="138" t="n">
        <v>600.3306</v>
      </c>
      <c r="D34" s="138" t="s">
        <v>60</v>
      </c>
      <c r="E34" s="138" t="n">
        <v>7.5</v>
      </c>
      <c r="F34" s="138" t="n">
        <v>532670.305</v>
      </c>
      <c r="G34" s="138" t="n">
        <v>7164999.22</v>
      </c>
      <c r="H34" s="138" t="n">
        <v>1</v>
      </c>
      <c r="I34" s="138" t="s">
        <v>6398</v>
      </c>
    </row>
    <row r="35" customFormat="false" ht="15" hidden="false" customHeight="false" outlineLevel="0" collapsed="false">
      <c r="A35" s="138" t="s">
        <v>6396</v>
      </c>
      <c r="B35" s="138" t="s">
        <v>6431</v>
      </c>
      <c r="C35" s="138" t="n">
        <v>602.4876</v>
      </c>
      <c r="D35" s="138" t="s">
        <v>60</v>
      </c>
      <c r="E35" s="138" t="n">
        <v>6.7</v>
      </c>
      <c r="F35" s="138" t="n">
        <v>532633.719</v>
      </c>
      <c r="G35" s="138" t="n">
        <v>7165022.576</v>
      </c>
      <c r="H35" s="138" t="n">
        <v>1</v>
      </c>
      <c r="I35" s="138" t="s">
        <v>6398</v>
      </c>
    </row>
    <row r="36" customFormat="false" ht="15" hidden="false" customHeight="false" outlineLevel="0" collapsed="false">
      <c r="A36" s="138" t="s">
        <v>6396</v>
      </c>
      <c r="B36" s="138" t="s">
        <v>6432</v>
      </c>
      <c r="C36" s="138" t="n">
        <v>604.6043</v>
      </c>
      <c r="D36" s="138" t="s">
        <v>60</v>
      </c>
      <c r="E36" s="138" t="n">
        <v>7.6</v>
      </c>
      <c r="F36" s="138" t="n">
        <v>532598.039</v>
      </c>
      <c r="G36" s="138" t="n">
        <v>7165045.385</v>
      </c>
      <c r="H36" s="138" t="n">
        <v>1</v>
      </c>
      <c r="I36" s="138" t="s">
        <v>6398</v>
      </c>
    </row>
    <row r="37" customFormat="false" ht="15" hidden="false" customHeight="false" outlineLevel="0" collapsed="false">
      <c r="A37" s="138" t="s">
        <v>6396</v>
      </c>
      <c r="B37" s="138" t="s">
        <v>6433</v>
      </c>
      <c r="C37" s="138" t="n">
        <v>607.8708</v>
      </c>
      <c r="D37" s="138" t="s">
        <v>60</v>
      </c>
      <c r="E37" s="138" t="n">
        <v>8.9</v>
      </c>
      <c r="F37" s="138" t="n">
        <v>532542.945</v>
      </c>
      <c r="G37" s="138" t="n">
        <v>7165080.518</v>
      </c>
      <c r="H37" s="138" t="n">
        <v>1</v>
      </c>
      <c r="I37" s="138" t="s">
        <v>6398</v>
      </c>
    </row>
    <row r="38" customFormat="false" ht="15" hidden="false" customHeight="false" outlineLevel="0" collapsed="false">
      <c r="A38" s="138" t="s">
        <v>6396</v>
      </c>
      <c r="B38" s="138" t="s">
        <v>6434</v>
      </c>
      <c r="C38" s="138" t="n">
        <v>610.0254</v>
      </c>
      <c r="D38" s="138" t="s">
        <v>60</v>
      </c>
      <c r="E38" s="138" t="n">
        <v>9.6</v>
      </c>
      <c r="F38" s="138" t="n">
        <v>532506.542</v>
      </c>
      <c r="G38" s="138" t="n">
        <v>7165103.594</v>
      </c>
      <c r="H38" s="138" t="n">
        <v>1</v>
      </c>
      <c r="I38" s="138" t="s">
        <v>6398</v>
      </c>
    </row>
    <row r="39" customFormat="false" ht="15" hidden="false" customHeight="false" outlineLevel="0" collapsed="false">
      <c r="A39" s="138" t="s">
        <v>6396</v>
      </c>
      <c r="B39" s="138" t="s">
        <v>6435</v>
      </c>
      <c r="C39" s="138" t="n">
        <v>611.8623</v>
      </c>
      <c r="D39" s="138" t="s">
        <v>59</v>
      </c>
      <c r="E39" s="138" t="n">
        <v>6.2</v>
      </c>
      <c r="F39" s="138" t="n">
        <v>532467.246</v>
      </c>
      <c r="G39" s="138" t="n">
        <v>7165110.123</v>
      </c>
      <c r="H39" s="138" t="n">
        <v>1</v>
      </c>
      <c r="I39" s="138" t="s">
        <v>6398</v>
      </c>
    </row>
    <row r="40" customFormat="false" ht="15" hidden="false" customHeight="false" outlineLevel="0" collapsed="false">
      <c r="A40" s="138" t="s">
        <v>6396</v>
      </c>
      <c r="B40" s="138" t="s">
        <v>6436</v>
      </c>
      <c r="C40" s="138" t="n">
        <v>611.8793</v>
      </c>
      <c r="D40" s="138" t="s">
        <v>60</v>
      </c>
      <c r="E40" s="138" t="n">
        <v>9.2</v>
      </c>
      <c r="F40" s="138" t="n">
        <v>532475.407</v>
      </c>
      <c r="G40" s="138" t="n">
        <v>7165123.112</v>
      </c>
      <c r="H40" s="138" t="n">
        <v>1</v>
      </c>
      <c r="I40" s="138" t="s">
        <v>6398</v>
      </c>
    </row>
    <row r="41" customFormat="false" ht="15" hidden="false" customHeight="false" outlineLevel="0" collapsed="false">
      <c r="A41" s="138" t="s">
        <v>6396</v>
      </c>
      <c r="B41" s="138" t="s">
        <v>6437</v>
      </c>
      <c r="C41" s="138" t="n">
        <v>612.3429</v>
      </c>
      <c r="D41" s="138" t="s">
        <v>60</v>
      </c>
      <c r="E41" s="138" t="n">
        <v>9</v>
      </c>
      <c r="F41" s="138" t="n">
        <v>532467.57</v>
      </c>
      <c r="G41" s="138" t="n">
        <v>7165128.074</v>
      </c>
      <c r="H41" s="138" t="n">
        <v>1</v>
      </c>
      <c r="I41" s="138" t="s">
        <v>6398</v>
      </c>
    </row>
    <row r="42" customFormat="false" ht="15" hidden="false" customHeight="false" outlineLevel="0" collapsed="false">
      <c r="A42" s="138" t="s">
        <v>6396</v>
      </c>
      <c r="B42" s="138" t="s">
        <v>6438</v>
      </c>
      <c r="C42" s="138" t="n">
        <v>612.5371</v>
      </c>
      <c r="D42" s="138" t="s">
        <v>60</v>
      </c>
      <c r="E42" s="138" t="n">
        <v>9.8</v>
      </c>
      <c r="F42" s="138" t="n">
        <v>532464.778</v>
      </c>
      <c r="G42" s="138" t="n">
        <v>7165130.895</v>
      </c>
      <c r="H42" s="138" t="n">
        <v>1</v>
      </c>
      <c r="I42" s="138" t="s">
        <v>6398</v>
      </c>
    </row>
    <row r="43" customFormat="false" ht="15" hidden="false" customHeight="false" outlineLevel="0" collapsed="false">
      <c r="A43" s="138" t="s">
        <v>6396</v>
      </c>
      <c r="B43" s="138" t="s">
        <v>6439</v>
      </c>
      <c r="C43" s="138" t="n">
        <v>614.283</v>
      </c>
      <c r="D43" s="138" t="s">
        <v>60</v>
      </c>
      <c r="E43" s="138" t="n">
        <v>8.7</v>
      </c>
      <c r="F43" s="138" t="n">
        <v>532435.029</v>
      </c>
      <c r="G43" s="138" t="n">
        <v>7165149.211</v>
      </c>
      <c r="H43" s="138" t="n">
        <v>1</v>
      </c>
      <c r="I43" s="138" t="s">
        <v>6398</v>
      </c>
    </row>
    <row r="44" customFormat="false" ht="15" hidden="false" customHeight="false" outlineLevel="0" collapsed="false">
      <c r="A44" s="138" t="s">
        <v>6396</v>
      </c>
      <c r="B44" s="138" t="s">
        <v>6440</v>
      </c>
      <c r="C44" s="138" t="n">
        <v>615.4969</v>
      </c>
      <c r="D44" s="138" t="s">
        <v>59</v>
      </c>
      <c r="E44" s="138" t="n">
        <v>6.3</v>
      </c>
      <c r="F44" s="138" t="n">
        <v>532406.517</v>
      </c>
      <c r="G44" s="138" t="n">
        <v>7165150.077</v>
      </c>
      <c r="H44" s="138" t="n">
        <v>1</v>
      </c>
      <c r="I44" s="138" t="s">
        <v>6398</v>
      </c>
    </row>
    <row r="45" customFormat="false" ht="15" hidden="false" customHeight="false" outlineLevel="0" collapsed="false">
      <c r="A45" s="138" t="s">
        <v>6396</v>
      </c>
      <c r="B45" s="138" t="s">
        <v>6441</v>
      </c>
      <c r="C45" s="138" t="n">
        <v>616.0093</v>
      </c>
      <c r="D45" s="138" t="s">
        <v>60</v>
      </c>
      <c r="E45" s="138" t="n">
        <v>8.3</v>
      </c>
      <c r="F45" s="138" t="n">
        <v>532405.958</v>
      </c>
      <c r="G45" s="138" t="n">
        <v>7165167.843</v>
      </c>
      <c r="H45" s="138" t="n">
        <v>1</v>
      </c>
      <c r="I45" s="138" t="s">
        <v>6398</v>
      </c>
    </row>
    <row r="46" customFormat="false" ht="15" hidden="false" customHeight="false" outlineLevel="0" collapsed="false">
      <c r="A46" s="138" t="s">
        <v>6396</v>
      </c>
      <c r="B46" s="138" t="s">
        <v>6442</v>
      </c>
      <c r="C46" s="138" t="n">
        <v>617.5966</v>
      </c>
      <c r="D46" s="138" t="s">
        <v>60</v>
      </c>
      <c r="E46" s="138" t="n">
        <v>7.9</v>
      </c>
      <c r="F46" s="138" t="n">
        <v>532379.236</v>
      </c>
      <c r="G46" s="138" t="n">
        <v>7165184.987</v>
      </c>
      <c r="H46" s="138" t="n">
        <v>1</v>
      </c>
      <c r="I46" s="138" t="s">
        <v>6398</v>
      </c>
    </row>
    <row r="47" customFormat="false" ht="15" hidden="false" customHeight="false" outlineLevel="0" collapsed="false">
      <c r="A47" s="138" t="s">
        <v>6396</v>
      </c>
      <c r="B47" s="138" t="s">
        <v>6443</v>
      </c>
      <c r="C47" s="138" t="n">
        <v>618.7364</v>
      </c>
      <c r="D47" s="138" t="s">
        <v>59</v>
      </c>
      <c r="E47" s="138" t="n">
        <v>6.5</v>
      </c>
      <c r="F47" s="138" t="n">
        <v>532352.308</v>
      </c>
      <c r="G47" s="138" t="n">
        <v>7165185.565</v>
      </c>
      <c r="H47" s="138" t="n">
        <v>1</v>
      </c>
      <c r="I47" s="138" t="s">
        <v>6398</v>
      </c>
    </row>
    <row r="48" customFormat="false" ht="15" hidden="false" customHeight="false" outlineLevel="0" collapsed="false">
      <c r="A48" s="138" t="s">
        <v>6396</v>
      </c>
      <c r="B48" s="138" t="s">
        <v>6444</v>
      </c>
      <c r="C48" s="138" t="n">
        <v>619.2288</v>
      </c>
      <c r="D48" s="138" t="s">
        <v>60</v>
      </c>
      <c r="E48" s="138" t="n">
        <v>7.4</v>
      </c>
      <c r="F48" s="138" t="n">
        <v>532351.728</v>
      </c>
      <c r="G48" s="138" t="n">
        <v>7165202.571</v>
      </c>
      <c r="H48" s="138" t="n">
        <v>1</v>
      </c>
      <c r="I48" s="138" t="s">
        <v>6398</v>
      </c>
    </row>
    <row r="49" customFormat="false" ht="15" hidden="false" customHeight="false" outlineLevel="0" collapsed="false">
      <c r="A49" s="138" t="s">
        <v>6396</v>
      </c>
      <c r="B49" s="138" t="s">
        <v>6445</v>
      </c>
      <c r="C49" s="138" t="n">
        <v>620.7151</v>
      </c>
      <c r="D49" s="138" t="s">
        <v>60</v>
      </c>
      <c r="E49" s="138" t="n">
        <v>7.2</v>
      </c>
      <c r="F49" s="138" t="n">
        <v>532326.356</v>
      </c>
      <c r="G49" s="138" t="n">
        <v>7165218.435</v>
      </c>
      <c r="H49" s="138" t="n">
        <v>1</v>
      </c>
      <c r="I49" s="138" t="s">
        <v>6398</v>
      </c>
    </row>
    <row r="50" customFormat="false" ht="15" hidden="false" customHeight="false" outlineLevel="0" collapsed="false">
      <c r="A50" s="138" t="s">
        <v>6396</v>
      </c>
      <c r="B50" s="138" t="s">
        <v>6446</v>
      </c>
      <c r="C50" s="138" t="n">
        <v>622.2029</v>
      </c>
      <c r="D50" s="138" t="s">
        <v>60</v>
      </c>
      <c r="E50" s="138" t="n">
        <v>7.7</v>
      </c>
      <c r="F50" s="138" t="n">
        <v>532301.366</v>
      </c>
      <c r="G50" s="138" t="n">
        <v>7165234.598</v>
      </c>
      <c r="H50" s="138" t="n">
        <v>1</v>
      </c>
      <c r="I50" s="138" t="s">
        <v>6398</v>
      </c>
    </row>
    <row r="51" customFormat="false" ht="15" hidden="false" customHeight="false" outlineLevel="0" collapsed="false">
      <c r="A51" s="138" t="s">
        <v>6396</v>
      </c>
      <c r="B51" s="138" t="s">
        <v>6447</v>
      </c>
      <c r="C51" s="138" t="n">
        <v>622.2902</v>
      </c>
      <c r="D51" s="138" t="s">
        <v>59</v>
      </c>
      <c r="E51" s="138" t="n">
        <v>5.2</v>
      </c>
      <c r="F51" s="138" t="n">
        <v>532293.07</v>
      </c>
      <c r="G51" s="138" t="n">
        <v>7165224.561</v>
      </c>
      <c r="H51" s="138" t="n">
        <v>1</v>
      </c>
      <c r="I51" s="138" t="s">
        <v>6398</v>
      </c>
    </row>
    <row r="52" customFormat="false" ht="15" hidden="false" customHeight="false" outlineLevel="0" collapsed="false">
      <c r="A52" s="138" t="s">
        <v>6396</v>
      </c>
      <c r="B52" s="138" t="s">
        <v>6448</v>
      </c>
      <c r="C52" s="138" t="n">
        <v>622.606</v>
      </c>
      <c r="D52" s="138" t="s">
        <v>60</v>
      </c>
      <c r="E52" s="138" t="n">
        <v>7.7</v>
      </c>
      <c r="F52" s="138" t="n">
        <v>532294.538</v>
      </c>
      <c r="G52" s="138" t="n">
        <v>7165238.885</v>
      </c>
      <c r="H52" s="138" t="n">
        <v>1</v>
      </c>
      <c r="I52" s="138" t="s">
        <v>6398</v>
      </c>
    </row>
    <row r="53" customFormat="false" ht="15" hidden="false" customHeight="false" outlineLevel="0" collapsed="false">
      <c r="A53" s="138" t="s">
        <v>6396</v>
      </c>
      <c r="B53" s="138" t="s">
        <v>6449</v>
      </c>
      <c r="C53" s="138" t="n">
        <v>624.0821</v>
      </c>
      <c r="D53" s="138" t="s">
        <v>60</v>
      </c>
      <c r="E53" s="138" t="n">
        <v>9.9</v>
      </c>
      <c r="F53" s="138" t="n">
        <v>532270.624</v>
      </c>
      <c r="G53" s="138" t="n">
        <v>7165256.332</v>
      </c>
      <c r="H53" s="138" t="n">
        <v>1</v>
      </c>
      <c r="I53" s="138" t="s">
        <v>6398</v>
      </c>
    </row>
    <row r="54" customFormat="false" ht="15" hidden="false" customHeight="false" outlineLevel="0" collapsed="false">
      <c r="A54" s="138" t="s">
        <v>6396</v>
      </c>
      <c r="B54" s="138" t="s">
        <v>6450</v>
      </c>
      <c r="C54" s="138" t="n">
        <v>624.0893</v>
      </c>
      <c r="D54" s="138" t="s">
        <v>60</v>
      </c>
      <c r="E54" s="138" t="n">
        <v>8.4</v>
      </c>
      <c r="F54" s="138" t="n">
        <v>532269.688</v>
      </c>
      <c r="G54" s="138" t="n">
        <v>7165255.098</v>
      </c>
      <c r="H54" s="138" t="n">
        <v>1</v>
      </c>
      <c r="I54" s="138" t="s">
        <v>6398</v>
      </c>
    </row>
    <row r="55" customFormat="false" ht="15" hidden="false" customHeight="false" outlineLevel="0" collapsed="false">
      <c r="A55" s="138" t="s">
        <v>6396</v>
      </c>
      <c r="B55" s="138" t="s">
        <v>6451</v>
      </c>
      <c r="C55" s="138" t="n">
        <v>625.8585</v>
      </c>
      <c r="D55" s="138" t="s">
        <v>59</v>
      </c>
      <c r="E55" s="138" t="n">
        <v>5.2</v>
      </c>
      <c r="F55" s="138" t="n">
        <v>532232.465</v>
      </c>
      <c r="G55" s="138" t="n">
        <v>7165262.245</v>
      </c>
      <c r="H55" s="138" t="n">
        <v>1</v>
      </c>
      <c r="I55" s="138" t="s">
        <v>6398</v>
      </c>
    </row>
    <row r="56" customFormat="false" ht="15" hidden="false" customHeight="false" outlineLevel="0" collapsed="false">
      <c r="A56" s="138" t="s">
        <v>6396</v>
      </c>
      <c r="B56" s="138" t="s">
        <v>6452</v>
      </c>
      <c r="C56" s="138" t="n">
        <v>626.0174</v>
      </c>
      <c r="D56" s="138" t="s">
        <v>60</v>
      </c>
      <c r="E56" s="138" t="n">
        <v>8.6</v>
      </c>
      <c r="F56" s="138" t="n">
        <v>532237.03</v>
      </c>
      <c r="G56" s="138" t="n">
        <v>7165275.604</v>
      </c>
      <c r="H56" s="138" t="n">
        <v>1</v>
      </c>
      <c r="I56" s="138" t="s">
        <v>6398</v>
      </c>
    </row>
    <row r="57" customFormat="false" ht="15" hidden="false" customHeight="false" outlineLevel="0" collapsed="false">
      <c r="A57" s="138" t="s">
        <v>6396</v>
      </c>
      <c r="B57" s="138" t="s">
        <v>6453</v>
      </c>
      <c r="C57" s="138" t="n">
        <v>628.6913</v>
      </c>
      <c r="D57" s="138" t="s">
        <v>60</v>
      </c>
      <c r="E57" s="138" t="n">
        <v>9.1</v>
      </c>
      <c r="F57" s="138" t="n">
        <v>532191.917</v>
      </c>
      <c r="G57" s="138" t="n">
        <v>7165304.329</v>
      </c>
      <c r="H57" s="138" t="n">
        <v>1</v>
      </c>
      <c r="I57" s="138" t="s">
        <v>6398</v>
      </c>
    </row>
    <row r="58" customFormat="false" ht="15" hidden="false" customHeight="false" outlineLevel="0" collapsed="false">
      <c r="A58" s="138" t="s">
        <v>6396</v>
      </c>
      <c r="B58" s="138" t="s">
        <v>6454</v>
      </c>
      <c r="C58" s="138" t="n">
        <v>629.1931</v>
      </c>
      <c r="D58" s="138" t="s">
        <v>59</v>
      </c>
      <c r="E58" s="138" t="n">
        <v>5.8</v>
      </c>
      <c r="F58" s="138" t="n">
        <v>532175.505</v>
      </c>
      <c r="G58" s="138" t="n">
        <v>7165296.941</v>
      </c>
      <c r="H58" s="138" t="n">
        <v>1</v>
      </c>
      <c r="I58" s="138" t="s">
        <v>6398</v>
      </c>
    </row>
    <row r="59" customFormat="false" ht="15" hidden="false" customHeight="false" outlineLevel="0" collapsed="false">
      <c r="A59" s="138" t="s">
        <v>6396</v>
      </c>
      <c r="B59" s="138" t="s">
        <v>6455</v>
      </c>
      <c r="C59" s="138" t="n">
        <v>631.3321</v>
      </c>
      <c r="D59" s="138" t="s">
        <v>60</v>
      </c>
      <c r="E59" s="138" t="n">
        <v>9.6</v>
      </c>
      <c r="F59" s="138" t="n">
        <v>532147.334</v>
      </c>
      <c r="G59" s="138" t="n">
        <v>7165332.65</v>
      </c>
      <c r="H59" s="138" t="n">
        <v>1</v>
      </c>
      <c r="I59" s="138" t="s">
        <v>6398</v>
      </c>
    </row>
    <row r="60" customFormat="false" ht="15" hidden="false" customHeight="false" outlineLevel="0" collapsed="false">
      <c r="A60" s="138" t="s">
        <v>6396</v>
      </c>
      <c r="B60" s="138" t="s">
        <v>6456</v>
      </c>
      <c r="C60" s="138" t="n">
        <v>632.62</v>
      </c>
      <c r="D60" s="138" t="s">
        <v>60</v>
      </c>
      <c r="E60" s="138" t="n">
        <v>10.1</v>
      </c>
      <c r="F60" s="138" t="n">
        <v>532125.681</v>
      </c>
      <c r="G60" s="138" t="n">
        <v>7165346.609</v>
      </c>
      <c r="H60" s="138" t="n">
        <v>1</v>
      </c>
      <c r="I60" s="138" t="s">
        <v>6398</v>
      </c>
    </row>
    <row r="61" customFormat="false" ht="15" hidden="false" customHeight="false" outlineLevel="0" collapsed="false">
      <c r="A61" s="138" t="s">
        <v>6396</v>
      </c>
      <c r="B61" s="138" t="s">
        <v>6457</v>
      </c>
      <c r="C61" s="138" t="n">
        <v>632.7346</v>
      </c>
      <c r="D61" s="138" t="s">
        <v>60</v>
      </c>
      <c r="E61" s="138" t="n">
        <v>12</v>
      </c>
      <c r="F61" s="138" t="n">
        <v>532124.74</v>
      </c>
      <c r="G61" s="138" t="n">
        <v>7165349.433</v>
      </c>
      <c r="H61" s="138" t="n">
        <v>1</v>
      </c>
      <c r="I61" s="138" t="s">
        <v>6398</v>
      </c>
    </row>
    <row r="62" customFormat="false" ht="15" hidden="false" customHeight="false" outlineLevel="0" collapsed="false">
      <c r="A62" s="138" t="s">
        <v>6396</v>
      </c>
      <c r="B62" s="138" t="s">
        <v>6458</v>
      </c>
      <c r="C62" s="138" t="n">
        <v>632.8884</v>
      </c>
      <c r="D62" s="138" t="s">
        <v>59</v>
      </c>
      <c r="E62" s="138" t="n">
        <v>5.2</v>
      </c>
      <c r="F62" s="138" t="n">
        <v>532113.07</v>
      </c>
      <c r="G62" s="138" t="n">
        <v>7165336.492</v>
      </c>
      <c r="H62" s="138" t="n">
        <v>1</v>
      </c>
      <c r="I62" s="138" t="s">
        <v>6398</v>
      </c>
    </row>
    <row r="63" customFormat="false" ht="15" hidden="false" customHeight="false" outlineLevel="0" collapsed="false">
      <c r="A63" s="138" t="s">
        <v>6396</v>
      </c>
      <c r="B63" s="138" t="s">
        <v>6459</v>
      </c>
      <c r="C63" s="138" t="n">
        <v>634.2167</v>
      </c>
      <c r="D63" s="138" t="s">
        <v>60</v>
      </c>
      <c r="E63" s="138" t="n">
        <v>16.9</v>
      </c>
      <c r="F63" s="138" t="n">
        <v>532102.173</v>
      </c>
      <c r="G63" s="138" t="n">
        <v>7165369.276</v>
      </c>
      <c r="H63" s="138" t="n">
        <v>1</v>
      </c>
      <c r="I63" s="138" t="s">
        <v>6398</v>
      </c>
    </row>
    <row r="64" customFormat="false" ht="15" hidden="false" customHeight="false" outlineLevel="0" collapsed="false">
      <c r="A64" s="138" t="s">
        <v>6396</v>
      </c>
      <c r="B64" s="138" t="s">
        <v>6460</v>
      </c>
      <c r="C64" s="138" t="n">
        <v>634.7195</v>
      </c>
      <c r="D64" s="138" t="s">
        <v>60</v>
      </c>
      <c r="E64" s="138" t="n">
        <v>10.4</v>
      </c>
      <c r="F64" s="138" t="n">
        <v>532090.183</v>
      </c>
      <c r="G64" s="138" t="n">
        <v>7165369.04</v>
      </c>
      <c r="H64" s="138" t="n">
        <v>1</v>
      </c>
      <c r="I64" s="138" t="s">
        <v>6398</v>
      </c>
    </row>
    <row r="65" customFormat="false" ht="15" hidden="false" customHeight="false" outlineLevel="0" collapsed="false">
      <c r="A65" s="138" t="s">
        <v>6396</v>
      </c>
      <c r="B65" s="138" t="s">
        <v>6461</v>
      </c>
      <c r="C65" s="138" t="n">
        <v>635.1732</v>
      </c>
      <c r="D65" s="138" t="s">
        <v>59</v>
      </c>
      <c r="E65" s="138" t="n">
        <v>31.2</v>
      </c>
      <c r="F65" s="138" t="n">
        <v>532060.556</v>
      </c>
      <c r="G65" s="138" t="n">
        <v>7165338.579</v>
      </c>
      <c r="H65" s="138" t="n">
        <v>1</v>
      </c>
      <c r="I65" s="138" t="s">
        <v>6398</v>
      </c>
    </row>
    <row r="66" customFormat="false" ht="15" hidden="false" customHeight="false" outlineLevel="0" collapsed="false">
      <c r="A66" s="138" t="s">
        <v>6396</v>
      </c>
      <c r="B66" s="138" t="s">
        <v>6462</v>
      </c>
      <c r="C66" s="138" t="n">
        <v>636.4653</v>
      </c>
      <c r="D66" s="138" t="s">
        <v>59</v>
      </c>
      <c r="E66" s="138" t="n">
        <v>5.1</v>
      </c>
      <c r="F66" s="138" t="n">
        <v>532052.369</v>
      </c>
      <c r="G66" s="138" t="n">
        <v>7165374.351</v>
      </c>
      <c r="H66" s="138" t="n">
        <v>1</v>
      </c>
      <c r="I66" s="138" t="s">
        <v>6398</v>
      </c>
    </row>
    <row r="67" customFormat="false" ht="15" hidden="false" customHeight="false" outlineLevel="0" collapsed="false">
      <c r="A67" s="138" t="s">
        <v>6396</v>
      </c>
      <c r="B67" s="138" t="s">
        <v>6463</v>
      </c>
      <c r="C67" s="138" t="n">
        <v>636.5848</v>
      </c>
      <c r="D67" s="138" t="s">
        <v>60</v>
      </c>
      <c r="E67" s="138" t="n">
        <v>10.5</v>
      </c>
      <c r="F67" s="138" t="n">
        <v>532058.573</v>
      </c>
      <c r="G67" s="138" t="n">
        <v>7165388.851</v>
      </c>
      <c r="H67" s="138" t="n">
        <v>1</v>
      </c>
      <c r="I67" s="138" t="s">
        <v>6398</v>
      </c>
    </row>
    <row r="68" customFormat="false" ht="15" hidden="false" customHeight="false" outlineLevel="0" collapsed="false">
      <c r="A68" s="138" t="s">
        <v>6396</v>
      </c>
      <c r="B68" s="138" t="s">
        <v>6464</v>
      </c>
      <c r="C68" s="138" t="n">
        <v>638.4984</v>
      </c>
      <c r="D68" s="138" t="s">
        <v>60</v>
      </c>
      <c r="E68" s="138" t="n">
        <v>10.5</v>
      </c>
      <c r="F68" s="138" t="n">
        <v>532026.558</v>
      </c>
      <c r="G68" s="138" t="n">
        <v>7165409.475</v>
      </c>
      <c r="H68" s="138" t="n">
        <v>1</v>
      </c>
      <c r="I68" s="138" t="s">
        <v>6398</v>
      </c>
    </row>
    <row r="69" customFormat="false" ht="15" hidden="false" customHeight="false" outlineLevel="0" collapsed="false">
      <c r="A69" s="138" t="s">
        <v>6396</v>
      </c>
      <c r="B69" s="138" t="s">
        <v>6465</v>
      </c>
      <c r="C69" s="138" t="n">
        <v>638.7422</v>
      </c>
      <c r="D69" s="138" t="s">
        <v>59</v>
      </c>
      <c r="E69" s="138" t="n">
        <v>5.1</v>
      </c>
      <c r="F69" s="138" t="n">
        <v>532013.957</v>
      </c>
      <c r="G69" s="138" t="n">
        <v>7165398.979</v>
      </c>
      <c r="H69" s="138" t="n">
        <v>1</v>
      </c>
      <c r="I69" s="138" t="s">
        <v>6398</v>
      </c>
    </row>
    <row r="70" customFormat="false" ht="15" hidden="false" customHeight="false" outlineLevel="0" collapsed="false">
      <c r="A70" s="138" t="s">
        <v>6396</v>
      </c>
      <c r="B70" s="138" t="s">
        <v>6466</v>
      </c>
      <c r="C70" s="138" t="n">
        <v>639.4202</v>
      </c>
      <c r="D70" s="138" t="s">
        <v>60</v>
      </c>
      <c r="E70" s="138" t="n">
        <v>13.7</v>
      </c>
      <c r="F70" s="138" t="n">
        <v>532012.768</v>
      </c>
      <c r="G70" s="138" t="n">
        <v>7165422.101</v>
      </c>
      <c r="H70" s="138" t="n">
        <v>1</v>
      </c>
      <c r="I70" s="138" t="s">
        <v>6398</v>
      </c>
    </row>
    <row r="71" customFormat="false" ht="15" hidden="false" customHeight="false" outlineLevel="0" collapsed="false">
      <c r="A71" s="138" t="s">
        <v>6396</v>
      </c>
      <c r="B71" s="138" t="s">
        <v>6467</v>
      </c>
      <c r="C71" s="138" t="n">
        <v>641.3729</v>
      </c>
      <c r="D71" s="138" t="s">
        <v>59</v>
      </c>
      <c r="E71" s="138" t="n">
        <v>5.2</v>
      </c>
      <c r="F71" s="138" t="n">
        <v>531969.728</v>
      </c>
      <c r="G71" s="138" t="n">
        <v>7165427.475</v>
      </c>
      <c r="H71" s="138" t="n">
        <v>1</v>
      </c>
      <c r="I71" s="138" t="s">
        <v>6398</v>
      </c>
    </row>
    <row r="72" customFormat="false" ht="15" hidden="false" customHeight="false" outlineLevel="0" collapsed="false">
      <c r="A72" s="138" t="s">
        <v>6468</v>
      </c>
      <c r="B72" s="138" t="s">
        <v>6469</v>
      </c>
      <c r="C72" s="138" t="n">
        <v>3.8951</v>
      </c>
      <c r="D72" s="138" t="s">
        <v>60</v>
      </c>
      <c r="E72" s="138" t="n">
        <v>11.9</v>
      </c>
      <c r="F72" s="138" t="n">
        <v>543710.101</v>
      </c>
      <c r="G72" s="138" t="n">
        <v>7161168.84</v>
      </c>
      <c r="H72" s="138" t="n">
        <v>1</v>
      </c>
      <c r="I72" s="138" t="s">
        <v>6398</v>
      </c>
    </row>
    <row r="73" customFormat="false" ht="15" hidden="false" customHeight="false" outlineLevel="0" collapsed="false">
      <c r="A73" s="138" t="s">
        <v>6468</v>
      </c>
      <c r="B73" s="138" t="s">
        <v>6470</v>
      </c>
      <c r="C73" s="138" t="n">
        <v>4.5324</v>
      </c>
      <c r="D73" s="138" t="s">
        <v>59</v>
      </c>
      <c r="E73" s="138" t="n">
        <v>10.5</v>
      </c>
      <c r="F73" s="138" t="n">
        <v>543688.478</v>
      </c>
      <c r="G73" s="138" t="n">
        <v>7161154.958</v>
      </c>
      <c r="H73" s="138" t="n">
        <v>1</v>
      </c>
      <c r="I73" s="138" t="s">
        <v>6398</v>
      </c>
    </row>
    <row r="74" customFormat="false" ht="15" hidden="false" customHeight="false" outlineLevel="0" collapsed="false">
      <c r="A74" s="138" t="s">
        <v>6468</v>
      </c>
      <c r="B74" s="138" t="s">
        <v>6471</v>
      </c>
      <c r="C74" s="138" t="n">
        <v>5.3879</v>
      </c>
      <c r="D74" s="138" t="s">
        <v>59</v>
      </c>
      <c r="E74" s="138" t="n">
        <v>12.3</v>
      </c>
      <c r="F74" s="138" t="n">
        <v>543672.441</v>
      </c>
      <c r="G74" s="138" t="n">
        <v>7161161.212</v>
      </c>
      <c r="H74" s="138" t="n">
        <v>1</v>
      </c>
      <c r="I74" s="138" t="s">
        <v>6398</v>
      </c>
    </row>
    <row r="75" customFormat="false" ht="15" hidden="false" customHeight="false" outlineLevel="0" collapsed="false">
      <c r="A75" s="138" t="s">
        <v>6472</v>
      </c>
      <c r="B75" s="138" t="s">
        <v>6473</v>
      </c>
      <c r="C75" s="138" t="n">
        <v>5.943</v>
      </c>
      <c r="D75" s="138" t="s">
        <v>60</v>
      </c>
      <c r="E75" s="138" t="n">
        <v>4.7</v>
      </c>
      <c r="F75" s="138" t="n">
        <v>543670.5</v>
      </c>
      <c r="G75" s="138" t="n">
        <v>7161181.484</v>
      </c>
      <c r="H75" s="138" t="n">
        <v>1</v>
      </c>
      <c r="I75" s="138" t="s">
        <v>6398</v>
      </c>
    </row>
    <row r="76" customFormat="false" ht="15" hidden="false" customHeight="false" outlineLevel="0" collapsed="false">
      <c r="A76" s="138" t="s">
        <v>6468</v>
      </c>
      <c r="B76" s="138" t="s">
        <v>6474</v>
      </c>
      <c r="C76" s="138" t="n">
        <v>6.1874</v>
      </c>
      <c r="D76" s="138" t="s">
        <v>59</v>
      </c>
      <c r="E76" s="138" t="n">
        <v>10.3</v>
      </c>
      <c r="F76" s="138" t="n">
        <v>543659.223</v>
      </c>
      <c r="G76" s="138" t="n">
        <v>7161170.447</v>
      </c>
      <c r="H76" s="138" t="n">
        <v>1</v>
      </c>
      <c r="I76" s="138" t="s">
        <v>6398</v>
      </c>
    </row>
    <row r="77" customFormat="false" ht="15" hidden="false" customHeight="false" outlineLevel="0" collapsed="false">
      <c r="A77" s="138" t="s">
        <v>6468</v>
      </c>
      <c r="B77" s="138" t="s">
        <v>6475</v>
      </c>
      <c r="C77" s="138" t="n">
        <v>6.8832</v>
      </c>
      <c r="D77" s="138" t="s">
        <v>60</v>
      </c>
      <c r="E77" s="138" t="n">
        <v>4.6</v>
      </c>
      <c r="F77" s="138" t="n">
        <v>543653.768</v>
      </c>
      <c r="G77" s="138" t="n">
        <v>7161190.066</v>
      </c>
      <c r="H77" s="138" t="n">
        <v>1</v>
      </c>
      <c r="I77" s="138" t="s">
        <v>6398</v>
      </c>
    </row>
    <row r="78" customFormat="false" ht="15" hidden="false" customHeight="false" outlineLevel="0" collapsed="false">
      <c r="A78" s="138" t="s">
        <v>6468</v>
      </c>
      <c r="B78" s="138" t="s">
        <v>6476</v>
      </c>
      <c r="C78" s="138" t="n">
        <v>7.4287</v>
      </c>
      <c r="D78" s="138" t="s">
        <v>59</v>
      </c>
      <c r="E78" s="138" t="n">
        <v>9.9</v>
      </c>
      <c r="F78" s="138" t="n">
        <v>543637.383</v>
      </c>
      <c r="G78" s="138" t="n">
        <v>7161182.258</v>
      </c>
      <c r="H78" s="138" t="n">
        <v>1</v>
      </c>
      <c r="I78" s="138" t="s">
        <v>6398</v>
      </c>
    </row>
    <row r="79" customFormat="false" ht="15" hidden="false" customHeight="false" outlineLevel="0" collapsed="false">
      <c r="A79" s="138" t="s">
        <v>6468</v>
      </c>
      <c r="B79" s="138" t="s">
        <v>6477</v>
      </c>
      <c r="C79" s="138" t="n">
        <v>7.775</v>
      </c>
      <c r="D79" s="138" t="s">
        <v>60</v>
      </c>
      <c r="E79" s="138" t="n">
        <v>2.6</v>
      </c>
      <c r="F79" s="138" t="n">
        <v>543637.029</v>
      </c>
      <c r="G79" s="138" t="n">
        <v>7161196.544</v>
      </c>
      <c r="H79" s="138" t="n">
        <v>1</v>
      </c>
      <c r="I79" s="138" t="s">
        <v>6398</v>
      </c>
    </row>
    <row r="80" customFormat="false" ht="15" hidden="false" customHeight="false" outlineLevel="0" collapsed="false">
      <c r="A80" s="138" t="s">
        <v>6468</v>
      </c>
      <c r="B80" s="138" t="s">
        <v>6478</v>
      </c>
      <c r="C80" s="138" t="n">
        <v>8.4746</v>
      </c>
      <c r="D80" s="138" t="s">
        <v>60</v>
      </c>
      <c r="E80" s="138" t="n">
        <v>5.8</v>
      </c>
      <c r="F80" s="138" t="n">
        <v>543626.12</v>
      </c>
      <c r="G80" s="138" t="n">
        <v>7161205.883</v>
      </c>
      <c r="H80" s="138" t="n">
        <v>1</v>
      </c>
      <c r="I80" s="138" t="s">
        <v>6398</v>
      </c>
    </row>
    <row r="81" customFormat="false" ht="15" hidden="false" customHeight="false" outlineLevel="0" collapsed="false">
      <c r="A81" s="138" t="s">
        <v>6468</v>
      </c>
      <c r="B81" s="138" t="s">
        <v>6479</v>
      </c>
      <c r="C81" s="138" t="n">
        <v>8.7751</v>
      </c>
      <c r="D81" s="138" t="s">
        <v>60</v>
      </c>
      <c r="E81" s="138" t="n">
        <v>5.2</v>
      </c>
      <c r="F81" s="138" t="n">
        <v>543620.507</v>
      </c>
      <c r="G81" s="138" t="n">
        <v>7161208.116</v>
      </c>
      <c r="H81" s="138" t="n">
        <v>1</v>
      </c>
      <c r="I81" s="138" t="s">
        <v>6398</v>
      </c>
    </row>
    <row r="82" customFormat="false" ht="15" hidden="false" customHeight="false" outlineLevel="0" collapsed="false">
      <c r="A82" s="138" t="s">
        <v>6468</v>
      </c>
      <c r="B82" s="138" t="s">
        <v>6480</v>
      </c>
      <c r="C82" s="138" t="n">
        <v>9.129</v>
      </c>
      <c r="D82" s="138" t="s">
        <v>60</v>
      </c>
      <c r="E82" s="138" t="n">
        <v>5.8</v>
      </c>
      <c r="F82" s="138" t="n">
        <v>543614.498</v>
      </c>
      <c r="G82" s="138" t="n">
        <v>7161211.901</v>
      </c>
      <c r="H82" s="138" t="n">
        <v>1</v>
      </c>
      <c r="I82" s="138" t="s">
        <v>6398</v>
      </c>
    </row>
    <row r="83" customFormat="false" ht="15" hidden="false" customHeight="false" outlineLevel="0" collapsed="false">
      <c r="A83" s="138" t="s">
        <v>6468</v>
      </c>
      <c r="B83" s="138" t="s">
        <v>6481</v>
      </c>
      <c r="C83" s="138" t="n">
        <v>9.5313</v>
      </c>
      <c r="D83" s="138" t="s">
        <v>60</v>
      </c>
      <c r="E83" s="138" t="n">
        <v>5.6</v>
      </c>
      <c r="F83" s="138" t="n">
        <v>543607.284</v>
      </c>
      <c r="G83" s="138" t="n">
        <v>7161215.468</v>
      </c>
      <c r="H83" s="138" t="n">
        <v>1</v>
      </c>
      <c r="I83" s="138" t="s">
        <v>6398</v>
      </c>
    </row>
    <row r="84" customFormat="false" ht="15" hidden="false" customHeight="false" outlineLevel="0" collapsed="false">
      <c r="A84" s="138" t="s">
        <v>6468</v>
      </c>
      <c r="B84" s="138" t="s">
        <v>6482</v>
      </c>
      <c r="C84" s="138" t="n">
        <v>10.0247</v>
      </c>
      <c r="D84" s="138" t="s">
        <v>60</v>
      </c>
      <c r="E84" s="138" t="n">
        <v>6.1</v>
      </c>
      <c r="F84" s="138" t="n">
        <v>543598.769</v>
      </c>
      <c r="G84" s="138" t="n">
        <v>7161220.48</v>
      </c>
      <c r="H84" s="138" t="n">
        <v>1</v>
      </c>
      <c r="I84" s="138" t="s">
        <v>6398</v>
      </c>
    </row>
    <row r="85" customFormat="false" ht="15" hidden="false" customHeight="false" outlineLevel="0" collapsed="false">
      <c r="A85" s="138" t="s">
        <v>6468</v>
      </c>
      <c r="B85" s="138" t="s">
        <v>6483</v>
      </c>
      <c r="C85" s="138" t="n">
        <v>10.4314</v>
      </c>
      <c r="D85" s="138" t="s">
        <v>60</v>
      </c>
      <c r="E85" s="138" t="n">
        <v>5</v>
      </c>
      <c r="F85" s="138" t="n">
        <v>543591.051</v>
      </c>
      <c r="G85" s="138" t="n">
        <v>7161223.274</v>
      </c>
      <c r="H85" s="138" t="n">
        <v>1</v>
      </c>
      <c r="I85" s="138" t="s">
        <v>6398</v>
      </c>
    </row>
    <row r="86" customFormat="false" ht="15" hidden="false" customHeight="false" outlineLevel="0" collapsed="false">
      <c r="A86" s="138" t="s">
        <v>6472</v>
      </c>
      <c r="B86" s="138" t="s">
        <v>6484</v>
      </c>
      <c r="C86" s="138" t="n">
        <v>10.5275</v>
      </c>
      <c r="D86" s="138" t="s">
        <v>60</v>
      </c>
      <c r="E86" s="138" t="n">
        <v>5.9</v>
      </c>
      <c r="F86" s="138" t="n">
        <v>543589.752</v>
      </c>
      <c r="G86" s="138" t="n">
        <v>7161224.939</v>
      </c>
      <c r="H86" s="138" t="n">
        <v>1</v>
      </c>
      <c r="I86" s="138" t="s">
        <v>6398</v>
      </c>
    </row>
    <row r="87" customFormat="false" ht="15" hidden="false" customHeight="false" outlineLevel="0" collapsed="false">
      <c r="A87" s="138" t="s">
        <v>6468</v>
      </c>
      <c r="B87" s="138" t="s">
        <v>6485</v>
      </c>
      <c r="C87" s="138" t="n">
        <v>10.5295</v>
      </c>
      <c r="D87" s="138" t="s">
        <v>60</v>
      </c>
      <c r="E87" s="138" t="n">
        <v>4</v>
      </c>
      <c r="F87" s="138" t="n">
        <v>543588.843</v>
      </c>
      <c r="G87" s="138" t="n">
        <v>7161223.281</v>
      </c>
      <c r="H87" s="138" t="n">
        <v>1</v>
      </c>
      <c r="I87" s="138" t="s">
        <v>6398</v>
      </c>
    </row>
    <row r="88" customFormat="false" ht="15" hidden="false" customHeight="false" outlineLevel="0" collapsed="false">
      <c r="A88" s="138" t="s">
        <v>6468</v>
      </c>
      <c r="B88" s="138" t="s">
        <v>6486</v>
      </c>
      <c r="C88" s="138" t="n">
        <v>11.3551</v>
      </c>
      <c r="D88" s="138" t="s">
        <v>59</v>
      </c>
      <c r="E88" s="138" t="n">
        <v>8.4</v>
      </c>
      <c r="F88" s="138" t="n">
        <v>543568.458</v>
      </c>
      <c r="G88" s="138" t="n">
        <v>7161219.915</v>
      </c>
      <c r="H88" s="138" t="n">
        <v>1</v>
      </c>
      <c r="I88" s="138" t="s">
        <v>6398</v>
      </c>
    </row>
    <row r="89" customFormat="false" ht="15" hidden="false" customHeight="false" outlineLevel="0" collapsed="false">
      <c r="A89" s="138" t="s">
        <v>6468</v>
      </c>
      <c r="B89" s="138" t="s">
        <v>6487</v>
      </c>
      <c r="C89" s="138" t="n">
        <v>11.5231</v>
      </c>
      <c r="D89" s="138" t="s">
        <v>60</v>
      </c>
      <c r="E89" s="138" t="n">
        <v>4.2</v>
      </c>
      <c r="F89" s="138" t="n">
        <v>543571.31</v>
      </c>
      <c r="G89" s="138" t="n">
        <v>7161232.641</v>
      </c>
      <c r="H89" s="138" t="n">
        <v>1</v>
      </c>
      <c r="I89" s="138" t="s">
        <v>6398</v>
      </c>
    </row>
    <row r="90" customFormat="false" ht="15" hidden="false" customHeight="false" outlineLevel="0" collapsed="false">
      <c r="A90" s="138" t="s">
        <v>6468</v>
      </c>
      <c r="B90" s="138" t="s">
        <v>6488</v>
      </c>
      <c r="C90" s="138" t="n">
        <v>11.7689</v>
      </c>
      <c r="D90" s="138" t="s">
        <v>59</v>
      </c>
      <c r="E90" s="138" t="n">
        <v>8.6</v>
      </c>
      <c r="F90" s="138" t="n">
        <v>543561.044</v>
      </c>
      <c r="G90" s="138" t="n">
        <v>7161223.594</v>
      </c>
      <c r="H90" s="138" t="n">
        <v>1</v>
      </c>
      <c r="I90" s="138" t="s">
        <v>6398</v>
      </c>
    </row>
    <row r="91" customFormat="false" ht="15" hidden="false" customHeight="false" outlineLevel="0" collapsed="false">
      <c r="A91" s="138" t="s">
        <v>6468</v>
      </c>
      <c r="B91" s="138" t="s">
        <v>6489</v>
      </c>
      <c r="C91" s="138" t="n">
        <v>11.8395</v>
      </c>
      <c r="D91" s="138" t="s">
        <v>59</v>
      </c>
      <c r="E91" s="138" t="n">
        <v>9.6</v>
      </c>
      <c r="F91" s="138" t="n">
        <v>543559.337</v>
      </c>
      <c r="G91" s="138" t="n">
        <v>7161223.378</v>
      </c>
      <c r="H91" s="138" t="n">
        <v>1</v>
      </c>
      <c r="I91" s="138" t="s">
        <v>6398</v>
      </c>
    </row>
    <row r="92" customFormat="false" ht="15" hidden="false" customHeight="false" outlineLevel="0" collapsed="false">
      <c r="A92" s="138" t="s">
        <v>6468</v>
      </c>
      <c r="B92" s="138" t="s">
        <v>6490</v>
      </c>
      <c r="C92" s="138" t="n">
        <v>11.8987</v>
      </c>
      <c r="D92" s="138" t="s">
        <v>60</v>
      </c>
      <c r="E92" s="138" t="n">
        <v>2.5</v>
      </c>
      <c r="F92" s="138" t="n">
        <v>543563.89</v>
      </c>
      <c r="G92" s="138" t="n">
        <v>7161234.658</v>
      </c>
      <c r="H92" s="138" t="n">
        <v>1</v>
      </c>
      <c r="I92" s="138" t="s">
        <v>6398</v>
      </c>
    </row>
    <row r="93" customFormat="false" ht="15" hidden="false" customHeight="false" outlineLevel="0" collapsed="false">
      <c r="A93" s="138" t="s">
        <v>6468</v>
      </c>
      <c r="B93" s="138" t="s">
        <v>6491</v>
      </c>
      <c r="C93" s="138" t="n">
        <v>11.9452</v>
      </c>
      <c r="D93" s="138" t="s">
        <v>60</v>
      </c>
      <c r="E93" s="138" t="n">
        <v>3.7</v>
      </c>
      <c r="F93" s="138" t="n">
        <v>543563.594</v>
      </c>
      <c r="G93" s="138" t="n">
        <v>7161236.099</v>
      </c>
      <c r="H93" s="138" t="n">
        <v>1</v>
      </c>
      <c r="I93" s="138" t="s">
        <v>6398</v>
      </c>
    </row>
    <row r="94" customFormat="false" ht="15" hidden="false" customHeight="false" outlineLevel="0" collapsed="false">
      <c r="A94" s="138" t="s">
        <v>6468</v>
      </c>
      <c r="B94" s="138" t="s">
        <v>6492</v>
      </c>
      <c r="C94" s="138" t="n">
        <v>11.956</v>
      </c>
      <c r="D94" s="138" t="s">
        <v>59</v>
      </c>
      <c r="E94" s="138" t="n">
        <v>8.8</v>
      </c>
      <c r="F94" s="138" t="n">
        <v>543557.636</v>
      </c>
      <c r="G94" s="138" t="n">
        <v>7161225.155</v>
      </c>
      <c r="H94" s="138" t="n">
        <v>1</v>
      </c>
      <c r="I94" s="138" t="s">
        <v>6398</v>
      </c>
    </row>
    <row r="95" customFormat="false" ht="15" hidden="false" customHeight="false" outlineLevel="0" collapsed="false">
      <c r="A95" s="138" t="s">
        <v>6468</v>
      </c>
      <c r="B95" s="138" t="s">
        <v>6493</v>
      </c>
      <c r="C95" s="138" t="n">
        <v>12.4124</v>
      </c>
      <c r="D95" s="138" t="s">
        <v>59</v>
      </c>
      <c r="E95" s="138" t="n">
        <v>11.9</v>
      </c>
      <c r="F95" s="138" t="n">
        <v>543548.107</v>
      </c>
      <c r="G95" s="138" t="n">
        <v>7161226.626</v>
      </c>
      <c r="H95" s="138" t="n">
        <v>1</v>
      </c>
      <c r="I95" s="138" t="s">
        <v>6398</v>
      </c>
    </row>
    <row r="96" customFormat="false" ht="15" hidden="false" customHeight="false" outlineLevel="0" collapsed="false">
      <c r="A96" s="138" t="s">
        <v>6468</v>
      </c>
      <c r="B96" s="138" t="s">
        <v>6494</v>
      </c>
      <c r="C96" s="138" t="n">
        <v>12.5328</v>
      </c>
      <c r="D96" s="138" t="s">
        <v>59</v>
      </c>
      <c r="E96" s="138" t="n">
        <v>12.3</v>
      </c>
      <c r="F96" s="138" t="n">
        <v>543545.801</v>
      </c>
      <c r="G96" s="138" t="n">
        <v>7161227.409</v>
      </c>
      <c r="H96" s="138" t="n">
        <v>1</v>
      </c>
      <c r="I96" s="138" t="s">
        <v>6398</v>
      </c>
    </row>
    <row r="97" customFormat="false" ht="15" hidden="false" customHeight="false" outlineLevel="0" collapsed="false">
      <c r="A97" s="138" t="s">
        <v>6468</v>
      </c>
      <c r="B97" s="138" t="s">
        <v>6495</v>
      </c>
      <c r="C97" s="138" t="n">
        <v>12.7925</v>
      </c>
      <c r="D97" s="138" t="s">
        <v>59</v>
      </c>
      <c r="E97" s="138" t="n">
        <v>11.8</v>
      </c>
      <c r="F97" s="138" t="n">
        <v>543541.394</v>
      </c>
      <c r="G97" s="138" t="n">
        <v>7161230.192</v>
      </c>
      <c r="H97" s="138" t="n">
        <v>1</v>
      </c>
      <c r="I97" s="138" t="s">
        <v>6398</v>
      </c>
    </row>
    <row r="98" customFormat="false" ht="15" hidden="false" customHeight="false" outlineLevel="0" collapsed="false">
      <c r="A98" s="138" t="s">
        <v>6472</v>
      </c>
      <c r="B98" s="138" t="s">
        <v>6496</v>
      </c>
      <c r="C98" s="138" t="n">
        <v>15.7748</v>
      </c>
      <c r="D98" s="138" t="s">
        <v>59</v>
      </c>
      <c r="E98" s="138" t="n">
        <v>15.2</v>
      </c>
      <c r="F98" s="138" t="n">
        <v>543486.979</v>
      </c>
      <c r="G98" s="138" t="n">
        <v>7161254.844</v>
      </c>
      <c r="H98" s="138" t="n">
        <v>1</v>
      </c>
      <c r="I98" s="138" t="s">
        <v>6398</v>
      </c>
    </row>
    <row r="99" customFormat="false" ht="15" hidden="false" customHeight="false" outlineLevel="0" collapsed="false">
      <c r="A99" s="138" t="s">
        <v>6468</v>
      </c>
      <c r="B99" s="138" t="s">
        <v>6497</v>
      </c>
      <c r="C99" s="138" t="n">
        <v>16.0352</v>
      </c>
      <c r="D99" s="138" t="s">
        <v>59</v>
      </c>
      <c r="E99" s="138" t="n">
        <v>15.4</v>
      </c>
      <c r="F99" s="138" t="n">
        <v>543482.269</v>
      </c>
      <c r="G99" s="138" t="n">
        <v>7161257.074</v>
      </c>
      <c r="H99" s="138" t="n">
        <v>1</v>
      </c>
      <c r="I99" s="138" t="s">
        <v>6398</v>
      </c>
    </row>
    <row r="100" customFormat="false" ht="15" hidden="false" customHeight="false" outlineLevel="0" collapsed="false">
      <c r="A100" s="138" t="s">
        <v>6468</v>
      </c>
      <c r="B100" s="138" t="s">
        <v>6498</v>
      </c>
      <c r="C100" s="138" t="n">
        <v>16.1249</v>
      </c>
      <c r="D100" s="138" t="s">
        <v>59</v>
      </c>
      <c r="E100" s="138" t="n">
        <v>16.9</v>
      </c>
      <c r="F100" s="138" t="n">
        <v>543479.959</v>
      </c>
      <c r="G100" s="138" t="n">
        <v>7161256.528</v>
      </c>
      <c r="H100" s="138" t="n">
        <v>1</v>
      </c>
      <c r="I100" s="138" t="s">
        <v>6398</v>
      </c>
    </row>
    <row r="101" customFormat="false" ht="15" hidden="false" customHeight="false" outlineLevel="0" collapsed="false">
      <c r="A101" s="138" t="s">
        <v>6468</v>
      </c>
      <c r="B101" s="138" t="s">
        <v>6499</v>
      </c>
      <c r="C101" s="138" t="n">
        <v>16.4254</v>
      </c>
      <c r="D101" s="138" t="s">
        <v>59</v>
      </c>
      <c r="E101" s="138" t="n">
        <v>7.9</v>
      </c>
      <c r="F101" s="138" t="n">
        <v>543478.79</v>
      </c>
      <c r="G101" s="138" t="n">
        <v>7161267.274</v>
      </c>
      <c r="H101" s="138" t="n">
        <v>1</v>
      </c>
      <c r="I101" s="138" t="s">
        <v>6398</v>
      </c>
    </row>
    <row r="102" customFormat="false" ht="15" hidden="false" customHeight="false" outlineLevel="0" collapsed="false">
      <c r="A102" s="138" t="s">
        <v>6468</v>
      </c>
      <c r="B102" s="138" t="s">
        <v>6500</v>
      </c>
      <c r="C102" s="138" t="n">
        <v>17.4178</v>
      </c>
      <c r="D102" s="138" t="s">
        <v>59</v>
      </c>
      <c r="E102" s="138" t="n">
        <v>8.2</v>
      </c>
      <c r="F102" s="138" t="n">
        <v>543461.055</v>
      </c>
      <c r="G102" s="138" t="n">
        <v>7161276.191</v>
      </c>
      <c r="H102" s="138" t="n">
        <v>1</v>
      </c>
      <c r="I102" s="138" t="s">
        <v>6398</v>
      </c>
    </row>
    <row r="103" customFormat="false" ht="15" hidden="false" customHeight="false" outlineLevel="0" collapsed="false">
      <c r="A103" s="138" t="s">
        <v>6468</v>
      </c>
      <c r="B103" s="138" t="s">
        <v>6501</v>
      </c>
      <c r="C103" s="138" t="n">
        <v>33.8653</v>
      </c>
      <c r="D103" s="138" t="s">
        <v>60</v>
      </c>
      <c r="E103" s="138" t="n">
        <v>5.8</v>
      </c>
      <c r="F103" s="138" t="n">
        <v>543168.486</v>
      </c>
      <c r="G103" s="138" t="n">
        <v>7161426.426</v>
      </c>
      <c r="H103" s="138" t="n">
        <v>1</v>
      </c>
      <c r="I103" s="138" t="s">
        <v>6398</v>
      </c>
    </row>
    <row r="104" customFormat="false" ht="15" hidden="false" customHeight="false" outlineLevel="0" collapsed="false">
      <c r="A104" s="138" t="s">
        <v>6468</v>
      </c>
      <c r="B104" s="138" t="s">
        <v>6502</v>
      </c>
      <c r="C104" s="138" t="n">
        <v>40.6034</v>
      </c>
      <c r="D104" s="138" t="s">
        <v>60</v>
      </c>
      <c r="E104" s="138" t="n">
        <v>4.1</v>
      </c>
      <c r="F104" s="138" t="n">
        <v>543042.99</v>
      </c>
      <c r="G104" s="138" t="n">
        <v>7161475.56</v>
      </c>
      <c r="H104" s="138" t="n">
        <v>1</v>
      </c>
      <c r="I104" s="138" t="s">
        <v>6398</v>
      </c>
    </row>
    <row r="105" customFormat="false" ht="15" hidden="false" customHeight="false" outlineLevel="0" collapsed="false">
      <c r="A105" s="138" t="s">
        <v>6468</v>
      </c>
      <c r="B105" s="138" t="s">
        <v>6503</v>
      </c>
      <c r="C105" s="138" t="n">
        <v>41.0825</v>
      </c>
      <c r="D105" s="138" t="s">
        <v>60</v>
      </c>
      <c r="E105" s="138" t="n">
        <v>16.4</v>
      </c>
      <c r="F105" s="138" t="n">
        <v>543038.723</v>
      </c>
      <c r="G105" s="138" t="n">
        <v>7161490.523</v>
      </c>
      <c r="H105" s="138" t="n">
        <v>1</v>
      </c>
      <c r="I105" s="138" t="s">
        <v>6398</v>
      </c>
    </row>
    <row r="106" customFormat="false" ht="15" hidden="false" customHeight="false" outlineLevel="0" collapsed="false">
      <c r="A106" s="138" t="s">
        <v>6472</v>
      </c>
      <c r="B106" s="138" t="s">
        <v>6504</v>
      </c>
      <c r="C106" s="138" t="n">
        <v>50.3533</v>
      </c>
      <c r="D106" s="138" t="s">
        <v>59</v>
      </c>
      <c r="E106" s="138" t="n">
        <v>6.8</v>
      </c>
      <c r="F106" s="138" t="n">
        <v>542858.224</v>
      </c>
      <c r="G106" s="138" t="n">
        <v>7161538.837</v>
      </c>
      <c r="H106" s="138" t="n">
        <v>1</v>
      </c>
      <c r="I106" s="138" t="s">
        <v>6398</v>
      </c>
    </row>
    <row r="107" customFormat="false" ht="15" hidden="false" customHeight="false" outlineLevel="0" collapsed="false">
      <c r="A107" s="138" t="s">
        <v>6472</v>
      </c>
      <c r="B107" s="138" t="s">
        <v>6505</v>
      </c>
      <c r="C107" s="138" t="n">
        <v>50.6072</v>
      </c>
      <c r="D107" s="138" t="s">
        <v>59</v>
      </c>
      <c r="E107" s="138" t="n">
        <v>6.8</v>
      </c>
      <c r="F107" s="138" t="n">
        <v>542853.513</v>
      </c>
      <c r="G107" s="138" t="n">
        <v>7161540.735</v>
      </c>
      <c r="H107" s="138" t="n">
        <v>1</v>
      </c>
      <c r="I107" s="138" t="s">
        <v>6398</v>
      </c>
    </row>
    <row r="108" customFormat="false" ht="15" hidden="false" customHeight="false" outlineLevel="0" collapsed="false">
      <c r="A108" s="138" t="s">
        <v>6472</v>
      </c>
      <c r="B108" s="138" t="s">
        <v>6506</v>
      </c>
      <c r="C108" s="138" t="n">
        <v>50.8756</v>
      </c>
      <c r="D108" s="138" t="s">
        <v>59</v>
      </c>
      <c r="E108" s="138" t="n">
        <v>7.2</v>
      </c>
      <c r="F108" s="138" t="n">
        <v>542848.4</v>
      </c>
      <c r="G108" s="138" t="n">
        <v>7161542.412</v>
      </c>
      <c r="H108" s="138" t="n">
        <v>1</v>
      </c>
      <c r="I108" s="138" t="s">
        <v>6398</v>
      </c>
    </row>
    <row r="109" customFormat="false" ht="15" hidden="false" customHeight="false" outlineLevel="0" collapsed="false">
      <c r="A109" s="138" t="s">
        <v>6472</v>
      </c>
      <c r="B109" s="138" t="s">
        <v>6507</v>
      </c>
      <c r="C109" s="138" t="n">
        <v>50.9646</v>
      </c>
      <c r="D109" s="138" t="s">
        <v>59</v>
      </c>
      <c r="E109" s="138" t="n">
        <v>7</v>
      </c>
      <c r="F109" s="138" t="n">
        <v>542846.797</v>
      </c>
      <c r="G109" s="138" t="n">
        <v>7161543.193</v>
      </c>
      <c r="H109" s="138" t="n">
        <v>1</v>
      </c>
      <c r="I109" s="138" t="s">
        <v>6398</v>
      </c>
    </row>
    <row r="110" customFormat="false" ht="15" hidden="false" customHeight="false" outlineLevel="0" collapsed="false">
      <c r="A110" s="138" t="s">
        <v>6472</v>
      </c>
      <c r="B110" s="138" t="s">
        <v>6508</v>
      </c>
      <c r="C110" s="138" t="n">
        <v>51.2103</v>
      </c>
      <c r="D110" s="138" t="s">
        <v>59</v>
      </c>
      <c r="E110" s="138" t="n">
        <v>7.5</v>
      </c>
      <c r="F110" s="138" t="n">
        <v>542842.084</v>
      </c>
      <c r="G110" s="138" t="n">
        <v>7161544.648</v>
      </c>
      <c r="H110" s="138" t="n">
        <v>1</v>
      </c>
      <c r="I110" s="138" t="s">
        <v>6398</v>
      </c>
    </row>
    <row r="111" customFormat="false" ht="15" hidden="false" customHeight="false" outlineLevel="0" collapsed="false">
      <c r="A111" s="138" t="s">
        <v>6472</v>
      </c>
      <c r="B111" s="138" t="s">
        <v>6509</v>
      </c>
      <c r="C111" s="138" t="n">
        <v>51.2641</v>
      </c>
      <c r="D111" s="138" t="s">
        <v>59</v>
      </c>
      <c r="E111" s="138" t="n">
        <v>8</v>
      </c>
      <c r="F111" s="138" t="n">
        <v>542840.88</v>
      </c>
      <c r="G111" s="138" t="n">
        <v>7161544.541</v>
      </c>
      <c r="H111" s="138" t="n">
        <v>1</v>
      </c>
      <c r="I111" s="138" t="s">
        <v>6398</v>
      </c>
    </row>
    <row r="112" customFormat="false" ht="15" hidden="false" customHeight="false" outlineLevel="0" collapsed="false">
      <c r="A112" s="138" t="s">
        <v>6472</v>
      </c>
      <c r="B112" s="138" t="s">
        <v>6510</v>
      </c>
      <c r="C112" s="138" t="n">
        <v>51.4404</v>
      </c>
      <c r="D112" s="138" t="s">
        <v>59</v>
      </c>
      <c r="E112" s="138" t="n">
        <v>8.1</v>
      </c>
      <c r="F112" s="138" t="n">
        <v>542837.572</v>
      </c>
      <c r="G112" s="138" t="n">
        <v>7161545.769</v>
      </c>
      <c r="H112" s="138" t="n">
        <v>1</v>
      </c>
      <c r="I112" s="138" t="s">
        <v>6398</v>
      </c>
    </row>
    <row r="113" customFormat="false" ht="15" hidden="false" customHeight="false" outlineLevel="0" collapsed="false">
      <c r="A113" s="138" t="s">
        <v>6472</v>
      </c>
      <c r="B113" s="138" t="s">
        <v>6511</v>
      </c>
      <c r="C113" s="138" t="n">
        <v>51.576</v>
      </c>
      <c r="D113" s="138" t="s">
        <v>59</v>
      </c>
      <c r="E113" s="138" t="n">
        <v>8.4</v>
      </c>
      <c r="F113" s="138" t="n">
        <v>542834.965</v>
      </c>
      <c r="G113" s="138" t="n">
        <v>7161546.553</v>
      </c>
      <c r="H113" s="138" t="n">
        <v>1</v>
      </c>
      <c r="I113" s="138" t="s">
        <v>6398</v>
      </c>
    </row>
    <row r="114" customFormat="false" ht="15" hidden="false" customHeight="false" outlineLevel="0" collapsed="false">
      <c r="A114" s="138" t="s">
        <v>6472</v>
      </c>
      <c r="B114" s="138" t="s">
        <v>6512</v>
      </c>
      <c r="C114" s="138" t="n">
        <v>51.7854</v>
      </c>
      <c r="D114" s="138" t="s">
        <v>59</v>
      </c>
      <c r="E114" s="138" t="n">
        <v>7.9</v>
      </c>
      <c r="F114" s="138" t="n">
        <v>542831.258</v>
      </c>
      <c r="G114" s="138" t="n">
        <v>7161548.558</v>
      </c>
      <c r="H114" s="138" t="n">
        <v>1</v>
      </c>
      <c r="I114" s="138" t="s">
        <v>6398</v>
      </c>
    </row>
    <row r="115" customFormat="false" ht="15" hidden="false" customHeight="false" outlineLevel="0" collapsed="false">
      <c r="A115" s="138" t="s">
        <v>6472</v>
      </c>
      <c r="B115" s="138" t="s">
        <v>6513</v>
      </c>
      <c r="C115" s="138" t="n">
        <v>51.8661</v>
      </c>
      <c r="D115" s="138" t="s">
        <v>59</v>
      </c>
      <c r="E115" s="138" t="n">
        <v>8.2</v>
      </c>
      <c r="F115" s="138" t="n">
        <v>542829.653</v>
      </c>
      <c r="G115" s="138" t="n">
        <v>7161548.896</v>
      </c>
      <c r="H115" s="138" t="n">
        <v>1</v>
      </c>
      <c r="I115" s="138" t="s">
        <v>6398</v>
      </c>
    </row>
    <row r="116" customFormat="false" ht="15" hidden="false" customHeight="false" outlineLevel="0" collapsed="false">
      <c r="A116" s="138" t="s">
        <v>6472</v>
      </c>
      <c r="B116" s="138" t="s">
        <v>6514</v>
      </c>
      <c r="C116" s="138" t="n">
        <v>51.9028</v>
      </c>
      <c r="D116" s="138" t="s">
        <v>59</v>
      </c>
      <c r="E116" s="138" t="n">
        <v>8.3</v>
      </c>
      <c r="F116" s="138" t="n">
        <v>542828.951</v>
      </c>
      <c r="G116" s="138" t="n">
        <v>7161549.12</v>
      </c>
      <c r="H116" s="138" t="n">
        <v>1</v>
      </c>
      <c r="I116" s="138" t="s">
        <v>6398</v>
      </c>
    </row>
    <row r="117" customFormat="false" ht="15" hidden="false" customHeight="false" outlineLevel="0" collapsed="false">
      <c r="A117" s="138" t="s">
        <v>6472</v>
      </c>
      <c r="B117" s="138" t="s">
        <v>6515</v>
      </c>
      <c r="C117" s="138" t="n">
        <v>51.9489</v>
      </c>
      <c r="D117" s="138" t="s">
        <v>59</v>
      </c>
      <c r="E117" s="138" t="n">
        <v>8.4</v>
      </c>
      <c r="F117" s="138" t="n">
        <v>542828.049</v>
      </c>
      <c r="G117" s="138" t="n">
        <v>7161549.344</v>
      </c>
      <c r="H117" s="138" t="n">
        <v>1</v>
      </c>
      <c r="I117" s="138" t="s">
        <v>6398</v>
      </c>
    </row>
    <row r="118" customFormat="false" ht="15" hidden="false" customHeight="false" outlineLevel="0" collapsed="false">
      <c r="A118" s="138" t="s">
        <v>6472</v>
      </c>
      <c r="B118" s="138" t="s">
        <v>6516</v>
      </c>
      <c r="C118" s="138" t="n">
        <v>52.178</v>
      </c>
      <c r="D118" s="138" t="s">
        <v>59</v>
      </c>
      <c r="E118" s="138" t="n">
        <v>8.6</v>
      </c>
      <c r="F118" s="138" t="n">
        <v>542823.738</v>
      </c>
      <c r="G118" s="138" t="n">
        <v>7161550.908</v>
      </c>
      <c r="H118" s="138" t="n">
        <v>1</v>
      </c>
      <c r="I118" s="138" t="s">
        <v>6398</v>
      </c>
    </row>
    <row r="119" customFormat="false" ht="15" hidden="false" customHeight="false" outlineLevel="0" collapsed="false">
      <c r="A119" s="138" t="s">
        <v>6472</v>
      </c>
      <c r="B119" s="138" t="s">
        <v>6517</v>
      </c>
      <c r="C119" s="138" t="n">
        <v>52.2494</v>
      </c>
      <c r="D119" s="138" t="s">
        <v>59</v>
      </c>
      <c r="E119" s="138" t="n">
        <v>8.8</v>
      </c>
      <c r="F119" s="138" t="n">
        <v>542822.334</v>
      </c>
      <c r="G119" s="138" t="n">
        <v>7161551.245</v>
      </c>
      <c r="H119" s="138" t="n">
        <v>1</v>
      </c>
      <c r="I119" s="138" t="s">
        <v>6398</v>
      </c>
    </row>
    <row r="120" customFormat="false" ht="15" hidden="false" customHeight="false" outlineLevel="0" collapsed="false">
      <c r="A120" s="138" t="s">
        <v>6472</v>
      </c>
      <c r="B120" s="138" t="s">
        <v>6518</v>
      </c>
      <c r="C120" s="138" t="n">
        <v>52.5033</v>
      </c>
      <c r="D120" s="138" t="s">
        <v>59</v>
      </c>
      <c r="E120" s="138" t="n">
        <v>8.8</v>
      </c>
      <c r="F120" s="138" t="n">
        <v>542817.623</v>
      </c>
      <c r="G120" s="138" t="n">
        <v>7161553.143</v>
      </c>
      <c r="H120" s="138" t="n">
        <v>1</v>
      </c>
      <c r="I120" s="138" t="s">
        <v>6398</v>
      </c>
    </row>
    <row r="121" customFormat="false" ht="15" hidden="false" customHeight="false" outlineLevel="0" collapsed="false">
      <c r="A121" s="138" t="s">
        <v>6472</v>
      </c>
      <c r="B121" s="138" t="s">
        <v>6519</v>
      </c>
      <c r="C121" s="138" t="n">
        <v>52.6895</v>
      </c>
      <c r="D121" s="138" t="s">
        <v>59</v>
      </c>
      <c r="E121" s="138" t="n">
        <v>9.2</v>
      </c>
      <c r="F121" s="138" t="n">
        <v>542814.013</v>
      </c>
      <c r="G121" s="138" t="n">
        <v>7161554.151</v>
      </c>
      <c r="H121" s="138" t="n">
        <v>1</v>
      </c>
      <c r="I121" s="138" t="s">
        <v>6398</v>
      </c>
    </row>
    <row r="122" customFormat="false" ht="15" hidden="false" customHeight="false" outlineLevel="0" collapsed="false">
      <c r="A122" s="138" t="s">
        <v>6472</v>
      </c>
      <c r="B122" s="138" t="s">
        <v>6520</v>
      </c>
      <c r="C122" s="138" t="n">
        <v>52.7609</v>
      </c>
      <c r="D122" s="138" t="s">
        <v>59</v>
      </c>
      <c r="E122" s="138" t="n">
        <v>9.4</v>
      </c>
      <c r="F122" s="138" t="n">
        <v>542812.609</v>
      </c>
      <c r="G122" s="138" t="n">
        <v>7161554.488</v>
      </c>
      <c r="H122" s="138" t="n">
        <v>1</v>
      </c>
      <c r="I122" s="138" t="s">
        <v>6398</v>
      </c>
    </row>
    <row r="123" customFormat="false" ht="15" hidden="false" customHeight="false" outlineLevel="0" collapsed="false">
      <c r="A123" s="138" t="s">
        <v>6472</v>
      </c>
      <c r="B123" s="138" t="s">
        <v>6521</v>
      </c>
      <c r="C123" s="138" t="n">
        <v>52.944</v>
      </c>
      <c r="D123" s="138" t="s">
        <v>59</v>
      </c>
      <c r="E123" s="138" t="n">
        <v>9.5</v>
      </c>
      <c r="F123" s="138" t="n">
        <v>542809.201</v>
      </c>
      <c r="G123" s="138" t="n">
        <v>7161555.828</v>
      </c>
      <c r="H123" s="138" t="n">
        <v>1</v>
      </c>
      <c r="I123" s="138" t="s">
        <v>6398</v>
      </c>
    </row>
    <row r="124" customFormat="false" ht="15" hidden="false" customHeight="false" outlineLevel="0" collapsed="false">
      <c r="A124" s="138" t="s">
        <v>6472</v>
      </c>
      <c r="B124" s="138" t="s">
        <v>6522</v>
      </c>
      <c r="C124" s="138" t="n">
        <v>53.0003</v>
      </c>
      <c r="D124" s="138" t="s">
        <v>59</v>
      </c>
      <c r="E124" s="138" t="n">
        <v>9.1</v>
      </c>
      <c r="F124" s="138" t="n">
        <v>542808.3</v>
      </c>
      <c r="G124" s="138" t="n">
        <v>7161556.606</v>
      </c>
      <c r="H124" s="138" t="n">
        <v>1</v>
      </c>
      <c r="I124" s="138" t="s">
        <v>6398</v>
      </c>
    </row>
    <row r="125" customFormat="false" ht="15" hidden="false" customHeight="false" outlineLevel="0" collapsed="false">
      <c r="A125" s="138" t="s">
        <v>6472</v>
      </c>
      <c r="B125" s="138" t="s">
        <v>6523</v>
      </c>
      <c r="C125" s="138" t="n">
        <v>53.5848</v>
      </c>
      <c r="D125" s="138" t="s">
        <v>59</v>
      </c>
      <c r="E125" s="138" t="n">
        <v>9.6</v>
      </c>
      <c r="F125" s="138" t="n">
        <v>542797.273</v>
      </c>
      <c r="G125" s="138" t="n">
        <v>7161560.517</v>
      </c>
      <c r="H125" s="138" t="n">
        <v>1</v>
      </c>
      <c r="I125" s="138" t="s">
        <v>6398</v>
      </c>
    </row>
    <row r="126" customFormat="false" ht="15" hidden="false" customHeight="false" outlineLevel="0" collapsed="false">
      <c r="A126" s="138" t="s">
        <v>6472</v>
      </c>
      <c r="B126" s="138" t="s">
        <v>6524</v>
      </c>
      <c r="C126" s="138" t="n">
        <v>53.697</v>
      </c>
      <c r="D126" s="138" t="s">
        <v>59</v>
      </c>
      <c r="E126" s="138" t="n">
        <v>9.7</v>
      </c>
      <c r="F126" s="138" t="n">
        <v>542795.168</v>
      </c>
      <c r="G126" s="138" t="n">
        <v>7161561.299</v>
      </c>
      <c r="H126" s="138" t="n">
        <v>1</v>
      </c>
      <c r="I126" s="138" t="s">
        <v>6398</v>
      </c>
    </row>
    <row r="127" customFormat="false" ht="15" hidden="false" customHeight="false" outlineLevel="0" collapsed="false">
      <c r="A127" s="138" t="s">
        <v>6472</v>
      </c>
      <c r="B127" s="138" t="s">
        <v>6525</v>
      </c>
      <c r="C127" s="138" t="n">
        <v>54.0518</v>
      </c>
      <c r="D127" s="138" t="s">
        <v>59</v>
      </c>
      <c r="E127" s="138" t="n">
        <v>9.8</v>
      </c>
      <c r="F127" s="138" t="n">
        <v>542788.552</v>
      </c>
      <c r="G127" s="138" t="n">
        <v>7161563.868</v>
      </c>
      <c r="H127" s="138" t="n">
        <v>1</v>
      </c>
      <c r="I127" s="138" t="s">
        <v>6398</v>
      </c>
    </row>
    <row r="128" customFormat="false" ht="15" hidden="false" customHeight="false" outlineLevel="0" collapsed="false">
      <c r="A128" s="138" t="s">
        <v>6472</v>
      </c>
      <c r="B128" s="138" t="s">
        <v>6526</v>
      </c>
      <c r="C128" s="138" t="n">
        <v>54.1315</v>
      </c>
      <c r="D128" s="138" t="s">
        <v>59</v>
      </c>
      <c r="E128" s="138" t="n">
        <v>10.7</v>
      </c>
      <c r="F128" s="138" t="n">
        <v>542786.745</v>
      </c>
      <c r="G128" s="138" t="n">
        <v>7161563.652</v>
      </c>
      <c r="H128" s="138" t="n">
        <v>1</v>
      </c>
      <c r="I128" s="138" t="s">
        <v>6398</v>
      </c>
    </row>
    <row r="129" customFormat="false" ht="15" hidden="false" customHeight="false" outlineLevel="0" collapsed="false">
      <c r="A129" s="138" t="s">
        <v>6472</v>
      </c>
      <c r="B129" s="138" t="s">
        <v>6527</v>
      </c>
      <c r="C129" s="138" t="n">
        <v>54.4677</v>
      </c>
      <c r="D129" s="138" t="s">
        <v>59</v>
      </c>
      <c r="E129" s="138" t="n">
        <v>10.6</v>
      </c>
      <c r="F129" s="138" t="n">
        <v>542780.53</v>
      </c>
      <c r="G129" s="138" t="n">
        <v>7161566.219</v>
      </c>
      <c r="H129" s="138" t="n">
        <v>1</v>
      </c>
      <c r="I129" s="138" t="s">
        <v>6398</v>
      </c>
    </row>
    <row r="130" customFormat="false" ht="15" hidden="false" customHeight="false" outlineLevel="0" collapsed="false">
      <c r="A130" s="138" t="s">
        <v>6472</v>
      </c>
      <c r="B130" s="138" t="s">
        <v>6528</v>
      </c>
      <c r="C130" s="138" t="n">
        <v>54.9502</v>
      </c>
      <c r="D130" s="138" t="s">
        <v>59</v>
      </c>
      <c r="E130" s="138" t="n">
        <v>11.6</v>
      </c>
      <c r="F130" s="138" t="n">
        <v>542771.205</v>
      </c>
      <c r="G130" s="138" t="n">
        <v>7161568.907</v>
      </c>
      <c r="H130" s="138" t="n">
        <v>1</v>
      </c>
      <c r="I130" s="138" t="s">
        <v>6398</v>
      </c>
    </row>
    <row r="131" customFormat="false" ht="15" hidden="false" customHeight="false" outlineLevel="0" collapsed="false">
      <c r="A131" s="138" t="s">
        <v>6472</v>
      </c>
      <c r="B131" s="138" t="s">
        <v>6529</v>
      </c>
      <c r="C131" s="138" t="n">
        <v>55.0211</v>
      </c>
      <c r="D131" s="138" t="s">
        <v>59</v>
      </c>
      <c r="E131" s="138" t="n">
        <v>11.6</v>
      </c>
      <c r="F131" s="138" t="n">
        <v>542769.902</v>
      </c>
      <c r="G131" s="138" t="n">
        <v>7161569.465</v>
      </c>
      <c r="H131" s="138" t="n">
        <v>1</v>
      </c>
      <c r="I131" s="138" t="s">
        <v>6398</v>
      </c>
    </row>
    <row r="132" customFormat="false" ht="15" hidden="false" customHeight="false" outlineLevel="0" collapsed="false">
      <c r="A132" s="138" t="s">
        <v>6472</v>
      </c>
      <c r="B132" s="138" t="s">
        <v>6530</v>
      </c>
      <c r="C132" s="138" t="n">
        <v>55.1918</v>
      </c>
      <c r="D132" s="138" t="s">
        <v>59</v>
      </c>
      <c r="E132" s="138" t="n">
        <v>11.2</v>
      </c>
      <c r="F132" s="138" t="n">
        <v>542766.897</v>
      </c>
      <c r="G132" s="138" t="n">
        <v>7161571.136</v>
      </c>
      <c r="H132" s="138" t="n">
        <v>1</v>
      </c>
      <c r="I132" s="138" t="s">
        <v>6398</v>
      </c>
    </row>
    <row r="133" customFormat="false" ht="15" hidden="false" customHeight="false" outlineLevel="0" collapsed="false">
      <c r="A133" s="138" t="s">
        <v>6472</v>
      </c>
      <c r="B133" s="138" t="s">
        <v>6531</v>
      </c>
      <c r="C133" s="138" t="n">
        <v>55.318</v>
      </c>
      <c r="D133" s="138" t="s">
        <v>59</v>
      </c>
      <c r="E133" s="138" t="n">
        <v>11.4</v>
      </c>
      <c r="F133" s="138" t="n">
        <v>542764.49</v>
      </c>
      <c r="G133" s="138" t="n">
        <v>7161571.919</v>
      </c>
      <c r="H133" s="138" t="n">
        <v>1</v>
      </c>
      <c r="I133" s="138" t="s">
        <v>6398</v>
      </c>
    </row>
    <row r="134" customFormat="false" ht="15" hidden="false" customHeight="false" outlineLevel="0" collapsed="false">
      <c r="A134" s="138" t="s">
        <v>6472</v>
      </c>
      <c r="B134" s="138" t="s">
        <v>6532</v>
      </c>
      <c r="C134" s="138" t="n">
        <v>55.4292</v>
      </c>
      <c r="D134" s="138" t="s">
        <v>59</v>
      </c>
      <c r="E134" s="138" t="n">
        <v>12</v>
      </c>
      <c r="F134" s="138" t="n">
        <v>542762.183</v>
      </c>
      <c r="G134" s="138" t="n">
        <v>7161572.148</v>
      </c>
      <c r="H134" s="138" t="n">
        <v>1</v>
      </c>
      <c r="I134" s="138" t="s">
        <v>6398</v>
      </c>
    </row>
    <row r="135" customFormat="false" ht="15" hidden="false" customHeight="false" outlineLevel="0" collapsed="false">
      <c r="A135" s="138" t="s">
        <v>6472</v>
      </c>
      <c r="B135" s="138" t="s">
        <v>6533</v>
      </c>
      <c r="C135" s="138" t="n">
        <v>55.666</v>
      </c>
      <c r="D135" s="138" t="s">
        <v>59</v>
      </c>
      <c r="E135" s="138" t="n">
        <v>11.6</v>
      </c>
      <c r="F135" s="138" t="n">
        <v>542757.975</v>
      </c>
      <c r="G135" s="138" t="n">
        <v>7161574.376</v>
      </c>
      <c r="H135" s="138" t="n">
        <v>1</v>
      </c>
      <c r="I135" s="138" t="s">
        <v>6398</v>
      </c>
    </row>
    <row r="136" customFormat="false" ht="15" hidden="false" customHeight="false" outlineLevel="0" collapsed="false">
      <c r="A136" s="138" t="s">
        <v>6472</v>
      </c>
      <c r="B136" s="138" t="s">
        <v>6534</v>
      </c>
      <c r="C136" s="138" t="n">
        <v>55.7064</v>
      </c>
      <c r="D136" s="138" t="s">
        <v>59</v>
      </c>
      <c r="E136" s="138" t="n">
        <v>12.2</v>
      </c>
      <c r="F136" s="138" t="n">
        <v>542756.97</v>
      </c>
      <c r="G136" s="138" t="n">
        <v>7161574.047</v>
      </c>
      <c r="H136" s="138" t="n">
        <v>1</v>
      </c>
      <c r="I136" s="138" t="s">
        <v>6398</v>
      </c>
    </row>
    <row r="137" customFormat="false" ht="15" hidden="false" customHeight="false" outlineLevel="0" collapsed="false">
      <c r="A137" s="138" t="s">
        <v>6472</v>
      </c>
      <c r="B137" s="138" t="s">
        <v>6535</v>
      </c>
      <c r="C137" s="138" t="n">
        <v>56.2696</v>
      </c>
      <c r="D137" s="138" t="s">
        <v>59</v>
      </c>
      <c r="E137" s="138" t="n">
        <v>12.5</v>
      </c>
      <c r="F137" s="138" t="n">
        <v>542746.445</v>
      </c>
      <c r="G137" s="138" t="n">
        <v>7161578.068</v>
      </c>
      <c r="H137" s="138" t="n">
        <v>1</v>
      </c>
      <c r="I137" s="138" t="s">
        <v>6398</v>
      </c>
    </row>
    <row r="138" customFormat="false" ht="15" hidden="false" customHeight="false" outlineLevel="0" collapsed="false">
      <c r="A138" s="138" t="s">
        <v>6472</v>
      </c>
      <c r="B138" s="138" t="s">
        <v>6536</v>
      </c>
      <c r="C138" s="138" t="n">
        <v>56.4921</v>
      </c>
      <c r="D138" s="138" t="s">
        <v>59</v>
      </c>
      <c r="E138" s="138" t="n">
        <v>13.8</v>
      </c>
      <c r="F138" s="138" t="n">
        <v>542741.829</v>
      </c>
      <c r="G138" s="138" t="n">
        <v>7161578.525</v>
      </c>
      <c r="H138" s="138" t="n">
        <v>1</v>
      </c>
      <c r="I138" s="138" t="s">
        <v>6398</v>
      </c>
    </row>
    <row r="139" customFormat="false" ht="15" hidden="false" customHeight="false" outlineLevel="0" collapsed="false">
      <c r="A139" s="138" t="s">
        <v>6472</v>
      </c>
      <c r="B139" s="138" t="s">
        <v>6537</v>
      </c>
      <c r="C139" s="138" t="n">
        <v>56.5945</v>
      </c>
      <c r="D139" s="138" t="s">
        <v>59</v>
      </c>
      <c r="E139" s="138" t="n">
        <v>13.5</v>
      </c>
      <c r="F139" s="138" t="n">
        <v>542740.026</v>
      </c>
      <c r="G139" s="138" t="n">
        <v>7161579.528</v>
      </c>
      <c r="H139" s="138" t="n">
        <v>1</v>
      </c>
      <c r="I139" s="138" t="s">
        <v>6398</v>
      </c>
    </row>
    <row r="140" customFormat="false" ht="15" hidden="false" customHeight="false" outlineLevel="0" collapsed="false">
      <c r="A140" s="138" t="s">
        <v>6472</v>
      </c>
      <c r="B140" s="138" t="s">
        <v>6538</v>
      </c>
      <c r="C140" s="138" t="n">
        <v>57.4515</v>
      </c>
      <c r="D140" s="138" t="s">
        <v>59</v>
      </c>
      <c r="E140" s="138" t="n">
        <v>14.2</v>
      </c>
      <c r="F140" s="138" t="n">
        <v>542723.886</v>
      </c>
      <c r="G140" s="138" t="n">
        <v>7161585.338</v>
      </c>
      <c r="H140" s="138" t="n">
        <v>1</v>
      </c>
      <c r="I140" s="138" t="s">
        <v>6398</v>
      </c>
    </row>
    <row r="141" customFormat="false" ht="15" hidden="false" customHeight="false" outlineLevel="0" collapsed="false">
      <c r="A141" s="138" t="s">
        <v>6472</v>
      </c>
      <c r="B141" s="138" t="s">
        <v>6539</v>
      </c>
      <c r="C141" s="138" t="n">
        <v>57.9925</v>
      </c>
      <c r="D141" s="138" t="s">
        <v>59</v>
      </c>
      <c r="E141" s="138" t="n">
        <v>14.8</v>
      </c>
      <c r="F141" s="138" t="n">
        <v>542713.66</v>
      </c>
      <c r="G141" s="138" t="n">
        <v>7161588.915</v>
      </c>
      <c r="H141" s="138" t="n">
        <v>1</v>
      </c>
      <c r="I141" s="138" t="s">
        <v>6398</v>
      </c>
    </row>
    <row r="142" customFormat="false" ht="15" hidden="false" customHeight="false" outlineLevel="0" collapsed="false">
      <c r="A142" s="138" t="s">
        <v>6472</v>
      </c>
      <c r="B142" s="138" t="s">
        <v>6540</v>
      </c>
      <c r="C142" s="138" t="n">
        <v>58.0954</v>
      </c>
      <c r="D142" s="138" t="s">
        <v>59</v>
      </c>
      <c r="E142" s="138" t="n">
        <v>14.7</v>
      </c>
      <c r="F142" s="138" t="n">
        <v>542711.756</v>
      </c>
      <c r="G142" s="138" t="n">
        <v>7161589.696</v>
      </c>
      <c r="H142" s="138" t="n">
        <v>1</v>
      </c>
      <c r="I142" s="138" t="s">
        <v>6398</v>
      </c>
    </row>
    <row r="143" customFormat="false" ht="15" hidden="false" customHeight="false" outlineLevel="0" collapsed="false">
      <c r="A143" s="138" t="s">
        <v>6468</v>
      </c>
      <c r="B143" s="138" t="s">
        <v>6541</v>
      </c>
      <c r="C143" s="138" t="n">
        <v>61.7279</v>
      </c>
      <c r="D143" s="138" t="s">
        <v>60</v>
      </c>
      <c r="E143" s="138" t="n">
        <v>16.1</v>
      </c>
      <c r="F143" s="138" t="n">
        <v>542656.033</v>
      </c>
      <c r="G143" s="138" t="n">
        <v>7161645.579</v>
      </c>
      <c r="H143" s="138" t="n">
        <v>1</v>
      </c>
      <c r="I143" s="138" t="s">
        <v>6398</v>
      </c>
    </row>
    <row r="144" customFormat="false" ht="15" hidden="false" customHeight="false" outlineLevel="0" collapsed="false">
      <c r="A144" s="138" t="s">
        <v>6468</v>
      </c>
      <c r="B144" s="138" t="s">
        <v>6542</v>
      </c>
      <c r="C144" s="138" t="n">
        <v>62.7981</v>
      </c>
      <c r="D144" s="138" t="s">
        <v>60</v>
      </c>
      <c r="E144" s="138" t="n">
        <v>13.1</v>
      </c>
      <c r="F144" s="138" t="n">
        <v>542635.073</v>
      </c>
      <c r="G144" s="138" t="n">
        <v>7161650.851</v>
      </c>
      <c r="H144" s="138" t="n">
        <v>1</v>
      </c>
      <c r="I144" s="138" t="s">
        <v>6398</v>
      </c>
    </row>
    <row r="145" customFormat="false" ht="15" hidden="false" customHeight="false" outlineLevel="0" collapsed="false">
      <c r="A145" s="138" t="s">
        <v>6468</v>
      </c>
      <c r="B145" s="138" t="s">
        <v>6543</v>
      </c>
      <c r="C145" s="138" t="n">
        <v>111.9395</v>
      </c>
      <c r="D145" s="138" t="s">
        <v>60</v>
      </c>
      <c r="E145" s="138" t="n">
        <v>9.6</v>
      </c>
      <c r="F145" s="138" t="n">
        <v>541725.329</v>
      </c>
      <c r="G145" s="138" t="n">
        <v>7162022.288</v>
      </c>
      <c r="H145" s="138" t="n">
        <v>1</v>
      </c>
      <c r="I145" s="138" t="s">
        <v>6398</v>
      </c>
    </row>
    <row r="146" customFormat="false" ht="15" hidden="false" customHeight="false" outlineLevel="0" collapsed="false">
      <c r="A146" s="138" t="s">
        <v>6468</v>
      </c>
      <c r="B146" s="138" t="s">
        <v>6544</v>
      </c>
      <c r="C146" s="138" t="n">
        <v>119.2266</v>
      </c>
      <c r="D146" s="138" t="s">
        <v>60</v>
      </c>
      <c r="E146" s="138" t="n">
        <v>2.8</v>
      </c>
      <c r="F146" s="138" t="n">
        <v>541588.486</v>
      </c>
      <c r="G146" s="138" t="n">
        <v>7162072.883</v>
      </c>
      <c r="H146" s="138" t="n">
        <v>1</v>
      </c>
      <c r="I146" s="138" t="s">
        <v>6398</v>
      </c>
    </row>
    <row r="147" customFormat="false" ht="15" hidden="false" customHeight="false" outlineLevel="0" collapsed="false">
      <c r="A147" s="138" t="s">
        <v>6468</v>
      </c>
      <c r="B147" s="138" t="s">
        <v>6545</v>
      </c>
      <c r="C147" s="138" t="n">
        <v>119.7287</v>
      </c>
      <c r="D147" s="138" t="s">
        <v>60</v>
      </c>
      <c r="E147" s="138" t="n">
        <v>1.9</v>
      </c>
      <c r="F147" s="138" t="n">
        <v>541578.86</v>
      </c>
      <c r="G147" s="138" t="n">
        <v>7162075.903</v>
      </c>
      <c r="H147" s="138" t="n">
        <v>1</v>
      </c>
      <c r="I147" s="138" t="s">
        <v>6398</v>
      </c>
    </row>
    <row r="148" customFormat="false" ht="15" hidden="false" customHeight="false" outlineLevel="0" collapsed="false">
      <c r="A148" s="138" t="s">
        <v>6468</v>
      </c>
      <c r="B148" s="138" t="s">
        <v>6546</v>
      </c>
      <c r="C148" s="138" t="n">
        <v>121.9686</v>
      </c>
      <c r="D148" s="138" t="s">
        <v>59</v>
      </c>
      <c r="E148" s="138" t="n">
        <v>18.7</v>
      </c>
      <c r="F148" s="138" t="n">
        <v>541529.575</v>
      </c>
      <c r="G148" s="138" t="n">
        <v>7162074.397</v>
      </c>
      <c r="H148" s="138" t="n">
        <v>1</v>
      </c>
      <c r="I148" s="138" t="s">
        <v>6398</v>
      </c>
    </row>
    <row r="149" customFormat="false" ht="15" hidden="false" customHeight="false" outlineLevel="0" collapsed="false">
      <c r="A149" s="138" t="s">
        <v>6468</v>
      </c>
      <c r="B149" s="138" t="s">
        <v>6547</v>
      </c>
      <c r="C149" s="138" t="n">
        <v>122.1195</v>
      </c>
      <c r="D149" s="138" t="s">
        <v>59</v>
      </c>
      <c r="E149" s="138" t="n">
        <v>13.9</v>
      </c>
      <c r="F149" s="138" t="n">
        <v>541528.689</v>
      </c>
      <c r="G149" s="138" t="n">
        <v>7162080.047</v>
      </c>
      <c r="H149" s="138" t="n">
        <v>1</v>
      </c>
      <c r="I149" s="138" t="s">
        <v>6398</v>
      </c>
    </row>
    <row r="150" customFormat="false" ht="15" hidden="false" customHeight="false" outlineLevel="0" collapsed="false">
      <c r="A150" s="138" t="s">
        <v>6468</v>
      </c>
      <c r="B150" s="138" t="s">
        <v>6548</v>
      </c>
      <c r="C150" s="138" t="n">
        <v>122.1866</v>
      </c>
      <c r="D150" s="138" t="s">
        <v>59</v>
      </c>
      <c r="E150" s="138" t="n">
        <v>17.7</v>
      </c>
      <c r="F150" s="138" t="n">
        <v>541525.97</v>
      </c>
      <c r="G150" s="138" t="n">
        <v>7162077.066</v>
      </c>
      <c r="H150" s="138" t="n">
        <v>1</v>
      </c>
      <c r="I150" s="138" t="s">
        <v>6398</v>
      </c>
    </row>
    <row r="151" customFormat="false" ht="15" hidden="false" customHeight="false" outlineLevel="0" collapsed="false">
      <c r="A151" s="138" t="s">
        <v>6468</v>
      </c>
      <c r="B151" s="138" t="s">
        <v>6549</v>
      </c>
      <c r="C151" s="138" t="n">
        <v>122.3095</v>
      </c>
      <c r="D151" s="138" t="s">
        <v>59</v>
      </c>
      <c r="E151" s="138" t="n">
        <v>17.3</v>
      </c>
      <c r="F151" s="138" t="n">
        <v>541523.866</v>
      </c>
      <c r="G151" s="138" t="n">
        <v>7162078.401</v>
      </c>
      <c r="H151" s="138" t="n">
        <v>1</v>
      </c>
      <c r="I151" s="138" t="s">
        <v>6398</v>
      </c>
    </row>
    <row r="152" customFormat="false" ht="15" hidden="false" customHeight="false" outlineLevel="0" collapsed="false">
      <c r="A152" s="138" t="s">
        <v>6468</v>
      </c>
      <c r="B152" s="138" t="s">
        <v>6550</v>
      </c>
      <c r="C152" s="138" t="n">
        <v>122.368</v>
      </c>
      <c r="D152" s="138" t="s">
        <v>59</v>
      </c>
      <c r="E152" s="138" t="n">
        <v>10.1</v>
      </c>
      <c r="F152" s="138" t="n">
        <v>541525.595</v>
      </c>
      <c r="G152" s="138" t="n">
        <v>7162085.483</v>
      </c>
      <c r="H152" s="138" t="n">
        <v>1</v>
      </c>
      <c r="I152" s="138" t="s">
        <v>6398</v>
      </c>
    </row>
    <row r="153" customFormat="false" ht="15" hidden="false" customHeight="false" outlineLevel="0" collapsed="false">
      <c r="A153" s="138" t="s">
        <v>6468</v>
      </c>
      <c r="B153" s="138" t="s">
        <v>6551</v>
      </c>
      <c r="C153" s="138" t="n">
        <v>122.4588</v>
      </c>
      <c r="D153" s="138" t="s">
        <v>59</v>
      </c>
      <c r="E153" s="138" t="n">
        <v>16.1</v>
      </c>
      <c r="F153" s="138" t="n">
        <v>541521.565</v>
      </c>
      <c r="G153" s="138" t="n">
        <v>7162080.623</v>
      </c>
      <c r="H153" s="138" t="n">
        <v>1</v>
      </c>
      <c r="I153" s="138" t="s">
        <v>6398</v>
      </c>
    </row>
    <row r="154" customFormat="false" ht="15" hidden="false" customHeight="false" outlineLevel="0" collapsed="false">
      <c r="A154" s="138" t="s">
        <v>6468</v>
      </c>
      <c r="B154" s="138" t="s">
        <v>6552</v>
      </c>
      <c r="C154" s="138" t="n">
        <v>122.5212</v>
      </c>
      <c r="D154" s="138" t="s">
        <v>59</v>
      </c>
      <c r="E154" s="138" t="n">
        <v>15</v>
      </c>
      <c r="F154" s="138" t="n">
        <v>541520.867</v>
      </c>
      <c r="G154" s="138" t="n">
        <v>7162082.176</v>
      </c>
      <c r="H154" s="138" t="n">
        <v>1</v>
      </c>
      <c r="I154" s="138" t="s">
        <v>6398</v>
      </c>
    </row>
    <row r="155" customFormat="false" ht="15" hidden="false" customHeight="false" outlineLevel="0" collapsed="false">
      <c r="A155" s="138" t="s">
        <v>6468</v>
      </c>
      <c r="B155" s="138" t="s">
        <v>6553</v>
      </c>
      <c r="C155" s="138" t="n">
        <v>127.0192</v>
      </c>
      <c r="D155" s="138" t="s">
        <v>59</v>
      </c>
      <c r="E155" s="138" t="n">
        <v>18.7</v>
      </c>
      <c r="F155" s="138" t="n">
        <v>541436.556</v>
      </c>
      <c r="G155" s="138" t="n">
        <v>7162113.779</v>
      </c>
      <c r="H155" s="138" t="n">
        <v>1</v>
      </c>
      <c r="I155" s="138" t="s">
        <v>6398</v>
      </c>
    </row>
    <row r="156" customFormat="false" ht="15" hidden="false" customHeight="false" outlineLevel="0" collapsed="false">
      <c r="A156" s="138" t="s">
        <v>6468</v>
      </c>
      <c r="B156" s="138" t="s">
        <v>6554</v>
      </c>
      <c r="C156" s="138" t="n">
        <v>129.9108</v>
      </c>
      <c r="D156" s="138" t="s">
        <v>60</v>
      </c>
      <c r="E156" s="138" t="n">
        <v>4.4</v>
      </c>
      <c r="F156" s="138" t="n">
        <v>541392.33</v>
      </c>
      <c r="G156" s="138" t="n">
        <v>7162157.66</v>
      </c>
      <c r="H156" s="138" t="n">
        <v>1</v>
      </c>
      <c r="I156" s="138" t="s">
        <v>6398</v>
      </c>
    </row>
    <row r="157" customFormat="false" ht="15" hidden="false" customHeight="false" outlineLevel="0" collapsed="false">
      <c r="A157" s="138" t="s">
        <v>6468</v>
      </c>
      <c r="B157" s="138" t="s">
        <v>6555</v>
      </c>
      <c r="C157" s="138" t="n">
        <v>131.6091</v>
      </c>
      <c r="D157" s="138" t="s">
        <v>59</v>
      </c>
      <c r="E157" s="138" t="n">
        <v>9.8</v>
      </c>
      <c r="F157" s="138" t="n">
        <v>541355.495</v>
      </c>
      <c r="G157" s="138" t="n">
        <v>7162157.774</v>
      </c>
      <c r="H157" s="138" t="n">
        <v>1</v>
      </c>
      <c r="I157" s="138" t="s">
        <v>6398</v>
      </c>
    </row>
    <row r="158" customFormat="false" ht="15" hidden="false" customHeight="false" outlineLevel="0" collapsed="false">
      <c r="A158" s="138" t="s">
        <v>6468</v>
      </c>
      <c r="B158" s="138" t="s">
        <v>6556</v>
      </c>
      <c r="C158" s="138" t="n">
        <v>133.148</v>
      </c>
      <c r="D158" s="138" t="s">
        <v>59</v>
      </c>
      <c r="E158" s="138" t="n">
        <v>9.9</v>
      </c>
      <c r="F158" s="138" t="n">
        <v>541327.128</v>
      </c>
      <c r="G158" s="138" t="n">
        <v>7162169.712</v>
      </c>
      <c r="H158" s="138" t="n">
        <v>1</v>
      </c>
      <c r="I158" s="138" t="s">
        <v>6398</v>
      </c>
    </row>
    <row r="159" customFormat="false" ht="15" hidden="false" customHeight="false" outlineLevel="0" collapsed="false">
      <c r="A159" s="138" t="s">
        <v>6472</v>
      </c>
      <c r="B159" s="138" t="s">
        <v>6557</v>
      </c>
      <c r="C159" s="138" t="n">
        <v>137.7813</v>
      </c>
      <c r="D159" s="138" t="s">
        <v>59</v>
      </c>
      <c r="E159" s="138" t="n">
        <v>13.9</v>
      </c>
      <c r="F159" s="138" t="n">
        <v>541240.209</v>
      </c>
      <c r="G159" s="138" t="n">
        <v>7162202.097</v>
      </c>
      <c r="H159" s="138" t="n">
        <v>1</v>
      </c>
      <c r="I159" s="138" t="s">
        <v>6398</v>
      </c>
    </row>
    <row r="160" customFormat="false" ht="15" hidden="false" customHeight="false" outlineLevel="0" collapsed="false">
      <c r="A160" s="138" t="s">
        <v>6468</v>
      </c>
      <c r="B160" s="138" t="s">
        <v>6558</v>
      </c>
      <c r="C160" s="138" t="n">
        <v>140.3202</v>
      </c>
      <c r="D160" s="138" t="s">
        <v>60</v>
      </c>
      <c r="E160" s="138" t="n">
        <v>4.9</v>
      </c>
      <c r="F160" s="138" t="n">
        <v>541200.779</v>
      </c>
      <c r="G160" s="138" t="n">
        <v>7162239.207</v>
      </c>
      <c r="H160" s="138" t="n">
        <v>1</v>
      </c>
      <c r="I160" s="138" t="s">
        <v>6398</v>
      </c>
    </row>
    <row r="161" customFormat="false" ht="15" hidden="false" customHeight="false" outlineLevel="0" collapsed="false">
      <c r="A161" s="138" t="s">
        <v>6468</v>
      </c>
      <c r="B161" s="138" t="s">
        <v>6559</v>
      </c>
      <c r="C161" s="138" t="n">
        <v>151.2783</v>
      </c>
      <c r="D161" s="138" t="s">
        <v>59</v>
      </c>
      <c r="E161" s="138" t="n">
        <v>7.7</v>
      </c>
      <c r="F161" s="138" t="n">
        <v>540994.046</v>
      </c>
      <c r="G161" s="138" t="n">
        <v>7162313.047</v>
      </c>
      <c r="H161" s="138" t="n">
        <v>1</v>
      </c>
      <c r="I161" s="138" t="s">
        <v>6398</v>
      </c>
    </row>
    <row r="162" customFormat="false" ht="15" hidden="false" customHeight="false" outlineLevel="0" collapsed="false">
      <c r="A162" s="138" t="s">
        <v>6468</v>
      </c>
      <c r="B162" s="138" t="s">
        <v>6560</v>
      </c>
      <c r="C162" s="138" t="n">
        <v>151.894</v>
      </c>
      <c r="D162" s="138" t="s">
        <v>59</v>
      </c>
      <c r="E162" s="138" t="n">
        <v>8.2</v>
      </c>
      <c r="F162" s="138" t="n">
        <v>540982.517</v>
      </c>
      <c r="G162" s="138" t="n">
        <v>7162317.401</v>
      </c>
      <c r="H162" s="138" t="n">
        <v>1</v>
      </c>
      <c r="I162" s="138" t="s">
        <v>6398</v>
      </c>
    </row>
    <row r="163" customFormat="false" ht="15" hidden="false" customHeight="false" outlineLevel="0" collapsed="false">
      <c r="A163" s="138" t="s">
        <v>6468</v>
      </c>
      <c r="B163" s="138" t="s">
        <v>6561</v>
      </c>
      <c r="C163" s="138" t="n">
        <v>153.0614</v>
      </c>
      <c r="D163" s="138" t="s">
        <v>59</v>
      </c>
      <c r="E163" s="138" t="n">
        <v>9.1</v>
      </c>
      <c r="F163" s="138" t="n">
        <v>540960.662</v>
      </c>
      <c r="G163" s="138" t="n">
        <v>7162325.664</v>
      </c>
      <c r="H163" s="138" t="n">
        <v>1</v>
      </c>
      <c r="I163" s="138" t="s">
        <v>6398</v>
      </c>
    </row>
    <row r="164" customFormat="false" ht="15" hidden="false" customHeight="false" outlineLevel="0" collapsed="false">
      <c r="A164" s="138" t="s">
        <v>6468</v>
      </c>
      <c r="B164" s="138" t="s">
        <v>6562</v>
      </c>
      <c r="C164" s="138" t="n">
        <v>154.4926</v>
      </c>
      <c r="D164" s="138" t="s">
        <v>60</v>
      </c>
      <c r="E164" s="138" t="n">
        <v>13.7</v>
      </c>
      <c r="F164" s="138" t="n">
        <v>540943.196</v>
      </c>
      <c r="G164" s="138" t="n">
        <v>7162357.832</v>
      </c>
      <c r="H164" s="138" t="n">
        <v>1</v>
      </c>
      <c r="I164" s="138" t="s">
        <v>6398</v>
      </c>
    </row>
    <row r="165" customFormat="false" ht="15" hidden="false" customHeight="false" outlineLevel="0" collapsed="false">
      <c r="A165" s="138" t="s">
        <v>6468</v>
      </c>
      <c r="B165" s="138" t="s">
        <v>6563</v>
      </c>
      <c r="C165" s="138" t="n">
        <v>154.8382</v>
      </c>
      <c r="D165" s="138" t="s">
        <v>60</v>
      </c>
      <c r="E165" s="138" t="n">
        <v>5.3</v>
      </c>
      <c r="F165" s="138" t="n">
        <v>540933.545</v>
      </c>
      <c r="G165" s="138" t="n">
        <v>7162352.768</v>
      </c>
      <c r="H165" s="138" t="n">
        <v>1</v>
      </c>
      <c r="I165" s="138" t="s">
        <v>6398</v>
      </c>
    </row>
    <row r="166" customFormat="false" ht="15" hidden="false" customHeight="false" outlineLevel="0" collapsed="false">
      <c r="A166" s="138" t="s">
        <v>6468</v>
      </c>
      <c r="B166" s="138" t="s">
        <v>6564</v>
      </c>
      <c r="C166" s="138" t="n">
        <v>154.9844</v>
      </c>
      <c r="D166" s="138" t="s">
        <v>60</v>
      </c>
      <c r="E166" s="138" t="n">
        <v>7.1</v>
      </c>
      <c r="F166" s="138" t="n">
        <v>540931.546</v>
      </c>
      <c r="G166" s="138" t="n">
        <v>7162355.543</v>
      </c>
      <c r="H166" s="138" t="n">
        <v>1</v>
      </c>
      <c r="I166" s="138" t="s">
        <v>6398</v>
      </c>
    </row>
    <row r="167" customFormat="false" ht="15" hidden="false" customHeight="false" outlineLevel="0" collapsed="false">
      <c r="A167" s="138" t="s">
        <v>6468</v>
      </c>
      <c r="B167" s="138" t="s">
        <v>6565</v>
      </c>
      <c r="C167" s="138" t="n">
        <v>155.0045</v>
      </c>
      <c r="D167" s="138" t="s">
        <v>60</v>
      </c>
      <c r="E167" s="138" t="n">
        <v>4.1</v>
      </c>
      <c r="F167" s="138" t="n">
        <v>540930.033</v>
      </c>
      <c r="G167" s="138" t="n">
        <v>7162353</v>
      </c>
      <c r="H167" s="138" t="n">
        <v>1</v>
      </c>
      <c r="I167" s="138" t="s">
        <v>6398</v>
      </c>
    </row>
    <row r="168" customFormat="false" ht="15" hidden="false" customHeight="false" outlineLevel="0" collapsed="false">
      <c r="A168" s="138" t="s">
        <v>6468</v>
      </c>
      <c r="B168" s="138" t="s">
        <v>6566</v>
      </c>
      <c r="C168" s="138" t="n">
        <v>162.16</v>
      </c>
      <c r="D168" s="138" t="s">
        <v>60</v>
      </c>
      <c r="E168" s="138" t="n">
        <v>5.1</v>
      </c>
      <c r="F168" s="138" t="n">
        <v>540798.218</v>
      </c>
      <c r="G168" s="138" t="n">
        <v>7162408.776</v>
      </c>
      <c r="H168" s="138" t="n">
        <v>1</v>
      </c>
      <c r="I168" s="138" t="s">
        <v>6398</v>
      </c>
    </row>
    <row r="169" customFormat="false" ht="15" hidden="false" customHeight="false" outlineLevel="0" collapsed="false">
      <c r="A169" s="138" t="s">
        <v>6468</v>
      </c>
      <c r="B169" s="138" t="s">
        <v>6567</v>
      </c>
      <c r="C169" s="138" t="n">
        <v>163.3586</v>
      </c>
      <c r="D169" s="138" t="s">
        <v>60</v>
      </c>
      <c r="E169" s="138" t="n">
        <v>3.2</v>
      </c>
      <c r="F169" s="138" t="n">
        <v>540775.155</v>
      </c>
      <c r="G169" s="138" t="n">
        <v>7162416.045</v>
      </c>
      <c r="H169" s="138" t="n">
        <v>1</v>
      </c>
      <c r="I169" s="138" t="s">
        <v>6398</v>
      </c>
    </row>
    <row r="170" customFormat="false" ht="15" hidden="false" customHeight="false" outlineLevel="0" collapsed="false">
      <c r="A170" s="138" t="s">
        <v>6468</v>
      </c>
      <c r="B170" s="138" t="s">
        <v>6568</v>
      </c>
      <c r="C170" s="138" t="n">
        <v>163.9166</v>
      </c>
      <c r="D170" s="138" t="s">
        <v>60</v>
      </c>
      <c r="E170" s="138" t="n">
        <v>8.2</v>
      </c>
      <c r="F170" s="138" t="n">
        <v>540766.651</v>
      </c>
      <c r="G170" s="138" t="n">
        <v>7162424.931</v>
      </c>
      <c r="H170" s="138" t="n">
        <v>1</v>
      </c>
      <c r="I170" s="138" t="s">
        <v>6398</v>
      </c>
    </row>
    <row r="171" customFormat="false" ht="15" hidden="false" customHeight="false" outlineLevel="0" collapsed="false">
      <c r="A171" s="138" t="s">
        <v>6468</v>
      </c>
      <c r="B171" s="138" t="s">
        <v>6569</v>
      </c>
      <c r="C171" s="138" t="n">
        <v>164.1435</v>
      </c>
      <c r="D171" s="138" t="s">
        <v>60</v>
      </c>
      <c r="E171" s="138" t="n">
        <v>6.3</v>
      </c>
      <c r="F171" s="138" t="n">
        <v>540761.733</v>
      </c>
      <c r="G171" s="138" t="n">
        <v>7162424.946</v>
      </c>
      <c r="H171" s="138" t="n">
        <v>1</v>
      </c>
      <c r="I171" s="138" t="s">
        <v>6398</v>
      </c>
    </row>
    <row r="172" customFormat="false" ht="15" hidden="false" customHeight="false" outlineLevel="0" collapsed="false">
      <c r="A172" s="138" t="s">
        <v>6468</v>
      </c>
      <c r="B172" s="138" t="s">
        <v>6570</v>
      </c>
      <c r="C172" s="138" t="n">
        <v>164.3678</v>
      </c>
      <c r="D172" s="138" t="s">
        <v>60</v>
      </c>
      <c r="E172" s="138" t="n">
        <v>5.7</v>
      </c>
      <c r="F172" s="138" t="n">
        <v>540757.32</v>
      </c>
      <c r="G172" s="138" t="n">
        <v>7162426.067</v>
      </c>
      <c r="H172" s="138" t="n">
        <v>1</v>
      </c>
      <c r="I172" s="138" t="s">
        <v>6398</v>
      </c>
    </row>
    <row r="173" customFormat="false" ht="15" hidden="false" customHeight="false" outlineLevel="0" collapsed="false">
      <c r="A173" s="138" t="s">
        <v>6468</v>
      </c>
      <c r="B173" s="138" t="s">
        <v>6571</v>
      </c>
      <c r="C173" s="138" t="n">
        <v>164.432</v>
      </c>
      <c r="D173" s="138" t="s">
        <v>60</v>
      </c>
      <c r="E173" s="138" t="n">
        <v>7.6</v>
      </c>
      <c r="F173" s="138" t="n">
        <v>540756.825</v>
      </c>
      <c r="G173" s="138" t="n">
        <v>7162428.283</v>
      </c>
      <c r="H173" s="138" t="n">
        <v>1</v>
      </c>
      <c r="I173" s="138" t="s">
        <v>6398</v>
      </c>
    </row>
    <row r="174" customFormat="false" ht="15" hidden="false" customHeight="false" outlineLevel="0" collapsed="false">
      <c r="A174" s="138" t="s">
        <v>6468</v>
      </c>
      <c r="B174" s="138" t="s">
        <v>6572</v>
      </c>
      <c r="C174" s="138" t="n">
        <v>164.7998</v>
      </c>
      <c r="D174" s="138" t="s">
        <v>60</v>
      </c>
      <c r="E174" s="138" t="n">
        <v>8</v>
      </c>
      <c r="F174" s="138" t="n">
        <v>540750.109</v>
      </c>
      <c r="G174" s="138" t="n">
        <v>7162431.405</v>
      </c>
      <c r="H174" s="138" t="n">
        <v>1</v>
      </c>
      <c r="I174" s="138" t="s">
        <v>6398</v>
      </c>
    </row>
    <row r="175" customFormat="false" ht="15" hidden="false" customHeight="false" outlineLevel="0" collapsed="false">
      <c r="A175" s="138" t="s">
        <v>6468</v>
      </c>
      <c r="B175" s="138" t="s">
        <v>6573</v>
      </c>
      <c r="C175" s="138" t="n">
        <v>165.1774</v>
      </c>
      <c r="D175" s="138" t="s">
        <v>60</v>
      </c>
      <c r="E175" s="138" t="n">
        <v>8</v>
      </c>
      <c r="F175" s="138" t="n">
        <v>540743.092</v>
      </c>
      <c r="G175" s="138" t="n">
        <v>7162434.305</v>
      </c>
      <c r="H175" s="138" t="n">
        <v>1</v>
      </c>
      <c r="I175" s="138" t="s">
        <v>6398</v>
      </c>
    </row>
    <row r="176" customFormat="false" ht="15" hidden="false" customHeight="false" outlineLevel="0" collapsed="false">
      <c r="A176" s="138" t="s">
        <v>6468</v>
      </c>
      <c r="B176" s="138" t="s">
        <v>6574</v>
      </c>
      <c r="C176" s="138" t="n">
        <v>165.3626</v>
      </c>
      <c r="D176" s="138" t="s">
        <v>60</v>
      </c>
      <c r="E176" s="138" t="n">
        <v>8.7</v>
      </c>
      <c r="F176" s="138" t="n">
        <v>540739.887</v>
      </c>
      <c r="G176" s="138" t="n">
        <v>7162436.309</v>
      </c>
      <c r="H176" s="138" t="n">
        <v>1</v>
      </c>
      <c r="I176" s="138" t="s">
        <v>6398</v>
      </c>
    </row>
    <row r="177" customFormat="false" ht="15" hidden="false" customHeight="false" outlineLevel="0" collapsed="false">
      <c r="A177" s="138" t="s">
        <v>6468</v>
      </c>
      <c r="B177" s="138" t="s">
        <v>6575</v>
      </c>
      <c r="C177" s="138" t="n">
        <v>165.8308</v>
      </c>
      <c r="D177" s="138" t="s">
        <v>60</v>
      </c>
      <c r="E177" s="138" t="n">
        <v>8.5</v>
      </c>
      <c r="F177" s="138" t="n">
        <v>540733.372</v>
      </c>
      <c r="G177" s="138" t="n">
        <v>7162439.319</v>
      </c>
      <c r="H177" s="138" t="n">
        <v>1</v>
      </c>
      <c r="I177" s="138" t="s">
        <v>6398</v>
      </c>
    </row>
    <row r="178" customFormat="false" ht="15" hidden="false" customHeight="false" outlineLevel="0" collapsed="false">
      <c r="A178" s="138" t="s">
        <v>6468</v>
      </c>
      <c r="B178" s="138" t="s">
        <v>6576</v>
      </c>
      <c r="C178" s="138" t="n">
        <v>165.8546</v>
      </c>
      <c r="D178" s="138" t="s">
        <v>60</v>
      </c>
      <c r="E178" s="138" t="n">
        <v>10.4</v>
      </c>
      <c r="F178" s="138" t="n">
        <v>540734.181</v>
      </c>
      <c r="G178" s="138" t="n">
        <v>7162441.199</v>
      </c>
      <c r="H178" s="138" t="n">
        <v>1</v>
      </c>
      <c r="I178" s="138" t="s">
        <v>6398</v>
      </c>
    </row>
    <row r="179" customFormat="false" ht="15" hidden="false" customHeight="false" outlineLevel="0" collapsed="false">
      <c r="A179" s="138" t="s">
        <v>6468</v>
      </c>
      <c r="B179" s="138" t="s">
        <v>6577</v>
      </c>
      <c r="C179" s="138" t="n">
        <v>166.0782</v>
      </c>
      <c r="D179" s="138" t="s">
        <v>60</v>
      </c>
      <c r="E179" s="138" t="n">
        <v>7.2</v>
      </c>
      <c r="F179" s="138" t="n">
        <v>540728.661</v>
      </c>
      <c r="G179" s="138" t="n">
        <v>7162441.326</v>
      </c>
      <c r="H179" s="138" t="n">
        <v>1</v>
      </c>
      <c r="I179" s="138" t="s">
        <v>6398</v>
      </c>
    </row>
    <row r="180" customFormat="false" ht="15" hidden="false" customHeight="false" outlineLevel="0" collapsed="false">
      <c r="A180" s="138" t="s">
        <v>6468</v>
      </c>
      <c r="B180" s="138" t="s">
        <v>6578</v>
      </c>
      <c r="C180" s="138" t="n">
        <v>166.4187</v>
      </c>
      <c r="D180" s="138" t="s">
        <v>60</v>
      </c>
      <c r="E180" s="138" t="n">
        <v>9.1</v>
      </c>
      <c r="F180" s="138" t="n">
        <v>540724.261</v>
      </c>
      <c r="G180" s="138" t="n">
        <v>7162446.877</v>
      </c>
      <c r="H180" s="138" t="n">
        <v>1</v>
      </c>
      <c r="I180" s="138" t="s">
        <v>6398</v>
      </c>
    </row>
    <row r="181" customFormat="false" ht="15" hidden="false" customHeight="false" outlineLevel="0" collapsed="false">
      <c r="A181" s="138" t="s">
        <v>6468</v>
      </c>
      <c r="B181" s="138" t="s">
        <v>6579</v>
      </c>
      <c r="C181" s="138" t="n">
        <v>167.214</v>
      </c>
      <c r="D181" s="138" t="s">
        <v>59</v>
      </c>
      <c r="E181" s="138" t="n">
        <v>13.2</v>
      </c>
      <c r="F181" s="138" t="n">
        <v>540698.14</v>
      </c>
      <c r="G181" s="138" t="n">
        <v>7162438.651</v>
      </c>
      <c r="H181" s="138" t="n">
        <v>1</v>
      </c>
      <c r="I181" s="138" t="s">
        <v>6398</v>
      </c>
    </row>
    <row r="182" customFormat="false" ht="15" hidden="false" customHeight="false" outlineLevel="0" collapsed="false">
      <c r="A182" s="138" t="s">
        <v>6468</v>
      </c>
      <c r="B182" s="138" t="s">
        <v>6580</v>
      </c>
      <c r="C182" s="138" t="n">
        <v>168.1604</v>
      </c>
      <c r="D182" s="138" t="s">
        <v>59</v>
      </c>
      <c r="E182" s="138" t="n">
        <v>7.6</v>
      </c>
      <c r="F182" s="138" t="n">
        <v>540686.244</v>
      </c>
      <c r="G182" s="138" t="n">
        <v>7162454.524</v>
      </c>
      <c r="H182" s="138" t="n">
        <v>1</v>
      </c>
      <c r="I182" s="138" t="s">
        <v>6398</v>
      </c>
    </row>
    <row r="183" customFormat="false" ht="15" hidden="false" customHeight="false" outlineLevel="0" collapsed="false">
      <c r="A183" s="138" t="s">
        <v>6468</v>
      </c>
      <c r="B183" s="138" t="s">
        <v>6581</v>
      </c>
      <c r="C183" s="138" t="n">
        <v>168.7125</v>
      </c>
      <c r="D183" s="138" t="s">
        <v>59</v>
      </c>
      <c r="E183" s="138" t="n">
        <v>17.2</v>
      </c>
      <c r="F183" s="138" t="n">
        <v>540671.587</v>
      </c>
      <c r="G183" s="138" t="n">
        <v>7162453.461</v>
      </c>
      <c r="H183" s="138" t="n">
        <v>1</v>
      </c>
      <c r="I183" s="138" t="s">
        <v>6398</v>
      </c>
    </row>
    <row r="184" customFormat="false" ht="15" hidden="false" customHeight="false" outlineLevel="0" collapsed="false">
      <c r="A184" s="138" t="s">
        <v>6468</v>
      </c>
      <c r="B184" s="138" t="s">
        <v>6582</v>
      </c>
      <c r="C184" s="138" t="n">
        <v>171.1622</v>
      </c>
      <c r="D184" s="138" t="s">
        <v>60</v>
      </c>
      <c r="E184" s="138" t="n">
        <v>11</v>
      </c>
      <c r="F184" s="138" t="n">
        <v>540649.163</v>
      </c>
      <c r="G184" s="138" t="n">
        <v>7162505.468</v>
      </c>
      <c r="H184" s="138" t="n">
        <v>1</v>
      </c>
      <c r="I184" s="138" t="s">
        <v>6398</v>
      </c>
    </row>
    <row r="185" customFormat="false" ht="15" hidden="false" customHeight="false" outlineLevel="0" collapsed="false">
      <c r="A185" s="138" t="s">
        <v>6468</v>
      </c>
      <c r="B185" s="138" t="s">
        <v>6583</v>
      </c>
      <c r="C185" s="138" t="n">
        <v>171.6528</v>
      </c>
      <c r="D185" s="138" t="s">
        <v>60</v>
      </c>
      <c r="E185" s="138" t="n">
        <v>10.9</v>
      </c>
      <c r="F185" s="138" t="n">
        <v>540641.251</v>
      </c>
      <c r="G185" s="138" t="n">
        <v>7162511.25</v>
      </c>
      <c r="H185" s="138" t="n">
        <v>1</v>
      </c>
      <c r="I185" s="138" t="s">
        <v>6398</v>
      </c>
    </row>
    <row r="186" customFormat="false" ht="15" hidden="false" customHeight="false" outlineLevel="0" collapsed="false">
      <c r="A186" s="138" t="s">
        <v>6468</v>
      </c>
      <c r="B186" s="138" t="s">
        <v>6584</v>
      </c>
      <c r="C186" s="138" t="n">
        <v>172.1746</v>
      </c>
      <c r="D186" s="138" t="s">
        <v>60</v>
      </c>
      <c r="E186" s="138" t="n">
        <v>4.4</v>
      </c>
      <c r="F186" s="138" t="n">
        <v>540629.009</v>
      </c>
      <c r="G186" s="138" t="n">
        <v>7162512.284</v>
      </c>
      <c r="H186" s="138" t="n">
        <v>1</v>
      </c>
      <c r="I186" s="138" t="s">
        <v>6398</v>
      </c>
    </row>
    <row r="187" customFormat="false" ht="15" hidden="false" customHeight="false" outlineLevel="0" collapsed="false">
      <c r="A187" s="138" t="s">
        <v>6468</v>
      </c>
      <c r="B187" s="138" t="s">
        <v>6585</v>
      </c>
      <c r="C187" s="138" t="n">
        <v>172.864</v>
      </c>
      <c r="D187" s="138" t="s">
        <v>60</v>
      </c>
      <c r="E187" s="138" t="n">
        <v>8.8</v>
      </c>
      <c r="F187" s="138" t="n">
        <v>540620.614</v>
      </c>
      <c r="G187" s="138" t="n">
        <v>7162524.049</v>
      </c>
      <c r="H187" s="138" t="n">
        <v>1</v>
      </c>
      <c r="I187" s="138" t="s">
        <v>6398</v>
      </c>
    </row>
    <row r="188" customFormat="false" ht="15" hidden="false" customHeight="false" outlineLevel="0" collapsed="false">
      <c r="A188" s="138" t="s">
        <v>6468</v>
      </c>
      <c r="B188" s="138" t="s">
        <v>6586</v>
      </c>
      <c r="C188" s="138" t="n">
        <v>173.657</v>
      </c>
      <c r="D188" s="138" t="s">
        <v>60</v>
      </c>
      <c r="E188" s="138" t="n">
        <v>9.6</v>
      </c>
      <c r="F188" s="138" t="n">
        <v>540608.399</v>
      </c>
      <c r="G188" s="138" t="n">
        <v>7162534.163</v>
      </c>
      <c r="H188" s="138" t="n">
        <v>1</v>
      </c>
      <c r="I188" s="138" t="s">
        <v>6398</v>
      </c>
    </row>
    <row r="189" customFormat="false" ht="15" hidden="false" customHeight="false" outlineLevel="0" collapsed="false">
      <c r="A189" s="138" t="s">
        <v>6468</v>
      </c>
      <c r="B189" s="138" t="s">
        <v>6587</v>
      </c>
      <c r="C189" s="138" t="n">
        <v>175.95</v>
      </c>
      <c r="D189" s="138" t="s">
        <v>60</v>
      </c>
      <c r="E189" s="138" t="n">
        <v>8.1</v>
      </c>
      <c r="F189" s="138" t="n">
        <v>540570.84</v>
      </c>
      <c r="G189" s="138" t="n">
        <v>7162560.413</v>
      </c>
      <c r="H189" s="138" t="n">
        <v>1</v>
      </c>
      <c r="I189" s="138" t="s">
        <v>6398</v>
      </c>
    </row>
    <row r="190" customFormat="false" ht="15" hidden="false" customHeight="false" outlineLevel="0" collapsed="false">
      <c r="A190" s="138" t="s">
        <v>6468</v>
      </c>
      <c r="B190" s="138" t="s">
        <v>6588</v>
      </c>
      <c r="C190" s="138" t="n">
        <v>178.2366</v>
      </c>
      <c r="D190" s="138" t="s">
        <v>60</v>
      </c>
      <c r="E190" s="138" t="n">
        <v>2.6</v>
      </c>
      <c r="F190" s="138" t="n">
        <v>540530.962</v>
      </c>
      <c r="G190" s="138" t="n">
        <v>7162583.348</v>
      </c>
      <c r="H190" s="138" t="n">
        <v>1</v>
      </c>
      <c r="I190" s="138" t="s">
        <v>6398</v>
      </c>
    </row>
    <row r="191" customFormat="false" ht="15" hidden="false" customHeight="false" outlineLevel="0" collapsed="false">
      <c r="A191" s="138" t="s">
        <v>6468</v>
      </c>
      <c r="B191" s="138" t="s">
        <v>6589</v>
      </c>
      <c r="C191" s="138" t="n">
        <v>186.8568</v>
      </c>
      <c r="D191" s="138" t="s">
        <v>60</v>
      </c>
      <c r="E191" s="138" t="n">
        <v>6.3</v>
      </c>
      <c r="F191" s="138" t="n">
        <v>540395.282</v>
      </c>
      <c r="G191" s="138" t="n">
        <v>7162689.408</v>
      </c>
      <c r="H191" s="138" t="n">
        <v>1</v>
      </c>
      <c r="I191" s="138" t="s">
        <v>6398</v>
      </c>
    </row>
    <row r="192" customFormat="false" ht="15" hidden="false" customHeight="false" outlineLevel="0" collapsed="false">
      <c r="A192" s="138" t="s">
        <v>6468</v>
      </c>
      <c r="B192" s="138" t="s">
        <v>6590</v>
      </c>
      <c r="C192" s="138" t="n">
        <v>187.2632</v>
      </c>
      <c r="D192" s="138" t="s">
        <v>60</v>
      </c>
      <c r="E192" s="138" t="n">
        <v>10.2</v>
      </c>
      <c r="F192" s="138" t="n">
        <v>540391.09</v>
      </c>
      <c r="G192" s="138" t="n">
        <v>7162697.394</v>
      </c>
      <c r="H192" s="138" t="n">
        <v>1</v>
      </c>
      <c r="I192" s="138" t="s">
        <v>6398</v>
      </c>
    </row>
    <row r="193" customFormat="false" ht="15" hidden="false" customHeight="false" outlineLevel="0" collapsed="false">
      <c r="A193" s="138" t="s">
        <v>6468</v>
      </c>
      <c r="B193" s="138" t="s">
        <v>6591</v>
      </c>
      <c r="C193" s="138" t="n">
        <v>188.3884</v>
      </c>
      <c r="D193" s="138" t="s">
        <v>60</v>
      </c>
      <c r="E193" s="138" t="n">
        <v>11.2</v>
      </c>
      <c r="F193" s="138" t="n">
        <v>540373.469</v>
      </c>
      <c r="G193" s="138" t="n">
        <v>7162711.844</v>
      </c>
      <c r="H193" s="138" t="n">
        <v>1</v>
      </c>
      <c r="I193" s="138" t="s">
        <v>6398</v>
      </c>
    </row>
    <row r="194" customFormat="false" ht="15" hidden="false" customHeight="false" outlineLevel="0" collapsed="false">
      <c r="A194" s="138" t="s">
        <v>6468</v>
      </c>
      <c r="B194" s="138" t="s">
        <v>6592</v>
      </c>
      <c r="C194" s="138" t="n">
        <v>190.3535</v>
      </c>
      <c r="D194" s="138" t="s">
        <v>59</v>
      </c>
      <c r="E194" s="138" t="n">
        <v>21.8</v>
      </c>
      <c r="F194" s="138" t="n">
        <v>540321.869</v>
      </c>
      <c r="G194" s="138" t="n">
        <v>7162709.232</v>
      </c>
      <c r="H194" s="138" t="n">
        <v>1</v>
      </c>
      <c r="I194" s="138" t="s">
        <v>6398</v>
      </c>
    </row>
    <row r="195" customFormat="false" ht="15" hidden="false" customHeight="false" outlineLevel="0" collapsed="false">
      <c r="A195" s="138" t="s">
        <v>6468</v>
      </c>
      <c r="B195" s="138" t="s">
        <v>6593</v>
      </c>
      <c r="C195" s="138" t="n">
        <v>190.5729</v>
      </c>
      <c r="D195" s="138" t="s">
        <v>60</v>
      </c>
      <c r="E195" s="138" t="n">
        <v>4.7</v>
      </c>
      <c r="F195" s="138" t="n">
        <v>540334.187</v>
      </c>
      <c r="G195" s="138" t="n">
        <v>7162733.115</v>
      </c>
      <c r="H195" s="138" t="n">
        <v>1</v>
      </c>
      <c r="I195" s="138" t="s">
        <v>6398</v>
      </c>
    </row>
    <row r="196" customFormat="false" ht="15" hidden="false" customHeight="false" outlineLevel="0" collapsed="false">
      <c r="A196" s="138" t="s">
        <v>6468</v>
      </c>
      <c r="B196" s="138" t="s">
        <v>6594</v>
      </c>
      <c r="C196" s="138" t="n">
        <v>192.0635</v>
      </c>
      <c r="D196" s="138" t="s">
        <v>60</v>
      </c>
      <c r="E196" s="138" t="n">
        <v>4.2</v>
      </c>
      <c r="F196" s="138" t="n">
        <v>540309.75</v>
      </c>
      <c r="G196" s="138" t="n">
        <v>7162750.797</v>
      </c>
      <c r="H196" s="138" t="n">
        <v>1</v>
      </c>
      <c r="I196" s="138" t="s">
        <v>6398</v>
      </c>
    </row>
    <row r="197" customFormat="false" ht="15" hidden="false" customHeight="false" outlineLevel="0" collapsed="false">
      <c r="A197" s="138" t="s">
        <v>6468</v>
      </c>
      <c r="B197" s="138" t="s">
        <v>6595</v>
      </c>
      <c r="C197" s="138" t="n">
        <v>193.0229</v>
      </c>
      <c r="D197" s="138" t="s">
        <v>59</v>
      </c>
      <c r="E197" s="138" t="n">
        <v>25.5</v>
      </c>
      <c r="F197" s="138" t="n">
        <v>540283.596</v>
      </c>
      <c r="G197" s="138" t="n">
        <v>7162731.94</v>
      </c>
      <c r="H197" s="138" t="n">
        <v>1</v>
      </c>
      <c r="I197" s="138" t="s">
        <v>6398</v>
      </c>
    </row>
    <row r="198" customFormat="false" ht="15" hidden="false" customHeight="false" outlineLevel="0" collapsed="false">
      <c r="A198" s="138" t="s">
        <v>6468</v>
      </c>
      <c r="B198" s="138" t="s">
        <v>6596</v>
      </c>
      <c r="C198" s="138" t="n">
        <v>193.5213</v>
      </c>
      <c r="D198" s="138" t="s">
        <v>60</v>
      </c>
      <c r="E198" s="138" t="n">
        <v>5.2</v>
      </c>
      <c r="F198" s="138" t="n">
        <v>540282.087</v>
      </c>
      <c r="G198" s="138" t="n">
        <v>7162764.17</v>
      </c>
      <c r="H198" s="138" t="n">
        <v>1</v>
      </c>
      <c r="I198" s="138" t="s">
        <v>6398</v>
      </c>
    </row>
    <row r="199" customFormat="false" ht="15" hidden="false" customHeight="false" outlineLevel="0" collapsed="false">
      <c r="A199" s="138" t="s">
        <v>6468</v>
      </c>
      <c r="B199" s="138" t="s">
        <v>6597</v>
      </c>
      <c r="C199" s="138" t="n">
        <v>193.5684</v>
      </c>
      <c r="D199" s="138" t="s">
        <v>59</v>
      </c>
      <c r="E199" s="138" t="n">
        <v>23.6</v>
      </c>
      <c r="F199" s="138" t="n">
        <v>540273.473</v>
      </c>
      <c r="G199" s="138" t="n">
        <v>7162736.732</v>
      </c>
      <c r="H199" s="138" t="n">
        <v>1</v>
      </c>
      <c r="I199" s="138" t="s">
        <v>6398</v>
      </c>
    </row>
    <row r="200" customFormat="false" ht="15" hidden="false" customHeight="false" outlineLevel="0" collapsed="false">
      <c r="A200" s="138" t="s">
        <v>6468</v>
      </c>
      <c r="B200" s="138" t="s">
        <v>6598</v>
      </c>
      <c r="C200" s="138" t="n">
        <v>196.0337</v>
      </c>
      <c r="D200" s="138" t="s">
        <v>60</v>
      </c>
      <c r="E200" s="138" t="n">
        <v>9.5</v>
      </c>
      <c r="F200" s="138" t="n">
        <v>540234.263</v>
      </c>
      <c r="G200" s="138" t="n">
        <v>7162781.923</v>
      </c>
      <c r="H200" s="138" t="n">
        <v>1</v>
      </c>
      <c r="I200" s="138" t="s">
        <v>6398</v>
      </c>
    </row>
    <row r="201" customFormat="false" ht="15" hidden="false" customHeight="false" outlineLevel="0" collapsed="false">
      <c r="A201" s="138" t="s">
        <v>6468</v>
      </c>
      <c r="B201" s="138" t="s">
        <v>6599</v>
      </c>
      <c r="C201" s="138" t="n">
        <v>196.2811</v>
      </c>
      <c r="D201" s="138" t="s">
        <v>60</v>
      </c>
      <c r="E201" s="138" t="n">
        <v>9.1</v>
      </c>
      <c r="F201" s="138" t="n">
        <v>540229.348</v>
      </c>
      <c r="G201" s="138" t="n">
        <v>7162782.934</v>
      </c>
      <c r="H201" s="138" t="n">
        <v>1</v>
      </c>
      <c r="I201" s="138" t="s">
        <v>6398</v>
      </c>
    </row>
    <row r="202" customFormat="false" ht="15" hidden="false" customHeight="false" outlineLevel="0" collapsed="false">
      <c r="A202" s="138" t="s">
        <v>6468</v>
      </c>
      <c r="B202" s="138" t="s">
        <v>6600</v>
      </c>
      <c r="C202" s="138" t="n">
        <v>197.2263</v>
      </c>
      <c r="D202" s="138" t="s">
        <v>60</v>
      </c>
      <c r="E202" s="138" t="n">
        <v>6.8</v>
      </c>
      <c r="F202" s="138" t="n">
        <v>540210.286</v>
      </c>
      <c r="G202" s="138" t="n">
        <v>7162785.76</v>
      </c>
      <c r="H202" s="138" t="n">
        <v>1</v>
      </c>
      <c r="I202" s="138" t="s">
        <v>6398</v>
      </c>
    </row>
    <row r="203" customFormat="false" ht="15" hidden="false" customHeight="false" outlineLevel="0" collapsed="false">
      <c r="A203" s="138" t="s">
        <v>6468</v>
      </c>
      <c r="B203" s="138" t="s">
        <v>6601</v>
      </c>
      <c r="C203" s="138" t="n">
        <v>197.2702</v>
      </c>
      <c r="D203" s="138" t="s">
        <v>59</v>
      </c>
      <c r="E203" s="138" t="n">
        <v>16.9</v>
      </c>
      <c r="F203" s="138" t="n">
        <v>540203.091</v>
      </c>
      <c r="G203" s="138" t="n">
        <v>7162763.191</v>
      </c>
      <c r="H203" s="138" t="n">
        <v>1</v>
      </c>
      <c r="I203" s="138" t="s">
        <v>6398</v>
      </c>
    </row>
    <row r="204" customFormat="false" ht="15" hidden="false" customHeight="false" outlineLevel="0" collapsed="false">
      <c r="A204" s="138" t="s">
        <v>6468</v>
      </c>
      <c r="B204" s="138" t="s">
        <v>6602</v>
      </c>
      <c r="C204" s="138" t="n">
        <v>200.4932</v>
      </c>
      <c r="D204" s="138" t="s">
        <v>59</v>
      </c>
      <c r="E204" s="138" t="n">
        <v>19.2</v>
      </c>
      <c r="F204" s="138" t="n">
        <v>540140.203</v>
      </c>
      <c r="G204" s="138" t="n">
        <v>7162778.331</v>
      </c>
      <c r="H204" s="138" t="n">
        <v>1</v>
      </c>
      <c r="I204" s="138" t="s">
        <v>6398</v>
      </c>
    </row>
    <row r="205" customFormat="false" ht="15" hidden="false" customHeight="false" outlineLevel="0" collapsed="false">
      <c r="A205" s="138" t="s">
        <v>6468</v>
      </c>
      <c r="B205" s="138" t="s">
        <v>6603</v>
      </c>
      <c r="C205" s="138" t="n">
        <v>202.8928</v>
      </c>
      <c r="D205" s="138" t="s">
        <v>60</v>
      </c>
      <c r="E205" s="138" t="n">
        <v>8.9</v>
      </c>
      <c r="F205" s="138" t="n">
        <v>540101.479</v>
      </c>
      <c r="G205" s="138" t="n">
        <v>7162818.204</v>
      </c>
      <c r="H205" s="138" t="n">
        <v>1</v>
      </c>
      <c r="I205" s="138" t="s">
        <v>6398</v>
      </c>
    </row>
    <row r="206" customFormat="false" ht="15" hidden="false" customHeight="false" outlineLevel="0" collapsed="false">
      <c r="A206" s="138" t="s">
        <v>6468</v>
      </c>
      <c r="B206" s="138" t="s">
        <v>6604</v>
      </c>
      <c r="C206" s="138" t="n">
        <v>203.0938</v>
      </c>
      <c r="D206" s="138" t="s">
        <v>60</v>
      </c>
      <c r="E206" s="138" t="n">
        <v>8.4</v>
      </c>
      <c r="F206" s="138" t="n">
        <v>540097.466</v>
      </c>
      <c r="G206" s="138" t="n">
        <v>7162818.77</v>
      </c>
      <c r="H206" s="138" t="n">
        <v>1</v>
      </c>
      <c r="I206" s="138" t="s">
        <v>6398</v>
      </c>
    </row>
    <row r="207" customFormat="false" ht="15" hidden="false" customHeight="false" outlineLevel="0" collapsed="false">
      <c r="A207" s="138" t="s">
        <v>6468</v>
      </c>
      <c r="B207" s="138" t="s">
        <v>6605</v>
      </c>
      <c r="C207" s="138" t="n">
        <v>203.1032</v>
      </c>
      <c r="D207" s="138" t="s">
        <v>60</v>
      </c>
      <c r="E207" s="138" t="n">
        <v>6</v>
      </c>
      <c r="F207" s="138" t="n">
        <v>540096.656</v>
      </c>
      <c r="G207" s="138" t="n">
        <v>7162816.558</v>
      </c>
      <c r="H207" s="138" t="n">
        <v>1</v>
      </c>
      <c r="I207" s="138" t="s">
        <v>6398</v>
      </c>
    </row>
    <row r="208" customFormat="false" ht="15" hidden="false" customHeight="false" outlineLevel="0" collapsed="false">
      <c r="A208" s="138" t="s">
        <v>6468</v>
      </c>
      <c r="B208" s="138" t="s">
        <v>6606</v>
      </c>
      <c r="C208" s="138" t="n">
        <v>203.1926</v>
      </c>
      <c r="D208" s="138" t="s">
        <v>60</v>
      </c>
      <c r="E208" s="138" t="n">
        <v>8.7</v>
      </c>
      <c r="F208" s="138" t="n">
        <v>540095.662</v>
      </c>
      <c r="G208" s="138" t="n">
        <v>7162819.661</v>
      </c>
      <c r="H208" s="138" t="n">
        <v>1</v>
      </c>
      <c r="I208" s="138" t="s">
        <v>6398</v>
      </c>
    </row>
    <row r="209" customFormat="false" ht="15" hidden="false" customHeight="false" outlineLevel="0" collapsed="false">
      <c r="A209" s="138" t="s">
        <v>6468</v>
      </c>
      <c r="B209" s="138" t="s">
        <v>6607</v>
      </c>
      <c r="C209" s="138" t="n">
        <v>205.0182</v>
      </c>
      <c r="D209" s="138" t="s">
        <v>60</v>
      </c>
      <c r="E209" s="138" t="n">
        <v>5.6</v>
      </c>
      <c r="F209" s="138" t="n">
        <v>540059.648</v>
      </c>
      <c r="G209" s="138" t="n">
        <v>7162826.414</v>
      </c>
      <c r="H209" s="138" t="n">
        <v>1</v>
      </c>
      <c r="I209" s="138" t="s">
        <v>6398</v>
      </c>
    </row>
    <row r="210" customFormat="false" ht="15" hidden="false" customHeight="false" outlineLevel="0" collapsed="false">
      <c r="A210" s="138" t="s">
        <v>6468</v>
      </c>
      <c r="B210" s="138" t="s">
        <v>6608</v>
      </c>
      <c r="C210" s="138" t="n">
        <v>205.7495</v>
      </c>
      <c r="D210" s="138" t="s">
        <v>60</v>
      </c>
      <c r="E210" s="138" t="n">
        <v>5</v>
      </c>
      <c r="F210" s="138" t="n">
        <v>540045.405</v>
      </c>
      <c r="G210" s="138" t="n">
        <v>7162829.78</v>
      </c>
      <c r="H210" s="138" t="n">
        <v>1</v>
      </c>
      <c r="I210" s="138" t="s">
        <v>6398</v>
      </c>
    </row>
    <row r="211" customFormat="false" ht="15" hidden="false" customHeight="false" outlineLevel="0" collapsed="false">
      <c r="A211" s="138" t="s">
        <v>6468</v>
      </c>
      <c r="B211" s="138" t="s">
        <v>6609</v>
      </c>
      <c r="C211" s="138" t="n">
        <v>205.8339</v>
      </c>
      <c r="D211" s="138" t="s">
        <v>60</v>
      </c>
      <c r="E211" s="138" t="n">
        <v>16.8</v>
      </c>
      <c r="F211" s="138" t="n">
        <v>540046.946</v>
      </c>
      <c r="G211" s="138" t="n">
        <v>7162841.624</v>
      </c>
      <c r="H211" s="138" t="n">
        <v>1</v>
      </c>
      <c r="I211" s="138" t="s">
        <v>6398</v>
      </c>
    </row>
    <row r="212" customFormat="false" ht="15" hidden="false" customHeight="false" outlineLevel="0" collapsed="false">
      <c r="A212" s="138" t="s">
        <v>6468</v>
      </c>
      <c r="B212" s="138" t="s">
        <v>6610</v>
      </c>
      <c r="C212" s="138" t="n">
        <v>205.921</v>
      </c>
      <c r="D212" s="138" t="s">
        <v>60</v>
      </c>
      <c r="E212" s="138" t="n">
        <v>12.6</v>
      </c>
      <c r="F212" s="138" t="n">
        <v>540044.125</v>
      </c>
      <c r="G212" s="138" t="n">
        <v>7162837.978</v>
      </c>
      <c r="H212" s="138" t="n">
        <v>1</v>
      </c>
      <c r="I212" s="138" t="s">
        <v>6398</v>
      </c>
    </row>
    <row r="213" customFormat="false" ht="15" hidden="false" customHeight="false" outlineLevel="0" collapsed="false">
      <c r="A213" s="138" t="s">
        <v>6468</v>
      </c>
      <c r="B213" s="138" t="s">
        <v>6611</v>
      </c>
      <c r="C213" s="138" t="n">
        <v>211.1367</v>
      </c>
      <c r="D213" s="138" t="s">
        <v>59</v>
      </c>
      <c r="E213" s="138" t="n">
        <v>15.8</v>
      </c>
      <c r="F213" s="138" t="n">
        <v>539936.024</v>
      </c>
      <c r="G213" s="138" t="n">
        <v>7162838.525</v>
      </c>
      <c r="H213" s="138" t="n">
        <v>1</v>
      </c>
      <c r="I213" s="138" t="s">
        <v>6398</v>
      </c>
    </row>
    <row r="214" customFormat="false" ht="15" hidden="false" customHeight="false" outlineLevel="0" collapsed="false">
      <c r="A214" s="138" t="s">
        <v>6468</v>
      </c>
      <c r="B214" s="138" t="s">
        <v>6612</v>
      </c>
      <c r="C214" s="138" t="n">
        <v>216.0117</v>
      </c>
      <c r="D214" s="138" t="s">
        <v>60</v>
      </c>
      <c r="E214" s="138" t="n">
        <v>14.7</v>
      </c>
      <c r="F214" s="138" t="n">
        <v>539850.271</v>
      </c>
      <c r="G214" s="138" t="n">
        <v>7162894.043</v>
      </c>
      <c r="H214" s="138" t="n">
        <v>1</v>
      </c>
      <c r="I214" s="138" t="s">
        <v>6398</v>
      </c>
    </row>
    <row r="215" customFormat="false" ht="15" hidden="false" customHeight="false" outlineLevel="0" collapsed="false">
      <c r="A215" s="138" t="s">
        <v>6468</v>
      </c>
      <c r="B215" s="138" t="s">
        <v>6613</v>
      </c>
      <c r="C215" s="138" t="n">
        <v>219.3636</v>
      </c>
      <c r="D215" s="138" t="s">
        <v>60</v>
      </c>
      <c r="E215" s="138" t="n">
        <v>15.8</v>
      </c>
      <c r="F215" s="138" t="n">
        <v>539785.989</v>
      </c>
      <c r="G215" s="138" t="n">
        <v>7162913.061</v>
      </c>
      <c r="H215" s="138" t="n">
        <v>1</v>
      </c>
      <c r="I215" s="138" t="s">
        <v>6398</v>
      </c>
    </row>
    <row r="216" customFormat="false" ht="15" hidden="false" customHeight="false" outlineLevel="0" collapsed="false">
      <c r="A216" s="138" t="s">
        <v>6468</v>
      </c>
      <c r="B216" s="138" t="s">
        <v>6614</v>
      </c>
      <c r="C216" s="138" t="n">
        <v>220.3939</v>
      </c>
      <c r="D216" s="138" t="s">
        <v>60</v>
      </c>
      <c r="E216" s="138" t="n">
        <v>13.1</v>
      </c>
      <c r="F216" s="138" t="n">
        <v>539765.421</v>
      </c>
      <c r="G216" s="138" t="n">
        <v>7162916.002</v>
      </c>
      <c r="H216" s="138" t="n">
        <v>1</v>
      </c>
      <c r="I216" s="138" t="s">
        <v>6398</v>
      </c>
    </row>
    <row r="217" customFormat="false" ht="15" hidden="false" customHeight="false" outlineLevel="0" collapsed="false">
      <c r="A217" s="138" t="s">
        <v>6468</v>
      </c>
      <c r="B217" s="138" t="s">
        <v>6615</v>
      </c>
      <c r="C217" s="138" t="n">
        <v>223.1019</v>
      </c>
      <c r="D217" s="138" t="s">
        <v>60</v>
      </c>
      <c r="E217" s="138" t="n">
        <v>16.6</v>
      </c>
      <c r="F217" s="138" t="n">
        <v>539714.183</v>
      </c>
      <c r="G217" s="138" t="n">
        <v>7162933.874</v>
      </c>
      <c r="H217" s="138" t="n">
        <v>1</v>
      </c>
      <c r="I217" s="138" t="s">
        <v>6398</v>
      </c>
    </row>
    <row r="218" customFormat="false" ht="15" hidden="false" customHeight="false" outlineLevel="0" collapsed="false">
      <c r="A218" s="138" t="s">
        <v>6468</v>
      </c>
      <c r="B218" s="138" t="s">
        <v>6616</v>
      </c>
      <c r="C218" s="138" t="n">
        <v>223.6146</v>
      </c>
      <c r="D218" s="138" t="s">
        <v>60</v>
      </c>
      <c r="E218" s="138" t="n">
        <v>15.3</v>
      </c>
      <c r="F218" s="138" t="n">
        <v>539703.949</v>
      </c>
      <c r="G218" s="138" t="n">
        <v>7162935.344</v>
      </c>
      <c r="H218" s="138" t="n">
        <v>1</v>
      </c>
      <c r="I218" s="138" t="s">
        <v>6398</v>
      </c>
    </row>
    <row r="219" customFormat="false" ht="15" hidden="false" customHeight="false" outlineLevel="0" collapsed="false">
      <c r="A219" s="138" t="s">
        <v>6468</v>
      </c>
      <c r="B219" s="138" t="s">
        <v>6617</v>
      </c>
      <c r="C219" s="138" t="n">
        <v>224.0398</v>
      </c>
      <c r="D219" s="138" t="s">
        <v>60</v>
      </c>
      <c r="E219" s="138" t="n">
        <v>7.2</v>
      </c>
      <c r="F219" s="138" t="n">
        <v>539693.594</v>
      </c>
      <c r="G219" s="138" t="n">
        <v>7162929.838</v>
      </c>
      <c r="H219" s="138" t="n">
        <v>1</v>
      </c>
      <c r="I219" s="138" t="s">
        <v>6398</v>
      </c>
    </row>
    <row r="220" customFormat="false" ht="15" hidden="false" customHeight="false" outlineLevel="0" collapsed="false">
      <c r="A220" s="138" t="s">
        <v>6468</v>
      </c>
      <c r="B220" s="138" t="s">
        <v>6618</v>
      </c>
      <c r="C220" s="138" t="n">
        <v>224.2027</v>
      </c>
      <c r="D220" s="138" t="s">
        <v>60</v>
      </c>
      <c r="E220" s="138" t="n">
        <v>19.1</v>
      </c>
      <c r="F220" s="138" t="n">
        <v>539693.631</v>
      </c>
      <c r="G220" s="138" t="n">
        <v>7162942.13</v>
      </c>
      <c r="H220" s="138" t="n">
        <v>1</v>
      </c>
      <c r="I220" s="138" t="s">
        <v>6398</v>
      </c>
    </row>
    <row r="221" customFormat="false" ht="15" hidden="false" customHeight="false" outlineLevel="0" collapsed="false">
      <c r="A221" s="138" t="s">
        <v>6468</v>
      </c>
      <c r="B221" s="138" t="s">
        <v>6619</v>
      </c>
      <c r="C221" s="138" t="n">
        <v>224.9225</v>
      </c>
      <c r="D221" s="138" t="s">
        <v>60</v>
      </c>
      <c r="E221" s="138" t="n">
        <v>16.2</v>
      </c>
      <c r="F221" s="138" t="n">
        <v>539678.979</v>
      </c>
      <c r="G221" s="138" t="n">
        <v>7162943.171</v>
      </c>
      <c r="H221" s="138" t="n">
        <v>1</v>
      </c>
      <c r="I221" s="138" t="s">
        <v>6398</v>
      </c>
    </row>
    <row r="222" customFormat="false" ht="15" hidden="false" customHeight="false" outlineLevel="0" collapsed="false">
      <c r="A222" s="138" t="s">
        <v>6468</v>
      </c>
      <c r="B222" s="138" t="s">
        <v>6620</v>
      </c>
      <c r="C222" s="138" t="n">
        <v>225.365</v>
      </c>
      <c r="D222" s="138" t="s">
        <v>60</v>
      </c>
      <c r="E222" s="138" t="n">
        <v>10.9</v>
      </c>
      <c r="F222" s="138" t="n">
        <v>539669.034</v>
      </c>
      <c r="G222" s="138" t="n">
        <v>7162940.432</v>
      </c>
      <c r="H222" s="138" t="n">
        <v>1</v>
      </c>
      <c r="I222" s="138" t="s">
        <v>6398</v>
      </c>
    </row>
    <row r="223" customFormat="false" ht="15" hidden="false" customHeight="false" outlineLevel="0" collapsed="false">
      <c r="A223" s="138" t="s">
        <v>6468</v>
      </c>
      <c r="B223" s="138" t="s">
        <v>6621</v>
      </c>
      <c r="C223" s="138" t="n">
        <v>292.1508</v>
      </c>
      <c r="D223" s="138" t="s">
        <v>60</v>
      </c>
      <c r="E223" s="138" t="n">
        <v>8.2</v>
      </c>
      <c r="F223" s="138" t="n">
        <v>538381.558</v>
      </c>
      <c r="G223" s="138" t="n">
        <v>7163295.484</v>
      </c>
      <c r="H223" s="138" t="n">
        <v>1</v>
      </c>
      <c r="I223" s="138" t="s">
        <v>6398</v>
      </c>
    </row>
    <row r="224" customFormat="false" ht="15" hidden="false" customHeight="false" outlineLevel="0" collapsed="false">
      <c r="A224" s="138" t="s">
        <v>6468</v>
      </c>
      <c r="B224" s="138" t="s">
        <v>6622</v>
      </c>
      <c r="C224" s="138" t="n">
        <v>296.0125</v>
      </c>
      <c r="D224" s="138" t="s">
        <v>60</v>
      </c>
      <c r="E224" s="138" t="n">
        <v>10.4</v>
      </c>
      <c r="F224" s="138" t="n">
        <v>538307.746</v>
      </c>
      <c r="G224" s="138" t="n">
        <v>7163318.288</v>
      </c>
      <c r="H224" s="138" t="n">
        <v>1</v>
      </c>
      <c r="I224" s="138" t="s">
        <v>6398</v>
      </c>
    </row>
    <row r="225" customFormat="false" ht="15" hidden="false" customHeight="false" outlineLevel="0" collapsed="false">
      <c r="A225" s="138" t="s">
        <v>6468</v>
      </c>
      <c r="B225" s="138" t="s">
        <v>6623</v>
      </c>
      <c r="C225" s="138" t="n">
        <v>298.1987</v>
      </c>
      <c r="D225" s="138" t="s">
        <v>60</v>
      </c>
      <c r="E225" s="138" t="n">
        <v>5.8</v>
      </c>
      <c r="F225" s="138" t="n">
        <v>538264.405</v>
      </c>
      <c r="G225" s="138" t="n">
        <v>7163325.611</v>
      </c>
      <c r="H225" s="138" t="n">
        <v>1</v>
      </c>
      <c r="I225" s="138" t="s">
        <v>6398</v>
      </c>
    </row>
    <row r="226" customFormat="false" ht="15" hidden="false" customHeight="false" outlineLevel="0" collapsed="false">
      <c r="A226" s="138" t="s">
        <v>6468</v>
      </c>
      <c r="B226" s="138" t="s">
        <v>6624</v>
      </c>
      <c r="C226" s="138" t="n">
        <v>302.7254</v>
      </c>
      <c r="D226" s="138" t="s">
        <v>60</v>
      </c>
      <c r="E226" s="138" t="n">
        <v>7.9</v>
      </c>
      <c r="F226" s="138" t="n">
        <v>538177.754</v>
      </c>
      <c r="G226" s="138" t="n">
        <v>7163351.884</v>
      </c>
      <c r="H226" s="138" t="n">
        <v>1</v>
      </c>
      <c r="I226" s="138" t="s">
        <v>6398</v>
      </c>
    </row>
    <row r="227" customFormat="false" ht="15" hidden="false" customHeight="false" outlineLevel="0" collapsed="false">
      <c r="A227" s="138" t="s">
        <v>6472</v>
      </c>
      <c r="B227" s="138" t="s">
        <v>6625</v>
      </c>
      <c r="C227" s="138" t="n">
        <v>304.8583</v>
      </c>
      <c r="D227" s="138" t="s">
        <v>59</v>
      </c>
      <c r="E227" s="138" t="n">
        <v>5</v>
      </c>
      <c r="F227" s="138" t="n">
        <v>538133.184</v>
      </c>
      <c r="G227" s="138" t="n">
        <v>7163350.794</v>
      </c>
      <c r="H227" s="138" t="n">
        <v>1</v>
      </c>
      <c r="I227" s="138" t="s">
        <v>6398</v>
      </c>
    </row>
    <row r="228" customFormat="false" ht="15" hidden="false" customHeight="false" outlineLevel="0" collapsed="false">
      <c r="A228" s="138" t="s">
        <v>6472</v>
      </c>
      <c r="B228" s="138" t="s">
        <v>6626</v>
      </c>
      <c r="C228" s="138" t="n">
        <v>305.2568</v>
      </c>
      <c r="D228" s="138" t="s">
        <v>59</v>
      </c>
      <c r="E228" s="138" t="n">
        <v>6</v>
      </c>
      <c r="F228" s="138" t="n">
        <v>538125.258</v>
      </c>
      <c r="G228" s="138" t="n">
        <v>7163352.035</v>
      </c>
      <c r="H228" s="138" t="n">
        <v>1</v>
      </c>
      <c r="I228" s="138" t="s">
        <v>6398</v>
      </c>
    </row>
    <row r="229" customFormat="false" ht="15" hidden="false" customHeight="false" outlineLevel="0" collapsed="false">
      <c r="A229" s="138" t="s">
        <v>6472</v>
      </c>
      <c r="B229" s="138" t="s">
        <v>6627</v>
      </c>
      <c r="C229" s="138" t="n">
        <v>306.1528</v>
      </c>
      <c r="D229" s="138" t="s">
        <v>59</v>
      </c>
      <c r="E229" s="138" t="n">
        <v>6.3</v>
      </c>
      <c r="F229" s="138" t="n">
        <v>538107.905</v>
      </c>
      <c r="G229" s="138" t="n">
        <v>7163356.514</v>
      </c>
      <c r="H229" s="138" t="n">
        <v>1</v>
      </c>
      <c r="I229" s="138" t="s">
        <v>6398</v>
      </c>
    </row>
    <row r="230" customFormat="false" ht="15" hidden="false" customHeight="false" outlineLevel="0" collapsed="false">
      <c r="A230" s="138" t="s">
        <v>6472</v>
      </c>
      <c r="B230" s="138" t="s">
        <v>6628</v>
      </c>
      <c r="C230" s="138" t="n">
        <v>306.4928</v>
      </c>
      <c r="D230" s="138" t="s">
        <v>59</v>
      </c>
      <c r="E230" s="138" t="n">
        <v>6.6</v>
      </c>
      <c r="F230" s="138" t="n">
        <v>538101.285</v>
      </c>
      <c r="G230" s="138" t="n">
        <v>7163358.083</v>
      </c>
      <c r="H230" s="138" t="n">
        <v>1</v>
      </c>
      <c r="I230" s="138" t="s">
        <v>6398</v>
      </c>
    </row>
    <row r="231" customFormat="false" ht="15" hidden="false" customHeight="false" outlineLevel="0" collapsed="false">
      <c r="A231" s="138" t="s">
        <v>6472</v>
      </c>
      <c r="B231" s="138" t="s">
        <v>6629</v>
      </c>
      <c r="C231" s="138" t="n">
        <v>306.7307</v>
      </c>
      <c r="D231" s="138" t="s">
        <v>59</v>
      </c>
      <c r="E231" s="138" t="n">
        <v>5.9</v>
      </c>
      <c r="F231" s="138" t="n">
        <v>538096.874</v>
      </c>
      <c r="G231" s="138" t="n">
        <v>7163359.979</v>
      </c>
      <c r="H231" s="138" t="n">
        <v>1</v>
      </c>
      <c r="I231" s="138" t="s">
        <v>6398</v>
      </c>
    </row>
    <row r="232" customFormat="false" ht="15" hidden="false" customHeight="false" outlineLevel="0" collapsed="false">
      <c r="A232" s="138" t="s">
        <v>6472</v>
      </c>
      <c r="B232" s="138" t="s">
        <v>6630</v>
      </c>
      <c r="C232" s="138" t="n">
        <v>307.0485</v>
      </c>
      <c r="D232" s="138" t="s">
        <v>60</v>
      </c>
      <c r="E232" s="138" t="n">
        <v>1.3</v>
      </c>
      <c r="F232" s="138" t="n">
        <v>538092.683</v>
      </c>
      <c r="G232" s="138" t="n">
        <v>7163368.629</v>
      </c>
      <c r="H232" s="138" t="n">
        <v>1</v>
      </c>
      <c r="I232" s="138" t="s">
        <v>6398</v>
      </c>
    </row>
    <row r="233" customFormat="false" ht="15" hidden="false" customHeight="false" outlineLevel="0" collapsed="false">
      <c r="A233" s="138" t="s">
        <v>6472</v>
      </c>
      <c r="B233" s="138" t="s">
        <v>6631</v>
      </c>
      <c r="C233" s="138" t="n">
        <v>307.0561</v>
      </c>
      <c r="D233" s="138" t="s">
        <v>60</v>
      </c>
      <c r="E233" s="138" t="n">
        <v>0.3</v>
      </c>
      <c r="F233" s="138" t="n">
        <v>538092.279</v>
      </c>
      <c r="G233" s="138" t="n">
        <v>7163367.744</v>
      </c>
      <c r="H233" s="138" t="n">
        <v>1</v>
      </c>
      <c r="I233" s="138" t="s">
        <v>6398</v>
      </c>
    </row>
    <row r="234" customFormat="false" ht="15" hidden="false" customHeight="false" outlineLevel="0" collapsed="false">
      <c r="A234" s="138" t="s">
        <v>6472</v>
      </c>
      <c r="B234" s="138" t="s">
        <v>6632</v>
      </c>
      <c r="C234" s="138" t="n">
        <v>307.1288</v>
      </c>
      <c r="D234" s="138" t="s">
        <v>59</v>
      </c>
      <c r="E234" s="138" t="n">
        <v>6.5</v>
      </c>
      <c r="F234" s="138" t="n">
        <v>538089.049</v>
      </c>
      <c r="G234" s="138" t="n">
        <v>7163361.552</v>
      </c>
      <c r="H234" s="138" t="n">
        <v>1</v>
      </c>
      <c r="I234" s="138" t="s">
        <v>6398</v>
      </c>
    </row>
    <row r="235" customFormat="false" ht="15" hidden="false" customHeight="false" outlineLevel="0" collapsed="false">
      <c r="A235" s="138" t="s">
        <v>6472</v>
      </c>
      <c r="B235" s="138" t="s">
        <v>6633</v>
      </c>
      <c r="C235" s="138" t="n">
        <v>307.4882</v>
      </c>
      <c r="D235" s="138" t="s">
        <v>59</v>
      </c>
      <c r="E235" s="138" t="n">
        <v>3.1</v>
      </c>
      <c r="F235" s="138" t="n">
        <v>538083.041</v>
      </c>
      <c r="G235" s="138" t="n">
        <v>7163366.774</v>
      </c>
      <c r="H235" s="138" t="n">
        <v>1</v>
      </c>
      <c r="I235" s="138" t="s">
        <v>6398</v>
      </c>
    </row>
    <row r="236" customFormat="false" ht="15" hidden="false" customHeight="false" outlineLevel="0" collapsed="false">
      <c r="A236" s="138" t="s">
        <v>6472</v>
      </c>
      <c r="B236" s="138" t="s">
        <v>6634</v>
      </c>
      <c r="C236" s="138" t="n">
        <v>307.5905</v>
      </c>
      <c r="D236" s="138" t="s">
        <v>59</v>
      </c>
      <c r="E236" s="138" t="n">
        <v>1.7</v>
      </c>
      <c r="F236" s="138" t="n">
        <v>538081.441</v>
      </c>
      <c r="G236" s="138" t="n">
        <v>7163368.661</v>
      </c>
      <c r="H236" s="138" t="n">
        <v>1</v>
      </c>
      <c r="I236" s="138" t="s">
        <v>6398</v>
      </c>
    </row>
    <row r="237" customFormat="false" ht="15" hidden="false" customHeight="false" outlineLevel="0" collapsed="false">
      <c r="A237" s="138" t="s">
        <v>6472</v>
      </c>
      <c r="B237" s="138" t="s">
        <v>6635</v>
      </c>
      <c r="C237" s="138" t="n">
        <v>307.676</v>
      </c>
      <c r="D237" s="138" t="s">
        <v>59</v>
      </c>
      <c r="E237" s="138" t="n">
        <v>3.4</v>
      </c>
      <c r="F237" s="138" t="n">
        <v>538079.329</v>
      </c>
      <c r="G237" s="138" t="n">
        <v>7163367.449</v>
      </c>
      <c r="H237" s="138" t="n">
        <v>1</v>
      </c>
      <c r="I237" s="138" t="s">
        <v>6398</v>
      </c>
    </row>
    <row r="238" customFormat="false" ht="15" hidden="false" customHeight="false" outlineLevel="0" collapsed="false">
      <c r="A238" s="138" t="s">
        <v>6472</v>
      </c>
      <c r="B238" s="138" t="s">
        <v>6636</v>
      </c>
      <c r="C238" s="138" t="n">
        <v>307.7771</v>
      </c>
      <c r="D238" s="138" t="s">
        <v>59</v>
      </c>
      <c r="E238" s="138" t="n">
        <v>1</v>
      </c>
      <c r="F238" s="138" t="n">
        <v>538078.032</v>
      </c>
      <c r="G238" s="138" t="n">
        <v>7163370.332</v>
      </c>
      <c r="H238" s="138" t="n">
        <v>1</v>
      </c>
      <c r="I238" s="138" t="s">
        <v>6398</v>
      </c>
    </row>
    <row r="239" customFormat="false" ht="15" hidden="false" customHeight="false" outlineLevel="0" collapsed="false">
      <c r="A239" s="138" t="s">
        <v>6472</v>
      </c>
      <c r="B239" s="138" t="s">
        <v>6637</v>
      </c>
      <c r="C239" s="138" t="n">
        <v>307.7943</v>
      </c>
      <c r="D239" s="138" t="s">
        <v>59</v>
      </c>
      <c r="E239" s="138" t="n">
        <v>3.1</v>
      </c>
      <c r="F239" s="138" t="n">
        <v>538077.123</v>
      </c>
      <c r="G239" s="138" t="n">
        <v>7163368.341</v>
      </c>
      <c r="H239" s="138" t="n">
        <v>1</v>
      </c>
      <c r="I239" s="138" t="s">
        <v>6398</v>
      </c>
    </row>
    <row r="240" customFormat="false" ht="15" hidden="false" customHeight="false" outlineLevel="0" collapsed="false">
      <c r="A240" s="138" t="s">
        <v>6472</v>
      </c>
      <c r="B240" s="138" t="s">
        <v>6638</v>
      </c>
      <c r="C240" s="138" t="n">
        <v>307.8598</v>
      </c>
      <c r="D240" s="138" t="s">
        <v>59</v>
      </c>
      <c r="E240" s="138" t="n">
        <v>1.8</v>
      </c>
      <c r="F240" s="138" t="n">
        <v>538076.225</v>
      </c>
      <c r="G240" s="138" t="n">
        <v>7163370.005</v>
      </c>
      <c r="H240" s="138" t="n">
        <v>1</v>
      </c>
      <c r="I240" s="138" t="s">
        <v>6398</v>
      </c>
    </row>
    <row r="241" customFormat="false" ht="15" hidden="false" customHeight="false" outlineLevel="0" collapsed="false">
      <c r="A241" s="138" t="s">
        <v>6472</v>
      </c>
      <c r="B241" s="138" t="s">
        <v>6639</v>
      </c>
      <c r="C241" s="138" t="n">
        <v>307.9865</v>
      </c>
      <c r="D241" s="138" t="s">
        <v>59</v>
      </c>
      <c r="E241" s="138" t="n">
        <v>3.2</v>
      </c>
      <c r="F241" s="138" t="n">
        <v>538073.412</v>
      </c>
      <c r="G241" s="138" t="n">
        <v>7163369.348</v>
      </c>
      <c r="H241" s="138" t="n">
        <v>1</v>
      </c>
      <c r="I241" s="138" t="s">
        <v>6398</v>
      </c>
    </row>
    <row r="242" customFormat="false" ht="15" hidden="false" customHeight="false" outlineLevel="0" collapsed="false">
      <c r="A242" s="138" t="s">
        <v>6472</v>
      </c>
      <c r="B242" s="138" t="s">
        <v>6640</v>
      </c>
      <c r="C242" s="138" t="n">
        <v>308.0074</v>
      </c>
      <c r="D242" s="138" t="s">
        <v>59</v>
      </c>
      <c r="E242" s="138" t="n">
        <v>3.2</v>
      </c>
      <c r="F242" s="138" t="n">
        <v>538073.011</v>
      </c>
      <c r="G242" s="138" t="n">
        <v>7163369.46</v>
      </c>
      <c r="H242" s="138" t="n">
        <v>1</v>
      </c>
      <c r="I242" s="138" t="s">
        <v>6398</v>
      </c>
    </row>
    <row r="243" customFormat="false" ht="15" hidden="false" customHeight="false" outlineLevel="0" collapsed="false">
      <c r="A243" s="138" t="s">
        <v>6472</v>
      </c>
      <c r="B243" s="138" t="s">
        <v>6641</v>
      </c>
      <c r="C243" s="138" t="n">
        <v>308.769</v>
      </c>
      <c r="D243" s="138" t="s">
        <v>59</v>
      </c>
      <c r="E243" s="138" t="n">
        <v>4.9</v>
      </c>
      <c r="F243" s="138" t="n">
        <v>538057.861</v>
      </c>
      <c r="G243" s="138" t="n">
        <v>7163371.829</v>
      </c>
      <c r="H243" s="138" t="n">
        <v>1</v>
      </c>
      <c r="I243" s="138" t="s">
        <v>6398</v>
      </c>
    </row>
    <row r="244" customFormat="false" ht="15" hidden="false" customHeight="false" outlineLevel="0" collapsed="false">
      <c r="A244" s="138" t="s">
        <v>6472</v>
      </c>
      <c r="B244" s="138" t="s">
        <v>6642</v>
      </c>
      <c r="C244" s="138" t="n">
        <v>309.224</v>
      </c>
      <c r="D244" s="138" t="s">
        <v>59</v>
      </c>
      <c r="E244" s="138" t="n">
        <v>3.7</v>
      </c>
      <c r="F244" s="138" t="n">
        <v>538049.44</v>
      </c>
      <c r="G244" s="138" t="n">
        <v>7163375.508</v>
      </c>
      <c r="H244" s="138" t="n">
        <v>1</v>
      </c>
      <c r="I244" s="138" t="s">
        <v>6398</v>
      </c>
    </row>
    <row r="245" customFormat="false" ht="15" hidden="false" customHeight="false" outlineLevel="0" collapsed="false">
      <c r="A245" s="138" t="s">
        <v>6472</v>
      </c>
      <c r="B245" s="138" t="s">
        <v>6643</v>
      </c>
      <c r="C245" s="138" t="n">
        <v>309.2673</v>
      </c>
      <c r="D245" s="138" t="s">
        <v>59</v>
      </c>
      <c r="E245" s="138" t="n">
        <v>6.2</v>
      </c>
      <c r="F245" s="138" t="n">
        <v>538047.928</v>
      </c>
      <c r="G245" s="138" t="n">
        <v>7163373.297</v>
      </c>
      <c r="H245" s="138" t="n">
        <v>1</v>
      </c>
      <c r="I245" s="138" t="s">
        <v>6398</v>
      </c>
    </row>
    <row r="246" customFormat="false" ht="15" hidden="false" customHeight="false" outlineLevel="0" collapsed="false">
      <c r="A246" s="138" t="s">
        <v>6472</v>
      </c>
      <c r="B246" s="138" t="s">
        <v>6644</v>
      </c>
      <c r="C246" s="138" t="n">
        <v>309.3745</v>
      </c>
      <c r="D246" s="138" t="s">
        <v>59</v>
      </c>
      <c r="E246" s="138" t="n">
        <v>4.8</v>
      </c>
      <c r="F246" s="138" t="n">
        <v>538046.227</v>
      </c>
      <c r="G246" s="138" t="n">
        <v>7163375.185</v>
      </c>
      <c r="H246" s="138" t="n">
        <v>1</v>
      </c>
      <c r="I246" s="138" t="s">
        <v>6398</v>
      </c>
    </row>
    <row r="247" customFormat="false" ht="15" hidden="false" customHeight="false" outlineLevel="0" collapsed="false">
      <c r="A247" s="138" t="s">
        <v>6472</v>
      </c>
      <c r="B247" s="138" t="s">
        <v>6645</v>
      </c>
      <c r="C247" s="138" t="n">
        <v>309.4006</v>
      </c>
      <c r="D247" s="138" t="s">
        <v>59</v>
      </c>
      <c r="E247" s="138" t="n">
        <v>1.4</v>
      </c>
      <c r="F247" s="138" t="n">
        <v>538046.638</v>
      </c>
      <c r="G247" s="138" t="n">
        <v>7163378.616</v>
      </c>
      <c r="H247" s="138" t="n">
        <v>1</v>
      </c>
      <c r="I247" s="138" t="s">
        <v>6398</v>
      </c>
    </row>
    <row r="248" customFormat="false" ht="15" hidden="false" customHeight="false" outlineLevel="0" collapsed="false">
      <c r="A248" s="138" t="s">
        <v>6472</v>
      </c>
      <c r="B248" s="138" t="s">
        <v>6646</v>
      </c>
      <c r="C248" s="138" t="n">
        <v>309.6315</v>
      </c>
      <c r="D248" s="138" t="s">
        <v>59</v>
      </c>
      <c r="E248" s="138" t="n">
        <v>2.8</v>
      </c>
      <c r="F248" s="138" t="n">
        <v>538041.82</v>
      </c>
      <c r="G248" s="138" t="n">
        <v>7163378.519</v>
      </c>
      <c r="H248" s="138" t="n">
        <v>1</v>
      </c>
      <c r="I248" s="138" t="s">
        <v>6398</v>
      </c>
    </row>
    <row r="249" customFormat="false" ht="15" hidden="false" customHeight="false" outlineLevel="0" collapsed="false">
      <c r="A249" s="138" t="s">
        <v>6472</v>
      </c>
      <c r="B249" s="138" t="s">
        <v>6647</v>
      </c>
      <c r="C249" s="138" t="n">
        <v>309.7698</v>
      </c>
      <c r="D249" s="138" t="s">
        <v>59</v>
      </c>
      <c r="E249" s="138" t="n">
        <v>4.5</v>
      </c>
      <c r="F249" s="138" t="n">
        <v>538038.706</v>
      </c>
      <c r="G249" s="138" t="n">
        <v>7163377.642</v>
      </c>
      <c r="H249" s="138" t="n">
        <v>1</v>
      </c>
      <c r="I249" s="138" t="s">
        <v>6398</v>
      </c>
    </row>
    <row r="250" customFormat="false" ht="15" hidden="false" customHeight="false" outlineLevel="0" collapsed="false">
      <c r="A250" s="138" t="s">
        <v>6472</v>
      </c>
      <c r="B250" s="138" t="s">
        <v>6648</v>
      </c>
      <c r="C250" s="138" t="n">
        <v>309.782</v>
      </c>
      <c r="D250" s="138" t="s">
        <v>59</v>
      </c>
      <c r="E250" s="138" t="n">
        <v>4</v>
      </c>
      <c r="F250" s="138" t="n">
        <v>538038.607</v>
      </c>
      <c r="G250" s="138" t="n">
        <v>7163378.196</v>
      </c>
      <c r="H250" s="138" t="n">
        <v>1</v>
      </c>
      <c r="I250" s="138" t="s">
        <v>6398</v>
      </c>
    </row>
    <row r="251" customFormat="false" ht="15" hidden="false" customHeight="false" outlineLevel="0" collapsed="false">
      <c r="A251" s="138" t="s">
        <v>6472</v>
      </c>
      <c r="B251" s="138" t="s">
        <v>6649</v>
      </c>
      <c r="C251" s="138" t="n">
        <v>309.8669</v>
      </c>
      <c r="D251" s="138" t="s">
        <v>59</v>
      </c>
      <c r="E251" s="138" t="n">
        <v>6.5</v>
      </c>
      <c r="F251" s="138" t="n">
        <v>538036.292</v>
      </c>
      <c r="G251" s="138" t="n">
        <v>7163376.21</v>
      </c>
      <c r="H251" s="138" t="n">
        <v>1</v>
      </c>
      <c r="I251" s="138" t="s">
        <v>6398</v>
      </c>
    </row>
    <row r="252" customFormat="false" ht="15" hidden="false" customHeight="false" outlineLevel="0" collapsed="false">
      <c r="A252" s="138" t="s">
        <v>6472</v>
      </c>
      <c r="B252" s="138" t="s">
        <v>6650</v>
      </c>
      <c r="C252" s="138" t="n">
        <v>310.0393</v>
      </c>
      <c r="D252" s="138" t="s">
        <v>59</v>
      </c>
      <c r="E252" s="138" t="n">
        <v>3.4</v>
      </c>
      <c r="F252" s="138" t="n">
        <v>538033.794</v>
      </c>
      <c r="G252" s="138" t="n">
        <v>7163380.093</v>
      </c>
      <c r="H252" s="138" t="n">
        <v>1</v>
      </c>
      <c r="I252" s="138" t="s">
        <v>6398</v>
      </c>
    </row>
    <row r="253" customFormat="false" ht="15" hidden="false" customHeight="false" outlineLevel="0" collapsed="false">
      <c r="A253" s="138" t="s">
        <v>6472</v>
      </c>
      <c r="B253" s="138" t="s">
        <v>6651</v>
      </c>
      <c r="C253" s="138" t="n">
        <v>310.0989</v>
      </c>
      <c r="D253" s="138" t="s">
        <v>59</v>
      </c>
      <c r="E253" s="138" t="n">
        <v>6.3</v>
      </c>
      <c r="F253" s="138" t="n">
        <v>538031.88</v>
      </c>
      <c r="G253" s="138" t="n">
        <v>7163377.662</v>
      </c>
      <c r="H253" s="138" t="n">
        <v>1</v>
      </c>
      <c r="I253" s="138" t="s">
        <v>6398</v>
      </c>
    </row>
    <row r="254" customFormat="false" ht="15" hidden="false" customHeight="false" outlineLevel="0" collapsed="false">
      <c r="A254" s="138" t="s">
        <v>6472</v>
      </c>
      <c r="B254" s="138" t="s">
        <v>6652</v>
      </c>
      <c r="C254" s="138" t="n">
        <v>310.2689</v>
      </c>
      <c r="D254" s="138" t="s">
        <v>59</v>
      </c>
      <c r="E254" s="138" t="n">
        <v>2.6</v>
      </c>
      <c r="F254" s="138" t="n">
        <v>538029.584</v>
      </c>
      <c r="G254" s="138" t="n">
        <v>7163382.098</v>
      </c>
      <c r="H254" s="138" t="n">
        <v>1</v>
      </c>
      <c r="I254" s="138" t="s">
        <v>6398</v>
      </c>
    </row>
    <row r="255" customFormat="false" ht="15" hidden="false" customHeight="false" outlineLevel="0" collapsed="false">
      <c r="A255" s="138" t="s">
        <v>6472</v>
      </c>
      <c r="B255" s="138" t="s">
        <v>6653</v>
      </c>
      <c r="C255" s="138" t="n">
        <v>310.47</v>
      </c>
      <c r="D255" s="138" t="s">
        <v>59</v>
      </c>
      <c r="E255" s="138" t="n">
        <v>5.8</v>
      </c>
      <c r="F255" s="138" t="n">
        <v>538024.861</v>
      </c>
      <c r="G255" s="138" t="n">
        <v>7163380.118</v>
      </c>
      <c r="H255" s="138" t="n">
        <v>1</v>
      </c>
      <c r="I255" s="138" t="s">
        <v>6398</v>
      </c>
    </row>
    <row r="256" customFormat="false" ht="15" hidden="false" customHeight="false" outlineLevel="0" collapsed="false">
      <c r="A256" s="138" t="s">
        <v>6472</v>
      </c>
      <c r="B256" s="138" t="s">
        <v>6654</v>
      </c>
      <c r="C256" s="138" t="n">
        <v>310.8166</v>
      </c>
      <c r="D256" s="138" t="s">
        <v>59</v>
      </c>
      <c r="E256" s="138" t="n">
        <v>7.5</v>
      </c>
      <c r="F256" s="138" t="n">
        <v>538017.735</v>
      </c>
      <c r="G256" s="138" t="n">
        <v>7163380.36</v>
      </c>
      <c r="H256" s="138" t="n">
        <v>1</v>
      </c>
      <c r="I256" s="138" t="s">
        <v>6398</v>
      </c>
    </row>
    <row r="257" customFormat="false" ht="15" hidden="false" customHeight="false" outlineLevel="0" collapsed="false">
      <c r="A257" s="138" t="s">
        <v>6472</v>
      </c>
      <c r="B257" s="138" t="s">
        <v>6655</v>
      </c>
      <c r="C257" s="138" t="n">
        <v>310.8806</v>
      </c>
      <c r="D257" s="138" t="s">
        <v>59</v>
      </c>
      <c r="E257" s="138" t="n">
        <v>7.4</v>
      </c>
      <c r="F257" s="138" t="n">
        <v>538016.531</v>
      </c>
      <c r="G257" s="138" t="n">
        <v>7163380.807</v>
      </c>
      <c r="H257" s="138" t="n">
        <v>1</v>
      </c>
      <c r="I257" s="138" t="s">
        <v>6398</v>
      </c>
    </row>
    <row r="258" customFormat="false" ht="15" hidden="false" customHeight="false" outlineLevel="0" collapsed="false">
      <c r="A258" s="138" t="s">
        <v>6472</v>
      </c>
      <c r="B258" s="138" t="s">
        <v>6656</v>
      </c>
      <c r="C258" s="138" t="n">
        <v>311.635</v>
      </c>
      <c r="D258" s="138" t="s">
        <v>59</v>
      </c>
      <c r="E258" s="138" t="n">
        <v>8.5</v>
      </c>
      <c r="F258" s="138" t="n">
        <v>538001.684</v>
      </c>
      <c r="G258" s="138" t="n">
        <v>7163383.728</v>
      </c>
      <c r="H258" s="138" t="n">
        <v>1</v>
      </c>
      <c r="I258" s="138" t="s">
        <v>6398</v>
      </c>
    </row>
    <row r="259" customFormat="false" ht="15" hidden="false" customHeight="false" outlineLevel="0" collapsed="false">
      <c r="A259" s="138" t="s">
        <v>6472</v>
      </c>
      <c r="B259" s="138" t="s">
        <v>6657</v>
      </c>
      <c r="C259" s="138" t="n">
        <v>311.7558</v>
      </c>
      <c r="D259" s="138" t="s">
        <v>59</v>
      </c>
      <c r="E259" s="138" t="n">
        <v>7.7</v>
      </c>
      <c r="F259" s="138" t="n">
        <v>537999.58</v>
      </c>
      <c r="G259" s="138" t="n">
        <v>7163385.174</v>
      </c>
      <c r="H259" s="138" t="n">
        <v>1</v>
      </c>
      <c r="I259" s="138" t="s">
        <v>6398</v>
      </c>
    </row>
    <row r="260" customFormat="false" ht="15" hidden="false" customHeight="false" outlineLevel="0" collapsed="false">
      <c r="A260" s="138" t="s">
        <v>6468</v>
      </c>
      <c r="B260" s="138" t="s">
        <v>6658</v>
      </c>
      <c r="C260" s="138" t="n">
        <v>315.7392</v>
      </c>
      <c r="D260" s="138" t="s">
        <v>60</v>
      </c>
      <c r="E260" s="138" t="n">
        <v>25</v>
      </c>
      <c r="F260" s="138" t="n">
        <v>537931.574</v>
      </c>
      <c r="G260" s="138" t="n">
        <v>7163437.97</v>
      </c>
      <c r="H260" s="138" t="n">
        <v>1</v>
      </c>
      <c r="I260" s="138" t="s">
        <v>6398</v>
      </c>
    </row>
    <row r="261" customFormat="false" ht="15" hidden="false" customHeight="false" outlineLevel="0" collapsed="false">
      <c r="A261" s="138" t="s">
        <v>6468</v>
      </c>
      <c r="B261" s="138" t="s">
        <v>6659</v>
      </c>
      <c r="C261" s="138" t="n">
        <v>323.0761</v>
      </c>
      <c r="D261" s="138" t="s">
        <v>60</v>
      </c>
      <c r="E261" s="138" t="n">
        <v>17.6</v>
      </c>
      <c r="F261" s="138" t="n">
        <v>537790.144</v>
      </c>
      <c r="G261" s="138" t="n">
        <v>7163473.921</v>
      </c>
      <c r="H261" s="138" t="n">
        <v>1</v>
      </c>
      <c r="I261" s="138" t="s">
        <v>6398</v>
      </c>
    </row>
    <row r="262" customFormat="false" ht="15" hidden="false" customHeight="false" outlineLevel="0" collapsed="false">
      <c r="A262" s="138" t="s">
        <v>6468</v>
      </c>
      <c r="B262" s="138" t="s">
        <v>6660</v>
      </c>
      <c r="C262" s="138" t="n">
        <v>323.4959</v>
      </c>
      <c r="D262" s="138" t="s">
        <v>60</v>
      </c>
      <c r="E262" s="138" t="n">
        <v>6.4</v>
      </c>
      <c r="F262" s="138" t="n">
        <v>537778.778</v>
      </c>
      <c r="G262" s="138" t="n">
        <v>7163465.758</v>
      </c>
      <c r="H262" s="138" t="n">
        <v>1</v>
      </c>
      <c r="I262" s="138" t="s">
        <v>6398</v>
      </c>
    </row>
    <row r="263" customFormat="false" ht="15" hidden="false" customHeight="false" outlineLevel="0" collapsed="false">
      <c r="A263" s="138" t="s">
        <v>6468</v>
      </c>
      <c r="B263" s="138" t="s">
        <v>6661</v>
      </c>
      <c r="C263" s="138" t="n">
        <v>323.9333</v>
      </c>
      <c r="D263" s="138" t="s">
        <v>60</v>
      </c>
      <c r="E263" s="138" t="n">
        <v>5.1</v>
      </c>
      <c r="F263" s="138" t="n">
        <v>537770.049</v>
      </c>
      <c r="G263" s="138" t="n">
        <v>7163467.112</v>
      </c>
      <c r="H263" s="138" t="n">
        <v>1</v>
      </c>
      <c r="I263" s="138" t="s">
        <v>6398</v>
      </c>
    </row>
    <row r="264" customFormat="false" ht="15" hidden="false" customHeight="false" outlineLevel="0" collapsed="false">
      <c r="A264" s="138" t="s">
        <v>6468</v>
      </c>
      <c r="B264" s="138" t="s">
        <v>6662</v>
      </c>
      <c r="C264" s="138" t="n">
        <v>324.2384</v>
      </c>
      <c r="D264" s="138" t="s">
        <v>60</v>
      </c>
      <c r="E264" s="138" t="n">
        <v>18.8</v>
      </c>
      <c r="F264" s="138" t="n">
        <v>537768.385</v>
      </c>
      <c r="G264" s="138" t="n">
        <v>7163482.067</v>
      </c>
      <c r="H264" s="138" t="n">
        <v>1</v>
      </c>
      <c r="I264" s="138" t="s">
        <v>6398</v>
      </c>
    </row>
    <row r="265" customFormat="false" ht="15" hidden="false" customHeight="false" outlineLevel="0" collapsed="false">
      <c r="A265" s="138" t="s">
        <v>6468</v>
      </c>
      <c r="B265" s="138" t="s">
        <v>6663</v>
      </c>
      <c r="C265" s="138" t="n">
        <v>324.6802</v>
      </c>
      <c r="D265" s="138" t="s">
        <v>60</v>
      </c>
      <c r="E265" s="138" t="n">
        <v>10</v>
      </c>
      <c r="F265" s="138" t="n">
        <v>537757.327</v>
      </c>
      <c r="G265" s="138" t="n">
        <v>7163476.34</v>
      </c>
      <c r="H265" s="138" t="n">
        <v>1</v>
      </c>
      <c r="I265" s="138" t="s">
        <v>6398</v>
      </c>
    </row>
    <row r="266" customFormat="false" ht="15" hidden="false" customHeight="false" outlineLevel="0" collapsed="false">
      <c r="A266" s="138" t="s">
        <v>6468</v>
      </c>
      <c r="B266" s="138" t="s">
        <v>6664</v>
      </c>
      <c r="C266" s="138" t="n">
        <v>324.9678</v>
      </c>
      <c r="D266" s="138" t="s">
        <v>59</v>
      </c>
      <c r="E266" s="138" t="n">
        <v>55.3</v>
      </c>
      <c r="F266" s="138" t="n">
        <v>537732.161</v>
      </c>
      <c r="G266" s="138" t="n">
        <v>7163415.725</v>
      </c>
      <c r="H266" s="138" t="n">
        <v>1</v>
      </c>
      <c r="I266" s="138" t="s">
        <v>6398</v>
      </c>
    </row>
    <row r="267" customFormat="false" ht="15" hidden="false" customHeight="false" outlineLevel="0" collapsed="false">
      <c r="A267" s="138" t="s">
        <v>6468</v>
      </c>
      <c r="B267" s="138" t="s">
        <v>6665</v>
      </c>
      <c r="C267" s="138" t="n">
        <v>325.1526</v>
      </c>
      <c r="D267" s="138" t="s">
        <v>60</v>
      </c>
      <c r="E267" s="138" t="n">
        <v>18</v>
      </c>
      <c r="F267" s="138" t="n">
        <v>537750.732</v>
      </c>
      <c r="G267" s="138" t="n">
        <v>7163486.768</v>
      </c>
      <c r="H267" s="138" t="n">
        <v>1</v>
      </c>
      <c r="I267" s="138" t="s">
        <v>6398</v>
      </c>
    </row>
    <row r="268" customFormat="false" ht="15" hidden="false" customHeight="false" outlineLevel="0" collapsed="false">
      <c r="A268" s="138" t="s">
        <v>6468</v>
      </c>
      <c r="B268" s="138" t="s">
        <v>6666</v>
      </c>
      <c r="C268" s="138" t="n">
        <v>325.1584</v>
      </c>
      <c r="D268" s="138" t="s">
        <v>59</v>
      </c>
      <c r="E268" s="138" t="n">
        <v>3.1</v>
      </c>
      <c r="F268" s="138" t="n">
        <v>537744.251</v>
      </c>
      <c r="G268" s="138" t="n">
        <v>7163466.632</v>
      </c>
      <c r="H268" s="138" t="n">
        <v>1</v>
      </c>
      <c r="I268" s="138" t="s">
        <v>6398</v>
      </c>
    </row>
    <row r="269" customFormat="false" ht="15" hidden="false" customHeight="false" outlineLevel="0" collapsed="false">
      <c r="A269" s="138" t="s">
        <v>6468</v>
      </c>
      <c r="B269" s="138" t="s">
        <v>6667</v>
      </c>
      <c r="C269" s="138" t="n">
        <v>325.441</v>
      </c>
      <c r="D269" s="138" t="s">
        <v>59</v>
      </c>
      <c r="E269" s="138" t="n">
        <v>9.3</v>
      </c>
      <c r="F269" s="138" t="n">
        <v>537737.012</v>
      </c>
      <c r="G269" s="138" t="n">
        <v>7163462.444</v>
      </c>
      <c r="H269" s="138" t="n">
        <v>1</v>
      </c>
      <c r="I269" s="138" t="s">
        <v>6398</v>
      </c>
    </row>
    <row r="270" customFormat="false" ht="15" hidden="false" customHeight="false" outlineLevel="0" collapsed="false">
      <c r="A270" s="138" t="s">
        <v>6468</v>
      </c>
      <c r="B270" s="138" t="s">
        <v>6667</v>
      </c>
      <c r="C270" s="138" t="n">
        <v>325.441</v>
      </c>
      <c r="D270" s="138" t="s">
        <v>59</v>
      </c>
      <c r="E270" s="138" t="n">
        <v>9.3</v>
      </c>
      <c r="F270" s="138" t="n">
        <v>537737.012</v>
      </c>
      <c r="G270" s="138" t="n">
        <v>7163462.444</v>
      </c>
      <c r="H270" s="138" t="n">
        <v>1</v>
      </c>
      <c r="I270" s="138" t="s">
        <v>6398</v>
      </c>
    </row>
    <row r="271" customFormat="false" ht="15" hidden="false" customHeight="false" outlineLevel="0" collapsed="false">
      <c r="A271" s="138" t="s">
        <v>6468</v>
      </c>
      <c r="B271" s="138" t="s">
        <v>6668</v>
      </c>
      <c r="C271" s="138" t="n">
        <v>326.2052</v>
      </c>
      <c r="D271" s="138" t="s">
        <v>59</v>
      </c>
      <c r="E271" s="138" t="n">
        <v>12.7</v>
      </c>
      <c r="F271" s="138" t="n">
        <v>537721.357</v>
      </c>
      <c r="G271" s="138" t="n">
        <v>7163463.818</v>
      </c>
      <c r="H271" s="138" t="n">
        <v>1</v>
      </c>
      <c r="I271" s="138" t="s">
        <v>6398</v>
      </c>
    </row>
    <row r="272" customFormat="false" ht="15" hidden="false" customHeight="false" outlineLevel="0" collapsed="false">
      <c r="A272" s="138" t="s">
        <v>6468</v>
      </c>
      <c r="B272" s="138" t="s">
        <v>6669</v>
      </c>
      <c r="C272" s="138" t="n">
        <v>326.6638</v>
      </c>
      <c r="D272" s="138" t="s">
        <v>59</v>
      </c>
      <c r="E272" s="138" t="n">
        <v>22.1</v>
      </c>
      <c r="F272" s="138" t="n">
        <v>537709.695</v>
      </c>
      <c r="G272" s="138" t="n">
        <v>7163457.649</v>
      </c>
      <c r="H272" s="138" t="n">
        <v>1</v>
      </c>
      <c r="I272" s="138" t="s">
        <v>6398</v>
      </c>
    </row>
    <row r="273" customFormat="false" ht="15" hidden="false" customHeight="false" outlineLevel="0" collapsed="false">
      <c r="A273" s="138" t="s">
        <v>6468</v>
      </c>
      <c r="B273" s="138" t="s">
        <v>6670</v>
      </c>
      <c r="C273" s="138" t="n">
        <v>326.709</v>
      </c>
      <c r="D273" s="138" t="s">
        <v>60</v>
      </c>
      <c r="E273" s="138" t="n">
        <v>6</v>
      </c>
      <c r="F273" s="138" t="n">
        <v>537717.301</v>
      </c>
      <c r="G273" s="138" t="n">
        <v>7163484.759</v>
      </c>
      <c r="H273" s="138" t="n">
        <v>1</v>
      </c>
      <c r="I273" s="138" t="s">
        <v>6398</v>
      </c>
    </row>
    <row r="274" customFormat="false" ht="15" hidden="false" customHeight="false" outlineLevel="0" collapsed="false">
      <c r="A274" s="138" t="s">
        <v>6468</v>
      </c>
      <c r="B274" s="138" t="s">
        <v>6671</v>
      </c>
      <c r="C274" s="138" t="n">
        <v>327.0501</v>
      </c>
      <c r="D274" s="138" t="s">
        <v>59</v>
      </c>
      <c r="E274" s="138" t="n">
        <v>13.7</v>
      </c>
      <c r="F274" s="138" t="n">
        <v>537704.806</v>
      </c>
      <c r="G274" s="138" t="n">
        <v>7163468.073</v>
      </c>
      <c r="H274" s="138" t="n">
        <v>1</v>
      </c>
      <c r="I274" s="138" t="s">
        <v>6398</v>
      </c>
    </row>
    <row r="275" customFormat="false" ht="15" hidden="false" customHeight="false" outlineLevel="0" collapsed="false">
      <c r="A275" s="138" t="s">
        <v>6468</v>
      </c>
      <c r="B275" s="138" t="s">
        <v>6672</v>
      </c>
      <c r="C275" s="138" t="n">
        <v>327.2821</v>
      </c>
      <c r="D275" s="138" t="s">
        <v>59</v>
      </c>
      <c r="E275" s="138" t="n">
        <v>12.8</v>
      </c>
      <c r="F275" s="138" t="n">
        <v>537700.597</v>
      </c>
      <c r="G275" s="138" t="n">
        <v>7163470.299</v>
      </c>
      <c r="H275" s="138" t="n">
        <v>1</v>
      </c>
      <c r="I275" s="138" t="s">
        <v>6398</v>
      </c>
    </row>
    <row r="276" customFormat="false" ht="15" hidden="false" customHeight="false" outlineLevel="0" collapsed="false">
      <c r="A276" s="138" t="s">
        <v>6468</v>
      </c>
      <c r="B276" s="138" t="s">
        <v>6673</v>
      </c>
      <c r="C276" s="138" t="n">
        <v>327.4107</v>
      </c>
      <c r="D276" s="138" t="s">
        <v>59</v>
      </c>
      <c r="E276" s="138" t="n">
        <v>15.9</v>
      </c>
      <c r="F276" s="138" t="n">
        <v>537697.178</v>
      </c>
      <c r="G276" s="138" t="n">
        <v>7163468.094</v>
      </c>
      <c r="H276" s="138" t="n">
        <v>1</v>
      </c>
      <c r="I276" s="138" t="s">
        <v>6398</v>
      </c>
    </row>
    <row r="277" customFormat="false" ht="15" hidden="false" customHeight="false" outlineLevel="0" collapsed="false">
      <c r="A277" s="138" t="s">
        <v>6468</v>
      </c>
      <c r="B277" s="138" t="s">
        <v>6674</v>
      </c>
      <c r="C277" s="138" t="n">
        <v>327.4927</v>
      </c>
      <c r="D277" s="138" t="s">
        <v>59</v>
      </c>
      <c r="E277" s="138" t="n">
        <v>13.7</v>
      </c>
      <c r="F277" s="138" t="n">
        <v>537696.282</v>
      </c>
      <c r="G277" s="138" t="n">
        <v>7163470.755</v>
      </c>
      <c r="H277" s="138" t="n">
        <v>1</v>
      </c>
      <c r="I277" s="138" t="s">
        <v>6398</v>
      </c>
    </row>
    <row r="278" customFormat="false" ht="15" hidden="false" customHeight="false" outlineLevel="0" collapsed="false">
      <c r="A278" s="138" t="s">
        <v>6468</v>
      </c>
      <c r="B278" s="138" t="s">
        <v>6675</v>
      </c>
      <c r="C278" s="138" t="n">
        <v>328.2226</v>
      </c>
      <c r="D278" s="138" t="s">
        <v>60</v>
      </c>
      <c r="E278" s="138" t="n">
        <v>3.5</v>
      </c>
      <c r="F278" s="138" t="n">
        <v>537687.407</v>
      </c>
      <c r="G278" s="138" t="n">
        <v>7163491.599</v>
      </c>
      <c r="H278" s="138" t="n">
        <v>1</v>
      </c>
      <c r="I278" s="138" t="s">
        <v>6398</v>
      </c>
    </row>
    <row r="279" customFormat="false" ht="15" hidden="false" customHeight="false" outlineLevel="0" collapsed="false">
      <c r="A279" s="138" t="s">
        <v>6468</v>
      </c>
      <c r="B279" s="138" t="s">
        <v>6676</v>
      </c>
      <c r="C279" s="138" t="n">
        <v>330.5629</v>
      </c>
      <c r="D279" s="138" t="s">
        <v>60</v>
      </c>
      <c r="E279" s="138" t="n">
        <v>18.1</v>
      </c>
      <c r="F279" s="138" t="n">
        <v>537646.734</v>
      </c>
      <c r="G279" s="138" t="n">
        <v>7163519.732</v>
      </c>
      <c r="H279" s="138" t="n">
        <v>1</v>
      </c>
      <c r="I279" s="138" t="s">
        <v>6398</v>
      </c>
    </row>
    <row r="280" customFormat="false" ht="15" hidden="false" customHeight="false" outlineLevel="0" collapsed="false">
      <c r="A280" s="138" t="s">
        <v>6468</v>
      </c>
      <c r="B280" s="138" t="s">
        <v>6677</v>
      </c>
      <c r="C280" s="138" t="n">
        <v>340.6296</v>
      </c>
      <c r="D280" s="138" t="s">
        <v>60</v>
      </c>
      <c r="E280" s="138" t="n">
        <v>6.7</v>
      </c>
      <c r="F280" s="138" t="n">
        <v>537480.801</v>
      </c>
      <c r="G280" s="138" t="n">
        <v>7163623.854</v>
      </c>
      <c r="H280" s="138" t="n">
        <v>1</v>
      </c>
      <c r="I280" s="138" t="s">
        <v>6398</v>
      </c>
    </row>
    <row r="281" customFormat="false" ht="15" hidden="false" customHeight="false" outlineLevel="0" collapsed="false">
      <c r="A281" s="138" t="s">
        <v>6468</v>
      </c>
      <c r="B281" s="138" t="s">
        <v>6678</v>
      </c>
      <c r="C281" s="138" t="n">
        <v>359.0508</v>
      </c>
      <c r="D281" s="138" t="s">
        <v>59</v>
      </c>
      <c r="E281" s="138" t="n">
        <v>12.2</v>
      </c>
      <c r="F281" s="138" t="n">
        <v>537155.318</v>
      </c>
      <c r="G281" s="138" t="n">
        <v>7163784.124</v>
      </c>
      <c r="H281" s="138" t="n">
        <v>1</v>
      </c>
      <c r="I281" s="138" t="s">
        <v>6398</v>
      </c>
    </row>
    <row r="282" customFormat="false" ht="15" hidden="false" customHeight="false" outlineLevel="0" collapsed="false">
      <c r="A282" s="138" t="s">
        <v>6468</v>
      </c>
      <c r="B282" s="138" t="s">
        <v>6679</v>
      </c>
      <c r="C282" s="138" t="n">
        <v>384.8878</v>
      </c>
      <c r="D282" s="138" t="s">
        <v>59</v>
      </c>
      <c r="E282" s="138" t="n">
        <v>10.1</v>
      </c>
      <c r="F282" s="138" t="n">
        <v>536648.064</v>
      </c>
      <c r="G282" s="138" t="n">
        <v>7163881.434</v>
      </c>
      <c r="H282" s="138" t="n">
        <v>1</v>
      </c>
      <c r="I282" s="138" t="s">
        <v>6398</v>
      </c>
    </row>
    <row r="283" customFormat="false" ht="15" hidden="false" customHeight="false" outlineLevel="0" collapsed="false">
      <c r="A283" s="138" t="s">
        <v>6468</v>
      </c>
      <c r="B283" s="138" t="s">
        <v>6680</v>
      </c>
      <c r="C283" s="138" t="n">
        <v>387.5823</v>
      </c>
      <c r="D283" s="138" t="s">
        <v>59</v>
      </c>
      <c r="E283" s="138" t="n">
        <v>6.4</v>
      </c>
      <c r="F283" s="138" t="n">
        <v>536596.108</v>
      </c>
      <c r="G283" s="138" t="n">
        <v>7163896.194</v>
      </c>
      <c r="H283" s="138" t="n">
        <v>1</v>
      </c>
      <c r="I283" s="138" t="s">
        <v>6398</v>
      </c>
    </row>
    <row r="284" customFormat="false" ht="15" hidden="false" customHeight="false" outlineLevel="0" collapsed="false">
      <c r="A284" s="138" t="s">
        <v>6468</v>
      </c>
      <c r="B284" s="138" t="s">
        <v>6681</v>
      </c>
      <c r="C284" s="138" t="n">
        <v>388.7175</v>
      </c>
      <c r="D284" s="138" t="s">
        <v>59</v>
      </c>
      <c r="E284" s="138" t="n">
        <v>8.2</v>
      </c>
      <c r="F284" s="138" t="n">
        <v>536573.53</v>
      </c>
      <c r="G284" s="138" t="n">
        <v>7163899.136</v>
      </c>
      <c r="H284" s="138" t="n">
        <v>1</v>
      </c>
      <c r="I284" s="138" t="s">
        <v>6398</v>
      </c>
    </row>
    <row r="285" customFormat="false" ht="15" hidden="false" customHeight="false" outlineLevel="0" collapsed="false">
      <c r="A285" s="138" t="s">
        <v>6468</v>
      </c>
      <c r="B285" s="138" t="s">
        <v>6682</v>
      </c>
      <c r="C285" s="138" t="n">
        <v>388.9814</v>
      </c>
      <c r="D285" s="138" t="s">
        <v>59</v>
      </c>
      <c r="E285" s="138" t="n">
        <v>10.4</v>
      </c>
      <c r="F285" s="138" t="n">
        <v>536567.906</v>
      </c>
      <c r="G285" s="138" t="n">
        <v>7163898.044</v>
      </c>
      <c r="H285" s="138" t="n">
        <v>1</v>
      </c>
      <c r="I285" s="138" t="s">
        <v>6398</v>
      </c>
    </row>
    <row r="286" customFormat="false" ht="15" hidden="false" customHeight="false" outlineLevel="0" collapsed="false">
      <c r="A286" s="138" t="s">
        <v>6468</v>
      </c>
      <c r="B286" s="138" t="s">
        <v>6683</v>
      </c>
      <c r="C286" s="138" t="n">
        <v>389.0706</v>
      </c>
      <c r="D286" s="138" t="s">
        <v>59</v>
      </c>
      <c r="E286" s="138" t="n">
        <v>10.2</v>
      </c>
      <c r="F286" s="138" t="n">
        <v>536566.201</v>
      </c>
      <c r="G286" s="138" t="n">
        <v>7163898.602</v>
      </c>
      <c r="H286" s="138" t="n">
        <v>1</v>
      </c>
      <c r="I286" s="138" t="s">
        <v>6398</v>
      </c>
    </row>
    <row r="287" customFormat="false" ht="15" hidden="false" customHeight="false" outlineLevel="0" collapsed="false">
      <c r="A287" s="138" t="s">
        <v>6468</v>
      </c>
      <c r="B287" s="138" t="s">
        <v>6684</v>
      </c>
      <c r="C287" s="138" t="n">
        <v>389.4391</v>
      </c>
      <c r="D287" s="138" t="s">
        <v>59</v>
      </c>
      <c r="E287" s="138" t="n">
        <v>7.3</v>
      </c>
      <c r="F287" s="138" t="n">
        <v>536559.588</v>
      </c>
      <c r="G287" s="138" t="n">
        <v>7163902.939</v>
      </c>
      <c r="H287" s="138" t="n">
        <v>1</v>
      </c>
      <c r="I287" s="138" t="s">
        <v>6398</v>
      </c>
    </row>
    <row r="288" customFormat="false" ht="15" hidden="false" customHeight="false" outlineLevel="0" collapsed="false">
      <c r="A288" s="138" t="s">
        <v>6468</v>
      </c>
      <c r="B288" s="138" t="s">
        <v>6685</v>
      </c>
      <c r="C288" s="138" t="n">
        <v>389.4568</v>
      </c>
      <c r="D288" s="138" t="s">
        <v>59</v>
      </c>
      <c r="E288" s="138" t="n">
        <v>3.7</v>
      </c>
      <c r="F288" s="138" t="n">
        <v>536559.999</v>
      </c>
      <c r="G288" s="138" t="n">
        <v>7163906.593</v>
      </c>
      <c r="H288" s="138" t="n">
        <v>1</v>
      </c>
      <c r="I288" s="138" t="s">
        <v>6398</v>
      </c>
    </row>
    <row r="289" customFormat="false" ht="15" hidden="false" customHeight="false" outlineLevel="0" collapsed="false">
      <c r="A289" s="138" t="s">
        <v>6468</v>
      </c>
      <c r="B289" s="138" t="s">
        <v>6686</v>
      </c>
      <c r="C289" s="138" t="n">
        <v>389.5163</v>
      </c>
      <c r="D289" s="138" t="s">
        <v>59</v>
      </c>
      <c r="E289" s="138" t="n">
        <v>10.3</v>
      </c>
      <c r="F289" s="138" t="n">
        <v>536557.473</v>
      </c>
      <c r="G289" s="138" t="n">
        <v>7163900.398</v>
      </c>
      <c r="H289" s="138" t="n">
        <v>1</v>
      </c>
      <c r="I289" s="138" t="s">
        <v>6398</v>
      </c>
    </row>
    <row r="290" customFormat="false" ht="15" hidden="false" customHeight="false" outlineLevel="0" collapsed="false">
      <c r="A290" s="138" t="s">
        <v>6468</v>
      </c>
      <c r="B290" s="138" t="s">
        <v>6687</v>
      </c>
      <c r="C290" s="138" t="n">
        <v>389.6879</v>
      </c>
      <c r="D290" s="138" t="s">
        <v>59</v>
      </c>
      <c r="E290" s="138" t="n">
        <v>7.6</v>
      </c>
      <c r="F290" s="138" t="n">
        <v>536554.671</v>
      </c>
      <c r="G290" s="138" t="n">
        <v>7163903.728</v>
      </c>
      <c r="H290" s="138" t="n">
        <v>1</v>
      </c>
      <c r="I290" s="138" t="s">
        <v>6398</v>
      </c>
    </row>
    <row r="291" customFormat="false" ht="15" hidden="false" customHeight="false" outlineLevel="0" collapsed="false">
      <c r="A291" s="138" t="s">
        <v>6468</v>
      </c>
      <c r="B291" s="138" t="s">
        <v>6688</v>
      </c>
      <c r="C291" s="138" t="n">
        <v>389.7995</v>
      </c>
      <c r="D291" s="138" t="s">
        <v>59</v>
      </c>
      <c r="E291" s="138" t="n">
        <v>10.7</v>
      </c>
      <c r="F291" s="138" t="n">
        <v>536551.853</v>
      </c>
      <c r="G291" s="138" t="n">
        <v>7163901.189</v>
      </c>
      <c r="H291" s="138" t="n">
        <v>1</v>
      </c>
      <c r="I291" s="138" t="s">
        <v>6398</v>
      </c>
    </row>
    <row r="292" customFormat="false" ht="15" hidden="false" customHeight="false" outlineLevel="0" collapsed="false">
      <c r="A292" s="138" t="s">
        <v>6468</v>
      </c>
      <c r="B292" s="138" t="s">
        <v>6689</v>
      </c>
      <c r="C292" s="138" t="n">
        <v>398.0962</v>
      </c>
      <c r="D292" s="138" t="s">
        <v>59</v>
      </c>
      <c r="E292" s="138" t="n">
        <v>10.3</v>
      </c>
      <c r="F292" s="138" t="n">
        <v>536389.632</v>
      </c>
      <c r="G292" s="138" t="n">
        <v>7163935.853</v>
      </c>
      <c r="H292" s="138" t="n">
        <v>1</v>
      </c>
      <c r="I292" s="138" t="s">
        <v>6398</v>
      </c>
    </row>
    <row r="293" customFormat="false" ht="15" hidden="false" customHeight="false" outlineLevel="0" collapsed="false">
      <c r="A293" s="138" t="s">
        <v>6468</v>
      </c>
      <c r="B293" s="138" t="s">
        <v>6690</v>
      </c>
      <c r="C293" s="138" t="n">
        <v>398.6579</v>
      </c>
      <c r="D293" s="138" t="s">
        <v>59</v>
      </c>
      <c r="E293" s="138" t="n">
        <v>10.1</v>
      </c>
      <c r="F293" s="138" t="n">
        <v>536378.698</v>
      </c>
      <c r="G293" s="138" t="n">
        <v>7163938.43</v>
      </c>
      <c r="H293" s="138" t="n">
        <v>1</v>
      </c>
      <c r="I293" s="138" t="s">
        <v>6398</v>
      </c>
    </row>
    <row r="294" customFormat="false" ht="15" hidden="false" customHeight="false" outlineLevel="0" collapsed="false">
      <c r="A294" s="138" t="s">
        <v>6468</v>
      </c>
      <c r="B294" s="138" t="s">
        <v>6691</v>
      </c>
      <c r="C294" s="138" t="n">
        <v>400.5404</v>
      </c>
      <c r="D294" s="138" t="s">
        <v>59</v>
      </c>
      <c r="E294" s="138" t="n">
        <v>9.6</v>
      </c>
      <c r="F294" s="138" t="n">
        <v>536341.981</v>
      </c>
      <c r="G294" s="138" t="n">
        <v>7163946.725</v>
      </c>
      <c r="H294" s="138" t="n">
        <v>1</v>
      </c>
      <c r="I294" s="138" t="s">
        <v>6398</v>
      </c>
    </row>
    <row r="295" customFormat="false" ht="15" hidden="false" customHeight="false" outlineLevel="0" collapsed="false">
      <c r="A295" s="138" t="s">
        <v>6468</v>
      </c>
      <c r="B295" s="138" t="s">
        <v>6692</v>
      </c>
      <c r="C295" s="138" t="n">
        <v>400.8644</v>
      </c>
      <c r="D295" s="138" t="s">
        <v>60</v>
      </c>
      <c r="E295" s="138" t="n">
        <v>6.7</v>
      </c>
      <c r="F295" s="138" t="n">
        <v>536339.017</v>
      </c>
      <c r="G295" s="138" t="n">
        <v>7163964.009</v>
      </c>
      <c r="H295" s="138" t="n">
        <v>1</v>
      </c>
      <c r="I295" s="138" t="s">
        <v>6398</v>
      </c>
    </row>
    <row r="296" customFormat="false" ht="15" hidden="false" customHeight="false" outlineLevel="0" collapsed="false">
      <c r="A296" s="138" t="s">
        <v>6468</v>
      </c>
      <c r="B296" s="138" t="s">
        <v>6693</v>
      </c>
      <c r="C296" s="138" t="n">
        <v>408.1798</v>
      </c>
      <c r="D296" s="138" t="s">
        <v>59</v>
      </c>
      <c r="E296" s="138" t="n">
        <v>6.4</v>
      </c>
      <c r="F296" s="138" t="n">
        <v>536193.21</v>
      </c>
      <c r="G296" s="138" t="n">
        <v>7163981.461</v>
      </c>
      <c r="H296" s="138" t="n">
        <v>1</v>
      </c>
      <c r="I296" s="138" t="s">
        <v>6398</v>
      </c>
    </row>
    <row r="297" customFormat="false" ht="15" hidden="false" customHeight="false" outlineLevel="0" collapsed="false">
      <c r="A297" s="138" t="s">
        <v>6468</v>
      </c>
      <c r="B297" s="138" t="s">
        <v>6694</v>
      </c>
      <c r="C297" s="138" t="n">
        <v>408.3503</v>
      </c>
      <c r="D297" s="138" t="s">
        <v>59</v>
      </c>
      <c r="E297" s="138" t="n">
        <v>6.8</v>
      </c>
      <c r="F297" s="138" t="n">
        <v>536189.798</v>
      </c>
      <c r="G297" s="138" t="n">
        <v>7163981.802</v>
      </c>
      <c r="H297" s="138" t="n">
        <v>1</v>
      </c>
      <c r="I297" s="138" t="s">
        <v>6398</v>
      </c>
    </row>
    <row r="298" customFormat="false" ht="15" hidden="false" customHeight="false" outlineLevel="0" collapsed="false">
      <c r="A298" s="138" t="s">
        <v>6468</v>
      </c>
      <c r="B298" s="138" t="s">
        <v>6695</v>
      </c>
      <c r="C298" s="138" t="n">
        <v>408.4674</v>
      </c>
      <c r="D298" s="138" t="s">
        <v>59</v>
      </c>
      <c r="E298" s="138" t="n">
        <v>6.3</v>
      </c>
      <c r="F298" s="138" t="n">
        <v>536187.592</v>
      </c>
      <c r="G298" s="138" t="n">
        <v>7163982.694</v>
      </c>
      <c r="H298" s="138" t="n">
        <v>1</v>
      </c>
      <c r="I298" s="138" t="s">
        <v>6398</v>
      </c>
    </row>
    <row r="299" customFormat="false" ht="15" hidden="false" customHeight="false" outlineLevel="0" collapsed="false">
      <c r="A299" s="138" t="s">
        <v>6468</v>
      </c>
      <c r="B299" s="138" t="s">
        <v>6696</v>
      </c>
      <c r="C299" s="138" t="n">
        <v>408.5986</v>
      </c>
      <c r="D299" s="138" t="s">
        <v>59</v>
      </c>
      <c r="E299" s="138" t="n">
        <v>3.6</v>
      </c>
      <c r="F299" s="138" t="n">
        <v>536185.593</v>
      </c>
      <c r="G299" s="138" t="n">
        <v>7163985.911</v>
      </c>
      <c r="H299" s="138" t="n">
        <v>1</v>
      </c>
      <c r="I299" s="138" t="s">
        <v>6398</v>
      </c>
    </row>
    <row r="300" customFormat="false" ht="15" hidden="false" customHeight="false" outlineLevel="0" collapsed="false">
      <c r="A300" s="138" t="s">
        <v>6468</v>
      </c>
      <c r="B300" s="138" t="s">
        <v>6697</v>
      </c>
      <c r="C300" s="138" t="n">
        <v>408.8564</v>
      </c>
      <c r="D300" s="138" t="s">
        <v>59</v>
      </c>
      <c r="E300" s="138" t="n">
        <v>5.9</v>
      </c>
      <c r="F300" s="138" t="n">
        <v>536180.069</v>
      </c>
      <c r="G300" s="138" t="n">
        <v>7163984.708</v>
      </c>
      <c r="H300" s="138" t="n">
        <v>1</v>
      </c>
      <c r="I300" s="138" t="s">
        <v>6398</v>
      </c>
    </row>
    <row r="301" customFormat="false" ht="15" hidden="false" customHeight="false" outlineLevel="0" collapsed="false">
      <c r="A301" s="138" t="s">
        <v>6468</v>
      </c>
      <c r="B301" s="138" t="s">
        <v>6698</v>
      </c>
      <c r="C301" s="138" t="n">
        <v>409.05</v>
      </c>
      <c r="D301" s="138" t="s">
        <v>59</v>
      </c>
      <c r="E301" s="138" t="n">
        <v>6.1</v>
      </c>
      <c r="F301" s="138" t="n">
        <v>536176.256</v>
      </c>
      <c r="G301" s="138" t="n">
        <v>7163985.383</v>
      </c>
      <c r="H301" s="138" t="n">
        <v>1</v>
      </c>
      <c r="I301" s="138" t="s">
        <v>6398</v>
      </c>
    </row>
    <row r="302" customFormat="false" ht="15" hidden="false" customHeight="false" outlineLevel="0" collapsed="false">
      <c r="A302" s="138" t="s">
        <v>6468</v>
      </c>
      <c r="B302" s="138" t="s">
        <v>6699</v>
      </c>
      <c r="C302" s="138" t="n">
        <v>414.7816</v>
      </c>
      <c r="D302" s="138" t="s">
        <v>60</v>
      </c>
      <c r="E302" s="138" t="n">
        <v>7.5</v>
      </c>
      <c r="F302" s="138" t="n">
        <v>536066.941</v>
      </c>
      <c r="G302" s="138" t="n">
        <v>7164022.335</v>
      </c>
      <c r="H302" s="138" t="n">
        <v>1</v>
      </c>
      <c r="I302" s="138" t="s">
        <v>6398</v>
      </c>
    </row>
    <row r="303" customFormat="false" ht="15" hidden="false" customHeight="false" outlineLevel="0" collapsed="false">
      <c r="A303" s="138" t="s">
        <v>6468</v>
      </c>
      <c r="B303" s="138" t="s">
        <v>6700</v>
      </c>
      <c r="C303" s="138" t="n">
        <v>418.7819</v>
      </c>
      <c r="D303" s="138" t="s">
        <v>59</v>
      </c>
      <c r="E303" s="138" t="n">
        <v>10.4</v>
      </c>
      <c r="F303" s="138" t="n">
        <v>535984.625</v>
      </c>
      <c r="G303" s="138" t="n">
        <v>7164021.451</v>
      </c>
      <c r="H303" s="138" t="n">
        <v>1</v>
      </c>
      <c r="I303" s="138" t="s">
        <v>6398</v>
      </c>
    </row>
    <row r="304" customFormat="false" ht="15" hidden="false" customHeight="false" outlineLevel="0" collapsed="false">
      <c r="A304" s="138" t="s">
        <v>6468</v>
      </c>
      <c r="B304" s="138" t="s">
        <v>6701</v>
      </c>
      <c r="C304" s="138" t="n">
        <v>418.8448</v>
      </c>
      <c r="D304" s="138" t="s">
        <v>59</v>
      </c>
      <c r="E304" s="138" t="n">
        <v>21.6</v>
      </c>
      <c r="F304" s="138" t="n">
        <v>535981.083</v>
      </c>
      <c r="G304" s="138" t="n">
        <v>7164010.829</v>
      </c>
      <c r="H304" s="138" t="n">
        <v>1</v>
      </c>
      <c r="I304" s="138" t="s">
        <v>6398</v>
      </c>
    </row>
    <row r="305" customFormat="false" ht="15" hidden="false" customHeight="false" outlineLevel="0" collapsed="false">
      <c r="A305" s="138" t="s">
        <v>6468</v>
      </c>
      <c r="B305" s="138" t="s">
        <v>6702</v>
      </c>
      <c r="C305" s="138" t="n">
        <v>419.3108</v>
      </c>
      <c r="D305" s="138" t="s">
        <v>59</v>
      </c>
      <c r="E305" s="138" t="n">
        <v>33.1</v>
      </c>
      <c r="F305" s="138" t="n">
        <v>535969.514</v>
      </c>
      <c r="G305" s="138" t="n">
        <v>7164001.447</v>
      </c>
      <c r="H305" s="138" t="n">
        <v>1</v>
      </c>
      <c r="I305" s="138" t="s">
        <v>6398</v>
      </c>
    </row>
    <row r="306" customFormat="false" ht="15" hidden="false" customHeight="false" outlineLevel="0" collapsed="false">
      <c r="A306" s="138" t="s">
        <v>6468</v>
      </c>
      <c r="B306" s="138" t="s">
        <v>6703</v>
      </c>
      <c r="C306" s="138" t="n">
        <v>419.3392</v>
      </c>
      <c r="D306" s="138" t="s">
        <v>59</v>
      </c>
      <c r="E306" s="138" t="n">
        <v>29.4</v>
      </c>
      <c r="F306" s="138" t="n">
        <v>535969.725</v>
      </c>
      <c r="G306" s="138" t="n">
        <v>7164005.212</v>
      </c>
      <c r="H306" s="138" t="n">
        <v>1</v>
      </c>
      <c r="I306" s="138" t="s">
        <v>6398</v>
      </c>
    </row>
    <row r="307" customFormat="false" ht="15" hidden="false" customHeight="false" outlineLevel="0" collapsed="false">
      <c r="A307" s="138" t="s">
        <v>6472</v>
      </c>
      <c r="B307" s="138" t="s">
        <v>6704</v>
      </c>
      <c r="C307" s="138" t="n">
        <v>431.3429</v>
      </c>
      <c r="D307" s="138" t="s">
        <v>59</v>
      </c>
      <c r="E307" s="138" t="n">
        <v>28.9</v>
      </c>
      <c r="F307" s="138" t="n">
        <v>535745.15</v>
      </c>
      <c r="G307" s="138" t="n">
        <v>7164109.36</v>
      </c>
      <c r="H307" s="138" t="n">
        <v>1</v>
      </c>
      <c r="I307" s="138" t="s">
        <v>6398</v>
      </c>
    </row>
    <row r="308" customFormat="false" ht="15" hidden="false" customHeight="false" outlineLevel="0" collapsed="false">
      <c r="A308" s="138" t="s">
        <v>6468</v>
      </c>
      <c r="B308" s="138" t="s">
        <v>6705</v>
      </c>
      <c r="C308" s="138" t="n">
        <v>437.9838</v>
      </c>
      <c r="D308" s="138" t="s">
        <v>59</v>
      </c>
      <c r="E308" s="138" t="n">
        <v>9.5</v>
      </c>
      <c r="F308" s="138" t="n">
        <v>535636.344</v>
      </c>
      <c r="G308" s="138" t="n">
        <v>7164187.724</v>
      </c>
      <c r="H308" s="138" t="n">
        <v>1</v>
      </c>
      <c r="I308" s="138" t="s">
        <v>6398</v>
      </c>
    </row>
    <row r="309" customFormat="false" ht="15" hidden="false" customHeight="false" outlineLevel="0" collapsed="false">
      <c r="A309" s="138" t="s">
        <v>6468</v>
      </c>
      <c r="B309" s="138" t="s">
        <v>6706</v>
      </c>
      <c r="C309" s="138" t="n">
        <v>437.9851</v>
      </c>
      <c r="D309" s="138" t="s">
        <v>59</v>
      </c>
      <c r="E309" s="138" t="n">
        <v>11.7</v>
      </c>
      <c r="F309" s="138" t="n">
        <v>535635.336</v>
      </c>
      <c r="G309" s="138" t="n">
        <v>7164185.844</v>
      </c>
      <c r="H309" s="138" t="n">
        <v>1</v>
      </c>
      <c r="I309" s="138" t="s">
        <v>6398</v>
      </c>
    </row>
    <row r="310" customFormat="false" ht="15" hidden="false" customHeight="false" outlineLevel="0" collapsed="false">
      <c r="A310" s="138" t="s">
        <v>6468</v>
      </c>
      <c r="B310" s="138" t="s">
        <v>6707</v>
      </c>
      <c r="C310" s="138" t="n">
        <v>445.5779</v>
      </c>
      <c r="D310" s="138" t="s">
        <v>60</v>
      </c>
      <c r="E310" s="138" t="n">
        <v>29.7</v>
      </c>
      <c r="F310" s="138" t="n">
        <v>535535.169</v>
      </c>
      <c r="G310" s="138" t="n">
        <v>7164304.272</v>
      </c>
      <c r="H310" s="138" t="n">
        <v>1</v>
      </c>
      <c r="I310" s="138" t="s">
        <v>6398</v>
      </c>
    </row>
    <row r="311" customFormat="false" ht="15" hidden="false" customHeight="false" outlineLevel="0" collapsed="false">
      <c r="A311" s="138" t="s">
        <v>6468</v>
      </c>
      <c r="B311" s="138" t="s">
        <v>6708</v>
      </c>
      <c r="C311" s="138" t="n">
        <v>456.9872</v>
      </c>
      <c r="D311" s="138" t="s">
        <v>59</v>
      </c>
      <c r="E311" s="138" t="n">
        <v>43.6</v>
      </c>
      <c r="F311" s="138" t="n">
        <v>535332.152</v>
      </c>
      <c r="G311" s="138" t="n">
        <v>7164326.629</v>
      </c>
      <c r="H311" s="138" t="n">
        <v>1</v>
      </c>
      <c r="I311" s="138" t="s">
        <v>6398</v>
      </c>
    </row>
    <row r="312" customFormat="false" ht="15" hidden="false" customHeight="false" outlineLevel="0" collapsed="false">
      <c r="A312" s="138" t="s">
        <v>6472</v>
      </c>
      <c r="B312" s="138" t="s">
        <v>6709</v>
      </c>
      <c r="C312" s="138" t="n">
        <v>462.1384</v>
      </c>
      <c r="D312" s="138" t="s">
        <v>59</v>
      </c>
      <c r="E312" s="138" t="n">
        <v>3.2</v>
      </c>
      <c r="F312" s="138" t="n">
        <v>535210.783</v>
      </c>
      <c r="G312" s="138" t="n">
        <v>7164286.974</v>
      </c>
      <c r="H312" s="138" t="n">
        <v>1</v>
      </c>
      <c r="I312" s="138" t="s">
        <v>6398</v>
      </c>
    </row>
    <row r="313" customFormat="false" ht="15" hidden="false" customHeight="false" outlineLevel="0" collapsed="false">
      <c r="A313" s="138" t="s">
        <v>6468</v>
      </c>
      <c r="B313" s="138" t="s">
        <v>6710</v>
      </c>
      <c r="C313" s="138" t="n">
        <v>473.5002</v>
      </c>
      <c r="D313" s="138" t="s">
        <v>59</v>
      </c>
      <c r="E313" s="138" t="n">
        <v>2.9</v>
      </c>
      <c r="F313" s="138" t="n">
        <v>535006.354</v>
      </c>
      <c r="G313" s="138" t="n">
        <v>7164192.942</v>
      </c>
      <c r="H313" s="138" t="n">
        <v>1</v>
      </c>
      <c r="I313" s="138" t="s">
        <v>6398</v>
      </c>
    </row>
    <row r="314" customFormat="false" ht="15" hidden="false" customHeight="false" outlineLevel="0" collapsed="false">
      <c r="A314" s="138" t="s">
        <v>6472</v>
      </c>
      <c r="B314" s="138" t="s">
        <v>6711</v>
      </c>
      <c r="C314" s="138" t="n">
        <v>500.4109</v>
      </c>
      <c r="D314" s="138" t="s">
        <v>60</v>
      </c>
      <c r="E314" s="138" t="n">
        <v>18.2</v>
      </c>
      <c r="F314" s="138" t="n">
        <v>534469.381</v>
      </c>
      <c r="G314" s="138" t="n">
        <v>7164183.382</v>
      </c>
      <c r="H314" s="138" t="n">
        <v>1</v>
      </c>
      <c r="I314" s="138" t="s">
        <v>6398</v>
      </c>
    </row>
    <row r="315" customFormat="false" ht="15" hidden="false" customHeight="false" outlineLevel="0" collapsed="false">
      <c r="A315" s="138" t="s">
        <v>6472</v>
      </c>
      <c r="B315" s="138" t="s">
        <v>6712</v>
      </c>
      <c r="C315" s="138" t="n">
        <v>500.748</v>
      </c>
      <c r="D315" s="138" t="s">
        <v>60</v>
      </c>
      <c r="E315" s="138" t="n">
        <v>17.5</v>
      </c>
      <c r="F315" s="138" t="n">
        <v>534462.651</v>
      </c>
      <c r="G315" s="138" t="n">
        <v>7164181.517</v>
      </c>
      <c r="H315" s="138" t="n">
        <v>1</v>
      </c>
      <c r="I315" s="138" t="s">
        <v>6398</v>
      </c>
    </row>
    <row r="316" customFormat="false" ht="15" hidden="false" customHeight="false" outlineLevel="0" collapsed="false">
      <c r="A316" s="138" t="s">
        <v>6472</v>
      </c>
      <c r="B316" s="138" t="s">
        <v>6713</v>
      </c>
      <c r="C316" s="138" t="n">
        <v>500.8758</v>
      </c>
      <c r="D316" s="138" t="s">
        <v>60</v>
      </c>
      <c r="E316" s="138" t="n">
        <v>18.2</v>
      </c>
      <c r="F316" s="138" t="n">
        <v>534459.941</v>
      </c>
      <c r="G316" s="138" t="n">
        <v>7164181.745</v>
      </c>
      <c r="H316" s="138" t="n">
        <v>1</v>
      </c>
      <c r="I316" s="138" t="s">
        <v>6398</v>
      </c>
    </row>
    <row r="317" customFormat="false" ht="15" hidden="false" customHeight="false" outlineLevel="0" collapsed="false">
      <c r="A317" s="138" t="s">
        <v>6472</v>
      </c>
      <c r="B317" s="138" t="s">
        <v>6714</v>
      </c>
      <c r="C317" s="138" t="n">
        <v>500.9457</v>
      </c>
      <c r="D317" s="138" t="s">
        <v>60</v>
      </c>
      <c r="E317" s="138" t="n">
        <v>18.1</v>
      </c>
      <c r="F317" s="138" t="n">
        <v>534458.535</v>
      </c>
      <c r="G317" s="138" t="n">
        <v>7164181.417</v>
      </c>
      <c r="H317" s="138" t="n">
        <v>1</v>
      </c>
      <c r="I317" s="138" t="s">
        <v>6398</v>
      </c>
    </row>
    <row r="318" customFormat="false" ht="15" hidden="false" customHeight="false" outlineLevel="0" collapsed="false">
      <c r="A318" s="138" t="s">
        <v>6472</v>
      </c>
      <c r="B318" s="138" t="s">
        <v>6715</v>
      </c>
      <c r="C318" s="138" t="n">
        <v>500.9472</v>
      </c>
      <c r="D318" s="138" t="s">
        <v>60</v>
      </c>
      <c r="E318" s="138" t="n">
        <v>19.1</v>
      </c>
      <c r="F318" s="138" t="n">
        <v>534458.336</v>
      </c>
      <c r="G318" s="138" t="n">
        <v>7164182.414</v>
      </c>
      <c r="H318" s="138" t="n">
        <v>1</v>
      </c>
      <c r="I318" s="138" t="s">
        <v>6398</v>
      </c>
    </row>
    <row r="319" customFormat="false" ht="15" hidden="false" customHeight="false" outlineLevel="0" collapsed="false">
      <c r="A319" s="138" t="s">
        <v>6472</v>
      </c>
      <c r="B319" s="138" t="s">
        <v>6716</v>
      </c>
      <c r="C319" s="138" t="n">
        <v>503.4867</v>
      </c>
      <c r="D319" s="138" t="s">
        <v>60</v>
      </c>
      <c r="E319" s="138" t="n">
        <v>27.5</v>
      </c>
      <c r="F319" s="138" t="n">
        <v>534405.333</v>
      </c>
      <c r="G319" s="138" t="n">
        <v>7164181.998</v>
      </c>
      <c r="H319" s="138" t="n">
        <v>1</v>
      </c>
      <c r="I319" s="138" t="s">
        <v>6398</v>
      </c>
    </row>
    <row r="320" customFormat="false" ht="15" hidden="false" customHeight="false" outlineLevel="0" collapsed="false">
      <c r="A320" s="138" t="s">
        <v>6468</v>
      </c>
      <c r="B320" s="138" t="s">
        <v>6717</v>
      </c>
      <c r="C320" s="138" t="n">
        <v>506.3284</v>
      </c>
      <c r="D320" s="138" t="s">
        <v>60</v>
      </c>
      <c r="E320" s="138" t="n">
        <v>33.5</v>
      </c>
      <c r="F320" s="138" t="n">
        <v>534367.604</v>
      </c>
      <c r="G320" s="138" t="n">
        <v>7164187.743</v>
      </c>
      <c r="H320" s="138" t="n">
        <v>1</v>
      </c>
      <c r="I320" s="138" t="s">
        <v>6398</v>
      </c>
    </row>
    <row r="321" customFormat="false" ht="15" hidden="false" customHeight="false" outlineLevel="0" collapsed="false">
      <c r="A321" s="138" t="s">
        <v>6468</v>
      </c>
      <c r="B321" s="138" t="s">
        <v>6718</v>
      </c>
      <c r="C321" s="138" t="n">
        <v>506.8164</v>
      </c>
      <c r="D321" s="138" t="s">
        <v>60</v>
      </c>
      <c r="E321" s="138" t="n">
        <v>32.1</v>
      </c>
      <c r="F321" s="138" t="n">
        <v>534357.874</v>
      </c>
      <c r="G321" s="138" t="n">
        <v>7164190.648</v>
      </c>
      <c r="H321" s="138" t="n">
        <v>1</v>
      </c>
      <c r="I321" s="138" t="s">
        <v>6398</v>
      </c>
    </row>
    <row r="322" customFormat="false" ht="15" hidden="false" customHeight="false" outlineLevel="0" collapsed="false">
      <c r="A322" s="138" t="s">
        <v>6468</v>
      </c>
      <c r="B322" s="138" t="s">
        <v>6719</v>
      </c>
      <c r="C322" s="138" t="n">
        <v>507.6396</v>
      </c>
      <c r="D322" s="138" t="s">
        <v>60</v>
      </c>
      <c r="E322" s="138" t="n">
        <v>27.5</v>
      </c>
      <c r="F322" s="138" t="n">
        <v>534340.515</v>
      </c>
      <c r="G322" s="138" t="n">
        <v>7164193.461</v>
      </c>
      <c r="H322" s="138" t="n">
        <v>1</v>
      </c>
      <c r="I322" s="138" t="s">
        <v>6398</v>
      </c>
    </row>
    <row r="323" customFormat="false" ht="15" hidden="false" customHeight="false" outlineLevel="0" collapsed="false">
      <c r="A323" s="138" t="s">
        <v>6468</v>
      </c>
      <c r="B323" s="138" t="s">
        <v>6720</v>
      </c>
      <c r="C323" s="138" t="n">
        <v>508.0567</v>
      </c>
      <c r="D323" s="138" t="s">
        <v>60</v>
      </c>
      <c r="E323" s="138" t="n">
        <v>24.1</v>
      </c>
      <c r="F323" s="138" t="n">
        <v>534331.281</v>
      </c>
      <c r="G323" s="138" t="n">
        <v>7164193.928</v>
      </c>
      <c r="H323" s="138" t="n">
        <v>1</v>
      </c>
      <c r="I323" s="138" t="s">
        <v>6398</v>
      </c>
    </row>
    <row r="324" customFormat="false" ht="15" hidden="false" customHeight="false" outlineLevel="0" collapsed="false">
      <c r="A324" s="138" t="s">
        <v>6468</v>
      </c>
      <c r="B324" s="138" t="s">
        <v>6721</v>
      </c>
      <c r="C324" s="138" t="n">
        <v>594.6254</v>
      </c>
      <c r="D324" s="138" t="s">
        <v>59</v>
      </c>
      <c r="E324" s="138" t="n">
        <v>5.7</v>
      </c>
      <c r="F324" s="138" t="n">
        <v>532758.076</v>
      </c>
      <c r="G324" s="138" t="n">
        <v>7164925.127</v>
      </c>
      <c r="H324" s="138" t="n">
        <v>1</v>
      </c>
      <c r="I324" s="138" t="s">
        <v>6398</v>
      </c>
    </row>
    <row r="325" customFormat="false" ht="15" hidden="false" customHeight="false" outlineLevel="0" collapsed="false">
      <c r="A325" s="138" t="s">
        <v>6472</v>
      </c>
      <c r="B325" s="138" t="s">
        <v>6722</v>
      </c>
      <c r="C325" s="138" t="n">
        <v>595.5454</v>
      </c>
      <c r="D325" s="138" t="s">
        <v>59</v>
      </c>
      <c r="E325" s="138" t="n">
        <v>6.4</v>
      </c>
      <c r="F325" s="138" t="n">
        <v>532742.339</v>
      </c>
      <c r="G325" s="138" t="n">
        <v>7164934.69</v>
      </c>
      <c r="H325" s="138" t="n">
        <v>1</v>
      </c>
      <c r="I325" s="138" t="s">
        <v>6398</v>
      </c>
    </row>
    <row r="326" customFormat="false" ht="15" hidden="false" customHeight="false" outlineLevel="0" collapsed="false">
      <c r="A326" s="138" t="s">
        <v>6468</v>
      </c>
      <c r="B326" s="138" t="s">
        <v>6723</v>
      </c>
      <c r="C326" s="138" t="n">
        <v>595.711</v>
      </c>
      <c r="D326" s="138" t="s">
        <v>59</v>
      </c>
      <c r="E326" s="138" t="n">
        <v>8.9</v>
      </c>
      <c r="F326" s="138" t="n">
        <v>532738.223</v>
      </c>
      <c r="G326" s="138" t="n">
        <v>7164934.478</v>
      </c>
      <c r="H326" s="138" t="n">
        <v>1</v>
      </c>
      <c r="I326" s="138" t="s">
        <v>6398</v>
      </c>
    </row>
    <row r="327" customFormat="false" ht="15" hidden="false" customHeight="false" outlineLevel="0" collapsed="false">
      <c r="A327" s="138" t="s">
        <v>6468</v>
      </c>
      <c r="B327" s="138" t="s">
        <v>6724</v>
      </c>
      <c r="C327" s="138" t="n">
        <v>597.5344</v>
      </c>
      <c r="D327" s="138" t="s">
        <v>59</v>
      </c>
      <c r="E327" s="138" t="n">
        <v>7.2</v>
      </c>
      <c r="F327" s="138" t="n">
        <v>532708.761</v>
      </c>
      <c r="G327" s="138" t="n">
        <v>7164956.034</v>
      </c>
      <c r="H327" s="138" t="n">
        <v>1</v>
      </c>
      <c r="I327" s="138" t="s">
        <v>6398</v>
      </c>
    </row>
    <row r="328" customFormat="false" ht="15" hidden="false" customHeight="false" outlineLevel="0" collapsed="false">
      <c r="A328" s="138" t="s">
        <v>6468</v>
      </c>
      <c r="B328" s="138" t="s">
        <v>6725</v>
      </c>
      <c r="C328" s="138" t="n">
        <v>597.9565</v>
      </c>
      <c r="D328" s="138" t="s">
        <v>59</v>
      </c>
      <c r="E328" s="138" t="n">
        <v>6.8</v>
      </c>
      <c r="F328" s="138" t="n">
        <v>532701.947</v>
      </c>
      <c r="G328" s="138" t="n">
        <v>7164961.034</v>
      </c>
      <c r="H328" s="138" t="n">
        <v>1</v>
      </c>
      <c r="I328" s="138" t="s">
        <v>6398</v>
      </c>
    </row>
    <row r="329" customFormat="false" ht="15" hidden="false" customHeight="false" outlineLevel="0" collapsed="false">
      <c r="A329" s="138" t="s">
        <v>6472</v>
      </c>
      <c r="B329" s="138" t="s">
        <v>6726</v>
      </c>
      <c r="C329" s="138" t="n">
        <v>604.8374</v>
      </c>
      <c r="D329" s="138" t="s">
        <v>59</v>
      </c>
      <c r="E329" s="138" t="n">
        <v>7</v>
      </c>
      <c r="F329" s="138" t="n">
        <v>532586.482</v>
      </c>
      <c r="G329" s="138" t="n">
        <v>7165035.403</v>
      </c>
      <c r="H329" s="138" t="n">
        <v>1</v>
      </c>
      <c r="I329" s="138" t="s">
        <v>6398</v>
      </c>
    </row>
    <row r="330" customFormat="false" ht="15" hidden="false" customHeight="false" outlineLevel="0" collapsed="false">
      <c r="A330" s="138" t="s">
        <v>6472</v>
      </c>
      <c r="B330" s="138" t="s">
        <v>6727</v>
      </c>
      <c r="C330" s="138" t="n">
        <v>604.9375</v>
      </c>
      <c r="D330" s="138" t="s">
        <v>59</v>
      </c>
      <c r="E330" s="138" t="n">
        <v>8.3</v>
      </c>
      <c r="F330" s="138" t="n">
        <v>532584.073</v>
      </c>
      <c r="G330" s="138" t="n">
        <v>7165035.298</v>
      </c>
      <c r="H330" s="138" t="n">
        <v>1</v>
      </c>
      <c r="I330" s="138" t="s">
        <v>6398</v>
      </c>
    </row>
    <row r="333" customFormat="false" ht="15" hidden="false" customHeight="false" outlineLevel="0" collapsed="false">
      <c r="A333" s="6" t="s">
        <v>6728</v>
      </c>
    </row>
    <row r="334" customFormat="false" ht="15" hidden="false" customHeight="false" outlineLevel="0" collapsed="false">
      <c r="A334" s="155" t="s">
        <v>6729</v>
      </c>
      <c r="B334" s="155" t="s">
        <v>14</v>
      </c>
      <c r="C334" s="155" t="s">
        <v>17</v>
      </c>
      <c r="D334" s="155" t="s">
        <v>2367</v>
      </c>
      <c r="E334" s="155" t="s">
        <v>2368</v>
      </c>
      <c r="F334" s="155" t="s">
        <v>2370</v>
      </c>
      <c r="G334" s="155" t="s">
        <v>1552</v>
      </c>
      <c r="H334" s="155" t="s">
        <v>1328</v>
      </c>
    </row>
    <row r="335" customFormat="false" ht="15" hidden="false" customHeight="false" outlineLevel="0" collapsed="false">
      <c r="A335" s="138" t="s">
        <v>6730</v>
      </c>
      <c r="B335" s="138" t="s">
        <v>6731</v>
      </c>
      <c r="C335" s="138" t="s">
        <v>6732</v>
      </c>
      <c r="D335" s="138" t="n">
        <v>608.1025</v>
      </c>
      <c r="E335" s="138" t="n">
        <v>642.7895</v>
      </c>
      <c r="F335" s="138" t="s">
        <v>60</v>
      </c>
      <c r="G335" s="138" t="n">
        <v>694</v>
      </c>
      <c r="H335" s="138" t="s">
        <v>6733</v>
      </c>
    </row>
    <row r="336" customFormat="false" ht="15" hidden="false" customHeight="false" outlineLevel="0" collapsed="false">
      <c r="A336" s="138" t="s">
        <v>6730</v>
      </c>
      <c r="B336" s="138" t="s">
        <v>6734</v>
      </c>
      <c r="C336" s="138" t="s">
        <v>6735</v>
      </c>
      <c r="D336" s="138" t="n">
        <v>632.737</v>
      </c>
      <c r="E336" s="138" t="n">
        <v>633.0755</v>
      </c>
      <c r="F336" s="138" t="s">
        <v>60</v>
      </c>
      <c r="G336" s="138" t="n">
        <v>15</v>
      </c>
      <c r="H336" s="138" t="s">
        <v>6733</v>
      </c>
    </row>
    <row r="337" customFormat="false" ht="15" hidden="false" customHeight="false" outlineLevel="0" collapsed="false">
      <c r="A337" s="138" t="s">
        <v>6730</v>
      </c>
      <c r="B337" s="138" t="s">
        <v>6736</v>
      </c>
      <c r="C337" s="138" t="s">
        <v>4985</v>
      </c>
      <c r="D337" s="138" t="n">
        <v>634.5685</v>
      </c>
      <c r="E337" s="138" t="n">
        <v>634.815</v>
      </c>
      <c r="F337" s="138" t="s">
        <v>60</v>
      </c>
      <c r="G337" s="138" t="n">
        <v>15</v>
      </c>
      <c r="H337" s="138" t="s">
        <v>6733</v>
      </c>
    </row>
    <row r="338" customFormat="false" ht="15" hidden="false" customHeight="false" outlineLevel="0" collapsed="false">
      <c r="A338" s="138" t="s">
        <v>6737</v>
      </c>
      <c r="B338" s="138" t="s">
        <v>6738</v>
      </c>
      <c r="C338" s="138" t="s">
        <v>6739</v>
      </c>
      <c r="D338" s="138" t="n">
        <v>229.0595</v>
      </c>
      <c r="E338" s="138" t="n">
        <v>437.1945</v>
      </c>
      <c r="F338" s="138" t="s">
        <v>59</v>
      </c>
      <c r="G338" s="138" t="n">
        <v>4182</v>
      </c>
      <c r="H338" s="138" t="s">
        <v>6733</v>
      </c>
    </row>
    <row r="339" customFormat="false" ht="15" hidden="false" customHeight="false" outlineLevel="0" collapsed="false">
      <c r="A339" s="138" t="s">
        <v>6737</v>
      </c>
      <c r="B339" s="138" t="s">
        <v>6740</v>
      </c>
      <c r="C339" s="138" t="s">
        <v>6741</v>
      </c>
      <c r="D339" s="138" t="n">
        <v>437.2535</v>
      </c>
      <c r="E339" s="138" t="n">
        <v>465.7055</v>
      </c>
      <c r="F339" s="138" t="s">
        <v>59</v>
      </c>
      <c r="G339" s="138" t="n">
        <v>626</v>
      </c>
      <c r="H339" s="138" t="s">
        <v>6733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2026-10-21T12:11:48Z</dcterms:created>
  <dc:creator>openpyxl</dc:creator>
  <dc:description/>
  <dc:language>en-US</dc:language>
  <cp:lastModifiedBy/>
  <dcterms:modified xsi:type="dcterms:W3CDTF">2026-10-21T12:11:52Z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